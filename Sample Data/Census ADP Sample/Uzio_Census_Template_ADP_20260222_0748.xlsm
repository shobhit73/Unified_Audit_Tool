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sheets/sheet3.xml" ContentType="application/vnd.openxmlformats-officedocument.spreadsheetml.worksheet+xml"/>
  <Override PartName="/xl/worksheets/sheet4.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sheets>
    <sheet xmlns:r="http://schemas.openxmlformats.org/officeDocument/2006/relationships" name="Instructions" sheetId="1" state="visible" r:id="rId1"/>
    <sheet xmlns:r="http://schemas.openxmlformats.org/officeDocument/2006/relationships" name="Employee Details" sheetId="2" state="visible" r:id="rId2"/>
    <sheet xmlns:r="http://schemas.openxmlformats.org/officeDocument/2006/relationships" name="Setting" sheetId="3" state="hidden" r:id="rId3"/>
    <sheet xmlns:r="http://schemas.openxmlformats.org/officeDocument/2006/relationships" name="Data specs" sheetId="4" state="hidden" r:id="rId4"/>
  </sheets>
  <definedNames>
    <definedName name="aci">'Employee Details'!#REF!</definedName>
    <definedName name="Conversion_Range">OFFSET(Setting!$CA$2,0,0,COUNTA(Setting!$CA$2:$CA$200),6)</definedName>
    <definedName name="State_Codes">OFFSET(Setting!$A$1,0,0,COUNTA(Setting!$A$1:$A$10000),1)</definedName>
    <definedName name="State_County">Setting!$AU$15</definedName>
    <definedName name="VBA_SH_Password">Setting!$DE$2</definedName>
    <definedName name="State_Val_Col_Num">Setting!$AU$5</definedName>
    <definedName name="Dependent_Val">Setting!$AF$3:$AO$3</definedName>
    <definedName name="Validation_Fill_Range">Setting!$AU$8</definedName>
    <definedName name="ett">'Employee Details'!$O$5</definedName>
    <definedName name="Unique_County_Copy">Setting!$N$1</definedName>
    <definedName name="Col_No_Insert">Setting!$AU$1</definedName>
    <definedName name="Custom_Add_Row">Setting!$AU$4</definedName>
    <definedName name="Data_Starts">Setting!$AU$2</definedName>
    <definedName name="Dep_FirstCol_Search">Setting!$AU$18</definedName>
    <definedName name="Employment_Type">Setting!$AU$7</definedName>
    <definedName name="Working_Hours_per_Week">Setting!$AU$14</definedName>
    <definedName name="Custom_CopyPaste">Setting!$BU$1</definedName>
    <definedName name="employee">'Employee Details'!$O$5</definedName>
    <definedName name="Custom_CopyPaste_Validation">Setting!$BU$2</definedName>
    <definedName name="State_Criteria">Setting!$K$1:$K$2</definedName>
    <definedName name="Dependent_Format_Alter">Setting!$AF$2:$AO$2</definedName>
    <definedName name="Format_Heading_Copy_Paste">Setting!$AY$1</definedName>
    <definedName name="Pay_Frequency_ColNo">Setting!$AU$17</definedName>
    <definedName name="SystemCustomFields">Setting!$AU$21</definedName>
    <definedName name="Employment_Status_ColNo">Setting!$AU$10</definedName>
    <definedName name="Dependent_Format">Setting!$AF$1:$AO$2</definedName>
    <definedName name="Termination_Reason">Setting!$AU$13</definedName>
    <definedName name="City_Unique_Val">Setting!$N$2</definedName>
    <definedName name="Depen_Conversion_Range">Setting!$CK$1:$CM$1</definedName>
    <definedName name="Employee_SSN">Setting!$AU$19</definedName>
    <definedName name="Depen_FirstPrefixColNo">Setting!$CL$3</definedName>
    <definedName name="Col_Heading">Setting!$AU$3</definedName>
    <definedName name="City_Unique">Setting!$N$2:$N$5</definedName>
    <definedName name="Error_Sheet_Format_Copy">Setting!$X$1:$Y$10407</definedName>
    <definedName name="Termination_Date_Col_No">Setting!$AU$11</definedName>
    <definedName name="State_City_Data">Setting!$E$1:$F$10000</definedName>
    <definedName name="HourlyPayRate">Setting!$AU$20</definedName>
    <definedName name="Oth_Employement_Type">Setting!$AU$9</definedName>
    <definedName name="Termination_Type_Col_No">Setting!$AU$12</definedName>
    <definedName name="Pay_Type_ColNo">Setting!$AU$16</definedName>
    <definedName name="_xlnm._FilterDatabase" localSheetId="1" hidden="1">'Employee Details'!$A$4:$AQ$4</definedName>
  </definedNames>
  <calcPr calcId="124519" fullCalcOnLoad="1"/>
</workbook>
</file>

<file path=xl/styles.xml><?xml version="1.0" encoding="utf-8"?>
<styleSheet xmlns="http://schemas.openxmlformats.org/spreadsheetml/2006/main">
  <numFmts count="1">
    <numFmt numFmtId="164" formatCode="mm\/dd\/yyyy"/>
  </numFmts>
  <fonts count="21">
    <font>
      <name val="Calibri"/>
      <color rgb="FF000000"/>
      <sz val="11"/>
      <scheme val="minor"/>
    </font>
    <font>
      <name val="Arial"/>
      <b val="1"/>
      <color theme="1"/>
      <sz val="14"/>
    </font>
    <font/>
    <font>
      <name val="Arial"/>
      <b val="1"/>
      <color rgb="FF548DD4"/>
      <sz val="12"/>
    </font>
    <font>
      <name val="Arial"/>
      <b val="1"/>
      <color rgb="FF548DD4"/>
      <sz val="12"/>
      <u val="single"/>
    </font>
    <font>
      <name val="Calibri"/>
      <color rgb="FF000000"/>
      <sz val="11"/>
    </font>
    <font>
      <name val="Calibri"/>
      <b val="1"/>
      <color theme="1"/>
      <sz val="10"/>
    </font>
    <font>
      <name val="Arial"/>
      <b val="1"/>
      <color rgb="FFFF0000"/>
      <sz val="11"/>
    </font>
    <font>
      <name val="Calibri"/>
      <b val="1"/>
      <color rgb="FF000000"/>
      <sz val="10"/>
    </font>
    <font>
      <name val="Calibri"/>
      <color theme="1"/>
      <sz val="11"/>
    </font>
    <font>
      <name val="Calibri"/>
      <b val="1"/>
      <color theme="1"/>
      <sz val="11"/>
    </font>
    <font>
      <name val="Calibri"/>
      <b val="1"/>
      <color rgb="FF000000"/>
      <sz val="11"/>
    </font>
    <font>
      <name val="Calibri"/>
      <b val="1"/>
      <color theme="1"/>
      <sz val="16"/>
    </font>
    <font>
      <name val="Calibri"/>
      <color theme="1"/>
      <scheme val="minor"/>
    </font>
    <font>
      <name val="Calibri"/>
      <color rgb="FF000000"/>
      <sz val="9"/>
    </font>
    <font>
      <name val="Calibri"/>
      <b val="1"/>
      <color rgb="FF000000"/>
      <sz val="9"/>
    </font>
    <font>
      <name val="Calibri"/>
      <color theme="1"/>
      <sz val="9"/>
    </font>
    <font>
      <name val="Calibri"/>
      <b val="1"/>
      <i val="1"/>
      <color rgb="FF000000"/>
      <sz val="11"/>
    </font>
    <font>
      <name val="Calibri"/>
      <color rgb="FFFF0000"/>
      <sz val="11"/>
    </font>
    <font>
      <name val="Calibri"/>
      <color rgb="FFCC3333"/>
      <sz val="11"/>
    </font>
    <font>
      <name val="Calibri"/>
      <color rgb="FF2A00FF"/>
      <sz val="11"/>
    </font>
  </fonts>
  <fills count="9">
    <fill>
      <patternFill/>
    </fill>
    <fill>
      <patternFill patternType="lightGray"/>
    </fill>
    <fill>
      <patternFill patternType="solid">
        <fgColor theme="0"/>
        <bgColor theme="0"/>
      </patternFill>
    </fill>
    <fill>
      <patternFill patternType="solid">
        <fgColor rgb="FFC6D9F0"/>
        <bgColor rgb="FFC6D9F0"/>
      </patternFill>
    </fill>
    <fill>
      <patternFill patternType="solid">
        <fgColor rgb="FFFDE9D9"/>
        <bgColor rgb="FFFDE9D9"/>
      </patternFill>
    </fill>
    <fill>
      <patternFill patternType="solid">
        <fgColor rgb="FFC2D69B"/>
        <bgColor rgb="FFC2D69B"/>
      </patternFill>
    </fill>
    <fill>
      <patternFill patternType="solid">
        <fgColor rgb="FFFF0000"/>
        <bgColor rgb="FFFF0000"/>
      </patternFill>
    </fill>
    <fill>
      <patternFill patternType="solid">
        <fgColor rgb="FFFFFF00"/>
        <bgColor rgb="FFFFFF00"/>
      </patternFill>
    </fill>
    <fill>
      <patternFill patternType="solid">
        <fgColor rgb="FF92D050"/>
        <bgColor rgb="FF92D050"/>
      </patternFill>
    </fill>
  </fills>
  <borders count="26">
    <border/>
    <border>
      <left style="medium">
        <color rgb="FF000000"/>
      </left>
      <top style="medium">
        <color rgb="FF000000"/>
      </top>
    </border>
    <border>
      <top style="medium">
        <color rgb="FF000000"/>
      </top>
    </border>
    <border>
      <right style="medium">
        <color rgb="FF000000"/>
      </right>
      <top style="medium">
        <color rgb="FF000000"/>
      </top>
    </border>
    <border>
      <left style="medium">
        <color rgb="FF000000"/>
      </left>
    </border>
    <border>
      <right style="medium">
        <color rgb="FF000000"/>
      </right>
    </border>
    <border>
      <left style="medium">
        <color rgb="FF000000"/>
      </left>
      <bottom style="medium">
        <color rgb="FF000000"/>
      </bottom>
    </border>
    <border>
      <bottom style="medium">
        <color rgb="FF000000"/>
      </bottom>
    </border>
    <border>
      <right style="medium">
        <color rgb="FF000000"/>
      </right>
      <bottom style="medium">
        <color rgb="FF000000"/>
      </bottom>
    </border>
    <border>
      <left style="medium">
        <color rgb="FF000000"/>
      </left>
      <top style="medium">
        <color rgb="FF000000"/>
      </top>
      <bottom style="medium">
        <color rgb="FF000000"/>
      </bottom>
    </border>
    <border>
      <top style="medium">
        <color rgb="FF000000"/>
      </top>
      <bottom style="medium">
        <color rgb="FF000000"/>
      </bottom>
    </border>
    <border>
      <right style="medium">
        <color rgb="FF000000"/>
      </right>
      <top style="medium">
        <color rgb="FF000000"/>
      </top>
      <bottom style="medium">
        <color rgb="FF000000"/>
      </bottom>
    </border>
    <border>
      <left style="medium">
        <color rgb="FF000000"/>
      </left>
      <top style="medium">
        <color rgb="FF000000"/>
      </top>
      <bottom/>
    </border>
    <border>
      <right style="medium">
        <color rgb="FF000000"/>
      </right>
      <top style="medium">
        <color rgb="FF000000"/>
      </top>
      <bottom/>
    </border>
    <border>
      <left style="medium">
        <color rgb="FF000000"/>
      </left>
      <right style="thin">
        <color rgb="FF000000"/>
      </right>
      <top style="medium">
        <color rgb="FF000000"/>
      </top>
      <bottom/>
    </border>
    <border>
      <left style="thin">
        <color rgb="FF000000"/>
      </left>
      <right style="medium">
        <color rgb="FF000000"/>
      </right>
      <top style="medium">
        <color rgb="FF000000"/>
      </top>
    </border>
    <border>
      <left style="medium">
        <color rgb="FF000000"/>
      </left>
      <right style="medium">
        <color rgb="FF000000"/>
      </right>
      <top style="medium">
        <color rgb="FF000000"/>
      </top>
      <bottom style="medium">
        <color rgb="FF000000"/>
      </bottom>
    </border>
    <border>
      <left style="medium">
        <color rgb="FF000000"/>
      </left>
      <right style="thin">
        <color rgb="FF000000"/>
      </right>
      <top/>
      <bottom style="medium">
        <color rgb="FF000000"/>
      </bottom>
    </border>
    <border>
      <left style="thin">
        <color rgb="FF000000"/>
      </left>
      <right style="medium">
        <color rgb="FF000000"/>
      </right>
      <bottom style="medium">
        <color rgb="FF000000"/>
      </bottom>
    </border>
    <border>
      <left style="thin">
        <color rgb="FF000000"/>
      </left>
      <right style="thin">
        <color rgb="FF000000"/>
      </right>
      <top style="thin">
        <color rgb="FF000000"/>
      </top>
      <bottom style="thin">
        <color rgb="FF000000"/>
      </bottom>
    </border>
    <border>
      <left style="thin">
        <color rgb="FF000000"/>
      </left>
      <right/>
      <top style="thin">
        <color rgb="FF000000"/>
      </top>
      <bottom style="thin">
        <color rgb="FF000000"/>
      </bottom>
    </border>
    <border>
      <left/>
      <right/>
      <top/>
      <bottom/>
    </border>
    <border>
      <top style="medium">
        <color rgb="FF000000"/>
      </top>
      <bottom/>
    </border>
    <border>
      <left style="thin">
        <color rgb="FF000000"/>
      </left>
      <right style="thin">
        <color rgb="FF000000"/>
      </right>
      <top/>
      <bottom style="medium">
        <color rgb="FF000000"/>
      </bottom>
    </border>
    <border>
      <left style="thin">
        <color rgb="FF000000"/>
      </left>
      <right style="medium">
        <color rgb="FF000000"/>
      </right>
      <top/>
      <bottom style="medium">
        <color rgb="FF000000"/>
      </bottom>
    </border>
    <border>
      <left style="medium">
        <color rgb="FF000000"/>
      </left>
      <right style="medium">
        <color rgb="FF000000"/>
      </right>
      <top style="medium">
        <color rgb="FF000000"/>
      </top>
      <bottom/>
    </border>
  </borders>
  <cellStyleXfs count="1">
    <xf numFmtId="0" fontId="0" fillId="0" borderId="0"/>
  </cellStyleXfs>
  <cellXfs count="102">
    <xf numFmtId="0" fontId="0" fillId="0" borderId="0" applyAlignment="1" pivotButton="0" quotePrefix="0" xfId="0">
      <alignment vertical="bottom"/>
    </xf>
    <xf numFmtId="0" fontId="1" fillId="2" borderId="1" applyAlignment="1" pivotButton="0" quotePrefix="0" xfId="0">
      <alignment horizontal="center" vertical="center"/>
    </xf>
    <xf numFmtId="0" fontId="2" fillId="0" borderId="2" pivotButton="0" quotePrefix="0" xfId="0"/>
    <xf numFmtId="0" fontId="2" fillId="0" borderId="3" pivotButton="0" quotePrefix="0" xfId="0"/>
    <xf numFmtId="0" fontId="2" fillId="0" borderId="4" pivotButton="0" quotePrefix="0" xfId="0"/>
    <xf numFmtId="0" fontId="2" fillId="0" borderId="5" pivotButton="0" quotePrefix="0" xfId="0"/>
    <xf numFmtId="0" fontId="2" fillId="0" borderId="6" pivotButton="0" quotePrefix="0" xfId="0"/>
    <xf numFmtId="0" fontId="2" fillId="0" borderId="7" pivotButton="0" quotePrefix="0" xfId="0"/>
    <xf numFmtId="0" fontId="2" fillId="0" borderId="8" pivotButton="0" quotePrefix="0" xfId="0"/>
    <xf numFmtId="0" fontId="3" fillId="2" borderId="9" applyAlignment="1" pivotButton="0" quotePrefix="0" xfId="0">
      <alignment horizontal="center" vertical="center"/>
    </xf>
    <xf numFmtId="0" fontId="2" fillId="0" borderId="10" pivotButton="0" quotePrefix="0" xfId="0"/>
    <xf numFmtId="0" fontId="2" fillId="0" borderId="11" pivotButton="0" quotePrefix="0" xfId="0"/>
    <xf numFmtId="0" fontId="4" fillId="2" borderId="12" applyAlignment="1" pivotButton="0" quotePrefix="0" xfId="0">
      <alignment horizontal="center" vertical="top" wrapText="1"/>
    </xf>
    <xf numFmtId="0" fontId="2" fillId="0" borderId="13" pivotButton="0" quotePrefix="0" xfId="0"/>
    <xf numFmtId="0" fontId="5" fillId="2" borderId="1" applyAlignment="1" pivotButton="0" quotePrefix="0" xfId="0">
      <alignment horizontal="left" vertical="top" wrapText="1"/>
    </xf>
    <xf numFmtId="0" fontId="6" fillId="3" borderId="14" applyAlignment="1" pivotButton="0" quotePrefix="0" xfId="0">
      <alignment horizontal="center" vertical="center" wrapText="1"/>
    </xf>
    <xf numFmtId="1" fontId="5" fillId="0" borderId="15" applyAlignment="1" pivotButton="0" quotePrefix="0" xfId="0">
      <alignment horizontal="center" vertical="center"/>
    </xf>
    <xf numFmtId="0" fontId="6" fillId="4" borderId="16" applyAlignment="1" pivotButton="0" quotePrefix="0" xfId="0">
      <alignment horizontal="center" vertical="center" wrapText="1"/>
    </xf>
    <xf numFmtId="1" fontId="5" fillId="0" borderId="16" applyAlignment="1" pivotButton="0" quotePrefix="0" xfId="0">
      <alignment horizontal="center" vertical="center"/>
    </xf>
    <xf numFmtId="1" fontId="6" fillId="5" borderId="17" applyAlignment="1" pivotButton="0" quotePrefix="0" xfId="0">
      <alignment horizontal="center" vertical="center" wrapText="1"/>
    </xf>
    <xf numFmtId="1" fontId="5" fillId="0" borderId="18" applyAlignment="1" pivotButton="0" quotePrefix="0" xfId="0">
      <alignment horizontal="center" vertical="center"/>
    </xf>
    <xf numFmtId="49" fontId="7" fillId="0" borderId="0" pivotButton="0" quotePrefix="0" xfId="0"/>
    <xf numFmtId="49" fontId="5" fillId="0" borderId="0" pivotButton="0" quotePrefix="0" xfId="0"/>
    <xf numFmtId="0" fontId="5" fillId="0" borderId="0" pivotButton="0" quotePrefix="0" xfId="0"/>
    <xf numFmtId="164" fontId="5" fillId="0" borderId="0" pivotButton="0" quotePrefix="0" xfId="0"/>
    <xf numFmtId="2" fontId="5" fillId="0" borderId="0" pivotButton="0" quotePrefix="0" xfId="0"/>
    <xf numFmtId="2" fontId="5" fillId="0" borderId="0" applyAlignment="1" pivotButton="0" quotePrefix="0" xfId="0">
      <alignment horizontal="left" vertical="center"/>
    </xf>
    <xf numFmtId="49" fontId="8" fillId="0" borderId="0" applyAlignment="1" pivotButton="0" quotePrefix="0" xfId="0">
      <alignment vertical="center" shrinkToFit="1"/>
    </xf>
    <xf numFmtId="49" fontId="8" fillId="5" borderId="19" applyAlignment="1" pivotButton="0" quotePrefix="0" xfId="0">
      <alignment horizontal="center" vertical="center" wrapText="1"/>
    </xf>
    <xf numFmtId="49" fontId="6" fillId="3" borderId="19" applyAlignment="1" pivotButton="0" quotePrefix="0" xfId="0">
      <alignment horizontal="center" vertical="center" wrapText="1"/>
    </xf>
    <xf numFmtId="164" fontId="6" fillId="3" borderId="19" applyAlignment="1" pivotButton="0" quotePrefix="0" xfId="0">
      <alignment horizontal="center" vertical="center" wrapText="1"/>
    </xf>
    <xf numFmtId="49" fontId="6" fillId="5" borderId="19" applyAlignment="1" pivotButton="0" quotePrefix="0" xfId="0">
      <alignment horizontal="center" vertical="center" wrapText="1"/>
    </xf>
    <xf numFmtId="164" fontId="8" fillId="5" borderId="19" applyAlignment="1" pivotButton="0" quotePrefix="0" xfId="0">
      <alignment horizontal="center" vertical="center" wrapText="1"/>
    </xf>
    <xf numFmtId="2" fontId="8" fillId="5" borderId="19" applyAlignment="1" pivotButton="0" quotePrefix="0" xfId="0">
      <alignment horizontal="center" vertical="center" wrapText="1"/>
    </xf>
    <xf numFmtId="2" fontId="6" fillId="3" borderId="20" applyAlignment="1" pivotButton="0" quotePrefix="0" xfId="0">
      <alignment horizontal="center" vertical="center" wrapText="1"/>
    </xf>
    <xf numFmtId="2" fontId="6" fillId="4" borderId="19" applyAlignment="1" pivotButton="0" quotePrefix="0" xfId="0">
      <alignment horizontal="center" vertical="center" wrapText="1"/>
    </xf>
    <xf numFmtId="0" fontId="6" fillId="5" borderId="20" applyAlignment="1" pivotButton="0" quotePrefix="0" xfId="0">
      <alignment horizontal="center" vertical="center" wrapText="1"/>
    </xf>
    <xf numFmtId="0" fontId="6" fillId="4" borderId="19" applyAlignment="1" pivotButton="0" quotePrefix="0" xfId="0">
      <alignment horizontal="center" vertical="center" wrapText="1"/>
    </xf>
    <xf numFmtId="0" fontId="6" fillId="5" borderId="19" applyAlignment="1" pivotButton="0" quotePrefix="0" xfId="0">
      <alignment horizontal="center" vertical="center" wrapText="1"/>
    </xf>
    <xf numFmtId="1" fontId="6" fillId="5" borderId="19" applyAlignment="1" pivotButton="0" quotePrefix="0" xfId="0">
      <alignment horizontal="center" vertical="center" wrapText="1"/>
    </xf>
    <xf numFmtId="0" fontId="8" fillId="5" borderId="19" applyAlignment="1" pivotButton="0" quotePrefix="0" xfId="0">
      <alignment horizontal="center" vertical="center" wrapText="1"/>
    </xf>
    <xf numFmtId="49" fontId="5" fillId="0" borderId="0" applyAlignment="1" pivotButton="0" quotePrefix="0" xfId="0">
      <alignment horizontal="left" vertical="center"/>
    </xf>
    <xf numFmtId="0" fontId="5" fillId="0" borderId="0" applyAlignment="1" pivotButton="0" quotePrefix="0" xfId="0">
      <alignment horizontal="left" vertical="center"/>
    </xf>
    <xf numFmtId="164" fontId="5" fillId="0" borderId="0" applyAlignment="1" pivotButton="0" quotePrefix="0" xfId="0">
      <alignment horizontal="left" vertical="center"/>
    </xf>
    <xf numFmtId="0" fontId="9" fillId="0" borderId="0" applyAlignment="1" pivotButton="0" quotePrefix="0" xfId="0">
      <alignment horizontal="left" vertical="center"/>
    </xf>
    <xf numFmtId="0" fontId="5" fillId="0" borderId="0" applyAlignment="1" pivotButton="0" quotePrefix="0" xfId="0">
      <alignment horizontal="left"/>
    </xf>
    <xf numFmtId="0" fontId="5" fillId="6" borderId="21" pivotButton="0" quotePrefix="0" xfId="0"/>
    <xf numFmtId="0" fontId="10" fillId="0" borderId="0" pivotButton="0" quotePrefix="0" xfId="0"/>
    <xf numFmtId="0" fontId="11" fillId="0" borderId="0" pivotButton="0" quotePrefix="0" xfId="0"/>
    <xf numFmtId="0" fontId="10" fillId="5" borderId="19" pivotButton="0" quotePrefix="0" xfId="0"/>
    <xf numFmtId="0" fontId="12" fillId="5" borderId="12" applyAlignment="1" pivotButton="0" quotePrefix="0" xfId="0">
      <alignment horizontal="center" vertical="center"/>
    </xf>
    <xf numFmtId="0" fontId="2" fillId="0" borderId="22" pivotButton="0" quotePrefix="0" xfId="0"/>
    <xf numFmtId="0" fontId="9" fillId="6" borderId="21" pivotButton="0" quotePrefix="0" xfId="0"/>
    <xf numFmtId="0" fontId="13" fillId="0" borderId="0" pivotButton="0" quotePrefix="0" xfId="0"/>
    <xf numFmtId="0" fontId="12" fillId="5" borderId="9" applyAlignment="1" pivotButton="0" quotePrefix="0" xfId="0">
      <alignment horizontal="center" vertical="center"/>
    </xf>
    <xf numFmtId="49" fontId="6" fillId="0" borderId="0" applyAlignment="1" pivotButton="0" quotePrefix="0" xfId="0">
      <alignment horizontal="center" vertical="center" wrapText="1"/>
    </xf>
    <xf numFmtId="0" fontId="11" fillId="5" borderId="16" pivotButton="0" quotePrefix="0" xfId="0"/>
    <xf numFmtId="0" fontId="11" fillId="6" borderId="21" pivotButton="0" quotePrefix="0" xfId="0"/>
    <xf numFmtId="0" fontId="11" fillId="0" borderId="19" pivotButton="0" quotePrefix="0" xfId="0"/>
    <xf numFmtId="0" fontId="14" fillId="0" borderId="0" applyAlignment="1" pivotButton="0" quotePrefix="0" xfId="0">
      <alignment horizontal="left" wrapText="1"/>
    </xf>
    <xf numFmtId="0" fontId="15" fillId="7" borderId="16" pivotButton="0" quotePrefix="0" xfId="0"/>
    <xf numFmtId="0" fontId="16" fillId="0" borderId="19" pivotButton="0" quotePrefix="0" xfId="0"/>
    <xf numFmtId="0" fontId="8" fillId="5" borderId="17" applyAlignment="1" pivotButton="0" quotePrefix="0" xfId="0">
      <alignment horizontal="center" vertical="center"/>
    </xf>
    <xf numFmtId="0" fontId="8" fillId="5" borderId="23" applyAlignment="1" pivotButton="0" quotePrefix="0" xfId="0">
      <alignment horizontal="center" vertical="center"/>
    </xf>
    <xf numFmtId="0" fontId="8" fillId="5" borderId="23" applyAlignment="1" pivotButton="0" quotePrefix="0" xfId="0">
      <alignment horizontal="center" vertical="center" wrapText="1"/>
    </xf>
    <xf numFmtId="0" fontId="8" fillId="5" borderId="24" applyAlignment="1" pivotButton="0" quotePrefix="0" xfId="0">
      <alignment horizontal="center" vertical="center"/>
    </xf>
    <xf numFmtId="0" fontId="11" fillId="7" borderId="19" pivotButton="0" quotePrefix="0" xfId="0"/>
    <xf numFmtId="0" fontId="15" fillId="0" borderId="0" pivotButton="0" quotePrefix="0" xfId="0"/>
    <xf numFmtId="0" fontId="5" fillId="7" borderId="21" pivotButton="0" quotePrefix="0" xfId="0"/>
    <xf numFmtId="0" fontId="14" fillId="0" borderId="0" pivotButton="0" quotePrefix="0" xfId="0"/>
    <xf numFmtId="0" fontId="9" fillId="0" borderId="0" pivotButton="0" quotePrefix="0" xfId="0"/>
    <xf numFmtId="0" fontId="17" fillId="8" borderId="19" applyAlignment="1" pivotButton="0" quotePrefix="0" xfId="0">
      <alignment horizontal="center" vertical="top" wrapText="1"/>
    </xf>
    <xf numFmtId="0" fontId="11" fillId="0" borderId="19" applyAlignment="1" pivotButton="0" quotePrefix="0" xfId="0">
      <alignment wrapText="1"/>
    </xf>
    <xf numFmtId="0" fontId="5" fillId="0" borderId="19" applyAlignment="1" pivotButton="0" quotePrefix="0" xfId="0">
      <alignment horizontal="center" wrapText="1"/>
    </xf>
    <xf numFmtId="0" fontId="5" fillId="0" borderId="19" applyAlignment="1" pivotButton="0" quotePrefix="0" xfId="0">
      <alignment wrapText="1"/>
    </xf>
    <xf numFmtId="49" fontId="18" fillId="0" borderId="19" pivotButton="0" quotePrefix="0" xfId="0"/>
    <xf numFmtId="0" fontId="19" fillId="0" borderId="19" applyAlignment="1" pivotButton="0" quotePrefix="0" xfId="0">
      <alignment wrapText="1"/>
    </xf>
    <xf numFmtId="49" fontId="5" fillId="0" borderId="19" pivotButton="0" quotePrefix="0" xfId="0"/>
    <xf numFmtId="0" fontId="5" fillId="0" borderId="19" pivotButton="0" quotePrefix="0" xfId="0"/>
    <xf numFmtId="0" fontId="5" fillId="0" borderId="19" applyAlignment="1" pivotButton="0" quotePrefix="0" xfId="0">
      <alignment horizontal="left" wrapText="1"/>
    </xf>
    <xf numFmtId="0" fontId="18" fillId="0" borderId="19" pivotButton="0" quotePrefix="0" xfId="0"/>
    <xf numFmtId="0" fontId="11" fillId="0" borderId="19" applyAlignment="1" pivotButton="0" quotePrefix="0" xfId="0">
      <alignment horizontal="center" wrapText="1"/>
    </xf>
    <xf numFmtId="0" fontId="19" fillId="0" borderId="19" applyAlignment="1" pivotButton="0" quotePrefix="0" xfId="0">
      <alignment horizontal="left" wrapText="1"/>
    </xf>
    <xf numFmtId="1" fontId="9" fillId="0" borderId="19" applyAlignment="1" pivotButton="0" quotePrefix="0" xfId="0">
      <alignment wrapText="1"/>
    </xf>
    <xf numFmtId="0" fontId="20" fillId="0" borderId="19" pivotButton="0" quotePrefix="0" xfId="0"/>
    <xf numFmtId="49" fontId="5" fillId="0" borderId="0" applyAlignment="1" pivotButton="0" quotePrefix="0" xfId="0">
      <alignment horizontal="left" wrapText="1"/>
    </xf>
    <xf numFmtId="0" fontId="0" fillId="0" borderId="0" pivotButton="0" quotePrefix="0" xfId="0"/>
    <xf numFmtId="0" fontId="1" fillId="2" borderId="16" applyAlignment="1" pivotButton="0" quotePrefix="0" xfId="0">
      <alignment horizontal="center" vertical="center"/>
    </xf>
    <xf numFmtId="0" fontId="0" fillId="0" borderId="2" pivotButton="0" quotePrefix="0" xfId="0"/>
    <xf numFmtId="0" fontId="0" fillId="0" borderId="3" pivotButton="0" quotePrefix="0" xfId="0"/>
    <xf numFmtId="0" fontId="0" fillId="0" borderId="4" pivotButton="0" quotePrefix="0" xfId="0"/>
    <xf numFmtId="0" fontId="0" fillId="0" borderId="5" pivotButton="0" quotePrefix="0" xfId="0"/>
    <xf numFmtId="0" fontId="0" fillId="0" borderId="6" pivotButton="0" quotePrefix="0" xfId="0"/>
    <xf numFmtId="0" fontId="0" fillId="0" borderId="7" pivotButton="0" quotePrefix="0" xfId="0"/>
    <xf numFmtId="0" fontId="0" fillId="0" borderId="8" pivotButton="0" quotePrefix="0" xfId="0"/>
    <xf numFmtId="0" fontId="3" fillId="2" borderId="16" applyAlignment="1" pivotButton="0" quotePrefix="0" xfId="0">
      <alignment horizontal="center" vertical="center"/>
    </xf>
    <xf numFmtId="0" fontId="0" fillId="0" borderId="10" pivotButton="0" quotePrefix="0" xfId="0"/>
    <xf numFmtId="0" fontId="0" fillId="0" borderId="11" pivotButton="0" quotePrefix="0" xfId="0"/>
    <xf numFmtId="0" fontId="4" fillId="2" borderId="25" applyAlignment="1" pivotButton="0" quotePrefix="0" xfId="0">
      <alignment horizontal="center" vertical="top" wrapText="1"/>
    </xf>
    <xf numFmtId="0" fontId="5" fillId="2" borderId="16" applyAlignment="1" pivotButton="0" quotePrefix="0" xfId="0">
      <alignment horizontal="left" vertical="top" wrapText="1"/>
    </xf>
    <xf numFmtId="0" fontId="12" fillId="5" borderId="25" applyAlignment="1" pivotButton="0" quotePrefix="0" xfId="0">
      <alignment horizontal="center" vertical="center"/>
    </xf>
    <xf numFmtId="0" fontId="12" fillId="5" borderId="16" applyAlignment="1" pivotButton="0" quotePrefix="0" xfId="0">
      <alignment horizontal="center" vertical="center"/>
    </xf>
  </cellXfs>
  <cellStyles count="1">
    <cellStyle name="Normal" xfId="0" builtinId="0"/>
  </cell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styles" Target="styles.xml" Id="rId5"/><Relationship Type="http://schemas.openxmlformats.org/officeDocument/2006/relationships/theme" Target="theme/theme1.xml" Id="rId6"/><Relationship Type="http://schemas.microsoft.com/office/2006/relationships/vbaProject" Target="vbaProject.bin" Id="rId7"/></Relationships>
</file>

<file path=xl/comments/comment1.xml><?xml version="1.0" encoding="utf-8"?>
<comments xmlns="http://schemas.openxmlformats.org/spreadsheetml/2006/main">
  <authors>
    <author>None</author>
  </authors>
  <commentList>
    <comment ref="A1" authorId="0" shapeId="0">
      <text>
        <t>======
ID#AAABz-vzq8I
Anurag Tomar    (2026-02-07 17:11:40)
This is the template version.</t>
      </text>
    </comment>
    <comment ref="AX4" authorId="0" shapeId="0">
      <text>
        <t>======
ID#AAABz-vzq7s
Acceptable Values    (2026-02-07 17:11:40)
1. Armed Forces Service Medal Veteran
2. Disabled Veteran
3. Active Duty Wartime or Campaign Badge Veteran
4. Recently Separated Veteran
5. Decline To Answer
6. Not a Protected Veteran</t>
      </text>
    </comment>
    <comment ref="AY4" authorId="0" shapeId="0">
      <text>
        <t>======
ID#AAABz-vzq78
Acceptable Values    (2026-02-07 17:11:40)
1. Yes
2. No
3. Decline To Answer</t>
      </text>
    </comment>
    <comment ref="AZ4" authorId="0" shapeId="0">
      <text>
        <t>======
ID#AAABz-vzq7g
Acceptable Values    (2026-02-07 17:11:40)
1. ExecutiveSenior Level Officials and Managers
2. FirstMid-Level Officials and Managers
3. Professionals
4. Technicians
5. Sales Workers
6. Administrative Support Workers
7. Craft Workers
8. Operatives
9. Laborers and Helpers
10. Service Workers</t>
      </text>
    </comment>
    <comment ref="BA4" authorId="0" shapeId="0">
      <text>
        <t>======
ID#AAABz-vzq7k
Acceptable Values    (2026-02-07 17:11:40)
1. Hispanic or Latino
2. White
3. Black or African American
4. Native Hawaiian or Other Pacific Islander
5. American Indian or Alaska Native
6. Asian
7. Two or more races</t>
      </text>
    </comment>
    <comment ref="BE4" authorId="0" shapeId="0">
      <text>
        <t>======
ID#AAABz-vzq8E
Anurag Tomar    (2026-02-07 17:11:40)
Acceptable Values: Single Line text up to 256 chars</t>
      </text>
    </comment>
    <comment ref="BF4" authorId="0" shapeId="0">
      <text>
        <t>======
ID#AAABz-vzq74
Anurag Tomar    (2026-02-07 17:11:40)
Acceptable Values: Single Line text up to 256 chars</t>
      </text>
    </comment>
    <comment ref="BG4" authorId="0" shapeId="0">
      <text>
        <t>======
ID#AAABz-vzq8A
Acceptable Values    (2026-02-07 17:11:40)
1. AK
2. AL
3. AR
4. AZ
5. CA
6. CO
7. CT
8. DC
9. DE
10. FL
11. GA
12. HI
13. IA
14. ID
15. IL
16. IN
17. KS
18. KY
19. LA
20. MA
21. MD
22. ME
23. MI
24. MN
25. MO
26. MS
27. MT
28. NC
29. ND
30. NE
31. NH
32. NJ
33. NM
34. NV
35. NY
36. OH
37. OK
38. OR
39. PA
40. RI
41. SC
42. SD
43. TN
44. TX
45. UT
46. VA
47. VT
48. WA
49. WI
50. WV
51. WY</t>
      </text>
    </comment>
    <comment ref="BH4" authorId="0" shapeId="0">
      <text>
        <t>======
ID#AAABz-vzq7o
Anurag Tomar    (2026-02-07 17:11:40)
Acceptable values: Date with format MM/DD/YYYY</t>
      </text>
    </comment>
    <comment ref="BI4" authorId="0" shapeId="0">
      <text>
        <t>======
ID#AAABz-vzq70
Acceptable Values    (2026-02-07 17:11:40)
1. Van Go
2. Smooth Operators
3. Path Finders
4. Prime Runners</t>
      </text>
    </comment>
    <comment ref="BJ4" authorId="0" shapeId="0">
      <text>
        <t>======
ID#AAABz-vzq7c
Acceptable Values    (2026-02-07 17:11:40)
1. Womens XS
2. Womens S
3. Womens M
4. Womens L
5. Womens XL
6. Womens 2XL
7. Mens XS
8. Mens S
9. Mens M
10. Mens L
11. Mens XL
12. Mens 2XL
13. Mens 3XL
14. Mens 4XL
15. Mens 5XL</t>
      </text>
    </comment>
    <comment ref="BK4" authorId="0" shapeId="0">
      <text>
        <t>======
ID#AAABz-vzq7w
Acceptable Values    (2026-02-07 17:11:40)
1. Mens S
2. Mens M
3. Mens L
4. Mens XL
5. Mens 2XL
6. Mens 3XL
7. Womens XS
8. Womens S
9. Womens M
10. Womens L
11. Womens XL
12. Womens 2XL</t>
      </text>
    </comment>
  </commentList>
</comment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2.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5">
    <outlinePr summaryBelow="1" summaryRight="1"/>
    <pageSetUpPr/>
  </sheetPr>
  <dimension ref="A1:I26"/>
  <sheetViews>
    <sheetView workbookViewId="0">
      <selection activeCell="A1" sqref="A1"/>
    </sheetView>
  </sheetViews>
  <sheetFormatPr baseColWidth="8" defaultColWidth="14.43" defaultRowHeight="15" customHeight="1"/>
  <cols>
    <col width="14.71" customWidth="1" style="86" min="1" max="1"/>
    <col width="15" customWidth="1" style="86" min="2" max="2"/>
    <col width="14.14" customWidth="1" style="86" min="3" max="3"/>
    <col width="14.43" customWidth="1" style="86" min="4" max="5"/>
    <col width="17.43" customWidth="1" style="86" min="6" max="6"/>
    <col width="8.859999999999999" customWidth="1" style="86" min="7" max="8"/>
    <col width="17.14" customWidth="1" style="86" min="9" max="9"/>
    <col width="8.859999999999999" customWidth="1" style="86" min="10" max="26"/>
  </cols>
  <sheetData>
    <row r="1" ht="14.25" customHeight="1" s="86">
      <c r="A1" s="87" t="inlineStr">
        <is>
          <t>How to use this template.</t>
        </is>
      </c>
      <c r="B1" s="88" t="n"/>
      <c r="C1" s="88" t="n"/>
      <c r="D1" s="88" t="n"/>
      <c r="E1" s="88" t="n"/>
      <c r="F1" s="89" t="n"/>
    </row>
    <row r="2" ht="14.25" customHeight="1" s="86">
      <c r="A2" s="90" t="n"/>
      <c r="F2" s="91" t="n"/>
    </row>
    <row r="3" ht="14.25" customHeight="1" s="86">
      <c r="A3" s="92" t="n"/>
      <c r="B3" s="93" t="n"/>
      <c r="C3" s="93" t="n"/>
      <c r="D3" s="93" t="n"/>
      <c r="E3" s="93" t="n"/>
      <c r="F3" s="94" t="n"/>
    </row>
    <row r="4" ht="16.5" customHeight="1" s="86">
      <c r="A4" s="95" t="inlineStr">
        <is>
          <t>Instructions</t>
        </is>
      </c>
      <c r="B4" s="96" t="n"/>
      <c r="C4" s="96" t="n"/>
      <c r="D4" s="96" t="n"/>
      <c r="E4" s="96" t="n"/>
      <c r="F4" s="97" t="n"/>
      <c r="H4" s="98" t="inlineStr">
        <is>
          <t xml:space="preserve">Legend
</t>
        </is>
      </c>
      <c r="I4" s="89" t="n"/>
    </row>
    <row r="5" ht="15" customHeight="1" s="86">
      <c r="A5" s="99" t="inlineStr">
        <is>
          <t>1. Each row will represent one employee in the organization.
2. Mandatory fields are marked by a red asterisk '*', however there may be some non-marked fields that are still mandatory on your exchange.                                                                                                                        3. Conditional fields are marked by a double red asterisk '**'.
4. Please do not change the contents of cell A1.
5. Please do not change the position and content of the column headers.
6. Dependent information will only be added for new employees. Dependent information for each employee can be manually updated within the employee section.
7. If Ancillary products are available on your exchange, please add 'Gender' and 'Annual Salary' information against each employee to enable system to calculate premium value for these products. 
8. You can use the Add/Remove Custom Column button to add/remove custom field column(s) that are used in the organization but are not present in the template.
9. Use the Add/Remove Dependent Column button to add/remove column(s) for employee's dependent specific data.
10. The Validate button will help you identify errors prior to the actual upload.
11. Each input field carries a tooltip with help text suggesting a valid input.
12. Once you upload a completed template, you can download existing employees census from the portal as well. This download census feature is available on the Employee Listing page.
13. NOTE: While copying data from a different source and pasting on this template, please ensure to copy &amp; paste all employees details first, then custom fields and dependent data separately (if required). Pasting data for the entire employee row at once might lead to erroneous conditions.
14. IMPORTANT: Only following characters are allowed to be used in the template while adding 'Custom Field' details: 
A-Z a-z 0-9 , ` ' ! # &amp; ( ) . : ; = ? @ [ ^ _ { | } ~ - ] / space                                                                                                    15. You must enter a valid Employer Identification Number for each employee when uploading the employee census for one or more employers from the Manage Employers page. When uploading the employee census for a particular employer from the respective client's Manage Employees page, you are not required to enter their Employer Identification Number for their employees.</t>
        </is>
      </c>
      <c r="B5" s="88" t="n"/>
      <c r="C5" s="88" t="n"/>
      <c r="D5" s="88" t="n"/>
      <c r="E5" s="88" t="n"/>
      <c r="F5" s="89" t="n"/>
      <c r="H5" s="15" t="n"/>
      <c r="I5" s="16" t="inlineStr">
        <is>
          <t>Mandatory (*)</t>
        </is>
      </c>
    </row>
    <row r="6" ht="14.25" customHeight="1" s="86">
      <c r="A6" s="90" t="n"/>
      <c r="F6" s="91" t="n"/>
      <c r="H6" s="17" t="n"/>
      <c r="I6" s="18" t="inlineStr">
        <is>
          <t>Conditional(**)</t>
        </is>
      </c>
    </row>
    <row r="7" ht="14.25" customHeight="1" s="86">
      <c r="A7" s="90" t="n"/>
      <c r="F7" s="91" t="n"/>
      <c r="H7" s="19" t="n"/>
      <c r="I7" s="20" t="inlineStr">
        <is>
          <t>Optional</t>
        </is>
      </c>
    </row>
    <row r="8" ht="14.25" customHeight="1" s="86">
      <c r="A8" s="90" t="n"/>
      <c r="F8" s="91" t="n"/>
    </row>
    <row r="9" ht="14.25" customHeight="1" s="86">
      <c r="A9" s="90" t="n"/>
      <c r="F9" s="91" t="n"/>
    </row>
    <row r="10" ht="14.25" customHeight="1" s="86">
      <c r="A10" s="90" t="n"/>
      <c r="F10" s="91" t="n"/>
    </row>
    <row r="11" ht="14.25" customHeight="1" s="86">
      <c r="A11" s="90" t="n"/>
      <c r="F11" s="91" t="n"/>
    </row>
    <row r="12" ht="14.25" customHeight="1" s="86">
      <c r="A12" s="90" t="n"/>
      <c r="F12" s="91" t="n"/>
    </row>
    <row r="13" ht="14.25" customHeight="1" s="86">
      <c r="A13" s="90" t="n"/>
      <c r="F13" s="91" t="n"/>
    </row>
    <row r="14" ht="14.25" customHeight="1" s="86">
      <c r="A14" s="90" t="n"/>
      <c r="F14" s="91" t="n"/>
    </row>
    <row r="15" ht="14.25" customHeight="1" s="86">
      <c r="A15" s="90" t="n"/>
      <c r="F15" s="91" t="n"/>
    </row>
    <row r="16" ht="14.25" customHeight="1" s="86">
      <c r="A16" s="90" t="n"/>
      <c r="F16" s="91" t="n"/>
    </row>
    <row r="17" ht="14.25" customHeight="1" s="86">
      <c r="A17" s="90" t="n"/>
      <c r="F17" s="91" t="n"/>
    </row>
    <row r="18" ht="14.25" customHeight="1" s="86">
      <c r="A18" s="90" t="n"/>
      <c r="F18" s="91" t="n"/>
    </row>
    <row r="19" ht="14.25" customHeight="1" s="86">
      <c r="A19" s="90" t="n"/>
      <c r="F19" s="91" t="n"/>
    </row>
    <row r="20" ht="14.25" customHeight="1" s="86">
      <c r="A20" s="90" t="n"/>
      <c r="F20" s="91" t="n"/>
    </row>
    <row r="21" ht="14.25" customHeight="1" s="86">
      <c r="A21" s="90" t="n"/>
      <c r="F21" s="91" t="n"/>
    </row>
    <row r="22" ht="14.25" customHeight="1" s="86">
      <c r="A22" s="90" t="n"/>
      <c r="F22" s="91" t="n"/>
    </row>
    <row r="23" ht="14.25" customHeight="1" s="86">
      <c r="A23" s="90" t="n"/>
      <c r="F23" s="91" t="n"/>
    </row>
    <row r="24" ht="14.25" customHeight="1" s="86">
      <c r="A24" s="90" t="n"/>
      <c r="F24" s="91" t="n"/>
    </row>
    <row r="25" ht="14.25" customHeight="1" s="86">
      <c r="A25" s="90" t="n"/>
      <c r="F25" s="91" t="n"/>
    </row>
    <row r="26" ht="93.75" customHeight="1" s="86">
      <c r="A26" s="92" t="n"/>
      <c r="B26" s="93" t="n"/>
      <c r="C26" s="93" t="n"/>
      <c r="D26" s="93" t="n"/>
      <c r="E26" s="93" t="n"/>
      <c r="F26" s="94" t="n"/>
    </row>
    <row r="27" ht="15" customHeight="1" s="86"/>
    <row r="28" ht="14.25" customHeight="1" s="86"/>
    <row r="29" ht="14.25" customHeight="1" s="86"/>
    <row r="30" ht="14.25" customHeight="1" s="86"/>
    <row r="31" ht="14.25" customHeight="1" s="86"/>
    <row r="32" ht="14.25" customHeight="1" s="86"/>
    <row r="33" ht="14.25" customHeight="1" s="86"/>
    <row r="34" ht="14.25" customHeight="1" s="86"/>
    <row r="35" ht="14.25" customHeight="1" s="86"/>
    <row r="36" ht="14.25" customHeight="1" s="86"/>
    <row r="37" ht="14.25" customHeight="1" s="86"/>
    <row r="38" ht="14.25" customHeight="1" s="86"/>
    <row r="39" ht="14.25" customHeight="1" s="86"/>
    <row r="40" ht="14.25" customHeight="1" s="86"/>
    <row r="41" ht="14.25" customHeight="1" s="86"/>
    <row r="42" ht="14.25" customHeight="1" s="86"/>
    <row r="43" ht="14.25" customHeight="1" s="86"/>
    <row r="44" ht="14.25" customHeight="1" s="86"/>
    <row r="45" ht="14.25" customHeight="1" s="86"/>
    <row r="46" ht="14.25" customHeight="1" s="86"/>
    <row r="47" ht="14.25" customHeight="1" s="86"/>
    <row r="48" ht="14.25" customHeight="1" s="86"/>
    <row r="49" ht="14.25" customHeight="1" s="86"/>
    <row r="50" ht="14.25" customHeight="1" s="86"/>
    <row r="51" ht="14.25" customHeight="1" s="86"/>
    <row r="52" ht="14.25" customHeight="1" s="86"/>
    <row r="53" ht="14.25" customHeight="1" s="86"/>
    <row r="54" ht="14.25" customHeight="1" s="86"/>
    <row r="55" ht="14.25" customHeight="1" s="86"/>
    <row r="56" ht="14.25" customHeight="1" s="86"/>
    <row r="57" ht="14.25" customHeight="1" s="86"/>
    <row r="58" ht="14.25" customHeight="1" s="86"/>
    <row r="59" ht="14.25" customHeight="1" s="86"/>
    <row r="60" ht="14.25" customHeight="1" s="86"/>
    <row r="61" ht="14.25" customHeight="1" s="86"/>
    <row r="62" ht="14.25" customHeight="1" s="86"/>
    <row r="63" ht="14.25" customHeight="1" s="86"/>
    <row r="64" ht="14.25" customHeight="1" s="86"/>
    <row r="65" ht="14.25" customHeight="1" s="86"/>
    <row r="66" ht="14.25" customHeight="1" s="86"/>
    <row r="67" ht="14.25" customHeight="1" s="86"/>
    <row r="68" ht="14.25" customHeight="1" s="86"/>
    <row r="69" ht="14.25" customHeight="1" s="86"/>
    <row r="70" ht="14.25" customHeight="1" s="86"/>
    <row r="71" ht="14.25" customHeight="1" s="86"/>
    <row r="72" ht="14.25" customHeight="1" s="86"/>
    <row r="73" ht="14.25" customHeight="1" s="86"/>
    <row r="74" ht="14.25" customHeight="1" s="86"/>
    <row r="75" ht="14.25" customHeight="1" s="86"/>
    <row r="76" ht="14.25" customHeight="1" s="86"/>
    <row r="77" ht="14.25" customHeight="1" s="86"/>
    <row r="78" ht="14.25" customHeight="1" s="86"/>
    <row r="79" ht="14.25" customHeight="1" s="86"/>
    <row r="80" ht="14.25" customHeight="1" s="86"/>
    <row r="81" ht="14.25" customHeight="1" s="86"/>
    <row r="82" ht="14.25" customHeight="1" s="86"/>
    <row r="83" ht="14.25" customHeight="1" s="86"/>
    <row r="84" ht="14.25" customHeight="1" s="86"/>
    <row r="85" ht="14.25" customHeight="1" s="86"/>
    <row r="86" ht="14.25" customHeight="1" s="86"/>
    <row r="87" ht="14.25" customHeight="1" s="86"/>
    <row r="88" ht="14.25" customHeight="1" s="86"/>
    <row r="89" ht="14.25" customHeight="1" s="86"/>
    <row r="90" ht="14.25" customHeight="1" s="86"/>
    <row r="91" ht="14.25" customHeight="1" s="86"/>
    <row r="92" ht="14.25" customHeight="1" s="86"/>
    <row r="93" ht="14.25" customHeight="1" s="86"/>
    <row r="94" ht="14.25" customHeight="1" s="86"/>
    <row r="95" ht="14.25" customHeight="1" s="86"/>
    <row r="96" ht="14.25" customHeight="1" s="86"/>
    <row r="97" ht="14.25" customHeight="1" s="86"/>
    <row r="98" ht="14.25" customHeight="1" s="86"/>
    <row r="99" ht="14.25" customHeight="1" s="86"/>
    <row r="100" ht="14.25" customHeight="1" s="86"/>
    <row r="101" ht="14.25" customHeight="1" s="86"/>
    <row r="102" ht="14.25" customHeight="1" s="86"/>
    <row r="103" ht="14.25" customHeight="1" s="86"/>
    <row r="104" ht="14.25" customHeight="1" s="86"/>
    <row r="105" ht="14.25" customHeight="1" s="86"/>
    <row r="106" ht="14.25" customHeight="1" s="86"/>
    <row r="107" ht="14.25" customHeight="1" s="86"/>
    <row r="108" ht="14.25" customHeight="1" s="86"/>
    <row r="109" ht="14.25" customHeight="1" s="86"/>
    <row r="110" ht="14.25" customHeight="1" s="86"/>
    <row r="111" ht="14.25" customHeight="1" s="86"/>
    <row r="112" ht="14.25" customHeight="1" s="86"/>
    <row r="113" ht="14.25" customHeight="1" s="86"/>
    <row r="114" ht="14.25" customHeight="1" s="86"/>
    <row r="115" ht="14.25" customHeight="1" s="86"/>
    <row r="116" ht="14.25" customHeight="1" s="86"/>
    <row r="117" ht="14.25" customHeight="1" s="86"/>
    <row r="118" ht="14.25" customHeight="1" s="86"/>
    <row r="119" ht="14.25" customHeight="1" s="86"/>
    <row r="120" ht="14.25" customHeight="1" s="86"/>
    <row r="121" ht="14.25" customHeight="1" s="86"/>
    <row r="122" ht="14.25" customHeight="1" s="86"/>
    <row r="123" ht="14.25" customHeight="1" s="86"/>
    <row r="124" ht="14.25" customHeight="1" s="86"/>
    <row r="125" ht="14.25" customHeight="1" s="86"/>
    <row r="126" ht="14.25" customHeight="1" s="86"/>
    <row r="127" ht="14.25" customHeight="1" s="86"/>
    <row r="128" ht="14.25" customHeight="1" s="86"/>
    <row r="129" ht="14.25" customHeight="1" s="86"/>
    <row r="130" ht="14.25" customHeight="1" s="86"/>
    <row r="131" ht="14.25" customHeight="1" s="86"/>
    <row r="132" ht="14.25" customHeight="1" s="86"/>
    <row r="133" ht="14.25" customHeight="1" s="86"/>
    <row r="134" ht="14.25" customHeight="1" s="86"/>
    <row r="135" ht="14.25" customHeight="1" s="86"/>
    <row r="136" ht="14.25" customHeight="1" s="86"/>
    <row r="137" ht="14.25" customHeight="1" s="86"/>
    <row r="138" ht="14.25" customHeight="1" s="86"/>
    <row r="139" ht="14.25" customHeight="1" s="86"/>
    <row r="140" ht="14.25" customHeight="1" s="86"/>
    <row r="141" ht="14.25" customHeight="1" s="86"/>
    <row r="142" ht="14.25" customHeight="1" s="86"/>
    <row r="143" ht="14.25" customHeight="1" s="86"/>
    <row r="144" ht="14.25" customHeight="1" s="86"/>
    <row r="145" ht="14.25" customHeight="1" s="86"/>
    <row r="146" ht="14.25" customHeight="1" s="86"/>
    <row r="147" ht="14.25" customHeight="1" s="86"/>
    <row r="148" ht="14.25" customHeight="1" s="86"/>
    <row r="149" ht="14.25" customHeight="1" s="86"/>
    <row r="150" ht="14.25" customHeight="1" s="86"/>
    <row r="151" ht="14.25" customHeight="1" s="86"/>
    <row r="152" ht="14.25" customHeight="1" s="86"/>
    <row r="153" ht="14.25" customHeight="1" s="86"/>
    <row r="154" ht="14.25" customHeight="1" s="86"/>
    <row r="155" ht="14.25" customHeight="1" s="86"/>
    <row r="156" ht="14.25" customHeight="1" s="86"/>
    <row r="157" ht="14.25" customHeight="1" s="86"/>
    <row r="158" ht="14.25" customHeight="1" s="86"/>
    <row r="159" ht="14.25" customHeight="1" s="86"/>
    <row r="160" ht="14.25" customHeight="1" s="86"/>
    <row r="161" ht="14.25" customHeight="1" s="86"/>
    <row r="162" ht="14.25" customHeight="1" s="86"/>
    <row r="163" ht="14.25" customHeight="1" s="86"/>
    <row r="164" ht="14.25" customHeight="1" s="86"/>
    <row r="165" ht="14.25" customHeight="1" s="86"/>
    <row r="166" ht="14.25" customHeight="1" s="86"/>
    <row r="167" ht="14.25" customHeight="1" s="86"/>
    <row r="168" ht="14.25" customHeight="1" s="86"/>
    <row r="169" ht="14.25" customHeight="1" s="86"/>
    <row r="170" ht="14.25" customHeight="1" s="86"/>
    <row r="171" ht="14.25" customHeight="1" s="86"/>
    <row r="172" ht="14.25" customHeight="1" s="86"/>
    <row r="173" ht="14.25" customHeight="1" s="86"/>
    <row r="174" ht="14.25" customHeight="1" s="86"/>
    <row r="175" ht="14.25" customHeight="1" s="86"/>
    <row r="176" ht="14.25" customHeight="1" s="86"/>
    <row r="177" ht="14.25" customHeight="1" s="86"/>
    <row r="178" ht="14.25" customHeight="1" s="86"/>
    <row r="179" ht="14.25" customHeight="1" s="86"/>
    <row r="180" ht="14.25" customHeight="1" s="86"/>
    <row r="181" ht="14.25" customHeight="1" s="86"/>
    <row r="182" ht="14.25" customHeight="1" s="86"/>
    <row r="183" ht="14.25" customHeight="1" s="86"/>
    <row r="184" ht="14.25" customHeight="1" s="86"/>
    <row r="185" ht="14.25" customHeight="1" s="86"/>
    <row r="186" ht="14.25" customHeight="1" s="86"/>
    <row r="187" ht="14.25" customHeight="1" s="86"/>
    <row r="188" ht="14.25" customHeight="1" s="86"/>
    <row r="189" ht="14.25" customHeight="1" s="86"/>
    <row r="190" ht="14.25" customHeight="1" s="86"/>
    <row r="191" ht="14.25" customHeight="1" s="86"/>
    <row r="192" ht="14.25" customHeight="1" s="86"/>
    <row r="193" ht="14.25" customHeight="1" s="86"/>
    <row r="194" ht="14.25" customHeight="1" s="86"/>
    <row r="195" ht="14.25" customHeight="1" s="86"/>
    <row r="196" ht="14.25" customHeight="1" s="86"/>
    <row r="197" ht="14.25" customHeight="1" s="86"/>
    <row r="198" ht="14.25" customHeight="1" s="86"/>
    <row r="199" ht="14.25" customHeight="1" s="86"/>
    <row r="200" ht="14.25" customHeight="1" s="86"/>
    <row r="201" ht="14.25" customHeight="1" s="86"/>
    <row r="202" ht="14.25" customHeight="1" s="86"/>
    <row r="203" ht="14.25" customHeight="1" s="86"/>
    <row r="204" ht="14.25" customHeight="1" s="86"/>
    <row r="205" ht="14.25" customHeight="1" s="86"/>
    <row r="206" ht="14.25" customHeight="1" s="86"/>
    <row r="207" ht="14.25" customHeight="1" s="86"/>
    <row r="208" ht="14.25" customHeight="1" s="86"/>
    <row r="209" ht="14.25" customHeight="1" s="86"/>
    <row r="210" ht="14.25" customHeight="1" s="86"/>
    <row r="211" ht="14.25" customHeight="1" s="86"/>
    <row r="212" ht="14.25" customHeight="1" s="86"/>
    <row r="213" ht="14.25" customHeight="1" s="86"/>
    <row r="214" ht="14.25" customHeight="1" s="86"/>
    <row r="215" ht="14.25" customHeight="1" s="86"/>
    <row r="216" ht="14.25" customHeight="1" s="86"/>
    <row r="217" ht="14.25" customHeight="1" s="86"/>
    <row r="218" ht="14.25" customHeight="1" s="86"/>
    <row r="219" ht="14.25" customHeight="1" s="86"/>
    <row r="220" ht="14.25" customHeight="1" s="86"/>
    <row r="221" ht="14.25" customHeight="1" s="86"/>
    <row r="222" ht="14.25" customHeight="1" s="86"/>
    <row r="223" ht="14.25" customHeight="1" s="86"/>
    <row r="224" ht="14.25" customHeight="1" s="86"/>
    <row r="225" ht="14.25" customHeight="1" s="86"/>
    <row r="226" ht="14.25" customHeight="1" s="86"/>
    <row r="227" ht="14.25" customHeight="1" s="86"/>
    <row r="228" ht="14.25" customHeight="1" s="86"/>
    <row r="229" ht="14.25" customHeight="1" s="86"/>
    <row r="230" ht="14.25" customHeight="1" s="86"/>
    <row r="231" ht="14.25" customHeight="1" s="86"/>
    <row r="232" ht="14.25" customHeight="1" s="86"/>
    <row r="233" ht="14.25" customHeight="1" s="86"/>
    <row r="234" ht="14.25" customHeight="1" s="86"/>
    <row r="235" ht="14.25" customHeight="1" s="86"/>
    <row r="236" ht="14.25" customHeight="1" s="86"/>
    <row r="237" ht="14.25" customHeight="1" s="86"/>
    <row r="238" ht="14.25" customHeight="1" s="86"/>
    <row r="239" ht="14.25" customHeight="1" s="86"/>
    <row r="240" ht="14.25" customHeight="1" s="86"/>
    <row r="241" ht="14.25" customHeight="1" s="86"/>
    <row r="242" ht="14.25" customHeight="1" s="86"/>
    <row r="243" ht="14.25" customHeight="1" s="86"/>
    <row r="244" ht="14.25" customHeight="1" s="86"/>
    <row r="245" ht="14.25" customHeight="1" s="86"/>
    <row r="246" ht="14.25" customHeight="1" s="86"/>
    <row r="247" ht="14.25" customHeight="1" s="86"/>
    <row r="248" ht="14.25" customHeight="1" s="86"/>
    <row r="249" ht="14.25" customHeight="1" s="86"/>
    <row r="250" ht="14.25" customHeight="1" s="86"/>
    <row r="251" ht="14.25" customHeight="1" s="86"/>
    <row r="252" ht="14.25" customHeight="1" s="86"/>
    <row r="253" ht="14.25" customHeight="1" s="86"/>
    <row r="254" ht="14.25" customHeight="1" s="86"/>
    <row r="255" ht="14.25" customHeight="1" s="86"/>
    <row r="256" ht="14.25" customHeight="1" s="86"/>
    <row r="257" ht="14.25" customHeight="1" s="86"/>
    <row r="258" ht="14.25" customHeight="1" s="86"/>
    <row r="259" ht="14.25" customHeight="1" s="86"/>
    <row r="260" ht="14.25" customHeight="1" s="86"/>
    <row r="261" ht="14.25" customHeight="1" s="86"/>
    <row r="262" ht="14.25" customHeight="1" s="86"/>
    <row r="263" ht="14.25" customHeight="1" s="86"/>
    <row r="264" ht="14.25" customHeight="1" s="86"/>
    <row r="265" ht="14.25" customHeight="1" s="86"/>
    <row r="266" ht="14.25" customHeight="1" s="86"/>
    <row r="267" ht="14.25" customHeight="1" s="86"/>
    <row r="268" ht="14.25" customHeight="1" s="86"/>
    <row r="269" ht="14.25" customHeight="1" s="86"/>
    <row r="270" ht="14.25" customHeight="1" s="86"/>
    <row r="271" ht="14.25" customHeight="1" s="86"/>
    <row r="272" ht="14.25" customHeight="1" s="86"/>
    <row r="273" ht="14.25" customHeight="1" s="86"/>
    <row r="274" ht="14.25" customHeight="1" s="86"/>
    <row r="275" ht="14.25" customHeight="1" s="86"/>
    <row r="276" ht="14.25" customHeight="1" s="86"/>
    <row r="277" ht="14.25" customHeight="1" s="86"/>
    <row r="278" ht="14.25" customHeight="1" s="86"/>
    <row r="279" ht="14.25" customHeight="1" s="86"/>
    <row r="280" ht="14.25" customHeight="1" s="86"/>
    <row r="281" ht="14.25" customHeight="1" s="86"/>
    <row r="282" ht="14.25" customHeight="1" s="86"/>
    <row r="283" ht="14.25" customHeight="1" s="86"/>
    <row r="284" ht="14.25" customHeight="1" s="86"/>
    <row r="285" ht="14.25" customHeight="1" s="86"/>
    <row r="286" ht="14.25" customHeight="1" s="86"/>
    <row r="287" ht="14.25" customHeight="1" s="86"/>
    <row r="288" ht="14.25" customHeight="1" s="86"/>
    <row r="289" ht="14.25" customHeight="1" s="86"/>
    <row r="290" ht="14.25" customHeight="1" s="86"/>
    <row r="291" ht="14.25" customHeight="1" s="86"/>
    <row r="292" ht="14.25" customHeight="1" s="86"/>
    <row r="293" ht="14.25" customHeight="1" s="86"/>
    <row r="294" ht="14.25" customHeight="1" s="86"/>
    <row r="295" ht="14.25" customHeight="1" s="86"/>
    <row r="296" ht="14.25" customHeight="1" s="86"/>
    <row r="297" ht="14.25" customHeight="1" s="86"/>
    <row r="298" ht="14.25" customHeight="1" s="86"/>
    <row r="299" ht="14.25" customHeight="1" s="86"/>
    <row r="300" ht="14.25" customHeight="1" s="86"/>
    <row r="301" ht="14.25" customHeight="1" s="86"/>
    <row r="302" ht="14.25" customHeight="1" s="86"/>
    <row r="303" ht="14.25" customHeight="1" s="86"/>
    <row r="304" ht="14.25" customHeight="1" s="86"/>
    <row r="305" ht="14.25" customHeight="1" s="86"/>
    <row r="306" ht="14.25" customHeight="1" s="86"/>
    <row r="307" ht="14.25" customHeight="1" s="86"/>
    <row r="308" ht="14.25" customHeight="1" s="86"/>
    <row r="309" ht="14.25" customHeight="1" s="86"/>
    <row r="310" ht="14.25" customHeight="1" s="86"/>
    <row r="311" ht="14.25" customHeight="1" s="86"/>
    <row r="312" ht="14.25" customHeight="1" s="86"/>
    <row r="313" ht="14.25" customHeight="1" s="86"/>
    <row r="314" ht="14.25" customHeight="1" s="86"/>
    <row r="315" ht="14.25" customHeight="1" s="86"/>
    <row r="316" ht="14.25" customHeight="1" s="86"/>
    <row r="317" ht="14.25" customHeight="1" s="86"/>
    <row r="318" ht="14.25" customHeight="1" s="86"/>
    <row r="319" ht="14.25" customHeight="1" s="86"/>
    <row r="320" ht="14.25" customHeight="1" s="86"/>
    <row r="321" ht="14.25" customHeight="1" s="86"/>
    <row r="322" ht="14.25" customHeight="1" s="86"/>
    <row r="323" ht="14.25" customHeight="1" s="86"/>
    <row r="324" ht="14.25" customHeight="1" s="86"/>
    <row r="325" ht="14.25" customHeight="1" s="86"/>
    <row r="326" ht="14.25" customHeight="1" s="86"/>
    <row r="327" ht="14.25" customHeight="1" s="86"/>
    <row r="328" ht="14.25" customHeight="1" s="86"/>
    <row r="329" ht="14.25" customHeight="1" s="86"/>
    <row r="330" ht="14.25" customHeight="1" s="86"/>
    <row r="331" ht="14.25" customHeight="1" s="86"/>
    <row r="332" ht="14.25" customHeight="1" s="86"/>
    <row r="333" ht="14.25" customHeight="1" s="86"/>
    <row r="334" ht="14.25" customHeight="1" s="86"/>
    <row r="335" ht="14.25" customHeight="1" s="86"/>
    <row r="336" ht="14.25" customHeight="1" s="86"/>
    <row r="337" ht="14.25" customHeight="1" s="86"/>
    <row r="338" ht="14.25" customHeight="1" s="86"/>
    <row r="339" ht="14.25" customHeight="1" s="86"/>
    <row r="340" ht="14.25" customHeight="1" s="86"/>
    <row r="341" ht="14.25" customHeight="1" s="86"/>
    <row r="342" ht="14.25" customHeight="1" s="86"/>
    <row r="343" ht="14.25" customHeight="1" s="86"/>
    <row r="344" ht="14.25" customHeight="1" s="86"/>
    <row r="345" ht="14.25" customHeight="1" s="86"/>
    <row r="346" ht="14.25" customHeight="1" s="86"/>
    <row r="347" ht="14.25" customHeight="1" s="86"/>
    <row r="348" ht="14.25" customHeight="1" s="86"/>
    <row r="349" ht="14.25" customHeight="1" s="86"/>
    <row r="350" ht="14.25" customHeight="1" s="86"/>
    <row r="351" ht="14.25" customHeight="1" s="86"/>
    <row r="352" ht="14.25" customHeight="1" s="86"/>
    <row r="353" ht="14.25" customHeight="1" s="86"/>
    <row r="354" ht="14.25" customHeight="1" s="86"/>
    <row r="355" ht="14.25" customHeight="1" s="86"/>
    <row r="356" ht="14.25" customHeight="1" s="86"/>
    <row r="357" ht="14.25" customHeight="1" s="86"/>
    <row r="358" ht="14.25" customHeight="1" s="86"/>
    <row r="359" ht="14.25" customHeight="1" s="86"/>
    <row r="360" ht="14.25" customHeight="1" s="86"/>
    <row r="361" ht="14.25" customHeight="1" s="86"/>
    <row r="362" ht="14.25" customHeight="1" s="86"/>
    <row r="363" ht="14.25" customHeight="1" s="86"/>
    <row r="364" ht="14.25" customHeight="1" s="86"/>
    <row r="365" ht="14.25" customHeight="1" s="86"/>
    <row r="366" ht="14.25" customHeight="1" s="86"/>
    <row r="367" ht="14.25" customHeight="1" s="86"/>
    <row r="368" ht="14.25" customHeight="1" s="86"/>
    <row r="369" ht="14.25" customHeight="1" s="86"/>
    <row r="370" ht="14.25" customHeight="1" s="86"/>
    <row r="371" ht="14.25" customHeight="1" s="86"/>
    <row r="372" ht="14.25" customHeight="1" s="86"/>
    <row r="373" ht="14.25" customHeight="1" s="86"/>
    <row r="374" ht="14.25" customHeight="1" s="86"/>
    <row r="375" ht="14.25" customHeight="1" s="86"/>
    <row r="376" ht="14.25" customHeight="1" s="86"/>
    <row r="377" ht="14.25" customHeight="1" s="86"/>
    <row r="378" ht="14.25" customHeight="1" s="86"/>
    <row r="379" ht="14.25" customHeight="1" s="86"/>
    <row r="380" ht="14.25" customHeight="1" s="86"/>
    <row r="381" ht="14.25" customHeight="1" s="86"/>
    <row r="382" ht="14.25" customHeight="1" s="86"/>
    <row r="383" ht="14.25" customHeight="1" s="86"/>
    <row r="384" ht="14.25" customHeight="1" s="86"/>
    <row r="385" ht="14.25" customHeight="1" s="86"/>
    <row r="386" ht="14.25" customHeight="1" s="86"/>
    <row r="387" ht="14.25" customHeight="1" s="86"/>
    <row r="388" ht="14.25" customHeight="1" s="86"/>
    <row r="389" ht="14.25" customHeight="1" s="86"/>
    <row r="390" ht="14.25" customHeight="1" s="86"/>
    <row r="391" ht="14.25" customHeight="1" s="86"/>
    <row r="392" ht="14.25" customHeight="1" s="86"/>
    <row r="393" ht="14.25" customHeight="1" s="86"/>
    <row r="394" ht="14.25" customHeight="1" s="86"/>
    <row r="395" ht="14.25" customHeight="1" s="86"/>
    <row r="396" ht="14.25" customHeight="1" s="86"/>
    <row r="397" ht="14.25" customHeight="1" s="86"/>
    <row r="398" ht="14.25" customHeight="1" s="86"/>
    <row r="399" ht="14.25" customHeight="1" s="86"/>
    <row r="400" ht="14.25" customHeight="1" s="86"/>
    <row r="401" ht="14.25" customHeight="1" s="86"/>
    <row r="402" ht="14.25" customHeight="1" s="86"/>
    <row r="403" ht="14.25" customHeight="1" s="86"/>
    <row r="404" ht="14.25" customHeight="1" s="86"/>
    <row r="405" ht="14.25" customHeight="1" s="86"/>
    <row r="406" ht="14.25" customHeight="1" s="86"/>
    <row r="407" ht="14.25" customHeight="1" s="86"/>
    <row r="408" ht="14.25" customHeight="1" s="86"/>
    <row r="409" ht="14.25" customHeight="1" s="86"/>
    <row r="410" ht="14.25" customHeight="1" s="86"/>
    <row r="411" ht="14.25" customHeight="1" s="86"/>
    <row r="412" ht="14.25" customHeight="1" s="86"/>
    <row r="413" ht="14.25" customHeight="1" s="86"/>
    <row r="414" ht="14.25" customHeight="1" s="86"/>
    <row r="415" ht="14.25" customHeight="1" s="86"/>
    <row r="416" ht="14.25" customHeight="1" s="86"/>
    <row r="417" ht="14.25" customHeight="1" s="86"/>
    <row r="418" ht="14.25" customHeight="1" s="86"/>
    <row r="419" ht="14.25" customHeight="1" s="86"/>
    <row r="420" ht="14.25" customHeight="1" s="86"/>
    <row r="421" ht="14.25" customHeight="1" s="86"/>
    <row r="422" ht="14.25" customHeight="1" s="86"/>
    <row r="423" ht="14.25" customHeight="1" s="86"/>
    <row r="424" ht="14.25" customHeight="1" s="86"/>
    <row r="425" ht="14.25" customHeight="1" s="86"/>
    <row r="426" ht="14.25" customHeight="1" s="86"/>
    <row r="427" ht="14.25" customHeight="1" s="86"/>
    <row r="428" ht="14.25" customHeight="1" s="86"/>
    <row r="429" ht="14.25" customHeight="1" s="86"/>
    <row r="430" ht="14.25" customHeight="1" s="86"/>
    <row r="431" ht="14.25" customHeight="1" s="86"/>
    <row r="432" ht="14.25" customHeight="1" s="86"/>
    <row r="433" ht="14.25" customHeight="1" s="86"/>
    <row r="434" ht="14.25" customHeight="1" s="86"/>
    <row r="435" ht="14.25" customHeight="1" s="86"/>
    <row r="436" ht="14.25" customHeight="1" s="86"/>
    <row r="437" ht="14.25" customHeight="1" s="86"/>
    <row r="438" ht="14.25" customHeight="1" s="86"/>
    <row r="439" ht="14.25" customHeight="1" s="86"/>
    <row r="440" ht="14.25" customHeight="1" s="86"/>
    <row r="441" ht="14.25" customHeight="1" s="86"/>
    <row r="442" ht="14.25" customHeight="1" s="86"/>
    <row r="443" ht="14.25" customHeight="1" s="86"/>
    <row r="444" ht="14.25" customHeight="1" s="86"/>
    <row r="445" ht="14.25" customHeight="1" s="86"/>
    <row r="446" ht="14.25" customHeight="1" s="86"/>
    <row r="447" ht="14.25" customHeight="1" s="86"/>
    <row r="448" ht="14.25" customHeight="1" s="86"/>
    <row r="449" ht="14.25" customHeight="1" s="86"/>
    <row r="450" ht="14.25" customHeight="1" s="86"/>
    <row r="451" ht="14.25" customHeight="1" s="86"/>
    <row r="452" ht="14.25" customHeight="1" s="86"/>
    <row r="453" ht="14.25" customHeight="1" s="86"/>
    <row r="454" ht="14.25" customHeight="1" s="86"/>
    <row r="455" ht="14.25" customHeight="1" s="86"/>
    <row r="456" ht="14.25" customHeight="1" s="86"/>
    <row r="457" ht="14.25" customHeight="1" s="86"/>
    <row r="458" ht="14.25" customHeight="1" s="86"/>
    <row r="459" ht="14.25" customHeight="1" s="86"/>
    <row r="460" ht="14.25" customHeight="1" s="86"/>
    <row r="461" ht="14.25" customHeight="1" s="86"/>
    <row r="462" ht="14.25" customHeight="1" s="86"/>
    <row r="463" ht="14.25" customHeight="1" s="86"/>
    <row r="464" ht="14.25" customHeight="1" s="86"/>
    <row r="465" ht="14.25" customHeight="1" s="86"/>
    <row r="466" ht="14.25" customHeight="1" s="86"/>
    <row r="467" ht="14.25" customHeight="1" s="86"/>
    <row r="468" ht="14.25" customHeight="1" s="86"/>
    <row r="469" ht="14.25" customHeight="1" s="86"/>
    <row r="470" ht="14.25" customHeight="1" s="86"/>
    <row r="471" ht="14.25" customHeight="1" s="86"/>
    <row r="472" ht="14.25" customHeight="1" s="86"/>
    <row r="473" ht="14.25" customHeight="1" s="86"/>
    <row r="474" ht="14.25" customHeight="1" s="86"/>
    <row r="475" ht="14.25" customHeight="1" s="86"/>
    <row r="476" ht="14.25" customHeight="1" s="86"/>
    <row r="477" ht="14.25" customHeight="1" s="86"/>
    <row r="478" ht="14.25" customHeight="1" s="86"/>
    <row r="479" ht="14.25" customHeight="1" s="86"/>
    <row r="480" ht="14.25" customHeight="1" s="86"/>
    <row r="481" ht="14.25" customHeight="1" s="86"/>
    <row r="482" ht="14.25" customHeight="1" s="86"/>
    <row r="483" ht="14.25" customHeight="1" s="86"/>
    <row r="484" ht="14.25" customHeight="1" s="86"/>
    <row r="485" ht="14.25" customHeight="1" s="86"/>
    <row r="486" ht="14.25" customHeight="1" s="86"/>
    <row r="487" ht="14.25" customHeight="1" s="86"/>
    <row r="488" ht="14.25" customHeight="1" s="86"/>
    <row r="489" ht="14.25" customHeight="1" s="86"/>
    <row r="490" ht="14.25" customHeight="1" s="86"/>
    <row r="491" ht="14.25" customHeight="1" s="86"/>
    <row r="492" ht="14.25" customHeight="1" s="86"/>
    <row r="493" ht="14.25" customHeight="1" s="86"/>
    <row r="494" ht="14.25" customHeight="1" s="86"/>
    <row r="495" ht="14.25" customHeight="1" s="86"/>
    <row r="496" ht="14.25" customHeight="1" s="86"/>
    <row r="497" ht="14.25" customHeight="1" s="86"/>
    <row r="498" ht="14.25" customHeight="1" s="86"/>
    <row r="499" ht="14.25" customHeight="1" s="86"/>
    <row r="500" ht="14.25" customHeight="1" s="86"/>
    <row r="501" ht="14.25" customHeight="1" s="86"/>
    <row r="502" ht="14.25" customHeight="1" s="86"/>
    <row r="503" ht="14.25" customHeight="1" s="86"/>
    <row r="504" ht="14.25" customHeight="1" s="86"/>
    <row r="505" ht="14.25" customHeight="1" s="86"/>
    <row r="506" ht="14.25" customHeight="1" s="86"/>
    <row r="507" ht="14.25" customHeight="1" s="86"/>
    <row r="508" ht="14.25" customHeight="1" s="86"/>
    <row r="509" ht="14.25" customHeight="1" s="86"/>
    <row r="510" ht="14.25" customHeight="1" s="86"/>
    <row r="511" ht="14.25" customHeight="1" s="86"/>
    <row r="512" ht="14.25" customHeight="1" s="86"/>
    <row r="513" ht="14.25" customHeight="1" s="86"/>
    <row r="514" ht="14.25" customHeight="1" s="86"/>
    <row r="515" ht="14.25" customHeight="1" s="86"/>
    <row r="516" ht="14.25" customHeight="1" s="86"/>
    <row r="517" ht="14.25" customHeight="1" s="86"/>
    <row r="518" ht="14.25" customHeight="1" s="86"/>
    <row r="519" ht="14.25" customHeight="1" s="86"/>
    <row r="520" ht="14.25" customHeight="1" s="86"/>
    <row r="521" ht="14.25" customHeight="1" s="86"/>
    <row r="522" ht="14.25" customHeight="1" s="86"/>
    <row r="523" ht="14.25" customHeight="1" s="86"/>
    <row r="524" ht="14.25" customHeight="1" s="86"/>
    <row r="525" ht="14.25" customHeight="1" s="86"/>
    <row r="526" ht="14.25" customHeight="1" s="86"/>
    <row r="527" ht="14.25" customHeight="1" s="86"/>
    <row r="528" ht="14.25" customHeight="1" s="86"/>
    <row r="529" ht="14.25" customHeight="1" s="86"/>
    <row r="530" ht="14.25" customHeight="1" s="86"/>
    <row r="531" ht="14.25" customHeight="1" s="86"/>
    <row r="532" ht="14.25" customHeight="1" s="86"/>
    <row r="533" ht="14.25" customHeight="1" s="86"/>
    <row r="534" ht="14.25" customHeight="1" s="86"/>
    <row r="535" ht="14.25" customHeight="1" s="86"/>
    <row r="536" ht="14.25" customHeight="1" s="86"/>
    <row r="537" ht="14.25" customHeight="1" s="86"/>
    <row r="538" ht="14.25" customHeight="1" s="86"/>
    <row r="539" ht="14.25" customHeight="1" s="86"/>
    <row r="540" ht="14.25" customHeight="1" s="86"/>
    <row r="541" ht="14.25" customHeight="1" s="86"/>
    <row r="542" ht="14.25" customHeight="1" s="86"/>
    <row r="543" ht="14.25" customHeight="1" s="86"/>
    <row r="544" ht="14.25" customHeight="1" s="86"/>
    <row r="545" ht="14.25" customHeight="1" s="86"/>
    <row r="546" ht="14.25" customHeight="1" s="86"/>
    <row r="547" ht="14.25" customHeight="1" s="86"/>
    <row r="548" ht="14.25" customHeight="1" s="86"/>
    <row r="549" ht="14.25" customHeight="1" s="86"/>
    <row r="550" ht="14.25" customHeight="1" s="86"/>
    <row r="551" ht="14.25" customHeight="1" s="86"/>
    <row r="552" ht="14.25" customHeight="1" s="86"/>
    <row r="553" ht="14.25" customHeight="1" s="86"/>
    <row r="554" ht="14.25" customHeight="1" s="86"/>
    <row r="555" ht="14.25" customHeight="1" s="86"/>
    <row r="556" ht="14.25" customHeight="1" s="86"/>
    <row r="557" ht="14.25" customHeight="1" s="86"/>
    <row r="558" ht="14.25" customHeight="1" s="86"/>
    <row r="559" ht="14.25" customHeight="1" s="86"/>
    <row r="560" ht="14.25" customHeight="1" s="86"/>
    <row r="561" ht="14.25" customHeight="1" s="86"/>
    <row r="562" ht="14.25" customHeight="1" s="86"/>
    <row r="563" ht="14.25" customHeight="1" s="86"/>
    <row r="564" ht="14.25" customHeight="1" s="86"/>
    <row r="565" ht="14.25" customHeight="1" s="86"/>
    <row r="566" ht="14.25" customHeight="1" s="86"/>
    <row r="567" ht="14.25" customHeight="1" s="86"/>
    <row r="568" ht="14.25" customHeight="1" s="86"/>
    <row r="569" ht="14.25" customHeight="1" s="86"/>
    <row r="570" ht="14.25" customHeight="1" s="86"/>
    <row r="571" ht="14.25" customHeight="1" s="86"/>
    <row r="572" ht="14.25" customHeight="1" s="86"/>
    <row r="573" ht="14.25" customHeight="1" s="86"/>
    <row r="574" ht="14.25" customHeight="1" s="86"/>
    <row r="575" ht="14.25" customHeight="1" s="86"/>
    <row r="576" ht="14.25" customHeight="1" s="86"/>
    <row r="577" ht="14.25" customHeight="1" s="86"/>
    <row r="578" ht="14.25" customHeight="1" s="86"/>
    <row r="579" ht="14.25" customHeight="1" s="86"/>
    <row r="580" ht="14.25" customHeight="1" s="86"/>
    <row r="581" ht="14.25" customHeight="1" s="86"/>
    <row r="582" ht="14.25" customHeight="1" s="86"/>
    <row r="583" ht="14.25" customHeight="1" s="86"/>
    <row r="584" ht="14.25" customHeight="1" s="86"/>
    <row r="585" ht="14.25" customHeight="1" s="86"/>
    <row r="586" ht="14.25" customHeight="1" s="86"/>
    <row r="587" ht="14.25" customHeight="1" s="86"/>
    <row r="588" ht="14.25" customHeight="1" s="86"/>
    <row r="589" ht="14.25" customHeight="1" s="86"/>
    <row r="590" ht="14.25" customHeight="1" s="86"/>
    <row r="591" ht="14.25" customHeight="1" s="86"/>
    <row r="592" ht="14.25" customHeight="1" s="86"/>
    <row r="593" ht="14.25" customHeight="1" s="86"/>
    <row r="594" ht="14.25" customHeight="1" s="86"/>
    <row r="595" ht="14.25" customHeight="1" s="86"/>
    <row r="596" ht="14.25" customHeight="1" s="86"/>
    <row r="597" ht="14.25" customHeight="1" s="86"/>
    <row r="598" ht="14.25" customHeight="1" s="86"/>
    <row r="599" ht="14.25" customHeight="1" s="86"/>
    <row r="600" ht="14.25" customHeight="1" s="86"/>
    <row r="601" ht="14.25" customHeight="1" s="86"/>
    <row r="602" ht="14.25" customHeight="1" s="86"/>
    <row r="603" ht="14.25" customHeight="1" s="86"/>
    <row r="604" ht="14.25" customHeight="1" s="86"/>
    <row r="605" ht="14.25" customHeight="1" s="86"/>
    <row r="606" ht="14.25" customHeight="1" s="86"/>
    <row r="607" ht="14.25" customHeight="1" s="86"/>
    <row r="608" ht="14.25" customHeight="1" s="86"/>
    <row r="609" ht="14.25" customHeight="1" s="86"/>
    <row r="610" ht="14.25" customHeight="1" s="86"/>
    <row r="611" ht="14.25" customHeight="1" s="86"/>
    <row r="612" ht="14.25" customHeight="1" s="86"/>
    <row r="613" ht="14.25" customHeight="1" s="86"/>
    <row r="614" ht="14.25" customHeight="1" s="86"/>
    <row r="615" ht="14.25" customHeight="1" s="86"/>
    <row r="616" ht="14.25" customHeight="1" s="86"/>
    <row r="617" ht="14.25" customHeight="1" s="86"/>
    <row r="618" ht="14.25" customHeight="1" s="86"/>
    <row r="619" ht="14.25" customHeight="1" s="86"/>
    <row r="620" ht="14.25" customHeight="1" s="86"/>
    <row r="621" ht="14.25" customHeight="1" s="86"/>
    <row r="622" ht="14.25" customHeight="1" s="86"/>
    <row r="623" ht="14.25" customHeight="1" s="86"/>
    <row r="624" ht="14.25" customHeight="1" s="86"/>
    <row r="625" ht="14.25" customHeight="1" s="86"/>
    <row r="626" ht="14.25" customHeight="1" s="86"/>
    <row r="627" ht="14.25" customHeight="1" s="86"/>
    <row r="628" ht="14.25" customHeight="1" s="86"/>
    <row r="629" ht="14.25" customHeight="1" s="86"/>
    <row r="630" ht="14.25" customHeight="1" s="86"/>
    <row r="631" ht="14.25" customHeight="1" s="86"/>
    <row r="632" ht="14.25" customHeight="1" s="86"/>
    <row r="633" ht="14.25" customHeight="1" s="86"/>
    <row r="634" ht="14.25" customHeight="1" s="86"/>
    <row r="635" ht="14.25" customHeight="1" s="86"/>
    <row r="636" ht="14.25" customHeight="1" s="86"/>
    <row r="637" ht="14.25" customHeight="1" s="86"/>
    <row r="638" ht="14.25" customHeight="1" s="86"/>
    <row r="639" ht="14.25" customHeight="1" s="86"/>
    <row r="640" ht="14.25" customHeight="1" s="86"/>
    <row r="641" ht="14.25" customHeight="1" s="86"/>
    <row r="642" ht="14.25" customHeight="1" s="86"/>
    <row r="643" ht="14.25" customHeight="1" s="86"/>
    <row r="644" ht="14.25" customHeight="1" s="86"/>
    <row r="645" ht="14.25" customHeight="1" s="86"/>
    <row r="646" ht="14.25" customHeight="1" s="86"/>
    <row r="647" ht="14.25" customHeight="1" s="86"/>
    <row r="648" ht="14.25" customHeight="1" s="86"/>
    <row r="649" ht="14.25" customHeight="1" s="86"/>
    <row r="650" ht="14.25" customHeight="1" s="86"/>
    <row r="651" ht="14.25" customHeight="1" s="86"/>
    <row r="652" ht="14.25" customHeight="1" s="86"/>
    <row r="653" ht="14.25" customHeight="1" s="86"/>
    <row r="654" ht="14.25" customHeight="1" s="86"/>
    <row r="655" ht="14.25" customHeight="1" s="86"/>
    <row r="656" ht="14.25" customHeight="1" s="86"/>
    <row r="657" ht="14.25" customHeight="1" s="86"/>
    <row r="658" ht="14.25" customHeight="1" s="86"/>
    <row r="659" ht="14.25" customHeight="1" s="86"/>
    <row r="660" ht="14.25" customHeight="1" s="86"/>
    <row r="661" ht="14.25" customHeight="1" s="86"/>
    <row r="662" ht="14.25" customHeight="1" s="86"/>
    <row r="663" ht="14.25" customHeight="1" s="86"/>
    <row r="664" ht="14.25" customHeight="1" s="86"/>
    <row r="665" ht="14.25" customHeight="1" s="86"/>
    <row r="666" ht="14.25" customHeight="1" s="86"/>
    <row r="667" ht="14.25" customHeight="1" s="86"/>
    <row r="668" ht="14.25" customHeight="1" s="86"/>
    <row r="669" ht="14.25" customHeight="1" s="86"/>
    <row r="670" ht="14.25" customHeight="1" s="86"/>
    <row r="671" ht="14.25" customHeight="1" s="86"/>
    <row r="672" ht="14.25" customHeight="1" s="86"/>
    <row r="673" ht="14.25" customHeight="1" s="86"/>
    <row r="674" ht="14.25" customHeight="1" s="86"/>
    <row r="675" ht="14.25" customHeight="1" s="86"/>
    <row r="676" ht="14.25" customHeight="1" s="86"/>
    <row r="677" ht="14.25" customHeight="1" s="86"/>
    <row r="678" ht="14.25" customHeight="1" s="86"/>
    <row r="679" ht="14.25" customHeight="1" s="86"/>
    <row r="680" ht="14.25" customHeight="1" s="86"/>
    <row r="681" ht="14.25" customHeight="1" s="86"/>
    <row r="682" ht="14.25" customHeight="1" s="86"/>
    <row r="683" ht="14.25" customHeight="1" s="86"/>
    <row r="684" ht="14.25" customHeight="1" s="86"/>
    <row r="685" ht="14.25" customHeight="1" s="86"/>
    <row r="686" ht="14.25" customHeight="1" s="86"/>
    <row r="687" ht="14.25" customHeight="1" s="86"/>
    <row r="688" ht="14.25" customHeight="1" s="86"/>
    <row r="689" ht="14.25" customHeight="1" s="86"/>
    <row r="690" ht="14.25" customHeight="1" s="86"/>
    <row r="691" ht="14.25" customHeight="1" s="86"/>
    <row r="692" ht="14.25" customHeight="1" s="86"/>
    <row r="693" ht="14.25" customHeight="1" s="86"/>
    <row r="694" ht="14.25" customHeight="1" s="86"/>
    <row r="695" ht="14.25" customHeight="1" s="86"/>
    <row r="696" ht="14.25" customHeight="1" s="86"/>
    <row r="697" ht="14.25" customHeight="1" s="86"/>
    <row r="698" ht="14.25" customHeight="1" s="86"/>
    <row r="699" ht="14.25" customHeight="1" s="86"/>
    <row r="700" ht="14.25" customHeight="1" s="86"/>
    <row r="701" ht="14.25" customHeight="1" s="86"/>
    <row r="702" ht="14.25" customHeight="1" s="86"/>
    <row r="703" ht="14.25" customHeight="1" s="86"/>
    <row r="704" ht="14.25" customHeight="1" s="86"/>
    <row r="705" ht="14.25" customHeight="1" s="86"/>
    <row r="706" ht="14.25" customHeight="1" s="86"/>
    <row r="707" ht="14.25" customHeight="1" s="86"/>
    <row r="708" ht="14.25" customHeight="1" s="86"/>
    <row r="709" ht="14.25" customHeight="1" s="86"/>
    <row r="710" ht="14.25" customHeight="1" s="86"/>
    <row r="711" ht="14.25" customHeight="1" s="86"/>
    <row r="712" ht="14.25" customHeight="1" s="86"/>
    <row r="713" ht="14.25" customHeight="1" s="86"/>
    <row r="714" ht="14.25" customHeight="1" s="86"/>
    <row r="715" ht="14.25" customHeight="1" s="86"/>
    <row r="716" ht="14.25" customHeight="1" s="86"/>
    <row r="717" ht="14.25" customHeight="1" s="86"/>
    <row r="718" ht="14.25" customHeight="1" s="86"/>
    <row r="719" ht="14.25" customHeight="1" s="86"/>
    <row r="720" ht="14.25" customHeight="1" s="86"/>
    <row r="721" ht="14.25" customHeight="1" s="86"/>
    <row r="722" ht="14.25" customHeight="1" s="86"/>
    <row r="723" ht="14.25" customHeight="1" s="86"/>
    <row r="724" ht="14.25" customHeight="1" s="86"/>
    <row r="725" ht="14.25" customHeight="1" s="86"/>
    <row r="726" ht="14.25" customHeight="1" s="86"/>
    <row r="727" ht="14.25" customHeight="1" s="86"/>
    <row r="728" ht="14.25" customHeight="1" s="86"/>
    <row r="729" ht="14.25" customHeight="1" s="86"/>
    <row r="730" ht="14.25" customHeight="1" s="86"/>
    <row r="731" ht="14.25" customHeight="1" s="86"/>
    <row r="732" ht="14.25" customHeight="1" s="86"/>
    <row r="733" ht="14.25" customHeight="1" s="86"/>
    <row r="734" ht="14.25" customHeight="1" s="86"/>
    <row r="735" ht="14.25" customHeight="1" s="86"/>
    <row r="736" ht="14.25" customHeight="1" s="86"/>
    <row r="737" ht="14.25" customHeight="1" s="86"/>
    <row r="738" ht="14.25" customHeight="1" s="86"/>
    <row r="739" ht="14.25" customHeight="1" s="86"/>
    <row r="740" ht="14.25" customHeight="1" s="86"/>
    <row r="741" ht="14.25" customHeight="1" s="86"/>
    <row r="742" ht="14.25" customHeight="1" s="86"/>
    <row r="743" ht="14.25" customHeight="1" s="86"/>
    <row r="744" ht="14.25" customHeight="1" s="86"/>
    <row r="745" ht="14.25" customHeight="1" s="86"/>
    <row r="746" ht="14.25" customHeight="1" s="86"/>
    <row r="747" ht="14.25" customHeight="1" s="86"/>
    <row r="748" ht="14.25" customHeight="1" s="86"/>
    <row r="749" ht="14.25" customHeight="1" s="86"/>
    <row r="750" ht="14.25" customHeight="1" s="86"/>
    <row r="751" ht="14.25" customHeight="1" s="86"/>
    <row r="752" ht="14.25" customHeight="1" s="86"/>
    <row r="753" ht="14.25" customHeight="1" s="86"/>
    <row r="754" ht="14.25" customHeight="1" s="86"/>
    <row r="755" ht="14.25" customHeight="1" s="86"/>
    <row r="756" ht="14.25" customHeight="1" s="86"/>
    <row r="757" ht="14.25" customHeight="1" s="86"/>
    <row r="758" ht="14.25" customHeight="1" s="86"/>
    <row r="759" ht="14.25" customHeight="1" s="86"/>
    <row r="760" ht="14.25" customHeight="1" s="86"/>
    <row r="761" ht="14.25" customHeight="1" s="86"/>
    <row r="762" ht="14.25" customHeight="1" s="86"/>
    <row r="763" ht="14.25" customHeight="1" s="86"/>
    <row r="764" ht="14.25" customHeight="1" s="86"/>
    <row r="765" ht="14.25" customHeight="1" s="86"/>
    <row r="766" ht="14.25" customHeight="1" s="86"/>
    <row r="767" ht="14.25" customHeight="1" s="86"/>
    <row r="768" ht="14.25" customHeight="1" s="86"/>
    <row r="769" ht="14.25" customHeight="1" s="86"/>
    <row r="770" ht="14.25" customHeight="1" s="86"/>
    <row r="771" ht="14.25" customHeight="1" s="86"/>
    <row r="772" ht="14.25" customHeight="1" s="86"/>
    <row r="773" ht="14.25" customHeight="1" s="86"/>
    <row r="774" ht="14.25" customHeight="1" s="86"/>
    <row r="775" ht="14.25" customHeight="1" s="86"/>
    <row r="776" ht="14.25" customHeight="1" s="86"/>
    <row r="777" ht="14.25" customHeight="1" s="86"/>
    <row r="778" ht="14.25" customHeight="1" s="86"/>
    <row r="779" ht="14.25" customHeight="1" s="86"/>
    <row r="780" ht="14.25" customHeight="1" s="86"/>
    <row r="781" ht="14.25" customHeight="1" s="86"/>
    <row r="782" ht="14.25" customHeight="1" s="86"/>
    <row r="783" ht="14.25" customHeight="1" s="86"/>
    <row r="784" ht="14.25" customHeight="1" s="86"/>
    <row r="785" ht="14.25" customHeight="1" s="86"/>
    <row r="786" ht="14.25" customHeight="1" s="86"/>
    <row r="787" ht="14.25" customHeight="1" s="86"/>
    <row r="788" ht="14.25" customHeight="1" s="86"/>
    <row r="789" ht="14.25" customHeight="1" s="86"/>
    <row r="790" ht="14.25" customHeight="1" s="86"/>
    <row r="791" ht="14.25" customHeight="1" s="86"/>
    <row r="792" ht="14.25" customHeight="1" s="86"/>
    <row r="793" ht="14.25" customHeight="1" s="86"/>
    <row r="794" ht="14.25" customHeight="1" s="86"/>
    <row r="795" ht="14.25" customHeight="1" s="86"/>
    <row r="796" ht="14.25" customHeight="1" s="86"/>
    <row r="797" ht="14.25" customHeight="1" s="86"/>
    <row r="798" ht="14.25" customHeight="1" s="86"/>
    <row r="799" ht="14.25" customHeight="1" s="86"/>
    <row r="800" ht="14.25" customHeight="1" s="86"/>
    <row r="801" ht="14.25" customHeight="1" s="86"/>
    <row r="802" ht="14.25" customHeight="1" s="86"/>
    <row r="803" ht="14.25" customHeight="1" s="86"/>
    <row r="804" ht="14.25" customHeight="1" s="86"/>
    <row r="805" ht="14.25" customHeight="1" s="86"/>
    <row r="806" ht="14.25" customHeight="1" s="86"/>
    <row r="807" ht="14.25" customHeight="1" s="86"/>
    <row r="808" ht="14.25" customHeight="1" s="86"/>
    <row r="809" ht="14.25" customHeight="1" s="86"/>
    <row r="810" ht="14.25" customHeight="1" s="86"/>
    <row r="811" ht="14.25" customHeight="1" s="86"/>
    <row r="812" ht="14.25" customHeight="1" s="86"/>
    <row r="813" ht="14.25" customHeight="1" s="86"/>
    <row r="814" ht="14.25" customHeight="1" s="86"/>
    <row r="815" ht="14.25" customHeight="1" s="86"/>
    <row r="816" ht="14.25" customHeight="1" s="86"/>
    <row r="817" ht="14.25" customHeight="1" s="86"/>
    <row r="818" ht="14.25" customHeight="1" s="86"/>
    <row r="819" ht="14.25" customHeight="1" s="86"/>
    <row r="820" ht="14.25" customHeight="1" s="86"/>
    <row r="821" ht="14.25" customHeight="1" s="86"/>
    <row r="822" ht="14.25" customHeight="1" s="86"/>
    <row r="823" ht="14.25" customHeight="1" s="86"/>
    <row r="824" ht="14.25" customHeight="1" s="86"/>
    <row r="825" ht="14.25" customHeight="1" s="86"/>
    <row r="826" ht="14.25" customHeight="1" s="86"/>
    <row r="827" ht="14.25" customHeight="1" s="86"/>
    <row r="828" ht="14.25" customHeight="1" s="86"/>
    <row r="829" ht="14.25" customHeight="1" s="86"/>
    <row r="830" ht="14.25" customHeight="1" s="86"/>
    <row r="831" ht="14.25" customHeight="1" s="86"/>
    <row r="832" ht="14.25" customHeight="1" s="86"/>
    <row r="833" ht="14.25" customHeight="1" s="86"/>
    <row r="834" ht="14.25" customHeight="1" s="86"/>
    <row r="835" ht="14.25" customHeight="1" s="86"/>
    <row r="836" ht="14.25" customHeight="1" s="86"/>
    <row r="837" ht="14.25" customHeight="1" s="86"/>
    <row r="838" ht="14.25" customHeight="1" s="86"/>
    <row r="839" ht="14.25" customHeight="1" s="86"/>
    <row r="840" ht="14.25" customHeight="1" s="86"/>
    <row r="841" ht="14.25" customHeight="1" s="86"/>
    <row r="842" ht="14.25" customHeight="1" s="86"/>
    <row r="843" ht="14.25" customHeight="1" s="86"/>
    <row r="844" ht="14.25" customHeight="1" s="86"/>
    <row r="845" ht="14.25" customHeight="1" s="86"/>
    <row r="846" ht="14.25" customHeight="1" s="86"/>
    <row r="847" ht="14.25" customHeight="1" s="86"/>
    <row r="848" ht="14.25" customHeight="1" s="86"/>
    <row r="849" ht="14.25" customHeight="1" s="86"/>
    <row r="850" ht="14.25" customHeight="1" s="86"/>
    <row r="851" ht="14.25" customHeight="1" s="86"/>
    <row r="852" ht="14.25" customHeight="1" s="86"/>
    <row r="853" ht="14.25" customHeight="1" s="86"/>
    <row r="854" ht="14.25" customHeight="1" s="86"/>
    <row r="855" ht="14.25" customHeight="1" s="86"/>
    <row r="856" ht="14.25" customHeight="1" s="86"/>
    <row r="857" ht="14.25" customHeight="1" s="86"/>
    <row r="858" ht="14.25" customHeight="1" s="86"/>
    <row r="859" ht="14.25" customHeight="1" s="86"/>
    <row r="860" ht="14.25" customHeight="1" s="86"/>
    <row r="861" ht="14.25" customHeight="1" s="86"/>
    <row r="862" ht="14.25" customHeight="1" s="86"/>
    <row r="863" ht="14.25" customHeight="1" s="86"/>
    <row r="864" ht="14.25" customHeight="1" s="86"/>
    <row r="865" ht="14.25" customHeight="1" s="86"/>
    <row r="866" ht="14.25" customHeight="1" s="86"/>
    <row r="867" ht="14.25" customHeight="1" s="86"/>
    <row r="868" ht="14.25" customHeight="1" s="86"/>
    <row r="869" ht="14.25" customHeight="1" s="86"/>
    <row r="870" ht="14.25" customHeight="1" s="86"/>
    <row r="871" ht="14.25" customHeight="1" s="86"/>
    <row r="872" ht="14.25" customHeight="1" s="86"/>
    <row r="873" ht="14.25" customHeight="1" s="86"/>
    <row r="874" ht="14.25" customHeight="1" s="86"/>
    <row r="875" ht="14.25" customHeight="1" s="86"/>
    <row r="876" ht="14.25" customHeight="1" s="86"/>
    <row r="877" ht="14.25" customHeight="1" s="86"/>
    <row r="878" ht="14.25" customHeight="1" s="86"/>
    <row r="879" ht="14.25" customHeight="1" s="86"/>
    <row r="880" ht="14.25" customHeight="1" s="86"/>
    <row r="881" ht="14.25" customHeight="1" s="86"/>
    <row r="882" ht="14.25" customHeight="1" s="86"/>
    <row r="883" ht="14.25" customHeight="1" s="86"/>
    <row r="884" ht="14.25" customHeight="1" s="86"/>
    <row r="885" ht="14.25" customHeight="1" s="86"/>
    <row r="886" ht="14.25" customHeight="1" s="86"/>
    <row r="887" ht="14.25" customHeight="1" s="86"/>
    <row r="888" ht="14.25" customHeight="1" s="86"/>
    <row r="889" ht="14.25" customHeight="1" s="86"/>
    <row r="890" ht="14.25" customHeight="1" s="86"/>
    <row r="891" ht="14.25" customHeight="1" s="86"/>
    <row r="892" ht="14.25" customHeight="1" s="86"/>
    <row r="893" ht="14.25" customHeight="1" s="86"/>
    <row r="894" ht="14.25" customHeight="1" s="86"/>
    <row r="895" ht="14.25" customHeight="1" s="86"/>
    <row r="896" ht="14.25" customHeight="1" s="86"/>
    <row r="897" ht="14.25" customHeight="1" s="86"/>
    <row r="898" ht="14.25" customHeight="1" s="86"/>
    <row r="899" ht="14.25" customHeight="1" s="86"/>
    <row r="900" ht="14.25" customHeight="1" s="86"/>
    <row r="901" ht="14.25" customHeight="1" s="86"/>
    <row r="902" ht="14.25" customHeight="1" s="86"/>
    <row r="903" ht="14.25" customHeight="1" s="86"/>
    <row r="904" ht="14.25" customHeight="1" s="86"/>
    <row r="905" ht="14.25" customHeight="1" s="86"/>
    <row r="906" ht="14.25" customHeight="1" s="86"/>
    <row r="907" ht="14.25" customHeight="1" s="86"/>
    <row r="908" ht="14.25" customHeight="1" s="86"/>
    <row r="909" ht="14.25" customHeight="1" s="86"/>
    <row r="910" ht="14.25" customHeight="1" s="86"/>
    <row r="911" ht="14.25" customHeight="1" s="86"/>
    <row r="912" ht="14.25" customHeight="1" s="86"/>
    <row r="913" ht="14.25" customHeight="1" s="86"/>
    <row r="914" ht="14.25" customHeight="1" s="86"/>
    <row r="915" ht="14.25" customHeight="1" s="86"/>
    <row r="916" ht="14.25" customHeight="1" s="86"/>
    <row r="917" ht="14.25" customHeight="1" s="86"/>
    <row r="918" ht="14.25" customHeight="1" s="86"/>
    <row r="919" ht="14.25" customHeight="1" s="86"/>
    <row r="920" ht="14.25" customHeight="1" s="86"/>
    <row r="921" ht="14.25" customHeight="1" s="86"/>
    <row r="922" ht="14.25" customHeight="1" s="86"/>
    <row r="923" ht="14.25" customHeight="1" s="86"/>
    <row r="924" ht="14.25" customHeight="1" s="86"/>
    <row r="925" ht="14.25" customHeight="1" s="86"/>
    <row r="926" ht="14.25" customHeight="1" s="86"/>
    <row r="927" ht="14.25" customHeight="1" s="86"/>
    <row r="928" ht="14.25" customHeight="1" s="86"/>
    <row r="929" ht="14.25" customHeight="1" s="86"/>
    <row r="930" ht="14.25" customHeight="1" s="86"/>
    <row r="931" ht="14.25" customHeight="1" s="86"/>
    <row r="932" ht="14.25" customHeight="1" s="86"/>
    <row r="933" ht="14.25" customHeight="1" s="86"/>
    <row r="934" ht="14.25" customHeight="1" s="86"/>
    <row r="935" ht="14.25" customHeight="1" s="86"/>
    <row r="936" ht="14.25" customHeight="1" s="86"/>
    <row r="937" ht="14.25" customHeight="1" s="86"/>
    <row r="938" ht="14.25" customHeight="1" s="86"/>
    <row r="939" ht="14.25" customHeight="1" s="86"/>
    <row r="940" ht="14.25" customHeight="1" s="86"/>
    <row r="941" ht="14.25" customHeight="1" s="86"/>
    <row r="942" ht="14.25" customHeight="1" s="86"/>
    <row r="943" ht="14.25" customHeight="1" s="86"/>
    <row r="944" ht="14.25" customHeight="1" s="86"/>
    <row r="945" ht="14.25" customHeight="1" s="86"/>
    <row r="946" ht="14.25" customHeight="1" s="86"/>
    <row r="947" ht="14.25" customHeight="1" s="86"/>
    <row r="948" ht="14.25" customHeight="1" s="86"/>
    <row r="949" ht="14.25" customHeight="1" s="86"/>
    <row r="950" ht="14.25" customHeight="1" s="86"/>
    <row r="951" ht="14.25" customHeight="1" s="86"/>
    <row r="952" ht="14.25" customHeight="1" s="86"/>
    <row r="953" ht="14.25" customHeight="1" s="86"/>
    <row r="954" ht="14.25" customHeight="1" s="86"/>
    <row r="955" ht="14.25" customHeight="1" s="86"/>
    <row r="956" ht="14.25" customHeight="1" s="86"/>
    <row r="957" ht="14.25" customHeight="1" s="86"/>
    <row r="958" ht="14.25" customHeight="1" s="86"/>
    <row r="959" ht="14.25" customHeight="1" s="86"/>
    <row r="960" ht="14.25" customHeight="1" s="86"/>
    <row r="961" ht="14.25" customHeight="1" s="86"/>
    <row r="962" ht="14.25" customHeight="1" s="86"/>
    <row r="963" ht="14.25" customHeight="1" s="86"/>
    <row r="964" ht="14.25" customHeight="1" s="86"/>
    <row r="965" ht="14.25" customHeight="1" s="86"/>
    <row r="966" ht="14.25" customHeight="1" s="86"/>
    <row r="967" ht="14.25" customHeight="1" s="86"/>
    <row r="968" ht="14.25" customHeight="1" s="86"/>
    <row r="969" ht="14.25" customHeight="1" s="86"/>
    <row r="970" ht="14.25" customHeight="1" s="86"/>
    <row r="971" ht="14.25" customHeight="1" s="86"/>
    <row r="972" ht="14.25" customHeight="1" s="86"/>
    <row r="973" ht="14.25" customHeight="1" s="86"/>
    <row r="974" ht="14.25" customHeight="1" s="86"/>
    <row r="975" ht="14.25" customHeight="1" s="86"/>
    <row r="976" ht="14.25" customHeight="1" s="86"/>
    <row r="977" ht="14.25" customHeight="1" s="86"/>
    <row r="978" ht="14.25" customHeight="1" s="86"/>
    <row r="979" ht="14.25" customHeight="1" s="86"/>
    <row r="980" ht="14.25" customHeight="1" s="86"/>
    <row r="981" ht="14.25" customHeight="1" s="86"/>
    <row r="982" ht="14.25" customHeight="1" s="86"/>
    <row r="983" ht="14.25" customHeight="1" s="86"/>
    <row r="984" ht="14.25" customHeight="1" s="86"/>
    <row r="985" ht="14.25" customHeight="1" s="86"/>
    <row r="986" ht="14.25" customHeight="1" s="86"/>
    <row r="987" ht="14.25" customHeight="1" s="86"/>
    <row r="988" ht="14.25" customHeight="1" s="86"/>
    <row r="989" ht="14.25" customHeight="1" s="86"/>
    <row r="990" ht="14.25" customHeight="1" s="86"/>
    <row r="991" ht="14.25" customHeight="1" s="86"/>
    <row r="992" ht="14.25" customHeight="1" s="86"/>
    <row r="993" ht="14.25" customHeight="1" s="86"/>
    <row r="994" ht="14.25" customHeight="1" s="86"/>
    <row r="995" ht="14.25" customHeight="1" s="86"/>
    <row r="996" ht="14.25" customHeight="1" s="86"/>
    <row r="997" ht="14.25" customHeight="1" s="86"/>
    <row r="998" ht="14.25" customHeight="1" s="86"/>
    <row r="999" ht="14.25" customHeight="1" s="86"/>
    <row r="1000" ht="14.25" customHeight="1" s="86"/>
  </sheetData>
  <mergeCells count="4">
    <mergeCell ref="A1:F3"/>
    <mergeCell ref="A5:F26"/>
    <mergeCell ref="A4:F4"/>
    <mergeCell ref="H4:I4"/>
  </mergeCells>
  <pageMargins left="0.7" right="0.7" top="0.75" bottom="0.75" header="0" footer="0"/>
  <pageSetup orientation="portrait" paperSize="9"/>
</worksheet>
</file>

<file path=xl/worksheets/sheet2.xml><?xml version="1.0" encoding="utf-8"?>
<worksheet xmlns="http://schemas.openxmlformats.org/spreadsheetml/2006/main">
  <sheetPr codeName="Sheet4">
    <outlinePr summaryBelow="1" summaryRight="1"/>
    <pageSetUpPr/>
  </sheetPr>
  <dimension ref="A1:CY377"/>
  <sheetViews>
    <sheetView workbookViewId="0">
      <pane xSplit="3" ySplit="4" topLeftCell="D5" activePane="bottomRight" state="frozen"/>
      <selection pane="topRight" activeCell="D1" sqref="D1"/>
      <selection pane="bottomLeft" activeCell="A5" sqref="A5"/>
      <selection pane="bottomRight" activeCell="D5" sqref="D5"/>
    </sheetView>
  </sheetViews>
  <sheetFormatPr baseColWidth="8" defaultColWidth="14.43" defaultRowHeight="15" customHeight="1"/>
  <cols>
    <col width="9.140000000000001" customWidth="1" style="86" min="1" max="34"/>
    <col width="15" customWidth="1" style="86" min="35" max="35"/>
    <col width="9.140000000000001" customWidth="1" style="86" min="36" max="103"/>
  </cols>
  <sheetData>
    <row r="1" ht="14.25" customHeight="1" s="86">
      <c r="A1" s="21" t="inlineStr">
        <is>
          <t>HCX_Employee_Census_V1.12</t>
        </is>
      </c>
      <c r="B1" s="22" t="n"/>
      <c r="C1" s="23" t="n"/>
      <c r="D1" s="23" t="n"/>
      <c r="E1" s="23" t="n"/>
      <c r="F1" s="24" t="n"/>
      <c r="G1" s="24" t="n"/>
      <c r="H1" s="22" t="n"/>
      <c r="I1" s="23" t="n"/>
      <c r="J1" s="22" t="n"/>
      <c r="K1" s="23" t="n"/>
      <c r="L1" s="24" t="n"/>
      <c r="M1" s="24" t="n"/>
      <c r="N1" s="24" t="n"/>
      <c r="O1" s="23" t="n"/>
      <c r="P1" s="23" t="n"/>
      <c r="Q1" s="23" t="n"/>
      <c r="R1" s="23" t="n"/>
      <c r="S1" s="25" t="n"/>
      <c r="T1" s="25" t="n"/>
      <c r="U1" s="26" t="n"/>
      <c r="V1" s="23" t="n"/>
      <c r="W1" s="23" t="n"/>
      <c r="X1" s="23" t="n"/>
      <c r="Y1" s="23" t="n"/>
      <c r="Z1" s="23" t="n"/>
      <c r="AA1" s="23" t="n"/>
      <c r="AB1" s="23" t="n"/>
      <c r="AC1" s="23" t="n"/>
      <c r="AD1" s="23" t="n"/>
      <c r="AE1" s="23" t="n"/>
      <c r="AF1" s="23" t="n"/>
      <c r="AG1" s="23" t="n"/>
      <c r="AH1" s="23" t="n"/>
      <c r="AI1" s="23" t="n"/>
      <c r="AJ1" s="23" t="n"/>
      <c r="AK1" s="23" t="n"/>
      <c r="AL1" s="23" t="n"/>
      <c r="AM1" s="23" t="n"/>
      <c r="AN1" s="23" t="n"/>
      <c r="AO1" s="23" t="n"/>
      <c r="AP1" s="23" t="n"/>
      <c r="AQ1" s="23" t="n"/>
      <c r="AR1" s="23" t="n"/>
      <c r="AS1" s="23" t="n"/>
      <c r="AT1" s="23" t="n"/>
      <c r="AU1" s="23" t="n"/>
      <c r="AV1" s="23" t="n"/>
      <c r="AW1" s="23" t="n"/>
      <c r="AX1" s="23" t="n"/>
      <c r="AY1" s="23" t="n"/>
      <c r="AZ1" s="24" t="n"/>
      <c r="BA1" s="24" t="n"/>
      <c r="BB1" s="23" t="n"/>
      <c r="BC1" s="23" t="n"/>
      <c r="BD1" s="23" t="n"/>
      <c r="BE1" s="23" t="n"/>
      <c r="BF1" s="23" t="n"/>
      <c r="BG1" s="23" t="n"/>
      <c r="BH1" s="23" t="n"/>
      <c r="BI1" s="23" t="n"/>
      <c r="BJ1" s="23" t="n"/>
      <c r="BK1" s="23" t="n"/>
      <c r="BL1" s="23" t="n"/>
      <c r="BM1" s="23" t="n"/>
      <c r="BN1" s="23" t="n"/>
      <c r="BO1" s="23" t="n"/>
      <c r="BP1" s="23" t="n"/>
      <c r="BQ1" s="23" t="n"/>
      <c r="BR1" s="23" t="n"/>
      <c r="BS1" s="23" t="n"/>
      <c r="BT1" s="23" t="n"/>
      <c r="BU1" s="23" t="n"/>
      <c r="BV1" s="23" t="n"/>
      <c r="BW1" s="23" t="n"/>
      <c r="BX1" s="23" t="n"/>
      <c r="BY1" s="23" t="n"/>
      <c r="BZ1" s="23" t="n"/>
      <c r="CA1" s="23" t="n"/>
      <c r="CB1" s="23" t="n"/>
      <c r="CC1" s="23" t="n"/>
      <c r="CD1" s="23" t="n"/>
      <c r="CE1" s="23" t="n"/>
      <c r="CF1" s="23" t="n"/>
      <c r="CG1" s="23" t="n"/>
      <c r="CH1" s="23" t="n"/>
      <c r="CI1" s="23" t="n"/>
      <c r="CJ1" s="23" t="n"/>
      <c r="CK1" s="23" t="n"/>
      <c r="CL1" s="23" t="n"/>
      <c r="CM1" s="23" t="n"/>
      <c r="CN1" s="23" t="n"/>
      <c r="CO1" s="23" t="n"/>
      <c r="CP1" s="23" t="n"/>
      <c r="CQ1" s="23" t="n"/>
      <c r="CR1" s="23" t="n"/>
      <c r="CS1" s="23" t="n"/>
      <c r="CT1" s="23" t="n"/>
      <c r="CU1" s="23" t="n"/>
      <c r="CV1" s="23" t="n"/>
      <c r="CW1" s="23" t="n"/>
      <c r="CX1" s="23" t="n"/>
      <c r="CY1" s="23" t="n"/>
    </row>
    <row r="2" ht="16.5" customHeight="1" s="86">
      <c r="A2" s="22" t="n"/>
      <c r="B2" s="22" t="n"/>
      <c r="C2" s="27" t="n"/>
      <c r="D2" s="27" t="n"/>
      <c r="E2" s="22" t="n"/>
      <c r="F2" s="24" t="n"/>
      <c r="G2" s="24" t="n"/>
      <c r="H2" s="22" t="n"/>
      <c r="I2" s="23" t="n"/>
      <c r="J2" s="22" t="n"/>
      <c r="K2" s="22" t="n"/>
      <c r="L2" s="24" t="n"/>
      <c r="M2" s="24" t="n"/>
      <c r="N2" s="24" t="n"/>
      <c r="O2" s="22" t="n"/>
      <c r="P2" s="22" t="n"/>
      <c r="Q2" s="22" t="n"/>
      <c r="R2" s="22" t="n"/>
      <c r="S2" s="25" t="n"/>
      <c r="T2" s="25" t="n"/>
      <c r="U2" s="25" t="n"/>
      <c r="V2" s="23" t="n"/>
      <c r="W2" s="23" t="n"/>
      <c r="X2" s="23" t="n"/>
      <c r="Y2" s="23" t="n"/>
      <c r="Z2" s="23" t="n"/>
      <c r="AA2" s="22" t="n"/>
      <c r="AB2" s="22" t="n"/>
      <c r="AC2" s="22" t="n"/>
      <c r="AD2" s="22" t="n"/>
      <c r="AE2" s="22" t="n"/>
      <c r="AF2" s="22" t="n"/>
      <c r="AG2" s="22" t="n"/>
      <c r="AH2" s="22" t="n"/>
      <c r="AI2" s="22" t="n"/>
      <c r="AJ2" s="23" t="n"/>
      <c r="AK2" s="23" t="n"/>
      <c r="AL2" s="22" t="n"/>
      <c r="AM2" s="22" t="n"/>
      <c r="AN2" s="22" t="n"/>
      <c r="AO2" s="22" t="n"/>
      <c r="AP2" s="22" t="n"/>
      <c r="AQ2" s="22" t="n"/>
      <c r="AR2" s="22" t="n"/>
      <c r="AS2" s="22" t="n"/>
      <c r="AT2" s="22" t="n"/>
      <c r="AU2" s="23" t="n"/>
      <c r="AV2" s="23" t="n"/>
      <c r="AW2" s="23" t="n"/>
      <c r="AX2" s="23" t="n"/>
      <c r="AY2" s="23" t="n"/>
      <c r="AZ2" s="24" t="n"/>
      <c r="BA2" s="24" t="n"/>
      <c r="BB2" s="23" t="n"/>
      <c r="BC2" s="23" t="n"/>
      <c r="BD2" s="23" t="n"/>
      <c r="BE2" s="23" t="n"/>
      <c r="BF2" s="23" t="n"/>
      <c r="BG2" s="23" t="n"/>
      <c r="BH2" s="23" t="n"/>
      <c r="BI2" s="23" t="n"/>
      <c r="BJ2" s="23" t="n"/>
      <c r="BK2" s="23" t="n"/>
      <c r="BL2" s="23" t="n"/>
      <c r="BM2" s="23" t="n"/>
      <c r="BN2" s="23" t="n"/>
      <c r="BO2" s="23" t="n"/>
      <c r="BP2" s="23" t="n"/>
      <c r="BQ2" s="23" t="n"/>
      <c r="BR2" s="23" t="n"/>
      <c r="BS2" s="23" t="n"/>
      <c r="BT2" s="23" t="n"/>
      <c r="BU2" s="23" t="n"/>
      <c r="BV2" s="23" t="n"/>
      <c r="BW2" s="23" t="n"/>
      <c r="BX2" s="23" t="n"/>
      <c r="BY2" s="23" t="n"/>
      <c r="BZ2" s="23" t="n"/>
      <c r="CA2" s="23" t="n"/>
      <c r="CB2" s="23" t="n"/>
      <c r="CC2" s="23" t="n"/>
      <c r="CD2" s="23" t="n"/>
      <c r="CE2" s="23" t="n"/>
      <c r="CF2" s="23" t="n"/>
      <c r="CG2" s="23" t="n"/>
      <c r="CH2" s="23" t="n"/>
      <c r="CI2" s="23" t="n"/>
      <c r="CJ2" s="23" t="n"/>
      <c r="CK2" s="23" t="n"/>
      <c r="CL2" s="23" t="n"/>
      <c r="CM2" s="23" t="n"/>
      <c r="CN2" s="23" t="n"/>
      <c r="CO2" s="23" t="n"/>
      <c r="CP2" s="23" t="n"/>
      <c r="CQ2" s="23" t="n"/>
      <c r="CR2" s="23" t="n"/>
      <c r="CS2" s="23" t="n"/>
      <c r="CT2" s="23" t="n"/>
      <c r="CU2" s="23" t="n"/>
      <c r="CV2" s="23" t="n"/>
      <c r="CW2" s="23" t="n"/>
      <c r="CX2" s="23" t="n"/>
      <c r="CY2" s="23" t="n"/>
    </row>
    <row r="3" ht="14.25" customHeight="1" s="86">
      <c r="A3" s="22" t="n"/>
      <c r="B3" s="22" t="n"/>
      <c r="C3" s="22" t="n"/>
      <c r="D3" s="22" t="n"/>
      <c r="E3" s="22" t="n"/>
      <c r="F3" s="24" t="n"/>
      <c r="G3" s="24" t="n"/>
      <c r="H3" s="22" t="n"/>
      <c r="I3" s="22" t="n"/>
      <c r="J3" s="22" t="n"/>
      <c r="K3" s="22" t="n"/>
      <c r="L3" s="24" t="n"/>
      <c r="M3" s="24" t="n"/>
      <c r="N3" s="24" t="n"/>
      <c r="O3" s="22" t="n"/>
      <c r="P3" s="22" t="n"/>
      <c r="Q3" s="22" t="n"/>
      <c r="R3" s="22" t="n"/>
      <c r="S3" s="25" t="n"/>
      <c r="T3" s="25" t="n"/>
      <c r="U3" s="25" t="n"/>
      <c r="V3" s="23" t="n"/>
      <c r="W3" s="23" t="n"/>
      <c r="X3" s="23" t="n"/>
      <c r="Y3" s="23" t="n"/>
      <c r="Z3" s="23" t="n"/>
      <c r="AA3" s="22" t="n"/>
      <c r="AB3" s="22" t="n"/>
      <c r="AC3" s="22" t="n"/>
      <c r="AD3" s="22" t="n"/>
      <c r="AE3" s="22" t="n"/>
      <c r="AF3" s="22" t="n"/>
      <c r="AG3" s="22" t="n"/>
      <c r="AH3" s="22" t="n"/>
      <c r="AI3" s="22" t="n"/>
      <c r="AJ3" s="23" t="n"/>
      <c r="AK3" s="23" t="n"/>
      <c r="AL3" s="22" t="n"/>
      <c r="AM3" s="22" t="n"/>
      <c r="AN3" s="22" t="n"/>
      <c r="AO3" s="22" t="n"/>
      <c r="AP3" s="22" t="n"/>
      <c r="AQ3" s="22" t="n"/>
      <c r="AR3" s="22" t="n"/>
      <c r="AS3" s="22" t="n"/>
      <c r="AT3" s="22" t="n"/>
      <c r="AU3" s="23" t="n"/>
      <c r="AV3" s="23" t="n"/>
      <c r="AW3" s="23" t="n"/>
      <c r="AX3" s="23" t="n"/>
      <c r="AY3" s="23" t="n"/>
      <c r="AZ3" s="24" t="n"/>
      <c r="BA3" s="24" t="n"/>
      <c r="BB3" s="23" t="n"/>
      <c r="BC3" s="23" t="n"/>
      <c r="BD3" s="23" t="n"/>
      <c r="BE3" s="23" t="n"/>
      <c r="BF3" s="23" t="n"/>
      <c r="BG3" s="23" t="n"/>
      <c r="BH3" s="23" t="n"/>
      <c r="BI3" s="23" t="n"/>
      <c r="BJ3" s="23" t="n"/>
      <c r="BK3" s="23" t="n"/>
      <c r="BL3" s="23" t="n"/>
      <c r="BM3" s="23" t="n"/>
      <c r="BN3" s="23" t="n"/>
      <c r="BO3" s="23" t="n"/>
      <c r="BP3" s="23" t="n"/>
      <c r="BQ3" s="23" t="n"/>
      <c r="BR3" s="23" t="n"/>
      <c r="BS3" s="23" t="n"/>
      <c r="BT3" s="23" t="n"/>
      <c r="BU3" s="23" t="n"/>
      <c r="BV3" s="23" t="n"/>
      <c r="BW3" s="23" t="n"/>
      <c r="BX3" s="23" t="n"/>
      <c r="BY3" s="23" t="n"/>
      <c r="BZ3" s="23" t="n"/>
      <c r="CA3" s="23" t="n"/>
      <c r="CB3" s="23" t="n"/>
      <c r="CC3" s="23" t="n"/>
      <c r="CD3" s="23" t="n"/>
      <c r="CE3" s="23" t="n"/>
      <c r="CF3" s="23" t="n"/>
      <c r="CG3" s="23" t="n"/>
      <c r="CH3" s="23" t="n"/>
      <c r="CI3" s="23" t="n"/>
      <c r="CJ3" s="23" t="n"/>
      <c r="CK3" s="23" t="n"/>
      <c r="CL3" s="23" t="n"/>
      <c r="CM3" s="23" t="n"/>
      <c r="CN3" s="23" t="n"/>
      <c r="CO3" s="23" t="n"/>
      <c r="CP3" s="23" t="n"/>
      <c r="CQ3" s="23" t="n"/>
      <c r="CR3" s="23" t="n"/>
      <c r="CS3" s="23" t="n"/>
      <c r="CT3" s="23" t="n"/>
      <c r="CU3" s="23" t="n"/>
      <c r="CV3" s="23" t="n"/>
      <c r="CW3" s="23" t="n"/>
      <c r="CX3" s="23" t="n"/>
      <c r="CY3" s="23" t="n"/>
    </row>
    <row r="4" ht="63.75" customHeight="1" s="86">
      <c r="A4" s="28" t="inlineStr">
        <is>
          <t>Employer Identification Number</t>
        </is>
      </c>
      <c r="B4" s="28" t="inlineStr">
        <is>
          <t>Employee Prefix</t>
        </is>
      </c>
      <c r="C4" s="29" t="inlineStr">
        <is>
          <t>Employee First Name*</t>
        </is>
      </c>
      <c r="D4" s="28" t="inlineStr">
        <is>
          <t>Employee Middle Initial</t>
        </is>
      </c>
      <c r="E4" s="29" t="inlineStr">
        <is>
          <t>Employee Last Name*</t>
        </is>
      </c>
      <c r="F4" s="28" t="inlineStr">
        <is>
          <t>Employee Suffix</t>
        </is>
      </c>
      <c r="G4" s="30" t="inlineStr">
        <is>
          <t>Employee Date of Birth*</t>
        </is>
      </c>
      <c r="H4" s="29" t="inlineStr">
        <is>
          <t xml:space="preserve"> Employee Gender*</t>
        </is>
      </c>
      <c r="I4" s="31" t="inlineStr">
        <is>
          <t>Employee SSN</t>
        </is>
      </c>
      <c r="J4" s="31" t="inlineStr">
        <is>
          <t>Employee Tobacco usage in last 12 months</t>
        </is>
      </c>
      <c r="K4" s="29" t="inlineStr">
        <is>
          <t xml:space="preserve"> Employee ID*</t>
        </is>
      </c>
      <c r="L4" s="29" t="inlineStr">
        <is>
          <t>Employment
Status*</t>
        </is>
      </c>
      <c r="M4" s="30" t="inlineStr">
        <is>
          <t>Date of Hire*</t>
        </is>
      </c>
      <c r="N4" s="32" t="inlineStr">
        <is>
          <t>Termination Date</t>
        </is>
      </c>
      <c r="O4" s="33" t="inlineStr">
        <is>
          <t>Termination Reason</t>
        </is>
      </c>
      <c r="P4" s="29" t="inlineStr">
        <is>
          <t>Employment Type*</t>
        </is>
      </c>
      <c r="Q4" s="29" t="inlineStr">
        <is>
          <t>Others (Employment Type)*</t>
        </is>
      </c>
      <c r="R4" s="29" t="inlineStr">
        <is>
          <t>Pay Type*</t>
        </is>
      </c>
      <c r="S4" s="34" t="inlineStr">
        <is>
          <t>Pay Group*</t>
        </is>
      </c>
      <c r="T4" s="34" t="inlineStr">
        <is>
          <t>Work Schedule</t>
        </is>
      </c>
      <c r="U4" s="35" t="inlineStr">
        <is>
          <t>Annual Salary(Digits)**</t>
        </is>
      </c>
      <c r="V4" s="36" t="inlineStr">
        <is>
          <t>Salary Effective Date</t>
        </is>
      </c>
      <c r="W4" s="37" t="inlineStr">
        <is>
          <t>Working Hours per Week(Digits)**</t>
        </is>
      </c>
      <c r="X4" s="37" t="inlineStr">
        <is>
          <t>Hourly Pay Rate**</t>
        </is>
      </c>
      <c r="Y4" s="28" t="inlineStr">
        <is>
          <t>Bonus</t>
        </is>
      </c>
      <c r="Z4" s="28" t="inlineStr">
        <is>
          <t>Salary Commissions</t>
        </is>
      </c>
      <c r="AA4" s="28" t="inlineStr">
        <is>
          <t>Benefits Class</t>
        </is>
      </c>
      <c r="AB4" s="28" t="inlineStr">
        <is>
          <t>Job Title</t>
        </is>
      </c>
      <c r="AC4" s="28" t="inlineStr">
        <is>
          <t>Department</t>
        </is>
      </c>
      <c r="AD4" s="28" t="inlineStr">
        <is>
          <t>Employee Type</t>
        </is>
      </c>
      <c r="AE4" s="28" t="inlineStr">
        <is>
          <t>Union Classification</t>
        </is>
      </c>
      <c r="AF4" s="28" t="inlineStr">
        <is>
          <t>FLSA Classification</t>
        </is>
      </c>
      <c r="AG4" s="28" t="inlineStr">
        <is>
          <t>Work Location</t>
        </is>
      </c>
      <c r="AH4" s="28" t="inlineStr">
        <is>
          <t>Division</t>
        </is>
      </c>
      <c r="AI4" s="31" t="inlineStr">
        <is>
          <t>Personal Email</t>
        </is>
      </c>
      <c r="AJ4" s="29" t="inlineStr">
        <is>
          <t>Official Email*</t>
        </is>
      </c>
      <c r="AK4" s="38" t="inlineStr">
        <is>
          <t>Phone Number(Digits)</t>
        </is>
      </c>
      <c r="AL4" s="31" t="inlineStr">
        <is>
          <t>Employee Address Line 1</t>
        </is>
      </c>
      <c r="AM4" s="28" t="inlineStr">
        <is>
          <t>Employee Address Line 2</t>
        </is>
      </c>
      <c r="AN4" s="29" t="inlineStr">
        <is>
          <t>City*</t>
        </is>
      </c>
      <c r="AO4" s="29" t="inlineStr">
        <is>
          <t>Zipcode*</t>
        </is>
      </c>
      <c r="AP4" s="29" t="inlineStr">
        <is>
          <t>State(Abbreviation)*</t>
        </is>
      </c>
      <c r="AQ4" s="31" t="inlineStr">
        <is>
          <t>COUNTY</t>
        </is>
      </c>
      <c r="AR4" s="39" t="inlineStr">
        <is>
          <t>Mailing Address Line 1</t>
        </is>
      </c>
      <c r="AS4" s="39" t="inlineStr">
        <is>
          <t>Mailing Address Line 2</t>
        </is>
      </c>
      <c r="AT4" s="39" t="inlineStr">
        <is>
          <t>Mailing City</t>
        </is>
      </c>
      <c r="AU4" s="39" t="inlineStr">
        <is>
          <t>Mailing Zipcode</t>
        </is>
      </c>
      <c r="AV4" s="39" t="inlineStr">
        <is>
          <t>Mailing State(Abbreviation)</t>
        </is>
      </c>
      <c r="AW4" s="39" t="inlineStr">
        <is>
          <t>Mailing County</t>
        </is>
      </c>
      <c r="AX4" s="39" t="inlineStr">
        <is>
          <t>Protected Veteran Status</t>
        </is>
      </c>
      <c r="AY4" s="39" t="inlineStr">
        <is>
          <t>Disability Status</t>
        </is>
      </c>
      <c r="AZ4" s="39" t="inlineStr">
        <is>
          <t>EEO Job Category</t>
        </is>
      </c>
      <c r="BA4" s="39" t="inlineStr">
        <is>
          <t>Race/Ethnicity</t>
        </is>
      </c>
      <c r="BB4" s="39" t="inlineStr">
        <is>
          <t>Original DOH</t>
        </is>
      </c>
      <c r="BC4" s="39" t="inlineStr">
        <is>
          <t>Adjusted Service Date</t>
        </is>
      </c>
      <c r="BD4" s="39" t="inlineStr">
        <is>
          <t>Reporting Manager ID</t>
        </is>
      </c>
      <c r="BE4" s="39" t="inlineStr">
        <is>
          <t>License Number</t>
        </is>
      </c>
      <c r="BF4" s="39" t="inlineStr">
        <is>
          <t>License Type</t>
        </is>
      </c>
      <c r="BG4" s="39" t="inlineStr">
        <is>
          <t>License State</t>
        </is>
      </c>
      <c r="BH4" s="39" t="inlineStr">
        <is>
          <t>License Expiration Date</t>
        </is>
      </c>
      <c r="BI4" s="39" t="inlineStr">
        <is>
          <t>Team</t>
        </is>
      </c>
      <c r="BJ4" s="39" t="inlineStr">
        <is>
          <t>Uniform Top</t>
        </is>
      </c>
      <c r="BK4" s="39" t="inlineStr">
        <is>
          <t>Uniform Bottom</t>
        </is>
      </c>
      <c r="BL4" s="40" t="inlineStr">
        <is>
          <t>Dependent 1 Prefix</t>
        </is>
      </c>
      <c r="BM4" s="40" t="inlineStr">
        <is>
          <t>Dependent 1 First Name*</t>
        </is>
      </c>
      <c r="BN4" s="40" t="inlineStr">
        <is>
          <t>Dependent 1 Middle Initial</t>
        </is>
      </c>
      <c r="BO4" s="40" t="inlineStr">
        <is>
          <t>Dependent 1 Last Name*</t>
        </is>
      </c>
      <c r="BP4" s="40" t="inlineStr">
        <is>
          <t>Dependent 1 Suffix</t>
        </is>
      </c>
      <c r="BQ4" s="32" t="inlineStr">
        <is>
          <t>Dependent 1 DOB*</t>
        </is>
      </c>
      <c r="BR4" s="32" t="inlineStr">
        <is>
          <t>Dependent 1 Gender*</t>
        </is>
      </c>
      <c r="BS4" s="40" t="inlineStr">
        <is>
          <t>Dependent 1 Tobacco usage in last 12 months</t>
        </is>
      </c>
      <c r="BT4" s="40" t="inlineStr">
        <is>
          <t>Dependent 1 Relationship*</t>
        </is>
      </c>
      <c r="BU4" s="40" t="inlineStr">
        <is>
          <t>Dependent 1 is Disabled</t>
        </is>
      </c>
      <c r="BV4" s="40" t="inlineStr">
        <is>
          <t>Dependent 2 Prefix</t>
        </is>
      </c>
      <c r="BW4" s="40" t="inlineStr">
        <is>
          <t>Dependent 2 First Name*</t>
        </is>
      </c>
      <c r="BX4" s="40" t="inlineStr">
        <is>
          <t>Dependent 2 Middle Initial</t>
        </is>
      </c>
      <c r="BY4" s="40" t="inlineStr">
        <is>
          <t>Dependent 2 Last Name*</t>
        </is>
      </c>
      <c r="BZ4" s="40" t="inlineStr">
        <is>
          <t>Dependent 2 Suffix</t>
        </is>
      </c>
      <c r="CA4" s="32" t="inlineStr">
        <is>
          <t>Dependent 2 DOB*</t>
        </is>
      </c>
      <c r="CB4" s="32" t="inlineStr">
        <is>
          <t>Dependent 2 Gender*</t>
        </is>
      </c>
      <c r="CC4" s="40" t="inlineStr">
        <is>
          <t>Dependent 2 Tobacco usage in last 12 months</t>
        </is>
      </c>
      <c r="CD4" s="40" t="inlineStr">
        <is>
          <t>Dependent 2 Relationship*</t>
        </is>
      </c>
      <c r="CE4" s="40" t="inlineStr">
        <is>
          <t>Dependent 2 is Disabled</t>
        </is>
      </c>
      <c r="CF4" s="40" t="inlineStr">
        <is>
          <t>Dependent 3 Prefix</t>
        </is>
      </c>
      <c r="CG4" s="40" t="inlineStr">
        <is>
          <t>Dependent 3 First Name*</t>
        </is>
      </c>
      <c r="CH4" s="40" t="inlineStr">
        <is>
          <t>Dependent 3 Middle Initial</t>
        </is>
      </c>
      <c r="CI4" s="40" t="inlineStr">
        <is>
          <t>Dependent 3 Last Name*</t>
        </is>
      </c>
      <c r="CJ4" s="40" t="inlineStr">
        <is>
          <t>Dependent 3 Suffix</t>
        </is>
      </c>
      <c r="CK4" s="32" t="inlineStr">
        <is>
          <t>Dependent 3 DOB*</t>
        </is>
      </c>
      <c r="CL4" s="32" t="inlineStr">
        <is>
          <t>Dependent 3 Gender*</t>
        </is>
      </c>
      <c r="CM4" s="40" t="inlineStr">
        <is>
          <t>Dependent 3 Tobacco usage in last 12 months</t>
        </is>
      </c>
      <c r="CN4" s="40" t="inlineStr">
        <is>
          <t>Dependent 3 Relationship*</t>
        </is>
      </c>
      <c r="CO4" s="40" t="inlineStr">
        <is>
          <t>Dependent 3 is Disabled</t>
        </is>
      </c>
    </row>
    <row r="5" ht="15" customHeight="1" s="86">
      <c r="C5" t="inlineStr">
        <is>
          <t>Eva</t>
        </is>
      </c>
      <c r="E5" t="inlineStr">
        <is>
          <t>Reyes</t>
        </is>
      </c>
      <c r="G5" t="inlineStr">
        <is>
          <t>19/08/1997</t>
        </is>
      </c>
      <c r="H5" t="inlineStr">
        <is>
          <t>Female</t>
        </is>
      </c>
      <c r="I5" t="inlineStr">
        <is>
          <t>649124002</t>
        </is>
      </c>
      <c r="J5" t="inlineStr">
        <is>
          <t>No</t>
        </is>
      </c>
      <c r="K5" t="inlineStr">
        <is>
          <t>04WZELWYI</t>
        </is>
      </c>
      <c r="M5" t="inlineStr">
        <is>
          <t>20/10/2024</t>
        </is>
      </c>
      <c r="R5" t="inlineStr">
        <is>
          <t>Hourly</t>
        </is>
      </c>
      <c r="X5" t="inlineStr">
        <is>
          <t>22.2</t>
        </is>
      </c>
      <c r="AF5" t="inlineStr">
        <is>
          <t>Non-exempt</t>
        </is>
      </c>
      <c r="AI5" t="inlineStr">
        <is>
          <t>evamreyes13@gmail.com</t>
        </is>
      </c>
      <c r="AJ5" t="inlineStr">
        <is>
          <t>emreyes.remson@gmail.com</t>
        </is>
      </c>
      <c r="AL5" t="inlineStr">
        <is>
          <t>9715 Apache Ave Ne</t>
        </is>
      </c>
      <c r="AN5" t="inlineStr">
        <is>
          <t>Albuquerque</t>
        </is>
      </c>
      <c r="AO5" t="inlineStr">
        <is>
          <t>87112</t>
        </is>
      </c>
      <c r="AP5" t="inlineStr">
        <is>
          <t>NM</t>
        </is>
      </c>
      <c r="AR5" t="inlineStr">
        <is>
          <t>9715 Apache Ave Ne</t>
        </is>
      </c>
      <c r="AT5" t="inlineStr">
        <is>
          <t>Albuquerque</t>
        </is>
      </c>
      <c r="AU5" t="inlineStr">
        <is>
          <t>87112</t>
        </is>
      </c>
      <c r="AV5" t="inlineStr">
        <is>
          <t>NM</t>
        </is>
      </c>
      <c r="BB5" t="inlineStr">
        <is>
          <t>20/10/2024</t>
        </is>
      </c>
    </row>
    <row r="6" ht="15" customHeight="1" s="86">
      <c r="C6" t="inlineStr">
        <is>
          <t>Eva</t>
        </is>
      </c>
      <c r="E6" t="inlineStr">
        <is>
          <t>Reyes</t>
        </is>
      </c>
      <c r="G6" t="inlineStr">
        <is>
          <t>19/08/1997</t>
        </is>
      </c>
      <c r="H6" t="inlineStr">
        <is>
          <t>Female</t>
        </is>
      </c>
      <c r="I6" t="inlineStr">
        <is>
          <t>649124002</t>
        </is>
      </c>
      <c r="J6" t="inlineStr">
        <is>
          <t>No</t>
        </is>
      </c>
      <c r="K6" t="inlineStr">
        <is>
          <t>04WZELWYI</t>
        </is>
      </c>
      <c r="M6" t="inlineStr">
        <is>
          <t>20/10/2024</t>
        </is>
      </c>
      <c r="N6" t="inlineStr">
        <is>
          <t>08/12/2025</t>
        </is>
      </c>
      <c r="R6" t="inlineStr">
        <is>
          <t>Hourly</t>
        </is>
      </c>
      <c r="X6" t="inlineStr">
        <is>
          <t>22.2</t>
        </is>
      </c>
      <c r="AF6" t="inlineStr">
        <is>
          <t>Non-exempt</t>
        </is>
      </c>
      <c r="AI6" t="inlineStr">
        <is>
          <t>evamreyes13@gmail.com</t>
        </is>
      </c>
      <c r="AJ6" t="inlineStr">
        <is>
          <t>emreyes.remson@gmail.com</t>
        </is>
      </c>
      <c r="AL6" t="inlineStr">
        <is>
          <t>9715 Apache Ave Ne</t>
        </is>
      </c>
      <c r="AN6" t="inlineStr">
        <is>
          <t>Albuquerque</t>
        </is>
      </c>
      <c r="AO6" t="inlineStr">
        <is>
          <t>87112</t>
        </is>
      </c>
      <c r="AP6" t="inlineStr">
        <is>
          <t>NM</t>
        </is>
      </c>
      <c r="AR6" t="inlineStr">
        <is>
          <t>9715 Apache Ave Ne</t>
        </is>
      </c>
      <c r="AT6" t="inlineStr">
        <is>
          <t>Albuquerque</t>
        </is>
      </c>
      <c r="AU6" t="inlineStr">
        <is>
          <t>87112</t>
        </is>
      </c>
      <c r="AV6" t="inlineStr">
        <is>
          <t>NM</t>
        </is>
      </c>
      <c r="BB6" t="inlineStr">
        <is>
          <t>20/10/2024</t>
        </is>
      </c>
      <c r="BD6" t="inlineStr">
        <is>
          <t>Z4Y55Y33Y</t>
        </is>
      </c>
    </row>
    <row r="7" ht="15" customHeight="1" s="86">
      <c r="C7" t="inlineStr">
        <is>
          <t>Lisbeth</t>
        </is>
      </c>
      <c r="E7" t="inlineStr">
        <is>
          <t>Zamora</t>
        </is>
      </c>
      <c r="G7" t="inlineStr">
        <is>
          <t>23/10/2000</t>
        </is>
      </c>
      <c r="H7" t="inlineStr">
        <is>
          <t>Female</t>
        </is>
      </c>
      <c r="I7" t="inlineStr">
        <is>
          <t>649222705</t>
        </is>
      </c>
      <c r="J7" t="inlineStr">
        <is>
          <t>No</t>
        </is>
      </c>
      <c r="K7" t="inlineStr">
        <is>
          <t>0COB11AII</t>
        </is>
      </c>
      <c r="M7" t="inlineStr">
        <is>
          <t>20/10/2024</t>
        </is>
      </c>
      <c r="N7" t="inlineStr">
        <is>
          <t>09/12/2025</t>
        </is>
      </c>
      <c r="R7" t="inlineStr">
        <is>
          <t>Hourly</t>
        </is>
      </c>
      <c r="X7" t="inlineStr">
        <is>
          <t>21.65</t>
        </is>
      </c>
      <c r="AF7" t="inlineStr">
        <is>
          <t>Non-exempt</t>
        </is>
      </c>
      <c r="AJ7" t="inlineStr">
        <is>
          <t>lmzamora1.remson@gmail.com</t>
        </is>
      </c>
      <c r="AL7" t="inlineStr">
        <is>
          <t>2119 Castanada</t>
        </is>
      </c>
      <c r="AN7" t="inlineStr">
        <is>
          <t>Albuquerque</t>
        </is>
      </c>
      <c r="AO7" t="inlineStr">
        <is>
          <t>87105</t>
        </is>
      </c>
      <c r="AP7" t="inlineStr">
        <is>
          <t>NM</t>
        </is>
      </c>
      <c r="AR7" t="inlineStr">
        <is>
          <t>2119 Castanada</t>
        </is>
      </c>
      <c r="AT7" t="inlineStr">
        <is>
          <t>Albuquerque</t>
        </is>
      </c>
      <c r="AU7" t="inlineStr">
        <is>
          <t>87105</t>
        </is>
      </c>
      <c r="AV7" t="inlineStr">
        <is>
          <t>NM</t>
        </is>
      </c>
      <c r="BB7" t="inlineStr">
        <is>
          <t>20/10/2024</t>
        </is>
      </c>
      <c r="BD7" t="inlineStr">
        <is>
          <t>Z4Y55Y33Y</t>
        </is>
      </c>
    </row>
    <row r="8" ht="15" customHeight="1" s="86">
      <c r="C8" t="inlineStr">
        <is>
          <t>Lisbeth</t>
        </is>
      </c>
      <c r="E8" t="inlineStr">
        <is>
          <t>Zamora</t>
        </is>
      </c>
      <c r="G8" t="inlineStr">
        <is>
          <t>23/10/2000</t>
        </is>
      </c>
      <c r="H8" t="inlineStr">
        <is>
          <t>Female</t>
        </is>
      </c>
      <c r="I8" t="inlineStr">
        <is>
          <t>649222705</t>
        </is>
      </c>
      <c r="J8" t="inlineStr">
        <is>
          <t>No</t>
        </is>
      </c>
      <c r="K8" t="inlineStr">
        <is>
          <t>0COB11AII</t>
        </is>
      </c>
      <c r="M8" t="inlineStr">
        <is>
          <t>20/10/2024</t>
        </is>
      </c>
      <c r="N8" t="inlineStr">
        <is>
          <t>07/02/2026</t>
        </is>
      </c>
      <c r="R8" t="inlineStr">
        <is>
          <t>Hourly</t>
        </is>
      </c>
      <c r="X8" t="inlineStr">
        <is>
          <t>21.65</t>
        </is>
      </c>
      <c r="AF8" t="inlineStr">
        <is>
          <t>Non-exempt</t>
        </is>
      </c>
      <c r="AJ8" t="inlineStr">
        <is>
          <t>lmzamora1.remson@gmail.com</t>
        </is>
      </c>
      <c r="AL8" t="inlineStr">
        <is>
          <t>2119 Castanada</t>
        </is>
      </c>
      <c r="AN8" t="inlineStr">
        <is>
          <t>Albuquerque</t>
        </is>
      </c>
      <c r="AO8" t="inlineStr">
        <is>
          <t>87105</t>
        </is>
      </c>
      <c r="AP8" t="inlineStr">
        <is>
          <t>NM</t>
        </is>
      </c>
      <c r="AR8" t="inlineStr">
        <is>
          <t>2119 Castanada</t>
        </is>
      </c>
      <c r="AT8" t="inlineStr">
        <is>
          <t>Albuquerque</t>
        </is>
      </c>
      <c r="AU8" t="inlineStr">
        <is>
          <t>87105</t>
        </is>
      </c>
      <c r="AV8" t="inlineStr">
        <is>
          <t>NM</t>
        </is>
      </c>
      <c r="BB8" t="inlineStr">
        <is>
          <t>20/10/2024</t>
        </is>
      </c>
    </row>
    <row r="9" ht="15" customHeight="1" s="86">
      <c r="C9" t="inlineStr">
        <is>
          <t>Tommy</t>
        </is>
      </c>
      <c r="E9" t="inlineStr">
        <is>
          <t>Huynh</t>
        </is>
      </c>
      <c r="G9" t="inlineStr">
        <is>
          <t>24/08/2002</t>
        </is>
      </c>
      <c r="H9" t="inlineStr">
        <is>
          <t>Male</t>
        </is>
      </c>
      <c r="I9" t="inlineStr">
        <is>
          <t>649282986</t>
        </is>
      </c>
      <c r="J9" t="inlineStr">
        <is>
          <t>No</t>
        </is>
      </c>
      <c r="K9" t="inlineStr">
        <is>
          <t>0ENLCJIKO</t>
        </is>
      </c>
      <c r="M9" t="inlineStr">
        <is>
          <t>05/10/2025</t>
        </is>
      </c>
      <c r="R9" t="inlineStr">
        <is>
          <t>Hourly</t>
        </is>
      </c>
      <c r="X9" t="inlineStr">
        <is>
          <t>21.9</t>
        </is>
      </c>
      <c r="AF9" t="inlineStr">
        <is>
          <t>Non-exempt</t>
        </is>
      </c>
      <c r="AJ9" t="inlineStr">
        <is>
          <t>huynht.remson@gmail.com</t>
        </is>
      </c>
      <c r="AL9" t="inlineStr">
        <is>
          <t>644 Grove Se</t>
        </is>
      </c>
      <c r="AM9" t="inlineStr">
        <is>
          <t>D</t>
        </is>
      </c>
      <c r="AN9" t="inlineStr">
        <is>
          <t>Albuquerque</t>
        </is>
      </c>
      <c r="AO9" t="inlineStr">
        <is>
          <t>87108</t>
        </is>
      </c>
      <c r="AP9" t="inlineStr">
        <is>
          <t>NM</t>
        </is>
      </c>
      <c r="AR9" t="inlineStr">
        <is>
          <t>644 Grove Se</t>
        </is>
      </c>
      <c r="AS9" t="inlineStr">
        <is>
          <t>D</t>
        </is>
      </c>
      <c r="AT9" t="inlineStr">
        <is>
          <t>Albuquerque</t>
        </is>
      </c>
      <c r="AU9" t="inlineStr">
        <is>
          <t>87108</t>
        </is>
      </c>
      <c r="AV9" t="inlineStr">
        <is>
          <t>NM</t>
        </is>
      </c>
      <c r="BB9" t="inlineStr">
        <is>
          <t>05/06/2024</t>
        </is>
      </c>
    </row>
    <row r="10" ht="15" customHeight="1" s="86">
      <c r="C10" t="inlineStr">
        <is>
          <t>Tommy</t>
        </is>
      </c>
      <c r="E10" t="inlineStr">
        <is>
          <t>Huynh</t>
        </is>
      </c>
      <c r="G10" t="inlineStr">
        <is>
          <t>24/08/2002</t>
        </is>
      </c>
      <c r="H10" t="inlineStr">
        <is>
          <t>Male</t>
        </is>
      </c>
      <c r="I10" t="inlineStr">
        <is>
          <t>649282986</t>
        </is>
      </c>
      <c r="J10" t="inlineStr">
        <is>
          <t>No</t>
        </is>
      </c>
      <c r="K10" t="inlineStr">
        <is>
          <t>0ENLCJIKO</t>
        </is>
      </c>
      <c r="M10" t="inlineStr">
        <is>
          <t>05/10/2025</t>
        </is>
      </c>
      <c r="N10" t="inlineStr">
        <is>
          <t>08/12/2025</t>
        </is>
      </c>
      <c r="R10" t="inlineStr">
        <is>
          <t>Hourly</t>
        </is>
      </c>
      <c r="X10" t="inlineStr">
        <is>
          <t>21.9</t>
        </is>
      </c>
      <c r="AF10" t="inlineStr">
        <is>
          <t>Non-exempt</t>
        </is>
      </c>
      <c r="AJ10" t="inlineStr">
        <is>
          <t>huynht.remson@gmail.com</t>
        </is>
      </c>
      <c r="AL10" t="inlineStr">
        <is>
          <t>644 Grove Se</t>
        </is>
      </c>
      <c r="AM10" t="inlineStr">
        <is>
          <t>D</t>
        </is>
      </c>
      <c r="AN10" t="inlineStr">
        <is>
          <t>Albuquerque</t>
        </is>
      </c>
      <c r="AO10" t="inlineStr">
        <is>
          <t>87108</t>
        </is>
      </c>
      <c r="AP10" t="inlineStr">
        <is>
          <t>NM</t>
        </is>
      </c>
      <c r="AR10" t="inlineStr">
        <is>
          <t>644 Grove Se</t>
        </is>
      </c>
      <c r="AS10" t="inlineStr">
        <is>
          <t>D</t>
        </is>
      </c>
      <c r="AT10" t="inlineStr">
        <is>
          <t>Albuquerque</t>
        </is>
      </c>
      <c r="AU10" t="inlineStr">
        <is>
          <t>87108</t>
        </is>
      </c>
      <c r="AV10" t="inlineStr">
        <is>
          <t>NM</t>
        </is>
      </c>
      <c r="BB10" t="inlineStr">
        <is>
          <t>05/06/2024</t>
        </is>
      </c>
      <c r="BD10" t="inlineStr">
        <is>
          <t>Z4Y55Y33Y</t>
        </is>
      </c>
    </row>
    <row r="11" ht="15" customHeight="1" s="86">
      <c r="C11" t="inlineStr">
        <is>
          <t>Nathan</t>
        </is>
      </c>
      <c r="D11" t="inlineStr">
        <is>
          <t>I</t>
        </is>
      </c>
      <c r="E11" t="inlineStr">
        <is>
          <t>Perez</t>
        </is>
      </c>
      <c r="G11" t="inlineStr">
        <is>
          <t>10/03/2004</t>
        </is>
      </c>
      <c r="H11" t="inlineStr">
        <is>
          <t>Not Specified</t>
        </is>
      </c>
      <c r="I11" t="inlineStr">
        <is>
          <t>639905334</t>
        </is>
      </c>
      <c r="K11" t="inlineStr">
        <is>
          <t>0IIE2NWHH</t>
        </is>
      </c>
      <c r="M11" t="inlineStr">
        <is>
          <t>18/06/2025</t>
        </is>
      </c>
      <c r="N11" t="inlineStr">
        <is>
          <t>09/08/2025</t>
        </is>
      </c>
      <c r="R11" t="inlineStr">
        <is>
          <t>Hourly</t>
        </is>
      </c>
      <c r="X11" t="inlineStr">
        <is>
          <t>41</t>
        </is>
      </c>
      <c r="AF11" t="inlineStr">
        <is>
          <t>Non-exempt</t>
        </is>
      </c>
      <c r="AJ11" t="inlineStr">
        <is>
          <t>nperez.remson@gmail.com</t>
        </is>
      </c>
      <c r="AL11" t="inlineStr">
        <is>
          <t>11105 Fairbanks Road Northeast</t>
        </is>
      </c>
      <c r="AN11" t="inlineStr">
        <is>
          <t>Albuquerque</t>
        </is>
      </c>
      <c r="AO11" t="inlineStr">
        <is>
          <t>87112</t>
        </is>
      </c>
      <c r="AP11" t="inlineStr">
        <is>
          <t>NM</t>
        </is>
      </c>
      <c r="AR11" t="inlineStr">
        <is>
          <t>11105 Fairbanks Road Northeast</t>
        </is>
      </c>
      <c r="AT11" t="inlineStr">
        <is>
          <t>Albuquerque</t>
        </is>
      </c>
      <c r="AU11" t="inlineStr">
        <is>
          <t>87112</t>
        </is>
      </c>
      <c r="AV11" t="inlineStr">
        <is>
          <t>NM</t>
        </is>
      </c>
      <c r="BB11" t="inlineStr">
        <is>
          <t>18/06/2025</t>
        </is>
      </c>
      <c r="BD11" t="inlineStr">
        <is>
          <t>Z4Y55Y33Y</t>
        </is>
      </c>
    </row>
    <row r="12" ht="15" customHeight="1" s="86">
      <c r="C12" t="inlineStr">
        <is>
          <t>Joseph</t>
        </is>
      </c>
      <c r="D12" t="inlineStr">
        <is>
          <t>A</t>
        </is>
      </c>
      <c r="E12" t="inlineStr">
        <is>
          <t>Lueras</t>
        </is>
      </c>
      <c r="G12" t="inlineStr">
        <is>
          <t>10/01/1997</t>
        </is>
      </c>
      <c r="H12" t="inlineStr">
        <is>
          <t>Not Specified</t>
        </is>
      </c>
      <c r="I12" t="inlineStr">
        <is>
          <t>649104242</t>
        </is>
      </c>
      <c r="K12" t="inlineStr">
        <is>
          <t>0TAGLZKY4</t>
        </is>
      </c>
      <c r="M12" t="inlineStr">
        <is>
          <t>16/03/2025</t>
        </is>
      </c>
      <c r="R12" t="inlineStr">
        <is>
          <t>Hourly</t>
        </is>
      </c>
      <c r="X12" t="inlineStr">
        <is>
          <t>21.65</t>
        </is>
      </c>
      <c r="AF12" t="inlineStr">
        <is>
          <t>Non-exempt</t>
        </is>
      </c>
      <c r="AJ12" t="inlineStr">
        <is>
          <t>joelueras.remson@gmail.com</t>
        </is>
      </c>
      <c r="AL12" t="inlineStr">
        <is>
          <t>65 Cll Monte Aplanado Northwes</t>
        </is>
      </c>
      <c r="AN12" t="inlineStr">
        <is>
          <t>Albuquerque</t>
        </is>
      </c>
      <c r="AO12" t="inlineStr">
        <is>
          <t>87120</t>
        </is>
      </c>
      <c r="AP12" t="inlineStr">
        <is>
          <t>NM</t>
        </is>
      </c>
      <c r="AR12" t="inlineStr">
        <is>
          <t>65 Cll Monte Aplanado Northwes</t>
        </is>
      </c>
      <c r="AT12" t="inlineStr">
        <is>
          <t>Albuquerque</t>
        </is>
      </c>
      <c r="AU12" t="inlineStr">
        <is>
          <t>87120</t>
        </is>
      </c>
      <c r="AV12" t="inlineStr">
        <is>
          <t>NM</t>
        </is>
      </c>
      <c r="BB12" t="inlineStr">
        <is>
          <t>16/03/2025</t>
        </is>
      </c>
    </row>
    <row r="13" ht="15" customHeight="1" s="86">
      <c r="C13" t="inlineStr">
        <is>
          <t>Joseph</t>
        </is>
      </c>
      <c r="D13" t="inlineStr">
        <is>
          <t>A</t>
        </is>
      </c>
      <c r="E13" t="inlineStr">
        <is>
          <t>Lueras</t>
        </is>
      </c>
      <c r="G13" t="inlineStr">
        <is>
          <t>10/01/1997</t>
        </is>
      </c>
      <c r="H13" t="inlineStr">
        <is>
          <t>Not Specified</t>
        </is>
      </c>
      <c r="I13" t="inlineStr">
        <is>
          <t>649104242</t>
        </is>
      </c>
      <c r="K13" t="inlineStr">
        <is>
          <t>0TAGLZKY4</t>
        </is>
      </c>
      <c r="M13" t="inlineStr">
        <is>
          <t>16/03/2025</t>
        </is>
      </c>
      <c r="N13" t="inlineStr">
        <is>
          <t>08/12/2025</t>
        </is>
      </c>
      <c r="R13" t="inlineStr">
        <is>
          <t>Hourly</t>
        </is>
      </c>
      <c r="X13" t="inlineStr">
        <is>
          <t>21.65</t>
        </is>
      </c>
      <c r="AF13" t="inlineStr">
        <is>
          <t>Non-exempt</t>
        </is>
      </c>
      <c r="AJ13" t="inlineStr">
        <is>
          <t>joelueras.remson@gmail.com</t>
        </is>
      </c>
      <c r="AL13" t="inlineStr">
        <is>
          <t>65 Cll Monte Aplanado Northwes</t>
        </is>
      </c>
      <c r="AN13" t="inlineStr">
        <is>
          <t>Albuquerque</t>
        </is>
      </c>
      <c r="AO13" t="inlineStr">
        <is>
          <t>87120</t>
        </is>
      </c>
      <c r="AP13" t="inlineStr">
        <is>
          <t>NM</t>
        </is>
      </c>
      <c r="AR13" t="inlineStr">
        <is>
          <t>65 Cll Monte Aplanado Northwes</t>
        </is>
      </c>
      <c r="AT13" t="inlineStr">
        <is>
          <t>Albuquerque</t>
        </is>
      </c>
      <c r="AU13" t="inlineStr">
        <is>
          <t>87120</t>
        </is>
      </c>
      <c r="AV13" t="inlineStr">
        <is>
          <t>NM</t>
        </is>
      </c>
      <c r="BB13" t="inlineStr">
        <is>
          <t>16/03/2025</t>
        </is>
      </c>
      <c r="BD13" t="inlineStr">
        <is>
          <t>Z4Y55Y33Y</t>
        </is>
      </c>
    </row>
    <row r="14" ht="15" customHeight="1" s="86">
      <c r="C14" t="inlineStr">
        <is>
          <t>Adam</t>
        </is>
      </c>
      <c r="E14" t="inlineStr">
        <is>
          <t>Martinez</t>
        </is>
      </c>
      <c r="G14" t="inlineStr">
        <is>
          <t>22/02/1998</t>
        </is>
      </c>
      <c r="H14" t="inlineStr">
        <is>
          <t>Male</t>
        </is>
      </c>
      <c r="I14" t="inlineStr">
        <is>
          <t>649140698</t>
        </is>
      </c>
      <c r="J14" t="inlineStr">
        <is>
          <t>No</t>
        </is>
      </c>
      <c r="K14" t="inlineStr">
        <is>
          <t>0VBHXMHY2</t>
        </is>
      </c>
      <c r="M14" t="inlineStr">
        <is>
          <t>27/10/2025</t>
        </is>
      </c>
      <c r="N14" t="inlineStr">
        <is>
          <t>08/12/2025</t>
        </is>
      </c>
      <c r="R14" t="inlineStr">
        <is>
          <t>Hourly</t>
        </is>
      </c>
      <c r="X14" t="inlineStr">
        <is>
          <t>21.5</t>
        </is>
      </c>
      <c r="AF14" t="inlineStr">
        <is>
          <t>Non-exempt</t>
        </is>
      </c>
      <c r="AI14" t="inlineStr">
        <is>
          <t>amartinez.remson@gmail.com</t>
        </is>
      </c>
      <c r="AJ14" t="inlineStr">
        <is>
          <t xml:space="preserve"> ajmartinez.remson@gmail.com</t>
        </is>
      </c>
      <c r="AL14" t="inlineStr">
        <is>
          <t>1237 Calle Madera</t>
        </is>
      </c>
      <c r="AN14" t="inlineStr">
        <is>
          <t>Bernalillo</t>
        </is>
      </c>
      <c r="AO14" t="inlineStr">
        <is>
          <t>87004</t>
        </is>
      </c>
      <c r="AP14" t="inlineStr">
        <is>
          <t>NM</t>
        </is>
      </c>
      <c r="AR14" t="inlineStr">
        <is>
          <t>1237 Calle Madera</t>
        </is>
      </c>
      <c r="AT14" t="inlineStr">
        <is>
          <t>Bernalillo</t>
        </is>
      </c>
      <c r="AU14" t="inlineStr">
        <is>
          <t>87004</t>
        </is>
      </c>
      <c r="AV14" t="inlineStr">
        <is>
          <t>NM</t>
        </is>
      </c>
      <c r="BB14" t="inlineStr">
        <is>
          <t>07/02/2024</t>
        </is>
      </c>
      <c r="BD14" t="inlineStr">
        <is>
          <t>DZWKT8LKB</t>
        </is>
      </c>
    </row>
    <row r="15" ht="15" customHeight="1" s="86">
      <c r="C15" t="inlineStr">
        <is>
          <t>Adam</t>
        </is>
      </c>
      <c r="E15" t="inlineStr">
        <is>
          <t>Martinez</t>
        </is>
      </c>
      <c r="G15" t="inlineStr">
        <is>
          <t>22/02/1998</t>
        </is>
      </c>
      <c r="H15" t="inlineStr">
        <is>
          <t>Male</t>
        </is>
      </c>
      <c r="I15" t="inlineStr">
        <is>
          <t>649140698</t>
        </is>
      </c>
      <c r="J15" t="inlineStr">
        <is>
          <t>No</t>
        </is>
      </c>
      <c r="K15" t="inlineStr">
        <is>
          <t>0VBHXMHY2</t>
        </is>
      </c>
      <c r="M15" t="inlineStr">
        <is>
          <t>27/10/2025</t>
        </is>
      </c>
      <c r="N15" t="inlineStr">
        <is>
          <t>30/01/2026</t>
        </is>
      </c>
      <c r="R15" t="inlineStr">
        <is>
          <t>Hourly</t>
        </is>
      </c>
      <c r="X15" t="inlineStr">
        <is>
          <t>21.5</t>
        </is>
      </c>
      <c r="AF15" t="inlineStr">
        <is>
          <t>Non-exempt</t>
        </is>
      </c>
      <c r="AI15" t="inlineStr">
        <is>
          <t>amartinez.remson@gmail.com</t>
        </is>
      </c>
      <c r="AJ15" t="inlineStr">
        <is>
          <t xml:space="preserve"> ajmartinez.remson@gmail.com</t>
        </is>
      </c>
      <c r="AL15" t="inlineStr">
        <is>
          <t>1237 Calle Madera</t>
        </is>
      </c>
      <c r="AN15" t="inlineStr">
        <is>
          <t>Bernalillo</t>
        </is>
      </c>
      <c r="AO15" t="inlineStr">
        <is>
          <t>87004</t>
        </is>
      </c>
      <c r="AP15" t="inlineStr">
        <is>
          <t>NM</t>
        </is>
      </c>
      <c r="AR15" t="inlineStr">
        <is>
          <t>1237 Calle Madera</t>
        </is>
      </c>
      <c r="AT15" t="inlineStr">
        <is>
          <t>Bernalillo</t>
        </is>
      </c>
      <c r="AU15" t="inlineStr">
        <is>
          <t>87004</t>
        </is>
      </c>
      <c r="AV15" t="inlineStr">
        <is>
          <t>NM</t>
        </is>
      </c>
      <c r="BB15" t="inlineStr">
        <is>
          <t>07/02/2024</t>
        </is>
      </c>
      <c r="BD15" t="inlineStr">
        <is>
          <t>DZWKT8LKB</t>
        </is>
      </c>
    </row>
    <row r="16" ht="15" customHeight="1" s="86">
      <c r="C16" t="inlineStr">
        <is>
          <t>Adam</t>
        </is>
      </c>
      <c r="E16" t="inlineStr">
        <is>
          <t>Martinez</t>
        </is>
      </c>
      <c r="G16" t="inlineStr">
        <is>
          <t>22/02/1998</t>
        </is>
      </c>
      <c r="H16" t="inlineStr">
        <is>
          <t>Male</t>
        </is>
      </c>
      <c r="I16" t="inlineStr">
        <is>
          <t>649140698</t>
        </is>
      </c>
      <c r="J16" t="inlineStr">
        <is>
          <t>No</t>
        </is>
      </c>
      <c r="K16" t="inlineStr">
        <is>
          <t>0VBHXMHY2</t>
        </is>
      </c>
      <c r="M16" t="inlineStr">
        <is>
          <t>27/10/2025</t>
        </is>
      </c>
      <c r="N16" t="inlineStr">
        <is>
          <t>31/01/2026</t>
        </is>
      </c>
      <c r="R16" t="inlineStr">
        <is>
          <t>Hourly</t>
        </is>
      </c>
      <c r="X16" t="inlineStr">
        <is>
          <t>21.5</t>
        </is>
      </c>
      <c r="AF16" t="inlineStr">
        <is>
          <t>Non-exempt</t>
        </is>
      </c>
      <c r="AI16" t="inlineStr">
        <is>
          <t>amartinez.remson@gmail.com</t>
        </is>
      </c>
      <c r="AJ16" t="inlineStr">
        <is>
          <t xml:space="preserve"> ajmartinez.remson@gmail.com</t>
        </is>
      </c>
      <c r="AL16" t="inlineStr">
        <is>
          <t>1237 Calle Madera</t>
        </is>
      </c>
      <c r="AN16" t="inlineStr">
        <is>
          <t>Bernalillo</t>
        </is>
      </c>
      <c r="AO16" t="inlineStr">
        <is>
          <t>87004</t>
        </is>
      </c>
      <c r="AP16" t="inlineStr">
        <is>
          <t>NM</t>
        </is>
      </c>
      <c r="AR16" t="inlineStr">
        <is>
          <t>1237 Calle Madera</t>
        </is>
      </c>
      <c r="AT16" t="inlineStr">
        <is>
          <t>Bernalillo</t>
        </is>
      </c>
      <c r="AU16" t="inlineStr">
        <is>
          <t>87004</t>
        </is>
      </c>
      <c r="AV16" t="inlineStr">
        <is>
          <t>NM</t>
        </is>
      </c>
      <c r="BB16" t="inlineStr">
        <is>
          <t>07/02/2024</t>
        </is>
      </c>
      <c r="BD16" t="inlineStr">
        <is>
          <t>DZWKT8LKB</t>
        </is>
      </c>
    </row>
    <row r="17" ht="15" customHeight="1" s="86">
      <c r="C17" t="inlineStr">
        <is>
          <t>Anthony</t>
        </is>
      </c>
      <c r="E17" t="inlineStr">
        <is>
          <t>Bono</t>
        </is>
      </c>
      <c r="G17" t="inlineStr">
        <is>
          <t>17/08/1974</t>
        </is>
      </c>
      <c r="H17" t="inlineStr">
        <is>
          <t>Male</t>
        </is>
      </c>
      <c r="I17" t="inlineStr">
        <is>
          <t>491949152</t>
        </is>
      </c>
      <c r="J17" t="inlineStr">
        <is>
          <t>No</t>
        </is>
      </c>
      <c r="K17" t="inlineStr">
        <is>
          <t>1068Y2YKJ</t>
        </is>
      </c>
      <c r="M17" t="inlineStr">
        <is>
          <t>19/01/2025</t>
        </is>
      </c>
      <c r="N17" t="inlineStr">
        <is>
          <t>23/02/2025</t>
        </is>
      </c>
      <c r="R17" t="inlineStr">
        <is>
          <t>Hourly</t>
        </is>
      </c>
      <c r="X17" t="inlineStr">
        <is>
          <t>41</t>
        </is>
      </c>
      <c r="AF17" t="inlineStr">
        <is>
          <t>Non-exempt</t>
        </is>
      </c>
      <c r="AI17" t="inlineStr">
        <is>
          <t>abono.remson@gmail.com</t>
        </is>
      </c>
      <c r="AJ17" t="inlineStr">
        <is>
          <t>abono.remson@gmail.com</t>
        </is>
      </c>
      <c r="AL17" t="inlineStr">
        <is>
          <t>1311 Silver Avenue Sw</t>
        </is>
      </c>
      <c r="AM17" t="inlineStr">
        <is>
          <t>#4</t>
        </is>
      </c>
      <c r="AN17" t="inlineStr">
        <is>
          <t>Albuquerque</t>
        </is>
      </c>
      <c r="AO17" t="inlineStr">
        <is>
          <t>87102</t>
        </is>
      </c>
      <c r="AP17" t="inlineStr">
        <is>
          <t>NM</t>
        </is>
      </c>
      <c r="AR17" t="inlineStr">
        <is>
          <t>1311 Silver Avenue Sw</t>
        </is>
      </c>
      <c r="AS17" t="inlineStr">
        <is>
          <t>#4</t>
        </is>
      </c>
      <c r="AT17" t="inlineStr">
        <is>
          <t>Albuquerque</t>
        </is>
      </c>
      <c r="AU17" t="inlineStr">
        <is>
          <t>87102</t>
        </is>
      </c>
      <c r="AV17" t="inlineStr">
        <is>
          <t>NM</t>
        </is>
      </c>
      <c r="BB17" t="inlineStr">
        <is>
          <t>19/01/2025</t>
        </is>
      </c>
    </row>
    <row r="18" ht="15" customHeight="1" s="86">
      <c r="C18" t="inlineStr">
        <is>
          <t>Hunter</t>
        </is>
      </c>
      <c r="E18" t="inlineStr">
        <is>
          <t>Randolph</t>
        </is>
      </c>
      <c r="G18" t="inlineStr">
        <is>
          <t>21/03/2000</t>
        </is>
      </c>
      <c r="H18" t="inlineStr">
        <is>
          <t>Not Specified</t>
        </is>
      </c>
      <c r="I18" t="inlineStr">
        <is>
          <t>649207154</t>
        </is>
      </c>
      <c r="J18" t="inlineStr">
        <is>
          <t>No</t>
        </is>
      </c>
      <c r="K18" t="inlineStr">
        <is>
          <t>14YUQ5JIL</t>
        </is>
      </c>
      <c r="M18" t="inlineStr">
        <is>
          <t>25/08/2024</t>
        </is>
      </c>
      <c r="N18" t="inlineStr">
        <is>
          <t>17/05/2025</t>
        </is>
      </c>
      <c r="R18" t="inlineStr">
        <is>
          <t>Hourly</t>
        </is>
      </c>
      <c r="X18" t="inlineStr">
        <is>
          <t>41.6</t>
        </is>
      </c>
      <c r="AF18" t="inlineStr">
        <is>
          <t>Non-exempt</t>
        </is>
      </c>
      <c r="AI18" t="inlineStr">
        <is>
          <t>hrandolph.remson@gmail.com</t>
        </is>
      </c>
      <c r="AJ18" t="inlineStr">
        <is>
          <t>hrandolph.remson@gmail.com</t>
        </is>
      </c>
      <c r="AL18" t="inlineStr">
        <is>
          <t>4301 Bald Eagle Loop</t>
        </is>
      </c>
      <c r="AN18" t="inlineStr">
        <is>
          <t>Rio Rancho</t>
        </is>
      </c>
      <c r="AO18" t="inlineStr">
        <is>
          <t>87144</t>
        </is>
      </c>
      <c r="AP18" t="inlineStr">
        <is>
          <t>NM</t>
        </is>
      </c>
      <c r="AR18" t="inlineStr">
        <is>
          <t>4301 Bald Eagle Loop</t>
        </is>
      </c>
      <c r="AT18" t="inlineStr">
        <is>
          <t>Rio Rancho</t>
        </is>
      </c>
      <c r="AU18" t="inlineStr">
        <is>
          <t>87144</t>
        </is>
      </c>
      <c r="AV18" t="inlineStr">
        <is>
          <t>NM</t>
        </is>
      </c>
      <c r="BB18" t="inlineStr">
        <is>
          <t>25/08/2024</t>
        </is>
      </c>
    </row>
    <row r="19" ht="15" customHeight="1" s="86">
      <c r="C19" t="inlineStr">
        <is>
          <t>Daniel</t>
        </is>
      </c>
      <c r="D19" t="inlineStr">
        <is>
          <t>R</t>
        </is>
      </c>
      <c r="E19" t="inlineStr">
        <is>
          <t>Remson</t>
        </is>
      </c>
      <c r="G19" t="inlineStr">
        <is>
          <t>22/04/1981</t>
        </is>
      </c>
      <c r="H19" t="inlineStr">
        <is>
          <t>Male</t>
        </is>
      </c>
      <c r="I19" t="inlineStr">
        <is>
          <t>524612524</t>
        </is>
      </c>
      <c r="J19" t="inlineStr">
        <is>
          <t>No</t>
        </is>
      </c>
      <c r="K19" t="inlineStr">
        <is>
          <t>1DSXHLDE3</t>
        </is>
      </c>
      <c r="M19" t="inlineStr">
        <is>
          <t>27/09/2023</t>
        </is>
      </c>
      <c r="R19" t="inlineStr">
        <is>
          <t>Salary</t>
        </is>
      </c>
      <c r="U19" t="inlineStr">
        <is>
          <t>78000</t>
        </is>
      </c>
      <c r="X19" t="n">
        <v>0</v>
      </c>
      <c r="AF19" t="inlineStr">
        <is>
          <t>Exempt</t>
        </is>
      </c>
      <c r="AI19" t="inlineStr">
        <is>
          <t>dannyremson@rocketmail.com</t>
        </is>
      </c>
      <c r="AJ19" t="inlineStr">
        <is>
          <t>dannyremson@rocketmail.com</t>
        </is>
      </c>
      <c r="AL19" t="inlineStr">
        <is>
          <t>23024 E Ontario Dr Unit 105</t>
        </is>
      </c>
      <c r="AN19" t="inlineStr">
        <is>
          <t>Aurora</t>
        </is>
      </c>
      <c r="AO19" t="inlineStr">
        <is>
          <t>80016</t>
        </is>
      </c>
      <c r="AP19" t="inlineStr">
        <is>
          <t>CO</t>
        </is>
      </c>
      <c r="AR19" t="inlineStr">
        <is>
          <t>23024 E Ontario Dr Unit 105</t>
        </is>
      </c>
      <c r="AT19" t="inlineStr">
        <is>
          <t>Aurora</t>
        </is>
      </c>
      <c r="AU19" t="inlineStr">
        <is>
          <t>80016</t>
        </is>
      </c>
      <c r="AV19" t="inlineStr">
        <is>
          <t>CO</t>
        </is>
      </c>
      <c r="BB19" t="inlineStr">
        <is>
          <t>27/09/2023</t>
        </is>
      </c>
      <c r="BD19" t="inlineStr">
        <is>
          <t>DZWKT8LKB</t>
        </is>
      </c>
    </row>
    <row r="20" ht="15" customHeight="1" s="86">
      <c r="C20" t="inlineStr">
        <is>
          <t>Daniel</t>
        </is>
      </c>
      <c r="D20" t="inlineStr">
        <is>
          <t>R</t>
        </is>
      </c>
      <c r="E20" t="inlineStr">
        <is>
          <t>Remson</t>
        </is>
      </c>
      <c r="G20" t="inlineStr">
        <is>
          <t>22/04/1981</t>
        </is>
      </c>
      <c r="H20" t="inlineStr">
        <is>
          <t>Male</t>
        </is>
      </c>
      <c r="I20" t="inlineStr">
        <is>
          <t>524612524</t>
        </is>
      </c>
      <c r="J20" t="inlineStr">
        <is>
          <t>No</t>
        </is>
      </c>
      <c r="K20" t="inlineStr">
        <is>
          <t>1DSXHLDE3</t>
        </is>
      </c>
      <c r="M20" t="inlineStr">
        <is>
          <t>27/09/2023</t>
        </is>
      </c>
      <c r="N20" t="inlineStr">
        <is>
          <t>08/12/2025</t>
        </is>
      </c>
      <c r="R20" t="inlineStr">
        <is>
          <t>Salary</t>
        </is>
      </c>
      <c r="U20" t="inlineStr">
        <is>
          <t>78000</t>
        </is>
      </c>
      <c r="X20" t="n">
        <v>0</v>
      </c>
      <c r="AF20" t="inlineStr">
        <is>
          <t>Exempt</t>
        </is>
      </c>
      <c r="AI20" t="inlineStr">
        <is>
          <t>dannyremson@rocketmail.com</t>
        </is>
      </c>
      <c r="AJ20" t="inlineStr">
        <is>
          <t>dannyremson@rocketmail.com</t>
        </is>
      </c>
      <c r="AL20" t="inlineStr">
        <is>
          <t>23024 E Ontario Dr Unit 105</t>
        </is>
      </c>
      <c r="AN20" t="inlineStr">
        <is>
          <t>Aurora</t>
        </is>
      </c>
      <c r="AO20" t="inlineStr">
        <is>
          <t>80016</t>
        </is>
      </c>
      <c r="AP20" t="inlineStr">
        <is>
          <t>CO</t>
        </is>
      </c>
      <c r="AR20" t="inlineStr">
        <is>
          <t>23024 E Ontario Dr Unit 105</t>
        </is>
      </c>
      <c r="AT20" t="inlineStr">
        <is>
          <t>Aurora</t>
        </is>
      </c>
      <c r="AU20" t="inlineStr">
        <is>
          <t>80016</t>
        </is>
      </c>
      <c r="AV20" t="inlineStr">
        <is>
          <t>CO</t>
        </is>
      </c>
      <c r="BB20" t="inlineStr">
        <is>
          <t>27/09/2023</t>
        </is>
      </c>
      <c r="BD20" t="inlineStr">
        <is>
          <t>DZWKT8LKB</t>
        </is>
      </c>
    </row>
    <row r="21" ht="15" customHeight="1" s="86">
      <c r="C21" t="inlineStr">
        <is>
          <t>Darion</t>
        </is>
      </c>
      <c r="E21" t="inlineStr">
        <is>
          <t>Blankenship</t>
        </is>
      </c>
      <c r="G21" t="inlineStr">
        <is>
          <t>20/05/2003</t>
        </is>
      </c>
      <c r="H21" t="inlineStr">
        <is>
          <t>Male</t>
        </is>
      </c>
      <c r="I21" t="inlineStr">
        <is>
          <t>649307575</t>
        </is>
      </c>
      <c r="J21" t="inlineStr">
        <is>
          <t>No</t>
        </is>
      </c>
      <c r="K21" t="inlineStr">
        <is>
          <t>1O09JJ7U3</t>
        </is>
      </c>
      <c r="M21" t="inlineStr">
        <is>
          <t>01/12/2024</t>
        </is>
      </c>
      <c r="N21" t="inlineStr">
        <is>
          <t>09/08/2025</t>
        </is>
      </c>
      <c r="R21" t="inlineStr">
        <is>
          <t>Hourly</t>
        </is>
      </c>
      <c r="X21" t="inlineStr">
        <is>
          <t>41.6</t>
        </is>
      </c>
      <c r="AF21" t="inlineStr">
        <is>
          <t>Non-exempt</t>
        </is>
      </c>
      <c r="AI21" t="inlineStr">
        <is>
          <t>dxblankenship123@gmail.com</t>
        </is>
      </c>
      <c r="AJ21" t="inlineStr">
        <is>
          <t>darionb.remson@gmail.com</t>
        </is>
      </c>
      <c r="AL21" t="inlineStr">
        <is>
          <t>13150 Wenonah Ave Se</t>
        </is>
      </c>
      <c r="AM21" t="inlineStr">
        <is>
          <t>824</t>
        </is>
      </c>
      <c r="AN21" t="inlineStr">
        <is>
          <t>Albuquerque</t>
        </is>
      </c>
      <c r="AO21" t="inlineStr">
        <is>
          <t>87123</t>
        </is>
      </c>
      <c r="AP21" t="inlineStr">
        <is>
          <t>NM</t>
        </is>
      </c>
      <c r="AR21" t="inlineStr">
        <is>
          <t>13150 Wenonah Ave Se</t>
        </is>
      </c>
      <c r="AS21" t="inlineStr">
        <is>
          <t>824</t>
        </is>
      </c>
      <c r="AT21" t="inlineStr">
        <is>
          <t>Albuquerque</t>
        </is>
      </c>
      <c r="AU21" t="inlineStr">
        <is>
          <t>87123</t>
        </is>
      </c>
      <c r="AV21" t="inlineStr">
        <is>
          <t>NM</t>
        </is>
      </c>
      <c r="BB21" t="inlineStr">
        <is>
          <t>01/12/2024</t>
        </is>
      </c>
    </row>
    <row r="22" ht="15" customHeight="1" s="86">
      <c r="C22" t="inlineStr">
        <is>
          <t>Manuel</t>
        </is>
      </c>
      <c r="E22" t="inlineStr">
        <is>
          <t>Archuleta</t>
        </is>
      </c>
      <c r="G22" t="inlineStr">
        <is>
          <t>11/11/1996</t>
        </is>
      </c>
      <c r="H22" t="inlineStr">
        <is>
          <t>Not Specified</t>
        </is>
      </c>
      <c r="I22" t="inlineStr">
        <is>
          <t>648107910</t>
        </is>
      </c>
      <c r="J22" t="inlineStr">
        <is>
          <t>No</t>
        </is>
      </c>
      <c r="K22" t="inlineStr">
        <is>
          <t>1RKN1YMI6</t>
        </is>
      </c>
      <c r="M22" t="inlineStr">
        <is>
          <t>12/07/2024</t>
        </is>
      </c>
      <c r="R22" t="inlineStr">
        <is>
          <t>Hourly</t>
        </is>
      </c>
      <c r="X22" t="inlineStr">
        <is>
          <t>21.9</t>
        </is>
      </c>
      <c r="AF22" t="inlineStr">
        <is>
          <t>Non-exempt</t>
        </is>
      </c>
      <c r="AJ22" t="inlineStr">
        <is>
          <t>marchuleta.remson@gmail.com</t>
        </is>
      </c>
      <c r="AL22" t="inlineStr">
        <is>
          <t>300 Mcknight Ave Ne Apt N201</t>
        </is>
      </c>
      <c r="AN22" t="inlineStr">
        <is>
          <t>Albuquerque</t>
        </is>
      </c>
      <c r="AO22" t="inlineStr">
        <is>
          <t>87102-1779</t>
        </is>
      </c>
      <c r="AP22" t="inlineStr">
        <is>
          <t>NM</t>
        </is>
      </c>
      <c r="AR22" t="inlineStr">
        <is>
          <t>300 Mcknight Ave Ne Apt N201</t>
        </is>
      </c>
      <c r="AT22" t="inlineStr">
        <is>
          <t>Albuquerque</t>
        </is>
      </c>
      <c r="AU22" t="inlineStr">
        <is>
          <t>87102-1779</t>
        </is>
      </c>
      <c r="AV22" t="inlineStr">
        <is>
          <t>NM</t>
        </is>
      </c>
      <c r="BB22" t="inlineStr">
        <is>
          <t>12/07/2024</t>
        </is>
      </c>
    </row>
    <row r="23" ht="15" customHeight="1" s="86">
      <c r="C23" t="inlineStr">
        <is>
          <t>Manuel</t>
        </is>
      </c>
      <c r="E23" t="inlineStr">
        <is>
          <t>Archuleta</t>
        </is>
      </c>
      <c r="G23" t="inlineStr">
        <is>
          <t>11/11/1996</t>
        </is>
      </c>
      <c r="H23" t="inlineStr">
        <is>
          <t>Not Specified</t>
        </is>
      </c>
      <c r="I23" t="inlineStr">
        <is>
          <t>648107910</t>
        </is>
      </c>
      <c r="J23" t="inlineStr">
        <is>
          <t>No</t>
        </is>
      </c>
      <c r="K23" t="inlineStr">
        <is>
          <t>1RKN1YMI6</t>
        </is>
      </c>
      <c r="M23" t="inlineStr">
        <is>
          <t>12/07/2024</t>
        </is>
      </c>
      <c r="N23" t="inlineStr">
        <is>
          <t>08/12/2025</t>
        </is>
      </c>
      <c r="R23" t="inlineStr">
        <is>
          <t>Hourly</t>
        </is>
      </c>
      <c r="X23" t="inlineStr">
        <is>
          <t>21.9</t>
        </is>
      </c>
      <c r="AF23" t="inlineStr">
        <is>
          <t>Non-exempt</t>
        </is>
      </c>
      <c r="AJ23" t="inlineStr">
        <is>
          <t>marchuleta.remson@gmail.com</t>
        </is>
      </c>
      <c r="AL23" t="inlineStr">
        <is>
          <t>300 Mcknight Ave Ne Apt N201</t>
        </is>
      </c>
      <c r="AN23" t="inlineStr">
        <is>
          <t>Albuquerque</t>
        </is>
      </c>
      <c r="AO23" t="inlineStr">
        <is>
          <t>87102-1779</t>
        </is>
      </c>
      <c r="AP23" t="inlineStr">
        <is>
          <t>NM</t>
        </is>
      </c>
      <c r="AR23" t="inlineStr">
        <is>
          <t>300 Mcknight Ave Ne Apt N201</t>
        </is>
      </c>
      <c r="AT23" t="inlineStr">
        <is>
          <t>Albuquerque</t>
        </is>
      </c>
      <c r="AU23" t="inlineStr">
        <is>
          <t>87102-1779</t>
        </is>
      </c>
      <c r="AV23" t="inlineStr">
        <is>
          <t>NM</t>
        </is>
      </c>
      <c r="BB23" t="inlineStr">
        <is>
          <t>12/07/2024</t>
        </is>
      </c>
      <c r="BD23" t="inlineStr">
        <is>
          <t>Z4Y55Y33Y</t>
        </is>
      </c>
    </row>
    <row r="24" ht="15" customHeight="1" s="86">
      <c r="C24" t="inlineStr">
        <is>
          <t>Daniel</t>
        </is>
      </c>
      <c r="E24" t="inlineStr">
        <is>
          <t>Gutierrez</t>
        </is>
      </c>
      <c r="G24" t="inlineStr">
        <is>
          <t>19/09/1992</t>
        </is>
      </c>
      <c r="H24" t="inlineStr">
        <is>
          <t>Male</t>
        </is>
      </c>
      <c r="I24" t="inlineStr">
        <is>
          <t>602603574</t>
        </is>
      </c>
      <c r="J24" t="inlineStr">
        <is>
          <t>No</t>
        </is>
      </c>
      <c r="K24" t="inlineStr">
        <is>
          <t>1UGPE4FVB</t>
        </is>
      </c>
      <c r="M24" t="inlineStr">
        <is>
          <t>06/10/2024</t>
        </is>
      </c>
      <c r="N24" t="inlineStr">
        <is>
          <t>11/01/2025</t>
        </is>
      </c>
      <c r="R24" t="inlineStr">
        <is>
          <t>Hourly</t>
        </is>
      </c>
      <c r="X24" t="inlineStr">
        <is>
          <t>41</t>
        </is>
      </c>
      <c r="AF24" t="inlineStr">
        <is>
          <t>Non-exempt</t>
        </is>
      </c>
      <c r="AI24" t="inlineStr">
        <is>
          <t>dgutierrez1.remson@gmail.com</t>
        </is>
      </c>
      <c r="AJ24" t="inlineStr">
        <is>
          <t>dgutierrez1.remson@gmail.com</t>
        </is>
      </c>
      <c r="AL24" t="inlineStr">
        <is>
          <t>8704 Benavides Ave Sw</t>
        </is>
      </c>
      <c r="AN24" t="inlineStr">
        <is>
          <t>Albuquerque</t>
        </is>
      </c>
      <c r="AO24" t="inlineStr">
        <is>
          <t>87121</t>
        </is>
      </c>
      <c r="AP24" t="inlineStr">
        <is>
          <t>NM</t>
        </is>
      </c>
      <c r="AR24" t="inlineStr">
        <is>
          <t>8704 Benavides Ave Sw</t>
        </is>
      </c>
      <c r="AT24" t="inlineStr">
        <is>
          <t>Albuquerque</t>
        </is>
      </c>
      <c r="AU24" t="inlineStr">
        <is>
          <t>87121</t>
        </is>
      </c>
      <c r="AV24" t="inlineStr">
        <is>
          <t>NM</t>
        </is>
      </c>
      <c r="BB24" t="inlineStr">
        <is>
          <t>06/10/2024</t>
        </is>
      </c>
    </row>
    <row r="25" ht="15" customHeight="1" s="86">
      <c r="C25" t="inlineStr">
        <is>
          <t>Joseluis</t>
        </is>
      </c>
      <c r="E25" t="inlineStr">
        <is>
          <t>Solis</t>
        </is>
      </c>
      <c r="G25" t="inlineStr">
        <is>
          <t>18/05/2002</t>
        </is>
      </c>
      <c r="H25" t="inlineStr">
        <is>
          <t>Male</t>
        </is>
      </c>
      <c r="I25" t="inlineStr">
        <is>
          <t>648284154</t>
        </is>
      </c>
      <c r="J25" t="inlineStr">
        <is>
          <t>No</t>
        </is>
      </c>
      <c r="K25" t="inlineStr">
        <is>
          <t>1Y3UIGUKA</t>
        </is>
      </c>
      <c r="M25" t="inlineStr">
        <is>
          <t>21/10/2023</t>
        </is>
      </c>
      <c r="R25" t="inlineStr">
        <is>
          <t>Hourly</t>
        </is>
      </c>
      <c r="X25" t="inlineStr">
        <is>
          <t>22.2</t>
        </is>
      </c>
      <c r="AF25" t="inlineStr">
        <is>
          <t>Non-exempt</t>
        </is>
      </c>
      <c r="AI25" t="inlineStr">
        <is>
          <t>itz.joseluis23@gmail.com</t>
        </is>
      </c>
      <c r="AJ25" t="inlineStr">
        <is>
          <t>joseluisrem24@gmail.com</t>
        </is>
      </c>
      <c r="AL25" t="inlineStr">
        <is>
          <t>9901 Ceja Vista Rd Southwest</t>
        </is>
      </c>
      <c r="AM25" t="inlineStr">
        <is>
          <t>K302</t>
        </is>
      </c>
      <c r="AN25" t="inlineStr">
        <is>
          <t>Albuquerque</t>
        </is>
      </c>
      <c r="AO25" t="inlineStr">
        <is>
          <t>87121</t>
        </is>
      </c>
      <c r="AP25" t="inlineStr">
        <is>
          <t>NM</t>
        </is>
      </c>
      <c r="AR25" t="inlineStr">
        <is>
          <t>9901 Ceja Vista Rd Southwest</t>
        </is>
      </c>
      <c r="AS25" t="inlineStr">
        <is>
          <t>K302</t>
        </is>
      </c>
      <c r="AT25" t="inlineStr">
        <is>
          <t>Albuquerque</t>
        </is>
      </c>
      <c r="AU25" t="inlineStr">
        <is>
          <t>87121</t>
        </is>
      </c>
      <c r="AV25" t="inlineStr">
        <is>
          <t>NM</t>
        </is>
      </c>
      <c r="BB25" t="inlineStr">
        <is>
          <t>21/10/2023</t>
        </is>
      </c>
    </row>
    <row r="26" ht="15" customHeight="1" s="86">
      <c r="C26" t="inlineStr">
        <is>
          <t>Joseluis</t>
        </is>
      </c>
      <c r="E26" t="inlineStr">
        <is>
          <t>Solis</t>
        </is>
      </c>
      <c r="G26" t="inlineStr">
        <is>
          <t>18/05/2002</t>
        </is>
      </c>
      <c r="H26" t="inlineStr">
        <is>
          <t>Male</t>
        </is>
      </c>
      <c r="I26" t="inlineStr">
        <is>
          <t>648284154</t>
        </is>
      </c>
      <c r="J26" t="inlineStr">
        <is>
          <t>No</t>
        </is>
      </c>
      <c r="K26" t="inlineStr">
        <is>
          <t>1Y3UIGUKA</t>
        </is>
      </c>
      <c r="M26" t="inlineStr">
        <is>
          <t>21/10/2023</t>
        </is>
      </c>
      <c r="N26" t="inlineStr">
        <is>
          <t>08/12/2025</t>
        </is>
      </c>
      <c r="R26" t="inlineStr">
        <is>
          <t>Hourly</t>
        </is>
      </c>
      <c r="X26" t="inlineStr">
        <is>
          <t>22.2</t>
        </is>
      </c>
      <c r="AF26" t="inlineStr">
        <is>
          <t>Non-exempt</t>
        </is>
      </c>
      <c r="AI26" t="inlineStr">
        <is>
          <t>itz.joseluis23@gmail.com</t>
        </is>
      </c>
      <c r="AJ26" t="inlineStr">
        <is>
          <t>joseluisrem24@gmail.com</t>
        </is>
      </c>
      <c r="AL26" t="inlineStr">
        <is>
          <t>9901 Ceja Vista Rd Southwest</t>
        </is>
      </c>
      <c r="AM26" t="inlineStr">
        <is>
          <t>K302</t>
        </is>
      </c>
      <c r="AN26" t="inlineStr">
        <is>
          <t>Albuquerque</t>
        </is>
      </c>
      <c r="AO26" t="inlineStr">
        <is>
          <t>87121</t>
        </is>
      </c>
      <c r="AP26" t="inlineStr">
        <is>
          <t>NM</t>
        </is>
      </c>
      <c r="AR26" t="inlineStr">
        <is>
          <t>9901 Ceja Vista Rd Southwest</t>
        </is>
      </c>
      <c r="AS26" t="inlineStr">
        <is>
          <t>K302</t>
        </is>
      </c>
      <c r="AT26" t="inlineStr">
        <is>
          <t>Albuquerque</t>
        </is>
      </c>
      <c r="AU26" t="inlineStr">
        <is>
          <t>87121</t>
        </is>
      </c>
      <c r="AV26" t="inlineStr">
        <is>
          <t>NM</t>
        </is>
      </c>
      <c r="BB26" t="inlineStr">
        <is>
          <t>21/10/2023</t>
        </is>
      </c>
      <c r="BD26" t="inlineStr">
        <is>
          <t>Z4Y55Y33Y</t>
        </is>
      </c>
    </row>
    <row r="27" ht="15" customHeight="1" s="86">
      <c r="C27" t="inlineStr">
        <is>
          <t>Richard</t>
        </is>
      </c>
      <c r="D27" t="inlineStr">
        <is>
          <t>K</t>
        </is>
      </c>
      <c r="E27" t="inlineStr">
        <is>
          <t>Jenkins</t>
        </is>
      </c>
      <c r="G27" t="inlineStr">
        <is>
          <t>09/02/2002</t>
        </is>
      </c>
      <c r="H27" t="inlineStr">
        <is>
          <t>Not Specified</t>
        </is>
      </c>
      <c r="I27" t="inlineStr">
        <is>
          <t>649266607</t>
        </is>
      </c>
      <c r="K27" t="inlineStr">
        <is>
          <t>257KAAY3Y</t>
        </is>
      </c>
      <c r="M27" t="inlineStr">
        <is>
          <t>17/12/2025</t>
        </is>
      </c>
      <c r="R27" t="inlineStr">
        <is>
          <t>Hourly</t>
        </is>
      </c>
      <c r="X27" t="inlineStr">
        <is>
          <t>21.5</t>
        </is>
      </c>
      <c r="AF27" t="inlineStr">
        <is>
          <t>Non-exempt</t>
        </is>
      </c>
      <c r="AI27" t="inlineStr">
        <is>
          <t>rjenkins.remsom02@gmail.com</t>
        </is>
      </c>
      <c r="AJ27" t="inlineStr">
        <is>
          <t>rjenkins.remsom02@gmail.com</t>
        </is>
      </c>
      <c r="AL27" t="inlineStr">
        <is>
          <t>537 Cagua Drive Southeast</t>
        </is>
      </c>
      <c r="AN27" t="inlineStr">
        <is>
          <t>Albuquerque</t>
        </is>
      </c>
      <c r="AO27" t="inlineStr">
        <is>
          <t>87108</t>
        </is>
      </c>
      <c r="AP27" t="inlineStr">
        <is>
          <t>NM</t>
        </is>
      </c>
      <c r="AR27" t="inlineStr">
        <is>
          <t>537 Cagua Drive Southeast</t>
        </is>
      </c>
      <c r="AT27" t="inlineStr">
        <is>
          <t>Albuquerque</t>
        </is>
      </c>
      <c r="AU27" t="inlineStr">
        <is>
          <t>87108</t>
        </is>
      </c>
      <c r="AV27" t="inlineStr">
        <is>
          <t>NM</t>
        </is>
      </c>
      <c r="BB27" t="inlineStr">
        <is>
          <t>17/12/2025</t>
        </is>
      </c>
      <c r="BD27" t="inlineStr">
        <is>
          <t>Z4Y55Y33Y</t>
        </is>
      </c>
    </row>
    <row r="28" ht="15" customHeight="1" s="86">
      <c r="C28" t="inlineStr">
        <is>
          <t>Richard</t>
        </is>
      </c>
      <c r="D28" t="inlineStr">
        <is>
          <t>K</t>
        </is>
      </c>
      <c r="E28" t="inlineStr">
        <is>
          <t>Jenkins</t>
        </is>
      </c>
      <c r="G28" t="inlineStr">
        <is>
          <t>09/02/2002</t>
        </is>
      </c>
      <c r="H28" t="inlineStr">
        <is>
          <t>Not Specified</t>
        </is>
      </c>
      <c r="I28" t="inlineStr">
        <is>
          <t>649266607</t>
        </is>
      </c>
      <c r="K28" t="inlineStr">
        <is>
          <t>257KAAY3Y</t>
        </is>
      </c>
      <c r="M28" t="inlineStr">
        <is>
          <t>17/12/2025</t>
        </is>
      </c>
      <c r="N28" t="inlineStr">
        <is>
          <t>30/01/2026</t>
        </is>
      </c>
      <c r="R28" t="inlineStr">
        <is>
          <t>Hourly</t>
        </is>
      </c>
      <c r="X28" t="inlineStr">
        <is>
          <t>21.5</t>
        </is>
      </c>
      <c r="AF28" t="inlineStr">
        <is>
          <t>Non-exempt</t>
        </is>
      </c>
      <c r="AI28" t="inlineStr">
        <is>
          <t>rjenkins.remsom02@gmail.com</t>
        </is>
      </c>
      <c r="AJ28" t="inlineStr">
        <is>
          <t>rjenkins.remsom02@gmail.com</t>
        </is>
      </c>
      <c r="AL28" t="inlineStr">
        <is>
          <t>537 Cagua Drive Southeast</t>
        </is>
      </c>
      <c r="AN28" t="inlineStr">
        <is>
          <t>Albuquerque</t>
        </is>
      </c>
      <c r="AO28" t="inlineStr">
        <is>
          <t>87108</t>
        </is>
      </c>
      <c r="AP28" t="inlineStr">
        <is>
          <t>NM</t>
        </is>
      </c>
      <c r="AR28" t="inlineStr">
        <is>
          <t>537 Cagua Drive Southeast</t>
        </is>
      </c>
      <c r="AT28" t="inlineStr">
        <is>
          <t>Albuquerque</t>
        </is>
      </c>
      <c r="AU28" t="inlineStr">
        <is>
          <t>87108</t>
        </is>
      </c>
      <c r="AV28" t="inlineStr">
        <is>
          <t>NM</t>
        </is>
      </c>
      <c r="BB28" t="inlineStr">
        <is>
          <t>17/12/2025</t>
        </is>
      </c>
      <c r="BD28" t="inlineStr">
        <is>
          <t>Z4Y55Y33Y</t>
        </is>
      </c>
    </row>
    <row r="29" ht="15" customHeight="1" s="86">
      <c r="C29" t="inlineStr">
        <is>
          <t>Daniel</t>
        </is>
      </c>
      <c r="D29" t="inlineStr">
        <is>
          <t>J</t>
        </is>
      </c>
      <c r="E29" t="inlineStr">
        <is>
          <t>Remson</t>
        </is>
      </c>
      <c r="G29" t="inlineStr">
        <is>
          <t>29/07/2008</t>
        </is>
      </c>
      <c r="H29" t="inlineStr">
        <is>
          <t>Male</t>
        </is>
      </c>
      <c r="I29" t="inlineStr">
        <is>
          <t>652500345</t>
        </is>
      </c>
      <c r="K29" t="inlineStr">
        <is>
          <t>2BQOAUFUR</t>
        </is>
      </c>
      <c r="M29" t="inlineStr">
        <is>
          <t>02/11/2025</t>
        </is>
      </c>
      <c r="R29" t="inlineStr">
        <is>
          <t>Salary</t>
        </is>
      </c>
      <c r="U29" t="inlineStr">
        <is>
          <t>13999.96</t>
        </is>
      </c>
      <c r="X29" t="n">
        <v>0</v>
      </c>
      <c r="AF29" t="inlineStr">
        <is>
          <t>Exempt</t>
        </is>
      </c>
      <c r="AI29" t="inlineStr">
        <is>
          <t>dandkdeliveries@gmail.com</t>
        </is>
      </c>
      <c r="AJ29" t="inlineStr">
        <is>
          <t>dandkdeliveries@gmail.com</t>
        </is>
      </c>
      <c r="AL29" t="inlineStr">
        <is>
          <t>5110 South Danube Street</t>
        </is>
      </c>
      <c r="AN29" t="inlineStr">
        <is>
          <t>Centennial</t>
        </is>
      </c>
      <c r="AO29" t="inlineStr">
        <is>
          <t>80015</t>
        </is>
      </c>
      <c r="AP29" t="inlineStr">
        <is>
          <t>CO</t>
        </is>
      </c>
      <c r="AR29" t="inlineStr">
        <is>
          <t>5110 South Danube Street</t>
        </is>
      </c>
      <c r="AT29" t="inlineStr">
        <is>
          <t>Centennial</t>
        </is>
      </c>
      <c r="AU29" t="inlineStr">
        <is>
          <t>80015</t>
        </is>
      </c>
      <c r="AV29" t="inlineStr">
        <is>
          <t>CO</t>
        </is>
      </c>
      <c r="BB29" t="inlineStr">
        <is>
          <t>02/11/2025</t>
        </is>
      </c>
      <c r="BD29" t="inlineStr">
        <is>
          <t>DZWKT8LKB</t>
        </is>
      </c>
    </row>
    <row r="30" ht="15" customHeight="1" s="86">
      <c r="C30" t="inlineStr">
        <is>
          <t>Daniel</t>
        </is>
      </c>
      <c r="D30" t="inlineStr">
        <is>
          <t>J</t>
        </is>
      </c>
      <c r="E30" t="inlineStr">
        <is>
          <t>Remson</t>
        </is>
      </c>
      <c r="G30" t="inlineStr">
        <is>
          <t>29/07/2008</t>
        </is>
      </c>
      <c r="H30" t="inlineStr">
        <is>
          <t>Male</t>
        </is>
      </c>
      <c r="I30" t="inlineStr">
        <is>
          <t>652500345</t>
        </is>
      </c>
      <c r="K30" t="inlineStr">
        <is>
          <t>2BQOAUFUR</t>
        </is>
      </c>
      <c r="M30" t="inlineStr">
        <is>
          <t>02/11/2025</t>
        </is>
      </c>
      <c r="N30" t="inlineStr">
        <is>
          <t>08/12/2025</t>
        </is>
      </c>
      <c r="R30" t="inlineStr">
        <is>
          <t>Salary</t>
        </is>
      </c>
      <c r="U30" t="inlineStr">
        <is>
          <t>13999.96</t>
        </is>
      </c>
      <c r="X30" t="n">
        <v>0</v>
      </c>
      <c r="AF30" t="inlineStr">
        <is>
          <t>Exempt</t>
        </is>
      </c>
      <c r="AI30" t="inlineStr">
        <is>
          <t>dandkdeliveries@gmail.com</t>
        </is>
      </c>
      <c r="AJ30" t="inlineStr">
        <is>
          <t>dandkdeliveries@gmail.com</t>
        </is>
      </c>
      <c r="AL30" t="inlineStr">
        <is>
          <t>5110 South Danube Street</t>
        </is>
      </c>
      <c r="AN30" t="inlineStr">
        <is>
          <t>Centennial</t>
        </is>
      </c>
      <c r="AO30" t="inlineStr">
        <is>
          <t>80015</t>
        </is>
      </c>
      <c r="AP30" t="inlineStr">
        <is>
          <t>CO</t>
        </is>
      </c>
      <c r="AR30" t="inlineStr">
        <is>
          <t>5110 South Danube Street</t>
        </is>
      </c>
      <c r="AT30" t="inlineStr">
        <is>
          <t>Centennial</t>
        </is>
      </c>
      <c r="AU30" t="inlineStr">
        <is>
          <t>80015</t>
        </is>
      </c>
      <c r="AV30" t="inlineStr">
        <is>
          <t>CO</t>
        </is>
      </c>
      <c r="BB30" t="inlineStr">
        <is>
          <t>02/11/2025</t>
        </is>
      </c>
      <c r="BD30" t="inlineStr">
        <is>
          <t>DZWKT8LKB</t>
        </is>
      </c>
    </row>
    <row r="31" ht="15" customHeight="1" s="86">
      <c r="C31" t="inlineStr">
        <is>
          <t>Master</t>
        </is>
      </c>
      <c r="E31" t="inlineStr">
        <is>
          <t>Watkins</t>
        </is>
      </c>
      <c r="G31" t="inlineStr">
        <is>
          <t>06/10/1992</t>
        </is>
      </c>
      <c r="H31" t="inlineStr">
        <is>
          <t>Not Specified</t>
        </is>
      </c>
      <c r="I31" t="inlineStr">
        <is>
          <t>329889145</t>
        </is>
      </c>
      <c r="K31" t="inlineStr">
        <is>
          <t>2E5TERS2C</t>
        </is>
      </c>
      <c r="M31" t="inlineStr">
        <is>
          <t>10/01/2024</t>
        </is>
      </c>
      <c r="N31" t="inlineStr">
        <is>
          <t>28/12/2024</t>
        </is>
      </c>
      <c r="R31" t="inlineStr">
        <is>
          <t>Hourly</t>
        </is>
      </c>
      <c r="X31" t="inlineStr">
        <is>
          <t>20.95</t>
        </is>
      </c>
      <c r="AF31" t="inlineStr">
        <is>
          <t>Non-exempt</t>
        </is>
      </c>
      <c r="AI31" t="inlineStr">
        <is>
          <t>mwatkins.remson@gmail.com</t>
        </is>
      </c>
      <c r="AJ31" t="inlineStr">
        <is>
          <t>mwatkins.remson@gmail.com</t>
        </is>
      </c>
      <c r="AL31" t="inlineStr">
        <is>
          <t>2600 Americare Ct Nw</t>
        </is>
      </c>
      <c r="AM31" t="inlineStr">
        <is>
          <t>Apt 10201</t>
        </is>
      </c>
      <c r="AN31" t="inlineStr">
        <is>
          <t>Albuquerque</t>
        </is>
      </c>
      <c r="AO31" t="inlineStr">
        <is>
          <t>87120</t>
        </is>
      </c>
      <c r="AP31" t="inlineStr">
        <is>
          <t>NM</t>
        </is>
      </c>
      <c r="AR31" t="inlineStr">
        <is>
          <t>2600 Americare Ct Nw</t>
        </is>
      </c>
      <c r="AS31" t="inlineStr">
        <is>
          <t>Apt 10201</t>
        </is>
      </c>
      <c r="AT31" t="inlineStr">
        <is>
          <t>Albuquerque</t>
        </is>
      </c>
      <c r="AU31" t="inlineStr">
        <is>
          <t>87120</t>
        </is>
      </c>
      <c r="AV31" t="inlineStr">
        <is>
          <t>NM</t>
        </is>
      </c>
      <c r="BB31" t="inlineStr">
        <is>
          <t>10/01/2024</t>
        </is>
      </c>
    </row>
    <row r="32" ht="15" customHeight="1" s="86">
      <c r="C32" t="inlineStr">
        <is>
          <t>Cameron</t>
        </is>
      </c>
      <c r="E32" t="inlineStr">
        <is>
          <t>Whedon</t>
        </is>
      </c>
      <c r="G32" t="inlineStr">
        <is>
          <t>02/02/1976</t>
        </is>
      </c>
      <c r="H32" t="inlineStr">
        <is>
          <t>Not Specified</t>
        </is>
      </c>
      <c r="I32" t="inlineStr">
        <is>
          <t>059809284</t>
        </is>
      </c>
      <c r="K32" t="inlineStr">
        <is>
          <t>2IQEBHGU4</t>
        </is>
      </c>
      <c r="M32" t="inlineStr">
        <is>
          <t>25/02/2025</t>
        </is>
      </c>
      <c r="R32" t="inlineStr">
        <is>
          <t>Hourly</t>
        </is>
      </c>
      <c r="X32" t="inlineStr">
        <is>
          <t>21.65</t>
        </is>
      </c>
      <c r="AF32" t="inlineStr">
        <is>
          <t>Non-exempt</t>
        </is>
      </c>
      <c r="AJ32" t="inlineStr">
        <is>
          <t>cwhedon3.remson@gmail.com</t>
        </is>
      </c>
      <c r="AL32" t="inlineStr">
        <is>
          <t>36 San Simon Rd</t>
        </is>
      </c>
      <c r="AN32" t="inlineStr">
        <is>
          <t>Laguna</t>
        </is>
      </c>
      <c r="AO32" t="inlineStr">
        <is>
          <t>87026</t>
        </is>
      </c>
      <c r="AP32" t="inlineStr">
        <is>
          <t>NM</t>
        </is>
      </c>
      <c r="AR32" t="inlineStr">
        <is>
          <t>36 San Simon Rd</t>
        </is>
      </c>
      <c r="AT32" t="inlineStr">
        <is>
          <t>Laguna</t>
        </is>
      </c>
      <c r="AU32" t="inlineStr">
        <is>
          <t>87026</t>
        </is>
      </c>
      <c r="AV32" t="inlineStr">
        <is>
          <t>NM</t>
        </is>
      </c>
      <c r="BB32" t="inlineStr">
        <is>
          <t>25/02/2025</t>
        </is>
      </c>
    </row>
    <row r="33" ht="15" customHeight="1" s="86">
      <c r="C33" t="inlineStr">
        <is>
          <t>Cameron</t>
        </is>
      </c>
      <c r="E33" t="inlineStr">
        <is>
          <t>Whedon</t>
        </is>
      </c>
      <c r="G33" t="inlineStr">
        <is>
          <t>02/02/1976</t>
        </is>
      </c>
      <c r="H33" t="inlineStr">
        <is>
          <t>Not Specified</t>
        </is>
      </c>
      <c r="I33" t="inlineStr">
        <is>
          <t>059809284</t>
        </is>
      </c>
      <c r="K33" t="inlineStr">
        <is>
          <t>2IQEBHGU4</t>
        </is>
      </c>
      <c r="M33" t="inlineStr">
        <is>
          <t>25/02/2025</t>
        </is>
      </c>
      <c r="N33" t="inlineStr">
        <is>
          <t>09/12/2025</t>
        </is>
      </c>
      <c r="R33" t="inlineStr">
        <is>
          <t>Hourly</t>
        </is>
      </c>
      <c r="X33" t="inlineStr">
        <is>
          <t>21.65</t>
        </is>
      </c>
      <c r="AF33" t="inlineStr">
        <is>
          <t>Non-exempt</t>
        </is>
      </c>
      <c r="AJ33" t="inlineStr">
        <is>
          <t>cwhedon3.remson@gmail.com</t>
        </is>
      </c>
      <c r="AL33" t="inlineStr">
        <is>
          <t>36 San Simon Rd</t>
        </is>
      </c>
      <c r="AN33" t="inlineStr">
        <is>
          <t>Laguna</t>
        </is>
      </c>
      <c r="AO33" t="inlineStr">
        <is>
          <t>87026</t>
        </is>
      </c>
      <c r="AP33" t="inlineStr">
        <is>
          <t>NM</t>
        </is>
      </c>
      <c r="AR33" t="inlineStr">
        <is>
          <t>36 San Simon Rd</t>
        </is>
      </c>
      <c r="AT33" t="inlineStr">
        <is>
          <t>Laguna</t>
        </is>
      </c>
      <c r="AU33" t="inlineStr">
        <is>
          <t>87026</t>
        </is>
      </c>
      <c r="AV33" t="inlineStr">
        <is>
          <t>NM</t>
        </is>
      </c>
      <c r="BB33" t="inlineStr">
        <is>
          <t>25/02/2025</t>
        </is>
      </c>
      <c r="BD33" t="inlineStr">
        <is>
          <t>Z4Y55Y33Y</t>
        </is>
      </c>
    </row>
    <row r="34" ht="15" customHeight="1" s="86">
      <c r="C34" t="inlineStr">
        <is>
          <t>Willie</t>
        </is>
      </c>
      <c r="D34" t="inlineStr">
        <is>
          <t>D</t>
        </is>
      </c>
      <c r="E34" t="inlineStr">
        <is>
          <t>Walker Jr</t>
        </is>
      </c>
      <c r="G34" t="inlineStr">
        <is>
          <t>26/01/1977</t>
        </is>
      </c>
      <c r="H34" t="inlineStr">
        <is>
          <t>Not Specified</t>
        </is>
      </c>
      <c r="I34" t="inlineStr">
        <is>
          <t>525732796</t>
        </is>
      </c>
      <c r="K34" t="inlineStr">
        <is>
          <t>2JG0GRV4H</t>
        </is>
      </c>
      <c r="M34" t="inlineStr">
        <is>
          <t>21/04/2025</t>
        </is>
      </c>
      <c r="R34" t="inlineStr">
        <is>
          <t>Hourly</t>
        </is>
      </c>
      <c r="X34" t="inlineStr">
        <is>
          <t>21.65</t>
        </is>
      </c>
      <c r="AF34" t="inlineStr">
        <is>
          <t>Non-exempt</t>
        </is>
      </c>
      <c r="AJ34" t="inlineStr">
        <is>
          <t>wwalker.remson@gmail.com</t>
        </is>
      </c>
      <c r="AL34" t="inlineStr">
        <is>
          <t>631 Vista Luna Lane Southwest</t>
        </is>
      </c>
      <c r="AN34" t="inlineStr">
        <is>
          <t>Albuquerque</t>
        </is>
      </c>
      <c r="AO34" t="inlineStr">
        <is>
          <t>87121</t>
        </is>
      </c>
      <c r="AP34" t="inlineStr">
        <is>
          <t>NM</t>
        </is>
      </c>
      <c r="AR34" t="inlineStr">
        <is>
          <t>631 Vista Luna Lane Southwest</t>
        </is>
      </c>
      <c r="AT34" t="inlineStr">
        <is>
          <t>Albuquerque</t>
        </is>
      </c>
      <c r="AU34" t="inlineStr">
        <is>
          <t>87121</t>
        </is>
      </c>
      <c r="AV34" t="inlineStr">
        <is>
          <t>NM</t>
        </is>
      </c>
      <c r="BB34" t="inlineStr">
        <is>
          <t>21/04/2025</t>
        </is>
      </c>
    </row>
    <row r="35" ht="15" customHeight="1" s="86">
      <c r="C35" t="inlineStr">
        <is>
          <t>Willie</t>
        </is>
      </c>
      <c r="D35" t="inlineStr">
        <is>
          <t>D</t>
        </is>
      </c>
      <c r="E35" t="inlineStr">
        <is>
          <t>Walker Jr</t>
        </is>
      </c>
      <c r="G35" t="inlineStr">
        <is>
          <t>26/01/1977</t>
        </is>
      </c>
      <c r="H35" t="inlineStr">
        <is>
          <t>Not Specified</t>
        </is>
      </c>
      <c r="I35" t="inlineStr">
        <is>
          <t>525732796</t>
        </is>
      </c>
      <c r="K35" t="inlineStr">
        <is>
          <t>2JG0GRV4H</t>
        </is>
      </c>
      <c r="M35" t="inlineStr">
        <is>
          <t>21/04/2025</t>
        </is>
      </c>
      <c r="N35" t="inlineStr">
        <is>
          <t>09/12/2025</t>
        </is>
      </c>
      <c r="R35" t="inlineStr">
        <is>
          <t>Hourly</t>
        </is>
      </c>
      <c r="X35" t="inlineStr">
        <is>
          <t>21.65</t>
        </is>
      </c>
      <c r="AF35" t="inlineStr">
        <is>
          <t>Non-exempt</t>
        </is>
      </c>
      <c r="AJ35" t="inlineStr">
        <is>
          <t>wwalker.remson@gmail.com</t>
        </is>
      </c>
      <c r="AL35" t="inlineStr">
        <is>
          <t>631 Vista Luna Lane Southwest</t>
        </is>
      </c>
      <c r="AN35" t="inlineStr">
        <is>
          <t>Albuquerque</t>
        </is>
      </c>
      <c r="AO35" t="inlineStr">
        <is>
          <t>87121</t>
        </is>
      </c>
      <c r="AP35" t="inlineStr">
        <is>
          <t>NM</t>
        </is>
      </c>
      <c r="AR35" t="inlineStr">
        <is>
          <t>631 Vista Luna Lane Southwest</t>
        </is>
      </c>
      <c r="AT35" t="inlineStr">
        <is>
          <t>Albuquerque</t>
        </is>
      </c>
      <c r="AU35" t="inlineStr">
        <is>
          <t>87121</t>
        </is>
      </c>
      <c r="AV35" t="inlineStr">
        <is>
          <t>NM</t>
        </is>
      </c>
      <c r="BB35" t="inlineStr">
        <is>
          <t>21/04/2025</t>
        </is>
      </c>
      <c r="BD35" t="inlineStr">
        <is>
          <t>Z4Y55Y33Y</t>
        </is>
      </c>
    </row>
    <row r="36" ht="15" customHeight="1" s="86">
      <c r="C36" t="inlineStr">
        <is>
          <t>Gilbert</t>
        </is>
      </c>
      <c r="E36" t="inlineStr">
        <is>
          <t>Prieto</t>
        </is>
      </c>
      <c r="G36" t="inlineStr">
        <is>
          <t>21/04/1990</t>
        </is>
      </c>
      <c r="H36" t="inlineStr">
        <is>
          <t>Male</t>
        </is>
      </c>
      <c r="I36" t="inlineStr">
        <is>
          <t>525871172</t>
        </is>
      </c>
      <c r="K36" t="inlineStr">
        <is>
          <t>2JGOWT85E</t>
        </is>
      </c>
      <c r="M36" t="inlineStr">
        <is>
          <t>02/02/2025</t>
        </is>
      </c>
      <c r="R36" t="inlineStr">
        <is>
          <t>Hourly</t>
        </is>
      </c>
      <c r="X36" t="inlineStr">
        <is>
          <t>21.65</t>
        </is>
      </c>
      <c r="AF36" t="inlineStr">
        <is>
          <t>Non-exempt</t>
        </is>
      </c>
      <c r="AI36" t="inlineStr">
        <is>
          <t>rtnbsb@gmail.com</t>
        </is>
      </c>
      <c r="AJ36" t="inlineStr">
        <is>
          <t>gprieto.remson@gmail.com</t>
        </is>
      </c>
      <c r="AL36" t="inlineStr">
        <is>
          <t>1418 DEL REY PL. S.W.</t>
        </is>
      </c>
      <c r="AN36" t="inlineStr">
        <is>
          <t>ALBUQUERQUE</t>
        </is>
      </c>
      <c r="AO36" t="inlineStr">
        <is>
          <t>87121</t>
        </is>
      </c>
      <c r="AP36" t="inlineStr">
        <is>
          <t>NM</t>
        </is>
      </c>
      <c r="AR36" t="inlineStr">
        <is>
          <t>1418 DEL REY PL. S.W.</t>
        </is>
      </c>
      <c r="AT36" t="inlineStr">
        <is>
          <t>ALBUQUERQUE</t>
        </is>
      </c>
      <c r="AU36" t="inlineStr">
        <is>
          <t>87121</t>
        </is>
      </c>
      <c r="AV36" t="inlineStr">
        <is>
          <t>NM</t>
        </is>
      </c>
      <c r="BB36" t="inlineStr">
        <is>
          <t>02/02/2025</t>
        </is>
      </c>
    </row>
    <row r="37" ht="15" customHeight="1" s="86">
      <c r="C37" t="inlineStr">
        <is>
          <t>Gilbert</t>
        </is>
      </c>
      <c r="E37" t="inlineStr">
        <is>
          <t>Prieto</t>
        </is>
      </c>
      <c r="G37" t="inlineStr">
        <is>
          <t>21/04/1990</t>
        </is>
      </c>
      <c r="H37" t="inlineStr">
        <is>
          <t>Male</t>
        </is>
      </c>
      <c r="I37" t="inlineStr">
        <is>
          <t>525871172</t>
        </is>
      </c>
      <c r="K37" t="inlineStr">
        <is>
          <t>2JGOWT85E</t>
        </is>
      </c>
      <c r="M37" t="inlineStr">
        <is>
          <t>02/02/2025</t>
        </is>
      </c>
      <c r="N37" t="inlineStr">
        <is>
          <t>08/12/2025</t>
        </is>
      </c>
      <c r="R37" t="inlineStr">
        <is>
          <t>Hourly</t>
        </is>
      </c>
      <c r="X37" t="inlineStr">
        <is>
          <t>21.65</t>
        </is>
      </c>
      <c r="AF37" t="inlineStr">
        <is>
          <t>Non-exempt</t>
        </is>
      </c>
      <c r="AI37" t="inlineStr">
        <is>
          <t>rtnbsb@gmail.com</t>
        </is>
      </c>
      <c r="AJ37" t="inlineStr">
        <is>
          <t>gprieto.remson@gmail.com</t>
        </is>
      </c>
      <c r="AL37" t="inlineStr">
        <is>
          <t>1418 DEL REY PL. S.W.</t>
        </is>
      </c>
      <c r="AN37" t="inlineStr">
        <is>
          <t>ALBUQUERQUE</t>
        </is>
      </c>
      <c r="AO37" t="inlineStr">
        <is>
          <t>87121</t>
        </is>
      </c>
      <c r="AP37" t="inlineStr">
        <is>
          <t>NM</t>
        </is>
      </c>
      <c r="AR37" t="inlineStr">
        <is>
          <t>1418 DEL REY PL. S.W.</t>
        </is>
      </c>
      <c r="AT37" t="inlineStr">
        <is>
          <t>ALBUQUERQUE</t>
        </is>
      </c>
      <c r="AU37" t="inlineStr">
        <is>
          <t>87121</t>
        </is>
      </c>
      <c r="AV37" t="inlineStr">
        <is>
          <t>NM</t>
        </is>
      </c>
      <c r="BB37" t="inlineStr">
        <is>
          <t>02/02/2025</t>
        </is>
      </c>
      <c r="BD37" t="inlineStr">
        <is>
          <t>Z4Y55Y33Y</t>
        </is>
      </c>
    </row>
    <row r="38" ht="15" customHeight="1" s="86">
      <c r="C38" t="inlineStr">
        <is>
          <t>Diego</t>
        </is>
      </c>
      <c r="E38" t="inlineStr">
        <is>
          <t>Rivera</t>
        </is>
      </c>
      <c r="G38" t="inlineStr">
        <is>
          <t>17/03/2002</t>
        </is>
      </c>
      <c r="H38" t="inlineStr">
        <is>
          <t>Male</t>
        </is>
      </c>
      <c r="I38" t="inlineStr">
        <is>
          <t>649267716</t>
        </is>
      </c>
      <c r="J38" t="inlineStr">
        <is>
          <t>No</t>
        </is>
      </c>
      <c r="K38" t="inlineStr">
        <is>
          <t>2KQH7B8ER</t>
        </is>
      </c>
      <c r="M38" t="inlineStr">
        <is>
          <t>03/12/2024</t>
        </is>
      </c>
      <c r="N38" t="inlineStr">
        <is>
          <t>12/02/2025</t>
        </is>
      </c>
      <c r="R38" t="inlineStr">
        <is>
          <t>Hourly</t>
        </is>
      </c>
      <c r="X38" t="inlineStr">
        <is>
          <t>41</t>
        </is>
      </c>
      <c r="AF38" t="inlineStr">
        <is>
          <t>Non-exempt</t>
        </is>
      </c>
      <c r="AI38" t="inlineStr">
        <is>
          <t>drivera.remson@gmail.com</t>
        </is>
      </c>
      <c r="AJ38" t="inlineStr">
        <is>
          <t>drivera.remson@gmail.com</t>
        </is>
      </c>
      <c r="AL38" t="inlineStr">
        <is>
          <t>482 Desert Mist Dr Sw</t>
        </is>
      </c>
      <c r="AN38" t="inlineStr">
        <is>
          <t>Albuquerque</t>
        </is>
      </c>
      <c r="AO38" t="inlineStr">
        <is>
          <t>87121</t>
        </is>
      </c>
      <c r="AP38" t="inlineStr">
        <is>
          <t>NM</t>
        </is>
      </c>
      <c r="AR38" t="inlineStr">
        <is>
          <t>482 Desert Mist Dr Sw</t>
        </is>
      </c>
      <c r="AT38" t="inlineStr">
        <is>
          <t>Albuquerque</t>
        </is>
      </c>
      <c r="AU38" t="inlineStr">
        <is>
          <t>87121</t>
        </is>
      </c>
      <c r="AV38" t="inlineStr">
        <is>
          <t>NM</t>
        </is>
      </c>
      <c r="BB38" t="inlineStr">
        <is>
          <t>03/12/2024</t>
        </is>
      </c>
    </row>
    <row r="39" ht="15" customHeight="1" s="86">
      <c r="C39" t="inlineStr">
        <is>
          <t>Mike</t>
        </is>
      </c>
      <c r="E39" t="inlineStr">
        <is>
          <t>Brown</t>
        </is>
      </c>
      <c r="G39" t="inlineStr">
        <is>
          <t>24/06/2001</t>
        </is>
      </c>
      <c r="H39" t="inlineStr">
        <is>
          <t>Male</t>
        </is>
      </c>
      <c r="I39" t="inlineStr">
        <is>
          <t>765786490</t>
        </is>
      </c>
      <c r="J39" t="inlineStr">
        <is>
          <t>No</t>
        </is>
      </c>
      <c r="K39" t="inlineStr">
        <is>
          <t>2O5BC87W8</t>
        </is>
      </c>
      <c r="M39" t="inlineStr">
        <is>
          <t>05/01/2025</t>
        </is>
      </c>
      <c r="N39" t="inlineStr">
        <is>
          <t>10/02/2025</t>
        </is>
      </c>
      <c r="R39" t="inlineStr">
        <is>
          <t>Hourly</t>
        </is>
      </c>
      <c r="X39" t="inlineStr">
        <is>
          <t>41</t>
        </is>
      </c>
      <c r="AF39" t="inlineStr">
        <is>
          <t>Non-exempt</t>
        </is>
      </c>
      <c r="AI39" t="inlineStr">
        <is>
          <t>mbrown.remson@gmail.com</t>
        </is>
      </c>
      <c r="AJ39" t="inlineStr">
        <is>
          <t>mbrown.remson@gmail.com</t>
        </is>
      </c>
      <c r="AL39" t="inlineStr">
        <is>
          <t>2306 Chelwood Park Blvd Ne</t>
        </is>
      </c>
      <c r="AM39" t="inlineStr">
        <is>
          <t>2D</t>
        </is>
      </c>
      <c r="AN39" t="inlineStr">
        <is>
          <t>Albuquerque</t>
        </is>
      </c>
      <c r="AO39" t="inlineStr">
        <is>
          <t>87112</t>
        </is>
      </c>
      <c r="AP39" t="inlineStr">
        <is>
          <t>NM</t>
        </is>
      </c>
      <c r="AR39" t="inlineStr">
        <is>
          <t>2306 Chelwood Park Blvd Ne</t>
        </is>
      </c>
      <c r="AS39" t="inlineStr">
        <is>
          <t>2D</t>
        </is>
      </c>
      <c r="AT39" t="inlineStr">
        <is>
          <t>Albuquerque</t>
        </is>
      </c>
      <c r="AU39" t="inlineStr">
        <is>
          <t>87112</t>
        </is>
      </c>
      <c r="AV39" t="inlineStr">
        <is>
          <t>NM</t>
        </is>
      </c>
      <c r="BB39" t="inlineStr">
        <is>
          <t>05/01/2025</t>
        </is>
      </c>
    </row>
    <row r="40" ht="15" customHeight="1" s="86">
      <c r="C40" t="inlineStr">
        <is>
          <t>Jesus</t>
        </is>
      </c>
      <c r="E40" t="inlineStr">
        <is>
          <t>Chaparro</t>
        </is>
      </c>
      <c r="G40" t="inlineStr">
        <is>
          <t>23/01/1999</t>
        </is>
      </c>
      <c r="H40" t="inlineStr">
        <is>
          <t>Male</t>
        </is>
      </c>
      <c r="I40" t="inlineStr">
        <is>
          <t>706456469</t>
        </is>
      </c>
      <c r="J40" t="inlineStr">
        <is>
          <t>No</t>
        </is>
      </c>
      <c r="K40" t="inlineStr">
        <is>
          <t>2XTRQA2H4</t>
        </is>
      </c>
      <c r="M40" t="inlineStr">
        <is>
          <t>04/12/2024</t>
        </is>
      </c>
      <c r="N40" t="inlineStr">
        <is>
          <t>09/08/2025</t>
        </is>
      </c>
      <c r="R40" t="inlineStr">
        <is>
          <t>Hourly</t>
        </is>
      </c>
      <c r="X40" t="inlineStr">
        <is>
          <t>41.6</t>
        </is>
      </c>
      <c r="AF40" t="inlineStr">
        <is>
          <t>Non-exempt</t>
        </is>
      </c>
      <c r="AJ40" t="inlineStr">
        <is>
          <t>jchaparro.remson@gmail.com</t>
        </is>
      </c>
      <c r="AL40" t="inlineStr">
        <is>
          <t>2504 Javier Way Sw</t>
        </is>
      </c>
      <c r="AN40" t="inlineStr">
        <is>
          <t>Albuquerque</t>
        </is>
      </c>
      <c r="AO40" t="inlineStr">
        <is>
          <t>87121</t>
        </is>
      </c>
      <c r="AP40" t="inlineStr">
        <is>
          <t>NM</t>
        </is>
      </c>
      <c r="AR40" t="inlineStr">
        <is>
          <t>2504 Javier Way Sw</t>
        </is>
      </c>
      <c r="AT40" t="inlineStr">
        <is>
          <t>Albuquerque</t>
        </is>
      </c>
      <c r="AU40" t="inlineStr">
        <is>
          <t>87121</t>
        </is>
      </c>
      <c r="AV40" t="inlineStr">
        <is>
          <t>NM</t>
        </is>
      </c>
      <c r="BB40" t="inlineStr">
        <is>
          <t>04/12/2024</t>
        </is>
      </c>
    </row>
    <row r="41" ht="15" customHeight="1" s="86">
      <c r="C41" t="inlineStr">
        <is>
          <t>Chance</t>
        </is>
      </c>
      <c r="E41" t="inlineStr">
        <is>
          <t>Mackrill</t>
        </is>
      </c>
      <c r="G41" t="inlineStr">
        <is>
          <t>01/10/1996</t>
        </is>
      </c>
      <c r="H41" t="inlineStr">
        <is>
          <t>Not Specified</t>
        </is>
      </c>
      <c r="I41" t="inlineStr">
        <is>
          <t>648105832</t>
        </is>
      </c>
      <c r="J41" t="inlineStr">
        <is>
          <t>No</t>
        </is>
      </c>
      <c r="K41" t="inlineStr">
        <is>
          <t>3DSCET2LL</t>
        </is>
      </c>
      <c r="M41" t="inlineStr">
        <is>
          <t>06/07/2025</t>
        </is>
      </c>
      <c r="R41" t="inlineStr">
        <is>
          <t>Hourly</t>
        </is>
      </c>
      <c r="X41" t="inlineStr">
        <is>
          <t>22.2</t>
        </is>
      </c>
      <c r="AF41" t="inlineStr">
        <is>
          <t>Non-exempt</t>
        </is>
      </c>
      <c r="AI41" t="inlineStr">
        <is>
          <t>shanksey777@yahoo.com</t>
        </is>
      </c>
      <c r="AJ41" t="inlineStr">
        <is>
          <t>cmackrill2.remson@gmail.com</t>
        </is>
      </c>
      <c r="AL41" t="inlineStr">
        <is>
          <t>80 Second St Se</t>
        </is>
      </c>
      <c r="AN41" t="inlineStr">
        <is>
          <t>Rio Rancho</t>
        </is>
      </c>
      <c r="AO41" t="inlineStr">
        <is>
          <t>87124</t>
        </is>
      </c>
      <c r="AP41" t="inlineStr">
        <is>
          <t>NM</t>
        </is>
      </c>
      <c r="AR41" t="inlineStr">
        <is>
          <t>80 Second St Se</t>
        </is>
      </c>
      <c r="AT41" t="inlineStr">
        <is>
          <t>Rio Rancho</t>
        </is>
      </c>
      <c r="AU41" t="inlineStr">
        <is>
          <t>87124</t>
        </is>
      </c>
      <c r="AV41" t="inlineStr">
        <is>
          <t>NM</t>
        </is>
      </c>
      <c r="BB41" t="inlineStr">
        <is>
          <t>11/01/2024</t>
        </is>
      </c>
    </row>
    <row r="42" ht="15" customHeight="1" s="86">
      <c r="C42" t="inlineStr">
        <is>
          <t>Chance</t>
        </is>
      </c>
      <c r="E42" t="inlineStr">
        <is>
          <t>Mackrill</t>
        </is>
      </c>
      <c r="G42" t="inlineStr">
        <is>
          <t>01/10/1996</t>
        </is>
      </c>
      <c r="H42" t="inlineStr">
        <is>
          <t>Not Specified</t>
        </is>
      </c>
      <c r="I42" t="inlineStr">
        <is>
          <t>648105832</t>
        </is>
      </c>
      <c r="J42" t="inlineStr">
        <is>
          <t>No</t>
        </is>
      </c>
      <c r="K42" t="inlineStr">
        <is>
          <t>3DSCET2LL</t>
        </is>
      </c>
      <c r="M42" t="inlineStr">
        <is>
          <t>06/07/2025</t>
        </is>
      </c>
      <c r="N42" t="inlineStr">
        <is>
          <t>08/12/2025</t>
        </is>
      </c>
      <c r="R42" t="inlineStr">
        <is>
          <t>Hourly</t>
        </is>
      </c>
      <c r="W42" t="inlineStr">
        <is>
          <t>40</t>
        </is>
      </c>
      <c r="X42" t="inlineStr">
        <is>
          <t>22.2</t>
        </is>
      </c>
      <c r="AF42" t="inlineStr">
        <is>
          <t>Non-exempt</t>
        </is>
      </c>
      <c r="AI42" t="inlineStr">
        <is>
          <t>shanksey777@yahoo.com</t>
        </is>
      </c>
      <c r="AJ42" t="inlineStr">
        <is>
          <t>cmackrill2.remson@gmail.com</t>
        </is>
      </c>
      <c r="AL42" t="inlineStr">
        <is>
          <t>80 Second St Se</t>
        </is>
      </c>
      <c r="AN42" t="inlineStr">
        <is>
          <t>Rio Rancho</t>
        </is>
      </c>
      <c r="AO42" t="inlineStr">
        <is>
          <t>87124</t>
        </is>
      </c>
      <c r="AP42" t="inlineStr">
        <is>
          <t>NM</t>
        </is>
      </c>
      <c r="AR42" t="inlineStr">
        <is>
          <t>80 Second St Se</t>
        </is>
      </c>
      <c r="AT42" t="inlineStr">
        <is>
          <t>Rio Rancho</t>
        </is>
      </c>
      <c r="AU42" t="inlineStr">
        <is>
          <t>87124</t>
        </is>
      </c>
      <c r="AV42" t="inlineStr">
        <is>
          <t>NM</t>
        </is>
      </c>
      <c r="BB42" t="inlineStr">
        <is>
          <t>11/01/2024</t>
        </is>
      </c>
      <c r="BD42" t="inlineStr">
        <is>
          <t>Z4Y55Y33Y</t>
        </is>
      </c>
    </row>
    <row r="43" ht="15" customHeight="1" s="86">
      <c r="C43" t="inlineStr">
        <is>
          <t>Ricardo</t>
        </is>
      </c>
      <c r="E43" t="inlineStr">
        <is>
          <t>Vega</t>
        </is>
      </c>
      <c r="G43" t="inlineStr">
        <is>
          <t>06/03/1979</t>
        </is>
      </c>
      <c r="H43" t="inlineStr">
        <is>
          <t>Not Specified</t>
        </is>
      </c>
      <c r="I43" t="inlineStr">
        <is>
          <t>551792716</t>
        </is>
      </c>
      <c r="K43" t="inlineStr">
        <is>
          <t>3JSXFLIBV</t>
        </is>
      </c>
      <c r="M43" t="inlineStr">
        <is>
          <t>30/12/2025</t>
        </is>
      </c>
      <c r="N43" t="inlineStr">
        <is>
          <t>17/01/2026</t>
        </is>
      </c>
      <c r="R43" t="inlineStr">
        <is>
          <t>Hourly</t>
        </is>
      </c>
      <c r="X43" t="inlineStr">
        <is>
          <t>21.5</t>
        </is>
      </c>
      <c r="AF43" t="inlineStr">
        <is>
          <t>Non-exempt</t>
        </is>
      </c>
      <c r="AI43" t="inlineStr">
        <is>
          <t>rvega.remson@gmail.com</t>
        </is>
      </c>
      <c r="AJ43" t="inlineStr">
        <is>
          <t>rvega.remson@gmail.com</t>
        </is>
      </c>
      <c r="AL43" t="inlineStr">
        <is>
          <t>32 Don Jacobo Rd</t>
        </is>
      </c>
      <c r="AN43" t="inlineStr">
        <is>
          <t>Peralta</t>
        </is>
      </c>
      <c r="AO43" t="inlineStr">
        <is>
          <t>87042</t>
        </is>
      </c>
      <c r="AP43" t="inlineStr">
        <is>
          <t>NM</t>
        </is>
      </c>
      <c r="AR43" t="inlineStr">
        <is>
          <t>32 Don Jacobo Rd</t>
        </is>
      </c>
      <c r="AT43" t="inlineStr">
        <is>
          <t>Peralta</t>
        </is>
      </c>
      <c r="AU43" t="inlineStr">
        <is>
          <t>87042</t>
        </is>
      </c>
      <c r="AV43" t="inlineStr">
        <is>
          <t>NM</t>
        </is>
      </c>
      <c r="BB43" t="inlineStr">
        <is>
          <t>30/12/2025</t>
        </is>
      </c>
      <c r="BD43" t="inlineStr">
        <is>
          <t>Z4Y55Y33Y</t>
        </is>
      </c>
    </row>
    <row r="44" ht="15" customHeight="1" s="86">
      <c r="C44" t="inlineStr">
        <is>
          <t>Carlos</t>
        </is>
      </c>
      <c r="D44" t="inlineStr">
        <is>
          <t>M</t>
        </is>
      </c>
      <c r="E44" t="inlineStr">
        <is>
          <t>Bentacu</t>
        </is>
      </c>
      <c r="G44" t="inlineStr">
        <is>
          <t>11/09/1988</t>
        </is>
      </c>
      <c r="H44" t="inlineStr">
        <is>
          <t>Not Specified</t>
        </is>
      </c>
      <c r="I44" t="inlineStr">
        <is>
          <t>525777637</t>
        </is>
      </c>
      <c r="K44" t="inlineStr">
        <is>
          <t>3KVX8U5CD</t>
        </is>
      </c>
      <c r="M44" t="inlineStr">
        <is>
          <t>21/04/2025</t>
        </is>
      </c>
      <c r="N44" t="inlineStr">
        <is>
          <t>02/06/2025</t>
        </is>
      </c>
      <c r="R44" t="inlineStr">
        <is>
          <t>Hourly</t>
        </is>
      </c>
      <c r="X44" t="inlineStr">
        <is>
          <t>41</t>
        </is>
      </c>
      <c r="AF44" t="inlineStr">
        <is>
          <t>Non-exempt</t>
        </is>
      </c>
      <c r="AI44" t="inlineStr">
        <is>
          <t>bentacucarlos795@gmail.com</t>
        </is>
      </c>
      <c r="AJ44" t="inlineStr">
        <is>
          <t>bentacucarlos795@gmail.com</t>
        </is>
      </c>
      <c r="AL44" t="inlineStr">
        <is>
          <t>6901 Los Volcanes Road Northwe</t>
        </is>
      </c>
      <c r="AN44" t="inlineStr">
        <is>
          <t>Albuquerque</t>
        </is>
      </c>
      <c r="AO44" t="inlineStr">
        <is>
          <t>87121</t>
        </is>
      </c>
      <c r="AP44" t="inlineStr">
        <is>
          <t>NM</t>
        </is>
      </c>
      <c r="AR44" t="inlineStr">
        <is>
          <t>6901 Los Volcanes Road Northwe</t>
        </is>
      </c>
      <c r="AT44" t="inlineStr">
        <is>
          <t>Albuquerque</t>
        </is>
      </c>
      <c r="AU44" t="inlineStr">
        <is>
          <t>87121</t>
        </is>
      </c>
      <c r="AV44" t="inlineStr">
        <is>
          <t>NM</t>
        </is>
      </c>
      <c r="BB44" t="inlineStr">
        <is>
          <t>21/04/2025</t>
        </is>
      </c>
      <c r="BD44" t="inlineStr">
        <is>
          <t>DZWKT8LKB</t>
        </is>
      </c>
    </row>
    <row r="45" ht="15" customHeight="1" s="86">
      <c r="C45" t="inlineStr">
        <is>
          <t>Kassandra</t>
        </is>
      </c>
      <c r="E45" t="inlineStr">
        <is>
          <t>Romero</t>
        </is>
      </c>
      <c r="G45" t="inlineStr">
        <is>
          <t>05/03/1993</t>
        </is>
      </c>
      <c r="H45" t="inlineStr">
        <is>
          <t>Female</t>
        </is>
      </c>
      <c r="I45" t="inlineStr">
        <is>
          <t>525990982</t>
        </is>
      </c>
      <c r="J45" t="inlineStr">
        <is>
          <t>No</t>
        </is>
      </c>
      <c r="K45" t="inlineStr">
        <is>
          <t>3L7RXBS2H</t>
        </is>
      </c>
      <c r="M45" t="inlineStr">
        <is>
          <t>09/01/2025</t>
        </is>
      </c>
      <c r="N45" t="inlineStr">
        <is>
          <t>26/07/2025</t>
        </is>
      </c>
      <c r="R45" t="inlineStr">
        <is>
          <t>Hourly</t>
        </is>
      </c>
      <c r="X45" t="inlineStr">
        <is>
          <t>41.6</t>
        </is>
      </c>
      <c r="AF45" t="inlineStr">
        <is>
          <t>Non-exempt</t>
        </is>
      </c>
      <c r="AI45" t="inlineStr">
        <is>
          <t>romerokassandra69@gmail.com</t>
        </is>
      </c>
      <c r="AJ45" t="inlineStr">
        <is>
          <t>romerokassandra69@gmail.com</t>
        </is>
      </c>
      <c r="AL45" t="inlineStr">
        <is>
          <t>13208 Mountain Rd Ne</t>
        </is>
      </c>
      <c r="AM45" t="inlineStr">
        <is>
          <t>C</t>
        </is>
      </c>
      <c r="AN45" t="inlineStr">
        <is>
          <t>Albuquerque</t>
        </is>
      </c>
      <c r="AO45" t="inlineStr">
        <is>
          <t>87112</t>
        </is>
      </c>
      <c r="AP45" t="inlineStr">
        <is>
          <t>NM</t>
        </is>
      </c>
      <c r="AR45" t="inlineStr">
        <is>
          <t>13208 Mountain Rd Ne</t>
        </is>
      </c>
      <c r="AS45" t="inlineStr">
        <is>
          <t>C</t>
        </is>
      </c>
      <c r="AT45" t="inlineStr">
        <is>
          <t>Albuquerque</t>
        </is>
      </c>
      <c r="AU45" t="inlineStr">
        <is>
          <t>87112</t>
        </is>
      </c>
      <c r="AV45" t="inlineStr">
        <is>
          <t>NM</t>
        </is>
      </c>
      <c r="BB45" t="inlineStr">
        <is>
          <t>09/01/2025</t>
        </is>
      </c>
    </row>
    <row r="46" ht="15" customHeight="1" s="86">
      <c r="C46" t="inlineStr">
        <is>
          <t>Eduardo</t>
        </is>
      </c>
      <c r="E46" t="inlineStr">
        <is>
          <t>Avila</t>
        </is>
      </c>
      <c r="G46" t="inlineStr">
        <is>
          <t>04/08/1971</t>
        </is>
      </c>
      <c r="H46" t="inlineStr">
        <is>
          <t>Not Specified</t>
        </is>
      </c>
      <c r="I46" t="inlineStr">
        <is>
          <t>608251585</t>
        </is>
      </c>
      <c r="K46" t="inlineStr">
        <is>
          <t>3N8PBOE19</t>
        </is>
      </c>
      <c r="M46" t="inlineStr">
        <is>
          <t>04/03/2025</t>
        </is>
      </c>
      <c r="R46" t="inlineStr">
        <is>
          <t>Hourly</t>
        </is>
      </c>
      <c r="X46" t="inlineStr">
        <is>
          <t>21.65</t>
        </is>
      </c>
      <c r="AF46" t="inlineStr">
        <is>
          <t>Non-exempt</t>
        </is>
      </c>
      <c r="AJ46" t="inlineStr">
        <is>
          <t>edavila.remson@gmail.com</t>
        </is>
      </c>
      <c r="AL46" t="inlineStr">
        <is>
          <t>7705 Brianne Avenue Northwest</t>
        </is>
      </c>
      <c r="AN46" t="inlineStr">
        <is>
          <t>Albuquerque</t>
        </is>
      </c>
      <c r="AO46" t="inlineStr">
        <is>
          <t>87114</t>
        </is>
      </c>
      <c r="AP46" t="inlineStr">
        <is>
          <t>NM</t>
        </is>
      </c>
      <c r="AR46" t="inlineStr">
        <is>
          <t>7705 Brianne Avenue Northwest</t>
        </is>
      </c>
      <c r="AT46" t="inlineStr">
        <is>
          <t>Albuquerque</t>
        </is>
      </c>
      <c r="AU46" t="inlineStr">
        <is>
          <t>87114</t>
        </is>
      </c>
      <c r="AV46" t="inlineStr">
        <is>
          <t>NM</t>
        </is>
      </c>
      <c r="BB46" t="inlineStr">
        <is>
          <t>04/03/2025</t>
        </is>
      </c>
    </row>
    <row r="47" ht="15" customHeight="1" s="86">
      <c r="C47" t="inlineStr">
        <is>
          <t>Eduardo</t>
        </is>
      </c>
      <c r="E47" t="inlineStr">
        <is>
          <t>Avila</t>
        </is>
      </c>
      <c r="G47" t="inlineStr">
        <is>
          <t>04/08/1971</t>
        </is>
      </c>
      <c r="H47" t="inlineStr">
        <is>
          <t>Not Specified</t>
        </is>
      </c>
      <c r="I47" t="inlineStr">
        <is>
          <t>608251585</t>
        </is>
      </c>
      <c r="K47" t="inlineStr">
        <is>
          <t>3N8PBOE19</t>
        </is>
      </c>
      <c r="M47" t="inlineStr">
        <is>
          <t>04/03/2025</t>
        </is>
      </c>
      <c r="N47" t="inlineStr">
        <is>
          <t>08/12/2025</t>
        </is>
      </c>
      <c r="R47" t="inlineStr">
        <is>
          <t>Hourly</t>
        </is>
      </c>
      <c r="X47" t="inlineStr">
        <is>
          <t>21.65</t>
        </is>
      </c>
      <c r="AF47" t="inlineStr">
        <is>
          <t>Non-exempt</t>
        </is>
      </c>
      <c r="AJ47" t="inlineStr">
        <is>
          <t>edavila.remson@gmail.com</t>
        </is>
      </c>
      <c r="AL47" t="inlineStr">
        <is>
          <t>7705 Brianne Avenue Northwest</t>
        </is>
      </c>
      <c r="AN47" t="inlineStr">
        <is>
          <t>Albuquerque</t>
        </is>
      </c>
      <c r="AO47" t="inlineStr">
        <is>
          <t>87114</t>
        </is>
      </c>
      <c r="AP47" t="inlineStr">
        <is>
          <t>NM</t>
        </is>
      </c>
      <c r="AR47" t="inlineStr">
        <is>
          <t>7705 Brianne Avenue Northwest</t>
        </is>
      </c>
      <c r="AT47" t="inlineStr">
        <is>
          <t>Albuquerque</t>
        </is>
      </c>
      <c r="AU47" t="inlineStr">
        <is>
          <t>87114</t>
        </is>
      </c>
      <c r="AV47" t="inlineStr">
        <is>
          <t>NM</t>
        </is>
      </c>
      <c r="BB47" t="inlineStr">
        <is>
          <t>04/03/2025</t>
        </is>
      </c>
      <c r="BD47" t="inlineStr">
        <is>
          <t>Z4Y55Y33Y</t>
        </is>
      </c>
    </row>
    <row r="48" ht="15" customHeight="1" s="86">
      <c r="C48" t="inlineStr">
        <is>
          <t>Isaiah</t>
        </is>
      </c>
      <c r="E48" t="inlineStr">
        <is>
          <t>Roybal</t>
        </is>
      </c>
      <c r="G48" t="inlineStr">
        <is>
          <t>24/11/1999</t>
        </is>
      </c>
      <c r="H48" t="inlineStr">
        <is>
          <t>Male</t>
        </is>
      </c>
      <c r="I48" t="inlineStr">
        <is>
          <t>648206439</t>
        </is>
      </c>
      <c r="J48" t="inlineStr">
        <is>
          <t>No</t>
        </is>
      </c>
      <c r="K48" t="inlineStr">
        <is>
          <t>3RYT4CUFK</t>
        </is>
      </c>
      <c r="M48" t="inlineStr">
        <is>
          <t>25/08/2024</t>
        </is>
      </c>
      <c r="N48" t="inlineStr">
        <is>
          <t>22/11/2025</t>
        </is>
      </c>
      <c r="R48" t="inlineStr">
        <is>
          <t>Hourly</t>
        </is>
      </c>
      <c r="X48" t="inlineStr">
        <is>
          <t>21.9</t>
        </is>
      </c>
      <c r="AF48" t="inlineStr">
        <is>
          <t>Non-exempt</t>
        </is>
      </c>
      <c r="AJ48" t="inlineStr">
        <is>
          <t>iroybal.remson@gmail.com</t>
        </is>
      </c>
      <c r="AL48" t="inlineStr">
        <is>
          <t>9723 Summer Shower Pl Nw</t>
        </is>
      </c>
      <c r="AN48" t="inlineStr">
        <is>
          <t>Albuquerque</t>
        </is>
      </c>
      <c r="AO48" t="inlineStr">
        <is>
          <t>87120</t>
        </is>
      </c>
      <c r="AP48" t="inlineStr">
        <is>
          <t>NM</t>
        </is>
      </c>
      <c r="AR48" t="inlineStr">
        <is>
          <t>9723 Summer Shower Pl Nw</t>
        </is>
      </c>
      <c r="AT48" t="inlineStr">
        <is>
          <t>Albuquerque</t>
        </is>
      </c>
      <c r="AU48" t="inlineStr">
        <is>
          <t>87120</t>
        </is>
      </c>
      <c r="AV48" t="inlineStr">
        <is>
          <t>NM</t>
        </is>
      </c>
      <c r="BB48" t="inlineStr">
        <is>
          <t>25/08/2024</t>
        </is>
      </c>
      <c r="BD48" t="inlineStr">
        <is>
          <t>Z4Y55Y33Y</t>
        </is>
      </c>
    </row>
    <row r="49" ht="15" customHeight="1" s="86">
      <c r="C49" t="inlineStr">
        <is>
          <t>Isaiah</t>
        </is>
      </c>
      <c r="E49" t="inlineStr">
        <is>
          <t>Roybal</t>
        </is>
      </c>
      <c r="G49" t="inlineStr">
        <is>
          <t>24/11/1999</t>
        </is>
      </c>
      <c r="H49" t="inlineStr">
        <is>
          <t>Male</t>
        </is>
      </c>
      <c r="I49" t="inlineStr">
        <is>
          <t>648206439</t>
        </is>
      </c>
      <c r="J49" t="inlineStr">
        <is>
          <t>No</t>
        </is>
      </c>
      <c r="K49" t="inlineStr">
        <is>
          <t>3RYT4CUFK</t>
        </is>
      </c>
      <c r="M49" t="inlineStr">
        <is>
          <t>25/08/2024</t>
        </is>
      </c>
      <c r="N49" t="inlineStr">
        <is>
          <t>22/11/2025</t>
        </is>
      </c>
      <c r="R49" t="inlineStr">
        <is>
          <t>Hourly</t>
        </is>
      </c>
      <c r="X49" t="inlineStr">
        <is>
          <t>21.9</t>
        </is>
      </c>
      <c r="AF49" t="inlineStr">
        <is>
          <t>Non-exempt</t>
        </is>
      </c>
      <c r="AJ49" t="inlineStr">
        <is>
          <t>iroybal.remson@gmail.com</t>
        </is>
      </c>
      <c r="AL49" t="inlineStr">
        <is>
          <t>9723 Summer Shower Pl Nw</t>
        </is>
      </c>
      <c r="AN49" t="inlineStr">
        <is>
          <t>Albuquerque</t>
        </is>
      </c>
      <c r="AO49" t="inlineStr">
        <is>
          <t>87120</t>
        </is>
      </c>
      <c r="AP49" t="inlineStr">
        <is>
          <t>NM</t>
        </is>
      </c>
      <c r="AR49" t="inlineStr">
        <is>
          <t>9723 Summer Shower Pl Nw</t>
        </is>
      </c>
      <c r="AT49" t="inlineStr">
        <is>
          <t>Albuquerque</t>
        </is>
      </c>
      <c r="AU49" t="inlineStr">
        <is>
          <t>87120</t>
        </is>
      </c>
      <c r="AV49" t="inlineStr">
        <is>
          <t>NM</t>
        </is>
      </c>
      <c r="BB49" t="inlineStr">
        <is>
          <t>25/08/2024</t>
        </is>
      </c>
    </row>
    <row r="50" ht="15" customHeight="1" s="86">
      <c r="C50" t="inlineStr">
        <is>
          <t>Erick</t>
        </is>
      </c>
      <c r="E50" t="inlineStr">
        <is>
          <t>Meza</t>
        </is>
      </c>
      <c r="G50" t="inlineStr">
        <is>
          <t>11/11/1983</t>
        </is>
      </c>
      <c r="H50" t="inlineStr">
        <is>
          <t>Male</t>
        </is>
      </c>
      <c r="I50" t="inlineStr">
        <is>
          <t>135028362</t>
        </is>
      </c>
      <c r="J50" t="inlineStr">
        <is>
          <t>No</t>
        </is>
      </c>
      <c r="K50" t="inlineStr">
        <is>
          <t>4F06CMHG1</t>
        </is>
      </c>
      <c r="M50" t="inlineStr">
        <is>
          <t>02/11/2023</t>
        </is>
      </c>
      <c r="R50" t="inlineStr">
        <is>
          <t>Hourly</t>
        </is>
      </c>
      <c r="X50" t="inlineStr">
        <is>
          <t>22.2</t>
        </is>
      </c>
      <c r="AF50" t="inlineStr">
        <is>
          <t>Non-exempt</t>
        </is>
      </c>
      <c r="AI50" t="inlineStr">
        <is>
          <t>emezatico1183@gmail.com</t>
        </is>
      </c>
      <c r="AJ50" t="inlineStr">
        <is>
          <t>Emeza.remson@gmail.com</t>
        </is>
      </c>
      <c r="AL50" t="inlineStr">
        <is>
          <t>11301 Miravista Pl Se</t>
        </is>
      </c>
      <c r="AN50" t="inlineStr">
        <is>
          <t>Albuquerque</t>
        </is>
      </c>
      <c r="AO50" t="inlineStr">
        <is>
          <t>87123</t>
        </is>
      </c>
      <c r="AP50" t="inlineStr">
        <is>
          <t>NM</t>
        </is>
      </c>
      <c r="AR50" t="inlineStr">
        <is>
          <t>11301 Miravista Pl Se</t>
        </is>
      </c>
      <c r="AT50" t="inlineStr">
        <is>
          <t>Albuquerque</t>
        </is>
      </c>
      <c r="AU50" t="inlineStr">
        <is>
          <t>87123</t>
        </is>
      </c>
      <c r="AV50" t="inlineStr">
        <is>
          <t>NM</t>
        </is>
      </c>
      <c r="BB50" t="inlineStr">
        <is>
          <t>02/11/2023</t>
        </is>
      </c>
    </row>
    <row r="51" ht="15" customHeight="1" s="86">
      <c r="C51" t="inlineStr">
        <is>
          <t>Erick</t>
        </is>
      </c>
      <c r="E51" t="inlineStr">
        <is>
          <t>Meza</t>
        </is>
      </c>
      <c r="G51" t="inlineStr">
        <is>
          <t>11/11/1983</t>
        </is>
      </c>
      <c r="H51" t="inlineStr">
        <is>
          <t>Male</t>
        </is>
      </c>
      <c r="I51" t="inlineStr">
        <is>
          <t>135028362</t>
        </is>
      </c>
      <c r="J51" t="inlineStr">
        <is>
          <t>No</t>
        </is>
      </c>
      <c r="K51" t="inlineStr">
        <is>
          <t>4F06CMHG1</t>
        </is>
      </c>
      <c r="M51" t="inlineStr">
        <is>
          <t>02/11/2023</t>
        </is>
      </c>
      <c r="N51" t="inlineStr">
        <is>
          <t>08/12/2025</t>
        </is>
      </c>
      <c r="R51" t="inlineStr">
        <is>
          <t>Hourly</t>
        </is>
      </c>
      <c r="X51" t="inlineStr">
        <is>
          <t>22.2</t>
        </is>
      </c>
      <c r="AF51" t="inlineStr">
        <is>
          <t>Non-exempt</t>
        </is>
      </c>
      <c r="AI51" t="inlineStr">
        <is>
          <t>emezatico1183@gmail.com</t>
        </is>
      </c>
      <c r="AJ51" t="inlineStr">
        <is>
          <t>Emeza.remson@gmail.com</t>
        </is>
      </c>
      <c r="AL51" t="inlineStr">
        <is>
          <t>11301 Miravista Pl Se</t>
        </is>
      </c>
      <c r="AN51" t="inlineStr">
        <is>
          <t>Albuquerque</t>
        </is>
      </c>
      <c r="AO51" t="inlineStr">
        <is>
          <t>87123</t>
        </is>
      </c>
      <c r="AP51" t="inlineStr">
        <is>
          <t>NM</t>
        </is>
      </c>
      <c r="AR51" t="inlineStr">
        <is>
          <t>11301 Miravista Pl Se</t>
        </is>
      </c>
      <c r="AT51" t="inlineStr">
        <is>
          <t>Albuquerque</t>
        </is>
      </c>
      <c r="AU51" t="inlineStr">
        <is>
          <t>87123</t>
        </is>
      </c>
      <c r="AV51" t="inlineStr">
        <is>
          <t>NM</t>
        </is>
      </c>
      <c r="BB51" t="inlineStr">
        <is>
          <t>02/11/2023</t>
        </is>
      </c>
      <c r="BD51" t="inlineStr">
        <is>
          <t>Z4Y55Y33Y</t>
        </is>
      </c>
    </row>
    <row r="52" ht="15" customHeight="1" s="86">
      <c r="C52" t="inlineStr">
        <is>
          <t>Yelaine</t>
        </is>
      </c>
      <c r="E52" t="inlineStr">
        <is>
          <t>Martinez Silva</t>
        </is>
      </c>
      <c r="G52" t="inlineStr">
        <is>
          <t>13/06/1994</t>
        </is>
      </c>
      <c r="H52" t="inlineStr">
        <is>
          <t>Not Specified</t>
        </is>
      </c>
      <c r="I52" t="inlineStr">
        <is>
          <t>797923457</t>
        </is>
      </c>
      <c r="K52" t="inlineStr">
        <is>
          <t>4J90O9TRF</t>
        </is>
      </c>
      <c r="M52" t="inlineStr">
        <is>
          <t>18/09/2025</t>
        </is>
      </c>
      <c r="R52" t="inlineStr">
        <is>
          <t>Hourly</t>
        </is>
      </c>
      <c r="X52" t="inlineStr">
        <is>
          <t>21.5</t>
        </is>
      </c>
      <c r="AF52" t="inlineStr">
        <is>
          <t>Non-exempt</t>
        </is>
      </c>
      <c r="AJ52" t="inlineStr">
        <is>
          <t>ymartinez.remson@gmail.com</t>
        </is>
      </c>
      <c r="AL52" t="inlineStr">
        <is>
          <t>6931 Paese Place Northwest</t>
        </is>
      </c>
      <c r="AN52" t="inlineStr">
        <is>
          <t>Albuquerque</t>
        </is>
      </c>
      <c r="AO52" t="inlineStr">
        <is>
          <t>87114</t>
        </is>
      </c>
      <c r="AP52" t="inlineStr">
        <is>
          <t>NM</t>
        </is>
      </c>
      <c r="AR52" t="inlineStr">
        <is>
          <t>6931 Paese Place Northwest</t>
        </is>
      </c>
      <c r="AT52" t="inlineStr">
        <is>
          <t>Albuquerque</t>
        </is>
      </c>
      <c r="AU52" t="inlineStr">
        <is>
          <t>87114</t>
        </is>
      </c>
      <c r="AV52" t="inlineStr">
        <is>
          <t>NM</t>
        </is>
      </c>
      <c r="BB52" t="inlineStr">
        <is>
          <t>18/09/2025</t>
        </is>
      </c>
    </row>
    <row r="53" ht="15" customHeight="1" s="86">
      <c r="C53" t="inlineStr">
        <is>
          <t>Yelaine</t>
        </is>
      </c>
      <c r="E53" t="inlineStr">
        <is>
          <t>Martinez Silva</t>
        </is>
      </c>
      <c r="G53" t="inlineStr">
        <is>
          <t>13/06/1994</t>
        </is>
      </c>
      <c r="H53" t="inlineStr">
        <is>
          <t>Not Specified</t>
        </is>
      </c>
      <c r="I53" t="inlineStr">
        <is>
          <t>797923457</t>
        </is>
      </c>
      <c r="K53" t="inlineStr">
        <is>
          <t>4J90O9TRF</t>
        </is>
      </c>
      <c r="M53" t="inlineStr">
        <is>
          <t>18/09/2025</t>
        </is>
      </c>
      <c r="N53" t="inlineStr">
        <is>
          <t>08/12/2025</t>
        </is>
      </c>
      <c r="R53" t="inlineStr">
        <is>
          <t>Hourly</t>
        </is>
      </c>
      <c r="X53" t="inlineStr">
        <is>
          <t>21.5</t>
        </is>
      </c>
      <c r="AF53" t="inlineStr">
        <is>
          <t>Non-exempt</t>
        </is>
      </c>
      <c r="AJ53" t="inlineStr">
        <is>
          <t>ymartinez.remson@gmail.com</t>
        </is>
      </c>
      <c r="AL53" t="inlineStr">
        <is>
          <t>6931 Paese Place Northwest</t>
        </is>
      </c>
      <c r="AN53" t="inlineStr">
        <is>
          <t>Albuquerque</t>
        </is>
      </c>
      <c r="AO53" t="inlineStr">
        <is>
          <t>87114</t>
        </is>
      </c>
      <c r="AP53" t="inlineStr">
        <is>
          <t>NM</t>
        </is>
      </c>
      <c r="AR53" t="inlineStr">
        <is>
          <t>6931 Paese Place Northwest</t>
        </is>
      </c>
      <c r="AT53" t="inlineStr">
        <is>
          <t>Albuquerque</t>
        </is>
      </c>
      <c r="AU53" t="inlineStr">
        <is>
          <t>87114</t>
        </is>
      </c>
      <c r="AV53" t="inlineStr">
        <is>
          <t>NM</t>
        </is>
      </c>
      <c r="BB53" t="inlineStr">
        <is>
          <t>18/09/2025</t>
        </is>
      </c>
      <c r="BD53" t="inlineStr">
        <is>
          <t>Z4Y55Y33Y</t>
        </is>
      </c>
    </row>
    <row r="54" ht="15" customHeight="1" s="86">
      <c r="C54" t="inlineStr">
        <is>
          <t>Latisha</t>
        </is>
      </c>
      <c r="E54" t="inlineStr">
        <is>
          <t>Montoya</t>
        </is>
      </c>
      <c r="G54" t="inlineStr">
        <is>
          <t>18/11/1995</t>
        </is>
      </c>
      <c r="H54" t="inlineStr">
        <is>
          <t>Female</t>
        </is>
      </c>
      <c r="I54" t="inlineStr">
        <is>
          <t>649076542</t>
        </is>
      </c>
      <c r="J54" t="inlineStr">
        <is>
          <t>No</t>
        </is>
      </c>
      <c r="K54" t="inlineStr">
        <is>
          <t>4KXBJ5MT7</t>
        </is>
      </c>
      <c r="M54" t="inlineStr">
        <is>
          <t>25/08/2024</t>
        </is>
      </c>
      <c r="R54" t="inlineStr">
        <is>
          <t>Hourly</t>
        </is>
      </c>
      <c r="X54" t="inlineStr">
        <is>
          <t>21.9</t>
        </is>
      </c>
      <c r="AF54" t="inlineStr">
        <is>
          <t>Non-exempt</t>
        </is>
      </c>
      <c r="AI54" t="inlineStr">
        <is>
          <t>lmontoya.remson@gmail.com</t>
        </is>
      </c>
      <c r="AJ54" t="inlineStr">
        <is>
          <t>lmontoya.remson@gmail.com</t>
        </is>
      </c>
      <c r="AL54" t="inlineStr">
        <is>
          <t>2600 Americare Ct Nw</t>
        </is>
      </c>
      <c r="AM54" t="inlineStr">
        <is>
          <t>APT # 7104</t>
        </is>
      </c>
      <c r="AN54" t="inlineStr">
        <is>
          <t>Albuquerque</t>
        </is>
      </c>
      <c r="AO54" t="inlineStr">
        <is>
          <t>87120</t>
        </is>
      </c>
      <c r="AP54" t="inlineStr">
        <is>
          <t>NM</t>
        </is>
      </c>
      <c r="AR54" t="inlineStr">
        <is>
          <t>2600 Americare Ct Nw</t>
        </is>
      </c>
      <c r="AS54" t="inlineStr">
        <is>
          <t>APT # 7104</t>
        </is>
      </c>
      <c r="AT54" t="inlineStr">
        <is>
          <t>Albuquerque</t>
        </is>
      </c>
      <c r="AU54" t="inlineStr">
        <is>
          <t>87120</t>
        </is>
      </c>
      <c r="AV54" t="inlineStr">
        <is>
          <t>NM</t>
        </is>
      </c>
      <c r="BB54" t="inlineStr">
        <is>
          <t>25/08/2024</t>
        </is>
      </c>
    </row>
    <row r="55" ht="15" customHeight="1" s="86">
      <c r="C55" t="inlineStr">
        <is>
          <t>Latisha</t>
        </is>
      </c>
      <c r="E55" t="inlineStr">
        <is>
          <t>Montoya</t>
        </is>
      </c>
      <c r="G55" t="inlineStr">
        <is>
          <t>18/11/1995</t>
        </is>
      </c>
      <c r="H55" t="inlineStr">
        <is>
          <t>Female</t>
        </is>
      </c>
      <c r="I55" t="inlineStr">
        <is>
          <t>649076542</t>
        </is>
      </c>
      <c r="J55" t="inlineStr">
        <is>
          <t>No</t>
        </is>
      </c>
      <c r="K55" t="inlineStr">
        <is>
          <t>4KXBJ5MT7</t>
        </is>
      </c>
      <c r="M55" t="inlineStr">
        <is>
          <t>25/08/2024</t>
        </is>
      </c>
      <c r="N55" t="inlineStr">
        <is>
          <t>08/12/2025</t>
        </is>
      </c>
      <c r="R55" t="inlineStr">
        <is>
          <t>Hourly</t>
        </is>
      </c>
      <c r="X55" t="inlineStr">
        <is>
          <t>21.9</t>
        </is>
      </c>
      <c r="AF55" t="inlineStr">
        <is>
          <t>Non-exempt</t>
        </is>
      </c>
      <c r="AI55" t="inlineStr">
        <is>
          <t>lmontoya.remson@gmail.com</t>
        </is>
      </c>
      <c r="AJ55" t="inlineStr">
        <is>
          <t>lmontoya.remson@gmail.com</t>
        </is>
      </c>
      <c r="AL55" t="inlineStr">
        <is>
          <t>2600 Americare Ct Nw</t>
        </is>
      </c>
      <c r="AM55" t="inlineStr">
        <is>
          <t>APT # 7104</t>
        </is>
      </c>
      <c r="AN55" t="inlineStr">
        <is>
          <t>Albuquerque</t>
        </is>
      </c>
      <c r="AO55" t="inlineStr">
        <is>
          <t>87120</t>
        </is>
      </c>
      <c r="AP55" t="inlineStr">
        <is>
          <t>NM</t>
        </is>
      </c>
      <c r="AR55" t="inlineStr">
        <is>
          <t>2600 Americare Ct Nw</t>
        </is>
      </c>
      <c r="AS55" t="inlineStr">
        <is>
          <t>APT # 7104</t>
        </is>
      </c>
      <c r="AT55" t="inlineStr">
        <is>
          <t>Albuquerque</t>
        </is>
      </c>
      <c r="AU55" t="inlineStr">
        <is>
          <t>87120</t>
        </is>
      </c>
      <c r="AV55" t="inlineStr">
        <is>
          <t>NM</t>
        </is>
      </c>
      <c r="BB55" t="inlineStr">
        <is>
          <t>25/08/2024</t>
        </is>
      </c>
      <c r="BD55" t="inlineStr">
        <is>
          <t>Z4Y55Y33Y</t>
        </is>
      </c>
    </row>
    <row r="56" ht="15" customHeight="1" s="86">
      <c r="C56" t="inlineStr">
        <is>
          <t>Nathan</t>
        </is>
      </c>
      <c r="D56" t="inlineStr">
        <is>
          <t>M</t>
        </is>
      </c>
      <c r="E56" t="inlineStr">
        <is>
          <t>Marks</t>
        </is>
      </c>
      <c r="G56" t="inlineStr">
        <is>
          <t>10/04/1992</t>
        </is>
      </c>
      <c r="H56" t="inlineStr">
        <is>
          <t>Not Specified</t>
        </is>
      </c>
      <c r="I56" t="inlineStr">
        <is>
          <t>525956300</t>
        </is>
      </c>
      <c r="J56" t="inlineStr">
        <is>
          <t>No</t>
        </is>
      </c>
      <c r="K56" t="inlineStr">
        <is>
          <t>4WIG6JWNU</t>
        </is>
      </c>
      <c r="M56" t="inlineStr">
        <is>
          <t>16/03/2025</t>
        </is>
      </c>
      <c r="R56" t="inlineStr">
        <is>
          <t>Hourly</t>
        </is>
      </c>
      <c r="X56" t="inlineStr">
        <is>
          <t>21.65</t>
        </is>
      </c>
      <c r="AF56" t="inlineStr">
        <is>
          <t>Non-exempt</t>
        </is>
      </c>
      <c r="AJ56" t="inlineStr">
        <is>
          <t>nmarks.remson@gmail.com</t>
        </is>
      </c>
      <c r="AL56" t="inlineStr">
        <is>
          <t>460 Gavilan Place Northwest</t>
        </is>
      </c>
      <c r="AN56" t="inlineStr">
        <is>
          <t>Albuquerque</t>
        </is>
      </c>
      <c r="AO56" t="inlineStr">
        <is>
          <t>87107</t>
        </is>
      </c>
      <c r="AP56" t="inlineStr">
        <is>
          <t>NM</t>
        </is>
      </c>
      <c r="AR56" t="inlineStr">
        <is>
          <t>460 Gavilan Place Northwest</t>
        </is>
      </c>
      <c r="AT56" t="inlineStr">
        <is>
          <t>Albuquerque</t>
        </is>
      </c>
      <c r="AU56" t="inlineStr">
        <is>
          <t>87107</t>
        </is>
      </c>
      <c r="AV56" t="inlineStr">
        <is>
          <t>NM</t>
        </is>
      </c>
      <c r="BB56" t="inlineStr">
        <is>
          <t>16/03/2025</t>
        </is>
      </c>
    </row>
    <row r="57" ht="15" customHeight="1" s="86">
      <c r="C57" t="inlineStr">
        <is>
          <t>Nathan</t>
        </is>
      </c>
      <c r="D57" t="inlineStr">
        <is>
          <t>M</t>
        </is>
      </c>
      <c r="E57" t="inlineStr">
        <is>
          <t>Marks</t>
        </is>
      </c>
      <c r="G57" t="inlineStr">
        <is>
          <t>10/04/1992</t>
        </is>
      </c>
      <c r="H57" t="inlineStr">
        <is>
          <t>Not Specified</t>
        </is>
      </c>
      <c r="I57" t="inlineStr">
        <is>
          <t>525956300</t>
        </is>
      </c>
      <c r="J57" t="inlineStr">
        <is>
          <t>No</t>
        </is>
      </c>
      <c r="K57" t="inlineStr">
        <is>
          <t>4WIG6JWNU</t>
        </is>
      </c>
      <c r="M57" t="inlineStr">
        <is>
          <t>16/03/2025</t>
        </is>
      </c>
      <c r="N57" t="inlineStr">
        <is>
          <t>08/12/2025</t>
        </is>
      </c>
      <c r="R57" t="inlineStr">
        <is>
          <t>Hourly</t>
        </is>
      </c>
      <c r="X57" t="inlineStr">
        <is>
          <t>21.65</t>
        </is>
      </c>
      <c r="AF57" t="inlineStr">
        <is>
          <t>Non-exempt</t>
        </is>
      </c>
      <c r="AJ57" t="inlineStr">
        <is>
          <t>nmarks.remson@gmail.com</t>
        </is>
      </c>
      <c r="AL57" t="inlineStr">
        <is>
          <t>460 Gavilan Place Northwest</t>
        </is>
      </c>
      <c r="AN57" t="inlineStr">
        <is>
          <t>Albuquerque</t>
        </is>
      </c>
      <c r="AO57" t="inlineStr">
        <is>
          <t>87107</t>
        </is>
      </c>
      <c r="AP57" t="inlineStr">
        <is>
          <t>NM</t>
        </is>
      </c>
      <c r="AR57" t="inlineStr">
        <is>
          <t>460 Gavilan Place Northwest</t>
        </is>
      </c>
      <c r="AT57" t="inlineStr">
        <is>
          <t>Albuquerque</t>
        </is>
      </c>
      <c r="AU57" t="inlineStr">
        <is>
          <t>87107</t>
        </is>
      </c>
      <c r="AV57" t="inlineStr">
        <is>
          <t>NM</t>
        </is>
      </c>
      <c r="BB57" t="inlineStr">
        <is>
          <t>16/03/2025</t>
        </is>
      </c>
      <c r="BD57" t="inlineStr">
        <is>
          <t>Z4Y55Y33Y</t>
        </is>
      </c>
    </row>
    <row r="58" ht="15" customHeight="1" s="86">
      <c r="C58" t="inlineStr">
        <is>
          <t>Jesus</t>
        </is>
      </c>
      <c r="D58" t="inlineStr">
        <is>
          <t>O</t>
        </is>
      </c>
      <c r="E58" t="inlineStr">
        <is>
          <t>Maldonado Espinoza</t>
        </is>
      </c>
      <c r="G58" t="inlineStr">
        <is>
          <t>03/06/1983</t>
        </is>
      </c>
      <c r="H58" t="inlineStr">
        <is>
          <t>Not Specified</t>
        </is>
      </c>
      <c r="I58" t="inlineStr">
        <is>
          <t>785941974</t>
        </is>
      </c>
      <c r="K58" t="inlineStr">
        <is>
          <t>4XG3U5TE1</t>
        </is>
      </c>
      <c r="M58" t="inlineStr">
        <is>
          <t>18/09/2025</t>
        </is>
      </c>
      <c r="R58" t="inlineStr">
        <is>
          <t>Hourly</t>
        </is>
      </c>
      <c r="X58" t="inlineStr">
        <is>
          <t>21.5</t>
        </is>
      </c>
      <c r="AF58" t="inlineStr">
        <is>
          <t>Non-exempt</t>
        </is>
      </c>
      <c r="AJ58" t="inlineStr">
        <is>
          <t>jolivier.remson@gmail.com</t>
        </is>
      </c>
      <c r="AL58" t="inlineStr">
        <is>
          <t>1937 Trocadero PL sw</t>
        </is>
      </c>
      <c r="AN58" t="inlineStr">
        <is>
          <t>Albuquerque</t>
        </is>
      </c>
      <c r="AO58" t="inlineStr">
        <is>
          <t>87105</t>
        </is>
      </c>
      <c r="AP58" t="inlineStr">
        <is>
          <t>NM</t>
        </is>
      </c>
      <c r="AR58" t="inlineStr">
        <is>
          <t>1937 Trocadero PL sw</t>
        </is>
      </c>
      <c r="AT58" t="inlineStr">
        <is>
          <t>Albuquerque</t>
        </is>
      </c>
      <c r="AU58" t="inlineStr">
        <is>
          <t>87105</t>
        </is>
      </c>
      <c r="AV58" t="inlineStr">
        <is>
          <t>NM</t>
        </is>
      </c>
      <c r="BB58" t="inlineStr">
        <is>
          <t>18/09/2025</t>
        </is>
      </c>
    </row>
    <row r="59" ht="15" customHeight="1" s="86">
      <c r="C59" t="inlineStr">
        <is>
          <t>Jesus</t>
        </is>
      </c>
      <c r="D59" t="inlineStr">
        <is>
          <t>O</t>
        </is>
      </c>
      <c r="E59" t="inlineStr">
        <is>
          <t>Maldonado Espinoza</t>
        </is>
      </c>
      <c r="G59" t="inlineStr">
        <is>
          <t>03/06/1983</t>
        </is>
      </c>
      <c r="H59" t="inlineStr">
        <is>
          <t>Not Specified</t>
        </is>
      </c>
      <c r="I59" t="inlineStr">
        <is>
          <t>785941974</t>
        </is>
      </c>
      <c r="K59" t="inlineStr">
        <is>
          <t>4XG3U5TE1</t>
        </is>
      </c>
      <c r="M59" t="inlineStr">
        <is>
          <t>18/09/2025</t>
        </is>
      </c>
      <c r="N59" t="inlineStr">
        <is>
          <t>08/12/2025</t>
        </is>
      </c>
      <c r="R59" t="inlineStr">
        <is>
          <t>Hourly</t>
        </is>
      </c>
      <c r="X59" t="inlineStr">
        <is>
          <t>21.5</t>
        </is>
      </c>
      <c r="AF59" t="inlineStr">
        <is>
          <t>Non-exempt</t>
        </is>
      </c>
      <c r="AJ59" t="inlineStr">
        <is>
          <t>jolivier.remson@gmail.com</t>
        </is>
      </c>
      <c r="AL59" t="inlineStr">
        <is>
          <t>1937 Trocadero PL sw</t>
        </is>
      </c>
      <c r="AN59" t="inlineStr">
        <is>
          <t>Albuquerque</t>
        </is>
      </c>
      <c r="AO59" t="inlineStr">
        <is>
          <t>87105</t>
        </is>
      </c>
      <c r="AP59" t="inlineStr">
        <is>
          <t>NM</t>
        </is>
      </c>
      <c r="AR59" t="inlineStr">
        <is>
          <t>1937 Trocadero PL sw</t>
        </is>
      </c>
      <c r="AT59" t="inlineStr">
        <is>
          <t>Albuquerque</t>
        </is>
      </c>
      <c r="AU59" t="inlineStr">
        <is>
          <t>87105</t>
        </is>
      </c>
      <c r="AV59" t="inlineStr">
        <is>
          <t>NM</t>
        </is>
      </c>
      <c r="BB59" t="inlineStr">
        <is>
          <t>18/09/2025</t>
        </is>
      </c>
      <c r="BD59" t="inlineStr">
        <is>
          <t>Z4Y55Y33Y</t>
        </is>
      </c>
    </row>
    <row r="60" ht="15" customHeight="1" s="86">
      <c r="C60" t="inlineStr">
        <is>
          <t>Duvan</t>
        </is>
      </c>
      <c r="D60" t="inlineStr">
        <is>
          <t>J</t>
        </is>
      </c>
      <c r="E60" t="inlineStr">
        <is>
          <t>Cedeno Rincon</t>
        </is>
      </c>
      <c r="G60" t="inlineStr">
        <is>
          <t>13/12/1988</t>
        </is>
      </c>
      <c r="H60" t="inlineStr">
        <is>
          <t>Male</t>
        </is>
      </c>
      <c r="I60" t="inlineStr">
        <is>
          <t>287390742</t>
        </is>
      </c>
      <c r="J60" t="inlineStr">
        <is>
          <t>No</t>
        </is>
      </c>
      <c r="K60" t="inlineStr">
        <is>
          <t>4ZH4GNKEV</t>
        </is>
      </c>
      <c r="M60" t="inlineStr">
        <is>
          <t>18/11/2024</t>
        </is>
      </c>
      <c r="R60" t="inlineStr">
        <is>
          <t>Hourly</t>
        </is>
      </c>
      <c r="X60" t="inlineStr">
        <is>
          <t>21.65</t>
        </is>
      </c>
      <c r="AF60" t="inlineStr">
        <is>
          <t>Non-exempt</t>
        </is>
      </c>
      <c r="AJ60" t="inlineStr">
        <is>
          <t>dcedeno.remson@gmail.com</t>
        </is>
      </c>
      <c r="AL60" t="inlineStr">
        <is>
          <t>400 Maple St Se</t>
        </is>
      </c>
      <c r="AM60" t="inlineStr">
        <is>
          <t>Apto 108</t>
        </is>
      </c>
      <c r="AN60" t="inlineStr">
        <is>
          <t>Albuquerque</t>
        </is>
      </c>
      <c r="AO60" t="inlineStr">
        <is>
          <t>87106</t>
        </is>
      </c>
      <c r="AP60" t="inlineStr">
        <is>
          <t>NM</t>
        </is>
      </c>
      <c r="AR60" t="inlineStr">
        <is>
          <t>400 Maple St Se</t>
        </is>
      </c>
      <c r="AS60" t="inlineStr">
        <is>
          <t>Apto 108</t>
        </is>
      </c>
      <c r="AT60" t="inlineStr">
        <is>
          <t>Albuquerque</t>
        </is>
      </c>
      <c r="AU60" t="inlineStr">
        <is>
          <t>87106</t>
        </is>
      </c>
      <c r="AV60" t="inlineStr">
        <is>
          <t>NM</t>
        </is>
      </c>
      <c r="BB60" t="inlineStr">
        <is>
          <t>18/11/2024</t>
        </is>
      </c>
    </row>
    <row r="61" ht="15" customHeight="1" s="86">
      <c r="C61" t="inlineStr">
        <is>
          <t>Duvan</t>
        </is>
      </c>
      <c r="D61" t="inlineStr">
        <is>
          <t>J</t>
        </is>
      </c>
      <c r="E61" t="inlineStr">
        <is>
          <t>Cedeno Rincon</t>
        </is>
      </c>
      <c r="G61" t="inlineStr">
        <is>
          <t>13/12/1988</t>
        </is>
      </c>
      <c r="H61" t="inlineStr">
        <is>
          <t>Male</t>
        </is>
      </c>
      <c r="I61" t="inlineStr">
        <is>
          <t>287390742</t>
        </is>
      </c>
      <c r="J61" t="inlineStr">
        <is>
          <t>No</t>
        </is>
      </c>
      <c r="K61" t="inlineStr">
        <is>
          <t>4ZH4GNKEV</t>
        </is>
      </c>
      <c r="M61" t="inlineStr">
        <is>
          <t>18/11/2024</t>
        </is>
      </c>
      <c r="N61" t="inlineStr">
        <is>
          <t>08/12/2025</t>
        </is>
      </c>
      <c r="R61" t="inlineStr">
        <is>
          <t>Hourly</t>
        </is>
      </c>
      <c r="X61" t="inlineStr">
        <is>
          <t>21.65</t>
        </is>
      </c>
      <c r="AF61" t="inlineStr">
        <is>
          <t>Non-exempt</t>
        </is>
      </c>
      <c r="AJ61" t="inlineStr">
        <is>
          <t>dcedeno.remson@gmail.com</t>
        </is>
      </c>
      <c r="AL61" t="inlineStr">
        <is>
          <t>400 Maple St Se</t>
        </is>
      </c>
      <c r="AM61" t="inlineStr">
        <is>
          <t>Apto 108</t>
        </is>
      </c>
      <c r="AN61" t="inlineStr">
        <is>
          <t>Albuquerque</t>
        </is>
      </c>
      <c r="AO61" t="inlineStr">
        <is>
          <t>87106</t>
        </is>
      </c>
      <c r="AP61" t="inlineStr">
        <is>
          <t>NM</t>
        </is>
      </c>
      <c r="AR61" t="inlineStr">
        <is>
          <t>400 Maple St Se</t>
        </is>
      </c>
      <c r="AS61" t="inlineStr">
        <is>
          <t>Apto 108</t>
        </is>
      </c>
      <c r="AT61" t="inlineStr">
        <is>
          <t>Albuquerque</t>
        </is>
      </c>
      <c r="AU61" t="inlineStr">
        <is>
          <t>87106</t>
        </is>
      </c>
      <c r="AV61" t="inlineStr">
        <is>
          <t>NM</t>
        </is>
      </c>
      <c r="BB61" t="inlineStr">
        <is>
          <t>18/11/2024</t>
        </is>
      </c>
      <c r="BD61" t="inlineStr">
        <is>
          <t>Z4Y55Y33Y</t>
        </is>
      </c>
    </row>
    <row r="62" ht="15" customHeight="1" s="86">
      <c r="C62" t="inlineStr">
        <is>
          <t>Brian</t>
        </is>
      </c>
      <c r="E62" t="inlineStr">
        <is>
          <t>Lovato</t>
        </is>
      </c>
      <c r="G62" t="inlineStr">
        <is>
          <t>22/07/1994</t>
        </is>
      </c>
      <c r="H62" t="inlineStr">
        <is>
          <t>Male</t>
        </is>
      </c>
      <c r="I62" t="inlineStr">
        <is>
          <t>648039832</t>
        </is>
      </c>
      <c r="J62" t="inlineStr">
        <is>
          <t>No</t>
        </is>
      </c>
      <c r="K62" t="inlineStr">
        <is>
          <t>55TMOSVHA</t>
        </is>
      </c>
      <c r="M62" t="inlineStr">
        <is>
          <t>21/10/2023</t>
        </is>
      </c>
      <c r="N62" t="inlineStr">
        <is>
          <t>16/08/2025</t>
        </is>
      </c>
      <c r="R62" t="inlineStr">
        <is>
          <t>Hourly</t>
        </is>
      </c>
      <c r="X62" t="inlineStr">
        <is>
          <t>42.68</t>
        </is>
      </c>
      <c r="AF62" t="inlineStr">
        <is>
          <t>Non-exempt</t>
        </is>
      </c>
      <c r="AJ62" t="inlineStr">
        <is>
          <t>blovato.remson@gmail.com</t>
        </is>
      </c>
      <c r="AL62" t="inlineStr">
        <is>
          <t>4200 Blake Rd Sw</t>
        </is>
      </c>
      <c r="AN62" t="inlineStr">
        <is>
          <t>Albuquerque</t>
        </is>
      </c>
      <c r="AO62" t="inlineStr">
        <is>
          <t>87121</t>
        </is>
      </c>
      <c r="AP62" t="inlineStr">
        <is>
          <t>NM</t>
        </is>
      </c>
      <c r="AR62" t="inlineStr">
        <is>
          <t>4200 Blake Rd Sw</t>
        </is>
      </c>
      <c r="AT62" t="inlineStr">
        <is>
          <t>Albuquerque</t>
        </is>
      </c>
      <c r="AU62" t="inlineStr">
        <is>
          <t>87121</t>
        </is>
      </c>
      <c r="AV62" t="inlineStr">
        <is>
          <t>NM</t>
        </is>
      </c>
      <c r="BB62" t="inlineStr">
        <is>
          <t>21/10/2023</t>
        </is>
      </c>
      <c r="BD62" t="inlineStr">
        <is>
          <t>DZWKT8LKB</t>
        </is>
      </c>
    </row>
    <row r="63" ht="15" customHeight="1" s="86">
      <c r="C63" t="inlineStr">
        <is>
          <t>Micielo</t>
        </is>
      </c>
      <c r="D63" t="inlineStr">
        <is>
          <t>C</t>
        </is>
      </c>
      <c r="E63" t="inlineStr">
        <is>
          <t>Swartz</t>
        </is>
      </c>
      <c r="G63" t="inlineStr">
        <is>
          <t>02/04/1999</t>
        </is>
      </c>
      <c r="H63" t="inlineStr">
        <is>
          <t>Not Specified</t>
        </is>
      </c>
      <c r="I63" t="inlineStr">
        <is>
          <t>648209717</t>
        </is>
      </c>
      <c r="K63" t="inlineStr">
        <is>
          <t>5C4Q5WJ7G</t>
        </is>
      </c>
      <c r="M63" t="inlineStr">
        <is>
          <t>12/05/2025</t>
        </is>
      </c>
      <c r="R63" t="inlineStr">
        <is>
          <t>Hourly</t>
        </is>
      </c>
      <c r="X63" t="inlineStr">
        <is>
          <t>21.65</t>
        </is>
      </c>
      <c r="AF63" t="inlineStr">
        <is>
          <t>Non-exempt</t>
        </is>
      </c>
      <c r="AJ63" t="inlineStr">
        <is>
          <t>swartzm.remson@gmail.com</t>
        </is>
      </c>
      <c r="AL63" t="inlineStr">
        <is>
          <t>4427 Barrett Ave NW</t>
        </is>
      </c>
      <c r="AN63" t="inlineStr">
        <is>
          <t>Albuquerque</t>
        </is>
      </c>
      <c r="AO63" t="inlineStr">
        <is>
          <t>87114</t>
        </is>
      </c>
      <c r="AP63" t="inlineStr">
        <is>
          <t>NM</t>
        </is>
      </c>
      <c r="AR63" t="inlineStr">
        <is>
          <t>4427 Barrett Ave NW</t>
        </is>
      </c>
      <c r="AT63" t="inlineStr">
        <is>
          <t>Albuquerque</t>
        </is>
      </c>
      <c r="AU63" t="inlineStr">
        <is>
          <t>87114</t>
        </is>
      </c>
      <c r="AV63" t="inlineStr">
        <is>
          <t>NM</t>
        </is>
      </c>
      <c r="BB63" t="inlineStr">
        <is>
          <t>12/05/2025</t>
        </is>
      </c>
    </row>
    <row r="64" ht="15" customHeight="1" s="86">
      <c r="C64" t="inlineStr">
        <is>
          <t>Micielo</t>
        </is>
      </c>
      <c r="D64" t="inlineStr">
        <is>
          <t>C</t>
        </is>
      </c>
      <c r="E64" t="inlineStr">
        <is>
          <t>Swartz</t>
        </is>
      </c>
      <c r="G64" t="inlineStr">
        <is>
          <t>02/04/1999</t>
        </is>
      </c>
      <c r="H64" t="inlineStr">
        <is>
          <t>Not Specified</t>
        </is>
      </c>
      <c r="I64" t="inlineStr">
        <is>
          <t>648209717</t>
        </is>
      </c>
      <c r="K64" t="inlineStr">
        <is>
          <t>5C4Q5WJ7G</t>
        </is>
      </c>
      <c r="M64" t="inlineStr">
        <is>
          <t>12/05/2025</t>
        </is>
      </c>
      <c r="N64" t="inlineStr">
        <is>
          <t>08/12/2025</t>
        </is>
      </c>
      <c r="R64" t="inlineStr">
        <is>
          <t>Hourly</t>
        </is>
      </c>
      <c r="X64" t="inlineStr">
        <is>
          <t>21.65</t>
        </is>
      </c>
      <c r="AF64" t="inlineStr">
        <is>
          <t>Non-exempt</t>
        </is>
      </c>
      <c r="AJ64" t="inlineStr">
        <is>
          <t>swartzm.remson@gmail.com</t>
        </is>
      </c>
      <c r="AL64" t="inlineStr">
        <is>
          <t>4427 Barrett Ave NW</t>
        </is>
      </c>
      <c r="AN64" t="inlineStr">
        <is>
          <t>Albuquerque</t>
        </is>
      </c>
      <c r="AO64" t="inlineStr">
        <is>
          <t>87114</t>
        </is>
      </c>
      <c r="AP64" t="inlineStr">
        <is>
          <t>NM</t>
        </is>
      </c>
      <c r="AR64" t="inlineStr">
        <is>
          <t>4427 Barrett Ave NW</t>
        </is>
      </c>
      <c r="AT64" t="inlineStr">
        <is>
          <t>Albuquerque</t>
        </is>
      </c>
      <c r="AU64" t="inlineStr">
        <is>
          <t>87114</t>
        </is>
      </c>
      <c r="AV64" t="inlineStr">
        <is>
          <t>NM</t>
        </is>
      </c>
      <c r="BB64" t="inlineStr">
        <is>
          <t>12/05/2025</t>
        </is>
      </c>
      <c r="BD64" t="inlineStr">
        <is>
          <t>Z4Y55Y33Y</t>
        </is>
      </c>
    </row>
    <row r="65" ht="15" customHeight="1" s="86">
      <c r="C65" t="inlineStr">
        <is>
          <t>Miani</t>
        </is>
      </c>
      <c r="E65" t="inlineStr">
        <is>
          <t>Burleson</t>
        </is>
      </c>
      <c r="G65" t="inlineStr">
        <is>
          <t>16/09/2004</t>
        </is>
      </c>
      <c r="H65" t="inlineStr">
        <is>
          <t>Not Specified</t>
        </is>
      </c>
      <c r="I65" t="inlineStr">
        <is>
          <t>644926355</t>
        </is>
      </c>
      <c r="K65" t="inlineStr">
        <is>
          <t>5G63GBNLC</t>
        </is>
      </c>
      <c r="M65" t="inlineStr">
        <is>
          <t>27/10/2025</t>
        </is>
      </c>
      <c r="R65" t="inlineStr">
        <is>
          <t>Hourly</t>
        </is>
      </c>
      <c r="X65" t="inlineStr">
        <is>
          <t>21.5</t>
        </is>
      </c>
      <c r="AF65" t="inlineStr">
        <is>
          <t>Non-exempt</t>
        </is>
      </c>
      <c r="AI65" t="inlineStr">
        <is>
          <t>mburleson.remson@gmail.com</t>
        </is>
      </c>
      <c r="AJ65" t="inlineStr">
        <is>
          <t>mburleson.remson@gmail.com</t>
        </is>
      </c>
      <c r="AL65" t="inlineStr">
        <is>
          <t>2300 Diamond Mesa Trail Southw</t>
        </is>
      </c>
      <c r="AM65" t="inlineStr">
        <is>
          <t>Unit 7203</t>
        </is>
      </c>
      <c r="AN65" t="inlineStr">
        <is>
          <t>Albuquerque</t>
        </is>
      </c>
      <c r="AO65" t="inlineStr">
        <is>
          <t>87121</t>
        </is>
      </c>
      <c r="AP65" t="inlineStr">
        <is>
          <t>NM</t>
        </is>
      </c>
      <c r="AR65" t="inlineStr">
        <is>
          <t>2300 Diamond Mesa Trail Southw</t>
        </is>
      </c>
      <c r="AS65" t="inlineStr">
        <is>
          <t>Unit 7203</t>
        </is>
      </c>
      <c r="AT65" t="inlineStr">
        <is>
          <t>Albuquerque</t>
        </is>
      </c>
      <c r="AU65" t="inlineStr">
        <is>
          <t>87121</t>
        </is>
      </c>
      <c r="AV65" t="inlineStr">
        <is>
          <t>NM</t>
        </is>
      </c>
      <c r="BB65" t="inlineStr">
        <is>
          <t>27/10/2025</t>
        </is>
      </c>
    </row>
    <row r="66" ht="15" customHeight="1" s="86">
      <c r="C66" t="inlineStr">
        <is>
          <t>Miani</t>
        </is>
      </c>
      <c r="E66" t="inlineStr">
        <is>
          <t>Burleson</t>
        </is>
      </c>
      <c r="G66" t="inlineStr">
        <is>
          <t>16/09/2004</t>
        </is>
      </c>
      <c r="H66" t="inlineStr">
        <is>
          <t>Not Specified</t>
        </is>
      </c>
      <c r="I66" t="inlineStr">
        <is>
          <t>644926355</t>
        </is>
      </c>
      <c r="K66" t="inlineStr">
        <is>
          <t>5G63GBNLC</t>
        </is>
      </c>
      <c r="M66" t="inlineStr">
        <is>
          <t>27/10/2025</t>
        </is>
      </c>
      <c r="N66" t="inlineStr">
        <is>
          <t>08/12/2025</t>
        </is>
      </c>
      <c r="R66" t="inlineStr">
        <is>
          <t>Hourly</t>
        </is>
      </c>
      <c r="X66" t="inlineStr">
        <is>
          <t>21.5</t>
        </is>
      </c>
      <c r="AF66" t="inlineStr">
        <is>
          <t>Non-exempt</t>
        </is>
      </c>
      <c r="AI66" t="inlineStr">
        <is>
          <t>mburleson.remson@gmail.com</t>
        </is>
      </c>
      <c r="AJ66" t="inlineStr">
        <is>
          <t>mburleson.remson@gmail.com</t>
        </is>
      </c>
      <c r="AL66" t="inlineStr">
        <is>
          <t>2300 Diamond Mesa Trail Southw</t>
        </is>
      </c>
      <c r="AM66" t="inlineStr">
        <is>
          <t>Unit 7203</t>
        </is>
      </c>
      <c r="AN66" t="inlineStr">
        <is>
          <t>Albuquerque</t>
        </is>
      </c>
      <c r="AO66" t="inlineStr">
        <is>
          <t>87121</t>
        </is>
      </c>
      <c r="AP66" t="inlineStr">
        <is>
          <t>NM</t>
        </is>
      </c>
      <c r="AR66" t="inlineStr">
        <is>
          <t>2300 Diamond Mesa Trail Southw</t>
        </is>
      </c>
      <c r="AS66" t="inlineStr">
        <is>
          <t>Unit 7203</t>
        </is>
      </c>
      <c r="AT66" t="inlineStr">
        <is>
          <t>Albuquerque</t>
        </is>
      </c>
      <c r="AU66" t="inlineStr">
        <is>
          <t>87121</t>
        </is>
      </c>
      <c r="AV66" t="inlineStr">
        <is>
          <t>NM</t>
        </is>
      </c>
      <c r="BB66" t="inlineStr">
        <is>
          <t>27/10/2025</t>
        </is>
      </c>
      <c r="BD66" t="inlineStr">
        <is>
          <t>Z4Y55Y33Y</t>
        </is>
      </c>
    </row>
    <row r="67" ht="15" customHeight="1" s="86">
      <c r="C67" t="inlineStr">
        <is>
          <t>Donaciano</t>
        </is>
      </c>
      <c r="E67" t="inlineStr">
        <is>
          <t>Gallegos</t>
        </is>
      </c>
      <c r="G67" t="inlineStr">
        <is>
          <t>05/11/2000</t>
        </is>
      </c>
      <c r="H67" t="inlineStr">
        <is>
          <t>Not Specified</t>
        </is>
      </c>
      <c r="I67" t="inlineStr">
        <is>
          <t>649224970</t>
        </is>
      </c>
      <c r="K67" t="inlineStr">
        <is>
          <t>5HRWHKFOA</t>
        </is>
      </c>
      <c r="M67" t="inlineStr">
        <is>
          <t>12/05/2025</t>
        </is>
      </c>
      <c r="R67" t="inlineStr">
        <is>
          <t>Hourly</t>
        </is>
      </c>
      <c r="X67" t="inlineStr">
        <is>
          <t>21.65</t>
        </is>
      </c>
      <c r="AF67" t="inlineStr">
        <is>
          <t>Non-exempt</t>
        </is>
      </c>
      <c r="AJ67" t="inlineStr">
        <is>
          <t>dgallegos.remson@gmail.com</t>
        </is>
      </c>
      <c r="AL67" t="inlineStr">
        <is>
          <t>13305 Fruit Avenue Northeast</t>
        </is>
      </c>
      <c r="AN67" t="inlineStr">
        <is>
          <t>Albuquerque</t>
        </is>
      </c>
      <c r="AO67" t="inlineStr">
        <is>
          <t>87123</t>
        </is>
      </c>
      <c r="AP67" t="inlineStr">
        <is>
          <t>NM</t>
        </is>
      </c>
      <c r="AR67" t="inlineStr">
        <is>
          <t>13305 Fruit Avenue Northeast</t>
        </is>
      </c>
      <c r="AT67" t="inlineStr">
        <is>
          <t>Albuquerque</t>
        </is>
      </c>
      <c r="AU67" t="inlineStr">
        <is>
          <t>87123</t>
        </is>
      </c>
      <c r="AV67" t="inlineStr">
        <is>
          <t>NM</t>
        </is>
      </c>
      <c r="BB67" t="inlineStr">
        <is>
          <t>12/05/2025</t>
        </is>
      </c>
    </row>
    <row r="68" ht="15" customHeight="1" s="86">
      <c r="C68" t="inlineStr">
        <is>
          <t>Donaciano</t>
        </is>
      </c>
      <c r="E68" t="inlineStr">
        <is>
          <t>Gallegos</t>
        </is>
      </c>
      <c r="G68" t="inlineStr">
        <is>
          <t>05/11/2000</t>
        </is>
      </c>
      <c r="H68" t="inlineStr">
        <is>
          <t>Not Specified</t>
        </is>
      </c>
      <c r="I68" t="inlineStr">
        <is>
          <t>649224970</t>
        </is>
      </c>
      <c r="K68" t="inlineStr">
        <is>
          <t>5HRWHKFOA</t>
        </is>
      </c>
      <c r="M68" t="inlineStr">
        <is>
          <t>12/05/2025</t>
        </is>
      </c>
      <c r="N68" t="inlineStr">
        <is>
          <t>08/12/2025</t>
        </is>
      </c>
      <c r="R68" t="inlineStr">
        <is>
          <t>Hourly</t>
        </is>
      </c>
      <c r="X68" t="inlineStr">
        <is>
          <t>21.65</t>
        </is>
      </c>
      <c r="AF68" t="inlineStr">
        <is>
          <t>Non-exempt</t>
        </is>
      </c>
      <c r="AJ68" t="inlineStr">
        <is>
          <t>dgallegos.remson@gmail.com</t>
        </is>
      </c>
      <c r="AL68" t="inlineStr">
        <is>
          <t>13305 Fruit Avenue Northeast</t>
        </is>
      </c>
      <c r="AN68" t="inlineStr">
        <is>
          <t>Albuquerque</t>
        </is>
      </c>
      <c r="AO68" t="inlineStr">
        <is>
          <t>87123</t>
        </is>
      </c>
      <c r="AP68" t="inlineStr">
        <is>
          <t>NM</t>
        </is>
      </c>
      <c r="AR68" t="inlineStr">
        <is>
          <t>13305 Fruit Avenue Northeast</t>
        </is>
      </c>
      <c r="AT68" t="inlineStr">
        <is>
          <t>Albuquerque</t>
        </is>
      </c>
      <c r="AU68" t="inlineStr">
        <is>
          <t>87123</t>
        </is>
      </c>
      <c r="AV68" t="inlineStr">
        <is>
          <t>NM</t>
        </is>
      </c>
      <c r="BB68" t="inlineStr">
        <is>
          <t>12/05/2025</t>
        </is>
      </c>
      <c r="BD68" t="inlineStr">
        <is>
          <t>Z4Y55Y33Y</t>
        </is>
      </c>
    </row>
    <row r="69" ht="15" customHeight="1" s="86">
      <c r="C69" t="inlineStr">
        <is>
          <t>Sabrina</t>
        </is>
      </c>
      <c r="E69" t="inlineStr">
        <is>
          <t>Garbiso</t>
        </is>
      </c>
      <c r="G69" t="inlineStr">
        <is>
          <t>07/02/1996</t>
        </is>
      </c>
      <c r="H69" t="inlineStr">
        <is>
          <t>Female</t>
        </is>
      </c>
      <c r="I69" t="inlineStr">
        <is>
          <t>649096954</t>
        </is>
      </c>
      <c r="J69" t="inlineStr">
        <is>
          <t>No</t>
        </is>
      </c>
      <c r="K69" t="inlineStr">
        <is>
          <t>5IWFVU1GI</t>
        </is>
      </c>
      <c r="M69" t="inlineStr">
        <is>
          <t>01/03/2024</t>
        </is>
      </c>
      <c r="N69" t="inlineStr">
        <is>
          <t>29/04/2025</t>
        </is>
      </c>
      <c r="R69" t="inlineStr">
        <is>
          <t>Hourly</t>
        </is>
      </c>
      <c r="X69" t="inlineStr">
        <is>
          <t>42.2</t>
        </is>
      </c>
      <c r="AF69" t="inlineStr">
        <is>
          <t>Non-exempt</t>
        </is>
      </c>
      <c r="AI69" t="inlineStr">
        <is>
          <t>sgarbiso96.remson@gmail.com</t>
        </is>
      </c>
      <c r="AJ69" t="inlineStr">
        <is>
          <t>sgarbiso96.remson@gmail.com</t>
        </is>
      </c>
      <c r="AL69" t="inlineStr">
        <is>
          <t>1720 Broadway Blvd Se</t>
        </is>
      </c>
      <c r="AN69" t="inlineStr">
        <is>
          <t>Albuquerque</t>
        </is>
      </c>
      <c r="AO69" t="inlineStr">
        <is>
          <t>87102</t>
        </is>
      </c>
      <c r="AP69" t="inlineStr">
        <is>
          <t>NM</t>
        </is>
      </c>
      <c r="AR69" t="inlineStr">
        <is>
          <t>1720 Broadway Blvd Se</t>
        </is>
      </c>
      <c r="AT69" t="inlineStr">
        <is>
          <t>Albuquerque</t>
        </is>
      </c>
      <c r="AU69" t="inlineStr">
        <is>
          <t>87102</t>
        </is>
      </c>
      <c r="AV69" t="inlineStr">
        <is>
          <t>NM</t>
        </is>
      </c>
      <c r="BB69" t="inlineStr">
        <is>
          <t>01/03/2024</t>
        </is>
      </c>
    </row>
    <row r="70" ht="15" customHeight="1" s="86">
      <c r="C70" t="inlineStr">
        <is>
          <t>Marissa</t>
        </is>
      </c>
      <c r="E70" t="inlineStr">
        <is>
          <t>Lopez</t>
        </is>
      </c>
      <c r="G70" t="inlineStr">
        <is>
          <t>12/06/1999</t>
        </is>
      </c>
      <c r="H70" t="inlineStr">
        <is>
          <t>Female</t>
        </is>
      </c>
      <c r="I70" t="inlineStr">
        <is>
          <t>649180471</t>
        </is>
      </c>
      <c r="J70" t="inlineStr">
        <is>
          <t>No</t>
        </is>
      </c>
      <c r="K70" t="inlineStr">
        <is>
          <t>5O9Z6TS3W</t>
        </is>
      </c>
      <c r="M70" t="inlineStr">
        <is>
          <t>22/09/2024</t>
        </is>
      </c>
      <c r="N70" t="inlineStr">
        <is>
          <t>16/01/2025</t>
        </is>
      </c>
      <c r="R70" t="inlineStr">
        <is>
          <t>Hourly</t>
        </is>
      </c>
      <c r="X70" t="inlineStr">
        <is>
          <t>41</t>
        </is>
      </c>
      <c r="AF70" t="inlineStr">
        <is>
          <t>Non-exempt</t>
        </is>
      </c>
      <c r="AI70" t="inlineStr">
        <is>
          <t>marissamadrid777@gmail.com</t>
        </is>
      </c>
      <c r="AJ70" t="inlineStr">
        <is>
          <t>marissamadrid777@gmail.com</t>
        </is>
      </c>
      <c r="AL70" t="inlineStr">
        <is>
          <t>1420 Alwood Dr Nw</t>
        </is>
      </c>
      <c r="AN70" t="inlineStr">
        <is>
          <t>Albuquerque</t>
        </is>
      </c>
      <c r="AO70" t="inlineStr">
        <is>
          <t>87120</t>
        </is>
      </c>
      <c r="AP70" t="inlineStr">
        <is>
          <t>NM</t>
        </is>
      </c>
      <c r="AR70" t="inlineStr">
        <is>
          <t>1420 Alwood Dr Nw</t>
        </is>
      </c>
      <c r="AT70" t="inlineStr">
        <is>
          <t>Albuquerque</t>
        </is>
      </c>
      <c r="AU70" t="inlineStr">
        <is>
          <t>87120</t>
        </is>
      </c>
      <c r="AV70" t="inlineStr">
        <is>
          <t>NM</t>
        </is>
      </c>
      <c r="BB70" t="inlineStr">
        <is>
          <t>22/09/2024</t>
        </is>
      </c>
    </row>
    <row r="71" ht="15" customHeight="1" s="86">
      <c r="C71" t="inlineStr">
        <is>
          <t>David</t>
        </is>
      </c>
      <c r="E71" t="inlineStr">
        <is>
          <t>Apodaca</t>
        </is>
      </c>
      <c r="G71" t="inlineStr">
        <is>
          <t>07/08/1980</t>
        </is>
      </c>
      <c r="H71" t="inlineStr">
        <is>
          <t>Male</t>
        </is>
      </c>
      <c r="I71" t="inlineStr">
        <is>
          <t>525351315</t>
        </is>
      </c>
      <c r="J71" t="inlineStr">
        <is>
          <t>No</t>
        </is>
      </c>
      <c r="K71" t="inlineStr">
        <is>
          <t>66571LEZ5</t>
        </is>
      </c>
      <c r="M71" t="inlineStr">
        <is>
          <t>09/11/2023</t>
        </is>
      </c>
      <c r="N71" t="inlineStr">
        <is>
          <t>29/11/2025</t>
        </is>
      </c>
      <c r="R71" t="inlineStr">
        <is>
          <t>Hourly</t>
        </is>
      </c>
      <c r="X71" t="inlineStr">
        <is>
          <t>22.7</t>
        </is>
      </c>
      <c r="AF71" t="inlineStr">
        <is>
          <t>Non-exempt</t>
        </is>
      </c>
      <c r="AJ71" t="inlineStr">
        <is>
          <t>ddapodaca.remson@gmail.com</t>
        </is>
      </c>
      <c r="AL71" t="inlineStr">
        <is>
          <t>645 Grecian Lane Nw</t>
        </is>
      </c>
      <c r="AN71" t="inlineStr">
        <is>
          <t>Albuquerque</t>
        </is>
      </c>
      <c r="AO71" t="inlineStr">
        <is>
          <t>87107</t>
        </is>
      </c>
      <c r="AP71" t="inlineStr">
        <is>
          <t>NM</t>
        </is>
      </c>
      <c r="AR71" t="inlineStr">
        <is>
          <t>645 Grecian Lane Nw</t>
        </is>
      </c>
      <c r="AT71" t="inlineStr">
        <is>
          <t>Albuquerque</t>
        </is>
      </c>
      <c r="AU71" t="inlineStr">
        <is>
          <t>87107</t>
        </is>
      </c>
      <c r="AV71" t="inlineStr">
        <is>
          <t>NM</t>
        </is>
      </c>
      <c r="BB71" t="inlineStr">
        <is>
          <t>09/11/2023</t>
        </is>
      </c>
      <c r="BD71" t="inlineStr">
        <is>
          <t>Z4Y55Y33Y</t>
        </is>
      </c>
    </row>
    <row r="72" ht="15" customHeight="1" s="86">
      <c r="C72" t="inlineStr">
        <is>
          <t>David</t>
        </is>
      </c>
      <c r="E72" t="inlineStr">
        <is>
          <t>Apodaca</t>
        </is>
      </c>
      <c r="G72" t="inlineStr">
        <is>
          <t>07/08/1980</t>
        </is>
      </c>
      <c r="H72" t="inlineStr">
        <is>
          <t>Male</t>
        </is>
      </c>
      <c r="I72" t="inlineStr">
        <is>
          <t>525351315</t>
        </is>
      </c>
      <c r="J72" t="inlineStr">
        <is>
          <t>No</t>
        </is>
      </c>
      <c r="K72" t="inlineStr">
        <is>
          <t>66571LEZ5</t>
        </is>
      </c>
      <c r="M72" t="inlineStr">
        <is>
          <t>09/11/2023</t>
        </is>
      </c>
      <c r="N72" t="inlineStr">
        <is>
          <t>29/11/2025</t>
        </is>
      </c>
      <c r="R72" t="inlineStr">
        <is>
          <t>Hourly</t>
        </is>
      </c>
      <c r="X72" t="inlineStr">
        <is>
          <t>22.7</t>
        </is>
      </c>
      <c r="AF72" t="inlineStr">
        <is>
          <t>Non-exempt</t>
        </is>
      </c>
      <c r="AJ72" t="inlineStr">
        <is>
          <t>ddapodaca.remson@gmail.com</t>
        </is>
      </c>
      <c r="AL72" t="inlineStr">
        <is>
          <t>645 Grecian Lane Nw</t>
        </is>
      </c>
      <c r="AN72" t="inlineStr">
        <is>
          <t>Albuquerque</t>
        </is>
      </c>
      <c r="AO72" t="inlineStr">
        <is>
          <t>87107</t>
        </is>
      </c>
      <c r="AP72" t="inlineStr">
        <is>
          <t>NM</t>
        </is>
      </c>
      <c r="AR72" t="inlineStr">
        <is>
          <t>645 Grecian Lane Nw</t>
        </is>
      </c>
      <c r="AT72" t="inlineStr">
        <is>
          <t>Albuquerque</t>
        </is>
      </c>
      <c r="AU72" t="inlineStr">
        <is>
          <t>87107</t>
        </is>
      </c>
      <c r="AV72" t="inlineStr">
        <is>
          <t>NM</t>
        </is>
      </c>
      <c r="BB72" t="inlineStr">
        <is>
          <t>09/11/2023</t>
        </is>
      </c>
    </row>
    <row r="73" ht="15" customHeight="1" s="86">
      <c r="C73" t="inlineStr">
        <is>
          <t>Bernardo</t>
        </is>
      </c>
      <c r="E73" t="inlineStr">
        <is>
          <t>Dusich de Griego</t>
        </is>
      </c>
      <c r="G73" t="inlineStr">
        <is>
          <t>02/07/1991</t>
        </is>
      </c>
      <c r="H73" t="inlineStr">
        <is>
          <t>Not Specified</t>
        </is>
      </c>
      <c r="I73" t="inlineStr">
        <is>
          <t>525934265</t>
        </is>
      </c>
      <c r="K73" t="inlineStr">
        <is>
          <t>68AEMVWEJ</t>
        </is>
      </c>
      <c r="M73" t="inlineStr">
        <is>
          <t>10/10/2025</t>
        </is>
      </c>
      <c r="R73" t="inlineStr">
        <is>
          <t>Hourly</t>
        </is>
      </c>
      <c r="X73" t="inlineStr">
        <is>
          <t>21.5</t>
        </is>
      </c>
      <c r="AF73" t="inlineStr">
        <is>
          <t>Non-exempt</t>
        </is>
      </c>
      <c r="AI73" t="inlineStr">
        <is>
          <t>begriego.remson@gmail.com</t>
        </is>
      </c>
      <c r="AJ73" t="inlineStr">
        <is>
          <t>begriego.remson@gmail.com</t>
        </is>
      </c>
      <c r="AL73" t="inlineStr">
        <is>
          <t>7108 Poppy Place Northwest</t>
        </is>
      </c>
      <c r="AN73" t="inlineStr">
        <is>
          <t>Albuquerque</t>
        </is>
      </c>
      <c r="AO73" t="inlineStr">
        <is>
          <t>87121</t>
        </is>
      </c>
      <c r="AP73" t="inlineStr">
        <is>
          <t>NM</t>
        </is>
      </c>
      <c r="AR73" t="inlineStr">
        <is>
          <t>7108 Poppy Place Northwest</t>
        </is>
      </c>
      <c r="AT73" t="inlineStr">
        <is>
          <t>Albuquerque</t>
        </is>
      </c>
      <c r="AU73" t="inlineStr">
        <is>
          <t>87121</t>
        </is>
      </c>
      <c r="AV73" t="inlineStr">
        <is>
          <t>NM</t>
        </is>
      </c>
      <c r="BB73" t="inlineStr">
        <is>
          <t>10/10/2025</t>
        </is>
      </c>
    </row>
    <row r="74" ht="15" customHeight="1" s="86">
      <c r="C74" t="inlineStr">
        <is>
          <t>Bernardo</t>
        </is>
      </c>
      <c r="E74" t="inlineStr">
        <is>
          <t>Dusich de Griego</t>
        </is>
      </c>
      <c r="G74" t="inlineStr">
        <is>
          <t>02/07/1991</t>
        </is>
      </c>
      <c r="H74" t="inlineStr">
        <is>
          <t>Not Specified</t>
        </is>
      </c>
      <c r="I74" t="inlineStr">
        <is>
          <t>525934265</t>
        </is>
      </c>
      <c r="K74" t="inlineStr">
        <is>
          <t>68AEMVWEJ</t>
        </is>
      </c>
      <c r="M74" t="inlineStr">
        <is>
          <t>10/10/2025</t>
        </is>
      </c>
      <c r="N74" t="inlineStr">
        <is>
          <t>08/12/2025</t>
        </is>
      </c>
      <c r="R74" t="inlineStr">
        <is>
          <t>Hourly</t>
        </is>
      </c>
      <c r="X74" t="inlineStr">
        <is>
          <t>21.5</t>
        </is>
      </c>
      <c r="AF74" t="inlineStr">
        <is>
          <t>Non-exempt</t>
        </is>
      </c>
      <c r="AI74" t="inlineStr">
        <is>
          <t>begriego.remson@gmail.com</t>
        </is>
      </c>
      <c r="AJ74" t="inlineStr">
        <is>
          <t>begriego.remson@gmail.com</t>
        </is>
      </c>
      <c r="AL74" t="inlineStr">
        <is>
          <t>7108 Poppy Place Northwest</t>
        </is>
      </c>
      <c r="AN74" t="inlineStr">
        <is>
          <t>Albuquerque</t>
        </is>
      </c>
      <c r="AO74" t="inlineStr">
        <is>
          <t>87121</t>
        </is>
      </c>
      <c r="AP74" t="inlineStr">
        <is>
          <t>NM</t>
        </is>
      </c>
      <c r="AR74" t="inlineStr">
        <is>
          <t>7108 Poppy Place Northwest</t>
        </is>
      </c>
      <c r="AT74" t="inlineStr">
        <is>
          <t>Albuquerque</t>
        </is>
      </c>
      <c r="AU74" t="inlineStr">
        <is>
          <t>87121</t>
        </is>
      </c>
      <c r="AV74" t="inlineStr">
        <is>
          <t>NM</t>
        </is>
      </c>
      <c r="BB74" t="inlineStr">
        <is>
          <t>10/10/2025</t>
        </is>
      </c>
      <c r="BD74" t="inlineStr">
        <is>
          <t>Z4Y55Y33Y</t>
        </is>
      </c>
    </row>
    <row r="75" ht="15" customHeight="1" s="86">
      <c r="C75" t="inlineStr">
        <is>
          <t>Maria</t>
        </is>
      </c>
      <c r="D75" t="inlineStr">
        <is>
          <t>L</t>
        </is>
      </c>
      <c r="E75" t="inlineStr">
        <is>
          <t>Garcia</t>
        </is>
      </c>
      <c r="G75" t="inlineStr">
        <is>
          <t>31/07/1994</t>
        </is>
      </c>
      <c r="H75" t="inlineStr">
        <is>
          <t>Not Specified</t>
        </is>
      </c>
      <c r="I75" t="inlineStr">
        <is>
          <t>649031830</t>
        </is>
      </c>
      <c r="K75" t="inlineStr">
        <is>
          <t>68SNU7YFN</t>
        </is>
      </c>
      <c r="M75" t="inlineStr">
        <is>
          <t>02/03/2025</t>
        </is>
      </c>
      <c r="R75" t="inlineStr">
        <is>
          <t>Hourly</t>
        </is>
      </c>
      <c r="X75" t="inlineStr">
        <is>
          <t>21.65</t>
        </is>
      </c>
      <c r="AF75" t="inlineStr">
        <is>
          <t>Non-exempt</t>
        </is>
      </c>
      <c r="AJ75" t="inlineStr">
        <is>
          <t>mgarcia.remson@gmail.com</t>
        </is>
      </c>
      <c r="AL75" t="inlineStr">
        <is>
          <t>3712 Glorieta Street Northeast</t>
        </is>
      </c>
      <c r="AN75" t="inlineStr">
        <is>
          <t>Albuquerque</t>
        </is>
      </c>
      <c r="AO75" t="inlineStr">
        <is>
          <t>87111</t>
        </is>
      </c>
      <c r="AP75" t="inlineStr">
        <is>
          <t>NM</t>
        </is>
      </c>
      <c r="AR75" t="inlineStr">
        <is>
          <t>3712 Glorieta Street Northeast</t>
        </is>
      </c>
      <c r="AT75" t="inlineStr">
        <is>
          <t>Albuquerque</t>
        </is>
      </c>
      <c r="AU75" t="inlineStr">
        <is>
          <t>87111</t>
        </is>
      </c>
      <c r="AV75" t="inlineStr">
        <is>
          <t>NM</t>
        </is>
      </c>
      <c r="BB75" t="inlineStr">
        <is>
          <t>02/03/2025</t>
        </is>
      </c>
    </row>
    <row r="76" ht="15" customHeight="1" s="86">
      <c r="C76" t="inlineStr">
        <is>
          <t>Maria</t>
        </is>
      </c>
      <c r="D76" t="inlineStr">
        <is>
          <t>L</t>
        </is>
      </c>
      <c r="E76" t="inlineStr">
        <is>
          <t>Garcia</t>
        </is>
      </c>
      <c r="G76" t="inlineStr">
        <is>
          <t>31/07/1994</t>
        </is>
      </c>
      <c r="H76" t="inlineStr">
        <is>
          <t>Not Specified</t>
        </is>
      </c>
      <c r="I76" t="inlineStr">
        <is>
          <t>649031830</t>
        </is>
      </c>
      <c r="K76" t="inlineStr">
        <is>
          <t>68SNU7YFN</t>
        </is>
      </c>
      <c r="M76" t="inlineStr">
        <is>
          <t>02/03/2025</t>
        </is>
      </c>
      <c r="N76" t="inlineStr">
        <is>
          <t>08/12/2025</t>
        </is>
      </c>
      <c r="R76" t="inlineStr">
        <is>
          <t>Hourly</t>
        </is>
      </c>
      <c r="X76" t="inlineStr">
        <is>
          <t>21.65</t>
        </is>
      </c>
      <c r="AF76" t="inlineStr">
        <is>
          <t>Non-exempt</t>
        </is>
      </c>
      <c r="AJ76" t="inlineStr">
        <is>
          <t>mgarcia.remson@gmail.com</t>
        </is>
      </c>
      <c r="AL76" t="inlineStr">
        <is>
          <t>3712 Glorieta Street Northeast</t>
        </is>
      </c>
      <c r="AN76" t="inlineStr">
        <is>
          <t>Albuquerque</t>
        </is>
      </c>
      <c r="AO76" t="inlineStr">
        <is>
          <t>87111</t>
        </is>
      </c>
      <c r="AP76" t="inlineStr">
        <is>
          <t>NM</t>
        </is>
      </c>
      <c r="AR76" t="inlineStr">
        <is>
          <t>3712 Glorieta Street Northeast</t>
        </is>
      </c>
      <c r="AT76" t="inlineStr">
        <is>
          <t>Albuquerque</t>
        </is>
      </c>
      <c r="AU76" t="inlineStr">
        <is>
          <t>87111</t>
        </is>
      </c>
      <c r="AV76" t="inlineStr">
        <is>
          <t>NM</t>
        </is>
      </c>
      <c r="BB76" t="inlineStr">
        <is>
          <t>02/03/2025</t>
        </is>
      </c>
      <c r="BD76" t="inlineStr">
        <is>
          <t>Z4Y55Y33Y</t>
        </is>
      </c>
    </row>
    <row r="77" ht="15" customHeight="1" s="86">
      <c r="C77" t="inlineStr">
        <is>
          <t>Telesfor</t>
        </is>
      </c>
      <c r="D77" t="inlineStr">
        <is>
          <t>J</t>
        </is>
      </c>
      <c r="E77" t="inlineStr">
        <is>
          <t>Gurule</t>
        </is>
      </c>
      <c r="G77" t="inlineStr">
        <is>
          <t>30/06/1990</t>
        </is>
      </c>
      <c r="H77" t="inlineStr">
        <is>
          <t>Not Specified</t>
        </is>
      </c>
      <c r="I77" t="inlineStr">
        <is>
          <t>585870721</t>
        </is>
      </c>
      <c r="J77" t="inlineStr">
        <is>
          <t>No</t>
        </is>
      </c>
      <c r="K77" t="inlineStr">
        <is>
          <t>6DU8TWA9A</t>
        </is>
      </c>
      <c r="M77" t="inlineStr">
        <is>
          <t>12/01/2024</t>
        </is>
      </c>
      <c r="N77" t="inlineStr">
        <is>
          <t>07/03/2025</t>
        </is>
      </c>
      <c r="R77" t="inlineStr">
        <is>
          <t>Hourly</t>
        </is>
      </c>
      <c r="X77" t="inlineStr">
        <is>
          <t>42.2</t>
        </is>
      </c>
      <c r="AF77" t="inlineStr">
        <is>
          <t>Non-exempt</t>
        </is>
      </c>
      <c r="AI77" t="inlineStr">
        <is>
          <t>tgurule.remson@gmail.com</t>
        </is>
      </c>
      <c r="AJ77" t="inlineStr">
        <is>
          <t>tgurule.remson@gmail.com</t>
        </is>
      </c>
      <c r="AL77" t="inlineStr">
        <is>
          <t>10005 Cartagena Ave Sw</t>
        </is>
      </c>
      <c r="AN77" t="inlineStr">
        <is>
          <t>Albuquerque</t>
        </is>
      </c>
      <c r="AO77" t="inlineStr">
        <is>
          <t>87121</t>
        </is>
      </c>
      <c r="AP77" t="inlineStr">
        <is>
          <t>NM</t>
        </is>
      </c>
      <c r="AR77" t="inlineStr">
        <is>
          <t>10005 Cartagena Ave Sw</t>
        </is>
      </c>
      <c r="AT77" t="inlineStr">
        <is>
          <t>Albuquerque</t>
        </is>
      </c>
      <c r="AU77" t="inlineStr">
        <is>
          <t>87121</t>
        </is>
      </c>
      <c r="AV77" t="inlineStr">
        <is>
          <t>NM</t>
        </is>
      </c>
      <c r="BB77" t="inlineStr">
        <is>
          <t>12/01/2024</t>
        </is>
      </c>
      <c r="BD77" t="inlineStr">
        <is>
          <t>DZWKT8LKB</t>
        </is>
      </c>
    </row>
    <row r="78" ht="15" customHeight="1" s="86">
      <c r="C78" t="inlineStr">
        <is>
          <t>Yaneth</t>
        </is>
      </c>
      <c r="E78" t="inlineStr">
        <is>
          <t>Duran Romero</t>
        </is>
      </c>
      <c r="G78" t="inlineStr">
        <is>
          <t>04/04/2001</t>
        </is>
      </c>
      <c r="H78" t="inlineStr">
        <is>
          <t>Not Specified</t>
        </is>
      </c>
      <c r="I78" t="inlineStr">
        <is>
          <t>648246418</t>
        </is>
      </c>
      <c r="K78" t="inlineStr">
        <is>
          <t>6HOKSDE8U</t>
        </is>
      </c>
      <c r="M78" t="inlineStr">
        <is>
          <t>21/11/2025</t>
        </is>
      </c>
      <c r="R78" t="inlineStr">
        <is>
          <t>Hourly</t>
        </is>
      </c>
      <c r="X78" t="inlineStr">
        <is>
          <t>21.5</t>
        </is>
      </c>
      <c r="AF78" t="inlineStr">
        <is>
          <t>Non-exempt</t>
        </is>
      </c>
      <c r="AI78" t="inlineStr">
        <is>
          <t>Yduran.remson@gmail.com</t>
        </is>
      </c>
      <c r="AJ78" t="inlineStr">
        <is>
          <t>Yduran.remson@gmail.com</t>
        </is>
      </c>
      <c r="AL78" t="inlineStr">
        <is>
          <t>420 Judith Lane Southwest</t>
        </is>
      </c>
      <c r="AN78" t="inlineStr">
        <is>
          <t>Albuquerque</t>
        </is>
      </c>
      <c r="AO78" t="inlineStr">
        <is>
          <t>87121</t>
        </is>
      </c>
      <c r="AP78" t="inlineStr">
        <is>
          <t>NM</t>
        </is>
      </c>
      <c r="AR78" t="inlineStr">
        <is>
          <t>420 Judith Lane Southwest</t>
        </is>
      </c>
      <c r="AT78" t="inlineStr">
        <is>
          <t>Albuquerque</t>
        </is>
      </c>
      <c r="AU78" t="inlineStr">
        <is>
          <t>87121</t>
        </is>
      </c>
      <c r="AV78" t="inlineStr">
        <is>
          <t>NM</t>
        </is>
      </c>
      <c r="BB78" t="inlineStr">
        <is>
          <t>21/11/2025</t>
        </is>
      </c>
    </row>
    <row r="79" ht="15" customHeight="1" s="86">
      <c r="C79" t="inlineStr">
        <is>
          <t>Yaneth</t>
        </is>
      </c>
      <c r="E79" t="inlineStr">
        <is>
          <t>Duran Romero</t>
        </is>
      </c>
      <c r="G79" t="inlineStr">
        <is>
          <t>04/04/2001</t>
        </is>
      </c>
      <c r="H79" t="inlineStr">
        <is>
          <t>Not Specified</t>
        </is>
      </c>
      <c r="I79" t="inlineStr">
        <is>
          <t>648246418</t>
        </is>
      </c>
      <c r="K79" t="inlineStr">
        <is>
          <t>6HOKSDE8U</t>
        </is>
      </c>
      <c r="M79" t="inlineStr">
        <is>
          <t>21/11/2025</t>
        </is>
      </c>
      <c r="N79" t="inlineStr">
        <is>
          <t>08/12/2025</t>
        </is>
      </c>
      <c r="R79" t="inlineStr">
        <is>
          <t>Hourly</t>
        </is>
      </c>
      <c r="X79" t="inlineStr">
        <is>
          <t>21.5</t>
        </is>
      </c>
      <c r="AF79" t="inlineStr">
        <is>
          <t>Non-exempt</t>
        </is>
      </c>
      <c r="AI79" t="inlineStr">
        <is>
          <t>Yduran.remson@gmail.com</t>
        </is>
      </c>
      <c r="AJ79" t="inlineStr">
        <is>
          <t>Yduran.remson@gmail.com</t>
        </is>
      </c>
      <c r="AL79" t="inlineStr">
        <is>
          <t>420 Judith Lane Southwest</t>
        </is>
      </c>
      <c r="AN79" t="inlineStr">
        <is>
          <t>Albuquerque</t>
        </is>
      </c>
      <c r="AO79" t="inlineStr">
        <is>
          <t>87121</t>
        </is>
      </c>
      <c r="AP79" t="inlineStr">
        <is>
          <t>NM</t>
        </is>
      </c>
      <c r="AR79" t="inlineStr">
        <is>
          <t>420 Judith Lane Southwest</t>
        </is>
      </c>
      <c r="AT79" t="inlineStr">
        <is>
          <t>Albuquerque</t>
        </is>
      </c>
      <c r="AU79" t="inlineStr">
        <is>
          <t>87121</t>
        </is>
      </c>
      <c r="AV79" t="inlineStr">
        <is>
          <t>NM</t>
        </is>
      </c>
      <c r="BB79" t="inlineStr">
        <is>
          <t>21/11/2025</t>
        </is>
      </c>
      <c r="BD79" t="inlineStr">
        <is>
          <t>Z4Y55Y33Y</t>
        </is>
      </c>
    </row>
    <row r="80" ht="15" customHeight="1" s="86">
      <c r="C80" t="inlineStr">
        <is>
          <t>Josette</t>
        </is>
      </c>
      <c r="E80" t="inlineStr">
        <is>
          <t>Gurule</t>
        </is>
      </c>
      <c r="G80" t="inlineStr">
        <is>
          <t>02/10/1975</t>
        </is>
      </c>
      <c r="H80" t="inlineStr">
        <is>
          <t>Not Specified</t>
        </is>
      </c>
      <c r="I80" t="inlineStr">
        <is>
          <t>525399580</t>
        </is>
      </c>
      <c r="K80" t="inlineStr">
        <is>
          <t>6JCJJ0VWM</t>
        </is>
      </c>
      <c r="M80" t="inlineStr">
        <is>
          <t>23/07/2025</t>
        </is>
      </c>
      <c r="N80" t="inlineStr">
        <is>
          <t>30/08/2025</t>
        </is>
      </c>
      <c r="R80" t="inlineStr">
        <is>
          <t>Hourly</t>
        </is>
      </c>
      <c r="X80" t="inlineStr">
        <is>
          <t>41</t>
        </is>
      </c>
      <c r="AF80" t="inlineStr">
        <is>
          <t>Non-exempt</t>
        </is>
      </c>
      <c r="AJ80" t="inlineStr">
        <is>
          <t>jgurulee.remson@gmail.com</t>
        </is>
      </c>
      <c r="AL80" t="inlineStr">
        <is>
          <t>12021 Skyline Rd NE #1601</t>
        </is>
      </c>
      <c r="AN80" t="inlineStr">
        <is>
          <t>Albuquerque</t>
        </is>
      </c>
      <c r="AO80" t="inlineStr">
        <is>
          <t>87123</t>
        </is>
      </c>
      <c r="AP80" t="inlineStr">
        <is>
          <t>NM</t>
        </is>
      </c>
      <c r="AR80" t="inlineStr">
        <is>
          <t>12021 Skyline Rd NE #1601</t>
        </is>
      </c>
      <c r="AT80" t="inlineStr">
        <is>
          <t>Albuquerque</t>
        </is>
      </c>
      <c r="AU80" t="inlineStr">
        <is>
          <t>87123</t>
        </is>
      </c>
      <c r="AV80" t="inlineStr">
        <is>
          <t>NM</t>
        </is>
      </c>
      <c r="BB80" t="inlineStr">
        <is>
          <t>23/07/2025</t>
        </is>
      </c>
      <c r="BD80" t="inlineStr">
        <is>
          <t>Z4Y55Y33Y</t>
        </is>
      </c>
    </row>
    <row r="81" ht="15" customHeight="1" s="86">
      <c r="C81" t="inlineStr">
        <is>
          <t>Edmund</t>
        </is>
      </c>
      <c r="E81" t="inlineStr">
        <is>
          <t>Romero</t>
        </is>
      </c>
      <c r="G81" t="inlineStr">
        <is>
          <t>11/11/1994</t>
        </is>
      </c>
      <c r="H81" t="inlineStr">
        <is>
          <t>Male</t>
        </is>
      </c>
      <c r="I81" t="inlineStr">
        <is>
          <t>648050722</t>
        </is>
      </c>
      <c r="J81" t="inlineStr">
        <is>
          <t>No</t>
        </is>
      </c>
      <c r="K81" t="inlineStr">
        <is>
          <t>6QDLK8ROW</t>
        </is>
      </c>
      <c r="M81" t="inlineStr">
        <is>
          <t>04/10/2023</t>
        </is>
      </c>
      <c r="R81" t="inlineStr">
        <is>
          <t>Hourly</t>
        </is>
      </c>
      <c r="X81" t="inlineStr">
        <is>
          <t>24</t>
        </is>
      </c>
      <c r="AF81" t="inlineStr">
        <is>
          <t>Non-exempt</t>
        </is>
      </c>
      <c r="AJ81" t="inlineStr">
        <is>
          <t>edmundr.remson@gmail.com</t>
        </is>
      </c>
      <c r="AL81" t="inlineStr">
        <is>
          <t>1804 Indian School Rd NW Apt25</t>
        </is>
      </c>
      <c r="AN81" t="inlineStr">
        <is>
          <t>Albuquerque</t>
        </is>
      </c>
      <c r="AO81" t="inlineStr">
        <is>
          <t>87104</t>
        </is>
      </c>
      <c r="AP81" t="inlineStr">
        <is>
          <t>NM</t>
        </is>
      </c>
      <c r="AR81" t="inlineStr">
        <is>
          <t>1804 Indian School Rd NW Apt25</t>
        </is>
      </c>
      <c r="AT81" t="inlineStr">
        <is>
          <t>Albuquerque</t>
        </is>
      </c>
      <c r="AU81" t="inlineStr">
        <is>
          <t>87104</t>
        </is>
      </c>
      <c r="AV81" t="inlineStr">
        <is>
          <t>NM</t>
        </is>
      </c>
      <c r="BB81" t="inlineStr">
        <is>
          <t>04/10/2023</t>
        </is>
      </c>
      <c r="BD81" t="inlineStr">
        <is>
          <t>DZWKT8LKB</t>
        </is>
      </c>
    </row>
    <row r="82" ht="15" customHeight="1" s="86">
      <c r="C82" t="inlineStr">
        <is>
          <t>Edmund</t>
        </is>
      </c>
      <c r="E82" t="inlineStr">
        <is>
          <t>Romero</t>
        </is>
      </c>
      <c r="G82" t="inlineStr">
        <is>
          <t>11/11/1994</t>
        </is>
      </c>
      <c r="H82" t="inlineStr">
        <is>
          <t>Male</t>
        </is>
      </c>
      <c r="I82" t="inlineStr">
        <is>
          <t>648050722</t>
        </is>
      </c>
      <c r="J82" t="inlineStr">
        <is>
          <t>No</t>
        </is>
      </c>
      <c r="K82" t="inlineStr">
        <is>
          <t>6QDLK8ROW</t>
        </is>
      </c>
      <c r="M82" t="inlineStr">
        <is>
          <t>04/10/2023</t>
        </is>
      </c>
      <c r="N82" t="inlineStr">
        <is>
          <t>08/12/2025</t>
        </is>
      </c>
      <c r="R82" t="inlineStr">
        <is>
          <t>Hourly</t>
        </is>
      </c>
      <c r="X82" t="inlineStr">
        <is>
          <t>24</t>
        </is>
      </c>
      <c r="AF82" t="inlineStr">
        <is>
          <t>Non-exempt</t>
        </is>
      </c>
      <c r="AJ82" t="inlineStr">
        <is>
          <t>edmundr.remson@gmail.com</t>
        </is>
      </c>
      <c r="AL82" t="inlineStr">
        <is>
          <t>1804 Indian School Rd NW Apt25</t>
        </is>
      </c>
      <c r="AN82" t="inlineStr">
        <is>
          <t>Albuquerque</t>
        </is>
      </c>
      <c r="AO82" t="inlineStr">
        <is>
          <t>87104</t>
        </is>
      </c>
      <c r="AP82" t="inlineStr">
        <is>
          <t>NM</t>
        </is>
      </c>
      <c r="AR82" t="inlineStr">
        <is>
          <t>1804 Indian School Rd NW Apt25</t>
        </is>
      </c>
      <c r="AT82" t="inlineStr">
        <is>
          <t>Albuquerque</t>
        </is>
      </c>
      <c r="AU82" t="inlineStr">
        <is>
          <t>87104</t>
        </is>
      </c>
      <c r="AV82" t="inlineStr">
        <is>
          <t>NM</t>
        </is>
      </c>
      <c r="BB82" t="inlineStr">
        <is>
          <t>04/10/2023</t>
        </is>
      </c>
      <c r="BD82" t="inlineStr">
        <is>
          <t>DZWKT8LKB</t>
        </is>
      </c>
    </row>
    <row r="83" ht="15" customHeight="1" s="86">
      <c r="C83" t="inlineStr">
        <is>
          <t>Yavani</t>
        </is>
      </c>
      <c r="D83" t="inlineStr">
        <is>
          <t>M</t>
        </is>
      </c>
      <c r="E83" t="inlineStr">
        <is>
          <t>Ocasio</t>
        </is>
      </c>
      <c r="G83" t="inlineStr">
        <is>
          <t>30/11/2003</t>
        </is>
      </c>
      <c r="H83" t="inlineStr">
        <is>
          <t>Not Specified</t>
        </is>
      </c>
      <c r="I83" t="inlineStr">
        <is>
          <t>768267997</t>
        </is>
      </c>
      <c r="K83" t="inlineStr">
        <is>
          <t>747I2ZQQK</t>
        </is>
      </c>
      <c r="M83" t="inlineStr">
        <is>
          <t>10/10/2025</t>
        </is>
      </c>
      <c r="N83" t="inlineStr">
        <is>
          <t>08/11/2025</t>
        </is>
      </c>
      <c r="R83" t="inlineStr">
        <is>
          <t>Hourly</t>
        </is>
      </c>
      <c r="X83" t="inlineStr">
        <is>
          <t>21.5</t>
        </is>
      </c>
      <c r="AF83" t="inlineStr">
        <is>
          <t>Non-exempt</t>
        </is>
      </c>
      <c r="AI83" t="inlineStr">
        <is>
          <t>yocasio.remson@gmail.com</t>
        </is>
      </c>
      <c r="AJ83" t="inlineStr">
        <is>
          <t>yocasio.remson@gmail.com</t>
        </is>
      </c>
      <c r="AL83" t="inlineStr">
        <is>
          <t>1901 Walter Street Southeast</t>
        </is>
      </c>
      <c r="AN83" t="inlineStr">
        <is>
          <t>Albuquerque</t>
        </is>
      </c>
      <c r="AO83" t="inlineStr">
        <is>
          <t>87102</t>
        </is>
      </c>
      <c r="AP83" t="inlineStr">
        <is>
          <t>NM</t>
        </is>
      </c>
      <c r="AR83" t="inlineStr">
        <is>
          <t>1901 Walter Street Southeast</t>
        </is>
      </c>
      <c r="AT83" t="inlineStr">
        <is>
          <t>Albuquerque</t>
        </is>
      </c>
      <c r="AU83" t="inlineStr">
        <is>
          <t>87102</t>
        </is>
      </c>
      <c r="AV83" t="inlineStr">
        <is>
          <t>NM</t>
        </is>
      </c>
      <c r="BB83" t="inlineStr">
        <is>
          <t>10/10/2025</t>
        </is>
      </c>
      <c r="BD83" t="inlineStr">
        <is>
          <t>Z4Y55Y33Y</t>
        </is>
      </c>
    </row>
    <row r="84" ht="15" customHeight="1" s="86">
      <c r="C84" t="inlineStr">
        <is>
          <t>Yavani</t>
        </is>
      </c>
      <c r="D84" t="inlineStr">
        <is>
          <t>M</t>
        </is>
      </c>
      <c r="E84" t="inlineStr">
        <is>
          <t>Ocasio</t>
        </is>
      </c>
      <c r="G84" t="inlineStr">
        <is>
          <t>30/11/2003</t>
        </is>
      </c>
      <c r="H84" t="inlineStr">
        <is>
          <t>Not Specified</t>
        </is>
      </c>
      <c r="I84" t="inlineStr">
        <is>
          <t>768267997</t>
        </is>
      </c>
      <c r="K84" t="inlineStr">
        <is>
          <t>747I2ZQQK</t>
        </is>
      </c>
      <c r="M84" t="inlineStr">
        <is>
          <t>10/10/2025</t>
        </is>
      </c>
      <c r="N84" t="inlineStr">
        <is>
          <t>08/11/2025</t>
        </is>
      </c>
      <c r="R84" t="inlineStr">
        <is>
          <t>Hourly</t>
        </is>
      </c>
      <c r="X84" t="inlineStr">
        <is>
          <t>21.5</t>
        </is>
      </c>
      <c r="AF84" t="inlineStr">
        <is>
          <t>Non-exempt</t>
        </is>
      </c>
      <c r="AI84" t="inlineStr">
        <is>
          <t>yocasio.remson@gmail.com</t>
        </is>
      </c>
      <c r="AJ84" t="inlineStr">
        <is>
          <t>yocasio.remson@gmail.com</t>
        </is>
      </c>
      <c r="AL84" t="inlineStr">
        <is>
          <t>1901 Walter Street Southeast</t>
        </is>
      </c>
      <c r="AN84" t="inlineStr">
        <is>
          <t>Albuquerque</t>
        </is>
      </c>
      <c r="AO84" t="inlineStr">
        <is>
          <t>87102</t>
        </is>
      </c>
      <c r="AP84" t="inlineStr">
        <is>
          <t>NM</t>
        </is>
      </c>
      <c r="AR84" t="inlineStr">
        <is>
          <t>1901 Walter Street Southeast</t>
        </is>
      </c>
      <c r="AT84" t="inlineStr">
        <is>
          <t>Albuquerque</t>
        </is>
      </c>
      <c r="AU84" t="inlineStr">
        <is>
          <t>87102</t>
        </is>
      </c>
      <c r="AV84" t="inlineStr">
        <is>
          <t>NM</t>
        </is>
      </c>
      <c r="BB84" t="inlineStr">
        <is>
          <t>10/10/2025</t>
        </is>
      </c>
    </row>
    <row r="85" ht="15" customHeight="1" s="86">
      <c r="C85" t="inlineStr">
        <is>
          <t>Mateo</t>
        </is>
      </c>
      <c r="E85" t="inlineStr">
        <is>
          <t>Sandoval</t>
        </is>
      </c>
      <c r="G85" t="inlineStr">
        <is>
          <t>05/04/1998</t>
        </is>
      </c>
      <c r="H85" t="inlineStr">
        <is>
          <t>Male</t>
        </is>
      </c>
      <c r="I85" t="inlineStr">
        <is>
          <t>651073913</t>
        </is>
      </c>
      <c r="J85" t="inlineStr">
        <is>
          <t>No</t>
        </is>
      </c>
      <c r="K85" t="inlineStr">
        <is>
          <t>758F9ZD8V</t>
        </is>
      </c>
      <c r="M85" t="inlineStr">
        <is>
          <t>06/11/2023</t>
        </is>
      </c>
      <c r="R85" t="inlineStr">
        <is>
          <t>Hourly</t>
        </is>
      </c>
      <c r="X85" t="inlineStr">
        <is>
          <t>22.2</t>
        </is>
      </c>
      <c r="AF85" t="inlineStr">
        <is>
          <t>Non-exempt</t>
        </is>
      </c>
      <c r="AJ85" t="inlineStr">
        <is>
          <t>msandoval.remson@gmail.com</t>
        </is>
      </c>
      <c r="AL85" t="inlineStr">
        <is>
          <t>4106 Malaga Ct</t>
        </is>
      </c>
      <c r="AN85" t="inlineStr">
        <is>
          <t>Rio Rancho</t>
        </is>
      </c>
      <c r="AO85" t="inlineStr">
        <is>
          <t>87124</t>
        </is>
      </c>
      <c r="AP85" t="inlineStr">
        <is>
          <t>NM</t>
        </is>
      </c>
      <c r="AR85" t="inlineStr">
        <is>
          <t>4106 Malaga Ct</t>
        </is>
      </c>
      <c r="AT85" t="inlineStr">
        <is>
          <t>Rio Rancho</t>
        </is>
      </c>
      <c r="AU85" t="inlineStr">
        <is>
          <t>87124</t>
        </is>
      </c>
      <c r="AV85" t="inlineStr">
        <is>
          <t>NM</t>
        </is>
      </c>
      <c r="BB85" t="inlineStr">
        <is>
          <t>06/11/2023</t>
        </is>
      </c>
    </row>
    <row r="86" ht="15" customHeight="1" s="86">
      <c r="C86" t="inlineStr">
        <is>
          <t>Mateo</t>
        </is>
      </c>
      <c r="E86" t="inlineStr">
        <is>
          <t>Sandoval</t>
        </is>
      </c>
      <c r="G86" t="inlineStr">
        <is>
          <t>05/04/1998</t>
        </is>
      </c>
      <c r="H86" t="inlineStr">
        <is>
          <t>Male</t>
        </is>
      </c>
      <c r="I86" t="inlineStr">
        <is>
          <t>651073913</t>
        </is>
      </c>
      <c r="J86" t="inlineStr">
        <is>
          <t>No</t>
        </is>
      </c>
      <c r="K86" t="inlineStr">
        <is>
          <t>758F9ZD8V</t>
        </is>
      </c>
      <c r="M86" t="inlineStr">
        <is>
          <t>06/11/2023</t>
        </is>
      </c>
      <c r="N86" t="inlineStr">
        <is>
          <t>08/12/2025</t>
        </is>
      </c>
      <c r="R86" t="inlineStr">
        <is>
          <t>Hourly</t>
        </is>
      </c>
      <c r="X86" t="inlineStr">
        <is>
          <t>22.2</t>
        </is>
      </c>
      <c r="AF86" t="inlineStr">
        <is>
          <t>Non-exempt</t>
        </is>
      </c>
      <c r="AJ86" t="inlineStr">
        <is>
          <t>msandoval.remson@gmail.com</t>
        </is>
      </c>
      <c r="AL86" t="inlineStr">
        <is>
          <t>4106 Malaga Ct</t>
        </is>
      </c>
      <c r="AN86" t="inlineStr">
        <is>
          <t>Rio Rancho</t>
        </is>
      </c>
      <c r="AO86" t="inlineStr">
        <is>
          <t>87124</t>
        </is>
      </c>
      <c r="AP86" t="inlineStr">
        <is>
          <t>NM</t>
        </is>
      </c>
      <c r="AR86" t="inlineStr">
        <is>
          <t>4106 Malaga Ct</t>
        </is>
      </c>
      <c r="AT86" t="inlineStr">
        <is>
          <t>Rio Rancho</t>
        </is>
      </c>
      <c r="AU86" t="inlineStr">
        <is>
          <t>87124</t>
        </is>
      </c>
      <c r="AV86" t="inlineStr">
        <is>
          <t>NM</t>
        </is>
      </c>
      <c r="BB86" t="inlineStr">
        <is>
          <t>06/11/2023</t>
        </is>
      </c>
      <c r="BD86" t="inlineStr">
        <is>
          <t>Z4Y55Y33Y</t>
        </is>
      </c>
    </row>
    <row r="87" ht="15" customHeight="1" s="86">
      <c r="C87" t="inlineStr">
        <is>
          <t>Jerome</t>
        </is>
      </c>
      <c r="E87" t="inlineStr">
        <is>
          <t>Tapia</t>
        </is>
      </c>
      <c r="G87" t="inlineStr">
        <is>
          <t>20/12/1993</t>
        </is>
      </c>
      <c r="H87" t="inlineStr">
        <is>
          <t>Not Specified</t>
        </is>
      </c>
      <c r="I87" t="inlineStr">
        <is>
          <t>648018973</t>
        </is>
      </c>
      <c r="K87" t="inlineStr">
        <is>
          <t>7DGO243K4</t>
        </is>
      </c>
      <c r="M87" t="inlineStr">
        <is>
          <t>30/12/2025</t>
        </is>
      </c>
      <c r="R87" t="inlineStr">
        <is>
          <t>Hourly</t>
        </is>
      </c>
      <c r="X87" t="inlineStr">
        <is>
          <t>21.5</t>
        </is>
      </c>
      <c r="AF87" t="inlineStr">
        <is>
          <t>Non-exempt</t>
        </is>
      </c>
      <c r="AI87" t="inlineStr">
        <is>
          <t>jtapia.remson@gmail.com</t>
        </is>
      </c>
      <c r="AJ87" t="inlineStr">
        <is>
          <t>jtapia.remson@gmail.com</t>
        </is>
      </c>
      <c r="AL87" t="inlineStr">
        <is>
          <t>1913 Paisano Street Northeast</t>
        </is>
      </c>
      <c r="AN87" t="inlineStr">
        <is>
          <t>Albuquerque</t>
        </is>
      </c>
      <c r="AO87" t="inlineStr">
        <is>
          <t>87112</t>
        </is>
      </c>
      <c r="AP87" t="inlineStr">
        <is>
          <t>NM</t>
        </is>
      </c>
      <c r="AR87" t="inlineStr">
        <is>
          <t>1913 Paisano Street Northeast</t>
        </is>
      </c>
      <c r="AT87" t="inlineStr">
        <is>
          <t>Albuquerque</t>
        </is>
      </c>
      <c r="AU87" t="inlineStr">
        <is>
          <t>87112</t>
        </is>
      </c>
      <c r="AV87" t="inlineStr">
        <is>
          <t>NM</t>
        </is>
      </c>
      <c r="BB87" t="inlineStr">
        <is>
          <t>30/12/2025</t>
        </is>
      </c>
      <c r="BD87" t="inlineStr">
        <is>
          <t>Z4Y55Y33Y</t>
        </is>
      </c>
    </row>
    <row r="88" ht="15" customHeight="1" s="86">
      <c r="C88" t="inlineStr">
        <is>
          <t>Michael</t>
        </is>
      </c>
      <c r="D88" t="inlineStr">
        <is>
          <t>P</t>
        </is>
      </c>
      <c r="E88" t="inlineStr">
        <is>
          <t>Sutherin</t>
        </is>
      </c>
      <c r="G88" t="inlineStr">
        <is>
          <t>02/10/1997</t>
        </is>
      </c>
      <c r="H88" t="inlineStr">
        <is>
          <t>Not Specified</t>
        </is>
      </c>
      <c r="I88" t="inlineStr">
        <is>
          <t>649127405</t>
        </is>
      </c>
      <c r="K88" t="inlineStr">
        <is>
          <t>7GTI1C6LR</t>
        </is>
      </c>
      <c r="M88" t="inlineStr">
        <is>
          <t>16/07/2025</t>
        </is>
      </c>
      <c r="N88" t="inlineStr">
        <is>
          <t>08/12/2025</t>
        </is>
      </c>
      <c r="R88" t="inlineStr">
        <is>
          <t>Hourly</t>
        </is>
      </c>
      <c r="X88" t="inlineStr">
        <is>
          <t>21.65</t>
        </is>
      </c>
      <c r="AF88" t="inlineStr">
        <is>
          <t>Non-exempt</t>
        </is>
      </c>
      <c r="AJ88" t="inlineStr">
        <is>
          <t>msutherin.remson@gmail.com</t>
        </is>
      </c>
      <c r="AL88" t="inlineStr">
        <is>
          <t>8401 Winter Sage Road Southwes</t>
        </is>
      </c>
      <c r="AN88" t="inlineStr">
        <is>
          <t>Albuquerque</t>
        </is>
      </c>
      <c r="AO88" t="inlineStr">
        <is>
          <t>87121</t>
        </is>
      </c>
      <c r="AP88" t="inlineStr">
        <is>
          <t>NM</t>
        </is>
      </c>
      <c r="AR88" t="inlineStr">
        <is>
          <t>8401 Winter Sage Road Southwes</t>
        </is>
      </c>
      <c r="AT88" t="inlineStr">
        <is>
          <t>Albuquerque</t>
        </is>
      </c>
      <c r="AU88" t="inlineStr">
        <is>
          <t>87121</t>
        </is>
      </c>
      <c r="AV88" t="inlineStr">
        <is>
          <t>NM</t>
        </is>
      </c>
      <c r="BB88" t="inlineStr">
        <is>
          <t>16/07/2025</t>
        </is>
      </c>
      <c r="BD88" t="inlineStr">
        <is>
          <t>Z4Y55Y33Y</t>
        </is>
      </c>
    </row>
    <row r="89" ht="15" customHeight="1" s="86">
      <c r="C89" t="inlineStr">
        <is>
          <t>Michael</t>
        </is>
      </c>
      <c r="D89" t="inlineStr">
        <is>
          <t>P</t>
        </is>
      </c>
      <c r="E89" t="inlineStr">
        <is>
          <t>Sutherin</t>
        </is>
      </c>
      <c r="G89" t="inlineStr">
        <is>
          <t>02/10/1997</t>
        </is>
      </c>
      <c r="H89" t="inlineStr">
        <is>
          <t>Not Specified</t>
        </is>
      </c>
      <c r="I89" t="inlineStr">
        <is>
          <t>649127405</t>
        </is>
      </c>
      <c r="K89" t="inlineStr">
        <is>
          <t>7GTI1C6LR</t>
        </is>
      </c>
      <c r="M89" t="inlineStr">
        <is>
          <t>16/07/2025</t>
        </is>
      </c>
      <c r="N89" t="inlineStr">
        <is>
          <t>24/01/2026</t>
        </is>
      </c>
      <c r="R89" t="inlineStr">
        <is>
          <t>Hourly</t>
        </is>
      </c>
      <c r="X89" t="inlineStr">
        <is>
          <t>21.65</t>
        </is>
      </c>
      <c r="AF89" t="inlineStr">
        <is>
          <t>Non-exempt</t>
        </is>
      </c>
      <c r="AJ89" t="inlineStr">
        <is>
          <t>msutherin.remson@gmail.com</t>
        </is>
      </c>
      <c r="AL89" t="inlineStr">
        <is>
          <t>8401 Winter Sage Road Southwes</t>
        </is>
      </c>
      <c r="AN89" t="inlineStr">
        <is>
          <t>Albuquerque</t>
        </is>
      </c>
      <c r="AO89" t="inlineStr">
        <is>
          <t>87121</t>
        </is>
      </c>
      <c r="AP89" t="inlineStr">
        <is>
          <t>NM</t>
        </is>
      </c>
      <c r="AR89" t="inlineStr">
        <is>
          <t>8401 Winter Sage Road Southwes</t>
        </is>
      </c>
      <c r="AT89" t="inlineStr">
        <is>
          <t>Albuquerque</t>
        </is>
      </c>
      <c r="AU89" t="inlineStr">
        <is>
          <t>87121</t>
        </is>
      </c>
      <c r="AV89" t="inlineStr">
        <is>
          <t>NM</t>
        </is>
      </c>
      <c r="BB89" t="inlineStr">
        <is>
          <t>16/07/2025</t>
        </is>
      </c>
    </row>
    <row r="90" ht="15" customHeight="1" s="86">
      <c r="C90" t="inlineStr">
        <is>
          <t>Carlena</t>
        </is>
      </c>
      <c r="D90" t="inlineStr">
        <is>
          <t>R</t>
        </is>
      </c>
      <c r="E90" t="inlineStr">
        <is>
          <t>Nieto</t>
        </is>
      </c>
      <c r="G90" t="inlineStr">
        <is>
          <t>26/01/2003</t>
        </is>
      </c>
      <c r="H90" t="inlineStr">
        <is>
          <t>Not Specified</t>
        </is>
      </c>
      <c r="I90" t="inlineStr">
        <is>
          <t>648308733</t>
        </is>
      </c>
      <c r="K90" t="inlineStr">
        <is>
          <t>7K0DIMN03</t>
        </is>
      </c>
      <c r="M90" t="inlineStr">
        <is>
          <t>02/02/2026</t>
        </is>
      </c>
      <c r="R90" t="inlineStr">
        <is>
          <t>Hourly</t>
        </is>
      </c>
      <c r="X90" t="inlineStr">
        <is>
          <t>21.5</t>
        </is>
      </c>
      <c r="AF90" t="inlineStr">
        <is>
          <t>Non-exempt</t>
        </is>
      </c>
      <c r="AI90" t="inlineStr">
        <is>
          <t>carnieto.remson@gmail.com</t>
        </is>
      </c>
      <c r="AJ90" t="inlineStr">
        <is>
          <t>carnieto.remson@gmail.com</t>
        </is>
      </c>
      <c r="AL90" t="inlineStr">
        <is>
          <t>4204 Ridgeway Ct SE Apt B</t>
        </is>
      </c>
      <c r="AN90" t="inlineStr">
        <is>
          <t>Rio Rancho</t>
        </is>
      </c>
      <c r="AO90" t="inlineStr">
        <is>
          <t>87124</t>
        </is>
      </c>
      <c r="AP90" t="inlineStr">
        <is>
          <t>NM</t>
        </is>
      </c>
      <c r="AR90" t="inlineStr">
        <is>
          <t>4204 Ridgeway Ct SE Apt B</t>
        </is>
      </c>
      <c r="AT90" t="inlineStr">
        <is>
          <t>Rio Rancho</t>
        </is>
      </c>
      <c r="AU90" t="inlineStr">
        <is>
          <t>87124</t>
        </is>
      </c>
      <c r="AV90" t="inlineStr">
        <is>
          <t>NM</t>
        </is>
      </c>
      <c r="BB90" t="inlineStr">
        <is>
          <t>02/02/2026</t>
        </is>
      </c>
      <c r="BD90" t="inlineStr">
        <is>
          <t>Z4Y55Y33Y</t>
        </is>
      </c>
    </row>
    <row r="91" ht="15" customHeight="1" s="86">
      <c r="C91" t="inlineStr">
        <is>
          <t>Adam</t>
        </is>
      </c>
      <c r="D91" t="inlineStr">
        <is>
          <t>N</t>
        </is>
      </c>
      <c r="E91" t="inlineStr">
        <is>
          <t>Witt</t>
        </is>
      </c>
      <c r="G91" t="inlineStr">
        <is>
          <t>21/02/1991</t>
        </is>
      </c>
      <c r="H91" t="inlineStr">
        <is>
          <t>Male</t>
        </is>
      </c>
      <c r="I91" t="inlineStr">
        <is>
          <t>585899196</t>
        </is>
      </c>
      <c r="J91" t="inlineStr">
        <is>
          <t>No</t>
        </is>
      </c>
      <c r="K91" t="inlineStr">
        <is>
          <t>7OSBMK0S9</t>
        </is>
      </c>
      <c r="M91" t="inlineStr">
        <is>
          <t>20/01/2025</t>
        </is>
      </c>
      <c r="N91" t="inlineStr">
        <is>
          <t>29/03/2025</t>
        </is>
      </c>
      <c r="R91" t="inlineStr">
        <is>
          <t>Hourly</t>
        </is>
      </c>
      <c r="X91" t="inlineStr">
        <is>
          <t>41.6</t>
        </is>
      </c>
      <c r="AF91" t="inlineStr">
        <is>
          <t>Non-exempt</t>
        </is>
      </c>
      <c r="AI91" t="inlineStr">
        <is>
          <t>witta1.remson@gmail.com</t>
        </is>
      </c>
      <c r="AJ91" t="inlineStr">
        <is>
          <t>be.me.2326@gmail.com</t>
        </is>
      </c>
      <c r="AL91" t="inlineStr">
        <is>
          <t>1311 Louisiana Blvd Ne</t>
        </is>
      </c>
      <c r="AM91" t="inlineStr">
        <is>
          <t>121</t>
        </is>
      </c>
      <c r="AN91" t="inlineStr">
        <is>
          <t>Albuquerque</t>
        </is>
      </c>
      <c r="AO91" t="inlineStr">
        <is>
          <t>87110</t>
        </is>
      </c>
      <c r="AP91" t="inlineStr">
        <is>
          <t>NM</t>
        </is>
      </c>
      <c r="AR91" t="inlineStr">
        <is>
          <t>1311 Louisiana Blvd Ne</t>
        </is>
      </c>
      <c r="AS91" t="inlineStr">
        <is>
          <t>121</t>
        </is>
      </c>
      <c r="AT91" t="inlineStr">
        <is>
          <t>Albuquerque</t>
        </is>
      </c>
      <c r="AU91" t="inlineStr">
        <is>
          <t>87110</t>
        </is>
      </c>
      <c r="AV91" t="inlineStr">
        <is>
          <t>NM</t>
        </is>
      </c>
      <c r="BB91" t="inlineStr">
        <is>
          <t>20/02/2024</t>
        </is>
      </c>
    </row>
    <row r="92" ht="15" customHeight="1" s="86">
      <c r="C92" t="inlineStr">
        <is>
          <t>Troy</t>
        </is>
      </c>
      <c r="E92" t="inlineStr">
        <is>
          <t>Bordlemay</t>
        </is>
      </c>
      <c r="G92" t="inlineStr">
        <is>
          <t>29/06/1970</t>
        </is>
      </c>
      <c r="H92" t="inlineStr">
        <is>
          <t>Male</t>
        </is>
      </c>
      <c r="I92" t="inlineStr">
        <is>
          <t>585470516</t>
        </is>
      </c>
      <c r="J92" t="inlineStr">
        <is>
          <t>No</t>
        </is>
      </c>
      <c r="K92" t="inlineStr">
        <is>
          <t>7T1O9JJF3</t>
        </is>
      </c>
      <c r="M92" t="inlineStr">
        <is>
          <t>06/10/2023</t>
        </is>
      </c>
      <c r="R92" t="inlineStr">
        <is>
          <t>Hourly</t>
        </is>
      </c>
      <c r="X92" t="inlineStr">
        <is>
          <t>22.2</t>
        </is>
      </c>
      <c r="AF92" t="inlineStr">
        <is>
          <t>Non-exempt</t>
        </is>
      </c>
      <c r="AJ92" t="inlineStr">
        <is>
          <t>tbordlemay.remson@gmail.com</t>
        </is>
      </c>
      <c r="AL92" t="inlineStr">
        <is>
          <t>13000 Frontage Rd Sw</t>
        </is>
      </c>
      <c r="AN92" t="inlineStr">
        <is>
          <t>Albuquerque</t>
        </is>
      </c>
      <c r="AO92" t="inlineStr">
        <is>
          <t>87121</t>
        </is>
      </c>
      <c r="AP92" t="inlineStr">
        <is>
          <t>NM</t>
        </is>
      </c>
      <c r="AR92" t="inlineStr">
        <is>
          <t>13000 Frontage Rd Sw</t>
        </is>
      </c>
      <c r="AT92" t="inlineStr">
        <is>
          <t>Albuquerque</t>
        </is>
      </c>
      <c r="AU92" t="inlineStr">
        <is>
          <t>87121</t>
        </is>
      </c>
      <c r="AV92" t="inlineStr">
        <is>
          <t>NM</t>
        </is>
      </c>
      <c r="BB92" t="inlineStr">
        <is>
          <t>06/10/2023</t>
        </is>
      </c>
    </row>
    <row r="93" ht="15" customHeight="1" s="86">
      <c r="C93" t="inlineStr">
        <is>
          <t>Troy</t>
        </is>
      </c>
      <c r="E93" t="inlineStr">
        <is>
          <t>Bordlemay</t>
        </is>
      </c>
      <c r="G93" t="inlineStr">
        <is>
          <t>29/06/1970</t>
        </is>
      </c>
      <c r="H93" t="inlineStr">
        <is>
          <t>Male</t>
        </is>
      </c>
      <c r="I93" t="inlineStr">
        <is>
          <t>585470516</t>
        </is>
      </c>
      <c r="J93" t="inlineStr">
        <is>
          <t>No</t>
        </is>
      </c>
      <c r="K93" t="inlineStr">
        <is>
          <t>7T1O9JJF3</t>
        </is>
      </c>
      <c r="M93" t="inlineStr">
        <is>
          <t>06/10/2023</t>
        </is>
      </c>
      <c r="N93" t="inlineStr">
        <is>
          <t>08/12/2025</t>
        </is>
      </c>
      <c r="R93" t="inlineStr">
        <is>
          <t>Hourly</t>
        </is>
      </c>
      <c r="X93" t="inlineStr">
        <is>
          <t>22.2</t>
        </is>
      </c>
      <c r="AF93" t="inlineStr">
        <is>
          <t>Non-exempt</t>
        </is>
      </c>
      <c r="AJ93" t="inlineStr">
        <is>
          <t>tbordlemay.remson@gmail.com</t>
        </is>
      </c>
      <c r="AL93" t="inlineStr">
        <is>
          <t>13000 Frontage Rd Sw</t>
        </is>
      </c>
      <c r="AN93" t="inlineStr">
        <is>
          <t>Albuquerque</t>
        </is>
      </c>
      <c r="AO93" t="inlineStr">
        <is>
          <t>87121</t>
        </is>
      </c>
      <c r="AP93" t="inlineStr">
        <is>
          <t>NM</t>
        </is>
      </c>
      <c r="AR93" t="inlineStr">
        <is>
          <t>13000 Frontage Rd Sw</t>
        </is>
      </c>
      <c r="AT93" t="inlineStr">
        <is>
          <t>Albuquerque</t>
        </is>
      </c>
      <c r="AU93" t="inlineStr">
        <is>
          <t>87121</t>
        </is>
      </c>
      <c r="AV93" t="inlineStr">
        <is>
          <t>NM</t>
        </is>
      </c>
      <c r="BB93" t="inlineStr">
        <is>
          <t>06/10/2023</t>
        </is>
      </c>
      <c r="BD93" t="inlineStr">
        <is>
          <t>Z4Y55Y33Y</t>
        </is>
      </c>
    </row>
    <row r="94" ht="15" customHeight="1" s="86">
      <c r="C94" t="inlineStr">
        <is>
          <t>Michael</t>
        </is>
      </c>
      <c r="E94" t="inlineStr">
        <is>
          <t>Gallegos</t>
        </is>
      </c>
      <c r="G94" t="inlineStr">
        <is>
          <t>07/06/1991</t>
        </is>
      </c>
      <c r="H94" t="inlineStr">
        <is>
          <t>Male</t>
        </is>
      </c>
      <c r="I94" t="inlineStr">
        <is>
          <t>585911854</t>
        </is>
      </c>
      <c r="J94" t="inlineStr">
        <is>
          <t>No</t>
        </is>
      </c>
      <c r="K94" t="inlineStr">
        <is>
          <t>7YX5HWCBQ</t>
        </is>
      </c>
      <c r="M94" t="inlineStr">
        <is>
          <t>26/12/2023</t>
        </is>
      </c>
      <c r="R94" t="inlineStr">
        <is>
          <t>Hourly</t>
        </is>
      </c>
      <c r="X94" t="inlineStr">
        <is>
          <t>22.2</t>
        </is>
      </c>
      <c r="AF94" t="inlineStr">
        <is>
          <t>Non-exempt</t>
        </is>
      </c>
      <c r="AJ94" t="inlineStr">
        <is>
          <t>mgallegos.remson@gmail.com</t>
        </is>
      </c>
      <c r="AL94" t="inlineStr">
        <is>
          <t>313 Baca St. Sw</t>
        </is>
      </c>
      <c r="AN94" t="inlineStr">
        <is>
          <t>Socorro</t>
        </is>
      </c>
      <c r="AO94" t="inlineStr">
        <is>
          <t>87801</t>
        </is>
      </c>
      <c r="AP94" t="inlineStr">
        <is>
          <t>NM</t>
        </is>
      </c>
      <c r="AR94" t="inlineStr">
        <is>
          <t>313 Baca St. Sw</t>
        </is>
      </c>
      <c r="AT94" t="inlineStr">
        <is>
          <t>Socorro</t>
        </is>
      </c>
      <c r="AU94" t="inlineStr">
        <is>
          <t>87801</t>
        </is>
      </c>
      <c r="AV94" t="inlineStr">
        <is>
          <t>NM</t>
        </is>
      </c>
      <c r="BB94" t="inlineStr">
        <is>
          <t>26/12/2023</t>
        </is>
      </c>
    </row>
    <row r="95" ht="15" customHeight="1" s="86">
      <c r="C95" t="inlineStr">
        <is>
          <t>Michael</t>
        </is>
      </c>
      <c r="E95" t="inlineStr">
        <is>
          <t>Gallegos</t>
        </is>
      </c>
      <c r="G95" t="inlineStr">
        <is>
          <t>07/06/1991</t>
        </is>
      </c>
      <c r="H95" t="inlineStr">
        <is>
          <t>Male</t>
        </is>
      </c>
      <c r="I95" t="inlineStr">
        <is>
          <t>585911854</t>
        </is>
      </c>
      <c r="J95" t="inlineStr">
        <is>
          <t>No</t>
        </is>
      </c>
      <c r="K95" t="inlineStr">
        <is>
          <t>7YX5HWCBQ</t>
        </is>
      </c>
      <c r="M95" t="inlineStr">
        <is>
          <t>26/12/2023</t>
        </is>
      </c>
      <c r="N95" t="inlineStr">
        <is>
          <t>08/12/2025</t>
        </is>
      </c>
      <c r="R95" t="inlineStr">
        <is>
          <t>Hourly</t>
        </is>
      </c>
      <c r="X95" t="inlineStr">
        <is>
          <t>22.2</t>
        </is>
      </c>
      <c r="AF95" t="inlineStr">
        <is>
          <t>Non-exempt</t>
        </is>
      </c>
      <c r="AJ95" t="inlineStr">
        <is>
          <t>mgallegos.remson@gmail.com</t>
        </is>
      </c>
      <c r="AL95" t="inlineStr">
        <is>
          <t>313 Baca St. Sw</t>
        </is>
      </c>
      <c r="AN95" t="inlineStr">
        <is>
          <t>Socorro</t>
        </is>
      </c>
      <c r="AO95" t="inlineStr">
        <is>
          <t>87801</t>
        </is>
      </c>
      <c r="AP95" t="inlineStr">
        <is>
          <t>NM</t>
        </is>
      </c>
      <c r="AR95" t="inlineStr">
        <is>
          <t>313 Baca St. Sw</t>
        </is>
      </c>
      <c r="AT95" t="inlineStr">
        <is>
          <t>Socorro</t>
        </is>
      </c>
      <c r="AU95" t="inlineStr">
        <is>
          <t>87801</t>
        </is>
      </c>
      <c r="AV95" t="inlineStr">
        <is>
          <t>NM</t>
        </is>
      </c>
      <c r="BB95" t="inlineStr">
        <is>
          <t>26/12/2023</t>
        </is>
      </c>
      <c r="BD95" t="inlineStr">
        <is>
          <t>Z4Y55Y33Y</t>
        </is>
      </c>
    </row>
    <row r="96" ht="15" customHeight="1" s="86">
      <c r="C96" t="inlineStr">
        <is>
          <t>David</t>
        </is>
      </c>
      <c r="E96" t="inlineStr">
        <is>
          <t>Burciaga</t>
        </is>
      </c>
      <c r="G96" t="inlineStr">
        <is>
          <t>20/05/2001</t>
        </is>
      </c>
      <c r="H96" t="inlineStr">
        <is>
          <t>Not Specified</t>
        </is>
      </c>
      <c r="I96" t="inlineStr">
        <is>
          <t>649248007</t>
        </is>
      </c>
      <c r="K96" t="inlineStr">
        <is>
          <t>8EL8QFSRJ</t>
        </is>
      </c>
      <c r="M96" t="inlineStr">
        <is>
          <t>23/10/2025</t>
        </is>
      </c>
      <c r="R96" t="inlineStr">
        <is>
          <t>Hourly</t>
        </is>
      </c>
      <c r="X96" t="inlineStr">
        <is>
          <t>21.5</t>
        </is>
      </c>
      <c r="AF96" t="inlineStr">
        <is>
          <t>Non-exempt</t>
        </is>
      </c>
      <c r="AI96" t="inlineStr">
        <is>
          <t>dburciaga.remson@gmail.com</t>
        </is>
      </c>
      <c r="AJ96" t="inlineStr">
        <is>
          <t>dburciaga.remson@gmail.com</t>
        </is>
      </c>
      <c r="AL96" t="inlineStr">
        <is>
          <t>9320 Cook Ranch Pl Sw</t>
        </is>
      </c>
      <c r="AN96" t="inlineStr">
        <is>
          <t>Albuquerque</t>
        </is>
      </c>
      <c r="AO96" t="inlineStr">
        <is>
          <t>87121-8691</t>
        </is>
      </c>
      <c r="AP96" t="inlineStr">
        <is>
          <t>NM</t>
        </is>
      </c>
      <c r="AR96" t="inlineStr">
        <is>
          <t>9320 Cook Ranch Pl Sw</t>
        </is>
      </c>
      <c r="AT96" t="inlineStr">
        <is>
          <t>Albuquerque</t>
        </is>
      </c>
      <c r="AU96" t="inlineStr">
        <is>
          <t>87121-8691</t>
        </is>
      </c>
      <c r="AV96" t="inlineStr">
        <is>
          <t>NM</t>
        </is>
      </c>
      <c r="BB96" t="inlineStr">
        <is>
          <t>23/10/2025</t>
        </is>
      </c>
    </row>
    <row r="97" ht="15" customHeight="1" s="86">
      <c r="C97" t="inlineStr">
        <is>
          <t>David</t>
        </is>
      </c>
      <c r="E97" t="inlineStr">
        <is>
          <t>Burciaga</t>
        </is>
      </c>
      <c r="G97" t="inlineStr">
        <is>
          <t>20/05/2001</t>
        </is>
      </c>
      <c r="H97" t="inlineStr">
        <is>
          <t>Not Specified</t>
        </is>
      </c>
      <c r="I97" t="inlineStr">
        <is>
          <t>649248007</t>
        </is>
      </c>
      <c r="K97" t="inlineStr">
        <is>
          <t>8EL8QFSRJ</t>
        </is>
      </c>
      <c r="M97" t="inlineStr">
        <is>
          <t>23/10/2025</t>
        </is>
      </c>
      <c r="N97" t="inlineStr">
        <is>
          <t>08/12/2025</t>
        </is>
      </c>
      <c r="R97" t="inlineStr">
        <is>
          <t>Hourly</t>
        </is>
      </c>
      <c r="X97" t="inlineStr">
        <is>
          <t>21.5</t>
        </is>
      </c>
      <c r="AF97" t="inlineStr">
        <is>
          <t>Non-exempt</t>
        </is>
      </c>
      <c r="AI97" t="inlineStr">
        <is>
          <t>dburciaga.remson@gmail.com</t>
        </is>
      </c>
      <c r="AJ97" t="inlineStr">
        <is>
          <t>dburciaga.remson@gmail.com</t>
        </is>
      </c>
      <c r="AL97" t="inlineStr">
        <is>
          <t>9320 Cook Ranch Pl Sw</t>
        </is>
      </c>
      <c r="AN97" t="inlineStr">
        <is>
          <t>Albuquerque</t>
        </is>
      </c>
      <c r="AO97" t="inlineStr">
        <is>
          <t>87121-8691</t>
        </is>
      </c>
      <c r="AP97" t="inlineStr">
        <is>
          <t>NM</t>
        </is>
      </c>
      <c r="AR97" t="inlineStr">
        <is>
          <t>9320 Cook Ranch Pl Sw</t>
        </is>
      </c>
      <c r="AT97" t="inlineStr">
        <is>
          <t>Albuquerque</t>
        </is>
      </c>
      <c r="AU97" t="inlineStr">
        <is>
          <t>87121-8691</t>
        </is>
      </c>
      <c r="AV97" t="inlineStr">
        <is>
          <t>NM</t>
        </is>
      </c>
      <c r="BB97" t="inlineStr">
        <is>
          <t>23/10/2025</t>
        </is>
      </c>
      <c r="BD97" t="inlineStr">
        <is>
          <t>Z4Y55Y33Y</t>
        </is>
      </c>
    </row>
    <row r="98" ht="15" customHeight="1" s="86">
      <c r="C98" t="inlineStr">
        <is>
          <t>Xavier</t>
        </is>
      </c>
      <c r="D98" t="inlineStr">
        <is>
          <t>D</t>
        </is>
      </c>
      <c r="E98" t="inlineStr">
        <is>
          <t>Chavez</t>
        </is>
      </c>
      <c r="G98" t="inlineStr">
        <is>
          <t>04/09/1999</t>
        </is>
      </c>
      <c r="H98" t="inlineStr">
        <is>
          <t>Not Specified</t>
        </is>
      </c>
      <c r="I98" t="inlineStr">
        <is>
          <t>634685048</t>
        </is>
      </c>
      <c r="K98" t="inlineStr">
        <is>
          <t>8FG7XP5MX</t>
        </is>
      </c>
      <c r="M98" t="inlineStr">
        <is>
          <t>02/02/2026</t>
        </is>
      </c>
      <c r="N98" t="inlineStr">
        <is>
          <t>13/02/2026</t>
        </is>
      </c>
      <c r="R98" t="inlineStr">
        <is>
          <t>Hourly</t>
        </is>
      </c>
      <c r="X98" t="inlineStr">
        <is>
          <t>21.5</t>
        </is>
      </c>
      <c r="AF98" t="inlineStr">
        <is>
          <t>Non-exempt</t>
        </is>
      </c>
      <c r="AI98" t="inlineStr">
        <is>
          <t>xavierchavez.remson@gmail.com</t>
        </is>
      </c>
      <c r="AJ98" t="inlineStr">
        <is>
          <t>xavierchavez.remson@gmail.com</t>
        </is>
      </c>
      <c r="AL98" t="inlineStr">
        <is>
          <t>9008 Lower Meadow Trail Southw</t>
        </is>
      </c>
      <c r="AN98" t="inlineStr">
        <is>
          <t>Albuquerque</t>
        </is>
      </c>
      <c r="AO98" t="inlineStr">
        <is>
          <t>87121</t>
        </is>
      </c>
      <c r="AP98" t="inlineStr">
        <is>
          <t>NM</t>
        </is>
      </c>
      <c r="AR98" t="inlineStr">
        <is>
          <t>9008 Lower Meadow Trail Southw</t>
        </is>
      </c>
      <c r="AT98" t="inlineStr">
        <is>
          <t>Albuquerque</t>
        </is>
      </c>
      <c r="AU98" t="inlineStr">
        <is>
          <t>87121</t>
        </is>
      </c>
      <c r="AV98" t="inlineStr">
        <is>
          <t>NM</t>
        </is>
      </c>
      <c r="BB98" t="inlineStr">
        <is>
          <t>02/02/2026</t>
        </is>
      </c>
      <c r="BD98" t="inlineStr">
        <is>
          <t>Z4Y55Y33Y</t>
        </is>
      </c>
    </row>
    <row r="99" ht="15" customHeight="1" s="86">
      <c r="C99" t="inlineStr">
        <is>
          <t>Alicia</t>
        </is>
      </c>
      <c r="E99" t="inlineStr">
        <is>
          <t>Bentacu</t>
        </is>
      </c>
      <c r="G99" t="inlineStr">
        <is>
          <t>19/10/1992</t>
        </is>
      </c>
      <c r="H99" t="inlineStr">
        <is>
          <t>Female</t>
        </is>
      </c>
      <c r="I99" t="inlineStr">
        <is>
          <t>525972995</t>
        </is>
      </c>
      <c r="J99" t="inlineStr">
        <is>
          <t>No</t>
        </is>
      </c>
      <c r="K99" t="inlineStr">
        <is>
          <t>8KADIFR9S</t>
        </is>
      </c>
      <c r="M99" t="inlineStr">
        <is>
          <t>17/01/2025</t>
        </is>
      </c>
      <c r="N99" t="inlineStr">
        <is>
          <t>13/09/2025</t>
        </is>
      </c>
      <c r="R99" t="inlineStr">
        <is>
          <t>Hourly</t>
        </is>
      </c>
      <c r="X99" t="inlineStr">
        <is>
          <t>41.3</t>
        </is>
      </c>
      <c r="AF99" t="inlineStr">
        <is>
          <t>Non-exempt</t>
        </is>
      </c>
      <c r="AJ99" t="inlineStr">
        <is>
          <t>bentacualicia.remson@gmail.com</t>
        </is>
      </c>
      <c r="AL99" t="inlineStr">
        <is>
          <t>3117 San Pedro Dr Ne</t>
        </is>
      </c>
      <c r="AN99" t="inlineStr">
        <is>
          <t>Albuquerque</t>
        </is>
      </c>
      <c r="AO99" t="inlineStr">
        <is>
          <t>87110</t>
        </is>
      </c>
      <c r="AP99" t="inlineStr">
        <is>
          <t>NM</t>
        </is>
      </c>
      <c r="AR99" t="inlineStr">
        <is>
          <t>3117 San Pedro Dr Ne</t>
        </is>
      </c>
      <c r="AT99" t="inlineStr">
        <is>
          <t>Albuquerque</t>
        </is>
      </c>
      <c r="AU99" t="inlineStr">
        <is>
          <t>87110</t>
        </is>
      </c>
      <c r="AV99" t="inlineStr">
        <is>
          <t>NM</t>
        </is>
      </c>
      <c r="BB99" t="inlineStr">
        <is>
          <t>17/01/2025</t>
        </is>
      </c>
    </row>
    <row r="100" ht="15" customHeight="1" s="86">
      <c r="C100" t="inlineStr">
        <is>
          <t>Isaac</t>
        </is>
      </c>
      <c r="D100" t="inlineStr">
        <is>
          <t>J</t>
        </is>
      </c>
      <c r="E100" t="inlineStr">
        <is>
          <t>Meredith</t>
        </is>
      </c>
      <c r="G100" t="inlineStr">
        <is>
          <t>09/06/1999</t>
        </is>
      </c>
      <c r="H100" t="inlineStr">
        <is>
          <t>Not Specified</t>
        </is>
      </c>
      <c r="I100" t="inlineStr">
        <is>
          <t>768448286</t>
        </is>
      </c>
      <c r="K100" t="inlineStr">
        <is>
          <t>8OYR17ODB</t>
        </is>
      </c>
      <c r="M100" t="inlineStr">
        <is>
          <t>05/02/2026</t>
        </is>
      </c>
      <c r="R100" t="inlineStr">
        <is>
          <t>Hourly</t>
        </is>
      </c>
      <c r="X100" t="inlineStr">
        <is>
          <t>21.5</t>
        </is>
      </c>
      <c r="AF100" t="inlineStr">
        <is>
          <t>Non-exempt</t>
        </is>
      </c>
      <c r="AI100" t="inlineStr">
        <is>
          <t>imeredith.remson@gmail.com</t>
        </is>
      </c>
      <c r="AJ100" t="inlineStr">
        <is>
          <t>imeredith.remson@gmail.com</t>
        </is>
      </c>
      <c r="AL100" t="inlineStr">
        <is>
          <t>1333 Casa Roja Place Northwest</t>
        </is>
      </c>
      <c r="AN100" t="inlineStr">
        <is>
          <t>Albuquerque</t>
        </is>
      </c>
      <c r="AO100" t="inlineStr">
        <is>
          <t>87120</t>
        </is>
      </c>
      <c r="AP100" t="inlineStr">
        <is>
          <t>NM</t>
        </is>
      </c>
      <c r="AR100" t="inlineStr">
        <is>
          <t>1333 Casa Roja Place Northwest</t>
        </is>
      </c>
      <c r="AT100" t="inlineStr">
        <is>
          <t>Albuquerque</t>
        </is>
      </c>
      <c r="AU100" t="inlineStr">
        <is>
          <t>87120</t>
        </is>
      </c>
      <c r="AV100" t="inlineStr">
        <is>
          <t>NM</t>
        </is>
      </c>
      <c r="BB100" t="inlineStr">
        <is>
          <t>05/02/2026</t>
        </is>
      </c>
      <c r="BD100" t="inlineStr">
        <is>
          <t>Z4Y55Y33Y</t>
        </is>
      </c>
    </row>
    <row r="101" ht="15" customHeight="1" s="86">
      <c r="C101" t="inlineStr">
        <is>
          <t>Pete</t>
        </is>
      </c>
      <c r="E101" t="inlineStr">
        <is>
          <t>Torres</t>
        </is>
      </c>
      <c r="G101" t="inlineStr">
        <is>
          <t>29/05/1967</t>
        </is>
      </c>
      <c r="H101" t="inlineStr">
        <is>
          <t>Not Specified</t>
        </is>
      </c>
      <c r="I101" t="inlineStr">
        <is>
          <t>569214463</t>
        </is>
      </c>
      <c r="K101" t="inlineStr">
        <is>
          <t>8XZYXZ26B</t>
        </is>
      </c>
      <c r="M101" t="inlineStr">
        <is>
          <t>21/03/2025</t>
        </is>
      </c>
      <c r="N101" t="inlineStr">
        <is>
          <t>21/06/2025</t>
        </is>
      </c>
      <c r="R101" t="inlineStr">
        <is>
          <t>Hourly</t>
        </is>
      </c>
      <c r="X101" t="inlineStr">
        <is>
          <t>41</t>
        </is>
      </c>
      <c r="AF101" t="inlineStr">
        <is>
          <t>Non-exempt</t>
        </is>
      </c>
      <c r="AI101" t="inlineStr">
        <is>
          <t>p.torres.remson@gmail.com</t>
        </is>
      </c>
      <c r="AJ101" t="inlineStr">
        <is>
          <t>p.torres.remson@gmail.com</t>
        </is>
      </c>
      <c r="AL101" t="inlineStr">
        <is>
          <t>3529 Shiloh Road Northeast</t>
        </is>
      </c>
      <c r="AN101" t="inlineStr">
        <is>
          <t>Rio Rancho</t>
        </is>
      </c>
      <c r="AO101" t="inlineStr">
        <is>
          <t>87144</t>
        </is>
      </c>
      <c r="AP101" t="inlineStr">
        <is>
          <t>NM</t>
        </is>
      </c>
      <c r="AR101" t="inlineStr">
        <is>
          <t>3529 Shiloh Road Northeast</t>
        </is>
      </c>
      <c r="AT101" t="inlineStr">
        <is>
          <t>Rio Rancho</t>
        </is>
      </c>
      <c r="AU101" t="inlineStr">
        <is>
          <t>87144</t>
        </is>
      </c>
      <c r="AV101" t="inlineStr">
        <is>
          <t>NM</t>
        </is>
      </c>
      <c r="BB101" t="inlineStr">
        <is>
          <t>21/03/2025</t>
        </is>
      </c>
      <c r="BD101" t="inlineStr">
        <is>
          <t>DZWKT8LKB</t>
        </is>
      </c>
    </row>
    <row r="102" ht="15" customHeight="1" s="86">
      <c r="C102" t="inlineStr">
        <is>
          <t>Frank</t>
        </is>
      </c>
      <c r="E102" t="inlineStr">
        <is>
          <t>Fricke Jr</t>
        </is>
      </c>
      <c r="G102" t="inlineStr">
        <is>
          <t>17/06/2003</t>
        </is>
      </c>
      <c r="H102" t="inlineStr">
        <is>
          <t>Male</t>
        </is>
      </c>
      <c r="I102" t="inlineStr">
        <is>
          <t>649309138</t>
        </is>
      </c>
      <c r="J102" t="inlineStr">
        <is>
          <t>No</t>
        </is>
      </c>
      <c r="K102" t="inlineStr">
        <is>
          <t>97WRM4ZJJ</t>
        </is>
      </c>
      <c r="M102" t="inlineStr">
        <is>
          <t>07/07/2024</t>
        </is>
      </c>
      <c r="R102" t="inlineStr">
        <is>
          <t>Hourly</t>
        </is>
      </c>
      <c r="X102" t="inlineStr">
        <is>
          <t>23.5</t>
        </is>
      </c>
      <c r="AF102" t="inlineStr">
        <is>
          <t>Non-exempt</t>
        </is>
      </c>
      <c r="AJ102" t="inlineStr">
        <is>
          <t>ffricke.remson1@gmail.com</t>
        </is>
      </c>
      <c r="AL102" t="inlineStr">
        <is>
          <t>1305 Summerfield Pl Sw</t>
        </is>
      </c>
      <c r="AN102" t="inlineStr">
        <is>
          <t>Albuquerque</t>
        </is>
      </c>
      <c r="AO102" t="inlineStr">
        <is>
          <t>87121</t>
        </is>
      </c>
      <c r="AP102" t="inlineStr">
        <is>
          <t>NM</t>
        </is>
      </c>
      <c r="AR102" t="inlineStr">
        <is>
          <t>1305 Summerfield Pl Sw</t>
        </is>
      </c>
      <c r="AT102" t="inlineStr">
        <is>
          <t>Albuquerque</t>
        </is>
      </c>
      <c r="AU102" t="inlineStr">
        <is>
          <t>87121</t>
        </is>
      </c>
      <c r="AV102" t="inlineStr">
        <is>
          <t>NM</t>
        </is>
      </c>
      <c r="BB102" t="inlineStr">
        <is>
          <t>07/07/2024</t>
        </is>
      </c>
      <c r="BD102" t="inlineStr">
        <is>
          <t>1DSXHLDE3</t>
        </is>
      </c>
    </row>
    <row r="103" ht="15" customHeight="1" s="86">
      <c r="C103" t="inlineStr">
        <is>
          <t>Frank</t>
        </is>
      </c>
      <c r="E103" t="inlineStr">
        <is>
          <t>Fricke Jr</t>
        </is>
      </c>
      <c r="G103" t="inlineStr">
        <is>
          <t>17/06/2003</t>
        </is>
      </c>
      <c r="H103" t="inlineStr">
        <is>
          <t>Male</t>
        </is>
      </c>
      <c r="I103" t="inlineStr">
        <is>
          <t>649309138</t>
        </is>
      </c>
      <c r="J103" t="inlineStr">
        <is>
          <t>No</t>
        </is>
      </c>
      <c r="K103" t="inlineStr">
        <is>
          <t>97WRM4ZJJ</t>
        </is>
      </c>
      <c r="M103" t="inlineStr">
        <is>
          <t>07/07/2024</t>
        </is>
      </c>
      <c r="N103" t="inlineStr">
        <is>
          <t>08/12/2025</t>
        </is>
      </c>
      <c r="R103" t="inlineStr">
        <is>
          <t>Hourly</t>
        </is>
      </c>
      <c r="X103" t="inlineStr">
        <is>
          <t>23.5</t>
        </is>
      </c>
      <c r="AF103" t="inlineStr">
        <is>
          <t>Non-exempt</t>
        </is>
      </c>
      <c r="AJ103" t="inlineStr">
        <is>
          <t>ffricke.remson1@gmail.com</t>
        </is>
      </c>
      <c r="AL103" t="inlineStr">
        <is>
          <t>1305 Summerfield Pl Sw</t>
        </is>
      </c>
      <c r="AN103" t="inlineStr">
        <is>
          <t>Albuquerque</t>
        </is>
      </c>
      <c r="AO103" t="inlineStr">
        <is>
          <t>87121</t>
        </is>
      </c>
      <c r="AP103" t="inlineStr">
        <is>
          <t>NM</t>
        </is>
      </c>
      <c r="AR103" t="inlineStr">
        <is>
          <t>1305 Summerfield Pl Sw</t>
        </is>
      </c>
      <c r="AT103" t="inlineStr">
        <is>
          <t>Albuquerque</t>
        </is>
      </c>
      <c r="AU103" t="inlineStr">
        <is>
          <t>87121</t>
        </is>
      </c>
      <c r="AV103" t="inlineStr">
        <is>
          <t>NM</t>
        </is>
      </c>
      <c r="BB103" t="inlineStr">
        <is>
          <t>07/07/2024</t>
        </is>
      </c>
      <c r="BD103" t="inlineStr">
        <is>
          <t>1DSXHLDE3</t>
        </is>
      </c>
    </row>
    <row r="104" ht="15" customHeight="1" s="86">
      <c r="C104" t="inlineStr">
        <is>
          <t>Lucia</t>
        </is>
      </c>
      <c r="E104" t="inlineStr">
        <is>
          <t>Mendoza Martinez</t>
        </is>
      </c>
      <c r="G104" t="inlineStr">
        <is>
          <t>01/12/1994</t>
        </is>
      </c>
      <c r="H104" t="inlineStr">
        <is>
          <t>Not Specified</t>
        </is>
      </c>
      <c r="I104" t="inlineStr">
        <is>
          <t>861522501</t>
        </is>
      </c>
      <c r="K104" t="inlineStr">
        <is>
          <t>9F6PQI3CX</t>
        </is>
      </c>
      <c r="M104" t="inlineStr">
        <is>
          <t>02/07/2025</t>
        </is>
      </c>
      <c r="N104" t="inlineStr">
        <is>
          <t>30/08/2025</t>
        </is>
      </c>
      <c r="R104" t="inlineStr">
        <is>
          <t>Hourly</t>
        </is>
      </c>
      <c r="X104" t="inlineStr">
        <is>
          <t>41</t>
        </is>
      </c>
      <c r="AF104" t="inlineStr">
        <is>
          <t>Non-exempt</t>
        </is>
      </c>
      <c r="AJ104" t="inlineStr">
        <is>
          <t>lmendoza.remson@gmail.com</t>
        </is>
      </c>
      <c r="AL104" t="inlineStr">
        <is>
          <t>5905 Andromeda Avenue NW</t>
        </is>
      </c>
      <c r="AN104" t="inlineStr">
        <is>
          <t>Albuquerque</t>
        </is>
      </c>
      <c r="AO104" t="inlineStr">
        <is>
          <t>87114</t>
        </is>
      </c>
      <c r="AP104" t="inlineStr">
        <is>
          <t>NM</t>
        </is>
      </c>
      <c r="AR104" t="inlineStr">
        <is>
          <t>5905 Andromeda Avenue NW</t>
        </is>
      </c>
      <c r="AT104" t="inlineStr">
        <is>
          <t>Albuquerque</t>
        </is>
      </c>
      <c r="AU104" t="inlineStr">
        <is>
          <t>87114</t>
        </is>
      </c>
      <c r="AV104" t="inlineStr">
        <is>
          <t>NM</t>
        </is>
      </c>
      <c r="BB104" t="inlineStr">
        <is>
          <t>02/07/2025</t>
        </is>
      </c>
      <c r="BD104" t="inlineStr">
        <is>
          <t>Z4Y55Y33Y</t>
        </is>
      </c>
    </row>
    <row r="105" ht="15" customHeight="1" s="86">
      <c r="C105" t="inlineStr">
        <is>
          <t>Christopher</t>
        </is>
      </c>
      <c r="E105" t="inlineStr">
        <is>
          <t>Trujillo</t>
        </is>
      </c>
      <c r="G105" t="inlineStr">
        <is>
          <t>16/10/2002</t>
        </is>
      </c>
      <c r="H105" t="inlineStr">
        <is>
          <t>Not Specified</t>
        </is>
      </c>
      <c r="I105" t="inlineStr">
        <is>
          <t>649288364</t>
        </is>
      </c>
      <c r="J105" t="inlineStr">
        <is>
          <t>No</t>
        </is>
      </c>
      <c r="K105" t="inlineStr">
        <is>
          <t>9J46E5EPN</t>
        </is>
      </c>
      <c r="M105" t="inlineStr">
        <is>
          <t>26/10/2024</t>
        </is>
      </c>
      <c r="N105" t="inlineStr">
        <is>
          <t>27/04/2025</t>
        </is>
      </c>
      <c r="R105" t="inlineStr">
        <is>
          <t>Hourly</t>
        </is>
      </c>
      <c r="X105" t="inlineStr">
        <is>
          <t>41.3</t>
        </is>
      </c>
      <c r="AF105" t="inlineStr">
        <is>
          <t>Non-exempt</t>
        </is>
      </c>
      <c r="AI105" t="inlineStr">
        <is>
          <t>ctrujillo.remson@gmail.com</t>
        </is>
      </c>
      <c r="AJ105" t="inlineStr">
        <is>
          <t>ctrujillo.remson@gmail.com</t>
        </is>
      </c>
      <c r="AL105" t="inlineStr">
        <is>
          <t>2300 Diamond Mesa Sw</t>
        </is>
      </c>
      <c r="AM105" t="inlineStr">
        <is>
          <t>4204</t>
        </is>
      </c>
      <c r="AN105" t="inlineStr">
        <is>
          <t>Albuquerque</t>
        </is>
      </c>
      <c r="AO105" t="inlineStr">
        <is>
          <t>87121</t>
        </is>
      </c>
      <c r="AP105" t="inlineStr">
        <is>
          <t>NM</t>
        </is>
      </c>
      <c r="AR105" t="inlineStr">
        <is>
          <t>2300 Diamond Mesa Sw</t>
        </is>
      </c>
      <c r="AS105" t="inlineStr">
        <is>
          <t>4204</t>
        </is>
      </c>
      <c r="AT105" t="inlineStr">
        <is>
          <t>Albuquerque</t>
        </is>
      </c>
      <c r="AU105" t="inlineStr">
        <is>
          <t>87121</t>
        </is>
      </c>
      <c r="AV105" t="inlineStr">
        <is>
          <t>NM</t>
        </is>
      </c>
      <c r="BB105" t="inlineStr">
        <is>
          <t>26/10/2024</t>
        </is>
      </c>
    </row>
    <row r="106" ht="15" customHeight="1" s="86">
      <c r="C106" t="inlineStr">
        <is>
          <t>Ciara</t>
        </is>
      </c>
      <c r="D106" t="inlineStr">
        <is>
          <t>E</t>
        </is>
      </c>
      <c r="E106" t="inlineStr">
        <is>
          <t>Trujillo Macernie</t>
        </is>
      </c>
      <c r="G106" t="inlineStr">
        <is>
          <t>13/01/1999</t>
        </is>
      </c>
      <c r="H106" t="inlineStr">
        <is>
          <t>Not Specified</t>
        </is>
      </c>
      <c r="I106" t="inlineStr">
        <is>
          <t>649168263</t>
        </is>
      </c>
      <c r="K106" t="inlineStr">
        <is>
          <t>9QU8C5SF8</t>
        </is>
      </c>
      <c r="M106" t="inlineStr">
        <is>
          <t>28/04/2025</t>
        </is>
      </c>
      <c r="N106" t="inlineStr">
        <is>
          <t>01/05/2025</t>
        </is>
      </c>
      <c r="R106" t="inlineStr">
        <is>
          <t>Hourly</t>
        </is>
      </c>
      <c r="X106" t="inlineStr">
        <is>
          <t>20.5</t>
        </is>
      </c>
      <c r="AF106" t="inlineStr">
        <is>
          <t>Non-exempt</t>
        </is>
      </c>
      <c r="AI106" t="inlineStr">
        <is>
          <t>ctmacernie.remson@gmail.com</t>
        </is>
      </c>
      <c r="AJ106" t="inlineStr">
        <is>
          <t>ctmacernie.remson@gmail.com</t>
        </is>
      </c>
      <c r="AL106" t="inlineStr">
        <is>
          <t>5801 Eubank Blvd NE</t>
        </is>
      </c>
      <c r="AM106" t="inlineStr">
        <is>
          <t>Apt 130</t>
        </is>
      </c>
      <c r="AN106" t="inlineStr">
        <is>
          <t>Albuquerque</t>
        </is>
      </c>
      <c r="AO106" t="inlineStr">
        <is>
          <t>87111</t>
        </is>
      </c>
      <c r="AP106" t="inlineStr">
        <is>
          <t>NM</t>
        </is>
      </c>
      <c r="AR106" t="inlineStr">
        <is>
          <t>5801 Eubank Blvd NE</t>
        </is>
      </c>
      <c r="AS106" t="inlineStr">
        <is>
          <t>Apt 130</t>
        </is>
      </c>
      <c r="AT106" t="inlineStr">
        <is>
          <t>Albuquerque</t>
        </is>
      </c>
      <c r="AU106" t="inlineStr">
        <is>
          <t>87111</t>
        </is>
      </c>
      <c r="AV106" t="inlineStr">
        <is>
          <t>NM</t>
        </is>
      </c>
      <c r="BB106" t="inlineStr">
        <is>
          <t>28/04/2025</t>
        </is>
      </c>
      <c r="BD106" t="inlineStr">
        <is>
          <t>DZWKT8LKB</t>
        </is>
      </c>
    </row>
    <row r="107" ht="15" customHeight="1" s="86">
      <c r="C107" t="inlineStr">
        <is>
          <t>Michael</t>
        </is>
      </c>
      <c r="D107" t="inlineStr">
        <is>
          <t>A</t>
        </is>
      </c>
      <c r="E107" t="inlineStr">
        <is>
          <t>Smith</t>
        </is>
      </c>
      <c r="G107" t="inlineStr">
        <is>
          <t>27/04/1979</t>
        </is>
      </c>
      <c r="H107" t="inlineStr">
        <is>
          <t>Male</t>
        </is>
      </c>
      <c r="I107" t="inlineStr">
        <is>
          <t>585410522</t>
        </is>
      </c>
      <c r="J107" t="inlineStr">
        <is>
          <t>No</t>
        </is>
      </c>
      <c r="K107" t="inlineStr">
        <is>
          <t>A1343Q8HT</t>
        </is>
      </c>
      <c r="M107" t="inlineStr">
        <is>
          <t>16/01/2025</t>
        </is>
      </c>
      <c r="N107" t="inlineStr">
        <is>
          <t>05/04/2025</t>
        </is>
      </c>
      <c r="R107" t="inlineStr">
        <is>
          <t>Hourly</t>
        </is>
      </c>
      <c r="X107" t="inlineStr">
        <is>
          <t>41</t>
        </is>
      </c>
      <c r="AF107" t="inlineStr">
        <is>
          <t>Non-exempt</t>
        </is>
      </c>
      <c r="AI107" t="inlineStr">
        <is>
          <t>msmith.remson@gmail.com</t>
        </is>
      </c>
      <c r="AJ107" t="inlineStr">
        <is>
          <t>msmith.remson@gmail.com</t>
        </is>
      </c>
      <c r="AL107" t="inlineStr">
        <is>
          <t>12416 Morrow Ave Ne</t>
        </is>
      </c>
      <c r="AN107" t="inlineStr">
        <is>
          <t>Albuquerque</t>
        </is>
      </c>
      <c r="AO107" t="inlineStr">
        <is>
          <t>87112</t>
        </is>
      </c>
      <c r="AP107" t="inlineStr">
        <is>
          <t>NM</t>
        </is>
      </c>
      <c r="AR107" t="inlineStr">
        <is>
          <t>12416 Morrow Ave Ne</t>
        </is>
      </c>
      <c r="AT107" t="inlineStr">
        <is>
          <t>Albuquerque</t>
        </is>
      </c>
      <c r="AU107" t="inlineStr">
        <is>
          <t>87112</t>
        </is>
      </c>
      <c r="AV107" t="inlineStr">
        <is>
          <t>NM</t>
        </is>
      </c>
      <c r="BB107" t="inlineStr">
        <is>
          <t>16/01/2025</t>
        </is>
      </c>
    </row>
    <row r="108" ht="15" customHeight="1" s="86">
      <c r="C108" t="inlineStr">
        <is>
          <t>Christina</t>
        </is>
      </c>
      <c r="E108" t="inlineStr">
        <is>
          <t>Bird</t>
        </is>
      </c>
      <c r="G108" t="inlineStr">
        <is>
          <t>30/11/1998</t>
        </is>
      </c>
      <c r="H108" t="inlineStr">
        <is>
          <t>Female</t>
        </is>
      </c>
      <c r="I108" t="inlineStr">
        <is>
          <t>626084877</t>
        </is>
      </c>
      <c r="J108" t="inlineStr">
        <is>
          <t>No</t>
        </is>
      </c>
      <c r="K108" t="inlineStr">
        <is>
          <t>A6WZ50QVJ</t>
        </is>
      </c>
      <c r="M108" t="inlineStr">
        <is>
          <t>07/01/2025</t>
        </is>
      </c>
      <c r="N108" t="inlineStr">
        <is>
          <t>08/03/2025</t>
        </is>
      </c>
      <c r="R108" t="inlineStr">
        <is>
          <t>Hourly</t>
        </is>
      </c>
      <c r="X108" t="inlineStr">
        <is>
          <t>41</t>
        </is>
      </c>
      <c r="AF108" t="inlineStr">
        <is>
          <t>Non-exempt</t>
        </is>
      </c>
      <c r="AI108" t="inlineStr">
        <is>
          <t>christinabird2024@gmail.com</t>
        </is>
      </c>
      <c r="AJ108" t="inlineStr">
        <is>
          <t>christinabird2024@gmail.com</t>
        </is>
      </c>
      <c r="AL108" t="inlineStr">
        <is>
          <t>6901 Glenrio Rd Nw</t>
        </is>
      </c>
      <c r="AM108" t="inlineStr">
        <is>
          <t>2219</t>
        </is>
      </c>
      <c r="AN108" t="inlineStr">
        <is>
          <t>Albuquerque</t>
        </is>
      </c>
      <c r="AO108" t="inlineStr">
        <is>
          <t>87121</t>
        </is>
      </c>
      <c r="AP108" t="inlineStr">
        <is>
          <t>NM</t>
        </is>
      </c>
      <c r="AR108" t="inlineStr">
        <is>
          <t>6901 Glenrio Rd Nw</t>
        </is>
      </c>
      <c r="AS108" t="inlineStr">
        <is>
          <t>2219</t>
        </is>
      </c>
      <c r="AT108" t="inlineStr">
        <is>
          <t>Albuquerque</t>
        </is>
      </c>
      <c r="AU108" t="inlineStr">
        <is>
          <t>87121</t>
        </is>
      </c>
      <c r="AV108" t="inlineStr">
        <is>
          <t>NM</t>
        </is>
      </c>
      <c r="BB108" t="inlineStr">
        <is>
          <t>07/01/2025</t>
        </is>
      </c>
      <c r="BD108" t="inlineStr">
        <is>
          <t>DZWKT8LKB</t>
        </is>
      </c>
    </row>
    <row r="109" ht="15" customHeight="1" s="86">
      <c r="C109" t="inlineStr">
        <is>
          <t>James</t>
        </is>
      </c>
      <c r="E109" t="inlineStr">
        <is>
          <t>Chavez</t>
        </is>
      </c>
      <c r="G109" t="inlineStr">
        <is>
          <t>17/07/1986</t>
        </is>
      </c>
      <c r="H109" t="inlineStr">
        <is>
          <t>Not Specified</t>
        </is>
      </c>
      <c r="I109" t="inlineStr">
        <is>
          <t>585715574</t>
        </is>
      </c>
      <c r="K109" t="inlineStr">
        <is>
          <t>A97NDSS6K</t>
        </is>
      </c>
      <c r="M109" t="inlineStr">
        <is>
          <t>23/10/2025</t>
        </is>
      </c>
      <c r="R109" t="inlineStr">
        <is>
          <t>Hourly</t>
        </is>
      </c>
      <c r="X109" t="inlineStr">
        <is>
          <t>21.5</t>
        </is>
      </c>
      <c r="AF109" t="inlineStr">
        <is>
          <t>Non-exempt</t>
        </is>
      </c>
      <c r="AI109" t="inlineStr">
        <is>
          <t>jachavez.remson@gmail.com</t>
        </is>
      </c>
      <c r="AJ109" t="inlineStr">
        <is>
          <t>jachavez.remson@gmail.com</t>
        </is>
      </c>
      <c r="AL109" t="inlineStr">
        <is>
          <t>Albuquerque NM, USA</t>
        </is>
      </c>
      <c r="AN109" t="inlineStr">
        <is>
          <t>Albuquerque</t>
        </is>
      </c>
      <c r="AO109" t="inlineStr">
        <is>
          <t>87105</t>
        </is>
      </c>
      <c r="AP109" t="inlineStr">
        <is>
          <t>NM</t>
        </is>
      </c>
      <c r="AR109" t="inlineStr">
        <is>
          <t>Albuquerque NM, USA</t>
        </is>
      </c>
      <c r="AT109" t="inlineStr">
        <is>
          <t>Albuquerque</t>
        </is>
      </c>
      <c r="AU109" t="inlineStr">
        <is>
          <t>87105</t>
        </is>
      </c>
      <c r="AV109" t="inlineStr">
        <is>
          <t>NM</t>
        </is>
      </c>
      <c r="BB109" t="inlineStr">
        <is>
          <t>23/10/2025</t>
        </is>
      </c>
    </row>
    <row r="110" ht="15" customHeight="1" s="86">
      <c r="C110" t="inlineStr">
        <is>
          <t>James</t>
        </is>
      </c>
      <c r="E110" t="inlineStr">
        <is>
          <t>Chavez</t>
        </is>
      </c>
      <c r="G110" t="inlineStr">
        <is>
          <t>17/07/1986</t>
        </is>
      </c>
      <c r="H110" t="inlineStr">
        <is>
          <t>Not Specified</t>
        </is>
      </c>
      <c r="I110" t="inlineStr">
        <is>
          <t>585715574</t>
        </is>
      </c>
      <c r="K110" t="inlineStr">
        <is>
          <t>A97NDSS6K</t>
        </is>
      </c>
      <c r="M110" t="inlineStr">
        <is>
          <t>23/10/2025</t>
        </is>
      </c>
      <c r="N110" t="inlineStr">
        <is>
          <t>08/12/2025</t>
        </is>
      </c>
      <c r="R110" t="inlineStr">
        <is>
          <t>Hourly</t>
        </is>
      </c>
      <c r="X110" t="inlineStr">
        <is>
          <t>21.5</t>
        </is>
      </c>
      <c r="AF110" t="inlineStr">
        <is>
          <t>Non-exempt</t>
        </is>
      </c>
      <c r="AI110" t="inlineStr">
        <is>
          <t>jachavez.remson@gmail.com</t>
        </is>
      </c>
      <c r="AJ110" t="inlineStr">
        <is>
          <t>jachavez.remson@gmail.com</t>
        </is>
      </c>
      <c r="AL110" t="inlineStr">
        <is>
          <t>Albuquerque NM, USA</t>
        </is>
      </c>
      <c r="AN110" t="inlineStr">
        <is>
          <t>Albuquerque</t>
        </is>
      </c>
      <c r="AO110" t="inlineStr">
        <is>
          <t>87105</t>
        </is>
      </c>
      <c r="AP110" t="inlineStr">
        <is>
          <t>NM</t>
        </is>
      </c>
      <c r="AR110" t="inlineStr">
        <is>
          <t>Albuquerque NM, USA</t>
        </is>
      </c>
      <c r="AT110" t="inlineStr">
        <is>
          <t>Albuquerque</t>
        </is>
      </c>
      <c r="AU110" t="inlineStr">
        <is>
          <t>87105</t>
        </is>
      </c>
      <c r="AV110" t="inlineStr">
        <is>
          <t>NM</t>
        </is>
      </c>
      <c r="BB110" t="inlineStr">
        <is>
          <t>23/10/2025</t>
        </is>
      </c>
      <c r="BD110" t="inlineStr">
        <is>
          <t>Z4Y55Y33Y</t>
        </is>
      </c>
    </row>
    <row r="111" ht="15" customHeight="1" s="86">
      <c r="C111" t="inlineStr">
        <is>
          <t>Lacey</t>
        </is>
      </c>
      <c r="D111" t="inlineStr">
        <is>
          <t>D</t>
        </is>
      </c>
      <c r="E111" t="inlineStr">
        <is>
          <t>White</t>
        </is>
      </c>
      <c r="G111" t="inlineStr">
        <is>
          <t>11/05/1988</t>
        </is>
      </c>
      <c r="H111" t="inlineStr">
        <is>
          <t>Not Specified</t>
        </is>
      </c>
      <c r="I111" t="inlineStr">
        <is>
          <t>601689527</t>
        </is>
      </c>
      <c r="K111" t="inlineStr">
        <is>
          <t>AAKPMXSQH</t>
        </is>
      </c>
      <c r="M111" t="inlineStr">
        <is>
          <t>21/05/2025</t>
        </is>
      </c>
      <c r="N111" t="inlineStr">
        <is>
          <t>12/07/2025</t>
        </is>
      </c>
      <c r="R111" t="inlineStr">
        <is>
          <t>Hourly</t>
        </is>
      </c>
      <c r="X111" t="inlineStr">
        <is>
          <t>41</t>
        </is>
      </c>
      <c r="AF111" t="inlineStr">
        <is>
          <t>Non-exempt</t>
        </is>
      </c>
      <c r="AI111" t="inlineStr">
        <is>
          <t>lwhite.remson@gmail.com</t>
        </is>
      </c>
      <c r="AJ111" t="inlineStr">
        <is>
          <t>lwhite.remson@gmail.com</t>
        </is>
      </c>
      <c r="AL111" t="inlineStr">
        <is>
          <t>3900 Tulane Drive Northeast</t>
        </is>
      </c>
      <c r="AN111" t="inlineStr">
        <is>
          <t>Albuquerque</t>
        </is>
      </c>
      <c r="AO111" t="inlineStr">
        <is>
          <t>87107</t>
        </is>
      </c>
      <c r="AP111" t="inlineStr">
        <is>
          <t>NM</t>
        </is>
      </c>
      <c r="AR111" t="inlineStr">
        <is>
          <t>3900 Tulane Drive Northeast</t>
        </is>
      </c>
      <c r="AT111" t="inlineStr">
        <is>
          <t>Albuquerque</t>
        </is>
      </c>
      <c r="AU111" t="inlineStr">
        <is>
          <t>87107</t>
        </is>
      </c>
      <c r="AV111" t="inlineStr">
        <is>
          <t>NM</t>
        </is>
      </c>
      <c r="BB111" t="inlineStr">
        <is>
          <t>21/05/2025</t>
        </is>
      </c>
      <c r="BD111" t="inlineStr">
        <is>
          <t>DZWKT8LKB</t>
        </is>
      </c>
    </row>
    <row r="112" ht="15" customHeight="1" s="86">
      <c r="C112" t="inlineStr">
        <is>
          <t>Clayton</t>
        </is>
      </c>
      <c r="E112" t="inlineStr">
        <is>
          <t>Padilla</t>
        </is>
      </c>
      <c r="G112" t="inlineStr">
        <is>
          <t>24/05/1993</t>
        </is>
      </c>
      <c r="H112" t="inlineStr">
        <is>
          <t>Male</t>
        </is>
      </c>
      <c r="I112" t="inlineStr">
        <is>
          <t>632368035</t>
        </is>
      </c>
      <c r="K112" t="inlineStr">
        <is>
          <t>ACQ0SXO4U</t>
        </is>
      </c>
      <c r="M112" t="inlineStr">
        <is>
          <t>02/02/2025</t>
        </is>
      </c>
      <c r="N112" t="inlineStr">
        <is>
          <t>22/02/2025</t>
        </is>
      </c>
      <c r="R112" t="inlineStr">
        <is>
          <t>Hourly</t>
        </is>
      </c>
      <c r="X112" t="inlineStr">
        <is>
          <t>41</t>
        </is>
      </c>
      <c r="AF112" t="inlineStr">
        <is>
          <t>Non-exempt</t>
        </is>
      </c>
      <c r="AI112" t="inlineStr">
        <is>
          <t>cpadilla.remson@gmail.com</t>
        </is>
      </c>
      <c r="AJ112" t="inlineStr">
        <is>
          <t>cpadilla.remson@gmail.com</t>
        </is>
      </c>
      <c r="AL112" t="inlineStr">
        <is>
          <t>9611 WOODLAND AVE NE</t>
        </is>
      </c>
      <c r="AN112" t="inlineStr">
        <is>
          <t>ALBUQUERQUE</t>
        </is>
      </c>
      <c r="AO112" t="inlineStr">
        <is>
          <t>87112</t>
        </is>
      </c>
      <c r="AP112" t="inlineStr">
        <is>
          <t>NM</t>
        </is>
      </c>
      <c r="AR112" t="inlineStr">
        <is>
          <t>9611 WOODLAND AVE NE</t>
        </is>
      </c>
      <c r="AT112" t="inlineStr">
        <is>
          <t>ALBUQUERQUE</t>
        </is>
      </c>
      <c r="AU112" t="inlineStr">
        <is>
          <t>87112</t>
        </is>
      </c>
      <c r="AV112" t="inlineStr">
        <is>
          <t>NM</t>
        </is>
      </c>
      <c r="BB112" t="inlineStr">
        <is>
          <t>02/02/2025</t>
        </is>
      </c>
      <c r="BD112" t="inlineStr">
        <is>
          <t>DZWKT8LKB</t>
        </is>
      </c>
    </row>
    <row r="113" ht="15" customHeight="1" s="86">
      <c r="C113" t="inlineStr">
        <is>
          <t>Crystal</t>
        </is>
      </c>
      <c r="E113" t="inlineStr">
        <is>
          <t>Aragon</t>
        </is>
      </c>
      <c r="G113" t="inlineStr">
        <is>
          <t>06/01/1987</t>
        </is>
      </c>
      <c r="H113" t="inlineStr">
        <is>
          <t>Female</t>
        </is>
      </c>
      <c r="I113" t="inlineStr">
        <is>
          <t>585890940</t>
        </is>
      </c>
      <c r="J113" t="inlineStr">
        <is>
          <t>No</t>
        </is>
      </c>
      <c r="K113" t="inlineStr">
        <is>
          <t>AGAG2DXD1</t>
        </is>
      </c>
      <c r="M113" t="inlineStr">
        <is>
          <t>11/07/2024</t>
        </is>
      </c>
      <c r="N113" t="inlineStr">
        <is>
          <t>18/06/2025</t>
        </is>
      </c>
      <c r="R113" t="inlineStr">
        <is>
          <t>Hourly</t>
        </is>
      </c>
      <c r="X113" t="inlineStr">
        <is>
          <t>41.9</t>
        </is>
      </c>
      <c r="AF113" t="inlineStr">
        <is>
          <t>Non-exempt</t>
        </is>
      </c>
      <c r="AI113" t="inlineStr">
        <is>
          <t>caragon.remson@gmail.com</t>
        </is>
      </c>
      <c r="AJ113" t="inlineStr">
        <is>
          <t>caragon.remson@gmail.com</t>
        </is>
      </c>
      <c r="AL113" t="inlineStr">
        <is>
          <t>5520 Constitution Ave Ne</t>
        </is>
      </c>
      <c r="AN113" t="inlineStr">
        <is>
          <t>Albuquerque</t>
        </is>
      </c>
      <c r="AO113" t="inlineStr">
        <is>
          <t>87110</t>
        </is>
      </c>
      <c r="AP113" t="inlineStr">
        <is>
          <t>NM</t>
        </is>
      </c>
      <c r="AR113" t="inlineStr">
        <is>
          <t>5520 Constitution Ave Ne</t>
        </is>
      </c>
      <c r="AT113" t="inlineStr">
        <is>
          <t>Albuquerque</t>
        </is>
      </c>
      <c r="AU113" t="inlineStr">
        <is>
          <t>87110</t>
        </is>
      </c>
      <c r="AV113" t="inlineStr">
        <is>
          <t>NM</t>
        </is>
      </c>
      <c r="BB113" t="inlineStr">
        <is>
          <t>11/07/2024</t>
        </is>
      </c>
    </row>
    <row r="114" ht="15" customHeight="1" s="86">
      <c r="C114" t="inlineStr">
        <is>
          <t>Isaiah</t>
        </is>
      </c>
      <c r="E114" t="inlineStr">
        <is>
          <t>Mejia</t>
        </is>
      </c>
      <c r="G114" t="inlineStr">
        <is>
          <t>03/07/2001</t>
        </is>
      </c>
      <c r="H114" t="inlineStr">
        <is>
          <t>Male</t>
        </is>
      </c>
      <c r="I114" t="inlineStr">
        <is>
          <t>680328312</t>
        </is>
      </c>
      <c r="J114" t="inlineStr">
        <is>
          <t>No</t>
        </is>
      </c>
      <c r="K114" t="inlineStr">
        <is>
          <t>AOMW6ETTP</t>
        </is>
      </c>
      <c r="M114" t="inlineStr">
        <is>
          <t>26/10/2023</t>
        </is>
      </c>
      <c r="R114" t="inlineStr">
        <is>
          <t>Hourly</t>
        </is>
      </c>
      <c r="X114" t="inlineStr">
        <is>
          <t>24</t>
        </is>
      </c>
      <c r="AF114" t="inlineStr">
        <is>
          <t>Non-exempt</t>
        </is>
      </c>
      <c r="AI114" t="inlineStr">
        <is>
          <t>imejia.remson@gmail.com</t>
        </is>
      </c>
      <c r="AJ114" t="inlineStr">
        <is>
          <t>Imejia.remson@gmail.com</t>
        </is>
      </c>
      <c r="AL114" t="inlineStr">
        <is>
          <t>1508 Bowe Ln Sw</t>
        </is>
      </c>
      <c r="AN114" t="inlineStr">
        <is>
          <t>Albuquerque</t>
        </is>
      </c>
      <c r="AO114" t="inlineStr">
        <is>
          <t>87105</t>
        </is>
      </c>
      <c r="AP114" t="inlineStr">
        <is>
          <t>NM</t>
        </is>
      </c>
      <c r="AR114" t="inlineStr">
        <is>
          <t>1508 Bowe Ln Sw</t>
        </is>
      </c>
      <c r="AT114" t="inlineStr">
        <is>
          <t>Albuquerque</t>
        </is>
      </c>
      <c r="AU114" t="inlineStr">
        <is>
          <t>87105</t>
        </is>
      </c>
      <c r="AV114" t="inlineStr">
        <is>
          <t>NM</t>
        </is>
      </c>
      <c r="BB114" t="inlineStr">
        <is>
          <t>26/10/2023</t>
        </is>
      </c>
      <c r="BD114" t="inlineStr">
        <is>
          <t>DZWKT8LKB</t>
        </is>
      </c>
    </row>
    <row r="115" ht="15" customHeight="1" s="86">
      <c r="C115" t="inlineStr">
        <is>
          <t>Isaiah</t>
        </is>
      </c>
      <c r="E115" t="inlineStr">
        <is>
          <t>Mejia</t>
        </is>
      </c>
      <c r="G115" t="inlineStr">
        <is>
          <t>03/07/2001</t>
        </is>
      </c>
      <c r="H115" t="inlineStr">
        <is>
          <t>Male</t>
        </is>
      </c>
      <c r="I115" t="inlineStr">
        <is>
          <t>680328312</t>
        </is>
      </c>
      <c r="J115" t="inlineStr">
        <is>
          <t>No</t>
        </is>
      </c>
      <c r="K115" t="inlineStr">
        <is>
          <t>AOMW6ETTP</t>
        </is>
      </c>
      <c r="M115" t="inlineStr">
        <is>
          <t>26/10/2023</t>
        </is>
      </c>
      <c r="N115" t="inlineStr">
        <is>
          <t>08/12/2025</t>
        </is>
      </c>
      <c r="R115" t="inlineStr">
        <is>
          <t>Hourly</t>
        </is>
      </c>
      <c r="X115" t="inlineStr">
        <is>
          <t>24</t>
        </is>
      </c>
      <c r="AF115" t="inlineStr">
        <is>
          <t>Non-exempt</t>
        </is>
      </c>
      <c r="AI115" t="inlineStr">
        <is>
          <t>imejia.remson@gmail.com</t>
        </is>
      </c>
      <c r="AJ115" t="inlineStr">
        <is>
          <t>Imejia.remson@gmail.com</t>
        </is>
      </c>
      <c r="AL115" t="inlineStr">
        <is>
          <t>1508 Bowe Ln Sw</t>
        </is>
      </c>
      <c r="AN115" t="inlineStr">
        <is>
          <t>Albuquerque</t>
        </is>
      </c>
      <c r="AO115" t="inlineStr">
        <is>
          <t>87105</t>
        </is>
      </c>
      <c r="AP115" t="inlineStr">
        <is>
          <t>NM</t>
        </is>
      </c>
      <c r="AR115" t="inlineStr">
        <is>
          <t>1508 Bowe Ln Sw</t>
        </is>
      </c>
      <c r="AT115" t="inlineStr">
        <is>
          <t>Albuquerque</t>
        </is>
      </c>
      <c r="AU115" t="inlineStr">
        <is>
          <t>87105</t>
        </is>
      </c>
      <c r="AV115" t="inlineStr">
        <is>
          <t>NM</t>
        </is>
      </c>
      <c r="BB115" t="inlineStr">
        <is>
          <t>26/10/2023</t>
        </is>
      </c>
      <c r="BD115" t="inlineStr">
        <is>
          <t>DZWKT8LKB</t>
        </is>
      </c>
    </row>
    <row r="116" ht="15" customHeight="1" s="86">
      <c r="C116" t="inlineStr">
        <is>
          <t>Marcos</t>
        </is>
      </c>
      <c r="E116" t="inlineStr">
        <is>
          <t>Martinez</t>
        </is>
      </c>
      <c r="G116" t="inlineStr">
        <is>
          <t>23/12/1986</t>
        </is>
      </c>
      <c r="H116" t="inlineStr">
        <is>
          <t>Male</t>
        </is>
      </c>
      <c r="I116" t="inlineStr">
        <is>
          <t>525611639</t>
        </is>
      </c>
      <c r="J116" t="inlineStr">
        <is>
          <t>No</t>
        </is>
      </c>
      <c r="K116" t="inlineStr">
        <is>
          <t>AR276ST38</t>
        </is>
      </c>
      <c r="M116" t="inlineStr">
        <is>
          <t>04/05/2024</t>
        </is>
      </c>
      <c r="N116" t="inlineStr">
        <is>
          <t>12/07/2025</t>
        </is>
      </c>
      <c r="R116" t="inlineStr">
        <is>
          <t>Hourly</t>
        </is>
      </c>
      <c r="X116" t="inlineStr">
        <is>
          <t>45.12</t>
        </is>
      </c>
      <c r="AF116" t="inlineStr">
        <is>
          <t>Non-exempt</t>
        </is>
      </c>
      <c r="AI116" t="inlineStr">
        <is>
          <t>mmartinez.remson@gmail.com</t>
        </is>
      </c>
      <c r="AJ116" t="inlineStr">
        <is>
          <t>mmartinez.remson@gmail.com</t>
        </is>
      </c>
      <c r="AL116" t="inlineStr">
        <is>
          <t>1046 Bernalito Ct</t>
        </is>
      </c>
      <c r="AN116" t="inlineStr">
        <is>
          <t>Bernalillo</t>
        </is>
      </c>
      <c r="AO116" t="inlineStr">
        <is>
          <t>87004</t>
        </is>
      </c>
      <c r="AP116" t="inlineStr">
        <is>
          <t>NM</t>
        </is>
      </c>
      <c r="AR116" t="inlineStr">
        <is>
          <t>1046 Bernalito Ct</t>
        </is>
      </c>
      <c r="AT116" t="inlineStr">
        <is>
          <t>Bernalillo</t>
        </is>
      </c>
      <c r="AU116" t="inlineStr">
        <is>
          <t>87004</t>
        </is>
      </c>
      <c r="AV116" t="inlineStr">
        <is>
          <t>NM</t>
        </is>
      </c>
      <c r="BB116" t="inlineStr">
        <is>
          <t>04/05/2024</t>
        </is>
      </c>
      <c r="BD116" t="inlineStr">
        <is>
          <t>DZWKT8LKB</t>
        </is>
      </c>
    </row>
    <row r="117" ht="15" customHeight="1" s="86">
      <c r="C117" t="inlineStr">
        <is>
          <t>Joshua</t>
        </is>
      </c>
      <c r="D117" t="inlineStr">
        <is>
          <t>D</t>
        </is>
      </c>
      <c r="E117" t="inlineStr">
        <is>
          <t>Fraschilla</t>
        </is>
      </c>
      <c r="G117" t="inlineStr">
        <is>
          <t>03/07/1978</t>
        </is>
      </c>
      <c r="H117" t="inlineStr">
        <is>
          <t>Not Specified</t>
        </is>
      </c>
      <c r="I117" t="inlineStr">
        <is>
          <t>585390980</t>
        </is>
      </c>
      <c r="K117" t="inlineStr">
        <is>
          <t>AS9TND3OD</t>
        </is>
      </c>
      <c r="M117" t="inlineStr">
        <is>
          <t>03/06/2025</t>
        </is>
      </c>
      <c r="N117" t="inlineStr">
        <is>
          <t>05/07/2025</t>
        </is>
      </c>
      <c r="R117" t="inlineStr">
        <is>
          <t>Hourly</t>
        </is>
      </c>
      <c r="X117" t="inlineStr">
        <is>
          <t>41</t>
        </is>
      </c>
      <c r="AF117" t="inlineStr">
        <is>
          <t>Non-exempt</t>
        </is>
      </c>
      <c r="AI117" t="inlineStr">
        <is>
          <t>jfraschilla.remson@gmail.com</t>
        </is>
      </c>
      <c r="AJ117" t="inlineStr">
        <is>
          <t>jfraschilla.remson@gmail.com</t>
        </is>
      </c>
      <c r="AL117" t="inlineStr">
        <is>
          <t>9808 Bellamah Avenue Northeast</t>
        </is>
      </c>
      <c r="AN117" t="inlineStr">
        <is>
          <t>Albuquerque</t>
        </is>
      </c>
      <c r="AO117" t="inlineStr">
        <is>
          <t>87112</t>
        </is>
      </c>
      <c r="AP117" t="inlineStr">
        <is>
          <t>NM</t>
        </is>
      </c>
      <c r="AR117" t="inlineStr">
        <is>
          <t>9808 Bellamah Avenue Northeast</t>
        </is>
      </c>
      <c r="AT117" t="inlineStr">
        <is>
          <t>Albuquerque</t>
        </is>
      </c>
      <c r="AU117" t="inlineStr">
        <is>
          <t>87112</t>
        </is>
      </c>
      <c r="AV117" t="inlineStr">
        <is>
          <t>NM</t>
        </is>
      </c>
      <c r="BB117" t="inlineStr">
        <is>
          <t>03/06/2025</t>
        </is>
      </c>
      <c r="BD117" t="inlineStr">
        <is>
          <t>DZWKT8LKB</t>
        </is>
      </c>
    </row>
    <row r="118" ht="15" customHeight="1" s="86">
      <c r="C118" t="inlineStr">
        <is>
          <t>Aaron</t>
        </is>
      </c>
      <c r="E118" t="inlineStr">
        <is>
          <t>Garcia</t>
        </is>
      </c>
      <c r="G118" t="inlineStr">
        <is>
          <t>21/04/1983</t>
        </is>
      </c>
      <c r="H118" t="inlineStr">
        <is>
          <t>Male</t>
        </is>
      </c>
      <c r="I118" t="inlineStr">
        <is>
          <t>649010364</t>
        </is>
      </c>
      <c r="J118" t="inlineStr">
        <is>
          <t>No</t>
        </is>
      </c>
      <c r="K118" t="inlineStr">
        <is>
          <t>AUVTCDN4U</t>
        </is>
      </c>
      <c r="M118" t="inlineStr">
        <is>
          <t>11/11/2024</t>
        </is>
      </c>
      <c r="N118" t="inlineStr">
        <is>
          <t>02/03/2025</t>
        </is>
      </c>
      <c r="R118" t="inlineStr">
        <is>
          <t>Hourly</t>
        </is>
      </c>
      <c r="X118" t="inlineStr">
        <is>
          <t>41</t>
        </is>
      </c>
      <c r="AF118" t="inlineStr">
        <is>
          <t>Non-exempt</t>
        </is>
      </c>
      <c r="AI118" t="inlineStr">
        <is>
          <t>agarcia1.remson@gmail.com</t>
        </is>
      </c>
      <c r="AJ118" t="inlineStr">
        <is>
          <t>Aaron.garcia22@gmail.com</t>
        </is>
      </c>
      <c r="AL118" t="inlineStr">
        <is>
          <t>9101 Volcano Rd Nw</t>
        </is>
      </c>
      <c r="AM118" t="inlineStr">
        <is>
          <t>Spc 64</t>
        </is>
      </c>
      <c r="AN118" t="inlineStr">
        <is>
          <t>Albuquerque</t>
        </is>
      </c>
      <c r="AO118" t="inlineStr">
        <is>
          <t>87121</t>
        </is>
      </c>
      <c r="AP118" t="inlineStr">
        <is>
          <t>NM</t>
        </is>
      </c>
      <c r="AR118" t="inlineStr">
        <is>
          <t>9101 Volcano Rd Nw</t>
        </is>
      </c>
      <c r="AS118" t="inlineStr">
        <is>
          <t>Spc 64</t>
        </is>
      </c>
      <c r="AT118" t="inlineStr">
        <is>
          <t>Albuquerque</t>
        </is>
      </c>
      <c r="AU118" t="inlineStr">
        <is>
          <t>87121</t>
        </is>
      </c>
      <c r="AV118" t="inlineStr">
        <is>
          <t>NM</t>
        </is>
      </c>
      <c r="BB118" t="inlineStr">
        <is>
          <t>11/11/2024</t>
        </is>
      </c>
    </row>
    <row r="119" ht="15" customHeight="1" s="86">
      <c r="C119" t="inlineStr">
        <is>
          <t>Ariel</t>
        </is>
      </c>
      <c r="E119" t="inlineStr">
        <is>
          <t>Garcia Corado</t>
        </is>
      </c>
      <c r="G119" t="inlineStr">
        <is>
          <t>11/07/1996</t>
        </is>
      </c>
      <c r="H119" t="inlineStr">
        <is>
          <t>Not Specified</t>
        </is>
      </c>
      <c r="I119" t="inlineStr">
        <is>
          <t>649095825</t>
        </is>
      </c>
      <c r="K119" t="inlineStr">
        <is>
          <t>AX30VTJ1G</t>
        </is>
      </c>
      <c r="M119" t="inlineStr">
        <is>
          <t>14/08/2025</t>
        </is>
      </c>
      <c r="R119" t="inlineStr">
        <is>
          <t>Hourly</t>
        </is>
      </c>
      <c r="X119" t="inlineStr">
        <is>
          <t>21.65</t>
        </is>
      </c>
      <c r="AF119" t="inlineStr">
        <is>
          <t>Non-exempt</t>
        </is>
      </c>
      <c r="AJ119" t="inlineStr">
        <is>
          <t>arielg.remson@gmail.com</t>
        </is>
      </c>
      <c r="AL119" t="inlineStr">
        <is>
          <t>164 Sandia Road Northwest</t>
        </is>
      </c>
      <c r="AM119" t="inlineStr">
        <is>
          <t>Apt b4</t>
        </is>
      </c>
      <c r="AN119" t="inlineStr">
        <is>
          <t>Albuquerque</t>
        </is>
      </c>
      <c r="AO119" t="inlineStr">
        <is>
          <t>87107</t>
        </is>
      </c>
      <c r="AP119" t="inlineStr">
        <is>
          <t>NM</t>
        </is>
      </c>
      <c r="AR119" t="inlineStr">
        <is>
          <t>164 Sandia Road Northwest</t>
        </is>
      </c>
      <c r="AS119" t="inlineStr">
        <is>
          <t>Apt b4</t>
        </is>
      </c>
      <c r="AT119" t="inlineStr">
        <is>
          <t>Albuquerque</t>
        </is>
      </c>
      <c r="AU119" t="inlineStr">
        <is>
          <t>87107</t>
        </is>
      </c>
      <c r="AV119" t="inlineStr">
        <is>
          <t>NM</t>
        </is>
      </c>
      <c r="BB119" t="inlineStr">
        <is>
          <t>14/08/2025</t>
        </is>
      </c>
    </row>
    <row r="120" ht="15" customHeight="1" s="86">
      <c r="C120" t="inlineStr">
        <is>
          <t>Ariel</t>
        </is>
      </c>
      <c r="E120" t="inlineStr">
        <is>
          <t>Garcia Corado</t>
        </is>
      </c>
      <c r="G120" t="inlineStr">
        <is>
          <t>11/07/1996</t>
        </is>
      </c>
      <c r="H120" t="inlineStr">
        <is>
          <t>Not Specified</t>
        </is>
      </c>
      <c r="I120" t="inlineStr">
        <is>
          <t>649095825</t>
        </is>
      </c>
      <c r="K120" t="inlineStr">
        <is>
          <t>AX30VTJ1G</t>
        </is>
      </c>
      <c r="M120" t="inlineStr">
        <is>
          <t>14/08/2025</t>
        </is>
      </c>
      <c r="N120" t="inlineStr">
        <is>
          <t>08/12/2025</t>
        </is>
      </c>
      <c r="R120" t="inlineStr">
        <is>
          <t>Hourly</t>
        </is>
      </c>
      <c r="X120" t="inlineStr">
        <is>
          <t>21.65</t>
        </is>
      </c>
      <c r="AF120" t="inlineStr">
        <is>
          <t>Non-exempt</t>
        </is>
      </c>
      <c r="AJ120" t="inlineStr">
        <is>
          <t>arielg.remson@gmail.com</t>
        </is>
      </c>
      <c r="AL120" t="inlineStr">
        <is>
          <t>164 Sandia Road Northwest</t>
        </is>
      </c>
      <c r="AM120" t="inlineStr">
        <is>
          <t>Apt b4</t>
        </is>
      </c>
      <c r="AN120" t="inlineStr">
        <is>
          <t>Albuquerque</t>
        </is>
      </c>
      <c r="AO120" t="inlineStr">
        <is>
          <t>87107</t>
        </is>
      </c>
      <c r="AP120" t="inlineStr">
        <is>
          <t>NM</t>
        </is>
      </c>
      <c r="AR120" t="inlineStr">
        <is>
          <t>164 Sandia Road Northwest</t>
        </is>
      </c>
      <c r="AS120" t="inlineStr">
        <is>
          <t>Apt b4</t>
        </is>
      </c>
      <c r="AT120" t="inlineStr">
        <is>
          <t>Albuquerque</t>
        </is>
      </c>
      <c r="AU120" t="inlineStr">
        <is>
          <t>87107</t>
        </is>
      </c>
      <c r="AV120" t="inlineStr">
        <is>
          <t>NM</t>
        </is>
      </c>
      <c r="BB120" t="inlineStr">
        <is>
          <t>14/08/2025</t>
        </is>
      </c>
      <c r="BD120" t="inlineStr">
        <is>
          <t>Z4Y55Y33Y</t>
        </is>
      </c>
    </row>
    <row r="121" ht="15" customHeight="1" s="86">
      <c r="C121" t="inlineStr">
        <is>
          <t>Albert</t>
        </is>
      </c>
      <c r="D121" t="inlineStr">
        <is>
          <t>M</t>
        </is>
      </c>
      <c r="E121" t="inlineStr">
        <is>
          <t>Turrietta</t>
        </is>
      </c>
      <c r="G121" t="inlineStr">
        <is>
          <t>13/11/1989</t>
        </is>
      </c>
      <c r="H121" t="inlineStr">
        <is>
          <t>Male</t>
        </is>
      </c>
      <c r="I121" t="inlineStr">
        <is>
          <t>585830565</t>
        </is>
      </c>
      <c r="K121" t="inlineStr">
        <is>
          <t>AZUGRXKFH</t>
        </is>
      </c>
      <c r="M121" t="inlineStr">
        <is>
          <t>04/05/2025</t>
        </is>
      </c>
      <c r="R121" t="inlineStr">
        <is>
          <t>Hourly</t>
        </is>
      </c>
      <c r="X121" t="inlineStr">
        <is>
          <t>21.65</t>
        </is>
      </c>
      <c r="AF121" t="inlineStr">
        <is>
          <t>Non-exempt</t>
        </is>
      </c>
      <c r="AJ121" t="inlineStr">
        <is>
          <t>Aturrietta.remson@gmail.com</t>
        </is>
      </c>
      <c r="AL121" t="inlineStr">
        <is>
          <t>4540 Valley Garden Circle Sout</t>
        </is>
      </c>
      <c r="AN121" t="inlineStr">
        <is>
          <t>Albuquerque</t>
        </is>
      </c>
      <c r="AO121" t="inlineStr">
        <is>
          <t>87105</t>
        </is>
      </c>
      <c r="AP121" t="inlineStr">
        <is>
          <t>NM</t>
        </is>
      </c>
      <c r="AR121" t="inlineStr">
        <is>
          <t>4540 Valley Garden Circle Sout</t>
        </is>
      </c>
      <c r="AT121" t="inlineStr">
        <is>
          <t>Albuquerque</t>
        </is>
      </c>
      <c r="AU121" t="inlineStr">
        <is>
          <t>87105</t>
        </is>
      </c>
      <c r="AV121" t="inlineStr">
        <is>
          <t>NM</t>
        </is>
      </c>
      <c r="BB121" t="inlineStr">
        <is>
          <t>04/05/2025</t>
        </is>
      </c>
    </row>
    <row r="122" ht="15" customHeight="1" s="86">
      <c r="C122" t="inlineStr">
        <is>
          <t>Albert</t>
        </is>
      </c>
      <c r="D122" t="inlineStr">
        <is>
          <t>M</t>
        </is>
      </c>
      <c r="E122" t="inlineStr">
        <is>
          <t>Turrietta</t>
        </is>
      </c>
      <c r="G122" t="inlineStr">
        <is>
          <t>13/11/1989</t>
        </is>
      </c>
      <c r="H122" t="inlineStr">
        <is>
          <t>Male</t>
        </is>
      </c>
      <c r="I122" t="inlineStr">
        <is>
          <t>585830565</t>
        </is>
      </c>
      <c r="K122" t="inlineStr">
        <is>
          <t>AZUGRXKFH</t>
        </is>
      </c>
      <c r="M122" t="inlineStr">
        <is>
          <t>04/05/2025</t>
        </is>
      </c>
      <c r="N122" t="inlineStr">
        <is>
          <t>09/12/2025</t>
        </is>
      </c>
      <c r="R122" t="inlineStr">
        <is>
          <t>Hourly</t>
        </is>
      </c>
      <c r="X122" t="inlineStr">
        <is>
          <t>21.65</t>
        </is>
      </c>
      <c r="AF122" t="inlineStr">
        <is>
          <t>Non-exempt</t>
        </is>
      </c>
      <c r="AJ122" t="inlineStr">
        <is>
          <t>Aturrietta.remson@gmail.com</t>
        </is>
      </c>
      <c r="AL122" t="inlineStr">
        <is>
          <t>4540 Valley Garden Circle Sout</t>
        </is>
      </c>
      <c r="AN122" t="inlineStr">
        <is>
          <t>Albuquerque</t>
        </is>
      </c>
      <c r="AO122" t="inlineStr">
        <is>
          <t>87105</t>
        </is>
      </c>
      <c r="AP122" t="inlineStr">
        <is>
          <t>NM</t>
        </is>
      </c>
      <c r="AR122" t="inlineStr">
        <is>
          <t>4540 Valley Garden Circle Sout</t>
        </is>
      </c>
      <c r="AT122" t="inlineStr">
        <is>
          <t>Albuquerque</t>
        </is>
      </c>
      <c r="AU122" t="inlineStr">
        <is>
          <t>87105</t>
        </is>
      </c>
      <c r="AV122" t="inlineStr">
        <is>
          <t>NM</t>
        </is>
      </c>
      <c r="BB122" t="inlineStr">
        <is>
          <t>04/05/2025</t>
        </is>
      </c>
      <c r="BD122" t="inlineStr">
        <is>
          <t>Z4Y55Y33Y</t>
        </is>
      </c>
    </row>
    <row r="123" ht="15" customHeight="1" s="86">
      <c r="C123" t="inlineStr">
        <is>
          <t>Denisse</t>
        </is>
      </c>
      <c r="D123" t="inlineStr">
        <is>
          <t>P</t>
        </is>
      </c>
      <c r="E123" t="inlineStr">
        <is>
          <t>Carreon Carreon</t>
        </is>
      </c>
      <c r="G123" t="inlineStr">
        <is>
          <t>17/02/1998</t>
        </is>
      </c>
      <c r="H123" t="inlineStr">
        <is>
          <t>Not Specified</t>
        </is>
      </c>
      <c r="I123" t="inlineStr">
        <is>
          <t>190995942</t>
        </is>
      </c>
      <c r="K123" t="inlineStr">
        <is>
          <t>B1K5ZRYLE</t>
        </is>
      </c>
      <c r="M123" t="inlineStr">
        <is>
          <t>27/08/2025</t>
        </is>
      </c>
      <c r="R123" t="inlineStr">
        <is>
          <t>Hourly</t>
        </is>
      </c>
      <c r="X123" t="inlineStr">
        <is>
          <t>21.65</t>
        </is>
      </c>
      <c r="AF123" t="inlineStr">
        <is>
          <t>Non-exempt</t>
        </is>
      </c>
      <c r="AJ123" t="inlineStr">
        <is>
          <t>dcarreon.remson@gmail.com</t>
        </is>
      </c>
      <c r="AL123" t="inlineStr">
        <is>
          <t>902 Ross Avenue Southeast</t>
        </is>
      </c>
      <c r="AN123" t="inlineStr">
        <is>
          <t>Albuquerque</t>
        </is>
      </c>
      <c r="AO123" t="inlineStr">
        <is>
          <t>87102</t>
        </is>
      </c>
      <c r="AP123" t="inlineStr">
        <is>
          <t>NM</t>
        </is>
      </c>
      <c r="AR123" t="inlineStr">
        <is>
          <t>902 Ross Avenue Southeast</t>
        </is>
      </c>
      <c r="AT123" t="inlineStr">
        <is>
          <t>Albuquerque</t>
        </is>
      </c>
      <c r="AU123" t="inlineStr">
        <is>
          <t>87102</t>
        </is>
      </c>
      <c r="AV123" t="inlineStr">
        <is>
          <t>NM</t>
        </is>
      </c>
      <c r="BB123" t="inlineStr">
        <is>
          <t>27/08/2025</t>
        </is>
      </c>
    </row>
    <row r="124" ht="15" customHeight="1" s="86">
      <c r="C124" t="inlineStr">
        <is>
          <t>Denisse</t>
        </is>
      </c>
      <c r="D124" t="inlineStr">
        <is>
          <t>P</t>
        </is>
      </c>
      <c r="E124" t="inlineStr">
        <is>
          <t>Carreon Carreon</t>
        </is>
      </c>
      <c r="G124" t="inlineStr">
        <is>
          <t>17/02/1998</t>
        </is>
      </c>
      <c r="H124" t="inlineStr">
        <is>
          <t>Not Specified</t>
        </is>
      </c>
      <c r="I124" t="inlineStr">
        <is>
          <t>190995942</t>
        </is>
      </c>
      <c r="K124" t="inlineStr">
        <is>
          <t>B1K5ZRYLE</t>
        </is>
      </c>
      <c r="M124" t="inlineStr">
        <is>
          <t>27/08/2025</t>
        </is>
      </c>
      <c r="N124" t="inlineStr">
        <is>
          <t>08/12/2025</t>
        </is>
      </c>
      <c r="R124" t="inlineStr">
        <is>
          <t>Hourly</t>
        </is>
      </c>
      <c r="X124" t="inlineStr">
        <is>
          <t>21.65</t>
        </is>
      </c>
      <c r="AF124" t="inlineStr">
        <is>
          <t>Non-exempt</t>
        </is>
      </c>
      <c r="AJ124" t="inlineStr">
        <is>
          <t>dcarreon.remson@gmail.com</t>
        </is>
      </c>
      <c r="AL124" t="inlineStr">
        <is>
          <t>902 Ross Avenue Southeast</t>
        </is>
      </c>
      <c r="AN124" t="inlineStr">
        <is>
          <t>Albuquerque</t>
        </is>
      </c>
      <c r="AO124" t="inlineStr">
        <is>
          <t>87102</t>
        </is>
      </c>
      <c r="AP124" t="inlineStr">
        <is>
          <t>NM</t>
        </is>
      </c>
      <c r="AR124" t="inlineStr">
        <is>
          <t>902 Ross Avenue Southeast</t>
        </is>
      </c>
      <c r="AT124" t="inlineStr">
        <is>
          <t>Albuquerque</t>
        </is>
      </c>
      <c r="AU124" t="inlineStr">
        <is>
          <t>87102</t>
        </is>
      </c>
      <c r="AV124" t="inlineStr">
        <is>
          <t>NM</t>
        </is>
      </c>
      <c r="BB124" t="inlineStr">
        <is>
          <t>27/08/2025</t>
        </is>
      </c>
      <c r="BD124" t="inlineStr">
        <is>
          <t>Z4Y55Y33Y</t>
        </is>
      </c>
    </row>
    <row r="125" ht="15" customHeight="1" s="86">
      <c r="C125" t="inlineStr">
        <is>
          <t>Samuel</t>
        </is>
      </c>
      <c r="E125" t="inlineStr">
        <is>
          <t>Rodriguez</t>
        </is>
      </c>
      <c r="G125" t="inlineStr">
        <is>
          <t>18/05/1998</t>
        </is>
      </c>
      <c r="H125" t="inlineStr">
        <is>
          <t>Male</t>
        </is>
      </c>
      <c r="I125" t="inlineStr">
        <is>
          <t>649147585</t>
        </is>
      </c>
      <c r="J125" t="inlineStr">
        <is>
          <t>No</t>
        </is>
      </c>
      <c r="K125" t="inlineStr">
        <is>
          <t>B1LGZ7KGE</t>
        </is>
      </c>
      <c r="M125" t="inlineStr">
        <is>
          <t>14/02/2024</t>
        </is>
      </c>
      <c r="R125" t="inlineStr">
        <is>
          <t>Hourly</t>
        </is>
      </c>
      <c r="X125" t="inlineStr">
        <is>
          <t>23</t>
        </is>
      </c>
      <c r="AF125" t="inlineStr">
        <is>
          <t>Non-exempt</t>
        </is>
      </c>
      <c r="AJ125" t="inlineStr">
        <is>
          <t>srodriguez.remson@gmail.com</t>
        </is>
      </c>
      <c r="AL125" t="inlineStr">
        <is>
          <t>6201 Keyenta Pl Nw</t>
        </is>
      </c>
      <c r="AN125" t="inlineStr">
        <is>
          <t>Albuquerque</t>
        </is>
      </c>
      <c r="AO125" t="inlineStr">
        <is>
          <t>87120</t>
        </is>
      </c>
      <c r="AP125" t="inlineStr">
        <is>
          <t>NM</t>
        </is>
      </c>
      <c r="AR125" t="inlineStr">
        <is>
          <t>6201 Keyenta Pl Nw</t>
        </is>
      </c>
      <c r="AT125" t="inlineStr">
        <is>
          <t>Albuquerque</t>
        </is>
      </c>
      <c r="AU125" t="inlineStr">
        <is>
          <t>87120</t>
        </is>
      </c>
      <c r="AV125" t="inlineStr">
        <is>
          <t>NM</t>
        </is>
      </c>
      <c r="BB125" t="inlineStr">
        <is>
          <t>14/02/2024</t>
        </is>
      </c>
      <c r="BD125" t="inlineStr">
        <is>
          <t>DZWKT8LKB</t>
        </is>
      </c>
    </row>
    <row r="126" ht="15" customHeight="1" s="86">
      <c r="C126" t="inlineStr">
        <is>
          <t>Samuel</t>
        </is>
      </c>
      <c r="E126" t="inlineStr">
        <is>
          <t>Rodriguez</t>
        </is>
      </c>
      <c r="G126" t="inlineStr">
        <is>
          <t>18/05/1998</t>
        </is>
      </c>
      <c r="H126" t="inlineStr">
        <is>
          <t>Male</t>
        </is>
      </c>
      <c r="I126" t="inlineStr">
        <is>
          <t>649147585</t>
        </is>
      </c>
      <c r="J126" t="inlineStr">
        <is>
          <t>No</t>
        </is>
      </c>
      <c r="K126" t="inlineStr">
        <is>
          <t>B1LGZ7KGE</t>
        </is>
      </c>
      <c r="M126" t="inlineStr">
        <is>
          <t>14/02/2024</t>
        </is>
      </c>
      <c r="N126" t="inlineStr">
        <is>
          <t>08/12/2025</t>
        </is>
      </c>
      <c r="R126" t="inlineStr">
        <is>
          <t>Hourly</t>
        </is>
      </c>
      <c r="X126" t="inlineStr">
        <is>
          <t>23</t>
        </is>
      </c>
      <c r="AF126" t="inlineStr">
        <is>
          <t>Non-exempt</t>
        </is>
      </c>
      <c r="AJ126" t="inlineStr">
        <is>
          <t>srodriguez.remson@gmail.com</t>
        </is>
      </c>
      <c r="AL126" t="inlineStr">
        <is>
          <t>6201 Keyenta Pl Nw</t>
        </is>
      </c>
      <c r="AN126" t="inlineStr">
        <is>
          <t>Albuquerque</t>
        </is>
      </c>
      <c r="AO126" t="inlineStr">
        <is>
          <t>87120</t>
        </is>
      </c>
      <c r="AP126" t="inlineStr">
        <is>
          <t>NM</t>
        </is>
      </c>
      <c r="AR126" t="inlineStr">
        <is>
          <t>6201 Keyenta Pl Nw</t>
        </is>
      </c>
      <c r="AT126" t="inlineStr">
        <is>
          <t>Albuquerque</t>
        </is>
      </c>
      <c r="AU126" t="inlineStr">
        <is>
          <t>87120</t>
        </is>
      </c>
      <c r="AV126" t="inlineStr">
        <is>
          <t>NM</t>
        </is>
      </c>
      <c r="BB126" t="inlineStr">
        <is>
          <t>14/02/2024</t>
        </is>
      </c>
      <c r="BD126" t="inlineStr">
        <is>
          <t>DZWKT8LKB</t>
        </is>
      </c>
    </row>
    <row r="127" ht="15" customHeight="1" s="86">
      <c r="C127" t="inlineStr">
        <is>
          <t>Ashley</t>
        </is>
      </c>
      <c r="E127" t="inlineStr">
        <is>
          <t>Romero</t>
        </is>
      </c>
      <c r="G127" t="inlineStr">
        <is>
          <t>16/06/1990</t>
        </is>
      </c>
      <c r="H127" t="inlineStr">
        <is>
          <t>Female</t>
        </is>
      </c>
      <c r="I127" t="inlineStr">
        <is>
          <t>525934640</t>
        </is>
      </c>
      <c r="J127" t="inlineStr">
        <is>
          <t>No</t>
        </is>
      </c>
      <c r="K127" t="inlineStr">
        <is>
          <t>B1Y1PPL3Y</t>
        </is>
      </c>
      <c r="M127" t="inlineStr">
        <is>
          <t>04/10/2023</t>
        </is>
      </c>
      <c r="N127" t="inlineStr">
        <is>
          <t>26/04/2025</t>
        </is>
      </c>
      <c r="R127" t="inlineStr">
        <is>
          <t>Hourly</t>
        </is>
      </c>
      <c r="X127" t="inlineStr">
        <is>
          <t>42.52</t>
        </is>
      </c>
      <c r="AF127" t="inlineStr">
        <is>
          <t>Non-exempt</t>
        </is>
      </c>
      <c r="AI127" t="inlineStr">
        <is>
          <t>ashleyr1514@gmail.com</t>
        </is>
      </c>
      <c r="AJ127" t="inlineStr">
        <is>
          <t>ashleyr1514@gmail.com</t>
        </is>
      </c>
      <c r="AL127" t="inlineStr">
        <is>
          <t>1004 Maxine St Ne</t>
        </is>
      </c>
      <c r="AN127" t="inlineStr">
        <is>
          <t>Albuquerque</t>
        </is>
      </c>
      <c r="AO127" t="inlineStr">
        <is>
          <t>87112</t>
        </is>
      </c>
      <c r="AP127" t="inlineStr">
        <is>
          <t>NM</t>
        </is>
      </c>
      <c r="AR127" t="inlineStr">
        <is>
          <t>1004 Maxine St Ne</t>
        </is>
      </c>
      <c r="AT127" t="inlineStr">
        <is>
          <t>Albuquerque</t>
        </is>
      </c>
      <c r="AU127" t="inlineStr">
        <is>
          <t>87112</t>
        </is>
      </c>
      <c r="AV127" t="inlineStr">
        <is>
          <t>NM</t>
        </is>
      </c>
      <c r="BB127" t="inlineStr">
        <is>
          <t>04/10/2023</t>
        </is>
      </c>
      <c r="BD127" t="inlineStr">
        <is>
          <t>DZWKT8LKB</t>
        </is>
      </c>
    </row>
    <row r="128" ht="15" customHeight="1" s="86">
      <c r="C128" t="inlineStr">
        <is>
          <t>Christopher</t>
        </is>
      </c>
      <c r="D128" t="inlineStr">
        <is>
          <t>P</t>
        </is>
      </c>
      <c r="E128" t="inlineStr">
        <is>
          <t>Valverde</t>
        </is>
      </c>
      <c r="G128" t="inlineStr">
        <is>
          <t>29/01/2000</t>
        </is>
      </c>
      <c r="H128" t="inlineStr">
        <is>
          <t>Not Specified</t>
        </is>
      </c>
      <c r="I128" t="inlineStr">
        <is>
          <t>649200083</t>
        </is>
      </c>
      <c r="K128" t="inlineStr">
        <is>
          <t>B7IGI7ZT3</t>
        </is>
      </c>
      <c r="M128" t="inlineStr">
        <is>
          <t>10/12/2025</t>
        </is>
      </c>
      <c r="R128" t="inlineStr">
        <is>
          <t>Hourly</t>
        </is>
      </c>
      <c r="X128" t="inlineStr">
        <is>
          <t>21.5</t>
        </is>
      </c>
      <c r="AF128" t="inlineStr">
        <is>
          <t>Non-exempt</t>
        </is>
      </c>
      <c r="AI128" t="inlineStr">
        <is>
          <t>Chrisvalverde505@gmail.com</t>
        </is>
      </c>
      <c r="AJ128" t="inlineStr">
        <is>
          <t>Chrisvalverde505@gmail.com</t>
        </is>
      </c>
      <c r="AL128" t="inlineStr">
        <is>
          <t>1020 Adams Street Southeast</t>
        </is>
      </c>
      <c r="AN128" t="inlineStr">
        <is>
          <t>Albuquerque</t>
        </is>
      </c>
      <c r="AO128" t="inlineStr">
        <is>
          <t>87108</t>
        </is>
      </c>
      <c r="AP128" t="inlineStr">
        <is>
          <t>NM</t>
        </is>
      </c>
      <c r="AR128" t="inlineStr">
        <is>
          <t>1020 Adams Street Southeast</t>
        </is>
      </c>
      <c r="AT128" t="inlineStr">
        <is>
          <t>Albuquerque</t>
        </is>
      </c>
      <c r="AU128" t="inlineStr">
        <is>
          <t>87108</t>
        </is>
      </c>
      <c r="AV128" t="inlineStr">
        <is>
          <t>NM</t>
        </is>
      </c>
      <c r="BB128" t="inlineStr">
        <is>
          <t>10/12/2025</t>
        </is>
      </c>
    </row>
    <row r="129" ht="15" customHeight="1" s="86">
      <c r="C129" t="inlineStr">
        <is>
          <t>Christopher</t>
        </is>
      </c>
      <c r="D129" t="inlineStr">
        <is>
          <t>P</t>
        </is>
      </c>
      <c r="E129" t="inlineStr">
        <is>
          <t>Valverde</t>
        </is>
      </c>
      <c r="G129" t="inlineStr">
        <is>
          <t>29/01/2000</t>
        </is>
      </c>
      <c r="H129" t="inlineStr">
        <is>
          <t>Not Specified</t>
        </is>
      </c>
      <c r="I129" t="inlineStr">
        <is>
          <t>649200083</t>
        </is>
      </c>
      <c r="K129" t="inlineStr">
        <is>
          <t>B7IGI7ZT3</t>
        </is>
      </c>
      <c r="M129" t="inlineStr">
        <is>
          <t>10/12/2025</t>
        </is>
      </c>
      <c r="N129" t="inlineStr">
        <is>
          <t>30/01/2026</t>
        </is>
      </c>
      <c r="R129" t="inlineStr">
        <is>
          <t>Hourly</t>
        </is>
      </c>
      <c r="X129" t="inlineStr">
        <is>
          <t>21.5</t>
        </is>
      </c>
      <c r="AF129" t="inlineStr">
        <is>
          <t>Non-exempt</t>
        </is>
      </c>
      <c r="AI129" t="inlineStr">
        <is>
          <t>Chrisvalverde505@gmail.com</t>
        </is>
      </c>
      <c r="AJ129" t="inlineStr">
        <is>
          <t>Chrisvalverde505@gmail.com</t>
        </is>
      </c>
      <c r="AL129" t="inlineStr">
        <is>
          <t>1020 Adams Street Southeast</t>
        </is>
      </c>
      <c r="AN129" t="inlineStr">
        <is>
          <t>Albuquerque</t>
        </is>
      </c>
      <c r="AO129" t="inlineStr">
        <is>
          <t>87108</t>
        </is>
      </c>
      <c r="AP129" t="inlineStr">
        <is>
          <t>NM</t>
        </is>
      </c>
      <c r="AR129" t="inlineStr">
        <is>
          <t>1020 Adams Street Southeast</t>
        </is>
      </c>
      <c r="AT129" t="inlineStr">
        <is>
          <t>Albuquerque</t>
        </is>
      </c>
      <c r="AU129" t="inlineStr">
        <is>
          <t>87108</t>
        </is>
      </c>
      <c r="AV129" t="inlineStr">
        <is>
          <t>NM</t>
        </is>
      </c>
      <c r="BB129" t="inlineStr">
        <is>
          <t>10/12/2025</t>
        </is>
      </c>
    </row>
    <row r="130" ht="15" customHeight="1" s="86">
      <c r="C130" t="inlineStr">
        <is>
          <t>Heiam</t>
        </is>
      </c>
      <c r="D130" t="inlineStr">
        <is>
          <t>M</t>
        </is>
      </c>
      <c r="E130" t="inlineStr">
        <is>
          <t>Albaitshawish</t>
        </is>
      </c>
      <c r="G130" t="inlineStr">
        <is>
          <t>09/07/1961</t>
        </is>
      </c>
      <c r="H130" t="inlineStr">
        <is>
          <t>Not Specified</t>
        </is>
      </c>
      <c r="I130" t="inlineStr">
        <is>
          <t>050720061</t>
        </is>
      </c>
      <c r="K130" t="inlineStr">
        <is>
          <t>BA17ACLN8</t>
        </is>
      </c>
      <c r="M130" t="inlineStr">
        <is>
          <t>18/02/2025</t>
        </is>
      </c>
      <c r="N130" t="inlineStr">
        <is>
          <t>02/03/2025</t>
        </is>
      </c>
      <c r="R130" t="inlineStr">
        <is>
          <t>Hourly</t>
        </is>
      </c>
      <c r="X130" t="inlineStr">
        <is>
          <t>41</t>
        </is>
      </c>
      <c r="AF130" t="inlineStr">
        <is>
          <t>Non-exempt</t>
        </is>
      </c>
      <c r="AI130" t="inlineStr">
        <is>
          <t>sshawish.remson@gmail.com</t>
        </is>
      </c>
      <c r="AJ130" t="inlineStr">
        <is>
          <t>sshawish.remson@gmail.com</t>
        </is>
      </c>
      <c r="AL130" t="inlineStr">
        <is>
          <t>6137 Strand Loop SE</t>
        </is>
      </c>
      <c r="AN130" t="inlineStr">
        <is>
          <t>Albuquerque</t>
        </is>
      </c>
      <c r="AO130" t="inlineStr">
        <is>
          <t>87106</t>
        </is>
      </c>
      <c r="AP130" t="inlineStr">
        <is>
          <t>NM</t>
        </is>
      </c>
      <c r="AR130" t="inlineStr">
        <is>
          <t>6137 Strand Loop SE</t>
        </is>
      </c>
      <c r="AT130" t="inlineStr">
        <is>
          <t>Albuquerque</t>
        </is>
      </c>
      <c r="AU130" t="inlineStr">
        <is>
          <t>87106</t>
        </is>
      </c>
      <c r="AV130" t="inlineStr">
        <is>
          <t>NM</t>
        </is>
      </c>
      <c r="BB130" t="inlineStr">
        <is>
          <t>18/02/2025</t>
        </is>
      </c>
      <c r="BD130" t="inlineStr">
        <is>
          <t>DZWKT8LKB</t>
        </is>
      </c>
    </row>
    <row r="131" ht="15" customHeight="1" s="86">
      <c r="C131" t="inlineStr">
        <is>
          <t>Miguel</t>
        </is>
      </c>
      <c r="D131" t="inlineStr">
        <is>
          <t>A</t>
        </is>
      </c>
      <c r="E131" t="inlineStr">
        <is>
          <t>Suarez</t>
        </is>
      </c>
      <c r="G131" t="inlineStr">
        <is>
          <t>25/01/1983</t>
        </is>
      </c>
      <c r="H131" t="inlineStr">
        <is>
          <t>Not Specified</t>
        </is>
      </c>
      <c r="I131" t="inlineStr">
        <is>
          <t>597057436</t>
        </is>
      </c>
      <c r="K131" t="inlineStr">
        <is>
          <t>BDDKO6Q8U</t>
        </is>
      </c>
      <c r="M131" t="inlineStr">
        <is>
          <t>02/02/2026</t>
        </is>
      </c>
      <c r="R131" t="inlineStr">
        <is>
          <t>Hourly</t>
        </is>
      </c>
      <c r="X131" t="inlineStr">
        <is>
          <t>21.5</t>
        </is>
      </c>
      <c r="AF131" t="inlineStr">
        <is>
          <t>Non-exempt</t>
        </is>
      </c>
      <c r="AI131" t="inlineStr">
        <is>
          <t>misuarez.remson@gmail.com</t>
        </is>
      </c>
      <c r="AJ131" t="inlineStr">
        <is>
          <t>misuarez.remson@gmail.com</t>
        </is>
      </c>
      <c r="AL131" t="inlineStr">
        <is>
          <t>2501 Stallion Loop Southeast</t>
        </is>
      </c>
      <c r="AN131" t="inlineStr">
        <is>
          <t>Rio Rancho</t>
        </is>
      </c>
      <c r="AO131" t="inlineStr">
        <is>
          <t>87124</t>
        </is>
      </c>
      <c r="AP131" t="inlineStr">
        <is>
          <t>NM</t>
        </is>
      </c>
      <c r="AR131" t="inlineStr">
        <is>
          <t>2501 Stallion Loop Southeast</t>
        </is>
      </c>
      <c r="AT131" t="inlineStr">
        <is>
          <t>Rio Rancho</t>
        </is>
      </c>
      <c r="AU131" t="inlineStr">
        <is>
          <t>87124</t>
        </is>
      </c>
      <c r="AV131" t="inlineStr">
        <is>
          <t>NM</t>
        </is>
      </c>
      <c r="BB131" t="inlineStr">
        <is>
          <t>02/02/2026</t>
        </is>
      </c>
      <c r="BD131" t="inlineStr">
        <is>
          <t>Z4Y55Y33Y</t>
        </is>
      </c>
    </row>
    <row r="132" ht="15" customHeight="1" s="86">
      <c r="C132" t="inlineStr">
        <is>
          <t>Jennifer</t>
        </is>
      </c>
      <c r="D132" t="inlineStr">
        <is>
          <t>M</t>
        </is>
      </c>
      <c r="E132" t="inlineStr">
        <is>
          <t>Curio</t>
        </is>
      </c>
      <c r="G132" t="inlineStr">
        <is>
          <t>19/04/1976</t>
        </is>
      </c>
      <c r="H132" t="inlineStr">
        <is>
          <t>Not Specified</t>
        </is>
      </c>
      <c r="I132" t="inlineStr">
        <is>
          <t>194646204</t>
        </is>
      </c>
      <c r="K132" t="inlineStr">
        <is>
          <t>BO4JAGZ49</t>
        </is>
      </c>
      <c r="M132" t="inlineStr">
        <is>
          <t>21/05/2025</t>
        </is>
      </c>
      <c r="N132" t="inlineStr">
        <is>
          <t>28/06/2025</t>
        </is>
      </c>
      <c r="R132" t="inlineStr">
        <is>
          <t>Hourly</t>
        </is>
      </c>
      <c r="X132" t="inlineStr">
        <is>
          <t>41</t>
        </is>
      </c>
      <c r="AF132" t="inlineStr">
        <is>
          <t>Non-exempt</t>
        </is>
      </c>
      <c r="AI132" t="inlineStr">
        <is>
          <t>jcurio.remson@gmail.com</t>
        </is>
      </c>
      <c r="AJ132" t="inlineStr">
        <is>
          <t>jcurio.remson@gmail.com</t>
        </is>
      </c>
      <c r="AL132" t="inlineStr">
        <is>
          <t>11600 Haines Ave NE 23102</t>
        </is>
      </c>
      <c r="AN132" t="inlineStr">
        <is>
          <t>Albuquerque</t>
        </is>
      </c>
      <c r="AO132" t="inlineStr">
        <is>
          <t>87112</t>
        </is>
      </c>
      <c r="AP132" t="inlineStr">
        <is>
          <t>NM</t>
        </is>
      </c>
      <c r="AR132" t="inlineStr">
        <is>
          <t>11600 Haines Ave NE 23102</t>
        </is>
      </c>
      <c r="AT132" t="inlineStr">
        <is>
          <t>Albuquerque</t>
        </is>
      </c>
      <c r="AU132" t="inlineStr">
        <is>
          <t>87112</t>
        </is>
      </c>
      <c r="AV132" t="inlineStr">
        <is>
          <t>NM</t>
        </is>
      </c>
      <c r="BB132" t="inlineStr">
        <is>
          <t>21/05/2025</t>
        </is>
      </c>
      <c r="BD132" t="inlineStr">
        <is>
          <t>DZWKT8LKB</t>
        </is>
      </c>
    </row>
    <row r="133" ht="15" customHeight="1" s="86">
      <c r="C133" t="inlineStr">
        <is>
          <t>Dominic</t>
        </is>
      </c>
      <c r="E133" t="inlineStr">
        <is>
          <t>Rivas</t>
        </is>
      </c>
      <c r="G133" t="inlineStr">
        <is>
          <t>12/05/2002</t>
        </is>
      </c>
      <c r="H133" t="inlineStr">
        <is>
          <t>Male</t>
        </is>
      </c>
      <c r="I133" t="inlineStr">
        <is>
          <t>648283334</t>
        </is>
      </c>
      <c r="J133" t="inlineStr">
        <is>
          <t>No</t>
        </is>
      </c>
      <c r="K133" t="inlineStr">
        <is>
          <t>BV4RLC4ZI</t>
        </is>
      </c>
      <c r="M133" t="inlineStr">
        <is>
          <t>15/03/2024</t>
        </is>
      </c>
      <c r="N133" t="inlineStr">
        <is>
          <t>15/11/2025</t>
        </is>
      </c>
      <c r="R133" t="inlineStr">
        <is>
          <t>Hourly</t>
        </is>
      </c>
      <c r="X133" t="inlineStr">
        <is>
          <t>22.05</t>
        </is>
      </c>
      <c r="AF133" t="inlineStr">
        <is>
          <t>Non-exempt</t>
        </is>
      </c>
      <c r="AJ133" t="inlineStr">
        <is>
          <t>drivas.remson@gmail.com</t>
        </is>
      </c>
      <c r="AL133" t="inlineStr">
        <is>
          <t>1963 Goldenflare Lp Ne</t>
        </is>
      </c>
      <c r="AN133" t="inlineStr">
        <is>
          <t>Rio Rancho</t>
        </is>
      </c>
      <c r="AO133" t="inlineStr">
        <is>
          <t>87144</t>
        </is>
      </c>
      <c r="AP133" t="inlineStr">
        <is>
          <t>NM</t>
        </is>
      </c>
      <c r="AR133" t="inlineStr">
        <is>
          <t>1963 Goldenflare Lp Ne</t>
        </is>
      </c>
      <c r="AT133" t="inlineStr">
        <is>
          <t>Rio Rancho</t>
        </is>
      </c>
      <c r="AU133" t="inlineStr">
        <is>
          <t>87144</t>
        </is>
      </c>
      <c r="AV133" t="inlineStr">
        <is>
          <t>NM</t>
        </is>
      </c>
      <c r="BB133" t="inlineStr">
        <is>
          <t>15/03/2024</t>
        </is>
      </c>
      <c r="BD133" t="inlineStr">
        <is>
          <t>Z4Y55Y33Y</t>
        </is>
      </c>
    </row>
    <row r="134" ht="15" customHeight="1" s="86">
      <c r="C134" t="inlineStr">
        <is>
          <t>Dominic</t>
        </is>
      </c>
      <c r="E134" t="inlineStr">
        <is>
          <t>Rivas</t>
        </is>
      </c>
      <c r="G134" t="inlineStr">
        <is>
          <t>12/05/2002</t>
        </is>
      </c>
      <c r="H134" t="inlineStr">
        <is>
          <t>Male</t>
        </is>
      </c>
      <c r="I134" t="inlineStr">
        <is>
          <t>648283334</t>
        </is>
      </c>
      <c r="J134" t="inlineStr">
        <is>
          <t>No</t>
        </is>
      </c>
      <c r="K134" t="inlineStr">
        <is>
          <t>BV4RLC4ZI</t>
        </is>
      </c>
      <c r="M134" t="inlineStr">
        <is>
          <t>15/03/2024</t>
        </is>
      </c>
      <c r="N134" t="inlineStr">
        <is>
          <t>15/11/2025</t>
        </is>
      </c>
      <c r="R134" t="inlineStr">
        <is>
          <t>Hourly</t>
        </is>
      </c>
      <c r="X134" t="inlineStr">
        <is>
          <t>22.05</t>
        </is>
      </c>
      <c r="AF134" t="inlineStr">
        <is>
          <t>Non-exempt</t>
        </is>
      </c>
      <c r="AJ134" t="inlineStr">
        <is>
          <t>drivas.remson@gmail.com</t>
        </is>
      </c>
      <c r="AL134" t="inlineStr">
        <is>
          <t>1963 Goldenflare Lp Ne</t>
        </is>
      </c>
      <c r="AN134" t="inlineStr">
        <is>
          <t>Rio Rancho</t>
        </is>
      </c>
      <c r="AO134" t="inlineStr">
        <is>
          <t>87144</t>
        </is>
      </c>
      <c r="AP134" t="inlineStr">
        <is>
          <t>NM</t>
        </is>
      </c>
      <c r="AR134" t="inlineStr">
        <is>
          <t>1963 Goldenflare Lp Ne</t>
        </is>
      </c>
      <c r="AT134" t="inlineStr">
        <is>
          <t>Rio Rancho</t>
        </is>
      </c>
      <c r="AU134" t="inlineStr">
        <is>
          <t>87144</t>
        </is>
      </c>
      <c r="AV134" t="inlineStr">
        <is>
          <t>NM</t>
        </is>
      </c>
      <c r="BB134" t="inlineStr">
        <is>
          <t>15/03/2024</t>
        </is>
      </c>
    </row>
    <row r="135" ht="15" customHeight="1" s="86">
      <c r="C135" t="inlineStr">
        <is>
          <t>John</t>
        </is>
      </c>
      <c r="E135" t="inlineStr">
        <is>
          <t>Fernandez</t>
        </is>
      </c>
      <c r="G135" t="inlineStr">
        <is>
          <t>02/02/1984</t>
        </is>
      </c>
      <c r="H135" t="inlineStr">
        <is>
          <t>Male</t>
        </is>
      </c>
      <c r="I135" t="inlineStr">
        <is>
          <t>585494726</t>
        </is>
      </c>
      <c r="J135" t="inlineStr">
        <is>
          <t>No</t>
        </is>
      </c>
      <c r="K135" t="inlineStr">
        <is>
          <t>C2PDQG7U2</t>
        </is>
      </c>
      <c r="M135" t="inlineStr">
        <is>
          <t>02/12/2024</t>
        </is>
      </c>
      <c r="N135" t="inlineStr">
        <is>
          <t>11/01/2025</t>
        </is>
      </c>
      <c r="R135" t="inlineStr">
        <is>
          <t>Hourly</t>
        </is>
      </c>
      <c r="X135" t="inlineStr">
        <is>
          <t>41</t>
        </is>
      </c>
      <c r="AF135" t="inlineStr">
        <is>
          <t>Non-exempt</t>
        </is>
      </c>
      <c r="AI135" t="inlineStr">
        <is>
          <t>fernandezj.remson@gmail.com</t>
        </is>
      </c>
      <c r="AJ135" t="inlineStr">
        <is>
          <t>fernandezj.remson@gmail.com</t>
        </is>
      </c>
      <c r="AL135" t="inlineStr">
        <is>
          <t>9000 Zuni Road Se</t>
        </is>
      </c>
      <c r="AM135" t="inlineStr">
        <is>
          <t>W-32</t>
        </is>
      </c>
      <c r="AN135" t="inlineStr">
        <is>
          <t>Albuquerque</t>
        </is>
      </c>
      <c r="AO135" t="inlineStr">
        <is>
          <t>87123</t>
        </is>
      </c>
      <c r="AP135" t="inlineStr">
        <is>
          <t>NM</t>
        </is>
      </c>
      <c r="AR135" t="inlineStr">
        <is>
          <t>9000 Zuni Road Se</t>
        </is>
      </c>
      <c r="AS135" t="inlineStr">
        <is>
          <t>W-32</t>
        </is>
      </c>
      <c r="AT135" t="inlineStr">
        <is>
          <t>Albuquerque</t>
        </is>
      </c>
      <c r="AU135" t="inlineStr">
        <is>
          <t>87123</t>
        </is>
      </c>
      <c r="AV135" t="inlineStr">
        <is>
          <t>NM</t>
        </is>
      </c>
      <c r="BB135" t="inlineStr">
        <is>
          <t>02/12/2024</t>
        </is>
      </c>
    </row>
    <row r="136" ht="15" customHeight="1" s="86">
      <c r="C136" t="inlineStr">
        <is>
          <t>Elijah</t>
        </is>
      </c>
      <c r="D136" t="inlineStr">
        <is>
          <t>R</t>
        </is>
      </c>
      <c r="E136" t="inlineStr">
        <is>
          <t>Tapia</t>
        </is>
      </c>
      <c r="G136" t="inlineStr">
        <is>
          <t>24/09/1986</t>
        </is>
      </c>
      <c r="H136" t="inlineStr">
        <is>
          <t>Male</t>
        </is>
      </c>
      <c r="I136" t="inlineStr">
        <is>
          <t>585597133</t>
        </is>
      </c>
      <c r="K136" t="inlineStr">
        <is>
          <t>C3TS36AO8</t>
        </is>
      </c>
      <c r="M136" t="inlineStr">
        <is>
          <t>18/02/2025</t>
        </is>
      </c>
      <c r="N136" t="inlineStr">
        <is>
          <t>12/03/2025</t>
        </is>
      </c>
      <c r="R136" t="inlineStr">
        <is>
          <t>Hourly</t>
        </is>
      </c>
      <c r="X136" t="inlineStr">
        <is>
          <t>41</t>
        </is>
      </c>
      <c r="AF136" t="inlineStr">
        <is>
          <t>Non-exempt</t>
        </is>
      </c>
      <c r="AI136" t="inlineStr">
        <is>
          <t>tapiae.remson@gmail.com</t>
        </is>
      </c>
      <c r="AJ136" t="inlineStr">
        <is>
          <t>tapiae.remson@gmail.com</t>
        </is>
      </c>
      <c r="AL136" t="inlineStr">
        <is>
          <t>4720 West Glen Drive Southwest</t>
        </is>
      </c>
      <c r="AN136" t="inlineStr">
        <is>
          <t>Albuquerque</t>
        </is>
      </c>
      <c r="AO136" t="inlineStr">
        <is>
          <t>87105</t>
        </is>
      </c>
      <c r="AP136" t="inlineStr">
        <is>
          <t>NM</t>
        </is>
      </c>
      <c r="AR136" t="inlineStr">
        <is>
          <t>4720 West Glen Drive Southwest</t>
        </is>
      </c>
      <c r="AT136" t="inlineStr">
        <is>
          <t>Albuquerque</t>
        </is>
      </c>
      <c r="AU136" t="inlineStr">
        <is>
          <t>87105</t>
        </is>
      </c>
      <c r="AV136" t="inlineStr">
        <is>
          <t>NM</t>
        </is>
      </c>
      <c r="BB136" t="inlineStr">
        <is>
          <t>18/02/2025</t>
        </is>
      </c>
      <c r="BD136" t="inlineStr">
        <is>
          <t>DZWKT8LKB</t>
        </is>
      </c>
    </row>
    <row r="137" ht="15" customHeight="1" s="86">
      <c r="C137" t="inlineStr">
        <is>
          <t>Nicholas</t>
        </is>
      </c>
      <c r="E137" t="inlineStr">
        <is>
          <t>Salazar</t>
        </is>
      </c>
      <c r="G137" t="inlineStr">
        <is>
          <t>20/10/2001</t>
        </is>
      </c>
      <c r="H137" t="inlineStr">
        <is>
          <t>Male</t>
        </is>
      </c>
      <c r="I137" t="inlineStr">
        <is>
          <t>648265243</t>
        </is>
      </c>
      <c r="J137" t="inlineStr">
        <is>
          <t>No</t>
        </is>
      </c>
      <c r="K137" t="inlineStr">
        <is>
          <t>C641O52E2</t>
        </is>
      </c>
      <c r="M137" t="inlineStr">
        <is>
          <t>13/11/2023</t>
        </is>
      </c>
      <c r="R137" t="inlineStr">
        <is>
          <t>Hourly</t>
        </is>
      </c>
      <c r="X137" t="inlineStr">
        <is>
          <t>24.5</t>
        </is>
      </c>
      <c r="AF137" t="inlineStr">
        <is>
          <t>Non-exempt</t>
        </is>
      </c>
      <c r="AJ137" t="inlineStr">
        <is>
          <t>nsalazar.remson@gmail.com</t>
        </is>
      </c>
      <c r="AL137" t="inlineStr">
        <is>
          <t>1509 Kenwood Ct Nw</t>
        </is>
      </c>
      <c r="AN137" t="inlineStr">
        <is>
          <t>Albuquerque</t>
        </is>
      </c>
      <c r="AO137" t="inlineStr">
        <is>
          <t>87120</t>
        </is>
      </c>
      <c r="AP137" t="inlineStr">
        <is>
          <t>NM</t>
        </is>
      </c>
      <c r="AR137" t="inlineStr">
        <is>
          <t>1509 Kenwood Ct Nw</t>
        </is>
      </c>
      <c r="AT137" t="inlineStr">
        <is>
          <t>Albuquerque</t>
        </is>
      </c>
      <c r="AU137" t="inlineStr">
        <is>
          <t>87120</t>
        </is>
      </c>
      <c r="AV137" t="inlineStr">
        <is>
          <t>NM</t>
        </is>
      </c>
      <c r="BB137" t="inlineStr">
        <is>
          <t>13/11/2023</t>
        </is>
      </c>
      <c r="BD137" t="inlineStr">
        <is>
          <t>1DSXHLDE3</t>
        </is>
      </c>
    </row>
    <row r="138" ht="15" customHeight="1" s="86">
      <c r="C138" t="inlineStr">
        <is>
          <t>Nicholas</t>
        </is>
      </c>
      <c r="E138" t="inlineStr">
        <is>
          <t>Salazar</t>
        </is>
      </c>
      <c r="G138" t="inlineStr">
        <is>
          <t>20/10/2001</t>
        </is>
      </c>
      <c r="H138" t="inlineStr">
        <is>
          <t>Male</t>
        </is>
      </c>
      <c r="I138" t="inlineStr">
        <is>
          <t>648265243</t>
        </is>
      </c>
      <c r="J138" t="inlineStr">
        <is>
          <t>No</t>
        </is>
      </c>
      <c r="K138" t="inlineStr">
        <is>
          <t>C641O52E2</t>
        </is>
      </c>
      <c r="M138" t="inlineStr">
        <is>
          <t>13/11/2023</t>
        </is>
      </c>
      <c r="N138" t="inlineStr">
        <is>
          <t>08/12/2025</t>
        </is>
      </c>
      <c r="R138" t="inlineStr">
        <is>
          <t>Hourly</t>
        </is>
      </c>
      <c r="X138" t="inlineStr">
        <is>
          <t>24.5</t>
        </is>
      </c>
      <c r="AF138" t="inlineStr">
        <is>
          <t>Non-exempt</t>
        </is>
      </c>
      <c r="AJ138" t="inlineStr">
        <is>
          <t>nsalazar.remson@gmail.com</t>
        </is>
      </c>
      <c r="AL138" t="inlineStr">
        <is>
          <t>1509 Kenwood Ct Nw</t>
        </is>
      </c>
      <c r="AN138" t="inlineStr">
        <is>
          <t>Albuquerque</t>
        </is>
      </c>
      <c r="AO138" t="inlineStr">
        <is>
          <t>87120</t>
        </is>
      </c>
      <c r="AP138" t="inlineStr">
        <is>
          <t>NM</t>
        </is>
      </c>
      <c r="AR138" t="inlineStr">
        <is>
          <t>1509 Kenwood Ct Nw</t>
        </is>
      </c>
      <c r="AT138" t="inlineStr">
        <is>
          <t>Albuquerque</t>
        </is>
      </c>
      <c r="AU138" t="inlineStr">
        <is>
          <t>87120</t>
        </is>
      </c>
      <c r="AV138" t="inlineStr">
        <is>
          <t>NM</t>
        </is>
      </c>
      <c r="BB138" t="inlineStr">
        <is>
          <t>13/11/2023</t>
        </is>
      </c>
      <c r="BD138" t="inlineStr">
        <is>
          <t>1DSXHLDE3</t>
        </is>
      </c>
    </row>
    <row r="139" ht="15" customHeight="1" s="86">
      <c r="C139" t="inlineStr">
        <is>
          <t>Brady</t>
        </is>
      </c>
      <c r="D139" t="inlineStr">
        <is>
          <t>D</t>
        </is>
      </c>
      <c r="E139" t="inlineStr">
        <is>
          <t>Ramirez</t>
        </is>
      </c>
      <c r="G139" t="inlineStr">
        <is>
          <t>18/01/1996</t>
        </is>
      </c>
      <c r="H139" t="inlineStr">
        <is>
          <t>Not Specified</t>
        </is>
      </c>
      <c r="I139" t="inlineStr">
        <is>
          <t>472314613</t>
        </is>
      </c>
      <c r="K139" t="inlineStr">
        <is>
          <t>CBV5B2MOJ</t>
        </is>
      </c>
      <c r="M139" t="inlineStr">
        <is>
          <t>14/04/2025</t>
        </is>
      </c>
      <c r="R139" t="inlineStr">
        <is>
          <t>Hourly</t>
        </is>
      </c>
      <c r="X139" t="inlineStr">
        <is>
          <t>21.65</t>
        </is>
      </c>
      <c r="AF139" t="inlineStr">
        <is>
          <t>Non-exempt</t>
        </is>
      </c>
      <c r="AJ139" t="inlineStr">
        <is>
          <t>bramirez.remson@gmail.com</t>
        </is>
      </c>
      <c r="AL139" t="inlineStr">
        <is>
          <t>7220 Central Ave Se</t>
        </is>
      </c>
      <c r="AM139" t="inlineStr">
        <is>
          <t>Apt 2157</t>
        </is>
      </c>
      <c r="AN139" t="inlineStr">
        <is>
          <t>Albuquerque</t>
        </is>
      </c>
      <c r="AO139" t="inlineStr">
        <is>
          <t>87108-2082</t>
        </is>
      </c>
      <c r="AP139" t="inlineStr">
        <is>
          <t>NM</t>
        </is>
      </c>
      <c r="AR139" t="inlineStr">
        <is>
          <t>7220 Central Ave Se</t>
        </is>
      </c>
      <c r="AS139" t="inlineStr">
        <is>
          <t>Apt 2157</t>
        </is>
      </c>
      <c r="AT139" t="inlineStr">
        <is>
          <t>Albuquerque</t>
        </is>
      </c>
      <c r="AU139" t="inlineStr">
        <is>
          <t>87108-2082</t>
        </is>
      </c>
      <c r="AV139" t="inlineStr">
        <is>
          <t>NM</t>
        </is>
      </c>
      <c r="BB139" t="inlineStr">
        <is>
          <t>14/04/2025</t>
        </is>
      </c>
    </row>
    <row r="140" ht="15" customHeight="1" s="86">
      <c r="C140" t="inlineStr">
        <is>
          <t>Brady</t>
        </is>
      </c>
      <c r="D140" t="inlineStr">
        <is>
          <t>D</t>
        </is>
      </c>
      <c r="E140" t="inlineStr">
        <is>
          <t>Ramirez</t>
        </is>
      </c>
      <c r="G140" t="inlineStr">
        <is>
          <t>18/01/1996</t>
        </is>
      </c>
      <c r="H140" t="inlineStr">
        <is>
          <t>Not Specified</t>
        </is>
      </c>
      <c r="I140" t="inlineStr">
        <is>
          <t>472314613</t>
        </is>
      </c>
      <c r="K140" t="inlineStr">
        <is>
          <t>CBV5B2MOJ</t>
        </is>
      </c>
      <c r="M140" t="inlineStr">
        <is>
          <t>14/04/2025</t>
        </is>
      </c>
      <c r="N140" t="inlineStr">
        <is>
          <t>08/12/2025</t>
        </is>
      </c>
      <c r="R140" t="inlineStr">
        <is>
          <t>Hourly</t>
        </is>
      </c>
      <c r="X140" t="inlineStr">
        <is>
          <t>21.65</t>
        </is>
      </c>
      <c r="AF140" t="inlineStr">
        <is>
          <t>Non-exempt</t>
        </is>
      </c>
      <c r="AJ140" t="inlineStr">
        <is>
          <t>bramirez.remson@gmail.com</t>
        </is>
      </c>
      <c r="AL140" t="inlineStr">
        <is>
          <t>7220 Central Ave Se</t>
        </is>
      </c>
      <c r="AM140" t="inlineStr">
        <is>
          <t>Apt 2157</t>
        </is>
      </c>
      <c r="AN140" t="inlineStr">
        <is>
          <t>Albuquerque</t>
        </is>
      </c>
      <c r="AO140" t="inlineStr">
        <is>
          <t>87108-2082</t>
        </is>
      </c>
      <c r="AP140" t="inlineStr">
        <is>
          <t>NM</t>
        </is>
      </c>
      <c r="AR140" t="inlineStr">
        <is>
          <t>7220 Central Ave Se</t>
        </is>
      </c>
      <c r="AS140" t="inlineStr">
        <is>
          <t>Apt 2157</t>
        </is>
      </c>
      <c r="AT140" t="inlineStr">
        <is>
          <t>Albuquerque</t>
        </is>
      </c>
      <c r="AU140" t="inlineStr">
        <is>
          <t>87108-2082</t>
        </is>
      </c>
      <c r="AV140" t="inlineStr">
        <is>
          <t>NM</t>
        </is>
      </c>
      <c r="BB140" t="inlineStr">
        <is>
          <t>14/04/2025</t>
        </is>
      </c>
      <c r="BD140" t="inlineStr">
        <is>
          <t>Z4Y55Y33Y</t>
        </is>
      </c>
    </row>
    <row r="141" ht="15" customHeight="1" s="86">
      <c r="C141" t="inlineStr">
        <is>
          <t>Christopher</t>
        </is>
      </c>
      <c r="E141" t="inlineStr">
        <is>
          <t>Sedillo</t>
        </is>
      </c>
      <c r="G141" t="inlineStr">
        <is>
          <t>24/03/1998</t>
        </is>
      </c>
      <c r="H141" t="inlineStr">
        <is>
          <t>Male</t>
        </is>
      </c>
      <c r="I141" t="inlineStr">
        <is>
          <t>649141752</t>
        </is>
      </c>
      <c r="J141" t="inlineStr">
        <is>
          <t>No</t>
        </is>
      </c>
      <c r="K141" t="inlineStr">
        <is>
          <t>CG462XXZX</t>
        </is>
      </c>
      <c r="M141" t="inlineStr">
        <is>
          <t>05/10/2023</t>
        </is>
      </c>
      <c r="R141" t="inlineStr">
        <is>
          <t>Hourly</t>
        </is>
      </c>
      <c r="X141" t="inlineStr">
        <is>
          <t>22.2</t>
        </is>
      </c>
      <c r="AF141" t="inlineStr">
        <is>
          <t>Non-exempt</t>
        </is>
      </c>
      <c r="AJ141" t="inlineStr">
        <is>
          <t>csedillo.remson@gmail.com</t>
        </is>
      </c>
      <c r="AL141" t="inlineStr">
        <is>
          <t>1420 Vito Romero Rd Sw</t>
        </is>
      </c>
      <c r="AN141" t="inlineStr">
        <is>
          <t>Albuquerque</t>
        </is>
      </c>
      <c r="AO141" t="inlineStr">
        <is>
          <t>87105</t>
        </is>
      </c>
      <c r="AP141" t="inlineStr">
        <is>
          <t>NM</t>
        </is>
      </c>
      <c r="AR141" t="inlineStr">
        <is>
          <t>1420 Vito Romero Rd Sw</t>
        </is>
      </c>
      <c r="AT141" t="inlineStr">
        <is>
          <t>Albuquerque</t>
        </is>
      </c>
      <c r="AU141" t="inlineStr">
        <is>
          <t>87105</t>
        </is>
      </c>
      <c r="AV141" t="inlineStr">
        <is>
          <t>NM</t>
        </is>
      </c>
      <c r="BB141" t="inlineStr">
        <is>
          <t>05/10/2023</t>
        </is>
      </c>
    </row>
    <row r="142" ht="15" customHeight="1" s="86">
      <c r="C142" t="inlineStr">
        <is>
          <t>Christopher</t>
        </is>
      </c>
      <c r="E142" t="inlineStr">
        <is>
          <t>Sedillo</t>
        </is>
      </c>
      <c r="G142" t="inlineStr">
        <is>
          <t>24/03/1998</t>
        </is>
      </c>
      <c r="H142" t="inlineStr">
        <is>
          <t>Male</t>
        </is>
      </c>
      <c r="I142" t="inlineStr">
        <is>
          <t>649141752</t>
        </is>
      </c>
      <c r="J142" t="inlineStr">
        <is>
          <t>No</t>
        </is>
      </c>
      <c r="K142" t="inlineStr">
        <is>
          <t>CG462XXZX</t>
        </is>
      </c>
      <c r="M142" t="inlineStr">
        <is>
          <t>05/10/2023</t>
        </is>
      </c>
      <c r="N142" t="inlineStr">
        <is>
          <t>08/12/2025</t>
        </is>
      </c>
      <c r="R142" t="inlineStr">
        <is>
          <t>Hourly</t>
        </is>
      </c>
      <c r="X142" t="inlineStr">
        <is>
          <t>22.2</t>
        </is>
      </c>
      <c r="AF142" t="inlineStr">
        <is>
          <t>Non-exempt</t>
        </is>
      </c>
      <c r="AJ142" t="inlineStr">
        <is>
          <t>csedillo.remson@gmail.com</t>
        </is>
      </c>
      <c r="AL142" t="inlineStr">
        <is>
          <t>1420 Vito Romero Rd Sw</t>
        </is>
      </c>
      <c r="AN142" t="inlineStr">
        <is>
          <t>Albuquerque</t>
        </is>
      </c>
      <c r="AO142" t="inlineStr">
        <is>
          <t>87105</t>
        </is>
      </c>
      <c r="AP142" t="inlineStr">
        <is>
          <t>NM</t>
        </is>
      </c>
      <c r="AR142" t="inlineStr">
        <is>
          <t>1420 Vito Romero Rd Sw</t>
        </is>
      </c>
      <c r="AT142" t="inlineStr">
        <is>
          <t>Albuquerque</t>
        </is>
      </c>
      <c r="AU142" t="inlineStr">
        <is>
          <t>87105</t>
        </is>
      </c>
      <c r="AV142" t="inlineStr">
        <is>
          <t>NM</t>
        </is>
      </c>
      <c r="BB142" t="inlineStr">
        <is>
          <t>05/10/2023</t>
        </is>
      </c>
      <c r="BD142" t="inlineStr">
        <is>
          <t>Z4Y55Y33Y</t>
        </is>
      </c>
    </row>
    <row r="143" ht="15" customHeight="1" s="86">
      <c r="C143" t="inlineStr">
        <is>
          <t>Elijah</t>
        </is>
      </c>
      <c r="E143" t="inlineStr">
        <is>
          <t>Aguilar Maldonado</t>
        </is>
      </c>
      <c r="G143" t="inlineStr">
        <is>
          <t>16/01/2003</t>
        </is>
      </c>
      <c r="H143" t="inlineStr">
        <is>
          <t>Not Specified</t>
        </is>
      </c>
      <c r="I143" t="inlineStr">
        <is>
          <t>648305944</t>
        </is>
      </c>
      <c r="K143" t="inlineStr">
        <is>
          <t>CHMB6ABVQ</t>
        </is>
      </c>
      <c r="M143" t="inlineStr">
        <is>
          <t>10/10/2025</t>
        </is>
      </c>
      <c r="N143" t="inlineStr">
        <is>
          <t>15/11/2025</t>
        </is>
      </c>
      <c r="R143" t="inlineStr">
        <is>
          <t>Hourly</t>
        </is>
      </c>
      <c r="X143" t="inlineStr">
        <is>
          <t>21.5</t>
        </is>
      </c>
      <c r="AF143" t="inlineStr">
        <is>
          <t>Non-exempt</t>
        </is>
      </c>
      <c r="AI143" t="inlineStr">
        <is>
          <t>eliaguilar.remson@gmail.com</t>
        </is>
      </c>
      <c r="AJ143" t="inlineStr">
        <is>
          <t>eliaguilar.remson@gmail.com</t>
        </is>
      </c>
      <c r="AL143" t="inlineStr">
        <is>
          <t>201 Unser Boulevard Southwest</t>
        </is>
      </c>
      <c r="AN143" t="inlineStr">
        <is>
          <t>Albuquerque</t>
        </is>
      </c>
      <c r="AO143" t="inlineStr">
        <is>
          <t>87121</t>
        </is>
      </c>
      <c r="AP143" t="inlineStr">
        <is>
          <t>NM</t>
        </is>
      </c>
      <c r="AR143" t="inlineStr">
        <is>
          <t>201 Unser Boulevard Southwest</t>
        </is>
      </c>
      <c r="AT143" t="inlineStr">
        <is>
          <t>Albuquerque</t>
        </is>
      </c>
      <c r="AU143" t="inlineStr">
        <is>
          <t>87121</t>
        </is>
      </c>
      <c r="AV143" t="inlineStr">
        <is>
          <t>NM</t>
        </is>
      </c>
      <c r="BB143" t="inlineStr">
        <is>
          <t>10/10/2025</t>
        </is>
      </c>
      <c r="BD143" t="inlineStr">
        <is>
          <t>Z4Y55Y33Y</t>
        </is>
      </c>
    </row>
    <row r="144" ht="15" customHeight="1" s="86">
      <c r="C144" t="inlineStr">
        <is>
          <t>Elijah</t>
        </is>
      </c>
      <c r="E144" t="inlineStr">
        <is>
          <t>Aguilar Maldonado</t>
        </is>
      </c>
      <c r="G144" t="inlineStr">
        <is>
          <t>16/01/2003</t>
        </is>
      </c>
      <c r="H144" t="inlineStr">
        <is>
          <t>Not Specified</t>
        </is>
      </c>
      <c r="I144" t="inlineStr">
        <is>
          <t>648305944</t>
        </is>
      </c>
      <c r="K144" t="inlineStr">
        <is>
          <t>CHMB6ABVQ</t>
        </is>
      </c>
      <c r="M144" t="inlineStr">
        <is>
          <t>10/10/2025</t>
        </is>
      </c>
      <c r="N144" t="inlineStr">
        <is>
          <t>15/11/2025</t>
        </is>
      </c>
      <c r="R144" t="inlineStr">
        <is>
          <t>Hourly</t>
        </is>
      </c>
      <c r="X144" t="inlineStr">
        <is>
          <t>21.5</t>
        </is>
      </c>
      <c r="AF144" t="inlineStr">
        <is>
          <t>Non-exempt</t>
        </is>
      </c>
      <c r="AI144" t="inlineStr">
        <is>
          <t>eliaguilar.remson@gmail.com</t>
        </is>
      </c>
      <c r="AJ144" t="inlineStr">
        <is>
          <t>eliaguilar.remson@gmail.com</t>
        </is>
      </c>
      <c r="AL144" t="inlineStr">
        <is>
          <t>201 Unser Boulevard Southwest</t>
        </is>
      </c>
      <c r="AN144" t="inlineStr">
        <is>
          <t>Albuquerque</t>
        </is>
      </c>
      <c r="AO144" t="inlineStr">
        <is>
          <t>87121</t>
        </is>
      </c>
      <c r="AP144" t="inlineStr">
        <is>
          <t>NM</t>
        </is>
      </c>
      <c r="AR144" t="inlineStr">
        <is>
          <t>201 Unser Boulevard Southwest</t>
        </is>
      </c>
      <c r="AT144" t="inlineStr">
        <is>
          <t>Albuquerque</t>
        </is>
      </c>
      <c r="AU144" t="inlineStr">
        <is>
          <t>87121</t>
        </is>
      </c>
      <c r="AV144" t="inlineStr">
        <is>
          <t>NM</t>
        </is>
      </c>
      <c r="BB144" t="inlineStr">
        <is>
          <t>10/10/2025</t>
        </is>
      </c>
    </row>
    <row r="145" ht="15" customHeight="1" s="86">
      <c r="C145" t="inlineStr">
        <is>
          <t>Christopher</t>
        </is>
      </c>
      <c r="E145" t="inlineStr">
        <is>
          <t>Gallegos</t>
        </is>
      </c>
      <c r="G145" t="inlineStr">
        <is>
          <t>25/08/2002</t>
        </is>
      </c>
      <c r="H145" t="inlineStr">
        <is>
          <t>Male</t>
        </is>
      </c>
      <c r="I145" t="inlineStr">
        <is>
          <t>649285383</t>
        </is>
      </c>
      <c r="J145" t="inlineStr">
        <is>
          <t>No</t>
        </is>
      </c>
      <c r="K145" t="inlineStr">
        <is>
          <t>CMD5LZ4HZ</t>
        </is>
      </c>
      <c r="M145" t="inlineStr">
        <is>
          <t>04/10/2023</t>
        </is>
      </c>
      <c r="R145" t="inlineStr">
        <is>
          <t>Hourly</t>
        </is>
      </c>
      <c r="X145" t="inlineStr">
        <is>
          <t>24</t>
        </is>
      </c>
      <c r="AF145" t="inlineStr">
        <is>
          <t>Non-exempt</t>
        </is>
      </c>
      <c r="AJ145" t="inlineStr">
        <is>
          <t>cgallegos.remson@gmail.com</t>
        </is>
      </c>
      <c r="AL145" t="inlineStr">
        <is>
          <t>2903 Leonora Dr Nw</t>
        </is>
      </c>
      <c r="AN145" t="inlineStr">
        <is>
          <t>Albuquerque</t>
        </is>
      </c>
      <c r="AO145" t="inlineStr">
        <is>
          <t>87104</t>
        </is>
      </c>
      <c r="AP145" t="inlineStr">
        <is>
          <t>NM</t>
        </is>
      </c>
      <c r="AR145" t="inlineStr">
        <is>
          <t>2903 Leonora Dr Nw</t>
        </is>
      </c>
      <c r="AT145" t="inlineStr">
        <is>
          <t>Albuquerque</t>
        </is>
      </c>
      <c r="AU145" t="inlineStr">
        <is>
          <t>87104</t>
        </is>
      </c>
      <c r="AV145" t="inlineStr">
        <is>
          <t>NM</t>
        </is>
      </c>
      <c r="BB145" t="inlineStr">
        <is>
          <t>04/10/2023</t>
        </is>
      </c>
      <c r="BD145" t="inlineStr">
        <is>
          <t>DZWKT8LKB</t>
        </is>
      </c>
    </row>
    <row r="146" ht="15" customHeight="1" s="86">
      <c r="C146" t="inlineStr">
        <is>
          <t>Christopher</t>
        </is>
      </c>
      <c r="E146" t="inlineStr">
        <is>
          <t>Gallegos</t>
        </is>
      </c>
      <c r="G146" t="inlineStr">
        <is>
          <t>25/08/2002</t>
        </is>
      </c>
      <c r="H146" t="inlineStr">
        <is>
          <t>Male</t>
        </is>
      </c>
      <c r="I146" t="inlineStr">
        <is>
          <t>649285383</t>
        </is>
      </c>
      <c r="J146" t="inlineStr">
        <is>
          <t>No</t>
        </is>
      </c>
      <c r="K146" t="inlineStr">
        <is>
          <t>CMD5LZ4HZ</t>
        </is>
      </c>
      <c r="M146" t="inlineStr">
        <is>
          <t>04/10/2023</t>
        </is>
      </c>
      <c r="N146" t="inlineStr">
        <is>
          <t>08/12/2025</t>
        </is>
      </c>
      <c r="R146" t="inlineStr">
        <is>
          <t>Hourly</t>
        </is>
      </c>
      <c r="X146" t="inlineStr">
        <is>
          <t>24</t>
        </is>
      </c>
      <c r="AF146" t="inlineStr">
        <is>
          <t>Non-exempt</t>
        </is>
      </c>
      <c r="AJ146" t="inlineStr">
        <is>
          <t>cgallegos.remson@gmail.com</t>
        </is>
      </c>
      <c r="AL146" t="inlineStr">
        <is>
          <t>2903 Leonora Dr Nw</t>
        </is>
      </c>
      <c r="AN146" t="inlineStr">
        <is>
          <t>Albuquerque</t>
        </is>
      </c>
      <c r="AO146" t="inlineStr">
        <is>
          <t>87104</t>
        </is>
      </c>
      <c r="AP146" t="inlineStr">
        <is>
          <t>NM</t>
        </is>
      </c>
      <c r="AR146" t="inlineStr">
        <is>
          <t>2903 Leonora Dr Nw</t>
        </is>
      </c>
      <c r="AT146" t="inlineStr">
        <is>
          <t>Albuquerque</t>
        </is>
      </c>
      <c r="AU146" t="inlineStr">
        <is>
          <t>87104</t>
        </is>
      </c>
      <c r="AV146" t="inlineStr">
        <is>
          <t>NM</t>
        </is>
      </c>
      <c r="BB146" t="inlineStr">
        <is>
          <t>04/10/2023</t>
        </is>
      </c>
      <c r="BD146" t="inlineStr">
        <is>
          <t>DZWKT8LKB</t>
        </is>
      </c>
    </row>
    <row r="147" ht="15" customHeight="1" s="86">
      <c r="C147" t="inlineStr">
        <is>
          <t>Jose</t>
        </is>
      </c>
      <c r="E147" t="inlineStr">
        <is>
          <t>Chavez</t>
        </is>
      </c>
      <c r="G147" t="inlineStr">
        <is>
          <t>27/04/2003</t>
        </is>
      </c>
      <c r="H147" t="inlineStr">
        <is>
          <t>Not Specified</t>
        </is>
      </c>
      <c r="I147" t="inlineStr">
        <is>
          <t>649304722</t>
        </is>
      </c>
      <c r="K147" t="inlineStr">
        <is>
          <t>CMT2YQOFA</t>
        </is>
      </c>
      <c r="M147" t="inlineStr">
        <is>
          <t>14/11/2025</t>
        </is>
      </c>
      <c r="R147" t="inlineStr">
        <is>
          <t>Hourly</t>
        </is>
      </c>
      <c r="X147" t="inlineStr">
        <is>
          <t>21.5</t>
        </is>
      </c>
      <c r="AF147" t="inlineStr">
        <is>
          <t>Non-exempt</t>
        </is>
      </c>
      <c r="AI147" t="inlineStr">
        <is>
          <t>jjchavez.remson@gmail.com</t>
        </is>
      </c>
      <c r="AJ147" t="inlineStr">
        <is>
          <t>jjchavez.remson@gmail.com</t>
        </is>
      </c>
      <c r="AL147" t="inlineStr">
        <is>
          <t>2617 Hurley Drive Northwest</t>
        </is>
      </c>
      <c r="AN147" t="inlineStr">
        <is>
          <t>Albuquerque</t>
        </is>
      </c>
      <c r="AO147" t="inlineStr">
        <is>
          <t>87120</t>
        </is>
      </c>
      <c r="AP147" t="inlineStr">
        <is>
          <t>NM</t>
        </is>
      </c>
      <c r="AR147" t="inlineStr">
        <is>
          <t>2617 Hurley Drive Northwest</t>
        </is>
      </c>
      <c r="AT147" t="inlineStr">
        <is>
          <t>Albuquerque</t>
        </is>
      </c>
      <c r="AU147" t="inlineStr">
        <is>
          <t>87120</t>
        </is>
      </c>
      <c r="AV147" t="inlineStr">
        <is>
          <t>NM</t>
        </is>
      </c>
      <c r="BB147" t="inlineStr">
        <is>
          <t>14/11/2025</t>
        </is>
      </c>
    </row>
    <row r="148" ht="15" customHeight="1" s="86">
      <c r="C148" t="inlineStr">
        <is>
          <t>Jose</t>
        </is>
      </c>
      <c r="E148" t="inlineStr">
        <is>
          <t>Chavez</t>
        </is>
      </c>
      <c r="G148" t="inlineStr">
        <is>
          <t>27/04/2003</t>
        </is>
      </c>
      <c r="H148" t="inlineStr">
        <is>
          <t>Not Specified</t>
        </is>
      </c>
      <c r="I148" t="inlineStr">
        <is>
          <t>649304722</t>
        </is>
      </c>
      <c r="K148" t="inlineStr">
        <is>
          <t>CMT2YQOFA</t>
        </is>
      </c>
      <c r="M148" t="inlineStr">
        <is>
          <t>14/11/2025</t>
        </is>
      </c>
      <c r="N148" t="inlineStr">
        <is>
          <t>08/12/2025</t>
        </is>
      </c>
      <c r="R148" t="inlineStr">
        <is>
          <t>Hourly</t>
        </is>
      </c>
      <c r="X148" t="inlineStr">
        <is>
          <t>21.5</t>
        </is>
      </c>
      <c r="AF148" t="inlineStr">
        <is>
          <t>Non-exempt</t>
        </is>
      </c>
      <c r="AI148" t="inlineStr">
        <is>
          <t>jjchavez.remson@gmail.com</t>
        </is>
      </c>
      <c r="AJ148" t="inlineStr">
        <is>
          <t>jjchavez.remson@gmail.com</t>
        </is>
      </c>
      <c r="AL148" t="inlineStr">
        <is>
          <t>2617 Hurley Drive Northwest</t>
        </is>
      </c>
      <c r="AN148" t="inlineStr">
        <is>
          <t>Albuquerque</t>
        </is>
      </c>
      <c r="AO148" t="inlineStr">
        <is>
          <t>87120</t>
        </is>
      </c>
      <c r="AP148" t="inlineStr">
        <is>
          <t>NM</t>
        </is>
      </c>
      <c r="AR148" t="inlineStr">
        <is>
          <t>2617 Hurley Drive Northwest</t>
        </is>
      </c>
      <c r="AT148" t="inlineStr">
        <is>
          <t>Albuquerque</t>
        </is>
      </c>
      <c r="AU148" t="inlineStr">
        <is>
          <t>87120</t>
        </is>
      </c>
      <c r="AV148" t="inlineStr">
        <is>
          <t>NM</t>
        </is>
      </c>
      <c r="BB148" t="inlineStr">
        <is>
          <t>14/11/2025</t>
        </is>
      </c>
      <c r="BD148" t="inlineStr">
        <is>
          <t>Z4Y55Y33Y</t>
        </is>
      </c>
    </row>
    <row r="149" ht="15" customHeight="1" s="86">
      <c r="C149" t="inlineStr">
        <is>
          <t>Jeremiah</t>
        </is>
      </c>
      <c r="E149" t="inlineStr">
        <is>
          <t>Marquez</t>
        </is>
      </c>
      <c r="G149" t="inlineStr">
        <is>
          <t>06/12/2000</t>
        </is>
      </c>
      <c r="H149" t="inlineStr">
        <is>
          <t>Male</t>
        </is>
      </c>
      <c r="I149" t="inlineStr">
        <is>
          <t>649227467</t>
        </is>
      </c>
      <c r="J149" t="inlineStr">
        <is>
          <t>No</t>
        </is>
      </c>
      <c r="K149" t="inlineStr">
        <is>
          <t>CSKOYIHCQ</t>
        </is>
      </c>
      <c r="M149" t="inlineStr">
        <is>
          <t>09/01/2025</t>
        </is>
      </c>
      <c r="R149" t="inlineStr">
        <is>
          <t>Hourly</t>
        </is>
      </c>
      <c r="X149" t="inlineStr">
        <is>
          <t>21.65</t>
        </is>
      </c>
      <c r="AF149" t="inlineStr">
        <is>
          <t>Non-exempt</t>
        </is>
      </c>
      <c r="AI149" t="inlineStr">
        <is>
          <t>Jayymilly808@icloud.com</t>
        </is>
      </c>
      <c r="AJ149" t="inlineStr">
        <is>
          <t>jmarquez.remson@gmail.com</t>
        </is>
      </c>
      <c r="AL149" t="inlineStr">
        <is>
          <t>5608 Cleghorn Rd. Nw</t>
        </is>
      </c>
      <c r="AN149" t="inlineStr">
        <is>
          <t>Albuquerque</t>
        </is>
      </c>
      <c r="AO149" t="inlineStr">
        <is>
          <t>87120</t>
        </is>
      </c>
      <c r="AP149" t="inlineStr">
        <is>
          <t>NM</t>
        </is>
      </c>
      <c r="AR149" t="inlineStr">
        <is>
          <t>5608 Cleghorn Rd. Nw</t>
        </is>
      </c>
      <c r="AT149" t="inlineStr">
        <is>
          <t>Albuquerque</t>
        </is>
      </c>
      <c r="AU149" t="inlineStr">
        <is>
          <t>87120</t>
        </is>
      </c>
      <c r="AV149" t="inlineStr">
        <is>
          <t>NM</t>
        </is>
      </c>
      <c r="BB149" t="inlineStr">
        <is>
          <t>09/01/2025</t>
        </is>
      </c>
    </row>
    <row r="150" ht="15" customHeight="1" s="86">
      <c r="C150" t="inlineStr">
        <is>
          <t>Jeremiah</t>
        </is>
      </c>
      <c r="E150" t="inlineStr">
        <is>
          <t>Marquez</t>
        </is>
      </c>
      <c r="G150" t="inlineStr">
        <is>
          <t>06/12/2000</t>
        </is>
      </c>
      <c r="H150" t="inlineStr">
        <is>
          <t>Male</t>
        </is>
      </c>
      <c r="I150" t="inlineStr">
        <is>
          <t>649227467</t>
        </is>
      </c>
      <c r="J150" t="inlineStr">
        <is>
          <t>No</t>
        </is>
      </c>
      <c r="K150" t="inlineStr">
        <is>
          <t>CSKOYIHCQ</t>
        </is>
      </c>
      <c r="M150" t="inlineStr">
        <is>
          <t>09/01/2025</t>
        </is>
      </c>
      <c r="N150" t="inlineStr">
        <is>
          <t>08/12/2025</t>
        </is>
      </c>
      <c r="R150" t="inlineStr">
        <is>
          <t>Hourly</t>
        </is>
      </c>
      <c r="X150" t="inlineStr">
        <is>
          <t>21.65</t>
        </is>
      </c>
      <c r="AF150" t="inlineStr">
        <is>
          <t>Non-exempt</t>
        </is>
      </c>
      <c r="AI150" t="inlineStr">
        <is>
          <t>Jayymilly808@icloud.com</t>
        </is>
      </c>
      <c r="AJ150" t="inlineStr">
        <is>
          <t>jmarquez.remson@gmail.com</t>
        </is>
      </c>
      <c r="AL150" t="inlineStr">
        <is>
          <t>5608 Cleghorn Rd. Nw</t>
        </is>
      </c>
      <c r="AN150" t="inlineStr">
        <is>
          <t>Albuquerque</t>
        </is>
      </c>
      <c r="AO150" t="inlineStr">
        <is>
          <t>87120</t>
        </is>
      </c>
      <c r="AP150" t="inlineStr">
        <is>
          <t>NM</t>
        </is>
      </c>
      <c r="AR150" t="inlineStr">
        <is>
          <t>5608 Cleghorn Rd. Nw</t>
        </is>
      </c>
      <c r="AT150" t="inlineStr">
        <is>
          <t>Albuquerque</t>
        </is>
      </c>
      <c r="AU150" t="inlineStr">
        <is>
          <t>87120</t>
        </is>
      </c>
      <c r="AV150" t="inlineStr">
        <is>
          <t>NM</t>
        </is>
      </c>
      <c r="BB150" t="inlineStr">
        <is>
          <t>09/01/2025</t>
        </is>
      </c>
      <c r="BD150" t="inlineStr">
        <is>
          <t>Z4Y55Y33Y</t>
        </is>
      </c>
    </row>
    <row r="151" ht="15" customHeight="1" s="86">
      <c r="C151" t="inlineStr">
        <is>
          <t>Melissa</t>
        </is>
      </c>
      <c r="D151" t="inlineStr">
        <is>
          <t>D</t>
        </is>
      </c>
      <c r="E151" t="inlineStr">
        <is>
          <t>Gomez</t>
        </is>
      </c>
      <c r="G151" t="inlineStr">
        <is>
          <t>28/04/1989</t>
        </is>
      </c>
      <c r="H151" t="inlineStr">
        <is>
          <t>Female</t>
        </is>
      </c>
      <c r="I151" t="inlineStr">
        <is>
          <t>525818107</t>
        </is>
      </c>
      <c r="J151" t="inlineStr">
        <is>
          <t>No</t>
        </is>
      </c>
      <c r="K151" t="inlineStr">
        <is>
          <t>CV2RCVQ54</t>
        </is>
      </c>
      <c r="M151" t="inlineStr">
        <is>
          <t>17/01/2025</t>
        </is>
      </c>
      <c r="N151" t="inlineStr">
        <is>
          <t>14/02/2025</t>
        </is>
      </c>
      <c r="R151" t="inlineStr">
        <is>
          <t>Hourly</t>
        </is>
      </c>
      <c r="X151" t="inlineStr">
        <is>
          <t>41</t>
        </is>
      </c>
      <c r="AF151" t="inlineStr">
        <is>
          <t>Non-exempt</t>
        </is>
      </c>
      <c r="AI151" t="inlineStr">
        <is>
          <t>gomezm.remson@gmail.com</t>
        </is>
      </c>
      <c r="AJ151" t="inlineStr">
        <is>
          <t>gomezm.remson@gmail.com</t>
        </is>
      </c>
      <c r="AL151" t="inlineStr">
        <is>
          <t>9600 Central Ave Sw</t>
        </is>
      </c>
      <c r="AM151" t="inlineStr">
        <is>
          <t>#20</t>
        </is>
      </c>
      <c r="AN151" t="inlineStr">
        <is>
          <t>Albuquerque</t>
        </is>
      </c>
      <c r="AO151" t="inlineStr">
        <is>
          <t>87121</t>
        </is>
      </c>
      <c r="AP151" t="inlineStr">
        <is>
          <t>NM</t>
        </is>
      </c>
      <c r="AR151" t="inlineStr">
        <is>
          <t>9600 Central Ave Sw</t>
        </is>
      </c>
      <c r="AS151" t="inlineStr">
        <is>
          <t>#20</t>
        </is>
      </c>
      <c r="AT151" t="inlineStr">
        <is>
          <t>Albuquerque</t>
        </is>
      </c>
      <c r="AU151" t="inlineStr">
        <is>
          <t>87121</t>
        </is>
      </c>
      <c r="AV151" t="inlineStr">
        <is>
          <t>NM</t>
        </is>
      </c>
      <c r="BB151" t="inlineStr">
        <is>
          <t>17/01/2025</t>
        </is>
      </c>
    </row>
    <row r="152" ht="15" customHeight="1" s="86">
      <c r="C152" t="inlineStr">
        <is>
          <t>Darnell</t>
        </is>
      </c>
      <c r="E152" t="inlineStr">
        <is>
          <t>Woolridge</t>
        </is>
      </c>
      <c r="G152" t="inlineStr">
        <is>
          <t>19/11/1985</t>
        </is>
      </c>
      <c r="H152" t="inlineStr">
        <is>
          <t>Male</t>
        </is>
      </c>
      <c r="I152" t="inlineStr">
        <is>
          <t>444863977</t>
        </is>
      </c>
      <c r="J152" t="inlineStr">
        <is>
          <t>No</t>
        </is>
      </c>
      <c r="K152" t="inlineStr">
        <is>
          <t>CY28VXUXI</t>
        </is>
      </c>
      <c r="M152" t="inlineStr">
        <is>
          <t>27/10/2024</t>
        </is>
      </c>
      <c r="N152" t="inlineStr">
        <is>
          <t>09/08/2025</t>
        </is>
      </c>
      <c r="R152" t="inlineStr">
        <is>
          <t>Hourly</t>
        </is>
      </c>
      <c r="X152" t="inlineStr">
        <is>
          <t>41.6</t>
        </is>
      </c>
      <c r="AF152" t="inlineStr">
        <is>
          <t>Non-exempt</t>
        </is>
      </c>
      <c r="AJ152" t="inlineStr">
        <is>
          <t>woolridgedarrnell@gmail.com</t>
        </is>
      </c>
      <c r="AL152" t="inlineStr">
        <is>
          <t>803 Franklin St</t>
        </is>
      </c>
      <c r="AN152" t="inlineStr">
        <is>
          <t>Soccorro</t>
        </is>
      </c>
      <c r="AO152" t="inlineStr">
        <is>
          <t>87801</t>
        </is>
      </c>
      <c r="AP152" t="inlineStr">
        <is>
          <t>NM</t>
        </is>
      </c>
      <c r="AR152" t="inlineStr">
        <is>
          <t>803 Franklin St</t>
        </is>
      </c>
      <c r="AT152" t="inlineStr">
        <is>
          <t>Soccorro</t>
        </is>
      </c>
      <c r="AU152" t="inlineStr">
        <is>
          <t>87801</t>
        </is>
      </c>
      <c r="AV152" t="inlineStr">
        <is>
          <t>NM</t>
        </is>
      </c>
      <c r="BB152" t="inlineStr">
        <is>
          <t>27/10/2024</t>
        </is>
      </c>
    </row>
    <row r="153" ht="15" customHeight="1" s="86">
      <c r="C153" t="inlineStr">
        <is>
          <t>Antonio</t>
        </is>
      </c>
      <c r="D153" t="inlineStr">
        <is>
          <t>P</t>
        </is>
      </c>
      <c r="E153" t="inlineStr">
        <is>
          <t>Nunez</t>
        </is>
      </c>
      <c r="G153" t="inlineStr">
        <is>
          <t>18/03/1984</t>
        </is>
      </c>
      <c r="H153" t="inlineStr">
        <is>
          <t>Not Specified</t>
        </is>
      </c>
      <c r="I153" t="inlineStr">
        <is>
          <t>525712855</t>
        </is>
      </c>
      <c r="K153" t="inlineStr">
        <is>
          <t>D5T3ZNU4S</t>
        </is>
      </c>
      <c r="M153" t="inlineStr">
        <is>
          <t>16/03/2025</t>
        </is>
      </c>
      <c r="R153" t="inlineStr">
        <is>
          <t>Hourly</t>
        </is>
      </c>
      <c r="X153" t="inlineStr">
        <is>
          <t>21.65</t>
        </is>
      </c>
      <c r="AF153" t="inlineStr">
        <is>
          <t>Non-exempt</t>
        </is>
      </c>
      <c r="AJ153" t="inlineStr">
        <is>
          <t>antoniopnunez1323@gmail.com</t>
        </is>
      </c>
      <c r="AL153" t="inlineStr">
        <is>
          <t>1818 Shadetree Drive Southwest</t>
        </is>
      </c>
      <c r="AN153" t="inlineStr">
        <is>
          <t>Albuquerque</t>
        </is>
      </c>
      <c r="AO153" t="inlineStr">
        <is>
          <t>87121</t>
        </is>
      </c>
      <c r="AP153" t="inlineStr">
        <is>
          <t>NM</t>
        </is>
      </c>
      <c r="AR153" t="inlineStr">
        <is>
          <t>1818 Shadetree Drive Southwest</t>
        </is>
      </c>
      <c r="AT153" t="inlineStr">
        <is>
          <t>Albuquerque</t>
        </is>
      </c>
      <c r="AU153" t="inlineStr">
        <is>
          <t>87121</t>
        </is>
      </c>
      <c r="AV153" t="inlineStr">
        <is>
          <t>NM</t>
        </is>
      </c>
      <c r="BB153" t="inlineStr">
        <is>
          <t>16/03/2025</t>
        </is>
      </c>
    </row>
    <row r="154" ht="15" customHeight="1" s="86">
      <c r="C154" t="inlineStr">
        <is>
          <t>Antonio</t>
        </is>
      </c>
      <c r="D154" t="inlineStr">
        <is>
          <t>P</t>
        </is>
      </c>
      <c r="E154" t="inlineStr">
        <is>
          <t>Nunez</t>
        </is>
      </c>
      <c r="G154" t="inlineStr">
        <is>
          <t>18/03/1984</t>
        </is>
      </c>
      <c r="H154" t="inlineStr">
        <is>
          <t>Not Specified</t>
        </is>
      </c>
      <c r="I154" t="inlineStr">
        <is>
          <t>525712855</t>
        </is>
      </c>
      <c r="K154" t="inlineStr">
        <is>
          <t>D5T3ZNU4S</t>
        </is>
      </c>
      <c r="M154" t="inlineStr">
        <is>
          <t>16/03/2025</t>
        </is>
      </c>
      <c r="N154" t="inlineStr">
        <is>
          <t>08/12/2025</t>
        </is>
      </c>
      <c r="R154" t="inlineStr">
        <is>
          <t>Hourly</t>
        </is>
      </c>
      <c r="X154" t="inlineStr">
        <is>
          <t>21.65</t>
        </is>
      </c>
      <c r="AF154" t="inlineStr">
        <is>
          <t>Non-exempt</t>
        </is>
      </c>
      <c r="AJ154" t="inlineStr">
        <is>
          <t>antoniopnunez1323@gmail.com</t>
        </is>
      </c>
      <c r="AL154" t="inlineStr">
        <is>
          <t>1818 Shadetree Drive Southwest</t>
        </is>
      </c>
      <c r="AN154" t="inlineStr">
        <is>
          <t>Albuquerque</t>
        </is>
      </c>
      <c r="AO154" t="inlineStr">
        <is>
          <t>87121</t>
        </is>
      </c>
      <c r="AP154" t="inlineStr">
        <is>
          <t>NM</t>
        </is>
      </c>
      <c r="AR154" t="inlineStr">
        <is>
          <t>1818 Shadetree Drive Southwest</t>
        </is>
      </c>
      <c r="AT154" t="inlineStr">
        <is>
          <t>Albuquerque</t>
        </is>
      </c>
      <c r="AU154" t="inlineStr">
        <is>
          <t>87121</t>
        </is>
      </c>
      <c r="AV154" t="inlineStr">
        <is>
          <t>NM</t>
        </is>
      </c>
      <c r="BB154" t="inlineStr">
        <is>
          <t>16/03/2025</t>
        </is>
      </c>
      <c r="BD154" t="inlineStr">
        <is>
          <t>Z4Y55Y33Y</t>
        </is>
      </c>
    </row>
    <row r="155" ht="15" customHeight="1" s="86">
      <c r="C155" t="inlineStr">
        <is>
          <t>Margaret</t>
        </is>
      </c>
      <c r="D155" t="inlineStr">
        <is>
          <t>L</t>
        </is>
      </c>
      <c r="E155" t="inlineStr">
        <is>
          <t>Sandoval</t>
        </is>
      </c>
      <c r="G155" t="inlineStr">
        <is>
          <t>02/04/1996</t>
        </is>
      </c>
      <c r="H155" t="inlineStr">
        <is>
          <t>Not Specified</t>
        </is>
      </c>
      <c r="I155" t="inlineStr">
        <is>
          <t>648097362</t>
        </is>
      </c>
      <c r="K155" t="inlineStr">
        <is>
          <t>D6OCSFKN7</t>
        </is>
      </c>
      <c r="M155" t="inlineStr">
        <is>
          <t>25/02/2025</t>
        </is>
      </c>
      <c r="N155" t="inlineStr">
        <is>
          <t>15/03/2025</t>
        </is>
      </c>
      <c r="R155" t="inlineStr">
        <is>
          <t>Hourly</t>
        </is>
      </c>
      <c r="X155" t="inlineStr">
        <is>
          <t>41</t>
        </is>
      </c>
      <c r="AF155" t="inlineStr">
        <is>
          <t>Non-exempt</t>
        </is>
      </c>
      <c r="AI155" t="inlineStr">
        <is>
          <t>sandovalm.remson@gmail.com</t>
        </is>
      </c>
      <c r="AJ155" t="inlineStr">
        <is>
          <t>sandovalm.remson@gmail.com</t>
        </is>
      </c>
      <c r="AL155" t="inlineStr">
        <is>
          <t>1436 Sunset Road Southwest</t>
        </is>
      </c>
      <c r="AN155" t="inlineStr">
        <is>
          <t>Albuquerque</t>
        </is>
      </c>
      <c r="AO155" t="inlineStr">
        <is>
          <t>87105</t>
        </is>
      </c>
      <c r="AP155" t="inlineStr">
        <is>
          <t>NM</t>
        </is>
      </c>
      <c r="AR155" t="inlineStr">
        <is>
          <t>1436 Sunset Road Southwest</t>
        </is>
      </c>
      <c r="AT155" t="inlineStr">
        <is>
          <t>Albuquerque</t>
        </is>
      </c>
      <c r="AU155" t="inlineStr">
        <is>
          <t>87105</t>
        </is>
      </c>
      <c r="AV155" t="inlineStr">
        <is>
          <t>NM</t>
        </is>
      </c>
      <c r="BB155" t="inlineStr">
        <is>
          <t>25/02/2025</t>
        </is>
      </c>
      <c r="BD155" t="inlineStr">
        <is>
          <t>DZWKT8LKB</t>
        </is>
      </c>
    </row>
    <row r="156" ht="15" customHeight="1" s="86">
      <c r="C156" t="inlineStr">
        <is>
          <t>Kalia</t>
        </is>
      </c>
      <c r="E156" t="inlineStr">
        <is>
          <t>Hattie</t>
        </is>
      </c>
      <c r="G156" t="inlineStr">
        <is>
          <t>01/07/1997</t>
        </is>
      </c>
      <c r="H156" t="inlineStr">
        <is>
          <t>Female</t>
        </is>
      </c>
      <c r="I156" t="inlineStr">
        <is>
          <t>648129816</t>
        </is>
      </c>
      <c r="J156" t="inlineStr">
        <is>
          <t>No</t>
        </is>
      </c>
      <c r="K156" t="inlineStr">
        <is>
          <t>DAFQICXL7</t>
        </is>
      </c>
      <c r="M156" t="inlineStr">
        <is>
          <t>26/10/2023</t>
        </is>
      </c>
      <c r="N156" t="inlineStr">
        <is>
          <t>06/09/2025</t>
        </is>
      </c>
      <c r="R156" t="inlineStr">
        <is>
          <t>Hourly</t>
        </is>
      </c>
      <c r="X156" t="inlineStr">
        <is>
          <t>42.68</t>
        </is>
      </c>
      <c r="AF156" t="inlineStr">
        <is>
          <t>Non-exempt</t>
        </is>
      </c>
      <c r="AJ156" t="inlineStr">
        <is>
          <t>Khattie.remson@gmail.com</t>
        </is>
      </c>
      <c r="AL156" t="inlineStr">
        <is>
          <t>Besselente Dr #3</t>
        </is>
      </c>
      <c r="AN156" t="inlineStr">
        <is>
          <t>Zuni</t>
        </is>
      </c>
      <c r="AO156" t="inlineStr">
        <is>
          <t>87327</t>
        </is>
      </c>
      <c r="AP156" t="inlineStr">
        <is>
          <t>NM</t>
        </is>
      </c>
      <c r="AR156" t="inlineStr">
        <is>
          <t>Besselente Dr #3</t>
        </is>
      </c>
      <c r="AT156" t="inlineStr">
        <is>
          <t>Zuni</t>
        </is>
      </c>
      <c r="AU156" t="inlineStr">
        <is>
          <t>87327</t>
        </is>
      </c>
      <c r="AV156" t="inlineStr">
        <is>
          <t>NM</t>
        </is>
      </c>
      <c r="BB156" t="inlineStr">
        <is>
          <t>26/10/2023</t>
        </is>
      </c>
      <c r="BD156" t="inlineStr">
        <is>
          <t>DZWKT8LKB</t>
        </is>
      </c>
    </row>
    <row r="157" ht="15" customHeight="1" s="86">
      <c r="C157" t="inlineStr">
        <is>
          <t>Alejandro</t>
        </is>
      </c>
      <c r="E157" t="inlineStr">
        <is>
          <t>Medina</t>
        </is>
      </c>
      <c r="G157" t="inlineStr">
        <is>
          <t>10/06/1996</t>
        </is>
      </c>
      <c r="H157" t="inlineStr">
        <is>
          <t>Not Specified</t>
        </is>
      </c>
      <c r="I157" t="inlineStr">
        <is>
          <t>649091934</t>
        </is>
      </c>
      <c r="K157" t="inlineStr">
        <is>
          <t>DHR4LZM43</t>
        </is>
      </c>
      <c r="M157" t="inlineStr">
        <is>
          <t>02/09/2025</t>
        </is>
      </c>
      <c r="R157" t="inlineStr">
        <is>
          <t>Hourly</t>
        </is>
      </c>
      <c r="X157" t="inlineStr">
        <is>
          <t>21.5</t>
        </is>
      </c>
      <c r="AF157" t="inlineStr">
        <is>
          <t>Non-exempt</t>
        </is>
      </c>
      <c r="AJ157" t="inlineStr">
        <is>
          <t>remson.medina@gmail.com</t>
        </is>
      </c>
      <c r="AL157" t="inlineStr">
        <is>
          <t>1032 93rd Street Southwest</t>
        </is>
      </c>
      <c r="AN157" t="inlineStr">
        <is>
          <t>Albuquerque</t>
        </is>
      </c>
      <c r="AO157" t="inlineStr">
        <is>
          <t>87121</t>
        </is>
      </c>
      <c r="AP157" t="inlineStr">
        <is>
          <t>NM</t>
        </is>
      </c>
      <c r="AR157" t="inlineStr">
        <is>
          <t>1032 93rd Street Southwest</t>
        </is>
      </c>
      <c r="AT157" t="inlineStr">
        <is>
          <t>Albuquerque</t>
        </is>
      </c>
      <c r="AU157" t="inlineStr">
        <is>
          <t>87121</t>
        </is>
      </c>
      <c r="AV157" t="inlineStr">
        <is>
          <t>NM</t>
        </is>
      </c>
      <c r="BB157" t="inlineStr">
        <is>
          <t>02/09/2025</t>
        </is>
      </c>
    </row>
    <row r="158" ht="15" customHeight="1" s="86">
      <c r="C158" t="inlineStr">
        <is>
          <t>Alejandro</t>
        </is>
      </c>
      <c r="E158" t="inlineStr">
        <is>
          <t>Medina</t>
        </is>
      </c>
      <c r="G158" t="inlineStr">
        <is>
          <t>10/06/1996</t>
        </is>
      </c>
      <c r="H158" t="inlineStr">
        <is>
          <t>Not Specified</t>
        </is>
      </c>
      <c r="I158" t="inlineStr">
        <is>
          <t>649091934</t>
        </is>
      </c>
      <c r="K158" t="inlineStr">
        <is>
          <t>DHR4LZM43</t>
        </is>
      </c>
      <c r="M158" t="inlineStr">
        <is>
          <t>02/09/2025</t>
        </is>
      </c>
      <c r="N158" t="inlineStr">
        <is>
          <t>08/12/2025</t>
        </is>
      </c>
      <c r="R158" t="inlineStr">
        <is>
          <t>Hourly</t>
        </is>
      </c>
      <c r="X158" t="inlineStr">
        <is>
          <t>21.5</t>
        </is>
      </c>
      <c r="AF158" t="inlineStr">
        <is>
          <t>Non-exempt</t>
        </is>
      </c>
      <c r="AJ158" t="inlineStr">
        <is>
          <t>remson.medina@gmail.com</t>
        </is>
      </c>
      <c r="AL158" t="inlineStr">
        <is>
          <t>1032 93rd Street Southwest</t>
        </is>
      </c>
      <c r="AN158" t="inlineStr">
        <is>
          <t>Albuquerque</t>
        </is>
      </c>
      <c r="AO158" t="inlineStr">
        <is>
          <t>87121</t>
        </is>
      </c>
      <c r="AP158" t="inlineStr">
        <is>
          <t>NM</t>
        </is>
      </c>
      <c r="AR158" t="inlineStr">
        <is>
          <t>1032 93rd Street Southwest</t>
        </is>
      </c>
      <c r="AT158" t="inlineStr">
        <is>
          <t>Albuquerque</t>
        </is>
      </c>
      <c r="AU158" t="inlineStr">
        <is>
          <t>87121</t>
        </is>
      </c>
      <c r="AV158" t="inlineStr">
        <is>
          <t>NM</t>
        </is>
      </c>
      <c r="BB158" t="inlineStr">
        <is>
          <t>02/09/2025</t>
        </is>
      </c>
      <c r="BD158" t="inlineStr">
        <is>
          <t>Z4Y55Y33Y</t>
        </is>
      </c>
    </row>
    <row r="159" ht="15" customHeight="1" s="86">
      <c r="C159" t="inlineStr">
        <is>
          <t>Rebecca</t>
        </is>
      </c>
      <c r="D159" t="inlineStr">
        <is>
          <t>A</t>
        </is>
      </c>
      <c r="E159" t="inlineStr">
        <is>
          <t>Molloy</t>
        </is>
      </c>
      <c r="G159" t="inlineStr">
        <is>
          <t>30/06/1990</t>
        </is>
      </c>
      <c r="H159" t="inlineStr">
        <is>
          <t>Not Specified</t>
        </is>
      </c>
      <c r="I159" t="inlineStr">
        <is>
          <t>611587326</t>
        </is>
      </c>
      <c r="K159" t="inlineStr">
        <is>
          <t>DJLYVT03K</t>
        </is>
      </c>
      <c r="M159" t="inlineStr">
        <is>
          <t>21/04/2025</t>
        </is>
      </c>
      <c r="R159" t="inlineStr">
        <is>
          <t>Hourly</t>
        </is>
      </c>
      <c r="X159" t="inlineStr">
        <is>
          <t>21.65</t>
        </is>
      </c>
      <c r="AF159" t="inlineStr">
        <is>
          <t>Non-exempt</t>
        </is>
      </c>
      <c r="AJ159" t="inlineStr">
        <is>
          <t>rmolloy.remson@gmail.com</t>
        </is>
      </c>
      <c r="AL159" t="inlineStr">
        <is>
          <t>115 Conchas Street Northeast</t>
        </is>
      </c>
      <c r="AM159" t="inlineStr">
        <is>
          <t>apartment b</t>
        </is>
      </c>
      <c r="AN159" t="inlineStr">
        <is>
          <t>Albuquerque</t>
        </is>
      </c>
      <c r="AO159" t="inlineStr">
        <is>
          <t>87123</t>
        </is>
      </c>
      <c r="AP159" t="inlineStr">
        <is>
          <t>NM</t>
        </is>
      </c>
      <c r="AR159" t="inlineStr">
        <is>
          <t>115 Conchas Street Northeast</t>
        </is>
      </c>
      <c r="AS159" t="inlineStr">
        <is>
          <t>apartment b</t>
        </is>
      </c>
      <c r="AT159" t="inlineStr">
        <is>
          <t>Albuquerque</t>
        </is>
      </c>
      <c r="AU159" t="inlineStr">
        <is>
          <t>87123</t>
        </is>
      </c>
      <c r="AV159" t="inlineStr">
        <is>
          <t>NM</t>
        </is>
      </c>
      <c r="BB159" t="inlineStr">
        <is>
          <t>21/04/2025</t>
        </is>
      </c>
    </row>
    <row r="160" ht="15" customHeight="1" s="86">
      <c r="C160" t="inlineStr">
        <is>
          <t>Rebecca</t>
        </is>
      </c>
      <c r="D160" t="inlineStr">
        <is>
          <t>A</t>
        </is>
      </c>
      <c r="E160" t="inlineStr">
        <is>
          <t>Molloy</t>
        </is>
      </c>
      <c r="G160" t="inlineStr">
        <is>
          <t>30/06/1990</t>
        </is>
      </c>
      <c r="H160" t="inlineStr">
        <is>
          <t>Not Specified</t>
        </is>
      </c>
      <c r="I160" t="inlineStr">
        <is>
          <t>611587326</t>
        </is>
      </c>
      <c r="K160" t="inlineStr">
        <is>
          <t>DJLYVT03K</t>
        </is>
      </c>
      <c r="M160" t="inlineStr">
        <is>
          <t>21/04/2025</t>
        </is>
      </c>
      <c r="N160" t="inlineStr">
        <is>
          <t>08/12/2025</t>
        </is>
      </c>
      <c r="R160" t="inlineStr">
        <is>
          <t>Hourly</t>
        </is>
      </c>
      <c r="X160" t="inlineStr">
        <is>
          <t>21.65</t>
        </is>
      </c>
      <c r="AF160" t="inlineStr">
        <is>
          <t>Non-exempt</t>
        </is>
      </c>
      <c r="AJ160" t="inlineStr">
        <is>
          <t>rmolloy.remson@gmail.com</t>
        </is>
      </c>
      <c r="AL160" t="inlineStr">
        <is>
          <t>115 Conchas Street Northeast</t>
        </is>
      </c>
      <c r="AM160" t="inlineStr">
        <is>
          <t>apartment b</t>
        </is>
      </c>
      <c r="AN160" t="inlineStr">
        <is>
          <t>Albuquerque</t>
        </is>
      </c>
      <c r="AO160" t="inlineStr">
        <is>
          <t>87123</t>
        </is>
      </c>
      <c r="AP160" t="inlineStr">
        <is>
          <t>NM</t>
        </is>
      </c>
      <c r="AR160" t="inlineStr">
        <is>
          <t>115 Conchas Street Northeast</t>
        </is>
      </c>
      <c r="AS160" t="inlineStr">
        <is>
          <t>apartment b</t>
        </is>
      </c>
      <c r="AT160" t="inlineStr">
        <is>
          <t>Albuquerque</t>
        </is>
      </c>
      <c r="AU160" t="inlineStr">
        <is>
          <t>87123</t>
        </is>
      </c>
      <c r="AV160" t="inlineStr">
        <is>
          <t>NM</t>
        </is>
      </c>
      <c r="BB160" t="inlineStr">
        <is>
          <t>21/04/2025</t>
        </is>
      </c>
      <c r="BD160" t="inlineStr">
        <is>
          <t>Z4Y55Y33Y</t>
        </is>
      </c>
    </row>
    <row r="161" ht="15" customHeight="1" s="86">
      <c r="C161" t="inlineStr">
        <is>
          <t>Amber</t>
        </is>
      </c>
      <c r="E161" t="inlineStr">
        <is>
          <t>Lyman</t>
        </is>
      </c>
      <c r="G161" t="inlineStr">
        <is>
          <t>25/08/1986</t>
        </is>
      </c>
      <c r="H161" t="inlineStr">
        <is>
          <t>Female</t>
        </is>
      </c>
      <c r="I161" t="inlineStr">
        <is>
          <t>601565695</t>
        </is>
      </c>
      <c r="J161" t="inlineStr">
        <is>
          <t>No</t>
        </is>
      </c>
      <c r="K161" t="inlineStr">
        <is>
          <t>DM75Q2NNZ</t>
        </is>
      </c>
      <c r="M161" t="inlineStr">
        <is>
          <t>18/01/2025</t>
        </is>
      </c>
      <c r="R161" t="inlineStr">
        <is>
          <t>Hourly</t>
        </is>
      </c>
      <c r="X161" t="inlineStr">
        <is>
          <t>21.65</t>
        </is>
      </c>
      <c r="AF161" t="inlineStr">
        <is>
          <t>Non-exempt</t>
        </is>
      </c>
      <c r="AJ161" t="inlineStr">
        <is>
          <t>alyman.remson@gmail.com</t>
        </is>
      </c>
      <c r="AL161" t="inlineStr">
        <is>
          <t>5708 Eastern Ave</t>
        </is>
      </c>
      <c r="AM161" t="inlineStr">
        <is>
          <t>Unit 12</t>
        </is>
      </c>
      <c r="AN161" t="inlineStr">
        <is>
          <t>Albuquerque</t>
        </is>
      </c>
      <c r="AO161" t="inlineStr">
        <is>
          <t>87108</t>
        </is>
      </c>
      <c r="AP161" t="inlineStr">
        <is>
          <t>NM</t>
        </is>
      </c>
      <c r="AR161" t="inlineStr">
        <is>
          <t>5708 Eastern Ave</t>
        </is>
      </c>
      <c r="AS161" t="inlineStr">
        <is>
          <t>Unit 12</t>
        </is>
      </c>
      <c r="AT161" t="inlineStr">
        <is>
          <t>Albuquerque</t>
        </is>
      </c>
      <c r="AU161" t="inlineStr">
        <is>
          <t>87108</t>
        </is>
      </c>
      <c r="AV161" t="inlineStr">
        <is>
          <t>NM</t>
        </is>
      </c>
      <c r="BB161" t="inlineStr">
        <is>
          <t>18/01/2025</t>
        </is>
      </c>
    </row>
    <row r="162" ht="15" customHeight="1" s="86">
      <c r="C162" t="inlineStr">
        <is>
          <t>Amber</t>
        </is>
      </c>
      <c r="E162" t="inlineStr">
        <is>
          <t>Lyman</t>
        </is>
      </c>
      <c r="G162" t="inlineStr">
        <is>
          <t>25/08/1986</t>
        </is>
      </c>
      <c r="H162" t="inlineStr">
        <is>
          <t>Female</t>
        </is>
      </c>
      <c r="I162" t="inlineStr">
        <is>
          <t>601565695</t>
        </is>
      </c>
      <c r="J162" t="inlineStr">
        <is>
          <t>No</t>
        </is>
      </c>
      <c r="K162" t="inlineStr">
        <is>
          <t>DM75Q2NNZ</t>
        </is>
      </c>
      <c r="M162" t="inlineStr">
        <is>
          <t>18/01/2025</t>
        </is>
      </c>
      <c r="N162" t="inlineStr">
        <is>
          <t>08/12/2025</t>
        </is>
      </c>
      <c r="R162" t="inlineStr">
        <is>
          <t>Hourly</t>
        </is>
      </c>
      <c r="X162" t="inlineStr">
        <is>
          <t>21.65</t>
        </is>
      </c>
      <c r="AF162" t="inlineStr">
        <is>
          <t>Non-exempt</t>
        </is>
      </c>
      <c r="AJ162" t="inlineStr">
        <is>
          <t>alyman.remson@gmail.com</t>
        </is>
      </c>
      <c r="AL162" t="inlineStr">
        <is>
          <t>5708 Eastern Ave</t>
        </is>
      </c>
      <c r="AM162" t="inlineStr">
        <is>
          <t>Unit 12</t>
        </is>
      </c>
      <c r="AN162" t="inlineStr">
        <is>
          <t>Albuquerque</t>
        </is>
      </c>
      <c r="AO162" t="inlineStr">
        <is>
          <t>87108</t>
        </is>
      </c>
      <c r="AP162" t="inlineStr">
        <is>
          <t>NM</t>
        </is>
      </c>
      <c r="AR162" t="inlineStr">
        <is>
          <t>5708 Eastern Ave</t>
        </is>
      </c>
      <c r="AS162" t="inlineStr">
        <is>
          <t>Unit 12</t>
        </is>
      </c>
      <c r="AT162" t="inlineStr">
        <is>
          <t>Albuquerque</t>
        </is>
      </c>
      <c r="AU162" t="inlineStr">
        <is>
          <t>87108</t>
        </is>
      </c>
      <c r="AV162" t="inlineStr">
        <is>
          <t>NM</t>
        </is>
      </c>
      <c r="BB162" t="inlineStr">
        <is>
          <t>18/01/2025</t>
        </is>
      </c>
      <c r="BD162" t="inlineStr">
        <is>
          <t>Z4Y55Y33Y</t>
        </is>
      </c>
    </row>
    <row r="163" ht="15" customHeight="1" s="86">
      <c r="C163" t="inlineStr">
        <is>
          <t>Jessica</t>
        </is>
      </c>
      <c r="E163" t="inlineStr">
        <is>
          <t>Gutierrez</t>
        </is>
      </c>
      <c r="G163" t="inlineStr">
        <is>
          <t>14/09/1978</t>
        </is>
      </c>
      <c r="H163" t="inlineStr">
        <is>
          <t>Female</t>
        </is>
      </c>
      <c r="I163" t="inlineStr">
        <is>
          <t>525498127</t>
        </is>
      </c>
      <c r="J163" t="inlineStr">
        <is>
          <t>No</t>
        </is>
      </c>
      <c r="K163" t="inlineStr">
        <is>
          <t>DP1PSXRX8</t>
        </is>
      </c>
      <c r="M163" t="inlineStr">
        <is>
          <t>07/01/2025</t>
        </is>
      </c>
      <c r="R163" t="inlineStr">
        <is>
          <t>Hourly</t>
        </is>
      </c>
      <c r="X163" t="inlineStr">
        <is>
          <t>21.65</t>
        </is>
      </c>
      <c r="AF163" t="inlineStr">
        <is>
          <t>Non-exempt</t>
        </is>
      </c>
      <c r="AJ163" t="inlineStr">
        <is>
          <t>dgutierrez.remson@gmail.com</t>
        </is>
      </c>
      <c r="AL163" t="inlineStr">
        <is>
          <t>16 Cliffrose Trl</t>
        </is>
      </c>
      <c r="AN163" t="inlineStr">
        <is>
          <t>Los Lunas</t>
        </is>
      </c>
      <c r="AO163" t="inlineStr">
        <is>
          <t>87031</t>
        </is>
      </c>
      <c r="AP163" t="inlineStr">
        <is>
          <t>NM</t>
        </is>
      </c>
      <c r="AR163" t="inlineStr">
        <is>
          <t>16 Cliffrose Trl</t>
        </is>
      </c>
      <c r="AT163" t="inlineStr">
        <is>
          <t>Los Lunas</t>
        </is>
      </c>
      <c r="AU163" t="inlineStr">
        <is>
          <t>87031</t>
        </is>
      </c>
      <c r="AV163" t="inlineStr">
        <is>
          <t>NM</t>
        </is>
      </c>
      <c r="BB163" t="inlineStr">
        <is>
          <t>07/01/2025</t>
        </is>
      </c>
    </row>
    <row r="164" ht="15" customHeight="1" s="86">
      <c r="C164" t="inlineStr">
        <is>
          <t>Jessica</t>
        </is>
      </c>
      <c r="E164" t="inlineStr">
        <is>
          <t>Gutierrez</t>
        </is>
      </c>
      <c r="G164" t="inlineStr">
        <is>
          <t>14/09/1978</t>
        </is>
      </c>
      <c r="H164" t="inlineStr">
        <is>
          <t>Female</t>
        </is>
      </c>
      <c r="I164" t="inlineStr">
        <is>
          <t>525498127</t>
        </is>
      </c>
      <c r="J164" t="inlineStr">
        <is>
          <t>No</t>
        </is>
      </c>
      <c r="K164" t="inlineStr">
        <is>
          <t>DP1PSXRX8</t>
        </is>
      </c>
      <c r="M164" t="inlineStr">
        <is>
          <t>07/01/2025</t>
        </is>
      </c>
      <c r="N164" t="inlineStr">
        <is>
          <t>08/12/2025</t>
        </is>
      </c>
      <c r="R164" t="inlineStr">
        <is>
          <t>Hourly</t>
        </is>
      </c>
      <c r="X164" t="inlineStr">
        <is>
          <t>21.65</t>
        </is>
      </c>
      <c r="AF164" t="inlineStr">
        <is>
          <t>Non-exempt</t>
        </is>
      </c>
      <c r="AJ164" t="inlineStr">
        <is>
          <t>dgutierrez.remson@gmail.com</t>
        </is>
      </c>
      <c r="AL164" t="inlineStr">
        <is>
          <t>16 Cliffrose Trl</t>
        </is>
      </c>
      <c r="AN164" t="inlineStr">
        <is>
          <t>Los Lunas</t>
        </is>
      </c>
      <c r="AO164" t="inlineStr">
        <is>
          <t>87031</t>
        </is>
      </c>
      <c r="AP164" t="inlineStr">
        <is>
          <t>NM</t>
        </is>
      </c>
      <c r="AR164" t="inlineStr">
        <is>
          <t>16 Cliffrose Trl</t>
        </is>
      </c>
      <c r="AT164" t="inlineStr">
        <is>
          <t>Los Lunas</t>
        </is>
      </c>
      <c r="AU164" t="inlineStr">
        <is>
          <t>87031</t>
        </is>
      </c>
      <c r="AV164" t="inlineStr">
        <is>
          <t>NM</t>
        </is>
      </c>
      <c r="BB164" t="inlineStr">
        <is>
          <t>07/01/2025</t>
        </is>
      </c>
      <c r="BD164" t="inlineStr">
        <is>
          <t>Z4Y55Y33Y</t>
        </is>
      </c>
    </row>
    <row r="165" ht="15" customHeight="1" s="86">
      <c r="C165" t="inlineStr">
        <is>
          <t>Stephanie</t>
        </is>
      </c>
      <c r="E165" t="inlineStr">
        <is>
          <t>Brown</t>
        </is>
      </c>
      <c r="G165" t="inlineStr">
        <is>
          <t>05/11/1991</t>
        </is>
      </c>
      <c r="H165" t="inlineStr">
        <is>
          <t>Female</t>
        </is>
      </c>
      <c r="I165" t="inlineStr">
        <is>
          <t>525938283</t>
        </is>
      </c>
      <c r="J165" t="inlineStr">
        <is>
          <t>No</t>
        </is>
      </c>
      <c r="K165" t="inlineStr">
        <is>
          <t>DPG8G5W4U</t>
        </is>
      </c>
      <c r="M165" t="inlineStr">
        <is>
          <t>01/09/2024</t>
        </is>
      </c>
      <c r="N165" t="inlineStr">
        <is>
          <t>09/03/2025</t>
        </is>
      </c>
      <c r="R165" t="inlineStr">
        <is>
          <t>Hourly</t>
        </is>
      </c>
      <c r="X165" t="inlineStr">
        <is>
          <t>41.3</t>
        </is>
      </c>
      <c r="AF165" t="inlineStr">
        <is>
          <t>Non-exempt</t>
        </is>
      </c>
      <c r="AI165" t="inlineStr">
        <is>
          <t>sbrown.remson@gmail.com</t>
        </is>
      </c>
      <c r="AJ165" t="inlineStr">
        <is>
          <t>sbrown.remson@gmail.com</t>
        </is>
      </c>
      <c r="AL165" t="inlineStr">
        <is>
          <t>248 56Th St Nw</t>
        </is>
      </c>
      <c r="AN165" t="inlineStr">
        <is>
          <t>Albuquerque</t>
        </is>
      </c>
      <c r="AO165" t="inlineStr">
        <is>
          <t>87105</t>
        </is>
      </c>
      <c r="AP165" t="inlineStr">
        <is>
          <t>NM</t>
        </is>
      </c>
      <c r="AR165" t="inlineStr">
        <is>
          <t>248 56Th St Nw</t>
        </is>
      </c>
      <c r="AT165" t="inlineStr">
        <is>
          <t>Albuquerque</t>
        </is>
      </c>
      <c r="AU165" t="inlineStr">
        <is>
          <t>87105</t>
        </is>
      </c>
      <c r="AV165" t="inlineStr">
        <is>
          <t>NM</t>
        </is>
      </c>
      <c r="BB165" t="inlineStr">
        <is>
          <t>01/09/2024</t>
        </is>
      </c>
    </row>
    <row r="166" ht="15" customHeight="1" s="86">
      <c r="C166" t="inlineStr">
        <is>
          <t>Juan</t>
        </is>
      </c>
      <c r="D166" t="inlineStr">
        <is>
          <t>C</t>
        </is>
      </c>
      <c r="E166" t="inlineStr">
        <is>
          <t>Caraveo</t>
        </is>
      </c>
      <c r="G166" t="inlineStr">
        <is>
          <t>31/12/2003</t>
        </is>
      </c>
      <c r="H166" t="inlineStr">
        <is>
          <t>Male</t>
        </is>
      </c>
      <c r="I166" t="inlineStr">
        <is>
          <t>649325708</t>
        </is>
      </c>
      <c r="K166" t="inlineStr">
        <is>
          <t>DXQ2HPFM6</t>
        </is>
      </c>
      <c r="M166" t="inlineStr">
        <is>
          <t>05/02/2025</t>
        </is>
      </c>
      <c r="R166" t="inlineStr">
        <is>
          <t>Hourly</t>
        </is>
      </c>
      <c r="X166" t="inlineStr">
        <is>
          <t>21.65</t>
        </is>
      </c>
      <c r="AF166" t="inlineStr">
        <is>
          <t>Non-exempt</t>
        </is>
      </c>
      <c r="AI166" t="inlineStr">
        <is>
          <t>Caraveocarlitos@gmail.com</t>
        </is>
      </c>
      <c r="AJ166" t="inlineStr">
        <is>
          <t>jcaraveo.remson@gmail.com</t>
        </is>
      </c>
      <c r="AL166" t="inlineStr">
        <is>
          <t>1319 15TH ST NW</t>
        </is>
      </c>
      <c r="AN166" t="inlineStr">
        <is>
          <t>ALBUQUERQUE</t>
        </is>
      </c>
      <c r="AO166" t="inlineStr">
        <is>
          <t>87104</t>
        </is>
      </c>
      <c r="AP166" t="inlineStr">
        <is>
          <t>NM</t>
        </is>
      </c>
      <c r="AR166" t="inlineStr">
        <is>
          <t>1319 15TH ST NW</t>
        </is>
      </c>
      <c r="AT166" t="inlineStr">
        <is>
          <t>ALBUQUERQUE</t>
        </is>
      </c>
      <c r="AU166" t="inlineStr">
        <is>
          <t>87104</t>
        </is>
      </c>
      <c r="AV166" t="inlineStr">
        <is>
          <t>NM</t>
        </is>
      </c>
      <c r="BB166" t="inlineStr">
        <is>
          <t>05/02/2025</t>
        </is>
      </c>
    </row>
    <row r="167" ht="15" customHeight="1" s="86">
      <c r="C167" t="inlineStr">
        <is>
          <t>Juan</t>
        </is>
      </c>
      <c r="D167" t="inlineStr">
        <is>
          <t>C</t>
        </is>
      </c>
      <c r="E167" t="inlineStr">
        <is>
          <t>Caraveo</t>
        </is>
      </c>
      <c r="G167" t="inlineStr">
        <is>
          <t>31/12/2003</t>
        </is>
      </c>
      <c r="H167" t="inlineStr">
        <is>
          <t>Male</t>
        </is>
      </c>
      <c r="I167" t="inlineStr">
        <is>
          <t>649325708</t>
        </is>
      </c>
      <c r="K167" t="inlineStr">
        <is>
          <t>DXQ2HPFM6</t>
        </is>
      </c>
      <c r="M167" t="inlineStr">
        <is>
          <t>05/02/2025</t>
        </is>
      </c>
      <c r="N167" t="inlineStr">
        <is>
          <t>08/12/2025</t>
        </is>
      </c>
      <c r="R167" t="inlineStr">
        <is>
          <t>Hourly</t>
        </is>
      </c>
      <c r="X167" t="inlineStr">
        <is>
          <t>21.65</t>
        </is>
      </c>
      <c r="AF167" t="inlineStr">
        <is>
          <t>Non-exempt</t>
        </is>
      </c>
      <c r="AI167" t="inlineStr">
        <is>
          <t>Caraveocarlitos@gmail.com</t>
        </is>
      </c>
      <c r="AJ167" t="inlineStr">
        <is>
          <t>jcaraveo.remson@gmail.com</t>
        </is>
      </c>
      <c r="AL167" t="inlineStr">
        <is>
          <t>1319 15TH ST NW</t>
        </is>
      </c>
      <c r="AN167" t="inlineStr">
        <is>
          <t>ALBUQUERQUE</t>
        </is>
      </c>
      <c r="AO167" t="inlineStr">
        <is>
          <t>87104</t>
        </is>
      </c>
      <c r="AP167" t="inlineStr">
        <is>
          <t>NM</t>
        </is>
      </c>
      <c r="AR167" t="inlineStr">
        <is>
          <t>1319 15TH ST NW</t>
        </is>
      </c>
      <c r="AT167" t="inlineStr">
        <is>
          <t>ALBUQUERQUE</t>
        </is>
      </c>
      <c r="AU167" t="inlineStr">
        <is>
          <t>87104</t>
        </is>
      </c>
      <c r="AV167" t="inlineStr">
        <is>
          <t>NM</t>
        </is>
      </c>
      <c r="BB167" t="inlineStr">
        <is>
          <t>05/02/2025</t>
        </is>
      </c>
      <c r="BD167" t="inlineStr">
        <is>
          <t>Z4Y55Y33Y</t>
        </is>
      </c>
    </row>
    <row r="168" ht="15" customHeight="1" s="86">
      <c r="C168" t="inlineStr">
        <is>
          <t>Dominic</t>
        </is>
      </c>
      <c r="E168" t="inlineStr">
        <is>
          <t>Enriquez</t>
        </is>
      </c>
      <c r="G168" t="inlineStr">
        <is>
          <t>19/05/1999</t>
        </is>
      </c>
      <c r="H168" t="inlineStr">
        <is>
          <t>Male</t>
        </is>
      </c>
      <c r="I168" t="inlineStr">
        <is>
          <t>648187744</t>
        </is>
      </c>
      <c r="J168" t="inlineStr">
        <is>
          <t>No</t>
        </is>
      </c>
      <c r="K168" t="inlineStr">
        <is>
          <t>DXTK5ROD8</t>
        </is>
      </c>
      <c r="M168" t="inlineStr">
        <is>
          <t>05/11/2024</t>
        </is>
      </c>
      <c r="N168" t="inlineStr">
        <is>
          <t>12/04/2025</t>
        </is>
      </c>
      <c r="R168" t="inlineStr">
        <is>
          <t>Hourly</t>
        </is>
      </c>
      <c r="X168" t="inlineStr">
        <is>
          <t>41.3</t>
        </is>
      </c>
      <c r="AF168" t="inlineStr">
        <is>
          <t>Non-exempt</t>
        </is>
      </c>
      <c r="AI168" t="inlineStr">
        <is>
          <t>denriquez.remson@gmail.com</t>
        </is>
      </c>
      <c r="AJ168" t="inlineStr">
        <is>
          <t>denriquez.remson@gmail.com</t>
        </is>
      </c>
      <c r="AL168" t="inlineStr">
        <is>
          <t>1918 Tierra De La Luna Dr Sw</t>
        </is>
      </c>
      <c r="AN168" t="inlineStr">
        <is>
          <t>Albuquerque</t>
        </is>
      </c>
      <c r="AO168" t="inlineStr">
        <is>
          <t>87121</t>
        </is>
      </c>
      <c r="AP168" t="inlineStr">
        <is>
          <t>NM</t>
        </is>
      </c>
      <c r="AR168" t="inlineStr">
        <is>
          <t>1918 Tierra De La Luna Dr Sw</t>
        </is>
      </c>
      <c r="AT168" t="inlineStr">
        <is>
          <t>Albuquerque</t>
        </is>
      </c>
      <c r="AU168" t="inlineStr">
        <is>
          <t>87121</t>
        </is>
      </c>
      <c r="AV168" t="inlineStr">
        <is>
          <t>NM</t>
        </is>
      </c>
      <c r="BB168" t="inlineStr">
        <is>
          <t>05/11/2024</t>
        </is>
      </c>
    </row>
    <row r="169" ht="15" customHeight="1" s="86">
      <c r="C169" t="inlineStr">
        <is>
          <t>Santiago</t>
        </is>
      </c>
      <c r="E169" t="inlineStr">
        <is>
          <t>Molina</t>
        </is>
      </c>
      <c r="G169" t="inlineStr">
        <is>
          <t>03/05/2002</t>
        </is>
      </c>
      <c r="H169" t="inlineStr">
        <is>
          <t>Male</t>
        </is>
      </c>
      <c r="I169" t="inlineStr">
        <is>
          <t>648282589</t>
        </is>
      </c>
      <c r="J169" t="inlineStr">
        <is>
          <t>No</t>
        </is>
      </c>
      <c r="K169" t="inlineStr">
        <is>
          <t>DY69VSOSL</t>
        </is>
      </c>
      <c r="M169" t="inlineStr">
        <is>
          <t>20/10/2024</t>
        </is>
      </c>
      <c r="N169" t="inlineStr">
        <is>
          <t>21/03/2025</t>
        </is>
      </c>
      <c r="R169" t="inlineStr">
        <is>
          <t>Hourly</t>
        </is>
      </c>
      <c r="X169" t="inlineStr">
        <is>
          <t>41.3</t>
        </is>
      </c>
      <c r="AF169" t="inlineStr">
        <is>
          <t>Non-exempt</t>
        </is>
      </c>
      <c r="AI169" t="inlineStr">
        <is>
          <t>smolina.remson@gmail.com</t>
        </is>
      </c>
      <c r="AJ169" t="inlineStr">
        <is>
          <t>smolina.remson@gmail.com</t>
        </is>
      </c>
      <c r="AL169" t="inlineStr">
        <is>
          <t>2804 20Th Street Nw 87104</t>
        </is>
      </c>
      <c r="AN169" t="inlineStr">
        <is>
          <t>Albuquerque</t>
        </is>
      </c>
      <c r="AO169" t="inlineStr">
        <is>
          <t>87104</t>
        </is>
      </c>
      <c r="AP169" t="inlineStr">
        <is>
          <t>NM</t>
        </is>
      </c>
      <c r="AR169" t="inlineStr">
        <is>
          <t>2804 20Th Street Nw 87104</t>
        </is>
      </c>
      <c r="AT169" t="inlineStr">
        <is>
          <t>Albuquerque</t>
        </is>
      </c>
      <c r="AU169" t="inlineStr">
        <is>
          <t>87104</t>
        </is>
      </c>
      <c r="AV169" t="inlineStr">
        <is>
          <t>NM</t>
        </is>
      </c>
      <c r="BB169" t="inlineStr">
        <is>
          <t>20/10/2024</t>
        </is>
      </c>
    </row>
    <row r="170" ht="15" customHeight="1" s="86">
      <c r="C170" t="inlineStr">
        <is>
          <t>Christine</t>
        </is>
      </c>
      <c r="E170" t="inlineStr">
        <is>
          <t>Remson</t>
        </is>
      </c>
      <c r="G170" t="inlineStr">
        <is>
          <t>18/05/1971</t>
        </is>
      </c>
      <c r="H170" t="inlineStr">
        <is>
          <t>Female</t>
        </is>
      </c>
      <c r="I170" t="inlineStr">
        <is>
          <t>458778150</t>
        </is>
      </c>
      <c r="J170" t="inlineStr">
        <is>
          <t>No</t>
        </is>
      </c>
      <c r="K170" t="inlineStr">
        <is>
          <t>DZWKT8LKB</t>
        </is>
      </c>
      <c r="M170" t="inlineStr">
        <is>
          <t>22/09/2023</t>
        </is>
      </c>
      <c r="R170" t="inlineStr">
        <is>
          <t>Salary</t>
        </is>
      </c>
      <c r="U170" t="inlineStr">
        <is>
          <t>78000</t>
        </is>
      </c>
      <c r="X170" t="n">
        <v>0</v>
      </c>
      <c r="AF170" t="inlineStr">
        <is>
          <t>Exempt</t>
        </is>
      </c>
      <c r="AJ170" t="inlineStr">
        <is>
          <t>remsondeliveries@gmail.com</t>
        </is>
      </c>
      <c r="AL170" t="inlineStr">
        <is>
          <t>5110 S Danube St</t>
        </is>
      </c>
      <c r="AN170" t="inlineStr">
        <is>
          <t>Centennial</t>
        </is>
      </c>
      <c r="AO170" t="inlineStr">
        <is>
          <t>80015</t>
        </is>
      </c>
      <c r="AP170" t="inlineStr">
        <is>
          <t>CO</t>
        </is>
      </c>
      <c r="AR170" t="inlineStr">
        <is>
          <t>5110 S Danube St</t>
        </is>
      </c>
      <c r="AT170" t="inlineStr">
        <is>
          <t>Centennial</t>
        </is>
      </c>
      <c r="AU170" t="inlineStr">
        <is>
          <t>80015</t>
        </is>
      </c>
      <c r="AV170" t="inlineStr">
        <is>
          <t>CO</t>
        </is>
      </c>
      <c r="BB170" t="inlineStr">
        <is>
          <t>22/09/2023</t>
        </is>
      </c>
    </row>
    <row r="171" ht="15" customHeight="1" s="86">
      <c r="C171" t="inlineStr">
        <is>
          <t>Christine</t>
        </is>
      </c>
      <c r="E171" t="inlineStr">
        <is>
          <t>Remson</t>
        </is>
      </c>
      <c r="G171" t="inlineStr">
        <is>
          <t>18/05/1971</t>
        </is>
      </c>
      <c r="H171" t="inlineStr">
        <is>
          <t>Female</t>
        </is>
      </c>
      <c r="I171" t="inlineStr">
        <is>
          <t>458778150</t>
        </is>
      </c>
      <c r="J171" t="inlineStr">
        <is>
          <t>No</t>
        </is>
      </c>
      <c r="K171" t="inlineStr">
        <is>
          <t>DZWKT8LKB</t>
        </is>
      </c>
      <c r="M171" t="inlineStr">
        <is>
          <t>22/09/2023</t>
        </is>
      </c>
      <c r="N171" t="inlineStr">
        <is>
          <t>08/12/2025</t>
        </is>
      </c>
      <c r="R171" t="inlineStr">
        <is>
          <t>Salary</t>
        </is>
      </c>
      <c r="U171" t="inlineStr">
        <is>
          <t>78000</t>
        </is>
      </c>
      <c r="X171" t="n">
        <v>0</v>
      </c>
      <c r="AF171" t="inlineStr">
        <is>
          <t>Exempt</t>
        </is>
      </c>
      <c r="AJ171" t="inlineStr">
        <is>
          <t>remsondeliveries@gmail.com</t>
        </is>
      </c>
      <c r="AL171" t="inlineStr">
        <is>
          <t>5110 S Danube St</t>
        </is>
      </c>
      <c r="AN171" t="inlineStr">
        <is>
          <t>Centennial</t>
        </is>
      </c>
      <c r="AO171" t="inlineStr">
        <is>
          <t>80015</t>
        </is>
      </c>
      <c r="AP171" t="inlineStr">
        <is>
          <t>CO</t>
        </is>
      </c>
      <c r="AR171" t="inlineStr">
        <is>
          <t>5110 S Danube St</t>
        </is>
      </c>
      <c r="AT171" t="inlineStr">
        <is>
          <t>Centennial</t>
        </is>
      </c>
      <c r="AU171" t="inlineStr">
        <is>
          <t>80015</t>
        </is>
      </c>
      <c r="AV171" t="inlineStr">
        <is>
          <t>CO</t>
        </is>
      </c>
      <c r="BB171" t="inlineStr">
        <is>
          <t>22/09/2023</t>
        </is>
      </c>
    </row>
    <row r="172" ht="15" customHeight="1" s="86">
      <c r="C172" t="inlineStr">
        <is>
          <t>Jeremiah</t>
        </is>
      </c>
      <c r="D172" t="inlineStr">
        <is>
          <t>M</t>
        </is>
      </c>
      <c r="E172" t="inlineStr">
        <is>
          <t>Hall</t>
        </is>
      </c>
      <c r="G172" t="inlineStr">
        <is>
          <t>08/01/2005</t>
        </is>
      </c>
      <c r="H172" t="inlineStr">
        <is>
          <t>Not Specified</t>
        </is>
      </c>
      <c r="I172" t="inlineStr">
        <is>
          <t>649361478</t>
        </is>
      </c>
      <c r="K172" t="inlineStr">
        <is>
          <t>EDK5WX1LC</t>
        </is>
      </c>
      <c r="M172" t="inlineStr">
        <is>
          <t>02/02/2026</t>
        </is>
      </c>
      <c r="R172" t="inlineStr">
        <is>
          <t>Hourly</t>
        </is>
      </c>
      <c r="X172" t="inlineStr">
        <is>
          <t>21.5</t>
        </is>
      </c>
      <c r="AF172" t="inlineStr">
        <is>
          <t>Non-exempt</t>
        </is>
      </c>
      <c r="AI172" t="inlineStr">
        <is>
          <t>jhall.remson@gmail.com</t>
        </is>
      </c>
      <c r="AJ172" t="inlineStr">
        <is>
          <t>jhall.remson@gmail.com</t>
        </is>
      </c>
      <c r="AL172" t="inlineStr">
        <is>
          <t>5705 Fairfax dr nw</t>
        </is>
      </c>
      <c r="AN172" t="inlineStr">
        <is>
          <t>Albuquerque</t>
        </is>
      </c>
      <c r="AO172" t="inlineStr">
        <is>
          <t>87114</t>
        </is>
      </c>
      <c r="AP172" t="inlineStr">
        <is>
          <t>NM</t>
        </is>
      </c>
      <c r="AR172" t="inlineStr">
        <is>
          <t>5705 Fairfax dr nw</t>
        </is>
      </c>
      <c r="AT172" t="inlineStr">
        <is>
          <t>Albuquerque</t>
        </is>
      </c>
      <c r="AU172" t="inlineStr">
        <is>
          <t>87114</t>
        </is>
      </c>
      <c r="AV172" t="inlineStr">
        <is>
          <t>NM</t>
        </is>
      </c>
      <c r="BB172" t="inlineStr">
        <is>
          <t>02/02/2026</t>
        </is>
      </c>
      <c r="BD172" t="inlineStr">
        <is>
          <t>Z4Y55Y33Y</t>
        </is>
      </c>
    </row>
    <row r="173" ht="15" customHeight="1" s="86">
      <c r="C173" t="inlineStr">
        <is>
          <t>Jordan</t>
        </is>
      </c>
      <c r="E173" t="inlineStr">
        <is>
          <t>Proveaux</t>
        </is>
      </c>
      <c r="G173" t="inlineStr">
        <is>
          <t>01/04/1998</t>
        </is>
      </c>
      <c r="H173" t="inlineStr">
        <is>
          <t>Male</t>
        </is>
      </c>
      <c r="I173" t="inlineStr">
        <is>
          <t>649143092</t>
        </is>
      </c>
      <c r="J173" t="inlineStr">
        <is>
          <t>No</t>
        </is>
      </c>
      <c r="K173" t="inlineStr">
        <is>
          <t>ENOQWPR00</t>
        </is>
      </c>
      <c r="M173" t="inlineStr">
        <is>
          <t>15/06/2025</t>
        </is>
      </c>
      <c r="R173" t="inlineStr">
        <is>
          <t>Hourly</t>
        </is>
      </c>
      <c r="X173" t="inlineStr">
        <is>
          <t>22.05</t>
        </is>
      </c>
      <c r="AF173" t="inlineStr">
        <is>
          <t>Non-exempt</t>
        </is>
      </c>
      <c r="AJ173" t="inlineStr">
        <is>
          <t>jordanpremson@gmail.com</t>
        </is>
      </c>
      <c r="AL173" t="inlineStr">
        <is>
          <t>8905 Sawgrass Pl Nw</t>
        </is>
      </c>
      <c r="AN173" t="inlineStr">
        <is>
          <t>Albuquerque</t>
        </is>
      </c>
      <c r="AO173" t="inlineStr">
        <is>
          <t>87121</t>
        </is>
      </c>
      <c r="AP173" t="inlineStr">
        <is>
          <t>NM</t>
        </is>
      </c>
      <c r="AR173" t="inlineStr">
        <is>
          <t>8905 Sawgrass Pl Nw</t>
        </is>
      </c>
      <c r="AT173" t="inlineStr">
        <is>
          <t>Albuquerque</t>
        </is>
      </c>
      <c r="AU173" t="inlineStr">
        <is>
          <t>87121</t>
        </is>
      </c>
      <c r="AV173" t="inlineStr">
        <is>
          <t>NM</t>
        </is>
      </c>
      <c r="BB173" t="inlineStr">
        <is>
          <t>08/05/2024</t>
        </is>
      </c>
    </row>
    <row r="174" ht="15" customHeight="1" s="86">
      <c r="C174" t="inlineStr">
        <is>
          <t>Jordan</t>
        </is>
      </c>
      <c r="E174" t="inlineStr">
        <is>
          <t>Proveaux</t>
        </is>
      </c>
      <c r="G174" t="inlineStr">
        <is>
          <t>01/04/1998</t>
        </is>
      </c>
      <c r="H174" t="inlineStr">
        <is>
          <t>Male</t>
        </is>
      </c>
      <c r="I174" t="inlineStr">
        <is>
          <t>649143092</t>
        </is>
      </c>
      <c r="J174" t="inlineStr">
        <is>
          <t>No</t>
        </is>
      </c>
      <c r="K174" t="inlineStr">
        <is>
          <t>ENOQWPR00</t>
        </is>
      </c>
      <c r="M174" t="inlineStr">
        <is>
          <t>15/06/2025</t>
        </is>
      </c>
      <c r="N174" t="inlineStr">
        <is>
          <t>08/12/2025</t>
        </is>
      </c>
      <c r="R174" t="inlineStr">
        <is>
          <t>Hourly</t>
        </is>
      </c>
      <c r="X174" t="inlineStr">
        <is>
          <t>22.05</t>
        </is>
      </c>
      <c r="AF174" t="inlineStr">
        <is>
          <t>Non-exempt</t>
        </is>
      </c>
      <c r="AJ174" t="inlineStr">
        <is>
          <t>jordanpremson@gmail.com</t>
        </is>
      </c>
      <c r="AL174" t="inlineStr">
        <is>
          <t>8905 Sawgrass Pl Nw</t>
        </is>
      </c>
      <c r="AN174" t="inlineStr">
        <is>
          <t>Albuquerque</t>
        </is>
      </c>
      <c r="AO174" t="inlineStr">
        <is>
          <t>87121</t>
        </is>
      </c>
      <c r="AP174" t="inlineStr">
        <is>
          <t>NM</t>
        </is>
      </c>
      <c r="AR174" t="inlineStr">
        <is>
          <t>8905 Sawgrass Pl Nw</t>
        </is>
      </c>
      <c r="AT174" t="inlineStr">
        <is>
          <t>Albuquerque</t>
        </is>
      </c>
      <c r="AU174" t="inlineStr">
        <is>
          <t>87121</t>
        </is>
      </c>
      <c r="AV174" t="inlineStr">
        <is>
          <t>NM</t>
        </is>
      </c>
      <c r="BB174" t="inlineStr">
        <is>
          <t>08/05/2024</t>
        </is>
      </c>
      <c r="BD174" t="inlineStr">
        <is>
          <t>Z4Y55Y33Y</t>
        </is>
      </c>
    </row>
    <row r="175" ht="15" customHeight="1" s="86">
      <c r="C175" t="inlineStr">
        <is>
          <t>Marcus</t>
        </is>
      </c>
      <c r="E175" t="inlineStr">
        <is>
          <t>Sandoval Vanderpol</t>
        </is>
      </c>
      <c r="G175" t="inlineStr">
        <is>
          <t>10/10/1996</t>
        </is>
      </c>
      <c r="H175" t="inlineStr">
        <is>
          <t>Not Specified</t>
        </is>
      </c>
      <c r="I175" t="inlineStr">
        <is>
          <t>648107206</t>
        </is>
      </c>
      <c r="K175" t="inlineStr">
        <is>
          <t>EU401602S</t>
        </is>
      </c>
      <c r="M175" t="inlineStr">
        <is>
          <t>25/10/2024</t>
        </is>
      </c>
      <c r="N175" t="inlineStr">
        <is>
          <t>28/12/2024</t>
        </is>
      </c>
      <c r="R175" t="inlineStr">
        <is>
          <t>Hourly</t>
        </is>
      </c>
      <c r="X175" t="inlineStr">
        <is>
          <t>20.5</t>
        </is>
      </c>
      <c r="AF175" t="inlineStr">
        <is>
          <t>Non-exempt</t>
        </is>
      </c>
      <c r="AI175" t="inlineStr">
        <is>
          <t>mvanderpol.remson@gmail.com</t>
        </is>
      </c>
      <c r="AJ175" t="inlineStr">
        <is>
          <t>mvanderpol.remson@gmail.com</t>
        </is>
      </c>
      <c r="AL175" t="inlineStr">
        <is>
          <t>808 Headingly Ave Nw</t>
        </is>
      </c>
      <c r="AN175" t="inlineStr">
        <is>
          <t>Albuquerque</t>
        </is>
      </c>
      <c r="AO175" t="inlineStr">
        <is>
          <t>87107</t>
        </is>
      </c>
      <c r="AP175" t="inlineStr">
        <is>
          <t>NM</t>
        </is>
      </c>
      <c r="AR175" t="inlineStr">
        <is>
          <t>808 Headingly Ave Nw</t>
        </is>
      </c>
      <c r="AT175" t="inlineStr">
        <is>
          <t>Albuquerque</t>
        </is>
      </c>
      <c r="AU175" t="inlineStr">
        <is>
          <t>87107</t>
        </is>
      </c>
      <c r="AV175" t="inlineStr">
        <is>
          <t>NM</t>
        </is>
      </c>
      <c r="BB175" t="inlineStr">
        <is>
          <t>25/10/2024</t>
        </is>
      </c>
    </row>
    <row r="176" ht="15" customHeight="1" s="86">
      <c r="C176" t="inlineStr">
        <is>
          <t>Jeffery</t>
        </is>
      </c>
      <c r="D176" t="inlineStr">
        <is>
          <t>K</t>
        </is>
      </c>
      <c r="E176" t="inlineStr">
        <is>
          <t>Swain</t>
        </is>
      </c>
      <c r="G176" t="inlineStr">
        <is>
          <t>30/12/1988</t>
        </is>
      </c>
      <c r="H176" t="inlineStr">
        <is>
          <t>Not Specified</t>
        </is>
      </c>
      <c r="I176" t="inlineStr">
        <is>
          <t>525796996</t>
        </is>
      </c>
      <c r="K176" t="inlineStr">
        <is>
          <t>EUZFED1IX</t>
        </is>
      </c>
      <c r="M176" t="inlineStr">
        <is>
          <t>28/04/2025</t>
        </is>
      </c>
      <c r="N176" t="inlineStr">
        <is>
          <t>15/05/2025</t>
        </is>
      </c>
      <c r="R176" t="inlineStr">
        <is>
          <t>Hourly</t>
        </is>
      </c>
      <c r="X176" t="inlineStr">
        <is>
          <t>41</t>
        </is>
      </c>
      <c r="AF176" t="inlineStr">
        <is>
          <t>Non-exempt</t>
        </is>
      </c>
      <c r="AI176" t="inlineStr">
        <is>
          <t>jswain.remson@gmail.com</t>
        </is>
      </c>
      <c r="AJ176" t="inlineStr">
        <is>
          <t>jswain.remson@gmail.com</t>
        </is>
      </c>
      <c r="AL176" t="inlineStr">
        <is>
          <t>8911 Northeastern blvd ne</t>
        </is>
      </c>
      <c r="AM176" t="inlineStr">
        <is>
          <t>apt j106</t>
        </is>
      </c>
      <c r="AN176" t="inlineStr">
        <is>
          <t>Albuquerque</t>
        </is>
      </c>
      <c r="AO176" t="inlineStr">
        <is>
          <t>87112</t>
        </is>
      </c>
      <c r="AP176" t="inlineStr">
        <is>
          <t>NM</t>
        </is>
      </c>
      <c r="AR176" t="inlineStr">
        <is>
          <t>8911 Northeastern blvd ne</t>
        </is>
      </c>
      <c r="AS176" t="inlineStr">
        <is>
          <t>apt j106</t>
        </is>
      </c>
      <c r="AT176" t="inlineStr">
        <is>
          <t>Albuquerque</t>
        </is>
      </c>
      <c r="AU176" t="inlineStr">
        <is>
          <t>87112</t>
        </is>
      </c>
      <c r="AV176" t="inlineStr">
        <is>
          <t>NM</t>
        </is>
      </c>
      <c r="BB176" t="inlineStr">
        <is>
          <t>28/04/2025</t>
        </is>
      </c>
      <c r="BD176" t="inlineStr">
        <is>
          <t>DZWKT8LKB</t>
        </is>
      </c>
    </row>
    <row r="177" ht="15" customHeight="1" s="86">
      <c r="C177" t="inlineStr">
        <is>
          <t>John</t>
        </is>
      </c>
      <c r="E177" t="inlineStr">
        <is>
          <t>Anchondo</t>
        </is>
      </c>
      <c r="G177" t="inlineStr">
        <is>
          <t>08/03/1985</t>
        </is>
      </c>
      <c r="H177" t="inlineStr">
        <is>
          <t>Male</t>
        </is>
      </c>
      <c r="I177" t="inlineStr">
        <is>
          <t>621188630</t>
        </is>
      </c>
      <c r="J177" t="inlineStr">
        <is>
          <t>No</t>
        </is>
      </c>
      <c r="K177" t="inlineStr">
        <is>
          <t>F3J9P48ST</t>
        </is>
      </c>
      <c r="M177" t="inlineStr">
        <is>
          <t>24/11/2024</t>
        </is>
      </c>
      <c r="N177" t="inlineStr">
        <is>
          <t>11/10/2025</t>
        </is>
      </c>
      <c r="R177" t="inlineStr">
        <is>
          <t>Hourly</t>
        </is>
      </c>
      <c r="X177" t="inlineStr">
        <is>
          <t>21.65</t>
        </is>
      </c>
      <c r="AF177" t="inlineStr">
        <is>
          <t>Non-exempt</t>
        </is>
      </c>
      <c r="AI177" t="inlineStr">
        <is>
          <t>Johnanchondo21@gmail.com</t>
        </is>
      </c>
      <c r="AJ177" t="inlineStr">
        <is>
          <t>anchondoj1.remson@gmail.com</t>
        </is>
      </c>
      <c r="AL177" t="inlineStr">
        <is>
          <t>10209 Calle Hidalgo</t>
        </is>
      </c>
      <c r="AN177" t="inlineStr">
        <is>
          <t>Albuquerque</t>
        </is>
      </c>
      <c r="AO177" t="inlineStr">
        <is>
          <t>87114</t>
        </is>
      </c>
      <c r="AP177" t="inlineStr">
        <is>
          <t>NM</t>
        </is>
      </c>
      <c r="AR177" t="inlineStr">
        <is>
          <t>10209 Calle Hidalgo</t>
        </is>
      </c>
      <c r="AT177" t="inlineStr">
        <is>
          <t>Albuquerque</t>
        </is>
      </c>
      <c r="AU177" t="inlineStr">
        <is>
          <t>87114</t>
        </is>
      </c>
      <c r="AV177" t="inlineStr">
        <is>
          <t>NM</t>
        </is>
      </c>
      <c r="BB177" t="inlineStr">
        <is>
          <t>24/11/2024</t>
        </is>
      </c>
      <c r="BD177" t="inlineStr">
        <is>
          <t>Z4Y55Y33Y</t>
        </is>
      </c>
    </row>
    <row r="178" ht="15" customHeight="1" s="86">
      <c r="C178" t="inlineStr">
        <is>
          <t>John</t>
        </is>
      </c>
      <c r="E178" t="inlineStr">
        <is>
          <t>Anchondo</t>
        </is>
      </c>
      <c r="G178" t="inlineStr">
        <is>
          <t>08/03/1985</t>
        </is>
      </c>
      <c r="H178" t="inlineStr">
        <is>
          <t>Male</t>
        </is>
      </c>
      <c r="I178" t="inlineStr">
        <is>
          <t>621188630</t>
        </is>
      </c>
      <c r="J178" t="inlineStr">
        <is>
          <t>No</t>
        </is>
      </c>
      <c r="K178" t="inlineStr">
        <is>
          <t>F3J9P48ST</t>
        </is>
      </c>
      <c r="M178" t="inlineStr">
        <is>
          <t>24/11/2024</t>
        </is>
      </c>
      <c r="N178" t="inlineStr">
        <is>
          <t>11/10/2025</t>
        </is>
      </c>
      <c r="R178" t="inlineStr">
        <is>
          <t>Hourly</t>
        </is>
      </c>
      <c r="X178" t="inlineStr">
        <is>
          <t>21.65</t>
        </is>
      </c>
      <c r="AF178" t="inlineStr">
        <is>
          <t>Non-exempt</t>
        </is>
      </c>
      <c r="AI178" t="inlineStr">
        <is>
          <t>Johnanchondo21@gmail.com</t>
        </is>
      </c>
      <c r="AJ178" t="inlineStr">
        <is>
          <t>anchondoj1.remson@gmail.com</t>
        </is>
      </c>
      <c r="AL178" t="inlineStr">
        <is>
          <t>10209 Calle Hidalgo</t>
        </is>
      </c>
      <c r="AN178" t="inlineStr">
        <is>
          <t>Albuquerque</t>
        </is>
      </c>
      <c r="AO178" t="inlineStr">
        <is>
          <t>87114</t>
        </is>
      </c>
      <c r="AP178" t="inlineStr">
        <is>
          <t>NM</t>
        </is>
      </c>
      <c r="AR178" t="inlineStr">
        <is>
          <t>10209 Calle Hidalgo</t>
        </is>
      </c>
      <c r="AT178" t="inlineStr">
        <is>
          <t>Albuquerque</t>
        </is>
      </c>
      <c r="AU178" t="inlineStr">
        <is>
          <t>87114</t>
        </is>
      </c>
      <c r="AV178" t="inlineStr">
        <is>
          <t>NM</t>
        </is>
      </c>
      <c r="BB178" t="inlineStr">
        <is>
          <t>24/11/2024</t>
        </is>
      </c>
    </row>
    <row r="179" ht="15" customHeight="1" s="86">
      <c r="C179" t="inlineStr">
        <is>
          <t>Maria</t>
        </is>
      </c>
      <c r="D179" t="inlineStr">
        <is>
          <t>A</t>
        </is>
      </c>
      <c r="E179" t="inlineStr">
        <is>
          <t>Martinez</t>
        </is>
      </c>
      <c r="G179" t="inlineStr">
        <is>
          <t>22/05/1999</t>
        </is>
      </c>
      <c r="H179" t="inlineStr">
        <is>
          <t>Not Specified</t>
        </is>
      </c>
      <c r="I179" t="inlineStr">
        <is>
          <t>651104637</t>
        </is>
      </c>
      <c r="K179" t="inlineStr">
        <is>
          <t>FCFXPGF4P</t>
        </is>
      </c>
      <c r="M179" t="inlineStr">
        <is>
          <t>16/03/2025</t>
        </is>
      </c>
      <c r="R179" t="inlineStr">
        <is>
          <t>Hourly</t>
        </is>
      </c>
      <c r="X179" t="inlineStr">
        <is>
          <t>21.5</t>
        </is>
      </c>
      <c r="AF179" t="inlineStr">
        <is>
          <t>Non-exempt</t>
        </is>
      </c>
      <c r="AJ179" t="inlineStr">
        <is>
          <t>jm21.martinez.remson@gmail.com</t>
        </is>
      </c>
      <c r="AL179" t="inlineStr">
        <is>
          <t>919 Edith Blvd SE</t>
        </is>
      </c>
      <c r="AN179" t="inlineStr">
        <is>
          <t>Albuquerque</t>
        </is>
      </c>
      <c r="AO179" t="inlineStr">
        <is>
          <t>87102</t>
        </is>
      </c>
      <c r="AP179" t="inlineStr">
        <is>
          <t>NM</t>
        </is>
      </c>
      <c r="AR179" t="inlineStr">
        <is>
          <t>919 Edith Blvd SE</t>
        </is>
      </c>
      <c r="AT179" t="inlineStr">
        <is>
          <t>Albuquerque</t>
        </is>
      </c>
      <c r="AU179" t="inlineStr">
        <is>
          <t>87102</t>
        </is>
      </c>
      <c r="AV179" t="inlineStr">
        <is>
          <t>NM</t>
        </is>
      </c>
      <c r="BB179" t="inlineStr">
        <is>
          <t>16/03/2025</t>
        </is>
      </c>
    </row>
    <row r="180" ht="15" customHeight="1" s="86">
      <c r="C180" t="inlineStr">
        <is>
          <t>Maria</t>
        </is>
      </c>
      <c r="D180" t="inlineStr">
        <is>
          <t>A</t>
        </is>
      </c>
      <c r="E180" t="inlineStr">
        <is>
          <t>Martinez</t>
        </is>
      </c>
      <c r="G180" t="inlineStr">
        <is>
          <t>22/05/1999</t>
        </is>
      </c>
      <c r="H180" t="inlineStr">
        <is>
          <t>Not Specified</t>
        </is>
      </c>
      <c r="I180" t="inlineStr">
        <is>
          <t>651104637</t>
        </is>
      </c>
      <c r="K180" t="inlineStr">
        <is>
          <t>FCFXPGF4P</t>
        </is>
      </c>
      <c r="M180" t="inlineStr">
        <is>
          <t>16/03/2025</t>
        </is>
      </c>
      <c r="N180" t="inlineStr">
        <is>
          <t>08/12/2025</t>
        </is>
      </c>
      <c r="R180" t="inlineStr">
        <is>
          <t>Hourly</t>
        </is>
      </c>
      <c r="X180" t="inlineStr">
        <is>
          <t>21.5</t>
        </is>
      </c>
      <c r="AF180" t="inlineStr">
        <is>
          <t>Non-exempt</t>
        </is>
      </c>
      <c r="AJ180" t="inlineStr">
        <is>
          <t>jm21.martinez.remson@gmail.com</t>
        </is>
      </c>
      <c r="AL180" t="inlineStr">
        <is>
          <t>919 Edith Blvd SE</t>
        </is>
      </c>
      <c r="AN180" t="inlineStr">
        <is>
          <t>Albuquerque</t>
        </is>
      </c>
      <c r="AO180" t="inlineStr">
        <is>
          <t>87102</t>
        </is>
      </c>
      <c r="AP180" t="inlineStr">
        <is>
          <t>NM</t>
        </is>
      </c>
      <c r="AR180" t="inlineStr">
        <is>
          <t>919 Edith Blvd SE</t>
        </is>
      </c>
      <c r="AT180" t="inlineStr">
        <is>
          <t>Albuquerque</t>
        </is>
      </c>
      <c r="AU180" t="inlineStr">
        <is>
          <t>87102</t>
        </is>
      </c>
      <c r="AV180" t="inlineStr">
        <is>
          <t>NM</t>
        </is>
      </c>
      <c r="BB180" t="inlineStr">
        <is>
          <t>16/03/2025</t>
        </is>
      </c>
      <c r="BD180" t="inlineStr">
        <is>
          <t>Z4Y55Y33Y</t>
        </is>
      </c>
    </row>
    <row r="181" ht="15" customHeight="1" s="86">
      <c r="C181" t="inlineStr">
        <is>
          <t>Pierce</t>
        </is>
      </c>
      <c r="E181" t="inlineStr">
        <is>
          <t>Bruneau</t>
        </is>
      </c>
      <c r="G181" t="inlineStr">
        <is>
          <t>08/12/1997</t>
        </is>
      </c>
      <c r="H181" t="inlineStr">
        <is>
          <t>Not Specified</t>
        </is>
      </c>
      <c r="I181" t="inlineStr">
        <is>
          <t>648145860</t>
        </is>
      </c>
      <c r="K181" t="inlineStr">
        <is>
          <t>FFC2AWK31</t>
        </is>
      </c>
      <c r="M181" t="inlineStr">
        <is>
          <t>10/03/2025</t>
        </is>
      </c>
      <c r="N181" t="inlineStr">
        <is>
          <t>01/05/2025</t>
        </is>
      </c>
      <c r="R181" t="inlineStr">
        <is>
          <t>Hourly</t>
        </is>
      </c>
      <c r="X181" t="inlineStr">
        <is>
          <t>41</t>
        </is>
      </c>
      <c r="AF181" t="inlineStr">
        <is>
          <t>Non-exempt</t>
        </is>
      </c>
      <c r="AI181" t="inlineStr">
        <is>
          <t>pbruneau.remson@gmail.com</t>
        </is>
      </c>
      <c r="AJ181" t="inlineStr">
        <is>
          <t>pbruneau.remson@gmail.com</t>
        </is>
      </c>
      <c r="AL181" t="inlineStr">
        <is>
          <t>4401 Montgomery Boulevard Nort</t>
        </is>
      </c>
      <c r="AM181" t="inlineStr">
        <is>
          <t>W212</t>
        </is>
      </c>
      <c r="AN181" t="inlineStr">
        <is>
          <t>Albuquerque</t>
        </is>
      </c>
      <c r="AO181" t="inlineStr">
        <is>
          <t>87109</t>
        </is>
      </c>
      <c r="AP181" t="inlineStr">
        <is>
          <t>NM</t>
        </is>
      </c>
      <c r="AR181" t="inlineStr">
        <is>
          <t>4401 Montgomery Boulevard Nort</t>
        </is>
      </c>
      <c r="AS181" t="inlineStr">
        <is>
          <t>W212</t>
        </is>
      </c>
      <c r="AT181" t="inlineStr">
        <is>
          <t>Albuquerque</t>
        </is>
      </c>
      <c r="AU181" t="inlineStr">
        <is>
          <t>87109</t>
        </is>
      </c>
      <c r="AV181" t="inlineStr">
        <is>
          <t>NM</t>
        </is>
      </c>
      <c r="BB181" t="inlineStr">
        <is>
          <t>10/03/2025</t>
        </is>
      </c>
      <c r="BD181" t="inlineStr">
        <is>
          <t>DZWKT8LKB</t>
        </is>
      </c>
    </row>
    <row r="182" ht="15" customHeight="1" s="86">
      <c r="C182" t="inlineStr">
        <is>
          <t>Bryan</t>
        </is>
      </c>
      <c r="E182" t="inlineStr">
        <is>
          <t>Castillo Sanchez</t>
        </is>
      </c>
      <c r="G182" t="inlineStr">
        <is>
          <t>09/10/2003</t>
        </is>
      </c>
      <c r="H182" t="inlineStr">
        <is>
          <t>Not Specified</t>
        </is>
      </c>
      <c r="I182" t="inlineStr">
        <is>
          <t>649324689</t>
        </is>
      </c>
      <c r="K182" t="inlineStr">
        <is>
          <t>FIO5CUDX5</t>
        </is>
      </c>
      <c r="M182" t="inlineStr">
        <is>
          <t>20/05/2025</t>
        </is>
      </c>
      <c r="N182" t="inlineStr">
        <is>
          <t>30/08/2025</t>
        </is>
      </c>
      <c r="R182" t="inlineStr">
        <is>
          <t>Hourly</t>
        </is>
      </c>
      <c r="X182" t="inlineStr">
        <is>
          <t>41</t>
        </is>
      </c>
      <c r="AF182" t="inlineStr">
        <is>
          <t>Non-exempt</t>
        </is>
      </c>
      <c r="AJ182" t="inlineStr">
        <is>
          <t>bcastillo.remson@gmail.com</t>
        </is>
      </c>
      <c r="AL182" t="inlineStr">
        <is>
          <t>2633 Rushing Road Southwest</t>
        </is>
      </c>
      <c r="AN182" t="inlineStr">
        <is>
          <t>Albuquerque</t>
        </is>
      </c>
      <c r="AO182" t="inlineStr">
        <is>
          <t>87105</t>
        </is>
      </c>
      <c r="AP182" t="inlineStr">
        <is>
          <t>NM</t>
        </is>
      </c>
      <c r="AR182" t="inlineStr">
        <is>
          <t>2633 Rushing Road Southwest</t>
        </is>
      </c>
      <c r="AT182" t="inlineStr">
        <is>
          <t>Albuquerque</t>
        </is>
      </c>
      <c r="AU182" t="inlineStr">
        <is>
          <t>87105</t>
        </is>
      </c>
      <c r="AV182" t="inlineStr">
        <is>
          <t>NM</t>
        </is>
      </c>
      <c r="BB182" t="inlineStr">
        <is>
          <t>20/05/2025</t>
        </is>
      </c>
      <c r="BD182" t="inlineStr">
        <is>
          <t>DZWKT8LKB</t>
        </is>
      </c>
    </row>
    <row r="183" ht="15" customHeight="1" s="86">
      <c r="C183" t="inlineStr">
        <is>
          <t>Robert</t>
        </is>
      </c>
      <c r="E183" t="inlineStr">
        <is>
          <t>Slevin</t>
        </is>
      </c>
      <c r="G183" t="inlineStr">
        <is>
          <t>01/04/1985</t>
        </is>
      </c>
      <c r="H183" t="inlineStr">
        <is>
          <t>Male</t>
        </is>
      </c>
      <c r="I183" t="inlineStr">
        <is>
          <t>590804574</t>
        </is>
      </c>
      <c r="J183" t="inlineStr">
        <is>
          <t>No</t>
        </is>
      </c>
      <c r="K183" t="inlineStr">
        <is>
          <t>FLAV1XPMG</t>
        </is>
      </c>
      <c r="M183" t="inlineStr">
        <is>
          <t>18/11/2024</t>
        </is>
      </c>
      <c r="N183" t="inlineStr">
        <is>
          <t>22/04/2025</t>
        </is>
      </c>
      <c r="R183" t="inlineStr">
        <is>
          <t>Hourly</t>
        </is>
      </c>
      <c r="X183" t="inlineStr">
        <is>
          <t>41.3</t>
        </is>
      </c>
      <c r="AF183" t="inlineStr">
        <is>
          <t>Non-exempt</t>
        </is>
      </c>
      <c r="AI183" t="inlineStr">
        <is>
          <t>rslevin.remson@gmail.com</t>
        </is>
      </c>
      <c r="AJ183" t="inlineStr">
        <is>
          <t>rslevin.remson@gmail.com</t>
        </is>
      </c>
      <c r="AL183" t="inlineStr">
        <is>
          <t>1401 Pennsylvania St Ne</t>
        </is>
      </c>
      <c r="AM183" t="inlineStr">
        <is>
          <t>2114</t>
        </is>
      </c>
      <c r="AN183" t="inlineStr">
        <is>
          <t>Albuquerque</t>
        </is>
      </c>
      <c r="AO183" t="inlineStr">
        <is>
          <t>87110</t>
        </is>
      </c>
      <c r="AP183" t="inlineStr">
        <is>
          <t>NM</t>
        </is>
      </c>
      <c r="AR183" t="inlineStr">
        <is>
          <t>1401 Pennsylvania St Ne</t>
        </is>
      </c>
      <c r="AS183" t="inlineStr">
        <is>
          <t>2114</t>
        </is>
      </c>
      <c r="AT183" t="inlineStr">
        <is>
          <t>Albuquerque</t>
        </is>
      </c>
      <c r="AU183" t="inlineStr">
        <is>
          <t>87110</t>
        </is>
      </c>
      <c r="AV183" t="inlineStr">
        <is>
          <t>NM</t>
        </is>
      </c>
      <c r="BB183" t="inlineStr">
        <is>
          <t>18/11/2024</t>
        </is>
      </c>
    </row>
    <row r="184" ht="15" customHeight="1" s="86">
      <c r="C184" t="inlineStr">
        <is>
          <t>Delilah</t>
        </is>
      </c>
      <c r="D184" t="inlineStr">
        <is>
          <t>R</t>
        </is>
      </c>
      <c r="E184" t="inlineStr">
        <is>
          <t>Herrera</t>
        </is>
      </c>
      <c r="G184" t="inlineStr">
        <is>
          <t>02/11/1989</t>
        </is>
      </c>
      <c r="H184" t="inlineStr">
        <is>
          <t>Female</t>
        </is>
      </c>
      <c r="I184" t="inlineStr">
        <is>
          <t>585830528</t>
        </is>
      </c>
      <c r="J184" t="inlineStr">
        <is>
          <t>No</t>
        </is>
      </c>
      <c r="K184" t="inlineStr">
        <is>
          <t>G9OBTR601</t>
        </is>
      </c>
      <c r="M184" t="inlineStr">
        <is>
          <t>04/10/2024</t>
        </is>
      </c>
      <c r="N184" t="inlineStr">
        <is>
          <t>19/01/2025</t>
        </is>
      </c>
      <c r="R184" t="inlineStr">
        <is>
          <t>Hourly</t>
        </is>
      </c>
      <c r="X184" t="inlineStr">
        <is>
          <t>41</t>
        </is>
      </c>
      <c r="AF184" t="inlineStr">
        <is>
          <t>Non-exempt</t>
        </is>
      </c>
      <c r="AI184" t="inlineStr">
        <is>
          <t>herrerad1.remson@gmail.com</t>
        </is>
      </c>
      <c r="AJ184" t="inlineStr">
        <is>
          <t>herrerad1.remson@gmail.com</t>
        </is>
      </c>
      <c r="AL184" t="inlineStr">
        <is>
          <t>8704 Benavides Ave Sw</t>
        </is>
      </c>
      <c r="AN184" t="inlineStr">
        <is>
          <t>Albuquerque</t>
        </is>
      </c>
      <c r="AO184" t="inlineStr">
        <is>
          <t>87121</t>
        </is>
      </c>
      <c r="AP184" t="inlineStr">
        <is>
          <t>NM</t>
        </is>
      </c>
      <c r="AR184" t="inlineStr">
        <is>
          <t>8704 Benavides Ave Sw</t>
        </is>
      </c>
      <c r="AT184" t="inlineStr">
        <is>
          <t>Albuquerque</t>
        </is>
      </c>
      <c r="AU184" t="inlineStr">
        <is>
          <t>87121</t>
        </is>
      </c>
      <c r="AV184" t="inlineStr">
        <is>
          <t>NM</t>
        </is>
      </c>
      <c r="BB184" t="inlineStr">
        <is>
          <t>04/10/2024</t>
        </is>
      </c>
    </row>
    <row r="185" ht="15" customHeight="1" s="86">
      <c r="C185" t="inlineStr">
        <is>
          <t>Odessa</t>
        </is>
      </c>
      <c r="E185" t="inlineStr">
        <is>
          <t>Waldrep</t>
        </is>
      </c>
      <c r="G185" t="inlineStr">
        <is>
          <t>06/11/1994</t>
        </is>
      </c>
      <c r="H185" t="inlineStr">
        <is>
          <t>Female</t>
        </is>
      </c>
      <c r="I185" t="inlineStr">
        <is>
          <t>649039951</t>
        </is>
      </c>
      <c r="J185" t="inlineStr">
        <is>
          <t>No</t>
        </is>
      </c>
      <c r="K185" t="inlineStr">
        <is>
          <t>GCNE74W3Q</t>
        </is>
      </c>
      <c r="M185" t="inlineStr">
        <is>
          <t>23/06/2024</t>
        </is>
      </c>
      <c r="N185" t="inlineStr">
        <is>
          <t>23/02/2025</t>
        </is>
      </c>
      <c r="R185" t="inlineStr">
        <is>
          <t>Hourly</t>
        </is>
      </c>
      <c r="X185" t="inlineStr">
        <is>
          <t>41.3</t>
        </is>
      </c>
      <c r="AF185" t="inlineStr">
        <is>
          <t>Non-exempt</t>
        </is>
      </c>
      <c r="AI185" t="inlineStr">
        <is>
          <t>owaldrep.remson@gmail.com</t>
        </is>
      </c>
      <c r="AJ185" t="inlineStr">
        <is>
          <t>owaldrep.remson@gmail.com</t>
        </is>
      </c>
      <c r="AL185" t="inlineStr">
        <is>
          <t>2300 Diamond Mesa Trl Sw</t>
        </is>
      </c>
      <c r="AM185" t="inlineStr">
        <is>
          <t>5802</t>
        </is>
      </c>
      <c r="AN185" t="inlineStr">
        <is>
          <t>Albuquerque</t>
        </is>
      </c>
      <c r="AO185" t="inlineStr">
        <is>
          <t>87121</t>
        </is>
      </c>
      <c r="AP185" t="inlineStr">
        <is>
          <t>NM</t>
        </is>
      </c>
      <c r="AR185" t="inlineStr">
        <is>
          <t>2300 Diamond Mesa Trl Sw</t>
        </is>
      </c>
      <c r="AS185" t="inlineStr">
        <is>
          <t>5802</t>
        </is>
      </c>
      <c r="AT185" t="inlineStr">
        <is>
          <t>Albuquerque</t>
        </is>
      </c>
      <c r="AU185" t="inlineStr">
        <is>
          <t>87121</t>
        </is>
      </c>
      <c r="AV185" t="inlineStr">
        <is>
          <t>NM</t>
        </is>
      </c>
      <c r="BB185" t="inlineStr">
        <is>
          <t>23/06/2024</t>
        </is>
      </c>
    </row>
    <row r="186" ht="15" customHeight="1" s="86">
      <c r="C186" t="inlineStr">
        <is>
          <t>William</t>
        </is>
      </c>
      <c r="D186" t="inlineStr">
        <is>
          <t>B</t>
        </is>
      </c>
      <c r="E186" t="inlineStr">
        <is>
          <t>Ireland</t>
        </is>
      </c>
      <c r="G186" t="inlineStr">
        <is>
          <t>04/07/1993</t>
        </is>
      </c>
      <c r="H186" t="inlineStr">
        <is>
          <t>Male</t>
        </is>
      </c>
      <c r="I186" t="inlineStr">
        <is>
          <t>609397893</t>
        </is>
      </c>
      <c r="J186" t="inlineStr">
        <is>
          <t>No</t>
        </is>
      </c>
      <c r="K186" t="inlineStr">
        <is>
          <t>GRJAAE4IC</t>
        </is>
      </c>
      <c r="M186" t="inlineStr">
        <is>
          <t>01/12/2024</t>
        </is>
      </c>
      <c r="N186" t="inlineStr">
        <is>
          <t>08/02/2025</t>
        </is>
      </c>
      <c r="R186" t="inlineStr">
        <is>
          <t>Hourly</t>
        </is>
      </c>
      <c r="X186" t="inlineStr">
        <is>
          <t>41</t>
        </is>
      </c>
      <c r="AF186" t="inlineStr">
        <is>
          <t>Non-exempt</t>
        </is>
      </c>
      <c r="AI186" t="inlineStr">
        <is>
          <t>Wireland.remson@gmail.com</t>
        </is>
      </c>
      <c r="AJ186" t="inlineStr">
        <is>
          <t>Wireland.remson@gmail.com</t>
        </is>
      </c>
      <c r="AL186" t="inlineStr">
        <is>
          <t>6901 Glen Rio Rd Nw</t>
        </is>
      </c>
      <c r="AM186" t="inlineStr">
        <is>
          <t>1126</t>
        </is>
      </c>
      <c r="AN186" t="inlineStr">
        <is>
          <t>Albuquerque</t>
        </is>
      </c>
      <c r="AO186" t="inlineStr">
        <is>
          <t>87121</t>
        </is>
      </c>
      <c r="AP186" t="inlineStr">
        <is>
          <t>NM</t>
        </is>
      </c>
      <c r="AR186" t="inlineStr">
        <is>
          <t>6901 Glen Rio Rd Nw</t>
        </is>
      </c>
      <c r="AS186" t="inlineStr">
        <is>
          <t>1126</t>
        </is>
      </c>
      <c r="AT186" t="inlineStr">
        <is>
          <t>Albuquerque</t>
        </is>
      </c>
      <c r="AU186" t="inlineStr">
        <is>
          <t>87121</t>
        </is>
      </c>
      <c r="AV186" t="inlineStr">
        <is>
          <t>NM</t>
        </is>
      </c>
      <c r="BB186" t="inlineStr">
        <is>
          <t>01/12/2024</t>
        </is>
      </c>
    </row>
    <row r="187" ht="15" customHeight="1" s="86">
      <c r="C187" t="inlineStr">
        <is>
          <t>Juan</t>
        </is>
      </c>
      <c r="D187" t="inlineStr">
        <is>
          <t>P</t>
        </is>
      </c>
      <c r="E187" t="inlineStr">
        <is>
          <t>Gaucin Munoz</t>
        </is>
      </c>
      <c r="G187" t="inlineStr">
        <is>
          <t>06/06/1980</t>
        </is>
      </c>
      <c r="H187" t="inlineStr">
        <is>
          <t>Male</t>
        </is>
      </c>
      <c r="I187" t="inlineStr">
        <is>
          <t>677811971</t>
        </is>
      </c>
      <c r="K187" t="inlineStr">
        <is>
          <t>GU3MEZR3K</t>
        </is>
      </c>
      <c r="M187" t="inlineStr">
        <is>
          <t>02/07/2025</t>
        </is>
      </c>
      <c r="N187" t="inlineStr">
        <is>
          <t>12/07/2025</t>
        </is>
      </c>
      <c r="R187" t="inlineStr">
        <is>
          <t>Hourly</t>
        </is>
      </c>
      <c r="X187" t="inlineStr">
        <is>
          <t>41</t>
        </is>
      </c>
      <c r="AF187" t="inlineStr">
        <is>
          <t>Non-exempt</t>
        </is>
      </c>
      <c r="AI187" t="inlineStr">
        <is>
          <t>jpaulo.remson@gmail.com</t>
        </is>
      </c>
      <c r="AJ187" t="inlineStr">
        <is>
          <t>jpaulo.remson@gmail.com</t>
        </is>
      </c>
      <c r="AL187" t="inlineStr">
        <is>
          <t>637 Grove Street Southeast</t>
        </is>
      </c>
      <c r="AM187" t="inlineStr">
        <is>
          <t>APT B</t>
        </is>
      </c>
      <c r="AN187" t="inlineStr">
        <is>
          <t>Albuquerque</t>
        </is>
      </c>
      <c r="AO187" t="inlineStr">
        <is>
          <t>87108</t>
        </is>
      </c>
      <c r="AP187" t="inlineStr">
        <is>
          <t>NM</t>
        </is>
      </c>
      <c r="AR187" t="inlineStr">
        <is>
          <t>637 Grove Street Southeast</t>
        </is>
      </c>
      <c r="AS187" t="inlineStr">
        <is>
          <t>APT B</t>
        </is>
      </c>
      <c r="AT187" t="inlineStr">
        <is>
          <t>Albuquerque</t>
        </is>
      </c>
      <c r="AU187" t="inlineStr">
        <is>
          <t>87108</t>
        </is>
      </c>
      <c r="AV187" t="inlineStr">
        <is>
          <t>NM</t>
        </is>
      </c>
      <c r="BB187" t="inlineStr">
        <is>
          <t>02/07/2025</t>
        </is>
      </c>
      <c r="BD187" t="inlineStr">
        <is>
          <t>Z4Y55Y33Y</t>
        </is>
      </c>
    </row>
    <row r="188" ht="15" customHeight="1" s="86">
      <c r="C188" t="inlineStr">
        <is>
          <t>Miguel</t>
        </is>
      </c>
      <c r="D188" t="inlineStr">
        <is>
          <t>A</t>
        </is>
      </c>
      <c r="E188" t="inlineStr">
        <is>
          <t>Garcia Zamora</t>
        </is>
      </c>
      <c r="G188" t="inlineStr">
        <is>
          <t>15/11/2002</t>
        </is>
      </c>
      <c r="H188" t="inlineStr">
        <is>
          <t>Not Specified</t>
        </is>
      </c>
      <c r="I188" t="inlineStr">
        <is>
          <t>648303089</t>
        </is>
      </c>
      <c r="K188" t="inlineStr">
        <is>
          <t>H26W9OQAP</t>
        </is>
      </c>
      <c r="M188" t="inlineStr">
        <is>
          <t>09/07/2025</t>
        </is>
      </c>
      <c r="N188" t="inlineStr">
        <is>
          <t>20/09/2025</t>
        </is>
      </c>
      <c r="R188" t="inlineStr">
        <is>
          <t>Hourly</t>
        </is>
      </c>
      <c r="X188" t="inlineStr">
        <is>
          <t>41</t>
        </is>
      </c>
      <c r="AF188" t="inlineStr">
        <is>
          <t>Non-exempt</t>
        </is>
      </c>
      <c r="AJ188" t="inlineStr">
        <is>
          <t>mgarciaa.remson@gmail.com</t>
        </is>
      </c>
      <c r="AL188" t="inlineStr">
        <is>
          <t>9819 Sun Mountain Tr Southwest</t>
        </is>
      </c>
      <c r="AN188" t="inlineStr">
        <is>
          <t>Albuquerque</t>
        </is>
      </c>
      <c r="AO188" t="inlineStr">
        <is>
          <t>87121</t>
        </is>
      </c>
      <c r="AP188" t="inlineStr">
        <is>
          <t>NM</t>
        </is>
      </c>
      <c r="AR188" t="inlineStr">
        <is>
          <t>9819 Sun Mountain Tr Southwest</t>
        </is>
      </c>
      <c r="AT188" t="inlineStr">
        <is>
          <t>Albuquerque</t>
        </is>
      </c>
      <c r="AU188" t="inlineStr">
        <is>
          <t>87121</t>
        </is>
      </c>
      <c r="AV188" t="inlineStr">
        <is>
          <t>NM</t>
        </is>
      </c>
      <c r="BB188" t="inlineStr">
        <is>
          <t>09/07/2025</t>
        </is>
      </c>
      <c r="BD188" t="inlineStr">
        <is>
          <t>Z4Y55Y33Y</t>
        </is>
      </c>
    </row>
    <row r="189" ht="15" customHeight="1" s="86">
      <c r="C189" t="inlineStr">
        <is>
          <t>Nicholas</t>
        </is>
      </c>
      <c r="E189" t="inlineStr">
        <is>
          <t>Morales</t>
        </is>
      </c>
      <c r="G189" t="inlineStr">
        <is>
          <t>06/06/2001</t>
        </is>
      </c>
      <c r="H189" t="inlineStr">
        <is>
          <t>Male</t>
        </is>
      </c>
      <c r="I189" t="inlineStr">
        <is>
          <t>649248389</t>
        </is>
      </c>
      <c r="J189" t="inlineStr">
        <is>
          <t>No</t>
        </is>
      </c>
      <c r="K189" t="inlineStr">
        <is>
          <t>H50W5IP07</t>
        </is>
      </c>
      <c r="M189" t="inlineStr">
        <is>
          <t>29/10/2024</t>
        </is>
      </c>
      <c r="N189" t="inlineStr">
        <is>
          <t>21/03/2025</t>
        </is>
      </c>
      <c r="R189" t="inlineStr">
        <is>
          <t>Hourly</t>
        </is>
      </c>
      <c r="X189" t="inlineStr">
        <is>
          <t>41.3</t>
        </is>
      </c>
      <c r="AF189" t="inlineStr">
        <is>
          <t>Non-exempt</t>
        </is>
      </c>
      <c r="AI189" t="inlineStr">
        <is>
          <t>nmorales.remson@gmail.com</t>
        </is>
      </c>
      <c r="AJ189" t="inlineStr">
        <is>
          <t>nicoalmapr@gmail.com</t>
        </is>
      </c>
      <c r="AL189" t="inlineStr">
        <is>
          <t>1304 Buena Vista Dr Se</t>
        </is>
      </c>
      <c r="AN189" t="inlineStr">
        <is>
          <t>Albuquerque</t>
        </is>
      </c>
      <c r="AO189" t="inlineStr">
        <is>
          <t>87106</t>
        </is>
      </c>
      <c r="AP189" t="inlineStr">
        <is>
          <t>NM</t>
        </is>
      </c>
      <c r="AR189" t="inlineStr">
        <is>
          <t>1304 Buena Vista Dr Se</t>
        </is>
      </c>
      <c r="AT189" t="inlineStr">
        <is>
          <t>Albuquerque</t>
        </is>
      </c>
      <c r="AU189" t="inlineStr">
        <is>
          <t>87106</t>
        </is>
      </c>
      <c r="AV189" t="inlineStr">
        <is>
          <t>NM</t>
        </is>
      </c>
      <c r="BB189" t="inlineStr">
        <is>
          <t>10/10/2023</t>
        </is>
      </c>
    </row>
    <row r="190" ht="15" customHeight="1" s="86">
      <c r="C190" t="inlineStr">
        <is>
          <t>Aaron</t>
        </is>
      </c>
      <c r="E190" t="inlineStr">
        <is>
          <t>Arvizo</t>
        </is>
      </c>
      <c r="G190" t="inlineStr">
        <is>
          <t>10/06/2004</t>
        </is>
      </c>
      <c r="H190" t="inlineStr">
        <is>
          <t>Not Specified</t>
        </is>
      </c>
      <c r="I190" t="inlineStr">
        <is>
          <t>649343842</t>
        </is>
      </c>
      <c r="K190" t="inlineStr">
        <is>
          <t>HFDF9CK4T</t>
        </is>
      </c>
      <c r="M190" t="inlineStr">
        <is>
          <t>14/08/2025</t>
        </is>
      </c>
      <c r="R190" t="inlineStr">
        <is>
          <t>Hourly</t>
        </is>
      </c>
      <c r="X190" t="inlineStr">
        <is>
          <t>21.65</t>
        </is>
      </c>
      <c r="AF190" t="inlineStr">
        <is>
          <t>Non-exempt</t>
        </is>
      </c>
      <c r="AJ190" t="inlineStr">
        <is>
          <t>aarvizo.remson@gmail.com</t>
        </is>
      </c>
      <c r="AL190" t="inlineStr">
        <is>
          <t>6201 Keyenta Place Northwest</t>
        </is>
      </c>
      <c r="AN190" t="inlineStr">
        <is>
          <t>Albuquerque</t>
        </is>
      </c>
      <c r="AO190" t="inlineStr">
        <is>
          <t>87120</t>
        </is>
      </c>
      <c r="AP190" t="inlineStr">
        <is>
          <t>NM</t>
        </is>
      </c>
      <c r="AR190" t="inlineStr">
        <is>
          <t>6201 Keyenta Place Northwest</t>
        </is>
      </c>
      <c r="AT190" t="inlineStr">
        <is>
          <t>Albuquerque</t>
        </is>
      </c>
      <c r="AU190" t="inlineStr">
        <is>
          <t>87120</t>
        </is>
      </c>
      <c r="AV190" t="inlineStr">
        <is>
          <t>NM</t>
        </is>
      </c>
      <c r="BB190" t="inlineStr">
        <is>
          <t>14/08/2025</t>
        </is>
      </c>
    </row>
    <row r="191" ht="15" customHeight="1" s="86">
      <c r="C191" t="inlineStr">
        <is>
          <t>Aaron</t>
        </is>
      </c>
      <c r="E191" t="inlineStr">
        <is>
          <t>Arvizo</t>
        </is>
      </c>
      <c r="G191" t="inlineStr">
        <is>
          <t>10/06/2004</t>
        </is>
      </c>
      <c r="H191" t="inlineStr">
        <is>
          <t>Not Specified</t>
        </is>
      </c>
      <c r="I191" t="inlineStr">
        <is>
          <t>649343842</t>
        </is>
      </c>
      <c r="K191" t="inlineStr">
        <is>
          <t>HFDF9CK4T</t>
        </is>
      </c>
      <c r="M191" t="inlineStr">
        <is>
          <t>14/08/2025</t>
        </is>
      </c>
      <c r="N191" t="inlineStr">
        <is>
          <t>08/12/2025</t>
        </is>
      </c>
      <c r="R191" t="inlineStr">
        <is>
          <t>Hourly</t>
        </is>
      </c>
      <c r="X191" t="inlineStr">
        <is>
          <t>21.65</t>
        </is>
      </c>
      <c r="AF191" t="inlineStr">
        <is>
          <t>Non-exempt</t>
        </is>
      </c>
      <c r="AJ191" t="inlineStr">
        <is>
          <t>aarvizo.remson@gmail.com</t>
        </is>
      </c>
      <c r="AL191" t="inlineStr">
        <is>
          <t>6201 Keyenta Place Northwest</t>
        </is>
      </c>
      <c r="AN191" t="inlineStr">
        <is>
          <t>Albuquerque</t>
        </is>
      </c>
      <c r="AO191" t="inlineStr">
        <is>
          <t>87120</t>
        </is>
      </c>
      <c r="AP191" t="inlineStr">
        <is>
          <t>NM</t>
        </is>
      </c>
      <c r="AR191" t="inlineStr">
        <is>
          <t>6201 Keyenta Place Northwest</t>
        </is>
      </c>
      <c r="AT191" t="inlineStr">
        <is>
          <t>Albuquerque</t>
        </is>
      </c>
      <c r="AU191" t="inlineStr">
        <is>
          <t>87120</t>
        </is>
      </c>
      <c r="AV191" t="inlineStr">
        <is>
          <t>NM</t>
        </is>
      </c>
      <c r="BB191" t="inlineStr">
        <is>
          <t>14/08/2025</t>
        </is>
      </c>
      <c r="BD191" t="inlineStr">
        <is>
          <t>Z4Y55Y33Y</t>
        </is>
      </c>
    </row>
    <row r="192" ht="15" customHeight="1" s="86">
      <c r="C192" t="inlineStr">
        <is>
          <t>Jose</t>
        </is>
      </c>
      <c r="D192" t="inlineStr">
        <is>
          <t>G</t>
        </is>
      </c>
      <c r="E192" t="inlineStr">
        <is>
          <t>Ramirez Jasso</t>
        </is>
      </c>
      <c r="G192" t="inlineStr">
        <is>
          <t>20/02/1977</t>
        </is>
      </c>
      <c r="H192" t="inlineStr">
        <is>
          <t>Not Specified</t>
        </is>
      </c>
      <c r="I192" t="inlineStr">
        <is>
          <t>648122351</t>
        </is>
      </c>
      <c r="J192" t="inlineStr">
        <is>
          <t>No</t>
        </is>
      </c>
      <c r="K192" t="inlineStr">
        <is>
          <t>HJVJ9HTJ0</t>
        </is>
      </c>
      <c r="M192" t="inlineStr">
        <is>
          <t>16/03/2025</t>
        </is>
      </c>
      <c r="N192" t="inlineStr">
        <is>
          <t>04/10/2025</t>
        </is>
      </c>
      <c r="R192" t="inlineStr">
        <is>
          <t>Hourly</t>
        </is>
      </c>
      <c r="X192" t="inlineStr">
        <is>
          <t>21.5</t>
        </is>
      </c>
      <c r="AF192" t="inlineStr">
        <is>
          <t>Non-exempt</t>
        </is>
      </c>
      <c r="AJ192" t="inlineStr">
        <is>
          <t>jramirez.remson@gmail.com</t>
        </is>
      </c>
      <c r="AL192" t="inlineStr">
        <is>
          <t>9420 Sydney ST SE</t>
        </is>
      </c>
      <c r="AN192" t="inlineStr">
        <is>
          <t>Albuquerque</t>
        </is>
      </c>
      <c r="AO192" t="inlineStr">
        <is>
          <t>87123</t>
        </is>
      </c>
      <c r="AP192" t="inlineStr">
        <is>
          <t>NM</t>
        </is>
      </c>
      <c r="AR192" t="inlineStr">
        <is>
          <t>9420 Sydney ST SE</t>
        </is>
      </c>
      <c r="AT192" t="inlineStr">
        <is>
          <t>Albuquerque</t>
        </is>
      </c>
      <c r="AU192" t="inlineStr">
        <is>
          <t>87123</t>
        </is>
      </c>
      <c r="AV192" t="inlineStr">
        <is>
          <t>NM</t>
        </is>
      </c>
      <c r="BB192" t="inlineStr">
        <is>
          <t>16/03/2025</t>
        </is>
      </c>
      <c r="BD192" t="inlineStr">
        <is>
          <t>Z4Y55Y33Y</t>
        </is>
      </c>
    </row>
    <row r="193" ht="15" customHeight="1" s="86">
      <c r="C193" t="inlineStr">
        <is>
          <t>Jose</t>
        </is>
      </c>
      <c r="D193" t="inlineStr">
        <is>
          <t>G</t>
        </is>
      </c>
      <c r="E193" t="inlineStr">
        <is>
          <t>Ramirez Jasso</t>
        </is>
      </c>
      <c r="G193" t="inlineStr">
        <is>
          <t>20/02/1977</t>
        </is>
      </c>
      <c r="H193" t="inlineStr">
        <is>
          <t>Not Specified</t>
        </is>
      </c>
      <c r="I193" t="inlineStr">
        <is>
          <t>648122351</t>
        </is>
      </c>
      <c r="J193" t="inlineStr">
        <is>
          <t>No</t>
        </is>
      </c>
      <c r="K193" t="inlineStr">
        <is>
          <t>HJVJ9HTJ0</t>
        </is>
      </c>
      <c r="M193" t="inlineStr">
        <is>
          <t>16/03/2025</t>
        </is>
      </c>
      <c r="N193" t="inlineStr">
        <is>
          <t>04/10/2025</t>
        </is>
      </c>
      <c r="R193" t="inlineStr">
        <is>
          <t>Hourly</t>
        </is>
      </c>
      <c r="X193" t="inlineStr">
        <is>
          <t>21.5</t>
        </is>
      </c>
      <c r="AF193" t="inlineStr">
        <is>
          <t>Non-exempt</t>
        </is>
      </c>
      <c r="AJ193" t="inlineStr">
        <is>
          <t>jramirez.remson@gmail.com</t>
        </is>
      </c>
      <c r="AL193" t="inlineStr">
        <is>
          <t>9420 Sydney ST SE</t>
        </is>
      </c>
      <c r="AN193" t="inlineStr">
        <is>
          <t>Albuquerque</t>
        </is>
      </c>
      <c r="AO193" t="inlineStr">
        <is>
          <t>87123</t>
        </is>
      </c>
      <c r="AP193" t="inlineStr">
        <is>
          <t>NM</t>
        </is>
      </c>
      <c r="AR193" t="inlineStr">
        <is>
          <t>9420 Sydney ST SE</t>
        </is>
      </c>
      <c r="AT193" t="inlineStr">
        <is>
          <t>Albuquerque</t>
        </is>
      </c>
      <c r="AU193" t="inlineStr">
        <is>
          <t>87123</t>
        </is>
      </c>
      <c r="AV193" t="inlineStr">
        <is>
          <t>NM</t>
        </is>
      </c>
      <c r="BB193" t="inlineStr">
        <is>
          <t>16/03/2025</t>
        </is>
      </c>
    </row>
    <row r="194" ht="15" customHeight="1" s="86">
      <c r="C194" t="inlineStr">
        <is>
          <t>Ricardo</t>
        </is>
      </c>
      <c r="D194" t="inlineStr">
        <is>
          <t>A</t>
        </is>
      </c>
      <c r="E194" t="inlineStr">
        <is>
          <t>Leon</t>
        </is>
      </c>
      <c r="G194" t="inlineStr">
        <is>
          <t>06/09/2003</t>
        </is>
      </c>
      <c r="H194" t="inlineStr">
        <is>
          <t>Not Specified</t>
        </is>
      </c>
      <c r="I194" t="inlineStr">
        <is>
          <t>648326336</t>
        </is>
      </c>
      <c r="K194" t="inlineStr">
        <is>
          <t>HT3QWIX2T</t>
        </is>
      </c>
      <c r="M194" t="inlineStr">
        <is>
          <t>17/12/2025</t>
        </is>
      </c>
      <c r="R194" t="inlineStr">
        <is>
          <t>Hourly</t>
        </is>
      </c>
      <c r="X194" t="inlineStr">
        <is>
          <t>21.5</t>
        </is>
      </c>
      <c r="AF194" t="inlineStr">
        <is>
          <t>Non-exempt</t>
        </is>
      </c>
      <c r="AI194" t="inlineStr">
        <is>
          <t>rleon.remson@gmail.com</t>
        </is>
      </c>
      <c r="AJ194" t="inlineStr">
        <is>
          <t>rleon.remson@gmail.com</t>
        </is>
      </c>
      <c r="AL194" t="inlineStr">
        <is>
          <t>5550 Zia rd ne apt 11</t>
        </is>
      </c>
      <c r="AN194" t="inlineStr">
        <is>
          <t>Albuquerque</t>
        </is>
      </c>
      <c r="AO194" t="inlineStr">
        <is>
          <t>87108</t>
        </is>
      </c>
      <c r="AP194" t="inlineStr">
        <is>
          <t>NM</t>
        </is>
      </c>
      <c r="AR194" t="inlineStr">
        <is>
          <t>5550 Zia rd ne apt 11</t>
        </is>
      </c>
      <c r="AT194" t="inlineStr">
        <is>
          <t>Albuquerque</t>
        </is>
      </c>
      <c r="AU194" t="inlineStr">
        <is>
          <t>87108</t>
        </is>
      </c>
      <c r="AV194" t="inlineStr">
        <is>
          <t>NM</t>
        </is>
      </c>
      <c r="BB194" t="inlineStr">
        <is>
          <t>17/12/2025</t>
        </is>
      </c>
      <c r="BD194" t="inlineStr">
        <is>
          <t>Z4Y55Y33Y</t>
        </is>
      </c>
    </row>
    <row r="195" ht="15" customHeight="1" s="86">
      <c r="C195" t="inlineStr">
        <is>
          <t>Ricardo</t>
        </is>
      </c>
      <c r="D195" t="inlineStr">
        <is>
          <t>A</t>
        </is>
      </c>
      <c r="E195" t="inlineStr">
        <is>
          <t>Leon</t>
        </is>
      </c>
      <c r="G195" t="inlineStr">
        <is>
          <t>06/09/2003</t>
        </is>
      </c>
      <c r="H195" t="inlineStr">
        <is>
          <t>Not Specified</t>
        </is>
      </c>
      <c r="I195" t="inlineStr">
        <is>
          <t>648326336</t>
        </is>
      </c>
      <c r="K195" t="inlineStr">
        <is>
          <t>HT3QWIX2T</t>
        </is>
      </c>
      <c r="M195" t="inlineStr">
        <is>
          <t>17/12/2025</t>
        </is>
      </c>
      <c r="N195" t="inlineStr">
        <is>
          <t>30/01/2026</t>
        </is>
      </c>
      <c r="R195" t="inlineStr">
        <is>
          <t>Hourly</t>
        </is>
      </c>
      <c r="X195" t="inlineStr">
        <is>
          <t>21.5</t>
        </is>
      </c>
      <c r="AF195" t="inlineStr">
        <is>
          <t>Non-exempt</t>
        </is>
      </c>
      <c r="AI195" t="inlineStr">
        <is>
          <t>rleon.remson@gmail.com</t>
        </is>
      </c>
      <c r="AJ195" t="inlineStr">
        <is>
          <t>rleon.remson@gmail.com</t>
        </is>
      </c>
      <c r="AL195" t="inlineStr">
        <is>
          <t>5550 Zia rd ne apt 11</t>
        </is>
      </c>
      <c r="AN195" t="inlineStr">
        <is>
          <t>Albuquerque</t>
        </is>
      </c>
      <c r="AO195" t="inlineStr">
        <is>
          <t>87108</t>
        </is>
      </c>
      <c r="AP195" t="inlineStr">
        <is>
          <t>NM</t>
        </is>
      </c>
      <c r="AR195" t="inlineStr">
        <is>
          <t>5550 Zia rd ne apt 11</t>
        </is>
      </c>
      <c r="AT195" t="inlineStr">
        <is>
          <t>Albuquerque</t>
        </is>
      </c>
      <c r="AU195" t="inlineStr">
        <is>
          <t>87108</t>
        </is>
      </c>
      <c r="AV195" t="inlineStr">
        <is>
          <t>NM</t>
        </is>
      </c>
      <c r="BB195" t="inlineStr">
        <is>
          <t>17/12/2025</t>
        </is>
      </c>
      <c r="BD195" t="inlineStr">
        <is>
          <t>Z4Y55Y33Y</t>
        </is>
      </c>
    </row>
    <row r="196" ht="15" customHeight="1" s="86">
      <c r="C196" t="inlineStr">
        <is>
          <t>Frank</t>
        </is>
      </c>
      <c r="D196" t="inlineStr">
        <is>
          <t>C</t>
        </is>
      </c>
      <c r="E196" t="inlineStr">
        <is>
          <t>Fricke Sr</t>
        </is>
      </c>
      <c r="G196" t="inlineStr">
        <is>
          <t>11/10/1983</t>
        </is>
      </c>
      <c r="H196" t="inlineStr">
        <is>
          <t>Not Specified</t>
        </is>
      </c>
      <c r="I196" t="inlineStr">
        <is>
          <t>648010116</t>
        </is>
      </c>
      <c r="J196" t="inlineStr">
        <is>
          <t>No</t>
        </is>
      </c>
      <c r="K196" t="inlineStr">
        <is>
          <t>HUPVU4BLS</t>
        </is>
      </c>
      <c r="M196" t="inlineStr">
        <is>
          <t>12/07/2024</t>
        </is>
      </c>
      <c r="R196" t="inlineStr">
        <is>
          <t>Hourly</t>
        </is>
      </c>
      <c r="X196" t="inlineStr">
        <is>
          <t>21.9</t>
        </is>
      </c>
      <c r="AF196" t="inlineStr">
        <is>
          <t>Non-exempt</t>
        </is>
      </c>
      <c r="AJ196" t="inlineStr">
        <is>
          <t>ffricke24.remson@gmail.com</t>
        </is>
      </c>
      <c r="AL196" t="inlineStr">
        <is>
          <t>6243 Calle Feliz Northwest</t>
        </is>
      </c>
      <c r="AN196" t="inlineStr">
        <is>
          <t>Albuquerque</t>
        </is>
      </c>
      <c r="AO196" t="inlineStr">
        <is>
          <t>87114</t>
        </is>
      </c>
      <c r="AP196" t="inlineStr">
        <is>
          <t>NM</t>
        </is>
      </c>
      <c r="AR196" t="inlineStr">
        <is>
          <t>6243 Calle Feliz Northwest</t>
        </is>
      </c>
      <c r="AT196" t="inlineStr">
        <is>
          <t>Albuquerque</t>
        </is>
      </c>
      <c r="AU196" t="inlineStr">
        <is>
          <t>87114</t>
        </is>
      </c>
      <c r="AV196" t="inlineStr">
        <is>
          <t>NM</t>
        </is>
      </c>
      <c r="BB196" t="inlineStr">
        <is>
          <t>12/07/2024</t>
        </is>
      </c>
    </row>
    <row r="197" ht="15" customHeight="1" s="86">
      <c r="C197" t="inlineStr">
        <is>
          <t>Frank</t>
        </is>
      </c>
      <c r="D197" t="inlineStr">
        <is>
          <t>C</t>
        </is>
      </c>
      <c r="E197" t="inlineStr">
        <is>
          <t>Fricke Sr</t>
        </is>
      </c>
      <c r="G197" t="inlineStr">
        <is>
          <t>11/10/1983</t>
        </is>
      </c>
      <c r="H197" t="inlineStr">
        <is>
          <t>Not Specified</t>
        </is>
      </c>
      <c r="I197" t="inlineStr">
        <is>
          <t>648010116</t>
        </is>
      </c>
      <c r="J197" t="inlineStr">
        <is>
          <t>No</t>
        </is>
      </c>
      <c r="K197" t="inlineStr">
        <is>
          <t>HUPVU4BLS</t>
        </is>
      </c>
      <c r="M197" t="inlineStr">
        <is>
          <t>12/07/2024</t>
        </is>
      </c>
      <c r="N197" t="inlineStr">
        <is>
          <t>08/12/2025</t>
        </is>
      </c>
      <c r="R197" t="inlineStr">
        <is>
          <t>Hourly</t>
        </is>
      </c>
      <c r="X197" t="inlineStr">
        <is>
          <t>21.9</t>
        </is>
      </c>
      <c r="AF197" t="inlineStr">
        <is>
          <t>Non-exempt</t>
        </is>
      </c>
      <c r="AJ197" t="inlineStr">
        <is>
          <t>ffricke24.remson@gmail.com</t>
        </is>
      </c>
      <c r="AL197" t="inlineStr">
        <is>
          <t>6243 Calle Feliz Northwest</t>
        </is>
      </c>
      <c r="AN197" t="inlineStr">
        <is>
          <t>Albuquerque</t>
        </is>
      </c>
      <c r="AO197" t="inlineStr">
        <is>
          <t>87114</t>
        </is>
      </c>
      <c r="AP197" t="inlineStr">
        <is>
          <t>NM</t>
        </is>
      </c>
      <c r="AR197" t="inlineStr">
        <is>
          <t>6243 Calle Feliz Northwest</t>
        </is>
      </c>
      <c r="AT197" t="inlineStr">
        <is>
          <t>Albuquerque</t>
        </is>
      </c>
      <c r="AU197" t="inlineStr">
        <is>
          <t>87114</t>
        </is>
      </c>
      <c r="AV197" t="inlineStr">
        <is>
          <t>NM</t>
        </is>
      </c>
      <c r="BB197" t="inlineStr">
        <is>
          <t>12/07/2024</t>
        </is>
      </c>
      <c r="BD197" t="inlineStr">
        <is>
          <t>Z4Y55Y33Y</t>
        </is>
      </c>
    </row>
    <row r="198" ht="15" customHeight="1" s="86">
      <c r="C198" t="inlineStr">
        <is>
          <t>Erik</t>
        </is>
      </c>
      <c r="E198" t="inlineStr">
        <is>
          <t>Rutland</t>
        </is>
      </c>
      <c r="G198" t="inlineStr">
        <is>
          <t>22/08/1970</t>
        </is>
      </c>
      <c r="H198" t="inlineStr">
        <is>
          <t>Male</t>
        </is>
      </c>
      <c r="I198" t="inlineStr">
        <is>
          <t>543177208</t>
        </is>
      </c>
      <c r="J198" t="inlineStr">
        <is>
          <t>No</t>
        </is>
      </c>
      <c r="K198" t="inlineStr">
        <is>
          <t>I4G5I73C8</t>
        </is>
      </c>
      <c r="M198" t="inlineStr">
        <is>
          <t>10/12/2024</t>
        </is>
      </c>
      <c r="N198" t="inlineStr">
        <is>
          <t>05/07/2025</t>
        </is>
      </c>
      <c r="R198" t="inlineStr">
        <is>
          <t>Hourly</t>
        </is>
      </c>
      <c r="X198" t="inlineStr">
        <is>
          <t>41.3</t>
        </is>
      </c>
      <c r="AF198" t="inlineStr">
        <is>
          <t>Non-exempt</t>
        </is>
      </c>
      <c r="AI198" t="inlineStr">
        <is>
          <t>erutland.remson@gmail.com</t>
        </is>
      </c>
      <c r="AJ198" t="inlineStr">
        <is>
          <t>erutland.remson@gmail.com</t>
        </is>
      </c>
      <c r="AL198" t="inlineStr">
        <is>
          <t>341 Zuni River Circle Southwes</t>
        </is>
      </c>
      <c r="AN198" t="inlineStr">
        <is>
          <t>Los Lunas</t>
        </is>
      </c>
      <c r="AO198" t="inlineStr">
        <is>
          <t>87031</t>
        </is>
      </c>
      <c r="AP198" t="inlineStr">
        <is>
          <t>NM</t>
        </is>
      </c>
      <c r="AR198" t="inlineStr">
        <is>
          <t>341 Zuni River Circle Southwes</t>
        </is>
      </c>
      <c r="AT198" t="inlineStr">
        <is>
          <t>Los Lunas</t>
        </is>
      </c>
      <c r="AU198" t="inlineStr">
        <is>
          <t>87031</t>
        </is>
      </c>
      <c r="AV198" t="inlineStr">
        <is>
          <t>NM</t>
        </is>
      </c>
      <c r="BB198" t="inlineStr">
        <is>
          <t>10/12/2024</t>
        </is>
      </c>
    </row>
    <row r="199" ht="15" customHeight="1" s="86">
      <c r="C199" t="inlineStr">
        <is>
          <t>Jesse</t>
        </is>
      </c>
      <c r="E199" t="inlineStr">
        <is>
          <t>Chavez</t>
        </is>
      </c>
      <c r="G199" t="inlineStr">
        <is>
          <t>13/06/2002</t>
        </is>
      </c>
      <c r="H199" t="inlineStr">
        <is>
          <t>Male</t>
        </is>
      </c>
      <c r="I199" t="inlineStr">
        <is>
          <t>648287543</t>
        </is>
      </c>
      <c r="J199" t="inlineStr">
        <is>
          <t>No</t>
        </is>
      </c>
      <c r="K199" t="inlineStr">
        <is>
          <t>I5IEVXDWL</t>
        </is>
      </c>
      <c r="M199" t="inlineStr">
        <is>
          <t>01/03/2024</t>
        </is>
      </c>
      <c r="N199" t="inlineStr">
        <is>
          <t>08/12/2025</t>
        </is>
      </c>
      <c r="R199" t="inlineStr">
        <is>
          <t>Hourly</t>
        </is>
      </c>
      <c r="X199" t="inlineStr">
        <is>
          <t>22.05</t>
        </is>
      </c>
      <c r="AF199" t="inlineStr">
        <is>
          <t>Non-exempt</t>
        </is>
      </c>
      <c r="AJ199" t="inlineStr">
        <is>
          <t>Jray.remson@gmail.com</t>
        </is>
      </c>
      <c r="AL199" t="inlineStr">
        <is>
          <t>1817 Westwood Avenue</t>
        </is>
      </c>
      <c r="AN199" t="inlineStr">
        <is>
          <t>Albuquerque</t>
        </is>
      </c>
      <c r="AO199" t="inlineStr">
        <is>
          <t>87120</t>
        </is>
      </c>
      <c r="AP199" t="inlineStr">
        <is>
          <t>NM</t>
        </is>
      </c>
      <c r="AR199" t="inlineStr">
        <is>
          <t>1817 Westwood Avenue</t>
        </is>
      </c>
      <c r="AT199" t="inlineStr">
        <is>
          <t>Albuquerque</t>
        </is>
      </c>
      <c r="AU199" t="inlineStr">
        <is>
          <t>87120</t>
        </is>
      </c>
      <c r="AV199" t="inlineStr">
        <is>
          <t>NM</t>
        </is>
      </c>
      <c r="BB199" t="inlineStr">
        <is>
          <t>01/03/2024</t>
        </is>
      </c>
      <c r="BD199" t="inlineStr">
        <is>
          <t>Z4Y55Y33Y</t>
        </is>
      </c>
    </row>
    <row r="200" ht="15" customHeight="1" s="86">
      <c r="C200" t="inlineStr">
        <is>
          <t>Jesse</t>
        </is>
      </c>
      <c r="E200" t="inlineStr">
        <is>
          <t>Chavez</t>
        </is>
      </c>
      <c r="G200" t="inlineStr">
        <is>
          <t>13/06/2002</t>
        </is>
      </c>
      <c r="H200" t="inlineStr">
        <is>
          <t>Male</t>
        </is>
      </c>
      <c r="I200" t="inlineStr">
        <is>
          <t>648287543</t>
        </is>
      </c>
      <c r="J200" t="inlineStr">
        <is>
          <t>No</t>
        </is>
      </c>
      <c r="K200" t="inlineStr">
        <is>
          <t>I5IEVXDWL</t>
        </is>
      </c>
      <c r="M200" t="inlineStr">
        <is>
          <t>01/03/2024</t>
        </is>
      </c>
      <c r="N200" t="inlineStr">
        <is>
          <t>17/01/2026</t>
        </is>
      </c>
      <c r="R200" t="inlineStr">
        <is>
          <t>Hourly</t>
        </is>
      </c>
      <c r="X200" t="inlineStr">
        <is>
          <t>22.05</t>
        </is>
      </c>
      <c r="AF200" t="inlineStr">
        <is>
          <t>Non-exempt</t>
        </is>
      </c>
      <c r="AJ200" t="inlineStr">
        <is>
          <t>Jray.remson@gmail.com</t>
        </is>
      </c>
      <c r="AL200" t="inlineStr">
        <is>
          <t>1817 Westwood Avenue</t>
        </is>
      </c>
      <c r="AN200" t="inlineStr">
        <is>
          <t>Albuquerque</t>
        </is>
      </c>
      <c r="AO200" t="inlineStr">
        <is>
          <t>87120</t>
        </is>
      </c>
      <c r="AP200" t="inlineStr">
        <is>
          <t>NM</t>
        </is>
      </c>
      <c r="AR200" t="inlineStr">
        <is>
          <t>1817 Westwood Avenue</t>
        </is>
      </c>
      <c r="AT200" t="inlineStr">
        <is>
          <t>Albuquerque</t>
        </is>
      </c>
      <c r="AU200" t="inlineStr">
        <is>
          <t>87120</t>
        </is>
      </c>
      <c r="AV200" t="inlineStr">
        <is>
          <t>NM</t>
        </is>
      </c>
      <c r="BB200" t="inlineStr">
        <is>
          <t>01/03/2024</t>
        </is>
      </c>
    </row>
    <row r="201" ht="15" customHeight="1" s="86">
      <c r="C201" t="inlineStr">
        <is>
          <t>Cheridan</t>
        </is>
      </c>
      <c r="D201" t="inlineStr">
        <is>
          <t>J</t>
        </is>
      </c>
      <c r="E201" t="inlineStr">
        <is>
          <t>Buck</t>
        </is>
      </c>
      <c r="G201" t="inlineStr">
        <is>
          <t>06/04/1990</t>
        </is>
      </c>
      <c r="H201" t="inlineStr">
        <is>
          <t>Female</t>
        </is>
      </c>
      <c r="I201" t="inlineStr">
        <is>
          <t>525871471</t>
        </is>
      </c>
      <c r="J201" t="inlineStr">
        <is>
          <t>No</t>
        </is>
      </c>
      <c r="K201" t="inlineStr">
        <is>
          <t>I75GU7KMX</t>
        </is>
      </c>
      <c r="M201" t="inlineStr">
        <is>
          <t>16/02/2024</t>
        </is>
      </c>
      <c r="N201" t="inlineStr">
        <is>
          <t>09/03/2025</t>
        </is>
      </c>
      <c r="R201" t="inlineStr">
        <is>
          <t>Hourly</t>
        </is>
      </c>
      <c r="X201" t="inlineStr">
        <is>
          <t>41.9</t>
        </is>
      </c>
      <c r="AF201" t="inlineStr">
        <is>
          <t>Non-exempt</t>
        </is>
      </c>
      <c r="AI201" t="inlineStr">
        <is>
          <t>cbuck8.remson@gmail.com</t>
        </is>
      </c>
      <c r="AJ201" t="inlineStr">
        <is>
          <t>cheridanbuck@gmail.com</t>
        </is>
      </c>
      <c r="AL201" t="inlineStr">
        <is>
          <t>6117 Trujillo Rd Sw</t>
        </is>
      </c>
      <c r="AN201" t="inlineStr">
        <is>
          <t>Albuquerque</t>
        </is>
      </c>
      <c r="AO201" t="inlineStr">
        <is>
          <t>87121</t>
        </is>
      </c>
      <c r="AP201" t="inlineStr">
        <is>
          <t>NM</t>
        </is>
      </c>
      <c r="AR201" t="inlineStr">
        <is>
          <t>6117 Trujillo Rd Sw</t>
        </is>
      </c>
      <c r="AT201" t="inlineStr">
        <is>
          <t>Albuquerque</t>
        </is>
      </c>
      <c r="AU201" t="inlineStr">
        <is>
          <t>87121</t>
        </is>
      </c>
      <c r="AV201" t="inlineStr">
        <is>
          <t>NM</t>
        </is>
      </c>
      <c r="BB201" t="inlineStr">
        <is>
          <t>16/02/2024</t>
        </is>
      </c>
      <c r="BD201" t="inlineStr">
        <is>
          <t>DZWKT8LKB</t>
        </is>
      </c>
    </row>
    <row r="202" ht="15" customHeight="1" s="86">
      <c r="C202" t="inlineStr">
        <is>
          <t>Nathan</t>
        </is>
      </c>
      <c r="E202" t="inlineStr">
        <is>
          <t>Coss Duran</t>
        </is>
      </c>
      <c r="G202" t="inlineStr">
        <is>
          <t>27/07/2000</t>
        </is>
      </c>
      <c r="H202" t="inlineStr">
        <is>
          <t>Not Specified</t>
        </is>
      </c>
      <c r="I202" t="inlineStr">
        <is>
          <t>648226983</t>
        </is>
      </c>
      <c r="K202" t="inlineStr">
        <is>
          <t>IKCI9MLTS</t>
        </is>
      </c>
      <c r="M202" t="inlineStr">
        <is>
          <t>04/01/2026</t>
        </is>
      </c>
      <c r="R202" t="inlineStr">
        <is>
          <t>Hourly</t>
        </is>
      </c>
      <c r="X202" t="inlineStr">
        <is>
          <t>21.5</t>
        </is>
      </c>
      <c r="AF202" t="inlineStr">
        <is>
          <t>Non-exempt</t>
        </is>
      </c>
      <c r="AI202" t="inlineStr">
        <is>
          <t>ncossduran.remson@gmail.com</t>
        </is>
      </c>
      <c r="AJ202" t="inlineStr">
        <is>
          <t>ncossduran.remson@gmail.com</t>
        </is>
      </c>
      <c r="AL202" t="inlineStr">
        <is>
          <t>8901 Central Avenue NE Trlr 2</t>
        </is>
      </c>
      <c r="AN202" t="inlineStr">
        <is>
          <t>Albuquerque</t>
        </is>
      </c>
      <c r="AO202" t="inlineStr">
        <is>
          <t>87123</t>
        </is>
      </c>
      <c r="AP202" t="inlineStr">
        <is>
          <t>NM</t>
        </is>
      </c>
      <c r="AR202" t="inlineStr">
        <is>
          <t>8901 Central Avenue NE Trlr 2</t>
        </is>
      </c>
      <c r="AT202" t="inlineStr">
        <is>
          <t>Albuquerque</t>
        </is>
      </c>
      <c r="AU202" t="inlineStr">
        <is>
          <t>87123</t>
        </is>
      </c>
      <c r="AV202" t="inlineStr">
        <is>
          <t>NM</t>
        </is>
      </c>
      <c r="BB202" t="inlineStr">
        <is>
          <t>04/01/2026</t>
        </is>
      </c>
      <c r="BD202" t="inlineStr">
        <is>
          <t>Z4Y55Y33Y</t>
        </is>
      </c>
    </row>
    <row r="203" ht="15" customHeight="1" s="86">
      <c r="C203" t="inlineStr">
        <is>
          <t>David</t>
        </is>
      </c>
      <c r="D203" t="inlineStr">
        <is>
          <t>R</t>
        </is>
      </c>
      <c r="E203" t="inlineStr">
        <is>
          <t>Perry</t>
        </is>
      </c>
      <c r="G203" t="inlineStr">
        <is>
          <t>29/10/1971</t>
        </is>
      </c>
      <c r="H203" t="inlineStr">
        <is>
          <t>Not Specified</t>
        </is>
      </c>
      <c r="I203" t="inlineStr">
        <is>
          <t>481847103</t>
        </is>
      </c>
      <c r="K203" t="inlineStr">
        <is>
          <t>ILEJNXWWL</t>
        </is>
      </c>
      <c r="M203" t="inlineStr">
        <is>
          <t>04/05/2025</t>
        </is>
      </c>
      <c r="N203" t="inlineStr">
        <is>
          <t>17/05/2025</t>
        </is>
      </c>
      <c r="R203" t="inlineStr">
        <is>
          <t>Hourly</t>
        </is>
      </c>
      <c r="X203" t="inlineStr">
        <is>
          <t>41</t>
        </is>
      </c>
      <c r="AF203" t="inlineStr">
        <is>
          <t>Non-exempt</t>
        </is>
      </c>
      <c r="AI203" t="inlineStr">
        <is>
          <t>veronicagperry@yahoo.com</t>
        </is>
      </c>
      <c r="AJ203" t="inlineStr">
        <is>
          <t>veronicagperry@yahoo.com</t>
        </is>
      </c>
      <c r="AL203" t="inlineStr">
        <is>
          <t>7034 Labrador Drive Northeast</t>
        </is>
      </c>
      <c r="AN203" t="inlineStr">
        <is>
          <t>Rio Rancho</t>
        </is>
      </c>
      <c r="AO203" t="inlineStr">
        <is>
          <t>87144</t>
        </is>
      </c>
      <c r="AP203" t="inlineStr">
        <is>
          <t>NM</t>
        </is>
      </c>
      <c r="AR203" t="inlineStr">
        <is>
          <t>7034 Labrador Drive Northeast</t>
        </is>
      </c>
      <c r="AT203" t="inlineStr">
        <is>
          <t>Rio Rancho</t>
        </is>
      </c>
      <c r="AU203" t="inlineStr">
        <is>
          <t>87144</t>
        </is>
      </c>
      <c r="AV203" t="inlineStr">
        <is>
          <t>NM</t>
        </is>
      </c>
      <c r="BB203" t="inlineStr">
        <is>
          <t>04/05/2025</t>
        </is>
      </c>
      <c r="BD203" t="inlineStr">
        <is>
          <t>DZWKT8LKB</t>
        </is>
      </c>
    </row>
    <row r="204" ht="15" customHeight="1" s="86">
      <c r="C204" t="inlineStr">
        <is>
          <t>Rachael</t>
        </is>
      </c>
      <c r="E204" t="inlineStr">
        <is>
          <t>D'Arcangelis-elton</t>
        </is>
      </c>
      <c r="G204" t="inlineStr">
        <is>
          <t>06/03/1993</t>
        </is>
      </c>
      <c r="H204" t="inlineStr">
        <is>
          <t>Female</t>
        </is>
      </c>
      <c r="I204" t="inlineStr">
        <is>
          <t>525990746</t>
        </is>
      </c>
      <c r="J204" t="inlineStr">
        <is>
          <t>No</t>
        </is>
      </c>
      <c r="K204" t="inlineStr">
        <is>
          <t>IP6CBR0ZW</t>
        </is>
      </c>
      <c r="M204" t="inlineStr">
        <is>
          <t>22/09/2024</t>
        </is>
      </c>
      <c r="R204" t="inlineStr">
        <is>
          <t>Hourly</t>
        </is>
      </c>
      <c r="X204" t="inlineStr">
        <is>
          <t>21.75</t>
        </is>
      </c>
      <c r="AF204" t="inlineStr">
        <is>
          <t>Non-exempt</t>
        </is>
      </c>
      <c r="AI204" t="inlineStr">
        <is>
          <t>hollisterchick1085@yahoo.com</t>
        </is>
      </c>
      <c r="AJ204" t="inlineStr">
        <is>
          <t>relton.remson1@gmail.com</t>
        </is>
      </c>
      <c r="AL204" t="inlineStr">
        <is>
          <t>3505 Delamar Ave Ne</t>
        </is>
      </c>
      <c r="AN204" t="inlineStr">
        <is>
          <t>Albuquerque</t>
        </is>
      </c>
      <c r="AO204" t="inlineStr">
        <is>
          <t>87107</t>
        </is>
      </c>
      <c r="AP204" t="inlineStr">
        <is>
          <t>NM</t>
        </is>
      </c>
      <c r="AR204" t="inlineStr">
        <is>
          <t>3505 Delamar Ave Ne</t>
        </is>
      </c>
      <c r="AT204" t="inlineStr">
        <is>
          <t>Albuquerque</t>
        </is>
      </c>
      <c r="AU204" t="inlineStr">
        <is>
          <t>87107</t>
        </is>
      </c>
      <c r="AV204" t="inlineStr">
        <is>
          <t>NM</t>
        </is>
      </c>
      <c r="BB204" t="inlineStr">
        <is>
          <t>26/05/2024</t>
        </is>
      </c>
    </row>
    <row r="205" ht="15" customHeight="1" s="86">
      <c r="C205" t="inlineStr">
        <is>
          <t>Rachael</t>
        </is>
      </c>
      <c r="E205" t="inlineStr">
        <is>
          <t>D'Arcangelis-elton</t>
        </is>
      </c>
      <c r="G205" t="inlineStr">
        <is>
          <t>06/03/1993</t>
        </is>
      </c>
      <c r="H205" t="inlineStr">
        <is>
          <t>Female</t>
        </is>
      </c>
      <c r="I205" t="inlineStr">
        <is>
          <t>525990746</t>
        </is>
      </c>
      <c r="J205" t="inlineStr">
        <is>
          <t>No</t>
        </is>
      </c>
      <c r="K205" t="inlineStr">
        <is>
          <t>IP6CBR0ZW</t>
        </is>
      </c>
      <c r="M205" t="inlineStr">
        <is>
          <t>22/09/2024</t>
        </is>
      </c>
      <c r="N205" t="inlineStr">
        <is>
          <t>08/12/2025</t>
        </is>
      </c>
      <c r="R205" t="inlineStr">
        <is>
          <t>Hourly</t>
        </is>
      </c>
      <c r="X205" t="inlineStr">
        <is>
          <t>21.75</t>
        </is>
      </c>
      <c r="AF205" t="inlineStr">
        <is>
          <t>Non-exempt</t>
        </is>
      </c>
      <c r="AI205" t="inlineStr">
        <is>
          <t>hollisterchick1085@yahoo.com</t>
        </is>
      </c>
      <c r="AJ205" t="inlineStr">
        <is>
          <t>relton.remson1@gmail.com</t>
        </is>
      </c>
      <c r="AL205" t="inlineStr">
        <is>
          <t>3505 Delamar Ave Ne</t>
        </is>
      </c>
      <c r="AN205" t="inlineStr">
        <is>
          <t>Albuquerque</t>
        </is>
      </c>
      <c r="AO205" t="inlineStr">
        <is>
          <t>87107</t>
        </is>
      </c>
      <c r="AP205" t="inlineStr">
        <is>
          <t>NM</t>
        </is>
      </c>
      <c r="AR205" t="inlineStr">
        <is>
          <t>3505 Delamar Ave Ne</t>
        </is>
      </c>
      <c r="AT205" t="inlineStr">
        <is>
          <t>Albuquerque</t>
        </is>
      </c>
      <c r="AU205" t="inlineStr">
        <is>
          <t>87107</t>
        </is>
      </c>
      <c r="AV205" t="inlineStr">
        <is>
          <t>NM</t>
        </is>
      </c>
      <c r="BB205" t="inlineStr">
        <is>
          <t>26/05/2024</t>
        </is>
      </c>
      <c r="BD205" t="inlineStr">
        <is>
          <t>Z4Y55Y33Y</t>
        </is>
      </c>
    </row>
    <row r="206" ht="15" customHeight="1" s="86">
      <c r="C206" t="inlineStr">
        <is>
          <t>Marco</t>
        </is>
      </c>
      <c r="E206" t="inlineStr">
        <is>
          <t>Perez</t>
        </is>
      </c>
      <c r="G206" t="inlineStr">
        <is>
          <t>09/09/1998</t>
        </is>
      </c>
      <c r="H206" t="inlineStr">
        <is>
          <t>Male</t>
        </is>
      </c>
      <c r="I206" t="inlineStr">
        <is>
          <t>650092961</t>
        </is>
      </c>
      <c r="J206" t="inlineStr">
        <is>
          <t>No</t>
        </is>
      </c>
      <c r="K206" t="inlineStr">
        <is>
          <t>IV32XVJU7</t>
        </is>
      </c>
      <c r="M206" t="inlineStr">
        <is>
          <t>26/10/2023</t>
        </is>
      </c>
      <c r="N206" t="inlineStr">
        <is>
          <t>09/02/2025</t>
        </is>
      </c>
      <c r="R206" t="inlineStr">
        <is>
          <t>Hourly</t>
        </is>
      </c>
      <c r="X206" t="inlineStr">
        <is>
          <t>42.2</t>
        </is>
      </c>
      <c r="AF206" t="inlineStr">
        <is>
          <t>Non-exempt</t>
        </is>
      </c>
      <c r="AI206" t="inlineStr">
        <is>
          <t>mperez.remson@gmail.com</t>
        </is>
      </c>
      <c r="AJ206" t="inlineStr">
        <is>
          <t>mperez.remson@gmail.com</t>
        </is>
      </c>
      <c r="AL206" t="inlineStr">
        <is>
          <t>1513 Saunders Rd Sw</t>
        </is>
      </c>
      <c r="AM206" t="inlineStr">
        <is>
          <t>A</t>
        </is>
      </c>
      <c r="AN206" t="inlineStr">
        <is>
          <t>Albuquerque</t>
        </is>
      </c>
      <c r="AO206" t="inlineStr">
        <is>
          <t>87105</t>
        </is>
      </c>
      <c r="AP206" t="inlineStr">
        <is>
          <t>NM</t>
        </is>
      </c>
      <c r="AR206" t="inlineStr">
        <is>
          <t>1513 Saunders Rd Sw</t>
        </is>
      </c>
      <c r="AS206" t="inlineStr">
        <is>
          <t>A</t>
        </is>
      </c>
      <c r="AT206" t="inlineStr">
        <is>
          <t>Albuquerque</t>
        </is>
      </c>
      <c r="AU206" t="inlineStr">
        <is>
          <t>87105</t>
        </is>
      </c>
      <c r="AV206" t="inlineStr">
        <is>
          <t>NM</t>
        </is>
      </c>
      <c r="BB206" t="inlineStr">
        <is>
          <t>26/10/2023</t>
        </is>
      </c>
      <c r="BD206" t="inlineStr">
        <is>
          <t>DZWKT8LKB</t>
        </is>
      </c>
    </row>
    <row r="207" ht="15" customHeight="1" s="86">
      <c r="C207" t="inlineStr">
        <is>
          <t>Amber</t>
        </is>
      </c>
      <c r="E207" t="inlineStr">
        <is>
          <t>Barolet</t>
        </is>
      </c>
      <c r="G207" t="inlineStr">
        <is>
          <t>14/02/1984</t>
        </is>
      </c>
      <c r="H207" t="inlineStr">
        <is>
          <t>Female</t>
        </is>
      </c>
      <c r="I207" t="inlineStr">
        <is>
          <t>463939930</t>
        </is>
      </c>
      <c r="J207" t="inlineStr">
        <is>
          <t>No</t>
        </is>
      </c>
      <c r="K207" t="inlineStr">
        <is>
          <t>J25ZIGUDQ</t>
        </is>
      </c>
      <c r="M207" t="inlineStr">
        <is>
          <t>28/04/2024</t>
        </is>
      </c>
      <c r="R207" t="inlineStr">
        <is>
          <t>Salary</t>
        </is>
      </c>
      <c r="U207" t="inlineStr">
        <is>
          <t>54080</t>
        </is>
      </c>
      <c r="X207" t="n">
        <v>0</v>
      </c>
      <c r="AF207" t="inlineStr">
        <is>
          <t>Exempt</t>
        </is>
      </c>
      <c r="AJ207" t="inlineStr">
        <is>
          <t>amberb.remson@gmail.com</t>
        </is>
      </c>
      <c r="AL207" t="inlineStr">
        <is>
          <t>1515 Janann Ave</t>
        </is>
      </c>
      <c r="AN207" t="inlineStr">
        <is>
          <t>Arlington</t>
        </is>
      </c>
      <c r="AO207" t="inlineStr">
        <is>
          <t>76014</t>
        </is>
      </c>
      <c r="AP207" t="inlineStr">
        <is>
          <t>TX</t>
        </is>
      </c>
      <c r="AR207" t="inlineStr">
        <is>
          <t>1515 Janann Ave</t>
        </is>
      </c>
      <c r="AT207" t="inlineStr">
        <is>
          <t>Arlington</t>
        </is>
      </c>
      <c r="AU207" t="inlineStr">
        <is>
          <t>76014</t>
        </is>
      </c>
      <c r="AV207" t="inlineStr">
        <is>
          <t>TX</t>
        </is>
      </c>
      <c r="BB207" t="inlineStr">
        <is>
          <t>28/04/2024</t>
        </is>
      </c>
      <c r="BD207" t="inlineStr">
        <is>
          <t>DZWKT8LKB</t>
        </is>
      </c>
    </row>
    <row r="208" ht="15" customHeight="1" s="86">
      <c r="C208" t="inlineStr">
        <is>
          <t>Dylan</t>
        </is>
      </c>
      <c r="E208" t="inlineStr">
        <is>
          <t>Peterson</t>
        </is>
      </c>
      <c r="G208" t="inlineStr">
        <is>
          <t>07/02/1998</t>
        </is>
      </c>
      <c r="H208" t="inlineStr">
        <is>
          <t>Not Specified</t>
        </is>
      </c>
      <c r="I208" t="inlineStr">
        <is>
          <t>648148874</t>
        </is>
      </c>
      <c r="K208" t="inlineStr">
        <is>
          <t>J29CTLUHL</t>
        </is>
      </c>
      <c r="M208" t="inlineStr">
        <is>
          <t>15/01/2026</t>
        </is>
      </c>
      <c r="R208" t="inlineStr">
        <is>
          <t>Hourly</t>
        </is>
      </c>
      <c r="X208" t="inlineStr">
        <is>
          <t>21.5</t>
        </is>
      </c>
      <c r="AF208" t="inlineStr">
        <is>
          <t>Non-exempt</t>
        </is>
      </c>
      <c r="AI208" t="inlineStr">
        <is>
          <t>dpeterson.remson@gmail.com</t>
        </is>
      </c>
      <c r="AJ208" t="inlineStr">
        <is>
          <t>dpeterson.remson@gmail.com</t>
        </is>
      </c>
      <c r="AL208" t="inlineStr">
        <is>
          <t>6100 Cortaderia St NE</t>
        </is>
      </c>
      <c r="AM208" t="inlineStr">
        <is>
          <t>apt 3326</t>
        </is>
      </c>
      <c r="AN208" t="inlineStr">
        <is>
          <t>Albuquerque</t>
        </is>
      </c>
      <c r="AO208" t="inlineStr">
        <is>
          <t>87111</t>
        </is>
      </c>
      <c r="AP208" t="inlineStr">
        <is>
          <t>NM</t>
        </is>
      </c>
      <c r="AR208" t="inlineStr">
        <is>
          <t>6100 Cortaderia St NE</t>
        </is>
      </c>
      <c r="AS208" t="inlineStr">
        <is>
          <t>apt 3326</t>
        </is>
      </c>
      <c r="AT208" t="inlineStr">
        <is>
          <t>Albuquerque</t>
        </is>
      </c>
      <c r="AU208" t="inlineStr">
        <is>
          <t>87111</t>
        </is>
      </c>
      <c r="AV208" t="inlineStr">
        <is>
          <t>NM</t>
        </is>
      </c>
      <c r="BB208" t="inlineStr">
        <is>
          <t>15/01/2026</t>
        </is>
      </c>
      <c r="BD208" t="inlineStr">
        <is>
          <t>Z4Y55Y33Y</t>
        </is>
      </c>
    </row>
    <row r="209" ht="15" customHeight="1" s="86">
      <c r="C209" t="inlineStr">
        <is>
          <t>David</t>
        </is>
      </c>
      <c r="D209" t="inlineStr">
        <is>
          <t>M</t>
        </is>
      </c>
      <c r="E209" t="inlineStr">
        <is>
          <t>Garo</t>
        </is>
      </c>
      <c r="G209" t="inlineStr">
        <is>
          <t>18/11/1969</t>
        </is>
      </c>
      <c r="H209" t="inlineStr">
        <is>
          <t>Not Specified</t>
        </is>
      </c>
      <c r="I209" t="inlineStr">
        <is>
          <t>539966262</t>
        </is>
      </c>
      <c r="K209" t="inlineStr">
        <is>
          <t>JJT8FPK58</t>
        </is>
      </c>
      <c r="M209" t="inlineStr">
        <is>
          <t>07/04/2025</t>
        </is>
      </c>
      <c r="N209" t="inlineStr">
        <is>
          <t>03/05/2025</t>
        </is>
      </c>
      <c r="R209" t="inlineStr">
        <is>
          <t>Hourly</t>
        </is>
      </c>
      <c r="X209" t="inlineStr">
        <is>
          <t>41</t>
        </is>
      </c>
      <c r="AF209" t="inlineStr">
        <is>
          <t>Non-exempt</t>
        </is>
      </c>
      <c r="AI209" t="inlineStr">
        <is>
          <t>ddgaro.remson@gmail.com</t>
        </is>
      </c>
      <c r="AJ209" t="inlineStr">
        <is>
          <t>ddgaro.remson@gmail.com</t>
        </is>
      </c>
      <c r="AL209" t="inlineStr">
        <is>
          <t>1401 Airport Drive Southwest</t>
        </is>
      </c>
      <c r="AN209" t="inlineStr">
        <is>
          <t>Albuquerque</t>
        </is>
      </c>
      <c r="AO209" t="inlineStr">
        <is>
          <t>87121</t>
        </is>
      </c>
      <c r="AP209" t="inlineStr">
        <is>
          <t>NM</t>
        </is>
      </c>
      <c r="AR209" t="inlineStr">
        <is>
          <t>1401 Airport Drive Southwest</t>
        </is>
      </c>
      <c r="AT209" t="inlineStr">
        <is>
          <t>Albuquerque</t>
        </is>
      </c>
      <c r="AU209" t="inlineStr">
        <is>
          <t>87121</t>
        </is>
      </c>
      <c r="AV209" t="inlineStr">
        <is>
          <t>NM</t>
        </is>
      </c>
      <c r="BB209" t="inlineStr">
        <is>
          <t>07/04/2025</t>
        </is>
      </c>
      <c r="BD209" t="inlineStr">
        <is>
          <t>DZWKT8LKB</t>
        </is>
      </c>
    </row>
    <row r="210" ht="15" customHeight="1" s="86">
      <c r="C210" t="inlineStr">
        <is>
          <t>Damian</t>
        </is>
      </c>
      <c r="E210" t="inlineStr">
        <is>
          <t>Ceja Rosales</t>
        </is>
      </c>
      <c r="G210" t="inlineStr">
        <is>
          <t>29/08/2001</t>
        </is>
      </c>
      <c r="H210" t="inlineStr">
        <is>
          <t>Male</t>
        </is>
      </c>
      <c r="I210" t="inlineStr">
        <is>
          <t>623273598</t>
        </is>
      </c>
      <c r="J210" t="inlineStr">
        <is>
          <t>No</t>
        </is>
      </c>
      <c r="K210" t="inlineStr">
        <is>
          <t>JNXD63ZI3</t>
        </is>
      </c>
      <c r="M210" t="inlineStr">
        <is>
          <t>19/10/2023</t>
        </is>
      </c>
      <c r="R210" t="inlineStr">
        <is>
          <t>Hourly</t>
        </is>
      </c>
      <c r="X210" t="inlineStr">
        <is>
          <t>24</t>
        </is>
      </c>
      <c r="AF210" t="inlineStr">
        <is>
          <t>Non-exempt</t>
        </is>
      </c>
      <c r="AJ210" t="inlineStr">
        <is>
          <t>drosales.remson@gmail.com</t>
        </is>
      </c>
      <c r="AL210" t="inlineStr">
        <is>
          <t>7827 Crepe Myrtle Rd Sw</t>
        </is>
      </c>
      <c r="AN210" t="inlineStr">
        <is>
          <t>Albuquerque</t>
        </is>
      </c>
      <c r="AO210" t="inlineStr">
        <is>
          <t>87121</t>
        </is>
      </c>
      <c r="AP210" t="inlineStr">
        <is>
          <t>NM</t>
        </is>
      </c>
      <c r="AR210" t="inlineStr">
        <is>
          <t>7827 Crepe Myrtle Rd Sw</t>
        </is>
      </c>
      <c r="AT210" t="inlineStr">
        <is>
          <t>Albuquerque</t>
        </is>
      </c>
      <c r="AU210" t="inlineStr">
        <is>
          <t>87121</t>
        </is>
      </c>
      <c r="AV210" t="inlineStr">
        <is>
          <t>NM</t>
        </is>
      </c>
      <c r="BB210" t="inlineStr">
        <is>
          <t>19/10/2023</t>
        </is>
      </c>
      <c r="BD210" t="inlineStr">
        <is>
          <t>DZWKT8LKB</t>
        </is>
      </c>
    </row>
    <row r="211" ht="15" customHeight="1" s="86">
      <c r="C211" t="inlineStr">
        <is>
          <t>Damian</t>
        </is>
      </c>
      <c r="E211" t="inlineStr">
        <is>
          <t>Ceja Rosales</t>
        </is>
      </c>
      <c r="G211" t="inlineStr">
        <is>
          <t>29/08/2001</t>
        </is>
      </c>
      <c r="H211" t="inlineStr">
        <is>
          <t>Male</t>
        </is>
      </c>
      <c r="I211" t="inlineStr">
        <is>
          <t>623273598</t>
        </is>
      </c>
      <c r="J211" t="inlineStr">
        <is>
          <t>No</t>
        </is>
      </c>
      <c r="K211" t="inlineStr">
        <is>
          <t>JNXD63ZI3</t>
        </is>
      </c>
      <c r="M211" t="inlineStr">
        <is>
          <t>19/10/2023</t>
        </is>
      </c>
      <c r="N211" t="inlineStr">
        <is>
          <t>08/12/2025</t>
        </is>
      </c>
      <c r="R211" t="inlineStr">
        <is>
          <t>Hourly</t>
        </is>
      </c>
      <c r="X211" t="inlineStr">
        <is>
          <t>24</t>
        </is>
      </c>
      <c r="AF211" t="inlineStr">
        <is>
          <t>Non-exempt</t>
        </is>
      </c>
      <c r="AJ211" t="inlineStr">
        <is>
          <t>drosales.remson@gmail.com</t>
        </is>
      </c>
      <c r="AL211" t="inlineStr">
        <is>
          <t>7827 Crepe Myrtle Rd Sw</t>
        </is>
      </c>
      <c r="AN211" t="inlineStr">
        <is>
          <t>Albuquerque</t>
        </is>
      </c>
      <c r="AO211" t="inlineStr">
        <is>
          <t>87121</t>
        </is>
      </c>
      <c r="AP211" t="inlineStr">
        <is>
          <t>NM</t>
        </is>
      </c>
      <c r="AR211" t="inlineStr">
        <is>
          <t>7827 Crepe Myrtle Rd Sw</t>
        </is>
      </c>
      <c r="AT211" t="inlineStr">
        <is>
          <t>Albuquerque</t>
        </is>
      </c>
      <c r="AU211" t="inlineStr">
        <is>
          <t>87121</t>
        </is>
      </c>
      <c r="AV211" t="inlineStr">
        <is>
          <t>NM</t>
        </is>
      </c>
      <c r="BB211" t="inlineStr">
        <is>
          <t>19/10/2023</t>
        </is>
      </c>
      <c r="BD211" t="inlineStr">
        <is>
          <t>DZWKT8LKB</t>
        </is>
      </c>
    </row>
    <row r="212" ht="15" customHeight="1" s="86">
      <c r="C212" t="inlineStr">
        <is>
          <t>Jacob</t>
        </is>
      </c>
      <c r="E212" t="inlineStr">
        <is>
          <t>Jones</t>
        </is>
      </c>
      <c r="G212" t="inlineStr">
        <is>
          <t>14/12/1996</t>
        </is>
      </c>
      <c r="H212" t="inlineStr">
        <is>
          <t>Not Specified</t>
        </is>
      </c>
      <c r="I212" t="inlineStr">
        <is>
          <t>649101391</t>
        </is>
      </c>
      <c r="J212" t="inlineStr">
        <is>
          <t>No</t>
        </is>
      </c>
      <c r="K212" t="inlineStr">
        <is>
          <t>JSV1QNL63</t>
        </is>
      </c>
      <c r="M212" t="inlineStr">
        <is>
          <t>10/12/2024</t>
        </is>
      </c>
      <c r="N212" t="inlineStr">
        <is>
          <t>23/02/2025</t>
        </is>
      </c>
      <c r="R212" t="inlineStr">
        <is>
          <t>Hourly</t>
        </is>
      </c>
      <c r="X212" t="inlineStr">
        <is>
          <t>41</t>
        </is>
      </c>
      <c r="AF212" t="inlineStr">
        <is>
          <t>Non-exempt</t>
        </is>
      </c>
      <c r="AI212" t="inlineStr">
        <is>
          <t>jjones.remson@gmail.com</t>
        </is>
      </c>
      <c r="AJ212" t="inlineStr">
        <is>
          <t>jjones.remson@gmail.com</t>
        </is>
      </c>
      <c r="AL212" t="inlineStr">
        <is>
          <t>Nha #77 Kiva Heights Hsg</t>
        </is>
      </c>
      <c r="AN212" t="inlineStr">
        <is>
          <t>Standing Rock</t>
        </is>
      </c>
      <c r="AO212" t="inlineStr">
        <is>
          <t>87313</t>
        </is>
      </c>
      <c r="AP212" t="inlineStr">
        <is>
          <t>NM</t>
        </is>
      </c>
      <c r="AR212" t="inlineStr">
        <is>
          <t>Nha #77 Kiva Heights Hsg</t>
        </is>
      </c>
      <c r="AT212" t="inlineStr">
        <is>
          <t>Standing Rock</t>
        </is>
      </c>
      <c r="AU212" t="inlineStr">
        <is>
          <t>87313</t>
        </is>
      </c>
      <c r="AV212" t="inlineStr">
        <is>
          <t>NM</t>
        </is>
      </c>
      <c r="BB212" t="inlineStr">
        <is>
          <t>10/12/2024</t>
        </is>
      </c>
    </row>
    <row r="213" ht="15" customHeight="1" s="86">
      <c r="C213" t="inlineStr">
        <is>
          <t>Kolton</t>
        </is>
      </c>
      <c r="E213" t="inlineStr">
        <is>
          <t>Key</t>
        </is>
      </c>
      <c r="G213" t="inlineStr">
        <is>
          <t>29/10/1998</t>
        </is>
      </c>
      <c r="H213" t="inlineStr">
        <is>
          <t>Not Specified</t>
        </is>
      </c>
      <c r="I213" t="inlineStr">
        <is>
          <t>600851446</t>
        </is>
      </c>
      <c r="K213" t="inlineStr">
        <is>
          <t>JW6JL634D</t>
        </is>
      </c>
      <c r="M213" t="inlineStr">
        <is>
          <t>27/10/2025</t>
        </is>
      </c>
      <c r="R213" t="inlineStr">
        <is>
          <t>Hourly</t>
        </is>
      </c>
      <c r="X213" t="inlineStr">
        <is>
          <t>21.5</t>
        </is>
      </c>
      <c r="AF213" t="inlineStr">
        <is>
          <t>Non-exempt</t>
        </is>
      </c>
      <c r="AI213" t="inlineStr">
        <is>
          <t>kkey.remson@gmail.com</t>
        </is>
      </c>
      <c r="AJ213" t="inlineStr">
        <is>
          <t>kkey.remson@gmail.com</t>
        </is>
      </c>
      <c r="AL213" t="inlineStr">
        <is>
          <t>5800 Osuna Rd Ne</t>
        </is>
      </c>
      <c r="AN213" t="inlineStr">
        <is>
          <t>Albuquerque</t>
        </is>
      </c>
      <c r="AO213" t="inlineStr">
        <is>
          <t>87109</t>
        </is>
      </c>
      <c r="AP213" t="inlineStr">
        <is>
          <t>NM</t>
        </is>
      </c>
      <c r="AR213" t="inlineStr">
        <is>
          <t>5800 Osuna Rd Ne</t>
        </is>
      </c>
      <c r="AT213" t="inlineStr">
        <is>
          <t>Albuquerque</t>
        </is>
      </c>
      <c r="AU213" t="inlineStr">
        <is>
          <t>87109</t>
        </is>
      </c>
      <c r="AV213" t="inlineStr">
        <is>
          <t>NM</t>
        </is>
      </c>
      <c r="BB213" t="inlineStr">
        <is>
          <t>27/10/2025</t>
        </is>
      </c>
    </row>
    <row r="214" ht="15" customHeight="1" s="86">
      <c r="C214" t="inlineStr">
        <is>
          <t>Kolton</t>
        </is>
      </c>
      <c r="E214" t="inlineStr">
        <is>
          <t>Key</t>
        </is>
      </c>
      <c r="G214" t="inlineStr">
        <is>
          <t>29/10/1998</t>
        </is>
      </c>
      <c r="H214" t="inlineStr">
        <is>
          <t>Not Specified</t>
        </is>
      </c>
      <c r="I214" t="inlineStr">
        <is>
          <t>600851446</t>
        </is>
      </c>
      <c r="K214" t="inlineStr">
        <is>
          <t>JW6JL634D</t>
        </is>
      </c>
      <c r="M214" t="inlineStr">
        <is>
          <t>27/10/2025</t>
        </is>
      </c>
      <c r="N214" t="inlineStr">
        <is>
          <t>08/12/2025</t>
        </is>
      </c>
      <c r="R214" t="inlineStr">
        <is>
          <t>Hourly</t>
        </is>
      </c>
      <c r="X214" t="inlineStr">
        <is>
          <t>21.5</t>
        </is>
      </c>
      <c r="AF214" t="inlineStr">
        <is>
          <t>Non-exempt</t>
        </is>
      </c>
      <c r="AI214" t="inlineStr">
        <is>
          <t>kkey.remson@gmail.com</t>
        </is>
      </c>
      <c r="AJ214" t="inlineStr">
        <is>
          <t>kkey.remson@gmail.com</t>
        </is>
      </c>
      <c r="AL214" t="inlineStr">
        <is>
          <t>5800 Osuna Rd Ne</t>
        </is>
      </c>
      <c r="AN214" t="inlineStr">
        <is>
          <t>Albuquerque</t>
        </is>
      </c>
      <c r="AO214" t="inlineStr">
        <is>
          <t>87109</t>
        </is>
      </c>
      <c r="AP214" t="inlineStr">
        <is>
          <t>NM</t>
        </is>
      </c>
      <c r="AR214" t="inlineStr">
        <is>
          <t>5800 Osuna Rd Ne</t>
        </is>
      </c>
      <c r="AT214" t="inlineStr">
        <is>
          <t>Albuquerque</t>
        </is>
      </c>
      <c r="AU214" t="inlineStr">
        <is>
          <t>87109</t>
        </is>
      </c>
      <c r="AV214" t="inlineStr">
        <is>
          <t>NM</t>
        </is>
      </c>
      <c r="BB214" t="inlineStr">
        <is>
          <t>27/10/2025</t>
        </is>
      </c>
      <c r="BD214" t="inlineStr">
        <is>
          <t>Z4Y55Y33Y</t>
        </is>
      </c>
    </row>
    <row r="215" ht="15" customHeight="1" s="86">
      <c r="C215" t="inlineStr">
        <is>
          <t>Gabriel</t>
        </is>
      </c>
      <c r="D215" t="inlineStr">
        <is>
          <t>A</t>
        </is>
      </c>
      <c r="E215" t="inlineStr">
        <is>
          <t>Montoya</t>
        </is>
      </c>
      <c r="G215" t="inlineStr">
        <is>
          <t>12/03/1998</t>
        </is>
      </c>
      <c r="H215" t="inlineStr">
        <is>
          <t>Not Specified</t>
        </is>
      </c>
      <c r="I215" t="inlineStr">
        <is>
          <t>649140553</t>
        </is>
      </c>
      <c r="K215" t="inlineStr">
        <is>
          <t>JWP6PF886</t>
        </is>
      </c>
      <c r="M215" t="inlineStr">
        <is>
          <t>07/04/2025</t>
        </is>
      </c>
      <c r="R215" t="inlineStr">
        <is>
          <t>Hourly</t>
        </is>
      </c>
      <c r="X215" t="inlineStr">
        <is>
          <t>21.65</t>
        </is>
      </c>
      <c r="AF215" t="inlineStr">
        <is>
          <t>Non-exempt</t>
        </is>
      </c>
      <c r="AJ215" t="inlineStr">
        <is>
          <t>gabemontoya.remson@gmail.com</t>
        </is>
      </c>
      <c r="AL215" t="inlineStr">
        <is>
          <t>601 Sandler Drive Northeast</t>
        </is>
      </c>
      <c r="AN215" t="inlineStr">
        <is>
          <t>Albuquerque</t>
        </is>
      </c>
      <c r="AO215" t="inlineStr">
        <is>
          <t>87123</t>
        </is>
      </c>
      <c r="AP215" t="inlineStr">
        <is>
          <t>NM</t>
        </is>
      </c>
      <c r="AR215" t="inlineStr">
        <is>
          <t>601 Sandler Drive Northeast</t>
        </is>
      </c>
      <c r="AT215" t="inlineStr">
        <is>
          <t>Albuquerque</t>
        </is>
      </c>
      <c r="AU215" t="inlineStr">
        <is>
          <t>87123</t>
        </is>
      </c>
      <c r="AV215" t="inlineStr">
        <is>
          <t>NM</t>
        </is>
      </c>
      <c r="BB215" t="inlineStr">
        <is>
          <t>07/04/2025</t>
        </is>
      </c>
    </row>
    <row r="216" ht="15" customHeight="1" s="86">
      <c r="C216" t="inlineStr">
        <is>
          <t>Gabriel</t>
        </is>
      </c>
      <c r="D216" t="inlineStr">
        <is>
          <t>A</t>
        </is>
      </c>
      <c r="E216" t="inlineStr">
        <is>
          <t>Montoya</t>
        </is>
      </c>
      <c r="G216" t="inlineStr">
        <is>
          <t>12/03/1998</t>
        </is>
      </c>
      <c r="H216" t="inlineStr">
        <is>
          <t>Not Specified</t>
        </is>
      </c>
      <c r="I216" t="inlineStr">
        <is>
          <t>649140553</t>
        </is>
      </c>
      <c r="K216" t="inlineStr">
        <is>
          <t>JWP6PF886</t>
        </is>
      </c>
      <c r="M216" t="inlineStr">
        <is>
          <t>07/04/2025</t>
        </is>
      </c>
      <c r="N216" t="inlineStr">
        <is>
          <t>08/12/2025</t>
        </is>
      </c>
      <c r="R216" t="inlineStr">
        <is>
          <t>Hourly</t>
        </is>
      </c>
      <c r="X216" t="inlineStr">
        <is>
          <t>21.65</t>
        </is>
      </c>
      <c r="AF216" t="inlineStr">
        <is>
          <t>Non-exempt</t>
        </is>
      </c>
      <c r="AJ216" t="inlineStr">
        <is>
          <t>gabemontoya.remson@gmail.com</t>
        </is>
      </c>
      <c r="AL216" t="inlineStr">
        <is>
          <t>601 Sandler Drive Northeast</t>
        </is>
      </c>
      <c r="AN216" t="inlineStr">
        <is>
          <t>Albuquerque</t>
        </is>
      </c>
      <c r="AO216" t="inlineStr">
        <is>
          <t>87123</t>
        </is>
      </c>
      <c r="AP216" t="inlineStr">
        <is>
          <t>NM</t>
        </is>
      </c>
      <c r="AR216" t="inlineStr">
        <is>
          <t>601 Sandler Drive Northeast</t>
        </is>
      </c>
      <c r="AT216" t="inlineStr">
        <is>
          <t>Albuquerque</t>
        </is>
      </c>
      <c r="AU216" t="inlineStr">
        <is>
          <t>87123</t>
        </is>
      </c>
      <c r="AV216" t="inlineStr">
        <is>
          <t>NM</t>
        </is>
      </c>
      <c r="BB216" t="inlineStr">
        <is>
          <t>07/04/2025</t>
        </is>
      </c>
      <c r="BD216" t="inlineStr">
        <is>
          <t>Z4Y55Y33Y</t>
        </is>
      </c>
    </row>
    <row r="217" ht="15" customHeight="1" s="86">
      <c r="C217" t="inlineStr">
        <is>
          <t>Ernest</t>
        </is>
      </c>
      <c r="E217" t="inlineStr">
        <is>
          <t>Montoya</t>
        </is>
      </c>
      <c r="G217" t="inlineStr">
        <is>
          <t>04/12/1993</t>
        </is>
      </c>
      <c r="H217" t="inlineStr">
        <is>
          <t>Male</t>
        </is>
      </c>
      <c r="I217" t="inlineStr">
        <is>
          <t>648017702</t>
        </is>
      </c>
      <c r="J217" t="inlineStr">
        <is>
          <t>No</t>
        </is>
      </c>
      <c r="K217" t="inlineStr">
        <is>
          <t>K7QEQWZ5E</t>
        </is>
      </c>
      <c r="M217" t="inlineStr">
        <is>
          <t>05/06/2024</t>
        </is>
      </c>
      <c r="N217" t="inlineStr">
        <is>
          <t>08/12/2025</t>
        </is>
      </c>
      <c r="R217" t="inlineStr">
        <is>
          <t>Hourly</t>
        </is>
      </c>
      <c r="X217" t="inlineStr">
        <is>
          <t>23</t>
        </is>
      </c>
      <c r="AF217" t="inlineStr">
        <is>
          <t>Non-exempt</t>
        </is>
      </c>
      <c r="AJ217" t="inlineStr">
        <is>
          <t>emontoya.remson@gmail.com</t>
        </is>
      </c>
      <c r="AL217" t="inlineStr">
        <is>
          <t>3521 Piermont Dr Ne</t>
        </is>
      </c>
      <c r="AN217" t="inlineStr">
        <is>
          <t>Albuquerque</t>
        </is>
      </c>
      <c r="AO217" t="inlineStr">
        <is>
          <t>87111</t>
        </is>
      </c>
      <c r="AP217" t="inlineStr">
        <is>
          <t>NM</t>
        </is>
      </c>
      <c r="AR217" t="inlineStr">
        <is>
          <t>3521 Piermont Dr Ne</t>
        </is>
      </c>
      <c r="AT217" t="inlineStr">
        <is>
          <t>Albuquerque</t>
        </is>
      </c>
      <c r="AU217" t="inlineStr">
        <is>
          <t>87111</t>
        </is>
      </c>
      <c r="AV217" t="inlineStr">
        <is>
          <t>NM</t>
        </is>
      </c>
      <c r="BB217" t="inlineStr">
        <is>
          <t>05/06/2024</t>
        </is>
      </c>
      <c r="BD217" t="inlineStr">
        <is>
          <t>Z4Y55Y33Y</t>
        </is>
      </c>
    </row>
    <row r="218" ht="15" customHeight="1" s="86">
      <c r="C218" t="inlineStr">
        <is>
          <t>Ernest</t>
        </is>
      </c>
      <c r="E218" t="inlineStr">
        <is>
          <t>Montoya</t>
        </is>
      </c>
      <c r="G218" t="inlineStr">
        <is>
          <t>04/12/1993</t>
        </is>
      </c>
      <c r="H218" t="inlineStr">
        <is>
          <t>Male</t>
        </is>
      </c>
      <c r="I218" t="inlineStr">
        <is>
          <t>648017702</t>
        </is>
      </c>
      <c r="J218" t="inlineStr">
        <is>
          <t>No</t>
        </is>
      </c>
      <c r="K218" t="inlineStr">
        <is>
          <t>K7QEQWZ5E</t>
        </is>
      </c>
      <c r="M218" t="inlineStr">
        <is>
          <t>05/06/2024</t>
        </is>
      </c>
      <c r="R218" t="inlineStr">
        <is>
          <t>Hourly</t>
        </is>
      </c>
      <c r="X218" t="inlineStr">
        <is>
          <t>23</t>
        </is>
      </c>
      <c r="AF218" t="inlineStr">
        <is>
          <t>Non-exempt</t>
        </is>
      </c>
      <c r="AJ218" t="inlineStr">
        <is>
          <t>emontoya.remson@gmail.com</t>
        </is>
      </c>
      <c r="AL218" t="inlineStr">
        <is>
          <t>3521 Piermont Dr Ne</t>
        </is>
      </c>
      <c r="AN218" t="inlineStr">
        <is>
          <t>Albuquerque</t>
        </is>
      </c>
      <c r="AO218" t="inlineStr">
        <is>
          <t>87111</t>
        </is>
      </c>
      <c r="AP218" t="inlineStr">
        <is>
          <t>NM</t>
        </is>
      </c>
      <c r="AR218" t="inlineStr">
        <is>
          <t>3521 Piermont Dr Ne</t>
        </is>
      </c>
      <c r="AT218" t="inlineStr">
        <is>
          <t>Albuquerque</t>
        </is>
      </c>
      <c r="AU218" t="inlineStr">
        <is>
          <t>87111</t>
        </is>
      </c>
      <c r="AV218" t="inlineStr">
        <is>
          <t>NM</t>
        </is>
      </c>
      <c r="BB218" t="inlineStr">
        <is>
          <t>05/06/2024</t>
        </is>
      </c>
    </row>
    <row r="219" ht="15" customHeight="1" s="86">
      <c r="C219" t="inlineStr">
        <is>
          <t>James</t>
        </is>
      </c>
      <c r="E219" t="inlineStr">
        <is>
          <t>Sandoval</t>
        </is>
      </c>
      <c r="G219" t="inlineStr">
        <is>
          <t>02/06/1990</t>
        </is>
      </c>
      <c r="H219" t="inlineStr">
        <is>
          <t>Male</t>
        </is>
      </c>
      <c r="I219" t="inlineStr">
        <is>
          <t>585870691</t>
        </is>
      </c>
      <c r="J219" t="inlineStr">
        <is>
          <t>No</t>
        </is>
      </c>
      <c r="K219" t="inlineStr">
        <is>
          <t>K89KQOCGQ</t>
        </is>
      </c>
      <c r="M219" t="inlineStr">
        <is>
          <t>01/12/2024</t>
        </is>
      </c>
      <c r="N219" t="inlineStr">
        <is>
          <t>07/06/2025</t>
        </is>
      </c>
      <c r="R219" t="inlineStr">
        <is>
          <t>Hourly</t>
        </is>
      </c>
      <c r="X219" t="inlineStr">
        <is>
          <t>41.3</t>
        </is>
      </c>
      <c r="AF219" t="inlineStr">
        <is>
          <t>Non-exempt</t>
        </is>
      </c>
      <c r="AI219" t="inlineStr">
        <is>
          <t>oso7242@gmail.com</t>
        </is>
      </c>
      <c r="AJ219" t="inlineStr">
        <is>
          <t>oso7242@gmail.com</t>
        </is>
      </c>
      <c r="AL219" t="inlineStr">
        <is>
          <t>1512 55Th St Nw</t>
        </is>
      </c>
      <c r="AN219" t="inlineStr">
        <is>
          <t>Albuquerque</t>
        </is>
      </c>
      <c r="AO219" t="inlineStr">
        <is>
          <t>87105</t>
        </is>
      </c>
      <c r="AP219" t="inlineStr">
        <is>
          <t>NM</t>
        </is>
      </c>
      <c r="AR219" t="inlineStr">
        <is>
          <t>1512 55Th St Nw</t>
        </is>
      </c>
      <c r="AT219" t="inlineStr">
        <is>
          <t>Albuquerque</t>
        </is>
      </c>
      <c r="AU219" t="inlineStr">
        <is>
          <t>87105</t>
        </is>
      </c>
      <c r="AV219" t="inlineStr">
        <is>
          <t>NM</t>
        </is>
      </c>
      <c r="BB219" t="inlineStr">
        <is>
          <t>01/12/2024</t>
        </is>
      </c>
    </row>
    <row r="220" ht="15" customHeight="1" s="86">
      <c r="C220" t="inlineStr">
        <is>
          <t>Darnell</t>
        </is>
      </c>
      <c r="E220" t="inlineStr">
        <is>
          <t>Hicks</t>
        </is>
      </c>
      <c r="G220" t="inlineStr">
        <is>
          <t>08/11/2002</t>
        </is>
      </c>
      <c r="H220" t="inlineStr">
        <is>
          <t>Male</t>
        </is>
      </c>
      <c r="I220" t="inlineStr">
        <is>
          <t>648307015</t>
        </is>
      </c>
      <c r="J220" t="inlineStr">
        <is>
          <t>No</t>
        </is>
      </c>
      <c r="K220" t="inlineStr">
        <is>
          <t>KINVCISOH</t>
        </is>
      </c>
      <c r="M220" t="inlineStr">
        <is>
          <t>06/01/2024</t>
        </is>
      </c>
      <c r="N220" t="inlineStr">
        <is>
          <t>04/02/2025</t>
        </is>
      </c>
      <c r="R220" t="inlineStr">
        <is>
          <t>Hourly</t>
        </is>
      </c>
      <c r="X220" t="inlineStr">
        <is>
          <t>42.2</t>
        </is>
      </c>
      <c r="AF220" t="inlineStr">
        <is>
          <t>Non-exempt</t>
        </is>
      </c>
      <c r="AI220" t="inlineStr">
        <is>
          <t>dhicks.remson@gmail.com</t>
        </is>
      </c>
      <c r="AJ220" t="inlineStr">
        <is>
          <t>dhicks.remson@gmail.com</t>
        </is>
      </c>
      <c r="AL220" t="inlineStr">
        <is>
          <t>8000 Montgomery Blvd Ne</t>
        </is>
      </c>
      <c r="AM220" t="inlineStr">
        <is>
          <t>305</t>
        </is>
      </c>
      <c r="AN220" t="inlineStr">
        <is>
          <t>Albuquerque</t>
        </is>
      </c>
      <c r="AO220" t="inlineStr">
        <is>
          <t>87109</t>
        </is>
      </c>
      <c r="AP220" t="inlineStr">
        <is>
          <t>NM</t>
        </is>
      </c>
      <c r="AR220" t="inlineStr">
        <is>
          <t>8000 Montgomery Blvd Ne</t>
        </is>
      </c>
      <c r="AS220" t="inlineStr">
        <is>
          <t>305</t>
        </is>
      </c>
      <c r="AT220" t="inlineStr">
        <is>
          <t>Albuquerque</t>
        </is>
      </c>
      <c r="AU220" t="inlineStr">
        <is>
          <t>87109</t>
        </is>
      </c>
      <c r="AV220" t="inlineStr">
        <is>
          <t>NM</t>
        </is>
      </c>
      <c r="BB220" t="inlineStr">
        <is>
          <t>06/01/2024</t>
        </is>
      </c>
      <c r="BD220" t="inlineStr">
        <is>
          <t>DZWKT8LKB</t>
        </is>
      </c>
    </row>
    <row r="221" ht="15" customHeight="1" s="86">
      <c r="C221" t="inlineStr">
        <is>
          <t>Eugene</t>
        </is>
      </c>
      <c r="E221" t="inlineStr">
        <is>
          <t>Martinez</t>
        </is>
      </c>
      <c r="G221" t="inlineStr">
        <is>
          <t>14/04/2002</t>
        </is>
      </c>
      <c r="H221" t="inlineStr">
        <is>
          <t>Not Specified</t>
        </is>
      </c>
      <c r="I221" t="inlineStr">
        <is>
          <t>648280603</t>
        </is>
      </c>
      <c r="K221" t="inlineStr">
        <is>
          <t>KNY2Y9LMD</t>
        </is>
      </c>
      <c r="M221" t="inlineStr">
        <is>
          <t>05/02/2026</t>
        </is>
      </c>
      <c r="R221" t="inlineStr">
        <is>
          <t>Hourly</t>
        </is>
      </c>
      <c r="X221" t="inlineStr">
        <is>
          <t>21.5</t>
        </is>
      </c>
      <c r="AF221" t="inlineStr">
        <is>
          <t>Non-exempt</t>
        </is>
      </c>
      <c r="AI221" t="inlineStr">
        <is>
          <t>eumartinez.remson@gmail.com</t>
        </is>
      </c>
      <c r="AJ221" t="inlineStr">
        <is>
          <t>eumartinez.remson@gmail.com</t>
        </is>
      </c>
      <c r="AL221" t="inlineStr">
        <is>
          <t>6804 Mayhill Court Northwest</t>
        </is>
      </c>
      <c r="AN221" t="inlineStr">
        <is>
          <t>Albuquerque</t>
        </is>
      </c>
      <c r="AO221" t="inlineStr">
        <is>
          <t>87120</t>
        </is>
      </c>
      <c r="AP221" t="inlineStr">
        <is>
          <t>NM</t>
        </is>
      </c>
      <c r="AR221" t="inlineStr">
        <is>
          <t>6804 Mayhill Court Northwest</t>
        </is>
      </c>
      <c r="AT221" t="inlineStr">
        <is>
          <t>Albuquerque</t>
        </is>
      </c>
      <c r="AU221" t="inlineStr">
        <is>
          <t>87120</t>
        </is>
      </c>
      <c r="AV221" t="inlineStr">
        <is>
          <t>NM</t>
        </is>
      </c>
      <c r="BB221" t="inlineStr">
        <is>
          <t>05/02/2026</t>
        </is>
      </c>
      <c r="BD221" t="inlineStr">
        <is>
          <t>Z4Y55Y33Y</t>
        </is>
      </c>
    </row>
    <row r="222" ht="15" customHeight="1" s="86">
      <c r="C222" t="inlineStr">
        <is>
          <t>Marissa</t>
        </is>
      </c>
      <c r="D222" t="inlineStr">
        <is>
          <t>S</t>
        </is>
      </c>
      <c r="E222" t="inlineStr">
        <is>
          <t>Romero</t>
        </is>
      </c>
      <c r="G222" t="inlineStr">
        <is>
          <t>29/05/1994</t>
        </is>
      </c>
      <c r="H222" t="inlineStr">
        <is>
          <t>Not Specified</t>
        </is>
      </c>
      <c r="I222" t="inlineStr">
        <is>
          <t>648035836</t>
        </is>
      </c>
      <c r="K222" t="inlineStr">
        <is>
          <t>KWWWVZAUA</t>
        </is>
      </c>
      <c r="M222" t="inlineStr">
        <is>
          <t>05/02/2026</t>
        </is>
      </c>
      <c r="R222" t="inlineStr">
        <is>
          <t>Hourly</t>
        </is>
      </c>
      <c r="X222" t="inlineStr">
        <is>
          <t>21.5</t>
        </is>
      </c>
      <c r="AF222" t="inlineStr">
        <is>
          <t>Non-exempt</t>
        </is>
      </c>
      <c r="AI222" t="inlineStr">
        <is>
          <t>marromero.remson@gmail.com</t>
        </is>
      </c>
      <c r="AJ222" t="inlineStr">
        <is>
          <t>marromero.remson@gmail.com</t>
        </is>
      </c>
      <c r="AL222" t="inlineStr">
        <is>
          <t>7043 2nd Street Northwest</t>
        </is>
      </c>
      <c r="AN222" t="inlineStr">
        <is>
          <t>Albuquerque</t>
        </is>
      </c>
      <c r="AO222" t="inlineStr">
        <is>
          <t>87107</t>
        </is>
      </c>
      <c r="AP222" t="inlineStr">
        <is>
          <t>NM</t>
        </is>
      </c>
      <c r="AR222" t="inlineStr">
        <is>
          <t>7043 2nd Street Northwest</t>
        </is>
      </c>
      <c r="AT222" t="inlineStr">
        <is>
          <t>Albuquerque</t>
        </is>
      </c>
      <c r="AU222" t="inlineStr">
        <is>
          <t>87107</t>
        </is>
      </c>
      <c r="AV222" t="inlineStr">
        <is>
          <t>NM</t>
        </is>
      </c>
      <c r="BB222" t="inlineStr">
        <is>
          <t>05/02/2026</t>
        </is>
      </c>
      <c r="BD222" t="inlineStr">
        <is>
          <t>Z4Y55Y33Y</t>
        </is>
      </c>
    </row>
    <row r="223" ht="15" customHeight="1" s="86">
      <c r="C223" t="inlineStr">
        <is>
          <t>Andrew</t>
        </is>
      </c>
      <c r="D223" t="inlineStr">
        <is>
          <t>A</t>
        </is>
      </c>
      <c r="E223" t="inlineStr">
        <is>
          <t>Jones</t>
        </is>
      </c>
      <c r="G223" t="inlineStr">
        <is>
          <t>21/08/1989</t>
        </is>
      </c>
      <c r="H223" t="inlineStr">
        <is>
          <t>Not Specified</t>
        </is>
      </c>
      <c r="I223" t="inlineStr">
        <is>
          <t>525831276</t>
        </is>
      </c>
      <c r="K223" t="inlineStr">
        <is>
          <t>LGGW74KDO</t>
        </is>
      </c>
      <c r="M223" t="inlineStr">
        <is>
          <t>02/03/2025</t>
        </is>
      </c>
      <c r="N223" t="inlineStr">
        <is>
          <t>10/05/2025</t>
        </is>
      </c>
      <c r="R223" t="inlineStr">
        <is>
          <t>Hourly</t>
        </is>
      </c>
      <c r="X223" t="inlineStr">
        <is>
          <t>41</t>
        </is>
      </c>
      <c r="AF223" t="inlineStr">
        <is>
          <t>Non-exempt</t>
        </is>
      </c>
      <c r="AI223" t="inlineStr">
        <is>
          <t>ajones.remson@gmail.com</t>
        </is>
      </c>
      <c r="AJ223" t="inlineStr">
        <is>
          <t>ajones.remson@gmail.com</t>
        </is>
      </c>
      <c r="AL223" t="inlineStr">
        <is>
          <t>12221 Kinley Avenue Northeast</t>
        </is>
      </c>
      <c r="AN223" t="inlineStr">
        <is>
          <t>Albuquerque</t>
        </is>
      </c>
      <c r="AO223" t="inlineStr">
        <is>
          <t>87112</t>
        </is>
      </c>
      <c r="AP223" t="inlineStr">
        <is>
          <t>NM</t>
        </is>
      </c>
      <c r="AR223" t="inlineStr">
        <is>
          <t>12221 Kinley Avenue Northeast</t>
        </is>
      </c>
      <c r="AT223" t="inlineStr">
        <is>
          <t>Albuquerque</t>
        </is>
      </c>
      <c r="AU223" t="inlineStr">
        <is>
          <t>87112</t>
        </is>
      </c>
      <c r="AV223" t="inlineStr">
        <is>
          <t>NM</t>
        </is>
      </c>
      <c r="BB223" t="inlineStr">
        <is>
          <t>02/03/2025</t>
        </is>
      </c>
      <c r="BD223" t="inlineStr">
        <is>
          <t>DZWKT8LKB</t>
        </is>
      </c>
    </row>
    <row r="224" ht="15" customHeight="1" s="86">
      <c r="C224" t="inlineStr">
        <is>
          <t>Preston</t>
        </is>
      </c>
      <c r="E224" t="inlineStr">
        <is>
          <t>Barbour</t>
        </is>
      </c>
      <c r="G224" t="inlineStr">
        <is>
          <t>01/08/2002</t>
        </is>
      </c>
      <c r="H224" t="inlineStr">
        <is>
          <t>Male</t>
        </is>
      </c>
      <c r="I224" t="inlineStr">
        <is>
          <t>212658645</t>
        </is>
      </c>
      <c r="J224" t="inlineStr">
        <is>
          <t>No</t>
        </is>
      </c>
      <c r="K224" t="inlineStr">
        <is>
          <t>LMSSOFKTQ</t>
        </is>
      </c>
      <c r="M224" t="inlineStr">
        <is>
          <t>26/05/2024</t>
        </is>
      </c>
      <c r="R224" t="inlineStr">
        <is>
          <t>Hourly</t>
        </is>
      </c>
      <c r="X224" t="inlineStr">
        <is>
          <t>21.9</t>
        </is>
      </c>
      <c r="AF224" t="inlineStr">
        <is>
          <t>Non-exempt</t>
        </is>
      </c>
      <c r="AJ224" t="inlineStr">
        <is>
          <t>pbarbour1.remson@gmail.com</t>
        </is>
      </c>
      <c r="AL224" t="inlineStr">
        <is>
          <t>1330 Louisiana Blvd Ne</t>
        </is>
      </c>
      <c r="AM224" t="inlineStr">
        <is>
          <t>305</t>
        </is>
      </c>
      <c r="AN224" t="inlineStr">
        <is>
          <t>Albuquerque</t>
        </is>
      </c>
      <c r="AO224" t="inlineStr">
        <is>
          <t>87110</t>
        </is>
      </c>
      <c r="AP224" t="inlineStr">
        <is>
          <t>NM</t>
        </is>
      </c>
      <c r="AR224" t="inlineStr">
        <is>
          <t>1330 Louisiana Blvd Ne</t>
        </is>
      </c>
      <c r="AS224" t="inlineStr">
        <is>
          <t>305</t>
        </is>
      </c>
      <c r="AT224" t="inlineStr">
        <is>
          <t>Albuquerque</t>
        </is>
      </c>
      <c r="AU224" t="inlineStr">
        <is>
          <t>87110</t>
        </is>
      </c>
      <c r="AV224" t="inlineStr">
        <is>
          <t>NM</t>
        </is>
      </c>
      <c r="BB224" t="inlineStr">
        <is>
          <t>26/05/2024</t>
        </is>
      </c>
    </row>
    <row r="225" ht="15" customHeight="1" s="86">
      <c r="C225" t="inlineStr">
        <is>
          <t>Preston</t>
        </is>
      </c>
      <c r="E225" t="inlineStr">
        <is>
          <t>Barbour</t>
        </is>
      </c>
      <c r="G225" t="inlineStr">
        <is>
          <t>01/08/2002</t>
        </is>
      </c>
      <c r="H225" t="inlineStr">
        <is>
          <t>Male</t>
        </is>
      </c>
      <c r="I225" t="inlineStr">
        <is>
          <t>212658645</t>
        </is>
      </c>
      <c r="J225" t="inlineStr">
        <is>
          <t>No</t>
        </is>
      </c>
      <c r="K225" t="inlineStr">
        <is>
          <t>LMSSOFKTQ</t>
        </is>
      </c>
      <c r="M225" t="inlineStr">
        <is>
          <t>26/05/2024</t>
        </is>
      </c>
      <c r="N225" t="inlineStr">
        <is>
          <t>08/12/2025</t>
        </is>
      </c>
      <c r="R225" t="inlineStr">
        <is>
          <t>Hourly</t>
        </is>
      </c>
      <c r="X225" t="inlineStr">
        <is>
          <t>21.9</t>
        </is>
      </c>
      <c r="AF225" t="inlineStr">
        <is>
          <t>Non-exempt</t>
        </is>
      </c>
      <c r="AJ225" t="inlineStr">
        <is>
          <t>pbarbour1.remson@gmail.com</t>
        </is>
      </c>
      <c r="AL225" t="inlineStr">
        <is>
          <t>1330 Louisiana Blvd Ne</t>
        </is>
      </c>
      <c r="AM225" t="inlineStr">
        <is>
          <t>305</t>
        </is>
      </c>
      <c r="AN225" t="inlineStr">
        <is>
          <t>Albuquerque</t>
        </is>
      </c>
      <c r="AO225" t="inlineStr">
        <is>
          <t>87110</t>
        </is>
      </c>
      <c r="AP225" t="inlineStr">
        <is>
          <t>NM</t>
        </is>
      </c>
      <c r="AR225" t="inlineStr">
        <is>
          <t>1330 Louisiana Blvd Ne</t>
        </is>
      </c>
      <c r="AS225" t="inlineStr">
        <is>
          <t>305</t>
        </is>
      </c>
      <c r="AT225" t="inlineStr">
        <is>
          <t>Albuquerque</t>
        </is>
      </c>
      <c r="AU225" t="inlineStr">
        <is>
          <t>87110</t>
        </is>
      </c>
      <c r="AV225" t="inlineStr">
        <is>
          <t>NM</t>
        </is>
      </c>
      <c r="BB225" t="inlineStr">
        <is>
          <t>26/05/2024</t>
        </is>
      </c>
      <c r="BD225" t="inlineStr">
        <is>
          <t>Z4Y55Y33Y</t>
        </is>
      </c>
    </row>
    <row r="226" ht="15" customHeight="1" s="86">
      <c r="C226" t="inlineStr">
        <is>
          <t>Daniel</t>
        </is>
      </c>
      <c r="D226" t="inlineStr">
        <is>
          <t>R</t>
        </is>
      </c>
      <c r="E226" t="inlineStr">
        <is>
          <t>Martinez</t>
        </is>
      </c>
      <c r="G226" t="inlineStr">
        <is>
          <t>18/09/1987</t>
        </is>
      </c>
      <c r="H226" t="inlineStr">
        <is>
          <t>Not Specified</t>
        </is>
      </c>
      <c r="I226" t="inlineStr">
        <is>
          <t>525858298</t>
        </is>
      </c>
      <c r="K226" t="inlineStr">
        <is>
          <t>LZVKEEXPA</t>
        </is>
      </c>
      <c r="M226" t="inlineStr">
        <is>
          <t>10/10/2025</t>
        </is>
      </c>
      <c r="N226" t="inlineStr">
        <is>
          <t>08/12/2025</t>
        </is>
      </c>
      <c r="R226" t="inlineStr">
        <is>
          <t>Hourly</t>
        </is>
      </c>
      <c r="X226" t="inlineStr">
        <is>
          <t>21.5</t>
        </is>
      </c>
      <c r="AF226" t="inlineStr">
        <is>
          <t>Non-exempt</t>
        </is>
      </c>
      <c r="AI226" t="inlineStr">
        <is>
          <t>damartinez.remson@gmail.com</t>
        </is>
      </c>
      <c r="AJ226" t="inlineStr">
        <is>
          <t>damartinez.remson@gmail.com</t>
        </is>
      </c>
      <c r="AL226" t="inlineStr">
        <is>
          <t>7220 Mojave Street Northwest</t>
        </is>
      </c>
      <c r="AN226" t="inlineStr">
        <is>
          <t>Albuquerque</t>
        </is>
      </c>
      <c r="AO226" t="inlineStr">
        <is>
          <t>87120</t>
        </is>
      </c>
      <c r="AP226" t="inlineStr">
        <is>
          <t>NM</t>
        </is>
      </c>
      <c r="AR226" t="inlineStr">
        <is>
          <t>7220 Mojave Street Northwest</t>
        </is>
      </c>
      <c r="AT226" t="inlineStr">
        <is>
          <t>Albuquerque</t>
        </is>
      </c>
      <c r="AU226" t="inlineStr">
        <is>
          <t>87120</t>
        </is>
      </c>
      <c r="AV226" t="inlineStr">
        <is>
          <t>NM</t>
        </is>
      </c>
      <c r="BB226" t="inlineStr">
        <is>
          <t>10/10/2025</t>
        </is>
      </c>
      <c r="BD226" t="inlineStr">
        <is>
          <t>Z4Y55Y33Y</t>
        </is>
      </c>
    </row>
    <row r="227" ht="15" customHeight="1" s="86">
      <c r="C227" t="inlineStr">
        <is>
          <t>Daniel</t>
        </is>
      </c>
      <c r="D227" t="inlineStr">
        <is>
          <t>R</t>
        </is>
      </c>
      <c r="E227" t="inlineStr">
        <is>
          <t>Martinez</t>
        </is>
      </c>
      <c r="G227" t="inlineStr">
        <is>
          <t>18/09/1987</t>
        </is>
      </c>
      <c r="H227" t="inlineStr">
        <is>
          <t>Not Specified</t>
        </is>
      </c>
      <c r="I227" t="inlineStr">
        <is>
          <t>525858298</t>
        </is>
      </c>
      <c r="K227" t="inlineStr">
        <is>
          <t>LZVKEEXPA</t>
        </is>
      </c>
      <c r="M227" t="inlineStr">
        <is>
          <t>10/10/2025</t>
        </is>
      </c>
      <c r="N227" t="inlineStr">
        <is>
          <t>31/01/2026</t>
        </is>
      </c>
      <c r="R227" t="inlineStr">
        <is>
          <t>Hourly</t>
        </is>
      </c>
      <c r="X227" t="inlineStr">
        <is>
          <t>21.5</t>
        </is>
      </c>
      <c r="AF227" t="inlineStr">
        <is>
          <t>Non-exempt</t>
        </is>
      </c>
      <c r="AI227" t="inlineStr">
        <is>
          <t>damartinez.remson@gmail.com</t>
        </is>
      </c>
      <c r="AJ227" t="inlineStr">
        <is>
          <t>damartinez.remson@gmail.com</t>
        </is>
      </c>
      <c r="AL227" t="inlineStr">
        <is>
          <t>7220 Mojave Street Northwest</t>
        </is>
      </c>
      <c r="AN227" t="inlineStr">
        <is>
          <t>Albuquerque</t>
        </is>
      </c>
      <c r="AO227" t="inlineStr">
        <is>
          <t>87120</t>
        </is>
      </c>
      <c r="AP227" t="inlineStr">
        <is>
          <t>NM</t>
        </is>
      </c>
      <c r="AR227" t="inlineStr">
        <is>
          <t>7220 Mojave Street Northwest</t>
        </is>
      </c>
      <c r="AT227" t="inlineStr">
        <is>
          <t>Albuquerque</t>
        </is>
      </c>
      <c r="AU227" t="inlineStr">
        <is>
          <t>87120</t>
        </is>
      </c>
      <c r="AV227" t="inlineStr">
        <is>
          <t>NM</t>
        </is>
      </c>
      <c r="BB227" t="inlineStr">
        <is>
          <t>10/10/2025</t>
        </is>
      </c>
    </row>
    <row r="228" ht="15" customHeight="1" s="86">
      <c r="C228" t="inlineStr">
        <is>
          <t>Joe</t>
        </is>
      </c>
      <c r="E228" t="inlineStr">
        <is>
          <t>Herrera</t>
        </is>
      </c>
      <c r="G228" t="inlineStr">
        <is>
          <t>09/03/1994</t>
        </is>
      </c>
      <c r="H228" t="inlineStr">
        <is>
          <t>Male</t>
        </is>
      </c>
      <c r="I228" t="inlineStr">
        <is>
          <t>649016008</t>
        </is>
      </c>
      <c r="J228" t="inlineStr">
        <is>
          <t>No</t>
        </is>
      </c>
      <c r="K228" t="inlineStr">
        <is>
          <t>M059HMCDM</t>
        </is>
      </c>
      <c r="M228" t="inlineStr">
        <is>
          <t>09/01/2024</t>
        </is>
      </c>
      <c r="R228" t="inlineStr">
        <is>
          <t>Hourly</t>
        </is>
      </c>
      <c r="X228" t="inlineStr">
        <is>
          <t>22.35</t>
        </is>
      </c>
      <c r="AF228" t="inlineStr">
        <is>
          <t>Non-exempt</t>
        </is>
      </c>
      <c r="AJ228" t="inlineStr">
        <is>
          <t>jherrera.remson@gmail.com</t>
        </is>
      </c>
      <c r="AL228" t="inlineStr">
        <is>
          <t>130 48Th Street Sw</t>
        </is>
      </c>
      <c r="AN228" t="inlineStr">
        <is>
          <t>Albuquerque</t>
        </is>
      </c>
      <c r="AO228" t="inlineStr">
        <is>
          <t>87105</t>
        </is>
      </c>
      <c r="AP228" t="inlineStr">
        <is>
          <t>NM</t>
        </is>
      </c>
      <c r="AR228" t="inlineStr">
        <is>
          <t>130 48Th Street Sw</t>
        </is>
      </c>
      <c r="AT228" t="inlineStr">
        <is>
          <t>Albuquerque</t>
        </is>
      </c>
      <c r="AU228" t="inlineStr">
        <is>
          <t>87105</t>
        </is>
      </c>
      <c r="AV228" t="inlineStr">
        <is>
          <t>NM</t>
        </is>
      </c>
      <c r="BB228" t="inlineStr">
        <is>
          <t>09/01/2024</t>
        </is>
      </c>
    </row>
    <row r="229" ht="15" customHeight="1" s="86">
      <c r="C229" t="inlineStr">
        <is>
          <t>Joe</t>
        </is>
      </c>
      <c r="E229" t="inlineStr">
        <is>
          <t>Herrera</t>
        </is>
      </c>
      <c r="G229" t="inlineStr">
        <is>
          <t>09/03/1994</t>
        </is>
      </c>
      <c r="H229" t="inlineStr">
        <is>
          <t>Male</t>
        </is>
      </c>
      <c r="I229" t="inlineStr">
        <is>
          <t>649016008</t>
        </is>
      </c>
      <c r="J229" t="inlineStr">
        <is>
          <t>No</t>
        </is>
      </c>
      <c r="K229" t="inlineStr">
        <is>
          <t>M059HMCDM</t>
        </is>
      </c>
      <c r="M229" t="inlineStr">
        <is>
          <t>09/01/2024</t>
        </is>
      </c>
      <c r="N229" t="inlineStr">
        <is>
          <t>08/12/2025</t>
        </is>
      </c>
      <c r="R229" t="inlineStr">
        <is>
          <t>Hourly</t>
        </is>
      </c>
      <c r="X229" t="inlineStr">
        <is>
          <t>22.35</t>
        </is>
      </c>
      <c r="AF229" t="inlineStr">
        <is>
          <t>Non-exempt</t>
        </is>
      </c>
      <c r="AJ229" t="inlineStr">
        <is>
          <t>jherrera.remson@gmail.com</t>
        </is>
      </c>
      <c r="AL229" t="inlineStr">
        <is>
          <t>130 48Th Street Sw</t>
        </is>
      </c>
      <c r="AN229" t="inlineStr">
        <is>
          <t>Albuquerque</t>
        </is>
      </c>
      <c r="AO229" t="inlineStr">
        <is>
          <t>87105</t>
        </is>
      </c>
      <c r="AP229" t="inlineStr">
        <is>
          <t>NM</t>
        </is>
      </c>
      <c r="AR229" t="inlineStr">
        <is>
          <t>130 48Th Street Sw</t>
        </is>
      </c>
      <c r="AT229" t="inlineStr">
        <is>
          <t>Albuquerque</t>
        </is>
      </c>
      <c r="AU229" t="inlineStr">
        <is>
          <t>87105</t>
        </is>
      </c>
      <c r="AV229" t="inlineStr">
        <is>
          <t>NM</t>
        </is>
      </c>
      <c r="BB229" t="inlineStr">
        <is>
          <t>09/01/2024</t>
        </is>
      </c>
      <c r="BD229" t="inlineStr">
        <is>
          <t>Z4Y55Y33Y</t>
        </is>
      </c>
    </row>
    <row r="230" ht="15" customHeight="1" s="86">
      <c r="C230" t="inlineStr">
        <is>
          <t xml:space="preserve">David Anthony </t>
        </is>
      </c>
      <c r="E230" t="inlineStr">
        <is>
          <t>Baldonado Jr</t>
        </is>
      </c>
      <c r="G230" t="inlineStr">
        <is>
          <t>21/02/2002</t>
        </is>
      </c>
      <c r="H230" t="inlineStr">
        <is>
          <t>Male</t>
        </is>
      </c>
      <c r="I230" t="inlineStr">
        <is>
          <t>649265814</t>
        </is>
      </c>
      <c r="J230" t="inlineStr">
        <is>
          <t>No</t>
        </is>
      </c>
      <c r="K230" t="inlineStr">
        <is>
          <t>M635F7CYK</t>
        </is>
      </c>
      <c r="M230" t="inlineStr">
        <is>
          <t>16/06/2025</t>
        </is>
      </c>
      <c r="R230" t="inlineStr">
        <is>
          <t>Hourly</t>
        </is>
      </c>
      <c r="X230" t="inlineStr">
        <is>
          <t>22.2</t>
        </is>
      </c>
      <c r="AF230" t="inlineStr">
        <is>
          <t>Non-exempt</t>
        </is>
      </c>
      <c r="AI230" t="inlineStr">
        <is>
          <t>davidb762.remson@gmail.com</t>
        </is>
      </c>
      <c r="AJ230" t="inlineStr">
        <is>
          <t xml:space="preserve">  davidb762.remson@gmail.com</t>
        </is>
      </c>
      <c r="AL230" t="inlineStr">
        <is>
          <t>6324 Amberside Rd Nw</t>
        </is>
      </c>
      <c r="AN230" t="inlineStr">
        <is>
          <t>Albuquerque</t>
        </is>
      </c>
      <c r="AO230" t="inlineStr">
        <is>
          <t>87120</t>
        </is>
      </c>
      <c r="AP230" t="inlineStr">
        <is>
          <t>NM</t>
        </is>
      </c>
      <c r="AR230" t="inlineStr">
        <is>
          <t>6324 Amberside Rd Nw</t>
        </is>
      </c>
      <c r="AT230" t="inlineStr">
        <is>
          <t>Albuquerque</t>
        </is>
      </c>
      <c r="AU230" t="inlineStr">
        <is>
          <t>87120</t>
        </is>
      </c>
      <c r="AV230" t="inlineStr">
        <is>
          <t>NM</t>
        </is>
      </c>
      <c r="BB230" t="inlineStr">
        <is>
          <t>06/11/2023</t>
        </is>
      </c>
    </row>
    <row r="231" ht="15" customHeight="1" s="86">
      <c r="C231" t="inlineStr">
        <is>
          <t xml:space="preserve">David Anthony </t>
        </is>
      </c>
      <c r="E231" t="inlineStr">
        <is>
          <t>Baldonado Jr</t>
        </is>
      </c>
      <c r="G231" t="inlineStr">
        <is>
          <t>21/02/2002</t>
        </is>
      </c>
      <c r="H231" t="inlineStr">
        <is>
          <t>Male</t>
        </is>
      </c>
      <c r="I231" t="inlineStr">
        <is>
          <t>649265814</t>
        </is>
      </c>
      <c r="J231" t="inlineStr">
        <is>
          <t>No</t>
        </is>
      </c>
      <c r="K231" t="inlineStr">
        <is>
          <t>M635F7CYK</t>
        </is>
      </c>
      <c r="M231" t="inlineStr">
        <is>
          <t>16/06/2025</t>
        </is>
      </c>
      <c r="N231" t="inlineStr">
        <is>
          <t>08/12/2025</t>
        </is>
      </c>
      <c r="R231" t="inlineStr">
        <is>
          <t>Hourly</t>
        </is>
      </c>
      <c r="X231" t="inlineStr">
        <is>
          <t>22.2</t>
        </is>
      </c>
      <c r="AF231" t="inlineStr">
        <is>
          <t>Non-exempt</t>
        </is>
      </c>
      <c r="AI231" t="inlineStr">
        <is>
          <t>davidb762.remson@gmail.com</t>
        </is>
      </c>
      <c r="AJ231" t="inlineStr">
        <is>
          <t xml:space="preserve">  davidb762.remson@gmail.com</t>
        </is>
      </c>
      <c r="AL231" t="inlineStr">
        <is>
          <t>6324 Amberside Rd Nw</t>
        </is>
      </c>
      <c r="AN231" t="inlineStr">
        <is>
          <t>Albuquerque</t>
        </is>
      </c>
      <c r="AO231" t="inlineStr">
        <is>
          <t>87120</t>
        </is>
      </c>
      <c r="AP231" t="inlineStr">
        <is>
          <t>NM</t>
        </is>
      </c>
      <c r="AR231" t="inlineStr">
        <is>
          <t>6324 Amberside Rd Nw</t>
        </is>
      </c>
      <c r="AT231" t="inlineStr">
        <is>
          <t>Albuquerque</t>
        </is>
      </c>
      <c r="AU231" t="inlineStr">
        <is>
          <t>87120</t>
        </is>
      </c>
      <c r="AV231" t="inlineStr">
        <is>
          <t>NM</t>
        </is>
      </c>
      <c r="BB231" t="inlineStr">
        <is>
          <t>06/11/2023</t>
        </is>
      </c>
      <c r="BD231" t="inlineStr">
        <is>
          <t>Z4Y55Y33Y</t>
        </is>
      </c>
    </row>
    <row r="232" ht="15" customHeight="1" s="86">
      <c r="C232" t="inlineStr">
        <is>
          <t>Adrian</t>
        </is>
      </c>
      <c r="E232" t="inlineStr">
        <is>
          <t>Ortiz</t>
        </is>
      </c>
      <c r="G232" t="inlineStr">
        <is>
          <t>19/03/2002</t>
        </is>
      </c>
      <c r="H232" t="inlineStr">
        <is>
          <t>Male</t>
        </is>
      </c>
      <c r="I232" t="inlineStr">
        <is>
          <t>885276363</t>
        </is>
      </c>
      <c r="J232" t="inlineStr">
        <is>
          <t>No</t>
        </is>
      </c>
      <c r="K232" t="inlineStr">
        <is>
          <t>MBTVY4PZC</t>
        </is>
      </c>
      <c r="M232" t="inlineStr">
        <is>
          <t>04/03/2024</t>
        </is>
      </c>
      <c r="N232" t="inlineStr">
        <is>
          <t>28/06/2025</t>
        </is>
      </c>
      <c r="R232" t="inlineStr">
        <is>
          <t>Hourly</t>
        </is>
      </c>
      <c r="X232" t="inlineStr">
        <is>
          <t>42.2</t>
        </is>
      </c>
      <c r="AF232" t="inlineStr">
        <is>
          <t>Non-exempt</t>
        </is>
      </c>
      <c r="AI232" t="inlineStr">
        <is>
          <t>aortiz.remson@gmail.com</t>
        </is>
      </c>
      <c r="AJ232" t="inlineStr">
        <is>
          <t>aortiz.remson@gmail.com</t>
        </is>
      </c>
      <c r="AL232" t="inlineStr">
        <is>
          <t>3000 Aztec Rd Ne</t>
        </is>
      </c>
      <c r="AM232" t="inlineStr">
        <is>
          <t>14</t>
        </is>
      </c>
      <c r="AN232" t="inlineStr">
        <is>
          <t>Albuquerque</t>
        </is>
      </c>
      <c r="AO232" t="inlineStr">
        <is>
          <t>87107</t>
        </is>
      </c>
      <c r="AP232" t="inlineStr">
        <is>
          <t>NM</t>
        </is>
      </c>
      <c r="AR232" t="inlineStr">
        <is>
          <t>3000 Aztec Rd Ne</t>
        </is>
      </c>
      <c r="AS232" t="inlineStr">
        <is>
          <t>14</t>
        </is>
      </c>
      <c r="AT232" t="inlineStr">
        <is>
          <t>Albuquerque</t>
        </is>
      </c>
      <c r="AU232" t="inlineStr">
        <is>
          <t>87107</t>
        </is>
      </c>
      <c r="AV232" t="inlineStr">
        <is>
          <t>NM</t>
        </is>
      </c>
      <c r="BB232" t="inlineStr">
        <is>
          <t>04/03/2024</t>
        </is>
      </c>
    </row>
    <row r="233" ht="15" customHeight="1" s="86">
      <c r="C233" t="inlineStr">
        <is>
          <t>Antonio</t>
        </is>
      </c>
      <c r="E233" t="inlineStr">
        <is>
          <t>Griego</t>
        </is>
      </c>
      <c r="G233" t="inlineStr">
        <is>
          <t>18/03/1997</t>
        </is>
      </c>
      <c r="H233" t="inlineStr">
        <is>
          <t>Male</t>
        </is>
      </c>
      <c r="I233" t="inlineStr">
        <is>
          <t>648120437</t>
        </is>
      </c>
      <c r="J233" t="inlineStr">
        <is>
          <t>No</t>
        </is>
      </c>
      <c r="K233" t="inlineStr">
        <is>
          <t>MFJUVUXDC</t>
        </is>
      </c>
      <c r="M233" t="inlineStr">
        <is>
          <t>05/01/2025</t>
        </is>
      </c>
      <c r="N233" t="inlineStr">
        <is>
          <t>18/06/2025</t>
        </is>
      </c>
      <c r="R233" t="inlineStr">
        <is>
          <t>Hourly</t>
        </is>
      </c>
      <c r="X233" t="inlineStr">
        <is>
          <t>41.3</t>
        </is>
      </c>
      <c r="AF233" t="inlineStr">
        <is>
          <t>Non-exempt</t>
        </is>
      </c>
      <c r="AI233" t="inlineStr">
        <is>
          <t>agriego.remson@gmail.com</t>
        </is>
      </c>
      <c r="AJ233" t="inlineStr">
        <is>
          <t>agriego.remson@gmail.com</t>
        </is>
      </c>
      <c r="AL233" t="inlineStr">
        <is>
          <t>511 Iron Ave Sw</t>
        </is>
      </c>
      <c r="AN233" t="inlineStr">
        <is>
          <t>Albuquerque</t>
        </is>
      </c>
      <c r="AO233" t="inlineStr">
        <is>
          <t>87102</t>
        </is>
      </c>
      <c r="AP233" t="inlineStr">
        <is>
          <t>NM</t>
        </is>
      </c>
      <c r="AR233" t="inlineStr">
        <is>
          <t>511 Iron Ave Sw</t>
        </is>
      </c>
      <c r="AT233" t="inlineStr">
        <is>
          <t>Albuquerque</t>
        </is>
      </c>
      <c r="AU233" t="inlineStr">
        <is>
          <t>87102</t>
        </is>
      </c>
      <c r="AV233" t="inlineStr">
        <is>
          <t>NM</t>
        </is>
      </c>
      <c r="BB233" t="inlineStr">
        <is>
          <t>05/01/2025</t>
        </is>
      </c>
    </row>
    <row r="234" ht="15" customHeight="1" s="86">
      <c r="C234" t="inlineStr">
        <is>
          <t>Casey</t>
        </is>
      </c>
      <c r="D234" t="inlineStr">
        <is>
          <t>M</t>
        </is>
      </c>
      <c r="E234" t="inlineStr">
        <is>
          <t>Kress</t>
        </is>
      </c>
      <c r="G234" t="inlineStr">
        <is>
          <t>17/12/1998</t>
        </is>
      </c>
      <c r="H234" t="inlineStr">
        <is>
          <t>Not Specified</t>
        </is>
      </c>
      <c r="I234" t="inlineStr">
        <is>
          <t>680124524</t>
        </is>
      </c>
      <c r="K234" t="inlineStr">
        <is>
          <t>MIO1LQ5Q4</t>
        </is>
      </c>
      <c r="M234" t="inlineStr">
        <is>
          <t>14/04/2025</t>
        </is>
      </c>
      <c r="R234" t="inlineStr">
        <is>
          <t>Hourly</t>
        </is>
      </c>
      <c r="X234" t="inlineStr">
        <is>
          <t>21.65</t>
        </is>
      </c>
      <c r="AF234" t="inlineStr">
        <is>
          <t>Non-exempt</t>
        </is>
      </c>
      <c r="AJ234" t="inlineStr">
        <is>
          <t>ckress.remson@gmail.com</t>
        </is>
      </c>
      <c r="AL234" t="inlineStr">
        <is>
          <t>8620 liberty dr NE</t>
        </is>
      </c>
      <c r="AN234" t="inlineStr">
        <is>
          <t>Albuquerque</t>
        </is>
      </c>
      <c r="AO234" t="inlineStr">
        <is>
          <t>87109</t>
        </is>
      </c>
      <c r="AP234" t="inlineStr">
        <is>
          <t>NM</t>
        </is>
      </c>
      <c r="AR234" t="inlineStr">
        <is>
          <t>8620 liberty dr NE</t>
        </is>
      </c>
      <c r="AT234" t="inlineStr">
        <is>
          <t>Albuquerque</t>
        </is>
      </c>
      <c r="AU234" t="inlineStr">
        <is>
          <t>87109</t>
        </is>
      </c>
      <c r="AV234" t="inlineStr">
        <is>
          <t>NM</t>
        </is>
      </c>
      <c r="BB234" t="inlineStr">
        <is>
          <t>14/04/2025</t>
        </is>
      </c>
    </row>
    <row r="235" ht="15" customHeight="1" s="86">
      <c r="C235" t="inlineStr">
        <is>
          <t>Casey</t>
        </is>
      </c>
      <c r="D235" t="inlineStr">
        <is>
          <t>M</t>
        </is>
      </c>
      <c r="E235" t="inlineStr">
        <is>
          <t>Kress</t>
        </is>
      </c>
      <c r="G235" t="inlineStr">
        <is>
          <t>17/12/1998</t>
        </is>
      </c>
      <c r="H235" t="inlineStr">
        <is>
          <t>Not Specified</t>
        </is>
      </c>
      <c r="I235" t="inlineStr">
        <is>
          <t>680124524</t>
        </is>
      </c>
      <c r="K235" t="inlineStr">
        <is>
          <t>MIO1LQ5Q4</t>
        </is>
      </c>
      <c r="M235" t="inlineStr">
        <is>
          <t>14/04/2025</t>
        </is>
      </c>
      <c r="N235" t="inlineStr">
        <is>
          <t>08/12/2025</t>
        </is>
      </c>
      <c r="R235" t="inlineStr">
        <is>
          <t>Hourly</t>
        </is>
      </c>
      <c r="X235" t="inlineStr">
        <is>
          <t>21.65</t>
        </is>
      </c>
      <c r="AF235" t="inlineStr">
        <is>
          <t>Non-exempt</t>
        </is>
      </c>
      <c r="AJ235" t="inlineStr">
        <is>
          <t>ckress.remson@gmail.com</t>
        </is>
      </c>
      <c r="AL235" t="inlineStr">
        <is>
          <t>8620 liberty dr NE</t>
        </is>
      </c>
      <c r="AN235" t="inlineStr">
        <is>
          <t>Albuquerque</t>
        </is>
      </c>
      <c r="AO235" t="inlineStr">
        <is>
          <t>87109</t>
        </is>
      </c>
      <c r="AP235" t="inlineStr">
        <is>
          <t>NM</t>
        </is>
      </c>
      <c r="AR235" t="inlineStr">
        <is>
          <t>8620 liberty dr NE</t>
        </is>
      </c>
      <c r="AT235" t="inlineStr">
        <is>
          <t>Albuquerque</t>
        </is>
      </c>
      <c r="AU235" t="inlineStr">
        <is>
          <t>87109</t>
        </is>
      </c>
      <c r="AV235" t="inlineStr">
        <is>
          <t>NM</t>
        </is>
      </c>
      <c r="BB235" t="inlineStr">
        <is>
          <t>14/04/2025</t>
        </is>
      </c>
      <c r="BD235" t="inlineStr">
        <is>
          <t>Z4Y55Y33Y</t>
        </is>
      </c>
    </row>
    <row r="236" ht="15" customHeight="1" s="86">
      <c r="C236" t="inlineStr">
        <is>
          <t>Victoria</t>
        </is>
      </c>
      <c r="D236" t="inlineStr">
        <is>
          <t>H</t>
        </is>
      </c>
      <c r="E236" t="inlineStr">
        <is>
          <t>Salas</t>
        </is>
      </c>
      <c r="G236" t="inlineStr">
        <is>
          <t>10/02/1999</t>
        </is>
      </c>
      <c r="H236" t="inlineStr">
        <is>
          <t>Female</t>
        </is>
      </c>
      <c r="I236" t="inlineStr">
        <is>
          <t>649167920</t>
        </is>
      </c>
      <c r="J236" t="inlineStr">
        <is>
          <t>No</t>
        </is>
      </c>
      <c r="K236" t="inlineStr">
        <is>
          <t>MJ83SX6PN</t>
        </is>
      </c>
      <c r="M236" t="inlineStr">
        <is>
          <t>17/10/2023</t>
        </is>
      </c>
      <c r="N236" t="inlineStr">
        <is>
          <t>21/03/2025</t>
        </is>
      </c>
      <c r="R236" t="inlineStr">
        <is>
          <t>Hourly</t>
        </is>
      </c>
      <c r="X236" t="inlineStr">
        <is>
          <t>42.52</t>
        </is>
      </c>
      <c r="AF236" t="inlineStr">
        <is>
          <t>Non-exempt</t>
        </is>
      </c>
      <c r="AI236" t="inlineStr">
        <is>
          <t>vsalas.remson@gmail.com</t>
        </is>
      </c>
      <c r="AJ236" t="inlineStr">
        <is>
          <t>vsalas.remson@gmail.com</t>
        </is>
      </c>
      <c r="AL236" t="inlineStr">
        <is>
          <t>601 90Th St Nw Apt 6202</t>
        </is>
      </c>
      <c r="AN236" t="inlineStr">
        <is>
          <t>Albuquerque</t>
        </is>
      </c>
      <c r="AO236" t="inlineStr">
        <is>
          <t>87121</t>
        </is>
      </c>
      <c r="AP236" t="inlineStr">
        <is>
          <t>NM</t>
        </is>
      </c>
      <c r="AR236" t="inlineStr">
        <is>
          <t>601 90Th St Nw Apt 6202</t>
        </is>
      </c>
      <c r="AT236" t="inlineStr">
        <is>
          <t>Albuquerque</t>
        </is>
      </c>
      <c r="AU236" t="inlineStr">
        <is>
          <t>87121</t>
        </is>
      </c>
      <c r="AV236" t="inlineStr">
        <is>
          <t>NM</t>
        </is>
      </c>
      <c r="BB236" t="inlineStr">
        <is>
          <t>17/10/2023</t>
        </is>
      </c>
      <c r="BD236" t="inlineStr">
        <is>
          <t>DZWKT8LKB</t>
        </is>
      </c>
    </row>
    <row r="237" ht="15" customHeight="1" s="86">
      <c r="C237" t="inlineStr">
        <is>
          <t>Destiny</t>
        </is>
      </c>
      <c r="E237" t="inlineStr">
        <is>
          <t>Tyree</t>
        </is>
      </c>
      <c r="G237" t="inlineStr">
        <is>
          <t>04/10/1994</t>
        </is>
      </c>
      <c r="H237" t="inlineStr">
        <is>
          <t>Female</t>
        </is>
      </c>
      <c r="I237" t="inlineStr">
        <is>
          <t>649038140</t>
        </is>
      </c>
      <c r="J237" t="inlineStr">
        <is>
          <t>No</t>
        </is>
      </c>
      <c r="K237" t="inlineStr">
        <is>
          <t>MKK2BCV4R</t>
        </is>
      </c>
      <c r="M237" t="inlineStr">
        <is>
          <t>01/12/2024</t>
        </is>
      </c>
      <c r="N237" t="inlineStr">
        <is>
          <t>18/10/2025</t>
        </is>
      </c>
      <c r="R237" t="inlineStr">
        <is>
          <t>Hourly</t>
        </is>
      </c>
      <c r="X237" t="inlineStr">
        <is>
          <t>21.65</t>
        </is>
      </c>
      <c r="AF237" t="inlineStr">
        <is>
          <t>Non-exempt</t>
        </is>
      </c>
      <c r="AJ237" t="inlineStr">
        <is>
          <t>dtyree.remson@gmail.com</t>
        </is>
      </c>
      <c r="AL237" t="inlineStr">
        <is>
          <t>6612 Amberside Rd</t>
        </is>
      </c>
      <c r="AN237" t="inlineStr">
        <is>
          <t>Albuquerque</t>
        </is>
      </c>
      <c r="AO237" t="inlineStr">
        <is>
          <t>87120</t>
        </is>
      </c>
      <c r="AP237" t="inlineStr">
        <is>
          <t>NM</t>
        </is>
      </c>
      <c r="AR237" t="inlineStr">
        <is>
          <t>6612 Amberside Rd</t>
        </is>
      </c>
      <c r="AT237" t="inlineStr">
        <is>
          <t>Albuquerque</t>
        </is>
      </c>
      <c r="AU237" t="inlineStr">
        <is>
          <t>87120</t>
        </is>
      </c>
      <c r="AV237" t="inlineStr">
        <is>
          <t>NM</t>
        </is>
      </c>
      <c r="BB237" t="inlineStr">
        <is>
          <t>01/12/2024</t>
        </is>
      </c>
      <c r="BD237" t="inlineStr">
        <is>
          <t>Z4Y55Y33Y</t>
        </is>
      </c>
    </row>
    <row r="238" ht="15" customHeight="1" s="86">
      <c r="C238" t="inlineStr">
        <is>
          <t>Destiny</t>
        </is>
      </c>
      <c r="E238" t="inlineStr">
        <is>
          <t>Tyree</t>
        </is>
      </c>
      <c r="G238" t="inlineStr">
        <is>
          <t>04/10/1994</t>
        </is>
      </c>
      <c r="H238" t="inlineStr">
        <is>
          <t>Female</t>
        </is>
      </c>
      <c r="I238" t="inlineStr">
        <is>
          <t>649038140</t>
        </is>
      </c>
      <c r="J238" t="inlineStr">
        <is>
          <t>No</t>
        </is>
      </c>
      <c r="K238" t="inlineStr">
        <is>
          <t>MKK2BCV4R</t>
        </is>
      </c>
      <c r="M238" t="inlineStr">
        <is>
          <t>01/12/2024</t>
        </is>
      </c>
      <c r="N238" t="inlineStr">
        <is>
          <t>18/10/2025</t>
        </is>
      </c>
      <c r="R238" t="inlineStr">
        <is>
          <t>Hourly</t>
        </is>
      </c>
      <c r="X238" t="inlineStr">
        <is>
          <t>21.65</t>
        </is>
      </c>
      <c r="AF238" t="inlineStr">
        <is>
          <t>Non-exempt</t>
        </is>
      </c>
      <c r="AJ238" t="inlineStr">
        <is>
          <t>dtyree.remson@gmail.com</t>
        </is>
      </c>
      <c r="AL238" t="inlineStr">
        <is>
          <t>6612 Amberside Rd</t>
        </is>
      </c>
      <c r="AN238" t="inlineStr">
        <is>
          <t>Albuquerque</t>
        </is>
      </c>
      <c r="AO238" t="inlineStr">
        <is>
          <t>87120</t>
        </is>
      </c>
      <c r="AP238" t="inlineStr">
        <is>
          <t>NM</t>
        </is>
      </c>
      <c r="AR238" t="inlineStr">
        <is>
          <t>6612 Amberside Rd</t>
        </is>
      </c>
      <c r="AT238" t="inlineStr">
        <is>
          <t>Albuquerque</t>
        </is>
      </c>
      <c r="AU238" t="inlineStr">
        <is>
          <t>87120</t>
        </is>
      </c>
      <c r="AV238" t="inlineStr">
        <is>
          <t>NM</t>
        </is>
      </c>
      <c r="BB238" t="inlineStr">
        <is>
          <t>01/12/2024</t>
        </is>
      </c>
    </row>
    <row r="239" ht="15" customHeight="1" s="86">
      <c r="C239" t="inlineStr">
        <is>
          <t>Bridgetta</t>
        </is>
      </c>
      <c r="E239" t="inlineStr">
        <is>
          <t>McCoy</t>
        </is>
      </c>
      <c r="G239" t="inlineStr">
        <is>
          <t>30/05/1971</t>
        </is>
      </c>
      <c r="H239" t="inlineStr">
        <is>
          <t>Female</t>
        </is>
      </c>
      <c r="I239" t="inlineStr">
        <is>
          <t>585068041</t>
        </is>
      </c>
      <c r="J239" t="inlineStr">
        <is>
          <t>No</t>
        </is>
      </c>
      <c r="K239" t="inlineStr">
        <is>
          <t>MLSDJYPFT</t>
        </is>
      </c>
      <c r="M239" t="inlineStr">
        <is>
          <t>05/10/2023</t>
        </is>
      </c>
      <c r="R239" t="inlineStr">
        <is>
          <t>Hourly</t>
        </is>
      </c>
      <c r="X239" t="inlineStr">
        <is>
          <t>22.2</t>
        </is>
      </c>
      <c r="AF239" t="inlineStr">
        <is>
          <t>Non-exempt</t>
        </is>
      </c>
      <c r="AJ239" t="inlineStr">
        <is>
          <t>bmccoy23.remson@gmail.com</t>
        </is>
      </c>
      <c r="AL239" t="inlineStr">
        <is>
          <t>10708 Corona Ranch Rd Sw</t>
        </is>
      </c>
      <c r="AN239" t="inlineStr">
        <is>
          <t>Albuquerque</t>
        </is>
      </c>
      <c r="AO239" t="inlineStr">
        <is>
          <t>87121</t>
        </is>
      </c>
      <c r="AP239" t="inlineStr">
        <is>
          <t>NM</t>
        </is>
      </c>
      <c r="AR239" t="inlineStr">
        <is>
          <t>10708 Corona Ranch Rd Sw</t>
        </is>
      </c>
      <c r="AT239" t="inlineStr">
        <is>
          <t>Albuquerque</t>
        </is>
      </c>
      <c r="AU239" t="inlineStr">
        <is>
          <t>87121</t>
        </is>
      </c>
      <c r="AV239" t="inlineStr">
        <is>
          <t>NM</t>
        </is>
      </c>
      <c r="BB239" t="inlineStr">
        <is>
          <t>05/10/2023</t>
        </is>
      </c>
    </row>
    <row r="240" ht="15" customHeight="1" s="86">
      <c r="C240" t="inlineStr">
        <is>
          <t>Bridgetta</t>
        </is>
      </c>
      <c r="E240" t="inlineStr">
        <is>
          <t>McCoy</t>
        </is>
      </c>
      <c r="G240" t="inlineStr">
        <is>
          <t>30/05/1971</t>
        </is>
      </c>
      <c r="H240" t="inlineStr">
        <is>
          <t>Female</t>
        </is>
      </c>
      <c r="I240" t="inlineStr">
        <is>
          <t>585068041</t>
        </is>
      </c>
      <c r="J240" t="inlineStr">
        <is>
          <t>No</t>
        </is>
      </c>
      <c r="K240" t="inlineStr">
        <is>
          <t>MLSDJYPFT</t>
        </is>
      </c>
      <c r="M240" t="inlineStr">
        <is>
          <t>05/10/2023</t>
        </is>
      </c>
      <c r="N240" t="inlineStr">
        <is>
          <t>08/12/2025</t>
        </is>
      </c>
      <c r="R240" t="inlineStr">
        <is>
          <t>Hourly</t>
        </is>
      </c>
      <c r="X240" t="inlineStr">
        <is>
          <t>22.2</t>
        </is>
      </c>
      <c r="AF240" t="inlineStr">
        <is>
          <t>Non-exempt</t>
        </is>
      </c>
      <c r="AJ240" t="inlineStr">
        <is>
          <t>bmccoy23.remson@gmail.com</t>
        </is>
      </c>
      <c r="AL240" t="inlineStr">
        <is>
          <t>10708 Corona Ranch Rd Sw</t>
        </is>
      </c>
      <c r="AN240" t="inlineStr">
        <is>
          <t>Albuquerque</t>
        </is>
      </c>
      <c r="AO240" t="inlineStr">
        <is>
          <t>87121</t>
        </is>
      </c>
      <c r="AP240" t="inlineStr">
        <is>
          <t>NM</t>
        </is>
      </c>
      <c r="AR240" t="inlineStr">
        <is>
          <t>10708 Corona Ranch Rd Sw</t>
        </is>
      </c>
      <c r="AT240" t="inlineStr">
        <is>
          <t>Albuquerque</t>
        </is>
      </c>
      <c r="AU240" t="inlineStr">
        <is>
          <t>87121</t>
        </is>
      </c>
      <c r="AV240" t="inlineStr">
        <is>
          <t>NM</t>
        </is>
      </c>
      <c r="BB240" t="inlineStr">
        <is>
          <t>05/10/2023</t>
        </is>
      </c>
      <c r="BD240" t="inlineStr">
        <is>
          <t>Z4Y55Y33Y</t>
        </is>
      </c>
    </row>
    <row r="241" ht="15" customHeight="1" s="86">
      <c r="C241" t="inlineStr">
        <is>
          <t>Anthony</t>
        </is>
      </c>
      <c r="E241" t="inlineStr">
        <is>
          <t>Cano</t>
        </is>
      </c>
      <c r="G241" t="inlineStr">
        <is>
          <t>05/12/2003</t>
        </is>
      </c>
      <c r="H241" t="inlineStr">
        <is>
          <t>Male</t>
        </is>
      </c>
      <c r="I241" t="inlineStr">
        <is>
          <t>388048640</t>
        </is>
      </c>
      <c r="K241" t="inlineStr">
        <is>
          <t>MRVRD3MKG</t>
        </is>
      </c>
      <c r="M241" t="inlineStr">
        <is>
          <t>02/02/2025</t>
        </is>
      </c>
      <c r="N241" t="inlineStr">
        <is>
          <t>17/05/2025</t>
        </is>
      </c>
      <c r="R241" t="inlineStr">
        <is>
          <t>Hourly</t>
        </is>
      </c>
      <c r="X241" t="inlineStr">
        <is>
          <t>41</t>
        </is>
      </c>
      <c r="AF241" t="inlineStr">
        <is>
          <t>Non-exempt</t>
        </is>
      </c>
      <c r="AI241" t="inlineStr">
        <is>
          <t>cano232623@gmail.com</t>
        </is>
      </c>
      <c r="AJ241" t="inlineStr">
        <is>
          <t>cano232623@gmail.com</t>
        </is>
      </c>
      <c r="AL241" t="inlineStr">
        <is>
          <t>27 WORTMAN RD</t>
        </is>
      </c>
      <c r="AN241" t="inlineStr">
        <is>
          <t>Peralta</t>
        </is>
      </c>
      <c r="AO241" t="inlineStr">
        <is>
          <t>87042</t>
        </is>
      </c>
      <c r="AP241" t="inlineStr">
        <is>
          <t>NM</t>
        </is>
      </c>
      <c r="AR241" t="inlineStr">
        <is>
          <t>27 WORTMAN RD</t>
        </is>
      </c>
      <c r="AT241" t="inlineStr">
        <is>
          <t>Peralta</t>
        </is>
      </c>
      <c r="AU241" t="inlineStr">
        <is>
          <t>87042</t>
        </is>
      </c>
      <c r="AV241" t="inlineStr">
        <is>
          <t>NM</t>
        </is>
      </c>
      <c r="BB241" t="inlineStr">
        <is>
          <t>02/02/2025</t>
        </is>
      </c>
      <c r="BD241" t="inlineStr">
        <is>
          <t>DZWKT8LKB</t>
        </is>
      </c>
    </row>
    <row r="242" ht="15" customHeight="1" s="86">
      <c r="C242" t="inlineStr">
        <is>
          <t>Michael</t>
        </is>
      </c>
      <c r="D242" t="inlineStr">
        <is>
          <t>A</t>
        </is>
      </c>
      <c r="E242" t="inlineStr">
        <is>
          <t>Hogue</t>
        </is>
      </c>
      <c r="G242" t="inlineStr">
        <is>
          <t>18/03/1983</t>
        </is>
      </c>
      <c r="H242" t="inlineStr">
        <is>
          <t>Male</t>
        </is>
      </c>
      <c r="I242" t="inlineStr">
        <is>
          <t>585592025</t>
        </is>
      </c>
      <c r="J242" t="inlineStr">
        <is>
          <t>No</t>
        </is>
      </c>
      <c r="K242" t="inlineStr">
        <is>
          <t>MYKAR4WHK</t>
        </is>
      </c>
      <c r="M242" t="inlineStr">
        <is>
          <t>02/11/2023</t>
        </is>
      </c>
      <c r="R242" t="inlineStr">
        <is>
          <t>Hourly</t>
        </is>
      </c>
      <c r="X242" t="inlineStr">
        <is>
          <t>22.2</t>
        </is>
      </c>
      <c r="AF242" t="inlineStr">
        <is>
          <t>Non-exempt</t>
        </is>
      </c>
      <c r="AI242" t="inlineStr">
        <is>
          <t>Hulk31883@aol.com</t>
        </is>
      </c>
      <c r="AJ242" t="inlineStr">
        <is>
          <t>mhogue1.remson@gmail.com</t>
        </is>
      </c>
      <c r="AL242" t="inlineStr">
        <is>
          <t>7204 Loma Del Norte Rd Ne</t>
        </is>
      </c>
      <c r="AN242" t="inlineStr">
        <is>
          <t>Albuquerque</t>
        </is>
      </c>
      <c r="AO242" t="inlineStr">
        <is>
          <t>87109</t>
        </is>
      </c>
      <c r="AP242" t="inlineStr">
        <is>
          <t>NM</t>
        </is>
      </c>
      <c r="AR242" t="inlineStr">
        <is>
          <t>7204 Loma Del Norte Rd Ne</t>
        </is>
      </c>
      <c r="AT242" t="inlineStr">
        <is>
          <t>Albuquerque</t>
        </is>
      </c>
      <c r="AU242" t="inlineStr">
        <is>
          <t>87109</t>
        </is>
      </c>
      <c r="AV242" t="inlineStr">
        <is>
          <t>NM</t>
        </is>
      </c>
      <c r="BB242" t="inlineStr">
        <is>
          <t>02/11/2023</t>
        </is>
      </c>
    </row>
    <row r="243" ht="15" customHeight="1" s="86">
      <c r="C243" t="inlineStr">
        <is>
          <t>Michael</t>
        </is>
      </c>
      <c r="D243" t="inlineStr">
        <is>
          <t>A</t>
        </is>
      </c>
      <c r="E243" t="inlineStr">
        <is>
          <t>Hogue</t>
        </is>
      </c>
      <c r="G243" t="inlineStr">
        <is>
          <t>18/03/1983</t>
        </is>
      </c>
      <c r="H243" t="inlineStr">
        <is>
          <t>Male</t>
        </is>
      </c>
      <c r="I243" t="inlineStr">
        <is>
          <t>585592025</t>
        </is>
      </c>
      <c r="J243" t="inlineStr">
        <is>
          <t>No</t>
        </is>
      </c>
      <c r="K243" t="inlineStr">
        <is>
          <t>MYKAR4WHK</t>
        </is>
      </c>
      <c r="M243" t="inlineStr">
        <is>
          <t>02/11/2023</t>
        </is>
      </c>
      <c r="N243" t="inlineStr">
        <is>
          <t>08/12/2025</t>
        </is>
      </c>
      <c r="R243" t="inlineStr">
        <is>
          <t>Hourly</t>
        </is>
      </c>
      <c r="X243" t="inlineStr">
        <is>
          <t>22.2</t>
        </is>
      </c>
      <c r="AF243" t="inlineStr">
        <is>
          <t>Non-exempt</t>
        </is>
      </c>
      <c r="AI243" t="inlineStr">
        <is>
          <t>Hulk31883@aol.com</t>
        </is>
      </c>
      <c r="AJ243" t="inlineStr">
        <is>
          <t>mhogue1.remson@gmail.com</t>
        </is>
      </c>
      <c r="AL243" t="inlineStr">
        <is>
          <t>7204 Loma Del Norte Rd Ne</t>
        </is>
      </c>
      <c r="AN243" t="inlineStr">
        <is>
          <t>Albuquerque</t>
        </is>
      </c>
      <c r="AO243" t="inlineStr">
        <is>
          <t>87109</t>
        </is>
      </c>
      <c r="AP243" t="inlineStr">
        <is>
          <t>NM</t>
        </is>
      </c>
      <c r="AR243" t="inlineStr">
        <is>
          <t>7204 Loma Del Norte Rd Ne</t>
        </is>
      </c>
      <c r="AT243" t="inlineStr">
        <is>
          <t>Albuquerque</t>
        </is>
      </c>
      <c r="AU243" t="inlineStr">
        <is>
          <t>87109</t>
        </is>
      </c>
      <c r="AV243" t="inlineStr">
        <is>
          <t>NM</t>
        </is>
      </c>
      <c r="BB243" t="inlineStr">
        <is>
          <t>02/11/2023</t>
        </is>
      </c>
      <c r="BD243" t="inlineStr">
        <is>
          <t>Z4Y55Y33Y</t>
        </is>
      </c>
    </row>
    <row r="244" ht="15" customHeight="1" s="86">
      <c r="C244" t="inlineStr">
        <is>
          <t>Ty</t>
        </is>
      </c>
      <c r="E244" t="inlineStr">
        <is>
          <t>Billie</t>
        </is>
      </c>
      <c r="G244" t="inlineStr">
        <is>
          <t>13/12/1993</t>
        </is>
      </c>
      <c r="H244" t="inlineStr">
        <is>
          <t>Male</t>
        </is>
      </c>
      <c r="I244" t="inlineStr">
        <is>
          <t>627404920</t>
        </is>
      </c>
      <c r="J244" t="inlineStr">
        <is>
          <t>No</t>
        </is>
      </c>
      <c r="K244" t="inlineStr">
        <is>
          <t>N2TD7LVM5</t>
        </is>
      </c>
      <c r="M244" t="inlineStr">
        <is>
          <t>10/01/2025</t>
        </is>
      </c>
      <c r="N244" t="inlineStr">
        <is>
          <t>27/04/2025</t>
        </is>
      </c>
      <c r="R244" t="inlineStr">
        <is>
          <t>Hourly</t>
        </is>
      </c>
      <c r="X244" t="inlineStr">
        <is>
          <t>41</t>
        </is>
      </c>
      <c r="AF244" t="inlineStr">
        <is>
          <t>Non-exempt</t>
        </is>
      </c>
      <c r="AI244" t="inlineStr">
        <is>
          <t>tbillie.remson@gmail.com</t>
        </is>
      </c>
      <c r="AJ244" t="inlineStr">
        <is>
          <t>tbillie.remson@gmail.com</t>
        </is>
      </c>
      <c r="AL244" t="inlineStr">
        <is>
          <t>3516 Wyoming Blvd Ne</t>
        </is>
      </c>
      <c r="AM244" t="inlineStr">
        <is>
          <t>Apt 206 Bld 19</t>
        </is>
      </c>
      <c r="AN244" t="inlineStr">
        <is>
          <t>Albuquerque</t>
        </is>
      </c>
      <c r="AO244" t="inlineStr">
        <is>
          <t>87111</t>
        </is>
      </c>
      <c r="AP244" t="inlineStr">
        <is>
          <t>NM</t>
        </is>
      </c>
      <c r="AR244" t="inlineStr">
        <is>
          <t>3516 Wyoming Blvd Ne</t>
        </is>
      </c>
      <c r="AS244" t="inlineStr">
        <is>
          <t>Apt 206 Bld 19</t>
        </is>
      </c>
      <c r="AT244" t="inlineStr">
        <is>
          <t>Albuquerque</t>
        </is>
      </c>
      <c r="AU244" t="inlineStr">
        <is>
          <t>87111</t>
        </is>
      </c>
      <c r="AV244" t="inlineStr">
        <is>
          <t>NM</t>
        </is>
      </c>
      <c r="BB244" t="inlineStr">
        <is>
          <t>10/01/2025</t>
        </is>
      </c>
    </row>
    <row r="245" ht="15" customHeight="1" s="86">
      <c r="C245" t="inlineStr">
        <is>
          <t>Aaron</t>
        </is>
      </c>
      <c r="E245" t="inlineStr">
        <is>
          <t>Rowland</t>
        </is>
      </c>
      <c r="G245" t="inlineStr">
        <is>
          <t>05/05/2001</t>
        </is>
      </c>
      <c r="H245" t="inlineStr">
        <is>
          <t>Male</t>
        </is>
      </c>
      <c r="I245" t="inlineStr">
        <is>
          <t>649240431</t>
        </is>
      </c>
      <c r="J245" t="inlineStr">
        <is>
          <t>No</t>
        </is>
      </c>
      <c r="K245" t="inlineStr">
        <is>
          <t>N594UEGDU</t>
        </is>
      </c>
      <c r="M245" t="inlineStr">
        <is>
          <t>07/01/2025</t>
        </is>
      </c>
      <c r="N245" t="inlineStr">
        <is>
          <t>22/03/2025</t>
        </is>
      </c>
      <c r="R245" t="inlineStr">
        <is>
          <t>Hourly</t>
        </is>
      </c>
      <c r="X245" t="inlineStr">
        <is>
          <t>41</t>
        </is>
      </c>
      <c r="AF245" t="inlineStr">
        <is>
          <t>Non-exempt</t>
        </is>
      </c>
      <c r="AI245" t="inlineStr">
        <is>
          <t>arowland.remson@gmail.com</t>
        </is>
      </c>
      <c r="AJ245" t="inlineStr">
        <is>
          <t>arowland.remson@gmail.com</t>
        </is>
      </c>
      <c r="AL245" t="inlineStr">
        <is>
          <t>5583 Rabadi Castle Ave Nw</t>
        </is>
      </c>
      <c r="AN245" t="inlineStr">
        <is>
          <t>Albuquerque</t>
        </is>
      </c>
      <c r="AO245" t="inlineStr">
        <is>
          <t>87114</t>
        </is>
      </c>
      <c r="AP245" t="inlineStr">
        <is>
          <t>NM</t>
        </is>
      </c>
      <c r="AR245" t="inlineStr">
        <is>
          <t>5583 Rabadi Castle Ave Nw</t>
        </is>
      </c>
      <c r="AT245" t="inlineStr">
        <is>
          <t>Albuquerque</t>
        </is>
      </c>
      <c r="AU245" t="inlineStr">
        <is>
          <t>87114</t>
        </is>
      </c>
      <c r="AV245" t="inlineStr">
        <is>
          <t>NM</t>
        </is>
      </c>
      <c r="BB245" t="inlineStr">
        <is>
          <t>07/01/2025</t>
        </is>
      </c>
    </row>
    <row r="246" ht="15" customHeight="1" s="86">
      <c r="C246" t="inlineStr">
        <is>
          <t>Pablo</t>
        </is>
      </c>
      <c r="E246" t="inlineStr">
        <is>
          <t>Quinones</t>
        </is>
      </c>
      <c r="G246" t="inlineStr">
        <is>
          <t>27/01/2001</t>
        </is>
      </c>
      <c r="H246" t="inlineStr">
        <is>
          <t>Not Specified</t>
        </is>
      </c>
      <c r="I246" t="inlineStr">
        <is>
          <t>648241404</t>
        </is>
      </c>
      <c r="K246" t="inlineStr">
        <is>
          <t>NFHLX1IH1</t>
        </is>
      </c>
      <c r="M246" t="inlineStr">
        <is>
          <t>21/08/2025</t>
        </is>
      </c>
      <c r="R246" t="inlineStr">
        <is>
          <t>Hourly</t>
        </is>
      </c>
      <c r="X246" t="inlineStr">
        <is>
          <t>21.65</t>
        </is>
      </c>
      <c r="AF246" t="inlineStr">
        <is>
          <t>Non-exempt</t>
        </is>
      </c>
      <c r="AJ246" t="inlineStr">
        <is>
          <t>pquinones.remson@gmail.com</t>
        </is>
      </c>
      <c r="AL246" t="inlineStr">
        <is>
          <t>5915 Churchill Road Southwest</t>
        </is>
      </c>
      <c r="AN246" t="inlineStr">
        <is>
          <t>Albuquerque</t>
        </is>
      </c>
      <c r="AO246" t="inlineStr">
        <is>
          <t>87121</t>
        </is>
      </c>
      <c r="AP246" t="inlineStr">
        <is>
          <t>NM</t>
        </is>
      </c>
      <c r="AR246" t="inlineStr">
        <is>
          <t>5915 Churchill Road Southwest</t>
        </is>
      </c>
      <c r="AT246" t="inlineStr">
        <is>
          <t>Albuquerque</t>
        </is>
      </c>
      <c r="AU246" t="inlineStr">
        <is>
          <t>87121</t>
        </is>
      </c>
      <c r="AV246" t="inlineStr">
        <is>
          <t>NM</t>
        </is>
      </c>
      <c r="BB246" t="inlineStr">
        <is>
          <t>21/08/2025</t>
        </is>
      </c>
    </row>
    <row r="247" ht="15" customHeight="1" s="86">
      <c r="C247" t="inlineStr">
        <is>
          <t>Pablo</t>
        </is>
      </c>
      <c r="E247" t="inlineStr">
        <is>
          <t>Quinones</t>
        </is>
      </c>
      <c r="G247" t="inlineStr">
        <is>
          <t>27/01/2001</t>
        </is>
      </c>
      <c r="H247" t="inlineStr">
        <is>
          <t>Not Specified</t>
        </is>
      </c>
      <c r="I247" t="inlineStr">
        <is>
          <t>648241404</t>
        </is>
      </c>
      <c r="K247" t="inlineStr">
        <is>
          <t>NFHLX1IH1</t>
        </is>
      </c>
      <c r="M247" t="inlineStr">
        <is>
          <t>21/08/2025</t>
        </is>
      </c>
      <c r="N247" t="inlineStr">
        <is>
          <t>08/12/2025</t>
        </is>
      </c>
      <c r="R247" t="inlineStr">
        <is>
          <t>Hourly</t>
        </is>
      </c>
      <c r="X247" t="inlineStr">
        <is>
          <t>21.65</t>
        </is>
      </c>
      <c r="AF247" t="inlineStr">
        <is>
          <t>Non-exempt</t>
        </is>
      </c>
      <c r="AJ247" t="inlineStr">
        <is>
          <t>pquinones.remson@gmail.com</t>
        </is>
      </c>
      <c r="AL247" t="inlineStr">
        <is>
          <t>5915 Churchill Road Southwest</t>
        </is>
      </c>
      <c r="AN247" t="inlineStr">
        <is>
          <t>Albuquerque</t>
        </is>
      </c>
      <c r="AO247" t="inlineStr">
        <is>
          <t>87121</t>
        </is>
      </c>
      <c r="AP247" t="inlineStr">
        <is>
          <t>NM</t>
        </is>
      </c>
      <c r="AR247" t="inlineStr">
        <is>
          <t>5915 Churchill Road Southwest</t>
        </is>
      </c>
      <c r="AT247" t="inlineStr">
        <is>
          <t>Albuquerque</t>
        </is>
      </c>
      <c r="AU247" t="inlineStr">
        <is>
          <t>87121</t>
        </is>
      </c>
      <c r="AV247" t="inlineStr">
        <is>
          <t>NM</t>
        </is>
      </c>
      <c r="BB247" t="inlineStr">
        <is>
          <t>21/08/2025</t>
        </is>
      </c>
      <c r="BD247" t="inlineStr">
        <is>
          <t>Z4Y55Y33Y</t>
        </is>
      </c>
    </row>
    <row r="248" ht="15" customHeight="1" s="86">
      <c r="C248" t="inlineStr">
        <is>
          <t>Taylor</t>
        </is>
      </c>
      <c r="E248" t="inlineStr">
        <is>
          <t>Martinez</t>
        </is>
      </c>
      <c r="G248" t="inlineStr">
        <is>
          <t>22/06/1993</t>
        </is>
      </c>
      <c r="H248" t="inlineStr">
        <is>
          <t>Not Specified</t>
        </is>
      </c>
      <c r="I248" t="inlineStr">
        <is>
          <t>643366883</t>
        </is>
      </c>
      <c r="K248" t="inlineStr">
        <is>
          <t>NIHRJEFCV</t>
        </is>
      </c>
      <c r="M248" t="inlineStr">
        <is>
          <t>03/06/2025</t>
        </is>
      </c>
      <c r="N248" t="inlineStr">
        <is>
          <t>18/10/2025</t>
        </is>
      </c>
      <c r="R248" t="inlineStr">
        <is>
          <t>Hourly</t>
        </is>
      </c>
      <c r="X248" t="inlineStr">
        <is>
          <t>21.65</t>
        </is>
      </c>
      <c r="AF248" t="inlineStr">
        <is>
          <t>Non-exempt</t>
        </is>
      </c>
      <c r="AJ248" t="inlineStr">
        <is>
          <t>tmartinez1.remson@gmail.com</t>
        </is>
      </c>
      <c r="AL248" t="inlineStr">
        <is>
          <t>3000 Aztec Rd NE</t>
        </is>
      </c>
      <c r="AM248" t="inlineStr">
        <is>
          <t>Trlr 89</t>
        </is>
      </c>
      <c r="AN248" t="inlineStr">
        <is>
          <t>Albuquerque</t>
        </is>
      </c>
      <c r="AO248" t="inlineStr">
        <is>
          <t>87107</t>
        </is>
      </c>
      <c r="AP248" t="inlineStr">
        <is>
          <t>NM</t>
        </is>
      </c>
      <c r="AR248" t="inlineStr">
        <is>
          <t>3000 Aztec Rd NE</t>
        </is>
      </c>
      <c r="AS248" t="inlineStr">
        <is>
          <t>Trlr 89</t>
        </is>
      </c>
      <c r="AT248" t="inlineStr">
        <is>
          <t>Albuquerque</t>
        </is>
      </c>
      <c r="AU248" t="inlineStr">
        <is>
          <t>87107</t>
        </is>
      </c>
      <c r="AV248" t="inlineStr">
        <is>
          <t>NM</t>
        </is>
      </c>
      <c r="BB248" t="inlineStr">
        <is>
          <t>03/06/2025</t>
        </is>
      </c>
      <c r="BD248" t="inlineStr">
        <is>
          <t>Z4Y55Y33Y</t>
        </is>
      </c>
    </row>
    <row r="249" ht="15" customHeight="1" s="86">
      <c r="C249" t="inlineStr">
        <is>
          <t>Taylor</t>
        </is>
      </c>
      <c r="E249" t="inlineStr">
        <is>
          <t>Martinez</t>
        </is>
      </c>
      <c r="G249" t="inlineStr">
        <is>
          <t>22/06/1993</t>
        </is>
      </c>
      <c r="H249" t="inlineStr">
        <is>
          <t>Not Specified</t>
        </is>
      </c>
      <c r="I249" t="inlineStr">
        <is>
          <t>643366883</t>
        </is>
      </c>
      <c r="K249" t="inlineStr">
        <is>
          <t>NIHRJEFCV</t>
        </is>
      </c>
      <c r="M249" t="inlineStr">
        <is>
          <t>03/06/2025</t>
        </is>
      </c>
      <c r="N249" t="inlineStr">
        <is>
          <t>18/10/2025</t>
        </is>
      </c>
      <c r="R249" t="inlineStr">
        <is>
          <t>Hourly</t>
        </is>
      </c>
      <c r="X249" t="inlineStr">
        <is>
          <t>21.65</t>
        </is>
      </c>
      <c r="AF249" t="inlineStr">
        <is>
          <t>Non-exempt</t>
        </is>
      </c>
      <c r="AJ249" t="inlineStr">
        <is>
          <t>tmartinez1.remson@gmail.com</t>
        </is>
      </c>
      <c r="AL249" t="inlineStr">
        <is>
          <t>3000 Aztec Rd NE</t>
        </is>
      </c>
      <c r="AM249" t="inlineStr">
        <is>
          <t>Trlr 89</t>
        </is>
      </c>
      <c r="AN249" t="inlineStr">
        <is>
          <t>Albuquerque</t>
        </is>
      </c>
      <c r="AO249" t="inlineStr">
        <is>
          <t>87107</t>
        </is>
      </c>
      <c r="AP249" t="inlineStr">
        <is>
          <t>NM</t>
        </is>
      </c>
      <c r="AR249" t="inlineStr">
        <is>
          <t>3000 Aztec Rd NE</t>
        </is>
      </c>
      <c r="AS249" t="inlineStr">
        <is>
          <t>Trlr 89</t>
        </is>
      </c>
      <c r="AT249" t="inlineStr">
        <is>
          <t>Albuquerque</t>
        </is>
      </c>
      <c r="AU249" t="inlineStr">
        <is>
          <t>87107</t>
        </is>
      </c>
      <c r="AV249" t="inlineStr">
        <is>
          <t>NM</t>
        </is>
      </c>
      <c r="BB249" t="inlineStr">
        <is>
          <t>03/06/2025</t>
        </is>
      </c>
    </row>
    <row r="250" ht="15" customHeight="1" s="86">
      <c r="C250" t="inlineStr">
        <is>
          <t>Edwin</t>
        </is>
      </c>
      <c r="E250" t="inlineStr">
        <is>
          <t>Campos Ruiz</t>
        </is>
      </c>
      <c r="G250" t="inlineStr">
        <is>
          <t>19/04/1990</t>
        </is>
      </c>
      <c r="H250" t="inlineStr">
        <is>
          <t>Male</t>
        </is>
      </c>
      <c r="I250" t="inlineStr">
        <is>
          <t>333612988</t>
        </is>
      </c>
      <c r="J250" t="inlineStr">
        <is>
          <t>No</t>
        </is>
      </c>
      <c r="K250" t="inlineStr">
        <is>
          <t>NJQUSYX3D</t>
        </is>
      </c>
      <c r="M250" t="inlineStr">
        <is>
          <t>06/10/2024</t>
        </is>
      </c>
      <c r="N250" t="inlineStr">
        <is>
          <t>02/08/2025</t>
        </is>
      </c>
      <c r="R250" t="inlineStr">
        <is>
          <t>Hourly</t>
        </is>
      </c>
      <c r="X250" t="inlineStr">
        <is>
          <t>41.9</t>
        </is>
      </c>
      <c r="AF250" t="inlineStr">
        <is>
          <t>Non-exempt</t>
        </is>
      </c>
      <c r="AI250" t="inlineStr">
        <is>
          <t>camposey.remson@gmail.com</t>
        </is>
      </c>
      <c r="AJ250" t="inlineStr">
        <is>
          <t>edwincampos19@icloud.com</t>
        </is>
      </c>
      <c r="AL250" t="inlineStr">
        <is>
          <t>2900 Vail Ave Se</t>
        </is>
      </c>
      <c r="AM250" t="inlineStr">
        <is>
          <t>120</t>
        </is>
      </c>
      <c r="AN250" t="inlineStr">
        <is>
          <t>Albuquerque</t>
        </is>
      </c>
      <c r="AO250" t="inlineStr">
        <is>
          <t>87106</t>
        </is>
      </c>
      <c r="AP250" t="inlineStr">
        <is>
          <t>NM</t>
        </is>
      </c>
      <c r="AR250" t="inlineStr">
        <is>
          <t>2900 Vail Ave Se</t>
        </is>
      </c>
      <c r="AS250" t="inlineStr">
        <is>
          <t>120</t>
        </is>
      </c>
      <c r="AT250" t="inlineStr">
        <is>
          <t>Albuquerque</t>
        </is>
      </c>
      <c r="AU250" t="inlineStr">
        <is>
          <t>87106</t>
        </is>
      </c>
      <c r="AV250" t="inlineStr">
        <is>
          <t>NM</t>
        </is>
      </c>
      <c r="BB250" t="inlineStr">
        <is>
          <t>06/10/2024</t>
        </is>
      </c>
    </row>
    <row r="251" ht="15" customHeight="1" s="86">
      <c r="C251" t="inlineStr">
        <is>
          <t>Ladonna</t>
        </is>
      </c>
      <c r="E251" t="inlineStr">
        <is>
          <t>Gonzales</t>
        </is>
      </c>
      <c r="G251" t="inlineStr">
        <is>
          <t>09/05/1988</t>
        </is>
      </c>
      <c r="H251" t="inlineStr">
        <is>
          <t>Female</t>
        </is>
      </c>
      <c r="I251" t="inlineStr">
        <is>
          <t>525757045</t>
        </is>
      </c>
      <c r="J251" t="inlineStr">
        <is>
          <t>No</t>
        </is>
      </c>
      <c r="K251" t="inlineStr">
        <is>
          <t>NN1DWIHEP</t>
        </is>
      </c>
      <c r="M251" t="inlineStr">
        <is>
          <t>28/06/2024</t>
        </is>
      </c>
      <c r="N251" t="inlineStr">
        <is>
          <t>18/10/2025</t>
        </is>
      </c>
      <c r="R251" t="inlineStr">
        <is>
          <t>Hourly</t>
        </is>
      </c>
      <c r="X251" t="inlineStr">
        <is>
          <t>42.2</t>
        </is>
      </c>
      <c r="AF251" t="inlineStr">
        <is>
          <t>Non-exempt</t>
        </is>
      </c>
      <c r="AJ251" t="inlineStr">
        <is>
          <t>lgonzales80.remson@gmail.com</t>
        </is>
      </c>
      <c r="AL251" t="inlineStr">
        <is>
          <t>9901 Ceja Vista Rd Sw</t>
        </is>
      </c>
      <c r="AM251" t="inlineStr">
        <is>
          <t>J212</t>
        </is>
      </c>
      <c r="AN251" t="inlineStr">
        <is>
          <t>Albuquerque</t>
        </is>
      </c>
      <c r="AO251" t="inlineStr">
        <is>
          <t>87121</t>
        </is>
      </c>
      <c r="AP251" t="inlineStr">
        <is>
          <t>NM</t>
        </is>
      </c>
      <c r="AR251" t="inlineStr">
        <is>
          <t>9901 Ceja Vista Rd Sw</t>
        </is>
      </c>
      <c r="AS251" t="inlineStr">
        <is>
          <t>J212</t>
        </is>
      </c>
      <c r="AT251" t="inlineStr">
        <is>
          <t>Albuquerque</t>
        </is>
      </c>
      <c r="AU251" t="inlineStr">
        <is>
          <t>87121</t>
        </is>
      </c>
      <c r="AV251" t="inlineStr">
        <is>
          <t>NM</t>
        </is>
      </c>
      <c r="BB251" t="inlineStr">
        <is>
          <t>28/06/2024</t>
        </is>
      </c>
    </row>
    <row r="252" ht="15" customHeight="1" s="86">
      <c r="C252" t="inlineStr">
        <is>
          <t>Amber</t>
        </is>
      </c>
      <c r="E252" t="inlineStr">
        <is>
          <t>Armijo</t>
        </is>
      </c>
      <c r="G252" t="inlineStr">
        <is>
          <t>30/01/1992</t>
        </is>
      </c>
      <c r="H252" t="inlineStr">
        <is>
          <t>Female</t>
        </is>
      </c>
      <c r="I252" t="inlineStr">
        <is>
          <t>585937703</t>
        </is>
      </c>
      <c r="J252" t="inlineStr">
        <is>
          <t>No</t>
        </is>
      </c>
      <c r="K252" t="inlineStr">
        <is>
          <t>NTEN4V3CB</t>
        </is>
      </c>
      <c r="M252" t="inlineStr">
        <is>
          <t>13/12/2024</t>
        </is>
      </c>
      <c r="N252" t="inlineStr">
        <is>
          <t>12/01/2025</t>
        </is>
      </c>
      <c r="R252" t="inlineStr">
        <is>
          <t>Hourly</t>
        </is>
      </c>
      <c r="X252" t="inlineStr">
        <is>
          <t>41</t>
        </is>
      </c>
      <c r="AF252" t="inlineStr">
        <is>
          <t>Non-exempt</t>
        </is>
      </c>
      <c r="AI252" t="inlineStr">
        <is>
          <t>marmijo.remson@gmail.com</t>
        </is>
      </c>
      <c r="AJ252" t="inlineStr">
        <is>
          <t>marmijo.remson@gmail.com</t>
        </is>
      </c>
      <c r="AL252" t="inlineStr">
        <is>
          <t>6317 Flor Del Sol Pl Nw</t>
        </is>
      </c>
      <c r="AN252" t="inlineStr">
        <is>
          <t>Albuquerque</t>
        </is>
      </c>
      <c r="AO252" t="inlineStr">
        <is>
          <t>87120</t>
        </is>
      </c>
      <c r="AP252" t="inlineStr">
        <is>
          <t>NM</t>
        </is>
      </c>
      <c r="AR252" t="inlineStr">
        <is>
          <t>6317 Flor Del Sol Pl Nw</t>
        </is>
      </c>
      <c r="AT252" t="inlineStr">
        <is>
          <t>Albuquerque</t>
        </is>
      </c>
      <c r="AU252" t="inlineStr">
        <is>
          <t>87120</t>
        </is>
      </c>
      <c r="AV252" t="inlineStr">
        <is>
          <t>NM</t>
        </is>
      </c>
      <c r="BB252" t="inlineStr">
        <is>
          <t>13/12/2024</t>
        </is>
      </c>
    </row>
    <row r="253" ht="15" customHeight="1" s="86">
      <c r="C253" t="inlineStr">
        <is>
          <t>TimothyLee</t>
        </is>
      </c>
      <c r="D253" t="inlineStr">
        <is>
          <t>E</t>
        </is>
      </c>
      <c r="E253" t="inlineStr">
        <is>
          <t>Chavez</t>
        </is>
      </c>
      <c r="G253" t="inlineStr">
        <is>
          <t>30/08/2002</t>
        </is>
      </c>
      <c r="H253" t="inlineStr">
        <is>
          <t>Not Specified</t>
        </is>
      </c>
      <c r="I253" t="inlineStr">
        <is>
          <t>649283830</t>
        </is>
      </c>
      <c r="K253" t="inlineStr">
        <is>
          <t>NUHYF427H</t>
        </is>
      </c>
      <c r="M253" t="inlineStr">
        <is>
          <t>02/03/2025</t>
        </is>
      </c>
      <c r="N253" t="inlineStr">
        <is>
          <t>15/03/2025</t>
        </is>
      </c>
      <c r="R253" t="inlineStr">
        <is>
          <t>Hourly</t>
        </is>
      </c>
      <c r="X253" t="inlineStr">
        <is>
          <t>41</t>
        </is>
      </c>
      <c r="AF253" t="inlineStr">
        <is>
          <t>Non-exempt</t>
        </is>
      </c>
      <c r="AI253" t="inlineStr">
        <is>
          <t>chavezt.remson@gmail.com</t>
        </is>
      </c>
      <c r="AJ253" t="inlineStr">
        <is>
          <t>chavezt.remson@gmail.com</t>
        </is>
      </c>
      <c r="AL253" t="inlineStr">
        <is>
          <t>429 Gaslight Lane Southwest</t>
        </is>
      </c>
      <c r="AN253" t="inlineStr">
        <is>
          <t>Albuquerque</t>
        </is>
      </c>
      <c r="AO253" t="inlineStr">
        <is>
          <t>87121</t>
        </is>
      </c>
      <c r="AP253" t="inlineStr">
        <is>
          <t>NM</t>
        </is>
      </c>
      <c r="AR253" t="inlineStr">
        <is>
          <t>429 Gaslight Lane Southwest</t>
        </is>
      </c>
      <c r="AT253" t="inlineStr">
        <is>
          <t>Albuquerque</t>
        </is>
      </c>
      <c r="AU253" t="inlineStr">
        <is>
          <t>87121</t>
        </is>
      </c>
      <c r="AV253" t="inlineStr">
        <is>
          <t>NM</t>
        </is>
      </c>
      <c r="BB253" t="inlineStr">
        <is>
          <t>02/03/2025</t>
        </is>
      </c>
      <c r="BD253" t="inlineStr">
        <is>
          <t>DZWKT8LKB</t>
        </is>
      </c>
    </row>
    <row r="254" ht="15" customHeight="1" s="86">
      <c r="C254" t="inlineStr">
        <is>
          <t>Slater</t>
        </is>
      </c>
      <c r="E254" t="inlineStr">
        <is>
          <t>Pope</t>
        </is>
      </c>
      <c r="G254" t="inlineStr">
        <is>
          <t>12/08/1998</t>
        </is>
      </c>
      <c r="H254" t="inlineStr">
        <is>
          <t>Male</t>
        </is>
      </c>
      <c r="I254" t="inlineStr">
        <is>
          <t>648165168</t>
        </is>
      </c>
      <c r="J254" t="inlineStr">
        <is>
          <t>No</t>
        </is>
      </c>
      <c r="K254" t="inlineStr">
        <is>
          <t>O4VMOPACW</t>
        </is>
      </c>
      <c r="M254" t="inlineStr">
        <is>
          <t>27/01/2024</t>
        </is>
      </c>
      <c r="N254" t="inlineStr">
        <is>
          <t>21/06/2025</t>
        </is>
      </c>
      <c r="R254" t="inlineStr">
        <is>
          <t>Hourly</t>
        </is>
      </c>
      <c r="X254" t="inlineStr">
        <is>
          <t>42.44</t>
        </is>
      </c>
      <c r="AF254" t="inlineStr">
        <is>
          <t>Non-exempt</t>
        </is>
      </c>
      <c r="AI254" t="inlineStr">
        <is>
          <t>spope.remson@gmail.com</t>
        </is>
      </c>
      <c r="AJ254" t="inlineStr">
        <is>
          <t>spope.remson@gmail.com</t>
        </is>
      </c>
      <c r="AL254" t="inlineStr">
        <is>
          <t>220 Calle De Las Familias Nw</t>
        </is>
      </c>
      <c r="AN254" t="inlineStr">
        <is>
          <t>Los Lunas</t>
        </is>
      </c>
      <c r="AO254" t="inlineStr">
        <is>
          <t>87031</t>
        </is>
      </c>
      <c r="AP254" t="inlineStr">
        <is>
          <t>NM</t>
        </is>
      </c>
      <c r="AR254" t="inlineStr">
        <is>
          <t>220 Calle De Las Familias Nw</t>
        </is>
      </c>
      <c r="AT254" t="inlineStr">
        <is>
          <t>Los Lunas</t>
        </is>
      </c>
      <c r="AU254" t="inlineStr">
        <is>
          <t>87031</t>
        </is>
      </c>
      <c r="AV254" t="inlineStr">
        <is>
          <t>NM</t>
        </is>
      </c>
      <c r="BB254" t="inlineStr">
        <is>
          <t>27/01/2024</t>
        </is>
      </c>
      <c r="BD254" t="inlineStr">
        <is>
          <t>DZWKT8LKB</t>
        </is>
      </c>
    </row>
    <row r="255" ht="15" customHeight="1" s="86">
      <c r="C255" t="inlineStr">
        <is>
          <t>Kendall</t>
        </is>
      </c>
      <c r="E255" t="inlineStr">
        <is>
          <t>Johnson</t>
        </is>
      </c>
      <c r="G255" t="inlineStr">
        <is>
          <t>05/09/1995</t>
        </is>
      </c>
      <c r="H255" t="inlineStr">
        <is>
          <t>Not Specified</t>
        </is>
      </c>
      <c r="I255" t="inlineStr">
        <is>
          <t>323929005</t>
        </is>
      </c>
      <c r="K255" t="inlineStr">
        <is>
          <t>O52P7Y35F</t>
        </is>
      </c>
      <c r="M255" t="inlineStr">
        <is>
          <t>30/12/2025</t>
        </is>
      </c>
      <c r="R255" t="inlineStr">
        <is>
          <t>Hourly</t>
        </is>
      </c>
      <c r="X255" t="inlineStr">
        <is>
          <t>21.5</t>
        </is>
      </c>
      <c r="AF255" t="inlineStr">
        <is>
          <t>Non-exempt</t>
        </is>
      </c>
      <c r="AI255" t="inlineStr">
        <is>
          <t>kjohnson.remson@gmail.com</t>
        </is>
      </c>
      <c r="AJ255" t="inlineStr">
        <is>
          <t>kjohnson.remson@gmail.com</t>
        </is>
      </c>
      <c r="AL255" t="inlineStr">
        <is>
          <t>3600 Tulane Drive Northeast</t>
        </is>
      </c>
      <c r="AN255" t="inlineStr">
        <is>
          <t>Albuquerque</t>
        </is>
      </c>
      <c r="AO255" t="inlineStr">
        <is>
          <t>87107</t>
        </is>
      </c>
      <c r="AP255" t="inlineStr">
        <is>
          <t>NM</t>
        </is>
      </c>
      <c r="AR255" t="inlineStr">
        <is>
          <t>3600 Tulane Drive Northeast</t>
        </is>
      </c>
      <c r="AT255" t="inlineStr">
        <is>
          <t>Albuquerque</t>
        </is>
      </c>
      <c r="AU255" t="inlineStr">
        <is>
          <t>87107</t>
        </is>
      </c>
      <c r="AV255" t="inlineStr">
        <is>
          <t>NM</t>
        </is>
      </c>
      <c r="BB255" t="inlineStr">
        <is>
          <t>30/12/2025</t>
        </is>
      </c>
      <c r="BD255" t="inlineStr">
        <is>
          <t>Z4Y55Y33Y</t>
        </is>
      </c>
    </row>
    <row r="256" ht="15" customHeight="1" s="86">
      <c r="C256" t="inlineStr">
        <is>
          <t>Martin</t>
        </is>
      </c>
      <c r="E256" t="inlineStr">
        <is>
          <t>Almeida</t>
        </is>
      </c>
      <c r="G256" t="inlineStr">
        <is>
          <t>28/09/2002</t>
        </is>
      </c>
      <c r="H256" t="inlineStr">
        <is>
          <t>Male</t>
        </is>
      </c>
      <c r="I256" t="inlineStr">
        <is>
          <t>649286785</t>
        </is>
      </c>
      <c r="K256" t="inlineStr">
        <is>
          <t>OJYA3YY7V</t>
        </is>
      </c>
      <c r="M256" t="inlineStr">
        <is>
          <t>09/02/2025</t>
        </is>
      </c>
      <c r="R256" t="inlineStr">
        <is>
          <t>Hourly</t>
        </is>
      </c>
      <c r="X256" t="inlineStr">
        <is>
          <t>21.65</t>
        </is>
      </c>
      <c r="AF256" t="inlineStr">
        <is>
          <t>Non-exempt</t>
        </is>
      </c>
      <c r="AI256" t="inlineStr">
        <is>
          <t>Lalo34730@icloud.com</t>
        </is>
      </c>
      <c r="AJ256" t="inlineStr">
        <is>
          <t>malmeida.remson@gmail.com</t>
        </is>
      </c>
      <c r="AL256" t="inlineStr">
        <is>
          <t>717 DOLORES DR NW</t>
        </is>
      </c>
      <c r="AN256" t="inlineStr">
        <is>
          <t>ALBUQUERQUE</t>
        </is>
      </c>
      <c r="AO256" t="inlineStr">
        <is>
          <t>87105</t>
        </is>
      </c>
      <c r="AP256" t="inlineStr">
        <is>
          <t>NM</t>
        </is>
      </c>
      <c r="AR256" t="inlineStr">
        <is>
          <t>717 DOLORES DR NW</t>
        </is>
      </c>
      <c r="AT256" t="inlineStr">
        <is>
          <t>ALBUQUERQUE</t>
        </is>
      </c>
      <c r="AU256" t="inlineStr">
        <is>
          <t>87105</t>
        </is>
      </c>
      <c r="AV256" t="inlineStr">
        <is>
          <t>NM</t>
        </is>
      </c>
      <c r="BB256" t="inlineStr">
        <is>
          <t>09/02/2025</t>
        </is>
      </c>
    </row>
    <row r="257" ht="15" customHeight="1" s="86">
      <c r="C257" t="inlineStr">
        <is>
          <t>Martin</t>
        </is>
      </c>
      <c r="E257" t="inlineStr">
        <is>
          <t>Almeida</t>
        </is>
      </c>
      <c r="G257" t="inlineStr">
        <is>
          <t>28/09/2002</t>
        </is>
      </c>
      <c r="H257" t="inlineStr">
        <is>
          <t>Male</t>
        </is>
      </c>
      <c r="I257" t="inlineStr">
        <is>
          <t>649286785</t>
        </is>
      </c>
      <c r="K257" t="inlineStr">
        <is>
          <t>OJYA3YY7V</t>
        </is>
      </c>
      <c r="M257" t="inlineStr">
        <is>
          <t>09/02/2025</t>
        </is>
      </c>
      <c r="N257" t="inlineStr">
        <is>
          <t>08/12/2025</t>
        </is>
      </c>
      <c r="R257" t="inlineStr">
        <is>
          <t>Hourly</t>
        </is>
      </c>
      <c r="X257" t="inlineStr">
        <is>
          <t>21.65</t>
        </is>
      </c>
      <c r="AF257" t="inlineStr">
        <is>
          <t>Non-exempt</t>
        </is>
      </c>
      <c r="AI257" t="inlineStr">
        <is>
          <t>Lalo34730@icloud.com</t>
        </is>
      </c>
      <c r="AJ257" t="inlineStr">
        <is>
          <t>malmeida.remson@gmail.com</t>
        </is>
      </c>
      <c r="AL257" t="inlineStr">
        <is>
          <t>717 DOLORES DR NW</t>
        </is>
      </c>
      <c r="AN257" t="inlineStr">
        <is>
          <t>ALBUQUERQUE</t>
        </is>
      </c>
      <c r="AO257" t="inlineStr">
        <is>
          <t>87105</t>
        </is>
      </c>
      <c r="AP257" t="inlineStr">
        <is>
          <t>NM</t>
        </is>
      </c>
      <c r="AR257" t="inlineStr">
        <is>
          <t>717 DOLORES DR NW</t>
        </is>
      </c>
      <c r="AT257" t="inlineStr">
        <is>
          <t>ALBUQUERQUE</t>
        </is>
      </c>
      <c r="AU257" t="inlineStr">
        <is>
          <t>87105</t>
        </is>
      </c>
      <c r="AV257" t="inlineStr">
        <is>
          <t>NM</t>
        </is>
      </c>
      <c r="BB257" t="inlineStr">
        <is>
          <t>09/02/2025</t>
        </is>
      </c>
      <c r="BD257" t="inlineStr">
        <is>
          <t>Z4Y55Y33Y</t>
        </is>
      </c>
    </row>
    <row r="258" ht="15" customHeight="1" s="86">
      <c r="C258" t="inlineStr">
        <is>
          <t>Aiden</t>
        </is>
      </c>
      <c r="E258" t="inlineStr">
        <is>
          <t>Sanders</t>
        </is>
      </c>
      <c r="G258" t="inlineStr">
        <is>
          <t>29/07/2002</t>
        </is>
      </c>
      <c r="H258" t="inlineStr">
        <is>
          <t>Male</t>
        </is>
      </c>
      <c r="I258" t="inlineStr">
        <is>
          <t>638820814</t>
        </is>
      </c>
      <c r="J258" t="inlineStr">
        <is>
          <t>No</t>
        </is>
      </c>
      <c r="K258" t="inlineStr">
        <is>
          <t>OKCJVRGMY</t>
        </is>
      </c>
      <c r="M258" t="inlineStr">
        <is>
          <t>27/01/2024</t>
        </is>
      </c>
      <c r="N258" t="inlineStr">
        <is>
          <t>08/12/2025</t>
        </is>
      </c>
      <c r="R258" t="inlineStr">
        <is>
          <t>Hourly</t>
        </is>
      </c>
      <c r="X258" t="inlineStr">
        <is>
          <t>23</t>
        </is>
      </c>
      <c r="AF258" t="inlineStr">
        <is>
          <t>Non-exempt</t>
        </is>
      </c>
      <c r="AJ258" t="inlineStr">
        <is>
          <t>asanders.remson@gmail.com</t>
        </is>
      </c>
      <c r="AL258" t="inlineStr">
        <is>
          <t>2709 Dallas St Ne</t>
        </is>
      </c>
      <c r="AN258" t="inlineStr">
        <is>
          <t>Albuquerque</t>
        </is>
      </c>
      <c r="AO258" t="inlineStr">
        <is>
          <t>87110</t>
        </is>
      </c>
      <c r="AP258" t="inlineStr">
        <is>
          <t>NM</t>
        </is>
      </c>
      <c r="AR258" t="inlineStr">
        <is>
          <t>2709 Dallas St Ne</t>
        </is>
      </c>
      <c r="AT258" t="inlineStr">
        <is>
          <t>Albuquerque</t>
        </is>
      </c>
      <c r="AU258" t="inlineStr">
        <is>
          <t>87110</t>
        </is>
      </c>
      <c r="AV258" t="inlineStr">
        <is>
          <t>NM</t>
        </is>
      </c>
      <c r="BB258" t="inlineStr">
        <is>
          <t>27/01/2024</t>
        </is>
      </c>
      <c r="BD258" t="inlineStr">
        <is>
          <t>DZWKT8LKB</t>
        </is>
      </c>
    </row>
    <row r="259" ht="15" customHeight="1" s="86">
      <c r="C259" t="inlineStr">
        <is>
          <t>Aiden</t>
        </is>
      </c>
      <c r="E259" t="inlineStr">
        <is>
          <t>Sanders</t>
        </is>
      </c>
      <c r="G259" t="inlineStr">
        <is>
          <t>29/07/2002</t>
        </is>
      </c>
      <c r="H259" t="inlineStr">
        <is>
          <t>Male</t>
        </is>
      </c>
      <c r="I259" t="inlineStr">
        <is>
          <t>638820814</t>
        </is>
      </c>
      <c r="J259" t="inlineStr">
        <is>
          <t>No</t>
        </is>
      </c>
      <c r="K259" t="inlineStr">
        <is>
          <t>OKCJVRGMY</t>
        </is>
      </c>
      <c r="M259" t="inlineStr">
        <is>
          <t>27/01/2024</t>
        </is>
      </c>
      <c r="R259" t="inlineStr">
        <is>
          <t>Hourly</t>
        </is>
      </c>
      <c r="X259" t="inlineStr">
        <is>
          <t>23</t>
        </is>
      </c>
      <c r="AF259" t="inlineStr">
        <is>
          <t>Non-exempt</t>
        </is>
      </c>
      <c r="AJ259" t="inlineStr">
        <is>
          <t>asanders.remson@gmail.com</t>
        </is>
      </c>
      <c r="AL259" t="inlineStr">
        <is>
          <t>2709 Dallas St Ne</t>
        </is>
      </c>
      <c r="AN259" t="inlineStr">
        <is>
          <t>Albuquerque</t>
        </is>
      </c>
      <c r="AO259" t="inlineStr">
        <is>
          <t>87110</t>
        </is>
      </c>
      <c r="AP259" t="inlineStr">
        <is>
          <t>NM</t>
        </is>
      </c>
      <c r="AR259" t="inlineStr">
        <is>
          <t>2709 Dallas St Ne</t>
        </is>
      </c>
      <c r="AT259" t="inlineStr">
        <is>
          <t>Albuquerque</t>
        </is>
      </c>
      <c r="AU259" t="inlineStr">
        <is>
          <t>87110</t>
        </is>
      </c>
      <c r="AV259" t="inlineStr">
        <is>
          <t>NM</t>
        </is>
      </c>
      <c r="BB259" t="inlineStr">
        <is>
          <t>27/01/2024</t>
        </is>
      </c>
      <c r="BD259" t="inlineStr">
        <is>
          <t>DZWKT8LKB</t>
        </is>
      </c>
    </row>
    <row r="260" ht="15" customHeight="1" s="86">
      <c r="C260" t="inlineStr">
        <is>
          <t>Morgann</t>
        </is>
      </c>
      <c r="E260" t="inlineStr">
        <is>
          <t>Bittle</t>
        </is>
      </c>
      <c r="G260" t="inlineStr">
        <is>
          <t>15/07/1988</t>
        </is>
      </c>
      <c r="H260" t="inlineStr">
        <is>
          <t>Female</t>
        </is>
      </c>
      <c r="I260" t="inlineStr">
        <is>
          <t>604344110</t>
        </is>
      </c>
      <c r="J260" t="inlineStr">
        <is>
          <t>No</t>
        </is>
      </c>
      <c r="K260" t="inlineStr">
        <is>
          <t>OLI8OMFSL</t>
        </is>
      </c>
      <c r="M260" t="inlineStr">
        <is>
          <t>01/03/2024</t>
        </is>
      </c>
      <c r="N260" t="inlineStr">
        <is>
          <t>31/05/2025</t>
        </is>
      </c>
      <c r="R260" t="inlineStr">
        <is>
          <t>Hourly</t>
        </is>
      </c>
      <c r="X260" t="inlineStr">
        <is>
          <t>42.2</t>
        </is>
      </c>
      <c r="AF260" t="inlineStr">
        <is>
          <t>Non-exempt</t>
        </is>
      </c>
      <c r="AI260" t="inlineStr">
        <is>
          <t>mbittle.remson@gmail.com</t>
        </is>
      </c>
      <c r="AJ260" t="inlineStr">
        <is>
          <t>mbittle.remson@gmail.com</t>
        </is>
      </c>
      <c r="AL260" t="inlineStr">
        <is>
          <t>112 Pearl Dr Ne</t>
        </is>
      </c>
      <c r="AN260" t="inlineStr">
        <is>
          <t>Rio Rancho</t>
        </is>
      </c>
      <c r="AO260" t="inlineStr">
        <is>
          <t>87124</t>
        </is>
      </c>
      <c r="AP260" t="inlineStr">
        <is>
          <t>NM</t>
        </is>
      </c>
      <c r="AR260" t="inlineStr">
        <is>
          <t>112 Pearl Dr Ne</t>
        </is>
      </c>
      <c r="AT260" t="inlineStr">
        <is>
          <t>Rio Rancho</t>
        </is>
      </c>
      <c r="AU260" t="inlineStr">
        <is>
          <t>87124</t>
        </is>
      </c>
      <c r="AV260" t="inlineStr">
        <is>
          <t>NM</t>
        </is>
      </c>
      <c r="BB260" t="inlineStr">
        <is>
          <t>01/03/2024</t>
        </is>
      </c>
    </row>
    <row r="261" ht="15" customHeight="1" s="86">
      <c r="C261" t="inlineStr">
        <is>
          <t>Candace</t>
        </is>
      </c>
      <c r="E261" t="inlineStr">
        <is>
          <t>Tapia</t>
        </is>
      </c>
      <c r="G261" t="inlineStr">
        <is>
          <t>04/08/1995</t>
        </is>
      </c>
      <c r="H261" t="inlineStr">
        <is>
          <t>Female</t>
        </is>
      </c>
      <c r="I261" t="inlineStr">
        <is>
          <t>649070340</t>
        </is>
      </c>
      <c r="J261" t="inlineStr">
        <is>
          <t>No</t>
        </is>
      </c>
      <c r="K261" t="inlineStr">
        <is>
          <t>OO01ZZ8M0</t>
        </is>
      </c>
      <c r="M261" t="inlineStr">
        <is>
          <t>02/11/2023</t>
        </is>
      </c>
      <c r="R261" t="inlineStr">
        <is>
          <t>Hourly</t>
        </is>
      </c>
      <c r="X261" t="inlineStr">
        <is>
          <t>22.2</t>
        </is>
      </c>
      <c r="AF261" t="inlineStr">
        <is>
          <t>Non-exempt</t>
        </is>
      </c>
      <c r="AJ261" t="inlineStr">
        <is>
          <t>ctapia.remson@gmail.com</t>
        </is>
      </c>
      <c r="AL261" t="inlineStr">
        <is>
          <t>4720 West Glen Sw</t>
        </is>
      </c>
      <c r="AN261" t="inlineStr">
        <is>
          <t>Albuquerque</t>
        </is>
      </c>
      <c r="AO261" t="inlineStr">
        <is>
          <t>87105</t>
        </is>
      </c>
      <c r="AP261" t="inlineStr">
        <is>
          <t>NM</t>
        </is>
      </c>
      <c r="AR261" t="inlineStr">
        <is>
          <t>4720 West Glen Sw</t>
        </is>
      </c>
      <c r="AT261" t="inlineStr">
        <is>
          <t>Albuquerque</t>
        </is>
      </c>
      <c r="AU261" t="inlineStr">
        <is>
          <t>87105</t>
        </is>
      </c>
      <c r="AV261" t="inlineStr">
        <is>
          <t>NM</t>
        </is>
      </c>
      <c r="BB261" t="inlineStr">
        <is>
          <t>02/11/2023</t>
        </is>
      </c>
    </row>
    <row r="262" ht="15" customHeight="1" s="86">
      <c r="C262" t="inlineStr">
        <is>
          <t>Candace</t>
        </is>
      </c>
      <c r="E262" t="inlineStr">
        <is>
          <t>Tapia</t>
        </is>
      </c>
      <c r="G262" t="inlineStr">
        <is>
          <t>04/08/1995</t>
        </is>
      </c>
      <c r="H262" t="inlineStr">
        <is>
          <t>Female</t>
        </is>
      </c>
      <c r="I262" t="inlineStr">
        <is>
          <t>649070340</t>
        </is>
      </c>
      <c r="J262" t="inlineStr">
        <is>
          <t>No</t>
        </is>
      </c>
      <c r="K262" t="inlineStr">
        <is>
          <t>OO01ZZ8M0</t>
        </is>
      </c>
      <c r="M262" t="inlineStr">
        <is>
          <t>02/11/2023</t>
        </is>
      </c>
      <c r="N262" t="inlineStr">
        <is>
          <t>08/12/2025</t>
        </is>
      </c>
      <c r="R262" t="inlineStr">
        <is>
          <t>Hourly</t>
        </is>
      </c>
      <c r="X262" t="inlineStr">
        <is>
          <t>22.2</t>
        </is>
      </c>
      <c r="AF262" t="inlineStr">
        <is>
          <t>Non-exempt</t>
        </is>
      </c>
      <c r="AJ262" t="inlineStr">
        <is>
          <t>ctapia.remson@gmail.com</t>
        </is>
      </c>
      <c r="AL262" t="inlineStr">
        <is>
          <t>4720 West Glen Sw</t>
        </is>
      </c>
      <c r="AN262" t="inlineStr">
        <is>
          <t>Albuquerque</t>
        </is>
      </c>
      <c r="AO262" t="inlineStr">
        <is>
          <t>87105</t>
        </is>
      </c>
      <c r="AP262" t="inlineStr">
        <is>
          <t>NM</t>
        </is>
      </c>
      <c r="AR262" t="inlineStr">
        <is>
          <t>4720 West Glen Sw</t>
        </is>
      </c>
      <c r="AT262" t="inlineStr">
        <is>
          <t>Albuquerque</t>
        </is>
      </c>
      <c r="AU262" t="inlineStr">
        <is>
          <t>87105</t>
        </is>
      </c>
      <c r="AV262" t="inlineStr">
        <is>
          <t>NM</t>
        </is>
      </c>
      <c r="BB262" t="inlineStr">
        <is>
          <t>02/11/2023</t>
        </is>
      </c>
      <c r="BD262" t="inlineStr">
        <is>
          <t>Z4Y55Y33Y</t>
        </is>
      </c>
    </row>
    <row r="263" ht="15" customHeight="1" s="86">
      <c r="C263" t="inlineStr">
        <is>
          <t>Gabriel</t>
        </is>
      </c>
      <c r="D263" t="inlineStr">
        <is>
          <t>C</t>
        </is>
      </c>
      <c r="E263" t="inlineStr">
        <is>
          <t>Lopez</t>
        </is>
      </c>
      <c r="G263" t="inlineStr">
        <is>
          <t>14/10/1970</t>
        </is>
      </c>
      <c r="H263" t="inlineStr">
        <is>
          <t>Not Specified</t>
        </is>
      </c>
      <c r="I263" t="inlineStr">
        <is>
          <t>525066622</t>
        </is>
      </c>
      <c r="K263" t="inlineStr">
        <is>
          <t>OX0VHREK3</t>
        </is>
      </c>
      <c r="M263" t="inlineStr">
        <is>
          <t>18/09/2025</t>
        </is>
      </c>
      <c r="R263" t="inlineStr">
        <is>
          <t>Hourly</t>
        </is>
      </c>
      <c r="X263" t="inlineStr">
        <is>
          <t>21.5</t>
        </is>
      </c>
      <c r="AF263" t="inlineStr">
        <is>
          <t>Non-exempt</t>
        </is>
      </c>
      <c r="AJ263" t="inlineStr">
        <is>
          <t>lopezgabe102@gmail.com</t>
        </is>
      </c>
      <c r="AL263" t="inlineStr">
        <is>
          <t>3224 Mata Ortiz Dr SW</t>
        </is>
      </c>
      <c r="AN263" t="inlineStr">
        <is>
          <t>Albuquerque</t>
        </is>
      </c>
      <c r="AO263" t="inlineStr">
        <is>
          <t>87121</t>
        </is>
      </c>
      <c r="AP263" t="inlineStr">
        <is>
          <t>NM</t>
        </is>
      </c>
      <c r="AR263" t="inlineStr">
        <is>
          <t>3224 Mata Ortiz Dr SW</t>
        </is>
      </c>
      <c r="AT263" t="inlineStr">
        <is>
          <t>Albuquerque</t>
        </is>
      </c>
      <c r="AU263" t="inlineStr">
        <is>
          <t>87121</t>
        </is>
      </c>
      <c r="AV263" t="inlineStr">
        <is>
          <t>NM</t>
        </is>
      </c>
      <c r="BB263" t="inlineStr">
        <is>
          <t>18/09/2025</t>
        </is>
      </c>
    </row>
    <row r="264" ht="15" customHeight="1" s="86">
      <c r="C264" t="inlineStr">
        <is>
          <t>Gabriel</t>
        </is>
      </c>
      <c r="D264" t="inlineStr">
        <is>
          <t>C</t>
        </is>
      </c>
      <c r="E264" t="inlineStr">
        <is>
          <t>Lopez</t>
        </is>
      </c>
      <c r="G264" t="inlineStr">
        <is>
          <t>14/10/1970</t>
        </is>
      </c>
      <c r="H264" t="inlineStr">
        <is>
          <t>Not Specified</t>
        </is>
      </c>
      <c r="I264" t="inlineStr">
        <is>
          <t>525066622</t>
        </is>
      </c>
      <c r="K264" t="inlineStr">
        <is>
          <t>OX0VHREK3</t>
        </is>
      </c>
      <c r="M264" t="inlineStr">
        <is>
          <t>18/09/2025</t>
        </is>
      </c>
      <c r="N264" t="inlineStr">
        <is>
          <t>08/12/2025</t>
        </is>
      </c>
      <c r="R264" t="inlineStr">
        <is>
          <t>Hourly</t>
        </is>
      </c>
      <c r="X264" t="inlineStr">
        <is>
          <t>21.5</t>
        </is>
      </c>
      <c r="AF264" t="inlineStr">
        <is>
          <t>Non-exempt</t>
        </is>
      </c>
      <c r="AJ264" t="inlineStr">
        <is>
          <t>lopezgabe102@gmail.com</t>
        </is>
      </c>
      <c r="AL264" t="inlineStr">
        <is>
          <t>3224 Mata Ortiz Dr SW</t>
        </is>
      </c>
      <c r="AN264" t="inlineStr">
        <is>
          <t>Albuquerque</t>
        </is>
      </c>
      <c r="AO264" t="inlineStr">
        <is>
          <t>87121</t>
        </is>
      </c>
      <c r="AP264" t="inlineStr">
        <is>
          <t>NM</t>
        </is>
      </c>
      <c r="AR264" t="inlineStr">
        <is>
          <t>3224 Mata Ortiz Dr SW</t>
        </is>
      </c>
      <c r="AT264" t="inlineStr">
        <is>
          <t>Albuquerque</t>
        </is>
      </c>
      <c r="AU264" t="inlineStr">
        <is>
          <t>87121</t>
        </is>
      </c>
      <c r="AV264" t="inlineStr">
        <is>
          <t>NM</t>
        </is>
      </c>
      <c r="BB264" t="inlineStr">
        <is>
          <t>18/09/2025</t>
        </is>
      </c>
      <c r="BD264" t="inlineStr">
        <is>
          <t>Z4Y55Y33Y</t>
        </is>
      </c>
    </row>
    <row r="265" ht="15" customHeight="1" s="86">
      <c r="C265" t="inlineStr">
        <is>
          <t>Byron</t>
        </is>
      </c>
      <c r="E265" t="inlineStr">
        <is>
          <t>Cooper</t>
        </is>
      </c>
      <c r="G265" t="inlineStr">
        <is>
          <t>24/08/1994</t>
        </is>
      </c>
      <c r="H265" t="inlineStr">
        <is>
          <t>Male</t>
        </is>
      </c>
      <c r="I265" t="inlineStr">
        <is>
          <t>210748551</t>
        </is>
      </c>
      <c r="J265" t="inlineStr">
        <is>
          <t>No</t>
        </is>
      </c>
      <c r="K265" t="inlineStr">
        <is>
          <t>P0OR153PS</t>
        </is>
      </c>
      <c r="M265" t="inlineStr">
        <is>
          <t>22/09/2024</t>
        </is>
      </c>
      <c r="N265" t="inlineStr">
        <is>
          <t>28/01/2025</t>
        </is>
      </c>
      <c r="R265" t="inlineStr">
        <is>
          <t>Hourly</t>
        </is>
      </c>
      <c r="X265" t="inlineStr">
        <is>
          <t>41</t>
        </is>
      </c>
      <c r="AF265" t="inlineStr">
        <is>
          <t>Non-exempt</t>
        </is>
      </c>
      <c r="AI265" t="inlineStr">
        <is>
          <t>bcooper.remson@gmail.com</t>
        </is>
      </c>
      <c r="AJ265" t="inlineStr">
        <is>
          <t>bcooper.remson@gmail.com</t>
        </is>
      </c>
      <c r="AL265" t="inlineStr">
        <is>
          <t>4213 Comanche Rd Ne</t>
        </is>
      </c>
      <c r="AN265" t="inlineStr">
        <is>
          <t>Abq</t>
        </is>
      </c>
      <c r="AO265" t="inlineStr">
        <is>
          <t>87110</t>
        </is>
      </c>
      <c r="AP265" t="inlineStr">
        <is>
          <t>NM</t>
        </is>
      </c>
      <c r="AR265" t="inlineStr">
        <is>
          <t>4213 Comanche Rd Ne</t>
        </is>
      </c>
      <c r="AT265" t="inlineStr">
        <is>
          <t>Abq</t>
        </is>
      </c>
      <c r="AU265" t="inlineStr">
        <is>
          <t>87110</t>
        </is>
      </c>
      <c r="AV265" t="inlineStr">
        <is>
          <t>NM</t>
        </is>
      </c>
      <c r="BB265" t="inlineStr">
        <is>
          <t>22/09/2024</t>
        </is>
      </c>
    </row>
    <row r="266" ht="15" customHeight="1" s="86">
      <c r="C266" t="inlineStr">
        <is>
          <t>Raymond</t>
        </is>
      </c>
      <c r="E266" t="inlineStr">
        <is>
          <t>Sandoval</t>
        </is>
      </c>
      <c r="G266" t="inlineStr">
        <is>
          <t>28/06/1989</t>
        </is>
      </c>
      <c r="H266" t="inlineStr">
        <is>
          <t>Male</t>
        </is>
      </c>
      <c r="I266" t="inlineStr">
        <is>
          <t>585815125</t>
        </is>
      </c>
      <c r="J266" t="inlineStr">
        <is>
          <t>No</t>
        </is>
      </c>
      <c r="K266" t="inlineStr">
        <is>
          <t>P1BAJQSO9</t>
        </is>
      </c>
      <c r="M266" t="inlineStr">
        <is>
          <t>19/11/2024</t>
        </is>
      </c>
      <c r="N266" t="inlineStr">
        <is>
          <t>11/01/2025</t>
        </is>
      </c>
      <c r="R266" t="inlineStr">
        <is>
          <t>Hourly</t>
        </is>
      </c>
      <c r="X266" t="inlineStr">
        <is>
          <t>41</t>
        </is>
      </c>
      <c r="AF266" t="inlineStr">
        <is>
          <t>Non-exempt</t>
        </is>
      </c>
      <c r="AI266" t="inlineStr">
        <is>
          <t>sandovala.remson@gmail.com</t>
        </is>
      </c>
      <c r="AJ266" t="inlineStr">
        <is>
          <t>sandovala.remson@gmail.com</t>
        </is>
      </c>
      <c r="AL266" t="inlineStr">
        <is>
          <t>1405 54Th St. Nw</t>
        </is>
      </c>
      <c r="AN266" t="inlineStr">
        <is>
          <t>Albuquerque</t>
        </is>
      </c>
      <c r="AO266" t="inlineStr">
        <is>
          <t>87105</t>
        </is>
      </c>
      <c r="AP266" t="inlineStr">
        <is>
          <t>NM</t>
        </is>
      </c>
      <c r="AR266" t="inlineStr">
        <is>
          <t>1405 54Th St. Nw</t>
        </is>
      </c>
      <c r="AT266" t="inlineStr">
        <is>
          <t>Albuquerque</t>
        </is>
      </c>
      <c r="AU266" t="inlineStr">
        <is>
          <t>87105</t>
        </is>
      </c>
      <c r="AV266" t="inlineStr">
        <is>
          <t>NM</t>
        </is>
      </c>
      <c r="BB266" t="inlineStr">
        <is>
          <t>19/11/2024</t>
        </is>
      </c>
    </row>
    <row r="267" ht="15" customHeight="1" s="86">
      <c r="C267" t="inlineStr">
        <is>
          <t>Richard</t>
        </is>
      </c>
      <c r="E267" t="inlineStr">
        <is>
          <t>McCoy</t>
        </is>
      </c>
      <c r="G267" t="inlineStr">
        <is>
          <t>03/05/1968</t>
        </is>
      </c>
      <c r="H267" t="inlineStr">
        <is>
          <t>Male</t>
        </is>
      </c>
      <c r="I267" t="inlineStr">
        <is>
          <t>525199764</t>
        </is>
      </c>
      <c r="K267" t="inlineStr">
        <is>
          <t>P3EUOFLHY</t>
        </is>
      </c>
      <c r="M267" t="inlineStr">
        <is>
          <t>02/02/2025</t>
        </is>
      </c>
      <c r="R267" t="inlineStr">
        <is>
          <t>Hourly</t>
        </is>
      </c>
      <c r="X267" t="inlineStr">
        <is>
          <t>21.65</t>
        </is>
      </c>
      <c r="AF267" t="inlineStr">
        <is>
          <t>Non-exempt</t>
        </is>
      </c>
      <c r="AI267" t="inlineStr">
        <is>
          <t>richardmccoy0822@gmail.com</t>
        </is>
      </c>
      <c r="AJ267" t="inlineStr">
        <is>
          <t>rmccoy.remson@gmail.com</t>
        </is>
      </c>
      <c r="AL267" t="inlineStr">
        <is>
          <t>1344 MOON ST NE</t>
        </is>
      </c>
      <c r="AN267" t="inlineStr">
        <is>
          <t>ALBUQUERQUE</t>
        </is>
      </c>
      <c r="AO267" t="inlineStr">
        <is>
          <t>87112</t>
        </is>
      </c>
      <c r="AP267" t="inlineStr">
        <is>
          <t>NM</t>
        </is>
      </c>
      <c r="AR267" t="inlineStr">
        <is>
          <t>1344 MOON ST NE</t>
        </is>
      </c>
      <c r="AT267" t="inlineStr">
        <is>
          <t>ALBUQUERQUE</t>
        </is>
      </c>
      <c r="AU267" t="inlineStr">
        <is>
          <t>87112</t>
        </is>
      </c>
      <c r="AV267" t="inlineStr">
        <is>
          <t>NM</t>
        </is>
      </c>
      <c r="BB267" t="inlineStr">
        <is>
          <t>02/02/2025</t>
        </is>
      </c>
    </row>
    <row r="268" ht="15" customHeight="1" s="86">
      <c r="C268" t="inlineStr">
        <is>
          <t>Richard</t>
        </is>
      </c>
      <c r="E268" t="inlineStr">
        <is>
          <t>McCoy</t>
        </is>
      </c>
      <c r="G268" t="inlineStr">
        <is>
          <t>03/05/1968</t>
        </is>
      </c>
      <c r="H268" t="inlineStr">
        <is>
          <t>Male</t>
        </is>
      </c>
      <c r="I268" t="inlineStr">
        <is>
          <t>525199764</t>
        </is>
      </c>
      <c r="K268" t="inlineStr">
        <is>
          <t>P3EUOFLHY</t>
        </is>
      </c>
      <c r="M268" t="inlineStr">
        <is>
          <t>02/02/2025</t>
        </is>
      </c>
      <c r="N268" t="inlineStr">
        <is>
          <t>08/12/2025</t>
        </is>
      </c>
      <c r="R268" t="inlineStr">
        <is>
          <t>Hourly</t>
        </is>
      </c>
      <c r="X268" t="inlineStr">
        <is>
          <t>21.65</t>
        </is>
      </c>
      <c r="AF268" t="inlineStr">
        <is>
          <t>Non-exempt</t>
        </is>
      </c>
      <c r="AI268" t="inlineStr">
        <is>
          <t>richardmccoy0822@gmail.com</t>
        </is>
      </c>
      <c r="AJ268" t="inlineStr">
        <is>
          <t>rmccoy.remson@gmail.com</t>
        </is>
      </c>
      <c r="AL268" t="inlineStr">
        <is>
          <t>1344 MOON ST NE</t>
        </is>
      </c>
      <c r="AN268" t="inlineStr">
        <is>
          <t>ALBUQUERQUE</t>
        </is>
      </c>
      <c r="AO268" t="inlineStr">
        <is>
          <t>87112</t>
        </is>
      </c>
      <c r="AP268" t="inlineStr">
        <is>
          <t>NM</t>
        </is>
      </c>
      <c r="AR268" t="inlineStr">
        <is>
          <t>1344 MOON ST NE</t>
        </is>
      </c>
      <c r="AT268" t="inlineStr">
        <is>
          <t>ALBUQUERQUE</t>
        </is>
      </c>
      <c r="AU268" t="inlineStr">
        <is>
          <t>87112</t>
        </is>
      </c>
      <c r="AV268" t="inlineStr">
        <is>
          <t>NM</t>
        </is>
      </c>
      <c r="BB268" t="inlineStr">
        <is>
          <t>02/02/2025</t>
        </is>
      </c>
      <c r="BD268" t="inlineStr">
        <is>
          <t>Z4Y55Y33Y</t>
        </is>
      </c>
    </row>
    <row r="269" ht="15" customHeight="1" s="86">
      <c r="C269" t="inlineStr">
        <is>
          <t>Destiney</t>
        </is>
      </c>
      <c r="D269" t="inlineStr">
        <is>
          <t>M</t>
        </is>
      </c>
      <c r="E269" t="inlineStr">
        <is>
          <t>Martinez</t>
        </is>
      </c>
      <c r="G269" t="inlineStr">
        <is>
          <t>17/03/1998</t>
        </is>
      </c>
      <c r="H269" t="inlineStr">
        <is>
          <t>Not Specified</t>
        </is>
      </c>
      <c r="I269" t="inlineStr">
        <is>
          <t>649140563</t>
        </is>
      </c>
      <c r="K269" t="inlineStr">
        <is>
          <t>P5M1EYPWF</t>
        </is>
      </c>
      <c r="M269" t="inlineStr">
        <is>
          <t>10/03/2025</t>
        </is>
      </c>
      <c r="N269" t="inlineStr">
        <is>
          <t>06/09/2025</t>
        </is>
      </c>
      <c r="R269" t="inlineStr">
        <is>
          <t>Hourly</t>
        </is>
      </c>
      <c r="X269" t="inlineStr">
        <is>
          <t>41.3</t>
        </is>
      </c>
      <c r="AF269" t="inlineStr">
        <is>
          <t>Non-exempt</t>
        </is>
      </c>
      <c r="AJ269" t="inlineStr">
        <is>
          <t>d.martinez.remson@gmail.com</t>
        </is>
      </c>
      <c r="AL269" t="inlineStr">
        <is>
          <t>7601 Autumn Breeze Rd SW</t>
        </is>
      </c>
      <c r="AN269" t="inlineStr">
        <is>
          <t>Albuquerque</t>
        </is>
      </c>
      <c r="AO269" t="inlineStr">
        <is>
          <t>87121</t>
        </is>
      </c>
      <c r="AP269" t="inlineStr">
        <is>
          <t>NM</t>
        </is>
      </c>
      <c r="AR269" t="inlineStr">
        <is>
          <t>7601 Autumn Breeze Rd SW</t>
        </is>
      </c>
      <c r="AT269" t="inlineStr">
        <is>
          <t>Albuquerque</t>
        </is>
      </c>
      <c r="AU269" t="inlineStr">
        <is>
          <t>87121</t>
        </is>
      </c>
      <c r="AV269" t="inlineStr">
        <is>
          <t>NM</t>
        </is>
      </c>
      <c r="BB269" t="inlineStr">
        <is>
          <t>10/03/2025</t>
        </is>
      </c>
      <c r="BD269" t="inlineStr">
        <is>
          <t>DZWKT8LKB</t>
        </is>
      </c>
    </row>
    <row r="270" ht="15" customHeight="1" s="86">
      <c r="C270" t="inlineStr">
        <is>
          <t>DeAngelo</t>
        </is>
      </c>
      <c r="D270" t="inlineStr">
        <is>
          <t>L</t>
        </is>
      </c>
      <c r="E270" t="inlineStr">
        <is>
          <t>Herrera</t>
        </is>
      </c>
      <c r="G270" t="inlineStr">
        <is>
          <t>19/05/2000</t>
        </is>
      </c>
      <c r="H270" t="inlineStr">
        <is>
          <t>Not Specified</t>
        </is>
      </c>
      <c r="I270" t="inlineStr">
        <is>
          <t>648225823</t>
        </is>
      </c>
      <c r="K270" t="inlineStr">
        <is>
          <t>P62S7U25H</t>
        </is>
      </c>
      <c r="M270" t="inlineStr">
        <is>
          <t>25/02/2025</t>
        </is>
      </c>
      <c r="N270" t="inlineStr">
        <is>
          <t>21/03/2025</t>
        </is>
      </c>
      <c r="R270" t="inlineStr">
        <is>
          <t>Hourly</t>
        </is>
      </c>
      <c r="X270" t="inlineStr">
        <is>
          <t>41</t>
        </is>
      </c>
      <c r="AF270" t="inlineStr">
        <is>
          <t>Non-exempt</t>
        </is>
      </c>
      <c r="AI270" t="inlineStr">
        <is>
          <t>daherrera.remson@gmail.com</t>
        </is>
      </c>
      <c r="AJ270" t="inlineStr">
        <is>
          <t>daherrera.remson@gmail.com</t>
        </is>
      </c>
      <c r="AL270" t="inlineStr">
        <is>
          <t>P.O. Box 2152</t>
        </is>
      </c>
      <c r="AN270" t="inlineStr">
        <is>
          <t>Cuba</t>
        </is>
      </c>
      <c r="AO270" t="inlineStr">
        <is>
          <t>87013</t>
        </is>
      </c>
      <c r="AP270" t="inlineStr">
        <is>
          <t>NM</t>
        </is>
      </c>
      <c r="AR270" t="inlineStr">
        <is>
          <t>P.O. Box 2152</t>
        </is>
      </c>
      <c r="AT270" t="inlineStr">
        <is>
          <t>Cuba</t>
        </is>
      </c>
      <c r="AU270" t="inlineStr">
        <is>
          <t>87013</t>
        </is>
      </c>
      <c r="AV270" t="inlineStr">
        <is>
          <t>NM</t>
        </is>
      </c>
      <c r="BB270" t="inlineStr">
        <is>
          <t>25/02/2025</t>
        </is>
      </c>
      <c r="BD270" t="inlineStr">
        <is>
          <t>DZWKT8LKB</t>
        </is>
      </c>
    </row>
    <row r="271" ht="15" customHeight="1" s="86">
      <c r="C271" t="inlineStr">
        <is>
          <t>Frederick</t>
        </is>
      </c>
      <c r="D271" t="inlineStr">
        <is>
          <t>J</t>
        </is>
      </c>
      <c r="E271" t="inlineStr">
        <is>
          <t>Chavey</t>
        </is>
      </c>
      <c r="G271" t="inlineStr">
        <is>
          <t>27/10/1985</t>
        </is>
      </c>
      <c r="H271" t="inlineStr">
        <is>
          <t>Not Specified</t>
        </is>
      </c>
      <c r="I271" t="inlineStr">
        <is>
          <t>600404547</t>
        </is>
      </c>
      <c r="K271" t="inlineStr">
        <is>
          <t>P6FFAKKX5</t>
        </is>
      </c>
      <c r="M271" t="inlineStr">
        <is>
          <t>14/04/2025</t>
        </is>
      </c>
      <c r="N271" t="inlineStr">
        <is>
          <t>26/07/2025</t>
        </is>
      </c>
      <c r="R271" t="inlineStr">
        <is>
          <t>Hourly</t>
        </is>
      </c>
      <c r="X271" t="inlineStr">
        <is>
          <t>41.3</t>
        </is>
      </c>
      <c r="AF271" t="inlineStr">
        <is>
          <t>Non-exempt</t>
        </is>
      </c>
      <c r="AI271" t="inlineStr">
        <is>
          <t>fchavey.remson@gmail.com</t>
        </is>
      </c>
      <c r="AJ271" t="inlineStr">
        <is>
          <t>fchavey.remson@gmail.com</t>
        </is>
      </c>
      <c r="AL271" t="inlineStr">
        <is>
          <t>5732 Hanover Road Northwest</t>
        </is>
      </c>
      <c r="AN271" t="inlineStr">
        <is>
          <t>Albuquerque</t>
        </is>
      </c>
      <c r="AO271" t="inlineStr">
        <is>
          <t>87105</t>
        </is>
      </c>
      <c r="AP271" t="inlineStr">
        <is>
          <t>NM</t>
        </is>
      </c>
      <c r="AR271" t="inlineStr">
        <is>
          <t>5732 Hanover Road Northwest</t>
        </is>
      </c>
      <c r="AT271" t="inlineStr">
        <is>
          <t>Albuquerque</t>
        </is>
      </c>
      <c r="AU271" t="inlineStr">
        <is>
          <t>87105</t>
        </is>
      </c>
      <c r="AV271" t="inlineStr">
        <is>
          <t>NM</t>
        </is>
      </c>
      <c r="BB271" t="inlineStr">
        <is>
          <t>14/04/2025</t>
        </is>
      </c>
      <c r="BD271" t="inlineStr">
        <is>
          <t>DZWKT8LKB</t>
        </is>
      </c>
    </row>
    <row r="272" ht="15" customHeight="1" s="86">
      <c r="C272" t="inlineStr">
        <is>
          <t>Erik</t>
        </is>
      </c>
      <c r="D272" t="inlineStr">
        <is>
          <t>D</t>
        </is>
      </c>
      <c r="E272" t="inlineStr">
        <is>
          <t>Medrano Caraveo</t>
        </is>
      </c>
      <c r="G272" t="inlineStr">
        <is>
          <t>10/08/2000</t>
        </is>
      </c>
      <c r="H272" t="inlineStr">
        <is>
          <t>Not Specified</t>
        </is>
      </c>
      <c r="I272" t="inlineStr">
        <is>
          <t>649220394</t>
        </is>
      </c>
      <c r="K272" t="inlineStr">
        <is>
          <t>PALF50GV4</t>
        </is>
      </c>
      <c r="M272" t="inlineStr">
        <is>
          <t>09/07/2025</t>
        </is>
      </c>
      <c r="R272" t="inlineStr">
        <is>
          <t>Hourly</t>
        </is>
      </c>
      <c r="X272" t="inlineStr">
        <is>
          <t>21.65</t>
        </is>
      </c>
      <c r="AF272" t="inlineStr">
        <is>
          <t>Non-exempt</t>
        </is>
      </c>
      <c r="AJ272" t="inlineStr">
        <is>
          <t>emedrano.remson@gmail.com</t>
        </is>
      </c>
      <c r="AL272" t="inlineStr">
        <is>
          <t>14 Blue Hill Road</t>
        </is>
      </c>
      <c r="AN272" t="inlineStr">
        <is>
          <t>Los Lunas</t>
        </is>
      </c>
      <c r="AO272" t="inlineStr">
        <is>
          <t>87031</t>
        </is>
      </c>
      <c r="AP272" t="inlineStr">
        <is>
          <t>NM</t>
        </is>
      </c>
      <c r="AR272" t="inlineStr">
        <is>
          <t>14 Blue Hill Road</t>
        </is>
      </c>
      <c r="AT272" t="inlineStr">
        <is>
          <t>Los Lunas</t>
        </is>
      </c>
      <c r="AU272" t="inlineStr">
        <is>
          <t>87031</t>
        </is>
      </c>
      <c r="AV272" t="inlineStr">
        <is>
          <t>NM</t>
        </is>
      </c>
      <c r="BB272" t="inlineStr">
        <is>
          <t>09/07/2025</t>
        </is>
      </c>
    </row>
    <row r="273" ht="15" customHeight="1" s="86">
      <c r="C273" t="inlineStr">
        <is>
          <t>Erik</t>
        </is>
      </c>
      <c r="D273" t="inlineStr">
        <is>
          <t>D</t>
        </is>
      </c>
      <c r="E273" t="inlineStr">
        <is>
          <t>Medrano Caraveo</t>
        </is>
      </c>
      <c r="G273" t="inlineStr">
        <is>
          <t>10/08/2000</t>
        </is>
      </c>
      <c r="H273" t="inlineStr">
        <is>
          <t>Not Specified</t>
        </is>
      </c>
      <c r="I273" t="inlineStr">
        <is>
          <t>649220394</t>
        </is>
      </c>
      <c r="K273" t="inlineStr">
        <is>
          <t>PALF50GV4</t>
        </is>
      </c>
      <c r="M273" t="inlineStr">
        <is>
          <t>09/07/2025</t>
        </is>
      </c>
      <c r="N273" t="inlineStr">
        <is>
          <t>08/12/2025</t>
        </is>
      </c>
      <c r="R273" t="inlineStr">
        <is>
          <t>Hourly</t>
        </is>
      </c>
      <c r="X273" t="inlineStr">
        <is>
          <t>21.65</t>
        </is>
      </c>
      <c r="AF273" t="inlineStr">
        <is>
          <t>Non-exempt</t>
        </is>
      </c>
      <c r="AJ273" t="inlineStr">
        <is>
          <t>emedrano.remson@gmail.com</t>
        </is>
      </c>
      <c r="AL273" t="inlineStr">
        <is>
          <t>14 Blue Hill Road</t>
        </is>
      </c>
      <c r="AN273" t="inlineStr">
        <is>
          <t>Los Lunas</t>
        </is>
      </c>
      <c r="AO273" t="inlineStr">
        <is>
          <t>87031</t>
        </is>
      </c>
      <c r="AP273" t="inlineStr">
        <is>
          <t>NM</t>
        </is>
      </c>
      <c r="AR273" t="inlineStr">
        <is>
          <t>14 Blue Hill Road</t>
        </is>
      </c>
      <c r="AT273" t="inlineStr">
        <is>
          <t>Los Lunas</t>
        </is>
      </c>
      <c r="AU273" t="inlineStr">
        <is>
          <t>87031</t>
        </is>
      </c>
      <c r="AV273" t="inlineStr">
        <is>
          <t>NM</t>
        </is>
      </c>
      <c r="BB273" t="inlineStr">
        <is>
          <t>09/07/2025</t>
        </is>
      </c>
      <c r="BD273" t="inlineStr">
        <is>
          <t>Z4Y55Y33Y</t>
        </is>
      </c>
    </row>
    <row r="274" ht="15" customHeight="1" s="86">
      <c r="C274" t="inlineStr">
        <is>
          <t>Cristian</t>
        </is>
      </c>
      <c r="E274" t="inlineStr">
        <is>
          <t>Campos</t>
        </is>
      </c>
      <c r="G274" t="inlineStr">
        <is>
          <t>01/09/1984</t>
        </is>
      </c>
      <c r="H274" t="inlineStr">
        <is>
          <t>Male</t>
        </is>
      </c>
      <c r="I274" t="inlineStr">
        <is>
          <t>839373048</t>
        </is>
      </c>
      <c r="J274" t="inlineStr">
        <is>
          <t>No</t>
        </is>
      </c>
      <c r="K274" t="inlineStr">
        <is>
          <t>PB26RC5C6</t>
        </is>
      </c>
      <c r="M274" t="inlineStr">
        <is>
          <t>05/06/2024</t>
        </is>
      </c>
      <c r="R274" t="inlineStr">
        <is>
          <t>Hourly</t>
        </is>
      </c>
      <c r="X274" t="inlineStr">
        <is>
          <t>21.9</t>
        </is>
      </c>
      <c r="AF274" t="inlineStr">
        <is>
          <t>Non-exempt</t>
        </is>
      </c>
      <c r="AJ274" t="inlineStr">
        <is>
          <t>ccampos.remson@gmail.com</t>
        </is>
      </c>
      <c r="AL274" t="inlineStr">
        <is>
          <t>563 Via Patria Sw 87121</t>
        </is>
      </c>
      <c r="AN274" t="inlineStr">
        <is>
          <t>Albuquerque</t>
        </is>
      </c>
      <c r="AO274" t="inlineStr">
        <is>
          <t>87121</t>
        </is>
      </c>
      <c r="AP274" t="inlineStr">
        <is>
          <t>NM</t>
        </is>
      </c>
      <c r="AR274" t="inlineStr">
        <is>
          <t>563 Via Patria Sw 87121</t>
        </is>
      </c>
      <c r="AT274" t="inlineStr">
        <is>
          <t>Albuquerque</t>
        </is>
      </c>
      <c r="AU274" t="inlineStr">
        <is>
          <t>87121</t>
        </is>
      </c>
      <c r="AV274" t="inlineStr">
        <is>
          <t>NM</t>
        </is>
      </c>
      <c r="BB274" t="inlineStr">
        <is>
          <t>05/06/2024</t>
        </is>
      </c>
    </row>
    <row r="275" ht="15" customHeight="1" s="86">
      <c r="C275" t="inlineStr">
        <is>
          <t>Cristian</t>
        </is>
      </c>
      <c r="E275" t="inlineStr">
        <is>
          <t>Campos</t>
        </is>
      </c>
      <c r="G275" t="inlineStr">
        <is>
          <t>01/09/1984</t>
        </is>
      </c>
      <c r="H275" t="inlineStr">
        <is>
          <t>Male</t>
        </is>
      </c>
      <c r="I275" t="inlineStr">
        <is>
          <t>839373048</t>
        </is>
      </c>
      <c r="J275" t="inlineStr">
        <is>
          <t>No</t>
        </is>
      </c>
      <c r="K275" t="inlineStr">
        <is>
          <t>PB26RC5C6</t>
        </is>
      </c>
      <c r="M275" t="inlineStr">
        <is>
          <t>05/06/2024</t>
        </is>
      </c>
      <c r="N275" t="inlineStr">
        <is>
          <t>08/12/2025</t>
        </is>
      </c>
      <c r="R275" t="inlineStr">
        <is>
          <t>Hourly</t>
        </is>
      </c>
      <c r="X275" t="inlineStr">
        <is>
          <t>21.9</t>
        </is>
      </c>
      <c r="AF275" t="inlineStr">
        <is>
          <t>Non-exempt</t>
        </is>
      </c>
      <c r="AJ275" t="inlineStr">
        <is>
          <t>ccampos.remson@gmail.com</t>
        </is>
      </c>
      <c r="AL275" t="inlineStr">
        <is>
          <t>563 Via Patria Sw 87121</t>
        </is>
      </c>
      <c r="AN275" t="inlineStr">
        <is>
          <t>Albuquerque</t>
        </is>
      </c>
      <c r="AO275" t="inlineStr">
        <is>
          <t>87121</t>
        </is>
      </c>
      <c r="AP275" t="inlineStr">
        <is>
          <t>NM</t>
        </is>
      </c>
      <c r="AR275" t="inlineStr">
        <is>
          <t>563 Via Patria Sw 87121</t>
        </is>
      </c>
      <c r="AT275" t="inlineStr">
        <is>
          <t>Albuquerque</t>
        </is>
      </c>
      <c r="AU275" t="inlineStr">
        <is>
          <t>87121</t>
        </is>
      </c>
      <c r="AV275" t="inlineStr">
        <is>
          <t>NM</t>
        </is>
      </c>
      <c r="BB275" t="inlineStr">
        <is>
          <t>05/06/2024</t>
        </is>
      </c>
      <c r="BD275" t="inlineStr">
        <is>
          <t>Z4Y55Y33Y</t>
        </is>
      </c>
    </row>
    <row r="276" ht="15" customHeight="1" s="86">
      <c r="C276" t="inlineStr">
        <is>
          <t>Jazmeen</t>
        </is>
      </c>
      <c r="E276" t="inlineStr">
        <is>
          <t>White</t>
        </is>
      </c>
      <c r="G276" t="inlineStr">
        <is>
          <t>23/08/2000</t>
        </is>
      </c>
      <c r="H276" t="inlineStr">
        <is>
          <t>Not Specified</t>
        </is>
      </c>
      <c r="I276" t="inlineStr">
        <is>
          <t>648227747</t>
        </is>
      </c>
      <c r="K276" t="inlineStr">
        <is>
          <t>PFYA36DDO</t>
        </is>
      </c>
      <c r="M276" t="inlineStr">
        <is>
          <t>04/04/2025</t>
        </is>
      </c>
      <c r="N276" t="inlineStr">
        <is>
          <t>09/12/2025</t>
        </is>
      </c>
      <c r="R276" t="inlineStr">
        <is>
          <t>Hourly</t>
        </is>
      </c>
      <c r="X276" t="inlineStr">
        <is>
          <t>21.65</t>
        </is>
      </c>
      <c r="AF276" t="inlineStr">
        <is>
          <t>Non-exempt</t>
        </is>
      </c>
      <c r="AJ276" t="inlineStr">
        <is>
          <t>jwhite.remson@gmail.com</t>
        </is>
      </c>
      <c r="AL276" t="inlineStr">
        <is>
          <t>4301 Morris Street Northeast</t>
        </is>
      </c>
      <c r="AM276" t="inlineStr">
        <is>
          <t>apt 15d</t>
        </is>
      </c>
      <c r="AN276" t="inlineStr">
        <is>
          <t>Albuquerque</t>
        </is>
      </c>
      <c r="AO276" t="inlineStr">
        <is>
          <t>87111</t>
        </is>
      </c>
      <c r="AP276" t="inlineStr">
        <is>
          <t>NM</t>
        </is>
      </c>
      <c r="AR276" t="inlineStr">
        <is>
          <t>4301 Morris Street Northeast</t>
        </is>
      </c>
      <c r="AS276" t="inlineStr">
        <is>
          <t>apt 15d</t>
        </is>
      </c>
      <c r="AT276" t="inlineStr">
        <is>
          <t>Albuquerque</t>
        </is>
      </c>
      <c r="AU276" t="inlineStr">
        <is>
          <t>87111</t>
        </is>
      </c>
      <c r="AV276" t="inlineStr">
        <is>
          <t>NM</t>
        </is>
      </c>
      <c r="BB276" t="inlineStr">
        <is>
          <t>04/04/2025</t>
        </is>
      </c>
      <c r="BD276" t="inlineStr">
        <is>
          <t>Z4Y55Y33Y</t>
        </is>
      </c>
    </row>
    <row r="277" ht="15" customHeight="1" s="86">
      <c r="C277" t="inlineStr">
        <is>
          <t>Jazmeen</t>
        </is>
      </c>
      <c r="E277" t="inlineStr">
        <is>
          <t>White</t>
        </is>
      </c>
      <c r="G277" t="inlineStr">
        <is>
          <t>23/08/2000</t>
        </is>
      </c>
      <c r="H277" t="inlineStr">
        <is>
          <t>Not Specified</t>
        </is>
      </c>
      <c r="I277" t="inlineStr">
        <is>
          <t>648227747</t>
        </is>
      </c>
      <c r="K277" t="inlineStr">
        <is>
          <t>PFYA36DDO</t>
        </is>
      </c>
      <c r="M277" t="inlineStr">
        <is>
          <t>04/04/2025</t>
        </is>
      </c>
      <c r="N277" t="inlineStr">
        <is>
          <t>13/12/2025</t>
        </is>
      </c>
      <c r="R277" t="inlineStr">
        <is>
          <t>Hourly</t>
        </is>
      </c>
      <c r="X277" t="inlineStr">
        <is>
          <t>21.65</t>
        </is>
      </c>
      <c r="AF277" t="inlineStr">
        <is>
          <t>Non-exempt</t>
        </is>
      </c>
      <c r="AJ277" t="inlineStr">
        <is>
          <t>jwhite.remson@gmail.com</t>
        </is>
      </c>
      <c r="AL277" t="inlineStr">
        <is>
          <t>4301 Morris Street Northeast</t>
        </is>
      </c>
      <c r="AM277" t="inlineStr">
        <is>
          <t>apt 15d</t>
        </is>
      </c>
      <c r="AN277" t="inlineStr">
        <is>
          <t>Albuquerque</t>
        </is>
      </c>
      <c r="AO277" t="inlineStr">
        <is>
          <t>87111</t>
        </is>
      </c>
      <c r="AP277" t="inlineStr">
        <is>
          <t>NM</t>
        </is>
      </c>
      <c r="AR277" t="inlineStr">
        <is>
          <t>4301 Morris Street Northeast</t>
        </is>
      </c>
      <c r="AS277" t="inlineStr">
        <is>
          <t>apt 15d</t>
        </is>
      </c>
      <c r="AT277" t="inlineStr">
        <is>
          <t>Albuquerque</t>
        </is>
      </c>
      <c r="AU277" t="inlineStr">
        <is>
          <t>87111</t>
        </is>
      </c>
      <c r="AV277" t="inlineStr">
        <is>
          <t>NM</t>
        </is>
      </c>
      <c r="BB277" t="inlineStr">
        <is>
          <t>04/04/2025</t>
        </is>
      </c>
    </row>
    <row r="278" ht="15" customHeight="1" s="86">
      <c r="C278" t="inlineStr">
        <is>
          <t>Maxwell</t>
        </is>
      </c>
      <c r="D278" t="inlineStr">
        <is>
          <t>M</t>
        </is>
      </c>
      <c r="E278" t="inlineStr">
        <is>
          <t>Bassman</t>
        </is>
      </c>
      <c r="G278" t="inlineStr">
        <is>
          <t>05/09/1999</t>
        </is>
      </c>
      <c r="H278" t="inlineStr">
        <is>
          <t>Not Specified</t>
        </is>
      </c>
      <c r="I278" t="inlineStr">
        <is>
          <t>649189447</t>
        </is>
      </c>
      <c r="K278" t="inlineStr">
        <is>
          <t>PV8HCB5C5</t>
        </is>
      </c>
      <c r="M278" t="inlineStr">
        <is>
          <t>24/03/2025</t>
        </is>
      </c>
      <c r="R278" t="inlineStr">
        <is>
          <t>Hourly</t>
        </is>
      </c>
      <c r="X278" t="inlineStr">
        <is>
          <t>21.65</t>
        </is>
      </c>
      <c r="AF278" t="inlineStr">
        <is>
          <t>Non-exempt</t>
        </is>
      </c>
      <c r="AJ278" t="inlineStr">
        <is>
          <t>mbassman.remson@gmail.com</t>
        </is>
      </c>
      <c r="AL278" t="inlineStr">
        <is>
          <t>8005 Scoresby Drive Northeast</t>
        </is>
      </c>
      <c r="AN278" t="inlineStr">
        <is>
          <t>Albuquerque</t>
        </is>
      </c>
      <c r="AO278" t="inlineStr">
        <is>
          <t>87109</t>
        </is>
      </c>
      <c r="AP278" t="inlineStr">
        <is>
          <t>NM</t>
        </is>
      </c>
      <c r="AR278" t="inlineStr">
        <is>
          <t>8005 Scoresby Drive Northeast</t>
        </is>
      </c>
      <c r="AT278" t="inlineStr">
        <is>
          <t>Albuquerque</t>
        </is>
      </c>
      <c r="AU278" t="inlineStr">
        <is>
          <t>87109</t>
        </is>
      </c>
      <c r="AV278" t="inlineStr">
        <is>
          <t>NM</t>
        </is>
      </c>
      <c r="BB278" t="inlineStr">
        <is>
          <t>24/03/2025</t>
        </is>
      </c>
    </row>
    <row r="279" ht="15" customHeight="1" s="86">
      <c r="C279" t="inlineStr">
        <is>
          <t>Maxwell</t>
        </is>
      </c>
      <c r="D279" t="inlineStr">
        <is>
          <t>M</t>
        </is>
      </c>
      <c r="E279" t="inlineStr">
        <is>
          <t>Bassman</t>
        </is>
      </c>
      <c r="G279" t="inlineStr">
        <is>
          <t>05/09/1999</t>
        </is>
      </c>
      <c r="H279" t="inlineStr">
        <is>
          <t>Not Specified</t>
        </is>
      </c>
      <c r="I279" t="inlineStr">
        <is>
          <t>649189447</t>
        </is>
      </c>
      <c r="K279" t="inlineStr">
        <is>
          <t>PV8HCB5C5</t>
        </is>
      </c>
      <c r="M279" t="inlineStr">
        <is>
          <t>24/03/2025</t>
        </is>
      </c>
      <c r="N279" t="inlineStr">
        <is>
          <t>08/12/2025</t>
        </is>
      </c>
      <c r="R279" t="inlineStr">
        <is>
          <t>Hourly</t>
        </is>
      </c>
      <c r="X279" t="inlineStr">
        <is>
          <t>21.65</t>
        </is>
      </c>
      <c r="AF279" t="inlineStr">
        <is>
          <t>Non-exempt</t>
        </is>
      </c>
      <c r="AJ279" t="inlineStr">
        <is>
          <t>mbassman.remson@gmail.com</t>
        </is>
      </c>
      <c r="AL279" t="inlineStr">
        <is>
          <t>8005 Scoresby Drive Northeast</t>
        </is>
      </c>
      <c r="AN279" t="inlineStr">
        <is>
          <t>Albuquerque</t>
        </is>
      </c>
      <c r="AO279" t="inlineStr">
        <is>
          <t>87109</t>
        </is>
      </c>
      <c r="AP279" t="inlineStr">
        <is>
          <t>NM</t>
        </is>
      </c>
      <c r="AR279" t="inlineStr">
        <is>
          <t>8005 Scoresby Drive Northeast</t>
        </is>
      </c>
      <c r="AT279" t="inlineStr">
        <is>
          <t>Albuquerque</t>
        </is>
      </c>
      <c r="AU279" t="inlineStr">
        <is>
          <t>87109</t>
        </is>
      </c>
      <c r="AV279" t="inlineStr">
        <is>
          <t>NM</t>
        </is>
      </c>
      <c r="BB279" t="inlineStr">
        <is>
          <t>24/03/2025</t>
        </is>
      </c>
      <c r="BD279" t="inlineStr">
        <is>
          <t>Z4Y55Y33Y</t>
        </is>
      </c>
    </row>
    <row r="280" ht="15" customHeight="1" s="86">
      <c r="C280" t="inlineStr">
        <is>
          <t>Dominique</t>
        </is>
      </c>
      <c r="E280" t="inlineStr">
        <is>
          <t>Lopez</t>
        </is>
      </c>
      <c r="G280" t="inlineStr">
        <is>
          <t>15/02/2000</t>
        </is>
      </c>
      <c r="H280" t="inlineStr">
        <is>
          <t>Female</t>
        </is>
      </c>
      <c r="I280" t="inlineStr">
        <is>
          <t>649202382</t>
        </is>
      </c>
      <c r="J280" t="inlineStr">
        <is>
          <t>No</t>
        </is>
      </c>
      <c r="K280" t="inlineStr">
        <is>
          <t>PXCZVT9JT</t>
        </is>
      </c>
      <c r="M280" t="inlineStr">
        <is>
          <t>19/10/2023</t>
        </is>
      </c>
      <c r="N280" t="inlineStr">
        <is>
          <t>11/01/2025</t>
        </is>
      </c>
      <c r="R280" t="inlineStr">
        <is>
          <t>Hourly</t>
        </is>
      </c>
      <c r="X280" t="inlineStr">
        <is>
          <t>42.2</t>
        </is>
      </c>
      <c r="AF280" t="inlineStr">
        <is>
          <t>Non-exempt</t>
        </is>
      </c>
      <c r="AI280" t="inlineStr">
        <is>
          <t>dlopez.remson@gmail.com</t>
        </is>
      </c>
      <c r="AJ280" t="inlineStr">
        <is>
          <t>dlopez.remson@gmail.com</t>
        </is>
      </c>
      <c r="AL280" t="inlineStr">
        <is>
          <t>12620 Apache Pl Ne</t>
        </is>
      </c>
      <c r="AN280" t="inlineStr">
        <is>
          <t>Albuquerque</t>
        </is>
      </c>
      <c r="AO280" t="inlineStr">
        <is>
          <t>87112</t>
        </is>
      </c>
      <c r="AP280" t="inlineStr">
        <is>
          <t>NM</t>
        </is>
      </c>
      <c r="AR280" t="inlineStr">
        <is>
          <t>12620 Apache Pl Ne</t>
        </is>
      </c>
      <c r="AT280" t="inlineStr">
        <is>
          <t>Albuquerque</t>
        </is>
      </c>
      <c r="AU280" t="inlineStr">
        <is>
          <t>87112</t>
        </is>
      </c>
      <c r="AV280" t="inlineStr">
        <is>
          <t>NM</t>
        </is>
      </c>
      <c r="BB280" t="inlineStr">
        <is>
          <t>19/10/2023</t>
        </is>
      </c>
    </row>
    <row r="281" ht="15" customHeight="1" s="86">
      <c r="C281" t="inlineStr">
        <is>
          <t>Jared</t>
        </is>
      </c>
      <c r="E281" t="inlineStr">
        <is>
          <t>Cordero Estrada</t>
        </is>
      </c>
      <c r="G281" t="inlineStr">
        <is>
          <t>09/10/2002</t>
        </is>
      </c>
      <c r="H281" t="inlineStr">
        <is>
          <t>Male</t>
        </is>
      </c>
      <c r="I281" t="inlineStr">
        <is>
          <t>649289834</t>
        </is>
      </c>
      <c r="J281" t="inlineStr">
        <is>
          <t>No</t>
        </is>
      </c>
      <c r="K281" t="inlineStr">
        <is>
          <t>Q9JAN7WIQ</t>
        </is>
      </c>
      <c r="M281" t="inlineStr">
        <is>
          <t>06/01/2025</t>
        </is>
      </c>
      <c r="R281" t="inlineStr">
        <is>
          <t>Hourly</t>
        </is>
      </c>
      <c r="X281" t="inlineStr">
        <is>
          <t>22.2</t>
        </is>
      </c>
      <c r="AF281" t="inlineStr">
        <is>
          <t>Non-exempt</t>
        </is>
      </c>
      <c r="AJ281" t="inlineStr">
        <is>
          <t>jcordero1.remson@gmail.com</t>
        </is>
      </c>
      <c r="AL281" t="inlineStr">
        <is>
          <t>8820 Sawgrass Pl Nw</t>
        </is>
      </c>
      <c r="AN281" t="inlineStr">
        <is>
          <t>Albuquerque</t>
        </is>
      </c>
      <c r="AO281" t="inlineStr">
        <is>
          <t>87121</t>
        </is>
      </c>
      <c r="AP281" t="inlineStr">
        <is>
          <t>NM</t>
        </is>
      </c>
      <c r="AR281" t="inlineStr">
        <is>
          <t>8820 Sawgrass Pl Nw</t>
        </is>
      </c>
      <c r="AT281" t="inlineStr">
        <is>
          <t>Albuquerque</t>
        </is>
      </c>
      <c r="AU281" t="inlineStr">
        <is>
          <t>87121</t>
        </is>
      </c>
      <c r="AV281" t="inlineStr">
        <is>
          <t>NM</t>
        </is>
      </c>
      <c r="BB281" t="inlineStr">
        <is>
          <t>16/01/2024</t>
        </is>
      </c>
    </row>
    <row r="282" ht="15" customHeight="1" s="86">
      <c r="C282" t="inlineStr">
        <is>
          <t>Jared</t>
        </is>
      </c>
      <c r="E282" t="inlineStr">
        <is>
          <t>Cordero Estrada</t>
        </is>
      </c>
      <c r="G282" t="inlineStr">
        <is>
          <t>09/10/2002</t>
        </is>
      </c>
      <c r="H282" t="inlineStr">
        <is>
          <t>Male</t>
        </is>
      </c>
      <c r="I282" t="inlineStr">
        <is>
          <t>649289834</t>
        </is>
      </c>
      <c r="J282" t="inlineStr">
        <is>
          <t>No</t>
        </is>
      </c>
      <c r="K282" t="inlineStr">
        <is>
          <t>Q9JAN7WIQ</t>
        </is>
      </c>
      <c r="M282" t="inlineStr">
        <is>
          <t>06/01/2025</t>
        </is>
      </c>
      <c r="N282" t="inlineStr">
        <is>
          <t>08/12/2025</t>
        </is>
      </c>
      <c r="R282" t="inlineStr">
        <is>
          <t>Hourly</t>
        </is>
      </c>
      <c r="X282" t="inlineStr">
        <is>
          <t>22.2</t>
        </is>
      </c>
      <c r="AF282" t="inlineStr">
        <is>
          <t>Non-exempt</t>
        </is>
      </c>
      <c r="AJ282" t="inlineStr">
        <is>
          <t>jcordero1.remson@gmail.com</t>
        </is>
      </c>
      <c r="AL282" t="inlineStr">
        <is>
          <t>8820 Sawgrass Pl Nw</t>
        </is>
      </c>
      <c r="AN282" t="inlineStr">
        <is>
          <t>Albuquerque</t>
        </is>
      </c>
      <c r="AO282" t="inlineStr">
        <is>
          <t>87121</t>
        </is>
      </c>
      <c r="AP282" t="inlineStr">
        <is>
          <t>NM</t>
        </is>
      </c>
      <c r="AR282" t="inlineStr">
        <is>
          <t>8820 Sawgrass Pl Nw</t>
        </is>
      </c>
      <c r="AT282" t="inlineStr">
        <is>
          <t>Albuquerque</t>
        </is>
      </c>
      <c r="AU282" t="inlineStr">
        <is>
          <t>87121</t>
        </is>
      </c>
      <c r="AV282" t="inlineStr">
        <is>
          <t>NM</t>
        </is>
      </c>
      <c r="BB282" t="inlineStr">
        <is>
          <t>16/01/2024</t>
        </is>
      </c>
      <c r="BD282" t="inlineStr">
        <is>
          <t>Z4Y55Y33Y</t>
        </is>
      </c>
    </row>
    <row r="283" ht="15" customHeight="1" s="86">
      <c r="C283" t="inlineStr">
        <is>
          <t>Coby</t>
        </is>
      </c>
      <c r="E283" t="inlineStr">
        <is>
          <t>Kos</t>
        </is>
      </c>
      <c r="G283" t="inlineStr">
        <is>
          <t>27/08/2002</t>
        </is>
      </c>
      <c r="H283" t="inlineStr">
        <is>
          <t>Male</t>
        </is>
      </c>
      <c r="I283" t="inlineStr">
        <is>
          <t>649283814</t>
        </is>
      </c>
      <c r="J283" t="inlineStr">
        <is>
          <t>No</t>
        </is>
      </c>
      <c r="K283" t="inlineStr">
        <is>
          <t>QDC2OSXGV</t>
        </is>
      </c>
      <c r="M283" t="inlineStr">
        <is>
          <t>25/10/2024</t>
        </is>
      </c>
      <c r="N283" t="inlineStr">
        <is>
          <t>24/02/2025</t>
        </is>
      </c>
      <c r="R283" t="inlineStr">
        <is>
          <t>Hourly</t>
        </is>
      </c>
      <c r="X283" t="inlineStr">
        <is>
          <t>41.3</t>
        </is>
      </c>
      <c r="AF283" t="inlineStr">
        <is>
          <t>Non-exempt</t>
        </is>
      </c>
      <c r="AI283" t="inlineStr">
        <is>
          <t>ckos.remson@gmail.com</t>
        </is>
      </c>
      <c r="AJ283" t="inlineStr">
        <is>
          <t>Ckos.remson@gmail.com</t>
        </is>
      </c>
      <c r="AL283" t="inlineStr">
        <is>
          <t>6708 Ventana Ranch Hills Rd Nw</t>
        </is>
      </c>
      <c r="AN283" t="inlineStr">
        <is>
          <t>Abq</t>
        </is>
      </c>
      <c r="AO283" t="inlineStr">
        <is>
          <t>87114</t>
        </is>
      </c>
      <c r="AP283" t="inlineStr">
        <is>
          <t>NM</t>
        </is>
      </c>
      <c r="AR283" t="inlineStr">
        <is>
          <t>6708 Ventana Ranch Hills Rd Nw</t>
        </is>
      </c>
      <c r="AT283" t="inlineStr">
        <is>
          <t>Abq</t>
        </is>
      </c>
      <c r="AU283" t="inlineStr">
        <is>
          <t>87114</t>
        </is>
      </c>
      <c r="AV283" t="inlineStr">
        <is>
          <t>NM</t>
        </is>
      </c>
      <c r="BB283" t="inlineStr">
        <is>
          <t>25/10/2024</t>
        </is>
      </c>
    </row>
    <row r="284" ht="15" customHeight="1" s="86">
      <c r="C284" t="inlineStr">
        <is>
          <t>Eloy</t>
        </is>
      </c>
      <c r="D284" t="inlineStr">
        <is>
          <t>F</t>
        </is>
      </c>
      <c r="E284" t="inlineStr">
        <is>
          <t>Medina</t>
        </is>
      </c>
      <c r="G284" t="inlineStr">
        <is>
          <t>17/11/2001</t>
        </is>
      </c>
      <c r="H284" t="inlineStr">
        <is>
          <t>Not Specified</t>
        </is>
      </c>
      <c r="I284" t="inlineStr">
        <is>
          <t>648268738</t>
        </is>
      </c>
      <c r="K284" t="inlineStr">
        <is>
          <t>QMSUZB8PD</t>
        </is>
      </c>
      <c r="M284" t="inlineStr">
        <is>
          <t>16/07/2025</t>
        </is>
      </c>
      <c r="R284" t="inlineStr">
        <is>
          <t>Hourly</t>
        </is>
      </c>
      <c r="X284" t="inlineStr">
        <is>
          <t>21.65</t>
        </is>
      </c>
      <c r="AF284" t="inlineStr">
        <is>
          <t>Non-exempt</t>
        </is>
      </c>
      <c r="AJ284" t="inlineStr">
        <is>
          <t>emedina.remson@gmail.com</t>
        </is>
      </c>
      <c r="AL284" t="inlineStr">
        <is>
          <t>10301 Paso Fino Place Southwes</t>
        </is>
      </c>
      <c r="AN284" t="inlineStr">
        <is>
          <t>Albuquerque</t>
        </is>
      </c>
      <c r="AO284" t="inlineStr">
        <is>
          <t>87121</t>
        </is>
      </c>
      <c r="AP284" t="inlineStr">
        <is>
          <t>NM</t>
        </is>
      </c>
      <c r="AR284" t="inlineStr">
        <is>
          <t>10301 Paso Fino Place Southwes</t>
        </is>
      </c>
      <c r="AT284" t="inlineStr">
        <is>
          <t>Albuquerque</t>
        </is>
      </c>
      <c r="AU284" t="inlineStr">
        <is>
          <t>87121</t>
        </is>
      </c>
      <c r="AV284" t="inlineStr">
        <is>
          <t>NM</t>
        </is>
      </c>
      <c r="BB284" t="inlineStr">
        <is>
          <t>16/07/2025</t>
        </is>
      </c>
    </row>
    <row r="285" ht="15" customHeight="1" s="86">
      <c r="C285" t="inlineStr">
        <is>
          <t>Eloy</t>
        </is>
      </c>
      <c r="D285" t="inlineStr">
        <is>
          <t>F</t>
        </is>
      </c>
      <c r="E285" t="inlineStr">
        <is>
          <t>Medina</t>
        </is>
      </c>
      <c r="G285" t="inlineStr">
        <is>
          <t>17/11/2001</t>
        </is>
      </c>
      <c r="H285" t="inlineStr">
        <is>
          <t>Not Specified</t>
        </is>
      </c>
      <c r="I285" t="inlineStr">
        <is>
          <t>648268738</t>
        </is>
      </c>
      <c r="K285" t="inlineStr">
        <is>
          <t>QMSUZB8PD</t>
        </is>
      </c>
      <c r="M285" t="inlineStr">
        <is>
          <t>16/07/2025</t>
        </is>
      </c>
      <c r="N285" t="inlineStr">
        <is>
          <t>08/12/2025</t>
        </is>
      </c>
      <c r="R285" t="inlineStr">
        <is>
          <t>Hourly</t>
        </is>
      </c>
      <c r="X285" t="inlineStr">
        <is>
          <t>21.65</t>
        </is>
      </c>
      <c r="AF285" t="inlineStr">
        <is>
          <t>Non-exempt</t>
        </is>
      </c>
      <c r="AJ285" t="inlineStr">
        <is>
          <t>emedina.remson@gmail.com</t>
        </is>
      </c>
      <c r="AL285" t="inlineStr">
        <is>
          <t>10301 Paso Fino Place Southwes</t>
        </is>
      </c>
      <c r="AN285" t="inlineStr">
        <is>
          <t>Albuquerque</t>
        </is>
      </c>
      <c r="AO285" t="inlineStr">
        <is>
          <t>87121</t>
        </is>
      </c>
      <c r="AP285" t="inlineStr">
        <is>
          <t>NM</t>
        </is>
      </c>
      <c r="AR285" t="inlineStr">
        <is>
          <t>10301 Paso Fino Place Southwes</t>
        </is>
      </c>
      <c r="AT285" t="inlineStr">
        <is>
          <t>Albuquerque</t>
        </is>
      </c>
      <c r="AU285" t="inlineStr">
        <is>
          <t>87121</t>
        </is>
      </c>
      <c r="AV285" t="inlineStr">
        <is>
          <t>NM</t>
        </is>
      </c>
      <c r="BB285" t="inlineStr">
        <is>
          <t>16/07/2025</t>
        </is>
      </c>
      <c r="BD285" t="inlineStr">
        <is>
          <t>Z4Y55Y33Y</t>
        </is>
      </c>
    </row>
    <row r="286" ht="15" customHeight="1" s="86">
      <c r="C286" t="inlineStr">
        <is>
          <t>Damian</t>
        </is>
      </c>
      <c r="E286" t="inlineStr">
        <is>
          <t>Rivas</t>
        </is>
      </c>
      <c r="G286" t="inlineStr">
        <is>
          <t>30/05/1999</t>
        </is>
      </c>
      <c r="H286" t="inlineStr">
        <is>
          <t>Male</t>
        </is>
      </c>
      <c r="I286" t="inlineStr">
        <is>
          <t>648188885</t>
        </is>
      </c>
      <c r="J286" t="inlineStr">
        <is>
          <t>No</t>
        </is>
      </c>
      <c r="K286" t="inlineStr">
        <is>
          <t>QMY2Y8BC7</t>
        </is>
      </c>
      <c r="M286" t="inlineStr">
        <is>
          <t>08/09/2024</t>
        </is>
      </c>
      <c r="R286" t="inlineStr">
        <is>
          <t>Hourly</t>
        </is>
      </c>
      <c r="X286" t="inlineStr">
        <is>
          <t>21.75</t>
        </is>
      </c>
      <c r="AF286" t="inlineStr">
        <is>
          <t>Non-exempt</t>
        </is>
      </c>
      <c r="AJ286" t="inlineStr">
        <is>
          <t>rivasd.remson@gmail.com</t>
        </is>
      </c>
      <c r="AL286" t="inlineStr">
        <is>
          <t>8408 Wynview Ct</t>
        </is>
      </c>
      <c r="AN286" t="inlineStr">
        <is>
          <t>Albuquerque</t>
        </is>
      </c>
      <c r="AO286" t="inlineStr">
        <is>
          <t>87120</t>
        </is>
      </c>
      <c r="AP286" t="inlineStr">
        <is>
          <t>NM</t>
        </is>
      </c>
      <c r="AR286" t="inlineStr">
        <is>
          <t>8408 Wynview Ct</t>
        </is>
      </c>
      <c r="AT286" t="inlineStr">
        <is>
          <t>Albuquerque</t>
        </is>
      </c>
      <c r="AU286" t="inlineStr">
        <is>
          <t>87120</t>
        </is>
      </c>
      <c r="AV286" t="inlineStr">
        <is>
          <t>NM</t>
        </is>
      </c>
      <c r="BB286" t="inlineStr">
        <is>
          <t>08/09/2024</t>
        </is>
      </c>
    </row>
    <row r="287" ht="15" customHeight="1" s="86">
      <c r="C287" t="inlineStr">
        <is>
          <t>Damian</t>
        </is>
      </c>
      <c r="E287" t="inlineStr">
        <is>
          <t>Rivas</t>
        </is>
      </c>
      <c r="G287" t="inlineStr">
        <is>
          <t>30/05/1999</t>
        </is>
      </c>
      <c r="H287" t="inlineStr">
        <is>
          <t>Male</t>
        </is>
      </c>
      <c r="I287" t="inlineStr">
        <is>
          <t>648188885</t>
        </is>
      </c>
      <c r="J287" t="inlineStr">
        <is>
          <t>No</t>
        </is>
      </c>
      <c r="K287" t="inlineStr">
        <is>
          <t>QMY2Y8BC7</t>
        </is>
      </c>
      <c r="M287" t="inlineStr">
        <is>
          <t>08/09/2024</t>
        </is>
      </c>
      <c r="N287" t="inlineStr">
        <is>
          <t>08/12/2025</t>
        </is>
      </c>
      <c r="R287" t="inlineStr">
        <is>
          <t>Hourly</t>
        </is>
      </c>
      <c r="X287" t="inlineStr">
        <is>
          <t>21.75</t>
        </is>
      </c>
      <c r="AF287" t="inlineStr">
        <is>
          <t>Non-exempt</t>
        </is>
      </c>
      <c r="AJ287" t="inlineStr">
        <is>
          <t>rivasd.remson@gmail.com</t>
        </is>
      </c>
      <c r="AL287" t="inlineStr">
        <is>
          <t>8408 Wynview Ct</t>
        </is>
      </c>
      <c r="AN287" t="inlineStr">
        <is>
          <t>Albuquerque</t>
        </is>
      </c>
      <c r="AO287" t="inlineStr">
        <is>
          <t>87120</t>
        </is>
      </c>
      <c r="AP287" t="inlineStr">
        <is>
          <t>NM</t>
        </is>
      </c>
      <c r="AR287" t="inlineStr">
        <is>
          <t>8408 Wynview Ct</t>
        </is>
      </c>
      <c r="AT287" t="inlineStr">
        <is>
          <t>Albuquerque</t>
        </is>
      </c>
      <c r="AU287" t="inlineStr">
        <is>
          <t>87120</t>
        </is>
      </c>
      <c r="AV287" t="inlineStr">
        <is>
          <t>NM</t>
        </is>
      </c>
      <c r="BB287" t="inlineStr">
        <is>
          <t>08/09/2024</t>
        </is>
      </c>
      <c r="BD287" t="inlineStr">
        <is>
          <t>Z4Y55Y33Y</t>
        </is>
      </c>
    </row>
    <row r="288" ht="15" customHeight="1" s="86">
      <c r="C288" t="inlineStr">
        <is>
          <t>Isaiah</t>
        </is>
      </c>
      <c r="E288" t="inlineStr">
        <is>
          <t>Chavez</t>
        </is>
      </c>
      <c r="G288" t="inlineStr">
        <is>
          <t>27/10/1995</t>
        </is>
      </c>
      <c r="H288" t="inlineStr">
        <is>
          <t>Male</t>
        </is>
      </c>
      <c r="I288" t="inlineStr">
        <is>
          <t>649072428</t>
        </is>
      </c>
      <c r="J288" t="inlineStr">
        <is>
          <t>No</t>
        </is>
      </c>
      <c r="K288" t="inlineStr">
        <is>
          <t>QVH8QRZT2</t>
        </is>
      </c>
      <c r="M288" t="inlineStr">
        <is>
          <t>05/04/2024</t>
        </is>
      </c>
      <c r="N288" t="inlineStr">
        <is>
          <t>04/01/2025</t>
        </is>
      </c>
      <c r="R288" t="inlineStr">
        <is>
          <t>Hourly</t>
        </is>
      </c>
      <c r="X288" t="inlineStr">
        <is>
          <t>41.6</t>
        </is>
      </c>
      <c r="AF288" t="inlineStr">
        <is>
          <t>Non-exempt</t>
        </is>
      </c>
      <c r="AI288" t="inlineStr">
        <is>
          <t>ichavez.remson@gmail.com</t>
        </is>
      </c>
      <c r="AJ288" t="inlineStr">
        <is>
          <t>ichavez.remson@gmail.com</t>
        </is>
      </c>
      <c r="AL288" t="inlineStr">
        <is>
          <t>4435 Rancho Largo Rd Nw</t>
        </is>
      </c>
      <c r="AN288" t="inlineStr">
        <is>
          <t>Albuquerque</t>
        </is>
      </c>
      <c r="AO288" t="inlineStr">
        <is>
          <t>87120</t>
        </is>
      </c>
      <c r="AP288" t="inlineStr">
        <is>
          <t>NM</t>
        </is>
      </c>
      <c r="AR288" t="inlineStr">
        <is>
          <t>4435 Rancho Largo Rd Nw</t>
        </is>
      </c>
      <c r="AT288" t="inlineStr">
        <is>
          <t>Albuquerque</t>
        </is>
      </c>
      <c r="AU288" t="inlineStr">
        <is>
          <t>87120</t>
        </is>
      </c>
      <c r="AV288" t="inlineStr">
        <is>
          <t>NM</t>
        </is>
      </c>
      <c r="BB288" t="inlineStr">
        <is>
          <t>05/04/2024</t>
        </is>
      </c>
    </row>
    <row r="289" ht="15" customHeight="1" s="86">
      <c r="C289" t="inlineStr">
        <is>
          <t>Christopher</t>
        </is>
      </c>
      <c r="E289" t="inlineStr">
        <is>
          <t>Richards</t>
        </is>
      </c>
      <c r="G289" t="inlineStr">
        <is>
          <t>24/11/1979</t>
        </is>
      </c>
      <c r="H289" t="inlineStr">
        <is>
          <t>Not Specified</t>
        </is>
      </c>
      <c r="I289" t="inlineStr">
        <is>
          <t>520941072</t>
        </is>
      </c>
      <c r="J289" t="inlineStr">
        <is>
          <t>No</t>
        </is>
      </c>
      <c r="K289" t="inlineStr">
        <is>
          <t>R3AORHCZ5</t>
        </is>
      </c>
      <c r="M289" t="inlineStr">
        <is>
          <t>02/11/2023</t>
        </is>
      </c>
      <c r="R289" t="inlineStr">
        <is>
          <t>Hourly</t>
        </is>
      </c>
      <c r="X289" t="inlineStr">
        <is>
          <t>22.2</t>
        </is>
      </c>
      <c r="AF289" t="inlineStr">
        <is>
          <t>Non-exempt</t>
        </is>
      </c>
      <c r="AJ289" t="inlineStr">
        <is>
          <t>crichards.remson@gmail.com</t>
        </is>
      </c>
      <c r="AL289" t="inlineStr">
        <is>
          <t>6021 Anderson Ave Se</t>
        </is>
      </c>
      <c r="AM289" t="inlineStr">
        <is>
          <t>Apt 32</t>
        </is>
      </c>
      <c r="AN289" t="inlineStr">
        <is>
          <t>Albuquerque</t>
        </is>
      </c>
      <c r="AO289" t="inlineStr">
        <is>
          <t>87108-4870</t>
        </is>
      </c>
      <c r="AP289" t="inlineStr">
        <is>
          <t>NM</t>
        </is>
      </c>
      <c r="AR289" t="inlineStr">
        <is>
          <t>6021 Anderson Ave Se</t>
        </is>
      </c>
      <c r="AS289" t="inlineStr">
        <is>
          <t>Apt 32</t>
        </is>
      </c>
      <c r="AT289" t="inlineStr">
        <is>
          <t>Albuquerque</t>
        </is>
      </c>
      <c r="AU289" t="inlineStr">
        <is>
          <t>87108-4870</t>
        </is>
      </c>
      <c r="AV289" t="inlineStr">
        <is>
          <t>NM</t>
        </is>
      </c>
      <c r="BB289" t="inlineStr">
        <is>
          <t>02/11/2023</t>
        </is>
      </c>
    </row>
    <row r="290" ht="15" customHeight="1" s="86">
      <c r="C290" t="inlineStr">
        <is>
          <t>Christopher</t>
        </is>
      </c>
      <c r="E290" t="inlineStr">
        <is>
          <t>Richards</t>
        </is>
      </c>
      <c r="G290" t="inlineStr">
        <is>
          <t>24/11/1979</t>
        </is>
      </c>
      <c r="H290" t="inlineStr">
        <is>
          <t>Not Specified</t>
        </is>
      </c>
      <c r="I290" t="inlineStr">
        <is>
          <t>520941072</t>
        </is>
      </c>
      <c r="J290" t="inlineStr">
        <is>
          <t>No</t>
        </is>
      </c>
      <c r="K290" t="inlineStr">
        <is>
          <t>R3AORHCZ5</t>
        </is>
      </c>
      <c r="M290" t="inlineStr">
        <is>
          <t>02/11/2023</t>
        </is>
      </c>
      <c r="N290" t="inlineStr">
        <is>
          <t>08/12/2025</t>
        </is>
      </c>
      <c r="R290" t="inlineStr">
        <is>
          <t>Hourly</t>
        </is>
      </c>
      <c r="X290" t="inlineStr">
        <is>
          <t>22.2</t>
        </is>
      </c>
      <c r="AF290" t="inlineStr">
        <is>
          <t>Non-exempt</t>
        </is>
      </c>
      <c r="AJ290" t="inlineStr">
        <is>
          <t>crichards.remson@gmail.com</t>
        </is>
      </c>
      <c r="AL290" t="inlineStr">
        <is>
          <t>6021 Anderson Ave Se</t>
        </is>
      </c>
      <c r="AM290" t="inlineStr">
        <is>
          <t>Apt 32</t>
        </is>
      </c>
      <c r="AN290" t="inlineStr">
        <is>
          <t>Albuquerque</t>
        </is>
      </c>
      <c r="AO290" t="inlineStr">
        <is>
          <t>87108-4870</t>
        </is>
      </c>
      <c r="AP290" t="inlineStr">
        <is>
          <t>NM</t>
        </is>
      </c>
      <c r="AR290" t="inlineStr">
        <is>
          <t>6021 Anderson Ave Se</t>
        </is>
      </c>
      <c r="AS290" t="inlineStr">
        <is>
          <t>Apt 32</t>
        </is>
      </c>
      <c r="AT290" t="inlineStr">
        <is>
          <t>Albuquerque</t>
        </is>
      </c>
      <c r="AU290" t="inlineStr">
        <is>
          <t>87108-4870</t>
        </is>
      </c>
      <c r="AV290" t="inlineStr">
        <is>
          <t>NM</t>
        </is>
      </c>
      <c r="BB290" t="inlineStr">
        <is>
          <t>02/11/2023</t>
        </is>
      </c>
      <c r="BD290" t="inlineStr">
        <is>
          <t>Z4Y55Y33Y</t>
        </is>
      </c>
    </row>
    <row r="291" ht="15" customHeight="1" s="86">
      <c r="C291" t="inlineStr">
        <is>
          <t>Nikolas</t>
        </is>
      </c>
      <c r="E291" t="inlineStr">
        <is>
          <t>Fredericks</t>
        </is>
      </c>
      <c r="G291" t="inlineStr">
        <is>
          <t>18/04/2001</t>
        </is>
      </c>
      <c r="H291" t="inlineStr">
        <is>
          <t>Male</t>
        </is>
      </c>
      <c r="I291" t="inlineStr">
        <is>
          <t>648249509</t>
        </is>
      </c>
      <c r="J291" t="inlineStr">
        <is>
          <t>No</t>
        </is>
      </c>
      <c r="K291" t="inlineStr">
        <is>
          <t>RIHWRJ9AB</t>
        </is>
      </c>
      <c r="M291" t="inlineStr">
        <is>
          <t>18/01/2024</t>
        </is>
      </c>
      <c r="N291" t="inlineStr">
        <is>
          <t>09/08/2025</t>
        </is>
      </c>
      <c r="R291" t="inlineStr">
        <is>
          <t>Hourly</t>
        </is>
      </c>
      <c r="X291" t="inlineStr">
        <is>
          <t>42.44</t>
        </is>
      </c>
      <c r="AF291" t="inlineStr">
        <is>
          <t>Non-exempt</t>
        </is>
      </c>
      <c r="AJ291" t="inlineStr">
        <is>
          <t>nfredericks.remson@gmail.com</t>
        </is>
      </c>
      <c r="AL291" t="inlineStr">
        <is>
          <t>550 Summer Winds Dr Se</t>
        </is>
      </c>
      <c r="AN291" t="inlineStr">
        <is>
          <t>Rio Rancho</t>
        </is>
      </c>
      <c r="AO291" t="inlineStr">
        <is>
          <t>87124</t>
        </is>
      </c>
      <c r="AP291" t="inlineStr">
        <is>
          <t>NM</t>
        </is>
      </c>
      <c r="AR291" t="inlineStr">
        <is>
          <t>550 Summer Winds Dr Se</t>
        </is>
      </c>
      <c r="AT291" t="inlineStr">
        <is>
          <t>Rio Rancho</t>
        </is>
      </c>
      <c r="AU291" t="inlineStr">
        <is>
          <t>87124</t>
        </is>
      </c>
      <c r="AV291" t="inlineStr">
        <is>
          <t>NM</t>
        </is>
      </c>
      <c r="BB291" t="inlineStr">
        <is>
          <t>18/01/2024</t>
        </is>
      </c>
      <c r="BD291" t="inlineStr">
        <is>
          <t>DZWKT8LKB</t>
        </is>
      </c>
    </row>
    <row r="292" ht="15" customHeight="1" s="86">
      <c r="C292" t="inlineStr">
        <is>
          <t>Ashleigh</t>
        </is>
      </c>
      <c r="E292" t="inlineStr">
        <is>
          <t>Jacobson</t>
        </is>
      </c>
      <c r="G292" t="inlineStr">
        <is>
          <t>26/10/1995</t>
        </is>
      </c>
      <c r="H292" t="inlineStr">
        <is>
          <t>Female</t>
        </is>
      </c>
      <c r="I292" t="inlineStr">
        <is>
          <t>649073400</t>
        </is>
      </c>
      <c r="J292" t="inlineStr">
        <is>
          <t>No</t>
        </is>
      </c>
      <c r="K292" t="inlineStr">
        <is>
          <t>RIIUOE1OP</t>
        </is>
      </c>
      <c r="M292" t="inlineStr">
        <is>
          <t>26/07/2024</t>
        </is>
      </c>
      <c r="N292" t="inlineStr">
        <is>
          <t>09/12/2025</t>
        </is>
      </c>
      <c r="R292" t="inlineStr">
        <is>
          <t>Hourly</t>
        </is>
      </c>
      <c r="X292" t="inlineStr">
        <is>
          <t>21.9</t>
        </is>
      </c>
      <c r="AF292" t="inlineStr">
        <is>
          <t>Non-exempt</t>
        </is>
      </c>
      <c r="AJ292" t="inlineStr">
        <is>
          <t>ajacobson.remson@gmail.com</t>
        </is>
      </c>
      <c r="AL292" t="inlineStr">
        <is>
          <t>4610 Sunlight Ln Sw</t>
        </is>
      </c>
      <c r="AN292" t="inlineStr">
        <is>
          <t>Albuquerque</t>
        </is>
      </c>
      <c r="AO292" t="inlineStr">
        <is>
          <t>87105</t>
        </is>
      </c>
      <c r="AP292" t="inlineStr">
        <is>
          <t>NM</t>
        </is>
      </c>
      <c r="AR292" t="inlineStr">
        <is>
          <t>4610 Sunlight Ln Sw</t>
        </is>
      </c>
      <c r="AT292" t="inlineStr">
        <is>
          <t>Albuquerque</t>
        </is>
      </c>
      <c r="AU292" t="inlineStr">
        <is>
          <t>87105</t>
        </is>
      </c>
      <c r="AV292" t="inlineStr">
        <is>
          <t>NM</t>
        </is>
      </c>
      <c r="BB292" t="inlineStr">
        <is>
          <t>26/07/2024</t>
        </is>
      </c>
      <c r="BD292" t="inlineStr">
        <is>
          <t>Z4Y55Y33Y</t>
        </is>
      </c>
    </row>
    <row r="293" ht="15" customHeight="1" s="86">
      <c r="C293" t="inlineStr">
        <is>
          <t>Ashleigh</t>
        </is>
      </c>
      <c r="E293" t="inlineStr">
        <is>
          <t>Jacobson</t>
        </is>
      </c>
      <c r="G293" t="inlineStr">
        <is>
          <t>26/10/1995</t>
        </is>
      </c>
      <c r="H293" t="inlineStr">
        <is>
          <t>Female</t>
        </is>
      </c>
      <c r="I293" t="inlineStr">
        <is>
          <t>649073400</t>
        </is>
      </c>
      <c r="J293" t="inlineStr">
        <is>
          <t>No</t>
        </is>
      </c>
      <c r="K293" t="inlineStr">
        <is>
          <t>RIIUOE1OP</t>
        </is>
      </c>
      <c r="M293" t="inlineStr">
        <is>
          <t>26/07/2024</t>
        </is>
      </c>
      <c r="N293" t="inlineStr">
        <is>
          <t>31/12/2025</t>
        </is>
      </c>
      <c r="R293" t="inlineStr">
        <is>
          <t>Hourly</t>
        </is>
      </c>
      <c r="X293" t="inlineStr">
        <is>
          <t>21.9</t>
        </is>
      </c>
      <c r="AF293" t="inlineStr">
        <is>
          <t>Non-exempt</t>
        </is>
      </c>
      <c r="AJ293" t="inlineStr">
        <is>
          <t>ajacobson.remson@gmail.com</t>
        </is>
      </c>
      <c r="AL293" t="inlineStr">
        <is>
          <t>4610 Sunlight Ln Sw</t>
        </is>
      </c>
      <c r="AN293" t="inlineStr">
        <is>
          <t>Albuquerque</t>
        </is>
      </c>
      <c r="AO293" t="inlineStr">
        <is>
          <t>87105</t>
        </is>
      </c>
      <c r="AP293" t="inlineStr">
        <is>
          <t>NM</t>
        </is>
      </c>
      <c r="AR293" t="inlineStr">
        <is>
          <t>4610 Sunlight Ln Sw</t>
        </is>
      </c>
      <c r="AT293" t="inlineStr">
        <is>
          <t>Albuquerque</t>
        </is>
      </c>
      <c r="AU293" t="inlineStr">
        <is>
          <t>87105</t>
        </is>
      </c>
      <c r="AV293" t="inlineStr">
        <is>
          <t>NM</t>
        </is>
      </c>
      <c r="BB293" t="inlineStr">
        <is>
          <t>26/07/2024</t>
        </is>
      </c>
    </row>
    <row r="294" ht="15" customHeight="1" s="86">
      <c r="C294" t="inlineStr">
        <is>
          <t>Adrian</t>
        </is>
      </c>
      <c r="D294" t="inlineStr">
        <is>
          <t>J</t>
        </is>
      </c>
      <c r="E294" t="inlineStr">
        <is>
          <t>Castillo Ortiz</t>
        </is>
      </c>
      <c r="G294" t="inlineStr">
        <is>
          <t>31/08/1998</t>
        </is>
      </c>
      <c r="H294" t="inlineStr">
        <is>
          <t>Not Specified</t>
        </is>
      </c>
      <c r="I294" t="inlineStr">
        <is>
          <t>648167136</t>
        </is>
      </c>
      <c r="K294" t="inlineStr">
        <is>
          <t>RO8O26O1S</t>
        </is>
      </c>
      <c r="M294" t="inlineStr">
        <is>
          <t>18/02/2025</t>
        </is>
      </c>
      <c r="N294" t="inlineStr">
        <is>
          <t>05/03/2025</t>
        </is>
      </c>
      <c r="R294" t="inlineStr">
        <is>
          <t>Hourly</t>
        </is>
      </c>
      <c r="X294" t="inlineStr">
        <is>
          <t>41</t>
        </is>
      </c>
      <c r="AF294" t="inlineStr">
        <is>
          <t>Non-exempt</t>
        </is>
      </c>
      <c r="AI294" t="inlineStr">
        <is>
          <t>ajortiz.remson@gmail.com</t>
        </is>
      </c>
      <c r="AJ294" t="inlineStr">
        <is>
          <t>ajortiz.remson@gmail.com</t>
        </is>
      </c>
      <c r="AL294" t="inlineStr">
        <is>
          <t>9716 Toscali Court</t>
        </is>
      </c>
      <c r="AN294" t="inlineStr">
        <is>
          <t>Albuquerque</t>
        </is>
      </c>
      <c r="AO294" t="inlineStr">
        <is>
          <t>87121</t>
        </is>
      </c>
      <c r="AP294" t="inlineStr">
        <is>
          <t>NM</t>
        </is>
      </c>
      <c r="AR294" t="inlineStr">
        <is>
          <t>9716 Toscali Court</t>
        </is>
      </c>
      <c r="AT294" t="inlineStr">
        <is>
          <t>Albuquerque</t>
        </is>
      </c>
      <c r="AU294" t="inlineStr">
        <is>
          <t>87121</t>
        </is>
      </c>
      <c r="AV294" t="inlineStr">
        <is>
          <t>NM</t>
        </is>
      </c>
      <c r="BB294" t="inlineStr">
        <is>
          <t>18/02/2025</t>
        </is>
      </c>
      <c r="BD294" t="inlineStr">
        <is>
          <t>DZWKT8LKB</t>
        </is>
      </c>
    </row>
    <row r="295" ht="15" customHeight="1" s="86">
      <c r="C295" t="inlineStr">
        <is>
          <t>Joshua</t>
        </is>
      </c>
      <c r="D295" t="inlineStr">
        <is>
          <t>G</t>
        </is>
      </c>
      <c r="E295" t="inlineStr">
        <is>
          <t>Valdez</t>
        </is>
      </c>
      <c r="G295" t="inlineStr">
        <is>
          <t>14/08/1992</t>
        </is>
      </c>
      <c r="H295" t="inlineStr">
        <is>
          <t>Not Specified</t>
        </is>
      </c>
      <c r="I295" t="inlineStr">
        <is>
          <t>585959320</t>
        </is>
      </c>
      <c r="K295" t="inlineStr">
        <is>
          <t>ROHICJ3Q4</t>
        </is>
      </c>
      <c r="M295" t="inlineStr">
        <is>
          <t>10/12/2025</t>
        </is>
      </c>
      <c r="R295" t="inlineStr">
        <is>
          <t>Hourly</t>
        </is>
      </c>
      <c r="X295" t="inlineStr">
        <is>
          <t>21.5</t>
        </is>
      </c>
      <c r="AF295" t="inlineStr">
        <is>
          <t>Non-exempt</t>
        </is>
      </c>
      <c r="AI295" t="inlineStr">
        <is>
          <t>jgvaldez.remson@gmail.com</t>
        </is>
      </c>
      <c r="AJ295" t="inlineStr">
        <is>
          <t>jgvaldez.remson@gmail.com</t>
        </is>
      </c>
      <c r="AL295" t="inlineStr">
        <is>
          <t>6016 Lejano Avenue Northeast</t>
        </is>
      </c>
      <c r="AN295" t="inlineStr">
        <is>
          <t>Albuquerque</t>
        </is>
      </c>
      <c r="AO295" t="inlineStr">
        <is>
          <t>87109</t>
        </is>
      </c>
      <c r="AP295" t="inlineStr">
        <is>
          <t>NM</t>
        </is>
      </c>
      <c r="AR295" t="inlineStr">
        <is>
          <t>6016 Lejano Avenue Northeast</t>
        </is>
      </c>
      <c r="AT295" t="inlineStr">
        <is>
          <t>Albuquerque</t>
        </is>
      </c>
      <c r="AU295" t="inlineStr">
        <is>
          <t>87109</t>
        </is>
      </c>
      <c r="AV295" t="inlineStr">
        <is>
          <t>NM</t>
        </is>
      </c>
      <c r="BB295" t="inlineStr">
        <is>
          <t>10/12/2025</t>
        </is>
      </c>
    </row>
    <row r="296" ht="15" customHeight="1" s="86">
      <c r="C296" t="inlineStr">
        <is>
          <t>Joshua</t>
        </is>
      </c>
      <c r="D296" t="inlineStr">
        <is>
          <t>G</t>
        </is>
      </c>
      <c r="E296" t="inlineStr">
        <is>
          <t>Valdez</t>
        </is>
      </c>
      <c r="G296" t="inlineStr">
        <is>
          <t>14/08/1992</t>
        </is>
      </c>
      <c r="H296" t="inlineStr">
        <is>
          <t>Not Specified</t>
        </is>
      </c>
      <c r="I296" t="inlineStr">
        <is>
          <t>585959320</t>
        </is>
      </c>
      <c r="K296" t="inlineStr">
        <is>
          <t>ROHICJ3Q4</t>
        </is>
      </c>
      <c r="M296" t="inlineStr">
        <is>
          <t>10/12/2025</t>
        </is>
      </c>
      <c r="N296" t="inlineStr">
        <is>
          <t>30/01/2026</t>
        </is>
      </c>
      <c r="R296" t="inlineStr">
        <is>
          <t>Hourly</t>
        </is>
      </c>
      <c r="X296" t="inlineStr">
        <is>
          <t>21.5</t>
        </is>
      </c>
      <c r="AF296" t="inlineStr">
        <is>
          <t>Non-exempt</t>
        </is>
      </c>
      <c r="AI296" t="inlineStr">
        <is>
          <t>jgvaldez.remson@gmail.com</t>
        </is>
      </c>
      <c r="AJ296" t="inlineStr">
        <is>
          <t>jgvaldez.remson@gmail.com</t>
        </is>
      </c>
      <c r="AL296" t="inlineStr">
        <is>
          <t>6016 Lejano Avenue Northeast</t>
        </is>
      </c>
      <c r="AN296" t="inlineStr">
        <is>
          <t>Albuquerque</t>
        </is>
      </c>
      <c r="AO296" t="inlineStr">
        <is>
          <t>87109</t>
        </is>
      </c>
      <c r="AP296" t="inlineStr">
        <is>
          <t>NM</t>
        </is>
      </c>
      <c r="AR296" t="inlineStr">
        <is>
          <t>6016 Lejano Avenue Northeast</t>
        </is>
      </c>
      <c r="AT296" t="inlineStr">
        <is>
          <t>Albuquerque</t>
        </is>
      </c>
      <c r="AU296" t="inlineStr">
        <is>
          <t>87109</t>
        </is>
      </c>
      <c r="AV296" t="inlineStr">
        <is>
          <t>NM</t>
        </is>
      </c>
      <c r="BB296" t="inlineStr">
        <is>
          <t>10/12/2025</t>
        </is>
      </c>
    </row>
    <row r="297" ht="15" customHeight="1" s="86">
      <c r="C297" t="inlineStr">
        <is>
          <t>Timmothy</t>
        </is>
      </c>
      <c r="D297" t="inlineStr">
        <is>
          <t>C</t>
        </is>
      </c>
      <c r="E297" t="inlineStr">
        <is>
          <t>Steiner</t>
        </is>
      </c>
      <c r="G297" t="inlineStr">
        <is>
          <t>20/02/1996</t>
        </is>
      </c>
      <c r="H297" t="inlineStr">
        <is>
          <t>Not Specified</t>
        </is>
      </c>
      <c r="I297" t="inlineStr">
        <is>
          <t>627524348</t>
        </is>
      </c>
      <c r="K297" t="inlineStr">
        <is>
          <t>RS9BV22Q2</t>
        </is>
      </c>
      <c r="M297" t="inlineStr">
        <is>
          <t>27/08/2025</t>
        </is>
      </c>
      <c r="R297" t="inlineStr">
        <is>
          <t>Hourly</t>
        </is>
      </c>
      <c r="X297" t="inlineStr">
        <is>
          <t>21.65</t>
        </is>
      </c>
      <c r="AF297" t="inlineStr">
        <is>
          <t>Non-exempt</t>
        </is>
      </c>
      <c r="AJ297" t="inlineStr">
        <is>
          <t>csteiner.remson@gmail.com</t>
        </is>
      </c>
      <c r="AL297" t="inlineStr">
        <is>
          <t>9251 Eagle Ranch Road Northwes</t>
        </is>
      </c>
      <c r="AN297" t="inlineStr">
        <is>
          <t>Albuquerque</t>
        </is>
      </c>
      <c r="AO297" t="inlineStr">
        <is>
          <t>87114</t>
        </is>
      </c>
      <c r="AP297" t="inlineStr">
        <is>
          <t>NM</t>
        </is>
      </c>
      <c r="AR297" t="inlineStr">
        <is>
          <t>9251 Eagle Ranch Road Northwes</t>
        </is>
      </c>
      <c r="AT297" t="inlineStr">
        <is>
          <t>Albuquerque</t>
        </is>
      </c>
      <c r="AU297" t="inlineStr">
        <is>
          <t>87114</t>
        </is>
      </c>
      <c r="AV297" t="inlineStr">
        <is>
          <t>NM</t>
        </is>
      </c>
      <c r="BB297" t="inlineStr">
        <is>
          <t>27/08/2025</t>
        </is>
      </c>
    </row>
    <row r="298" ht="15" customHeight="1" s="86">
      <c r="C298" t="inlineStr">
        <is>
          <t>Timmothy</t>
        </is>
      </c>
      <c r="D298" t="inlineStr">
        <is>
          <t>C</t>
        </is>
      </c>
      <c r="E298" t="inlineStr">
        <is>
          <t>Steiner</t>
        </is>
      </c>
      <c r="G298" t="inlineStr">
        <is>
          <t>20/02/1996</t>
        </is>
      </c>
      <c r="H298" t="inlineStr">
        <is>
          <t>Not Specified</t>
        </is>
      </c>
      <c r="I298" t="inlineStr">
        <is>
          <t>627524348</t>
        </is>
      </c>
      <c r="K298" t="inlineStr">
        <is>
          <t>RS9BV22Q2</t>
        </is>
      </c>
      <c r="M298" t="inlineStr">
        <is>
          <t>27/08/2025</t>
        </is>
      </c>
      <c r="N298" t="inlineStr">
        <is>
          <t>08/12/2025</t>
        </is>
      </c>
      <c r="R298" t="inlineStr">
        <is>
          <t>Hourly</t>
        </is>
      </c>
      <c r="X298" t="inlineStr">
        <is>
          <t>21.65</t>
        </is>
      </c>
      <c r="AF298" t="inlineStr">
        <is>
          <t>Non-exempt</t>
        </is>
      </c>
      <c r="AJ298" t="inlineStr">
        <is>
          <t>csteiner.remson@gmail.com</t>
        </is>
      </c>
      <c r="AL298" t="inlineStr">
        <is>
          <t>9251 Eagle Ranch Road Northwes</t>
        </is>
      </c>
      <c r="AN298" t="inlineStr">
        <is>
          <t>Albuquerque</t>
        </is>
      </c>
      <c r="AO298" t="inlineStr">
        <is>
          <t>87114</t>
        </is>
      </c>
      <c r="AP298" t="inlineStr">
        <is>
          <t>NM</t>
        </is>
      </c>
      <c r="AR298" t="inlineStr">
        <is>
          <t>9251 Eagle Ranch Road Northwes</t>
        </is>
      </c>
      <c r="AT298" t="inlineStr">
        <is>
          <t>Albuquerque</t>
        </is>
      </c>
      <c r="AU298" t="inlineStr">
        <is>
          <t>87114</t>
        </is>
      </c>
      <c r="AV298" t="inlineStr">
        <is>
          <t>NM</t>
        </is>
      </c>
      <c r="BB298" t="inlineStr">
        <is>
          <t>27/08/2025</t>
        </is>
      </c>
      <c r="BD298" t="inlineStr">
        <is>
          <t>Z4Y55Y33Y</t>
        </is>
      </c>
    </row>
    <row r="299" ht="15" customHeight="1" s="86">
      <c r="C299" t="inlineStr">
        <is>
          <t>Kayla</t>
        </is>
      </c>
      <c r="E299" t="inlineStr">
        <is>
          <t>Gallegos</t>
        </is>
      </c>
      <c r="G299" t="inlineStr">
        <is>
          <t>03/04/1992</t>
        </is>
      </c>
      <c r="H299" t="inlineStr">
        <is>
          <t>Female</t>
        </is>
      </c>
      <c r="I299" t="inlineStr">
        <is>
          <t>525955941</t>
        </is>
      </c>
      <c r="J299" t="inlineStr">
        <is>
          <t>No</t>
        </is>
      </c>
      <c r="K299" t="inlineStr">
        <is>
          <t>RTOHSTWYB</t>
        </is>
      </c>
      <c r="M299" t="inlineStr">
        <is>
          <t>17/05/2024</t>
        </is>
      </c>
      <c r="N299" t="inlineStr">
        <is>
          <t>23/08/2025</t>
        </is>
      </c>
      <c r="R299" t="inlineStr">
        <is>
          <t>Hourly</t>
        </is>
      </c>
      <c r="X299" t="inlineStr">
        <is>
          <t>42.2</t>
        </is>
      </c>
      <c r="AF299" t="inlineStr">
        <is>
          <t>Non-exempt</t>
        </is>
      </c>
      <c r="AJ299" t="inlineStr">
        <is>
          <t>kgallegos.remson@gmail.com</t>
        </is>
      </c>
      <c r="AL299" t="inlineStr">
        <is>
          <t>12001 Menaul Blvd Ne</t>
        </is>
      </c>
      <c r="AM299" t="inlineStr">
        <is>
          <t>Apt 13</t>
        </is>
      </c>
      <c r="AN299" t="inlineStr">
        <is>
          <t>Albuquerque</t>
        </is>
      </c>
      <c r="AO299" t="inlineStr">
        <is>
          <t>87112</t>
        </is>
      </c>
      <c r="AP299" t="inlineStr">
        <is>
          <t>NM</t>
        </is>
      </c>
      <c r="AR299" t="inlineStr">
        <is>
          <t>12001 Menaul Blvd Ne</t>
        </is>
      </c>
      <c r="AS299" t="inlineStr">
        <is>
          <t>Apt 13</t>
        </is>
      </c>
      <c r="AT299" t="inlineStr">
        <is>
          <t>Albuquerque</t>
        </is>
      </c>
      <c r="AU299" t="inlineStr">
        <is>
          <t>87112</t>
        </is>
      </c>
      <c r="AV299" t="inlineStr">
        <is>
          <t>NM</t>
        </is>
      </c>
      <c r="BB299" t="inlineStr">
        <is>
          <t>17/05/2024</t>
        </is>
      </c>
    </row>
    <row r="300" ht="15" customHeight="1" s="86">
      <c r="C300" t="inlineStr">
        <is>
          <t>Luis</t>
        </is>
      </c>
      <c r="D300" t="inlineStr">
        <is>
          <t>S</t>
        </is>
      </c>
      <c r="E300" t="inlineStr">
        <is>
          <t>Rodriguez Neri</t>
        </is>
      </c>
      <c r="G300" t="inlineStr">
        <is>
          <t>10/01/1993</t>
        </is>
      </c>
      <c r="H300" t="inlineStr">
        <is>
          <t>Not Specified</t>
        </is>
      </c>
      <c r="I300" t="inlineStr">
        <is>
          <t>585974895</t>
        </is>
      </c>
      <c r="K300" t="inlineStr">
        <is>
          <t>RUCJX1W4O</t>
        </is>
      </c>
      <c r="M300" t="inlineStr">
        <is>
          <t>24/03/2025</t>
        </is>
      </c>
      <c r="N300" t="inlineStr">
        <is>
          <t>17/05/2025</t>
        </is>
      </c>
      <c r="R300" t="inlineStr">
        <is>
          <t>Hourly</t>
        </is>
      </c>
      <c r="X300" t="inlineStr">
        <is>
          <t>41</t>
        </is>
      </c>
      <c r="AF300" t="inlineStr">
        <is>
          <t>Non-exempt</t>
        </is>
      </c>
      <c r="AI300" t="inlineStr">
        <is>
          <t>lrodriguez.remson@gmail.com</t>
        </is>
      </c>
      <c r="AJ300" t="inlineStr">
        <is>
          <t>lrodriguez.remson@gmail.com</t>
        </is>
      </c>
      <c r="AL300" t="inlineStr">
        <is>
          <t>7601 Autumn Breeze Road SW</t>
        </is>
      </c>
      <c r="AN300" t="inlineStr">
        <is>
          <t>Albuquerque</t>
        </is>
      </c>
      <c r="AO300" t="inlineStr">
        <is>
          <t>87121</t>
        </is>
      </c>
      <c r="AP300" t="inlineStr">
        <is>
          <t>NM</t>
        </is>
      </c>
      <c r="AR300" t="inlineStr">
        <is>
          <t>7601 Autumn Breeze Road SW</t>
        </is>
      </c>
      <c r="AT300" t="inlineStr">
        <is>
          <t>Albuquerque</t>
        </is>
      </c>
      <c r="AU300" t="inlineStr">
        <is>
          <t>87121</t>
        </is>
      </c>
      <c r="AV300" t="inlineStr">
        <is>
          <t>NM</t>
        </is>
      </c>
      <c r="BB300" t="inlineStr">
        <is>
          <t>24/03/2025</t>
        </is>
      </c>
      <c r="BD300" t="inlineStr">
        <is>
          <t>DZWKT8LKB</t>
        </is>
      </c>
    </row>
    <row r="301" ht="15" customHeight="1" s="86">
      <c r="C301" t="inlineStr">
        <is>
          <t>Jonathan</t>
        </is>
      </c>
      <c r="E301" t="inlineStr">
        <is>
          <t>Mantar Lazcano</t>
        </is>
      </c>
      <c r="G301" t="inlineStr">
        <is>
          <t>29/01/1998</t>
        </is>
      </c>
      <c r="H301" t="inlineStr">
        <is>
          <t>Not Specified</t>
        </is>
      </c>
      <c r="I301" t="inlineStr">
        <is>
          <t>880058134</t>
        </is>
      </c>
      <c r="K301" t="inlineStr">
        <is>
          <t>S1EDVKUUO</t>
        </is>
      </c>
      <c r="M301" t="inlineStr">
        <is>
          <t>02/07/2025</t>
        </is>
      </c>
      <c r="N301" t="inlineStr">
        <is>
          <t>12/07/2025</t>
        </is>
      </c>
      <c r="R301" t="inlineStr">
        <is>
          <t>Hourly</t>
        </is>
      </c>
      <c r="X301" t="inlineStr">
        <is>
          <t>41</t>
        </is>
      </c>
      <c r="AF301" t="inlineStr">
        <is>
          <t>Non-exempt</t>
        </is>
      </c>
      <c r="AI301" t="inlineStr">
        <is>
          <t>jlazcano.remson@gmail.com</t>
        </is>
      </c>
      <c r="AJ301" t="inlineStr">
        <is>
          <t>jlazcano.remson@gmail.com</t>
        </is>
      </c>
      <c r="AL301" t="inlineStr">
        <is>
          <t>705 Torretta Drive Southwest</t>
        </is>
      </c>
      <c r="AN301" t="inlineStr">
        <is>
          <t>Albuquerque</t>
        </is>
      </c>
      <c r="AO301" t="inlineStr">
        <is>
          <t>87121</t>
        </is>
      </c>
      <c r="AP301" t="inlineStr">
        <is>
          <t>NM</t>
        </is>
      </c>
      <c r="AR301" t="inlineStr">
        <is>
          <t>705 Torretta Drive Southwest</t>
        </is>
      </c>
      <c r="AT301" t="inlineStr">
        <is>
          <t>Albuquerque</t>
        </is>
      </c>
      <c r="AU301" t="inlineStr">
        <is>
          <t>87121</t>
        </is>
      </c>
      <c r="AV301" t="inlineStr">
        <is>
          <t>NM</t>
        </is>
      </c>
      <c r="BB301" t="inlineStr">
        <is>
          <t>02/07/2025</t>
        </is>
      </c>
      <c r="BD301" t="inlineStr">
        <is>
          <t>Z4Y55Y33Y</t>
        </is>
      </c>
    </row>
    <row r="302" ht="15" customHeight="1" s="86">
      <c r="C302" t="inlineStr">
        <is>
          <t>Angelicia</t>
        </is>
      </c>
      <c r="D302" t="inlineStr">
        <is>
          <t>A</t>
        </is>
      </c>
      <c r="E302" t="inlineStr">
        <is>
          <t>Gutierrez</t>
        </is>
      </c>
      <c r="G302" t="inlineStr">
        <is>
          <t>21/04/1997</t>
        </is>
      </c>
      <c r="H302" t="inlineStr">
        <is>
          <t>Not Specified</t>
        </is>
      </c>
      <c r="I302" t="inlineStr">
        <is>
          <t>648124591</t>
        </is>
      </c>
      <c r="K302" t="inlineStr">
        <is>
          <t>S4XC4ADX2</t>
        </is>
      </c>
      <c r="M302" t="inlineStr">
        <is>
          <t>24/03/2025</t>
        </is>
      </c>
      <c r="N302" t="inlineStr">
        <is>
          <t>28/06/2025</t>
        </is>
      </c>
      <c r="R302" t="inlineStr">
        <is>
          <t>Hourly</t>
        </is>
      </c>
      <c r="X302" t="inlineStr">
        <is>
          <t>41</t>
        </is>
      </c>
      <c r="AF302" t="inlineStr">
        <is>
          <t>Non-exempt</t>
        </is>
      </c>
      <c r="AI302" t="inlineStr">
        <is>
          <t>agutierrez.remson@gmail.com</t>
        </is>
      </c>
      <c r="AJ302" t="inlineStr">
        <is>
          <t>agutierrez.remson@gmail.com</t>
        </is>
      </c>
      <c r="AL302" t="inlineStr">
        <is>
          <t>227 Bristol Street Northwest</t>
        </is>
      </c>
      <c r="AN302" t="inlineStr">
        <is>
          <t>Albuquerque</t>
        </is>
      </c>
      <c r="AO302" t="inlineStr">
        <is>
          <t>87121</t>
        </is>
      </c>
      <c r="AP302" t="inlineStr">
        <is>
          <t>NM</t>
        </is>
      </c>
      <c r="AR302" t="inlineStr">
        <is>
          <t>227 Bristol Street Northwest</t>
        </is>
      </c>
      <c r="AT302" t="inlineStr">
        <is>
          <t>Albuquerque</t>
        </is>
      </c>
      <c r="AU302" t="inlineStr">
        <is>
          <t>87121</t>
        </is>
      </c>
      <c r="AV302" t="inlineStr">
        <is>
          <t>NM</t>
        </is>
      </c>
      <c r="BB302" t="inlineStr">
        <is>
          <t>24/03/2025</t>
        </is>
      </c>
      <c r="BD302" t="inlineStr">
        <is>
          <t>DZWKT8LKB</t>
        </is>
      </c>
    </row>
    <row r="303" ht="15" customHeight="1" s="86">
      <c r="C303" t="inlineStr">
        <is>
          <t>Stephanie</t>
        </is>
      </c>
      <c r="E303" t="inlineStr">
        <is>
          <t>Rodriguez</t>
        </is>
      </c>
      <c r="G303" t="inlineStr">
        <is>
          <t>27/11/1988</t>
        </is>
      </c>
      <c r="H303" t="inlineStr">
        <is>
          <t>Female</t>
        </is>
      </c>
      <c r="I303" t="inlineStr">
        <is>
          <t>525791899</t>
        </is>
      </c>
      <c r="J303" t="inlineStr">
        <is>
          <t>No</t>
        </is>
      </c>
      <c r="K303" t="inlineStr">
        <is>
          <t>S95BZ828G</t>
        </is>
      </c>
      <c r="M303" t="inlineStr">
        <is>
          <t>23/03/2024</t>
        </is>
      </c>
      <c r="N303" t="inlineStr">
        <is>
          <t>18/10/2025</t>
        </is>
      </c>
      <c r="R303" t="inlineStr">
        <is>
          <t>Hourly</t>
        </is>
      </c>
      <c r="X303" t="inlineStr">
        <is>
          <t>22.05</t>
        </is>
      </c>
      <c r="AF303" t="inlineStr">
        <is>
          <t>Non-exempt</t>
        </is>
      </c>
      <c r="AJ303" t="inlineStr">
        <is>
          <t>srodriguez.remson2@gmail.com</t>
        </is>
      </c>
      <c r="AL303" t="inlineStr">
        <is>
          <t>7000 Casa Elena Dr Ne</t>
        </is>
      </c>
      <c r="AN303" t="inlineStr">
        <is>
          <t>Albuquerque</t>
        </is>
      </c>
      <c r="AO303" t="inlineStr">
        <is>
          <t>87113</t>
        </is>
      </c>
      <c r="AP303" t="inlineStr">
        <is>
          <t>NM</t>
        </is>
      </c>
      <c r="AR303" t="inlineStr">
        <is>
          <t>7000 Casa Elena Dr Ne</t>
        </is>
      </c>
      <c r="AT303" t="inlineStr">
        <is>
          <t>Albuquerque</t>
        </is>
      </c>
      <c r="AU303" t="inlineStr">
        <is>
          <t>87113</t>
        </is>
      </c>
      <c r="AV303" t="inlineStr">
        <is>
          <t>NM</t>
        </is>
      </c>
      <c r="BB303" t="inlineStr">
        <is>
          <t>23/03/2024</t>
        </is>
      </c>
      <c r="BD303" t="inlineStr">
        <is>
          <t>Z4Y55Y33Y</t>
        </is>
      </c>
    </row>
    <row r="304" ht="15" customHeight="1" s="86">
      <c r="C304" t="inlineStr">
        <is>
          <t>Stephanie</t>
        </is>
      </c>
      <c r="E304" t="inlineStr">
        <is>
          <t>Rodriguez</t>
        </is>
      </c>
      <c r="G304" t="inlineStr">
        <is>
          <t>27/11/1988</t>
        </is>
      </c>
      <c r="H304" t="inlineStr">
        <is>
          <t>Female</t>
        </is>
      </c>
      <c r="I304" t="inlineStr">
        <is>
          <t>525791899</t>
        </is>
      </c>
      <c r="J304" t="inlineStr">
        <is>
          <t>No</t>
        </is>
      </c>
      <c r="K304" t="inlineStr">
        <is>
          <t>S95BZ828G</t>
        </is>
      </c>
      <c r="M304" t="inlineStr">
        <is>
          <t>23/03/2024</t>
        </is>
      </c>
      <c r="N304" t="inlineStr">
        <is>
          <t>18/10/2025</t>
        </is>
      </c>
      <c r="R304" t="inlineStr">
        <is>
          <t>Hourly</t>
        </is>
      </c>
      <c r="X304" t="inlineStr">
        <is>
          <t>22.05</t>
        </is>
      </c>
      <c r="AF304" t="inlineStr">
        <is>
          <t>Non-exempt</t>
        </is>
      </c>
      <c r="AJ304" t="inlineStr">
        <is>
          <t>srodriguez.remson2@gmail.com</t>
        </is>
      </c>
      <c r="AL304" t="inlineStr">
        <is>
          <t>7000 Casa Elena Dr Ne</t>
        </is>
      </c>
      <c r="AN304" t="inlineStr">
        <is>
          <t>Albuquerque</t>
        </is>
      </c>
      <c r="AO304" t="inlineStr">
        <is>
          <t>87113</t>
        </is>
      </c>
      <c r="AP304" t="inlineStr">
        <is>
          <t>NM</t>
        </is>
      </c>
      <c r="AR304" t="inlineStr">
        <is>
          <t>7000 Casa Elena Dr Ne</t>
        </is>
      </c>
      <c r="AT304" t="inlineStr">
        <is>
          <t>Albuquerque</t>
        </is>
      </c>
      <c r="AU304" t="inlineStr">
        <is>
          <t>87113</t>
        </is>
      </c>
      <c r="AV304" t="inlineStr">
        <is>
          <t>NM</t>
        </is>
      </c>
      <c r="BB304" t="inlineStr">
        <is>
          <t>23/03/2024</t>
        </is>
      </c>
    </row>
    <row r="305" ht="15" customHeight="1" s="86">
      <c r="C305" t="inlineStr">
        <is>
          <t>Carlos</t>
        </is>
      </c>
      <c r="E305" t="inlineStr">
        <is>
          <t>Renteria</t>
        </is>
      </c>
      <c r="G305" t="inlineStr">
        <is>
          <t>29/04/2000</t>
        </is>
      </c>
      <c r="H305" t="inlineStr">
        <is>
          <t>Male</t>
        </is>
      </c>
      <c r="I305" t="inlineStr">
        <is>
          <t>649207895</t>
        </is>
      </c>
      <c r="J305" t="inlineStr">
        <is>
          <t>No</t>
        </is>
      </c>
      <c r="K305" t="inlineStr">
        <is>
          <t>S9EEZ1XCN</t>
        </is>
      </c>
      <c r="M305" t="inlineStr">
        <is>
          <t>23/01/2025</t>
        </is>
      </c>
      <c r="N305" t="inlineStr">
        <is>
          <t>14/04/2025</t>
        </is>
      </c>
      <c r="R305" t="inlineStr">
        <is>
          <t>Hourly</t>
        </is>
      </c>
      <c r="X305" t="inlineStr">
        <is>
          <t>41</t>
        </is>
      </c>
      <c r="AF305" t="inlineStr">
        <is>
          <t>Non-exempt</t>
        </is>
      </c>
      <c r="AI305" t="inlineStr">
        <is>
          <t>crenteria.remson@gmail.com</t>
        </is>
      </c>
      <c r="AJ305" t="inlineStr">
        <is>
          <t>crenteria.remson@gmail.com</t>
        </is>
      </c>
      <c r="AL305" t="inlineStr">
        <is>
          <t>1619 Van Cleave Rd Nw</t>
        </is>
      </c>
      <c r="AN305" t="inlineStr">
        <is>
          <t>Albuquerque</t>
        </is>
      </c>
      <c r="AO305" t="inlineStr">
        <is>
          <t>87107</t>
        </is>
      </c>
      <c r="AP305" t="inlineStr">
        <is>
          <t>NM</t>
        </is>
      </c>
      <c r="AR305" t="inlineStr">
        <is>
          <t>1619 Van Cleave Rd Nw</t>
        </is>
      </c>
      <c r="AT305" t="inlineStr">
        <is>
          <t>Albuquerque</t>
        </is>
      </c>
      <c r="AU305" t="inlineStr">
        <is>
          <t>87107</t>
        </is>
      </c>
      <c r="AV305" t="inlineStr">
        <is>
          <t>NM</t>
        </is>
      </c>
      <c r="BB305" t="inlineStr">
        <is>
          <t>23/01/2025</t>
        </is>
      </c>
    </row>
    <row r="306" ht="15" customHeight="1" s="86">
      <c r="C306" t="inlineStr">
        <is>
          <t>Anthony</t>
        </is>
      </c>
      <c r="D306" t="inlineStr">
        <is>
          <t>J</t>
        </is>
      </c>
      <c r="E306" t="inlineStr">
        <is>
          <t>Walker</t>
        </is>
      </c>
      <c r="G306" t="inlineStr">
        <is>
          <t>04/06/1983</t>
        </is>
      </c>
      <c r="H306" t="inlineStr">
        <is>
          <t>Not Specified</t>
        </is>
      </c>
      <c r="I306" t="inlineStr">
        <is>
          <t>452633834</t>
        </is>
      </c>
      <c r="K306" t="inlineStr">
        <is>
          <t>STANTJGO4</t>
        </is>
      </c>
      <c r="M306" t="inlineStr">
        <is>
          <t>26/03/2025</t>
        </is>
      </c>
      <c r="N306" t="inlineStr">
        <is>
          <t>14/06/2025</t>
        </is>
      </c>
      <c r="R306" t="inlineStr">
        <is>
          <t>Hourly</t>
        </is>
      </c>
      <c r="X306" t="inlineStr">
        <is>
          <t>41</t>
        </is>
      </c>
      <c r="AF306" t="inlineStr">
        <is>
          <t>Non-exempt</t>
        </is>
      </c>
      <c r="AI306" t="inlineStr">
        <is>
          <t>twalker.remson@gmail.com</t>
        </is>
      </c>
      <c r="AJ306" t="inlineStr">
        <is>
          <t>twalker.remson@gmail.com</t>
        </is>
      </c>
      <c r="AL306" t="inlineStr">
        <is>
          <t>4526 Sunstone Way</t>
        </is>
      </c>
      <c r="AN306" t="inlineStr">
        <is>
          <t>Rio Rancho</t>
        </is>
      </c>
      <c r="AO306" t="inlineStr">
        <is>
          <t>87124</t>
        </is>
      </c>
      <c r="AP306" t="inlineStr">
        <is>
          <t>NM</t>
        </is>
      </c>
      <c r="AR306" t="inlineStr">
        <is>
          <t>4526 Sunstone Way</t>
        </is>
      </c>
      <c r="AT306" t="inlineStr">
        <is>
          <t>Rio Rancho</t>
        </is>
      </c>
      <c r="AU306" t="inlineStr">
        <is>
          <t>87124</t>
        </is>
      </c>
      <c r="AV306" t="inlineStr">
        <is>
          <t>NM</t>
        </is>
      </c>
      <c r="BB306" t="inlineStr">
        <is>
          <t>26/03/2025</t>
        </is>
      </c>
      <c r="BD306" t="inlineStr">
        <is>
          <t>DZWKT8LKB</t>
        </is>
      </c>
    </row>
    <row r="307" ht="15" customHeight="1" s="86">
      <c r="C307" t="inlineStr">
        <is>
          <t>Halie</t>
        </is>
      </c>
      <c r="E307" t="inlineStr">
        <is>
          <t>Velarde</t>
        </is>
      </c>
      <c r="G307" t="inlineStr">
        <is>
          <t>24/05/2000</t>
        </is>
      </c>
      <c r="H307" t="inlineStr">
        <is>
          <t>Female</t>
        </is>
      </c>
      <c r="I307" t="inlineStr">
        <is>
          <t>648263784</t>
        </is>
      </c>
      <c r="J307" t="inlineStr">
        <is>
          <t>No</t>
        </is>
      </c>
      <c r="K307" t="inlineStr">
        <is>
          <t>SYQBR6SH1</t>
        </is>
      </c>
      <c r="M307" t="inlineStr">
        <is>
          <t>23/12/2025</t>
        </is>
      </c>
      <c r="R307" t="inlineStr">
        <is>
          <t>Hourly</t>
        </is>
      </c>
      <c r="X307" t="inlineStr">
        <is>
          <t>21.5</t>
        </is>
      </c>
      <c r="AF307" t="inlineStr">
        <is>
          <t>Non-exempt</t>
        </is>
      </c>
      <c r="AI307" t="inlineStr">
        <is>
          <t>hvelarde5@yahoo.com</t>
        </is>
      </c>
      <c r="AJ307" t="inlineStr">
        <is>
          <t xml:space="preserve"> halievelarde1@gmail.com</t>
        </is>
      </c>
      <c r="AL307" t="inlineStr">
        <is>
          <t>9905 2Nd St Nw</t>
        </is>
      </c>
      <c r="AN307" t="inlineStr">
        <is>
          <t>Albuquerque</t>
        </is>
      </c>
      <c r="AO307" t="inlineStr">
        <is>
          <t>87114</t>
        </is>
      </c>
      <c r="AP307" t="inlineStr">
        <is>
          <t>NM</t>
        </is>
      </c>
      <c r="AR307" t="inlineStr">
        <is>
          <t>9905 2Nd St Nw</t>
        </is>
      </c>
      <c r="AT307" t="inlineStr">
        <is>
          <t>Albuquerque</t>
        </is>
      </c>
      <c r="AU307" t="inlineStr">
        <is>
          <t>87114</t>
        </is>
      </c>
      <c r="AV307" t="inlineStr">
        <is>
          <t>NM</t>
        </is>
      </c>
      <c r="BB307" t="inlineStr">
        <is>
          <t>09/10/2023</t>
        </is>
      </c>
      <c r="BD307" t="inlineStr">
        <is>
          <t>Z4Y55Y33Y</t>
        </is>
      </c>
    </row>
    <row r="308" ht="15" customHeight="1" s="86">
      <c r="C308" t="inlineStr">
        <is>
          <t>Halie</t>
        </is>
      </c>
      <c r="E308" t="inlineStr">
        <is>
          <t>Velarde</t>
        </is>
      </c>
      <c r="G308" t="inlineStr">
        <is>
          <t>24/05/2000</t>
        </is>
      </c>
      <c r="H308" t="inlineStr">
        <is>
          <t>Female</t>
        </is>
      </c>
      <c r="I308" t="inlineStr">
        <is>
          <t>648263784</t>
        </is>
      </c>
      <c r="J308" t="inlineStr">
        <is>
          <t>No</t>
        </is>
      </c>
      <c r="K308" t="inlineStr">
        <is>
          <t>SYQBR6SH1</t>
        </is>
      </c>
      <c r="M308" t="inlineStr">
        <is>
          <t>09/10/2023</t>
        </is>
      </c>
      <c r="N308" t="inlineStr">
        <is>
          <t>14/06/2025</t>
        </is>
      </c>
      <c r="R308" t="inlineStr">
        <is>
          <t>Hourly</t>
        </is>
      </c>
      <c r="X308" t="inlineStr">
        <is>
          <t>20.5</t>
        </is>
      </c>
      <c r="AF308" t="inlineStr">
        <is>
          <t>Non-exempt</t>
        </is>
      </c>
      <c r="AI308" t="inlineStr">
        <is>
          <t>hvelarde5@yahoo.com</t>
        </is>
      </c>
      <c r="AJ308" t="inlineStr">
        <is>
          <t xml:space="preserve"> halievelarde1@gmail.com</t>
        </is>
      </c>
      <c r="AL308" t="inlineStr">
        <is>
          <t>9905 2Nd St Nw</t>
        </is>
      </c>
      <c r="AN308" t="inlineStr">
        <is>
          <t>Albuquerque</t>
        </is>
      </c>
      <c r="AO308" t="inlineStr">
        <is>
          <t>87114</t>
        </is>
      </c>
      <c r="AP308" t="inlineStr">
        <is>
          <t>NM</t>
        </is>
      </c>
      <c r="AR308" t="inlineStr">
        <is>
          <t>9905 2Nd St Nw</t>
        </is>
      </c>
      <c r="AT308" t="inlineStr">
        <is>
          <t>Albuquerque</t>
        </is>
      </c>
      <c r="AU308" t="inlineStr">
        <is>
          <t>87114</t>
        </is>
      </c>
      <c r="AV308" t="inlineStr">
        <is>
          <t>NM</t>
        </is>
      </c>
      <c r="BB308" t="inlineStr">
        <is>
          <t>09/10/2023</t>
        </is>
      </c>
    </row>
    <row r="309" ht="15" customHeight="1" s="86">
      <c r="C309" t="inlineStr">
        <is>
          <t>Richard</t>
        </is>
      </c>
      <c r="D309" t="inlineStr">
        <is>
          <t>N</t>
        </is>
      </c>
      <c r="E309" t="inlineStr">
        <is>
          <t>Elfritz</t>
        </is>
      </c>
      <c r="G309" t="inlineStr">
        <is>
          <t>02/09/1971</t>
        </is>
      </c>
      <c r="H309" t="inlineStr">
        <is>
          <t>Not Specified</t>
        </is>
      </c>
      <c r="I309" t="inlineStr">
        <is>
          <t>526979813</t>
        </is>
      </c>
      <c r="K309" t="inlineStr">
        <is>
          <t>T6IL59W7L</t>
        </is>
      </c>
      <c r="M309" t="inlineStr">
        <is>
          <t>28/04/2025</t>
        </is>
      </c>
      <c r="N309" t="inlineStr">
        <is>
          <t>14/06/2025</t>
        </is>
      </c>
      <c r="R309" t="inlineStr">
        <is>
          <t>Hourly</t>
        </is>
      </c>
      <c r="X309" t="inlineStr">
        <is>
          <t>41</t>
        </is>
      </c>
      <c r="AF309" t="inlineStr">
        <is>
          <t>Non-exempt</t>
        </is>
      </c>
      <c r="AI309" t="inlineStr">
        <is>
          <t>relfritz.remson@gmail.com</t>
        </is>
      </c>
      <c r="AJ309" t="inlineStr">
        <is>
          <t>relfritz.remson@gmail.com</t>
        </is>
      </c>
      <c r="AL309" t="inlineStr">
        <is>
          <t>6109 Cyonus Avenue Northwest</t>
        </is>
      </c>
      <c r="AN309" t="inlineStr">
        <is>
          <t>Albuquerque</t>
        </is>
      </c>
      <c r="AO309" t="inlineStr">
        <is>
          <t>87114</t>
        </is>
      </c>
      <c r="AP309" t="inlineStr">
        <is>
          <t>NM</t>
        </is>
      </c>
      <c r="AR309" t="inlineStr">
        <is>
          <t>6109 Cyonus Avenue Northwest</t>
        </is>
      </c>
      <c r="AT309" t="inlineStr">
        <is>
          <t>Albuquerque</t>
        </is>
      </c>
      <c r="AU309" t="inlineStr">
        <is>
          <t>87114</t>
        </is>
      </c>
      <c r="AV309" t="inlineStr">
        <is>
          <t>NM</t>
        </is>
      </c>
      <c r="BB309" t="inlineStr">
        <is>
          <t>28/04/2025</t>
        </is>
      </c>
      <c r="BD309" t="inlineStr">
        <is>
          <t>DZWKT8LKB</t>
        </is>
      </c>
    </row>
    <row r="310" ht="15" customHeight="1" s="86">
      <c r="C310" t="inlineStr">
        <is>
          <t>Bradley</t>
        </is>
      </c>
      <c r="D310" t="inlineStr">
        <is>
          <t>T</t>
        </is>
      </c>
      <c r="E310" t="inlineStr">
        <is>
          <t>Leyva Rodgers</t>
        </is>
      </c>
      <c r="G310" t="inlineStr">
        <is>
          <t>13/06/2004</t>
        </is>
      </c>
      <c r="H310" t="inlineStr">
        <is>
          <t>Not Specified</t>
        </is>
      </c>
      <c r="I310" t="inlineStr">
        <is>
          <t>649348036</t>
        </is>
      </c>
      <c r="K310" t="inlineStr">
        <is>
          <t>TCRCZVYR7</t>
        </is>
      </c>
      <c r="M310" t="inlineStr">
        <is>
          <t>27/08/2025</t>
        </is>
      </c>
      <c r="N310" t="inlineStr">
        <is>
          <t>08/12/2025</t>
        </is>
      </c>
      <c r="R310" t="inlineStr">
        <is>
          <t>Hourly</t>
        </is>
      </c>
      <c r="X310" t="inlineStr">
        <is>
          <t>21.65</t>
        </is>
      </c>
      <c r="AF310" t="inlineStr">
        <is>
          <t>Non-exempt</t>
        </is>
      </c>
      <c r="AJ310" t="inlineStr">
        <is>
          <t>bleyva.remson@gmail.com</t>
        </is>
      </c>
      <c r="AL310" t="inlineStr">
        <is>
          <t>724 Marcella Street Northeast</t>
        </is>
      </c>
      <c r="AN310" t="inlineStr">
        <is>
          <t>Albuquerque</t>
        </is>
      </c>
      <c r="AO310" t="inlineStr">
        <is>
          <t>87123</t>
        </is>
      </c>
      <c r="AP310" t="inlineStr">
        <is>
          <t>NM</t>
        </is>
      </c>
      <c r="AR310" t="inlineStr">
        <is>
          <t>724 Marcella Street Northeast</t>
        </is>
      </c>
      <c r="AT310" t="inlineStr">
        <is>
          <t>Albuquerque</t>
        </is>
      </c>
      <c r="AU310" t="inlineStr">
        <is>
          <t>87123</t>
        </is>
      </c>
      <c r="AV310" t="inlineStr">
        <is>
          <t>NM</t>
        </is>
      </c>
      <c r="BB310" t="inlineStr">
        <is>
          <t>27/08/2025</t>
        </is>
      </c>
      <c r="BD310" t="inlineStr">
        <is>
          <t>Z4Y55Y33Y</t>
        </is>
      </c>
    </row>
    <row r="311" ht="15" customHeight="1" s="86">
      <c r="C311" t="inlineStr">
        <is>
          <t>Bradley</t>
        </is>
      </c>
      <c r="D311" t="inlineStr">
        <is>
          <t>T</t>
        </is>
      </c>
      <c r="E311" t="inlineStr">
        <is>
          <t>Leyva Rodgers</t>
        </is>
      </c>
      <c r="G311" t="inlineStr">
        <is>
          <t>13/06/2004</t>
        </is>
      </c>
      <c r="H311" t="inlineStr">
        <is>
          <t>Not Specified</t>
        </is>
      </c>
      <c r="I311" t="inlineStr">
        <is>
          <t>649348036</t>
        </is>
      </c>
      <c r="K311" t="inlineStr">
        <is>
          <t>TCRCZVYR7</t>
        </is>
      </c>
      <c r="M311" t="inlineStr">
        <is>
          <t>27/08/2025</t>
        </is>
      </c>
      <c r="N311" t="inlineStr">
        <is>
          <t>13/12/2025</t>
        </is>
      </c>
      <c r="R311" t="inlineStr">
        <is>
          <t>Hourly</t>
        </is>
      </c>
      <c r="X311" t="inlineStr">
        <is>
          <t>21.65</t>
        </is>
      </c>
      <c r="AF311" t="inlineStr">
        <is>
          <t>Non-exempt</t>
        </is>
      </c>
      <c r="AJ311" t="inlineStr">
        <is>
          <t>bleyva.remson@gmail.com</t>
        </is>
      </c>
      <c r="AL311" t="inlineStr">
        <is>
          <t>724 Marcella Street Northeast</t>
        </is>
      </c>
      <c r="AN311" t="inlineStr">
        <is>
          <t>Albuquerque</t>
        </is>
      </c>
      <c r="AO311" t="inlineStr">
        <is>
          <t>87123</t>
        </is>
      </c>
      <c r="AP311" t="inlineStr">
        <is>
          <t>NM</t>
        </is>
      </c>
      <c r="AR311" t="inlineStr">
        <is>
          <t>724 Marcella Street Northeast</t>
        </is>
      </c>
      <c r="AT311" t="inlineStr">
        <is>
          <t>Albuquerque</t>
        </is>
      </c>
      <c r="AU311" t="inlineStr">
        <is>
          <t>87123</t>
        </is>
      </c>
      <c r="AV311" t="inlineStr">
        <is>
          <t>NM</t>
        </is>
      </c>
      <c r="BB311" t="inlineStr">
        <is>
          <t>27/08/2025</t>
        </is>
      </c>
    </row>
    <row r="312" ht="15" customHeight="1" s="86">
      <c r="C312" t="inlineStr">
        <is>
          <t>Christopher</t>
        </is>
      </c>
      <c r="E312" t="inlineStr">
        <is>
          <t>Crespin</t>
        </is>
      </c>
      <c r="G312" t="inlineStr">
        <is>
          <t>30/06/1995</t>
        </is>
      </c>
      <c r="H312" t="inlineStr">
        <is>
          <t>Not Specified</t>
        </is>
      </c>
      <c r="I312" t="inlineStr">
        <is>
          <t>648070646</t>
        </is>
      </c>
      <c r="J312" t="inlineStr">
        <is>
          <t>No</t>
        </is>
      </c>
      <c r="K312" t="inlineStr">
        <is>
          <t>TKXN0MGRE</t>
        </is>
      </c>
      <c r="M312" t="inlineStr">
        <is>
          <t>02/03/2024</t>
        </is>
      </c>
      <c r="N312" t="inlineStr">
        <is>
          <t>12/01/2025</t>
        </is>
      </c>
      <c r="R312" t="inlineStr">
        <is>
          <t>Hourly</t>
        </is>
      </c>
      <c r="X312" t="inlineStr">
        <is>
          <t>41.9</t>
        </is>
      </c>
      <c r="AF312" t="inlineStr">
        <is>
          <t>Non-exempt</t>
        </is>
      </c>
      <c r="AI312" t="inlineStr">
        <is>
          <t>ccrespin.remson@gmail.com</t>
        </is>
      </c>
      <c r="AJ312" t="inlineStr">
        <is>
          <t>ccrespin.remson@gmail.com</t>
        </is>
      </c>
      <c r="AL312" t="inlineStr">
        <is>
          <t>523 Ketch Dr Nw</t>
        </is>
      </c>
      <c r="AN312" t="inlineStr">
        <is>
          <t>Albuquerque</t>
        </is>
      </c>
      <c r="AO312" t="inlineStr">
        <is>
          <t>87121</t>
        </is>
      </c>
      <c r="AP312" t="inlineStr">
        <is>
          <t>NM</t>
        </is>
      </c>
      <c r="AR312" t="inlineStr">
        <is>
          <t>523 Ketch Dr Nw</t>
        </is>
      </c>
      <c r="AT312" t="inlineStr">
        <is>
          <t>Albuquerque</t>
        </is>
      </c>
      <c r="AU312" t="inlineStr">
        <is>
          <t>87121</t>
        </is>
      </c>
      <c r="AV312" t="inlineStr">
        <is>
          <t>NM</t>
        </is>
      </c>
      <c r="BB312" t="inlineStr">
        <is>
          <t>02/03/2024</t>
        </is>
      </c>
    </row>
    <row r="313" ht="15" customHeight="1" s="86">
      <c r="C313" t="inlineStr">
        <is>
          <t>Erica</t>
        </is>
      </c>
      <c r="E313" t="inlineStr">
        <is>
          <t>Valles</t>
        </is>
      </c>
      <c r="G313" t="inlineStr">
        <is>
          <t>21/12/1999</t>
        </is>
      </c>
      <c r="H313" t="inlineStr">
        <is>
          <t>Female</t>
        </is>
      </c>
      <c r="I313" t="inlineStr">
        <is>
          <t>648209520</t>
        </is>
      </c>
      <c r="J313" t="inlineStr">
        <is>
          <t>No</t>
        </is>
      </c>
      <c r="K313" t="inlineStr">
        <is>
          <t>TLR7T2256</t>
        </is>
      </c>
      <c r="M313" t="inlineStr">
        <is>
          <t>18/03/2025</t>
        </is>
      </c>
      <c r="N313" t="inlineStr">
        <is>
          <t>05/07/2025</t>
        </is>
      </c>
      <c r="R313" t="inlineStr">
        <is>
          <t>Hourly</t>
        </is>
      </c>
      <c r="X313" t="inlineStr">
        <is>
          <t>41.9</t>
        </is>
      </c>
      <c r="AF313" t="inlineStr">
        <is>
          <t>Non-exempt</t>
        </is>
      </c>
      <c r="AI313" t="inlineStr">
        <is>
          <t>evalles.remson@gmail.com</t>
        </is>
      </c>
      <c r="AJ313" t="inlineStr">
        <is>
          <t>erica.valles99@gmail.com</t>
        </is>
      </c>
      <c r="AL313" t="inlineStr">
        <is>
          <t>701 Coal Ave Sw</t>
        </is>
      </c>
      <c r="AM313" t="inlineStr">
        <is>
          <t>Apt283</t>
        </is>
      </c>
      <c r="AN313" t="inlineStr">
        <is>
          <t>Albuquerque</t>
        </is>
      </c>
      <c r="AO313" t="inlineStr">
        <is>
          <t>87102</t>
        </is>
      </c>
      <c r="AP313" t="inlineStr">
        <is>
          <t>NM</t>
        </is>
      </c>
      <c r="AR313" t="inlineStr">
        <is>
          <t>701 Coal Ave Sw</t>
        </is>
      </c>
      <c r="AS313" t="inlineStr">
        <is>
          <t>Apt283</t>
        </is>
      </c>
      <c r="AT313" t="inlineStr">
        <is>
          <t>Albuquerque</t>
        </is>
      </c>
      <c r="AU313" t="inlineStr">
        <is>
          <t>87102</t>
        </is>
      </c>
      <c r="AV313" t="inlineStr">
        <is>
          <t>NM</t>
        </is>
      </c>
      <c r="BB313" t="inlineStr">
        <is>
          <t>30/06/2024</t>
        </is>
      </c>
      <c r="BD313" t="inlineStr">
        <is>
          <t>DZWKT8LKB</t>
        </is>
      </c>
    </row>
    <row r="314" ht="15" customHeight="1" s="86">
      <c r="C314" t="inlineStr">
        <is>
          <t>Ashley</t>
        </is>
      </c>
      <c r="E314" t="inlineStr">
        <is>
          <t>Chavez</t>
        </is>
      </c>
      <c r="G314" t="inlineStr">
        <is>
          <t>25/08/1995</t>
        </is>
      </c>
      <c r="H314" t="inlineStr">
        <is>
          <t>Female</t>
        </is>
      </c>
      <c r="I314" t="inlineStr">
        <is>
          <t>649104902</t>
        </is>
      </c>
      <c r="J314" t="inlineStr">
        <is>
          <t>No</t>
        </is>
      </c>
      <c r="K314" t="inlineStr">
        <is>
          <t>TOKARW3TZ</t>
        </is>
      </c>
      <c r="M314" t="inlineStr">
        <is>
          <t>28/04/2024</t>
        </is>
      </c>
      <c r="N314" t="inlineStr">
        <is>
          <t>24/02/2025</t>
        </is>
      </c>
      <c r="R314" t="inlineStr">
        <is>
          <t>Hourly</t>
        </is>
      </c>
      <c r="X314" t="inlineStr">
        <is>
          <t>41.6</t>
        </is>
      </c>
      <c r="AF314" t="inlineStr">
        <is>
          <t>Non-exempt</t>
        </is>
      </c>
      <c r="AI314" t="inlineStr">
        <is>
          <t>achavez.remson@gmail.com</t>
        </is>
      </c>
      <c r="AJ314" t="inlineStr">
        <is>
          <t>achavez.remson@gmail.com</t>
        </is>
      </c>
      <c r="AL314" t="inlineStr">
        <is>
          <t>138 Vermont St Ne</t>
        </is>
      </c>
      <c r="AM314" t="inlineStr">
        <is>
          <t>Apt B</t>
        </is>
      </c>
      <c r="AN314" t="inlineStr">
        <is>
          <t>Albuquerque</t>
        </is>
      </c>
      <c r="AO314" t="inlineStr">
        <is>
          <t>87108</t>
        </is>
      </c>
      <c r="AP314" t="inlineStr">
        <is>
          <t>NM</t>
        </is>
      </c>
      <c r="AR314" t="inlineStr">
        <is>
          <t>138 Vermont St Ne</t>
        </is>
      </c>
      <c r="AS314" t="inlineStr">
        <is>
          <t>Apt B</t>
        </is>
      </c>
      <c r="AT314" t="inlineStr">
        <is>
          <t>Albuquerque</t>
        </is>
      </c>
      <c r="AU314" t="inlineStr">
        <is>
          <t>87108</t>
        </is>
      </c>
      <c r="AV314" t="inlineStr">
        <is>
          <t>NM</t>
        </is>
      </c>
      <c r="BB314" t="inlineStr">
        <is>
          <t>28/04/2024</t>
        </is>
      </c>
    </row>
    <row r="315" ht="15" customHeight="1" s="86">
      <c r="C315" t="inlineStr">
        <is>
          <t>Tyler</t>
        </is>
      </c>
      <c r="E315" t="inlineStr">
        <is>
          <t>Smith</t>
        </is>
      </c>
      <c r="G315" t="inlineStr">
        <is>
          <t>22/04/1992</t>
        </is>
      </c>
      <c r="H315" t="inlineStr">
        <is>
          <t>Male</t>
        </is>
      </c>
      <c r="I315" t="inlineStr">
        <is>
          <t>520296241</t>
        </is>
      </c>
      <c r="J315" t="inlineStr">
        <is>
          <t>No</t>
        </is>
      </c>
      <c r="K315" t="inlineStr">
        <is>
          <t>TQM2PRTQX</t>
        </is>
      </c>
      <c r="M315" t="inlineStr">
        <is>
          <t>27/10/2024</t>
        </is>
      </c>
      <c r="N315" t="inlineStr">
        <is>
          <t>27/04/2025</t>
        </is>
      </c>
      <c r="R315" t="inlineStr">
        <is>
          <t>Hourly</t>
        </is>
      </c>
      <c r="X315" t="inlineStr">
        <is>
          <t>41.3</t>
        </is>
      </c>
      <c r="AF315" t="inlineStr">
        <is>
          <t>Non-exempt</t>
        </is>
      </c>
      <c r="AI315" t="inlineStr">
        <is>
          <t>tsmith.remson@gmail.com</t>
        </is>
      </c>
      <c r="AJ315" t="inlineStr">
        <is>
          <t>tsmith.remson@gmail.com</t>
        </is>
      </c>
      <c r="AL315" t="inlineStr">
        <is>
          <t>855 Sunflower Dr Sw</t>
        </is>
      </c>
      <c r="AN315" t="inlineStr">
        <is>
          <t>Rio Rancho</t>
        </is>
      </c>
      <c r="AO315" t="inlineStr">
        <is>
          <t>87124</t>
        </is>
      </c>
      <c r="AP315" t="inlineStr">
        <is>
          <t>NM</t>
        </is>
      </c>
      <c r="AR315" t="inlineStr">
        <is>
          <t>855 Sunflower Dr Sw</t>
        </is>
      </c>
      <c r="AT315" t="inlineStr">
        <is>
          <t>Rio Rancho</t>
        </is>
      </c>
      <c r="AU315" t="inlineStr">
        <is>
          <t>87124</t>
        </is>
      </c>
      <c r="AV315" t="inlineStr">
        <is>
          <t>NM</t>
        </is>
      </c>
      <c r="BB315" t="inlineStr">
        <is>
          <t>27/10/2024</t>
        </is>
      </c>
    </row>
    <row r="316" ht="15" customHeight="1" s="86">
      <c r="C316" t="inlineStr">
        <is>
          <t>Joshua</t>
        </is>
      </c>
      <c r="D316" t="inlineStr">
        <is>
          <t>P</t>
        </is>
      </c>
      <c r="E316" t="inlineStr">
        <is>
          <t>Chambers</t>
        </is>
      </c>
      <c r="G316" t="inlineStr">
        <is>
          <t>09/04/2001</t>
        </is>
      </c>
      <c r="H316" t="inlineStr">
        <is>
          <t>Not Specified</t>
        </is>
      </c>
      <c r="I316" t="inlineStr">
        <is>
          <t>648247762</t>
        </is>
      </c>
      <c r="K316" t="inlineStr">
        <is>
          <t>TTCO7Q2DJ</t>
        </is>
      </c>
      <c r="M316" t="inlineStr">
        <is>
          <t>28/03/2025</t>
        </is>
      </c>
      <c r="R316" t="inlineStr">
        <is>
          <t>Hourly</t>
        </is>
      </c>
      <c r="X316" t="inlineStr">
        <is>
          <t>21.65</t>
        </is>
      </c>
      <c r="AF316" t="inlineStr">
        <is>
          <t>Non-exempt</t>
        </is>
      </c>
      <c r="AJ316" t="inlineStr">
        <is>
          <t>jchambers.remson@gmail.com</t>
        </is>
      </c>
      <c r="AL316" t="inlineStr">
        <is>
          <t>701 Coal Avenue Southwest</t>
        </is>
      </c>
      <c r="AM316" t="inlineStr">
        <is>
          <t>Apt. 371</t>
        </is>
      </c>
      <c r="AN316" t="inlineStr">
        <is>
          <t>Albuquerque</t>
        </is>
      </c>
      <c r="AO316" t="inlineStr">
        <is>
          <t>87102</t>
        </is>
      </c>
      <c r="AP316" t="inlineStr">
        <is>
          <t>NM</t>
        </is>
      </c>
      <c r="AR316" t="inlineStr">
        <is>
          <t>701 Coal Avenue Southwest</t>
        </is>
      </c>
      <c r="AS316" t="inlineStr">
        <is>
          <t>Apt. 371</t>
        </is>
      </c>
      <c r="AT316" t="inlineStr">
        <is>
          <t>Albuquerque</t>
        </is>
      </c>
      <c r="AU316" t="inlineStr">
        <is>
          <t>87102</t>
        </is>
      </c>
      <c r="AV316" t="inlineStr">
        <is>
          <t>NM</t>
        </is>
      </c>
      <c r="BB316" t="inlineStr">
        <is>
          <t>28/03/2025</t>
        </is>
      </c>
    </row>
    <row r="317" ht="15" customHeight="1" s="86">
      <c r="C317" t="inlineStr">
        <is>
          <t>Joshua</t>
        </is>
      </c>
      <c r="D317" t="inlineStr">
        <is>
          <t>P</t>
        </is>
      </c>
      <c r="E317" t="inlineStr">
        <is>
          <t>Chambers</t>
        </is>
      </c>
      <c r="G317" t="inlineStr">
        <is>
          <t>09/04/2001</t>
        </is>
      </c>
      <c r="H317" t="inlineStr">
        <is>
          <t>Not Specified</t>
        </is>
      </c>
      <c r="I317" t="inlineStr">
        <is>
          <t>648247762</t>
        </is>
      </c>
      <c r="K317" t="inlineStr">
        <is>
          <t>TTCO7Q2DJ</t>
        </is>
      </c>
      <c r="M317" t="inlineStr">
        <is>
          <t>28/03/2025</t>
        </is>
      </c>
      <c r="N317" t="inlineStr">
        <is>
          <t>08/12/2025</t>
        </is>
      </c>
      <c r="R317" t="inlineStr">
        <is>
          <t>Hourly</t>
        </is>
      </c>
      <c r="X317" t="inlineStr">
        <is>
          <t>21.65</t>
        </is>
      </c>
      <c r="AF317" t="inlineStr">
        <is>
          <t>Non-exempt</t>
        </is>
      </c>
      <c r="AJ317" t="inlineStr">
        <is>
          <t>jchambers.remson@gmail.com</t>
        </is>
      </c>
      <c r="AL317" t="inlineStr">
        <is>
          <t>701 Coal Avenue Southwest</t>
        </is>
      </c>
      <c r="AM317" t="inlineStr">
        <is>
          <t>Apt. 371</t>
        </is>
      </c>
      <c r="AN317" t="inlineStr">
        <is>
          <t>Albuquerque</t>
        </is>
      </c>
      <c r="AO317" t="inlineStr">
        <is>
          <t>87102</t>
        </is>
      </c>
      <c r="AP317" t="inlineStr">
        <is>
          <t>NM</t>
        </is>
      </c>
      <c r="AR317" t="inlineStr">
        <is>
          <t>701 Coal Avenue Southwest</t>
        </is>
      </c>
      <c r="AS317" t="inlineStr">
        <is>
          <t>Apt. 371</t>
        </is>
      </c>
      <c r="AT317" t="inlineStr">
        <is>
          <t>Albuquerque</t>
        </is>
      </c>
      <c r="AU317" t="inlineStr">
        <is>
          <t>87102</t>
        </is>
      </c>
      <c r="AV317" t="inlineStr">
        <is>
          <t>NM</t>
        </is>
      </c>
      <c r="BB317" t="inlineStr">
        <is>
          <t>28/03/2025</t>
        </is>
      </c>
      <c r="BD317" t="inlineStr">
        <is>
          <t>Z4Y55Y33Y</t>
        </is>
      </c>
    </row>
    <row r="318" ht="15" customHeight="1" s="86">
      <c r="C318" t="inlineStr">
        <is>
          <t>Cheries</t>
        </is>
      </c>
      <c r="E318" t="inlineStr">
        <is>
          <t>Velasquez</t>
        </is>
      </c>
      <c r="G318" t="inlineStr">
        <is>
          <t>23/07/1986</t>
        </is>
      </c>
      <c r="H318" t="inlineStr">
        <is>
          <t>Female</t>
        </is>
      </c>
      <c r="I318" t="inlineStr">
        <is>
          <t>523514180</t>
        </is>
      </c>
      <c r="J318" t="inlineStr">
        <is>
          <t>No</t>
        </is>
      </c>
      <c r="K318" t="inlineStr">
        <is>
          <t>TZ8C1ZEX6</t>
        </is>
      </c>
      <c r="M318" t="inlineStr">
        <is>
          <t>17/01/2025</t>
        </is>
      </c>
      <c r="N318" t="inlineStr">
        <is>
          <t>30/08/2025</t>
        </is>
      </c>
      <c r="R318" t="inlineStr">
        <is>
          <t>Hourly</t>
        </is>
      </c>
      <c r="X318" t="inlineStr">
        <is>
          <t>41.3</t>
        </is>
      </c>
      <c r="AF318" t="inlineStr">
        <is>
          <t>Non-exempt</t>
        </is>
      </c>
      <c r="AJ318" t="inlineStr">
        <is>
          <t>cvelasquez.remson@gmail.com</t>
        </is>
      </c>
      <c r="AL318" t="inlineStr">
        <is>
          <t>616 Garduno Dr</t>
        </is>
      </c>
      <c r="AN318" t="inlineStr">
        <is>
          <t>Albuquerque</t>
        </is>
      </c>
      <c r="AO318" t="inlineStr">
        <is>
          <t>87114</t>
        </is>
      </c>
      <c r="AP318" t="inlineStr">
        <is>
          <t>NM</t>
        </is>
      </c>
      <c r="AR318" t="inlineStr">
        <is>
          <t>616 Garduno Dr</t>
        </is>
      </c>
      <c r="AT318" t="inlineStr">
        <is>
          <t>Albuquerque</t>
        </is>
      </c>
      <c r="AU318" t="inlineStr">
        <is>
          <t>87114</t>
        </is>
      </c>
      <c r="AV318" t="inlineStr">
        <is>
          <t>NM</t>
        </is>
      </c>
      <c r="BB318" t="inlineStr">
        <is>
          <t>17/01/2025</t>
        </is>
      </c>
    </row>
    <row r="319" ht="15" customHeight="1" s="86">
      <c r="C319" t="inlineStr">
        <is>
          <t>Jessie</t>
        </is>
      </c>
      <c r="E319" t="inlineStr">
        <is>
          <t>Rendon Holguin</t>
        </is>
      </c>
      <c r="G319" t="inlineStr">
        <is>
          <t>10/12/2001</t>
        </is>
      </c>
      <c r="H319" t="inlineStr">
        <is>
          <t>Male</t>
        </is>
      </c>
      <c r="I319" t="inlineStr">
        <is>
          <t>649264028</t>
        </is>
      </c>
      <c r="J319" t="inlineStr">
        <is>
          <t>No</t>
        </is>
      </c>
      <c r="K319" t="inlineStr">
        <is>
          <t>U2LOIPQST</t>
        </is>
      </c>
      <c r="M319" t="inlineStr">
        <is>
          <t>21/10/2023</t>
        </is>
      </c>
      <c r="R319" t="inlineStr">
        <is>
          <t>Hourly</t>
        </is>
      </c>
      <c r="X319" t="inlineStr">
        <is>
          <t>22.35</t>
        </is>
      </c>
      <c r="AF319" t="inlineStr">
        <is>
          <t>Non-exempt</t>
        </is>
      </c>
      <c r="AI319" t="inlineStr">
        <is>
          <t>Jayrendon60@gmail.com</t>
        </is>
      </c>
      <c r="AJ319" t="inlineStr">
        <is>
          <t>jrendon.remson@gmail.com</t>
        </is>
      </c>
      <c r="AL319" t="inlineStr">
        <is>
          <t>300 Moon St Se</t>
        </is>
      </c>
      <c r="AN319" t="inlineStr">
        <is>
          <t>Albuquerque</t>
        </is>
      </c>
      <c r="AO319" t="inlineStr">
        <is>
          <t>87123</t>
        </is>
      </c>
      <c r="AP319" t="inlineStr">
        <is>
          <t>NM</t>
        </is>
      </c>
      <c r="AR319" t="inlineStr">
        <is>
          <t>300 Moon St Se</t>
        </is>
      </c>
      <c r="AT319" t="inlineStr">
        <is>
          <t>Albuquerque</t>
        </is>
      </c>
      <c r="AU319" t="inlineStr">
        <is>
          <t>87123</t>
        </is>
      </c>
      <c r="AV319" t="inlineStr">
        <is>
          <t>NM</t>
        </is>
      </c>
      <c r="BB319" t="inlineStr">
        <is>
          <t>21/10/2023</t>
        </is>
      </c>
    </row>
    <row r="320" ht="15" customHeight="1" s="86">
      <c r="C320" t="inlineStr">
        <is>
          <t>Jessie</t>
        </is>
      </c>
      <c r="E320" t="inlineStr">
        <is>
          <t>Rendon Holguin</t>
        </is>
      </c>
      <c r="G320" t="inlineStr">
        <is>
          <t>10/12/2001</t>
        </is>
      </c>
      <c r="H320" t="inlineStr">
        <is>
          <t>Male</t>
        </is>
      </c>
      <c r="I320" t="inlineStr">
        <is>
          <t>649264028</t>
        </is>
      </c>
      <c r="J320" t="inlineStr">
        <is>
          <t>No</t>
        </is>
      </c>
      <c r="K320" t="inlineStr">
        <is>
          <t>U2LOIPQST</t>
        </is>
      </c>
      <c r="M320" t="inlineStr">
        <is>
          <t>21/10/2023</t>
        </is>
      </c>
      <c r="N320" t="inlineStr">
        <is>
          <t>08/12/2025</t>
        </is>
      </c>
      <c r="R320" t="inlineStr">
        <is>
          <t>Hourly</t>
        </is>
      </c>
      <c r="X320" t="inlineStr">
        <is>
          <t>22.35</t>
        </is>
      </c>
      <c r="AF320" t="inlineStr">
        <is>
          <t>Non-exempt</t>
        </is>
      </c>
      <c r="AI320" t="inlineStr">
        <is>
          <t>Jayrendon60@gmail.com</t>
        </is>
      </c>
      <c r="AJ320" t="inlineStr">
        <is>
          <t>jrendon.remson@gmail.com</t>
        </is>
      </c>
      <c r="AL320" t="inlineStr">
        <is>
          <t>300 Moon St Se</t>
        </is>
      </c>
      <c r="AN320" t="inlineStr">
        <is>
          <t>Albuquerque</t>
        </is>
      </c>
      <c r="AO320" t="inlineStr">
        <is>
          <t>87123</t>
        </is>
      </c>
      <c r="AP320" t="inlineStr">
        <is>
          <t>NM</t>
        </is>
      </c>
      <c r="AR320" t="inlineStr">
        <is>
          <t>300 Moon St Se</t>
        </is>
      </c>
      <c r="AT320" t="inlineStr">
        <is>
          <t>Albuquerque</t>
        </is>
      </c>
      <c r="AU320" t="inlineStr">
        <is>
          <t>87123</t>
        </is>
      </c>
      <c r="AV320" t="inlineStr">
        <is>
          <t>NM</t>
        </is>
      </c>
      <c r="BB320" t="inlineStr">
        <is>
          <t>21/10/2023</t>
        </is>
      </c>
      <c r="BD320" t="inlineStr">
        <is>
          <t>Z4Y55Y33Y</t>
        </is>
      </c>
    </row>
    <row r="321" ht="15" customHeight="1" s="86">
      <c r="C321" t="inlineStr">
        <is>
          <t>Javier</t>
        </is>
      </c>
      <c r="E321" t="inlineStr">
        <is>
          <t>Hernandez</t>
        </is>
      </c>
      <c r="G321" t="inlineStr">
        <is>
          <t>21/12/1992</t>
        </is>
      </c>
      <c r="H321" t="inlineStr">
        <is>
          <t>Male</t>
        </is>
      </c>
      <c r="I321" t="inlineStr">
        <is>
          <t>641340551</t>
        </is>
      </c>
      <c r="J321" t="inlineStr">
        <is>
          <t>No</t>
        </is>
      </c>
      <c r="K321" t="inlineStr">
        <is>
          <t>U81W9IRAC</t>
        </is>
      </c>
      <c r="M321" t="inlineStr">
        <is>
          <t>09/10/2023</t>
        </is>
      </c>
      <c r="N321" t="inlineStr">
        <is>
          <t>13/09/2025</t>
        </is>
      </c>
      <c r="R321" t="inlineStr">
        <is>
          <t>Hourly</t>
        </is>
      </c>
      <c r="X321" t="inlineStr">
        <is>
          <t>46.92</t>
        </is>
      </c>
      <c r="AF321" t="inlineStr">
        <is>
          <t>Non-exempt</t>
        </is>
      </c>
      <c r="AI321" t="inlineStr">
        <is>
          <t>j.hernandez.remson@gmail.com</t>
        </is>
      </c>
      <c r="AJ321" t="inlineStr">
        <is>
          <t>j.hernandez.remson@gmail.com</t>
        </is>
      </c>
      <c r="AL321" t="inlineStr">
        <is>
          <t>611 Lead Ave Sw</t>
        </is>
      </c>
      <c r="AM321" t="inlineStr">
        <is>
          <t>Apt 214</t>
        </is>
      </c>
      <c r="AN321" t="inlineStr">
        <is>
          <t>Albuquerque</t>
        </is>
      </c>
      <c r="AO321" t="inlineStr">
        <is>
          <t>87102</t>
        </is>
      </c>
      <c r="AP321" t="inlineStr">
        <is>
          <t>NM</t>
        </is>
      </c>
      <c r="AR321" t="inlineStr">
        <is>
          <t>611 Lead Ave Sw</t>
        </is>
      </c>
      <c r="AS321" t="inlineStr">
        <is>
          <t>Apt 214</t>
        </is>
      </c>
      <c r="AT321" t="inlineStr">
        <is>
          <t>Albuquerque</t>
        </is>
      </c>
      <c r="AU321" t="inlineStr">
        <is>
          <t>87102</t>
        </is>
      </c>
      <c r="AV321" t="inlineStr">
        <is>
          <t>NM</t>
        </is>
      </c>
      <c r="BB321" t="inlineStr">
        <is>
          <t>09/10/2023</t>
        </is>
      </c>
      <c r="BD321" t="inlineStr">
        <is>
          <t>DZWKT8LKB</t>
        </is>
      </c>
    </row>
    <row r="322" ht="15" customHeight="1" s="86">
      <c r="C322" t="inlineStr">
        <is>
          <t>Savannah</t>
        </is>
      </c>
      <c r="D322" t="inlineStr">
        <is>
          <t>K</t>
        </is>
      </c>
      <c r="E322" t="inlineStr">
        <is>
          <t>Lopez</t>
        </is>
      </c>
      <c r="G322" t="inlineStr">
        <is>
          <t>09/08/2002</t>
        </is>
      </c>
      <c r="H322" t="inlineStr">
        <is>
          <t>Female</t>
        </is>
      </c>
      <c r="I322" t="inlineStr">
        <is>
          <t>649281076</t>
        </is>
      </c>
      <c r="J322" t="inlineStr">
        <is>
          <t>No</t>
        </is>
      </c>
      <c r="K322" t="inlineStr">
        <is>
          <t>UG8RGMZ4C</t>
        </is>
      </c>
      <c r="M322" t="inlineStr">
        <is>
          <t>16/01/2025</t>
        </is>
      </c>
      <c r="N322" t="inlineStr">
        <is>
          <t>21/03/2025</t>
        </is>
      </c>
      <c r="R322" t="inlineStr">
        <is>
          <t>Hourly</t>
        </is>
      </c>
      <c r="X322" t="inlineStr">
        <is>
          <t>41</t>
        </is>
      </c>
      <c r="AF322" t="inlineStr">
        <is>
          <t>Non-exempt</t>
        </is>
      </c>
      <c r="AI322" t="inlineStr">
        <is>
          <t>savannahlopezdriver@gmail.com</t>
        </is>
      </c>
      <c r="AJ322" t="inlineStr">
        <is>
          <t>savannahlopezdriver@gmail.com</t>
        </is>
      </c>
      <c r="AL322" t="inlineStr">
        <is>
          <t>1420 Alwood Dr Nw</t>
        </is>
      </c>
      <c r="AN322" t="inlineStr">
        <is>
          <t>Albuquerque</t>
        </is>
      </c>
      <c r="AO322" t="inlineStr">
        <is>
          <t>87120</t>
        </is>
      </c>
      <c r="AP322" t="inlineStr">
        <is>
          <t>NM</t>
        </is>
      </c>
      <c r="AR322" t="inlineStr">
        <is>
          <t>1420 Alwood Dr Nw</t>
        </is>
      </c>
      <c r="AT322" t="inlineStr">
        <is>
          <t>Albuquerque</t>
        </is>
      </c>
      <c r="AU322" t="inlineStr">
        <is>
          <t>87120</t>
        </is>
      </c>
      <c r="AV322" t="inlineStr">
        <is>
          <t>NM</t>
        </is>
      </c>
      <c r="BB322" t="inlineStr">
        <is>
          <t>16/01/2025</t>
        </is>
      </c>
    </row>
    <row r="323" ht="15" customHeight="1" s="86">
      <c r="C323" t="inlineStr">
        <is>
          <t>Jimmy</t>
        </is>
      </c>
      <c r="E323" t="inlineStr">
        <is>
          <t>Molina</t>
        </is>
      </c>
      <c r="G323" t="inlineStr">
        <is>
          <t>02/04/1981</t>
        </is>
      </c>
      <c r="H323" t="inlineStr">
        <is>
          <t>Male</t>
        </is>
      </c>
      <c r="I323" t="inlineStr">
        <is>
          <t>585392544</t>
        </is>
      </c>
      <c r="J323" t="inlineStr">
        <is>
          <t>No</t>
        </is>
      </c>
      <c r="K323" t="inlineStr">
        <is>
          <t>UGHFI0GR8</t>
        </is>
      </c>
      <c r="M323" t="inlineStr">
        <is>
          <t>15/09/2024</t>
        </is>
      </c>
      <c r="N323" t="inlineStr">
        <is>
          <t>02/03/2025</t>
        </is>
      </c>
      <c r="R323" t="inlineStr">
        <is>
          <t>Hourly</t>
        </is>
      </c>
      <c r="X323" t="inlineStr">
        <is>
          <t>41</t>
        </is>
      </c>
      <c r="AF323" t="inlineStr">
        <is>
          <t>Non-exempt</t>
        </is>
      </c>
      <c r="AI323" t="inlineStr">
        <is>
          <t>jmolina.remson@gmail.com</t>
        </is>
      </c>
      <c r="AJ323" t="inlineStr">
        <is>
          <t>molina81.jr@gmail.com</t>
        </is>
      </c>
      <c r="AL323" t="inlineStr">
        <is>
          <t>1828 Prospect Ave Nw</t>
        </is>
      </c>
      <c r="AN323" t="inlineStr">
        <is>
          <t>Albuquerque</t>
        </is>
      </c>
      <c r="AO323" t="inlineStr">
        <is>
          <t>87104</t>
        </is>
      </c>
      <c r="AP323" t="inlineStr">
        <is>
          <t>NM</t>
        </is>
      </c>
      <c r="AR323" t="inlineStr">
        <is>
          <t>1828 Prospect Ave Nw</t>
        </is>
      </c>
      <c r="AT323" t="inlineStr">
        <is>
          <t>Albuquerque</t>
        </is>
      </c>
      <c r="AU323" t="inlineStr">
        <is>
          <t>87104</t>
        </is>
      </c>
      <c r="AV323" t="inlineStr">
        <is>
          <t>NM</t>
        </is>
      </c>
      <c r="BB323" t="inlineStr">
        <is>
          <t>15/09/2024</t>
        </is>
      </c>
      <c r="BD323" t="inlineStr">
        <is>
          <t>DZWKT8LKB</t>
        </is>
      </c>
    </row>
    <row r="324" ht="15" customHeight="1" s="86">
      <c r="C324" t="inlineStr">
        <is>
          <t>Joziah</t>
        </is>
      </c>
      <c r="D324" t="inlineStr">
        <is>
          <t>J</t>
        </is>
      </c>
      <c r="E324" t="inlineStr">
        <is>
          <t>Ramos</t>
        </is>
      </c>
      <c r="G324" t="inlineStr">
        <is>
          <t>16/01/2002</t>
        </is>
      </c>
      <c r="H324" t="inlineStr">
        <is>
          <t>Not Specified</t>
        </is>
      </c>
      <c r="I324" t="inlineStr">
        <is>
          <t>649268449</t>
        </is>
      </c>
      <c r="K324" t="inlineStr">
        <is>
          <t>UHI3KN049</t>
        </is>
      </c>
      <c r="M324" t="inlineStr">
        <is>
          <t>16/07/2025</t>
        </is>
      </c>
      <c r="N324" t="inlineStr">
        <is>
          <t>08/12/2025</t>
        </is>
      </c>
      <c r="R324" t="inlineStr">
        <is>
          <t>Hourly</t>
        </is>
      </c>
      <c r="X324" t="inlineStr">
        <is>
          <t>21.65</t>
        </is>
      </c>
      <c r="AF324" t="inlineStr">
        <is>
          <t>Non-exempt</t>
        </is>
      </c>
      <c r="AJ324" t="inlineStr">
        <is>
          <t>jramos.remson7@gmail.com</t>
        </is>
      </c>
      <c r="AL324" t="inlineStr">
        <is>
          <t>2547 Lakeview Road Southwest</t>
        </is>
      </c>
      <c r="AN324" t="inlineStr">
        <is>
          <t>Albuquerque</t>
        </is>
      </c>
      <c r="AO324" t="inlineStr">
        <is>
          <t>87105</t>
        </is>
      </c>
      <c r="AP324" t="inlineStr">
        <is>
          <t>NM</t>
        </is>
      </c>
      <c r="AR324" t="inlineStr">
        <is>
          <t>2547 Lakeview Road Southwest</t>
        </is>
      </c>
      <c r="AT324" t="inlineStr">
        <is>
          <t>Albuquerque</t>
        </is>
      </c>
      <c r="AU324" t="inlineStr">
        <is>
          <t>87105</t>
        </is>
      </c>
      <c r="AV324" t="inlineStr">
        <is>
          <t>NM</t>
        </is>
      </c>
      <c r="BB324" t="inlineStr">
        <is>
          <t>16/07/2025</t>
        </is>
      </c>
      <c r="BD324" t="inlineStr">
        <is>
          <t>Z4Y55Y33Y</t>
        </is>
      </c>
    </row>
    <row r="325" ht="15" customHeight="1" s="86">
      <c r="C325" t="inlineStr">
        <is>
          <t>Joziah</t>
        </is>
      </c>
      <c r="D325" t="inlineStr">
        <is>
          <t>J</t>
        </is>
      </c>
      <c r="E325" t="inlineStr">
        <is>
          <t>Ramos</t>
        </is>
      </c>
      <c r="G325" t="inlineStr">
        <is>
          <t>16/01/2002</t>
        </is>
      </c>
      <c r="H325" t="inlineStr">
        <is>
          <t>Not Specified</t>
        </is>
      </c>
      <c r="I325" t="inlineStr">
        <is>
          <t>649268449</t>
        </is>
      </c>
      <c r="K325" t="inlineStr">
        <is>
          <t>UHI3KN049</t>
        </is>
      </c>
      <c r="M325" t="inlineStr">
        <is>
          <t>16/07/2025</t>
        </is>
      </c>
      <c r="N325" t="inlineStr">
        <is>
          <t>20/12/2025</t>
        </is>
      </c>
      <c r="R325" t="inlineStr">
        <is>
          <t>Hourly</t>
        </is>
      </c>
      <c r="X325" t="inlineStr">
        <is>
          <t>21.65</t>
        </is>
      </c>
      <c r="AF325" t="inlineStr">
        <is>
          <t>Non-exempt</t>
        </is>
      </c>
      <c r="AJ325" t="inlineStr">
        <is>
          <t>jramos.remson7@gmail.com</t>
        </is>
      </c>
      <c r="AL325" t="inlineStr">
        <is>
          <t>2547 Lakeview Road Southwest</t>
        </is>
      </c>
      <c r="AN325" t="inlineStr">
        <is>
          <t>Albuquerque</t>
        </is>
      </c>
      <c r="AO325" t="inlineStr">
        <is>
          <t>87105</t>
        </is>
      </c>
      <c r="AP325" t="inlineStr">
        <is>
          <t>NM</t>
        </is>
      </c>
      <c r="AR325" t="inlineStr">
        <is>
          <t>2547 Lakeview Road Southwest</t>
        </is>
      </c>
      <c r="AT325" t="inlineStr">
        <is>
          <t>Albuquerque</t>
        </is>
      </c>
      <c r="AU325" t="inlineStr">
        <is>
          <t>87105</t>
        </is>
      </c>
      <c r="AV325" t="inlineStr">
        <is>
          <t>NM</t>
        </is>
      </c>
      <c r="BB325" t="inlineStr">
        <is>
          <t>16/07/2025</t>
        </is>
      </c>
    </row>
    <row r="326" ht="15" customHeight="1" s="86">
      <c r="C326" t="inlineStr">
        <is>
          <t>Adrian</t>
        </is>
      </c>
      <c r="E326" t="inlineStr">
        <is>
          <t>Fernandez</t>
        </is>
      </c>
      <c r="G326" t="inlineStr">
        <is>
          <t>22/07/1997</t>
        </is>
      </c>
      <c r="H326" t="inlineStr">
        <is>
          <t>Male</t>
        </is>
      </c>
      <c r="I326" t="inlineStr">
        <is>
          <t>615983714</t>
        </is>
      </c>
      <c r="J326" t="inlineStr">
        <is>
          <t>No</t>
        </is>
      </c>
      <c r="K326" t="inlineStr">
        <is>
          <t>UN7KOCSYG</t>
        </is>
      </c>
      <c r="M326" t="inlineStr">
        <is>
          <t>18/08/2024</t>
        </is>
      </c>
      <c r="N326" t="inlineStr">
        <is>
          <t>07/02/2026</t>
        </is>
      </c>
      <c r="R326" t="inlineStr">
        <is>
          <t>Hourly</t>
        </is>
      </c>
      <c r="X326" t="inlineStr">
        <is>
          <t>21.75</t>
        </is>
      </c>
      <c r="AF326" t="inlineStr">
        <is>
          <t>Non-exempt</t>
        </is>
      </c>
      <c r="AJ326" t="inlineStr">
        <is>
          <t>afernandez.remson@gmail.com</t>
        </is>
      </c>
      <c r="AL326" t="inlineStr">
        <is>
          <t>9677 Eagle Ranch Rd Nw</t>
        </is>
      </c>
      <c r="AM326" t="inlineStr">
        <is>
          <t>Apt 3127</t>
        </is>
      </c>
      <c r="AN326" t="inlineStr">
        <is>
          <t>Albuquerque</t>
        </is>
      </c>
      <c r="AO326" t="inlineStr">
        <is>
          <t>87114</t>
        </is>
      </c>
      <c r="AP326" t="inlineStr">
        <is>
          <t>NM</t>
        </is>
      </c>
      <c r="AR326" t="inlineStr">
        <is>
          <t>9677 Eagle Ranch Rd Nw</t>
        </is>
      </c>
      <c r="AS326" t="inlineStr">
        <is>
          <t>Apt 3127</t>
        </is>
      </c>
      <c r="AT326" t="inlineStr">
        <is>
          <t>Albuquerque</t>
        </is>
      </c>
      <c r="AU326" t="inlineStr">
        <is>
          <t>87114</t>
        </is>
      </c>
      <c r="AV326" t="inlineStr">
        <is>
          <t>NM</t>
        </is>
      </c>
      <c r="BB326" t="inlineStr">
        <is>
          <t>18/08/2024</t>
        </is>
      </c>
    </row>
    <row r="327" ht="15" customHeight="1" s="86">
      <c r="C327" t="inlineStr">
        <is>
          <t>Adrian</t>
        </is>
      </c>
      <c r="E327" t="inlineStr">
        <is>
          <t>Fernandez</t>
        </is>
      </c>
      <c r="G327" t="inlineStr">
        <is>
          <t>22/07/1997</t>
        </is>
      </c>
      <c r="H327" t="inlineStr">
        <is>
          <t>Male</t>
        </is>
      </c>
      <c r="I327" t="inlineStr">
        <is>
          <t>615983714</t>
        </is>
      </c>
      <c r="J327" t="inlineStr">
        <is>
          <t>No</t>
        </is>
      </c>
      <c r="K327" t="inlineStr">
        <is>
          <t>UN7KOCSYG</t>
        </is>
      </c>
      <c r="M327" t="inlineStr">
        <is>
          <t>18/08/2024</t>
        </is>
      </c>
      <c r="N327" t="inlineStr">
        <is>
          <t>08/12/2025</t>
        </is>
      </c>
      <c r="R327" t="inlineStr">
        <is>
          <t>Hourly</t>
        </is>
      </c>
      <c r="X327" t="inlineStr">
        <is>
          <t>21.75</t>
        </is>
      </c>
      <c r="AF327" t="inlineStr">
        <is>
          <t>Non-exempt</t>
        </is>
      </c>
      <c r="AJ327" t="inlineStr">
        <is>
          <t>afernandez.remson@gmail.com</t>
        </is>
      </c>
      <c r="AL327" t="inlineStr">
        <is>
          <t>9677 Eagle Ranch Rd Nw</t>
        </is>
      </c>
      <c r="AM327" t="inlineStr">
        <is>
          <t>Apt 3127</t>
        </is>
      </c>
      <c r="AN327" t="inlineStr">
        <is>
          <t>Albuquerque</t>
        </is>
      </c>
      <c r="AO327" t="inlineStr">
        <is>
          <t>87114</t>
        </is>
      </c>
      <c r="AP327" t="inlineStr">
        <is>
          <t>NM</t>
        </is>
      </c>
      <c r="AR327" t="inlineStr">
        <is>
          <t>9677 Eagle Ranch Rd Nw</t>
        </is>
      </c>
      <c r="AS327" t="inlineStr">
        <is>
          <t>Apt 3127</t>
        </is>
      </c>
      <c r="AT327" t="inlineStr">
        <is>
          <t>Albuquerque</t>
        </is>
      </c>
      <c r="AU327" t="inlineStr">
        <is>
          <t>87114</t>
        </is>
      </c>
      <c r="AV327" t="inlineStr">
        <is>
          <t>NM</t>
        </is>
      </c>
      <c r="BB327" t="inlineStr">
        <is>
          <t>18/08/2024</t>
        </is>
      </c>
      <c r="BD327" t="inlineStr">
        <is>
          <t>Z4Y55Y33Y</t>
        </is>
      </c>
    </row>
    <row r="328" ht="15" customHeight="1" s="86">
      <c r="C328" t="inlineStr">
        <is>
          <t>David</t>
        </is>
      </c>
      <c r="D328" t="inlineStr">
        <is>
          <t>A</t>
        </is>
      </c>
      <c r="E328" t="inlineStr">
        <is>
          <t>Garcia</t>
        </is>
      </c>
      <c r="G328" t="inlineStr">
        <is>
          <t>23/08/1990</t>
        </is>
      </c>
      <c r="H328" t="inlineStr">
        <is>
          <t>Not Specified</t>
        </is>
      </c>
      <c r="I328" t="inlineStr">
        <is>
          <t>585878092</t>
        </is>
      </c>
      <c r="J328" t="inlineStr">
        <is>
          <t>No</t>
        </is>
      </c>
      <c r="K328" t="inlineStr">
        <is>
          <t>UPJWLMULN</t>
        </is>
      </c>
      <c r="M328" t="inlineStr">
        <is>
          <t>07/01/2024</t>
        </is>
      </c>
      <c r="R328" t="inlineStr">
        <is>
          <t>Hourly</t>
        </is>
      </c>
      <c r="X328" t="inlineStr">
        <is>
          <t>22.2</t>
        </is>
      </c>
      <c r="AF328" t="inlineStr">
        <is>
          <t>Non-exempt</t>
        </is>
      </c>
      <c r="AJ328" t="inlineStr">
        <is>
          <t>dgarcia.remson@gmail.com</t>
        </is>
      </c>
      <c r="AL328" t="inlineStr">
        <is>
          <t>12621 Lomas Blvd Ne</t>
        </is>
      </c>
      <c r="AM328" t="inlineStr">
        <is>
          <t>9</t>
        </is>
      </c>
      <c r="AN328" t="inlineStr">
        <is>
          <t>Albuquerque</t>
        </is>
      </c>
      <c r="AO328" t="inlineStr">
        <is>
          <t>87112</t>
        </is>
      </c>
      <c r="AP328" t="inlineStr">
        <is>
          <t>NM</t>
        </is>
      </c>
      <c r="AR328" t="inlineStr">
        <is>
          <t>12621 Lomas Blvd Ne</t>
        </is>
      </c>
      <c r="AS328" t="inlineStr">
        <is>
          <t>9</t>
        </is>
      </c>
      <c r="AT328" t="inlineStr">
        <is>
          <t>Albuquerque</t>
        </is>
      </c>
      <c r="AU328" t="inlineStr">
        <is>
          <t>87112</t>
        </is>
      </c>
      <c r="AV328" t="inlineStr">
        <is>
          <t>NM</t>
        </is>
      </c>
      <c r="BB328" t="inlineStr">
        <is>
          <t>07/01/2024</t>
        </is>
      </c>
    </row>
    <row r="329" ht="15" customHeight="1" s="86">
      <c r="C329" t="inlineStr">
        <is>
          <t>David</t>
        </is>
      </c>
      <c r="D329" t="inlineStr">
        <is>
          <t>A</t>
        </is>
      </c>
      <c r="E329" t="inlineStr">
        <is>
          <t>Garcia</t>
        </is>
      </c>
      <c r="G329" t="inlineStr">
        <is>
          <t>23/08/1990</t>
        </is>
      </c>
      <c r="H329" t="inlineStr">
        <is>
          <t>Not Specified</t>
        </is>
      </c>
      <c r="I329" t="inlineStr">
        <is>
          <t>585878092</t>
        </is>
      </c>
      <c r="J329" t="inlineStr">
        <is>
          <t>No</t>
        </is>
      </c>
      <c r="K329" t="inlineStr">
        <is>
          <t>UPJWLMULN</t>
        </is>
      </c>
      <c r="M329" t="inlineStr">
        <is>
          <t>07/01/2024</t>
        </is>
      </c>
      <c r="N329" t="inlineStr">
        <is>
          <t>09/12/2025</t>
        </is>
      </c>
      <c r="R329" t="inlineStr">
        <is>
          <t>Hourly</t>
        </is>
      </c>
      <c r="X329" t="inlineStr">
        <is>
          <t>22.2</t>
        </is>
      </c>
      <c r="AF329" t="inlineStr">
        <is>
          <t>Non-exempt</t>
        </is>
      </c>
      <c r="AJ329" t="inlineStr">
        <is>
          <t>dgarcia.remson@gmail.com</t>
        </is>
      </c>
      <c r="AL329" t="inlineStr">
        <is>
          <t>12621 Lomas Blvd Ne</t>
        </is>
      </c>
      <c r="AM329" t="inlineStr">
        <is>
          <t>9</t>
        </is>
      </c>
      <c r="AN329" t="inlineStr">
        <is>
          <t>Albuquerque</t>
        </is>
      </c>
      <c r="AO329" t="inlineStr">
        <is>
          <t>87112</t>
        </is>
      </c>
      <c r="AP329" t="inlineStr">
        <is>
          <t>NM</t>
        </is>
      </c>
      <c r="AR329" t="inlineStr">
        <is>
          <t>12621 Lomas Blvd Ne</t>
        </is>
      </c>
      <c r="AS329" t="inlineStr">
        <is>
          <t>9</t>
        </is>
      </c>
      <c r="AT329" t="inlineStr">
        <is>
          <t>Albuquerque</t>
        </is>
      </c>
      <c r="AU329" t="inlineStr">
        <is>
          <t>87112</t>
        </is>
      </c>
      <c r="AV329" t="inlineStr">
        <is>
          <t>NM</t>
        </is>
      </c>
      <c r="BB329" t="inlineStr">
        <is>
          <t>07/01/2024</t>
        </is>
      </c>
      <c r="BD329" t="inlineStr">
        <is>
          <t>Z4Y55Y33Y</t>
        </is>
      </c>
    </row>
    <row r="330" ht="15" customHeight="1" s="86">
      <c r="C330" t="inlineStr">
        <is>
          <t>Grace</t>
        </is>
      </c>
      <c r="E330" t="inlineStr">
        <is>
          <t>Bradley</t>
        </is>
      </c>
      <c r="G330" t="inlineStr">
        <is>
          <t>11/11/1994</t>
        </is>
      </c>
      <c r="H330" t="inlineStr">
        <is>
          <t>Not Specified</t>
        </is>
      </c>
      <c r="I330" t="inlineStr">
        <is>
          <t>472292319</t>
        </is>
      </c>
      <c r="K330" t="inlineStr">
        <is>
          <t>VD7CNSDFT</t>
        </is>
      </c>
      <c r="M330" t="inlineStr">
        <is>
          <t>06/10/2023</t>
        </is>
      </c>
      <c r="N330" t="inlineStr">
        <is>
          <t>28/12/2024</t>
        </is>
      </c>
      <c r="R330" t="inlineStr">
        <is>
          <t>Hourly</t>
        </is>
      </c>
      <c r="X330" t="inlineStr">
        <is>
          <t>21.1</t>
        </is>
      </c>
      <c r="AF330" t="inlineStr">
        <is>
          <t>Non-exempt</t>
        </is>
      </c>
      <c r="AI330" t="inlineStr">
        <is>
          <t>gracebradley7711@gmail.com</t>
        </is>
      </c>
      <c r="AJ330" t="inlineStr">
        <is>
          <t>gracebradley7711@gmail.com</t>
        </is>
      </c>
      <c r="AL330" t="inlineStr">
        <is>
          <t>1409 Cherokee Rd Nw</t>
        </is>
      </c>
      <c r="AN330" t="inlineStr">
        <is>
          <t>Albuquerque</t>
        </is>
      </c>
      <c r="AO330" t="inlineStr">
        <is>
          <t>87107</t>
        </is>
      </c>
      <c r="AP330" t="inlineStr">
        <is>
          <t>NM</t>
        </is>
      </c>
      <c r="AR330" t="inlineStr">
        <is>
          <t>1409 Cherokee Rd Nw</t>
        </is>
      </c>
      <c r="AT330" t="inlineStr">
        <is>
          <t>Albuquerque</t>
        </is>
      </c>
      <c r="AU330" t="inlineStr">
        <is>
          <t>87107</t>
        </is>
      </c>
      <c r="AV330" t="inlineStr">
        <is>
          <t>NM</t>
        </is>
      </c>
      <c r="BB330" t="inlineStr">
        <is>
          <t>06/10/2023</t>
        </is>
      </c>
    </row>
    <row r="331" ht="15" customHeight="1" s="86">
      <c r="C331" t="inlineStr">
        <is>
          <t>Kaden</t>
        </is>
      </c>
      <c r="D331" t="inlineStr">
        <is>
          <t>J</t>
        </is>
      </c>
      <c r="E331" t="inlineStr">
        <is>
          <t>Rasberry</t>
        </is>
      </c>
      <c r="G331" t="inlineStr">
        <is>
          <t>04/04/2003</t>
        </is>
      </c>
      <c r="H331" t="inlineStr">
        <is>
          <t>Not Specified</t>
        </is>
      </c>
      <c r="I331" t="inlineStr">
        <is>
          <t>633865054</t>
        </is>
      </c>
      <c r="K331" t="inlineStr">
        <is>
          <t>VKNT69M64</t>
        </is>
      </c>
      <c r="M331" t="inlineStr">
        <is>
          <t>03/10/2025</t>
        </is>
      </c>
      <c r="R331" t="inlineStr">
        <is>
          <t>Hourly</t>
        </is>
      </c>
      <c r="X331" t="inlineStr">
        <is>
          <t>21.5</t>
        </is>
      </c>
      <c r="AF331" t="inlineStr">
        <is>
          <t>Non-exempt</t>
        </is>
      </c>
      <c r="AJ331" t="inlineStr">
        <is>
          <t>krasberry.remson@gmail.com</t>
        </is>
      </c>
      <c r="AL331" t="inlineStr">
        <is>
          <t>170 Sandia Road Northwest</t>
        </is>
      </c>
      <c r="AN331" t="inlineStr">
        <is>
          <t>Albuquerque</t>
        </is>
      </c>
      <c r="AO331" t="inlineStr">
        <is>
          <t>87107</t>
        </is>
      </c>
      <c r="AP331" t="inlineStr">
        <is>
          <t>NM</t>
        </is>
      </c>
      <c r="AR331" t="inlineStr">
        <is>
          <t>170 Sandia Road Northwest</t>
        </is>
      </c>
      <c r="AT331" t="inlineStr">
        <is>
          <t>Albuquerque</t>
        </is>
      </c>
      <c r="AU331" t="inlineStr">
        <is>
          <t>87107</t>
        </is>
      </c>
      <c r="AV331" t="inlineStr">
        <is>
          <t>NM</t>
        </is>
      </c>
      <c r="BB331" t="inlineStr">
        <is>
          <t>03/10/2025</t>
        </is>
      </c>
    </row>
    <row r="332" ht="15" customHeight="1" s="86">
      <c r="C332" t="inlineStr">
        <is>
          <t>Kaden</t>
        </is>
      </c>
      <c r="D332" t="inlineStr">
        <is>
          <t>J</t>
        </is>
      </c>
      <c r="E332" t="inlineStr">
        <is>
          <t>Rasberry</t>
        </is>
      </c>
      <c r="G332" t="inlineStr">
        <is>
          <t>04/04/2003</t>
        </is>
      </c>
      <c r="H332" t="inlineStr">
        <is>
          <t>Not Specified</t>
        </is>
      </c>
      <c r="I332" t="inlineStr">
        <is>
          <t>633865054</t>
        </is>
      </c>
      <c r="K332" t="inlineStr">
        <is>
          <t>VKNT69M64</t>
        </is>
      </c>
      <c r="M332" t="inlineStr">
        <is>
          <t>03/10/2025</t>
        </is>
      </c>
      <c r="N332" t="inlineStr">
        <is>
          <t>08/12/2025</t>
        </is>
      </c>
      <c r="R332" t="inlineStr">
        <is>
          <t>Hourly</t>
        </is>
      </c>
      <c r="X332" t="inlineStr">
        <is>
          <t>21.5</t>
        </is>
      </c>
      <c r="AF332" t="inlineStr">
        <is>
          <t>Non-exempt</t>
        </is>
      </c>
      <c r="AJ332" t="inlineStr">
        <is>
          <t>krasberry.remson@gmail.com</t>
        </is>
      </c>
      <c r="AL332" t="inlineStr">
        <is>
          <t>170 Sandia Road Northwest</t>
        </is>
      </c>
      <c r="AN332" t="inlineStr">
        <is>
          <t>Albuquerque</t>
        </is>
      </c>
      <c r="AO332" t="inlineStr">
        <is>
          <t>87107</t>
        </is>
      </c>
      <c r="AP332" t="inlineStr">
        <is>
          <t>NM</t>
        </is>
      </c>
      <c r="AR332" t="inlineStr">
        <is>
          <t>170 Sandia Road Northwest</t>
        </is>
      </c>
      <c r="AT332" t="inlineStr">
        <is>
          <t>Albuquerque</t>
        </is>
      </c>
      <c r="AU332" t="inlineStr">
        <is>
          <t>87107</t>
        </is>
      </c>
      <c r="AV332" t="inlineStr">
        <is>
          <t>NM</t>
        </is>
      </c>
      <c r="BB332" t="inlineStr">
        <is>
          <t>03/10/2025</t>
        </is>
      </c>
      <c r="BD332" t="inlineStr">
        <is>
          <t>Z4Y55Y33Y</t>
        </is>
      </c>
    </row>
    <row r="333" ht="15" customHeight="1" s="86">
      <c r="C333" t="inlineStr">
        <is>
          <t>Jayden</t>
        </is>
      </c>
      <c r="E333" t="inlineStr">
        <is>
          <t>Kirkendoll</t>
        </is>
      </c>
      <c r="G333" t="inlineStr">
        <is>
          <t>29/09/2002</t>
        </is>
      </c>
      <c r="H333" t="inlineStr">
        <is>
          <t>Male</t>
        </is>
      </c>
      <c r="I333" t="inlineStr">
        <is>
          <t>649286933</t>
        </is>
      </c>
      <c r="J333" t="inlineStr">
        <is>
          <t>No</t>
        </is>
      </c>
      <c r="K333" t="inlineStr">
        <is>
          <t>VMER4LK0S</t>
        </is>
      </c>
      <c r="M333" t="inlineStr">
        <is>
          <t>22/11/2024</t>
        </is>
      </c>
      <c r="N333" t="inlineStr">
        <is>
          <t>10/05/2025</t>
        </is>
      </c>
      <c r="R333" t="inlineStr">
        <is>
          <t>Hourly</t>
        </is>
      </c>
      <c r="X333" t="inlineStr">
        <is>
          <t>41.3</t>
        </is>
      </c>
      <c r="AF333" t="inlineStr">
        <is>
          <t>Non-exempt</t>
        </is>
      </c>
      <c r="AI333" t="inlineStr">
        <is>
          <t>jkirkendoll.remson@gmail.com</t>
        </is>
      </c>
      <c r="AJ333" t="inlineStr">
        <is>
          <t>jkirkendoll.remson@gmail.com</t>
        </is>
      </c>
      <c r="AL333" t="inlineStr">
        <is>
          <t>7800 Headline Blvd NE APT 1201</t>
        </is>
      </c>
      <c r="AN333" t="inlineStr">
        <is>
          <t>Albuquerque</t>
        </is>
      </c>
      <c r="AO333" t="inlineStr">
        <is>
          <t>87109</t>
        </is>
      </c>
      <c r="AP333" t="inlineStr">
        <is>
          <t>NM</t>
        </is>
      </c>
      <c r="AR333" t="inlineStr">
        <is>
          <t>7800 Headline Blvd NE APT 1201</t>
        </is>
      </c>
      <c r="AT333" t="inlineStr">
        <is>
          <t>Albuquerque</t>
        </is>
      </c>
      <c r="AU333" t="inlineStr">
        <is>
          <t>87109</t>
        </is>
      </c>
      <c r="AV333" t="inlineStr">
        <is>
          <t>NM</t>
        </is>
      </c>
      <c r="BB333" t="inlineStr">
        <is>
          <t>22/11/2024</t>
        </is>
      </c>
    </row>
    <row r="334" ht="15" customHeight="1" s="86">
      <c r="C334" t="inlineStr">
        <is>
          <t>Adrienne</t>
        </is>
      </c>
      <c r="E334" t="inlineStr">
        <is>
          <t>Montano</t>
        </is>
      </c>
      <c r="G334" t="inlineStr">
        <is>
          <t>31/12/1987</t>
        </is>
      </c>
      <c r="H334" t="inlineStr">
        <is>
          <t>Not Specified</t>
        </is>
      </c>
      <c r="I334" t="inlineStr">
        <is>
          <t>585717862</t>
        </is>
      </c>
      <c r="K334" t="inlineStr">
        <is>
          <t>VPECWSRIL</t>
        </is>
      </c>
      <c r="M334" t="inlineStr">
        <is>
          <t>26/10/2024</t>
        </is>
      </c>
      <c r="N334" t="inlineStr">
        <is>
          <t>24/12/2024</t>
        </is>
      </c>
      <c r="R334" t="inlineStr">
        <is>
          <t>Hourly</t>
        </is>
      </c>
      <c r="X334" t="inlineStr">
        <is>
          <t>20.5</t>
        </is>
      </c>
      <c r="AF334" t="inlineStr">
        <is>
          <t>Non-exempt</t>
        </is>
      </c>
      <c r="AI334" t="inlineStr">
        <is>
          <t>africke.remson@gmail.com</t>
        </is>
      </c>
      <c r="AJ334" t="inlineStr">
        <is>
          <t>africke.remson@gmail.com</t>
        </is>
      </c>
      <c r="AL334" t="inlineStr">
        <is>
          <t>6200 Montano Plaza Drive Nw</t>
        </is>
      </c>
      <c r="AM334" t="inlineStr">
        <is>
          <t>711</t>
        </is>
      </c>
      <c r="AN334" t="inlineStr">
        <is>
          <t>Albuquerque</t>
        </is>
      </c>
      <c r="AO334" t="inlineStr">
        <is>
          <t>87120</t>
        </is>
      </c>
      <c r="AP334" t="inlineStr">
        <is>
          <t>NM</t>
        </is>
      </c>
      <c r="AR334" t="inlineStr">
        <is>
          <t>6200 Montano Plaza Drive Nw</t>
        </is>
      </c>
      <c r="AS334" t="inlineStr">
        <is>
          <t>711</t>
        </is>
      </c>
      <c r="AT334" t="inlineStr">
        <is>
          <t>Albuquerque</t>
        </is>
      </c>
      <c r="AU334" t="inlineStr">
        <is>
          <t>87120</t>
        </is>
      </c>
      <c r="AV334" t="inlineStr">
        <is>
          <t>NM</t>
        </is>
      </c>
      <c r="BB334" t="inlineStr">
        <is>
          <t>26/10/2024</t>
        </is>
      </c>
    </row>
    <row r="335" ht="15" customHeight="1" s="86">
      <c r="C335" t="inlineStr">
        <is>
          <t>Robert</t>
        </is>
      </c>
      <c r="E335" t="inlineStr">
        <is>
          <t>Martinez</t>
        </is>
      </c>
      <c r="G335" t="inlineStr">
        <is>
          <t>23/03/1999</t>
        </is>
      </c>
      <c r="H335" t="inlineStr">
        <is>
          <t>Male</t>
        </is>
      </c>
      <c r="I335" t="inlineStr">
        <is>
          <t>648182918</t>
        </is>
      </c>
      <c r="J335" t="inlineStr">
        <is>
          <t>No</t>
        </is>
      </c>
      <c r="K335" t="inlineStr">
        <is>
          <t>VTL10XRQS</t>
        </is>
      </c>
      <c r="M335" t="inlineStr">
        <is>
          <t>18/01/2025</t>
        </is>
      </c>
      <c r="N335" t="inlineStr">
        <is>
          <t>10/03/2025</t>
        </is>
      </c>
      <c r="R335" t="inlineStr">
        <is>
          <t>Hourly</t>
        </is>
      </c>
      <c r="X335" t="inlineStr">
        <is>
          <t>41</t>
        </is>
      </c>
      <c r="AF335" t="inlineStr">
        <is>
          <t>Non-exempt</t>
        </is>
      </c>
      <c r="AI335" t="inlineStr">
        <is>
          <t>martinez1.remson@gmail.com</t>
        </is>
      </c>
      <c r="AJ335" t="inlineStr">
        <is>
          <t>martinez1.remson@gmail.com</t>
        </is>
      </c>
      <c r="AL335" t="inlineStr">
        <is>
          <t>7719 San Augustine St Nw</t>
        </is>
      </c>
      <c r="AN335" t="inlineStr">
        <is>
          <t>Albuquerque</t>
        </is>
      </c>
      <c r="AO335" t="inlineStr">
        <is>
          <t>87120</t>
        </is>
      </c>
      <c r="AP335" t="inlineStr">
        <is>
          <t>NM</t>
        </is>
      </c>
      <c r="AR335" t="inlineStr">
        <is>
          <t>7719 San Augustine St Nw</t>
        </is>
      </c>
      <c r="AT335" t="inlineStr">
        <is>
          <t>Albuquerque</t>
        </is>
      </c>
      <c r="AU335" t="inlineStr">
        <is>
          <t>87120</t>
        </is>
      </c>
      <c r="AV335" t="inlineStr">
        <is>
          <t>NM</t>
        </is>
      </c>
      <c r="BB335" t="inlineStr">
        <is>
          <t>27/04/2024</t>
        </is>
      </c>
    </row>
    <row r="336" ht="15" customHeight="1" s="86">
      <c r="C336" t="inlineStr">
        <is>
          <t>Alexander</t>
        </is>
      </c>
      <c r="D336" t="inlineStr">
        <is>
          <t>N</t>
        </is>
      </c>
      <c r="E336" t="inlineStr">
        <is>
          <t>Walker</t>
        </is>
      </c>
      <c r="G336" t="inlineStr">
        <is>
          <t>28/06/1990</t>
        </is>
      </c>
      <c r="H336" t="inlineStr">
        <is>
          <t>Not Specified</t>
        </is>
      </c>
      <c r="I336" t="inlineStr">
        <is>
          <t>605384009</t>
        </is>
      </c>
      <c r="K336" t="inlineStr">
        <is>
          <t>VUZ84JZ1C</t>
        </is>
      </c>
      <c r="M336" t="inlineStr">
        <is>
          <t>17/12/2025</t>
        </is>
      </c>
      <c r="R336" t="inlineStr">
        <is>
          <t>Hourly</t>
        </is>
      </c>
      <c r="X336" t="inlineStr">
        <is>
          <t>21.5</t>
        </is>
      </c>
      <c r="AF336" t="inlineStr">
        <is>
          <t>Non-exempt</t>
        </is>
      </c>
      <c r="AI336" t="inlineStr">
        <is>
          <t>awalker.remson@gmail.com</t>
        </is>
      </c>
      <c r="AJ336" t="inlineStr">
        <is>
          <t>awalker.remson@gmail.com</t>
        </is>
      </c>
      <c r="AL336" t="inlineStr">
        <is>
          <t>6100 Cortaderia St NE</t>
        </is>
      </c>
      <c r="AM336" t="inlineStr">
        <is>
          <t>apt 3326</t>
        </is>
      </c>
      <c r="AN336" t="inlineStr">
        <is>
          <t>Albuquerque</t>
        </is>
      </c>
      <c r="AO336" t="inlineStr">
        <is>
          <t>87111</t>
        </is>
      </c>
      <c r="AP336" t="inlineStr">
        <is>
          <t>NM</t>
        </is>
      </c>
      <c r="AR336" t="inlineStr">
        <is>
          <t>6100 Cortaderia St NE</t>
        </is>
      </c>
      <c r="AS336" t="inlineStr">
        <is>
          <t>apt 3326</t>
        </is>
      </c>
      <c r="AT336" t="inlineStr">
        <is>
          <t>Albuquerque</t>
        </is>
      </c>
      <c r="AU336" t="inlineStr">
        <is>
          <t>87111</t>
        </is>
      </c>
      <c r="AV336" t="inlineStr">
        <is>
          <t>NM</t>
        </is>
      </c>
      <c r="BB336" t="inlineStr">
        <is>
          <t>17/12/2025</t>
        </is>
      </c>
      <c r="BD336" t="inlineStr">
        <is>
          <t>Z4Y55Y33Y</t>
        </is>
      </c>
    </row>
    <row r="337" ht="15" customHeight="1" s="86">
      <c r="C337" t="inlineStr">
        <is>
          <t>Alexander</t>
        </is>
      </c>
      <c r="D337" t="inlineStr">
        <is>
          <t>N</t>
        </is>
      </c>
      <c r="E337" t="inlineStr">
        <is>
          <t>Walker</t>
        </is>
      </c>
      <c r="G337" t="inlineStr">
        <is>
          <t>28/06/1990</t>
        </is>
      </c>
      <c r="H337" t="inlineStr">
        <is>
          <t>Not Specified</t>
        </is>
      </c>
      <c r="I337" t="inlineStr">
        <is>
          <t>605384009</t>
        </is>
      </c>
      <c r="K337" t="inlineStr">
        <is>
          <t>VUZ84JZ1C</t>
        </is>
      </c>
      <c r="M337" t="inlineStr">
        <is>
          <t>17/12/2025</t>
        </is>
      </c>
      <c r="N337" t="inlineStr">
        <is>
          <t>30/01/2026</t>
        </is>
      </c>
      <c r="R337" t="inlineStr">
        <is>
          <t>Hourly</t>
        </is>
      </c>
      <c r="X337" t="inlineStr">
        <is>
          <t>21.5</t>
        </is>
      </c>
      <c r="AF337" t="inlineStr">
        <is>
          <t>Non-exempt</t>
        </is>
      </c>
      <c r="AI337" t="inlineStr">
        <is>
          <t>awalker.remson@gmail.com</t>
        </is>
      </c>
      <c r="AJ337" t="inlineStr">
        <is>
          <t>awalker.remson@gmail.com</t>
        </is>
      </c>
      <c r="AL337" t="inlineStr">
        <is>
          <t>6100 Cortaderia St NE</t>
        </is>
      </c>
      <c r="AM337" t="inlineStr">
        <is>
          <t>apt 3326</t>
        </is>
      </c>
      <c r="AN337" t="inlineStr">
        <is>
          <t>Albuquerque</t>
        </is>
      </c>
      <c r="AO337" t="inlineStr">
        <is>
          <t>87111</t>
        </is>
      </c>
      <c r="AP337" t="inlineStr">
        <is>
          <t>NM</t>
        </is>
      </c>
      <c r="AR337" t="inlineStr">
        <is>
          <t>6100 Cortaderia St NE</t>
        </is>
      </c>
      <c r="AS337" t="inlineStr">
        <is>
          <t>apt 3326</t>
        </is>
      </c>
      <c r="AT337" t="inlineStr">
        <is>
          <t>Albuquerque</t>
        </is>
      </c>
      <c r="AU337" t="inlineStr">
        <is>
          <t>87111</t>
        </is>
      </c>
      <c r="AV337" t="inlineStr">
        <is>
          <t>NM</t>
        </is>
      </c>
      <c r="BB337" t="inlineStr">
        <is>
          <t>17/12/2025</t>
        </is>
      </c>
      <c r="BD337" t="inlineStr">
        <is>
          <t>Z4Y55Y33Y</t>
        </is>
      </c>
    </row>
    <row r="338" ht="15" customHeight="1" s="86">
      <c r="C338" t="inlineStr">
        <is>
          <t>Micah</t>
        </is>
      </c>
      <c r="E338" t="inlineStr">
        <is>
          <t>Kennedy</t>
        </is>
      </c>
      <c r="G338" t="inlineStr">
        <is>
          <t>03/05/1997</t>
        </is>
      </c>
      <c r="H338" t="inlineStr">
        <is>
          <t>Male</t>
        </is>
      </c>
      <c r="I338" t="inlineStr">
        <is>
          <t>648124916</t>
        </is>
      </c>
      <c r="J338" t="inlineStr">
        <is>
          <t>No</t>
        </is>
      </c>
      <c r="K338" t="inlineStr">
        <is>
          <t>VV9QIDPXO</t>
        </is>
      </c>
      <c r="M338" t="inlineStr">
        <is>
          <t>24/11/2024</t>
        </is>
      </c>
      <c r="N338" t="inlineStr">
        <is>
          <t>24/05/2025</t>
        </is>
      </c>
      <c r="R338" t="inlineStr">
        <is>
          <t>Hourly</t>
        </is>
      </c>
      <c r="X338" t="inlineStr">
        <is>
          <t>41.3</t>
        </is>
      </c>
      <c r="AF338" t="inlineStr">
        <is>
          <t>Non-exempt</t>
        </is>
      </c>
      <c r="AI338" t="inlineStr">
        <is>
          <t>mkenndy.remson@gmail.com</t>
        </is>
      </c>
      <c r="AJ338" t="inlineStr">
        <is>
          <t>mkenndy.remson@gmail.com</t>
        </is>
      </c>
      <c r="AL338" t="inlineStr">
        <is>
          <t>6001 Montano Rd Nw</t>
        </is>
      </c>
      <c r="AM338" t="inlineStr">
        <is>
          <t>Unit 15</t>
        </is>
      </c>
      <c r="AN338" t="inlineStr">
        <is>
          <t>Albuquerque</t>
        </is>
      </c>
      <c r="AO338" t="inlineStr">
        <is>
          <t>87120</t>
        </is>
      </c>
      <c r="AP338" t="inlineStr">
        <is>
          <t>NM</t>
        </is>
      </c>
      <c r="AR338" t="inlineStr">
        <is>
          <t>6001 Montano Rd Nw</t>
        </is>
      </c>
      <c r="AS338" t="inlineStr">
        <is>
          <t>Unit 15</t>
        </is>
      </c>
      <c r="AT338" t="inlineStr">
        <is>
          <t>Albuquerque</t>
        </is>
      </c>
      <c r="AU338" t="inlineStr">
        <is>
          <t>87120</t>
        </is>
      </c>
      <c r="AV338" t="inlineStr">
        <is>
          <t>NM</t>
        </is>
      </c>
      <c r="BB338" t="inlineStr">
        <is>
          <t>24/11/2024</t>
        </is>
      </c>
    </row>
    <row r="339" ht="15" customHeight="1" s="86">
      <c r="C339" t="inlineStr">
        <is>
          <t>Michael</t>
        </is>
      </c>
      <c r="E339" t="inlineStr">
        <is>
          <t>Chavez</t>
        </is>
      </c>
      <c r="G339" t="inlineStr">
        <is>
          <t>20/06/2002</t>
        </is>
      </c>
      <c r="H339" t="inlineStr">
        <is>
          <t>Male</t>
        </is>
      </c>
      <c r="I339" t="inlineStr">
        <is>
          <t>648288874</t>
        </is>
      </c>
      <c r="J339" t="inlineStr">
        <is>
          <t>No</t>
        </is>
      </c>
      <c r="K339" t="inlineStr">
        <is>
          <t>VXY307Q9V</t>
        </is>
      </c>
      <c r="M339" t="inlineStr">
        <is>
          <t>26/10/2024</t>
        </is>
      </c>
      <c r="N339" t="inlineStr">
        <is>
          <t>03/02/2025</t>
        </is>
      </c>
      <c r="R339" t="inlineStr">
        <is>
          <t>Hourly</t>
        </is>
      </c>
      <c r="X339" t="inlineStr">
        <is>
          <t>41</t>
        </is>
      </c>
      <c r="AF339" t="inlineStr">
        <is>
          <t>Non-exempt</t>
        </is>
      </c>
      <c r="AI339" t="inlineStr">
        <is>
          <t>chavezm.remson@gmail.com</t>
        </is>
      </c>
      <c r="AJ339" t="inlineStr">
        <is>
          <t>chavezm.remson@gmail.com</t>
        </is>
      </c>
      <c r="AL339" t="inlineStr">
        <is>
          <t>5412 Alvarado Pl Ne</t>
        </is>
      </c>
      <c r="AN339" t="inlineStr">
        <is>
          <t>Albuquerque</t>
        </is>
      </c>
      <c r="AO339" t="inlineStr">
        <is>
          <t>87110</t>
        </is>
      </c>
      <c r="AP339" t="inlineStr">
        <is>
          <t>NM</t>
        </is>
      </c>
      <c r="AR339" t="inlineStr">
        <is>
          <t>5412 Alvarado Pl Ne</t>
        </is>
      </c>
      <c r="AT339" t="inlineStr">
        <is>
          <t>Albuquerque</t>
        </is>
      </c>
      <c r="AU339" t="inlineStr">
        <is>
          <t>87110</t>
        </is>
      </c>
      <c r="AV339" t="inlineStr">
        <is>
          <t>NM</t>
        </is>
      </c>
      <c r="BB339" t="inlineStr">
        <is>
          <t>29/03/2024</t>
        </is>
      </c>
    </row>
    <row r="340" ht="15" customHeight="1" s="86">
      <c r="C340" t="inlineStr">
        <is>
          <t>Justin</t>
        </is>
      </c>
      <c r="D340" t="inlineStr">
        <is>
          <t>R</t>
        </is>
      </c>
      <c r="E340" t="inlineStr">
        <is>
          <t>Watts</t>
        </is>
      </c>
      <c r="G340" t="inlineStr">
        <is>
          <t>18/06/1993</t>
        </is>
      </c>
      <c r="H340" t="inlineStr">
        <is>
          <t>Not Specified</t>
        </is>
      </c>
      <c r="I340" t="inlineStr">
        <is>
          <t>585990160</t>
        </is>
      </c>
      <c r="K340" t="inlineStr">
        <is>
          <t>WFPKYGXPO</t>
        </is>
      </c>
      <c r="M340" t="inlineStr">
        <is>
          <t>10/03/2025</t>
        </is>
      </c>
      <c r="R340" t="inlineStr">
        <is>
          <t>Hourly</t>
        </is>
      </c>
      <c r="X340" t="inlineStr">
        <is>
          <t>21.65</t>
        </is>
      </c>
      <c r="AF340" t="inlineStr">
        <is>
          <t>Non-exempt</t>
        </is>
      </c>
      <c r="AJ340" t="inlineStr">
        <is>
          <t>jwatts.remson@gmail.com</t>
        </is>
      </c>
      <c r="AL340" t="inlineStr">
        <is>
          <t>847 Molten Place Northwest</t>
        </is>
      </c>
      <c r="AN340" t="inlineStr">
        <is>
          <t>Albuquerque</t>
        </is>
      </c>
      <c r="AO340" t="inlineStr">
        <is>
          <t>87120</t>
        </is>
      </c>
      <c r="AP340" t="inlineStr">
        <is>
          <t>NM</t>
        </is>
      </c>
      <c r="AR340" t="inlineStr">
        <is>
          <t>847 Molten Place Northwest</t>
        </is>
      </c>
      <c r="AT340" t="inlineStr">
        <is>
          <t>Albuquerque</t>
        </is>
      </c>
      <c r="AU340" t="inlineStr">
        <is>
          <t>87120</t>
        </is>
      </c>
      <c r="AV340" t="inlineStr">
        <is>
          <t>NM</t>
        </is>
      </c>
      <c r="BB340" t="inlineStr">
        <is>
          <t>10/03/2025</t>
        </is>
      </c>
    </row>
    <row r="341" ht="15" customHeight="1" s="86">
      <c r="C341" t="inlineStr">
        <is>
          <t>Justin</t>
        </is>
      </c>
      <c r="D341" t="inlineStr">
        <is>
          <t>R</t>
        </is>
      </c>
      <c r="E341" t="inlineStr">
        <is>
          <t>Watts</t>
        </is>
      </c>
      <c r="G341" t="inlineStr">
        <is>
          <t>18/06/1993</t>
        </is>
      </c>
      <c r="H341" t="inlineStr">
        <is>
          <t>Not Specified</t>
        </is>
      </c>
      <c r="I341" t="inlineStr">
        <is>
          <t>585990160</t>
        </is>
      </c>
      <c r="K341" t="inlineStr">
        <is>
          <t>WFPKYGXPO</t>
        </is>
      </c>
      <c r="M341" t="inlineStr">
        <is>
          <t>10/03/2025</t>
        </is>
      </c>
      <c r="N341" t="inlineStr">
        <is>
          <t>09/12/2025</t>
        </is>
      </c>
      <c r="R341" t="inlineStr">
        <is>
          <t>Hourly</t>
        </is>
      </c>
      <c r="X341" t="inlineStr">
        <is>
          <t>21.65</t>
        </is>
      </c>
      <c r="AF341" t="inlineStr">
        <is>
          <t>Non-exempt</t>
        </is>
      </c>
      <c r="AJ341" t="inlineStr">
        <is>
          <t>jwatts.remson@gmail.com</t>
        </is>
      </c>
      <c r="AL341" t="inlineStr">
        <is>
          <t>847 Molten Place Northwest</t>
        </is>
      </c>
      <c r="AN341" t="inlineStr">
        <is>
          <t>Albuquerque</t>
        </is>
      </c>
      <c r="AO341" t="inlineStr">
        <is>
          <t>87120</t>
        </is>
      </c>
      <c r="AP341" t="inlineStr">
        <is>
          <t>NM</t>
        </is>
      </c>
      <c r="AR341" t="inlineStr">
        <is>
          <t>847 Molten Place Northwest</t>
        </is>
      </c>
      <c r="AT341" t="inlineStr">
        <is>
          <t>Albuquerque</t>
        </is>
      </c>
      <c r="AU341" t="inlineStr">
        <is>
          <t>87120</t>
        </is>
      </c>
      <c r="AV341" t="inlineStr">
        <is>
          <t>NM</t>
        </is>
      </c>
      <c r="BB341" t="inlineStr">
        <is>
          <t>10/03/2025</t>
        </is>
      </c>
      <c r="BD341" t="inlineStr">
        <is>
          <t>Z4Y55Y33Y</t>
        </is>
      </c>
    </row>
    <row r="342" ht="15" customHeight="1" s="86">
      <c r="C342" t="inlineStr">
        <is>
          <t>Damien</t>
        </is>
      </c>
      <c r="E342" t="inlineStr">
        <is>
          <t>Padilla</t>
        </is>
      </c>
      <c r="G342" t="inlineStr">
        <is>
          <t>08/07/1997</t>
        </is>
      </c>
      <c r="H342" t="inlineStr">
        <is>
          <t>Not Specified</t>
        </is>
      </c>
      <c r="I342" t="inlineStr">
        <is>
          <t>648129855</t>
        </is>
      </c>
      <c r="K342" t="inlineStr">
        <is>
          <t>WGDBQNJXQ</t>
        </is>
      </c>
      <c r="M342" t="inlineStr">
        <is>
          <t>23/10/2025</t>
        </is>
      </c>
      <c r="R342" t="inlineStr">
        <is>
          <t>Hourly</t>
        </is>
      </c>
      <c r="X342" t="inlineStr">
        <is>
          <t>21.5</t>
        </is>
      </c>
      <c r="AF342" t="inlineStr">
        <is>
          <t>Non-exempt</t>
        </is>
      </c>
      <c r="AI342" t="inlineStr">
        <is>
          <t>dapadilla.remson@gmail.com</t>
        </is>
      </c>
      <c r="AJ342" t="inlineStr">
        <is>
          <t>dapadilla.remson@gmail.com</t>
        </is>
      </c>
      <c r="AL342" t="inlineStr">
        <is>
          <t>1927 Tapia Boulevard Southwest</t>
        </is>
      </c>
      <c r="AN342" t="inlineStr">
        <is>
          <t>Albuquerque</t>
        </is>
      </c>
      <c r="AO342" t="inlineStr">
        <is>
          <t>87105</t>
        </is>
      </c>
      <c r="AP342" t="inlineStr">
        <is>
          <t>NM</t>
        </is>
      </c>
      <c r="AR342" t="inlineStr">
        <is>
          <t>1927 Tapia Boulevard Southwest</t>
        </is>
      </c>
      <c r="AT342" t="inlineStr">
        <is>
          <t>Albuquerque</t>
        </is>
      </c>
      <c r="AU342" t="inlineStr">
        <is>
          <t>87105</t>
        </is>
      </c>
      <c r="AV342" t="inlineStr">
        <is>
          <t>NM</t>
        </is>
      </c>
      <c r="BB342" t="inlineStr">
        <is>
          <t>23/10/2025</t>
        </is>
      </c>
    </row>
    <row r="343" ht="15" customHeight="1" s="86">
      <c r="C343" t="inlineStr">
        <is>
          <t>Damien</t>
        </is>
      </c>
      <c r="E343" t="inlineStr">
        <is>
          <t>Padilla</t>
        </is>
      </c>
      <c r="G343" t="inlineStr">
        <is>
          <t>08/07/1997</t>
        </is>
      </c>
      <c r="H343" t="inlineStr">
        <is>
          <t>Not Specified</t>
        </is>
      </c>
      <c r="I343" t="inlineStr">
        <is>
          <t>648129855</t>
        </is>
      </c>
      <c r="K343" t="inlineStr">
        <is>
          <t>WGDBQNJXQ</t>
        </is>
      </c>
      <c r="M343" t="inlineStr">
        <is>
          <t>23/10/2025</t>
        </is>
      </c>
      <c r="N343" t="inlineStr">
        <is>
          <t>08/12/2025</t>
        </is>
      </c>
      <c r="R343" t="inlineStr">
        <is>
          <t>Hourly</t>
        </is>
      </c>
      <c r="X343" t="inlineStr">
        <is>
          <t>21.5</t>
        </is>
      </c>
      <c r="AF343" t="inlineStr">
        <is>
          <t>Non-exempt</t>
        </is>
      </c>
      <c r="AI343" t="inlineStr">
        <is>
          <t>dapadilla.remson@gmail.com</t>
        </is>
      </c>
      <c r="AJ343" t="inlineStr">
        <is>
          <t>dapadilla.remson@gmail.com</t>
        </is>
      </c>
      <c r="AL343" t="inlineStr">
        <is>
          <t>1927 Tapia Boulevard Southwest</t>
        </is>
      </c>
      <c r="AN343" t="inlineStr">
        <is>
          <t>Albuquerque</t>
        </is>
      </c>
      <c r="AO343" t="inlineStr">
        <is>
          <t>87105</t>
        </is>
      </c>
      <c r="AP343" t="inlineStr">
        <is>
          <t>NM</t>
        </is>
      </c>
      <c r="AR343" t="inlineStr">
        <is>
          <t>1927 Tapia Boulevard Southwest</t>
        </is>
      </c>
      <c r="AT343" t="inlineStr">
        <is>
          <t>Albuquerque</t>
        </is>
      </c>
      <c r="AU343" t="inlineStr">
        <is>
          <t>87105</t>
        </is>
      </c>
      <c r="AV343" t="inlineStr">
        <is>
          <t>NM</t>
        </is>
      </c>
      <c r="BB343" t="inlineStr">
        <is>
          <t>23/10/2025</t>
        </is>
      </c>
      <c r="BD343" t="inlineStr">
        <is>
          <t>Z4Y55Y33Y</t>
        </is>
      </c>
    </row>
    <row r="344" ht="15" customHeight="1" s="86">
      <c r="C344" t="inlineStr">
        <is>
          <t>Juan</t>
        </is>
      </c>
      <c r="D344" t="inlineStr">
        <is>
          <t>A</t>
        </is>
      </c>
      <c r="E344" t="inlineStr">
        <is>
          <t>Gonzalez</t>
        </is>
      </c>
      <c r="G344" t="inlineStr">
        <is>
          <t>20/06/1997</t>
        </is>
      </c>
      <c r="H344" t="inlineStr">
        <is>
          <t>Not Specified</t>
        </is>
      </c>
      <c r="I344" t="inlineStr">
        <is>
          <t>608983125</t>
        </is>
      </c>
      <c r="K344" t="inlineStr">
        <is>
          <t>WLEWWTUZT</t>
        </is>
      </c>
      <c r="M344" t="inlineStr">
        <is>
          <t>02/01/2026</t>
        </is>
      </c>
      <c r="R344" t="inlineStr">
        <is>
          <t>Hourly</t>
        </is>
      </c>
      <c r="X344" t="inlineStr">
        <is>
          <t>21.5</t>
        </is>
      </c>
      <c r="AF344" t="inlineStr">
        <is>
          <t>Non-exempt</t>
        </is>
      </c>
      <c r="AI344" t="inlineStr">
        <is>
          <t>jugonzalez.remson@gmail.com</t>
        </is>
      </c>
      <c r="AJ344" t="inlineStr">
        <is>
          <t>jugonzalez.remson@gmail.com</t>
        </is>
      </c>
      <c r="AL344" t="inlineStr">
        <is>
          <t>9015 Skylight Avenue Southwest</t>
        </is>
      </c>
      <c r="AN344" t="inlineStr">
        <is>
          <t>Albuquerque</t>
        </is>
      </c>
      <c r="AO344" t="inlineStr">
        <is>
          <t>87121</t>
        </is>
      </c>
      <c r="AP344" t="inlineStr">
        <is>
          <t>NM</t>
        </is>
      </c>
      <c r="AR344" t="inlineStr">
        <is>
          <t>9015 Skylight Avenue Southwest</t>
        </is>
      </c>
      <c r="AT344" t="inlineStr">
        <is>
          <t>Albuquerque</t>
        </is>
      </c>
      <c r="AU344" t="inlineStr">
        <is>
          <t>87121</t>
        </is>
      </c>
      <c r="AV344" t="inlineStr">
        <is>
          <t>NM</t>
        </is>
      </c>
      <c r="BB344" t="inlineStr">
        <is>
          <t>02/01/2026</t>
        </is>
      </c>
      <c r="BD344" t="inlineStr">
        <is>
          <t>Z4Y55Y33Y</t>
        </is>
      </c>
    </row>
    <row r="345" ht="15" customHeight="1" s="86">
      <c r="C345" t="inlineStr">
        <is>
          <t>Michael</t>
        </is>
      </c>
      <c r="E345" t="inlineStr">
        <is>
          <t>Petersen</t>
        </is>
      </c>
      <c r="G345" t="inlineStr">
        <is>
          <t>09/06/1989</t>
        </is>
      </c>
      <c r="H345" t="inlineStr">
        <is>
          <t>Male</t>
        </is>
      </c>
      <c r="I345" t="inlineStr">
        <is>
          <t>252776777</t>
        </is>
      </c>
      <c r="J345" t="inlineStr">
        <is>
          <t>No</t>
        </is>
      </c>
      <c r="K345" t="inlineStr">
        <is>
          <t>WLFM0TX42</t>
        </is>
      </c>
      <c r="M345" t="inlineStr">
        <is>
          <t>26/10/2023</t>
        </is>
      </c>
      <c r="N345" t="inlineStr">
        <is>
          <t>23/08/2025</t>
        </is>
      </c>
      <c r="R345" t="inlineStr">
        <is>
          <t>Hourly</t>
        </is>
      </c>
      <c r="X345" t="inlineStr">
        <is>
          <t>42.68</t>
        </is>
      </c>
      <c r="AF345" t="inlineStr">
        <is>
          <t>Non-exempt</t>
        </is>
      </c>
      <c r="AI345" t="inlineStr">
        <is>
          <t>michael_petersen1989@yahoo.com</t>
        </is>
      </c>
      <c r="AJ345" t="inlineStr">
        <is>
          <t>mpetersen.remson@gmail.com</t>
        </is>
      </c>
      <c r="AL345" t="inlineStr">
        <is>
          <t>7605 Sandlewood Dr Nw</t>
        </is>
      </c>
      <c r="AN345" t="inlineStr">
        <is>
          <t>Albuquerque</t>
        </is>
      </c>
      <c r="AO345" t="inlineStr">
        <is>
          <t>87120</t>
        </is>
      </c>
      <c r="AP345" t="inlineStr">
        <is>
          <t>NM</t>
        </is>
      </c>
      <c r="AR345" t="inlineStr">
        <is>
          <t>7605 Sandlewood Dr Nw</t>
        </is>
      </c>
      <c r="AT345" t="inlineStr">
        <is>
          <t>Albuquerque</t>
        </is>
      </c>
      <c r="AU345" t="inlineStr">
        <is>
          <t>87120</t>
        </is>
      </c>
      <c r="AV345" t="inlineStr">
        <is>
          <t>NM</t>
        </is>
      </c>
      <c r="BB345" t="inlineStr">
        <is>
          <t>26/10/2023</t>
        </is>
      </c>
      <c r="BD345" t="inlineStr">
        <is>
          <t>DZWKT8LKB</t>
        </is>
      </c>
    </row>
    <row r="346" ht="15" customHeight="1" s="86">
      <c r="C346" t="inlineStr">
        <is>
          <t>Fernando</t>
        </is>
      </c>
      <c r="D346" t="inlineStr">
        <is>
          <t>E</t>
        </is>
      </c>
      <c r="E346" t="inlineStr">
        <is>
          <t>Barrios</t>
        </is>
      </c>
      <c r="G346" t="inlineStr">
        <is>
          <t>31/05/2000</t>
        </is>
      </c>
      <c r="H346" t="inlineStr">
        <is>
          <t>Not Specified</t>
        </is>
      </c>
      <c r="I346" t="inlineStr">
        <is>
          <t>648221331</t>
        </is>
      </c>
      <c r="K346" t="inlineStr">
        <is>
          <t>X4FRVUHKU</t>
        </is>
      </c>
      <c r="M346" t="inlineStr">
        <is>
          <t>20/03/2025</t>
        </is>
      </c>
      <c r="N346" t="inlineStr">
        <is>
          <t>27/05/2025</t>
        </is>
      </c>
      <c r="R346" t="inlineStr">
        <is>
          <t>Hourly</t>
        </is>
      </c>
      <c r="X346" t="inlineStr">
        <is>
          <t>41</t>
        </is>
      </c>
      <c r="AF346" t="inlineStr">
        <is>
          <t>Non-exempt</t>
        </is>
      </c>
      <c r="AI346" t="inlineStr">
        <is>
          <t>fbarrios.remson@gmail.com</t>
        </is>
      </c>
      <c r="AJ346" t="inlineStr">
        <is>
          <t>fbarrios.remson@gmail.com</t>
        </is>
      </c>
      <c r="AL346" t="inlineStr">
        <is>
          <t>520 High Street Southeast</t>
        </is>
      </c>
      <c r="AN346" t="inlineStr">
        <is>
          <t>Albuquerque</t>
        </is>
      </c>
      <c r="AO346" t="inlineStr">
        <is>
          <t>87102</t>
        </is>
      </c>
      <c r="AP346" t="inlineStr">
        <is>
          <t>NM</t>
        </is>
      </c>
      <c r="AR346" t="inlineStr">
        <is>
          <t>520 High Street Southeast</t>
        </is>
      </c>
      <c r="AT346" t="inlineStr">
        <is>
          <t>Albuquerque</t>
        </is>
      </c>
      <c r="AU346" t="inlineStr">
        <is>
          <t>87102</t>
        </is>
      </c>
      <c r="AV346" t="inlineStr">
        <is>
          <t>NM</t>
        </is>
      </c>
      <c r="BB346" t="inlineStr">
        <is>
          <t>20/03/2025</t>
        </is>
      </c>
      <c r="BD346" t="inlineStr">
        <is>
          <t>DZWKT8LKB</t>
        </is>
      </c>
    </row>
    <row r="347" ht="15" customHeight="1" s="86">
      <c r="C347" t="inlineStr">
        <is>
          <t>Monica</t>
        </is>
      </c>
      <c r="E347" t="inlineStr">
        <is>
          <t>Gutierrez</t>
        </is>
      </c>
      <c r="G347" t="inlineStr">
        <is>
          <t>27/02/1978</t>
        </is>
      </c>
      <c r="H347" t="inlineStr">
        <is>
          <t>Female</t>
        </is>
      </c>
      <c r="I347" t="inlineStr">
        <is>
          <t>585697509</t>
        </is>
      </c>
      <c r="J347" t="inlineStr">
        <is>
          <t>No</t>
        </is>
      </c>
      <c r="K347" t="inlineStr">
        <is>
          <t>XC4ZAPLI1</t>
        </is>
      </c>
      <c r="M347" t="inlineStr">
        <is>
          <t>01/09/2024</t>
        </is>
      </c>
      <c r="N347" t="inlineStr">
        <is>
          <t>13/04/2025</t>
        </is>
      </c>
      <c r="R347" t="inlineStr">
        <is>
          <t>Hourly</t>
        </is>
      </c>
      <c r="X347" t="inlineStr">
        <is>
          <t>41.6</t>
        </is>
      </c>
      <c r="AF347" t="inlineStr">
        <is>
          <t>Non-exempt</t>
        </is>
      </c>
      <c r="AI347" t="inlineStr">
        <is>
          <t>mgutierrez2.remson@gmail.com</t>
        </is>
      </c>
      <c r="AJ347" t="inlineStr">
        <is>
          <t>monica11119@outlook.com</t>
        </is>
      </c>
      <c r="AL347" t="inlineStr">
        <is>
          <t>310 Indian School Rd Ne</t>
        </is>
      </c>
      <c r="AM347" t="inlineStr">
        <is>
          <t>Apt 227</t>
        </is>
      </c>
      <c r="AN347" t="inlineStr">
        <is>
          <t>Albuquerque</t>
        </is>
      </c>
      <c r="AO347" t="inlineStr">
        <is>
          <t>87102</t>
        </is>
      </c>
      <c r="AP347" t="inlineStr">
        <is>
          <t>NM</t>
        </is>
      </c>
      <c r="AR347" t="inlineStr">
        <is>
          <t>310 Indian School Rd Ne</t>
        </is>
      </c>
      <c r="AS347" t="inlineStr">
        <is>
          <t>Apt 227</t>
        </is>
      </c>
      <c r="AT347" t="inlineStr">
        <is>
          <t>Albuquerque</t>
        </is>
      </c>
      <c r="AU347" t="inlineStr">
        <is>
          <t>87102</t>
        </is>
      </c>
      <c r="AV347" t="inlineStr">
        <is>
          <t>NM</t>
        </is>
      </c>
      <c r="BB347" t="inlineStr">
        <is>
          <t>01/09/2024</t>
        </is>
      </c>
    </row>
    <row r="348" ht="15" customHeight="1" s="86">
      <c r="C348" t="inlineStr">
        <is>
          <t>George</t>
        </is>
      </c>
      <c r="E348" t="inlineStr">
        <is>
          <t>Ventura</t>
        </is>
      </c>
      <c r="G348" t="inlineStr">
        <is>
          <t>30/10/2001</t>
        </is>
      </c>
      <c r="H348" t="inlineStr">
        <is>
          <t>Male</t>
        </is>
      </c>
      <c r="I348" t="inlineStr">
        <is>
          <t>648266634</t>
        </is>
      </c>
      <c r="J348" t="inlineStr">
        <is>
          <t>No</t>
        </is>
      </c>
      <c r="K348" t="inlineStr">
        <is>
          <t>XISCEXBPE</t>
        </is>
      </c>
      <c r="M348" t="inlineStr">
        <is>
          <t>09/01/2025</t>
        </is>
      </c>
      <c r="N348" t="inlineStr">
        <is>
          <t>22/02/2025</t>
        </is>
      </c>
      <c r="R348" t="inlineStr">
        <is>
          <t>Hourly</t>
        </is>
      </c>
      <c r="X348" t="inlineStr">
        <is>
          <t>41</t>
        </is>
      </c>
      <c r="AF348" t="inlineStr">
        <is>
          <t>Non-exempt</t>
        </is>
      </c>
      <c r="AI348" t="inlineStr">
        <is>
          <t>venturag1.remson@gmail.com</t>
        </is>
      </c>
      <c r="AJ348" t="inlineStr">
        <is>
          <t>venturag1.remson@gmail.com</t>
        </is>
      </c>
      <c r="AL348" t="inlineStr">
        <is>
          <t>1Lina Lane</t>
        </is>
      </c>
      <c r="AN348" t="inlineStr">
        <is>
          <t>Los Lunas</t>
        </is>
      </c>
      <c r="AO348" t="inlineStr">
        <is>
          <t>87031</t>
        </is>
      </c>
      <c r="AP348" t="inlineStr">
        <is>
          <t>NM</t>
        </is>
      </c>
      <c r="AR348" t="inlineStr">
        <is>
          <t>1Lina Lane</t>
        </is>
      </c>
      <c r="AT348" t="inlineStr">
        <is>
          <t>Los Lunas</t>
        </is>
      </c>
      <c r="AU348" t="inlineStr">
        <is>
          <t>87031</t>
        </is>
      </c>
      <c r="AV348" t="inlineStr">
        <is>
          <t>NM</t>
        </is>
      </c>
      <c r="BB348" t="inlineStr">
        <is>
          <t>23/07/2024</t>
        </is>
      </c>
    </row>
    <row r="349" ht="15" customHeight="1" s="86">
      <c r="C349" t="inlineStr">
        <is>
          <t>Angelique</t>
        </is>
      </c>
      <c r="D349" t="inlineStr">
        <is>
          <t>B</t>
        </is>
      </c>
      <c r="E349" t="inlineStr">
        <is>
          <t>Chavez</t>
        </is>
      </c>
      <c r="G349" t="inlineStr">
        <is>
          <t>04/09/1996</t>
        </is>
      </c>
      <c r="H349" t="inlineStr">
        <is>
          <t>Not Specified</t>
        </is>
      </c>
      <c r="I349" t="inlineStr">
        <is>
          <t>646325524</t>
        </is>
      </c>
      <c r="K349" t="inlineStr">
        <is>
          <t>XKNSWQD3G</t>
        </is>
      </c>
      <c r="M349" t="inlineStr">
        <is>
          <t>10/10/2025</t>
        </is>
      </c>
      <c r="R349" t="inlineStr">
        <is>
          <t>Hourly</t>
        </is>
      </c>
      <c r="X349" t="inlineStr">
        <is>
          <t>21.5</t>
        </is>
      </c>
      <c r="AF349" t="inlineStr">
        <is>
          <t>Non-exempt</t>
        </is>
      </c>
      <c r="AI349" t="inlineStr">
        <is>
          <t>a.chavez.remson4@gmail.com</t>
        </is>
      </c>
      <c r="AJ349" t="inlineStr">
        <is>
          <t>a.chavez.remson4@gmail.com</t>
        </is>
      </c>
      <c r="AL349" t="inlineStr">
        <is>
          <t>3425 Eastern Avenue SE</t>
        </is>
      </c>
      <c r="AN349" t="inlineStr">
        <is>
          <t>Albuquerque</t>
        </is>
      </c>
      <c r="AO349" t="inlineStr">
        <is>
          <t>87106</t>
        </is>
      </c>
      <c r="AP349" t="inlineStr">
        <is>
          <t>NM</t>
        </is>
      </c>
      <c r="AR349" t="inlineStr">
        <is>
          <t>3425 Eastern Avenue SE</t>
        </is>
      </c>
      <c r="AT349" t="inlineStr">
        <is>
          <t>Albuquerque</t>
        </is>
      </c>
      <c r="AU349" t="inlineStr">
        <is>
          <t>87106</t>
        </is>
      </c>
      <c r="AV349" t="inlineStr">
        <is>
          <t>NM</t>
        </is>
      </c>
      <c r="BB349" t="inlineStr">
        <is>
          <t>10/10/2025</t>
        </is>
      </c>
    </row>
    <row r="350" ht="15" customHeight="1" s="86">
      <c r="C350" t="inlineStr">
        <is>
          <t>Angelique</t>
        </is>
      </c>
      <c r="D350" t="inlineStr">
        <is>
          <t>B</t>
        </is>
      </c>
      <c r="E350" t="inlineStr">
        <is>
          <t>Chavez</t>
        </is>
      </c>
      <c r="G350" t="inlineStr">
        <is>
          <t>04/09/1996</t>
        </is>
      </c>
      <c r="H350" t="inlineStr">
        <is>
          <t>Not Specified</t>
        </is>
      </c>
      <c r="I350" t="inlineStr">
        <is>
          <t>646325524</t>
        </is>
      </c>
      <c r="K350" t="inlineStr">
        <is>
          <t>XKNSWQD3G</t>
        </is>
      </c>
      <c r="M350" t="inlineStr">
        <is>
          <t>10/10/2025</t>
        </is>
      </c>
      <c r="N350" t="inlineStr">
        <is>
          <t>08/12/2025</t>
        </is>
      </c>
      <c r="R350" t="inlineStr">
        <is>
          <t>Hourly</t>
        </is>
      </c>
      <c r="X350" t="inlineStr">
        <is>
          <t>21.5</t>
        </is>
      </c>
      <c r="AF350" t="inlineStr">
        <is>
          <t>Non-exempt</t>
        </is>
      </c>
      <c r="AI350" t="inlineStr">
        <is>
          <t>a.chavez.remson4@gmail.com</t>
        </is>
      </c>
      <c r="AJ350" t="inlineStr">
        <is>
          <t>a.chavez.remson4@gmail.com</t>
        </is>
      </c>
      <c r="AL350" t="inlineStr">
        <is>
          <t>3425 Eastern Avenue SE</t>
        </is>
      </c>
      <c r="AN350" t="inlineStr">
        <is>
          <t>Albuquerque</t>
        </is>
      </c>
      <c r="AO350" t="inlineStr">
        <is>
          <t>87106</t>
        </is>
      </c>
      <c r="AP350" t="inlineStr">
        <is>
          <t>NM</t>
        </is>
      </c>
      <c r="AR350" t="inlineStr">
        <is>
          <t>3425 Eastern Avenue SE</t>
        </is>
      </c>
      <c r="AT350" t="inlineStr">
        <is>
          <t>Albuquerque</t>
        </is>
      </c>
      <c r="AU350" t="inlineStr">
        <is>
          <t>87106</t>
        </is>
      </c>
      <c r="AV350" t="inlineStr">
        <is>
          <t>NM</t>
        </is>
      </c>
      <c r="BB350" t="inlineStr">
        <is>
          <t>10/10/2025</t>
        </is>
      </c>
      <c r="BD350" t="inlineStr">
        <is>
          <t>Z4Y55Y33Y</t>
        </is>
      </c>
    </row>
    <row r="351" ht="15" customHeight="1" s="86">
      <c r="C351" t="inlineStr">
        <is>
          <t>Jesus</t>
        </is>
      </c>
      <c r="D351" t="inlineStr">
        <is>
          <t>A</t>
        </is>
      </c>
      <c r="E351" t="inlineStr">
        <is>
          <t>Zavala Ortega</t>
        </is>
      </c>
      <c r="G351" t="inlineStr">
        <is>
          <t>19/07/1999</t>
        </is>
      </c>
      <c r="H351" t="inlineStr">
        <is>
          <t>Not Specified</t>
        </is>
      </c>
      <c r="I351" t="inlineStr">
        <is>
          <t>616318999</t>
        </is>
      </c>
      <c r="K351" t="inlineStr">
        <is>
          <t>XL7XOMHKE</t>
        </is>
      </c>
      <c r="M351" t="inlineStr">
        <is>
          <t>10/03/2025</t>
        </is>
      </c>
      <c r="N351" t="inlineStr">
        <is>
          <t>14/06/2025</t>
        </is>
      </c>
      <c r="R351" t="inlineStr">
        <is>
          <t>Hourly</t>
        </is>
      </c>
      <c r="X351" t="inlineStr">
        <is>
          <t>41</t>
        </is>
      </c>
      <c r="AF351" t="inlineStr">
        <is>
          <t>Non-exempt</t>
        </is>
      </c>
      <c r="AI351" t="inlineStr">
        <is>
          <t>jortega.remson@gmail.com</t>
        </is>
      </c>
      <c r="AJ351" t="inlineStr">
        <is>
          <t>jortega.remson@gmail.com</t>
        </is>
      </c>
      <c r="AL351" t="inlineStr">
        <is>
          <t>8215 Summerfield Court SW</t>
        </is>
      </c>
      <c r="AN351" t="inlineStr">
        <is>
          <t>Albuquerque</t>
        </is>
      </c>
      <c r="AO351" t="inlineStr">
        <is>
          <t>87121</t>
        </is>
      </c>
      <c r="AP351" t="inlineStr">
        <is>
          <t>NM</t>
        </is>
      </c>
      <c r="AR351" t="inlineStr">
        <is>
          <t>8215 Summerfield Court SW</t>
        </is>
      </c>
      <c r="AT351" t="inlineStr">
        <is>
          <t>Albuquerque</t>
        </is>
      </c>
      <c r="AU351" t="inlineStr">
        <is>
          <t>87121</t>
        </is>
      </c>
      <c r="AV351" t="inlineStr">
        <is>
          <t>NM</t>
        </is>
      </c>
      <c r="BB351" t="inlineStr">
        <is>
          <t>10/03/2025</t>
        </is>
      </c>
      <c r="BD351" t="inlineStr">
        <is>
          <t>DZWKT8LKB</t>
        </is>
      </c>
    </row>
    <row r="352" ht="15" customHeight="1" s="86">
      <c r="C352" t="inlineStr">
        <is>
          <t>Jimmy</t>
        </is>
      </c>
      <c r="D352" t="inlineStr">
        <is>
          <t>L</t>
        </is>
      </c>
      <c r="E352" t="inlineStr">
        <is>
          <t>Garris</t>
        </is>
      </c>
      <c r="G352" t="inlineStr">
        <is>
          <t>14/01/1981</t>
        </is>
      </c>
      <c r="H352" t="inlineStr">
        <is>
          <t>Not Specified</t>
        </is>
      </c>
      <c r="I352" t="inlineStr">
        <is>
          <t>240373903</t>
        </is>
      </c>
      <c r="K352" t="inlineStr">
        <is>
          <t>XYBT3FB2X</t>
        </is>
      </c>
      <c r="M352" t="inlineStr">
        <is>
          <t>18/09/2025</t>
        </is>
      </c>
      <c r="N352" t="inlineStr">
        <is>
          <t>08/12/2025</t>
        </is>
      </c>
      <c r="R352" t="inlineStr">
        <is>
          <t>Hourly</t>
        </is>
      </c>
      <c r="X352" t="inlineStr">
        <is>
          <t>43</t>
        </is>
      </c>
      <c r="AF352" t="inlineStr">
        <is>
          <t>Non-exempt</t>
        </is>
      </c>
      <c r="AJ352" t="inlineStr">
        <is>
          <t>jgarris.remson@gmail.com</t>
        </is>
      </c>
      <c r="AL352" t="inlineStr">
        <is>
          <t>1916 Alvarado Drive Northeast</t>
        </is>
      </c>
      <c r="AN352" t="inlineStr">
        <is>
          <t>Albuquerque</t>
        </is>
      </c>
      <c r="AO352" t="inlineStr">
        <is>
          <t>87110</t>
        </is>
      </c>
      <c r="AP352" t="inlineStr">
        <is>
          <t>NM</t>
        </is>
      </c>
      <c r="AR352" t="inlineStr">
        <is>
          <t>1916 Alvarado Drive Northeast</t>
        </is>
      </c>
      <c r="AT352" t="inlineStr">
        <is>
          <t>Albuquerque</t>
        </is>
      </c>
      <c r="AU352" t="inlineStr">
        <is>
          <t>87110</t>
        </is>
      </c>
      <c r="AV352" t="inlineStr">
        <is>
          <t>NM</t>
        </is>
      </c>
      <c r="BB352" t="inlineStr">
        <is>
          <t>18/09/2025</t>
        </is>
      </c>
      <c r="BD352" t="inlineStr">
        <is>
          <t>Z4Y55Y33Y</t>
        </is>
      </c>
    </row>
    <row r="353" ht="15" customHeight="1" s="86">
      <c r="C353" t="inlineStr">
        <is>
          <t>Caleb</t>
        </is>
      </c>
      <c r="E353" t="inlineStr">
        <is>
          <t>Bradley</t>
        </is>
      </c>
      <c r="G353" t="inlineStr">
        <is>
          <t>19/12/1991</t>
        </is>
      </c>
      <c r="H353" t="inlineStr">
        <is>
          <t>Male</t>
        </is>
      </c>
      <c r="I353" t="inlineStr">
        <is>
          <t>525970153</t>
        </is>
      </c>
      <c r="K353" t="inlineStr">
        <is>
          <t>Y19M9TWQ9</t>
        </is>
      </c>
      <c r="M353" t="inlineStr">
        <is>
          <t>24/06/2025</t>
        </is>
      </c>
      <c r="N353" t="inlineStr">
        <is>
          <t>09/08/2025</t>
        </is>
      </c>
      <c r="R353" t="inlineStr">
        <is>
          <t>Hourly</t>
        </is>
      </c>
      <c r="X353" t="inlineStr">
        <is>
          <t>41</t>
        </is>
      </c>
      <c r="AF353" t="inlineStr">
        <is>
          <t>Non-exempt</t>
        </is>
      </c>
      <c r="AJ353" t="inlineStr">
        <is>
          <t>cbradley.remson@gmail.com</t>
        </is>
      </c>
      <c r="AL353" t="inlineStr">
        <is>
          <t>11009 Haines Avenue Northeast</t>
        </is>
      </c>
      <c r="AN353" t="inlineStr">
        <is>
          <t>Albuquerque</t>
        </is>
      </c>
      <c r="AO353" t="inlineStr">
        <is>
          <t>87112</t>
        </is>
      </c>
      <c r="AP353" t="inlineStr">
        <is>
          <t>NM</t>
        </is>
      </c>
      <c r="AR353" t="inlineStr">
        <is>
          <t>11009 Haines Avenue Northeast</t>
        </is>
      </c>
      <c r="AT353" t="inlineStr">
        <is>
          <t>Albuquerque</t>
        </is>
      </c>
      <c r="AU353" t="inlineStr">
        <is>
          <t>87112</t>
        </is>
      </c>
      <c r="AV353" t="inlineStr">
        <is>
          <t>NM</t>
        </is>
      </c>
      <c r="BB353" t="inlineStr">
        <is>
          <t>24/06/2025</t>
        </is>
      </c>
      <c r="BD353" t="inlineStr">
        <is>
          <t>Z4Y55Y33Y</t>
        </is>
      </c>
    </row>
    <row r="354" ht="15" customHeight="1" s="86">
      <c r="C354" t="inlineStr">
        <is>
          <t>Orlando</t>
        </is>
      </c>
      <c r="D354" t="inlineStr">
        <is>
          <t>A</t>
        </is>
      </c>
      <c r="E354" t="inlineStr">
        <is>
          <t>Gutierrez</t>
        </is>
      </c>
      <c r="G354" t="inlineStr">
        <is>
          <t>12/06/1997</t>
        </is>
      </c>
      <c r="H354" t="inlineStr">
        <is>
          <t>Not Specified</t>
        </is>
      </c>
      <c r="I354" t="inlineStr">
        <is>
          <t>648126929</t>
        </is>
      </c>
      <c r="K354" t="inlineStr">
        <is>
          <t>Y8CCFU08N</t>
        </is>
      </c>
      <c r="M354" t="inlineStr">
        <is>
          <t>19/11/2025</t>
        </is>
      </c>
      <c r="R354" t="inlineStr">
        <is>
          <t>Hourly</t>
        </is>
      </c>
      <c r="X354" t="inlineStr">
        <is>
          <t>21.5</t>
        </is>
      </c>
      <c r="AF354" t="inlineStr">
        <is>
          <t>Non-exempt</t>
        </is>
      </c>
      <c r="AI354" t="inlineStr">
        <is>
          <t>ogutierrez.remson@gmail.com</t>
        </is>
      </c>
      <c r="AJ354" t="inlineStr">
        <is>
          <t>ogutierrez.remson@gmail.com</t>
        </is>
      </c>
      <c r="AL354" t="inlineStr">
        <is>
          <t>4300 Bryan Avenue Northwest</t>
        </is>
      </c>
      <c r="AN354" t="inlineStr">
        <is>
          <t>Albuquerque</t>
        </is>
      </c>
      <c r="AO354" t="inlineStr">
        <is>
          <t>87114</t>
        </is>
      </c>
      <c r="AP354" t="inlineStr">
        <is>
          <t>NM</t>
        </is>
      </c>
      <c r="AR354" t="inlineStr">
        <is>
          <t>4300 Bryan Avenue Northwest</t>
        </is>
      </c>
      <c r="AT354" t="inlineStr">
        <is>
          <t>Albuquerque</t>
        </is>
      </c>
      <c r="AU354" t="inlineStr">
        <is>
          <t>87114</t>
        </is>
      </c>
      <c r="AV354" t="inlineStr">
        <is>
          <t>NM</t>
        </is>
      </c>
      <c r="BB354" t="inlineStr">
        <is>
          <t>19/11/2025</t>
        </is>
      </c>
    </row>
    <row r="355" ht="15" customHeight="1" s="86">
      <c r="C355" t="inlineStr">
        <is>
          <t>Orlando</t>
        </is>
      </c>
      <c r="D355" t="inlineStr">
        <is>
          <t>A</t>
        </is>
      </c>
      <c r="E355" t="inlineStr">
        <is>
          <t>Gutierrez</t>
        </is>
      </c>
      <c r="G355" t="inlineStr">
        <is>
          <t>12/06/1997</t>
        </is>
      </c>
      <c r="H355" t="inlineStr">
        <is>
          <t>Not Specified</t>
        </is>
      </c>
      <c r="I355" t="inlineStr">
        <is>
          <t>648126929</t>
        </is>
      </c>
      <c r="K355" t="inlineStr">
        <is>
          <t>Y8CCFU08N</t>
        </is>
      </c>
      <c r="M355" t="inlineStr">
        <is>
          <t>19/11/2025</t>
        </is>
      </c>
      <c r="N355" t="inlineStr">
        <is>
          <t>08/12/2025</t>
        </is>
      </c>
      <c r="R355" t="inlineStr">
        <is>
          <t>Hourly</t>
        </is>
      </c>
      <c r="X355" t="inlineStr">
        <is>
          <t>21.5</t>
        </is>
      </c>
      <c r="AF355" t="inlineStr">
        <is>
          <t>Non-exempt</t>
        </is>
      </c>
      <c r="AI355" t="inlineStr">
        <is>
          <t>ogutierrez.remson@gmail.com</t>
        </is>
      </c>
      <c r="AJ355" t="inlineStr">
        <is>
          <t>ogutierrez.remson@gmail.com</t>
        </is>
      </c>
      <c r="AL355" t="inlineStr">
        <is>
          <t>4300 Bryan Avenue Northwest</t>
        </is>
      </c>
      <c r="AN355" t="inlineStr">
        <is>
          <t>Albuquerque</t>
        </is>
      </c>
      <c r="AO355" t="inlineStr">
        <is>
          <t>87114</t>
        </is>
      </c>
      <c r="AP355" t="inlineStr">
        <is>
          <t>NM</t>
        </is>
      </c>
      <c r="AR355" t="inlineStr">
        <is>
          <t>4300 Bryan Avenue Northwest</t>
        </is>
      </c>
      <c r="AT355" t="inlineStr">
        <is>
          <t>Albuquerque</t>
        </is>
      </c>
      <c r="AU355" t="inlineStr">
        <is>
          <t>87114</t>
        </is>
      </c>
      <c r="AV355" t="inlineStr">
        <is>
          <t>NM</t>
        </is>
      </c>
      <c r="BB355" t="inlineStr">
        <is>
          <t>19/11/2025</t>
        </is>
      </c>
      <c r="BD355" t="inlineStr">
        <is>
          <t>Z4Y55Y33Y</t>
        </is>
      </c>
    </row>
    <row r="356" ht="15" customHeight="1" s="86">
      <c r="C356" t="inlineStr">
        <is>
          <t>Rodrigo</t>
        </is>
      </c>
      <c r="E356" t="inlineStr">
        <is>
          <t>Mora</t>
        </is>
      </c>
      <c r="G356" t="inlineStr">
        <is>
          <t>25/11/1995</t>
        </is>
      </c>
      <c r="H356" t="inlineStr">
        <is>
          <t>Not Specified</t>
        </is>
      </c>
      <c r="I356" t="inlineStr">
        <is>
          <t>649077449</t>
        </is>
      </c>
      <c r="K356" t="inlineStr">
        <is>
          <t>YBB0QQBLK</t>
        </is>
      </c>
      <c r="M356" t="inlineStr">
        <is>
          <t>10/03/2025</t>
        </is>
      </c>
      <c r="N356" t="inlineStr">
        <is>
          <t>27/03/2025</t>
        </is>
      </c>
      <c r="R356" t="inlineStr">
        <is>
          <t>Hourly</t>
        </is>
      </c>
      <c r="X356" t="inlineStr">
        <is>
          <t>41</t>
        </is>
      </c>
      <c r="AF356" t="inlineStr">
        <is>
          <t>Non-exempt</t>
        </is>
      </c>
      <c r="AI356" t="inlineStr">
        <is>
          <t>rmora.remson@gmail.com</t>
        </is>
      </c>
      <c r="AJ356" t="inlineStr">
        <is>
          <t>rmora.remson@gmail.com</t>
        </is>
      </c>
      <c r="AL356" t="inlineStr">
        <is>
          <t>2411 Spring Flower Place S.W</t>
        </is>
      </c>
      <c r="AN356" t="inlineStr">
        <is>
          <t>Albuquerque</t>
        </is>
      </c>
      <c r="AO356" t="inlineStr">
        <is>
          <t>87121</t>
        </is>
      </c>
      <c r="AP356" t="inlineStr">
        <is>
          <t>NM</t>
        </is>
      </c>
      <c r="AR356" t="inlineStr">
        <is>
          <t>2411 Spring Flower Place S.W</t>
        </is>
      </c>
      <c r="AT356" t="inlineStr">
        <is>
          <t>Albuquerque</t>
        </is>
      </c>
      <c r="AU356" t="inlineStr">
        <is>
          <t>87121</t>
        </is>
      </c>
      <c r="AV356" t="inlineStr">
        <is>
          <t>NM</t>
        </is>
      </c>
      <c r="BB356" t="inlineStr">
        <is>
          <t>10/03/2025</t>
        </is>
      </c>
      <c r="BD356" t="inlineStr">
        <is>
          <t>DZWKT8LKB</t>
        </is>
      </c>
    </row>
    <row r="357" ht="15" customHeight="1" s="86">
      <c r="C357" t="inlineStr">
        <is>
          <t>Jessica</t>
        </is>
      </c>
      <c r="E357" t="inlineStr">
        <is>
          <t>Valenzuela</t>
        </is>
      </c>
      <c r="G357" t="inlineStr">
        <is>
          <t>27/09/1994</t>
        </is>
      </c>
      <c r="H357" t="inlineStr">
        <is>
          <t>Female</t>
        </is>
      </c>
      <c r="I357" t="inlineStr">
        <is>
          <t>649037379</t>
        </is>
      </c>
      <c r="J357" t="inlineStr">
        <is>
          <t>No</t>
        </is>
      </c>
      <c r="K357" t="inlineStr">
        <is>
          <t>YG1DNV0OG</t>
        </is>
      </c>
      <c r="M357" t="inlineStr">
        <is>
          <t>01/02/2024</t>
        </is>
      </c>
      <c r="N357" t="inlineStr">
        <is>
          <t>28/01/2025</t>
        </is>
      </c>
      <c r="R357" t="inlineStr">
        <is>
          <t>Hourly</t>
        </is>
      </c>
      <c r="X357" t="inlineStr">
        <is>
          <t>41.9</t>
        </is>
      </c>
      <c r="AF357" t="inlineStr">
        <is>
          <t>Non-exempt</t>
        </is>
      </c>
      <c r="AI357" t="inlineStr">
        <is>
          <t>jvalenzuela.remson@gmail.com</t>
        </is>
      </c>
      <c r="AJ357" t="inlineStr">
        <is>
          <t>jvalenzuela.remson@gmail.com</t>
        </is>
      </c>
      <c r="AL357" t="inlineStr">
        <is>
          <t>9901 Ceja Vista Rd Sw</t>
        </is>
      </c>
      <c r="AM357" t="inlineStr">
        <is>
          <t>J301</t>
        </is>
      </c>
      <c r="AN357" t="inlineStr">
        <is>
          <t>Albuquerque</t>
        </is>
      </c>
      <c r="AO357" t="inlineStr">
        <is>
          <t>87121</t>
        </is>
      </c>
      <c r="AP357" t="inlineStr">
        <is>
          <t>NM</t>
        </is>
      </c>
      <c r="AR357" t="inlineStr">
        <is>
          <t>9901 Ceja Vista Rd Sw</t>
        </is>
      </c>
      <c r="AS357" t="inlineStr">
        <is>
          <t>J301</t>
        </is>
      </c>
      <c r="AT357" t="inlineStr">
        <is>
          <t>Albuquerque</t>
        </is>
      </c>
      <c r="AU357" t="inlineStr">
        <is>
          <t>87121</t>
        </is>
      </c>
      <c r="AV357" t="inlineStr">
        <is>
          <t>NM</t>
        </is>
      </c>
      <c r="BB357" t="inlineStr">
        <is>
          <t>01/02/2024</t>
        </is>
      </c>
      <c r="BD357" t="inlineStr">
        <is>
          <t>DZWKT8LKB</t>
        </is>
      </c>
    </row>
    <row r="358" ht="15" customHeight="1" s="86">
      <c r="C358" t="inlineStr">
        <is>
          <t>Thomas</t>
        </is>
      </c>
      <c r="D358" t="inlineStr">
        <is>
          <t>M</t>
        </is>
      </c>
      <c r="E358" t="inlineStr">
        <is>
          <t>Lovato</t>
        </is>
      </c>
      <c r="G358" t="inlineStr">
        <is>
          <t>20/09/1982</t>
        </is>
      </c>
      <c r="H358" t="inlineStr">
        <is>
          <t>Not Specified</t>
        </is>
      </c>
      <c r="I358" t="inlineStr">
        <is>
          <t>585511863</t>
        </is>
      </c>
      <c r="K358" t="inlineStr">
        <is>
          <t>YIBWEC56H</t>
        </is>
      </c>
      <c r="M358" t="inlineStr">
        <is>
          <t>04/03/2025</t>
        </is>
      </c>
      <c r="N358" t="inlineStr">
        <is>
          <t>10/05/2025</t>
        </is>
      </c>
      <c r="R358" t="inlineStr">
        <is>
          <t>Hourly</t>
        </is>
      </c>
      <c r="X358" t="inlineStr">
        <is>
          <t>41</t>
        </is>
      </c>
      <c r="AF358" t="inlineStr">
        <is>
          <t>Non-exempt</t>
        </is>
      </c>
      <c r="AI358" t="inlineStr">
        <is>
          <t>lovatot.remson@gmail.com</t>
        </is>
      </c>
      <c r="AJ358" t="inlineStr">
        <is>
          <t>lovatot.remson@gmail.com</t>
        </is>
      </c>
      <c r="AL358" t="inlineStr">
        <is>
          <t>5947 Ermemin Avenue Northwest</t>
        </is>
      </c>
      <c r="AN358" t="inlineStr">
        <is>
          <t>Albuquerque</t>
        </is>
      </c>
      <c r="AO358" t="inlineStr">
        <is>
          <t>87114</t>
        </is>
      </c>
      <c r="AP358" t="inlineStr">
        <is>
          <t>NM</t>
        </is>
      </c>
      <c r="AR358" t="inlineStr">
        <is>
          <t>5947 Ermemin Avenue Northwest</t>
        </is>
      </c>
      <c r="AT358" t="inlineStr">
        <is>
          <t>Albuquerque</t>
        </is>
      </c>
      <c r="AU358" t="inlineStr">
        <is>
          <t>87114</t>
        </is>
      </c>
      <c r="AV358" t="inlineStr">
        <is>
          <t>NM</t>
        </is>
      </c>
      <c r="BB358" t="inlineStr">
        <is>
          <t>04/03/2025</t>
        </is>
      </c>
      <c r="BD358" t="inlineStr">
        <is>
          <t>DZWKT8LKB</t>
        </is>
      </c>
    </row>
    <row r="359" ht="15" customHeight="1" s="86">
      <c r="C359" t="inlineStr">
        <is>
          <t>Reyna</t>
        </is>
      </c>
      <c r="D359" t="inlineStr">
        <is>
          <t>E</t>
        </is>
      </c>
      <c r="E359" t="inlineStr">
        <is>
          <t>Mendoza</t>
        </is>
      </c>
      <c r="G359" t="inlineStr">
        <is>
          <t>06/06/2001</t>
        </is>
      </c>
      <c r="H359" t="inlineStr">
        <is>
          <t>Not Specified</t>
        </is>
      </c>
      <c r="I359" t="inlineStr">
        <is>
          <t>649246627</t>
        </is>
      </c>
      <c r="K359" t="inlineStr">
        <is>
          <t>YJY7L0OT0</t>
        </is>
      </c>
      <c r="M359" t="inlineStr">
        <is>
          <t>05/11/2025</t>
        </is>
      </c>
      <c r="R359" t="inlineStr">
        <is>
          <t>Hourly</t>
        </is>
      </c>
      <c r="X359" t="inlineStr">
        <is>
          <t>21.5</t>
        </is>
      </c>
      <c r="AF359" t="inlineStr">
        <is>
          <t>Non-exempt</t>
        </is>
      </c>
      <c r="AI359" t="inlineStr">
        <is>
          <t>reymendoza.remson@gmail.com</t>
        </is>
      </c>
      <c r="AJ359" t="inlineStr">
        <is>
          <t>reymendoza.remson@gmail.com</t>
        </is>
      </c>
      <c r="AL359" t="inlineStr">
        <is>
          <t>2413 Pueblo Bonito Court North</t>
        </is>
      </c>
      <c r="AN359" t="inlineStr">
        <is>
          <t>Albuquerque</t>
        </is>
      </c>
      <c r="AO359" t="inlineStr">
        <is>
          <t>87104</t>
        </is>
      </c>
      <c r="AP359" t="inlineStr">
        <is>
          <t>NM</t>
        </is>
      </c>
      <c r="AR359" t="inlineStr">
        <is>
          <t>2413 Pueblo Bonito Court North</t>
        </is>
      </c>
      <c r="AT359" t="inlineStr">
        <is>
          <t>Albuquerque</t>
        </is>
      </c>
      <c r="AU359" t="inlineStr">
        <is>
          <t>87104</t>
        </is>
      </c>
      <c r="AV359" t="inlineStr">
        <is>
          <t>NM</t>
        </is>
      </c>
      <c r="BB359" t="inlineStr">
        <is>
          <t>05/11/2025</t>
        </is>
      </c>
    </row>
    <row r="360" ht="15" customHeight="1" s="86">
      <c r="C360" t="inlineStr">
        <is>
          <t>Reyna</t>
        </is>
      </c>
      <c r="D360" t="inlineStr">
        <is>
          <t>E</t>
        </is>
      </c>
      <c r="E360" t="inlineStr">
        <is>
          <t>Mendoza</t>
        </is>
      </c>
      <c r="G360" t="inlineStr">
        <is>
          <t>06/06/2001</t>
        </is>
      </c>
      <c r="H360" t="inlineStr">
        <is>
          <t>Not Specified</t>
        </is>
      </c>
      <c r="I360" t="inlineStr">
        <is>
          <t>649246627</t>
        </is>
      </c>
      <c r="K360" t="inlineStr">
        <is>
          <t>YJY7L0OT0</t>
        </is>
      </c>
      <c r="M360" t="inlineStr">
        <is>
          <t>05/11/2025</t>
        </is>
      </c>
      <c r="N360" t="inlineStr">
        <is>
          <t>08/12/2025</t>
        </is>
      </c>
      <c r="R360" t="inlineStr">
        <is>
          <t>Hourly</t>
        </is>
      </c>
      <c r="X360" t="inlineStr">
        <is>
          <t>21.5</t>
        </is>
      </c>
      <c r="AF360" t="inlineStr">
        <is>
          <t>Non-exempt</t>
        </is>
      </c>
      <c r="AI360" t="inlineStr">
        <is>
          <t>reymendoza.remson@gmail.com</t>
        </is>
      </c>
      <c r="AJ360" t="inlineStr">
        <is>
          <t>reymendoza.remson@gmail.com</t>
        </is>
      </c>
      <c r="AL360" t="inlineStr">
        <is>
          <t>2413 Pueblo Bonito Court North</t>
        </is>
      </c>
      <c r="AN360" t="inlineStr">
        <is>
          <t>Albuquerque</t>
        </is>
      </c>
      <c r="AO360" t="inlineStr">
        <is>
          <t>87104</t>
        </is>
      </c>
      <c r="AP360" t="inlineStr">
        <is>
          <t>NM</t>
        </is>
      </c>
      <c r="AR360" t="inlineStr">
        <is>
          <t>2413 Pueblo Bonito Court North</t>
        </is>
      </c>
      <c r="AT360" t="inlineStr">
        <is>
          <t>Albuquerque</t>
        </is>
      </c>
      <c r="AU360" t="inlineStr">
        <is>
          <t>87104</t>
        </is>
      </c>
      <c r="AV360" t="inlineStr">
        <is>
          <t>NM</t>
        </is>
      </c>
      <c r="BB360" t="inlineStr">
        <is>
          <t>05/11/2025</t>
        </is>
      </c>
      <c r="BD360" t="inlineStr">
        <is>
          <t>Z4Y55Y33Y</t>
        </is>
      </c>
    </row>
    <row r="361" ht="15" customHeight="1" s="86">
      <c r="C361" t="inlineStr">
        <is>
          <t>Isaac</t>
        </is>
      </c>
      <c r="E361" t="inlineStr">
        <is>
          <t>Alvear</t>
        </is>
      </c>
      <c r="G361" t="inlineStr">
        <is>
          <t>07/01/1997</t>
        </is>
      </c>
      <c r="H361" t="inlineStr">
        <is>
          <t>Male</t>
        </is>
      </c>
      <c r="I361" t="inlineStr">
        <is>
          <t>649103445</t>
        </is>
      </c>
      <c r="K361" t="inlineStr">
        <is>
          <t>YKEWTVSJA</t>
        </is>
      </c>
      <c r="M361" t="inlineStr">
        <is>
          <t>07/04/2025</t>
        </is>
      </c>
      <c r="N361" t="inlineStr">
        <is>
          <t>07/06/2025</t>
        </is>
      </c>
      <c r="R361" t="inlineStr">
        <is>
          <t>Hourly</t>
        </is>
      </c>
      <c r="X361" t="inlineStr">
        <is>
          <t>41</t>
        </is>
      </c>
      <c r="AF361" t="inlineStr">
        <is>
          <t>Non-exempt</t>
        </is>
      </c>
      <c r="AI361" t="inlineStr">
        <is>
          <t>jalvear.remson@gmail.com</t>
        </is>
      </c>
      <c r="AJ361" t="inlineStr">
        <is>
          <t>jalvear.remson@gmail.com</t>
        </is>
      </c>
      <c r="AL361" t="inlineStr">
        <is>
          <t>7433 Churchill Lane Southwest</t>
        </is>
      </c>
      <c r="AN361" t="inlineStr">
        <is>
          <t>Albuquerque</t>
        </is>
      </c>
      <c r="AO361" t="inlineStr">
        <is>
          <t>87121</t>
        </is>
      </c>
      <c r="AP361" t="inlineStr">
        <is>
          <t>NM</t>
        </is>
      </c>
      <c r="AR361" t="inlineStr">
        <is>
          <t>7433 Churchill Lane Southwest</t>
        </is>
      </c>
      <c r="AT361" t="inlineStr">
        <is>
          <t>Albuquerque</t>
        </is>
      </c>
      <c r="AU361" t="inlineStr">
        <is>
          <t>87121</t>
        </is>
      </c>
      <c r="AV361" t="inlineStr">
        <is>
          <t>NM</t>
        </is>
      </c>
      <c r="BB361" t="inlineStr">
        <is>
          <t>07/04/2025</t>
        </is>
      </c>
      <c r="BD361" t="inlineStr">
        <is>
          <t>DZWKT8LKB</t>
        </is>
      </c>
    </row>
    <row r="362" ht="15" customHeight="1" s="86">
      <c r="C362" t="inlineStr">
        <is>
          <t>Jayden</t>
        </is>
      </c>
      <c r="E362" t="inlineStr">
        <is>
          <t>Nez</t>
        </is>
      </c>
      <c r="G362" t="inlineStr">
        <is>
          <t>05/11/2001</t>
        </is>
      </c>
      <c r="H362" t="inlineStr">
        <is>
          <t>Male</t>
        </is>
      </c>
      <c r="I362" t="inlineStr">
        <is>
          <t>648268690</t>
        </is>
      </c>
      <c r="J362" t="inlineStr">
        <is>
          <t>No</t>
        </is>
      </c>
      <c r="K362" t="inlineStr">
        <is>
          <t>YKRSJHKFO</t>
        </is>
      </c>
      <c r="M362" t="inlineStr">
        <is>
          <t>11/10/2023</t>
        </is>
      </c>
      <c r="N362" t="inlineStr">
        <is>
          <t>08/11/2025</t>
        </is>
      </c>
      <c r="R362" t="inlineStr">
        <is>
          <t>Hourly</t>
        </is>
      </c>
      <c r="X362" t="inlineStr">
        <is>
          <t>22.2</t>
        </is>
      </c>
      <c r="AF362" t="inlineStr">
        <is>
          <t>Non-exempt</t>
        </is>
      </c>
      <c r="AJ362" t="inlineStr">
        <is>
          <t>jnez.remson@gmail.com</t>
        </is>
      </c>
      <c r="AL362" t="inlineStr">
        <is>
          <t>1320 Airway Road Sw</t>
        </is>
      </c>
      <c r="AN362" t="inlineStr">
        <is>
          <t>Albuquerque</t>
        </is>
      </c>
      <c r="AO362" t="inlineStr">
        <is>
          <t>87105</t>
        </is>
      </c>
      <c r="AP362" t="inlineStr">
        <is>
          <t>NM</t>
        </is>
      </c>
      <c r="AR362" t="inlineStr">
        <is>
          <t>1320 Airway Road Sw</t>
        </is>
      </c>
      <c r="AT362" t="inlineStr">
        <is>
          <t>Albuquerque</t>
        </is>
      </c>
      <c r="AU362" t="inlineStr">
        <is>
          <t>87105</t>
        </is>
      </c>
      <c r="AV362" t="inlineStr">
        <is>
          <t>NM</t>
        </is>
      </c>
      <c r="BB362" t="inlineStr">
        <is>
          <t>11/10/2023</t>
        </is>
      </c>
      <c r="BD362" t="inlineStr">
        <is>
          <t>Z4Y55Y33Y</t>
        </is>
      </c>
    </row>
    <row r="363" ht="15" customHeight="1" s="86">
      <c r="C363" t="inlineStr">
        <is>
          <t>Jayden</t>
        </is>
      </c>
      <c r="E363" t="inlineStr">
        <is>
          <t>Nez</t>
        </is>
      </c>
      <c r="G363" t="inlineStr">
        <is>
          <t>05/11/2001</t>
        </is>
      </c>
      <c r="H363" t="inlineStr">
        <is>
          <t>Male</t>
        </is>
      </c>
      <c r="I363" t="inlineStr">
        <is>
          <t>648268690</t>
        </is>
      </c>
      <c r="J363" t="inlineStr">
        <is>
          <t>No</t>
        </is>
      </c>
      <c r="K363" t="inlineStr">
        <is>
          <t>YKRSJHKFO</t>
        </is>
      </c>
      <c r="M363" t="inlineStr">
        <is>
          <t>11/10/2023</t>
        </is>
      </c>
      <c r="N363" t="inlineStr">
        <is>
          <t>08/11/2025</t>
        </is>
      </c>
      <c r="R363" t="inlineStr">
        <is>
          <t>Hourly</t>
        </is>
      </c>
      <c r="X363" t="inlineStr">
        <is>
          <t>22.2</t>
        </is>
      </c>
      <c r="AF363" t="inlineStr">
        <is>
          <t>Non-exempt</t>
        </is>
      </c>
      <c r="AJ363" t="inlineStr">
        <is>
          <t>jnez.remson@gmail.com</t>
        </is>
      </c>
      <c r="AL363" t="inlineStr">
        <is>
          <t>1320 Airway Road Sw</t>
        </is>
      </c>
      <c r="AN363" t="inlineStr">
        <is>
          <t>Albuquerque</t>
        </is>
      </c>
      <c r="AO363" t="inlineStr">
        <is>
          <t>87105</t>
        </is>
      </c>
      <c r="AP363" t="inlineStr">
        <is>
          <t>NM</t>
        </is>
      </c>
      <c r="AR363" t="inlineStr">
        <is>
          <t>1320 Airway Road Sw</t>
        </is>
      </c>
      <c r="AT363" t="inlineStr">
        <is>
          <t>Albuquerque</t>
        </is>
      </c>
      <c r="AU363" t="inlineStr">
        <is>
          <t>87105</t>
        </is>
      </c>
      <c r="AV363" t="inlineStr">
        <is>
          <t>NM</t>
        </is>
      </c>
      <c r="BB363" t="inlineStr">
        <is>
          <t>11/10/2023</t>
        </is>
      </c>
    </row>
    <row r="364" ht="15" customHeight="1" s="86">
      <c r="C364" t="inlineStr">
        <is>
          <t>Veronica</t>
        </is>
      </c>
      <c r="D364" t="inlineStr">
        <is>
          <t>G</t>
        </is>
      </c>
      <c r="E364" t="inlineStr">
        <is>
          <t>Trueblood</t>
        </is>
      </c>
      <c r="G364" t="inlineStr">
        <is>
          <t>04/12/1977</t>
        </is>
      </c>
      <c r="H364" t="inlineStr">
        <is>
          <t>Not Specified</t>
        </is>
      </c>
      <c r="I364" t="inlineStr">
        <is>
          <t>306843912</t>
        </is>
      </c>
      <c r="K364" t="inlineStr">
        <is>
          <t>YMC6BTTU2</t>
        </is>
      </c>
      <c r="M364" t="inlineStr">
        <is>
          <t>14/08/2025</t>
        </is>
      </c>
      <c r="R364" t="inlineStr">
        <is>
          <t>Hourly</t>
        </is>
      </c>
      <c r="X364" t="inlineStr">
        <is>
          <t>21.65</t>
        </is>
      </c>
      <c r="AF364" t="inlineStr">
        <is>
          <t>Non-exempt</t>
        </is>
      </c>
      <c r="AJ364" t="inlineStr">
        <is>
          <t>vtrueblood.remson@gmail.com</t>
        </is>
      </c>
      <c r="AL364" t="inlineStr">
        <is>
          <t>5801 Haines Avenue Northeast</t>
        </is>
      </c>
      <c r="AM364" t="inlineStr">
        <is>
          <t>Apt 71</t>
        </is>
      </c>
      <c r="AN364" t="inlineStr">
        <is>
          <t>Albuquerque</t>
        </is>
      </c>
      <c r="AO364" t="inlineStr">
        <is>
          <t>87110</t>
        </is>
      </c>
      <c r="AP364" t="inlineStr">
        <is>
          <t>NM</t>
        </is>
      </c>
      <c r="AR364" t="inlineStr">
        <is>
          <t>5801 Haines Avenue Northeast</t>
        </is>
      </c>
      <c r="AS364" t="inlineStr">
        <is>
          <t>Apt 71</t>
        </is>
      </c>
      <c r="AT364" t="inlineStr">
        <is>
          <t>Albuquerque</t>
        </is>
      </c>
      <c r="AU364" t="inlineStr">
        <is>
          <t>87110</t>
        </is>
      </c>
      <c r="AV364" t="inlineStr">
        <is>
          <t>NM</t>
        </is>
      </c>
      <c r="BB364" t="inlineStr">
        <is>
          <t>14/08/2025</t>
        </is>
      </c>
    </row>
    <row r="365" ht="15" customHeight="1" s="86">
      <c r="C365" t="inlineStr">
        <is>
          <t>Veronica</t>
        </is>
      </c>
      <c r="D365" t="inlineStr">
        <is>
          <t>G</t>
        </is>
      </c>
      <c r="E365" t="inlineStr">
        <is>
          <t>Trueblood</t>
        </is>
      </c>
      <c r="G365" t="inlineStr">
        <is>
          <t>04/12/1977</t>
        </is>
      </c>
      <c r="H365" t="inlineStr">
        <is>
          <t>Not Specified</t>
        </is>
      </c>
      <c r="I365" t="inlineStr">
        <is>
          <t>306843912</t>
        </is>
      </c>
      <c r="K365" t="inlineStr">
        <is>
          <t>YMC6BTTU2</t>
        </is>
      </c>
      <c r="M365" t="inlineStr">
        <is>
          <t>14/08/2025</t>
        </is>
      </c>
      <c r="N365" t="inlineStr">
        <is>
          <t>09/12/2025</t>
        </is>
      </c>
      <c r="R365" t="inlineStr">
        <is>
          <t>Hourly</t>
        </is>
      </c>
      <c r="X365" t="inlineStr">
        <is>
          <t>21.65</t>
        </is>
      </c>
      <c r="AF365" t="inlineStr">
        <is>
          <t>Non-exempt</t>
        </is>
      </c>
      <c r="AJ365" t="inlineStr">
        <is>
          <t>vtrueblood.remson@gmail.com</t>
        </is>
      </c>
      <c r="AL365" t="inlineStr">
        <is>
          <t>5801 Haines Avenue Northeast</t>
        </is>
      </c>
      <c r="AM365" t="inlineStr">
        <is>
          <t>Apt 71</t>
        </is>
      </c>
      <c r="AN365" t="inlineStr">
        <is>
          <t>Albuquerque</t>
        </is>
      </c>
      <c r="AO365" t="inlineStr">
        <is>
          <t>87110</t>
        </is>
      </c>
      <c r="AP365" t="inlineStr">
        <is>
          <t>NM</t>
        </is>
      </c>
      <c r="AR365" t="inlineStr">
        <is>
          <t>5801 Haines Avenue Northeast</t>
        </is>
      </c>
      <c r="AS365" t="inlineStr">
        <is>
          <t>Apt 71</t>
        </is>
      </c>
      <c r="AT365" t="inlineStr">
        <is>
          <t>Albuquerque</t>
        </is>
      </c>
      <c r="AU365" t="inlineStr">
        <is>
          <t>87110</t>
        </is>
      </c>
      <c r="AV365" t="inlineStr">
        <is>
          <t>NM</t>
        </is>
      </c>
      <c r="BB365" t="inlineStr">
        <is>
          <t>14/08/2025</t>
        </is>
      </c>
      <c r="BD365" t="inlineStr">
        <is>
          <t>Z4Y55Y33Y</t>
        </is>
      </c>
    </row>
    <row r="366" ht="15" customHeight="1" s="86">
      <c r="C366" t="inlineStr">
        <is>
          <t>John</t>
        </is>
      </c>
      <c r="E366" t="inlineStr">
        <is>
          <t>Ruhnke</t>
        </is>
      </c>
      <c r="G366" t="inlineStr">
        <is>
          <t>16/10/1965</t>
        </is>
      </c>
      <c r="H366" t="inlineStr">
        <is>
          <t>Male</t>
        </is>
      </c>
      <c r="I366" t="inlineStr">
        <is>
          <t>206600174</t>
        </is>
      </c>
      <c r="J366" t="inlineStr">
        <is>
          <t>No</t>
        </is>
      </c>
      <c r="K366" t="inlineStr">
        <is>
          <t>YW66Y1DYR</t>
        </is>
      </c>
      <c r="M366" t="inlineStr">
        <is>
          <t>09/10/2023</t>
        </is>
      </c>
      <c r="R366" t="inlineStr">
        <is>
          <t>Hourly</t>
        </is>
      </c>
      <c r="X366" t="inlineStr">
        <is>
          <t>24.5</t>
        </is>
      </c>
      <c r="AF366" t="inlineStr">
        <is>
          <t>Non-exempt</t>
        </is>
      </c>
      <c r="AJ366" t="inlineStr">
        <is>
          <t>jruhnke1.remson@gmail.com</t>
        </is>
      </c>
      <c r="AL366" t="inlineStr">
        <is>
          <t>6005 Canis Ave Nw</t>
        </is>
      </c>
      <c r="AN366" t="inlineStr">
        <is>
          <t>Albuquerque</t>
        </is>
      </c>
      <c r="AO366" t="inlineStr">
        <is>
          <t>87114</t>
        </is>
      </c>
      <c r="AP366" t="inlineStr">
        <is>
          <t>NM</t>
        </is>
      </c>
      <c r="AR366" t="inlineStr">
        <is>
          <t>6005 Canis Ave Nw</t>
        </is>
      </c>
      <c r="AT366" t="inlineStr">
        <is>
          <t>Albuquerque</t>
        </is>
      </c>
      <c r="AU366" t="inlineStr">
        <is>
          <t>87114</t>
        </is>
      </c>
      <c r="AV366" t="inlineStr">
        <is>
          <t>NM</t>
        </is>
      </c>
      <c r="BB366" t="inlineStr">
        <is>
          <t>09/10/2023</t>
        </is>
      </c>
      <c r="BD366" t="inlineStr">
        <is>
          <t>1DSXHLDE3</t>
        </is>
      </c>
    </row>
    <row r="367" ht="15" customHeight="1" s="86">
      <c r="C367" t="inlineStr">
        <is>
          <t>John</t>
        </is>
      </c>
      <c r="E367" t="inlineStr">
        <is>
          <t>Ruhnke</t>
        </is>
      </c>
      <c r="G367" t="inlineStr">
        <is>
          <t>16/10/1965</t>
        </is>
      </c>
      <c r="H367" t="inlineStr">
        <is>
          <t>Male</t>
        </is>
      </c>
      <c r="I367" t="inlineStr">
        <is>
          <t>206600174</t>
        </is>
      </c>
      <c r="J367" t="inlineStr">
        <is>
          <t>No</t>
        </is>
      </c>
      <c r="K367" t="inlineStr">
        <is>
          <t>YW66Y1DYR</t>
        </is>
      </c>
      <c r="M367" t="inlineStr">
        <is>
          <t>09/10/2023</t>
        </is>
      </c>
      <c r="N367" t="inlineStr">
        <is>
          <t>08/12/2025</t>
        </is>
      </c>
      <c r="R367" t="inlineStr">
        <is>
          <t>Hourly</t>
        </is>
      </c>
      <c r="X367" t="inlineStr">
        <is>
          <t>24.5</t>
        </is>
      </c>
      <c r="AF367" t="inlineStr">
        <is>
          <t>Non-exempt</t>
        </is>
      </c>
      <c r="AJ367" t="inlineStr">
        <is>
          <t>jruhnke1.remson@gmail.com</t>
        </is>
      </c>
      <c r="AL367" t="inlineStr">
        <is>
          <t>6005 Canis Ave Nw</t>
        </is>
      </c>
      <c r="AN367" t="inlineStr">
        <is>
          <t>Albuquerque</t>
        </is>
      </c>
      <c r="AO367" t="inlineStr">
        <is>
          <t>87114</t>
        </is>
      </c>
      <c r="AP367" t="inlineStr">
        <is>
          <t>NM</t>
        </is>
      </c>
      <c r="AR367" t="inlineStr">
        <is>
          <t>6005 Canis Ave Nw</t>
        </is>
      </c>
      <c r="AT367" t="inlineStr">
        <is>
          <t>Albuquerque</t>
        </is>
      </c>
      <c r="AU367" t="inlineStr">
        <is>
          <t>87114</t>
        </is>
      </c>
      <c r="AV367" t="inlineStr">
        <is>
          <t>NM</t>
        </is>
      </c>
      <c r="BB367" t="inlineStr">
        <is>
          <t>09/10/2023</t>
        </is>
      </c>
      <c r="BD367" t="inlineStr">
        <is>
          <t>1DSXHLDE3</t>
        </is>
      </c>
    </row>
    <row r="368" ht="15" customHeight="1" s="86">
      <c r="C368" t="inlineStr">
        <is>
          <t>Randolph</t>
        </is>
      </c>
      <c r="E368" t="inlineStr">
        <is>
          <t>Padilla</t>
        </is>
      </c>
      <c r="G368" t="inlineStr">
        <is>
          <t>17/06/1989</t>
        </is>
      </c>
      <c r="H368" t="inlineStr">
        <is>
          <t>Male</t>
        </is>
      </c>
      <c r="I368" t="inlineStr">
        <is>
          <t>585811880</t>
        </is>
      </c>
      <c r="K368" t="inlineStr">
        <is>
          <t>Z3PZAJFDQ</t>
        </is>
      </c>
      <c r="M368" t="inlineStr">
        <is>
          <t>02/02/2025</t>
        </is>
      </c>
      <c r="N368" t="inlineStr">
        <is>
          <t>27/04/2025</t>
        </is>
      </c>
      <c r="R368" t="inlineStr">
        <is>
          <t>Hourly</t>
        </is>
      </c>
      <c r="X368" t="inlineStr">
        <is>
          <t>41</t>
        </is>
      </c>
      <c r="AF368" t="inlineStr">
        <is>
          <t>Non-exempt</t>
        </is>
      </c>
      <c r="AI368" t="inlineStr">
        <is>
          <t>rpadilla.remson@gmail.com</t>
        </is>
      </c>
      <c r="AJ368" t="inlineStr">
        <is>
          <t>rpadilla.remson@gmail.com</t>
        </is>
      </c>
      <c r="AL368" t="inlineStr">
        <is>
          <t>2802 CAMPBELL RD NW TRL 10</t>
        </is>
      </c>
      <c r="AN368" t="inlineStr">
        <is>
          <t>ALBUQUERQUE</t>
        </is>
      </c>
      <c r="AO368" t="inlineStr">
        <is>
          <t>87104</t>
        </is>
      </c>
      <c r="AP368" t="inlineStr">
        <is>
          <t>NM</t>
        </is>
      </c>
      <c r="AR368" t="inlineStr">
        <is>
          <t>2802 CAMPBELL RD NW TRL 10</t>
        </is>
      </c>
      <c r="AT368" t="inlineStr">
        <is>
          <t>ALBUQUERQUE</t>
        </is>
      </c>
      <c r="AU368" t="inlineStr">
        <is>
          <t>87104</t>
        </is>
      </c>
      <c r="AV368" t="inlineStr">
        <is>
          <t>NM</t>
        </is>
      </c>
      <c r="BB368" t="inlineStr">
        <is>
          <t>02/02/2025</t>
        </is>
      </c>
      <c r="BD368" t="inlineStr">
        <is>
          <t>DZWKT8LKB</t>
        </is>
      </c>
    </row>
    <row r="369" ht="15" customHeight="1" s="86">
      <c r="C369" t="inlineStr">
        <is>
          <t>Jermaine</t>
        </is>
      </c>
      <c r="E369" t="inlineStr">
        <is>
          <t>Stallworth</t>
        </is>
      </c>
      <c r="G369" t="inlineStr">
        <is>
          <t>11/08/1981</t>
        </is>
      </c>
      <c r="H369" t="inlineStr">
        <is>
          <t>Male</t>
        </is>
      </c>
      <c r="I369" t="inlineStr">
        <is>
          <t>585399944</t>
        </is>
      </c>
      <c r="J369" t="inlineStr">
        <is>
          <t>No</t>
        </is>
      </c>
      <c r="K369" t="inlineStr">
        <is>
          <t>Z4Y55Y33Y</t>
        </is>
      </c>
      <c r="M369" t="inlineStr">
        <is>
          <t>10/10/2023</t>
        </is>
      </c>
      <c r="R369" t="inlineStr">
        <is>
          <t>Salary</t>
        </is>
      </c>
      <c r="U369" t="inlineStr">
        <is>
          <t>54080</t>
        </is>
      </c>
      <c r="X369" t="n">
        <v>0</v>
      </c>
      <c r="AF369" t="inlineStr">
        <is>
          <t>Exempt</t>
        </is>
      </c>
      <c r="AJ369" t="inlineStr">
        <is>
          <t>jermaine.stallworth1@gmail.com</t>
        </is>
      </c>
      <c r="AL369" t="inlineStr">
        <is>
          <t>2408 Bison Springs St Sw</t>
        </is>
      </c>
      <c r="AN369" t="inlineStr">
        <is>
          <t>Albuquerque</t>
        </is>
      </c>
      <c r="AO369" t="inlineStr">
        <is>
          <t>87121</t>
        </is>
      </c>
      <c r="AP369" t="inlineStr">
        <is>
          <t>NM</t>
        </is>
      </c>
      <c r="AR369" t="inlineStr">
        <is>
          <t>2408 Bison Springs St Sw</t>
        </is>
      </c>
      <c r="AT369" t="inlineStr">
        <is>
          <t>Albuquerque</t>
        </is>
      </c>
      <c r="AU369" t="inlineStr">
        <is>
          <t>87121</t>
        </is>
      </c>
      <c r="AV369" t="inlineStr">
        <is>
          <t>NM</t>
        </is>
      </c>
      <c r="BB369" t="inlineStr">
        <is>
          <t>10/10/2023</t>
        </is>
      </c>
      <c r="BD369" t="inlineStr">
        <is>
          <t>DZWKT8LKB</t>
        </is>
      </c>
    </row>
    <row r="370" ht="15" customHeight="1" s="86">
      <c r="C370" t="inlineStr">
        <is>
          <t>Jermaine</t>
        </is>
      </c>
      <c r="E370" t="inlineStr">
        <is>
          <t>Stallworth</t>
        </is>
      </c>
      <c r="G370" t="inlineStr">
        <is>
          <t>11/08/1981</t>
        </is>
      </c>
      <c r="H370" t="inlineStr">
        <is>
          <t>Male</t>
        </is>
      </c>
      <c r="I370" t="inlineStr">
        <is>
          <t>585399944</t>
        </is>
      </c>
      <c r="J370" t="inlineStr">
        <is>
          <t>No</t>
        </is>
      </c>
      <c r="K370" t="inlineStr">
        <is>
          <t>Z4Y55Y33Y</t>
        </is>
      </c>
      <c r="M370" t="inlineStr">
        <is>
          <t>10/10/2023</t>
        </is>
      </c>
      <c r="N370" t="inlineStr">
        <is>
          <t>09/12/2025</t>
        </is>
      </c>
      <c r="R370" t="inlineStr">
        <is>
          <t>Salary</t>
        </is>
      </c>
      <c r="U370" t="inlineStr">
        <is>
          <t>54080</t>
        </is>
      </c>
      <c r="X370" t="n">
        <v>0</v>
      </c>
      <c r="AF370" t="inlineStr">
        <is>
          <t>Exempt</t>
        </is>
      </c>
      <c r="AJ370" t="inlineStr">
        <is>
          <t>jermaine.stallworth1@gmail.com</t>
        </is>
      </c>
      <c r="AL370" t="inlineStr">
        <is>
          <t>2408 Bison Springs St Sw</t>
        </is>
      </c>
      <c r="AN370" t="inlineStr">
        <is>
          <t>Albuquerque</t>
        </is>
      </c>
      <c r="AO370" t="inlineStr">
        <is>
          <t>87121</t>
        </is>
      </c>
      <c r="AP370" t="inlineStr">
        <is>
          <t>NM</t>
        </is>
      </c>
      <c r="AR370" t="inlineStr">
        <is>
          <t>2408 Bison Springs St Sw</t>
        </is>
      </c>
      <c r="AT370" t="inlineStr">
        <is>
          <t>Albuquerque</t>
        </is>
      </c>
      <c r="AU370" t="inlineStr">
        <is>
          <t>87121</t>
        </is>
      </c>
      <c r="AV370" t="inlineStr">
        <is>
          <t>NM</t>
        </is>
      </c>
      <c r="BB370" t="inlineStr">
        <is>
          <t>10/10/2023</t>
        </is>
      </c>
      <c r="BD370" t="inlineStr">
        <is>
          <t>DZWKT8LKB</t>
        </is>
      </c>
    </row>
    <row r="371" ht="15" customHeight="1" s="86">
      <c r="C371" t="inlineStr">
        <is>
          <t>Jeremy</t>
        </is>
      </c>
      <c r="E371" t="inlineStr">
        <is>
          <t>Cleage</t>
        </is>
      </c>
      <c r="G371" t="inlineStr">
        <is>
          <t>22/05/1981</t>
        </is>
      </c>
      <c r="H371" t="inlineStr">
        <is>
          <t>Male</t>
        </is>
      </c>
      <c r="I371" t="inlineStr">
        <is>
          <t>574066933</t>
        </is>
      </c>
      <c r="K371" t="inlineStr">
        <is>
          <t>Z599PC24I</t>
        </is>
      </c>
      <c r="M371" t="inlineStr">
        <is>
          <t>09/02/2025</t>
        </is>
      </c>
      <c r="N371" t="inlineStr">
        <is>
          <t>23/04/2025</t>
        </is>
      </c>
      <c r="R371" t="inlineStr">
        <is>
          <t>Hourly</t>
        </is>
      </c>
      <c r="X371" t="inlineStr">
        <is>
          <t>41</t>
        </is>
      </c>
      <c r="AF371" t="inlineStr">
        <is>
          <t>Non-exempt</t>
        </is>
      </c>
      <c r="AI371" t="inlineStr">
        <is>
          <t>jcleage.remson@gmail.com</t>
        </is>
      </c>
      <c r="AJ371" t="inlineStr">
        <is>
          <t>jcleage.remson@gmail.com</t>
        </is>
      </c>
      <c r="AL371" t="inlineStr">
        <is>
          <t>321 SANDIA RD</t>
        </is>
      </c>
      <c r="AM371" t="inlineStr">
        <is>
          <t>A4</t>
        </is>
      </c>
      <c r="AN371" t="inlineStr">
        <is>
          <t>ALBUQUERQUE</t>
        </is>
      </c>
      <c r="AO371" t="inlineStr">
        <is>
          <t>87107</t>
        </is>
      </c>
      <c r="AP371" t="inlineStr">
        <is>
          <t>NM</t>
        </is>
      </c>
      <c r="AR371" t="inlineStr">
        <is>
          <t>321 SANDIA RD</t>
        </is>
      </c>
      <c r="AS371" t="inlineStr">
        <is>
          <t>A4</t>
        </is>
      </c>
      <c r="AT371" t="inlineStr">
        <is>
          <t>ALBUQUERQUE</t>
        </is>
      </c>
      <c r="AU371" t="inlineStr">
        <is>
          <t>87107</t>
        </is>
      </c>
      <c r="AV371" t="inlineStr">
        <is>
          <t>NM</t>
        </is>
      </c>
      <c r="BB371" t="inlineStr">
        <is>
          <t>09/02/2025</t>
        </is>
      </c>
      <c r="BD371" t="inlineStr">
        <is>
          <t>DZWKT8LKB</t>
        </is>
      </c>
    </row>
    <row r="372" ht="15" customHeight="1" s="86">
      <c r="C372" t="inlineStr">
        <is>
          <t>Cesar</t>
        </is>
      </c>
      <c r="D372" t="inlineStr">
        <is>
          <t>A</t>
        </is>
      </c>
      <c r="E372" t="inlineStr">
        <is>
          <t>Cuba</t>
        </is>
      </c>
      <c r="G372" t="inlineStr">
        <is>
          <t>12/09/2000</t>
        </is>
      </c>
      <c r="H372" t="inlineStr">
        <is>
          <t>Male</t>
        </is>
      </c>
      <c r="I372" t="inlineStr">
        <is>
          <t>649221005</t>
        </is>
      </c>
      <c r="K372" t="inlineStr">
        <is>
          <t>Z7UAMAISM</t>
        </is>
      </c>
      <c r="M372" t="inlineStr">
        <is>
          <t>18/02/2025</t>
        </is>
      </c>
      <c r="N372" t="inlineStr">
        <is>
          <t>10/05/2025</t>
        </is>
      </c>
      <c r="R372" t="inlineStr">
        <is>
          <t>Hourly</t>
        </is>
      </c>
      <c r="X372" t="inlineStr">
        <is>
          <t>41</t>
        </is>
      </c>
      <c r="AF372" t="inlineStr">
        <is>
          <t>Non-exempt</t>
        </is>
      </c>
      <c r="AI372" t="inlineStr">
        <is>
          <t>ccuba.remson@gmail.com</t>
        </is>
      </c>
      <c r="AJ372" t="inlineStr">
        <is>
          <t>ccuba.remson@gmail.com</t>
        </is>
      </c>
      <c r="AL372" t="inlineStr">
        <is>
          <t>1 Lina Lane</t>
        </is>
      </c>
      <c r="AN372" t="inlineStr">
        <is>
          <t>Los Lunas</t>
        </is>
      </c>
      <c r="AO372" t="inlineStr">
        <is>
          <t>87031</t>
        </is>
      </c>
      <c r="AP372" t="inlineStr">
        <is>
          <t>NM</t>
        </is>
      </c>
      <c r="AR372" t="inlineStr">
        <is>
          <t>1 Lina Lane</t>
        </is>
      </c>
      <c r="AT372" t="inlineStr">
        <is>
          <t>Los Lunas</t>
        </is>
      </c>
      <c r="AU372" t="inlineStr">
        <is>
          <t>87031</t>
        </is>
      </c>
      <c r="AV372" t="inlineStr">
        <is>
          <t>NM</t>
        </is>
      </c>
      <c r="BB372" t="inlineStr">
        <is>
          <t>18/02/2025</t>
        </is>
      </c>
      <c r="BD372" t="inlineStr">
        <is>
          <t>DZWKT8LKB</t>
        </is>
      </c>
    </row>
    <row r="373" ht="15" customHeight="1" s="86">
      <c r="C373" t="inlineStr">
        <is>
          <t>Marcus</t>
        </is>
      </c>
      <c r="E373" t="inlineStr">
        <is>
          <t>Martinez</t>
        </is>
      </c>
      <c r="G373" t="inlineStr">
        <is>
          <t>20/07/1995</t>
        </is>
      </c>
      <c r="H373" t="inlineStr">
        <is>
          <t>Male</t>
        </is>
      </c>
      <c r="I373" t="inlineStr">
        <is>
          <t>648072847</t>
        </is>
      </c>
      <c r="J373" t="inlineStr">
        <is>
          <t>No</t>
        </is>
      </c>
      <c r="K373" t="inlineStr">
        <is>
          <t>Z9WOZ95QH</t>
        </is>
      </c>
      <c r="M373" t="inlineStr">
        <is>
          <t>29/10/2024</t>
        </is>
      </c>
      <c r="R373" t="inlineStr">
        <is>
          <t>Hourly</t>
        </is>
      </c>
      <c r="X373" t="inlineStr">
        <is>
          <t>21.75</t>
        </is>
      </c>
      <c r="AF373" t="inlineStr">
        <is>
          <t>Non-exempt</t>
        </is>
      </c>
      <c r="AJ373" t="inlineStr">
        <is>
          <t>mmartinez3.remson@gmail.com</t>
        </is>
      </c>
      <c r="AL373" t="inlineStr">
        <is>
          <t>3720 Tiovivo Cir Nw</t>
        </is>
      </c>
      <c r="AN373" t="inlineStr">
        <is>
          <t>Albuquerque</t>
        </is>
      </c>
      <c r="AO373" t="inlineStr">
        <is>
          <t>87107</t>
        </is>
      </c>
      <c r="AP373" t="inlineStr">
        <is>
          <t>NM</t>
        </is>
      </c>
      <c r="AR373" t="inlineStr">
        <is>
          <t>3720 Tiovivo Cir Nw</t>
        </is>
      </c>
      <c r="AT373" t="inlineStr">
        <is>
          <t>Albuquerque</t>
        </is>
      </c>
      <c r="AU373" t="inlineStr">
        <is>
          <t>87107</t>
        </is>
      </c>
      <c r="AV373" t="inlineStr">
        <is>
          <t>NM</t>
        </is>
      </c>
      <c r="BB373" t="inlineStr">
        <is>
          <t>29/10/2024</t>
        </is>
      </c>
    </row>
    <row r="374" ht="15" customHeight="1" s="86">
      <c r="C374" t="inlineStr">
        <is>
          <t>Marcus</t>
        </is>
      </c>
      <c r="E374" t="inlineStr">
        <is>
          <t>Martinez</t>
        </is>
      </c>
      <c r="G374" t="inlineStr">
        <is>
          <t>20/07/1995</t>
        </is>
      </c>
      <c r="H374" t="inlineStr">
        <is>
          <t>Male</t>
        </is>
      </c>
      <c r="I374" t="inlineStr">
        <is>
          <t>648072847</t>
        </is>
      </c>
      <c r="J374" t="inlineStr">
        <is>
          <t>No</t>
        </is>
      </c>
      <c r="K374" t="inlineStr">
        <is>
          <t>Z9WOZ95QH</t>
        </is>
      </c>
      <c r="M374" t="inlineStr">
        <is>
          <t>29/10/2024</t>
        </is>
      </c>
      <c r="N374" t="inlineStr">
        <is>
          <t>08/12/2025</t>
        </is>
      </c>
      <c r="R374" t="inlineStr">
        <is>
          <t>Hourly</t>
        </is>
      </c>
      <c r="X374" t="inlineStr">
        <is>
          <t>21.75</t>
        </is>
      </c>
      <c r="AF374" t="inlineStr">
        <is>
          <t>Non-exempt</t>
        </is>
      </c>
      <c r="AJ374" t="inlineStr">
        <is>
          <t>mmartinez3.remson@gmail.com</t>
        </is>
      </c>
      <c r="AL374" t="inlineStr">
        <is>
          <t>3720 Tiovivo Cir Nw</t>
        </is>
      </c>
      <c r="AN374" t="inlineStr">
        <is>
          <t>Albuquerque</t>
        </is>
      </c>
      <c r="AO374" t="inlineStr">
        <is>
          <t>87107</t>
        </is>
      </c>
      <c r="AP374" t="inlineStr">
        <is>
          <t>NM</t>
        </is>
      </c>
      <c r="AR374" t="inlineStr">
        <is>
          <t>3720 Tiovivo Cir Nw</t>
        </is>
      </c>
      <c r="AT374" t="inlineStr">
        <is>
          <t>Albuquerque</t>
        </is>
      </c>
      <c r="AU374" t="inlineStr">
        <is>
          <t>87107</t>
        </is>
      </c>
      <c r="AV374" t="inlineStr">
        <is>
          <t>NM</t>
        </is>
      </c>
      <c r="BB374" t="inlineStr">
        <is>
          <t>29/10/2024</t>
        </is>
      </c>
      <c r="BD374" t="inlineStr">
        <is>
          <t>Z4Y55Y33Y</t>
        </is>
      </c>
    </row>
    <row r="375" ht="15" customHeight="1" s="86">
      <c r="C375" t="inlineStr">
        <is>
          <t>Erika</t>
        </is>
      </c>
      <c r="D375" t="inlineStr">
        <is>
          <t>S</t>
        </is>
      </c>
      <c r="E375" t="inlineStr">
        <is>
          <t>Hernandez Flores</t>
        </is>
      </c>
      <c r="G375" t="inlineStr">
        <is>
          <t>20/10/2003</t>
        </is>
      </c>
      <c r="H375" t="inlineStr">
        <is>
          <t>Not Specified</t>
        </is>
      </c>
      <c r="I375" t="inlineStr">
        <is>
          <t>725827604</t>
        </is>
      </c>
      <c r="K375" t="inlineStr">
        <is>
          <t>ZB27YYF67</t>
        </is>
      </c>
      <c r="M375" t="inlineStr">
        <is>
          <t>18/09/2025</t>
        </is>
      </c>
      <c r="N375" t="inlineStr">
        <is>
          <t>08/12/2025</t>
        </is>
      </c>
      <c r="R375" t="inlineStr">
        <is>
          <t>Hourly</t>
        </is>
      </c>
      <c r="X375" t="inlineStr">
        <is>
          <t>21.5</t>
        </is>
      </c>
      <c r="AF375" t="inlineStr">
        <is>
          <t>Non-exempt</t>
        </is>
      </c>
      <c r="AJ375" t="inlineStr">
        <is>
          <t>ehernandez.remson@gmail.com</t>
        </is>
      </c>
      <c r="AL375" t="inlineStr">
        <is>
          <t>6931 Paese Place Northwest</t>
        </is>
      </c>
      <c r="AN375" t="inlineStr">
        <is>
          <t>Albuquerque</t>
        </is>
      </c>
      <c r="AO375" t="inlineStr">
        <is>
          <t>87114</t>
        </is>
      </c>
      <c r="AP375" t="inlineStr">
        <is>
          <t>NM</t>
        </is>
      </c>
      <c r="AR375" t="inlineStr">
        <is>
          <t>6931 Paese Place Northwest</t>
        </is>
      </c>
      <c r="AT375" t="inlineStr">
        <is>
          <t>Albuquerque</t>
        </is>
      </c>
      <c r="AU375" t="inlineStr">
        <is>
          <t>87114</t>
        </is>
      </c>
      <c r="AV375" t="inlineStr">
        <is>
          <t>NM</t>
        </is>
      </c>
      <c r="BB375" t="inlineStr">
        <is>
          <t>18/09/2025</t>
        </is>
      </c>
      <c r="BD375" t="inlineStr">
        <is>
          <t>Z4Y55Y33Y</t>
        </is>
      </c>
    </row>
    <row r="376" ht="15" customHeight="1" s="86">
      <c r="C376" t="inlineStr">
        <is>
          <t>Erika</t>
        </is>
      </c>
      <c r="D376" t="inlineStr">
        <is>
          <t>S</t>
        </is>
      </c>
      <c r="E376" t="inlineStr">
        <is>
          <t>Hernandez Flores</t>
        </is>
      </c>
      <c r="G376" t="inlineStr">
        <is>
          <t>20/10/2003</t>
        </is>
      </c>
      <c r="H376" t="inlineStr">
        <is>
          <t>Not Specified</t>
        </is>
      </c>
      <c r="I376" t="inlineStr">
        <is>
          <t>725827604</t>
        </is>
      </c>
      <c r="K376" t="inlineStr">
        <is>
          <t>ZB27YYF67</t>
        </is>
      </c>
      <c r="M376" t="inlineStr">
        <is>
          <t>18/09/2025</t>
        </is>
      </c>
      <c r="N376" t="inlineStr">
        <is>
          <t>13/12/2025</t>
        </is>
      </c>
      <c r="R376" t="inlineStr">
        <is>
          <t>Hourly</t>
        </is>
      </c>
      <c r="X376" t="inlineStr">
        <is>
          <t>21.5</t>
        </is>
      </c>
      <c r="AF376" t="inlineStr">
        <is>
          <t>Non-exempt</t>
        </is>
      </c>
      <c r="AJ376" t="inlineStr">
        <is>
          <t>ehernandez.remson@gmail.com</t>
        </is>
      </c>
      <c r="AL376" t="inlineStr">
        <is>
          <t>6931 Paese Place Northwest</t>
        </is>
      </c>
      <c r="AN376" t="inlineStr">
        <is>
          <t>Albuquerque</t>
        </is>
      </c>
      <c r="AO376" t="inlineStr">
        <is>
          <t>87114</t>
        </is>
      </c>
      <c r="AP376" t="inlineStr">
        <is>
          <t>NM</t>
        </is>
      </c>
      <c r="AR376" t="inlineStr">
        <is>
          <t>6931 Paese Place Northwest</t>
        </is>
      </c>
      <c r="AT376" t="inlineStr">
        <is>
          <t>Albuquerque</t>
        </is>
      </c>
      <c r="AU376" t="inlineStr">
        <is>
          <t>87114</t>
        </is>
      </c>
      <c r="AV376" t="inlineStr">
        <is>
          <t>NM</t>
        </is>
      </c>
      <c r="BB376" t="inlineStr">
        <is>
          <t>18/09/2025</t>
        </is>
      </c>
    </row>
    <row r="377" ht="15" customHeight="1" s="86">
      <c r="C377" t="inlineStr">
        <is>
          <t>Valeah</t>
        </is>
      </c>
      <c r="E377" t="inlineStr">
        <is>
          <t>Dubois</t>
        </is>
      </c>
      <c r="G377" t="inlineStr">
        <is>
          <t>13/11/2001</t>
        </is>
      </c>
      <c r="H377" t="inlineStr">
        <is>
          <t>Female</t>
        </is>
      </c>
      <c r="I377" t="inlineStr">
        <is>
          <t>648268070</t>
        </is>
      </c>
      <c r="J377" t="inlineStr">
        <is>
          <t>No</t>
        </is>
      </c>
      <c r="K377" t="inlineStr">
        <is>
          <t>ZYT55EZI7</t>
        </is>
      </c>
      <c r="M377" t="inlineStr">
        <is>
          <t>01/12/2024</t>
        </is>
      </c>
      <c r="N377" t="inlineStr">
        <is>
          <t>20/01/2025</t>
        </is>
      </c>
      <c r="R377" t="inlineStr">
        <is>
          <t>Hourly</t>
        </is>
      </c>
      <c r="X377" t="inlineStr">
        <is>
          <t>41</t>
        </is>
      </c>
      <c r="AF377" t="inlineStr">
        <is>
          <t>Non-exempt</t>
        </is>
      </c>
      <c r="AI377" t="inlineStr">
        <is>
          <t>vdubois.remson@gmail.com</t>
        </is>
      </c>
      <c r="AJ377" t="inlineStr">
        <is>
          <t>vdubois.remson@gmail.com</t>
        </is>
      </c>
      <c r="AL377" t="inlineStr">
        <is>
          <t>5532 Barranca Overlook Ct Ne</t>
        </is>
      </c>
      <c r="AN377" t="inlineStr">
        <is>
          <t>Rio Rancho</t>
        </is>
      </c>
      <c r="AO377" t="inlineStr">
        <is>
          <t>87144</t>
        </is>
      </c>
      <c r="AP377" t="inlineStr">
        <is>
          <t>NM</t>
        </is>
      </c>
      <c r="AR377" t="inlineStr">
        <is>
          <t>5532 Barranca Overlook Ct Ne</t>
        </is>
      </c>
      <c r="AT377" t="inlineStr">
        <is>
          <t>Rio Rancho</t>
        </is>
      </c>
      <c r="AU377" t="inlineStr">
        <is>
          <t>87144</t>
        </is>
      </c>
      <c r="AV377" t="inlineStr">
        <is>
          <t>NM</t>
        </is>
      </c>
      <c r="BB377" t="inlineStr">
        <is>
          <t>01/12/2024</t>
        </is>
      </c>
    </row>
    <row r="378" ht="15" customHeight="1" s="86"/>
    <row r="379" ht="15" customHeight="1" s="86"/>
    <row r="380" ht="15" customHeight="1" s="86"/>
    <row r="381" ht="15" customHeight="1" s="86"/>
    <row r="382" ht="15" customHeight="1" s="86"/>
    <row r="383" ht="15" customHeight="1" s="86"/>
    <row r="384" ht="15" customHeight="1" s="86"/>
    <row r="385" ht="15" customHeight="1" s="86"/>
    <row r="386" ht="15" customHeight="1" s="86"/>
    <row r="387" ht="15" customHeight="1" s="86"/>
    <row r="388" ht="15" customHeight="1" s="86"/>
    <row r="389" ht="15" customHeight="1" s="86"/>
    <row r="390" ht="15" customHeight="1" s="86"/>
    <row r="391" ht="15" customHeight="1" s="86"/>
    <row r="392" ht="15" customHeight="1" s="86"/>
    <row r="393" ht="15" customHeight="1" s="86"/>
    <row r="394" ht="15" customHeight="1" s="86"/>
    <row r="395" ht="15" customHeight="1" s="86"/>
    <row r="396" ht="15" customHeight="1" s="86"/>
    <row r="397" ht="15" customHeight="1" s="86"/>
    <row r="398" ht="15" customHeight="1" s="86"/>
    <row r="399" ht="15" customHeight="1" s="86"/>
    <row r="400" ht="15" customHeight="1" s="86"/>
    <row r="401" ht="15" customHeight="1" s="86"/>
    <row r="402" ht="15" customHeight="1" s="86"/>
    <row r="403" ht="15" customHeight="1" s="86"/>
    <row r="404" ht="15" customHeight="1" s="86"/>
    <row r="405" ht="15" customHeight="1" s="86"/>
    <row r="406" ht="15" customHeight="1" s="86"/>
    <row r="407" ht="15" customHeight="1" s="86"/>
    <row r="408" ht="15" customHeight="1" s="86"/>
    <row r="409" ht="15" customHeight="1" s="86"/>
    <row r="410" ht="15" customHeight="1" s="86"/>
    <row r="411" ht="15" customHeight="1" s="86"/>
    <row r="412" ht="15" customHeight="1" s="86"/>
    <row r="413" ht="15" customHeight="1" s="86"/>
    <row r="414" ht="15" customHeight="1" s="86"/>
    <row r="415" ht="15" customHeight="1" s="86"/>
    <row r="416" ht="15" customHeight="1" s="86"/>
    <row r="417" ht="15" customHeight="1" s="86"/>
    <row r="418" ht="15" customHeight="1" s="86"/>
    <row r="419" ht="15" customHeight="1" s="86"/>
    <row r="420" ht="15" customHeight="1" s="86"/>
    <row r="421" ht="15" customHeight="1" s="86"/>
    <row r="422" ht="15" customHeight="1" s="86"/>
    <row r="423" ht="15" customHeight="1" s="86"/>
    <row r="424" ht="15" customHeight="1" s="86"/>
    <row r="425" ht="15" customHeight="1" s="86"/>
    <row r="426" ht="15" customHeight="1" s="86"/>
    <row r="427" ht="15" customHeight="1" s="86"/>
    <row r="428" ht="15" customHeight="1" s="86"/>
    <row r="429" ht="15" customHeight="1" s="86"/>
    <row r="430" ht="15" customHeight="1" s="86"/>
    <row r="431" ht="15" customHeight="1" s="86"/>
    <row r="432" ht="15" customHeight="1" s="86"/>
    <row r="433" ht="15" customHeight="1" s="86"/>
    <row r="434" ht="15" customHeight="1" s="86"/>
    <row r="435" ht="15" customHeight="1" s="86"/>
    <row r="436" ht="15" customHeight="1" s="86"/>
    <row r="437" ht="15" customHeight="1" s="86"/>
    <row r="438" ht="15" customHeight="1" s="86"/>
    <row r="439" ht="15" customHeight="1" s="86"/>
    <row r="440" ht="15" customHeight="1" s="86"/>
    <row r="441" ht="15" customHeight="1" s="86"/>
    <row r="442" ht="15" customHeight="1" s="86"/>
    <row r="443" ht="15" customHeight="1" s="86"/>
    <row r="444" ht="15" customHeight="1" s="86"/>
    <row r="445" ht="15" customHeight="1" s="86"/>
    <row r="446" ht="15" customHeight="1" s="86"/>
    <row r="447" ht="15" customHeight="1" s="86"/>
    <row r="448" ht="15" customHeight="1" s="86"/>
    <row r="449" ht="15" customHeight="1" s="86"/>
    <row r="450" ht="15" customHeight="1" s="86"/>
    <row r="451" ht="15" customHeight="1" s="86"/>
    <row r="452" ht="15" customHeight="1" s="86"/>
    <row r="453" ht="15" customHeight="1" s="86"/>
    <row r="454" ht="15" customHeight="1" s="86"/>
    <row r="455" ht="15" customHeight="1" s="86"/>
    <row r="456" ht="15" customHeight="1" s="86"/>
    <row r="457" ht="15" customHeight="1" s="86"/>
    <row r="458" ht="15" customHeight="1" s="86"/>
    <row r="459" ht="15" customHeight="1" s="86"/>
    <row r="460" ht="15" customHeight="1" s="86"/>
    <row r="461" ht="15" customHeight="1" s="86"/>
    <row r="462" ht="15" customHeight="1" s="86"/>
    <row r="463" ht="15" customHeight="1" s="86"/>
    <row r="464" ht="15" customHeight="1" s="86"/>
    <row r="465" ht="15" customHeight="1" s="86"/>
    <row r="466" ht="15" customHeight="1" s="86"/>
    <row r="467" ht="15" customHeight="1" s="86"/>
    <row r="468" ht="15" customHeight="1" s="86"/>
    <row r="469" ht="15" customHeight="1" s="86"/>
    <row r="470" ht="15" customHeight="1" s="86"/>
    <row r="471" ht="15" customHeight="1" s="86"/>
    <row r="472" ht="15" customHeight="1" s="86"/>
    <row r="473" ht="15" customHeight="1" s="86"/>
    <row r="474" ht="15" customHeight="1" s="86"/>
    <row r="475" ht="15" customHeight="1" s="86"/>
    <row r="476" ht="15" customHeight="1" s="86"/>
    <row r="477" ht="15" customHeight="1" s="86"/>
    <row r="478" ht="15" customHeight="1" s="86"/>
    <row r="479" ht="15" customHeight="1" s="86"/>
    <row r="480" ht="15" customHeight="1" s="86"/>
    <row r="481" ht="15" customHeight="1" s="86"/>
    <row r="482" ht="15" customHeight="1" s="86"/>
    <row r="483" ht="15" customHeight="1" s="86"/>
    <row r="484" ht="15" customHeight="1" s="86"/>
    <row r="485" ht="15" customHeight="1" s="86"/>
    <row r="486" ht="15" customHeight="1" s="86"/>
    <row r="487" ht="15" customHeight="1" s="86"/>
    <row r="488" ht="15" customHeight="1" s="86"/>
    <row r="489" ht="15" customHeight="1" s="86"/>
    <row r="490" ht="15" customHeight="1" s="86"/>
    <row r="491" ht="15" customHeight="1" s="86"/>
    <row r="492" ht="15" customHeight="1" s="86"/>
    <row r="493" ht="15" customHeight="1" s="86"/>
    <row r="494" ht="15" customHeight="1" s="86"/>
    <row r="495" ht="15" customHeight="1" s="86"/>
    <row r="496" ht="15" customHeight="1" s="86"/>
    <row r="497" ht="15" customHeight="1" s="86"/>
    <row r="498" ht="15" customHeight="1" s="86"/>
    <row r="499" ht="15" customHeight="1" s="86"/>
    <row r="500" ht="15" customHeight="1" s="86"/>
    <row r="501" ht="15" customHeight="1" s="86"/>
    <row r="502" ht="15" customHeight="1" s="86"/>
    <row r="503" ht="15" customHeight="1" s="86"/>
    <row r="504" ht="15" customHeight="1" s="86"/>
    <row r="505" ht="15" customHeight="1" s="86"/>
    <row r="506" ht="15" customHeight="1" s="86"/>
    <row r="507" ht="15" customHeight="1" s="86"/>
    <row r="508" ht="15" customHeight="1" s="86"/>
    <row r="509" ht="15" customHeight="1" s="86"/>
    <row r="510" ht="15" customHeight="1" s="86"/>
    <row r="511" ht="15" customHeight="1" s="86"/>
    <row r="512" ht="15" customHeight="1" s="86"/>
    <row r="513" ht="15" customHeight="1" s="86"/>
    <row r="514" ht="15" customHeight="1" s="86"/>
    <row r="515" ht="15" customHeight="1" s="86"/>
    <row r="516" ht="15" customHeight="1" s="86"/>
    <row r="517" ht="15" customHeight="1" s="86"/>
    <row r="518" ht="15" customHeight="1" s="86"/>
    <row r="519" ht="15" customHeight="1" s="86"/>
    <row r="520" ht="15" customHeight="1" s="86"/>
    <row r="521" ht="15" customHeight="1" s="86"/>
    <row r="522" ht="15" customHeight="1" s="86"/>
    <row r="523" ht="15" customHeight="1" s="86"/>
    <row r="524" ht="15" customHeight="1" s="86"/>
    <row r="525" ht="15" customHeight="1" s="86"/>
    <row r="526" ht="15" customHeight="1" s="86"/>
    <row r="527" ht="15" customHeight="1" s="86"/>
    <row r="528" ht="15" customHeight="1" s="86"/>
    <row r="529" ht="15" customHeight="1" s="86"/>
    <row r="530" ht="15" customHeight="1" s="86"/>
    <row r="531" ht="15" customHeight="1" s="86"/>
    <row r="532" ht="15" customHeight="1" s="86"/>
    <row r="533" ht="15" customHeight="1" s="86"/>
    <row r="534" ht="15" customHeight="1" s="86"/>
    <row r="535" ht="15" customHeight="1" s="86"/>
    <row r="536" ht="15" customHeight="1" s="86"/>
    <row r="537" ht="15" customHeight="1" s="86"/>
    <row r="538" ht="15" customHeight="1" s="86"/>
    <row r="539" ht="15" customHeight="1" s="86"/>
    <row r="540" ht="15" customHeight="1" s="86"/>
    <row r="541" ht="15" customHeight="1" s="86"/>
    <row r="542" ht="15" customHeight="1" s="86"/>
    <row r="543" ht="15" customHeight="1" s="86"/>
    <row r="544" ht="15" customHeight="1" s="86"/>
    <row r="545" ht="15" customHeight="1" s="86"/>
    <row r="546" ht="15" customHeight="1" s="86"/>
    <row r="547" ht="15" customHeight="1" s="86"/>
    <row r="548" ht="15" customHeight="1" s="86"/>
    <row r="549" ht="15" customHeight="1" s="86"/>
    <row r="550" ht="15" customHeight="1" s="86"/>
    <row r="551" ht="15" customHeight="1" s="86"/>
    <row r="552" ht="15" customHeight="1" s="86"/>
    <row r="553" ht="15" customHeight="1" s="86"/>
    <row r="554" ht="15" customHeight="1" s="86"/>
    <row r="555" ht="15" customHeight="1" s="86"/>
    <row r="556" ht="15" customHeight="1" s="86"/>
    <row r="557" ht="15" customHeight="1" s="86"/>
    <row r="558" ht="15" customHeight="1" s="86"/>
    <row r="559" ht="15" customHeight="1" s="86"/>
    <row r="560" ht="15" customHeight="1" s="86"/>
    <row r="561" ht="15" customHeight="1" s="86"/>
    <row r="562" ht="15" customHeight="1" s="86"/>
    <row r="563" ht="15" customHeight="1" s="86"/>
    <row r="564" ht="15" customHeight="1" s="86"/>
    <row r="565" ht="15" customHeight="1" s="86"/>
    <row r="566" ht="15" customHeight="1" s="86"/>
    <row r="567" ht="15" customHeight="1" s="86"/>
    <row r="568" ht="15" customHeight="1" s="86"/>
    <row r="569" ht="15" customHeight="1" s="86"/>
    <row r="570" ht="15" customHeight="1" s="86"/>
    <row r="571" ht="15" customHeight="1" s="86"/>
    <row r="572" ht="15" customHeight="1" s="86"/>
    <row r="573" ht="15" customHeight="1" s="86"/>
    <row r="574" ht="15" customHeight="1" s="86"/>
    <row r="575" ht="15" customHeight="1" s="86"/>
    <row r="576" ht="15" customHeight="1" s="86"/>
    <row r="577" ht="15" customHeight="1" s="86"/>
    <row r="578" ht="15" customHeight="1" s="86"/>
    <row r="579" ht="15" customHeight="1" s="86"/>
    <row r="580" ht="15" customHeight="1" s="86"/>
    <row r="581" ht="15" customHeight="1" s="86"/>
    <row r="582" ht="15" customHeight="1" s="86"/>
    <row r="583" ht="15" customHeight="1" s="86"/>
    <row r="584" ht="15" customHeight="1" s="86"/>
    <row r="585" ht="15" customHeight="1" s="86"/>
    <row r="586" ht="15" customHeight="1" s="86"/>
    <row r="587" ht="15" customHeight="1" s="86"/>
    <row r="588" ht="15" customHeight="1" s="86"/>
    <row r="589" ht="15" customHeight="1" s="86"/>
    <row r="590" ht="15" customHeight="1" s="86"/>
    <row r="591" ht="15" customHeight="1" s="86"/>
    <row r="592" ht="15" customHeight="1" s="86"/>
    <row r="593" ht="15" customHeight="1" s="86"/>
    <row r="594" ht="15" customHeight="1" s="86"/>
    <row r="595" ht="15" customHeight="1" s="86"/>
    <row r="596" ht="15" customHeight="1" s="86"/>
    <row r="597" ht="15" customHeight="1" s="86"/>
    <row r="598" ht="15" customHeight="1" s="86"/>
    <row r="599" ht="15" customHeight="1" s="86"/>
    <row r="600" ht="15" customHeight="1" s="86"/>
    <row r="601" ht="15" customHeight="1" s="86"/>
    <row r="602" ht="15" customHeight="1" s="86"/>
    <row r="603" ht="15" customHeight="1" s="86"/>
    <row r="604" ht="15" customHeight="1" s="86"/>
    <row r="605" ht="15" customHeight="1" s="86"/>
    <row r="606" ht="15" customHeight="1" s="86"/>
    <row r="607" ht="15" customHeight="1" s="86"/>
    <row r="608" ht="15" customHeight="1" s="86"/>
    <row r="609" ht="15" customHeight="1" s="86"/>
    <row r="610" ht="15" customHeight="1" s="86"/>
    <row r="611" ht="15" customHeight="1" s="86"/>
    <row r="612" ht="15" customHeight="1" s="86"/>
    <row r="613" ht="15" customHeight="1" s="86"/>
    <row r="614" ht="15" customHeight="1" s="86"/>
    <row r="615" ht="15" customHeight="1" s="86"/>
    <row r="616" ht="15" customHeight="1" s="86"/>
    <row r="617" ht="15" customHeight="1" s="86"/>
    <row r="618" ht="15" customHeight="1" s="86"/>
    <row r="619" ht="15" customHeight="1" s="86"/>
    <row r="620" ht="15" customHeight="1" s="86"/>
    <row r="621" ht="15" customHeight="1" s="86"/>
    <row r="622" ht="15" customHeight="1" s="86"/>
    <row r="623" ht="15" customHeight="1" s="86"/>
    <row r="624" ht="15" customHeight="1" s="86"/>
    <row r="625" ht="15" customHeight="1" s="86"/>
    <row r="626" ht="15" customHeight="1" s="86"/>
    <row r="627" ht="15" customHeight="1" s="86"/>
    <row r="628" ht="15" customHeight="1" s="86"/>
    <row r="629" ht="15" customHeight="1" s="86"/>
    <row r="630" ht="15" customHeight="1" s="86"/>
    <row r="631" ht="15" customHeight="1" s="86"/>
    <row r="632" ht="15" customHeight="1" s="86"/>
    <row r="633" ht="15" customHeight="1" s="86"/>
    <row r="634" ht="15" customHeight="1" s="86"/>
    <row r="635" ht="15" customHeight="1" s="86"/>
    <row r="636" ht="15" customHeight="1" s="86"/>
    <row r="637" ht="15" customHeight="1" s="86"/>
    <row r="638" ht="15" customHeight="1" s="86"/>
    <row r="639" ht="15" customHeight="1" s="86"/>
    <row r="640" ht="15" customHeight="1" s="86"/>
    <row r="641" ht="15" customHeight="1" s="86"/>
    <row r="642" ht="15" customHeight="1" s="86"/>
    <row r="643" ht="15" customHeight="1" s="86"/>
    <row r="644" ht="15" customHeight="1" s="86"/>
    <row r="645" ht="15" customHeight="1" s="86"/>
    <row r="646" ht="15" customHeight="1" s="86"/>
    <row r="647" ht="15" customHeight="1" s="86"/>
    <row r="648" ht="15" customHeight="1" s="86"/>
    <row r="649" ht="15" customHeight="1" s="86"/>
    <row r="650" ht="15" customHeight="1" s="86"/>
    <row r="651" ht="15" customHeight="1" s="86"/>
    <row r="652" ht="15" customHeight="1" s="86"/>
    <row r="653" ht="15" customHeight="1" s="86"/>
    <row r="654" ht="15" customHeight="1" s="86"/>
    <row r="655" ht="15" customHeight="1" s="86"/>
    <row r="656" ht="15" customHeight="1" s="86"/>
    <row r="657" ht="15" customHeight="1" s="86"/>
    <row r="658" ht="15" customHeight="1" s="86"/>
    <row r="659" ht="15" customHeight="1" s="86"/>
    <row r="660" ht="15" customHeight="1" s="86"/>
    <row r="661" ht="15" customHeight="1" s="86"/>
    <row r="662" ht="15" customHeight="1" s="86"/>
    <row r="663" ht="15" customHeight="1" s="86"/>
    <row r="664" ht="15" customHeight="1" s="86"/>
    <row r="665" ht="15" customHeight="1" s="86"/>
    <row r="666" ht="15" customHeight="1" s="86"/>
    <row r="667" ht="15" customHeight="1" s="86"/>
    <row r="668" ht="15" customHeight="1" s="86"/>
    <row r="669" ht="15" customHeight="1" s="86"/>
    <row r="670" ht="15" customHeight="1" s="86"/>
    <row r="671" ht="15" customHeight="1" s="86"/>
    <row r="672" ht="15" customHeight="1" s="86"/>
    <row r="673" ht="15" customHeight="1" s="86"/>
    <row r="674" ht="15" customHeight="1" s="86"/>
    <row r="675" ht="15" customHeight="1" s="86"/>
    <row r="676" ht="15" customHeight="1" s="86"/>
    <row r="677" ht="15" customHeight="1" s="86"/>
    <row r="678" ht="15" customHeight="1" s="86"/>
    <row r="679" ht="15" customHeight="1" s="86"/>
    <row r="680" ht="15" customHeight="1" s="86"/>
    <row r="681" ht="15" customHeight="1" s="86"/>
    <row r="682" ht="15" customHeight="1" s="86"/>
    <row r="683" ht="15" customHeight="1" s="86"/>
    <row r="684" ht="15" customHeight="1" s="86"/>
    <row r="685" ht="15" customHeight="1" s="86"/>
    <row r="686" ht="15" customHeight="1" s="86"/>
    <row r="687" ht="15" customHeight="1" s="86"/>
    <row r="688" ht="15" customHeight="1" s="86"/>
    <row r="689" ht="15" customHeight="1" s="86"/>
    <row r="690" ht="15" customHeight="1" s="86"/>
    <row r="691" ht="15" customHeight="1" s="86"/>
    <row r="692" ht="15" customHeight="1" s="86"/>
    <row r="693" ht="15" customHeight="1" s="86"/>
    <row r="694" ht="15" customHeight="1" s="86"/>
    <row r="695" ht="15" customHeight="1" s="86"/>
    <row r="696" ht="15" customHeight="1" s="86"/>
    <row r="697" ht="15" customHeight="1" s="86"/>
    <row r="698" ht="15" customHeight="1" s="86"/>
    <row r="699" ht="15" customHeight="1" s="86"/>
    <row r="700" ht="15" customHeight="1" s="86"/>
    <row r="701" ht="15" customHeight="1" s="86"/>
    <row r="702" ht="15" customHeight="1" s="86"/>
    <row r="703" ht="15" customHeight="1" s="86"/>
    <row r="704" ht="15" customHeight="1" s="86"/>
    <row r="705" ht="15" customHeight="1" s="86"/>
    <row r="706" ht="15" customHeight="1" s="86"/>
    <row r="707" ht="15" customHeight="1" s="86"/>
    <row r="708" ht="15" customHeight="1" s="86"/>
    <row r="709" ht="15" customHeight="1" s="86"/>
    <row r="710" ht="15" customHeight="1" s="86"/>
    <row r="711" ht="15" customHeight="1" s="86"/>
    <row r="712" ht="15" customHeight="1" s="86"/>
    <row r="713" ht="15" customHeight="1" s="86"/>
    <row r="714" ht="15" customHeight="1" s="86"/>
    <row r="715" ht="15" customHeight="1" s="86"/>
    <row r="716" ht="15" customHeight="1" s="86"/>
    <row r="717" ht="15" customHeight="1" s="86"/>
    <row r="718" ht="15" customHeight="1" s="86"/>
    <row r="719" ht="15" customHeight="1" s="86"/>
    <row r="720" ht="15" customHeight="1" s="86"/>
    <row r="721" ht="15" customHeight="1" s="86"/>
    <row r="722" ht="15" customHeight="1" s="86"/>
    <row r="723" ht="15" customHeight="1" s="86"/>
    <row r="724" ht="15" customHeight="1" s="86"/>
    <row r="725" ht="15" customHeight="1" s="86"/>
    <row r="726" ht="15" customHeight="1" s="86"/>
    <row r="727" ht="15" customHeight="1" s="86"/>
    <row r="728" ht="15" customHeight="1" s="86"/>
    <row r="729" ht="15" customHeight="1" s="86"/>
    <row r="730" ht="15" customHeight="1" s="86"/>
    <row r="731" ht="15" customHeight="1" s="86"/>
    <row r="732" ht="15" customHeight="1" s="86"/>
    <row r="733" ht="15" customHeight="1" s="86"/>
    <row r="734" ht="15" customHeight="1" s="86"/>
    <row r="735" ht="15" customHeight="1" s="86"/>
    <row r="736" ht="15" customHeight="1" s="86"/>
    <row r="737" ht="15" customHeight="1" s="86"/>
    <row r="738" ht="15" customHeight="1" s="86"/>
    <row r="739" ht="15" customHeight="1" s="86"/>
    <row r="740" ht="15" customHeight="1" s="86"/>
    <row r="741" ht="15" customHeight="1" s="86"/>
    <row r="742" ht="15" customHeight="1" s="86"/>
    <row r="743" ht="15" customHeight="1" s="86"/>
    <row r="744" ht="15" customHeight="1" s="86"/>
    <row r="745" ht="15" customHeight="1" s="86"/>
    <row r="746" ht="15" customHeight="1" s="86"/>
    <row r="747" ht="15" customHeight="1" s="86"/>
    <row r="748" ht="15" customHeight="1" s="86"/>
    <row r="749" ht="15" customHeight="1" s="86"/>
    <row r="750" ht="15" customHeight="1" s="86"/>
    <row r="751" ht="15" customHeight="1" s="86"/>
    <row r="752" ht="15" customHeight="1" s="86"/>
    <row r="753" ht="15" customHeight="1" s="86"/>
    <row r="754" ht="15" customHeight="1" s="86"/>
    <row r="755" ht="15" customHeight="1" s="86"/>
    <row r="756" ht="15" customHeight="1" s="86"/>
    <row r="757" ht="15" customHeight="1" s="86"/>
    <row r="758" ht="15" customHeight="1" s="86"/>
    <row r="759" ht="15" customHeight="1" s="86"/>
    <row r="760" ht="15" customHeight="1" s="86"/>
    <row r="761" ht="15" customHeight="1" s="86"/>
    <row r="762" ht="15" customHeight="1" s="86"/>
    <row r="763" ht="15" customHeight="1" s="86"/>
    <row r="764" ht="15" customHeight="1" s="86"/>
    <row r="765" ht="15" customHeight="1" s="86"/>
    <row r="766" ht="15" customHeight="1" s="86"/>
    <row r="767" ht="15" customHeight="1" s="86"/>
    <row r="768" ht="15" customHeight="1" s="86"/>
    <row r="769" ht="15" customHeight="1" s="86"/>
    <row r="770" ht="15" customHeight="1" s="86"/>
    <row r="771" ht="15" customHeight="1" s="86"/>
    <row r="772" ht="15" customHeight="1" s="86"/>
    <row r="773" ht="15" customHeight="1" s="86"/>
    <row r="774" ht="15" customHeight="1" s="86"/>
    <row r="775" ht="15" customHeight="1" s="86"/>
    <row r="776" ht="15" customHeight="1" s="86"/>
    <row r="777" ht="15" customHeight="1" s="86"/>
    <row r="778" ht="15" customHeight="1" s="86"/>
    <row r="779" ht="15" customHeight="1" s="86"/>
    <row r="780" ht="15" customHeight="1" s="86"/>
    <row r="781" ht="15" customHeight="1" s="86"/>
    <row r="782" ht="15" customHeight="1" s="86"/>
    <row r="783" ht="15" customHeight="1" s="86"/>
    <row r="784" ht="15" customHeight="1" s="86"/>
    <row r="785" ht="15" customHeight="1" s="86"/>
    <row r="786" ht="15" customHeight="1" s="86"/>
    <row r="787" ht="15" customHeight="1" s="86"/>
    <row r="788" ht="15" customHeight="1" s="86"/>
    <row r="789" ht="15" customHeight="1" s="86"/>
    <row r="790" ht="15" customHeight="1" s="86"/>
    <row r="791" ht="15" customHeight="1" s="86"/>
    <row r="792" ht="15" customHeight="1" s="86"/>
    <row r="793" ht="15" customHeight="1" s="86"/>
    <row r="794" ht="15" customHeight="1" s="86"/>
    <row r="795" ht="15" customHeight="1" s="86"/>
    <row r="796" ht="15" customHeight="1" s="86"/>
    <row r="797" ht="15" customHeight="1" s="86"/>
    <row r="798" ht="15" customHeight="1" s="86"/>
    <row r="799" ht="15" customHeight="1" s="86"/>
    <row r="800" ht="15" customHeight="1" s="86"/>
    <row r="801" ht="15" customHeight="1" s="86"/>
    <row r="802" ht="15" customHeight="1" s="86"/>
    <row r="803" ht="15" customHeight="1" s="86"/>
    <row r="804" ht="15" customHeight="1" s="86"/>
    <row r="805" ht="15" customHeight="1" s="86"/>
    <row r="806" ht="15" customHeight="1" s="86"/>
    <row r="807" ht="15" customHeight="1" s="86"/>
    <row r="808" ht="15" customHeight="1" s="86"/>
    <row r="809" ht="15" customHeight="1" s="86"/>
    <row r="810" ht="15" customHeight="1" s="86"/>
    <row r="811" ht="15" customHeight="1" s="86"/>
    <row r="812" ht="15" customHeight="1" s="86"/>
    <row r="813" ht="15" customHeight="1" s="86"/>
    <row r="814" ht="15" customHeight="1" s="86"/>
    <row r="815" ht="15" customHeight="1" s="86"/>
    <row r="816" ht="15" customHeight="1" s="86"/>
    <row r="817" ht="15" customHeight="1" s="86"/>
    <row r="818" ht="15" customHeight="1" s="86"/>
    <row r="819" ht="15" customHeight="1" s="86"/>
    <row r="820" ht="15" customHeight="1" s="86"/>
    <row r="821" ht="15" customHeight="1" s="86"/>
    <row r="822" ht="15" customHeight="1" s="86"/>
    <row r="823" ht="15" customHeight="1" s="86"/>
    <row r="824" ht="15" customHeight="1" s="86"/>
    <row r="825" ht="15" customHeight="1" s="86"/>
    <row r="826" ht="15" customHeight="1" s="86"/>
    <row r="827" ht="15" customHeight="1" s="86"/>
    <row r="828" ht="15" customHeight="1" s="86"/>
    <row r="829" ht="15" customHeight="1" s="86"/>
    <row r="830" ht="15" customHeight="1" s="86"/>
    <row r="831" ht="15" customHeight="1" s="86"/>
    <row r="832" ht="15" customHeight="1" s="86"/>
    <row r="833" ht="15" customHeight="1" s="86"/>
    <row r="834" ht="15" customHeight="1" s="86"/>
    <row r="835" ht="15" customHeight="1" s="86"/>
    <row r="836" ht="15" customHeight="1" s="86"/>
    <row r="837" ht="15" customHeight="1" s="86"/>
    <row r="838" ht="15" customHeight="1" s="86"/>
    <row r="839" ht="15" customHeight="1" s="86"/>
    <row r="840" ht="15" customHeight="1" s="86"/>
    <row r="841" ht="15" customHeight="1" s="86"/>
    <row r="842" ht="15" customHeight="1" s="86"/>
    <row r="843" ht="15" customHeight="1" s="86"/>
    <row r="844" ht="15" customHeight="1" s="86"/>
    <row r="845" ht="15" customHeight="1" s="86"/>
    <row r="846" ht="15" customHeight="1" s="86"/>
    <row r="847" ht="15" customHeight="1" s="86"/>
    <row r="848" ht="15" customHeight="1" s="86"/>
    <row r="849" ht="15" customHeight="1" s="86"/>
    <row r="850" ht="15" customHeight="1" s="86"/>
    <row r="851" ht="15" customHeight="1" s="86"/>
    <row r="852" ht="15" customHeight="1" s="86"/>
    <row r="853" ht="15" customHeight="1" s="86"/>
    <row r="854" ht="15" customHeight="1" s="86"/>
    <row r="855" ht="15" customHeight="1" s="86"/>
    <row r="856" ht="15" customHeight="1" s="86"/>
    <row r="857" ht="15" customHeight="1" s="86"/>
    <row r="858" ht="15" customHeight="1" s="86"/>
    <row r="859" ht="15" customHeight="1" s="86"/>
    <row r="860" ht="15" customHeight="1" s="86"/>
    <row r="861" ht="15" customHeight="1" s="86"/>
    <row r="862" ht="15" customHeight="1" s="86"/>
    <row r="863" ht="15" customHeight="1" s="86"/>
    <row r="864" ht="15" customHeight="1" s="86"/>
    <row r="865" ht="15" customHeight="1" s="86"/>
    <row r="866" ht="15" customHeight="1" s="86"/>
    <row r="867" ht="15" customHeight="1" s="86"/>
    <row r="868" ht="15" customHeight="1" s="86"/>
    <row r="869" ht="15" customHeight="1" s="86"/>
    <row r="870" ht="15" customHeight="1" s="86"/>
    <row r="871" ht="15" customHeight="1" s="86"/>
    <row r="872" ht="15" customHeight="1" s="86"/>
    <row r="873" ht="15" customHeight="1" s="86"/>
    <row r="874" ht="15" customHeight="1" s="86"/>
    <row r="875" ht="15" customHeight="1" s="86"/>
    <row r="876" ht="15" customHeight="1" s="86"/>
    <row r="877" ht="15" customHeight="1" s="86"/>
    <row r="878" ht="15" customHeight="1" s="86"/>
    <row r="879" ht="15" customHeight="1" s="86"/>
    <row r="880" ht="15" customHeight="1" s="86"/>
    <row r="881" ht="15" customHeight="1" s="86"/>
    <row r="882" ht="15" customHeight="1" s="86"/>
    <row r="883" ht="15" customHeight="1" s="86"/>
    <row r="884" ht="15" customHeight="1" s="86"/>
    <row r="885" ht="15" customHeight="1" s="86"/>
    <row r="886" ht="15" customHeight="1" s="86"/>
    <row r="887" ht="15" customHeight="1" s="86"/>
    <row r="888" ht="15" customHeight="1" s="86"/>
    <row r="889" ht="15" customHeight="1" s="86"/>
    <row r="890" ht="15" customHeight="1" s="86"/>
    <row r="891" ht="15" customHeight="1" s="86"/>
    <row r="892" ht="15" customHeight="1" s="86"/>
    <row r="893" ht="15" customHeight="1" s="86"/>
    <row r="894" ht="15" customHeight="1" s="86"/>
    <row r="895" ht="15" customHeight="1" s="86"/>
    <row r="896" ht="15" customHeight="1" s="86"/>
    <row r="897" ht="15" customHeight="1" s="86"/>
    <row r="898" ht="15" customHeight="1" s="86"/>
    <row r="899" ht="15" customHeight="1" s="86"/>
    <row r="900" ht="15" customHeight="1" s="86"/>
    <row r="901" ht="15" customHeight="1" s="86"/>
    <row r="902" ht="15" customHeight="1" s="86"/>
    <row r="903" ht="15" customHeight="1" s="86"/>
    <row r="904" ht="15" customHeight="1" s="86"/>
    <row r="905" ht="15" customHeight="1" s="86"/>
    <row r="906" ht="15" customHeight="1" s="86"/>
    <row r="907" ht="15" customHeight="1" s="86"/>
    <row r="908" ht="15" customHeight="1" s="86"/>
    <row r="909" ht="15" customHeight="1" s="86"/>
    <row r="910" ht="15" customHeight="1" s="86"/>
    <row r="911" ht="15" customHeight="1" s="86"/>
    <row r="912" ht="15" customHeight="1" s="86"/>
    <row r="913" ht="15" customHeight="1" s="86"/>
    <row r="914" ht="15" customHeight="1" s="86"/>
    <row r="915" ht="15" customHeight="1" s="86"/>
    <row r="916" ht="15" customHeight="1" s="86"/>
    <row r="917" ht="15" customHeight="1" s="86"/>
    <row r="918" ht="15" customHeight="1" s="86"/>
    <row r="919" ht="15" customHeight="1" s="86"/>
    <row r="920" ht="15" customHeight="1" s="86"/>
    <row r="921" ht="15" customHeight="1" s="86"/>
    <row r="922" ht="15" customHeight="1" s="86"/>
    <row r="923" ht="15" customHeight="1" s="86"/>
    <row r="924" ht="15" customHeight="1" s="86"/>
    <row r="925" ht="15" customHeight="1" s="86"/>
    <row r="926" ht="15" customHeight="1" s="86"/>
    <row r="927" ht="15" customHeight="1" s="86"/>
    <row r="928" ht="15" customHeight="1" s="86"/>
    <row r="929" ht="15" customHeight="1" s="86"/>
    <row r="930" ht="15" customHeight="1" s="86"/>
    <row r="931" ht="15" customHeight="1" s="86"/>
    <row r="932" ht="15" customHeight="1" s="86"/>
    <row r="933" ht="15" customHeight="1" s="86"/>
    <row r="934" ht="15" customHeight="1" s="86"/>
    <row r="935" ht="15" customHeight="1" s="86"/>
    <row r="936" ht="15" customHeight="1" s="86"/>
    <row r="937" ht="15" customHeight="1" s="86"/>
    <row r="938" ht="15" customHeight="1" s="86"/>
    <row r="939" ht="15" customHeight="1" s="86"/>
    <row r="940" ht="15" customHeight="1" s="86"/>
    <row r="941" ht="15" customHeight="1" s="86"/>
    <row r="942" ht="15" customHeight="1" s="86"/>
    <row r="943" ht="15" customHeight="1" s="86"/>
    <row r="944" ht="15" customHeight="1" s="86"/>
    <row r="945" ht="15" customHeight="1" s="86"/>
    <row r="946" ht="15" customHeight="1" s="86"/>
    <row r="947" ht="15" customHeight="1" s="86"/>
    <row r="948" ht="15" customHeight="1" s="86"/>
    <row r="949" ht="15" customHeight="1" s="86"/>
    <row r="950" ht="15" customHeight="1" s="86"/>
    <row r="951" ht="15" customHeight="1" s="86"/>
    <row r="952" ht="15" customHeight="1" s="86"/>
    <row r="953" ht="15" customHeight="1" s="86"/>
    <row r="954" ht="15" customHeight="1" s="86"/>
    <row r="955" ht="15" customHeight="1" s="86"/>
    <row r="956" ht="15" customHeight="1" s="86"/>
    <row r="957" ht="15" customHeight="1" s="86"/>
    <row r="958" ht="15" customHeight="1" s="86"/>
    <row r="959" ht="15" customHeight="1" s="86"/>
    <row r="960" ht="15" customHeight="1" s="86"/>
    <row r="961" ht="15" customHeight="1" s="86"/>
    <row r="962" ht="15" customHeight="1" s="86"/>
    <row r="963" ht="15" customHeight="1" s="86"/>
    <row r="964" ht="15" customHeight="1" s="86"/>
    <row r="965" ht="15" customHeight="1" s="86"/>
    <row r="966" ht="15" customHeight="1" s="86"/>
    <row r="967" ht="15" customHeight="1" s="86"/>
    <row r="968" ht="15" customHeight="1" s="86"/>
    <row r="969" ht="15" customHeight="1" s="86"/>
    <row r="970" ht="15" customHeight="1" s="86"/>
    <row r="971" ht="15" customHeight="1" s="86"/>
    <row r="972" ht="15" customHeight="1" s="86"/>
    <row r="973" ht="15" customHeight="1" s="86"/>
    <row r="974" ht="15" customHeight="1" s="86"/>
    <row r="975" ht="15" customHeight="1" s="86"/>
    <row r="976" ht="15" customHeight="1" s="86"/>
    <row r="977" ht="15" customHeight="1" s="86"/>
    <row r="978" ht="15" customHeight="1" s="86"/>
    <row r="979" ht="15" customHeight="1" s="86"/>
    <row r="980" ht="15" customHeight="1" s="86"/>
    <row r="981" ht="15" customHeight="1" s="86"/>
    <row r="982" ht="15" customHeight="1" s="86"/>
    <row r="983" ht="15" customHeight="1" s="86"/>
    <row r="984" ht="15" customHeight="1" s="86"/>
    <row r="985" ht="15" customHeight="1" s="86"/>
    <row r="986" ht="15" customHeight="1" s="86"/>
    <row r="987" ht="15" customHeight="1" s="86"/>
    <row r="988" ht="15" customHeight="1" s="86"/>
    <row r="989" ht="15" customHeight="1" s="86"/>
    <row r="990" ht="15" customHeight="1" s="86"/>
    <row r="991" ht="15" customHeight="1" s="86"/>
    <row r="992" ht="15" customHeight="1" s="86"/>
    <row r="993" ht="15" customHeight="1" s="86"/>
    <row r="994" ht="15" customHeight="1" s="86"/>
    <row r="995" ht="15" customHeight="1" s="86"/>
    <row r="996" ht="15" customHeight="1" s="86"/>
    <row r="997" ht="15" customHeight="1" s="86"/>
    <row r="998" ht="15" customHeight="1" s="86"/>
    <row r="999" ht="15" customHeight="1" s="86"/>
    <row r="1000" ht="15" customHeight="1" s="86"/>
    <row r="1001" ht="15" customHeight="1" s="86"/>
    <row r="1002" ht="15" customHeight="1" s="86"/>
    <row r="1003" ht="15" customHeight="1" s="86"/>
    <row r="1004" ht="15" customHeight="1" s="86"/>
    <row r="1005" ht="15" customHeight="1" s="86"/>
    <row r="1006" ht="15" customHeight="1" s="86"/>
    <row r="1007" ht="15" customHeight="1" s="86"/>
    <row r="1008" ht="15" customHeight="1" s="86"/>
    <row r="1009" ht="15" customHeight="1" s="86"/>
    <row r="1010" ht="15" customHeight="1" s="86"/>
    <row r="1011" ht="15" customHeight="1" s="86"/>
    <row r="1012" ht="15" customHeight="1" s="86"/>
    <row r="1013" ht="15" customHeight="1" s="86"/>
    <row r="1014" ht="15" customHeight="1" s="86"/>
    <row r="1015" ht="15" customHeight="1" s="86"/>
    <row r="1016" ht="15" customHeight="1" s="86"/>
    <row r="1017" ht="15" customHeight="1" s="86"/>
    <row r="1018" ht="15" customHeight="1" s="86"/>
    <row r="1019" ht="15" customHeight="1" s="86"/>
    <row r="1020" ht="15" customHeight="1" s="86"/>
    <row r="1021" ht="15" customHeight="1" s="86"/>
    <row r="1022" ht="15" customHeight="1" s="86"/>
    <row r="1023" ht="15" customHeight="1" s="86"/>
    <row r="1024" ht="15" customHeight="1" s="86"/>
    <row r="1025" ht="15" customHeight="1" s="86"/>
    <row r="1026" ht="15" customHeight="1" s="86"/>
    <row r="1027" ht="15" customHeight="1" s="86"/>
    <row r="1028" ht="15" customHeight="1" s="86"/>
    <row r="1029" ht="15" customHeight="1" s="86"/>
    <row r="1030" ht="15" customHeight="1" s="86"/>
    <row r="1031" ht="15" customHeight="1" s="86"/>
    <row r="1032" ht="15" customHeight="1" s="86"/>
    <row r="1033" ht="15" customHeight="1" s="86"/>
    <row r="1034" ht="15" customHeight="1" s="86"/>
    <row r="1035" ht="15" customHeight="1" s="86"/>
    <row r="1036" ht="15" customHeight="1" s="86"/>
    <row r="1037" ht="15" customHeight="1" s="86"/>
    <row r="1038" ht="15" customHeight="1" s="86"/>
    <row r="1039" ht="15" customHeight="1" s="86"/>
    <row r="1040" ht="15" customHeight="1" s="86"/>
    <row r="1041" ht="15" customHeight="1" s="86"/>
    <row r="1042" ht="15" customHeight="1" s="86"/>
    <row r="1043" ht="15" customHeight="1" s="86"/>
    <row r="1044" ht="15" customHeight="1" s="86"/>
    <row r="1045" ht="15" customHeight="1" s="86"/>
    <row r="1046" ht="15" customHeight="1" s="86"/>
    <row r="1047" ht="15" customHeight="1" s="86"/>
    <row r="1048" ht="15" customHeight="1" s="86"/>
    <row r="1049" ht="15" customHeight="1" s="86"/>
    <row r="1050" ht="15" customHeight="1" s="86"/>
    <row r="1051" ht="15" customHeight="1" s="86"/>
    <row r="1052" ht="15" customHeight="1" s="86"/>
    <row r="1053" ht="15" customHeight="1" s="86"/>
    <row r="1054" ht="15" customHeight="1" s="86"/>
    <row r="1055" ht="15" customHeight="1" s="86"/>
    <row r="1056" ht="15" customHeight="1" s="86"/>
    <row r="1057" ht="15" customHeight="1" s="86"/>
    <row r="1058" ht="15" customHeight="1" s="86"/>
    <row r="1059" ht="15" customHeight="1" s="86"/>
    <row r="1060" ht="15" customHeight="1" s="86"/>
    <row r="1061" ht="15" customHeight="1" s="86"/>
    <row r="1062" ht="15" customHeight="1" s="86"/>
    <row r="1063" ht="15" customHeight="1" s="86"/>
    <row r="1064" ht="15" customHeight="1" s="86"/>
    <row r="1065" ht="15" customHeight="1" s="86"/>
    <row r="1066" ht="15" customHeight="1" s="86"/>
    <row r="1067" ht="15" customHeight="1" s="86"/>
    <row r="1068" ht="15" customHeight="1" s="86"/>
    <row r="1069" ht="15" customHeight="1" s="86"/>
    <row r="1070" ht="15" customHeight="1" s="86"/>
    <row r="1071" ht="15" customHeight="1" s="86"/>
    <row r="1072" ht="15" customHeight="1" s="86"/>
    <row r="1073" ht="15" customHeight="1" s="86"/>
    <row r="1074" ht="15" customHeight="1" s="86"/>
    <row r="1075" ht="15" customHeight="1" s="86"/>
    <row r="1076" ht="15" customHeight="1" s="86"/>
    <row r="1077" ht="15" customHeight="1" s="86"/>
    <row r="1078" ht="15" customHeight="1" s="86"/>
    <row r="1079" ht="15" customHeight="1" s="86"/>
    <row r="1080" ht="15" customHeight="1" s="86"/>
    <row r="1081" ht="15" customHeight="1" s="86"/>
    <row r="1082" ht="15" customHeight="1" s="86"/>
    <row r="1083" ht="15" customHeight="1" s="86"/>
    <row r="1084" ht="15" customHeight="1" s="86"/>
    <row r="1085" ht="15" customHeight="1" s="86"/>
    <row r="1086" ht="15" customHeight="1" s="86"/>
    <row r="1087" ht="15" customHeight="1" s="86"/>
    <row r="1088" ht="15" customHeight="1" s="86"/>
    <row r="1089" ht="15" customHeight="1" s="86"/>
    <row r="1090" ht="15" customHeight="1" s="86"/>
    <row r="1091" ht="15" customHeight="1" s="86"/>
    <row r="1092" ht="15" customHeight="1" s="86"/>
    <row r="1093" ht="15" customHeight="1" s="86"/>
    <row r="1094" ht="15" customHeight="1" s="86"/>
    <row r="1095" ht="15" customHeight="1" s="86"/>
    <row r="1096" ht="15" customHeight="1" s="86"/>
    <row r="1097" ht="15" customHeight="1" s="86"/>
    <row r="1098" ht="15" customHeight="1" s="86"/>
    <row r="1099" ht="15" customHeight="1" s="86"/>
    <row r="1100" ht="15" customHeight="1" s="86"/>
    <row r="1101" ht="15" customHeight="1" s="86"/>
    <row r="1102" ht="15" customHeight="1" s="86"/>
    <row r="1103" ht="15" customHeight="1" s="86"/>
    <row r="1104" ht="15" customHeight="1" s="86"/>
    <row r="1105" ht="15" customHeight="1" s="86"/>
    <row r="1106" ht="15" customHeight="1" s="86"/>
    <row r="1107" ht="15" customHeight="1" s="86"/>
    <row r="1108" ht="15" customHeight="1" s="86"/>
    <row r="1109" ht="15" customHeight="1" s="86"/>
    <row r="1110" ht="15" customHeight="1" s="86"/>
    <row r="1111" ht="15" customHeight="1" s="86"/>
    <row r="1112" ht="15" customHeight="1" s="86"/>
    <row r="1113" ht="15" customHeight="1" s="86"/>
    <row r="1114" ht="15" customHeight="1" s="86"/>
    <row r="1115" ht="15" customHeight="1" s="86"/>
    <row r="1116" ht="15" customHeight="1" s="86"/>
    <row r="1117" ht="15" customHeight="1" s="86"/>
    <row r="1118" ht="15" customHeight="1" s="86"/>
    <row r="1119" ht="15" customHeight="1" s="86"/>
    <row r="1120" ht="15" customHeight="1" s="86"/>
    <row r="1121" ht="15" customHeight="1" s="86"/>
    <row r="1122" ht="15" customHeight="1" s="86"/>
    <row r="1123" ht="15" customHeight="1" s="86"/>
    <row r="1124" ht="15" customHeight="1" s="86"/>
    <row r="1125" ht="15" customHeight="1" s="86"/>
    <row r="1126" ht="15" customHeight="1" s="86"/>
    <row r="1127" ht="15" customHeight="1" s="86"/>
    <row r="1128" ht="15" customHeight="1" s="86"/>
    <row r="1129" ht="15" customHeight="1" s="86"/>
    <row r="1130" ht="15" customHeight="1" s="86"/>
    <row r="1131" ht="15" customHeight="1" s="86"/>
    <row r="1132" ht="15" customHeight="1" s="86"/>
    <row r="1133" ht="15" customHeight="1" s="86"/>
    <row r="1134" ht="15" customHeight="1" s="86"/>
    <row r="1135" ht="15" customHeight="1" s="86"/>
    <row r="1136" ht="15" customHeight="1" s="86"/>
    <row r="1137" ht="15" customHeight="1" s="86"/>
    <row r="1138" ht="15" customHeight="1" s="86"/>
    <row r="1139" ht="15" customHeight="1" s="86"/>
    <row r="1140" ht="15" customHeight="1" s="86"/>
    <row r="1141" ht="15" customHeight="1" s="86"/>
    <row r="1142" ht="15" customHeight="1" s="86"/>
    <row r="1143" ht="15" customHeight="1" s="86"/>
    <row r="1144" ht="15" customHeight="1" s="86"/>
    <row r="1145" ht="15" customHeight="1" s="86"/>
    <row r="1146" ht="15" customHeight="1" s="86"/>
    <row r="1147" ht="15" customHeight="1" s="86"/>
    <row r="1148" ht="15" customHeight="1" s="86"/>
    <row r="1149" ht="15" customHeight="1" s="86"/>
    <row r="1150" ht="15" customHeight="1" s="86"/>
    <row r="1151" ht="15" customHeight="1" s="86"/>
    <row r="1152" ht="15" customHeight="1" s="86"/>
    <row r="1153" ht="15" customHeight="1" s="86"/>
    <row r="1154" ht="15" customHeight="1" s="86"/>
    <row r="1155" ht="15" customHeight="1" s="86"/>
    <row r="1156" ht="15" customHeight="1" s="86"/>
    <row r="1157" ht="15" customHeight="1" s="86"/>
    <row r="1158" ht="15" customHeight="1" s="86"/>
    <row r="1159" ht="15" customHeight="1" s="86"/>
    <row r="1160" ht="15" customHeight="1" s="86"/>
    <row r="1161" ht="15" customHeight="1" s="86"/>
    <row r="1162" ht="15" customHeight="1" s="86"/>
    <row r="1163" ht="15" customHeight="1" s="86"/>
    <row r="1164" ht="15" customHeight="1" s="86"/>
    <row r="1165" ht="15" customHeight="1" s="86"/>
    <row r="1166" ht="15" customHeight="1" s="86"/>
    <row r="1167" ht="15" customHeight="1" s="86"/>
    <row r="1168" ht="15" customHeight="1" s="86"/>
    <row r="1169" ht="15" customHeight="1" s="86"/>
    <row r="1170" ht="15" customHeight="1" s="86"/>
    <row r="1171" ht="15" customHeight="1" s="86"/>
    <row r="1172" ht="15" customHeight="1" s="86"/>
    <row r="1173" ht="15" customHeight="1" s="86"/>
    <row r="1174" ht="15" customHeight="1" s="86"/>
    <row r="1175" ht="15" customHeight="1" s="86"/>
    <row r="1176" ht="15" customHeight="1" s="86"/>
    <row r="1177" ht="15" customHeight="1" s="86"/>
    <row r="1178" ht="15" customHeight="1" s="86"/>
    <row r="1179" ht="15" customHeight="1" s="86"/>
    <row r="1180" ht="15" customHeight="1" s="86"/>
    <row r="1181" ht="15" customHeight="1" s="86"/>
    <row r="1182" ht="15" customHeight="1" s="86"/>
    <row r="1183" ht="15" customHeight="1" s="86"/>
    <row r="1184" ht="15" customHeight="1" s="86"/>
    <row r="1185" ht="15" customHeight="1" s="86"/>
    <row r="1186" ht="15" customHeight="1" s="86"/>
    <row r="1187" ht="15" customHeight="1" s="86"/>
    <row r="1188" ht="15" customHeight="1" s="86"/>
    <row r="1189" ht="15" customHeight="1" s="86"/>
    <row r="1190" ht="15" customHeight="1" s="86"/>
    <row r="1191" ht="15" customHeight="1" s="86"/>
    <row r="1192" ht="15" customHeight="1" s="86"/>
    <row r="1193" ht="15" customHeight="1" s="86"/>
    <row r="1194" ht="15" customHeight="1" s="86"/>
    <row r="1195" ht="15" customHeight="1" s="86"/>
    <row r="1196" ht="15" customHeight="1" s="86"/>
    <row r="1197" ht="15" customHeight="1" s="86"/>
    <row r="1198" ht="15" customHeight="1" s="86"/>
    <row r="1199" ht="15" customHeight="1" s="86"/>
    <row r="1200" ht="15" customHeight="1" s="86"/>
    <row r="1201" ht="15" customHeight="1" s="86"/>
    <row r="1202" ht="15" customHeight="1" s="86"/>
    <row r="1203" ht="15" customHeight="1" s="86"/>
    <row r="1204" ht="15" customHeight="1" s="86"/>
    <row r="1205" ht="15" customHeight="1" s="86"/>
    <row r="1206" ht="15" customHeight="1" s="86"/>
    <row r="1207" ht="15" customHeight="1" s="86"/>
    <row r="1208" ht="15" customHeight="1" s="86"/>
    <row r="1209" ht="15" customHeight="1" s="86"/>
    <row r="1210" ht="15" customHeight="1" s="86"/>
    <row r="1211" ht="15" customHeight="1" s="86"/>
    <row r="1212" ht="15" customHeight="1" s="86"/>
    <row r="1213" ht="15" customHeight="1" s="86"/>
    <row r="1214" ht="15" customHeight="1" s="86"/>
    <row r="1215" ht="15" customHeight="1" s="86"/>
    <row r="1216" ht="15" customHeight="1" s="86"/>
    <row r="1217" ht="15" customHeight="1" s="86"/>
    <row r="1218" ht="15" customHeight="1" s="86"/>
    <row r="1219" ht="15" customHeight="1" s="86"/>
    <row r="1220" ht="15" customHeight="1" s="86"/>
    <row r="1221" ht="15" customHeight="1" s="86"/>
    <row r="1222" ht="15" customHeight="1" s="86"/>
    <row r="1223" ht="15" customHeight="1" s="86"/>
    <row r="1224" ht="15" customHeight="1" s="86"/>
    <row r="1225" ht="15" customHeight="1" s="86"/>
    <row r="1226" ht="15" customHeight="1" s="86"/>
    <row r="1227" ht="15" customHeight="1" s="86"/>
    <row r="1228" ht="15" customHeight="1" s="86"/>
    <row r="1229" ht="15" customHeight="1" s="86"/>
    <row r="1230" ht="15" customHeight="1" s="86"/>
    <row r="1231" ht="15" customHeight="1" s="86"/>
    <row r="1232" ht="15" customHeight="1" s="86"/>
    <row r="1233" ht="15" customHeight="1" s="86"/>
    <row r="1234" ht="15" customHeight="1" s="86"/>
    <row r="1235" ht="15" customHeight="1" s="86"/>
    <row r="1236" ht="15" customHeight="1" s="86"/>
    <row r="1237" ht="15" customHeight="1" s="86"/>
    <row r="1238" ht="15" customHeight="1" s="86"/>
    <row r="1239" ht="15" customHeight="1" s="86"/>
    <row r="1240" ht="15" customHeight="1" s="86"/>
    <row r="1241" ht="15" customHeight="1" s="86"/>
    <row r="1242" ht="15" customHeight="1" s="86"/>
    <row r="1243" ht="15" customHeight="1" s="86"/>
    <row r="1244" ht="15" customHeight="1" s="86"/>
    <row r="1245" ht="15" customHeight="1" s="86"/>
    <row r="1246" ht="15" customHeight="1" s="86"/>
    <row r="1247" ht="15" customHeight="1" s="86"/>
    <row r="1248" ht="15" customHeight="1" s="86"/>
    <row r="1249" ht="15" customHeight="1" s="86"/>
    <row r="1250" ht="15" customHeight="1" s="86"/>
    <row r="1251" ht="15" customHeight="1" s="86"/>
    <row r="1252" ht="15" customHeight="1" s="86"/>
    <row r="1253" ht="15" customHeight="1" s="86"/>
    <row r="1254" ht="15" customHeight="1" s="86"/>
    <row r="1255" ht="15" customHeight="1" s="86"/>
    <row r="1256" ht="15" customHeight="1" s="86"/>
    <row r="1257" ht="15" customHeight="1" s="86"/>
    <row r="1258" ht="15" customHeight="1" s="86"/>
    <row r="1259" ht="15" customHeight="1" s="86"/>
    <row r="1260" ht="15" customHeight="1" s="86"/>
    <row r="1261" ht="15" customHeight="1" s="86"/>
    <row r="1262" ht="15" customHeight="1" s="86"/>
    <row r="1263" ht="15" customHeight="1" s="86"/>
    <row r="1264" ht="15" customHeight="1" s="86"/>
  </sheetData>
  <autoFilter ref="$A$4:$AQ$4"/>
  <dataValidations count="48">
    <dataValidation sqref="C5:C1021" showDropDown="0" showInputMessage="1" showErrorMessage="1" allowBlank="1" prompt="Required: - Please enter employee's first name." type="custom">
      <formula1>AND(GTE(LEN(C5),MIN((1),(35))),LTE(LEN(C5),MAX((1),(35))))</formula1>
    </dataValidation>
    <dataValidation sqref="F5:F1100" showDropDown="0" showInputMessage="1" showErrorMessage="0" allowBlank="1" prompt="Optional: - Please select employee's suffix." type="list">
      <formula1>"Jr.,Sr.,I,II,III,IV"</formula1>
    </dataValidation>
    <dataValidation sqref="Q5:Q1021" showDropDown="0" showInputMessage="1" showErrorMessage="1" allowBlank="1" prompt="Conditional: - Please enter details if the Employment Type I is 'Other'." type="custom">
      <formula1>AND(GTE(LEN(Q5),MIN((1),(50))),LTE(LEN(Q5),MAX((1),(50))))</formula1>
    </dataValidation>
    <dataValidation sqref="AB5:AB1021" showDropDown="0" showInputMessage="1" showErrorMessage="1" allowBlank="1" prompt="Optional: - Please enter Employee's Job Title." type="custom">
      <formula1>AND(GTE(LEN(AB5),MIN((1),(30))),LTE(LEN(AB5),MAX((1),(30))))</formula1>
    </dataValidation>
    <dataValidation sqref="A5:A1100" showDropDown="0" showInputMessage="1" showErrorMessage="1" allowBlank="1" prompt="Conditional: - Enter 9 digit Employer Identification Number." type="custom">
      <formula1>AND(ISNUMBER(A5+0),LEN(A5)=9)</formula1>
    </dataValidation>
    <dataValidation sqref="AE5 AE7:AE1021" showDropDown="0" showInputMessage="1" showErrorMessage="0" allowBlank="1" prompt="Optional: - Please select Employment Classification I." type="list">
      <formula1>"Union,Non-Union"</formula1>
    </dataValidation>
    <dataValidation sqref="X5:X1021" showDropDown="0" showInputMessage="1" showErrorMessage="1" allowBlank="1" prompt="Conditional: - Information is required if 'Pay Type' selected as 'Hourly'." type="custom">
      <formula1>AND(ISNUMBER(X5),LEN(X5)&lt;=5)</formula1>
    </dataValidation>
    <dataValidation sqref="AO5:AO1021" showDropDown="0" showInputMessage="1" showErrorMessage="1" allowBlank="1" prompt="Required: - Please enter 5 digit zipcode." type="custom">
      <formula1>EQ(LEN(AO5),(5))</formula1>
    </dataValidation>
    <dataValidation sqref="H5:H1021" showDropDown="0" showInputMessage="1" showErrorMessage="0" allowBlank="1" prompt="Please select employee's gender." type="list">
      <formula1>"Male,Female"</formula1>
    </dataValidation>
    <dataValidation sqref="BD5:BD1100" showDropDown="0" showInputMessage="1" showErrorMessage="1" allowBlank="1" prompt="Required: - Please select Relationship." type="list">
      <formula1>"Spouse,Child,Domestic Partner,Other dependent"</formula1>
    </dataValidation>
    <dataValidation sqref="D5:D1021" showDropDown="0" showInputMessage="1" showErrorMessage="1" allowBlank="1" prompt="Optional: - Please enter employee's middle initial." type="custom">
      <formula1>AND(ISNUMBER(D5)=FALSE,LEN(D5)=1)</formula1>
    </dataValidation>
    <dataValidation sqref="AY5:AY1100" showDropDown="0" showInputMessage="1" showErrorMessage="1" allowBlank="1" prompt="Required: - Please enter dependent's last name." type="custom">
      <formula1>AND(GTE(LEN(AY5),MIN((1),(60))),LTE(LEN(AY5),MAX((1),(60))))</formula1>
    </dataValidation>
    <dataValidation sqref="B5:B1100" showDropDown="0" showInputMessage="1" showErrorMessage="0" allowBlank="1" prompt="Optional: - Please select employee's prefix." type="list">
      <formula1>"Mr.,Mrs.,Ms.,Miss.,Dr."</formula1>
    </dataValidation>
    <dataValidation sqref="E5:E1021" showDropDown="0" showInputMessage="1" showErrorMessage="1" allowBlank="1" prompt="Required: - Please enter employee's last name." type="custom">
      <formula1>AND(GTE(LEN(E5),MIN((1),(60))),LTE(LEN(E5),MAX((1),(60))))</formula1>
    </dataValidation>
    <dataValidation sqref="L5:L1021" showDropDown="0" showInputMessage="1" showErrorMessage="0" allowBlank="1" prompt="Required: - Please select the Employment status." type="list">
      <formula1>"Active,Terminated"</formula1>
    </dataValidation>
    <dataValidation sqref="O5 O7:O1021" showDropDown="0" showInputMessage="1" showErrorMessage="0" allowBlank="1" prompt="Optional: - Please select Termination Reason." type="list">
      <formula1>"Death,Retirement,Voluntary Termination of Employment,Involuntary Termination of Employment,Permanent Disability,Transfer,Other"</formula1>
    </dataValidation>
    <dataValidation sqref="AJ5:AJ1021" showDropDown="0" showInputMessage="1" showErrorMessage="1" allowBlank="1" prompt="Required: - Please enter employee's official email address." type="custom">
      <formula1>FIND("@",AJ5)</formula1>
    </dataValidation>
    <dataValidation sqref="N5:N1021" showDropDown="0" showInputMessage="1" showErrorMessage="1" allowBlank="1" prompt="Optional: - Date should be in MM/DD/YYYY format." type="date" operator="greaterThanOrEqual">
      <formula1>1.0</formula1>
    </dataValidation>
    <dataValidation sqref="W5:W1264" showDropDown="0" showInputMessage="1" showErrorMessage="1" allowBlank="1" prompt="Conditional: - Information is required if 'Pay Type' selected as 'Hourly'." type="custom">
      <formula1>AND(ROUND(W5,2)=W5,W5&lt;100,W5&gt;=0)</formula1>
    </dataValidation>
    <dataValidation sqref="AI5:AI1021" showDropDown="0" showInputMessage="1" showErrorMessage="1" allowBlank="1" prompt="Optional: - Please enter employee's personal email address." type="custom">
      <formula1>FIND("@",AI5)</formula1>
    </dataValidation>
    <dataValidation sqref="AF5 AF7:AF1021" showDropDown="0" showInputMessage="1" showErrorMessage="0" allowBlank="1" prompt="Optional: - Please select Employment Classification II." type="list">
      <formula1>"Exempt,Non-Exempt"</formula1>
    </dataValidation>
    <dataValidation sqref="AD5:AD1021" showDropDown="0" showInputMessage="1" showErrorMessage="0" allowBlank="1" prompt="Optional: - Please select Employee Type." type="list">
      <formula1>"Permanent,Temporary"</formula1>
    </dataValidation>
    <dataValidation sqref="R5:R1021" showDropDown="0" showInputMessage="1" showErrorMessage="0" allowBlank="1" prompt="Required: - Please select the Pay type." type="list">
      <formula1>"Salaried,Hourly"</formula1>
    </dataValidation>
    <dataValidation sqref="U5:U1100" showDropDown="0" showInputMessage="1" showErrorMessage="1" allowBlank="1" prompt="Conditional: - Information is required if 'Pay Type' selected as 'Salaried'." type="custom">
      <formula1>AND(ISNUMBER(U5),LEN(U5)&lt;=10)</formula1>
    </dataValidation>
    <dataValidation sqref="P6" showDropDown="0" showInputMessage="1" showErrorMessage="0" allowBlank="1" prompt="Required: - Please select the Employment Type." type="list">
      <formula1>"Full Time,Part Time,Other,Seasonal"</formula1>
    </dataValidation>
    <dataValidation sqref="G5:G1021 M5:M1021 BA5:BA1100" showDropDown="0" showInputMessage="1" showErrorMessage="1" allowBlank="1" prompt="Required: - Date should be in MM/DD/YYYY format." type="date" operator="greaterThanOrEqual">
      <formula1>1.0</formula1>
    </dataValidation>
    <dataValidation sqref="AN5:AN1021" showDropDown="0" showInputMessage="1" showErrorMessage="1" allowBlank="1" prompt="Required: - Please enter City." type="custom">
      <formula1>AND(GTE(LEN(AN5),MIN((2),(30))),LTE(LEN(AN5),MAX((2),(30))))</formula1>
    </dataValidation>
    <dataValidation sqref="AM5:AM1021" showDropDown="0" showInputMessage="1" showErrorMessage="1" allowBlank="1" prompt="Optional: - Please enter employee's Address Line 2." type="custom">
      <formula1>AND(GTE(LEN(AM5),MIN((1),(55))),LTE(LEN(AM5),MAX((1),(55))))</formula1>
    </dataValidation>
    <dataValidation sqref="V5:V1021" showDropDown="0" showInputMessage="1" showErrorMessage="1" allowBlank="1" prompt="Optional - Date should be in MM/DD/YYYY format." type="date" operator="greaterThanOrEqual">
      <formula1>32874.0</formula1>
    </dataValidation>
    <dataValidation sqref="P5 P7:P1021" showDropDown="0" showInputMessage="1" showErrorMessage="0" allowBlank="1" prompt="Required: - Please select the Employment Type I." type="list">
      <formula1>"Full Time,Part Time,Other,Seasonal"</formula1>
    </dataValidation>
    <dataValidation sqref="AE6" showDropDown="0" showInputMessage="1" showErrorMessage="0" allowBlank="1" prompt="Optional: - Please select Union Classification." type="list">
      <formula1>"Union,Non-Union"</formula1>
    </dataValidation>
    <dataValidation sqref="J5:J1021" showDropDown="0" showInputMessage="1" showErrorMessage="0" allowBlank="1" prompt="Optional: - Please select YES if your employee has used any tobacco product in the past twelve months." type="list">
      <formula1>"Yes,No"</formula1>
    </dataValidation>
    <dataValidation sqref="AL5:AL1021" showDropDown="0" showInputMessage="1" showErrorMessage="1" allowBlank="1" prompt="Please enter employee's Address Line 1." type="custom">
      <formula1>AND(GTE(LEN(AL5),MIN((1),(55))),LTE(LEN(AL5),MAX((1),(55))))</formula1>
    </dataValidation>
    <dataValidation sqref="AW5:AW1100" showDropDown="0" showInputMessage="1" showErrorMessage="1" allowBlank="1" prompt="Required: - Please enter dependent's first name." type="custom">
      <formula1>AND(GTE(LEN(AW5),MIN((1),(35))),LTE(LEN(AW5),MAX((1),(35))))</formula1>
    </dataValidation>
    <dataValidation sqref="BE5:BE1100" showDropDown="0" showInputMessage="1" showErrorMessage="1" allowBlank="1" prompt="Optional: - Please select dependent's disability status." type="list">
      <formula1>"Yes,No"</formula1>
    </dataValidation>
    <dataValidation sqref="AG5:AG1021" showDropDown="0" showInputMessage="1" showErrorMessage="1" allowBlank="1" prompt="Optional: - Please enter Employee's Work Location." type="custom">
      <formula1>AND(GTE(LEN(AG5),MIN((1),(80))),LTE(LEN(AG5),MAX((1),(80))))</formula1>
    </dataValidation>
    <dataValidation sqref="AC5:AC1021" showDropDown="0" showInputMessage="1" showErrorMessage="1" allowBlank="1" prompt="Optional: - Please enter Employee's Department." type="custom">
      <formula1>AND(GTE(LEN(AC5),MIN((1),(50))),LTE(LEN(AC5),MAX((1),(50))))</formula1>
    </dataValidation>
    <dataValidation sqref="AP5:AP1021" showDropDown="0" showInputMessage="1" showErrorMessage="0" allowBlank="1" prompt="Required: - Please select State(Abbreviation)" type="list">
      <formula1>State_Codes</formula1>
    </dataValidation>
    <dataValidation sqref="AH5:AH1021" showDropDown="0" showInputMessage="1" showErrorMessage="1" allowBlank="1" prompt="Optional: - Please enter Employee's Division." type="custom">
      <formula1>AND(GTE(LEN(AH5),MIN((1),(50))),LTE(LEN(AH5),MAX((1),(50))))</formula1>
    </dataValidation>
    <dataValidation sqref="AZ5:AZ1100" showDropDown="0" showInputMessage="1" showErrorMessage="1" allowBlank="1" prompt="Optional: - Please select dependent's suffix." type="list">
      <formula1>"Jr.,Sr.,I,II,III,IV"</formula1>
    </dataValidation>
    <dataValidation sqref="K5:K1021" showDropDown="0" showInputMessage="1" showErrorMessage="1" allowBlank="1" prompt="Required: - Please enter the Employee ID." type="custom">
      <formula1>AND(GTE(LEN(K5),MIN((1),(50))),LTE(LEN(K5),MAX((1),(50))))</formula1>
    </dataValidation>
    <dataValidation sqref="AV5:AV1100" showDropDown="0" showInputMessage="1" showErrorMessage="1" allowBlank="1" prompt="Optional: - Please select dependent's prefix." type="list">
      <formula1>"Mr.,Mrs.,Ms.,Miss.,Dr."</formula1>
    </dataValidation>
    <dataValidation sqref="BC5:BC1100" showDropDown="0" showInputMessage="1" showErrorMessage="1" allowBlank="1" prompt="Optional: - Please select YES if employee's dependent has used any tobacco product in the past six months." type="list">
      <formula1>"Yes,No"</formula1>
    </dataValidation>
    <dataValidation sqref="AX5:AX1100" showDropDown="0" showInputMessage="1" showErrorMessage="1" allowBlank="1" prompt="Optional: - Please enter dependent's middle initial." type="custom">
      <formula1>AND(EXACT(AX5,AX5),LEN(AX5)=1)</formula1>
    </dataValidation>
    <dataValidation sqref="AF6" showDropDown="0" showInputMessage="1" showErrorMessage="0" allowBlank="1" prompt="Optional: - Please select FLSA Classification." type="list">
      <formula1>"Exempt,Non-Exempt"</formula1>
    </dataValidation>
    <dataValidation sqref="AA5:AA1021" showDropDown="0" showInputMessage="1" showErrorMessage="1" allowBlank="1" prompt="Optional: - Please enter Employee Class." type="custom">
      <formula1>AND(GTE(LEN(AA5),MIN((1),(50))),LTE(LEN(AA5),MAX((1),(50))))</formula1>
    </dataValidation>
    <dataValidation sqref="U1101:U1264 V1022:V1100" showDropDown="0" showInputMessage="0" showErrorMessage="1" allowBlank="1" type="date" operator="greaterThanOrEqual">
      <formula1>32874.0</formula1>
    </dataValidation>
    <dataValidation sqref="BB5:BB1100" showDropDown="0" showInputMessage="1" showErrorMessage="0" allowBlank="1" prompt="Optional: - Please select dependent's gender." type="list">
      <formula1>"Male,Female"</formula1>
    </dataValidation>
  </dataValidations>
  <pageMargins left="0.7" right="0.7" top="0.75" bottom="0.75" header="0" footer="0"/>
  <pageSetup orientation="portrait"/>
  <legacyDrawing xmlns:r="http://schemas.openxmlformats.org/officeDocument/2006/relationships" r:id="anysvml"/>
</worksheet>
</file>

<file path=xl/worksheets/sheet3.xml><?xml version="1.0" encoding="utf-8"?>
<worksheet xmlns="http://schemas.openxmlformats.org/spreadsheetml/2006/main">
  <sheetPr codeName="Sheet2">
    <outlinePr summaryBelow="1" summaryRight="1"/>
    <pageSetUpPr/>
  </sheetPr>
  <dimension ref="A1:DW3432"/>
  <sheetViews>
    <sheetView workbookViewId="0">
      <selection activeCell="A1" sqref="A1"/>
    </sheetView>
  </sheetViews>
  <sheetFormatPr baseColWidth="8" defaultColWidth="14.43" defaultRowHeight="15" customHeight="1"/>
  <cols>
    <col width="11.43" customWidth="1" style="86" min="1" max="4"/>
    <col width="16.86" customWidth="1" style="86" min="5" max="5"/>
    <col width="58" customWidth="1" style="86" min="6" max="6"/>
    <col width="7.71" customWidth="1" style="86" min="7" max="7"/>
    <col width="15.14" customWidth="1" style="86" min="8" max="9"/>
    <col width="8.859999999999999" customWidth="1" style="86" min="10" max="10"/>
    <col width="10.43" customWidth="1" style="86" min="11" max="11"/>
    <col width="13.29" customWidth="1" style="86" min="12" max="12"/>
    <col width="8.859999999999999" customWidth="1" style="86" min="13" max="13"/>
    <col width="47.86" customWidth="1" style="86" min="14" max="14"/>
    <col width="8.859999999999999" customWidth="1" style="86" min="15" max="15"/>
    <col width="20.43" customWidth="1" style="86" min="16" max="16"/>
    <col width="15.86" customWidth="1" style="86" min="17" max="17"/>
    <col width="8.859999999999999" customWidth="1" style="86" min="18" max="23"/>
    <col width="42.14" customWidth="1" style="86" min="24" max="24"/>
    <col width="68.70999999999999" customWidth="1" style="86" min="25" max="25"/>
    <col width="8.859999999999999" customWidth="1" style="86" min="26" max="26"/>
    <col width="24.43" customWidth="1" style="86" min="27" max="27"/>
    <col width="8.859999999999999" customWidth="1" style="86" min="28" max="31"/>
    <col width="12.14" customWidth="1" style="86" min="32" max="32"/>
    <col width="20" customWidth="1" style="86" min="33" max="33"/>
    <col width="13.14" customWidth="1" style="86" min="34" max="34"/>
    <col width="25.29" customWidth="1" style="86" min="35" max="35"/>
    <col width="11.86" customWidth="1" style="86" min="36" max="36"/>
    <col width="15.43" customWidth="1" style="86" min="37" max="37"/>
    <col width="11.43" customWidth="1" style="86" min="38" max="38"/>
    <col width="18" customWidth="1" style="86" min="39" max="39"/>
    <col width="12.14" customWidth="1" style="86" min="40" max="40"/>
    <col width="16.71" customWidth="1" style="86" min="41" max="41"/>
    <col width="4.43" customWidth="1" style="86" min="42" max="42"/>
    <col width="22" customWidth="1" style="86" min="43" max="43"/>
    <col width="8.859999999999999" customWidth="1" style="86" min="44" max="45"/>
    <col width="37.29" customWidth="1" style="86" min="46" max="46"/>
    <col width="58" customWidth="1" style="86" min="47" max="47"/>
    <col width="25.71" customWidth="1" style="86" min="48" max="48"/>
    <col width="8.859999999999999" customWidth="1" style="86" min="49" max="51"/>
    <col width="27.43" customWidth="1" style="86" min="52" max="52"/>
    <col width="8.859999999999999" customWidth="1" style="86" min="53" max="55"/>
    <col width="12.29" customWidth="1" style="86" min="56" max="56"/>
    <col width="15.71" customWidth="1" style="86" min="57" max="57"/>
    <col width="16" customWidth="1" style="86" min="58" max="58"/>
    <col width="18" customWidth="1" style="86" min="59" max="59"/>
    <col width="16.43" customWidth="1" style="86" min="60" max="60"/>
    <col width="15.29" customWidth="1" style="86" min="61" max="61"/>
    <col width="14.14" customWidth="1" style="86" min="62" max="62"/>
    <col width="20" customWidth="1" style="86" min="63" max="63"/>
    <col width="15.29" customWidth="1" style="86" min="64" max="64"/>
    <col width="14.71" customWidth="1" style="86" min="65" max="65"/>
    <col width="13.43" customWidth="1" style="86" min="66" max="66"/>
    <col width="8.859999999999999" customWidth="1" style="86" min="67" max="72"/>
    <col width="19.71" customWidth="1" style="86" min="73" max="73"/>
    <col width="8.859999999999999" customWidth="1" style="86" min="74" max="74"/>
    <col width="27.86" customWidth="1" style="86" min="75" max="75"/>
    <col width="8.859999999999999" customWidth="1" style="86" min="76" max="78"/>
    <col width="29.29" customWidth="1" style="86" min="79" max="79"/>
    <col width="15.43" customWidth="1" style="86" min="80" max="80"/>
    <col width="18" customWidth="1" style="86" min="81" max="81"/>
    <col width="13.86" customWidth="1" style="86" min="82" max="82"/>
    <col width="16.43" customWidth="1" style="86" min="83" max="83"/>
    <col width="15" customWidth="1" style="86" min="84" max="84"/>
    <col width="8.859999999999999" customWidth="1" style="86" min="85" max="85"/>
    <col width="17.43" customWidth="1" style="86" min="86" max="86"/>
    <col width="8.859999999999999" customWidth="1" style="86" min="87" max="88"/>
    <col width="16.29" customWidth="1" style="86" min="89" max="89"/>
    <col width="9.43" customWidth="1" style="86" min="90" max="90"/>
    <col width="14.29" customWidth="1" style="86" min="91" max="91"/>
    <col width="8.859999999999999" customWidth="1" style="86" min="92" max="92"/>
    <col width="24.43" customWidth="1" style="86" min="93" max="93"/>
    <col width="8.859999999999999" customWidth="1" style="86" min="94" max="103"/>
    <col width="19.43" customWidth="1" style="86" min="104" max="104"/>
    <col width="8.859999999999999" customWidth="1" style="86" min="105" max="108"/>
    <col width="19.29" customWidth="1" style="86" min="109" max="109"/>
    <col width="8.859999999999999" customWidth="1" style="86" min="110" max="127"/>
  </cols>
  <sheetData>
    <row r="1" ht="14.25" customHeight="1" s="86">
      <c r="A1" s="45" t="inlineStr">
        <is>
          <t>AK</t>
        </is>
      </c>
      <c r="C1" s="46" t="inlineStr">
        <is>
          <t>State_Codes</t>
        </is>
      </c>
      <c r="E1" s="47" t="inlineStr">
        <is>
          <t>State</t>
        </is>
      </c>
      <c r="F1" s="47" t="inlineStr">
        <is>
          <t>County</t>
        </is>
      </c>
      <c r="G1" s="48" t="n"/>
      <c r="H1" s="46" t="inlineStr">
        <is>
          <t>State_City_Data</t>
        </is>
      </c>
      <c r="K1" s="48" t="inlineStr">
        <is>
          <t>State</t>
        </is>
      </c>
      <c r="L1" s="46" t="inlineStr">
        <is>
          <t>State_Criteria</t>
        </is>
      </c>
      <c r="N1" s="48" t="inlineStr">
        <is>
          <t>County</t>
        </is>
      </c>
      <c r="O1" s="48" t="n"/>
      <c r="P1" s="46" t="inlineStr">
        <is>
          <t>City_Unique</t>
        </is>
      </c>
      <c r="X1" s="49" t="inlineStr">
        <is>
          <t>Cell Address</t>
        </is>
      </c>
      <c r="Y1" s="49" t="inlineStr">
        <is>
          <t>Error Description</t>
        </is>
      </c>
      <c r="AA1" s="46" t="inlineStr">
        <is>
          <t>Error_Sheet_Format_Copy</t>
        </is>
      </c>
      <c r="AF1" s="100" t="inlineStr">
        <is>
          <t>Dependent_5</t>
        </is>
      </c>
      <c r="AG1" s="88" t="n"/>
      <c r="AH1" s="88" t="n"/>
      <c r="AI1" s="88" t="n"/>
      <c r="AJ1" s="88" t="n"/>
      <c r="AK1" s="88" t="n"/>
      <c r="AL1" s="88" t="n"/>
      <c r="AM1" s="88" t="n"/>
      <c r="AN1" s="88" t="n"/>
      <c r="AO1" s="89" t="n"/>
      <c r="AQ1" s="52" t="inlineStr">
        <is>
          <t>Dependent_Format</t>
        </is>
      </c>
      <c r="AT1" s="53" t="inlineStr">
        <is>
          <t>Insert Custom Column From Column No.</t>
        </is>
      </c>
      <c r="AU1" s="53">
        <f>MATCH("COUNTY*",'Employee Details'!$A$4:$AQ$4,0)+1</f>
        <v/>
      </c>
      <c r="AV1" s="46" t="inlineStr">
        <is>
          <t>Col_No_Insert</t>
        </is>
      </c>
      <c r="AY1" s="39" t="n"/>
      <c r="AZ1" s="46" t="inlineStr">
        <is>
          <t>Format_Heading_Copy_Paste</t>
        </is>
      </c>
      <c r="BD1" s="101" t="inlineStr">
        <is>
          <t>Dependent_3</t>
        </is>
      </c>
      <c r="BE1" s="96" t="n"/>
      <c r="BF1" s="96" t="n"/>
      <c r="BG1" s="96" t="n"/>
      <c r="BH1" s="96" t="n"/>
      <c r="BI1" s="96" t="n"/>
      <c r="BJ1" s="96" t="n"/>
      <c r="BK1" s="96" t="n"/>
      <c r="BL1" s="96" t="n"/>
      <c r="BM1" s="96" t="n"/>
      <c r="BN1" s="97" t="n"/>
      <c r="BU1" s="31" t="n"/>
      <c r="BV1" s="55" t="n"/>
      <c r="BW1" s="46" t="inlineStr">
        <is>
          <t>Custom_CopyPaste</t>
        </is>
      </c>
      <c r="CA1" s="56" t="inlineStr">
        <is>
          <t>Column Name</t>
        </is>
      </c>
      <c r="CB1" s="56" t="inlineStr">
        <is>
          <t>Column Number</t>
        </is>
      </c>
      <c r="CC1" s="56" t="inlineStr">
        <is>
          <t>Custom Formatting</t>
        </is>
      </c>
      <c r="CD1" s="56" t="inlineStr">
        <is>
          <t>Check Formula</t>
        </is>
      </c>
      <c r="CE1" s="56" t="inlineStr">
        <is>
          <t>Condition Symbel</t>
        </is>
      </c>
      <c r="CF1" s="56" t="inlineStr">
        <is>
          <t>Condition Value</t>
        </is>
      </c>
      <c r="CH1" s="57" t="inlineStr">
        <is>
          <t>Conversion_Range</t>
        </is>
      </c>
      <c r="CK1" s="53" t="inlineStr">
        <is>
          <t>Dependent*DOB*</t>
        </is>
      </c>
      <c r="CL1" s="53">
        <f>IF(ISERROR(MATCH(CK1,'Employee Details'!$4:$4,0)),0,MATCH(CK1,'Employee Details'!$4:$4,0))</f>
        <v/>
      </c>
      <c r="CM1" s="53" t="inlineStr">
        <is>
          <t>mm\/dd\/yyyy</t>
        </is>
      </c>
      <c r="CO1" s="57" t="inlineStr">
        <is>
          <t>Depen_Conversion_Range</t>
        </is>
      </c>
      <c r="DE1" s="58" t="inlineStr">
        <is>
          <t>Protection Password</t>
        </is>
      </c>
      <c r="DJ1" s="53" t="inlineStr">
        <is>
          <t>Employee Prefix</t>
        </is>
      </c>
      <c r="DK1" s="53" t="inlineStr">
        <is>
          <t>Employee Suffix</t>
        </is>
      </c>
      <c r="DL1" s="53" t="inlineStr">
        <is>
          <t xml:space="preserve"> Employee Gender</t>
        </is>
      </c>
      <c r="DM1" s="53" t="inlineStr">
        <is>
          <t>Employee Tobacco usage in last 12 months</t>
        </is>
      </c>
      <c r="DN1" s="53" t="inlineStr">
        <is>
          <t>Employment
Status*</t>
        </is>
      </c>
      <c r="DO1" s="53" t="inlineStr">
        <is>
          <t>Termination Reason</t>
        </is>
      </c>
      <c r="DP1" s="53" t="inlineStr">
        <is>
          <t>Employment Type I*</t>
        </is>
      </c>
      <c r="DQ1" s="53" t="inlineStr">
        <is>
          <t>Pay Type*</t>
        </is>
      </c>
      <c r="DR1" s="53" t="inlineStr">
        <is>
          <t>Pay Frequency*</t>
        </is>
      </c>
      <c r="DS1" s="53" t="inlineStr">
        <is>
          <t>Employment Type II</t>
        </is>
      </c>
      <c r="DT1" s="53" t="inlineStr">
        <is>
          <t>Employment Classification I</t>
        </is>
      </c>
      <c r="DU1" s="53" t="inlineStr">
        <is>
          <t>Employment Classification II</t>
        </is>
      </c>
      <c r="DV1" s="53" t="inlineStr">
        <is>
          <t>Dep Rrelation</t>
        </is>
      </c>
      <c r="DW1" s="53" t="inlineStr">
        <is>
          <t>Dep Disable</t>
        </is>
      </c>
    </row>
    <row r="2" ht="14.25" customHeight="1" s="86">
      <c r="A2" s="45" t="inlineStr">
        <is>
          <t>AL</t>
        </is>
      </c>
      <c r="E2" s="53" t="inlineStr">
        <is>
          <t>AK</t>
        </is>
      </c>
      <c r="F2" s="53" t="inlineStr">
        <is>
          <t>ALEUTIANS EAST</t>
        </is>
      </c>
      <c r="G2" s="59" t="n"/>
      <c r="K2" s="60" t="n"/>
      <c r="O2" s="59" t="n"/>
      <c r="P2" s="46" t="inlineStr">
        <is>
          <t>City_Unique_Val</t>
        </is>
      </c>
      <c r="X2" s="61" t="n"/>
      <c r="Y2" s="61" t="n"/>
      <c r="AF2" s="40" t="inlineStr">
        <is>
          <t>Dependent 1 Prefix</t>
        </is>
      </c>
      <c r="AG2" s="40" t="inlineStr">
        <is>
          <t>Dependent 1 First Name*</t>
        </is>
      </c>
      <c r="AH2" s="40" t="inlineStr">
        <is>
          <t>Dependent 1 Middle Initial</t>
        </is>
      </c>
      <c r="AI2" s="40" t="inlineStr">
        <is>
          <t>Dependent 1 Last Name*</t>
        </is>
      </c>
      <c r="AJ2" s="40" t="inlineStr">
        <is>
          <t>Dependent 1 Suffix</t>
        </is>
      </c>
      <c r="AK2" s="40" t="inlineStr">
        <is>
          <t>Dependent 1 DOB*</t>
        </is>
      </c>
      <c r="AL2" s="40" t="inlineStr">
        <is>
          <t>Dependent 1 Gender*</t>
        </is>
      </c>
      <c r="AM2" s="40" t="inlineStr">
        <is>
          <t>Dependent 1 Tobacco usage in last 12 months</t>
        </is>
      </c>
      <c r="AN2" s="40" t="inlineStr">
        <is>
          <t>Dependent 1 Relationship*</t>
        </is>
      </c>
      <c r="AO2" s="40" t="inlineStr">
        <is>
          <t>Dependent 1 is Disabled</t>
        </is>
      </c>
      <c r="AQ2" s="46" t="inlineStr">
        <is>
          <t>Dependent_Val</t>
        </is>
      </c>
      <c r="AT2" s="53" t="inlineStr">
        <is>
          <t>Data Starts From</t>
        </is>
      </c>
      <c r="AU2" s="53">
        <f>Col_Heading+1</f>
        <v/>
      </c>
      <c r="AV2" s="46" t="inlineStr">
        <is>
          <t>Data_Starts</t>
        </is>
      </c>
      <c r="BD2" s="62" t="inlineStr">
        <is>
          <t>Prefix</t>
        </is>
      </c>
      <c r="BE2" s="63" t="inlineStr">
        <is>
          <t>First Name*</t>
        </is>
      </c>
      <c r="BF2" s="63" t="inlineStr">
        <is>
          <t>Middle Initial</t>
        </is>
      </c>
      <c r="BG2" s="63" t="inlineStr">
        <is>
          <t>Last Name*</t>
        </is>
      </c>
      <c r="BH2" s="63" t="inlineStr">
        <is>
          <t>Suffix</t>
        </is>
      </c>
      <c r="BI2" s="63" t="inlineStr">
        <is>
          <t>DOB*</t>
        </is>
      </c>
      <c r="BJ2" s="63" t="inlineStr">
        <is>
          <t>Gender*</t>
        </is>
      </c>
      <c r="BK2" s="64" t="inlineStr">
        <is>
          <t>Tobacco usage in last 12 months</t>
        </is>
      </c>
      <c r="BL2" s="63" t="inlineStr">
        <is>
          <t>Relationship*</t>
        </is>
      </c>
      <c r="BM2" s="63" t="inlineStr">
        <is>
          <t>Is Disabled</t>
        </is>
      </c>
      <c r="BN2" s="65" t="inlineStr">
        <is>
          <t>Is Married</t>
        </is>
      </c>
      <c r="BU2" s="42" t="n"/>
      <c r="BV2" s="42" t="n"/>
      <c r="BW2" s="46" t="inlineStr">
        <is>
          <t>Custom_CopyPaste_Validation</t>
        </is>
      </c>
      <c r="CA2" s="53" t="inlineStr">
        <is>
          <t>Employee Date of Birth*</t>
        </is>
      </c>
      <c r="CB2" s="53">
        <f>MATCH(CA2,'Employee Details'!$4:$4,0)</f>
        <v/>
      </c>
      <c r="CC2" s="53" t="inlineStr">
        <is>
          <t>mm\/dd\/yyyy</t>
        </is>
      </c>
      <c r="CD2" s="53" t="inlineStr">
        <is>
          <t>Isdate</t>
        </is>
      </c>
      <c r="DE2" s="66" t="inlineStr">
        <is>
          <t>hcentivephix</t>
        </is>
      </c>
      <c r="DJ2" s="53" t="inlineStr">
        <is>
          <t>Mr.</t>
        </is>
      </c>
      <c r="DK2" s="53" t="inlineStr">
        <is>
          <t>Jr.</t>
        </is>
      </c>
      <c r="DL2" s="53" t="inlineStr">
        <is>
          <t>Male</t>
        </is>
      </c>
      <c r="DM2" s="53" t="inlineStr">
        <is>
          <t>Yes</t>
        </is>
      </c>
      <c r="DN2" s="53" t="inlineStr">
        <is>
          <t>Active</t>
        </is>
      </c>
      <c r="DO2" s="53" t="inlineStr">
        <is>
          <t>Death</t>
        </is>
      </c>
      <c r="DP2" s="53" t="inlineStr">
        <is>
          <t>Full Time</t>
        </is>
      </c>
      <c r="DQ2" s="53" t="inlineStr">
        <is>
          <t>Salaried</t>
        </is>
      </c>
      <c r="DR2" s="53" t="inlineStr">
        <is>
          <t>Monthly</t>
        </is>
      </c>
      <c r="DS2" s="53" t="inlineStr">
        <is>
          <t>Permanent</t>
        </is>
      </c>
      <c r="DT2" s="53" t="inlineStr">
        <is>
          <t>Union</t>
        </is>
      </c>
      <c r="DU2" s="53" t="inlineStr">
        <is>
          <t>Exempt</t>
        </is>
      </c>
      <c r="DV2" s="53" t="inlineStr">
        <is>
          <t>Spouse</t>
        </is>
      </c>
      <c r="DW2" s="53" t="inlineStr">
        <is>
          <t>Yes</t>
        </is>
      </c>
    </row>
    <row r="3" ht="14.25" customHeight="1" s="86">
      <c r="A3" s="45" t="inlineStr">
        <is>
          <t>AR</t>
        </is>
      </c>
      <c r="E3" s="53" t="inlineStr">
        <is>
          <t>AK</t>
        </is>
      </c>
      <c r="F3" s="53" t="inlineStr">
        <is>
          <t>ALEUTIANS WEST</t>
        </is>
      </c>
      <c r="G3" s="59" t="n"/>
      <c r="K3" s="67" t="n"/>
      <c r="O3" s="59" t="n"/>
      <c r="P3" s="46" t="inlineStr">
        <is>
          <t>Unique_County_Copy</t>
        </is>
      </c>
      <c r="X3" s="61" t="n"/>
      <c r="Y3" s="61" t="n"/>
      <c r="AF3" s="42" t="n"/>
      <c r="AG3" s="42" t="n"/>
      <c r="AH3" s="42" t="n"/>
      <c r="AI3" s="42" t="n"/>
      <c r="AJ3" s="42" t="n"/>
      <c r="AK3" s="43" t="n"/>
      <c r="AL3" s="42" t="n"/>
      <c r="AM3" s="42" t="n"/>
      <c r="AN3" s="23" t="n"/>
      <c r="AO3" s="23" t="n"/>
      <c r="AQ3" s="46" t="inlineStr">
        <is>
          <t>Dependent_Format_Alter</t>
        </is>
      </c>
      <c r="AT3" s="53" t="inlineStr">
        <is>
          <t>Column Heading Row No.</t>
        </is>
      </c>
      <c r="AU3" s="53" t="n">
        <v>4</v>
      </c>
      <c r="AV3" s="46" t="inlineStr">
        <is>
          <t>Col_Heading</t>
        </is>
      </c>
      <c r="BD3" s="42" t="n"/>
      <c r="BE3" s="42" t="n"/>
      <c r="BF3" s="42" t="n"/>
      <c r="BG3" s="42" t="n"/>
      <c r="BH3" s="42" t="n"/>
      <c r="BI3" s="43" t="n"/>
      <c r="BJ3" s="42" t="n"/>
      <c r="BK3" s="42" t="n"/>
      <c r="BL3" s="23" t="n"/>
      <c r="BM3" s="23" t="n"/>
      <c r="BN3" s="23" t="n"/>
      <c r="CA3" s="53" t="inlineStr">
        <is>
          <t>Date of Hire*</t>
        </is>
      </c>
      <c r="CB3" s="53">
        <f>MATCH(CA3,'Employee Details'!$4:$4,0)</f>
        <v/>
      </c>
      <c r="CC3" s="53" t="inlineStr">
        <is>
          <t>mm\/dd\/yyyy</t>
        </is>
      </c>
      <c r="CD3" s="53" t="inlineStr">
        <is>
          <t>Isdate</t>
        </is>
      </c>
      <c r="CK3" s="53" t="inlineStr">
        <is>
          <t>Dependent*Prefix</t>
        </is>
      </c>
      <c r="CL3" s="53">
        <f>IF(ISERROR(MATCH(CK3,'Employee Details'!$4:$4,0)),0,MATCH(CK3,'Employee Details'!$4:$4,0))</f>
        <v/>
      </c>
      <c r="CO3" s="57" t="inlineStr">
        <is>
          <t>Depen_FirstPrefixColNo</t>
        </is>
      </c>
      <c r="DJ3" s="53" t="inlineStr">
        <is>
          <t>Mrs.</t>
        </is>
      </c>
      <c r="DK3" s="53" t="inlineStr">
        <is>
          <t>Sr.</t>
        </is>
      </c>
      <c r="DL3" s="53" t="inlineStr">
        <is>
          <t>Female</t>
        </is>
      </c>
      <c r="DM3" s="53" t="inlineStr">
        <is>
          <t>NO</t>
        </is>
      </c>
      <c r="DN3" s="53" t="inlineStr">
        <is>
          <t>Terminated</t>
        </is>
      </c>
      <c r="DO3" s="53" t="inlineStr">
        <is>
          <t>Retirement</t>
        </is>
      </c>
      <c r="DP3" s="53" t="inlineStr">
        <is>
          <t>Part Time</t>
        </is>
      </c>
      <c r="DQ3" s="53" t="inlineStr">
        <is>
          <t>Hourly</t>
        </is>
      </c>
      <c r="DR3" s="53" t="inlineStr">
        <is>
          <t>Semi-Monthly</t>
        </is>
      </c>
      <c r="DS3" s="53" t="inlineStr">
        <is>
          <t>Temporary</t>
        </is>
      </c>
      <c r="DT3" s="53" t="inlineStr">
        <is>
          <t>Non-Union</t>
        </is>
      </c>
      <c r="DU3" s="53" t="inlineStr">
        <is>
          <t>Non-Exempt</t>
        </is>
      </c>
      <c r="DV3" s="53" t="inlineStr">
        <is>
          <t>Child</t>
        </is>
      </c>
      <c r="DW3" s="53" t="inlineStr">
        <is>
          <t>No</t>
        </is>
      </c>
    </row>
    <row r="4" ht="14.25" customHeight="1" s="86">
      <c r="A4" s="45" t="inlineStr">
        <is>
          <t>AS</t>
        </is>
      </c>
      <c r="E4" s="53" t="inlineStr">
        <is>
          <t>AK</t>
        </is>
      </c>
      <c r="F4" s="53" t="inlineStr">
        <is>
          <t>ANCHORAGE</t>
        </is>
      </c>
      <c r="G4" s="59" t="n"/>
      <c r="K4" s="67" t="n"/>
      <c r="O4" s="59" t="n"/>
      <c r="X4" s="61" t="n"/>
      <c r="Y4" s="61" t="n"/>
      <c r="AT4" s="53" t="inlineStr">
        <is>
          <t>Custom Benefits Add Row No.</t>
        </is>
      </c>
      <c r="AU4" s="53">
        <f>Col_Heading-1</f>
        <v/>
      </c>
      <c r="AV4" s="46" t="inlineStr">
        <is>
          <t>Custom_Add_Row</t>
        </is>
      </c>
      <c r="CA4" s="53" t="inlineStr">
        <is>
          <t>Termination Date</t>
        </is>
      </c>
      <c r="CB4" s="53">
        <f>MATCH(CA4,'Employee Details'!$4:$4,0)</f>
        <v/>
      </c>
      <c r="CC4" s="53" t="inlineStr">
        <is>
          <t>mm\/dd\/yyyy</t>
        </is>
      </c>
      <c r="CD4" s="53" t="inlineStr">
        <is>
          <t>Isdate</t>
        </is>
      </c>
      <c r="DJ4" s="53" t="inlineStr">
        <is>
          <t>Ms.</t>
        </is>
      </c>
      <c r="DK4" s="53" t="inlineStr">
        <is>
          <t>I</t>
        </is>
      </c>
      <c r="DL4" s="53" t="inlineStr">
        <is>
          <t>M</t>
        </is>
      </c>
      <c r="DO4" s="53" t="inlineStr">
        <is>
          <t>Voluntary Termination of Employment</t>
        </is>
      </c>
      <c r="DP4" s="53" t="inlineStr">
        <is>
          <t>Other</t>
        </is>
      </c>
      <c r="DR4" s="53" t="inlineStr">
        <is>
          <t>Bi-Weekly</t>
        </is>
      </c>
      <c r="DV4" s="53" t="inlineStr">
        <is>
          <t>Domestic Partner</t>
        </is>
      </c>
    </row>
    <row r="5" ht="14.25" customHeight="1" s="86">
      <c r="A5" s="45" t="inlineStr">
        <is>
          <t>AZ</t>
        </is>
      </c>
      <c r="E5" s="53" t="inlineStr">
        <is>
          <t>AK</t>
        </is>
      </c>
      <c r="F5" s="53" t="inlineStr">
        <is>
          <t>BETHEL</t>
        </is>
      </c>
      <c r="G5" s="59" t="n"/>
      <c r="K5" s="67" t="n"/>
      <c r="O5" s="59" t="n"/>
      <c r="X5" s="61" t="n"/>
      <c r="Y5" s="61" t="n"/>
      <c r="AT5" s="53" t="inlineStr">
        <is>
          <t>State Validation Column Number</t>
        </is>
      </c>
      <c r="AU5" s="53">
        <f>MATCH("State(Abbreviation)*",'Employee Details'!$A$4:$AQ$4,0)</f>
        <v/>
      </c>
      <c r="AV5" s="46" t="inlineStr">
        <is>
          <t>State_Val_Col_Num</t>
        </is>
      </c>
      <c r="CA5" s="53" t="inlineStr">
        <is>
          <t>Annual Salary(Digits)</t>
        </is>
      </c>
      <c r="CB5" s="53" t="n">
        <v>20</v>
      </c>
      <c r="CC5" s="22" t="inlineStr">
        <is>
          <t>0.00</t>
        </is>
      </c>
      <c r="CD5" s="53" t="inlineStr">
        <is>
          <t>Isnumber</t>
        </is>
      </c>
      <c r="CE5" s="53" t="inlineStr">
        <is>
          <t>&lt;=</t>
        </is>
      </c>
      <c r="CF5" s="53" t="n">
        <v>10</v>
      </c>
      <c r="DJ5" s="53" t="inlineStr">
        <is>
          <t>Miss.</t>
        </is>
      </c>
      <c r="DK5" s="53" t="inlineStr">
        <is>
          <t>II</t>
        </is>
      </c>
      <c r="DL5" s="53" t="inlineStr">
        <is>
          <t>F</t>
        </is>
      </c>
      <c r="DO5" s="53" t="inlineStr">
        <is>
          <t>Involuntary Termination of Employment</t>
        </is>
      </c>
      <c r="DR5" s="53" t="inlineStr">
        <is>
          <t>Weekly</t>
        </is>
      </c>
      <c r="DV5" s="53" t="inlineStr">
        <is>
          <t>Other dependent</t>
        </is>
      </c>
    </row>
    <row r="6" ht="14.25" customHeight="1" s="86">
      <c r="A6" s="45" t="inlineStr">
        <is>
          <t>CA</t>
        </is>
      </c>
      <c r="E6" s="53" t="inlineStr">
        <is>
          <t>AK</t>
        </is>
      </c>
      <c r="F6" s="53" t="inlineStr">
        <is>
          <t>BRISTOL BAY</t>
        </is>
      </c>
      <c r="G6" s="59" t="n"/>
      <c r="K6" s="67" t="n"/>
      <c r="O6" s="59" t="n"/>
      <c r="X6" s="61" t="n"/>
      <c r="Y6" s="61" t="n"/>
      <c r="AT6" s="53" t="inlineStr">
        <is>
          <t>L_Row and L_Col Search Range</t>
        </is>
      </c>
      <c r="AV6" s="46" t="inlineStr">
        <is>
          <t>lrow_lcol_search_range</t>
        </is>
      </c>
      <c r="CA6" s="53" t="inlineStr">
        <is>
          <t>Working Hours per Week(Digits)**</t>
        </is>
      </c>
      <c r="CB6" s="53">
        <f>MATCH(CA6,'Employee Details'!$4:$4,0)</f>
        <v/>
      </c>
      <c r="CC6" s="53" t="inlineStr">
        <is>
          <t>General</t>
        </is>
      </c>
      <c r="CD6" s="53" t="inlineStr">
        <is>
          <t>Isnumber</t>
        </is>
      </c>
      <c r="CE6" s="53" t="inlineStr">
        <is>
          <t>&lt;=</t>
        </is>
      </c>
      <c r="CF6" s="53" t="n">
        <v>2</v>
      </c>
      <c r="DJ6" s="53" t="inlineStr">
        <is>
          <t>Dr.</t>
        </is>
      </c>
      <c r="DK6" s="53" t="inlineStr">
        <is>
          <t>III</t>
        </is>
      </c>
      <c r="DO6" s="53" t="inlineStr">
        <is>
          <t>Permanent Disability</t>
        </is>
      </c>
    </row>
    <row r="7" ht="14.25" customHeight="1" s="86">
      <c r="A7" s="45" t="inlineStr">
        <is>
          <t>CO</t>
        </is>
      </c>
      <c r="E7" s="53" t="inlineStr">
        <is>
          <t>AK</t>
        </is>
      </c>
      <c r="F7" s="53" t="inlineStr">
        <is>
          <t>DENALI</t>
        </is>
      </c>
      <c r="G7" s="59" t="n"/>
      <c r="K7" s="67" t="n"/>
      <c r="O7" s="59" t="n"/>
      <c r="X7" s="61" t="n"/>
      <c r="Y7" s="61" t="n"/>
      <c r="AT7" s="53" t="inlineStr">
        <is>
          <t>Employment Type Column Number</t>
        </is>
      </c>
      <c r="AU7" s="53">
        <f>MATCH("Employment Type I*",'Employee Details'!$A$4:$AQ$4,0)</f>
        <v/>
      </c>
      <c r="AV7" s="46" t="inlineStr">
        <is>
          <t>Employment_Type</t>
        </is>
      </c>
      <c r="CA7" s="53" t="inlineStr">
        <is>
          <t>Hourly Pay Rate**</t>
        </is>
      </c>
      <c r="CB7" s="53">
        <f>MATCH(CA7,'Employee Details'!$4:$4,0)</f>
        <v/>
      </c>
      <c r="CC7" s="53" t="inlineStr">
        <is>
          <t>General</t>
        </is>
      </c>
      <c r="CD7" s="53" t="inlineStr">
        <is>
          <t>Isnumber</t>
        </is>
      </c>
      <c r="CE7" s="53" t="inlineStr">
        <is>
          <t>&lt;=</t>
        </is>
      </c>
      <c r="CF7" s="53" t="n">
        <v>5</v>
      </c>
      <c r="DK7" s="53" t="inlineStr">
        <is>
          <t>IV</t>
        </is>
      </c>
    </row>
    <row r="8" ht="14.25" customHeight="1" s="86">
      <c r="A8" s="45" t="inlineStr">
        <is>
          <t>CT</t>
        </is>
      </c>
      <c r="E8" s="53" t="inlineStr">
        <is>
          <t>AK</t>
        </is>
      </c>
      <c r="F8" s="53" t="inlineStr">
        <is>
          <t>DILLINGHAM</t>
        </is>
      </c>
      <c r="G8" s="59" t="n"/>
      <c r="K8" s="67" t="n"/>
      <c r="O8" s="59" t="n"/>
      <c r="X8" s="61" t="n"/>
      <c r="Y8" s="61" t="n"/>
      <c r="AT8" s="53" t="inlineStr">
        <is>
          <t>Validation Fill Range</t>
        </is>
      </c>
      <c r="AU8" s="53" t="n">
        <v>1100</v>
      </c>
      <c r="AV8" s="46" t="inlineStr">
        <is>
          <t>Validation_Fill_Range</t>
        </is>
      </c>
      <c r="CA8" s="53" t="inlineStr">
        <is>
          <t>Phone Number(Digits)</t>
        </is>
      </c>
      <c r="CB8" s="53">
        <f>MATCH(CA8,'Employee Details'!$4:$4,0)</f>
        <v/>
      </c>
      <c r="CC8" s="53" t="inlineStr">
        <is>
          <t>General</t>
        </is>
      </c>
      <c r="CD8" s="53" t="inlineStr">
        <is>
          <t>custom</t>
        </is>
      </c>
      <c r="CE8" s="53" t="inlineStr">
        <is>
          <t>&lt;=</t>
        </is>
      </c>
      <c r="CF8" s="53" t="n">
        <v>10</v>
      </c>
    </row>
    <row r="9" ht="14.25" customHeight="1" s="86">
      <c r="A9" s="45" t="inlineStr">
        <is>
          <t>DC</t>
        </is>
      </c>
      <c r="E9" s="53" t="inlineStr">
        <is>
          <t>AK</t>
        </is>
      </c>
      <c r="F9" s="53" t="inlineStr">
        <is>
          <t>FAIRBANKS NORTH STAR</t>
        </is>
      </c>
      <c r="G9" s="59" t="n"/>
      <c r="K9" s="67" t="n"/>
      <c r="O9" s="59" t="n"/>
      <c r="X9" s="61" t="n"/>
      <c r="Y9" s="61" t="n"/>
      <c r="AT9" s="53" t="inlineStr">
        <is>
          <t>Others (Employement-Type)* (Col No.)</t>
        </is>
      </c>
      <c r="AU9" s="53">
        <f>MATCH("Others (Employment-Type I)*",'Employee Details'!$A$4:$AQ$4,0)</f>
        <v/>
      </c>
      <c r="AV9" s="46" t="inlineStr">
        <is>
          <t>Oth_Employement_Type</t>
        </is>
      </c>
    </row>
    <row r="10" ht="14.25" customHeight="1" s="86">
      <c r="A10" s="45" t="inlineStr">
        <is>
          <t>DE</t>
        </is>
      </c>
      <c r="E10" s="53" t="inlineStr">
        <is>
          <t>AK</t>
        </is>
      </c>
      <c r="F10" s="53" t="inlineStr">
        <is>
          <t>HAINES</t>
        </is>
      </c>
      <c r="G10" s="59" t="n"/>
      <c r="K10" s="67" t="n"/>
      <c r="O10" s="59" t="n"/>
      <c r="X10" s="61" t="n"/>
      <c r="Y10" s="61" t="n"/>
      <c r="AT10" s="53" t="inlineStr">
        <is>
          <t>Employment Status* Col No</t>
        </is>
      </c>
      <c r="AU10" s="53">
        <f>MATCH("Employment
Status*",'Employee Details'!$A$4:$AQ$4,0)</f>
        <v/>
      </c>
      <c r="AV10" s="46" t="inlineStr">
        <is>
          <t>Employment_Status_ColNo</t>
        </is>
      </c>
    </row>
    <row r="11" ht="14.25" customHeight="1" s="86">
      <c r="A11" s="45" t="inlineStr">
        <is>
          <t>FL</t>
        </is>
      </c>
      <c r="E11" s="53" t="inlineStr">
        <is>
          <t>AK</t>
        </is>
      </c>
      <c r="F11" s="53" t="inlineStr">
        <is>
          <t>HOONAH ANGOON</t>
        </is>
      </c>
      <c r="G11" s="59" t="n"/>
      <c r="K11" s="67" t="n"/>
      <c r="O11" s="59" t="n"/>
      <c r="X11" s="61" t="n"/>
      <c r="Y11" s="61" t="n"/>
      <c r="AT11" s="53" t="inlineStr">
        <is>
          <t>Termination Date Col No</t>
        </is>
      </c>
      <c r="AU11" s="53">
        <f>MATCH("Termination Date",'Employee Details'!$A$4:$AQ$4,0)</f>
        <v/>
      </c>
      <c r="AV11" s="46" t="inlineStr">
        <is>
          <t>Termination_Date_Col_No</t>
        </is>
      </c>
    </row>
    <row r="12" ht="14.25" customHeight="1" s="86">
      <c r="A12" s="45" t="inlineStr">
        <is>
          <t>FM</t>
        </is>
      </c>
      <c r="E12" s="53" t="inlineStr">
        <is>
          <t>AK</t>
        </is>
      </c>
      <c r="F12" s="53" t="inlineStr">
        <is>
          <t>JUNEAU</t>
        </is>
      </c>
      <c r="G12" s="59" t="n"/>
      <c r="K12" s="67" t="n"/>
      <c r="O12" s="59" t="n"/>
      <c r="X12" s="61" t="n"/>
      <c r="Y12" s="61" t="n"/>
      <c r="AT12" s="68" t="inlineStr">
        <is>
          <t>Termination Type Col No</t>
        </is>
      </c>
      <c r="AU12" s="68" t="inlineStr">
        <is>
          <t xml:space="preserve"> =MATCH("Termination Type",'Employee Details'!$A$4:$AG$4,0)</t>
        </is>
      </c>
      <c r="AV12" s="46" t="inlineStr">
        <is>
          <t>Termination_Type_Col_No</t>
        </is>
      </c>
    </row>
    <row r="13" ht="14.25" customHeight="1" s="86">
      <c r="A13" s="45" t="inlineStr">
        <is>
          <t>GA</t>
        </is>
      </c>
      <c r="E13" s="53" t="inlineStr">
        <is>
          <t>AK</t>
        </is>
      </c>
      <c r="F13" s="53" t="inlineStr">
        <is>
          <t>KENAI PENINSULA</t>
        </is>
      </c>
      <c r="G13" s="59" t="n"/>
      <c r="K13" s="67" t="n"/>
      <c r="O13" s="59" t="n"/>
      <c r="X13" s="61" t="n"/>
      <c r="Y13" s="61" t="n"/>
      <c r="AT13" s="53" t="inlineStr">
        <is>
          <t>Termination Reason</t>
        </is>
      </c>
      <c r="AU13" s="53">
        <f>MATCH("Termination Reason",'Employee Details'!$A$4:$AQ$4,0)</f>
        <v/>
      </c>
      <c r="AV13" s="46" t="inlineStr">
        <is>
          <t>Termination_Reason</t>
        </is>
      </c>
    </row>
    <row r="14" ht="14.25" customHeight="1" s="86">
      <c r="A14" s="45" t="inlineStr">
        <is>
          <t>GU</t>
        </is>
      </c>
      <c r="E14" s="53" t="inlineStr">
        <is>
          <t>AK</t>
        </is>
      </c>
      <c r="F14" s="53" t="inlineStr">
        <is>
          <t>KETCHIKAN GATEWAY</t>
        </is>
      </c>
      <c r="G14" s="59" t="n"/>
      <c r="K14" s="67" t="n"/>
      <c r="O14" s="59" t="n"/>
      <c r="X14" s="61" t="n"/>
      <c r="Y14" s="61" t="n"/>
      <c r="AT14" s="53" t="inlineStr">
        <is>
          <t>Working Hours per Week(Digits)**</t>
        </is>
      </c>
      <c r="AU14" s="53">
        <f>MATCH("Working Hours per Week(Digits)**",'Employee Details'!$A$4:$AQ$4,0)</f>
        <v/>
      </c>
      <c r="AV14" s="46" t="inlineStr">
        <is>
          <t>Working_Hours_per_Week</t>
        </is>
      </c>
    </row>
    <row r="15" ht="14.25" customHeight="1" s="86">
      <c r="A15" s="45" t="inlineStr">
        <is>
          <t>HI</t>
        </is>
      </c>
      <c r="E15" s="53" t="inlineStr">
        <is>
          <t>AK</t>
        </is>
      </c>
      <c r="F15" s="53" t="inlineStr">
        <is>
          <t>KODIAK ISLAND</t>
        </is>
      </c>
      <c r="G15" s="59" t="n"/>
      <c r="K15" s="67" t="n"/>
      <c r="O15" s="59" t="n"/>
      <c r="X15" s="61" t="n"/>
      <c r="Y15" s="61" t="n"/>
      <c r="AT15" s="53" t="inlineStr">
        <is>
          <t>COUNTY* Col No</t>
        </is>
      </c>
      <c r="AU15" s="53">
        <f>MATCH("COUNTY*",'Employee Details'!$A$4:$AQ$4,0)</f>
        <v/>
      </c>
      <c r="AV15" s="46" t="inlineStr">
        <is>
          <t>State_County</t>
        </is>
      </c>
    </row>
    <row r="16" ht="14.25" customHeight="1" s="86">
      <c r="A16" s="45" t="inlineStr">
        <is>
          <t>IA</t>
        </is>
      </c>
      <c r="E16" s="53" t="inlineStr">
        <is>
          <t>AK</t>
        </is>
      </c>
      <c r="F16" s="53" t="inlineStr">
        <is>
          <t>LAKE AND PENINSULA</t>
        </is>
      </c>
      <c r="G16" s="59" t="n"/>
      <c r="K16" s="67" t="n"/>
      <c r="O16" s="59" t="n"/>
      <c r="X16" s="61" t="n"/>
      <c r="Y16" s="61" t="n"/>
      <c r="AT16" s="53" t="inlineStr">
        <is>
          <t>Pay Type* Column Number</t>
        </is>
      </c>
      <c r="AU16" s="53">
        <f>MATCH("Pay Type*",'Employee Details'!$A$4:$AQ$4,0)</f>
        <v/>
      </c>
      <c r="AV16" s="46" t="inlineStr">
        <is>
          <t>Pay_Type_ColNo</t>
        </is>
      </c>
    </row>
    <row r="17" ht="14.25" customHeight="1" s="86">
      <c r="A17" s="45" t="inlineStr">
        <is>
          <t>ID</t>
        </is>
      </c>
      <c r="E17" s="53" t="inlineStr">
        <is>
          <t>AK</t>
        </is>
      </c>
      <c r="F17" s="53" t="inlineStr">
        <is>
          <t>MATANUSKA SUSITNA</t>
        </is>
      </c>
      <c r="G17" s="59" t="n"/>
      <c r="O17" s="59" t="n"/>
      <c r="X17" s="61" t="n"/>
      <c r="Y17" s="61" t="n"/>
      <c r="AT17" s="53" t="inlineStr">
        <is>
          <t>Pay Frequency* Column Number</t>
        </is>
      </c>
      <c r="AU17" s="53">
        <f>MATCH("Pay Frequency*",'Employee Details'!$A$4:$AQ$4,0)</f>
        <v/>
      </c>
      <c r="AV17" s="46" t="inlineStr">
        <is>
          <t>Pay_Frequency_ColNo</t>
        </is>
      </c>
    </row>
    <row r="18" ht="14.25" customHeight="1" s="86">
      <c r="A18" s="45" t="inlineStr">
        <is>
          <t>IL</t>
        </is>
      </c>
      <c r="E18" s="53" t="inlineStr">
        <is>
          <t>AK</t>
        </is>
      </c>
      <c r="F18" s="53" t="inlineStr">
        <is>
          <t>NOME</t>
        </is>
      </c>
      <c r="G18" s="59" t="n"/>
      <c r="O18" s="59" t="n"/>
      <c r="X18" s="61" t="n"/>
      <c r="Y18" s="61" t="n"/>
      <c r="AT18" s="53" t="inlineStr">
        <is>
          <t>Search Column</t>
        </is>
      </c>
      <c r="AU18" s="53" t="inlineStr">
        <is>
          <t>Dependent*Prefix</t>
        </is>
      </c>
      <c r="AV18" s="46" t="inlineStr">
        <is>
          <t>Dep_FirstCol_Search</t>
        </is>
      </c>
    </row>
    <row r="19" ht="14.25" customHeight="1" s="86">
      <c r="A19" s="45" t="inlineStr">
        <is>
          <t>IN</t>
        </is>
      </c>
      <c r="E19" s="53" t="inlineStr">
        <is>
          <t>AK</t>
        </is>
      </c>
      <c r="F19" s="53" t="inlineStr">
        <is>
          <t>NORTH SLOPE</t>
        </is>
      </c>
      <c r="G19" s="59" t="n"/>
      <c r="O19" s="59" t="n"/>
      <c r="X19" s="61" t="n"/>
      <c r="Y19" s="61" t="n"/>
      <c r="AT19" s="53" t="inlineStr">
        <is>
          <t>Employee SSN (Col No)</t>
        </is>
      </c>
      <c r="AU19" s="53">
        <f>MATCH("Employee SSN",'Employee Details'!$A$4:$AQ$4,0)</f>
        <v/>
      </c>
      <c r="AV19" s="46" t="inlineStr">
        <is>
          <t>Employee_SSN</t>
        </is>
      </c>
    </row>
    <row r="20" ht="14.25" customHeight="1" s="86">
      <c r="A20" s="45" t="inlineStr">
        <is>
          <t>KS</t>
        </is>
      </c>
      <c r="E20" s="53" t="inlineStr">
        <is>
          <t>AK</t>
        </is>
      </c>
      <c r="F20" s="53" t="inlineStr">
        <is>
          <t>NORTHWEST ARCTIC</t>
        </is>
      </c>
      <c r="G20" s="59" t="n"/>
      <c r="O20" s="59" t="n"/>
      <c r="X20" s="61" t="n"/>
      <c r="Y20" s="61" t="n"/>
      <c r="AT20" s="53" t="inlineStr">
        <is>
          <t>Working Hours per Week(Digits)**</t>
        </is>
      </c>
      <c r="AU20" s="53">
        <f>MATCH("Hourly Pay Rate**",'Employee Details'!$A$4:$AQ$4,0)</f>
        <v/>
      </c>
      <c r="AV20" s="46" t="inlineStr">
        <is>
          <t>HourlyPayRate</t>
        </is>
      </c>
    </row>
    <row r="21" ht="14.25" customHeight="1" s="86">
      <c r="A21" s="45" t="inlineStr">
        <is>
          <t>KY</t>
        </is>
      </c>
      <c r="E21" s="53" t="inlineStr">
        <is>
          <t>AK</t>
        </is>
      </c>
      <c r="F21" s="53" t="inlineStr">
        <is>
          <t>PETERSBURG</t>
        </is>
      </c>
      <c r="G21" s="59" t="n"/>
      <c r="O21" s="59" t="n"/>
      <c r="X21" s="61" t="n"/>
      <c r="Y21" s="61" t="n"/>
      <c r="AT21" s="53" t="inlineStr">
        <is>
          <t>System Defined Custom Fields</t>
        </is>
      </c>
      <c r="AU21" s="53" t="inlineStr">
        <is>
          <t>Protected Veteran Status,Race/Ethnicity,EEO Job Category,Disability Status</t>
        </is>
      </c>
      <c r="AV21" s="53" t="inlineStr">
        <is>
          <t>SystemCustomFields</t>
        </is>
      </c>
    </row>
    <row r="22" ht="14.25" customHeight="1" s="86">
      <c r="A22" s="45" t="inlineStr">
        <is>
          <t>LA</t>
        </is>
      </c>
      <c r="E22" s="53" t="inlineStr">
        <is>
          <t>AK</t>
        </is>
      </c>
      <c r="F22" s="53" t="inlineStr">
        <is>
          <t>PRINCE OF WALES HYDER</t>
        </is>
      </c>
      <c r="G22" s="59" t="n"/>
      <c r="O22" s="59" t="n"/>
      <c r="X22" s="61" t="n"/>
      <c r="Y22" s="61" t="n"/>
    </row>
    <row r="23" ht="14.25" customHeight="1" s="86">
      <c r="A23" s="45" t="inlineStr">
        <is>
          <t>MA</t>
        </is>
      </c>
      <c r="E23" s="53" t="inlineStr">
        <is>
          <t>AK</t>
        </is>
      </c>
      <c r="F23" s="53" t="inlineStr">
        <is>
          <t>SITKA</t>
        </is>
      </c>
      <c r="G23" s="59" t="n"/>
      <c r="O23" s="59" t="n"/>
      <c r="X23" s="61" t="n"/>
      <c r="Y23" s="61" t="n"/>
    </row>
    <row r="24" ht="14.25" customHeight="1" s="86">
      <c r="A24" s="45" t="inlineStr">
        <is>
          <t>MD</t>
        </is>
      </c>
      <c r="E24" s="53" t="inlineStr">
        <is>
          <t>AK</t>
        </is>
      </c>
      <c r="F24" s="53" t="inlineStr">
        <is>
          <t>SKAGWAY</t>
        </is>
      </c>
      <c r="G24" s="59" t="n"/>
      <c r="O24" s="59" t="n"/>
      <c r="X24" s="61" t="n"/>
      <c r="Y24" s="61" t="n"/>
    </row>
    <row r="25" ht="14.25" customHeight="1" s="86">
      <c r="A25" s="45" t="inlineStr">
        <is>
          <t>ME</t>
        </is>
      </c>
      <c r="E25" s="53" t="inlineStr">
        <is>
          <t>AK</t>
        </is>
      </c>
      <c r="F25" s="53" t="inlineStr">
        <is>
          <t>SOUTHEAST FAIRBANKS</t>
        </is>
      </c>
      <c r="G25" s="59" t="n"/>
      <c r="O25" s="59" t="n"/>
      <c r="X25" s="61" t="n"/>
      <c r="Y25" s="61" t="n"/>
    </row>
    <row r="26" ht="14.25" customHeight="1" s="86">
      <c r="A26" s="45" t="inlineStr">
        <is>
          <t>MH</t>
        </is>
      </c>
      <c r="E26" s="53" t="inlineStr">
        <is>
          <t>AK</t>
        </is>
      </c>
      <c r="F26" s="53" t="inlineStr">
        <is>
          <t>VALDEZ CORDOVA</t>
        </is>
      </c>
      <c r="G26" s="59" t="n"/>
      <c r="O26" s="59" t="n"/>
      <c r="X26" s="61" t="n"/>
      <c r="Y26" s="61" t="n"/>
    </row>
    <row r="27" ht="14.25" customHeight="1" s="86">
      <c r="A27" s="45" t="inlineStr">
        <is>
          <t>MI</t>
        </is>
      </c>
      <c r="E27" s="53" t="inlineStr">
        <is>
          <t>AK</t>
        </is>
      </c>
      <c r="F27" s="53" t="inlineStr">
        <is>
          <t>WADE HAMPTON</t>
        </is>
      </c>
      <c r="G27" s="59" t="n"/>
      <c r="O27" s="59" t="n"/>
      <c r="X27" s="61" t="n"/>
      <c r="Y27" s="61" t="n"/>
    </row>
    <row r="28" ht="14.25" customHeight="1" s="86">
      <c r="A28" s="45" t="inlineStr">
        <is>
          <t>MN</t>
        </is>
      </c>
      <c r="E28" s="53" t="inlineStr">
        <is>
          <t>AK</t>
        </is>
      </c>
      <c r="F28" s="53" t="inlineStr">
        <is>
          <t>WRANGELL</t>
        </is>
      </c>
      <c r="G28" s="59" t="n"/>
      <c r="O28" s="59" t="n"/>
      <c r="X28" s="61" t="n"/>
      <c r="Y28" s="61" t="n"/>
    </row>
    <row r="29" ht="14.25" customHeight="1" s="86">
      <c r="A29" s="45" t="inlineStr">
        <is>
          <t>MO</t>
        </is>
      </c>
      <c r="E29" s="53" t="inlineStr">
        <is>
          <t>AK</t>
        </is>
      </c>
      <c r="F29" s="53" t="inlineStr">
        <is>
          <t>YAKUTAT</t>
        </is>
      </c>
      <c r="G29" s="59" t="n"/>
      <c r="O29" s="59" t="n"/>
      <c r="X29" s="61" t="n"/>
      <c r="Y29" s="61" t="n"/>
    </row>
    <row r="30" ht="14.25" customHeight="1" s="86">
      <c r="A30" s="45" t="inlineStr">
        <is>
          <t>MP</t>
        </is>
      </c>
      <c r="E30" s="53" t="inlineStr">
        <is>
          <t>AK</t>
        </is>
      </c>
      <c r="F30" s="53" t="inlineStr">
        <is>
          <t>YUKON KOYUKUK</t>
        </is>
      </c>
      <c r="G30" s="59" t="n"/>
      <c r="O30" s="59" t="n"/>
      <c r="X30" s="61" t="n"/>
      <c r="Y30" s="61" t="n"/>
    </row>
    <row r="31" ht="14.25" customHeight="1" s="86">
      <c r="A31" s="45" t="inlineStr">
        <is>
          <t>MS</t>
        </is>
      </c>
      <c r="E31" s="53" t="inlineStr">
        <is>
          <t>AL</t>
        </is>
      </c>
      <c r="F31" s="53" t="inlineStr">
        <is>
          <t>AUTAUGA</t>
        </is>
      </c>
      <c r="G31" s="59" t="n"/>
      <c r="O31" s="59" t="n"/>
      <c r="X31" s="61" t="n"/>
      <c r="Y31" s="61" t="n"/>
    </row>
    <row r="32" ht="14.25" customHeight="1" s="86">
      <c r="A32" s="45" t="inlineStr">
        <is>
          <t>MT</t>
        </is>
      </c>
      <c r="E32" s="53" t="inlineStr">
        <is>
          <t>AL</t>
        </is>
      </c>
      <c r="F32" s="53" t="inlineStr">
        <is>
          <t>BALDWIN</t>
        </is>
      </c>
      <c r="G32" s="59" t="n"/>
      <c r="O32" s="59" t="n"/>
      <c r="X32" s="61" t="n"/>
      <c r="Y32" s="61" t="n"/>
    </row>
    <row r="33" ht="14.25" customHeight="1" s="86">
      <c r="A33" s="45" t="inlineStr">
        <is>
          <t>NC</t>
        </is>
      </c>
      <c r="E33" s="53" t="inlineStr">
        <is>
          <t>AL</t>
        </is>
      </c>
      <c r="F33" s="53" t="inlineStr">
        <is>
          <t>BARBOUR</t>
        </is>
      </c>
      <c r="G33" s="59" t="n"/>
      <c r="O33" s="59" t="n"/>
      <c r="X33" s="61" t="n"/>
      <c r="Y33" s="61" t="n"/>
    </row>
    <row r="34" ht="14.25" customHeight="1" s="86">
      <c r="A34" s="45" t="inlineStr">
        <is>
          <t>ND</t>
        </is>
      </c>
      <c r="E34" s="53" t="inlineStr">
        <is>
          <t>AL</t>
        </is>
      </c>
      <c r="F34" s="53" t="inlineStr">
        <is>
          <t>BIBB</t>
        </is>
      </c>
      <c r="G34" s="59" t="n"/>
      <c r="O34" s="59" t="n"/>
      <c r="X34" s="61" t="n"/>
      <c r="Y34" s="61" t="n"/>
    </row>
    <row r="35" ht="14.25" customHeight="1" s="86">
      <c r="A35" s="45" t="inlineStr">
        <is>
          <t>NE</t>
        </is>
      </c>
      <c r="E35" s="53" t="inlineStr">
        <is>
          <t>AL</t>
        </is>
      </c>
      <c r="F35" s="53" t="inlineStr">
        <is>
          <t>BLOUNT</t>
        </is>
      </c>
      <c r="G35" s="59" t="n"/>
      <c r="O35" s="59" t="n"/>
      <c r="X35" s="61" t="n"/>
      <c r="Y35" s="61" t="n"/>
    </row>
    <row r="36" ht="14.25" customHeight="1" s="86">
      <c r="A36" s="45" t="inlineStr">
        <is>
          <t>NH</t>
        </is>
      </c>
      <c r="E36" s="53" t="inlineStr">
        <is>
          <t>AL</t>
        </is>
      </c>
      <c r="F36" s="53" t="inlineStr">
        <is>
          <t>BULLOCK</t>
        </is>
      </c>
      <c r="G36" s="59" t="n"/>
      <c r="O36" s="59" t="n"/>
      <c r="X36" s="61" t="n"/>
      <c r="Y36" s="61" t="n"/>
    </row>
    <row r="37" ht="14.25" customHeight="1" s="86">
      <c r="A37" s="45" t="inlineStr">
        <is>
          <t>NJ</t>
        </is>
      </c>
      <c r="E37" s="53" t="inlineStr">
        <is>
          <t>AL</t>
        </is>
      </c>
      <c r="F37" s="53" t="inlineStr">
        <is>
          <t>BUTLER</t>
        </is>
      </c>
      <c r="G37" s="59" t="n"/>
      <c r="O37" s="59" t="n"/>
      <c r="X37" s="61" t="n"/>
      <c r="Y37" s="61" t="n"/>
    </row>
    <row r="38" ht="14.25" customHeight="1" s="86">
      <c r="A38" s="45" t="inlineStr">
        <is>
          <t>NM</t>
        </is>
      </c>
      <c r="E38" s="53" t="inlineStr">
        <is>
          <t>AL</t>
        </is>
      </c>
      <c r="F38" s="53" t="inlineStr">
        <is>
          <t>CALHOUN</t>
        </is>
      </c>
      <c r="G38" s="59" t="n"/>
      <c r="O38" s="59" t="n"/>
      <c r="X38" s="61" t="n"/>
      <c r="Y38" s="61" t="n"/>
    </row>
    <row r="39" ht="14.25" customHeight="1" s="86">
      <c r="A39" s="45" t="inlineStr">
        <is>
          <t>NV</t>
        </is>
      </c>
      <c r="E39" s="53" t="inlineStr">
        <is>
          <t>AL</t>
        </is>
      </c>
      <c r="F39" s="53" t="inlineStr">
        <is>
          <t>CHAMBERS</t>
        </is>
      </c>
      <c r="G39" s="59" t="n"/>
      <c r="O39" s="59" t="n"/>
      <c r="X39" s="61" t="n"/>
      <c r="Y39" s="61" t="n"/>
    </row>
    <row r="40" ht="14.25" customHeight="1" s="86">
      <c r="A40" s="45" t="inlineStr">
        <is>
          <t>NY</t>
        </is>
      </c>
      <c r="E40" s="53" t="inlineStr">
        <is>
          <t>AL</t>
        </is>
      </c>
      <c r="F40" s="53" t="inlineStr">
        <is>
          <t>CHEROKEE</t>
        </is>
      </c>
      <c r="G40" s="59" t="n"/>
      <c r="O40" s="59" t="n"/>
      <c r="X40" s="61" t="n"/>
      <c r="Y40" s="61" t="n"/>
    </row>
    <row r="41" ht="14.25" customHeight="1" s="86">
      <c r="A41" s="45" t="inlineStr">
        <is>
          <t>OH</t>
        </is>
      </c>
      <c r="E41" s="53" t="inlineStr">
        <is>
          <t>AL</t>
        </is>
      </c>
      <c r="F41" s="53" t="inlineStr">
        <is>
          <t>CHILTON</t>
        </is>
      </c>
      <c r="G41" s="59" t="n"/>
      <c r="O41" s="59" t="n"/>
      <c r="X41" s="61" t="n"/>
      <c r="Y41" s="61" t="n"/>
    </row>
    <row r="42" ht="14.25" customHeight="1" s="86">
      <c r="A42" s="45" t="inlineStr">
        <is>
          <t>OK</t>
        </is>
      </c>
      <c r="E42" s="53" t="inlineStr">
        <is>
          <t>AL</t>
        </is>
      </c>
      <c r="F42" s="53" t="inlineStr">
        <is>
          <t>CHOCTAW</t>
        </is>
      </c>
      <c r="G42" s="59" t="n"/>
      <c r="O42" s="59" t="n"/>
      <c r="X42" s="61" t="n"/>
      <c r="Y42" s="61" t="n"/>
    </row>
    <row r="43" ht="14.25" customHeight="1" s="86">
      <c r="A43" s="45" t="inlineStr">
        <is>
          <t>OR</t>
        </is>
      </c>
      <c r="E43" s="53" t="inlineStr">
        <is>
          <t>AL</t>
        </is>
      </c>
      <c r="F43" s="53" t="inlineStr">
        <is>
          <t>CLARKE</t>
        </is>
      </c>
      <c r="G43" s="59" t="n"/>
      <c r="O43" s="59" t="n"/>
      <c r="X43" s="61" t="n"/>
      <c r="Y43" s="61" t="n"/>
    </row>
    <row r="44" ht="14.25" customHeight="1" s="86">
      <c r="A44" s="45" t="inlineStr">
        <is>
          <t>PA</t>
        </is>
      </c>
      <c r="E44" s="53" t="inlineStr">
        <is>
          <t>AL</t>
        </is>
      </c>
      <c r="F44" s="53" t="inlineStr">
        <is>
          <t>CLAY</t>
        </is>
      </c>
      <c r="G44" s="59" t="n"/>
      <c r="O44" s="59" t="n"/>
      <c r="X44" s="61" t="n"/>
      <c r="Y44" s="61" t="n"/>
    </row>
    <row r="45" ht="14.25" customHeight="1" s="86">
      <c r="A45" s="45" t="inlineStr">
        <is>
          <t>PR</t>
        </is>
      </c>
      <c r="E45" s="53" t="inlineStr">
        <is>
          <t>AL</t>
        </is>
      </c>
      <c r="F45" s="53" t="inlineStr">
        <is>
          <t>CLEBURNE</t>
        </is>
      </c>
      <c r="G45" s="59" t="n"/>
      <c r="O45" s="59" t="n"/>
      <c r="X45" s="61" t="n"/>
      <c r="Y45" s="61" t="n"/>
    </row>
    <row r="46" ht="14.25" customHeight="1" s="86">
      <c r="A46" s="45" t="inlineStr">
        <is>
          <t>PW</t>
        </is>
      </c>
      <c r="E46" s="53" t="inlineStr">
        <is>
          <t>AL</t>
        </is>
      </c>
      <c r="F46" s="53" t="inlineStr">
        <is>
          <t>COFFEE</t>
        </is>
      </c>
      <c r="G46" s="59" t="n"/>
      <c r="O46" s="59" t="n"/>
      <c r="X46" s="61" t="n"/>
      <c r="Y46" s="61" t="n"/>
    </row>
    <row r="47" ht="14.25" customHeight="1" s="86">
      <c r="A47" s="45" t="inlineStr">
        <is>
          <t>RI</t>
        </is>
      </c>
      <c r="E47" s="53" t="inlineStr">
        <is>
          <t>AL</t>
        </is>
      </c>
      <c r="F47" s="53" t="inlineStr">
        <is>
          <t>COLBERT</t>
        </is>
      </c>
      <c r="G47" s="59" t="n"/>
      <c r="O47" s="59" t="n"/>
      <c r="X47" s="61" t="n"/>
      <c r="Y47" s="61" t="n"/>
    </row>
    <row r="48" ht="14.25" customHeight="1" s="86">
      <c r="A48" s="45" t="inlineStr">
        <is>
          <t>SC</t>
        </is>
      </c>
      <c r="E48" s="53" t="inlineStr">
        <is>
          <t>AL</t>
        </is>
      </c>
      <c r="F48" s="53" t="inlineStr">
        <is>
          <t>CONECUH</t>
        </is>
      </c>
      <c r="G48" s="59" t="n"/>
      <c r="O48" s="59" t="n"/>
      <c r="X48" s="61" t="n"/>
      <c r="Y48" s="61" t="n"/>
    </row>
    <row r="49" ht="14.25" customHeight="1" s="86">
      <c r="A49" s="45" t="inlineStr">
        <is>
          <t>SD</t>
        </is>
      </c>
      <c r="E49" s="53" t="inlineStr">
        <is>
          <t>AL</t>
        </is>
      </c>
      <c r="F49" s="53" t="inlineStr">
        <is>
          <t>COOSA</t>
        </is>
      </c>
      <c r="G49" s="59" t="n"/>
      <c r="O49" s="59" t="n"/>
      <c r="X49" s="61" t="n"/>
      <c r="Y49" s="61" t="n"/>
    </row>
    <row r="50" ht="14.25" customHeight="1" s="86">
      <c r="A50" s="45" t="inlineStr">
        <is>
          <t>TN</t>
        </is>
      </c>
      <c r="E50" s="53" t="inlineStr">
        <is>
          <t>AL</t>
        </is>
      </c>
      <c r="F50" s="53" t="inlineStr">
        <is>
          <t>COVINGTON</t>
        </is>
      </c>
      <c r="G50" s="59" t="n"/>
      <c r="O50" s="59" t="n"/>
      <c r="X50" s="61" t="n"/>
      <c r="Y50" s="61" t="n"/>
    </row>
    <row r="51" ht="14.25" customHeight="1" s="86">
      <c r="A51" s="45" t="inlineStr">
        <is>
          <t>TX</t>
        </is>
      </c>
      <c r="E51" s="53" t="inlineStr">
        <is>
          <t>AL</t>
        </is>
      </c>
      <c r="F51" s="53" t="inlineStr">
        <is>
          <t>CRENSHAW</t>
        </is>
      </c>
      <c r="G51" s="59" t="n"/>
      <c r="O51" s="59" t="n"/>
      <c r="X51" s="61" t="n"/>
      <c r="Y51" s="61" t="n"/>
    </row>
    <row r="52" ht="14.25" customHeight="1" s="86">
      <c r="A52" s="45" t="inlineStr">
        <is>
          <t>UT</t>
        </is>
      </c>
      <c r="E52" s="53" t="inlineStr">
        <is>
          <t>AL</t>
        </is>
      </c>
      <c r="F52" s="53" t="inlineStr">
        <is>
          <t>CULLMAN</t>
        </is>
      </c>
      <c r="G52" s="59" t="n"/>
      <c r="O52" s="59" t="n"/>
      <c r="X52" s="61" t="n"/>
      <c r="Y52" s="61" t="n"/>
    </row>
    <row r="53" ht="14.25" customHeight="1" s="86">
      <c r="A53" s="45" t="inlineStr">
        <is>
          <t>VA</t>
        </is>
      </c>
      <c r="E53" s="53" t="inlineStr">
        <is>
          <t>AL</t>
        </is>
      </c>
      <c r="F53" s="53" t="inlineStr">
        <is>
          <t>DALE</t>
        </is>
      </c>
      <c r="G53" s="59" t="n"/>
      <c r="O53" s="59" t="n"/>
      <c r="X53" s="61" t="n"/>
      <c r="Y53" s="61" t="n"/>
    </row>
    <row r="54" ht="14.25" customHeight="1" s="86">
      <c r="A54" s="45" t="inlineStr">
        <is>
          <t>VI</t>
        </is>
      </c>
      <c r="E54" s="53" t="inlineStr">
        <is>
          <t>AL</t>
        </is>
      </c>
      <c r="F54" s="53" t="inlineStr">
        <is>
          <t>DALLAS</t>
        </is>
      </c>
      <c r="G54" s="59" t="n"/>
      <c r="O54" s="59" t="n"/>
      <c r="X54" s="61" t="n"/>
      <c r="Y54" s="61" t="n"/>
    </row>
    <row r="55" ht="14.25" customHeight="1" s="86">
      <c r="A55" s="45" t="inlineStr">
        <is>
          <t>VT</t>
        </is>
      </c>
      <c r="E55" s="53" t="inlineStr">
        <is>
          <t>AL</t>
        </is>
      </c>
      <c r="F55" s="53" t="inlineStr">
        <is>
          <t>DE KALB</t>
        </is>
      </c>
      <c r="G55" s="59" t="n"/>
      <c r="O55" s="59" t="n"/>
      <c r="X55" s="61" t="n"/>
      <c r="Y55" s="61" t="n"/>
    </row>
    <row r="56" ht="14.25" customHeight="1" s="86">
      <c r="A56" s="45" t="inlineStr">
        <is>
          <t>WA</t>
        </is>
      </c>
      <c r="E56" s="53" t="inlineStr">
        <is>
          <t>AL</t>
        </is>
      </c>
      <c r="F56" s="53" t="inlineStr">
        <is>
          <t>ELMORE</t>
        </is>
      </c>
      <c r="G56" s="59" t="n"/>
      <c r="O56" s="59" t="n"/>
      <c r="X56" s="61" t="n"/>
      <c r="Y56" s="61" t="n"/>
    </row>
    <row r="57" ht="14.25" customHeight="1" s="86">
      <c r="A57" s="45" t="inlineStr">
        <is>
          <t>WI</t>
        </is>
      </c>
      <c r="E57" s="53" t="inlineStr">
        <is>
          <t>AL</t>
        </is>
      </c>
      <c r="F57" s="53" t="inlineStr">
        <is>
          <t>ESCAMBIA</t>
        </is>
      </c>
      <c r="G57" s="59" t="n"/>
      <c r="O57" s="59" t="n"/>
      <c r="X57" s="61" t="n"/>
      <c r="Y57" s="61" t="n"/>
    </row>
    <row r="58" ht="14.25" customHeight="1" s="86">
      <c r="A58" s="45" t="inlineStr">
        <is>
          <t>WV</t>
        </is>
      </c>
      <c r="E58" s="53" t="inlineStr">
        <is>
          <t>AL</t>
        </is>
      </c>
      <c r="F58" s="53" t="inlineStr">
        <is>
          <t>ETOWAH</t>
        </is>
      </c>
      <c r="G58" s="59" t="n"/>
      <c r="O58" s="59" t="n"/>
      <c r="X58" s="61" t="n"/>
      <c r="Y58" s="61" t="n"/>
    </row>
    <row r="59" ht="14.25" customHeight="1" s="86">
      <c r="A59" s="45" t="inlineStr">
        <is>
          <t>WY</t>
        </is>
      </c>
      <c r="E59" s="53" t="inlineStr">
        <is>
          <t>AL</t>
        </is>
      </c>
      <c r="F59" s="53" t="inlineStr">
        <is>
          <t>FAYETTE</t>
        </is>
      </c>
      <c r="G59" s="59" t="n"/>
      <c r="O59" s="59" t="n"/>
      <c r="X59" s="61" t="n"/>
      <c r="Y59" s="61" t="n"/>
    </row>
    <row r="60" ht="14.25" customHeight="1" s="86">
      <c r="E60" s="53" t="inlineStr">
        <is>
          <t>AL</t>
        </is>
      </c>
      <c r="F60" s="53" t="inlineStr">
        <is>
          <t>FRANKLIN</t>
        </is>
      </c>
      <c r="G60" s="59" t="n"/>
      <c r="O60" s="59" t="n"/>
      <c r="X60" s="61" t="n"/>
      <c r="Y60" s="61" t="n"/>
    </row>
    <row r="61" ht="14.25" customHeight="1" s="86">
      <c r="E61" s="53" t="inlineStr">
        <is>
          <t>AL</t>
        </is>
      </c>
      <c r="F61" s="53" t="inlineStr">
        <is>
          <t>GENEVA</t>
        </is>
      </c>
      <c r="G61" s="59" t="n"/>
      <c r="O61" s="59" t="n"/>
      <c r="X61" s="61" t="n"/>
      <c r="Y61" s="61" t="n"/>
    </row>
    <row r="62" ht="14.25" customHeight="1" s="86">
      <c r="E62" s="53" t="inlineStr">
        <is>
          <t>AL</t>
        </is>
      </c>
      <c r="F62" s="53" t="inlineStr">
        <is>
          <t>GREENE</t>
        </is>
      </c>
      <c r="G62" s="59" t="n"/>
      <c r="O62" s="59" t="n"/>
      <c r="X62" s="61" t="n"/>
      <c r="Y62" s="61" t="n"/>
    </row>
    <row r="63" ht="14.25" customHeight="1" s="86">
      <c r="E63" s="53" t="inlineStr">
        <is>
          <t>AL</t>
        </is>
      </c>
      <c r="F63" s="53" t="inlineStr">
        <is>
          <t>HALE</t>
        </is>
      </c>
      <c r="G63" s="59" t="n"/>
      <c r="O63" s="59" t="n"/>
      <c r="X63" s="61" t="n"/>
      <c r="Y63" s="61" t="n"/>
    </row>
    <row r="64" ht="14.25" customHeight="1" s="86">
      <c r="E64" s="53" t="inlineStr">
        <is>
          <t>AL</t>
        </is>
      </c>
      <c r="F64" s="53" t="inlineStr">
        <is>
          <t>HENRY</t>
        </is>
      </c>
      <c r="G64" s="59" t="n"/>
      <c r="O64" s="59" t="n"/>
      <c r="X64" s="61" t="n"/>
      <c r="Y64" s="61" t="n"/>
    </row>
    <row r="65" ht="14.25" customHeight="1" s="86">
      <c r="E65" s="53" t="inlineStr">
        <is>
          <t>AL</t>
        </is>
      </c>
      <c r="F65" s="53" t="inlineStr">
        <is>
          <t>HOUSTON</t>
        </is>
      </c>
      <c r="G65" s="59" t="n"/>
      <c r="O65" s="59" t="n"/>
      <c r="X65" s="61" t="n"/>
      <c r="Y65" s="61" t="n"/>
    </row>
    <row r="66" ht="14.25" customHeight="1" s="86">
      <c r="E66" s="53" t="inlineStr">
        <is>
          <t>AL</t>
        </is>
      </c>
      <c r="F66" s="53" t="inlineStr">
        <is>
          <t>JACKSON</t>
        </is>
      </c>
      <c r="G66" s="59" t="n"/>
      <c r="O66" s="59" t="n"/>
      <c r="X66" s="61" t="n"/>
      <c r="Y66" s="61" t="n"/>
    </row>
    <row r="67" ht="14.25" customHeight="1" s="86">
      <c r="E67" s="53" t="inlineStr">
        <is>
          <t>AL</t>
        </is>
      </c>
      <c r="F67" s="53" t="inlineStr">
        <is>
          <t>JEFFERSON</t>
        </is>
      </c>
      <c r="G67" s="59" t="n"/>
      <c r="O67" s="59" t="n"/>
      <c r="X67" s="61" t="n"/>
      <c r="Y67" s="61" t="n"/>
    </row>
    <row r="68" ht="14.25" customHeight="1" s="86">
      <c r="E68" s="53" t="inlineStr">
        <is>
          <t>AL</t>
        </is>
      </c>
      <c r="F68" s="53" t="inlineStr">
        <is>
          <t>LAMAR</t>
        </is>
      </c>
      <c r="G68" s="59" t="n"/>
      <c r="O68" s="59" t="n"/>
      <c r="X68" s="61" t="n"/>
      <c r="Y68" s="61" t="n"/>
    </row>
    <row r="69" ht="14.25" customHeight="1" s="86">
      <c r="E69" s="53" t="inlineStr">
        <is>
          <t>AL</t>
        </is>
      </c>
      <c r="F69" s="53" t="inlineStr">
        <is>
          <t>LAUDERDALE</t>
        </is>
      </c>
      <c r="G69" s="59" t="n"/>
      <c r="O69" s="59" t="n"/>
      <c r="X69" s="61" t="n"/>
      <c r="Y69" s="61" t="n"/>
    </row>
    <row r="70" ht="14.25" customHeight="1" s="86">
      <c r="E70" s="53" t="inlineStr">
        <is>
          <t>AL</t>
        </is>
      </c>
      <c r="F70" s="53" t="inlineStr">
        <is>
          <t>LAWRENCE</t>
        </is>
      </c>
      <c r="G70" s="59" t="n"/>
      <c r="O70" s="59" t="n"/>
      <c r="X70" s="61" t="n"/>
      <c r="Y70" s="61" t="n"/>
    </row>
    <row r="71" ht="14.25" customHeight="1" s="86">
      <c r="E71" s="53" t="inlineStr">
        <is>
          <t>AL</t>
        </is>
      </c>
      <c r="F71" s="53" t="inlineStr">
        <is>
          <t>LEE</t>
        </is>
      </c>
      <c r="G71" s="59" t="n"/>
      <c r="O71" s="59" t="n"/>
      <c r="X71" s="61" t="n"/>
      <c r="Y71" s="61" t="n"/>
    </row>
    <row r="72" ht="14.25" customHeight="1" s="86">
      <c r="E72" s="53" t="inlineStr">
        <is>
          <t>AL</t>
        </is>
      </c>
      <c r="F72" s="53" t="inlineStr">
        <is>
          <t>LIMESTONE</t>
        </is>
      </c>
      <c r="G72" s="59" t="n"/>
      <c r="O72" s="59" t="n"/>
      <c r="X72" s="61" t="n"/>
      <c r="Y72" s="61" t="n"/>
    </row>
    <row r="73" ht="14.25" customHeight="1" s="86">
      <c r="E73" s="53" t="inlineStr">
        <is>
          <t>AL</t>
        </is>
      </c>
      <c r="F73" s="53" t="inlineStr">
        <is>
          <t>LOWNDES</t>
        </is>
      </c>
      <c r="G73" s="59" t="n"/>
      <c r="O73" s="59" t="n"/>
      <c r="X73" s="61" t="n"/>
      <c r="Y73" s="61" t="n"/>
    </row>
    <row r="74" ht="14.25" customHeight="1" s="86">
      <c r="E74" s="53" t="inlineStr">
        <is>
          <t>AL</t>
        </is>
      </c>
      <c r="F74" s="53" t="inlineStr">
        <is>
          <t>MACON</t>
        </is>
      </c>
      <c r="G74" s="59" t="n"/>
      <c r="O74" s="59" t="n"/>
      <c r="X74" s="61" t="n"/>
      <c r="Y74" s="61" t="n"/>
    </row>
    <row r="75" ht="14.25" customHeight="1" s="86">
      <c r="E75" s="53" t="inlineStr">
        <is>
          <t>AL</t>
        </is>
      </c>
      <c r="F75" s="53" t="inlineStr">
        <is>
          <t>MADISON</t>
        </is>
      </c>
      <c r="G75" s="59" t="n"/>
      <c r="O75" s="59" t="n"/>
      <c r="X75" s="61" t="n"/>
      <c r="Y75" s="61" t="n"/>
    </row>
    <row r="76" ht="14.25" customHeight="1" s="86">
      <c r="E76" s="53" t="inlineStr">
        <is>
          <t>AL</t>
        </is>
      </c>
      <c r="F76" s="53" t="inlineStr">
        <is>
          <t>MARENGO</t>
        </is>
      </c>
      <c r="G76" s="59" t="n"/>
      <c r="O76" s="59" t="n"/>
      <c r="X76" s="61" t="n"/>
      <c r="Y76" s="61" t="n"/>
    </row>
    <row r="77" ht="14.25" customHeight="1" s="86">
      <c r="E77" s="53" t="inlineStr">
        <is>
          <t>AL</t>
        </is>
      </c>
      <c r="F77" s="53" t="inlineStr">
        <is>
          <t>MARION</t>
        </is>
      </c>
      <c r="G77" s="59" t="n"/>
      <c r="O77" s="59" t="n"/>
      <c r="X77" s="61" t="n"/>
      <c r="Y77" s="61" t="n"/>
    </row>
    <row r="78" ht="14.25" customHeight="1" s="86">
      <c r="E78" s="53" t="inlineStr">
        <is>
          <t>AL</t>
        </is>
      </c>
      <c r="F78" s="53" t="inlineStr">
        <is>
          <t>MARSHALL</t>
        </is>
      </c>
      <c r="G78" s="59" t="n"/>
      <c r="O78" s="59" t="n"/>
      <c r="X78" s="61" t="n"/>
      <c r="Y78" s="61" t="n"/>
    </row>
    <row r="79" ht="14.25" customHeight="1" s="86">
      <c r="E79" s="53" t="inlineStr">
        <is>
          <t>AL</t>
        </is>
      </c>
      <c r="F79" s="53" t="inlineStr">
        <is>
          <t>MOBILE</t>
        </is>
      </c>
      <c r="G79" s="59" t="n"/>
      <c r="O79" s="59" t="n"/>
      <c r="X79" s="61" t="n"/>
      <c r="Y79" s="61" t="n"/>
    </row>
    <row r="80" ht="14.25" customHeight="1" s="86">
      <c r="E80" s="53" t="inlineStr">
        <is>
          <t>AL</t>
        </is>
      </c>
      <c r="F80" s="53" t="inlineStr">
        <is>
          <t>MONROE</t>
        </is>
      </c>
      <c r="G80" s="59" t="n"/>
      <c r="O80" s="59" t="n"/>
      <c r="X80" s="61" t="n"/>
      <c r="Y80" s="61" t="n"/>
    </row>
    <row r="81" ht="14.25" customHeight="1" s="86">
      <c r="E81" s="53" t="inlineStr">
        <is>
          <t>AL</t>
        </is>
      </c>
      <c r="F81" s="53" t="inlineStr">
        <is>
          <t>MONTGOMERY</t>
        </is>
      </c>
      <c r="G81" s="59" t="n"/>
      <c r="O81" s="59" t="n"/>
      <c r="X81" s="61" t="n"/>
      <c r="Y81" s="61" t="n"/>
    </row>
    <row r="82" ht="14.25" customHeight="1" s="86">
      <c r="E82" s="53" t="inlineStr">
        <is>
          <t>AL</t>
        </is>
      </c>
      <c r="F82" s="53" t="inlineStr">
        <is>
          <t>MORGAN</t>
        </is>
      </c>
      <c r="G82" s="59" t="n"/>
      <c r="O82" s="59" t="n"/>
      <c r="X82" s="61" t="n"/>
      <c r="Y82" s="61" t="n"/>
    </row>
    <row r="83" ht="14.25" customHeight="1" s="86">
      <c r="E83" s="53" t="inlineStr">
        <is>
          <t>AL</t>
        </is>
      </c>
      <c r="F83" s="53" t="inlineStr">
        <is>
          <t>PERRY</t>
        </is>
      </c>
      <c r="G83" s="59" t="n"/>
      <c r="O83" s="59" t="n"/>
      <c r="X83" s="61" t="n"/>
      <c r="Y83" s="61" t="n"/>
    </row>
    <row r="84" ht="14.25" customHeight="1" s="86">
      <c r="E84" s="53" t="inlineStr">
        <is>
          <t>AL</t>
        </is>
      </c>
      <c r="F84" s="53" t="inlineStr">
        <is>
          <t>PICKENS</t>
        </is>
      </c>
      <c r="G84" s="59" t="n"/>
      <c r="O84" s="59" t="n"/>
      <c r="X84" s="61" t="n"/>
      <c r="Y84" s="61" t="n"/>
    </row>
    <row r="85" ht="14.25" customHeight="1" s="86">
      <c r="E85" s="53" t="inlineStr">
        <is>
          <t>AL</t>
        </is>
      </c>
      <c r="F85" s="53" t="inlineStr">
        <is>
          <t>PIKE</t>
        </is>
      </c>
      <c r="G85" s="59" t="n"/>
      <c r="O85" s="59" t="n"/>
      <c r="X85" s="61" t="n"/>
      <c r="Y85" s="61" t="n"/>
    </row>
    <row r="86" ht="14.25" customHeight="1" s="86">
      <c r="E86" s="53" t="inlineStr">
        <is>
          <t>AL</t>
        </is>
      </c>
      <c r="F86" s="53" t="inlineStr">
        <is>
          <t>RANDOLPH</t>
        </is>
      </c>
      <c r="G86" s="59" t="n"/>
      <c r="O86" s="59" t="n"/>
      <c r="X86" s="61" t="n"/>
      <c r="Y86" s="61" t="n"/>
    </row>
    <row r="87" ht="14.25" customHeight="1" s="86">
      <c r="E87" s="53" t="inlineStr">
        <is>
          <t>AL</t>
        </is>
      </c>
      <c r="F87" s="53" t="inlineStr">
        <is>
          <t>RUSSELL</t>
        </is>
      </c>
      <c r="G87" s="59" t="n"/>
      <c r="O87" s="59" t="n"/>
      <c r="X87" s="61" t="n"/>
      <c r="Y87" s="61" t="n"/>
    </row>
    <row r="88" ht="14.25" customHeight="1" s="86">
      <c r="E88" s="53" t="inlineStr">
        <is>
          <t>AL</t>
        </is>
      </c>
      <c r="F88" s="53" t="inlineStr">
        <is>
          <t>SAINT CLAIR</t>
        </is>
      </c>
      <c r="G88" s="59" t="n"/>
      <c r="O88" s="59" t="n"/>
      <c r="X88" s="61" t="n"/>
      <c r="Y88" s="61" t="n"/>
    </row>
    <row r="89" ht="14.25" customHeight="1" s="86">
      <c r="E89" s="53" t="inlineStr">
        <is>
          <t>AL</t>
        </is>
      </c>
      <c r="F89" s="53" t="inlineStr">
        <is>
          <t>SHELBY</t>
        </is>
      </c>
      <c r="G89" s="59" t="n"/>
      <c r="O89" s="59" t="n"/>
      <c r="X89" s="61" t="n"/>
      <c r="Y89" s="61" t="n"/>
    </row>
    <row r="90" ht="14.25" customHeight="1" s="86">
      <c r="E90" s="53" t="inlineStr">
        <is>
          <t>AL</t>
        </is>
      </c>
      <c r="F90" s="53" t="inlineStr">
        <is>
          <t>SUMTER</t>
        </is>
      </c>
      <c r="G90" s="59" t="n"/>
      <c r="O90" s="59" t="n"/>
      <c r="X90" s="61" t="n"/>
      <c r="Y90" s="61" t="n"/>
    </row>
    <row r="91" ht="14.25" customHeight="1" s="86">
      <c r="E91" s="53" t="inlineStr">
        <is>
          <t>AL</t>
        </is>
      </c>
      <c r="F91" s="53" t="inlineStr">
        <is>
          <t>TALLADEGA</t>
        </is>
      </c>
      <c r="G91" s="59" t="n"/>
      <c r="O91" s="59" t="n"/>
      <c r="X91" s="61" t="n"/>
      <c r="Y91" s="61" t="n"/>
    </row>
    <row r="92" ht="14.25" customHeight="1" s="86">
      <c r="E92" s="53" t="inlineStr">
        <is>
          <t>AL</t>
        </is>
      </c>
      <c r="F92" s="53" t="inlineStr">
        <is>
          <t>TALLAPOOSA</t>
        </is>
      </c>
      <c r="G92" s="59" t="n"/>
      <c r="O92" s="59" t="n"/>
      <c r="X92" s="61" t="n"/>
      <c r="Y92" s="61" t="n"/>
    </row>
    <row r="93" ht="14.25" customHeight="1" s="86">
      <c r="E93" s="53" t="inlineStr">
        <is>
          <t>AL</t>
        </is>
      </c>
      <c r="F93" s="53" t="inlineStr">
        <is>
          <t>TUSCALOOSA</t>
        </is>
      </c>
      <c r="G93" s="59" t="n"/>
      <c r="O93" s="59" t="n"/>
      <c r="X93" s="61" t="n"/>
      <c r="Y93" s="61" t="n"/>
    </row>
    <row r="94" ht="14.25" customHeight="1" s="86">
      <c r="E94" s="53" t="inlineStr">
        <is>
          <t>AL</t>
        </is>
      </c>
      <c r="F94" s="53" t="inlineStr">
        <is>
          <t>WALKER</t>
        </is>
      </c>
      <c r="G94" s="59" t="n"/>
      <c r="O94" s="59" t="n"/>
      <c r="X94" s="61" t="n"/>
      <c r="Y94" s="61" t="n"/>
    </row>
    <row r="95" ht="14.25" customHeight="1" s="86">
      <c r="E95" s="53" t="inlineStr">
        <is>
          <t>AL</t>
        </is>
      </c>
      <c r="F95" s="53" t="inlineStr">
        <is>
          <t>WASHINGTON</t>
        </is>
      </c>
      <c r="G95" s="59" t="n"/>
      <c r="O95" s="59" t="n"/>
      <c r="X95" s="61" t="n"/>
      <c r="Y95" s="61" t="n"/>
    </row>
    <row r="96" ht="14.25" customHeight="1" s="86">
      <c r="E96" s="53" t="inlineStr">
        <is>
          <t>AL</t>
        </is>
      </c>
      <c r="F96" s="53" t="inlineStr">
        <is>
          <t>WILCOX</t>
        </is>
      </c>
      <c r="G96" s="59" t="n"/>
      <c r="O96" s="59" t="n"/>
      <c r="X96" s="61" t="n"/>
      <c r="Y96" s="61" t="n"/>
    </row>
    <row r="97" ht="14.25" customHeight="1" s="86">
      <c r="E97" s="53" t="inlineStr">
        <is>
          <t>AL</t>
        </is>
      </c>
      <c r="F97" s="53" t="inlineStr">
        <is>
          <t>WINSTON</t>
        </is>
      </c>
      <c r="G97" s="59" t="n"/>
      <c r="O97" s="59" t="n"/>
      <c r="X97" s="61" t="n"/>
      <c r="Y97" s="61" t="n"/>
    </row>
    <row r="98" ht="14.25" customHeight="1" s="86">
      <c r="E98" s="53" t="inlineStr">
        <is>
          <t>AR</t>
        </is>
      </c>
      <c r="F98" s="53" t="inlineStr">
        <is>
          <t>ARKANSAS</t>
        </is>
      </c>
      <c r="G98" s="59" t="n"/>
      <c r="O98" s="59" t="n"/>
      <c r="X98" s="61" t="n"/>
      <c r="Y98" s="61" t="n"/>
    </row>
    <row r="99" ht="14.25" customHeight="1" s="86">
      <c r="E99" s="53" t="inlineStr">
        <is>
          <t>AR</t>
        </is>
      </c>
      <c r="F99" s="53" t="inlineStr">
        <is>
          <t>ASHLEY</t>
        </is>
      </c>
      <c r="G99" s="59" t="n"/>
      <c r="O99" s="59" t="n"/>
      <c r="X99" s="61" t="n"/>
      <c r="Y99" s="61" t="n"/>
    </row>
    <row r="100" ht="14.25" customHeight="1" s="86">
      <c r="E100" s="53" t="inlineStr">
        <is>
          <t>AR</t>
        </is>
      </c>
      <c r="F100" s="53" t="inlineStr">
        <is>
          <t>BAXTER</t>
        </is>
      </c>
      <c r="G100" s="59" t="n"/>
      <c r="O100" s="59" t="n"/>
      <c r="X100" s="61" t="n"/>
      <c r="Y100" s="61" t="n"/>
    </row>
    <row r="101" ht="14.25" customHeight="1" s="86">
      <c r="E101" s="53" t="inlineStr">
        <is>
          <t>AR</t>
        </is>
      </c>
      <c r="F101" s="53" t="inlineStr">
        <is>
          <t>BENTON</t>
        </is>
      </c>
      <c r="G101" s="59" t="n"/>
      <c r="O101" s="59" t="n"/>
      <c r="X101" s="61" t="n"/>
      <c r="Y101" s="61" t="n"/>
    </row>
    <row r="102" ht="14.25" customHeight="1" s="86">
      <c r="E102" s="53" t="inlineStr">
        <is>
          <t>AR</t>
        </is>
      </c>
      <c r="F102" s="53" t="inlineStr">
        <is>
          <t>BOONE</t>
        </is>
      </c>
      <c r="G102" s="59" t="n"/>
      <c r="O102" s="59" t="n"/>
      <c r="X102" s="61" t="n"/>
      <c r="Y102" s="61" t="n"/>
    </row>
    <row r="103" ht="14.25" customHeight="1" s="86">
      <c r="E103" s="53" t="inlineStr">
        <is>
          <t>AR</t>
        </is>
      </c>
      <c r="F103" s="53" t="inlineStr">
        <is>
          <t>BRADLEY</t>
        </is>
      </c>
      <c r="G103" s="59" t="n"/>
      <c r="O103" s="59" t="n"/>
      <c r="X103" s="61" t="n"/>
      <c r="Y103" s="61" t="n"/>
    </row>
    <row r="104" ht="14.25" customHeight="1" s="86">
      <c r="E104" s="53" t="inlineStr">
        <is>
          <t>AR</t>
        </is>
      </c>
      <c r="F104" s="53" t="inlineStr">
        <is>
          <t>CALHOUN</t>
        </is>
      </c>
      <c r="G104" s="59" t="n"/>
      <c r="O104" s="59" t="n"/>
      <c r="X104" s="61" t="n"/>
      <c r="Y104" s="61" t="n"/>
    </row>
    <row r="105" ht="14.25" customHeight="1" s="86">
      <c r="E105" s="53" t="inlineStr">
        <is>
          <t>AR</t>
        </is>
      </c>
      <c r="F105" s="53" t="inlineStr">
        <is>
          <t>CARROLL</t>
        </is>
      </c>
      <c r="G105" s="59" t="n"/>
      <c r="O105" s="59" t="n"/>
      <c r="X105" s="61" t="n"/>
      <c r="Y105" s="61" t="n"/>
    </row>
    <row r="106" ht="14.25" customHeight="1" s="86">
      <c r="E106" s="53" t="inlineStr">
        <is>
          <t>AR</t>
        </is>
      </c>
      <c r="F106" s="53" t="inlineStr">
        <is>
          <t>CHICOT</t>
        </is>
      </c>
      <c r="G106" s="59" t="n"/>
      <c r="O106" s="59" t="n"/>
      <c r="X106" s="61" t="n"/>
      <c r="Y106" s="61" t="n"/>
    </row>
    <row r="107" ht="14.25" customHeight="1" s="86">
      <c r="E107" s="53" t="inlineStr">
        <is>
          <t>AR</t>
        </is>
      </c>
      <c r="F107" s="53" t="inlineStr">
        <is>
          <t>CLARK</t>
        </is>
      </c>
      <c r="G107" s="59" t="n"/>
      <c r="O107" s="59" t="n"/>
      <c r="X107" s="61" t="n"/>
      <c r="Y107" s="61" t="n"/>
    </row>
    <row r="108" ht="14.25" customHeight="1" s="86">
      <c r="E108" s="53" t="inlineStr">
        <is>
          <t>AR</t>
        </is>
      </c>
      <c r="F108" s="53" t="inlineStr">
        <is>
          <t>CLAY</t>
        </is>
      </c>
      <c r="G108" s="59" t="n"/>
      <c r="O108" s="59" t="n"/>
      <c r="X108" s="61" t="n"/>
      <c r="Y108" s="61" t="n"/>
    </row>
    <row r="109" ht="14.25" customHeight="1" s="86">
      <c r="E109" s="53" t="inlineStr">
        <is>
          <t>AR</t>
        </is>
      </c>
      <c r="F109" s="53" t="inlineStr">
        <is>
          <t>CLEBURNE</t>
        </is>
      </c>
      <c r="G109" s="59" t="n"/>
      <c r="O109" s="59" t="n"/>
      <c r="X109" s="61" t="n"/>
      <c r="Y109" s="61" t="n"/>
    </row>
    <row r="110" ht="14.25" customHeight="1" s="86">
      <c r="E110" s="53" t="inlineStr">
        <is>
          <t>AR</t>
        </is>
      </c>
      <c r="F110" s="53" t="inlineStr">
        <is>
          <t>CLEVELAND</t>
        </is>
      </c>
      <c r="G110" s="59" t="n"/>
      <c r="O110" s="59" t="n"/>
      <c r="X110" s="61" t="n"/>
      <c r="Y110" s="61" t="n"/>
    </row>
    <row r="111" ht="14.25" customHeight="1" s="86">
      <c r="E111" s="53" t="inlineStr">
        <is>
          <t>AR</t>
        </is>
      </c>
      <c r="F111" s="53" t="inlineStr">
        <is>
          <t>COLUMBIA</t>
        </is>
      </c>
      <c r="G111" s="59" t="n"/>
      <c r="O111" s="59" t="n"/>
      <c r="X111" s="61" t="n"/>
      <c r="Y111" s="61" t="n"/>
    </row>
    <row r="112" ht="14.25" customHeight="1" s="86">
      <c r="E112" s="53" t="inlineStr">
        <is>
          <t>AR</t>
        </is>
      </c>
      <c r="F112" s="53" t="inlineStr">
        <is>
          <t>CONWAY</t>
        </is>
      </c>
      <c r="G112" s="59" t="n"/>
      <c r="O112" s="59" t="n"/>
      <c r="X112" s="61" t="n"/>
      <c r="Y112" s="61" t="n"/>
    </row>
    <row r="113" ht="14.25" customHeight="1" s="86">
      <c r="E113" s="53" t="inlineStr">
        <is>
          <t>AR</t>
        </is>
      </c>
      <c r="F113" s="53" t="inlineStr">
        <is>
          <t>CRAIGHEAD</t>
        </is>
      </c>
      <c r="G113" s="59" t="n"/>
      <c r="O113" s="59" t="n"/>
      <c r="X113" s="61" t="n"/>
      <c r="Y113" s="61" t="n"/>
    </row>
    <row r="114" ht="14.25" customHeight="1" s="86">
      <c r="E114" s="53" t="inlineStr">
        <is>
          <t>AR</t>
        </is>
      </c>
      <c r="F114" s="53" t="inlineStr">
        <is>
          <t>CRAWFORD</t>
        </is>
      </c>
      <c r="G114" s="59" t="n"/>
      <c r="O114" s="59" t="n"/>
      <c r="X114" s="61" t="n"/>
      <c r="Y114" s="61" t="n"/>
    </row>
    <row r="115" ht="14.25" customHeight="1" s="86">
      <c r="E115" s="53" t="inlineStr">
        <is>
          <t>AR</t>
        </is>
      </c>
      <c r="F115" s="53" t="inlineStr">
        <is>
          <t>CRITTENDEN</t>
        </is>
      </c>
      <c r="G115" s="59" t="n"/>
      <c r="O115" s="59" t="n"/>
      <c r="X115" s="61" t="n"/>
      <c r="Y115" s="61" t="n"/>
    </row>
    <row r="116" ht="14.25" customHeight="1" s="86">
      <c r="E116" s="53" t="inlineStr">
        <is>
          <t>AR</t>
        </is>
      </c>
      <c r="F116" s="53" t="inlineStr">
        <is>
          <t>CROSS</t>
        </is>
      </c>
      <c r="G116" s="59" t="n"/>
      <c r="O116" s="59" t="n"/>
      <c r="X116" s="61" t="n"/>
      <c r="Y116" s="61" t="n"/>
    </row>
    <row r="117" ht="14.25" customHeight="1" s="86">
      <c r="E117" s="53" t="inlineStr">
        <is>
          <t>AR</t>
        </is>
      </c>
      <c r="F117" s="53" t="inlineStr">
        <is>
          <t>DALLAS</t>
        </is>
      </c>
      <c r="G117" s="59" t="n"/>
      <c r="O117" s="59" t="n"/>
      <c r="X117" s="61" t="n"/>
      <c r="Y117" s="61" t="n"/>
    </row>
    <row r="118" ht="14.25" customHeight="1" s="86">
      <c r="E118" s="53" t="inlineStr">
        <is>
          <t>AR</t>
        </is>
      </c>
      <c r="F118" s="53" t="inlineStr">
        <is>
          <t>DESHA</t>
        </is>
      </c>
      <c r="G118" s="59" t="n"/>
      <c r="O118" s="59" t="n"/>
      <c r="X118" s="61" t="n"/>
      <c r="Y118" s="61" t="n"/>
    </row>
    <row r="119" ht="14.25" customHeight="1" s="86">
      <c r="E119" s="53" t="inlineStr">
        <is>
          <t>AR</t>
        </is>
      </c>
      <c r="F119" s="53" t="inlineStr">
        <is>
          <t>DREW</t>
        </is>
      </c>
      <c r="G119" s="59" t="n"/>
      <c r="O119" s="59" t="n"/>
      <c r="X119" s="61" t="n"/>
      <c r="Y119" s="61" t="n"/>
    </row>
    <row r="120" ht="14.25" customHeight="1" s="86">
      <c r="E120" s="53" t="inlineStr">
        <is>
          <t>AR</t>
        </is>
      </c>
      <c r="F120" s="53" t="inlineStr">
        <is>
          <t>FAULKNER</t>
        </is>
      </c>
      <c r="G120" s="59" t="n"/>
      <c r="O120" s="59" t="n"/>
      <c r="X120" s="61" t="n"/>
      <c r="Y120" s="61" t="n"/>
    </row>
    <row r="121" ht="14.25" customHeight="1" s="86">
      <c r="E121" s="53" t="inlineStr">
        <is>
          <t>AR</t>
        </is>
      </c>
      <c r="F121" s="53" t="inlineStr">
        <is>
          <t>FRANKLIN</t>
        </is>
      </c>
      <c r="G121" s="59" t="n"/>
      <c r="O121" s="59" t="n"/>
      <c r="X121" s="61" t="n"/>
      <c r="Y121" s="61" t="n"/>
    </row>
    <row r="122" ht="14.25" customHeight="1" s="86">
      <c r="E122" s="53" t="inlineStr">
        <is>
          <t>AR</t>
        </is>
      </c>
      <c r="F122" s="53" t="inlineStr">
        <is>
          <t>FULTON</t>
        </is>
      </c>
      <c r="G122" s="59" t="n"/>
      <c r="O122" s="59" t="n"/>
      <c r="X122" s="61" t="n"/>
      <c r="Y122" s="61" t="n"/>
    </row>
    <row r="123" ht="14.25" customHeight="1" s="86">
      <c r="E123" s="53" t="inlineStr">
        <is>
          <t>AR</t>
        </is>
      </c>
      <c r="F123" s="53" t="inlineStr">
        <is>
          <t>GARLAND</t>
        </is>
      </c>
      <c r="G123" s="59" t="n"/>
      <c r="O123" s="59" t="n"/>
      <c r="X123" s="61" t="n"/>
      <c r="Y123" s="61" t="n"/>
    </row>
    <row r="124" ht="14.25" customHeight="1" s="86">
      <c r="E124" s="53" t="inlineStr">
        <is>
          <t>AR</t>
        </is>
      </c>
      <c r="F124" s="53" t="inlineStr">
        <is>
          <t>GRANT</t>
        </is>
      </c>
      <c r="G124" s="59" t="n"/>
      <c r="O124" s="59" t="n"/>
      <c r="X124" s="61" t="n"/>
      <c r="Y124" s="61" t="n"/>
    </row>
    <row r="125" ht="14.25" customHeight="1" s="86">
      <c r="E125" s="53" t="inlineStr">
        <is>
          <t>AR</t>
        </is>
      </c>
      <c r="F125" s="53" t="inlineStr">
        <is>
          <t>GREENE</t>
        </is>
      </c>
      <c r="G125" s="59" t="n"/>
      <c r="O125" s="59" t="n"/>
      <c r="X125" s="61" t="n"/>
      <c r="Y125" s="61" t="n"/>
    </row>
    <row r="126" ht="14.25" customHeight="1" s="86">
      <c r="E126" s="53" t="inlineStr">
        <is>
          <t>AR</t>
        </is>
      </c>
      <c r="F126" s="53" t="inlineStr">
        <is>
          <t>HEMPSTEAD</t>
        </is>
      </c>
      <c r="G126" s="59" t="n"/>
      <c r="O126" s="59" t="n"/>
      <c r="X126" s="61" t="n"/>
      <c r="Y126" s="61" t="n"/>
    </row>
    <row r="127" ht="14.25" customHeight="1" s="86">
      <c r="E127" s="53" t="inlineStr">
        <is>
          <t>AR</t>
        </is>
      </c>
      <c r="F127" s="53" t="inlineStr">
        <is>
          <t>HOT SPRING</t>
        </is>
      </c>
      <c r="G127" s="59" t="n"/>
      <c r="O127" s="59" t="n"/>
      <c r="X127" s="61" t="n"/>
      <c r="Y127" s="61" t="n"/>
    </row>
    <row r="128" ht="14.25" customHeight="1" s="86">
      <c r="E128" s="53" t="inlineStr">
        <is>
          <t>AR</t>
        </is>
      </c>
      <c r="F128" s="53" t="inlineStr">
        <is>
          <t>HOWARD</t>
        </is>
      </c>
      <c r="G128" s="59" t="n"/>
      <c r="O128" s="59" t="n"/>
      <c r="X128" s="61" t="n"/>
      <c r="Y128" s="61" t="n"/>
    </row>
    <row r="129" ht="14.25" customHeight="1" s="86">
      <c r="E129" s="53" t="inlineStr">
        <is>
          <t>AR</t>
        </is>
      </c>
      <c r="F129" s="53" t="inlineStr">
        <is>
          <t>INDEPENDENCE</t>
        </is>
      </c>
      <c r="G129" s="59" t="n"/>
      <c r="O129" s="59" t="n"/>
      <c r="X129" s="61" t="n"/>
      <c r="Y129" s="61" t="n"/>
    </row>
    <row r="130" ht="14.25" customHeight="1" s="86">
      <c r="E130" s="53" t="inlineStr">
        <is>
          <t>AR</t>
        </is>
      </c>
      <c r="F130" s="53" t="inlineStr">
        <is>
          <t>IZARD</t>
        </is>
      </c>
      <c r="G130" s="59" t="n"/>
      <c r="O130" s="59" t="n"/>
      <c r="X130" s="61" t="n"/>
      <c r="Y130" s="61" t="n"/>
    </row>
    <row r="131" ht="14.25" customHeight="1" s="86">
      <c r="E131" s="53" t="inlineStr">
        <is>
          <t>AR</t>
        </is>
      </c>
      <c r="F131" s="53" t="inlineStr">
        <is>
          <t>JACKSON</t>
        </is>
      </c>
      <c r="G131" s="59" t="n"/>
      <c r="O131" s="59" t="n"/>
      <c r="X131" s="61" t="n"/>
      <c r="Y131" s="61" t="n"/>
    </row>
    <row r="132" ht="14.25" customHeight="1" s="86">
      <c r="E132" s="53" t="inlineStr">
        <is>
          <t>AR</t>
        </is>
      </c>
      <c r="F132" s="53" t="inlineStr">
        <is>
          <t>JEFFERSON</t>
        </is>
      </c>
      <c r="G132" s="59" t="n"/>
      <c r="O132" s="59" t="n"/>
      <c r="X132" s="61" t="n"/>
      <c r="Y132" s="61" t="n"/>
    </row>
    <row r="133" ht="14.25" customHeight="1" s="86">
      <c r="E133" s="53" t="inlineStr">
        <is>
          <t>AR</t>
        </is>
      </c>
      <c r="F133" s="53" t="inlineStr">
        <is>
          <t>JOHNSON</t>
        </is>
      </c>
      <c r="G133" s="59" t="n"/>
      <c r="O133" s="59" t="n"/>
      <c r="X133" s="61" t="n"/>
      <c r="Y133" s="61" t="n"/>
    </row>
    <row r="134" ht="14.25" customHeight="1" s="86">
      <c r="E134" s="53" t="inlineStr">
        <is>
          <t>AR</t>
        </is>
      </c>
      <c r="F134" s="53" t="inlineStr">
        <is>
          <t>LAFAYETTE</t>
        </is>
      </c>
      <c r="G134" s="59" t="n"/>
      <c r="O134" s="59" t="n"/>
      <c r="X134" s="61" t="n"/>
      <c r="Y134" s="61" t="n"/>
    </row>
    <row r="135" ht="14.25" customHeight="1" s="86">
      <c r="E135" s="53" t="inlineStr">
        <is>
          <t>AR</t>
        </is>
      </c>
      <c r="F135" s="53" t="inlineStr">
        <is>
          <t>LAWRENCE</t>
        </is>
      </c>
      <c r="G135" s="59" t="n"/>
      <c r="O135" s="59" t="n"/>
      <c r="X135" s="61" t="n"/>
      <c r="Y135" s="61" t="n"/>
    </row>
    <row r="136" ht="14.25" customHeight="1" s="86">
      <c r="E136" s="53" t="inlineStr">
        <is>
          <t>AR</t>
        </is>
      </c>
      <c r="F136" s="53" t="inlineStr">
        <is>
          <t>LEE</t>
        </is>
      </c>
      <c r="G136" s="59" t="n"/>
      <c r="O136" s="59" t="n"/>
      <c r="X136" s="61" t="n"/>
      <c r="Y136" s="61" t="n"/>
    </row>
    <row r="137" ht="14.25" customHeight="1" s="86">
      <c r="E137" s="53" t="inlineStr">
        <is>
          <t>AR</t>
        </is>
      </c>
      <c r="F137" s="53" t="inlineStr">
        <is>
          <t>LINCOLN</t>
        </is>
      </c>
      <c r="G137" s="59" t="n"/>
      <c r="O137" s="59" t="n"/>
      <c r="X137" s="61" t="n"/>
      <c r="Y137" s="61" t="n"/>
    </row>
    <row r="138" ht="14.25" customHeight="1" s="86">
      <c r="E138" s="53" t="inlineStr">
        <is>
          <t>AR</t>
        </is>
      </c>
      <c r="F138" s="53" t="inlineStr">
        <is>
          <t>LITTLE RIVER</t>
        </is>
      </c>
      <c r="G138" s="59" t="n"/>
      <c r="O138" s="59" t="n"/>
      <c r="X138" s="61" t="n"/>
      <c r="Y138" s="61" t="n"/>
    </row>
    <row r="139" ht="14.25" customHeight="1" s="86">
      <c r="E139" s="53" t="inlineStr">
        <is>
          <t>AR</t>
        </is>
      </c>
      <c r="F139" s="53" t="inlineStr">
        <is>
          <t>LOGAN</t>
        </is>
      </c>
      <c r="G139" s="59" t="n"/>
      <c r="O139" s="59" t="n"/>
      <c r="X139" s="61" t="n"/>
      <c r="Y139" s="61" t="n"/>
    </row>
    <row r="140" ht="14.25" customHeight="1" s="86">
      <c r="E140" s="53" t="inlineStr">
        <is>
          <t>AR</t>
        </is>
      </c>
      <c r="F140" s="53" t="inlineStr">
        <is>
          <t>LONOKE</t>
        </is>
      </c>
      <c r="G140" s="59" t="n"/>
      <c r="O140" s="59" t="n"/>
      <c r="X140" s="61" t="n"/>
      <c r="Y140" s="61" t="n"/>
    </row>
    <row r="141" ht="14.25" customHeight="1" s="86">
      <c r="E141" s="53" t="inlineStr">
        <is>
          <t>AR</t>
        </is>
      </c>
      <c r="F141" s="53" t="inlineStr">
        <is>
          <t>MADISON</t>
        </is>
      </c>
      <c r="G141" s="59" t="n"/>
      <c r="O141" s="59" t="n"/>
      <c r="X141" s="61" t="n"/>
      <c r="Y141" s="61" t="n"/>
    </row>
    <row r="142" ht="14.25" customHeight="1" s="86">
      <c r="E142" s="53" t="inlineStr">
        <is>
          <t>AR</t>
        </is>
      </c>
      <c r="F142" s="53" t="inlineStr">
        <is>
          <t>MARION</t>
        </is>
      </c>
      <c r="G142" s="59" t="n"/>
      <c r="O142" s="59" t="n"/>
      <c r="X142" s="61" t="n"/>
      <c r="Y142" s="61" t="n"/>
    </row>
    <row r="143" ht="14.25" customHeight="1" s="86">
      <c r="E143" s="53" t="inlineStr">
        <is>
          <t>AR</t>
        </is>
      </c>
      <c r="F143" s="53" t="inlineStr">
        <is>
          <t>MILLER</t>
        </is>
      </c>
      <c r="G143" s="59" t="n"/>
      <c r="O143" s="59" t="n"/>
      <c r="X143" s="61" t="n"/>
      <c r="Y143" s="61" t="n"/>
    </row>
    <row r="144" ht="14.25" customHeight="1" s="86">
      <c r="E144" s="53" t="inlineStr">
        <is>
          <t>AR</t>
        </is>
      </c>
      <c r="F144" s="53" t="inlineStr">
        <is>
          <t>MISSISSIPPI</t>
        </is>
      </c>
      <c r="G144" s="59" t="n"/>
      <c r="O144" s="59" t="n"/>
      <c r="X144" s="61" t="n"/>
      <c r="Y144" s="61" t="n"/>
    </row>
    <row r="145" ht="14.25" customHeight="1" s="86">
      <c r="E145" s="53" t="inlineStr">
        <is>
          <t>AR</t>
        </is>
      </c>
      <c r="F145" s="53" t="inlineStr">
        <is>
          <t>MONROE</t>
        </is>
      </c>
      <c r="G145" s="59" t="n"/>
      <c r="O145" s="59" t="n"/>
      <c r="X145" s="61" t="n"/>
      <c r="Y145" s="61" t="n"/>
    </row>
    <row r="146" ht="14.25" customHeight="1" s="86">
      <c r="E146" s="53" t="inlineStr">
        <is>
          <t>AR</t>
        </is>
      </c>
      <c r="F146" s="53" t="inlineStr">
        <is>
          <t>MONTGOMERY</t>
        </is>
      </c>
      <c r="G146" s="59" t="n"/>
      <c r="O146" s="59" t="n"/>
      <c r="X146" s="61" t="n"/>
      <c r="Y146" s="61" t="n"/>
    </row>
    <row r="147" ht="14.25" customHeight="1" s="86">
      <c r="E147" s="53" t="inlineStr">
        <is>
          <t>AR</t>
        </is>
      </c>
      <c r="F147" s="53" t="inlineStr">
        <is>
          <t>NEVADA</t>
        </is>
      </c>
      <c r="G147" s="59" t="n"/>
      <c r="O147" s="59" t="n"/>
      <c r="X147" s="61" t="n"/>
      <c r="Y147" s="61" t="n"/>
    </row>
    <row r="148" ht="14.25" customHeight="1" s="86">
      <c r="E148" s="53" t="inlineStr">
        <is>
          <t>AR</t>
        </is>
      </c>
      <c r="F148" s="53" t="inlineStr">
        <is>
          <t>NEWTON</t>
        </is>
      </c>
      <c r="G148" s="59" t="n"/>
      <c r="O148" s="59" t="n"/>
      <c r="X148" s="61" t="n"/>
      <c r="Y148" s="61" t="n"/>
    </row>
    <row r="149" ht="14.25" customHeight="1" s="86">
      <c r="E149" s="53" t="inlineStr">
        <is>
          <t>AR</t>
        </is>
      </c>
      <c r="F149" s="53" t="inlineStr">
        <is>
          <t>OUACHITA</t>
        </is>
      </c>
      <c r="G149" s="59" t="n"/>
      <c r="O149" s="59" t="n"/>
      <c r="X149" s="61" t="n"/>
      <c r="Y149" s="61" t="n"/>
    </row>
    <row r="150" ht="14.25" customHeight="1" s="86">
      <c r="E150" s="53" t="inlineStr">
        <is>
          <t>AR</t>
        </is>
      </c>
      <c r="F150" s="53" t="inlineStr">
        <is>
          <t>PERRY</t>
        </is>
      </c>
      <c r="G150" s="59" t="n"/>
      <c r="O150" s="59" t="n"/>
      <c r="X150" s="61" t="n"/>
      <c r="Y150" s="61" t="n"/>
    </row>
    <row r="151" ht="14.25" customHeight="1" s="86">
      <c r="E151" s="53" t="inlineStr">
        <is>
          <t>AR</t>
        </is>
      </c>
      <c r="F151" s="53" t="inlineStr">
        <is>
          <t>PHILLIPS</t>
        </is>
      </c>
      <c r="G151" s="59" t="n"/>
      <c r="O151" s="59" t="n"/>
      <c r="X151" s="61" t="n"/>
      <c r="Y151" s="61" t="n"/>
    </row>
    <row r="152" ht="14.25" customHeight="1" s="86">
      <c r="E152" s="53" t="inlineStr">
        <is>
          <t>AR</t>
        </is>
      </c>
      <c r="F152" s="53" t="inlineStr">
        <is>
          <t>PIKE</t>
        </is>
      </c>
      <c r="G152" s="59" t="n"/>
      <c r="O152" s="59" t="n"/>
      <c r="X152" s="61" t="n"/>
      <c r="Y152" s="61" t="n"/>
    </row>
    <row r="153" ht="14.25" customHeight="1" s="86">
      <c r="E153" s="53" t="inlineStr">
        <is>
          <t>AR</t>
        </is>
      </c>
      <c r="F153" s="53" t="inlineStr">
        <is>
          <t>POINSETT</t>
        </is>
      </c>
      <c r="G153" s="59" t="n"/>
      <c r="O153" s="59" t="n"/>
      <c r="X153" s="61" t="n"/>
      <c r="Y153" s="61" t="n"/>
    </row>
    <row r="154" ht="14.25" customHeight="1" s="86">
      <c r="E154" s="53" t="inlineStr">
        <is>
          <t>AR</t>
        </is>
      </c>
      <c r="F154" s="53" t="inlineStr">
        <is>
          <t>POLK</t>
        </is>
      </c>
      <c r="G154" s="59" t="n"/>
      <c r="O154" s="59" t="n"/>
      <c r="X154" s="61" t="n"/>
      <c r="Y154" s="61" t="n"/>
    </row>
    <row r="155" ht="14.25" customHeight="1" s="86">
      <c r="E155" s="53" t="inlineStr">
        <is>
          <t>AR</t>
        </is>
      </c>
      <c r="F155" s="53" t="inlineStr">
        <is>
          <t>POPE</t>
        </is>
      </c>
      <c r="G155" s="59" t="n"/>
      <c r="O155" s="59" t="n"/>
      <c r="X155" s="61" t="n"/>
      <c r="Y155" s="61" t="n"/>
    </row>
    <row r="156" ht="14.25" customHeight="1" s="86">
      <c r="E156" s="53" t="inlineStr">
        <is>
          <t>AR</t>
        </is>
      </c>
      <c r="F156" s="53" t="inlineStr">
        <is>
          <t>PRAIRIE</t>
        </is>
      </c>
      <c r="G156" s="59" t="n"/>
      <c r="O156" s="59" t="n"/>
      <c r="X156" s="61" t="n"/>
      <c r="Y156" s="61" t="n"/>
    </row>
    <row r="157" ht="14.25" customHeight="1" s="86">
      <c r="E157" s="53" t="inlineStr">
        <is>
          <t>AR</t>
        </is>
      </c>
      <c r="F157" s="53" t="inlineStr">
        <is>
          <t>PULASKI</t>
        </is>
      </c>
      <c r="G157" s="59" t="n"/>
      <c r="O157" s="59" t="n"/>
      <c r="X157" s="61" t="n"/>
      <c r="Y157" s="61" t="n"/>
    </row>
    <row r="158" ht="14.25" customHeight="1" s="86">
      <c r="E158" s="53" t="inlineStr">
        <is>
          <t>AR</t>
        </is>
      </c>
      <c r="F158" s="53" t="inlineStr">
        <is>
          <t>RANDOLPH</t>
        </is>
      </c>
      <c r="G158" s="59" t="n"/>
      <c r="O158" s="59" t="n"/>
      <c r="X158" s="61" t="n"/>
      <c r="Y158" s="61" t="n"/>
    </row>
    <row r="159" ht="14.25" customHeight="1" s="86">
      <c r="E159" s="53" t="inlineStr">
        <is>
          <t>AR</t>
        </is>
      </c>
      <c r="F159" s="53" t="inlineStr">
        <is>
          <t>SAINT FRANCIS</t>
        </is>
      </c>
      <c r="G159" s="59" t="n"/>
      <c r="O159" s="59" t="n"/>
      <c r="X159" s="61" t="n"/>
      <c r="Y159" s="61" t="n"/>
    </row>
    <row r="160" ht="14.25" customHeight="1" s="86">
      <c r="E160" s="53" t="inlineStr">
        <is>
          <t>AR</t>
        </is>
      </c>
      <c r="F160" s="53" t="inlineStr">
        <is>
          <t>SALINE</t>
        </is>
      </c>
      <c r="G160" s="59" t="n"/>
      <c r="O160" s="59" t="n"/>
      <c r="X160" s="61" t="n"/>
      <c r="Y160" s="61" t="n"/>
    </row>
    <row r="161" ht="14.25" customHeight="1" s="86">
      <c r="E161" s="53" t="inlineStr">
        <is>
          <t>AR</t>
        </is>
      </c>
      <c r="F161" s="53" t="inlineStr">
        <is>
          <t>SCOTT</t>
        </is>
      </c>
      <c r="G161" s="59" t="n"/>
      <c r="O161" s="59" t="n"/>
      <c r="X161" s="61" t="n"/>
      <c r="Y161" s="61" t="n"/>
    </row>
    <row r="162" ht="14.25" customHeight="1" s="86">
      <c r="E162" s="53" t="inlineStr">
        <is>
          <t>AR</t>
        </is>
      </c>
      <c r="F162" s="53" t="inlineStr">
        <is>
          <t>SEARCY</t>
        </is>
      </c>
      <c r="G162" s="59" t="n"/>
      <c r="O162" s="59" t="n"/>
      <c r="X162" s="61" t="n"/>
      <c r="Y162" s="61" t="n"/>
    </row>
    <row r="163" ht="14.25" customHeight="1" s="86">
      <c r="E163" s="53" t="inlineStr">
        <is>
          <t>AR</t>
        </is>
      </c>
      <c r="F163" s="53" t="inlineStr">
        <is>
          <t>SEBASTIAN</t>
        </is>
      </c>
      <c r="G163" s="59" t="n"/>
      <c r="O163" s="59" t="n"/>
      <c r="X163" s="61" t="n"/>
      <c r="Y163" s="61" t="n"/>
    </row>
    <row r="164" ht="14.25" customHeight="1" s="86">
      <c r="E164" s="53" t="inlineStr">
        <is>
          <t>AR</t>
        </is>
      </c>
      <c r="F164" s="53" t="inlineStr">
        <is>
          <t>SEVIER</t>
        </is>
      </c>
      <c r="G164" s="59" t="n"/>
      <c r="O164" s="59" t="n"/>
      <c r="X164" s="61" t="n"/>
      <c r="Y164" s="61" t="n"/>
    </row>
    <row r="165" ht="14.25" customHeight="1" s="86">
      <c r="E165" s="53" t="inlineStr">
        <is>
          <t>AR</t>
        </is>
      </c>
      <c r="F165" s="53" t="inlineStr">
        <is>
          <t>SHARP</t>
        </is>
      </c>
      <c r="G165" s="59" t="n"/>
      <c r="O165" s="59" t="n"/>
      <c r="X165" s="61" t="n"/>
      <c r="Y165" s="61" t="n"/>
    </row>
    <row r="166" ht="14.25" customHeight="1" s="86">
      <c r="E166" s="53" t="inlineStr">
        <is>
          <t>AR</t>
        </is>
      </c>
      <c r="F166" s="53" t="inlineStr">
        <is>
          <t>STONE</t>
        </is>
      </c>
      <c r="G166" s="59" t="n"/>
      <c r="O166" s="59" t="n"/>
      <c r="X166" s="61" t="n"/>
      <c r="Y166" s="61" t="n"/>
    </row>
    <row r="167" ht="14.25" customHeight="1" s="86">
      <c r="E167" s="53" t="inlineStr">
        <is>
          <t>AR</t>
        </is>
      </c>
      <c r="F167" s="53" t="inlineStr">
        <is>
          <t>UNION</t>
        </is>
      </c>
      <c r="G167" s="59" t="n"/>
      <c r="O167" s="59" t="n"/>
      <c r="X167" s="61" t="n"/>
      <c r="Y167" s="61" t="n"/>
    </row>
    <row r="168" ht="14.25" customHeight="1" s="86">
      <c r="E168" s="53" t="inlineStr">
        <is>
          <t>AR</t>
        </is>
      </c>
      <c r="F168" s="53" t="inlineStr">
        <is>
          <t>VAN BUREN</t>
        </is>
      </c>
      <c r="G168" s="59" t="n"/>
      <c r="O168" s="59" t="n"/>
      <c r="X168" s="61" t="n"/>
      <c r="Y168" s="61" t="n"/>
    </row>
    <row r="169" ht="14.25" customHeight="1" s="86">
      <c r="E169" s="53" t="inlineStr">
        <is>
          <t>AR</t>
        </is>
      </c>
      <c r="F169" s="53" t="inlineStr">
        <is>
          <t>WASHINGTON</t>
        </is>
      </c>
      <c r="G169" s="59" t="n"/>
      <c r="O169" s="59" t="n"/>
      <c r="X169" s="61" t="n"/>
      <c r="Y169" s="61" t="n"/>
    </row>
    <row r="170" ht="14.25" customHeight="1" s="86">
      <c r="E170" s="53" t="inlineStr">
        <is>
          <t>AR</t>
        </is>
      </c>
      <c r="F170" s="53" t="inlineStr">
        <is>
          <t>WHITE</t>
        </is>
      </c>
      <c r="G170" s="59" t="n"/>
      <c r="O170" s="59" t="n"/>
      <c r="X170" s="61" t="n"/>
      <c r="Y170" s="61" t="n"/>
    </row>
    <row r="171" ht="14.25" customHeight="1" s="86">
      <c r="E171" s="53" t="inlineStr">
        <is>
          <t>AR</t>
        </is>
      </c>
      <c r="F171" s="53" t="inlineStr">
        <is>
          <t>WOODRUFF</t>
        </is>
      </c>
      <c r="G171" s="59" t="n"/>
      <c r="O171" s="59" t="n"/>
      <c r="X171" s="61" t="n"/>
      <c r="Y171" s="61" t="n"/>
    </row>
    <row r="172" ht="14.25" customHeight="1" s="86">
      <c r="E172" s="53" t="inlineStr">
        <is>
          <t>AR</t>
        </is>
      </c>
      <c r="F172" s="53" t="inlineStr">
        <is>
          <t>YELL</t>
        </is>
      </c>
      <c r="G172" s="59" t="n"/>
      <c r="O172" s="59" t="n"/>
      <c r="X172" s="61" t="n"/>
      <c r="Y172" s="61" t="n"/>
    </row>
    <row r="173" ht="14.25" customHeight="1" s="86">
      <c r="E173" s="53" t="inlineStr">
        <is>
          <t>AS</t>
        </is>
      </c>
      <c r="F173" s="53" t="inlineStr">
        <is>
          <t>HAWAII</t>
        </is>
      </c>
      <c r="G173" s="59" t="n"/>
      <c r="O173" s="59" t="n"/>
      <c r="X173" s="61" t="n"/>
      <c r="Y173" s="61" t="n"/>
    </row>
    <row r="174" ht="14.25" customHeight="1" s="86">
      <c r="E174" s="53" t="inlineStr">
        <is>
          <t>AZ</t>
        </is>
      </c>
      <c r="F174" s="53" t="inlineStr">
        <is>
          <t>APACHE</t>
        </is>
      </c>
      <c r="G174" s="59" t="n"/>
      <c r="O174" s="59" t="n"/>
      <c r="X174" s="61" t="n"/>
      <c r="Y174" s="61" t="n"/>
    </row>
    <row r="175" ht="14.25" customHeight="1" s="86">
      <c r="E175" s="53" t="inlineStr">
        <is>
          <t>AZ</t>
        </is>
      </c>
      <c r="F175" s="53" t="inlineStr">
        <is>
          <t>COCHISE</t>
        </is>
      </c>
      <c r="G175" s="59" t="n"/>
      <c r="O175" s="59" t="n"/>
      <c r="X175" s="61" t="n"/>
      <c r="Y175" s="61" t="n"/>
    </row>
    <row r="176" ht="14.25" customHeight="1" s="86">
      <c r="E176" s="53" t="inlineStr">
        <is>
          <t>AZ</t>
        </is>
      </c>
      <c r="F176" s="53" t="inlineStr">
        <is>
          <t>COCONINO</t>
        </is>
      </c>
      <c r="G176" s="59" t="n"/>
      <c r="O176" s="59" t="n"/>
      <c r="X176" s="61" t="n"/>
      <c r="Y176" s="61" t="n"/>
    </row>
    <row r="177" ht="14.25" customHeight="1" s="86">
      <c r="E177" s="53" t="inlineStr">
        <is>
          <t>AZ</t>
        </is>
      </c>
      <c r="F177" s="53" t="inlineStr">
        <is>
          <t>GILA</t>
        </is>
      </c>
      <c r="G177" s="59" t="n"/>
      <c r="O177" s="59" t="n"/>
      <c r="X177" s="61" t="n"/>
      <c r="Y177" s="61" t="n"/>
    </row>
    <row r="178" ht="14.25" customHeight="1" s="86">
      <c r="E178" s="53" t="inlineStr">
        <is>
          <t>AZ</t>
        </is>
      </c>
      <c r="F178" s="53" t="inlineStr">
        <is>
          <t>GRAHAM</t>
        </is>
      </c>
      <c r="G178" s="59" t="n"/>
      <c r="O178" s="59" t="n"/>
      <c r="X178" s="61" t="n"/>
      <c r="Y178" s="61" t="n"/>
    </row>
    <row r="179" ht="14.25" customHeight="1" s="86">
      <c r="E179" s="53" t="inlineStr">
        <is>
          <t>AZ</t>
        </is>
      </c>
      <c r="F179" s="53" t="inlineStr">
        <is>
          <t>GREENLEE</t>
        </is>
      </c>
      <c r="G179" s="59" t="n"/>
      <c r="O179" s="59" t="n"/>
      <c r="X179" s="61" t="n"/>
      <c r="Y179" s="61" t="n"/>
    </row>
    <row r="180" ht="14.25" customHeight="1" s="86">
      <c r="E180" s="53" t="inlineStr">
        <is>
          <t>AZ</t>
        </is>
      </c>
      <c r="F180" s="53" t="inlineStr">
        <is>
          <t>LA PAZ</t>
        </is>
      </c>
      <c r="G180" s="59" t="n"/>
      <c r="O180" s="59" t="n"/>
      <c r="X180" s="61" t="n"/>
      <c r="Y180" s="61" t="n"/>
    </row>
    <row r="181" ht="14.25" customHeight="1" s="86">
      <c r="E181" s="53" t="inlineStr">
        <is>
          <t>AZ</t>
        </is>
      </c>
      <c r="F181" s="53" t="inlineStr">
        <is>
          <t>MARICOPA</t>
        </is>
      </c>
      <c r="G181" s="59" t="n"/>
      <c r="O181" s="59" t="n"/>
      <c r="X181" s="61" t="n"/>
      <c r="Y181" s="61" t="n"/>
    </row>
    <row r="182" ht="14.25" customHeight="1" s="86">
      <c r="E182" s="53" t="inlineStr">
        <is>
          <t>AZ</t>
        </is>
      </c>
      <c r="F182" s="53" t="inlineStr">
        <is>
          <t>MOHAVE</t>
        </is>
      </c>
      <c r="G182" s="59" t="n"/>
      <c r="O182" s="59" t="n"/>
      <c r="X182" s="61" t="n"/>
      <c r="Y182" s="61" t="n"/>
    </row>
    <row r="183" ht="14.25" customHeight="1" s="86">
      <c r="E183" s="53" t="inlineStr">
        <is>
          <t>AZ</t>
        </is>
      </c>
      <c r="F183" s="53" t="inlineStr">
        <is>
          <t>NAVAJO</t>
        </is>
      </c>
      <c r="G183" s="59" t="n"/>
      <c r="O183" s="59" t="n"/>
      <c r="X183" s="61" t="n"/>
      <c r="Y183" s="61" t="n"/>
    </row>
    <row r="184" ht="14.25" customHeight="1" s="86">
      <c r="E184" s="53" t="inlineStr">
        <is>
          <t>AZ</t>
        </is>
      </c>
      <c r="F184" s="53" t="inlineStr">
        <is>
          <t>PIMA</t>
        </is>
      </c>
      <c r="G184" s="59" t="n"/>
      <c r="O184" s="59" t="n"/>
      <c r="X184" s="61" t="n"/>
      <c r="Y184" s="61" t="n"/>
    </row>
    <row r="185" ht="14.25" customHeight="1" s="86">
      <c r="E185" s="53" t="inlineStr">
        <is>
          <t>AZ</t>
        </is>
      </c>
      <c r="F185" s="53" t="inlineStr">
        <is>
          <t>PINAL</t>
        </is>
      </c>
      <c r="G185" s="59" t="n"/>
      <c r="O185" s="59" t="n"/>
      <c r="X185" s="61" t="n"/>
      <c r="Y185" s="61" t="n"/>
    </row>
    <row r="186" ht="14.25" customHeight="1" s="86">
      <c r="E186" s="53" t="inlineStr">
        <is>
          <t>AZ</t>
        </is>
      </c>
      <c r="F186" s="53" t="inlineStr">
        <is>
          <t>SANTA CRUZ</t>
        </is>
      </c>
      <c r="G186" s="59" t="n"/>
      <c r="O186" s="59" t="n"/>
      <c r="X186" s="61" t="n"/>
      <c r="Y186" s="61" t="n"/>
    </row>
    <row r="187" ht="14.25" customHeight="1" s="86">
      <c r="E187" s="53" t="inlineStr">
        <is>
          <t>AZ</t>
        </is>
      </c>
      <c r="F187" s="53" t="inlineStr">
        <is>
          <t>YAVAPAI</t>
        </is>
      </c>
      <c r="G187" s="59" t="n"/>
      <c r="O187" s="59" t="n"/>
      <c r="X187" s="61" t="n"/>
      <c r="Y187" s="61" t="n"/>
    </row>
    <row r="188" ht="14.25" customHeight="1" s="86">
      <c r="E188" s="53" t="inlineStr">
        <is>
          <t>AZ</t>
        </is>
      </c>
      <c r="F188" s="53" t="inlineStr">
        <is>
          <t>YUMA</t>
        </is>
      </c>
      <c r="G188" s="59" t="n"/>
      <c r="O188" s="59" t="n"/>
      <c r="X188" s="61" t="n"/>
      <c r="Y188" s="61" t="n"/>
    </row>
    <row r="189" ht="14.25" customHeight="1" s="86">
      <c r="E189" s="53" t="inlineStr">
        <is>
          <t>CA</t>
        </is>
      </c>
      <c r="F189" s="53" t="inlineStr">
        <is>
          <t>ALAMEDA</t>
        </is>
      </c>
      <c r="G189" s="59" t="n"/>
      <c r="O189" s="59" t="n"/>
      <c r="X189" s="61" t="n"/>
      <c r="Y189" s="61" t="n"/>
    </row>
    <row r="190" ht="14.25" customHeight="1" s="86">
      <c r="E190" s="53" t="inlineStr">
        <is>
          <t>CA</t>
        </is>
      </c>
      <c r="F190" s="53" t="inlineStr">
        <is>
          <t>ALPINE</t>
        </is>
      </c>
      <c r="G190" s="59" t="n"/>
      <c r="O190" s="59" t="n"/>
      <c r="X190" s="61" t="n"/>
      <c r="Y190" s="61" t="n"/>
    </row>
    <row r="191" ht="14.25" customHeight="1" s="86">
      <c r="E191" s="53" t="inlineStr">
        <is>
          <t>CA</t>
        </is>
      </c>
      <c r="F191" s="53" t="inlineStr">
        <is>
          <t>AMADOR</t>
        </is>
      </c>
      <c r="G191" s="59" t="n"/>
      <c r="O191" s="59" t="n"/>
      <c r="X191" s="61" t="n"/>
      <c r="Y191" s="61" t="n"/>
    </row>
    <row r="192" ht="14.25" customHeight="1" s="86">
      <c r="E192" s="53" t="inlineStr">
        <is>
          <t>CA</t>
        </is>
      </c>
      <c r="F192" s="53" t="inlineStr">
        <is>
          <t>BUTTE</t>
        </is>
      </c>
      <c r="G192" s="59" t="n"/>
      <c r="O192" s="59" t="n"/>
      <c r="X192" s="61" t="n"/>
      <c r="Y192" s="61" t="n"/>
    </row>
    <row r="193" ht="14.25" customHeight="1" s="86">
      <c r="E193" s="53" t="inlineStr">
        <is>
          <t>CA</t>
        </is>
      </c>
      <c r="F193" s="53" t="inlineStr">
        <is>
          <t>CALAVERAS</t>
        </is>
      </c>
      <c r="G193" s="59" t="n"/>
      <c r="O193" s="59" t="n"/>
      <c r="X193" s="61" t="n"/>
      <c r="Y193" s="61" t="n"/>
    </row>
    <row r="194" ht="14.25" customHeight="1" s="86">
      <c r="E194" s="53" t="inlineStr">
        <is>
          <t>CA</t>
        </is>
      </c>
      <c r="F194" s="53" t="inlineStr">
        <is>
          <t>COLUSA</t>
        </is>
      </c>
      <c r="G194" s="59" t="n"/>
      <c r="O194" s="59" t="n"/>
      <c r="X194" s="61" t="n"/>
      <c r="Y194" s="61" t="n"/>
    </row>
    <row r="195" ht="14.25" customHeight="1" s="86">
      <c r="E195" s="53" t="inlineStr">
        <is>
          <t>CA</t>
        </is>
      </c>
      <c r="F195" s="53" t="inlineStr">
        <is>
          <t>CONTRA COSTA</t>
        </is>
      </c>
      <c r="G195" s="59" t="n"/>
      <c r="O195" s="59" t="n"/>
      <c r="X195" s="61" t="n"/>
      <c r="Y195" s="61" t="n"/>
    </row>
    <row r="196" ht="14.25" customHeight="1" s="86">
      <c r="E196" s="53" t="inlineStr">
        <is>
          <t>CA</t>
        </is>
      </c>
      <c r="F196" s="53" t="inlineStr">
        <is>
          <t>DEL NORTE</t>
        </is>
      </c>
      <c r="G196" s="59" t="n"/>
      <c r="O196" s="59" t="n"/>
      <c r="X196" s="61" t="n"/>
      <c r="Y196" s="61" t="n"/>
    </row>
    <row r="197" ht="14.25" customHeight="1" s="86">
      <c r="E197" s="53" t="inlineStr">
        <is>
          <t>CA</t>
        </is>
      </c>
      <c r="F197" s="53" t="inlineStr">
        <is>
          <t>EL DORADO</t>
        </is>
      </c>
      <c r="G197" s="59" t="n"/>
      <c r="O197" s="59" t="n"/>
      <c r="X197" s="61" t="n"/>
      <c r="Y197" s="61" t="n"/>
    </row>
    <row r="198" ht="14.25" customHeight="1" s="86">
      <c r="E198" s="53" t="inlineStr">
        <is>
          <t>CA</t>
        </is>
      </c>
      <c r="F198" s="53" t="inlineStr">
        <is>
          <t>FRESNO</t>
        </is>
      </c>
      <c r="G198" s="59" t="n"/>
      <c r="O198" s="59" t="n"/>
      <c r="X198" s="61" t="n"/>
      <c r="Y198" s="61" t="n"/>
    </row>
    <row r="199" ht="14.25" customHeight="1" s="86">
      <c r="E199" s="53" t="inlineStr">
        <is>
          <t>CA</t>
        </is>
      </c>
      <c r="F199" s="53" t="inlineStr">
        <is>
          <t>GLENN</t>
        </is>
      </c>
      <c r="G199" s="59" t="n"/>
      <c r="O199" s="59" t="n"/>
      <c r="X199" s="61" t="n"/>
      <c r="Y199" s="61" t="n"/>
    </row>
    <row r="200" ht="14.25" customHeight="1" s="86">
      <c r="E200" s="53" t="inlineStr">
        <is>
          <t>CA</t>
        </is>
      </c>
      <c r="F200" s="53" t="inlineStr">
        <is>
          <t>HUMBOLDT</t>
        </is>
      </c>
      <c r="G200" s="59" t="n"/>
      <c r="O200" s="59" t="n"/>
      <c r="X200" s="61" t="n"/>
      <c r="Y200" s="61" t="n"/>
    </row>
    <row r="201" ht="14.25" customHeight="1" s="86">
      <c r="E201" s="53" t="inlineStr">
        <is>
          <t>CA</t>
        </is>
      </c>
      <c r="F201" s="53" t="inlineStr">
        <is>
          <t>IMPERIAL</t>
        </is>
      </c>
      <c r="G201" s="59" t="n"/>
      <c r="O201" s="59" t="n"/>
      <c r="X201" s="61" t="n"/>
      <c r="Y201" s="61" t="n"/>
    </row>
    <row r="202" ht="14.25" customHeight="1" s="86">
      <c r="E202" s="53" t="inlineStr">
        <is>
          <t>CA</t>
        </is>
      </c>
      <c r="F202" s="53" t="inlineStr">
        <is>
          <t>INYO</t>
        </is>
      </c>
      <c r="G202" s="59" t="n"/>
      <c r="O202" s="59" t="n"/>
      <c r="X202" s="61" t="n"/>
      <c r="Y202" s="61" t="n"/>
    </row>
    <row r="203" ht="14.25" customHeight="1" s="86">
      <c r="E203" s="53" t="inlineStr">
        <is>
          <t>CA</t>
        </is>
      </c>
      <c r="F203" s="53" t="inlineStr">
        <is>
          <t>KERN</t>
        </is>
      </c>
      <c r="G203" s="59" t="n"/>
      <c r="O203" s="59" t="n"/>
      <c r="X203" s="61" t="n"/>
      <c r="Y203" s="61" t="n"/>
    </row>
    <row r="204" ht="14.25" customHeight="1" s="86">
      <c r="E204" s="53" t="inlineStr">
        <is>
          <t>CA</t>
        </is>
      </c>
      <c r="F204" s="53" t="inlineStr">
        <is>
          <t>KINGS</t>
        </is>
      </c>
      <c r="G204" s="59" t="n"/>
      <c r="O204" s="59" t="n"/>
      <c r="X204" s="61" t="n"/>
      <c r="Y204" s="61" t="n"/>
    </row>
    <row r="205" ht="14.25" customHeight="1" s="86">
      <c r="E205" s="53" t="inlineStr">
        <is>
          <t>CA</t>
        </is>
      </c>
      <c r="F205" s="53" t="inlineStr">
        <is>
          <t>LAKE</t>
        </is>
      </c>
      <c r="G205" s="59" t="n"/>
      <c r="O205" s="59" t="n"/>
      <c r="X205" s="61" t="n"/>
      <c r="Y205" s="61" t="n"/>
    </row>
    <row r="206" ht="14.25" customHeight="1" s="86">
      <c r="E206" s="53" t="inlineStr">
        <is>
          <t>CA</t>
        </is>
      </c>
      <c r="F206" s="53" t="inlineStr">
        <is>
          <t>LASSEN</t>
        </is>
      </c>
      <c r="G206" s="59" t="n"/>
      <c r="O206" s="59" t="n"/>
      <c r="X206" s="61" t="n"/>
      <c r="Y206" s="61" t="n"/>
    </row>
    <row r="207" ht="14.25" customHeight="1" s="86">
      <c r="E207" s="53" t="inlineStr">
        <is>
          <t>CA</t>
        </is>
      </c>
      <c r="F207" s="53" t="inlineStr">
        <is>
          <t>LOS ANGELES</t>
        </is>
      </c>
      <c r="G207" s="59" t="n"/>
      <c r="O207" s="59" t="n"/>
      <c r="X207" s="61" t="n"/>
      <c r="Y207" s="61" t="n"/>
    </row>
    <row r="208" ht="14.25" customHeight="1" s="86">
      <c r="E208" s="53" t="inlineStr">
        <is>
          <t>CA</t>
        </is>
      </c>
      <c r="F208" s="53" t="inlineStr">
        <is>
          <t>MADERA</t>
        </is>
      </c>
      <c r="G208" s="59" t="n"/>
      <c r="O208" s="59" t="n"/>
      <c r="X208" s="61" t="n"/>
      <c r="Y208" s="61" t="n"/>
    </row>
    <row r="209" ht="14.25" customHeight="1" s="86">
      <c r="E209" s="53" t="inlineStr">
        <is>
          <t>CA</t>
        </is>
      </c>
      <c r="F209" s="53" t="inlineStr">
        <is>
          <t>MARIN</t>
        </is>
      </c>
      <c r="G209" s="59" t="n"/>
      <c r="O209" s="59" t="n"/>
      <c r="X209" s="61" t="n"/>
      <c r="Y209" s="61" t="n"/>
    </row>
    <row r="210" ht="14.25" customHeight="1" s="86">
      <c r="E210" s="53" t="inlineStr">
        <is>
          <t>CA</t>
        </is>
      </c>
      <c r="F210" s="53" t="inlineStr">
        <is>
          <t>MARIPOSA</t>
        </is>
      </c>
      <c r="G210" s="59" t="n"/>
      <c r="O210" s="59" t="n"/>
      <c r="X210" s="61" t="n"/>
      <c r="Y210" s="61" t="n"/>
    </row>
    <row r="211" ht="14.25" customHeight="1" s="86">
      <c r="E211" s="53" t="inlineStr">
        <is>
          <t>CA</t>
        </is>
      </c>
      <c r="F211" s="53" t="inlineStr">
        <is>
          <t>MENDOCINO</t>
        </is>
      </c>
      <c r="G211" s="59" t="n"/>
      <c r="O211" s="59" t="n"/>
      <c r="X211" s="61" t="n"/>
      <c r="Y211" s="61" t="n"/>
    </row>
    <row r="212" ht="14.25" customHeight="1" s="86">
      <c r="E212" s="53" t="inlineStr">
        <is>
          <t>CA</t>
        </is>
      </c>
      <c r="F212" s="53" t="inlineStr">
        <is>
          <t>MERCED</t>
        </is>
      </c>
      <c r="G212" s="59" t="n"/>
      <c r="O212" s="59" t="n"/>
      <c r="X212" s="61" t="n"/>
      <c r="Y212" s="61" t="n"/>
    </row>
    <row r="213" ht="14.25" customHeight="1" s="86">
      <c r="E213" s="53" t="inlineStr">
        <is>
          <t>CA</t>
        </is>
      </c>
      <c r="F213" s="53" t="inlineStr">
        <is>
          <t>MODOC</t>
        </is>
      </c>
      <c r="G213" s="59" t="n"/>
      <c r="O213" s="59" t="n"/>
      <c r="X213" s="61" t="n"/>
      <c r="Y213" s="61" t="n"/>
    </row>
    <row r="214" ht="14.25" customHeight="1" s="86">
      <c r="E214" s="53" t="inlineStr">
        <is>
          <t>CA</t>
        </is>
      </c>
      <c r="F214" s="53" t="inlineStr">
        <is>
          <t>MONO</t>
        </is>
      </c>
      <c r="G214" s="59" t="n"/>
      <c r="O214" s="59" t="n"/>
      <c r="X214" s="61" t="n"/>
      <c r="Y214" s="61" t="n"/>
    </row>
    <row r="215" ht="14.25" customHeight="1" s="86">
      <c r="E215" s="53" t="inlineStr">
        <is>
          <t>CA</t>
        </is>
      </c>
      <c r="F215" s="53" t="inlineStr">
        <is>
          <t>MONTEREY</t>
        </is>
      </c>
      <c r="G215" s="59" t="n"/>
      <c r="O215" s="59" t="n"/>
      <c r="X215" s="61" t="n"/>
      <c r="Y215" s="61" t="n"/>
    </row>
    <row r="216" ht="14.25" customHeight="1" s="86">
      <c r="E216" s="53" t="inlineStr">
        <is>
          <t>CA</t>
        </is>
      </c>
      <c r="F216" s="53" t="inlineStr">
        <is>
          <t>NAPA</t>
        </is>
      </c>
      <c r="G216" s="59" t="n"/>
      <c r="O216" s="59" t="n"/>
      <c r="X216" s="61" t="n"/>
      <c r="Y216" s="61" t="n"/>
    </row>
    <row r="217" ht="14.25" customHeight="1" s="86">
      <c r="E217" s="53" t="inlineStr">
        <is>
          <t>CA</t>
        </is>
      </c>
      <c r="F217" s="53" t="inlineStr">
        <is>
          <t>NEVADA</t>
        </is>
      </c>
      <c r="G217" s="59" t="n"/>
      <c r="O217" s="59" t="n"/>
      <c r="X217" s="61" t="n"/>
      <c r="Y217" s="61" t="n"/>
    </row>
    <row r="218" ht="14.25" customHeight="1" s="86">
      <c r="E218" s="53" t="inlineStr">
        <is>
          <t>CA</t>
        </is>
      </c>
      <c r="F218" s="53" t="inlineStr">
        <is>
          <t>ORANGE</t>
        </is>
      </c>
      <c r="G218" s="59" t="n"/>
      <c r="O218" s="59" t="n"/>
      <c r="X218" s="61" t="n"/>
      <c r="Y218" s="61" t="n"/>
    </row>
    <row r="219" ht="14.25" customHeight="1" s="86">
      <c r="E219" s="53" t="inlineStr">
        <is>
          <t>CA</t>
        </is>
      </c>
      <c r="F219" s="53" t="inlineStr">
        <is>
          <t>PLACER</t>
        </is>
      </c>
      <c r="G219" s="59" t="n"/>
      <c r="O219" s="59" t="n"/>
      <c r="X219" s="61" t="n"/>
      <c r="Y219" s="61" t="n"/>
    </row>
    <row r="220" ht="14.25" customHeight="1" s="86">
      <c r="E220" s="53" t="inlineStr">
        <is>
          <t>CA</t>
        </is>
      </c>
      <c r="F220" s="53" t="inlineStr">
        <is>
          <t>PLUMAS</t>
        </is>
      </c>
      <c r="G220" s="59" t="n"/>
      <c r="O220" s="59" t="n"/>
      <c r="X220" s="61" t="n"/>
      <c r="Y220" s="61" t="n"/>
    </row>
    <row r="221" ht="14.25" customHeight="1" s="86">
      <c r="E221" s="53" t="inlineStr">
        <is>
          <t>CA</t>
        </is>
      </c>
      <c r="F221" s="53" t="inlineStr">
        <is>
          <t>RIVERSIDE</t>
        </is>
      </c>
      <c r="G221" s="59" t="n"/>
      <c r="O221" s="59" t="n"/>
      <c r="X221" s="61" t="n"/>
      <c r="Y221" s="61" t="n"/>
    </row>
    <row r="222" ht="14.25" customHeight="1" s="86">
      <c r="E222" s="53" t="inlineStr">
        <is>
          <t>CA</t>
        </is>
      </c>
      <c r="F222" s="53" t="inlineStr">
        <is>
          <t>SACRAMENTO</t>
        </is>
      </c>
      <c r="G222" s="59" t="n"/>
      <c r="O222" s="59" t="n"/>
      <c r="X222" s="61" t="n"/>
      <c r="Y222" s="61" t="n"/>
    </row>
    <row r="223" ht="14.25" customHeight="1" s="86">
      <c r="E223" s="53" t="inlineStr">
        <is>
          <t>CA</t>
        </is>
      </c>
      <c r="F223" s="53" t="inlineStr">
        <is>
          <t>SAN BENITO</t>
        </is>
      </c>
      <c r="G223" s="59" t="n"/>
      <c r="O223" s="59" t="n"/>
      <c r="X223" s="61" t="n"/>
      <c r="Y223" s="61" t="n"/>
    </row>
    <row r="224" ht="14.25" customHeight="1" s="86">
      <c r="E224" s="53" t="inlineStr">
        <is>
          <t>CA</t>
        </is>
      </c>
      <c r="F224" s="53" t="inlineStr">
        <is>
          <t>SAN BERNARDINO</t>
        </is>
      </c>
      <c r="G224" s="59" t="n"/>
      <c r="O224" s="59" t="n"/>
      <c r="X224" s="61" t="n"/>
      <c r="Y224" s="61" t="n"/>
    </row>
    <row r="225" ht="14.25" customHeight="1" s="86">
      <c r="E225" s="53" t="inlineStr">
        <is>
          <t>CA</t>
        </is>
      </c>
      <c r="F225" s="53" t="inlineStr">
        <is>
          <t>SAN DIEGO</t>
        </is>
      </c>
      <c r="G225" s="59" t="n"/>
      <c r="O225" s="59" t="n"/>
      <c r="X225" s="61" t="n"/>
      <c r="Y225" s="61" t="n"/>
    </row>
    <row r="226" ht="14.25" customHeight="1" s="86">
      <c r="E226" s="53" t="inlineStr">
        <is>
          <t>CA</t>
        </is>
      </c>
      <c r="F226" s="53" t="inlineStr">
        <is>
          <t>SAN FRANCISCO</t>
        </is>
      </c>
      <c r="G226" s="59" t="n"/>
      <c r="O226" s="59" t="n"/>
      <c r="X226" s="61" t="n"/>
      <c r="Y226" s="61" t="n"/>
    </row>
    <row r="227" ht="14.25" customHeight="1" s="86">
      <c r="E227" s="53" t="inlineStr">
        <is>
          <t>CA</t>
        </is>
      </c>
      <c r="F227" s="53" t="inlineStr">
        <is>
          <t>SAN JOAQUIN</t>
        </is>
      </c>
      <c r="G227" s="59" t="n"/>
      <c r="O227" s="59" t="n"/>
      <c r="X227" s="61" t="n"/>
      <c r="Y227" s="61" t="n"/>
    </row>
    <row r="228" ht="14.25" customHeight="1" s="86">
      <c r="E228" s="53" t="inlineStr">
        <is>
          <t>CA</t>
        </is>
      </c>
      <c r="F228" s="53" t="inlineStr">
        <is>
          <t>SAN LUIS OBISPO</t>
        </is>
      </c>
      <c r="G228" s="59" t="n"/>
      <c r="O228" s="59" t="n"/>
      <c r="X228" s="61" t="n"/>
      <c r="Y228" s="61" t="n"/>
    </row>
    <row r="229" ht="14.25" customHeight="1" s="86">
      <c r="E229" s="53" t="inlineStr">
        <is>
          <t>CA</t>
        </is>
      </c>
      <c r="F229" s="53" t="inlineStr">
        <is>
          <t>SAN MATEO</t>
        </is>
      </c>
      <c r="G229" s="59" t="n"/>
      <c r="O229" s="59" t="n"/>
      <c r="X229" s="61" t="n"/>
      <c r="Y229" s="61" t="n"/>
    </row>
    <row r="230" ht="14.25" customHeight="1" s="86">
      <c r="E230" s="53" t="inlineStr">
        <is>
          <t>CA</t>
        </is>
      </c>
      <c r="F230" s="53" t="inlineStr">
        <is>
          <t>SANTA BARBARA</t>
        </is>
      </c>
      <c r="G230" s="59" t="n"/>
      <c r="O230" s="59" t="n"/>
      <c r="X230" s="61" t="n"/>
      <c r="Y230" s="61" t="n"/>
    </row>
    <row r="231" ht="14.25" customHeight="1" s="86">
      <c r="E231" s="53" t="inlineStr">
        <is>
          <t>CA</t>
        </is>
      </c>
      <c r="F231" s="53" t="inlineStr">
        <is>
          <t>SANTA CLARA</t>
        </is>
      </c>
      <c r="G231" s="59" t="n"/>
      <c r="O231" s="59" t="n"/>
      <c r="X231" s="61" t="n"/>
      <c r="Y231" s="61" t="n"/>
    </row>
    <row r="232" ht="14.25" customHeight="1" s="86">
      <c r="E232" s="53" t="inlineStr">
        <is>
          <t>CA</t>
        </is>
      </c>
      <c r="F232" s="53" t="inlineStr">
        <is>
          <t>SANTA CRUZ</t>
        </is>
      </c>
      <c r="G232" s="59" t="n"/>
      <c r="O232" s="59" t="n"/>
      <c r="X232" s="61" t="n"/>
      <c r="Y232" s="61" t="n"/>
    </row>
    <row r="233" ht="14.25" customHeight="1" s="86">
      <c r="E233" s="53" t="inlineStr">
        <is>
          <t>CA</t>
        </is>
      </c>
      <c r="F233" s="53" t="inlineStr">
        <is>
          <t>SHASTA</t>
        </is>
      </c>
      <c r="G233" s="59" t="n"/>
      <c r="O233" s="59" t="n"/>
      <c r="X233" s="61" t="n"/>
      <c r="Y233" s="61" t="n"/>
    </row>
    <row r="234" ht="14.25" customHeight="1" s="86">
      <c r="E234" s="53" t="inlineStr">
        <is>
          <t>CA</t>
        </is>
      </c>
      <c r="F234" s="53" t="inlineStr">
        <is>
          <t>SIERRA</t>
        </is>
      </c>
      <c r="G234" s="59" t="n"/>
      <c r="O234" s="59" t="n"/>
      <c r="X234" s="61" t="n"/>
      <c r="Y234" s="61" t="n"/>
    </row>
    <row r="235" ht="14.25" customHeight="1" s="86">
      <c r="E235" s="53" t="inlineStr">
        <is>
          <t>CA</t>
        </is>
      </c>
      <c r="F235" s="53" t="inlineStr">
        <is>
          <t>SISKIYOU</t>
        </is>
      </c>
      <c r="G235" s="59" t="n"/>
      <c r="O235" s="59" t="n"/>
      <c r="X235" s="61" t="n"/>
      <c r="Y235" s="61" t="n"/>
    </row>
    <row r="236" ht="14.25" customHeight="1" s="86">
      <c r="E236" s="53" t="inlineStr">
        <is>
          <t>CA</t>
        </is>
      </c>
      <c r="F236" s="53" t="inlineStr">
        <is>
          <t>SOLANO</t>
        </is>
      </c>
      <c r="G236" s="59" t="n"/>
      <c r="O236" s="59" t="n"/>
      <c r="X236" s="61" t="n"/>
      <c r="Y236" s="61" t="n"/>
    </row>
    <row r="237" ht="14.25" customHeight="1" s="86">
      <c r="E237" s="53" t="inlineStr">
        <is>
          <t>CA</t>
        </is>
      </c>
      <c r="F237" s="53" t="inlineStr">
        <is>
          <t>SONOMA</t>
        </is>
      </c>
      <c r="G237" s="59" t="n"/>
      <c r="O237" s="59" t="n"/>
      <c r="X237" s="61" t="n"/>
      <c r="Y237" s="61" t="n"/>
    </row>
    <row r="238" ht="14.25" customHeight="1" s="86">
      <c r="E238" s="53" t="inlineStr">
        <is>
          <t>CA</t>
        </is>
      </c>
      <c r="F238" s="53" t="inlineStr">
        <is>
          <t>STANISLAUS</t>
        </is>
      </c>
      <c r="G238" s="59" t="n"/>
      <c r="O238" s="59" t="n"/>
      <c r="X238" s="61" t="n"/>
      <c r="Y238" s="61" t="n"/>
    </row>
    <row r="239" ht="14.25" customHeight="1" s="86">
      <c r="E239" s="53" t="inlineStr">
        <is>
          <t>CA</t>
        </is>
      </c>
      <c r="F239" s="53" t="inlineStr">
        <is>
          <t>SUTTER</t>
        </is>
      </c>
      <c r="G239" s="59" t="n"/>
      <c r="O239" s="59" t="n"/>
      <c r="X239" s="61" t="n"/>
      <c r="Y239" s="61" t="n"/>
    </row>
    <row r="240" ht="14.25" customHeight="1" s="86">
      <c r="E240" s="53" t="inlineStr">
        <is>
          <t>CA</t>
        </is>
      </c>
      <c r="F240" s="53" t="inlineStr">
        <is>
          <t>TEHAMA</t>
        </is>
      </c>
      <c r="G240" s="59" t="n"/>
      <c r="O240" s="59" t="n"/>
      <c r="X240" s="61" t="n"/>
      <c r="Y240" s="61" t="n"/>
    </row>
    <row r="241" ht="14.25" customHeight="1" s="86">
      <c r="E241" s="53" t="inlineStr">
        <is>
          <t>CA</t>
        </is>
      </c>
      <c r="F241" s="53" t="inlineStr">
        <is>
          <t>TRINITY</t>
        </is>
      </c>
      <c r="G241" s="59" t="n"/>
      <c r="O241" s="59" t="n"/>
      <c r="X241" s="61" t="n"/>
      <c r="Y241" s="61" t="n"/>
    </row>
    <row r="242" ht="14.25" customHeight="1" s="86">
      <c r="E242" s="53" t="inlineStr">
        <is>
          <t>CA</t>
        </is>
      </c>
      <c r="F242" s="53" t="inlineStr">
        <is>
          <t>TULARE</t>
        </is>
      </c>
      <c r="G242" s="59" t="n"/>
      <c r="O242" s="59" t="n"/>
      <c r="X242" s="61" t="n"/>
      <c r="Y242" s="61" t="n"/>
    </row>
    <row r="243" ht="14.25" customHeight="1" s="86">
      <c r="E243" s="53" t="inlineStr">
        <is>
          <t>CA</t>
        </is>
      </c>
      <c r="F243" s="53" t="inlineStr">
        <is>
          <t>TUOLUMNE</t>
        </is>
      </c>
      <c r="G243" s="59" t="n"/>
      <c r="O243" s="59" t="n"/>
      <c r="X243" s="61" t="n"/>
      <c r="Y243" s="61" t="n"/>
    </row>
    <row r="244" ht="14.25" customHeight="1" s="86">
      <c r="E244" s="53" t="inlineStr">
        <is>
          <t>CA</t>
        </is>
      </c>
      <c r="F244" s="53" t="inlineStr">
        <is>
          <t>VENTURA</t>
        </is>
      </c>
      <c r="G244" s="59" t="n"/>
      <c r="O244" s="59" t="n"/>
      <c r="X244" s="61" t="n"/>
      <c r="Y244" s="61" t="n"/>
    </row>
    <row r="245" ht="14.25" customHeight="1" s="86">
      <c r="E245" s="53" t="inlineStr">
        <is>
          <t>CA</t>
        </is>
      </c>
      <c r="F245" s="53" t="inlineStr">
        <is>
          <t>YOLO</t>
        </is>
      </c>
      <c r="G245" s="59" t="n"/>
      <c r="O245" s="59" t="n"/>
      <c r="X245" s="61" t="n"/>
      <c r="Y245" s="61" t="n"/>
    </row>
    <row r="246" ht="14.25" customHeight="1" s="86">
      <c r="E246" s="53" t="inlineStr">
        <is>
          <t>CA</t>
        </is>
      </c>
      <c r="F246" s="53" t="inlineStr">
        <is>
          <t>YUBA</t>
        </is>
      </c>
      <c r="G246" s="59" t="n"/>
      <c r="O246" s="59" t="n"/>
      <c r="X246" s="61" t="n"/>
      <c r="Y246" s="61" t="n"/>
    </row>
    <row r="247" ht="14.25" customHeight="1" s="86">
      <c r="E247" s="53" t="inlineStr">
        <is>
          <t>CO</t>
        </is>
      </c>
      <c r="F247" s="53" t="inlineStr">
        <is>
          <t>ADAMS</t>
        </is>
      </c>
      <c r="G247" s="59" t="n"/>
      <c r="O247" s="59" t="n"/>
      <c r="X247" s="61" t="n"/>
      <c r="Y247" s="61" t="n"/>
    </row>
    <row r="248" ht="14.25" customHeight="1" s="86">
      <c r="E248" s="53" t="inlineStr">
        <is>
          <t>CO</t>
        </is>
      </c>
      <c r="F248" s="53" t="inlineStr">
        <is>
          <t>ALAMOSA</t>
        </is>
      </c>
      <c r="G248" s="59" t="n"/>
      <c r="O248" s="59" t="n"/>
      <c r="X248" s="61" t="n"/>
      <c r="Y248" s="61" t="n"/>
    </row>
    <row r="249" ht="14.25" customHeight="1" s="86">
      <c r="E249" s="53" t="inlineStr">
        <is>
          <t>CO</t>
        </is>
      </c>
      <c r="F249" s="53" t="inlineStr">
        <is>
          <t>ARAPAHOE</t>
        </is>
      </c>
      <c r="G249" s="59" t="n"/>
      <c r="O249" s="59" t="n"/>
      <c r="X249" s="61" t="n"/>
      <c r="Y249" s="61" t="n"/>
    </row>
    <row r="250" ht="14.25" customHeight="1" s="86">
      <c r="E250" s="53" t="inlineStr">
        <is>
          <t>CO</t>
        </is>
      </c>
      <c r="F250" s="53" t="inlineStr">
        <is>
          <t>ARCHULETA</t>
        </is>
      </c>
      <c r="G250" s="59" t="n"/>
      <c r="O250" s="59" t="n"/>
      <c r="X250" s="61" t="n"/>
      <c r="Y250" s="61" t="n"/>
    </row>
    <row r="251" ht="14.25" customHeight="1" s="86">
      <c r="E251" s="53" t="inlineStr">
        <is>
          <t>CO</t>
        </is>
      </c>
      <c r="F251" s="53" t="inlineStr">
        <is>
          <t>BACA</t>
        </is>
      </c>
      <c r="G251" s="59" t="n"/>
      <c r="O251" s="59" t="n"/>
      <c r="X251" s="61" t="n"/>
      <c r="Y251" s="61" t="n"/>
    </row>
    <row r="252" ht="14.25" customHeight="1" s="86">
      <c r="E252" s="53" t="inlineStr">
        <is>
          <t>CO</t>
        </is>
      </c>
      <c r="F252" s="53" t="inlineStr">
        <is>
          <t>BENT</t>
        </is>
      </c>
      <c r="G252" s="59" t="n"/>
      <c r="O252" s="59" t="n"/>
      <c r="X252" s="61" t="n"/>
      <c r="Y252" s="61" t="n"/>
    </row>
    <row r="253" ht="14.25" customHeight="1" s="86">
      <c r="E253" s="53" t="inlineStr">
        <is>
          <t>CO</t>
        </is>
      </c>
      <c r="F253" s="53" t="inlineStr">
        <is>
          <t>BOULDER</t>
        </is>
      </c>
      <c r="G253" s="59" t="n"/>
      <c r="O253" s="59" t="n"/>
      <c r="X253" s="61" t="n"/>
      <c r="Y253" s="61" t="n"/>
    </row>
    <row r="254" ht="14.25" customHeight="1" s="86">
      <c r="E254" s="53" t="inlineStr">
        <is>
          <t>CO</t>
        </is>
      </c>
      <c r="F254" s="53" t="inlineStr">
        <is>
          <t>BROOMFIELD</t>
        </is>
      </c>
      <c r="G254" s="59" t="n"/>
      <c r="O254" s="59" t="n"/>
      <c r="X254" s="61" t="n"/>
      <c r="Y254" s="61" t="n"/>
    </row>
    <row r="255" ht="14.25" customHeight="1" s="86">
      <c r="E255" s="53" t="inlineStr">
        <is>
          <t>CO</t>
        </is>
      </c>
      <c r="F255" s="53" t="inlineStr">
        <is>
          <t>CHAFFEE</t>
        </is>
      </c>
      <c r="G255" s="59" t="n"/>
      <c r="O255" s="59" t="n"/>
      <c r="X255" s="61" t="n"/>
      <c r="Y255" s="61" t="n"/>
    </row>
    <row r="256" ht="14.25" customHeight="1" s="86">
      <c r="E256" s="53" t="inlineStr">
        <is>
          <t>CO</t>
        </is>
      </c>
      <c r="F256" s="53" t="inlineStr">
        <is>
          <t>CHEYENNE</t>
        </is>
      </c>
      <c r="G256" s="59" t="n"/>
      <c r="N256" s="59" t="n"/>
      <c r="O256" s="59" t="n"/>
      <c r="X256" s="61" t="n"/>
      <c r="Y256" s="61" t="n"/>
    </row>
    <row r="257" ht="14.25" customHeight="1" s="86">
      <c r="E257" s="53" t="inlineStr">
        <is>
          <t>CO</t>
        </is>
      </c>
      <c r="F257" s="53" t="inlineStr">
        <is>
          <t>CLEAR CREEK</t>
        </is>
      </c>
      <c r="G257" s="59" t="n"/>
      <c r="N257" s="59" t="n"/>
      <c r="O257" s="59" t="n"/>
      <c r="X257" s="61" t="n"/>
      <c r="Y257" s="61" t="n"/>
    </row>
    <row r="258" ht="14.25" customHeight="1" s="86">
      <c r="E258" s="53" t="inlineStr">
        <is>
          <t>CO</t>
        </is>
      </c>
      <c r="F258" s="53" t="inlineStr">
        <is>
          <t>CONEJOS</t>
        </is>
      </c>
      <c r="G258" s="59" t="n"/>
      <c r="N258" s="59" t="n"/>
      <c r="O258" s="59" t="n"/>
      <c r="X258" s="61" t="n"/>
      <c r="Y258" s="61" t="n"/>
    </row>
    <row r="259" ht="14.25" customHeight="1" s="86">
      <c r="E259" s="53" t="inlineStr">
        <is>
          <t>CO</t>
        </is>
      </c>
      <c r="F259" s="53" t="inlineStr">
        <is>
          <t>COSTILLA</t>
        </is>
      </c>
      <c r="G259" s="59" t="n"/>
      <c r="N259" s="59" t="n"/>
      <c r="O259" s="59" t="n"/>
      <c r="X259" s="61" t="n"/>
      <c r="Y259" s="61" t="n"/>
    </row>
    <row r="260" ht="14.25" customHeight="1" s="86">
      <c r="E260" s="53" t="inlineStr">
        <is>
          <t>CO</t>
        </is>
      </c>
      <c r="F260" s="53" t="inlineStr">
        <is>
          <t>CROWLEY</t>
        </is>
      </c>
      <c r="G260" s="59" t="n"/>
      <c r="N260" s="59" t="n"/>
      <c r="O260" s="59" t="n"/>
      <c r="X260" s="61" t="n"/>
      <c r="Y260" s="61" t="n"/>
    </row>
    <row r="261" ht="14.25" customHeight="1" s="86">
      <c r="E261" s="53" t="inlineStr">
        <is>
          <t>CO</t>
        </is>
      </c>
      <c r="F261" s="53" t="inlineStr">
        <is>
          <t>CUSTER</t>
        </is>
      </c>
      <c r="G261" s="59" t="n"/>
      <c r="N261" s="59" t="n"/>
      <c r="O261" s="59" t="n"/>
      <c r="X261" s="61" t="n"/>
      <c r="Y261" s="61" t="n"/>
    </row>
    <row r="262" ht="14.25" customHeight="1" s="86">
      <c r="E262" s="53" t="inlineStr">
        <is>
          <t>CO</t>
        </is>
      </c>
      <c r="F262" s="53" t="inlineStr">
        <is>
          <t>DELTA</t>
        </is>
      </c>
      <c r="G262" s="59" t="n"/>
      <c r="N262" s="59" t="n"/>
      <c r="O262" s="59" t="n"/>
      <c r="X262" s="61" t="n"/>
      <c r="Y262" s="61" t="n"/>
    </row>
    <row r="263" ht="14.25" customHeight="1" s="86">
      <c r="E263" s="53" t="inlineStr">
        <is>
          <t>CO</t>
        </is>
      </c>
      <c r="F263" s="53" t="inlineStr">
        <is>
          <t>DENVER</t>
        </is>
      </c>
      <c r="G263" s="59" t="n"/>
      <c r="N263" s="59" t="n"/>
      <c r="O263" s="59" t="n"/>
      <c r="X263" s="61" t="n"/>
      <c r="Y263" s="61" t="n"/>
    </row>
    <row r="264" ht="14.25" customHeight="1" s="86">
      <c r="E264" s="53" t="inlineStr">
        <is>
          <t>CO</t>
        </is>
      </c>
      <c r="F264" s="53" t="inlineStr">
        <is>
          <t>DOLORES</t>
        </is>
      </c>
      <c r="G264" s="59" t="n"/>
      <c r="N264" s="59" t="n"/>
      <c r="O264" s="59" t="n"/>
      <c r="X264" s="61" t="n"/>
      <c r="Y264" s="61" t="n"/>
    </row>
    <row r="265" ht="14.25" customHeight="1" s="86">
      <c r="E265" s="53" t="inlineStr">
        <is>
          <t>CO</t>
        </is>
      </c>
      <c r="F265" s="53" t="inlineStr">
        <is>
          <t>DOUGLAS</t>
        </is>
      </c>
      <c r="G265" s="59" t="n"/>
      <c r="N265" s="59" t="n"/>
      <c r="O265" s="59" t="n"/>
      <c r="X265" s="61" t="n"/>
      <c r="Y265" s="61" t="n"/>
    </row>
    <row r="266" ht="14.25" customHeight="1" s="86">
      <c r="E266" s="53" t="inlineStr">
        <is>
          <t>CO</t>
        </is>
      </c>
      <c r="F266" s="53" t="inlineStr">
        <is>
          <t>EAGLE</t>
        </is>
      </c>
      <c r="G266" s="59" t="n"/>
      <c r="N266" s="59" t="n"/>
      <c r="O266" s="59" t="n"/>
      <c r="X266" s="61" t="n"/>
      <c r="Y266" s="61" t="n"/>
    </row>
    <row r="267" ht="14.25" customHeight="1" s="86">
      <c r="E267" s="53" t="inlineStr">
        <is>
          <t>CO</t>
        </is>
      </c>
      <c r="F267" s="53" t="inlineStr">
        <is>
          <t>EL PASO</t>
        </is>
      </c>
      <c r="G267" s="59" t="n"/>
      <c r="N267" s="59" t="n"/>
      <c r="O267" s="59" t="n"/>
      <c r="X267" s="61" t="n"/>
      <c r="Y267" s="61" t="n"/>
    </row>
    <row r="268" ht="14.25" customHeight="1" s="86">
      <c r="E268" s="53" t="inlineStr">
        <is>
          <t>CO</t>
        </is>
      </c>
      <c r="F268" s="53" t="inlineStr">
        <is>
          <t>ELBERT</t>
        </is>
      </c>
      <c r="G268" s="59" t="n"/>
      <c r="N268" s="59" t="n"/>
      <c r="O268" s="59" t="n"/>
      <c r="X268" s="61" t="n"/>
      <c r="Y268" s="61" t="n"/>
    </row>
    <row r="269" ht="14.25" customHeight="1" s="86">
      <c r="E269" s="53" t="inlineStr">
        <is>
          <t>CO</t>
        </is>
      </c>
      <c r="F269" s="53" t="inlineStr">
        <is>
          <t>FREMONT</t>
        </is>
      </c>
      <c r="G269" s="59" t="n"/>
      <c r="N269" s="59" t="n"/>
      <c r="O269" s="59" t="n"/>
      <c r="X269" s="61" t="n"/>
      <c r="Y269" s="61" t="n"/>
    </row>
    <row r="270" ht="14.25" customHeight="1" s="86">
      <c r="E270" s="53" t="inlineStr">
        <is>
          <t>CO</t>
        </is>
      </c>
      <c r="F270" s="53" t="inlineStr">
        <is>
          <t>GARFIELD</t>
        </is>
      </c>
      <c r="G270" s="59" t="n"/>
      <c r="N270" s="59" t="n"/>
      <c r="O270" s="59" t="n"/>
      <c r="X270" s="61" t="n"/>
      <c r="Y270" s="61" t="n"/>
    </row>
    <row r="271" ht="14.25" customHeight="1" s="86">
      <c r="E271" s="53" t="inlineStr">
        <is>
          <t>CO</t>
        </is>
      </c>
      <c r="F271" s="53" t="inlineStr">
        <is>
          <t>GILPIN</t>
        </is>
      </c>
      <c r="G271" s="59" t="n"/>
      <c r="N271" s="59" t="n"/>
      <c r="O271" s="59" t="n"/>
      <c r="X271" s="61" t="n"/>
      <c r="Y271" s="61" t="n"/>
    </row>
    <row r="272" ht="14.25" customHeight="1" s="86">
      <c r="E272" s="53" t="inlineStr">
        <is>
          <t>CO</t>
        </is>
      </c>
      <c r="F272" s="53" t="inlineStr">
        <is>
          <t>GRAND</t>
        </is>
      </c>
      <c r="G272" s="59" t="n"/>
      <c r="N272" s="59" t="n"/>
      <c r="O272" s="59" t="n"/>
      <c r="X272" s="61" t="n"/>
      <c r="Y272" s="61" t="n"/>
    </row>
    <row r="273" ht="14.25" customHeight="1" s="86">
      <c r="E273" s="53" t="inlineStr">
        <is>
          <t>CO</t>
        </is>
      </c>
      <c r="F273" s="53" t="inlineStr">
        <is>
          <t>GUNNISON</t>
        </is>
      </c>
      <c r="G273" s="59" t="n"/>
      <c r="N273" s="59" t="n"/>
      <c r="O273" s="59" t="n"/>
      <c r="X273" s="61" t="n"/>
      <c r="Y273" s="61" t="n"/>
    </row>
    <row r="274" ht="14.25" customHeight="1" s="86">
      <c r="E274" s="53" t="inlineStr">
        <is>
          <t>CO</t>
        </is>
      </c>
      <c r="F274" s="53" t="inlineStr">
        <is>
          <t>HINSDALE</t>
        </is>
      </c>
      <c r="G274" s="59" t="n"/>
      <c r="N274" s="59" t="n"/>
      <c r="O274" s="59" t="n"/>
      <c r="X274" s="61" t="n"/>
      <c r="Y274" s="61" t="n"/>
    </row>
    <row r="275" ht="14.25" customHeight="1" s="86">
      <c r="E275" s="53" t="inlineStr">
        <is>
          <t>CO</t>
        </is>
      </c>
      <c r="F275" s="53" t="inlineStr">
        <is>
          <t>HUERFANO</t>
        </is>
      </c>
      <c r="G275" s="59" t="n"/>
      <c r="N275" s="59" t="n"/>
      <c r="O275" s="59" t="n"/>
      <c r="X275" s="61" t="n"/>
      <c r="Y275" s="61" t="n"/>
    </row>
    <row r="276" ht="14.25" customHeight="1" s="86">
      <c r="E276" s="53" t="inlineStr">
        <is>
          <t>CO</t>
        </is>
      </c>
      <c r="F276" s="53" t="inlineStr">
        <is>
          <t>JACKSON</t>
        </is>
      </c>
      <c r="G276" s="59" t="n"/>
      <c r="N276" s="59" t="n"/>
      <c r="O276" s="59" t="n"/>
      <c r="X276" s="61" t="n"/>
      <c r="Y276" s="61" t="n"/>
    </row>
    <row r="277" ht="14.25" customHeight="1" s="86">
      <c r="E277" s="53" t="inlineStr">
        <is>
          <t>CO</t>
        </is>
      </c>
      <c r="F277" s="53" t="inlineStr">
        <is>
          <t>JEFFERSON</t>
        </is>
      </c>
      <c r="G277" s="59" t="n"/>
      <c r="N277" s="59" t="n"/>
      <c r="O277" s="59" t="n"/>
      <c r="X277" s="61" t="n"/>
      <c r="Y277" s="61" t="n"/>
    </row>
    <row r="278" ht="14.25" customHeight="1" s="86">
      <c r="E278" s="53" t="inlineStr">
        <is>
          <t>CO</t>
        </is>
      </c>
      <c r="F278" s="53" t="inlineStr">
        <is>
          <t>KIOWA</t>
        </is>
      </c>
      <c r="G278" s="59" t="n"/>
      <c r="N278" s="59" t="n"/>
      <c r="O278" s="59" t="n"/>
      <c r="X278" s="61" t="n"/>
      <c r="Y278" s="61" t="n"/>
    </row>
    <row r="279" ht="14.25" customHeight="1" s="86">
      <c r="E279" s="53" t="inlineStr">
        <is>
          <t>CO</t>
        </is>
      </c>
      <c r="F279" s="53" t="inlineStr">
        <is>
          <t>KIT CARSON</t>
        </is>
      </c>
      <c r="G279" s="59" t="n"/>
      <c r="N279" s="59" t="n"/>
      <c r="O279" s="59" t="n"/>
      <c r="X279" s="61" t="n"/>
      <c r="Y279" s="61" t="n"/>
    </row>
    <row r="280" ht="14.25" customHeight="1" s="86">
      <c r="E280" s="53" t="inlineStr">
        <is>
          <t>CO</t>
        </is>
      </c>
      <c r="F280" s="53" t="inlineStr">
        <is>
          <t>LA PLATA</t>
        </is>
      </c>
      <c r="G280" s="59" t="n"/>
      <c r="N280" s="59" t="n"/>
      <c r="O280" s="59" t="n"/>
      <c r="X280" s="61" t="n"/>
      <c r="Y280" s="61" t="n"/>
    </row>
    <row r="281" ht="14.25" customHeight="1" s="86">
      <c r="E281" s="53" t="inlineStr">
        <is>
          <t>CO</t>
        </is>
      </c>
      <c r="F281" s="53" t="inlineStr">
        <is>
          <t>LAKE</t>
        </is>
      </c>
      <c r="G281" s="59" t="n"/>
      <c r="N281" s="59" t="n"/>
      <c r="O281" s="59" t="n"/>
      <c r="X281" s="61" t="n"/>
      <c r="Y281" s="61" t="n"/>
    </row>
    <row r="282" ht="14.25" customHeight="1" s="86">
      <c r="E282" s="53" t="inlineStr">
        <is>
          <t>CO</t>
        </is>
      </c>
      <c r="F282" s="53" t="inlineStr">
        <is>
          <t>LARIMER</t>
        </is>
      </c>
      <c r="G282" s="59" t="n"/>
      <c r="N282" s="59" t="n"/>
      <c r="O282" s="59" t="n"/>
      <c r="X282" s="61" t="n"/>
      <c r="Y282" s="61" t="n"/>
    </row>
    <row r="283" ht="14.25" customHeight="1" s="86">
      <c r="E283" s="53" t="inlineStr">
        <is>
          <t>CO</t>
        </is>
      </c>
      <c r="F283" s="53" t="inlineStr">
        <is>
          <t>LAS ANIMAS</t>
        </is>
      </c>
      <c r="G283" s="59" t="n"/>
      <c r="N283" s="59" t="n"/>
      <c r="O283" s="59" t="n"/>
      <c r="X283" s="61" t="n"/>
      <c r="Y283" s="61" t="n"/>
    </row>
    <row r="284" ht="14.25" customHeight="1" s="86">
      <c r="E284" s="53" t="inlineStr">
        <is>
          <t>CO</t>
        </is>
      </c>
      <c r="F284" s="53" t="inlineStr">
        <is>
          <t>LINCOLN</t>
        </is>
      </c>
      <c r="G284" s="59" t="n"/>
      <c r="N284" s="59" t="n"/>
      <c r="O284" s="59" t="n"/>
      <c r="X284" s="61" t="n"/>
      <c r="Y284" s="61" t="n"/>
    </row>
    <row r="285" ht="14.25" customHeight="1" s="86">
      <c r="E285" s="53" t="inlineStr">
        <is>
          <t>CO</t>
        </is>
      </c>
      <c r="F285" s="53" t="inlineStr">
        <is>
          <t>LOGAN</t>
        </is>
      </c>
      <c r="G285" s="59" t="n"/>
      <c r="N285" s="59" t="n"/>
      <c r="O285" s="59" t="n"/>
      <c r="X285" s="61" t="n"/>
      <c r="Y285" s="61" t="n"/>
    </row>
    <row r="286" ht="14.25" customHeight="1" s="86">
      <c r="E286" s="53" t="inlineStr">
        <is>
          <t>CO</t>
        </is>
      </c>
      <c r="F286" s="53" t="inlineStr">
        <is>
          <t>MESA</t>
        </is>
      </c>
      <c r="G286" s="59" t="n"/>
      <c r="N286" s="59" t="n"/>
      <c r="O286" s="59" t="n"/>
      <c r="X286" s="61" t="n"/>
      <c r="Y286" s="61" t="n"/>
    </row>
    <row r="287" ht="14.25" customHeight="1" s="86">
      <c r="E287" s="53" t="inlineStr">
        <is>
          <t>CO</t>
        </is>
      </c>
      <c r="F287" s="53" t="inlineStr">
        <is>
          <t>MINERAL</t>
        </is>
      </c>
      <c r="G287" s="59" t="n"/>
      <c r="N287" s="59" t="n"/>
      <c r="O287" s="59" t="n"/>
      <c r="X287" s="61" t="n"/>
      <c r="Y287" s="61" t="n"/>
    </row>
    <row r="288" ht="14.25" customHeight="1" s="86">
      <c r="E288" s="53" t="inlineStr">
        <is>
          <t>CO</t>
        </is>
      </c>
      <c r="F288" s="53" t="inlineStr">
        <is>
          <t>MOFFAT</t>
        </is>
      </c>
      <c r="G288" s="59" t="n"/>
      <c r="N288" s="59" t="n"/>
      <c r="O288" s="59" t="n"/>
      <c r="X288" s="61" t="n"/>
      <c r="Y288" s="61" t="n"/>
    </row>
    <row r="289" ht="14.25" customHeight="1" s="86">
      <c r="E289" s="53" t="inlineStr">
        <is>
          <t>CO</t>
        </is>
      </c>
      <c r="F289" s="53" t="inlineStr">
        <is>
          <t>MONTEZUMA</t>
        </is>
      </c>
      <c r="G289" s="59" t="n"/>
      <c r="N289" s="59" t="n"/>
      <c r="O289" s="59" t="n"/>
      <c r="X289" s="61" t="n"/>
      <c r="Y289" s="61" t="n"/>
    </row>
    <row r="290" ht="14.25" customHeight="1" s="86">
      <c r="E290" s="53" t="inlineStr">
        <is>
          <t>CO</t>
        </is>
      </c>
      <c r="F290" s="53" t="inlineStr">
        <is>
          <t>MONTROSE</t>
        </is>
      </c>
      <c r="G290" s="59" t="n"/>
      <c r="N290" s="59" t="n"/>
      <c r="O290" s="59" t="n"/>
      <c r="X290" s="61" t="n"/>
      <c r="Y290" s="61" t="n"/>
    </row>
    <row r="291" ht="14.25" customHeight="1" s="86">
      <c r="E291" s="53" t="inlineStr">
        <is>
          <t>CO</t>
        </is>
      </c>
      <c r="F291" s="53" t="inlineStr">
        <is>
          <t>MORGAN</t>
        </is>
      </c>
      <c r="G291" s="59" t="n"/>
      <c r="N291" s="59" t="n"/>
      <c r="O291" s="59" t="n"/>
      <c r="X291" s="61" t="n"/>
      <c r="Y291" s="61" t="n"/>
    </row>
    <row r="292" ht="14.25" customHeight="1" s="86">
      <c r="E292" s="53" t="inlineStr">
        <is>
          <t>CO</t>
        </is>
      </c>
      <c r="F292" s="53" t="inlineStr">
        <is>
          <t>OTERO</t>
        </is>
      </c>
      <c r="G292" s="59" t="n"/>
      <c r="N292" s="59" t="n"/>
      <c r="O292" s="59" t="n"/>
      <c r="X292" s="61" t="n"/>
      <c r="Y292" s="61" t="n"/>
    </row>
    <row r="293" ht="14.25" customHeight="1" s="86">
      <c r="E293" s="53" t="inlineStr">
        <is>
          <t>CO</t>
        </is>
      </c>
      <c r="F293" s="53" t="inlineStr">
        <is>
          <t>OURAY</t>
        </is>
      </c>
      <c r="G293" s="59" t="n"/>
      <c r="N293" s="59" t="n"/>
      <c r="O293" s="59" t="n"/>
      <c r="X293" s="61" t="n"/>
      <c r="Y293" s="61" t="n"/>
    </row>
    <row r="294" ht="14.25" customHeight="1" s="86">
      <c r="E294" s="53" t="inlineStr">
        <is>
          <t>CO</t>
        </is>
      </c>
      <c r="F294" s="53" t="inlineStr">
        <is>
          <t>PARK</t>
        </is>
      </c>
      <c r="G294" s="59" t="n"/>
      <c r="N294" s="59" t="n"/>
      <c r="O294" s="59" t="n"/>
      <c r="X294" s="61" t="n"/>
      <c r="Y294" s="61" t="n"/>
    </row>
    <row r="295" ht="14.25" customHeight="1" s="86">
      <c r="E295" s="53" t="inlineStr">
        <is>
          <t>CO</t>
        </is>
      </c>
      <c r="F295" s="53" t="inlineStr">
        <is>
          <t>PHILLIPS</t>
        </is>
      </c>
      <c r="G295" s="59" t="n"/>
      <c r="N295" s="59" t="n"/>
      <c r="O295" s="59" t="n"/>
      <c r="X295" s="61" t="n"/>
      <c r="Y295" s="61" t="n"/>
    </row>
    <row r="296" ht="14.25" customHeight="1" s="86">
      <c r="E296" s="53" t="inlineStr">
        <is>
          <t>CO</t>
        </is>
      </c>
      <c r="F296" s="53" t="inlineStr">
        <is>
          <t>PITKIN</t>
        </is>
      </c>
      <c r="G296" s="59" t="n"/>
      <c r="N296" s="59" t="n"/>
      <c r="O296" s="59" t="n"/>
      <c r="X296" s="61" t="n"/>
      <c r="Y296" s="61" t="n"/>
    </row>
    <row r="297" ht="14.25" customHeight="1" s="86">
      <c r="E297" s="53" t="inlineStr">
        <is>
          <t>CO</t>
        </is>
      </c>
      <c r="F297" s="53" t="inlineStr">
        <is>
          <t>PROWERS</t>
        </is>
      </c>
      <c r="G297" s="59" t="n"/>
      <c r="N297" s="59" t="n"/>
      <c r="O297" s="59" t="n"/>
      <c r="X297" s="61" t="n"/>
      <c r="Y297" s="61" t="n"/>
    </row>
    <row r="298" ht="14.25" customHeight="1" s="86">
      <c r="E298" s="53" t="inlineStr">
        <is>
          <t>CO</t>
        </is>
      </c>
      <c r="F298" s="53" t="inlineStr">
        <is>
          <t>PUEBLO</t>
        </is>
      </c>
      <c r="G298" s="59" t="n"/>
      <c r="N298" s="59" t="n"/>
      <c r="O298" s="59" t="n"/>
      <c r="X298" s="61" t="n"/>
      <c r="Y298" s="61" t="n"/>
    </row>
    <row r="299" ht="14.25" customHeight="1" s="86">
      <c r="E299" s="53" t="inlineStr">
        <is>
          <t>CO</t>
        </is>
      </c>
      <c r="F299" s="53" t="inlineStr">
        <is>
          <t>RIO BLANCO</t>
        </is>
      </c>
      <c r="G299" s="59" t="n"/>
      <c r="N299" s="59" t="n"/>
      <c r="O299" s="59" t="n"/>
      <c r="X299" s="61" t="n"/>
      <c r="Y299" s="61" t="n"/>
    </row>
    <row r="300" ht="14.25" customHeight="1" s="86">
      <c r="E300" s="53" t="inlineStr">
        <is>
          <t>CO</t>
        </is>
      </c>
      <c r="F300" s="53" t="inlineStr">
        <is>
          <t>RIO GRANDE</t>
        </is>
      </c>
      <c r="G300" s="59" t="n"/>
      <c r="N300" s="59" t="n"/>
      <c r="O300" s="59" t="n"/>
      <c r="X300" s="61" t="n"/>
      <c r="Y300" s="61" t="n"/>
    </row>
    <row r="301" ht="14.25" customHeight="1" s="86">
      <c r="E301" s="53" t="inlineStr">
        <is>
          <t>CO</t>
        </is>
      </c>
      <c r="F301" s="53" t="inlineStr">
        <is>
          <t>ROUTT</t>
        </is>
      </c>
      <c r="G301" s="59" t="n"/>
      <c r="N301" s="59" t="n"/>
      <c r="O301" s="59" t="n"/>
      <c r="X301" s="61" t="n"/>
      <c r="Y301" s="61" t="n"/>
    </row>
    <row r="302" ht="14.25" customHeight="1" s="86">
      <c r="E302" s="53" t="inlineStr">
        <is>
          <t>CO</t>
        </is>
      </c>
      <c r="F302" s="53" t="inlineStr">
        <is>
          <t>SAGUACHE</t>
        </is>
      </c>
      <c r="G302" s="59" t="n"/>
      <c r="N302" s="59" t="n"/>
      <c r="O302" s="59" t="n"/>
      <c r="X302" s="61" t="n"/>
      <c r="Y302" s="61" t="n"/>
    </row>
    <row r="303" ht="14.25" customHeight="1" s="86">
      <c r="E303" s="53" t="inlineStr">
        <is>
          <t>CO</t>
        </is>
      </c>
      <c r="F303" s="53" t="inlineStr">
        <is>
          <t>SAN JUAN</t>
        </is>
      </c>
      <c r="G303" s="59" t="n"/>
      <c r="N303" s="59" t="n"/>
      <c r="O303" s="59" t="n"/>
      <c r="X303" s="61" t="n"/>
      <c r="Y303" s="61" t="n"/>
    </row>
    <row r="304" ht="14.25" customHeight="1" s="86">
      <c r="E304" s="53" t="inlineStr">
        <is>
          <t>CO</t>
        </is>
      </c>
      <c r="F304" s="53" t="inlineStr">
        <is>
          <t>SAN MIGUEL</t>
        </is>
      </c>
      <c r="G304" s="59" t="n"/>
      <c r="N304" s="59" t="n"/>
      <c r="O304" s="59" t="n"/>
      <c r="X304" s="61" t="n"/>
      <c r="Y304" s="61" t="n"/>
    </row>
    <row r="305" ht="14.25" customHeight="1" s="86">
      <c r="E305" s="53" t="inlineStr">
        <is>
          <t>CO</t>
        </is>
      </c>
      <c r="F305" s="53" t="inlineStr">
        <is>
          <t>SEDGWICK</t>
        </is>
      </c>
      <c r="G305" s="59" t="n"/>
      <c r="N305" s="59" t="n"/>
      <c r="O305" s="59" t="n"/>
      <c r="X305" s="61" t="n"/>
      <c r="Y305" s="61" t="n"/>
    </row>
    <row r="306" ht="14.25" customHeight="1" s="86">
      <c r="E306" s="53" t="inlineStr">
        <is>
          <t>CO</t>
        </is>
      </c>
      <c r="F306" s="53" t="inlineStr">
        <is>
          <t>SUMMIT</t>
        </is>
      </c>
      <c r="G306" s="59" t="n"/>
      <c r="N306" s="59" t="n"/>
      <c r="O306" s="59" t="n"/>
      <c r="X306" s="61" t="n"/>
      <c r="Y306" s="61" t="n"/>
    </row>
    <row r="307" ht="14.25" customHeight="1" s="86">
      <c r="E307" s="53" t="inlineStr">
        <is>
          <t>CO</t>
        </is>
      </c>
      <c r="F307" s="53" t="inlineStr">
        <is>
          <t>TELLER</t>
        </is>
      </c>
      <c r="G307" s="59" t="n"/>
      <c r="N307" s="59" t="n"/>
      <c r="O307" s="59" t="n"/>
      <c r="X307" s="61" t="n"/>
      <c r="Y307" s="61" t="n"/>
    </row>
    <row r="308" ht="14.25" customHeight="1" s="86">
      <c r="E308" s="53" t="inlineStr">
        <is>
          <t>CO</t>
        </is>
      </c>
      <c r="F308" s="53" t="inlineStr">
        <is>
          <t>WASHINGTON</t>
        </is>
      </c>
      <c r="G308" s="59" t="n"/>
      <c r="N308" s="59" t="n"/>
      <c r="O308" s="59" t="n"/>
      <c r="X308" s="61" t="n"/>
      <c r="Y308" s="61" t="n"/>
    </row>
    <row r="309" ht="14.25" customHeight="1" s="86">
      <c r="E309" s="53" t="inlineStr">
        <is>
          <t>CO</t>
        </is>
      </c>
      <c r="F309" s="53" t="inlineStr">
        <is>
          <t>WELD</t>
        </is>
      </c>
      <c r="G309" s="59" t="n"/>
      <c r="N309" s="59" t="n"/>
      <c r="O309" s="59" t="n"/>
      <c r="X309" s="61" t="n"/>
      <c r="Y309" s="61" t="n"/>
    </row>
    <row r="310" ht="14.25" customHeight="1" s="86">
      <c r="E310" s="53" t="inlineStr">
        <is>
          <t>CO</t>
        </is>
      </c>
      <c r="F310" s="53" t="inlineStr">
        <is>
          <t>YUMA</t>
        </is>
      </c>
      <c r="G310" s="59" t="n"/>
      <c r="N310" s="59" t="n"/>
      <c r="O310" s="59" t="n"/>
      <c r="X310" s="61" t="n"/>
      <c r="Y310" s="61" t="n"/>
    </row>
    <row r="311" ht="14.25" customHeight="1" s="86">
      <c r="E311" s="53" t="inlineStr">
        <is>
          <t>CT</t>
        </is>
      </c>
      <c r="F311" s="53" t="inlineStr">
        <is>
          <t>FAIRFIELD</t>
        </is>
      </c>
      <c r="G311" s="59" t="n"/>
      <c r="N311" s="59" t="n"/>
      <c r="O311" s="59" t="n"/>
      <c r="X311" s="61" t="n"/>
      <c r="Y311" s="61" t="n"/>
    </row>
    <row r="312" ht="14.25" customHeight="1" s="86">
      <c r="E312" s="53" t="inlineStr">
        <is>
          <t>CT</t>
        </is>
      </c>
      <c r="F312" s="53" t="inlineStr">
        <is>
          <t>HARTFORD</t>
        </is>
      </c>
      <c r="G312" s="59" t="n"/>
      <c r="N312" s="59" t="n"/>
      <c r="O312" s="59" t="n"/>
      <c r="X312" s="61" t="n"/>
      <c r="Y312" s="61" t="n"/>
    </row>
    <row r="313" ht="14.25" customHeight="1" s="86">
      <c r="E313" s="53" t="inlineStr">
        <is>
          <t>CT</t>
        </is>
      </c>
      <c r="F313" s="53" t="inlineStr">
        <is>
          <t>LITCHFIELD</t>
        </is>
      </c>
      <c r="G313" s="59" t="n"/>
      <c r="N313" s="59" t="n"/>
      <c r="O313" s="59" t="n"/>
      <c r="X313" s="61" t="n"/>
      <c r="Y313" s="61" t="n"/>
    </row>
    <row r="314" ht="14.25" customHeight="1" s="86">
      <c r="E314" s="53" t="inlineStr">
        <is>
          <t>CT</t>
        </is>
      </c>
      <c r="F314" s="53" t="inlineStr">
        <is>
          <t>MIDDLESEX</t>
        </is>
      </c>
      <c r="G314" s="59" t="n"/>
      <c r="N314" s="59" t="n"/>
      <c r="O314" s="59" t="n"/>
      <c r="X314" s="61" t="n"/>
      <c r="Y314" s="61" t="n"/>
    </row>
    <row r="315" ht="14.25" customHeight="1" s="86">
      <c r="E315" s="53" t="inlineStr">
        <is>
          <t>CT</t>
        </is>
      </c>
      <c r="F315" s="53" t="inlineStr">
        <is>
          <t>NEW HAVEN</t>
        </is>
      </c>
      <c r="G315" s="59" t="n"/>
      <c r="N315" s="59" t="n"/>
      <c r="O315" s="59" t="n"/>
      <c r="X315" s="61" t="n"/>
      <c r="Y315" s="61" t="n"/>
    </row>
    <row r="316" ht="14.25" customHeight="1" s="86">
      <c r="E316" s="53" t="inlineStr">
        <is>
          <t>CT</t>
        </is>
      </c>
      <c r="F316" s="53" t="inlineStr">
        <is>
          <t>NEW LONDON</t>
        </is>
      </c>
      <c r="G316" s="59" t="n"/>
      <c r="N316" s="59" t="n"/>
      <c r="O316" s="59" t="n"/>
      <c r="X316" s="61" t="n"/>
      <c r="Y316" s="61" t="n"/>
    </row>
    <row r="317" ht="14.25" customHeight="1" s="86">
      <c r="E317" s="53" t="inlineStr">
        <is>
          <t>CT</t>
        </is>
      </c>
      <c r="F317" s="53" t="inlineStr">
        <is>
          <t>TOLLAND</t>
        </is>
      </c>
      <c r="G317" s="59" t="n"/>
      <c r="N317" s="59" t="n"/>
      <c r="O317" s="59" t="n"/>
      <c r="X317" s="61" t="n"/>
      <c r="Y317" s="61" t="n"/>
    </row>
    <row r="318" ht="14.25" customHeight="1" s="86">
      <c r="E318" s="53" t="inlineStr">
        <is>
          <t>CT</t>
        </is>
      </c>
      <c r="F318" s="53" t="inlineStr">
        <is>
          <t>WINDHAM</t>
        </is>
      </c>
      <c r="G318" s="59" t="n"/>
      <c r="N318" s="59" t="n"/>
      <c r="O318" s="59" t="n"/>
      <c r="X318" s="61" t="n"/>
      <c r="Y318" s="61" t="n"/>
    </row>
    <row r="319" ht="14.25" customHeight="1" s="86">
      <c r="E319" s="53" t="inlineStr">
        <is>
          <t>DC</t>
        </is>
      </c>
      <c r="F319" s="53" t="inlineStr">
        <is>
          <t>DISTRICT OF COLUMBIA</t>
        </is>
      </c>
      <c r="G319" s="59" t="n"/>
      <c r="N319" s="59" t="n"/>
      <c r="O319" s="59" t="n"/>
      <c r="X319" s="61" t="n"/>
      <c r="Y319" s="61" t="n"/>
    </row>
    <row r="320" ht="14.25" customHeight="1" s="86">
      <c r="E320" s="53" t="inlineStr">
        <is>
          <t>DE</t>
        </is>
      </c>
      <c r="F320" s="53" t="inlineStr">
        <is>
          <t>KENT</t>
        </is>
      </c>
      <c r="G320" s="59" t="n"/>
      <c r="N320" s="59" t="n"/>
      <c r="O320" s="59" t="n"/>
      <c r="X320" s="61" t="n"/>
      <c r="Y320" s="61" t="n"/>
    </row>
    <row r="321" ht="14.25" customHeight="1" s="86">
      <c r="E321" s="53" t="inlineStr">
        <is>
          <t>DE</t>
        </is>
      </c>
      <c r="F321" s="53" t="inlineStr">
        <is>
          <t>NEW CASTLE</t>
        </is>
      </c>
      <c r="G321" s="59" t="n"/>
      <c r="N321" s="59" t="n"/>
      <c r="O321" s="59" t="n"/>
      <c r="X321" s="61" t="n"/>
      <c r="Y321" s="61" t="n"/>
    </row>
    <row r="322" ht="14.25" customHeight="1" s="86">
      <c r="E322" s="53" t="inlineStr">
        <is>
          <t>DE</t>
        </is>
      </c>
      <c r="F322" s="53" t="inlineStr">
        <is>
          <t>SUSSEX</t>
        </is>
      </c>
      <c r="G322" s="59" t="n"/>
      <c r="N322" s="59" t="n"/>
      <c r="O322" s="59" t="n"/>
      <c r="X322" s="61" t="n"/>
      <c r="Y322" s="61" t="n"/>
    </row>
    <row r="323" ht="14.25" customHeight="1" s="86">
      <c r="E323" s="53" t="inlineStr">
        <is>
          <t>FL</t>
        </is>
      </c>
      <c r="F323" s="53" t="inlineStr">
        <is>
          <t>ALACHUA</t>
        </is>
      </c>
      <c r="G323" s="59" t="n"/>
      <c r="N323" s="59" t="n"/>
      <c r="O323" s="59" t="n"/>
      <c r="X323" s="61" t="n"/>
      <c r="Y323" s="61" t="n"/>
    </row>
    <row r="324" ht="14.25" customHeight="1" s="86">
      <c r="E324" s="53" t="inlineStr">
        <is>
          <t>FL</t>
        </is>
      </c>
      <c r="F324" s="53" t="inlineStr">
        <is>
          <t>BAKER</t>
        </is>
      </c>
      <c r="G324" s="59" t="n"/>
      <c r="N324" s="59" t="n"/>
      <c r="O324" s="59" t="n"/>
      <c r="X324" s="61" t="n"/>
      <c r="Y324" s="61" t="n"/>
    </row>
    <row r="325" ht="14.25" customHeight="1" s="86">
      <c r="E325" s="53" t="inlineStr">
        <is>
          <t>FL</t>
        </is>
      </c>
      <c r="F325" s="53" t="inlineStr">
        <is>
          <t>BAY</t>
        </is>
      </c>
      <c r="G325" s="59" t="n"/>
      <c r="N325" s="59" t="n"/>
      <c r="O325" s="59" t="n"/>
      <c r="X325" s="61" t="n"/>
      <c r="Y325" s="61" t="n"/>
    </row>
    <row r="326" ht="14.25" customHeight="1" s="86">
      <c r="E326" s="53" t="inlineStr">
        <is>
          <t>FL</t>
        </is>
      </c>
      <c r="F326" s="53" t="inlineStr">
        <is>
          <t>BRADFORD</t>
        </is>
      </c>
      <c r="G326" s="59" t="n"/>
      <c r="N326" s="59" t="n"/>
      <c r="O326" s="59" t="n"/>
      <c r="X326" s="61" t="n"/>
      <c r="Y326" s="61" t="n"/>
    </row>
    <row r="327" ht="14.25" customHeight="1" s="86">
      <c r="E327" s="53" t="inlineStr">
        <is>
          <t>FL</t>
        </is>
      </c>
      <c r="F327" s="53" t="inlineStr">
        <is>
          <t>BREVARD</t>
        </is>
      </c>
      <c r="G327" s="59" t="n"/>
      <c r="N327" s="59" t="n"/>
      <c r="O327" s="59" t="n"/>
      <c r="X327" s="61" t="n"/>
      <c r="Y327" s="61" t="n"/>
    </row>
    <row r="328" ht="14.25" customHeight="1" s="86">
      <c r="E328" s="53" t="inlineStr">
        <is>
          <t>FL</t>
        </is>
      </c>
      <c r="F328" s="53" t="inlineStr">
        <is>
          <t>BROWARD</t>
        </is>
      </c>
      <c r="G328" s="59" t="n"/>
      <c r="N328" s="59" t="n"/>
      <c r="O328" s="59" t="n"/>
      <c r="X328" s="61" t="n"/>
      <c r="Y328" s="61" t="n"/>
    </row>
    <row r="329" ht="14.25" customHeight="1" s="86">
      <c r="E329" s="53" t="inlineStr">
        <is>
          <t>FL</t>
        </is>
      </c>
      <c r="F329" s="53" t="inlineStr">
        <is>
          <t>CALHOUN</t>
        </is>
      </c>
      <c r="G329" s="59" t="n"/>
      <c r="N329" s="59" t="n"/>
      <c r="O329" s="59" t="n"/>
      <c r="X329" s="61" t="n"/>
      <c r="Y329" s="61" t="n"/>
    </row>
    <row r="330" ht="14.25" customHeight="1" s="86">
      <c r="E330" s="53" t="inlineStr">
        <is>
          <t>FL</t>
        </is>
      </c>
      <c r="F330" s="53" t="inlineStr">
        <is>
          <t>CHARLOTTE</t>
        </is>
      </c>
      <c r="G330" s="59" t="n"/>
      <c r="N330" s="59" t="n"/>
      <c r="O330" s="59" t="n"/>
      <c r="X330" s="61" t="n"/>
      <c r="Y330" s="61" t="n"/>
    </row>
    <row r="331" ht="14.25" customHeight="1" s="86">
      <c r="E331" s="53" t="inlineStr">
        <is>
          <t>FL</t>
        </is>
      </c>
      <c r="F331" s="53" t="inlineStr">
        <is>
          <t>CITRUS</t>
        </is>
      </c>
      <c r="G331" s="59" t="n"/>
      <c r="N331" s="59" t="n"/>
      <c r="O331" s="59" t="n"/>
      <c r="X331" s="61" t="n"/>
      <c r="Y331" s="61" t="n"/>
    </row>
    <row r="332" ht="14.25" customHeight="1" s="86">
      <c r="E332" s="53" t="inlineStr">
        <is>
          <t>FL</t>
        </is>
      </c>
      <c r="F332" s="53" t="inlineStr">
        <is>
          <t>CLAY</t>
        </is>
      </c>
      <c r="G332" s="59" t="n"/>
      <c r="N332" s="59" t="n"/>
      <c r="O332" s="59" t="n"/>
      <c r="X332" s="61" t="n"/>
      <c r="Y332" s="61" t="n"/>
    </row>
    <row r="333" ht="14.25" customHeight="1" s="86">
      <c r="E333" s="53" t="inlineStr">
        <is>
          <t>FL</t>
        </is>
      </c>
      <c r="F333" s="53" t="inlineStr">
        <is>
          <t>COLLIER</t>
        </is>
      </c>
      <c r="G333" s="59" t="n"/>
      <c r="N333" s="59" t="n"/>
      <c r="O333" s="59" t="n"/>
      <c r="X333" s="61" t="n"/>
      <c r="Y333" s="61" t="n"/>
    </row>
    <row r="334" ht="14.25" customHeight="1" s="86">
      <c r="E334" s="53" t="inlineStr">
        <is>
          <t>FL</t>
        </is>
      </c>
      <c r="F334" s="53" t="inlineStr">
        <is>
          <t>COLUMBIA</t>
        </is>
      </c>
      <c r="G334" s="59" t="n"/>
      <c r="N334" s="59" t="n"/>
      <c r="O334" s="59" t="n"/>
      <c r="X334" s="61" t="n"/>
      <c r="Y334" s="61" t="n"/>
    </row>
    <row r="335" ht="14.25" customHeight="1" s="86">
      <c r="E335" s="53" t="inlineStr">
        <is>
          <t>FL</t>
        </is>
      </c>
      <c r="F335" s="53" t="inlineStr">
        <is>
          <t>DE SOTO</t>
        </is>
      </c>
      <c r="G335" s="59" t="n"/>
      <c r="N335" s="59" t="n"/>
      <c r="O335" s="59" t="n"/>
      <c r="X335" s="61" t="n"/>
      <c r="Y335" s="61" t="n"/>
    </row>
    <row r="336" ht="14.25" customHeight="1" s="86">
      <c r="E336" s="53" t="inlineStr">
        <is>
          <t>FL</t>
        </is>
      </c>
      <c r="F336" s="53" t="inlineStr">
        <is>
          <t>DIXIE</t>
        </is>
      </c>
      <c r="G336" s="59" t="n"/>
      <c r="N336" s="59" t="n"/>
      <c r="O336" s="59" t="n"/>
      <c r="X336" s="61" t="n"/>
      <c r="Y336" s="61" t="n"/>
    </row>
    <row r="337" ht="14.25" customHeight="1" s="86">
      <c r="E337" s="53" t="inlineStr">
        <is>
          <t>FL</t>
        </is>
      </c>
      <c r="F337" s="53" t="inlineStr">
        <is>
          <t>DUVAL</t>
        </is>
      </c>
      <c r="G337" s="59" t="n"/>
      <c r="N337" s="59" t="n"/>
      <c r="O337" s="59" t="n"/>
      <c r="X337" s="61" t="n"/>
      <c r="Y337" s="61" t="n"/>
    </row>
    <row r="338" ht="14.25" customHeight="1" s="86">
      <c r="E338" s="53" t="inlineStr">
        <is>
          <t>FL</t>
        </is>
      </c>
      <c r="F338" s="53" t="inlineStr">
        <is>
          <t>ESCAMBIA</t>
        </is>
      </c>
      <c r="G338" s="59" t="n"/>
      <c r="N338" s="59" t="n"/>
      <c r="O338" s="59" t="n"/>
      <c r="X338" s="61" t="n"/>
      <c r="Y338" s="61" t="n"/>
    </row>
    <row r="339" ht="14.25" customHeight="1" s="86">
      <c r="E339" s="53" t="inlineStr">
        <is>
          <t>FL</t>
        </is>
      </c>
      <c r="F339" s="53" t="inlineStr">
        <is>
          <t>FLAGLER</t>
        </is>
      </c>
      <c r="G339" s="59" t="n"/>
      <c r="N339" s="59" t="n"/>
      <c r="O339" s="59" t="n"/>
      <c r="X339" s="61" t="n"/>
      <c r="Y339" s="61" t="n"/>
    </row>
    <row r="340" ht="14.25" customHeight="1" s="86">
      <c r="E340" s="53" t="inlineStr">
        <is>
          <t>FL</t>
        </is>
      </c>
      <c r="F340" s="53" t="inlineStr">
        <is>
          <t>FRANKLIN</t>
        </is>
      </c>
      <c r="G340" s="59" t="n"/>
      <c r="N340" s="59" t="n"/>
      <c r="O340" s="59" t="n"/>
      <c r="X340" s="61" t="n"/>
      <c r="Y340" s="61" t="n"/>
    </row>
    <row r="341" ht="14.25" customHeight="1" s="86">
      <c r="E341" s="53" t="inlineStr">
        <is>
          <t>FL</t>
        </is>
      </c>
      <c r="F341" s="53" t="inlineStr">
        <is>
          <t>GADSDEN</t>
        </is>
      </c>
      <c r="G341" s="59" t="n"/>
      <c r="N341" s="59" t="n"/>
      <c r="O341" s="59" t="n"/>
      <c r="X341" s="61" t="n"/>
      <c r="Y341" s="61" t="n"/>
    </row>
    <row r="342" ht="14.25" customHeight="1" s="86">
      <c r="E342" s="53" t="inlineStr">
        <is>
          <t>FL</t>
        </is>
      </c>
      <c r="F342" s="53" t="inlineStr">
        <is>
          <t>GILCHRIST</t>
        </is>
      </c>
      <c r="G342" s="59" t="n"/>
      <c r="N342" s="59" t="n"/>
      <c r="O342" s="59" t="n"/>
      <c r="X342" s="61" t="n"/>
      <c r="Y342" s="61" t="n"/>
    </row>
    <row r="343" ht="14.25" customHeight="1" s="86">
      <c r="E343" s="53" t="inlineStr">
        <is>
          <t>FL</t>
        </is>
      </c>
      <c r="F343" s="53" t="inlineStr">
        <is>
          <t>GLADES</t>
        </is>
      </c>
      <c r="G343" s="59" t="n"/>
      <c r="N343" s="59" t="n"/>
      <c r="O343" s="59" t="n"/>
      <c r="X343" s="61" t="n"/>
      <c r="Y343" s="61" t="n"/>
    </row>
    <row r="344" ht="14.25" customHeight="1" s="86">
      <c r="E344" s="53" t="inlineStr">
        <is>
          <t>FL</t>
        </is>
      </c>
      <c r="F344" s="53" t="inlineStr">
        <is>
          <t>GULF</t>
        </is>
      </c>
      <c r="G344" s="59" t="n"/>
      <c r="N344" s="59" t="n"/>
      <c r="O344" s="59" t="n"/>
      <c r="X344" s="61" t="n"/>
      <c r="Y344" s="61" t="n"/>
    </row>
    <row r="345" ht="14.25" customHeight="1" s="86">
      <c r="E345" s="53" t="inlineStr">
        <is>
          <t>FL</t>
        </is>
      </c>
      <c r="F345" s="53" t="inlineStr">
        <is>
          <t>HAMILTON</t>
        </is>
      </c>
      <c r="G345" s="59" t="n"/>
      <c r="N345" s="59" t="n"/>
      <c r="O345" s="59" t="n"/>
      <c r="X345" s="61" t="n"/>
      <c r="Y345" s="61" t="n"/>
    </row>
    <row r="346" ht="14.25" customHeight="1" s="86">
      <c r="E346" s="53" t="inlineStr">
        <is>
          <t>FL</t>
        </is>
      </c>
      <c r="F346" s="53" t="inlineStr">
        <is>
          <t>HARDEE</t>
        </is>
      </c>
      <c r="G346" s="59" t="n"/>
      <c r="N346" s="59" t="n"/>
      <c r="O346" s="59" t="n"/>
      <c r="X346" s="61" t="n"/>
      <c r="Y346" s="61" t="n"/>
    </row>
    <row r="347" ht="14.25" customHeight="1" s="86">
      <c r="E347" s="53" t="inlineStr">
        <is>
          <t>FL</t>
        </is>
      </c>
      <c r="F347" s="53" t="inlineStr">
        <is>
          <t>HENDRY</t>
        </is>
      </c>
      <c r="G347" s="59" t="n"/>
      <c r="N347" s="59" t="n"/>
      <c r="O347" s="59" t="n"/>
      <c r="X347" s="61" t="n"/>
      <c r="Y347" s="61" t="n"/>
    </row>
    <row r="348" ht="14.25" customHeight="1" s="86">
      <c r="E348" s="53" t="inlineStr">
        <is>
          <t>FL</t>
        </is>
      </c>
      <c r="F348" s="53" t="inlineStr">
        <is>
          <t>HERNANDO</t>
        </is>
      </c>
      <c r="G348" s="59" t="n"/>
      <c r="N348" s="59" t="n"/>
      <c r="O348" s="59" t="n"/>
      <c r="X348" s="61" t="n"/>
      <c r="Y348" s="61" t="n"/>
    </row>
    <row r="349" ht="14.25" customHeight="1" s="86">
      <c r="E349" s="53" t="inlineStr">
        <is>
          <t>FL</t>
        </is>
      </c>
      <c r="F349" s="53" t="inlineStr">
        <is>
          <t>HIGHLANDS</t>
        </is>
      </c>
      <c r="G349" s="59" t="n"/>
      <c r="N349" s="59" t="n"/>
      <c r="O349" s="59" t="n"/>
      <c r="X349" s="61" t="n"/>
      <c r="Y349" s="61" t="n"/>
    </row>
    <row r="350" ht="14.25" customHeight="1" s="86">
      <c r="E350" s="53" t="inlineStr">
        <is>
          <t>FL</t>
        </is>
      </c>
      <c r="F350" s="53" t="inlineStr">
        <is>
          <t>HILLSBOROUGH</t>
        </is>
      </c>
      <c r="G350" s="59" t="n"/>
      <c r="N350" s="59" t="n"/>
      <c r="O350" s="59" t="n"/>
      <c r="X350" s="61" t="n"/>
      <c r="Y350" s="61" t="n"/>
    </row>
    <row r="351" ht="14.25" customHeight="1" s="86">
      <c r="E351" s="53" t="inlineStr">
        <is>
          <t>FL</t>
        </is>
      </c>
      <c r="F351" s="53" t="inlineStr">
        <is>
          <t>HOLMES</t>
        </is>
      </c>
      <c r="G351" s="59" t="n"/>
      <c r="N351" s="59" t="n"/>
      <c r="O351" s="59" t="n"/>
      <c r="X351" s="61" t="n"/>
      <c r="Y351" s="61" t="n"/>
    </row>
    <row r="352" ht="14.25" customHeight="1" s="86">
      <c r="E352" s="53" t="inlineStr">
        <is>
          <t>FL</t>
        </is>
      </c>
      <c r="F352" s="53" t="inlineStr">
        <is>
          <t>INDIAN RIVER</t>
        </is>
      </c>
      <c r="G352" s="59" t="n"/>
      <c r="N352" s="59" t="n"/>
      <c r="O352" s="59" t="n"/>
      <c r="X352" s="61" t="n"/>
      <c r="Y352" s="61" t="n"/>
    </row>
    <row r="353" ht="14.25" customHeight="1" s="86">
      <c r="E353" s="53" t="inlineStr">
        <is>
          <t>FL</t>
        </is>
      </c>
      <c r="F353" s="53" t="inlineStr">
        <is>
          <t>JACKSON</t>
        </is>
      </c>
      <c r="G353" s="59" t="n"/>
      <c r="N353" s="59" t="n"/>
      <c r="O353" s="59" t="n"/>
      <c r="X353" s="61" t="n"/>
      <c r="Y353" s="61" t="n"/>
    </row>
    <row r="354" ht="14.25" customHeight="1" s="86">
      <c r="E354" s="53" t="inlineStr">
        <is>
          <t>FL</t>
        </is>
      </c>
      <c r="F354" s="53" t="inlineStr">
        <is>
          <t>JEFFERSON</t>
        </is>
      </c>
      <c r="G354" s="59" t="n"/>
      <c r="N354" s="59" t="n"/>
      <c r="O354" s="59" t="n"/>
      <c r="X354" s="61" t="n"/>
      <c r="Y354" s="61" t="n"/>
    </row>
    <row r="355" ht="14.25" customHeight="1" s="86">
      <c r="E355" s="53" t="inlineStr">
        <is>
          <t>FL</t>
        </is>
      </c>
      <c r="F355" s="53" t="inlineStr">
        <is>
          <t>LAFAYETTE</t>
        </is>
      </c>
      <c r="G355" s="59" t="n"/>
      <c r="N355" s="59" t="n"/>
      <c r="O355" s="59" t="n"/>
      <c r="X355" s="61" t="n"/>
      <c r="Y355" s="61" t="n"/>
    </row>
    <row r="356" ht="14.25" customHeight="1" s="86">
      <c r="E356" s="53" t="inlineStr">
        <is>
          <t>FL</t>
        </is>
      </c>
      <c r="F356" s="53" t="inlineStr">
        <is>
          <t>LAKE</t>
        </is>
      </c>
      <c r="G356" s="59" t="n"/>
      <c r="N356" s="59" t="n"/>
      <c r="O356" s="59" t="n"/>
      <c r="X356" s="61" t="n"/>
      <c r="Y356" s="61" t="n"/>
    </row>
    <row r="357" ht="14.25" customHeight="1" s="86">
      <c r="E357" s="53" t="inlineStr">
        <is>
          <t>FL</t>
        </is>
      </c>
      <c r="F357" s="53" t="inlineStr">
        <is>
          <t>LEE</t>
        </is>
      </c>
      <c r="G357" s="59" t="n"/>
      <c r="N357" s="59" t="n"/>
      <c r="O357" s="59" t="n"/>
      <c r="X357" s="61" t="n"/>
      <c r="Y357" s="61" t="n"/>
    </row>
    <row r="358" ht="14.25" customHeight="1" s="86">
      <c r="E358" s="53" t="inlineStr">
        <is>
          <t>FL</t>
        </is>
      </c>
      <c r="F358" s="53" t="inlineStr">
        <is>
          <t>LEON</t>
        </is>
      </c>
      <c r="G358" s="59" t="n"/>
      <c r="N358" s="59" t="n"/>
      <c r="O358" s="59" t="n"/>
      <c r="X358" s="61" t="n"/>
      <c r="Y358" s="61" t="n"/>
    </row>
    <row r="359" ht="14.25" customHeight="1" s="86">
      <c r="E359" s="53" t="inlineStr">
        <is>
          <t>FL</t>
        </is>
      </c>
      <c r="F359" s="53" t="inlineStr">
        <is>
          <t>LEVY</t>
        </is>
      </c>
      <c r="G359" s="59" t="n"/>
      <c r="N359" s="59" t="n"/>
      <c r="O359" s="59" t="n"/>
      <c r="X359" s="61" t="n"/>
      <c r="Y359" s="61" t="n"/>
    </row>
    <row r="360" ht="14.25" customHeight="1" s="86">
      <c r="E360" s="53" t="inlineStr">
        <is>
          <t>FL</t>
        </is>
      </c>
      <c r="F360" s="53" t="inlineStr">
        <is>
          <t>LIBERTY</t>
        </is>
      </c>
      <c r="G360" s="59" t="n"/>
      <c r="N360" s="59" t="n"/>
      <c r="O360" s="59" t="n"/>
      <c r="X360" s="61" t="n"/>
      <c r="Y360" s="61" t="n"/>
    </row>
    <row r="361" ht="14.25" customHeight="1" s="86">
      <c r="E361" s="53" t="inlineStr">
        <is>
          <t>FL</t>
        </is>
      </c>
      <c r="F361" s="53" t="inlineStr">
        <is>
          <t>MADISON</t>
        </is>
      </c>
      <c r="G361" s="59" t="n"/>
      <c r="N361" s="59" t="n"/>
      <c r="O361" s="59" t="n"/>
      <c r="X361" s="61" t="n"/>
      <c r="Y361" s="61" t="n"/>
    </row>
    <row r="362" ht="14.25" customHeight="1" s="86">
      <c r="E362" s="53" t="inlineStr">
        <is>
          <t>FL</t>
        </is>
      </c>
      <c r="F362" s="53" t="inlineStr">
        <is>
          <t>MANATEE</t>
        </is>
      </c>
      <c r="G362" s="59" t="n"/>
      <c r="N362" s="59" t="n"/>
      <c r="O362" s="59" t="n"/>
      <c r="X362" s="61" t="n"/>
      <c r="Y362" s="61" t="n"/>
    </row>
    <row r="363" ht="14.25" customHeight="1" s="86">
      <c r="E363" s="53" t="inlineStr">
        <is>
          <t>FL</t>
        </is>
      </c>
      <c r="F363" s="53" t="inlineStr">
        <is>
          <t>MARION</t>
        </is>
      </c>
      <c r="G363" s="59" t="n"/>
      <c r="N363" s="59" t="n"/>
      <c r="O363" s="59" t="n"/>
      <c r="X363" s="61" t="n"/>
      <c r="Y363" s="61" t="n"/>
    </row>
    <row r="364" ht="14.25" customHeight="1" s="86">
      <c r="E364" s="53" t="inlineStr">
        <is>
          <t>FL</t>
        </is>
      </c>
      <c r="F364" s="53" t="inlineStr">
        <is>
          <t>MARTIN</t>
        </is>
      </c>
      <c r="G364" s="59" t="n"/>
      <c r="N364" s="59" t="n"/>
      <c r="O364" s="59" t="n"/>
      <c r="X364" s="61" t="n"/>
      <c r="Y364" s="61" t="n"/>
    </row>
    <row r="365" ht="14.25" customHeight="1" s="86">
      <c r="E365" s="53" t="inlineStr">
        <is>
          <t>FL</t>
        </is>
      </c>
      <c r="F365" s="53" t="inlineStr">
        <is>
          <t>MIAMI-DADE</t>
        </is>
      </c>
      <c r="G365" s="59" t="n"/>
      <c r="N365" s="59" t="n"/>
      <c r="O365" s="59" t="n"/>
      <c r="X365" s="61" t="n"/>
      <c r="Y365" s="61" t="n"/>
    </row>
    <row r="366" ht="14.25" customHeight="1" s="86">
      <c r="E366" s="53" t="inlineStr">
        <is>
          <t>FL</t>
        </is>
      </c>
      <c r="F366" s="53" t="inlineStr">
        <is>
          <t>MONROE</t>
        </is>
      </c>
      <c r="G366" s="59" t="n"/>
      <c r="N366" s="59" t="n"/>
      <c r="O366" s="59" t="n"/>
      <c r="X366" s="61" t="n"/>
      <c r="Y366" s="61" t="n"/>
    </row>
    <row r="367" ht="14.25" customHeight="1" s="86">
      <c r="E367" s="53" t="inlineStr">
        <is>
          <t>FL</t>
        </is>
      </c>
      <c r="F367" s="53" t="inlineStr">
        <is>
          <t>NASSAU</t>
        </is>
      </c>
      <c r="G367" s="59" t="n"/>
      <c r="N367" s="59" t="n"/>
      <c r="O367" s="59" t="n"/>
      <c r="X367" s="61" t="n"/>
      <c r="Y367" s="61" t="n"/>
    </row>
    <row r="368" ht="14.25" customHeight="1" s="86">
      <c r="E368" s="53" t="inlineStr">
        <is>
          <t>FL</t>
        </is>
      </c>
      <c r="F368" s="53" t="inlineStr">
        <is>
          <t>OKALOOSA</t>
        </is>
      </c>
      <c r="G368" s="59" t="n"/>
      <c r="N368" s="59" t="n"/>
      <c r="O368" s="59" t="n"/>
      <c r="X368" s="61" t="n"/>
      <c r="Y368" s="61" t="n"/>
    </row>
    <row r="369" ht="14.25" customHeight="1" s="86">
      <c r="E369" s="53" t="inlineStr">
        <is>
          <t>FL</t>
        </is>
      </c>
      <c r="F369" s="53" t="inlineStr">
        <is>
          <t>OKEECHOBEE</t>
        </is>
      </c>
      <c r="G369" s="59" t="n"/>
      <c r="N369" s="59" t="n"/>
      <c r="O369" s="59" t="n"/>
      <c r="X369" s="61" t="n"/>
      <c r="Y369" s="61" t="n"/>
    </row>
    <row r="370" ht="14.25" customHeight="1" s="86">
      <c r="E370" s="53" t="inlineStr">
        <is>
          <t>FL</t>
        </is>
      </c>
      <c r="F370" s="53" t="inlineStr">
        <is>
          <t>ORANGE</t>
        </is>
      </c>
      <c r="G370" s="59" t="n"/>
      <c r="N370" s="59" t="n"/>
      <c r="O370" s="59" t="n"/>
      <c r="X370" s="61" t="n"/>
      <c r="Y370" s="61" t="n"/>
    </row>
    <row r="371" ht="14.25" customHeight="1" s="86">
      <c r="E371" s="53" t="inlineStr">
        <is>
          <t>FL</t>
        </is>
      </c>
      <c r="F371" s="53" t="inlineStr">
        <is>
          <t>OSCEOLA</t>
        </is>
      </c>
      <c r="G371" s="59" t="n"/>
      <c r="N371" s="59" t="n"/>
      <c r="O371" s="59" t="n"/>
      <c r="X371" s="61" t="n"/>
      <c r="Y371" s="61" t="n"/>
    </row>
    <row r="372" ht="14.25" customHeight="1" s="86">
      <c r="E372" s="53" t="inlineStr">
        <is>
          <t>FL</t>
        </is>
      </c>
      <c r="F372" s="53" t="inlineStr">
        <is>
          <t>PALM BEACH</t>
        </is>
      </c>
      <c r="G372" s="59" t="n"/>
      <c r="N372" s="59" t="n"/>
      <c r="O372" s="59" t="n"/>
      <c r="X372" s="61" t="n"/>
      <c r="Y372" s="61" t="n"/>
    </row>
    <row r="373" ht="14.25" customHeight="1" s="86">
      <c r="E373" s="53" t="inlineStr">
        <is>
          <t>FL</t>
        </is>
      </c>
      <c r="F373" s="53" t="inlineStr">
        <is>
          <t>PASCO</t>
        </is>
      </c>
      <c r="G373" s="59" t="n"/>
      <c r="N373" s="59" t="n"/>
      <c r="O373" s="59" t="n"/>
      <c r="X373" s="61" t="n"/>
      <c r="Y373" s="61" t="n"/>
    </row>
    <row r="374" ht="14.25" customHeight="1" s="86">
      <c r="E374" s="53" t="inlineStr">
        <is>
          <t>FL</t>
        </is>
      </c>
      <c r="F374" s="53" t="inlineStr">
        <is>
          <t>PINELLAS</t>
        </is>
      </c>
      <c r="G374" s="59" t="n"/>
      <c r="N374" s="59" t="n"/>
      <c r="O374" s="59" t="n"/>
      <c r="X374" s="61" t="n"/>
      <c r="Y374" s="61" t="n"/>
    </row>
    <row r="375" ht="14.25" customHeight="1" s="86">
      <c r="E375" s="53" t="inlineStr">
        <is>
          <t>FL</t>
        </is>
      </c>
      <c r="F375" s="53" t="inlineStr">
        <is>
          <t>POLK</t>
        </is>
      </c>
      <c r="G375" s="59" t="n"/>
      <c r="N375" s="59" t="n"/>
      <c r="O375" s="59" t="n"/>
      <c r="X375" s="61" t="n"/>
      <c r="Y375" s="61" t="n"/>
    </row>
    <row r="376" ht="14.25" customHeight="1" s="86">
      <c r="E376" s="53" t="inlineStr">
        <is>
          <t>FL</t>
        </is>
      </c>
      <c r="F376" s="53" t="inlineStr">
        <is>
          <t>PUTNAM</t>
        </is>
      </c>
      <c r="G376" s="59" t="n"/>
      <c r="N376" s="59" t="n"/>
      <c r="O376" s="59" t="n"/>
      <c r="X376" s="61" t="n"/>
      <c r="Y376" s="61" t="n"/>
    </row>
    <row r="377" ht="14.25" customHeight="1" s="86">
      <c r="E377" s="53" t="inlineStr">
        <is>
          <t>FL</t>
        </is>
      </c>
      <c r="F377" s="53" t="inlineStr">
        <is>
          <t>SAINT JOHNS</t>
        </is>
      </c>
      <c r="G377" s="59" t="n"/>
      <c r="N377" s="59" t="n"/>
      <c r="O377" s="59" t="n"/>
      <c r="X377" s="61" t="n"/>
      <c r="Y377" s="61" t="n"/>
    </row>
    <row r="378" ht="14.25" customHeight="1" s="86">
      <c r="E378" s="53" t="inlineStr">
        <is>
          <t>FL</t>
        </is>
      </c>
      <c r="F378" s="53" t="inlineStr">
        <is>
          <t>SAINT LUCIE</t>
        </is>
      </c>
      <c r="G378" s="59" t="n"/>
      <c r="N378" s="59" t="n"/>
      <c r="O378" s="59" t="n"/>
      <c r="X378" s="61" t="n"/>
      <c r="Y378" s="61" t="n"/>
    </row>
    <row r="379" ht="14.25" customHeight="1" s="86">
      <c r="E379" s="53" t="inlineStr">
        <is>
          <t>FL</t>
        </is>
      </c>
      <c r="F379" s="53" t="inlineStr">
        <is>
          <t>SANTA ROSA</t>
        </is>
      </c>
      <c r="G379" s="59" t="n"/>
      <c r="N379" s="59" t="n"/>
      <c r="O379" s="59" t="n"/>
      <c r="X379" s="61" t="n"/>
      <c r="Y379" s="61" t="n"/>
    </row>
    <row r="380" ht="14.25" customHeight="1" s="86">
      <c r="E380" s="53" t="inlineStr">
        <is>
          <t>FL</t>
        </is>
      </c>
      <c r="F380" s="53" t="inlineStr">
        <is>
          <t>SARASOTA</t>
        </is>
      </c>
      <c r="G380" s="59" t="n"/>
      <c r="N380" s="59" t="n"/>
      <c r="O380" s="59" t="n"/>
      <c r="X380" s="61" t="n"/>
      <c r="Y380" s="61" t="n"/>
    </row>
    <row r="381" ht="14.25" customHeight="1" s="86">
      <c r="E381" s="53" t="inlineStr">
        <is>
          <t>FL</t>
        </is>
      </c>
      <c r="F381" s="53" t="inlineStr">
        <is>
          <t>SEMINOLE</t>
        </is>
      </c>
      <c r="G381" s="59" t="n"/>
      <c r="N381" s="59" t="n"/>
      <c r="O381" s="59" t="n"/>
      <c r="X381" s="61" t="n"/>
      <c r="Y381" s="61" t="n"/>
    </row>
    <row r="382" ht="14.25" customHeight="1" s="86">
      <c r="E382" s="53" t="inlineStr">
        <is>
          <t>FL</t>
        </is>
      </c>
      <c r="F382" s="53" t="inlineStr">
        <is>
          <t>SUMTER</t>
        </is>
      </c>
      <c r="G382" s="59" t="n"/>
      <c r="N382" s="59" t="n"/>
      <c r="O382" s="59" t="n"/>
      <c r="X382" s="61" t="n"/>
      <c r="Y382" s="61" t="n"/>
    </row>
    <row r="383" ht="14.25" customHeight="1" s="86">
      <c r="E383" s="53" t="inlineStr">
        <is>
          <t>FL</t>
        </is>
      </c>
      <c r="F383" s="53" t="inlineStr">
        <is>
          <t>SUWANNEE</t>
        </is>
      </c>
      <c r="G383" s="59" t="n"/>
      <c r="N383" s="59" t="n"/>
      <c r="O383" s="59" t="n"/>
      <c r="X383" s="61" t="n"/>
      <c r="Y383" s="61" t="n"/>
    </row>
    <row r="384" ht="14.25" customHeight="1" s="86">
      <c r="E384" s="53" t="inlineStr">
        <is>
          <t>FL</t>
        </is>
      </c>
      <c r="F384" s="53" t="inlineStr">
        <is>
          <t>TAYLOR</t>
        </is>
      </c>
      <c r="G384" s="59" t="n"/>
      <c r="N384" s="59" t="n"/>
      <c r="O384" s="59" t="n"/>
      <c r="X384" s="61" t="n"/>
      <c r="Y384" s="61" t="n"/>
    </row>
    <row r="385" ht="14.25" customHeight="1" s="86">
      <c r="E385" s="53" t="inlineStr">
        <is>
          <t>FL</t>
        </is>
      </c>
      <c r="F385" s="53" t="inlineStr">
        <is>
          <t>UNION</t>
        </is>
      </c>
      <c r="G385" s="59" t="n"/>
      <c r="N385" s="59" t="n"/>
      <c r="O385" s="59" t="n"/>
      <c r="X385" s="61" t="n"/>
      <c r="Y385" s="61" t="n"/>
    </row>
    <row r="386" ht="14.25" customHeight="1" s="86">
      <c r="E386" s="53" t="inlineStr">
        <is>
          <t>FL</t>
        </is>
      </c>
      <c r="F386" s="53" t="inlineStr">
        <is>
          <t>VOLUSIA</t>
        </is>
      </c>
      <c r="G386" s="59" t="n"/>
      <c r="N386" s="59" t="n"/>
      <c r="O386" s="59" t="n"/>
      <c r="X386" s="61" t="n"/>
      <c r="Y386" s="61" t="n"/>
    </row>
    <row r="387" ht="14.25" customHeight="1" s="86">
      <c r="E387" s="53" t="inlineStr">
        <is>
          <t>FL</t>
        </is>
      </c>
      <c r="F387" s="53" t="inlineStr">
        <is>
          <t>WAKULLA</t>
        </is>
      </c>
      <c r="G387" s="59" t="n"/>
      <c r="N387" s="59" t="n"/>
      <c r="O387" s="59" t="n"/>
      <c r="X387" s="61" t="n"/>
      <c r="Y387" s="61" t="n"/>
    </row>
    <row r="388" ht="14.25" customHeight="1" s="86">
      <c r="E388" s="53" t="inlineStr">
        <is>
          <t>FL</t>
        </is>
      </c>
      <c r="F388" s="53" t="inlineStr">
        <is>
          <t>WALTON</t>
        </is>
      </c>
      <c r="G388" s="59" t="n"/>
      <c r="N388" s="59" t="n"/>
      <c r="O388" s="59" t="n"/>
      <c r="X388" s="61" t="n"/>
      <c r="Y388" s="61" t="n"/>
    </row>
    <row r="389" ht="14.25" customHeight="1" s="86">
      <c r="E389" s="53" t="inlineStr">
        <is>
          <t>FL</t>
        </is>
      </c>
      <c r="F389" s="53" t="inlineStr">
        <is>
          <t>WASHINGTON</t>
        </is>
      </c>
      <c r="G389" s="59" t="n"/>
      <c r="N389" s="59" t="n"/>
      <c r="O389" s="59" t="n"/>
      <c r="X389" s="61" t="n"/>
      <c r="Y389" s="61" t="n"/>
    </row>
    <row r="390" ht="14.25" customHeight="1" s="86">
      <c r="E390" s="53" t="inlineStr">
        <is>
          <t>FM</t>
        </is>
      </c>
      <c r="F390" s="53" t="inlineStr">
        <is>
          <t>FEDERATED STATES OF MICRO</t>
        </is>
      </c>
      <c r="G390" s="59" t="n"/>
      <c r="N390" s="59" t="n"/>
      <c r="O390" s="59" t="n"/>
      <c r="X390" s="61" t="n"/>
      <c r="Y390" s="61" t="n"/>
    </row>
    <row r="391" ht="14.25" customHeight="1" s="86">
      <c r="E391" s="53" t="inlineStr">
        <is>
          <t>GA</t>
        </is>
      </c>
      <c r="F391" s="53" t="inlineStr">
        <is>
          <t>APPLING</t>
        </is>
      </c>
      <c r="G391" s="59" t="n"/>
      <c r="N391" s="59" t="n"/>
      <c r="O391" s="59" t="n"/>
      <c r="X391" s="61" t="n"/>
      <c r="Y391" s="61" t="n"/>
    </row>
    <row r="392" ht="14.25" customHeight="1" s="86">
      <c r="E392" s="53" t="inlineStr">
        <is>
          <t>GA</t>
        </is>
      </c>
      <c r="F392" s="53" t="inlineStr">
        <is>
          <t>ATKINSON</t>
        </is>
      </c>
      <c r="G392" s="59" t="n"/>
      <c r="N392" s="59" t="n"/>
      <c r="O392" s="59" t="n"/>
      <c r="X392" s="61" t="n"/>
      <c r="Y392" s="61" t="n"/>
    </row>
    <row r="393" ht="14.25" customHeight="1" s="86">
      <c r="E393" s="53" t="inlineStr">
        <is>
          <t>GA</t>
        </is>
      </c>
      <c r="F393" s="53" t="inlineStr">
        <is>
          <t>BACON</t>
        </is>
      </c>
      <c r="G393" s="59" t="n"/>
      <c r="N393" s="59" t="n"/>
      <c r="O393" s="59" t="n"/>
      <c r="X393" s="61" t="n"/>
      <c r="Y393" s="61" t="n"/>
    </row>
    <row r="394" ht="14.25" customHeight="1" s="86">
      <c r="E394" s="53" t="inlineStr">
        <is>
          <t>GA</t>
        </is>
      </c>
      <c r="F394" s="53" t="inlineStr">
        <is>
          <t>BAKER</t>
        </is>
      </c>
      <c r="G394" s="59" t="n"/>
      <c r="N394" s="59" t="n"/>
      <c r="O394" s="59" t="n"/>
      <c r="X394" s="61" t="n"/>
      <c r="Y394" s="61" t="n"/>
    </row>
    <row r="395" ht="14.25" customHeight="1" s="86">
      <c r="E395" s="53" t="inlineStr">
        <is>
          <t>GA</t>
        </is>
      </c>
      <c r="F395" s="53" t="inlineStr">
        <is>
          <t>BALDWIN</t>
        </is>
      </c>
      <c r="G395" s="59" t="n"/>
      <c r="N395" s="59" t="n"/>
      <c r="O395" s="59" t="n"/>
      <c r="X395" s="61" t="n"/>
      <c r="Y395" s="61" t="n"/>
    </row>
    <row r="396" ht="14.25" customHeight="1" s="86">
      <c r="E396" s="53" t="inlineStr">
        <is>
          <t>GA</t>
        </is>
      </c>
      <c r="F396" s="53" t="inlineStr">
        <is>
          <t>BANKS</t>
        </is>
      </c>
      <c r="G396" s="59" t="n"/>
      <c r="N396" s="59" t="n"/>
      <c r="O396" s="59" t="n"/>
      <c r="X396" s="61" t="n"/>
      <c r="Y396" s="61" t="n"/>
    </row>
    <row r="397" ht="14.25" customHeight="1" s="86">
      <c r="E397" s="53" t="inlineStr">
        <is>
          <t>GA</t>
        </is>
      </c>
      <c r="F397" s="53" t="inlineStr">
        <is>
          <t>BARROW</t>
        </is>
      </c>
      <c r="G397" s="59" t="n"/>
      <c r="N397" s="59" t="n"/>
      <c r="O397" s="59" t="n"/>
      <c r="X397" s="61" t="n"/>
      <c r="Y397" s="61" t="n"/>
    </row>
    <row r="398" ht="14.25" customHeight="1" s="86">
      <c r="E398" s="53" t="inlineStr">
        <is>
          <t>GA</t>
        </is>
      </c>
      <c r="F398" s="53" t="inlineStr">
        <is>
          <t>BARTOW</t>
        </is>
      </c>
      <c r="G398" s="59" t="n"/>
      <c r="N398" s="59" t="n"/>
      <c r="O398" s="59" t="n"/>
      <c r="X398" s="61" t="n"/>
      <c r="Y398" s="61" t="n"/>
    </row>
    <row r="399" ht="14.25" customHeight="1" s="86">
      <c r="E399" s="53" t="inlineStr">
        <is>
          <t>GA</t>
        </is>
      </c>
      <c r="F399" s="53" t="inlineStr">
        <is>
          <t>BEN HILL</t>
        </is>
      </c>
      <c r="G399" s="59" t="n"/>
      <c r="N399" s="59" t="n"/>
      <c r="O399" s="59" t="n"/>
      <c r="X399" s="61" t="n"/>
      <c r="Y399" s="61" t="n"/>
    </row>
    <row r="400" ht="14.25" customHeight="1" s="86">
      <c r="E400" s="53" t="inlineStr">
        <is>
          <t>GA</t>
        </is>
      </c>
      <c r="F400" s="53" t="inlineStr">
        <is>
          <t>BERRIEN</t>
        </is>
      </c>
      <c r="G400" s="59" t="n"/>
      <c r="N400" s="59" t="n"/>
      <c r="O400" s="59" t="n"/>
      <c r="X400" s="61" t="n"/>
      <c r="Y400" s="61" t="n"/>
    </row>
    <row r="401" ht="14.25" customHeight="1" s="86">
      <c r="E401" s="53" t="inlineStr">
        <is>
          <t>GA</t>
        </is>
      </c>
      <c r="F401" s="53" t="inlineStr">
        <is>
          <t>BIBB</t>
        </is>
      </c>
      <c r="G401" s="59" t="n"/>
      <c r="N401" s="59" t="n"/>
      <c r="O401" s="59" t="n"/>
      <c r="X401" s="61" t="n"/>
      <c r="Y401" s="61" t="n"/>
    </row>
    <row r="402" ht="14.25" customHeight="1" s="86">
      <c r="E402" s="53" t="inlineStr">
        <is>
          <t>GA</t>
        </is>
      </c>
      <c r="F402" s="53" t="inlineStr">
        <is>
          <t>BLECKLEY</t>
        </is>
      </c>
      <c r="G402" s="59" t="n"/>
      <c r="N402" s="59" t="n"/>
      <c r="O402" s="59" t="n"/>
      <c r="X402" s="61" t="n"/>
      <c r="Y402" s="61" t="n"/>
    </row>
    <row r="403" ht="14.25" customHeight="1" s="86">
      <c r="E403" s="53" t="inlineStr">
        <is>
          <t>GA</t>
        </is>
      </c>
      <c r="F403" s="53" t="inlineStr">
        <is>
          <t>BRANTLEY</t>
        </is>
      </c>
      <c r="G403" s="59" t="n"/>
      <c r="N403" s="59" t="n"/>
      <c r="O403" s="59" t="n"/>
      <c r="X403" s="61" t="n"/>
      <c r="Y403" s="61" t="n"/>
    </row>
    <row r="404" ht="14.25" customHeight="1" s="86">
      <c r="E404" s="53" t="inlineStr">
        <is>
          <t>GA</t>
        </is>
      </c>
      <c r="F404" s="53" t="inlineStr">
        <is>
          <t>BROOKS</t>
        </is>
      </c>
      <c r="G404" s="59" t="n"/>
      <c r="N404" s="59" t="n"/>
      <c r="O404" s="59" t="n"/>
      <c r="X404" s="61" t="n"/>
      <c r="Y404" s="61" t="n"/>
    </row>
    <row r="405" ht="14.25" customHeight="1" s="86">
      <c r="E405" s="53" t="inlineStr">
        <is>
          <t>GA</t>
        </is>
      </c>
      <c r="F405" s="53" t="inlineStr">
        <is>
          <t>BRYAN</t>
        </is>
      </c>
      <c r="G405" s="59" t="n"/>
      <c r="N405" s="59" t="n"/>
      <c r="O405" s="59" t="n"/>
      <c r="X405" s="61" t="n"/>
      <c r="Y405" s="61" t="n"/>
    </row>
    <row r="406" ht="14.25" customHeight="1" s="86">
      <c r="E406" s="53" t="inlineStr">
        <is>
          <t>GA</t>
        </is>
      </c>
      <c r="F406" s="53" t="inlineStr">
        <is>
          <t>BULLOCH</t>
        </is>
      </c>
      <c r="G406" s="59" t="n"/>
      <c r="N406" s="59" t="n"/>
      <c r="O406" s="59" t="n"/>
      <c r="X406" s="61" t="n"/>
      <c r="Y406" s="61" t="n"/>
    </row>
    <row r="407" ht="14.25" customHeight="1" s="86">
      <c r="E407" s="53" t="inlineStr">
        <is>
          <t>GA</t>
        </is>
      </c>
      <c r="F407" s="53" t="inlineStr">
        <is>
          <t>BURKE</t>
        </is>
      </c>
      <c r="G407" s="59" t="n"/>
      <c r="N407" s="59" t="n"/>
      <c r="O407" s="59" t="n"/>
      <c r="X407" s="61" t="n"/>
      <c r="Y407" s="61" t="n"/>
    </row>
    <row r="408" ht="14.25" customHeight="1" s="86">
      <c r="E408" s="53" t="inlineStr">
        <is>
          <t>GA</t>
        </is>
      </c>
      <c r="F408" s="53" t="inlineStr">
        <is>
          <t>BUTTS</t>
        </is>
      </c>
      <c r="G408" s="59" t="n"/>
      <c r="N408" s="59" t="n"/>
      <c r="O408" s="59" t="n"/>
      <c r="X408" s="61" t="n"/>
      <c r="Y408" s="61" t="n"/>
    </row>
    <row r="409" ht="14.25" customHeight="1" s="86">
      <c r="E409" s="53" t="inlineStr">
        <is>
          <t>GA</t>
        </is>
      </c>
      <c r="F409" s="53" t="inlineStr">
        <is>
          <t>CALHOUN</t>
        </is>
      </c>
      <c r="G409" s="59" t="n"/>
      <c r="N409" s="59" t="n"/>
      <c r="O409" s="59" t="n"/>
      <c r="X409" s="61" t="n"/>
      <c r="Y409" s="61" t="n"/>
    </row>
    <row r="410" ht="14.25" customHeight="1" s="86">
      <c r="E410" s="53" t="inlineStr">
        <is>
          <t>GA</t>
        </is>
      </c>
      <c r="F410" s="53" t="inlineStr">
        <is>
          <t>CAMDEN</t>
        </is>
      </c>
      <c r="G410" s="59" t="n"/>
      <c r="N410" s="59" t="n"/>
      <c r="O410" s="59" t="n"/>
      <c r="X410" s="61" t="n"/>
      <c r="Y410" s="61" t="n"/>
    </row>
    <row r="411" ht="14.25" customHeight="1" s="86">
      <c r="E411" s="53" t="inlineStr">
        <is>
          <t>GA</t>
        </is>
      </c>
      <c r="F411" s="53" t="inlineStr">
        <is>
          <t>CANDLER</t>
        </is>
      </c>
      <c r="G411" s="59" t="n"/>
      <c r="N411" s="59" t="n"/>
      <c r="O411" s="59" t="n"/>
      <c r="X411" s="61" t="n"/>
      <c r="Y411" s="61" t="n"/>
    </row>
    <row r="412" ht="14.25" customHeight="1" s="86">
      <c r="E412" s="53" t="inlineStr">
        <is>
          <t>GA</t>
        </is>
      </c>
      <c r="F412" s="53" t="inlineStr">
        <is>
          <t>CARROLL</t>
        </is>
      </c>
      <c r="G412" s="59" t="n"/>
      <c r="N412" s="59" t="n"/>
      <c r="O412" s="59" t="n"/>
      <c r="X412" s="61" t="n"/>
      <c r="Y412" s="61" t="n"/>
    </row>
    <row r="413" ht="14.25" customHeight="1" s="86">
      <c r="E413" s="53" t="inlineStr">
        <is>
          <t>GA</t>
        </is>
      </c>
      <c r="F413" s="53" t="inlineStr">
        <is>
          <t>CATOOSA</t>
        </is>
      </c>
      <c r="G413" s="59" t="n"/>
      <c r="N413" s="59" t="n"/>
      <c r="O413" s="59" t="n"/>
      <c r="X413" s="61" t="n"/>
      <c r="Y413" s="61" t="n"/>
    </row>
    <row r="414" ht="14.25" customHeight="1" s="86">
      <c r="E414" s="53" t="inlineStr">
        <is>
          <t>GA</t>
        </is>
      </c>
      <c r="F414" s="53" t="inlineStr">
        <is>
          <t>CHARLTON</t>
        </is>
      </c>
      <c r="G414" s="59" t="n"/>
      <c r="N414" s="59" t="n"/>
      <c r="O414" s="59" t="n"/>
      <c r="X414" s="61" t="n"/>
      <c r="Y414" s="61" t="n"/>
    </row>
    <row r="415" ht="14.25" customHeight="1" s="86">
      <c r="E415" s="53" t="inlineStr">
        <is>
          <t>GA</t>
        </is>
      </c>
      <c r="F415" s="53" t="inlineStr">
        <is>
          <t>CHATHAM</t>
        </is>
      </c>
      <c r="G415" s="59" t="n"/>
      <c r="N415" s="59" t="n"/>
      <c r="O415" s="59" t="n"/>
      <c r="X415" s="61" t="n"/>
      <c r="Y415" s="61" t="n"/>
    </row>
    <row r="416" ht="14.25" customHeight="1" s="86">
      <c r="E416" s="53" t="inlineStr">
        <is>
          <t>GA</t>
        </is>
      </c>
      <c r="F416" s="53" t="inlineStr">
        <is>
          <t>CHATTAHOOCHEE</t>
        </is>
      </c>
      <c r="G416" s="59" t="n"/>
      <c r="N416" s="59" t="n"/>
      <c r="O416" s="59" t="n"/>
      <c r="X416" s="61" t="n"/>
      <c r="Y416" s="61" t="n"/>
    </row>
    <row r="417" ht="14.25" customHeight="1" s="86">
      <c r="E417" s="53" t="inlineStr">
        <is>
          <t>GA</t>
        </is>
      </c>
      <c r="F417" s="53" t="inlineStr">
        <is>
          <t>CHATTOOGA</t>
        </is>
      </c>
      <c r="G417" s="59" t="n"/>
      <c r="N417" s="59" t="n"/>
      <c r="O417" s="59" t="n"/>
      <c r="X417" s="61" t="n"/>
      <c r="Y417" s="61" t="n"/>
    </row>
    <row r="418" ht="14.25" customHeight="1" s="86">
      <c r="E418" s="53" t="inlineStr">
        <is>
          <t>GA</t>
        </is>
      </c>
      <c r="F418" s="53" t="inlineStr">
        <is>
          <t>CHEROKEE</t>
        </is>
      </c>
      <c r="G418" s="59" t="n"/>
      <c r="N418" s="59" t="n"/>
      <c r="O418" s="59" t="n"/>
      <c r="X418" s="61" t="n"/>
      <c r="Y418" s="61" t="n"/>
    </row>
    <row r="419" ht="14.25" customHeight="1" s="86">
      <c r="E419" s="53" t="inlineStr">
        <is>
          <t>GA</t>
        </is>
      </c>
      <c r="F419" s="53" t="inlineStr">
        <is>
          <t>CLARKE</t>
        </is>
      </c>
      <c r="G419" s="59" t="n"/>
      <c r="N419" s="59" t="n"/>
      <c r="O419" s="59" t="n"/>
      <c r="X419" s="61" t="n"/>
      <c r="Y419" s="61" t="n"/>
    </row>
    <row r="420" ht="14.25" customHeight="1" s="86">
      <c r="E420" s="53" t="inlineStr">
        <is>
          <t>GA</t>
        </is>
      </c>
      <c r="F420" s="53" t="inlineStr">
        <is>
          <t>CLAY</t>
        </is>
      </c>
      <c r="G420" s="59" t="n"/>
      <c r="N420" s="59" t="n"/>
      <c r="O420" s="59" t="n"/>
      <c r="X420" s="61" t="n"/>
      <c r="Y420" s="61" t="n"/>
    </row>
    <row r="421" ht="14.25" customHeight="1" s="86">
      <c r="E421" s="53" t="inlineStr">
        <is>
          <t>GA</t>
        </is>
      </c>
      <c r="F421" s="53" t="inlineStr">
        <is>
          <t>CLAYTON</t>
        </is>
      </c>
      <c r="G421" s="59" t="n"/>
      <c r="N421" s="59" t="n"/>
      <c r="O421" s="59" t="n"/>
      <c r="X421" s="61" t="n"/>
      <c r="Y421" s="61" t="n"/>
    </row>
    <row r="422" ht="14.25" customHeight="1" s="86">
      <c r="E422" s="53" t="inlineStr">
        <is>
          <t>GA</t>
        </is>
      </c>
      <c r="F422" s="53" t="inlineStr">
        <is>
          <t>CLINCH</t>
        </is>
      </c>
      <c r="G422" s="59" t="n"/>
      <c r="N422" s="59" t="n"/>
      <c r="O422" s="59" t="n"/>
      <c r="X422" s="61" t="n"/>
      <c r="Y422" s="61" t="n"/>
    </row>
    <row r="423" ht="14.25" customHeight="1" s="86">
      <c r="E423" s="53" t="inlineStr">
        <is>
          <t>GA</t>
        </is>
      </c>
      <c r="F423" s="53" t="inlineStr">
        <is>
          <t>COBB</t>
        </is>
      </c>
      <c r="G423" s="59" t="n"/>
      <c r="N423" s="59" t="n"/>
      <c r="O423" s="59" t="n"/>
      <c r="X423" s="61" t="n"/>
      <c r="Y423" s="61" t="n"/>
    </row>
    <row r="424" ht="14.25" customHeight="1" s="86">
      <c r="E424" s="53" t="inlineStr">
        <is>
          <t>GA</t>
        </is>
      </c>
      <c r="F424" s="53" t="inlineStr">
        <is>
          <t>COFFEE</t>
        </is>
      </c>
      <c r="G424" s="59" t="n"/>
      <c r="N424" s="59" t="n"/>
      <c r="O424" s="59" t="n"/>
      <c r="X424" s="61" t="n"/>
      <c r="Y424" s="61" t="n"/>
    </row>
    <row r="425" ht="14.25" customHeight="1" s="86">
      <c r="E425" s="53" t="inlineStr">
        <is>
          <t>GA</t>
        </is>
      </c>
      <c r="F425" s="53" t="inlineStr">
        <is>
          <t>COLQUITT</t>
        </is>
      </c>
      <c r="G425" s="59" t="n"/>
      <c r="N425" s="59" t="n"/>
      <c r="O425" s="59" t="n"/>
      <c r="X425" s="61" t="n"/>
      <c r="Y425" s="61" t="n"/>
    </row>
    <row r="426" ht="14.25" customHeight="1" s="86">
      <c r="E426" s="53" t="inlineStr">
        <is>
          <t>GA</t>
        </is>
      </c>
      <c r="F426" s="53" t="inlineStr">
        <is>
          <t>COLUMBIA</t>
        </is>
      </c>
      <c r="G426" s="59" t="n"/>
      <c r="N426" s="59" t="n"/>
      <c r="O426" s="59" t="n"/>
      <c r="X426" s="61" t="n"/>
      <c r="Y426" s="61" t="n"/>
    </row>
    <row r="427" ht="14.25" customHeight="1" s="86">
      <c r="E427" s="53" t="inlineStr">
        <is>
          <t>GA</t>
        </is>
      </c>
      <c r="F427" s="53" t="inlineStr">
        <is>
          <t>COOK</t>
        </is>
      </c>
      <c r="G427" s="59" t="n"/>
      <c r="N427" s="59" t="n"/>
      <c r="O427" s="59" t="n"/>
      <c r="X427" s="61" t="n"/>
      <c r="Y427" s="61" t="n"/>
    </row>
    <row r="428" ht="14.25" customHeight="1" s="86">
      <c r="E428" s="53" t="inlineStr">
        <is>
          <t>GA</t>
        </is>
      </c>
      <c r="F428" s="53" t="inlineStr">
        <is>
          <t>COWETA</t>
        </is>
      </c>
      <c r="G428" s="59" t="n"/>
      <c r="N428" s="59" t="n"/>
      <c r="O428" s="59" t="n"/>
      <c r="X428" s="61" t="n"/>
      <c r="Y428" s="61" t="n"/>
    </row>
    <row r="429" ht="14.25" customHeight="1" s="86">
      <c r="E429" s="53" t="inlineStr">
        <is>
          <t>GA</t>
        </is>
      </c>
      <c r="F429" s="53" t="inlineStr">
        <is>
          <t>CRAWFORD</t>
        </is>
      </c>
      <c r="G429" s="59" t="n"/>
      <c r="N429" s="59" t="n"/>
      <c r="O429" s="59" t="n"/>
      <c r="X429" s="61" t="n"/>
      <c r="Y429" s="61" t="n"/>
    </row>
    <row r="430" ht="14.25" customHeight="1" s="86">
      <c r="E430" s="53" t="inlineStr">
        <is>
          <t>GA</t>
        </is>
      </c>
      <c r="F430" s="53" t="inlineStr">
        <is>
          <t>CRISP</t>
        </is>
      </c>
      <c r="G430" s="59" t="n"/>
      <c r="N430" s="59" t="n"/>
      <c r="O430" s="59" t="n"/>
      <c r="X430" s="61" t="n"/>
      <c r="Y430" s="61" t="n"/>
    </row>
    <row r="431" ht="14.25" customHeight="1" s="86">
      <c r="E431" s="53" t="inlineStr">
        <is>
          <t>GA</t>
        </is>
      </c>
      <c r="F431" s="53" t="inlineStr">
        <is>
          <t>DADE</t>
        </is>
      </c>
      <c r="G431" s="59" t="n"/>
      <c r="N431" s="59" t="n"/>
      <c r="O431" s="59" t="n"/>
      <c r="X431" s="61" t="n"/>
      <c r="Y431" s="61" t="n"/>
    </row>
    <row r="432" ht="14.25" customHeight="1" s="86">
      <c r="E432" s="53" t="inlineStr">
        <is>
          <t>GA</t>
        </is>
      </c>
      <c r="F432" s="53" t="inlineStr">
        <is>
          <t>DAWSON</t>
        </is>
      </c>
      <c r="G432" s="59" t="n"/>
      <c r="N432" s="59" t="n"/>
      <c r="O432" s="59" t="n"/>
      <c r="X432" s="61" t="n"/>
      <c r="Y432" s="61" t="n"/>
    </row>
    <row r="433" ht="14.25" customHeight="1" s="86">
      <c r="E433" s="53" t="inlineStr">
        <is>
          <t>GA</t>
        </is>
      </c>
      <c r="F433" s="53" t="inlineStr">
        <is>
          <t>DECATUR</t>
        </is>
      </c>
      <c r="G433" s="59" t="n"/>
      <c r="N433" s="59" t="n"/>
      <c r="O433" s="59" t="n"/>
      <c r="X433" s="61" t="n"/>
      <c r="Y433" s="61" t="n"/>
    </row>
    <row r="434" ht="14.25" customHeight="1" s="86">
      <c r="E434" s="53" t="inlineStr">
        <is>
          <t>GA</t>
        </is>
      </c>
      <c r="F434" s="53" t="inlineStr">
        <is>
          <t>DEKALB</t>
        </is>
      </c>
      <c r="G434" s="59" t="n"/>
      <c r="N434" s="59" t="n"/>
      <c r="O434" s="59" t="n"/>
      <c r="X434" s="61" t="n"/>
      <c r="Y434" s="61" t="n"/>
    </row>
    <row r="435" ht="14.25" customHeight="1" s="86">
      <c r="E435" s="53" t="inlineStr">
        <is>
          <t>GA</t>
        </is>
      </c>
      <c r="F435" s="53" t="inlineStr">
        <is>
          <t>DODGE</t>
        </is>
      </c>
      <c r="G435" s="59" t="n"/>
      <c r="N435" s="59" t="n"/>
      <c r="O435" s="59" t="n"/>
      <c r="X435" s="61" t="n"/>
      <c r="Y435" s="61" t="n"/>
    </row>
    <row r="436" ht="14.25" customHeight="1" s="86">
      <c r="E436" s="53" t="inlineStr">
        <is>
          <t>GA</t>
        </is>
      </c>
      <c r="F436" s="53" t="inlineStr">
        <is>
          <t>DOOLY</t>
        </is>
      </c>
      <c r="G436" s="59" t="n"/>
      <c r="N436" s="59" t="n"/>
      <c r="O436" s="59" t="n"/>
      <c r="X436" s="61" t="n"/>
      <c r="Y436" s="61" t="n"/>
    </row>
    <row r="437" ht="14.25" customHeight="1" s="86">
      <c r="E437" s="53" t="inlineStr">
        <is>
          <t>GA</t>
        </is>
      </c>
      <c r="F437" s="53" t="inlineStr">
        <is>
          <t>DOUGHERTY</t>
        </is>
      </c>
      <c r="G437" s="59" t="n"/>
      <c r="N437" s="59" t="n"/>
      <c r="O437" s="59" t="n"/>
      <c r="X437" s="61" t="n"/>
      <c r="Y437" s="61" t="n"/>
    </row>
    <row r="438" ht="14.25" customHeight="1" s="86">
      <c r="E438" s="53" t="inlineStr">
        <is>
          <t>GA</t>
        </is>
      </c>
      <c r="F438" s="53" t="inlineStr">
        <is>
          <t>DOUGLAS</t>
        </is>
      </c>
      <c r="G438" s="59" t="n"/>
      <c r="N438" s="59" t="n"/>
      <c r="O438" s="59" t="n"/>
      <c r="X438" s="61" t="n"/>
      <c r="Y438" s="61" t="n"/>
    </row>
    <row r="439" ht="14.25" customHeight="1" s="86">
      <c r="E439" s="53" t="inlineStr">
        <is>
          <t>GA</t>
        </is>
      </c>
      <c r="F439" s="53" t="inlineStr">
        <is>
          <t>EARLY</t>
        </is>
      </c>
      <c r="G439" s="59" t="n"/>
      <c r="N439" s="59" t="n"/>
      <c r="O439" s="59" t="n"/>
      <c r="X439" s="61" t="n"/>
      <c r="Y439" s="61" t="n"/>
    </row>
    <row r="440" ht="14.25" customHeight="1" s="86">
      <c r="E440" s="53" t="inlineStr">
        <is>
          <t>GA</t>
        </is>
      </c>
      <c r="F440" s="53" t="inlineStr">
        <is>
          <t>ECHOLS</t>
        </is>
      </c>
      <c r="G440" s="59" t="n"/>
      <c r="N440" s="59" t="n"/>
      <c r="O440" s="59" t="n"/>
      <c r="X440" s="61" t="n"/>
      <c r="Y440" s="61" t="n"/>
    </row>
    <row r="441" ht="14.25" customHeight="1" s="86">
      <c r="E441" s="53" t="inlineStr">
        <is>
          <t>GA</t>
        </is>
      </c>
      <c r="F441" s="53" t="inlineStr">
        <is>
          <t>EFFINGHAM</t>
        </is>
      </c>
      <c r="G441" s="59" t="n"/>
      <c r="N441" s="59" t="n"/>
      <c r="O441" s="59" t="n"/>
      <c r="X441" s="61" t="n"/>
      <c r="Y441" s="61" t="n"/>
    </row>
    <row r="442" ht="14.25" customHeight="1" s="86">
      <c r="E442" s="53" t="inlineStr">
        <is>
          <t>GA</t>
        </is>
      </c>
      <c r="F442" s="53" t="inlineStr">
        <is>
          <t>ELBERT</t>
        </is>
      </c>
      <c r="G442" s="59" t="n"/>
      <c r="N442" s="59" t="n"/>
      <c r="O442" s="59" t="n"/>
      <c r="X442" s="61" t="n"/>
      <c r="Y442" s="61" t="n"/>
    </row>
    <row r="443" ht="14.25" customHeight="1" s="86">
      <c r="E443" s="53" t="inlineStr">
        <is>
          <t>GA</t>
        </is>
      </c>
      <c r="F443" s="53" t="inlineStr">
        <is>
          <t>EMANUEL</t>
        </is>
      </c>
      <c r="G443" s="59" t="n"/>
      <c r="N443" s="59" t="n"/>
      <c r="O443" s="59" t="n"/>
      <c r="X443" s="61" t="n"/>
      <c r="Y443" s="61" t="n"/>
    </row>
    <row r="444" ht="14.25" customHeight="1" s="86">
      <c r="E444" s="53" t="inlineStr">
        <is>
          <t>GA</t>
        </is>
      </c>
      <c r="F444" s="53" t="inlineStr">
        <is>
          <t>EVANS</t>
        </is>
      </c>
      <c r="G444" s="59" t="n"/>
      <c r="N444" s="59" t="n"/>
      <c r="O444" s="59" t="n"/>
      <c r="X444" s="61" t="n"/>
      <c r="Y444" s="61" t="n"/>
    </row>
    <row r="445" ht="14.25" customHeight="1" s="86">
      <c r="E445" s="53" t="inlineStr">
        <is>
          <t>GA</t>
        </is>
      </c>
      <c r="F445" s="53" t="inlineStr">
        <is>
          <t>FANNIN</t>
        </is>
      </c>
      <c r="G445" s="59" t="n"/>
      <c r="N445" s="59" t="n"/>
      <c r="O445" s="59" t="n"/>
      <c r="X445" s="61" t="n"/>
      <c r="Y445" s="61" t="n"/>
    </row>
    <row r="446" ht="14.25" customHeight="1" s="86">
      <c r="E446" s="53" t="inlineStr">
        <is>
          <t>GA</t>
        </is>
      </c>
      <c r="F446" s="53" t="inlineStr">
        <is>
          <t>FAYETTE</t>
        </is>
      </c>
      <c r="G446" s="59" t="n"/>
      <c r="N446" s="59" t="n"/>
      <c r="O446" s="59" t="n"/>
      <c r="X446" s="61" t="n"/>
      <c r="Y446" s="61" t="n"/>
    </row>
    <row r="447" ht="14.25" customHeight="1" s="86">
      <c r="E447" s="53" t="inlineStr">
        <is>
          <t>GA</t>
        </is>
      </c>
      <c r="F447" s="53" t="inlineStr">
        <is>
          <t>FLOYD</t>
        </is>
      </c>
      <c r="G447" s="59" t="n"/>
      <c r="N447" s="59" t="n"/>
      <c r="O447" s="59" t="n"/>
      <c r="X447" s="61" t="n"/>
      <c r="Y447" s="61" t="n"/>
    </row>
    <row r="448" ht="14.25" customHeight="1" s="86">
      <c r="E448" s="53" t="inlineStr">
        <is>
          <t>GA</t>
        </is>
      </c>
      <c r="F448" s="53" t="inlineStr">
        <is>
          <t>FORSYTH</t>
        </is>
      </c>
      <c r="G448" s="59" t="n"/>
      <c r="N448" s="69" t="n"/>
      <c r="O448" s="69" t="n"/>
      <c r="X448" s="61" t="n"/>
      <c r="Y448" s="61" t="n"/>
    </row>
    <row r="449" ht="14.25" customHeight="1" s="86">
      <c r="E449" s="53" t="inlineStr">
        <is>
          <t>GA</t>
        </is>
      </c>
      <c r="F449" s="53" t="inlineStr">
        <is>
          <t>FRANKLIN</t>
        </is>
      </c>
      <c r="G449" s="59" t="n"/>
      <c r="N449" s="69" t="n"/>
      <c r="O449" s="69" t="n"/>
      <c r="X449" s="61" t="n"/>
      <c r="Y449" s="61" t="n"/>
    </row>
    <row r="450" ht="14.25" customHeight="1" s="86">
      <c r="E450" s="53" t="inlineStr">
        <is>
          <t>GA</t>
        </is>
      </c>
      <c r="F450" s="53" t="inlineStr">
        <is>
          <t>FULTON</t>
        </is>
      </c>
      <c r="G450" s="59" t="n"/>
      <c r="N450" s="69" t="n"/>
      <c r="O450" s="69" t="n"/>
      <c r="X450" s="61" t="n"/>
      <c r="Y450" s="61" t="n"/>
    </row>
    <row r="451" ht="14.25" customHeight="1" s="86">
      <c r="E451" s="53" t="inlineStr">
        <is>
          <t>GA</t>
        </is>
      </c>
      <c r="F451" s="53" t="inlineStr">
        <is>
          <t>GILMER</t>
        </is>
      </c>
      <c r="G451" s="59" t="n"/>
      <c r="N451" s="69" t="n"/>
      <c r="O451" s="69" t="n"/>
      <c r="X451" s="61" t="n"/>
      <c r="Y451" s="61" t="n"/>
    </row>
    <row r="452" ht="14.25" customHeight="1" s="86">
      <c r="E452" s="53" t="inlineStr">
        <is>
          <t>GA</t>
        </is>
      </c>
      <c r="F452" s="53" t="inlineStr">
        <is>
          <t>GLASCOCK</t>
        </is>
      </c>
      <c r="G452" s="59" t="n"/>
      <c r="N452" s="69" t="n"/>
      <c r="O452" s="69" t="n"/>
      <c r="X452" s="61" t="n"/>
      <c r="Y452" s="61" t="n"/>
    </row>
    <row r="453" ht="14.25" customHeight="1" s="86">
      <c r="E453" s="53" t="inlineStr">
        <is>
          <t>GA</t>
        </is>
      </c>
      <c r="F453" s="53" t="inlineStr">
        <is>
          <t>GLYNN</t>
        </is>
      </c>
      <c r="G453" s="59" t="n"/>
      <c r="N453" s="59" t="n"/>
      <c r="O453" s="59" t="n"/>
      <c r="X453" s="61" t="n"/>
      <c r="Y453" s="61" t="n"/>
    </row>
    <row r="454" ht="14.25" customHeight="1" s="86">
      <c r="E454" s="53" t="inlineStr">
        <is>
          <t>GA</t>
        </is>
      </c>
      <c r="F454" s="53" t="inlineStr">
        <is>
          <t>GORDON</t>
        </is>
      </c>
      <c r="G454" s="59" t="n"/>
      <c r="N454" s="59" t="n"/>
      <c r="O454" s="59" t="n"/>
      <c r="X454" s="61" t="n"/>
      <c r="Y454" s="61" t="n"/>
    </row>
    <row r="455" ht="14.25" customHeight="1" s="86">
      <c r="E455" s="53" t="inlineStr">
        <is>
          <t>GA</t>
        </is>
      </c>
      <c r="F455" s="53" t="inlineStr">
        <is>
          <t>GRADY</t>
        </is>
      </c>
      <c r="G455" s="59" t="n"/>
      <c r="N455" s="59" t="n"/>
      <c r="O455" s="59" t="n"/>
      <c r="X455" s="61" t="n"/>
      <c r="Y455" s="61" t="n"/>
    </row>
    <row r="456" ht="14.25" customHeight="1" s="86">
      <c r="E456" s="53" t="inlineStr">
        <is>
          <t>GA</t>
        </is>
      </c>
      <c r="F456" s="53" t="inlineStr">
        <is>
          <t>GREENE</t>
        </is>
      </c>
      <c r="G456" s="59" t="n"/>
      <c r="N456" s="59" t="n"/>
      <c r="O456" s="59" t="n"/>
      <c r="X456" s="61" t="n"/>
      <c r="Y456" s="61" t="n"/>
    </row>
    <row r="457" ht="14.25" customHeight="1" s="86">
      <c r="E457" s="53" t="inlineStr">
        <is>
          <t>GA</t>
        </is>
      </c>
      <c r="F457" s="53" t="inlineStr">
        <is>
          <t>GWINNETT</t>
        </is>
      </c>
      <c r="G457" s="59" t="n"/>
      <c r="N457" s="59" t="n"/>
      <c r="O457" s="59" t="n"/>
      <c r="X457" s="61" t="n"/>
      <c r="Y457" s="61" t="n"/>
    </row>
    <row r="458" ht="14.25" customHeight="1" s="86">
      <c r="E458" s="53" t="inlineStr">
        <is>
          <t>GA</t>
        </is>
      </c>
      <c r="F458" s="53" t="inlineStr">
        <is>
          <t>HABERSHAM</t>
        </is>
      </c>
      <c r="G458" s="59" t="n"/>
      <c r="N458" s="59" t="n"/>
      <c r="O458" s="59" t="n"/>
      <c r="X458" s="61" t="n"/>
      <c r="Y458" s="61" t="n"/>
    </row>
    <row r="459" ht="14.25" customHeight="1" s="86">
      <c r="E459" s="53" t="inlineStr">
        <is>
          <t>GA</t>
        </is>
      </c>
      <c r="F459" s="53" t="inlineStr">
        <is>
          <t>HALL</t>
        </is>
      </c>
      <c r="G459" s="59" t="n"/>
      <c r="N459" s="59" t="n"/>
      <c r="O459" s="59" t="n"/>
      <c r="X459" s="61" t="n"/>
      <c r="Y459" s="61" t="n"/>
    </row>
    <row r="460" ht="14.25" customHeight="1" s="86">
      <c r="E460" s="53" t="inlineStr">
        <is>
          <t>GA</t>
        </is>
      </c>
      <c r="F460" s="53" t="inlineStr">
        <is>
          <t>HANCOCK</t>
        </is>
      </c>
      <c r="G460" s="59" t="n"/>
      <c r="N460" s="59" t="n"/>
      <c r="O460" s="59" t="n"/>
      <c r="X460" s="61" t="n"/>
      <c r="Y460" s="61" t="n"/>
    </row>
    <row r="461" ht="14.25" customHeight="1" s="86">
      <c r="E461" s="53" t="inlineStr">
        <is>
          <t>GA</t>
        </is>
      </c>
      <c r="F461" s="53" t="inlineStr">
        <is>
          <t>HARALSON</t>
        </is>
      </c>
      <c r="G461" s="59" t="n"/>
      <c r="N461" s="59" t="n"/>
      <c r="O461" s="59" t="n"/>
      <c r="X461" s="61" t="n"/>
      <c r="Y461" s="61" t="n"/>
    </row>
    <row r="462" ht="14.25" customHeight="1" s="86">
      <c r="E462" s="53" t="inlineStr">
        <is>
          <t>GA</t>
        </is>
      </c>
      <c r="F462" s="53" t="inlineStr">
        <is>
          <t>HARRIS</t>
        </is>
      </c>
      <c r="G462" s="59" t="n"/>
      <c r="N462" s="59" t="n"/>
      <c r="O462" s="59" t="n"/>
      <c r="X462" s="61" t="n"/>
      <c r="Y462" s="61" t="n"/>
    </row>
    <row r="463" ht="14.25" customHeight="1" s="86">
      <c r="E463" s="53" t="inlineStr">
        <is>
          <t>GA</t>
        </is>
      </c>
      <c r="F463" s="53" t="inlineStr">
        <is>
          <t>HART</t>
        </is>
      </c>
      <c r="G463" s="59" t="n"/>
      <c r="N463" s="59" t="n"/>
      <c r="O463" s="59" t="n"/>
      <c r="X463" s="61" t="n"/>
      <c r="Y463" s="61" t="n"/>
    </row>
    <row r="464" ht="14.25" customHeight="1" s="86">
      <c r="E464" s="53" t="inlineStr">
        <is>
          <t>GA</t>
        </is>
      </c>
      <c r="F464" s="53" t="inlineStr">
        <is>
          <t>HEARD</t>
        </is>
      </c>
      <c r="G464" s="59" t="n"/>
      <c r="N464" s="59" t="n"/>
      <c r="O464" s="59" t="n"/>
      <c r="X464" s="61" t="n"/>
      <c r="Y464" s="61" t="n"/>
    </row>
    <row r="465" ht="14.25" customHeight="1" s="86">
      <c r="E465" s="53" t="inlineStr">
        <is>
          <t>GA</t>
        </is>
      </c>
      <c r="F465" s="53" t="inlineStr">
        <is>
          <t>HENRY</t>
        </is>
      </c>
      <c r="G465" s="59" t="n"/>
      <c r="N465" s="59" t="n"/>
      <c r="O465" s="59" t="n"/>
      <c r="X465" s="61" t="n"/>
      <c r="Y465" s="61" t="n"/>
    </row>
    <row r="466" ht="14.25" customHeight="1" s="86">
      <c r="E466" s="53" t="inlineStr">
        <is>
          <t>GA</t>
        </is>
      </c>
      <c r="F466" s="53" t="inlineStr">
        <is>
          <t>HOUSTON</t>
        </is>
      </c>
      <c r="G466" s="59" t="n"/>
      <c r="N466" s="59" t="n"/>
      <c r="O466" s="59" t="n"/>
      <c r="X466" s="61" t="n"/>
      <c r="Y466" s="61" t="n"/>
    </row>
    <row r="467" ht="14.25" customHeight="1" s="86">
      <c r="E467" s="53" t="inlineStr">
        <is>
          <t>GA</t>
        </is>
      </c>
      <c r="F467" s="53" t="inlineStr">
        <is>
          <t>IRWIN</t>
        </is>
      </c>
      <c r="G467" s="59" t="n"/>
      <c r="N467" s="59" t="n"/>
      <c r="O467" s="59" t="n"/>
      <c r="X467" s="61" t="n"/>
      <c r="Y467" s="61" t="n"/>
    </row>
    <row r="468" ht="14.25" customHeight="1" s="86">
      <c r="E468" s="53" t="inlineStr">
        <is>
          <t>GA</t>
        </is>
      </c>
      <c r="F468" s="53" t="inlineStr">
        <is>
          <t>JACKSON</t>
        </is>
      </c>
      <c r="G468" s="59" t="n"/>
      <c r="N468" s="59" t="n"/>
      <c r="O468" s="59" t="n"/>
      <c r="X468" s="61" t="n"/>
      <c r="Y468" s="61" t="n"/>
    </row>
    <row r="469" ht="14.25" customHeight="1" s="86">
      <c r="E469" s="53" t="inlineStr">
        <is>
          <t>GA</t>
        </is>
      </c>
      <c r="F469" s="53" t="inlineStr">
        <is>
          <t>JASPER</t>
        </is>
      </c>
      <c r="G469" s="59" t="n"/>
      <c r="N469" s="59" t="n"/>
      <c r="O469" s="59" t="n"/>
      <c r="X469" s="61" t="n"/>
      <c r="Y469" s="61" t="n"/>
    </row>
    <row r="470" ht="14.25" customHeight="1" s="86">
      <c r="E470" s="53" t="inlineStr">
        <is>
          <t>GA</t>
        </is>
      </c>
      <c r="F470" s="53" t="inlineStr">
        <is>
          <t>JEFF DAVIS</t>
        </is>
      </c>
      <c r="G470" s="59" t="n"/>
      <c r="N470" s="59" t="n"/>
      <c r="O470" s="59" t="n"/>
      <c r="X470" s="61" t="n"/>
      <c r="Y470" s="61" t="n"/>
    </row>
    <row r="471" ht="14.25" customHeight="1" s="86">
      <c r="E471" s="53" t="inlineStr">
        <is>
          <t>GA</t>
        </is>
      </c>
      <c r="F471" s="53" t="inlineStr">
        <is>
          <t>JEFFERSON</t>
        </is>
      </c>
      <c r="G471" s="59" t="n"/>
      <c r="N471" s="59" t="n"/>
      <c r="O471" s="59" t="n"/>
      <c r="X471" s="61" t="n"/>
      <c r="Y471" s="61" t="n"/>
    </row>
    <row r="472" ht="14.25" customHeight="1" s="86">
      <c r="E472" s="53" t="inlineStr">
        <is>
          <t>GA</t>
        </is>
      </c>
      <c r="F472" s="53" t="inlineStr">
        <is>
          <t>JENKINS</t>
        </is>
      </c>
      <c r="G472" s="59" t="n"/>
      <c r="N472" s="59" t="n"/>
      <c r="O472" s="59" t="n"/>
      <c r="X472" s="61" t="n"/>
      <c r="Y472" s="61" t="n"/>
    </row>
    <row r="473" ht="14.25" customHeight="1" s="86">
      <c r="E473" s="53" t="inlineStr">
        <is>
          <t>GA</t>
        </is>
      </c>
      <c r="F473" s="53" t="inlineStr">
        <is>
          <t>JOHNSON</t>
        </is>
      </c>
      <c r="G473" s="59" t="n"/>
      <c r="N473" s="59" t="n"/>
      <c r="O473" s="59" t="n"/>
      <c r="X473" s="61" t="n"/>
      <c r="Y473" s="61" t="n"/>
    </row>
    <row r="474" ht="14.25" customHeight="1" s="86">
      <c r="E474" s="53" t="inlineStr">
        <is>
          <t>GA</t>
        </is>
      </c>
      <c r="F474" s="53" t="inlineStr">
        <is>
          <t>JONES</t>
        </is>
      </c>
      <c r="G474" s="59" t="n"/>
      <c r="N474" s="59" t="n"/>
      <c r="O474" s="59" t="n"/>
      <c r="X474" s="61" t="n"/>
      <c r="Y474" s="61" t="n"/>
    </row>
    <row r="475" ht="14.25" customHeight="1" s="86">
      <c r="E475" s="53" t="inlineStr">
        <is>
          <t>GA</t>
        </is>
      </c>
      <c r="F475" s="53" t="inlineStr">
        <is>
          <t>LAMAR</t>
        </is>
      </c>
      <c r="G475" s="59" t="n"/>
      <c r="N475" s="59" t="n"/>
      <c r="O475" s="59" t="n"/>
      <c r="X475" s="61" t="n"/>
      <c r="Y475" s="61" t="n"/>
    </row>
    <row r="476" ht="14.25" customHeight="1" s="86">
      <c r="E476" s="53" t="inlineStr">
        <is>
          <t>GA</t>
        </is>
      </c>
      <c r="F476" s="53" t="inlineStr">
        <is>
          <t>LANIER</t>
        </is>
      </c>
      <c r="G476" s="59" t="n"/>
      <c r="N476" s="59" t="n"/>
      <c r="O476" s="59" t="n"/>
      <c r="X476" s="61" t="n"/>
      <c r="Y476" s="61" t="n"/>
    </row>
    <row r="477" ht="14.25" customHeight="1" s="86">
      <c r="E477" s="53" t="inlineStr">
        <is>
          <t>GA</t>
        </is>
      </c>
      <c r="F477" s="53" t="inlineStr">
        <is>
          <t>LAURENS</t>
        </is>
      </c>
      <c r="G477" s="59" t="n"/>
      <c r="N477" s="59" t="n"/>
      <c r="O477" s="59" t="n"/>
      <c r="X477" s="61" t="n"/>
      <c r="Y477" s="61" t="n"/>
    </row>
    <row r="478" ht="14.25" customHeight="1" s="86">
      <c r="E478" s="53" t="inlineStr">
        <is>
          <t>GA</t>
        </is>
      </c>
      <c r="F478" s="53" t="inlineStr">
        <is>
          <t>LEE</t>
        </is>
      </c>
      <c r="G478" s="59" t="n"/>
      <c r="N478" s="59" t="n"/>
      <c r="O478" s="59" t="n"/>
      <c r="X478" s="61" t="n"/>
      <c r="Y478" s="61" t="n"/>
    </row>
    <row r="479" ht="14.25" customHeight="1" s="86">
      <c r="E479" s="53" t="inlineStr">
        <is>
          <t>GA</t>
        </is>
      </c>
      <c r="F479" s="53" t="inlineStr">
        <is>
          <t>LIBERTY</t>
        </is>
      </c>
      <c r="G479" s="59" t="n"/>
      <c r="N479" s="59" t="n"/>
      <c r="O479" s="59" t="n"/>
      <c r="X479" s="61" t="n"/>
      <c r="Y479" s="61" t="n"/>
    </row>
    <row r="480" ht="14.25" customHeight="1" s="86">
      <c r="E480" s="53" t="inlineStr">
        <is>
          <t>GA</t>
        </is>
      </c>
      <c r="F480" s="53" t="inlineStr">
        <is>
          <t>LINCOLN</t>
        </is>
      </c>
      <c r="G480" s="59" t="n"/>
      <c r="N480" s="59" t="n"/>
      <c r="O480" s="59" t="n"/>
      <c r="X480" s="61" t="n"/>
      <c r="Y480" s="61" t="n"/>
    </row>
    <row r="481" ht="14.25" customHeight="1" s="86">
      <c r="E481" s="53" t="inlineStr">
        <is>
          <t>GA</t>
        </is>
      </c>
      <c r="F481" s="53" t="inlineStr">
        <is>
          <t>LONG</t>
        </is>
      </c>
      <c r="G481" s="59" t="n"/>
      <c r="N481" s="59" t="n"/>
      <c r="O481" s="59" t="n"/>
      <c r="X481" s="61" t="n"/>
      <c r="Y481" s="61" t="n"/>
    </row>
    <row r="482" ht="14.25" customHeight="1" s="86">
      <c r="E482" s="53" t="inlineStr">
        <is>
          <t>GA</t>
        </is>
      </c>
      <c r="F482" s="53" t="inlineStr">
        <is>
          <t>LOWNDES</t>
        </is>
      </c>
      <c r="G482" s="59" t="n"/>
      <c r="N482" s="59" t="n"/>
      <c r="O482" s="59" t="n"/>
      <c r="X482" s="61" t="n"/>
      <c r="Y482" s="61" t="n"/>
    </row>
    <row r="483" ht="14.25" customHeight="1" s="86">
      <c r="E483" s="53" t="inlineStr">
        <is>
          <t>GA</t>
        </is>
      </c>
      <c r="F483" s="53" t="inlineStr">
        <is>
          <t>LUMPKIN</t>
        </is>
      </c>
      <c r="G483" s="59" t="n"/>
      <c r="N483" s="59" t="n"/>
      <c r="O483" s="59" t="n"/>
      <c r="X483" s="61" t="n"/>
      <c r="Y483" s="61" t="n"/>
    </row>
    <row r="484" ht="14.25" customHeight="1" s="86">
      <c r="E484" s="53" t="inlineStr">
        <is>
          <t>GA</t>
        </is>
      </c>
      <c r="F484" s="53" t="inlineStr">
        <is>
          <t>MACON</t>
        </is>
      </c>
      <c r="G484" s="59" t="n"/>
      <c r="N484" s="59" t="n"/>
      <c r="O484" s="59" t="n"/>
      <c r="X484" s="61" t="n"/>
      <c r="Y484" s="61" t="n"/>
    </row>
    <row r="485" ht="14.25" customHeight="1" s="86">
      <c r="E485" s="53" t="inlineStr">
        <is>
          <t>GA</t>
        </is>
      </c>
      <c r="F485" s="53" t="inlineStr">
        <is>
          <t>MADISON</t>
        </is>
      </c>
      <c r="G485" s="59" t="n"/>
      <c r="N485" s="59" t="n"/>
      <c r="O485" s="59" t="n"/>
      <c r="X485" s="61" t="n"/>
      <c r="Y485" s="61" t="n"/>
    </row>
    <row r="486" ht="14.25" customHeight="1" s="86">
      <c r="E486" s="53" t="inlineStr">
        <is>
          <t>GA</t>
        </is>
      </c>
      <c r="F486" s="53" t="inlineStr">
        <is>
          <t>MARION</t>
        </is>
      </c>
      <c r="G486" s="59" t="n"/>
      <c r="N486" s="59" t="n"/>
      <c r="O486" s="59" t="n"/>
      <c r="X486" s="61" t="n"/>
      <c r="Y486" s="61" t="n"/>
    </row>
    <row r="487" ht="14.25" customHeight="1" s="86">
      <c r="E487" s="53" t="inlineStr">
        <is>
          <t>GA</t>
        </is>
      </c>
      <c r="F487" s="53" t="inlineStr">
        <is>
          <t>MCDUFFIE</t>
        </is>
      </c>
      <c r="G487" s="59" t="n"/>
      <c r="N487" s="59" t="n"/>
      <c r="O487" s="59" t="n"/>
      <c r="X487" s="61" t="n"/>
      <c r="Y487" s="61" t="n"/>
    </row>
    <row r="488" ht="14.25" customHeight="1" s="86">
      <c r="E488" s="53" t="inlineStr">
        <is>
          <t>GA</t>
        </is>
      </c>
      <c r="F488" s="53" t="inlineStr">
        <is>
          <t>MCINTOSH</t>
        </is>
      </c>
      <c r="G488" s="59" t="n"/>
      <c r="N488" s="59" t="n"/>
      <c r="O488" s="59" t="n"/>
      <c r="X488" s="61" t="n"/>
      <c r="Y488" s="61" t="n"/>
    </row>
    <row r="489" ht="14.25" customHeight="1" s="86">
      <c r="E489" s="53" t="inlineStr">
        <is>
          <t>GA</t>
        </is>
      </c>
      <c r="F489" s="53" t="inlineStr">
        <is>
          <t>MERIWETHER</t>
        </is>
      </c>
      <c r="G489" s="59" t="n"/>
      <c r="N489" s="59" t="n"/>
      <c r="O489" s="59" t="n"/>
      <c r="X489" s="61" t="n"/>
      <c r="Y489" s="61" t="n"/>
    </row>
    <row r="490" ht="14.25" customHeight="1" s="86">
      <c r="E490" s="53" t="inlineStr">
        <is>
          <t>GA</t>
        </is>
      </c>
      <c r="F490" s="53" t="inlineStr">
        <is>
          <t>MILLER</t>
        </is>
      </c>
      <c r="G490" s="59" t="n"/>
      <c r="N490" s="59" t="n"/>
      <c r="O490" s="59" t="n"/>
      <c r="X490" s="61" t="n"/>
      <c r="Y490" s="61" t="n"/>
    </row>
    <row r="491" ht="14.25" customHeight="1" s="86">
      <c r="E491" s="53" t="inlineStr">
        <is>
          <t>GA</t>
        </is>
      </c>
      <c r="F491" s="53" t="inlineStr">
        <is>
          <t>MITCHELL</t>
        </is>
      </c>
      <c r="G491" s="59" t="n"/>
      <c r="N491" s="59" t="n"/>
      <c r="O491" s="59" t="n"/>
      <c r="X491" s="61" t="n"/>
      <c r="Y491" s="61" t="n"/>
    </row>
    <row r="492" ht="14.25" customHeight="1" s="86">
      <c r="E492" s="53" t="inlineStr">
        <is>
          <t>GA</t>
        </is>
      </c>
      <c r="F492" s="53" t="inlineStr">
        <is>
          <t>MONROE</t>
        </is>
      </c>
      <c r="G492" s="59" t="n"/>
      <c r="N492" s="59" t="n"/>
      <c r="O492" s="59" t="n"/>
      <c r="X492" s="61" t="n"/>
      <c r="Y492" s="61" t="n"/>
    </row>
    <row r="493" ht="14.25" customHeight="1" s="86">
      <c r="E493" s="53" t="inlineStr">
        <is>
          <t>GA</t>
        </is>
      </c>
      <c r="F493" s="53" t="inlineStr">
        <is>
          <t>MONTGOMERY</t>
        </is>
      </c>
      <c r="G493" s="59" t="n"/>
      <c r="N493" s="59" t="n"/>
      <c r="O493" s="59" t="n"/>
      <c r="X493" s="61" t="n"/>
      <c r="Y493" s="61" t="n"/>
    </row>
    <row r="494" ht="14.25" customHeight="1" s="86">
      <c r="E494" s="53" t="inlineStr">
        <is>
          <t>GA</t>
        </is>
      </c>
      <c r="F494" s="53" t="inlineStr">
        <is>
          <t>MORGAN</t>
        </is>
      </c>
      <c r="G494" s="59" t="n"/>
      <c r="N494" s="59" t="n"/>
      <c r="O494" s="59" t="n"/>
      <c r="X494" s="61" t="n"/>
      <c r="Y494" s="61" t="n"/>
    </row>
    <row r="495" ht="14.25" customHeight="1" s="86">
      <c r="E495" s="53" t="inlineStr">
        <is>
          <t>GA</t>
        </is>
      </c>
      <c r="F495" s="53" t="inlineStr">
        <is>
          <t>MURRAY</t>
        </is>
      </c>
      <c r="G495" s="59" t="n"/>
      <c r="N495" s="59" t="n"/>
      <c r="O495" s="59" t="n"/>
      <c r="X495" s="61" t="n"/>
      <c r="Y495" s="61" t="n"/>
    </row>
    <row r="496" ht="14.25" customHeight="1" s="86">
      <c r="E496" s="53" t="inlineStr">
        <is>
          <t>GA</t>
        </is>
      </c>
      <c r="F496" s="53" t="inlineStr">
        <is>
          <t>MUSCOGEE</t>
        </is>
      </c>
      <c r="G496" s="59" t="n"/>
      <c r="N496" s="59" t="n"/>
      <c r="O496" s="59" t="n"/>
      <c r="X496" s="61" t="n"/>
      <c r="Y496" s="61" t="n"/>
    </row>
    <row r="497" ht="14.25" customHeight="1" s="86">
      <c r="E497" s="53" t="inlineStr">
        <is>
          <t>GA</t>
        </is>
      </c>
      <c r="F497" s="53" t="inlineStr">
        <is>
          <t>NEWTON</t>
        </is>
      </c>
      <c r="G497" s="59" t="n"/>
      <c r="N497" s="59" t="n"/>
      <c r="O497" s="59" t="n"/>
      <c r="X497" s="61" t="n"/>
      <c r="Y497" s="61" t="n"/>
    </row>
    <row r="498" ht="14.25" customHeight="1" s="86">
      <c r="E498" s="53" t="inlineStr">
        <is>
          <t>GA</t>
        </is>
      </c>
      <c r="F498" s="53" t="inlineStr">
        <is>
          <t>OCONEE</t>
        </is>
      </c>
      <c r="G498" s="59" t="n"/>
      <c r="N498" s="59" t="n"/>
      <c r="O498" s="59" t="n"/>
      <c r="X498" s="61" t="n"/>
      <c r="Y498" s="61" t="n"/>
    </row>
    <row r="499" ht="14.25" customHeight="1" s="86">
      <c r="E499" s="53" t="inlineStr">
        <is>
          <t>GA</t>
        </is>
      </c>
      <c r="F499" s="53" t="inlineStr">
        <is>
          <t>OGLETHORPE</t>
        </is>
      </c>
      <c r="G499" s="59" t="n"/>
      <c r="N499" s="59" t="n"/>
      <c r="O499" s="59" t="n"/>
      <c r="X499" s="61" t="n"/>
      <c r="Y499" s="61" t="n"/>
    </row>
    <row r="500" ht="14.25" customHeight="1" s="86">
      <c r="E500" s="53" t="inlineStr">
        <is>
          <t>GA</t>
        </is>
      </c>
      <c r="F500" s="53" t="inlineStr">
        <is>
          <t>PAULDING</t>
        </is>
      </c>
      <c r="G500" s="59" t="n"/>
      <c r="N500" s="59" t="n"/>
      <c r="O500" s="59" t="n"/>
      <c r="X500" s="61" t="n"/>
      <c r="Y500" s="61" t="n"/>
    </row>
    <row r="501" ht="14.25" customHeight="1" s="86">
      <c r="E501" s="53" t="inlineStr">
        <is>
          <t>GA</t>
        </is>
      </c>
      <c r="F501" s="53" t="inlineStr">
        <is>
          <t>PEACH</t>
        </is>
      </c>
      <c r="G501" s="59" t="n"/>
      <c r="N501" s="59" t="n"/>
      <c r="O501" s="59" t="n"/>
      <c r="X501" s="61" t="n"/>
      <c r="Y501" s="61" t="n"/>
    </row>
    <row r="502" ht="14.25" customHeight="1" s="86">
      <c r="E502" s="53" t="inlineStr">
        <is>
          <t>GA</t>
        </is>
      </c>
      <c r="F502" s="53" t="inlineStr">
        <is>
          <t>PICKENS</t>
        </is>
      </c>
      <c r="G502" s="59" t="n"/>
      <c r="N502" s="59" t="n"/>
      <c r="O502" s="59" t="n"/>
      <c r="X502" s="61" t="n"/>
      <c r="Y502" s="61" t="n"/>
    </row>
    <row r="503" ht="14.25" customHeight="1" s="86">
      <c r="E503" s="53" t="inlineStr">
        <is>
          <t>GA</t>
        </is>
      </c>
      <c r="F503" s="53" t="inlineStr">
        <is>
          <t>PIERCE</t>
        </is>
      </c>
      <c r="G503" s="59" t="n"/>
      <c r="N503" s="59" t="n"/>
      <c r="O503" s="59" t="n"/>
      <c r="X503" s="61" t="n"/>
      <c r="Y503" s="61" t="n"/>
    </row>
    <row r="504" ht="14.25" customHeight="1" s="86">
      <c r="E504" s="53" t="inlineStr">
        <is>
          <t>GA</t>
        </is>
      </c>
      <c r="F504" s="53" t="inlineStr">
        <is>
          <t>PIKE</t>
        </is>
      </c>
      <c r="G504" s="59" t="n"/>
      <c r="N504" s="59" t="n"/>
      <c r="O504" s="59" t="n"/>
      <c r="X504" s="61" t="n"/>
      <c r="Y504" s="61" t="n"/>
    </row>
    <row r="505" ht="14.25" customHeight="1" s="86">
      <c r="E505" s="53" t="inlineStr">
        <is>
          <t>GA</t>
        </is>
      </c>
      <c r="F505" s="53" t="inlineStr">
        <is>
          <t>POLK</t>
        </is>
      </c>
      <c r="G505" s="59" t="n"/>
      <c r="N505" s="59" t="n"/>
      <c r="O505" s="59" t="n"/>
      <c r="X505" s="61" t="n"/>
      <c r="Y505" s="61" t="n"/>
    </row>
    <row r="506" ht="14.25" customHeight="1" s="86">
      <c r="E506" s="53" t="inlineStr">
        <is>
          <t>GA</t>
        </is>
      </c>
      <c r="F506" s="53" t="inlineStr">
        <is>
          <t>PULASKI</t>
        </is>
      </c>
      <c r="G506" s="59" t="n"/>
      <c r="N506" s="59" t="n"/>
      <c r="O506" s="59" t="n"/>
      <c r="X506" s="61" t="n"/>
      <c r="Y506" s="61" t="n"/>
    </row>
    <row r="507" ht="14.25" customHeight="1" s="86">
      <c r="E507" s="53" t="inlineStr">
        <is>
          <t>GA</t>
        </is>
      </c>
      <c r="F507" s="53" t="inlineStr">
        <is>
          <t>PUTNAM</t>
        </is>
      </c>
      <c r="G507" s="59" t="n"/>
      <c r="N507" s="59" t="n"/>
      <c r="O507" s="59" t="n"/>
      <c r="X507" s="61" t="n"/>
      <c r="Y507" s="61" t="n"/>
    </row>
    <row r="508" ht="14.25" customHeight="1" s="86">
      <c r="E508" s="53" t="inlineStr">
        <is>
          <t>GA</t>
        </is>
      </c>
      <c r="F508" s="53" t="inlineStr">
        <is>
          <t>QUITMAN</t>
        </is>
      </c>
      <c r="G508" s="59" t="n"/>
      <c r="N508" s="59" t="n"/>
      <c r="O508" s="59" t="n"/>
      <c r="X508" s="61" t="n"/>
      <c r="Y508" s="61" t="n"/>
    </row>
    <row r="509" ht="14.25" customHeight="1" s="86">
      <c r="E509" s="53" t="inlineStr">
        <is>
          <t>GA</t>
        </is>
      </c>
      <c r="F509" s="53" t="inlineStr">
        <is>
          <t>RABUN</t>
        </is>
      </c>
      <c r="G509" s="59" t="n"/>
      <c r="N509" s="59" t="n"/>
      <c r="O509" s="59" t="n"/>
      <c r="X509" s="61" t="n"/>
      <c r="Y509" s="61" t="n"/>
    </row>
    <row r="510" ht="14.25" customHeight="1" s="86">
      <c r="E510" s="53" t="inlineStr">
        <is>
          <t>GA</t>
        </is>
      </c>
      <c r="F510" s="53" t="inlineStr">
        <is>
          <t>RANDOLPH</t>
        </is>
      </c>
      <c r="G510" s="59" t="n"/>
      <c r="N510" s="59" t="n"/>
      <c r="O510" s="59" t="n"/>
      <c r="X510" s="61" t="n"/>
      <c r="Y510" s="61" t="n"/>
    </row>
    <row r="511" ht="14.25" customHeight="1" s="86">
      <c r="E511" s="53" t="inlineStr">
        <is>
          <t>GA</t>
        </is>
      </c>
      <c r="F511" s="53" t="inlineStr">
        <is>
          <t>RICHMOND</t>
        </is>
      </c>
      <c r="G511" s="59" t="n"/>
      <c r="N511" s="59" t="n"/>
      <c r="O511" s="59" t="n"/>
      <c r="X511" s="61" t="n"/>
      <c r="Y511" s="61" t="n"/>
    </row>
    <row r="512" ht="14.25" customHeight="1" s="86">
      <c r="E512" s="53" t="inlineStr">
        <is>
          <t>GA</t>
        </is>
      </c>
      <c r="F512" s="53" t="inlineStr">
        <is>
          <t>ROCKDALE</t>
        </is>
      </c>
      <c r="G512" s="59" t="n"/>
      <c r="N512" s="59" t="n"/>
      <c r="O512" s="59" t="n"/>
      <c r="X512" s="61" t="n"/>
      <c r="Y512" s="61" t="n"/>
    </row>
    <row r="513" ht="14.25" customHeight="1" s="86">
      <c r="E513" s="53" t="inlineStr">
        <is>
          <t>GA</t>
        </is>
      </c>
      <c r="F513" s="53" t="inlineStr">
        <is>
          <t>SCHLEY</t>
        </is>
      </c>
      <c r="G513" s="59" t="n"/>
      <c r="N513" s="59" t="n"/>
      <c r="O513" s="59" t="n"/>
      <c r="X513" s="61" t="n"/>
      <c r="Y513" s="61" t="n"/>
    </row>
    <row r="514" ht="14.25" customHeight="1" s="86">
      <c r="E514" s="53" t="inlineStr">
        <is>
          <t>GA</t>
        </is>
      </c>
      <c r="F514" s="53" t="inlineStr">
        <is>
          <t>SCREVEN</t>
        </is>
      </c>
      <c r="G514" s="59" t="n"/>
      <c r="N514" s="59" t="n"/>
      <c r="O514" s="59" t="n"/>
      <c r="X514" s="61" t="n"/>
      <c r="Y514" s="61" t="n"/>
    </row>
    <row r="515" ht="14.25" customHeight="1" s="86">
      <c r="E515" s="53" t="inlineStr">
        <is>
          <t>GA</t>
        </is>
      </c>
      <c r="F515" s="53" t="inlineStr">
        <is>
          <t>SEMINOLE</t>
        </is>
      </c>
      <c r="G515" s="59" t="n"/>
      <c r="N515" s="59" t="n"/>
      <c r="O515" s="59" t="n"/>
      <c r="X515" s="61" t="n"/>
      <c r="Y515" s="61" t="n"/>
    </row>
    <row r="516" ht="14.25" customHeight="1" s="86">
      <c r="E516" s="53" t="inlineStr">
        <is>
          <t>GA</t>
        </is>
      </c>
      <c r="F516" s="53" t="inlineStr">
        <is>
          <t>SPALDING</t>
        </is>
      </c>
      <c r="G516" s="59" t="n"/>
      <c r="N516" s="59" t="n"/>
      <c r="O516" s="59" t="n"/>
      <c r="X516" s="61" t="n"/>
      <c r="Y516" s="61" t="n"/>
    </row>
    <row r="517" ht="14.25" customHeight="1" s="86">
      <c r="E517" s="53" t="inlineStr">
        <is>
          <t>GA</t>
        </is>
      </c>
      <c r="F517" s="53" t="inlineStr">
        <is>
          <t>STEPHENS</t>
        </is>
      </c>
      <c r="G517" s="59" t="n"/>
      <c r="N517" s="59" t="n"/>
      <c r="O517" s="59" t="n"/>
      <c r="X517" s="61" t="n"/>
      <c r="Y517" s="61" t="n"/>
    </row>
    <row r="518" ht="14.25" customHeight="1" s="86">
      <c r="E518" s="53" t="inlineStr">
        <is>
          <t>GA</t>
        </is>
      </c>
      <c r="F518" s="53" t="inlineStr">
        <is>
          <t>STEWART</t>
        </is>
      </c>
      <c r="G518" s="59" t="n"/>
      <c r="N518" s="59" t="n"/>
      <c r="O518" s="59" t="n"/>
      <c r="X518" s="61" t="n"/>
      <c r="Y518" s="61" t="n"/>
    </row>
    <row r="519" ht="14.25" customHeight="1" s="86">
      <c r="E519" s="53" t="inlineStr">
        <is>
          <t>GA</t>
        </is>
      </c>
      <c r="F519" s="53" t="inlineStr">
        <is>
          <t>SUMTER</t>
        </is>
      </c>
      <c r="G519" s="59" t="n"/>
      <c r="N519" s="59" t="n"/>
      <c r="O519" s="59" t="n"/>
      <c r="X519" s="61" t="n"/>
      <c r="Y519" s="61" t="n"/>
    </row>
    <row r="520" ht="14.25" customHeight="1" s="86">
      <c r="E520" s="53" t="inlineStr">
        <is>
          <t>GA</t>
        </is>
      </c>
      <c r="F520" s="53" t="inlineStr">
        <is>
          <t>TALBOT</t>
        </is>
      </c>
      <c r="G520" s="59" t="n"/>
      <c r="N520" s="59" t="n"/>
      <c r="O520" s="59" t="n"/>
      <c r="X520" s="61" t="n"/>
      <c r="Y520" s="61" t="n"/>
    </row>
    <row r="521" ht="14.25" customHeight="1" s="86">
      <c r="E521" s="53" t="inlineStr">
        <is>
          <t>GA</t>
        </is>
      </c>
      <c r="F521" s="53" t="inlineStr">
        <is>
          <t>TALIAFERRO</t>
        </is>
      </c>
      <c r="G521" s="59" t="n"/>
      <c r="N521" s="59" t="n"/>
      <c r="O521" s="59" t="n"/>
      <c r="X521" s="61" t="n"/>
      <c r="Y521" s="61" t="n"/>
    </row>
    <row r="522" ht="14.25" customHeight="1" s="86">
      <c r="E522" s="53" t="inlineStr">
        <is>
          <t>GA</t>
        </is>
      </c>
      <c r="F522" s="53" t="inlineStr">
        <is>
          <t>TATTNALL</t>
        </is>
      </c>
      <c r="G522" s="59" t="n"/>
      <c r="N522" s="59" t="n"/>
      <c r="O522" s="59" t="n"/>
      <c r="X522" s="61" t="n"/>
      <c r="Y522" s="61" t="n"/>
    </row>
    <row r="523" ht="14.25" customHeight="1" s="86">
      <c r="E523" s="53" t="inlineStr">
        <is>
          <t>GA</t>
        </is>
      </c>
      <c r="F523" s="53" t="inlineStr">
        <is>
          <t>TAYLOR</t>
        </is>
      </c>
      <c r="G523" s="59" t="n"/>
      <c r="N523" s="59" t="n"/>
      <c r="O523" s="59" t="n"/>
      <c r="X523" s="61" t="n"/>
      <c r="Y523" s="61" t="n"/>
    </row>
    <row r="524" ht="14.25" customHeight="1" s="86">
      <c r="E524" s="53" t="inlineStr">
        <is>
          <t>GA</t>
        </is>
      </c>
      <c r="F524" s="53" t="inlineStr">
        <is>
          <t>TELFAIR</t>
        </is>
      </c>
      <c r="G524" s="59" t="n"/>
      <c r="N524" s="59" t="n"/>
      <c r="O524" s="59" t="n"/>
      <c r="X524" s="61" t="n"/>
      <c r="Y524" s="61" t="n"/>
    </row>
    <row r="525" ht="14.25" customHeight="1" s="86">
      <c r="E525" s="53" t="inlineStr">
        <is>
          <t>GA</t>
        </is>
      </c>
      <c r="F525" s="53" t="inlineStr">
        <is>
          <t>TERRELL</t>
        </is>
      </c>
      <c r="G525" s="59" t="n"/>
      <c r="N525" s="59" t="n"/>
      <c r="O525" s="59" t="n"/>
      <c r="X525" s="61" t="n"/>
      <c r="Y525" s="61" t="n"/>
    </row>
    <row r="526" ht="14.25" customHeight="1" s="86">
      <c r="E526" s="53" t="inlineStr">
        <is>
          <t>GA</t>
        </is>
      </c>
      <c r="F526" s="53" t="inlineStr">
        <is>
          <t>THOMAS</t>
        </is>
      </c>
      <c r="G526" s="59" t="n"/>
      <c r="N526" s="59" t="n"/>
      <c r="O526" s="59" t="n"/>
      <c r="X526" s="61" t="n"/>
      <c r="Y526" s="61" t="n"/>
    </row>
    <row r="527" ht="14.25" customHeight="1" s="86">
      <c r="E527" s="53" t="inlineStr">
        <is>
          <t>GA</t>
        </is>
      </c>
      <c r="F527" s="53" t="inlineStr">
        <is>
          <t>TIFT</t>
        </is>
      </c>
      <c r="G527" s="59" t="n"/>
      <c r="N527" s="59" t="n"/>
      <c r="O527" s="59" t="n"/>
      <c r="X527" s="61" t="n"/>
      <c r="Y527" s="61" t="n"/>
    </row>
    <row r="528" ht="14.25" customHeight="1" s="86">
      <c r="E528" s="53" t="inlineStr">
        <is>
          <t>GA</t>
        </is>
      </c>
      <c r="F528" s="53" t="inlineStr">
        <is>
          <t>TOOMBS</t>
        </is>
      </c>
      <c r="G528" s="59" t="n"/>
      <c r="N528" s="59" t="n"/>
      <c r="O528" s="59" t="n"/>
      <c r="X528" s="61" t="n"/>
      <c r="Y528" s="61" t="n"/>
    </row>
    <row r="529" ht="14.25" customHeight="1" s="86">
      <c r="E529" s="53" t="inlineStr">
        <is>
          <t>GA</t>
        </is>
      </c>
      <c r="F529" s="53" t="inlineStr">
        <is>
          <t>TOWNS</t>
        </is>
      </c>
      <c r="G529" s="59" t="n"/>
      <c r="N529" s="59" t="n"/>
      <c r="O529" s="59" t="n"/>
      <c r="X529" s="61" t="n"/>
      <c r="Y529" s="61" t="n"/>
    </row>
    <row r="530" ht="14.25" customHeight="1" s="86">
      <c r="E530" s="53" t="inlineStr">
        <is>
          <t>GA</t>
        </is>
      </c>
      <c r="F530" s="53" t="inlineStr">
        <is>
          <t>TREUTLEN</t>
        </is>
      </c>
      <c r="G530" s="59" t="n"/>
      <c r="N530" s="59" t="n"/>
      <c r="O530" s="59" t="n"/>
      <c r="X530" s="61" t="n"/>
      <c r="Y530" s="61" t="n"/>
    </row>
    <row r="531" ht="14.25" customHeight="1" s="86">
      <c r="E531" s="53" t="inlineStr">
        <is>
          <t>GA</t>
        </is>
      </c>
      <c r="F531" s="53" t="inlineStr">
        <is>
          <t>TROUP</t>
        </is>
      </c>
      <c r="G531" s="59" t="n"/>
      <c r="N531" s="59" t="n"/>
      <c r="O531" s="59" t="n"/>
      <c r="X531" s="61" t="n"/>
      <c r="Y531" s="61" t="n"/>
    </row>
    <row r="532" ht="14.25" customHeight="1" s="86">
      <c r="E532" s="53" t="inlineStr">
        <is>
          <t>GA</t>
        </is>
      </c>
      <c r="F532" s="53" t="inlineStr">
        <is>
          <t>TURNER</t>
        </is>
      </c>
      <c r="G532" s="59" t="n"/>
      <c r="N532" s="59" t="n"/>
      <c r="O532" s="59" t="n"/>
      <c r="X532" s="61" t="n"/>
      <c r="Y532" s="61" t="n"/>
    </row>
    <row r="533" ht="14.25" customHeight="1" s="86">
      <c r="E533" s="53" t="inlineStr">
        <is>
          <t>GA</t>
        </is>
      </c>
      <c r="F533" s="53" t="inlineStr">
        <is>
          <t>TWIGGS</t>
        </is>
      </c>
      <c r="G533" s="59" t="n"/>
      <c r="N533" s="59" t="n"/>
      <c r="O533" s="59" t="n"/>
      <c r="X533" s="61" t="n"/>
      <c r="Y533" s="61" t="n"/>
    </row>
    <row r="534" ht="14.25" customHeight="1" s="86">
      <c r="E534" s="53" t="inlineStr">
        <is>
          <t>GA</t>
        </is>
      </c>
      <c r="F534" s="53" t="inlineStr">
        <is>
          <t>UNION</t>
        </is>
      </c>
      <c r="G534" s="59" t="n"/>
      <c r="N534" s="59" t="n"/>
      <c r="O534" s="59" t="n"/>
      <c r="X534" s="61" t="n"/>
      <c r="Y534" s="61" t="n"/>
    </row>
    <row r="535" ht="14.25" customHeight="1" s="86">
      <c r="E535" s="53" t="inlineStr">
        <is>
          <t>GA</t>
        </is>
      </c>
      <c r="F535" s="53" t="inlineStr">
        <is>
          <t>UPSON</t>
        </is>
      </c>
      <c r="G535" s="59" t="n"/>
      <c r="N535" s="59" t="n"/>
      <c r="O535" s="59" t="n"/>
      <c r="X535" s="61" t="n"/>
      <c r="Y535" s="61" t="n"/>
    </row>
    <row r="536" ht="14.25" customHeight="1" s="86">
      <c r="E536" s="53" t="inlineStr">
        <is>
          <t>GA</t>
        </is>
      </c>
      <c r="F536" s="53" t="inlineStr">
        <is>
          <t>WALKER</t>
        </is>
      </c>
      <c r="G536" s="59" t="n"/>
      <c r="N536" s="59" t="n"/>
      <c r="O536" s="59" t="n"/>
      <c r="X536" s="61" t="n"/>
      <c r="Y536" s="61" t="n"/>
    </row>
    <row r="537" ht="14.25" customHeight="1" s="86">
      <c r="E537" s="53" t="inlineStr">
        <is>
          <t>GA</t>
        </is>
      </c>
      <c r="F537" s="53" t="inlineStr">
        <is>
          <t>WALTON</t>
        </is>
      </c>
      <c r="G537" s="59" t="n"/>
      <c r="N537" s="59" t="n"/>
      <c r="O537" s="59" t="n"/>
      <c r="X537" s="61" t="n"/>
      <c r="Y537" s="61" t="n"/>
    </row>
    <row r="538" ht="14.25" customHeight="1" s="86">
      <c r="E538" s="53" t="inlineStr">
        <is>
          <t>GA</t>
        </is>
      </c>
      <c r="F538" s="53" t="inlineStr">
        <is>
          <t>WARE</t>
        </is>
      </c>
      <c r="G538" s="59" t="n"/>
      <c r="N538" s="59" t="n"/>
      <c r="O538" s="59" t="n"/>
      <c r="X538" s="61" t="n"/>
      <c r="Y538" s="61" t="n"/>
    </row>
    <row r="539" ht="14.25" customHeight="1" s="86">
      <c r="E539" s="53" t="inlineStr">
        <is>
          <t>GA</t>
        </is>
      </c>
      <c r="F539" s="53" t="inlineStr">
        <is>
          <t>WARREN</t>
        </is>
      </c>
      <c r="G539" s="59" t="n"/>
      <c r="N539" s="59" t="n"/>
      <c r="O539" s="59" t="n"/>
      <c r="X539" s="61" t="n"/>
      <c r="Y539" s="61" t="n"/>
    </row>
    <row r="540" ht="14.25" customHeight="1" s="86">
      <c r="E540" s="53" t="inlineStr">
        <is>
          <t>GA</t>
        </is>
      </c>
      <c r="F540" s="53" t="inlineStr">
        <is>
          <t>WASHINGTON</t>
        </is>
      </c>
      <c r="G540" s="59" t="n"/>
      <c r="N540" s="59" t="n"/>
      <c r="O540" s="59" t="n"/>
      <c r="X540" s="61" t="n"/>
      <c r="Y540" s="61" t="n"/>
    </row>
    <row r="541" ht="14.25" customHeight="1" s="86">
      <c r="E541" s="53" t="inlineStr">
        <is>
          <t>GA</t>
        </is>
      </c>
      <c r="F541" s="53" t="inlineStr">
        <is>
          <t>WAYNE</t>
        </is>
      </c>
      <c r="G541" s="59" t="n"/>
      <c r="N541" s="59" t="n"/>
      <c r="O541" s="59" t="n"/>
      <c r="X541" s="61" t="n"/>
      <c r="Y541" s="61" t="n"/>
    </row>
    <row r="542" ht="14.25" customHeight="1" s="86">
      <c r="E542" s="53" t="inlineStr">
        <is>
          <t>GA</t>
        </is>
      </c>
      <c r="F542" s="53" t="inlineStr">
        <is>
          <t>WEBSTER</t>
        </is>
      </c>
      <c r="G542" s="59" t="n"/>
      <c r="N542" s="59" t="n"/>
      <c r="O542" s="59" t="n"/>
      <c r="X542" s="61" t="n"/>
      <c r="Y542" s="61" t="n"/>
    </row>
    <row r="543" ht="14.25" customHeight="1" s="86">
      <c r="E543" s="53" t="inlineStr">
        <is>
          <t>GA</t>
        </is>
      </c>
      <c r="F543" s="53" t="inlineStr">
        <is>
          <t>WHEELER</t>
        </is>
      </c>
      <c r="G543" s="59" t="n"/>
      <c r="N543" s="59" t="n"/>
      <c r="O543" s="59" t="n"/>
      <c r="X543" s="61" t="n"/>
      <c r="Y543" s="61" t="n"/>
    </row>
    <row r="544" ht="14.25" customHeight="1" s="86">
      <c r="E544" s="53" t="inlineStr">
        <is>
          <t>GA</t>
        </is>
      </c>
      <c r="F544" s="53" t="inlineStr">
        <is>
          <t>WHITE</t>
        </is>
      </c>
      <c r="G544" s="59" t="n"/>
      <c r="N544" s="59" t="n"/>
      <c r="O544" s="59" t="n"/>
      <c r="X544" s="61" t="n"/>
      <c r="Y544" s="61" t="n"/>
    </row>
    <row r="545" ht="14.25" customHeight="1" s="86">
      <c r="E545" s="53" t="inlineStr">
        <is>
          <t>GA</t>
        </is>
      </c>
      <c r="F545" s="53" t="inlineStr">
        <is>
          <t>WHITFIELD</t>
        </is>
      </c>
      <c r="G545" s="59" t="n"/>
      <c r="N545" s="59" t="n"/>
      <c r="O545" s="59" t="n"/>
      <c r="X545" s="61" t="n"/>
      <c r="Y545" s="61" t="n"/>
    </row>
    <row r="546" ht="14.25" customHeight="1" s="86">
      <c r="E546" s="53" t="inlineStr">
        <is>
          <t>GA</t>
        </is>
      </c>
      <c r="F546" s="53" t="inlineStr">
        <is>
          <t>WILCOX</t>
        </is>
      </c>
      <c r="G546" s="69" t="n"/>
      <c r="N546" s="59" t="n"/>
      <c r="O546" s="59" t="n"/>
      <c r="X546" s="61" t="n"/>
      <c r="Y546" s="61" t="n"/>
    </row>
    <row r="547" ht="14.25" customHeight="1" s="86">
      <c r="E547" s="53" t="inlineStr">
        <is>
          <t>GA</t>
        </is>
      </c>
      <c r="F547" s="53" t="inlineStr">
        <is>
          <t>WILKES</t>
        </is>
      </c>
      <c r="G547" s="69" t="n"/>
      <c r="N547" s="59" t="n"/>
      <c r="O547" s="59" t="n"/>
      <c r="X547" s="61" t="n"/>
      <c r="Y547" s="61" t="n"/>
    </row>
    <row r="548" ht="14.25" customHeight="1" s="86">
      <c r="E548" s="53" t="inlineStr">
        <is>
          <t>GA</t>
        </is>
      </c>
      <c r="F548" s="53" t="inlineStr">
        <is>
          <t>WILKINSON</t>
        </is>
      </c>
      <c r="G548" s="69" t="n"/>
      <c r="N548" s="59" t="n"/>
      <c r="O548" s="59" t="n"/>
      <c r="X548" s="61" t="n"/>
      <c r="Y548" s="61" t="n"/>
    </row>
    <row r="549" ht="14.25" customHeight="1" s="86">
      <c r="E549" s="53" t="inlineStr">
        <is>
          <t>GA</t>
        </is>
      </c>
      <c r="F549" s="53" t="inlineStr">
        <is>
          <t>WORTH</t>
        </is>
      </c>
      <c r="G549" s="69" t="n"/>
      <c r="N549" s="59" t="n"/>
      <c r="O549" s="59" t="n"/>
      <c r="X549" s="61" t="n"/>
      <c r="Y549" s="61" t="n"/>
    </row>
    <row r="550" ht="14.25" customHeight="1" s="86">
      <c r="E550" s="53" t="inlineStr">
        <is>
          <t>GU</t>
        </is>
      </c>
      <c r="F550" s="53" t="inlineStr">
        <is>
          <t>GUAM</t>
        </is>
      </c>
      <c r="G550" s="69" t="n"/>
      <c r="N550" s="59" t="n"/>
      <c r="O550" s="59" t="n"/>
      <c r="X550" s="61" t="n"/>
      <c r="Y550" s="61" t="n"/>
    </row>
    <row r="551" ht="14.25" customHeight="1" s="86">
      <c r="E551" s="53" t="inlineStr">
        <is>
          <t>HI</t>
        </is>
      </c>
      <c r="F551" s="53" t="inlineStr">
        <is>
          <t>HAWAII</t>
        </is>
      </c>
      <c r="G551" s="59" t="n"/>
      <c r="N551" s="59" t="n"/>
      <c r="O551" s="59" t="n"/>
      <c r="X551" s="61" t="n"/>
      <c r="Y551" s="61" t="n"/>
    </row>
    <row r="552" ht="14.25" customHeight="1" s="86">
      <c r="E552" s="53" t="inlineStr">
        <is>
          <t>HI</t>
        </is>
      </c>
      <c r="F552" s="53" t="inlineStr">
        <is>
          <t>HONOLULU</t>
        </is>
      </c>
      <c r="G552" s="59" t="n"/>
      <c r="N552" s="59" t="n"/>
      <c r="O552" s="59" t="n"/>
      <c r="X552" s="61" t="n"/>
      <c r="Y552" s="61" t="n"/>
    </row>
    <row r="553" ht="14.25" customHeight="1" s="86">
      <c r="E553" s="53" t="inlineStr">
        <is>
          <t>HI</t>
        </is>
      </c>
      <c r="F553" s="53" t="inlineStr">
        <is>
          <t>KALAWAO</t>
        </is>
      </c>
      <c r="G553" s="59" t="n"/>
      <c r="N553" s="59" t="n"/>
      <c r="O553" s="59" t="n"/>
      <c r="X553" s="61" t="n"/>
      <c r="Y553" s="61" t="n"/>
    </row>
    <row r="554" ht="14.25" customHeight="1" s="86">
      <c r="E554" s="53" t="inlineStr">
        <is>
          <t>HI</t>
        </is>
      </c>
      <c r="F554" s="53" t="inlineStr">
        <is>
          <t>KAUAI</t>
        </is>
      </c>
      <c r="G554" s="59" t="n"/>
      <c r="N554" s="59" t="n"/>
      <c r="O554" s="59" t="n"/>
      <c r="X554" s="61" t="n"/>
      <c r="Y554" s="61" t="n"/>
    </row>
    <row r="555" ht="14.25" customHeight="1" s="86">
      <c r="E555" s="53" t="inlineStr">
        <is>
          <t>HI</t>
        </is>
      </c>
      <c r="F555" s="53" t="inlineStr">
        <is>
          <t>MAUI</t>
        </is>
      </c>
      <c r="G555" s="59" t="n"/>
      <c r="N555" s="59" t="n"/>
      <c r="O555" s="59" t="n"/>
      <c r="X555" s="61" t="n"/>
      <c r="Y555" s="61" t="n"/>
    </row>
    <row r="556" ht="14.25" customHeight="1" s="86">
      <c r="E556" s="53" t="inlineStr">
        <is>
          <t>IA</t>
        </is>
      </c>
      <c r="F556" s="53" t="inlineStr">
        <is>
          <t>ADAIR</t>
        </is>
      </c>
      <c r="G556" s="59" t="n"/>
      <c r="N556" s="59" t="n"/>
      <c r="O556" s="59" t="n"/>
      <c r="X556" s="61" t="n"/>
      <c r="Y556" s="61" t="n"/>
    </row>
    <row r="557" ht="14.25" customHeight="1" s="86">
      <c r="E557" s="53" t="inlineStr">
        <is>
          <t>IA</t>
        </is>
      </c>
      <c r="F557" s="53" t="inlineStr">
        <is>
          <t>ADAMS</t>
        </is>
      </c>
      <c r="G557" s="59" t="n"/>
      <c r="N557" s="59" t="n"/>
      <c r="O557" s="59" t="n"/>
      <c r="X557" s="61" t="n"/>
      <c r="Y557" s="61" t="n"/>
    </row>
    <row r="558" ht="14.25" customHeight="1" s="86">
      <c r="E558" s="53" t="inlineStr">
        <is>
          <t>IA</t>
        </is>
      </c>
      <c r="F558" s="53" t="inlineStr">
        <is>
          <t>ALLAMAKEE</t>
        </is>
      </c>
      <c r="G558" s="59" t="n"/>
      <c r="N558" s="59" t="n"/>
      <c r="O558" s="59" t="n"/>
      <c r="X558" s="61" t="n"/>
      <c r="Y558" s="61" t="n"/>
    </row>
    <row r="559" ht="14.25" customHeight="1" s="86">
      <c r="E559" s="53" t="inlineStr">
        <is>
          <t>IA</t>
        </is>
      </c>
      <c r="F559" s="53" t="inlineStr">
        <is>
          <t>APPANOOSE</t>
        </is>
      </c>
      <c r="G559" s="59" t="n"/>
      <c r="N559" s="59" t="n"/>
      <c r="O559" s="59" t="n"/>
      <c r="X559" s="61" t="n"/>
      <c r="Y559" s="61" t="n"/>
    </row>
    <row r="560" ht="14.25" customHeight="1" s="86">
      <c r="E560" s="53" t="inlineStr">
        <is>
          <t>IA</t>
        </is>
      </c>
      <c r="F560" s="53" t="inlineStr">
        <is>
          <t>AUDUBON</t>
        </is>
      </c>
      <c r="G560" s="59" t="n"/>
      <c r="N560" s="59" t="n"/>
      <c r="O560" s="59" t="n"/>
      <c r="X560" s="61" t="n"/>
      <c r="Y560" s="61" t="n"/>
    </row>
    <row r="561" ht="14.25" customHeight="1" s="86">
      <c r="E561" s="53" t="inlineStr">
        <is>
          <t>IA</t>
        </is>
      </c>
      <c r="F561" s="53" t="inlineStr">
        <is>
          <t>BENTON</t>
        </is>
      </c>
      <c r="G561" s="59" t="n"/>
      <c r="N561" s="59" t="n"/>
      <c r="O561" s="59" t="n"/>
      <c r="X561" s="61" t="n"/>
      <c r="Y561" s="61" t="n"/>
    </row>
    <row r="562" ht="14.25" customHeight="1" s="86">
      <c r="E562" s="53" t="inlineStr">
        <is>
          <t>IA</t>
        </is>
      </c>
      <c r="F562" s="53" t="inlineStr">
        <is>
          <t>BLACK HAWK</t>
        </is>
      </c>
      <c r="G562" s="59" t="n"/>
      <c r="N562" s="59" t="n"/>
      <c r="O562" s="59" t="n"/>
      <c r="X562" s="61" t="n"/>
      <c r="Y562" s="61" t="n"/>
    </row>
    <row r="563" ht="14.25" customHeight="1" s="86">
      <c r="E563" s="53" t="inlineStr">
        <is>
          <t>IA</t>
        </is>
      </c>
      <c r="F563" s="53" t="inlineStr">
        <is>
          <t>BOONE</t>
        </is>
      </c>
      <c r="G563" s="59" t="n"/>
      <c r="N563" s="59" t="n"/>
      <c r="O563" s="59" t="n"/>
      <c r="X563" s="61" t="n"/>
      <c r="Y563" s="61" t="n"/>
    </row>
    <row r="564" ht="14.25" customHeight="1" s="86">
      <c r="E564" s="53" t="inlineStr">
        <is>
          <t>IA</t>
        </is>
      </c>
      <c r="F564" s="53" t="inlineStr">
        <is>
          <t>BREMER</t>
        </is>
      </c>
      <c r="G564" s="59" t="n"/>
      <c r="N564" s="59" t="n"/>
      <c r="O564" s="59" t="n"/>
      <c r="X564" s="61" t="n"/>
      <c r="Y564" s="61" t="n"/>
    </row>
    <row r="565" ht="14.25" customHeight="1" s="86">
      <c r="E565" s="53" t="inlineStr">
        <is>
          <t>IA</t>
        </is>
      </c>
      <c r="F565" s="53" t="inlineStr">
        <is>
          <t>BUCHANAN</t>
        </is>
      </c>
      <c r="G565" s="59" t="n"/>
      <c r="N565" s="59" t="n"/>
      <c r="O565" s="59" t="n"/>
      <c r="X565" s="61" t="n"/>
      <c r="Y565" s="61" t="n"/>
    </row>
    <row r="566" ht="14.25" customHeight="1" s="86">
      <c r="E566" s="53" t="inlineStr">
        <is>
          <t>IA</t>
        </is>
      </c>
      <c r="F566" s="53" t="inlineStr">
        <is>
          <t>BUENA VISTA</t>
        </is>
      </c>
      <c r="G566" s="59" t="n"/>
      <c r="N566" s="59" t="n"/>
      <c r="O566" s="59" t="n"/>
      <c r="X566" s="61" t="n"/>
      <c r="Y566" s="61" t="n"/>
    </row>
    <row r="567" ht="14.25" customHeight="1" s="86">
      <c r="E567" s="53" t="inlineStr">
        <is>
          <t>IA</t>
        </is>
      </c>
      <c r="F567" s="53" t="inlineStr">
        <is>
          <t>BUTLER</t>
        </is>
      </c>
      <c r="G567" s="59" t="n"/>
      <c r="N567" s="59" t="n"/>
      <c r="O567" s="59" t="n"/>
      <c r="X567" s="61" t="n"/>
      <c r="Y567" s="61" t="n"/>
    </row>
    <row r="568" ht="14.25" customHeight="1" s="86">
      <c r="E568" s="53" t="inlineStr">
        <is>
          <t>IA</t>
        </is>
      </c>
      <c r="F568" s="53" t="inlineStr">
        <is>
          <t>CALHOUN</t>
        </is>
      </c>
      <c r="G568" s="59" t="n"/>
      <c r="N568" s="59" t="n"/>
      <c r="O568" s="59" t="n"/>
      <c r="X568" s="61" t="n"/>
      <c r="Y568" s="61" t="n"/>
    </row>
    <row r="569" ht="14.25" customHeight="1" s="86">
      <c r="E569" s="53" t="inlineStr">
        <is>
          <t>IA</t>
        </is>
      </c>
      <c r="F569" s="53" t="inlineStr">
        <is>
          <t>CARROLL</t>
        </is>
      </c>
      <c r="G569" s="59" t="n"/>
      <c r="N569" s="59" t="n"/>
      <c r="O569" s="59" t="n"/>
      <c r="X569" s="61" t="n"/>
      <c r="Y569" s="61" t="n"/>
    </row>
    <row r="570" ht="14.25" customHeight="1" s="86">
      <c r="E570" s="53" t="inlineStr">
        <is>
          <t>IA</t>
        </is>
      </c>
      <c r="F570" s="53" t="inlineStr">
        <is>
          <t>CASS</t>
        </is>
      </c>
      <c r="G570" s="59" t="n"/>
      <c r="N570" s="59" t="n"/>
      <c r="O570" s="59" t="n"/>
      <c r="X570" s="61" t="n"/>
      <c r="Y570" s="61" t="n"/>
    </row>
    <row r="571" ht="14.25" customHeight="1" s="86">
      <c r="E571" s="53" t="inlineStr">
        <is>
          <t>IA</t>
        </is>
      </c>
      <c r="F571" s="53" t="inlineStr">
        <is>
          <t>CEDAR</t>
        </is>
      </c>
      <c r="G571" s="59" t="n"/>
      <c r="N571" s="59" t="n"/>
      <c r="O571" s="59" t="n"/>
      <c r="X571" s="61" t="n"/>
      <c r="Y571" s="61" t="n"/>
    </row>
    <row r="572" ht="14.25" customHeight="1" s="86">
      <c r="E572" s="53" t="inlineStr">
        <is>
          <t>IA</t>
        </is>
      </c>
      <c r="F572" s="53" t="inlineStr">
        <is>
          <t>CERRO GORDO</t>
        </is>
      </c>
      <c r="G572" s="59" t="n"/>
      <c r="N572" s="59" t="n"/>
      <c r="O572" s="59" t="n"/>
      <c r="X572" s="61" t="n"/>
      <c r="Y572" s="61" t="n"/>
    </row>
    <row r="573" ht="14.25" customHeight="1" s="86">
      <c r="E573" s="53" t="inlineStr">
        <is>
          <t>IA</t>
        </is>
      </c>
      <c r="F573" s="53" t="inlineStr">
        <is>
          <t>CHEROKEE</t>
        </is>
      </c>
      <c r="G573" s="59" t="n"/>
      <c r="N573" s="59" t="n"/>
      <c r="O573" s="59" t="n"/>
      <c r="X573" s="61" t="n"/>
      <c r="Y573" s="61" t="n"/>
    </row>
    <row r="574" ht="14.25" customHeight="1" s="86">
      <c r="E574" s="53" t="inlineStr">
        <is>
          <t>IA</t>
        </is>
      </c>
      <c r="F574" s="53" t="inlineStr">
        <is>
          <t>CHICKASAW</t>
        </is>
      </c>
      <c r="G574" s="59" t="n"/>
      <c r="N574" s="59" t="n"/>
      <c r="O574" s="59" t="n"/>
      <c r="X574" s="61" t="n"/>
      <c r="Y574" s="61" t="n"/>
    </row>
    <row r="575" ht="14.25" customHeight="1" s="86">
      <c r="E575" s="53" t="inlineStr">
        <is>
          <t>IA</t>
        </is>
      </c>
      <c r="F575" s="53" t="inlineStr">
        <is>
          <t>CLARKE</t>
        </is>
      </c>
      <c r="G575" s="59" t="n"/>
      <c r="N575" s="59" t="n"/>
      <c r="O575" s="59" t="n"/>
      <c r="X575" s="61" t="n"/>
      <c r="Y575" s="61" t="n"/>
    </row>
    <row r="576" ht="14.25" customHeight="1" s="86">
      <c r="E576" s="53" t="inlineStr">
        <is>
          <t>IA</t>
        </is>
      </c>
      <c r="F576" s="53" t="inlineStr">
        <is>
          <t>CLAY</t>
        </is>
      </c>
      <c r="G576" s="59" t="n"/>
      <c r="N576" s="59" t="n"/>
      <c r="O576" s="59" t="n"/>
      <c r="X576" s="61" t="n"/>
      <c r="Y576" s="61" t="n"/>
    </row>
    <row r="577" ht="14.25" customHeight="1" s="86">
      <c r="E577" s="53" t="inlineStr">
        <is>
          <t>IA</t>
        </is>
      </c>
      <c r="F577" s="53" t="inlineStr">
        <is>
          <t>CLAYTON</t>
        </is>
      </c>
      <c r="G577" s="59" t="n"/>
      <c r="N577" s="59" t="n"/>
      <c r="O577" s="59" t="n"/>
      <c r="X577" s="61" t="n"/>
      <c r="Y577" s="61" t="n"/>
    </row>
    <row r="578" ht="14.25" customHeight="1" s="86">
      <c r="E578" s="53" t="inlineStr">
        <is>
          <t>IA</t>
        </is>
      </c>
      <c r="F578" s="53" t="inlineStr">
        <is>
          <t>CLINTON</t>
        </is>
      </c>
      <c r="G578" s="59" t="n"/>
      <c r="N578" s="59" t="n"/>
      <c r="O578" s="59" t="n"/>
      <c r="X578" s="61" t="n"/>
      <c r="Y578" s="61" t="n"/>
    </row>
    <row r="579" ht="14.25" customHeight="1" s="86">
      <c r="E579" s="53" t="inlineStr">
        <is>
          <t>IA</t>
        </is>
      </c>
      <c r="F579" s="53" t="inlineStr">
        <is>
          <t>CRAWFORD</t>
        </is>
      </c>
      <c r="G579" s="59" t="n"/>
      <c r="N579" s="59" t="n"/>
      <c r="O579" s="59" t="n"/>
      <c r="X579" s="61" t="n"/>
      <c r="Y579" s="61" t="n"/>
    </row>
    <row r="580" ht="14.25" customHeight="1" s="86">
      <c r="E580" s="53" t="inlineStr">
        <is>
          <t>IA</t>
        </is>
      </c>
      <c r="F580" s="53" t="inlineStr">
        <is>
          <t>DALLAS</t>
        </is>
      </c>
      <c r="G580" s="59" t="n"/>
      <c r="N580" s="59" t="n"/>
      <c r="O580" s="59" t="n"/>
      <c r="X580" s="61" t="n"/>
      <c r="Y580" s="61" t="n"/>
    </row>
    <row r="581" ht="14.25" customHeight="1" s="86">
      <c r="E581" s="53" t="inlineStr">
        <is>
          <t>IA</t>
        </is>
      </c>
      <c r="F581" s="53" t="inlineStr">
        <is>
          <t>DAVIS</t>
        </is>
      </c>
      <c r="G581" s="59" t="n"/>
      <c r="N581" s="59" t="n"/>
      <c r="O581" s="59" t="n"/>
      <c r="X581" s="61" t="n"/>
      <c r="Y581" s="61" t="n"/>
    </row>
    <row r="582" ht="14.25" customHeight="1" s="86">
      <c r="E582" s="53" t="inlineStr">
        <is>
          <t>IA</t>
        </is>
      </c>
      <c r="F582" s="53" t="inlineStr">
        <is>
          <t>DECATUR</t>
        </is>
      </c>
      <c r="G582" s="59" t="n"/>
      <c r="N582" s="59" t="n"/>
      <c r="O582" s="59" t="n"/>
      <c r="X582" s="61" t="n"/>
      <c r="Y582" s="61" t="n"/>
    </row>
    <row r="583" ht="14.25" customHeight="1" s="86">
      <c r="E583" s="53" t="inlineStr">
        <is>
          <t>IA</t>
        </is>
      </c>
      <c r="F583" s="53" t="inlineStr">
        <is>
          <t>DELAWARE</t>
        </is>
      </c>
      <c r="G583" s="59" t="n"/>
      <c r="N583" s="59" t="n"/>
      <c r="O583" s="59" t="n"/>
      <c r="X583" s="61" t="n"/>
      <c r="Y583" s="61" t="n"/>
    </row>
    <row r="584" ht="14.25" customHeight="1" s="86">
      <c r="E584" s="53" t="inlineStr">
        <is>
          <t>IA</t>
        </is>
      </c>
      <c r="F584" s="53" t="inlineStr">
        <is>
          <t>DES MOINES</t>
        </is>
      </c>
      <c r="G584" s="59" t="n"/>
      <c r="N584" s="59" t="n"/>
      <c r="O584" s="59" t="n"/>
      <c r="X584" s="61" t="n"/>
      <c r="Y584" s="61" t="n"/>
    </row>
    <row r="585" ht="14.25" customHeight="1" s="86">
      <c r="E585" s="53" t="inlineStr">
        <is>
          <t>IA</t>
        </is>
      </c>
      <c r="F585" s="53" t="inlineStr">
        <is>
          <t>DICKINSON</t>
        </is>
      </c>
      <c r="G585" s="59" t="n"/>
      <c r="N585" s="59" t="n"/>
      <c r="O585" s="59" t="n"/>
      <c r="X585" s="61" t="n"/>
      <c r="Y585" s="61" t="n"/>
    </row>
    <row r="586" ht="14.25" customHeight="1" s="86">
      <c r="E586" s="53" t="inlineStr">
        <is>
          <t>IA</t>
        </is>
      </c>
      <c r="F586" s="53" t="inlineStr">
        <is>
          <t>DUBUQUE</t>
        </is>
      </c>
      <c r="G586" s="59" t="n"/>
      <c r="N586" s="59" t="n"/>
      <c r="O586" s="59" t="n"/>
      <c r="X586" s="61" t="n"/>
      <c r="Y586" s="61" t="n"/>
    </row>
    <row r="587" ht="14.25" customHeight="1" s="86">
      <c r="E587" s="53" t="inlineStr">
        <is>
          <t>IA</t>
        </is>
      </c>
      <c r="F587" s="53" t="inlineStr">
        <is>
          <t>EMMET</t>
        </is>
      </c>
      <c r="G587" s="59" t="n"/>
      <c r="N587" s="59" t="n"/>
      <c r="O587" s="59" t="n"/>
      <c r="X587" s="61" t="n"/>
      <c r="Y587" s="61" t="n"/>
    </row>
    <row r="588" ht="14.25" customHeight="1" s="86">
      <c r="E588" s="53" t="inlineStr">
        <is>
          <t>IA</t>
        </is>
      </c>
      <c r="F588" s="53" t="inlineStr">
        <is>
          <t>FAYETTE</t>
        </is>
      </c>
      <c r="G588" s="59" t="n"/>
      <c r="N588" s="59" t="n"/>
      <c r="O588" s="59" t="n"/>
      <c r="X588" s="61" t="n"/>
      <c r="Y588" s="61" t="n"/>
    </row>
    <row r="589" ht="14.25" customHeight="1" s="86">
      <c r="E589" s="53" t="inlineStr">
        <is>
          <t>IA</t>
        </is>
      </c>
      <c r="F589" s="53" t="inlineStr">
        <is>
          <t>FLOYD</t>
        </is>
      </c>
      <c r="G589" s="59" t="n"/>
      <c r="N589" s="59" t="n"/>
      <c r="O589" s="59" t="n"/>
      <c r="X589" s="61" t="n"/>
      <c r="Y589" s="61" t="n"/>
    </row>
    <row r="590" ht="14.25" customHeight="1" s="86">
      <c r="E590" s="53" t="inlineStr">
        <is>
          <t>IA</t>
        </is>
      </c>
      <c r="F590" s="53" t="inlineStr">
        <is>
          <t>FRANKLIN</t>
        </is>
      </c>
      <c r="G590" s="59" t="n"/>
      <c r="N590" s="59" t="n"/>
      <c r="O590" s="59" t="n"/>
      <c r="X590" s="61" t="n"/>
      <c r="Y590" s="61" t="n"/>
    </row>
    <row r="591" ht="14.25" customHeight="1" s="86">
      <c r="E591" s="53" t="inlineStr">
        <is>
          <t>IA</t>
        </is>
      </c>
      <c r="F591" s="53" t="inlineStr">
        <is>
          <t>FREMONT</t>
        </is>
      </c>
      <c r="G591" s="59" t="n"/>
      <c r="N591" s="59" t="n"/>
      <c r="O591" s="59" t="n"/>
      <c r="X591" s="61" t="n"/>
      <c r="Y591" s="61" t="n"/>
    </row>
    <row r="592" ht="14.25" customHeight="1" s="86">
      <c r="E592" s="53" t="inlineStr">
        <is>
          <t>IA</t>
        </is>
      </c>
      <c r="F592" s="53" t="inlineStr">
        <is>
          <t>GREENE</t>
        </is>
      </c>
      <c r="G592" s="59" t="n"/>
      <c r="N592" s="59" t="n"/>
      <c r="O592" s="59" t="n"/>
      <c r="X592" s="61" t="n"/>
      <c r="Y592" s="61" t="n"/>
    </row>
    <row r="593" ht="14.25" customHeight="1" s="86">
      <c r="E593" s="53" t="inlineStr">
        <is>
          <t>IA</t>
        </is>
      </c>
      <c r="F593" s="53" t="inlineStr">
        <is>
          <t>GRUNDY</t>
        </is>
      </c>
      <c r="G593" s="59" t="n"/>
      <c r="N593" s="59" t="n"/>
      <c r="O593" s="59" t="n"/>
      <c r="X593" s="61" t="n"/>
      <c r="Y593" s="61" t="n"/>
    </row>
    <row r="594" ht="14.25" customHeight="1" s="86">
      <c r="E594" s="53" t="inlineStr">
        <is>
          <t>IA</t>
        </is>
      </c>
      <c r="F594" s="53" t="inlineStr">
        <is>
          <t>GUTHRIE</t>
        </is>
      </c>
      <c r="G594" s="59" t="n"/>
      <c r="N594" s="59" t="n"/>
      <c r="O594" s="59" t="n"/>
      <c r="X594" s="61" t="n"/>
      <c r="Y594" s="61" t="n"/>
    </row>
    <row r="595" ht="14.25" customHeight="1" s="86">
      <c r="E595" s="53" t="inlineStr">
        <is>
          <t>IA</t>
        </is>
      </c>
      <c r="F595" s="53" t="inlineStr">
        <is>
          <t>HAMILTON</t>
        </is>
      </c>
      <c r="G595" s="59" t="n"/>
      <c r="N595" s="59" t="n"/>
      <c r="O595" s="59" t="n"/>
      <c r="X595" s="61" t="n"/>
      <c r="Y595" s="61" t="n"/>
    </row>
    <row r="596" ht="14.25" customHeight="1" s="86">
      <c r="E596" s="53" t="inlineStr">
        <is>
          <t>IA</t>
        </is>
      </c>
      <c r="F596" s="53" t="inlineStr">
        <is>
          <t>HANCOCK</t>
        </is>
      </c>
      <c r="G596" s="59" t="n"/>
      <c r="N596" s="59" t="n"/>
      <c r="O596" s="59" t="n"/>
      <c r="X596" s="61" t="n"/>
      <c r="Y596" s="61" t="n"/>
    </row>
    <row r="597" ht="14.25" customHeight="1" s="86">
      <c r="E597" s="53" t="inlineStr">
        <is>
          <t>IA</t>
        </is>
      </c>
      <c r="F597" s="53" t="inlineStr">
        <is>
          <t>HARDIN</t>
        </is>
      </c>
      <c r="G597" s="59" t="n"/>
      <c r="N597" s="59" t="n"/>
      <c r="O597" s="59" t="n"/>
      <c r="X597" s="61" t="n"/>
      <c r="Y597" s="61" t="n"/>
    </row>
    <row r="598" ht="14.25" customHeight="1" s="86">
      <c r="E598" s="53" t="inlineStr">
        <is>
          <t>IA</t>
        </is>
      </c>
      <c r="F598" s="53" t="inlineStr">
        <is>
          <t>HARRISON</t>
        </is>
      </c>
      <c r="G598" s="59" t="n"/>
      <c r="N598" s="59" t="n"/>
      <c r="O598" s="59" t="n"/>
      <c r="X598" s="61" t="n"/>
      <c r="Y598" s="61" t="n"/>
    </row>
    <row r="599" ht="14.25" customHeight="1" s="86">
      <c r="E599" s="53" t="inlineStr">
        <is>
          <t>IA</t>
        </is>
      </c>
      <c r="F599" s="53" t="inlineStr">
        <is>
          <t>HENRY</t>
        </is>
      </c>
      <c r="G599" s="59" t="n"/>
      <c r="N599" s="59" t="n"/>
      <c r="O599" s="59" t="n"/>
      <c r="X599" s="61" t="n"/>
      <c r="Y599" s="61" t="n"/>
    </row>
    <row r="600" ht="14.25" customHeight="1" s="86">
      <c r="E600" s="53" t="inlineStr">
        <is>
          <t>IA</t>
        </is>
      </c>
      <c r="F600" s="53" t="inlineStr">
        <is>
          <t>HOWARD</t>
        </is>
      </c>
      <c r="G600" s="59" t="n"/>
      <c r="N600" s="59" t="n"/>
      <c r="O600" s="59" t="n"/>
      <c r="X600" s="61" t="n"/>
      <c r="Y600" s="61" t="n"/>
    </row>
    <row r="601" ht="14.25" customHeight="1" s="86">
      <c r="E601" s="53" t="inlineStr">
        <is>
          <t>IA</t>
        </is>
      </c>
      <c r="F601" s="53" t="inlineStr">
        <is>
          <t>HUMBOLDT</t>
        </is>
      </c>
      <c r="G601" s="59" t="n"/>
      <c r="N601" s="59" t="n"/>
      <c r="O601" s="59" t="n"/>
      <c r="X601" s="61" t="n"/>
      <c r="Y601" s="61" t="n"/>
    </row>
    <row r="602" ht="14.25" customHeight="1" s="86">
      <c r="E602" s="53" t="inlineStr">
        <is>
          <t>IA</t>
        </is>
      </c>
      <c r="F602" s="53" t="inlineStr">
        <is>
          <t>IDA</t>
        </is>
      </c>
      <c r="G602" s="59" t="n"/>
      <c r="N602" s="59" t="n"/>
      <c r="O602" s="59" t="n"/>
      <c r="X602" s="61" t="n"/>
      <c r="Y602" s="61" t="n"/>
    </row>
    <row r="603" ht="14.25" customHeight="1" s="86">
      <c r="E603" s="53" t="inlineStr">
        <is>
          <t>IA</t>
        </is>
      </c>
      <c r="F603" s="53" t="inlineStr">
        <is>
          <t>IOWA</t>
        </is>
      </c>
      <c r="G603" s="59" t="n"/>
      <c r="N603" s="59" t="n"/>
      <c r="O603" s="59" t="n"/>
      <c r="X603" s="61" t="n"/>
      <c r="Y603" s="61" t="n"/>
    </row>
    <row r="604" ht="14.25" customHeight="1" s="86">
      <c r="E604" s="53" t="inlineStr">
        <is>
          <t>IA</t>
        </is>
      </c>
      <c r="F604" s="53" t="inlineStr">
        <is>
          <t>JACKSON</t>
        </is>
      </c>
      <c r="G604" s="59" t="n"/>
      <c r="N604" s="59" t="n"/>
      <c r="O604" s="59" t="n"/>
      <c r="X604" s="61" t="n"/>
      <c r="Y604" s="61" t="n"/>
    </row>
    <row r="605" ht="14.25" customHeight="1" s="86">
      <c r="E605" s="53" t="inlineStr">
        <is>
          <t>IA</t>
        </is>
      </c>
      <c r="F605" s="53" t="inlineStr">
        <is>
          <t>JASPER</t>
        </is>
      </c>
      <c r="G605" s="59" t="n"/>
      <c r="N605" s="59" t="n"/>
      <c r="O605" s="59" t="n"/>
      <c r="X605" s="61" t="n"/>
      <c r="Y605" s="61" t="n"/>
    </row>
    <row r="606" ht="14.25" customHeight="1" s="86">
      <c r="E606" s="53" t="inlineStr">
        <is>
          <t>IA</t>
        </is>
      </c>
      <c r="F606" s="53" t="inlineStr">
        <is>
          <t>JEFFERSON</t>
        </is>
      </c>
      <c r="G606" s="59" t="n"/>
      <c r="N606" s="59" t="n"/>
      <c r="O606" s="59" t="n"/>
      <c r="X606" s="61" t="n"/>
      <c r="Y606" s="61" t="n"/>
    </row>
    <row r="607" ht="14.25" customHeight="1" s="86">
      <c r="E607" s="53" t="inlineStr">
        <is>
          <t>IA</t>
        </is>
      </c>
      <c r="F607" s="53" t="inlineStr">
        <is>
          <t>JOHNSON</t>
        </is>
      </c>
      <c r="G607" s="59" t="n"/>
      <c r="N607" s="59" t="n"/>
      <c r="O607" s="59" t="n"/>
      <c r="X607" s="61" t="n"/>
      <c r="Y607" s="61" t="n"/>
    </row>
    <row r="608" ht="14.25" customHeight="1" s="86">
      <c r="E608" s="53" t="inlineStr">
        <is>
          <t>IA</t>
        </is>
      </c>
      <c r="F608" s="53" t="inlineStr">
        <is>
          <t>JONES</t>
        </is>
      </c>
      <c r="G608" s="59" t="n"/>
      <c r="N608" s="59" t="n"/>
      <c r="O608" s="59" t="n"/>
      <c r="X608" s="61" t="n"/>
      <c r="Y608" s="61" t="n"/>
    </row>
    <row r="609" ht="14.25" customHeight="1" s="86">
      <c r="E609" s="53" t="inlineStr">
        <is>
          <t>IA</t>
        </is>
      </c>
      <c r="F609" s="53" t="inlineStr">
        <is>
          <t>KEOKUK</t>
        </is>
      </c>
      <c r="G609" s="59" t="n"/>
      <c r="N609" s="59" t="n"/>
      <c r="O609" s="59" t="n"/>
      <c r="X609" s="61" t="n"/>
      <c r="Y609" s="61" t="n"/>
    </row>
    <row r="610" ht="14.25" customHeight="1" s="86">
      <c r="E610" s="53" t="inlineStr">
        <is>
          <t>IA</t>
        </is>
      </c>
      <c r="F610" s="53" t="inlineStr">
        <is>
          <t>KOSSUTH</t>
        </is>
      </c>
      <c r="G610" s="59" t="n"/>
      <c r="N610" s="59" t="n"/>
      <c r="O610" s="59" t="n"/>
      <c r="X610" s="61" t="n"/>
      <c r="Y610" s="61" t="n"/>
    </row>
    <row r="611" ht="14.25" customHeight="1" s="86">
      <c r="E611" s="53" t="inlineStr">
        <is>
          <t>IA</t>
        </is>
      </c>
      <c r="F611" s="53" t="inlineStr">
        <is>
          <t>LEE</t>
        </is>
      </c>
      <c r="G611" s="59" t="n"/>
      <c r="N611" s="59" t="n"/>
      <c r="O611" s="59" t="n"/>
      <c r="X611" s="61" t="n"/>
      <c r="Y611" s="61" t="n"/>
    </row>
    <row r="612" ht="14.25" customHeight="1" s="86">
      <c r="E612" s="53" t="inlineStr">
        <is>
          <t>IA</t>
        </is>
      </c>
      <c r="F612" s="53" t="inlineStr">
        <is>
          <t>LINN</t>
        </is>
      </c>
      <c r="G612" s="59" t="n"/>
      <c r="N612" s="59" t="n"/>
      <c r="O612" s="59" t="n"/>
      <c r="X612" s="61" t="n"/>
      <c r="Y612" s="61" t="n"/>
    </row>
    <row r="613" ht="14.25" customHeight="1" s="86">
      <c r="E613" s="53" t="inlineStr">
        <is>
          <t>IA</t>
        </is>
      </c>
      <c r="F613" s="53" t="inlineStr">
        <is>
          <t>LOUISA</t>
        </is>
      </c>
      <c r="G613" s="59" t="n"/>
      <c r="N613" s="59" t="n"/>
      <c r="O613" s="59" t="n"/>
      <c r="X613" s="61" t="n"/>
      <c r="Y613" s="61" t="n"/>
    </row>
    <row r="614" ht="14.25" customHeight="1" s="86">
      <c r="E614" s="53" t="inlineStr">
        <is>
          <t>IA</t>
        </is>
      </c>
      <c r="F614" s="53" t="inlineStr">
        <is>
          <t>LUCAS</t>
        </is>
      </c>
      <c r="G614" s="59" t="n"/>
      <c r="N614" s="59" t="n"/>
      <c r="O614" s="59" t="n"/>
      <c r="X614" s="61" t="n"/>
      <c r="Y614" s="61" t="n"/>
    </row>
    <row r="615" ht="14.25" customHeight="1" s="86">
      <c r="E615" s="53" t="inlineStr">
        <is>
          <t>IA</t>
        </is>
      </c>
      <c r="F615" s="53" t="inlineStr">
        <is>
          <t>LYON</t>
        </is>
      </c>
      <c r="G615" s="59" t="n"/>
      <c r="N615" s="59" t="n"/>
      <c r="O615" s="59" t="n"/>
      <c r="X615" s="61" t="n"/>
      <c r="Y615" s="61" t="n"/>
    </row>
    <row r="616" ht="14.25" customHeight="1" s="86">
      <c r="E616" s="53" t="inlineStr">
        <is>
          <t>IA</t>
        </is>
      </c>
      <c r="F616" s="53" t="inlineStr">
        <is>
          <t>MADISON</t>
        </is>
      </c>
      <c r="G616" s="59" t="n"/>
      <c r="N616" s="59" t="n"/>
      <c r="O616" s="59" t="n"/>
      <c r="X616" s="61" t="n"/>
      <c r="Y616" s="61" t="n"/>
    </row>
    <row r="617" ht="14.25" customHeight="1" s="86">
      <c r="E617" s="53" t="inlineStr">
        <is>
          <t>IA</t>
        </is>
      </c>
      <c r="F617" s="53" t="inlineStr">
        <is>
          <t>MAHASKA</t>
        </is>
      </c>
      <c r="G617" s="59" t="n"/>
      <c r="N617" s="59" t="n"/>
      <c r="O617" s="59" t="n"/>
      <c r="X617" s="61" t="n"/>
      <c r="Y617" s="61" t="n"/>
    </row>
    <row r="618" ht="14.25" customHeight="1" s="86">
      <c r="E618" s="53" t="inlineStr">
        <is>
          <t>IA</t>
        </is>
      </c>
      <c r="F618" s="53" t="inlineStr">
        <is>
          <t>MARION</t>
        </is>
      </c>
      <c r="G618" s="59" t="n"/>
      <c r="N618" s="59" t="n"/>
      <c r="O618" s="59" t="n"/>
      <c r="X618" s="61" t="n"/>
      <c r="Y618" s="61" t="n"/>
    </row>
    <row r="619" ht="14.25" customHeight="1" s="86">
      <c r="E619" s="53" t="inlineStr">
        <is>
          <t>IA</t>
        </is>
      </c>
      <c r="F619" s="53" t="inlineStr">
        <is>
          <t>MARSHALL</t>
        </is>
      </c>
      <c r="G619" s="59" t="n"/>
      <c r="N619" s="59" t="n"/>
      <c r="O619" s="59" t="n"/>
      <c r="X619" s="61" t="n"/>
      <c r="Y619" s="61" t="n"/>
    </row>
    <row r="620" ht="14.25" customHeight="1" s="86">
      <c r="E620" s="53" t="inlineStr">
        <is>
          <t>IA</t>
        </is>
      </c>
      <c r="F620" s="53" t="inlineStr">
        <is>
          <t>MILLS</t>
        </is>
      </c>
      <c r="G620" s="59" t="n"/>
      <c r="N620" s="59" t="n"/>
      <c r="O620" s="59" t="n"/>
      <c r="X620" s="61" t="n"/>
      <c r="Y620" s="61" t="n"/>
    </row>
    <row r="621" ht="14.25" customHeight="1" s="86">
      <c r="E621" s="53" t="inlineStr">
        <is>
          <t>IA</t>
        </is>
      </c>
      <c r="F621" s="53" t="inlineStr">
        <is>
          <t>MITCHELL</t>
        </is>
      </c>
      <c r="G621" s="59" t="n"/>
      <c r="N621" s="59" t="n"/>
      <c r="O621" s="59" t="n"/>
      <c r="X621" s="61" t="n"/>
      <c r="Y621" s="61" t="n"/>
    </row>
    <row r="622" ht="14.25" customHeight="1" s="86">
      <c r="E622" s="53" t="inlineStr">
        <is>
          <t>IA</t>
        </is>
      </c>
      <c r="F622" s="53" t="inlineStr">
        <is>
          <t>MONONA</t>
        </is>
      </c>
      <c r="G622" s="59" t="n"/>
      <c r="N622" s="59" t="n"/>
      <c r="O622" s="59" t="n"/>
      <c r="X622" s="61" t="n"/>
      <c r="Y622" s="61" t="n"/>
    </row>
    <row r="623" ht="14.25" customHeight="1" s="86">
      <c r="E623" s="53" t="inlineStr">
        <is>
          <t>IA</t>
        </is>
      </c>
      <c r="F623" s="53" t="inlineStr">
        <is>
          <t>MONROE</t>
        </is>
      </c>
      <c r="G623" s="59" t="n"/>
      <c r="N623" s="59" t="n"/>
      <c r="O623" s="59" t="n"/>
      <c r="X623" s="61" t="n"/>
      <c r="Y623" s="61" t="n"/>
    </row>
    <row r="624" ht="14.25" customHeight="1" s="86">
      <c r="E624" s="53" t="inlineStr">
        <is>
          <t>IA</t>
        </is>
      </c>
      <c r="F624" s="53" t="inlineStr">
        <is>
          <t>MONTGOMERY</t>
        </is>
      </c>
      <c r="G624" s="59" t="n"/>
      <c r="N624" s="59" t="n"/>
      <c r="O624" s="59" t="n"/>
      <c r="X624" s="61" t="n"/>
      <c r="Y624" s="61" t="n"/>
    </row>
    <row r="625" ht="14.25" customHeight="1" s="86">
      <c r="E625" s="53" t="inlineStr">
        <is>
          <t>IA</t>
        </is>
      </c>
      <c r="F625" s="53" t="inlineStr">
        <is>
          <t>MUSCATINE</t>
        </is>
      </c>
      <c r="G625" s="59" t="n"/>
      <c r="N625" s="59" t="n"/>
      <c r="O625" s="59" t="n"/>
      <c r="X625" s="61" t="n"/>
      <c r="Y625" s="61" t="n"/>
    </row>
    <row r="626" ht="14.25" customHeight="1" s="86">
      <c r="E626" s="53" t="inlineStr">
        <is>
          <t>IA</t>
        </is>
      </c>
      <c r="F626" s="53" t="inlineStr">
        <is>
          <t>OBRIEN</t>
        </is>
      </c>
      <c r="G626" s="59" t="n"/>
      <c r="N626" s="59" t="n"/>
      <c r="O626" s="59" t="n"/>
      <c r="X626" s="61" t="n"/>
      <c r="Y626" s="61" t="n"/>
    </row>
    <row r="627" ht="14.25" customHeight="1" s="86">
      <c r="E627" s="53" t="inlineStr">
        <is>
          <t>IA</t>
        </is>
      </c>
      <c r="F627" s="53" t="inlineStr">
        <is>
          <t>OSCEOLA</t>
        </is>
      </c>
      <c r="G627" s="59" t="n"/>
      <c r="N627" s="59" t="n"/>
      <c r="O627" s="59" t="n"/>
      <c r="X627" s="61" t="n"/>
      <c r="Y627" s="61" t="n"/>
    </row>
    <row r="628" ht="14.25" customHeight="1" s="86">
      <c r="E628" s="53" t="inlineStr">
        <is>
          <t>IA</t>
        </is>
      </c>
      <c r="F628" s="53" t="inlineStr">
        <is>
          <t>PAGE</t>
        </is>
      </c>
      <c r="G628" s="59" t="n"/>
      <c r="N628" s="59" t="n"/>
      <c r="O628" s="59" t="n"/>
      <c r="X628" s="61" t="n"/>
      <c r="Y628" s="61" t="n"/>
    </row>
    <row r="629" ht="14.25" customHeight="1" s="86">
      <c r="E629" s="53" t="inlineStr">
        <is>
          <t>IA</t>
        </is>
      </c>
      <c r="F629" s="53" t="inlineStr">
        <is>
          <t>PALO ALTO</t>
        </is>
      </c>
      <c r="G629" s="59" t="n"/>
      <c r="N629" s="59" t="n"/>
      <c r="O629" s="59" t="n"/>
      <c r="X629" s="61" t="n"/>
      <c r="Y629" s="61" t="n"/>
    </row>
    <row r="630" ht="14.25" customHeight="1" s="86">
      <c r="E630" s="53" t="inlineStr">
        <is>
          <t>IA</t>
        </is>
      </c>
      <c r="F630" s="53" t="inlineStr">
        <is>
          <t>PLYMOUTH</t>
        </is>
      </c>
      <c r="G630" s="59" t="n"/>
      <c r="N630" s="59" t="n"/>
      <c r="O630" s="59" t="n"/>
      <c r="X630" s="61" t="n"/>
      <c r="Y630" s="61" t="n"/>
    </row>
    <row r="631" ht="14.25" customHeight="1" s="86">
      <c r="E631" s="53" t="inlineStr">
        <is>
          <t>IA</t>
        </is>
      </c>
      <c r="F631" s="53" t="inlineStr">
        <is>
          <t>POCAHONTAS</t>
        </is>
      </c>
      <c r="G631" s="59" t="n"/>
      <c r="N631" s="59" t="n"/>
      <c r="O631" s="59" t="n"/>
      <c r="X631" s="61" t="n"/>
      <c r="Y631" s="61" t="n"/>
    </row>
    <row r="632" ht="14.25" customHeight="1" s="86">
      <c r="E632" s="53" t="inlineStr">
        <is>
          <t>IA</t>
        </is>
      </c>
      <c r="F632" s="53" t="inlineStr">
        <is>
          <t>POLK</t>
        </is>
      </c>
      <c r="G632" s="59" t="n"/>
      <c r="N632" s="59" t="n"/>
      <c r="O632" s="59" t="n"/>
      <c r="X632" s="61" t="n"/>
      <c r="Y632" s="61" t="n"/>
    </row>
    <row r="633" ht="14.25" customHeight="1" s="86">
      <c r="E633" s="53" t="inlineStr">
        <is>
          <t>IA</t>
        </is>
      </c>
      <c r="F633" s="53" t="inlineStr">
        <is>
          <t>POTTAWATTAMIE</t>
        </is>
      </c>
      <c r="G633" s="59" t="n"/>
      <c r="N633" s="59" t="n"/>
      <c r="O633" s="59" t="n"/>
      <c r="X633" s="61" t="n"/>
      <c r="Y633" s="61" t="n"/>
    </row>
    <row r="634" ht="14.25" customHeight="1" s="86">
      <c r="E634" s="53" t="inlineStr">
        <is>
          <t>IA</t>
        </is>
      </c>
      <c r="F634" s="53" t="inlineStr">
        <is>
          <t>POWESHIEK</t>
        </is>
      </c>
      <c r="G634" s="59" t="n"/>
      <c r="N634" s="59" t="n"/>
      <c r="O634" s="59" t="n"/>
      <c r="X634" s="61" t="n"/>
      <c r="Y634" s="61" t="n"/>
    </row>
    <row r="635" ht="14.25" customHeight="1" s="86">
      <c r="E635" s="53" t="inlineStr">
        <is>
          <t>IA</t>
        </is>
      </c>
      <c r="F635" s="53" t="inlineStr">
        <is>
          <t>RINGGOLD</t>
        </is>
      </c>
      <c r="G635" s="59" t="n"/>
      <c r="N635" s="59" t="n"/>
      <c r="O635" s="59" t="n"/>
      <c r="X635" s="61" t="n"/>
      <c r="Y635" s="61" t="n"/>
    </row>
    <row r="636" ht="14.25" customHeight="1" s="86">
      <c r="E636" s="53" t="inlineStr">
        <is>
          <t>IA</t>
        </is>
      </c>
      <c r="F636" s="53" t="inlineStr">
        <is>
          <t>SAC</t>
        </is>
      </c>
      <c r="G636" s="59" t="n"/>
      <c r="N636" s="59" t="n"/>
      <c r="O636" s="59" t="n"/>
      <c r="X636" s="61" t="n"/>
      <c r="Y636" s="61" t="n"/>
    </row>
    <row r="637" ht="14.25" customHeight="1" s="86">
      <c r="E637" s="53" t="inlineStr">
        <is>
          <t>IA</t>
        </is>
      </c>
      <c r="F637" s="53" t="inlineStr">
        <is>
          <t>SCOTT</t>
        </is>
      </c>
      <c r="G637" s="59" t="n"/>
      <c r="N637" s="59" t="n"/>
      <c r="O637" s="59" t="n"/>
      <c r="X637" s="61" t="n"/>
      <c r="Y637" s="61" t="n"/>
    </row>
    <row r="638" ht="14.25" customHeight="1" s="86">
      <c r="E638" s="53" t="inlineStr">
        <is>
          <t>IA</t>
        </is>
      </c>
      <c r="F638" s="53" t="inlineStr">
        <is>
          <t>SHELBY</t>
        </is>
      </c>
      <c r="G638" s="59" t="n"/>
      <c r="N638" s="59" t="n"/>
      <c r="O638" s="59" t="n"/>
      <c r="X638" s="61" t="n"/>
      <c r="Y638" s="61" t="n"/>
    </row>
    <row r="639" ht="14.25" customHeight="1" s="86">
      <c r="E639" s="53" t="inlineStr">
        <is>
          <t>IA</t>
        </is>
      </c>
      <c r="F639" s="53" t="inlineStr">
        <is>
          <t>SIOUX</t>
        </is>
      </c>
      <c r="G639" s="59" t="n"/>
      <c r="N639" s="59" t="n"/>
      <c r="O639" s="59" t="n"/>
      <c r="X639" s="61" t="n"/>
      <c r="Y639" s="61" t="n"/>
    </row>
    <row r="640" ht="14.25" customHeight="1" s="86">
      <c r="E640" s="53" t="inlineStr">
        <is>
          <t>IA</t>
        </is>
      </c>
      <c r="F640" s="53" t="inlineStr">
        <is>
          <t>STORY</t>
        </is>
      </c>
      <c r="G640" s="59" t="n"/>
      <c r="N640" s="59" t="n"/>
      <c r="O640" s="59" t="n"/>
      <c r="X640" s="61" t="n"/>
      <c r="Y640" s="61" t="n"/>
    </row>
    <row r="641" ht="14.25" customHeight="1" s="86">
      <c r="E641" s="53" t="inlineStr">
        <is>
          <t>IA</t>
        </is>
      </c>
      <c r="F641" s="53" t="inlineStr">
        <is>
          <t>TAMA</t>
        </is>
      </c>
      <c r="G641" s="59" t="n"/>
      <c r="N641" s="59" t="n"/>
      <c r="O641" s="59" t="n"/>
      <c r="X641" s="61" t="n"/>
      <c r="Y641" s="61" t="n"/>
    </row>
    <row r="642" ht="14.25" customHeight="1" s="86">
      <c r="E642" s="53" t="inlineStr">
        <is>
          <t>IA</t>
        </is>
      </c>
      <c r="F642" s="53" t="inlineStr">
        <is>
          <t>TAYLOR</t>
        </is>
      </c>
      <c r="G642" s="59" t="n"/>
      <c r="N642" s="59" t="n"/>
      <c r="O642" s="59" t="n"/>
      <c r="X642" s="61" t="n"/>
      <c r="Y642" s="61" t="n"/>
    </row>
    <row r="643" ht="14.25" customHeight="1" s="86">
      <c r="E643" s="53" t="inlineStr">
        <is>
          <t>IA</t>
        </is>
      </c>
      <c r="F643" s="53" t="inlineStr">
        <is>
          <t>UNION</t>
        </is>
      </c>
      <c r="G643" s="59" t="n"/>
      <c r="N643" s="59" t="n"/>
      <c r="O643" s="59" t="n"/>
      <c r="X643" s="61" t="n"/>
      <c r="Y643" s="61" t="n"/>
    </row>
    <row r="644" ht="14.25" customHeight="1" s="86">
      <c r="E644" s="53" t="inlineStr">
        <is>
          <t>IA</t>
        </is>
      </c>
      <c r="F644" s="53" t="inlineStr">
        <is>
          <t>VAN BUREN</t>
        </is>
      </c>
      <c r="G644" s="59" t="n"/>
      <c r="N644" s="59" t="n"/>
      <c r="O644" s="59" t="n"/>
      <c r="X644" s="61" t="n"/>
      <c r="Y644" s="61" t="n"/>
    </row>
    <row r="645" ht="14.25" customHeight="1" s="86">
      <c r="E645" s="53" t="inlineStr">
        <is>
          <t>IA</t>
        </is>
      </c>
      <c r="F645" s="53" t="inlineStr">
        <is>
          <t>WAPELLO</t>
        </is>
      </c>
      <c r="G645" s="59" t="n"/>
      <c r="N645" s="59" t="n"/>
      <c r="O645" s="59" t="n"/>
      <c r="X645" s="61" t="n"/>
      <c r="Y645" s="61" t="n"/>
    </row>
    <row r="646" ht="14.25" customHeight="1" s="86">
      <c r="E646" s="53" t="inlineStr">
        <is>
          <t>IA</t>
        </is>
      </c>
      <c r="F646" s="53" t="inlineStr">
        <is>
          <t>WARREN</t>
        </is>
      </c>
      <c r="G646" s="59" t="n"/>
      <c r="N646" s="59" t="n"/>
      <c r="O646" s="59" t="n"/>
      <c r="X646" s="61" t="n"/>
      <c r="Y646" s="61" t="n"/>
    </row>
    <row r="647" ht="14.25" customHeight="1" s="86">
      <c r="E647" s="53" t="inlineStr">
        <is>
          <t>IA</t>
        </is>
      </c>
      <c r="F647" s="53" t="inlineStr">
        <is>
          <t>WASHINGTON</t>
        </is>
      </c>
      <c r="G647" s="59" t="n"/>
      <c r="N647" s="59" t="n"/>
      <c r="O647" s="59" t="n"/>
      <c r="X647" s="61" t="n"/>
      <c r="Y647" s="61" t="n"/>
    </row>
    <row r="648" ht="14.25" customHeight="1" s="86">
      <c r="E648" s="53" t="inlineStr">
        <is>
          <t>IA</t>
        </is>
      </c>
      <c r="F648" s="53" t="inlineStr">
        <is>
          <t>WAYNE</t>
        </is>
      </c>
      <c r="G648" s="59" t="n"/>
      <c r="N648" s="59" t="n"/>
      <c r="O648" s="59" t="n"/>
      <c r="X648" s="61" t="n"/>
      <c r="Y648" s="61" t="n"/>
    </row>
    <row r="649" ht="14.25" customHeight="1" s="86">
      <c r="E649" s="53" t="inlineStr">
        <is>
          <t>IA</t>
        </is>
      </c>
      <c r="F649" s="53" t="inlineStr">
        <is>
          <t>WEBSTER</t>
        </is>
      </c>
      <c r="G649" s="59" t="n"/>
      <c r="N649" s="59" t="n"/>
      <c r="O649" s="59" t="n"/>
      <c r="X649" s="61" t="n"/>
      <c r="Y649" s="61" t="n"/>
    </row>
    <row r="650" ht="14.25" customHeight="1" s="86">
      <c r="E650" s="53" t="inlineStr">
        <is>
          <t>IA</t>
        </is>
      </c>
      <c r="F650" s="53" t="inlineStr">
        <is>
          <t>WINNEBAGO</t>
        </is>
      </c>
      <c r="G650" s="59" t="n"/>
      <c r="N650" s="59" t="n"/>
      <c r="O650" s="59" t="n"/>
      <c r="X650" s="61" t="n"/>
      <c r="Y650" s="61" t="n"/>
    </row>
    <row r="651" ht="14.25" customHeight="1" s="86">
      <c r="E651" s="53" t="inlineStr">
        <is>
          <t>IA</t>
        </is>
      </c>
      <c r="F651" s="53" t="inlineStr">
        <is>
          <t>WINNESHIEK</t>
        </is>
      </c>
      <c r="G651" s="59" t="n"/>
      <c r="N651" s="59" t="n"/>
      <c r="O651" s="59" t="n"/>
      <c r="X651" s="61" t="n"/>
      <c r="Y651" s="61" t="n"/>
    </row>
    <row r="652" ht="14.25" customHeight="1" s="86">
      <c r="E652" s="53" t="inlineStr">
        <is>
          <t>IA</t>
        </is>
      </c>
      <c r="F652" s="53" t="inlineStr">
        <is>
          <t>WOODBURY</t>
        </is>
      </c>
      <c r="G652" s="59" t="n"/>
      <c r="N652" s="59" t="n"/>
      <c r="O652" s="59" t="n"/>
      <c r="X652" s="61" t="n"/>
      <c r="Y652" s="61" t="n"/>
    </row>
    <row r="653" ht="14.25" customHeight="1" s="86">
      <c r="E653" s="53" t="inlineStr">
        <is>
          <t>IA</t>
        </is>
      </c>
      <c r="F653" s="53" t="inlineStr">
        <is>
          <t>WORTH</t>
        </is>
      </c>
      <c r="G653" s="59" t="n"/>
      <c r="N653" s="59" t="n"/>
      <c r="O653" s="59" t="n"/>
      <c r="X653" s="61" t="n"/>
      <c r="Y653" s="61" t="n"/>
    </row>
    <row r="654" ht="14.25" customHeight="1" s="86">
      <c r="E654" s="53" t="inlineStr">
        <is>
          <t>IA</t>
        </is>
      </c>
      <c r="F654" s="53" t="inlineStr">
        <is>
          <t>WRIGHT</t>
        </is>
      </c>
      <c r="G654" s="59" t="n"/>
      <c r="N654" s="59" t="n"/>
      <c r="O654" s="59" t="n"/>
      <c r="X654" s="61" t="n"/>
      <c r="Y654" s="61" t="n"/>
    </row>
    <row r="655" ht="14.25" customHeight="1" s="86">
      <c r="E655" s="53" t="inlineStr">
        <is>
          <t>ID</t>
        </is>
      </c>
      <c r="F655" s="53" t="inlineStr">
        <is>
          <t>ADA</t>
        </is>
      </c>
      <c r="G655" s="59" t="n"/>
      <c r="N655" s="59" t="n"/>
      <c r="O655" s="59" t="n"/>
      <c r="X655" s="61" t="n"/>
      <c r="Y655" s="61" t="n"/>
    </row>
    <row r="656" ht="14.25" customHeight="1" s="86">
      <c r="E656" s="53" t="inlineStr">
        <is>
          <t>ID</t>
        </is>
      </c>
      <c r="F656" s="53" t="inlineStr">
        <is>
          <t>ADAMS</t>
        </is>
      </c>
      <c r="G656" s="59" t="n"/>
      <c r="N656" s="59" t="n"/>
      <c r="O656" s="59" t="n"/>
      <c r="X656" s="61" t="n"/>
      <c r="Y656" s="61" t="n"/>
    </row>
    <row r="657" ht="14.25" customHeight="1" s="86">
      <c r="E657" s="53" t="inlineStr">
        <is>
          <t>ID</t>
        </is>
      </c>
      <c r="F657" s="53" t="inlineStr">
        <is>
          <t>BANNOCK</t>
        </is>
      </c>
      <c r="G657" s="59" t="n"/>
      <c r="N657" s="59" t="n"/>
      <c r="O657" s="59" t="n"/>
      <c r="X657" s="61" t="n"/>
      <c r="Y657" s="61" t="n"/>
    </row>
    <row r="658" ht="14.25" customHeight="1" s="86">
      <c r="E658" s="53" t="inlineStr">
        <is>
          <t>ID</t>
        </is>
      </c>
      <c r="F658" s="53" t="inlineStr">
        <is>
          <t>BEAR LAKE</t>
        </is>
      </c>
      <c r="G658" s="59" t="n"/>
      <c r="N658" s="59" t="n"/>
      <c r="O658" s="59" t="n"/>
      <c r="X658" s="61" t="n"/>
      <c r="Y658" s="61" t="n"/>
    </row>
    <row r="659" ht="14.25" customHeight="1" s="86">
      <c r="E659" s="53" t="inlineStr">
        <is>
          <t>ID</t>
        </is>
      </c>
      <c r="F659" s="53" t="inlineStr">
        <is>
          <t>BENEWAH</t>
        </is>
      </c>
      <c r="G659" s="59" t="n"/>
      <c r="N659" s="59" t="n"/>
      <c r="O659" s="59" t="n"/>
      <c r="X659" s="61" t="n"/>
      <c r="Y659" s="61" t="n"/>
    </row>
    <row r="660" ht="14.25" customHeight="1" s="86">
      <c r="E660" s="53" t="inlineStr">
        <is>
          <t>ID</t>
        </is>
      </c>
      <c r="F660" s="53" t="inlineStr">
        <is>
          <t>BINGHAM</t>
        </is>
      </c>
      <c r="G660" s="59" t="n"/>
      <c r="N660" s="59" t="n"/>
      <c r="O660" s="59" t="n"/>
      <c r="X660" s="61" t="n"/>
      <c r="Y660" s="61" t="n"/>
    </row>
    <row r="661" ht="14.25" customHeight="1" s="86">
      <c r="E661" s="53" t="inlineStr">
        <is>
          <t>ID</t>
        </is>
      </c>
      <c r="F661" s="53" t="inlineStr">
        <is>
          <t>BLAINE</t>
        </is>
      </c>
      <c r="G661" s="59" t="n"/>
      <c r="N661" s="59" t="n"/>
      <c r="O661" s="59" t="n"/>
      <c r="X661" s="61" t="n"/>
      <c r="Y661" s="61" t="n"/>
    </row>
    <row r="662" ht="14.25" customHeight="1" s="86">
      <c r="E662" s="53" t="inlineStr">
        <is>
          <t>ID</t>
        </is>
      </c>
      <c r="F662" s="53" t="inlineStr">
        <is>
          <t>BOISE</t>
        </is>
      </c>
      <c r="G662" s="59" t="n"/>
      <c r="N662" s="59" t="n"/>
      <c r="O662" s="59" t="n"/>
      <c r="X662" s="61" t="n"/>
      <c r="Y662" s="61" t="n"/>
    </row>
    <row r="663" ht="14.25" customHeight="1" s="86">
      <c r="E663" s="53" t="inlineStr">
        <is>
          <t>ID</t>
        </is>
      </c>
      <c r="F663" s="53" t="inlineStr">
        <is>
          <t>BONNER</t>
        </is>
      </c>
      <c r="G663" s="59" t="n"/>
      <c r="N663" s="59" t="n"/>
      <c r="O663" s="59" t="n"/>
      <c r="X663" s="61" t="n"/>
      <c r="Y663" s="61" t="n"/>
    </row>
    <row r="664" ht="14.25" customHeight="1" s="86">
      <c r="E664" s="53" t="inlineStr">
        <is>
          <t>ID</t>
        </is>
      </c>
      <c r="F664" s="53" t="inlineStr">
        <is>
          <t>BONNEVILLE</t>
        </is>
      </c>
      <c r="G664" s="59" t="n"/>
      <c r="N664" s="59" t="n"/>
      <c r="O664" s="59" t="n"/>
      <c r="X664" s="61" t="n"/>
      <c r="Y664" s="61" t="n"/>
    </row>
    <row r="665" ht="14.25" customHeight="1" s="86">
      <c r="E665" s="53" t="inlineStr">
        <is>
          <t>ID</t>
        </is>
      </c>
      <c r="F665" s="53" t="inlineStr">
        <is>
          <t>BOUNDARY</t>
        </is>
      </c>
      <c r="G665" s="59" t="n"/>
      <c r="N665" s="59" t="n"/>
      <c r="O665" s="59" t="n"/>
      <c r="X665" s="61" t="n"/>
      <c r="Y665" s="61" t="n"/>
    </row>
    <row r="666" ht="14.25" customHeight="1" s="86">
      <c r="E666" s="53" t="inlineStr">
        <is>
          <t>ID</t>
        </is>
      </c>
      <c r="F666" s="53" t="inlineStr">
        <is>
          <t>BUTTE</t>
        </is>
      </c>
      <c r="G666" s="59" t="n"/>
      <c r="N666" s="59" t="n"/>
      <c r="O666" s="59" t="n"/>
      <c r="X666" s="61" t="n"/>
      <c r="Y666" s="61" t="n"/>
    </row>
    <row r="667" ht="14.25" customHeight="1" s="86">
      <c r="E667" s="53" t="inlineStr">
        <is>
          <t>ID</t>
        </is>
      </c>
      <c r="F667" s="53" t="inlineStr">
        <is>
          <t>CAMAS</t>
        </is>
      </c>
      <c r="G667" s="59" t="n"/>
      <c r="N667" s="59" t="n"/>
      <c r="O667" s="59" t="n"/>
      <c r="X667" s="61" t="n"/>
      <c r="Y667" s="61" t="n"/>
    </row>
    <row r="668" ht="14.25" customHeight="1" s="86">
      <c r="E668" s="53" t="inlineStr">
        <is>
          <t>ID</t>
        </is>
      </c>
      <c r="F668" s="53" t="inlineStr">
        <is>
          <t>CANYON</t>
        </is>
      </c>
      <c r="G668" s="59" t="n"/>
      <c r="N668" s="59" t="n"/>
      <c r="O668" s="59" t="n"/>
      <c r="X668" s="61" t="n"/>
      <c r="Y668" s="61" t="n"/>
    </row>
    <row r="669" ht="14.25" customHeight="1" s="86">
      <c r="E669" s="53" t="inlineStr">
        <is>
          <t>ID</t>
        </is>
      </c>
      <c r="F669" s="53" t="inlineStr">
        <is>
          <t>CARIBOU</t>
        </is>
      </c>
      <c r="G669" s="59" t="n"/>
      <c r="N669" s="59" t="n"/>
      <c r="O669" s="59" t="n"/>
      <c r="X669" s="61" t="n"/>
      <c r="Y669" s="61" t="n"/>
    </row>
    <row r="670" ht="14.25" customHeight="1" s="86">
      <c r="E670" s="53" t="inlineStr">
        <is>
          <t>ID</t>
        </is>
      </c>
      <c r="F670" s="53" t="inlineStr">
        <is>
          <t>CASSIA</t>
        </is>
      </c>
      <c r="G670" s="59" t="n"/>
      <c r="N670" s="59" t="n"/>
      <c r="O670" s="59" t="n"/>
      <c r="X670" s="61" t="n"/>
      <c r="Y670" s="61" t="n"/>
    </row>
    <row r="671" ht="14.25" customHeight="1" s="86">
      <c r="E671" s="53" t="inlineStr">
        <is>
          <t>ID</t>
        </is>
      </c>
      <c r="F671" s="53" t="inlineStr">
        <is>
          <t>CLARK</t>
        </is>
      </c>
      <c r="G671" s="59" t="n"/>
      <c r="N671" s="59" t="n"/>
      <c r="O671" s="59" t="n"/>
      <c r="X671" s="61" t="n"/>
      <c r="Y671" s="61" t="n"/>
    </row>
    <row r="672" ht="14.25" customHeight="1" s="86">
      <c r="E672" s="53" t="inlineStr">
        <is>
          <t>ID</t>
        </is>
      </c>
      <c r="F672" s="53" t="inlineStr">
        <is>
          <t>CLEARWATER</t>
        </is>
      </c>
      <c r="G672" s="59" t="n"/>
      <c r="N672" s="59" t="n"/>
      <c r="O672" s="59" t="n"/>
      <c r="X672" s="61" t="n"/>
      <c r="Y672" s="61" t="n"/>
    </row>
    <row r="673" ht="14.25" customHeight="1" s="86">
      <c r="E673" s="53" t="inlineStr">
        <is>
          <t>ID</t>
        </is>
      </c>
      <c r="F673" s="53" t="inlineStr">
        <is>
          <t>CUSTER</t>
        </is>
      </c>
      <c r="G673" s="59" t="n"/>
      <c r="N673" s="59" t="n"/>
      <c r="O673" s="59" t="n"/>
      <c r="X673" s="61" t="n"/>
      <c r="Y673" s="61" t="n"/>
    </row>
    <row r="674" ht="14.25" customHeight="1" s="86">
      <c r="E674" s="53" t="inlineStr">
        <is>
          <t>ID</t>
        </is>
      </c>
      <c r="F674" s="53" t="inlineStr">
        <is>
          <t>ELMORE</t>
        </is>
      </c>
      <c r="G674" s="59" t="n"/>
      <c r="N674" s="59" t="n"/>
      <c r="O674" s="59" t="n"/>
      <c r="X674" s="61" t="n"/>
      <c r="Y674" s="61" t="n"/>
    </row>
    <row r="675" ht="14.25" customHeight="1" s="86">
      <c r="E675" s="53" t="inlineStr">
        <is>
          <t>ID</t>
        </is>
      </c>
      <c r="F675" s="53" t="inlineStr">
        <is>
          <t>FRANKLIN</t>
        </is>
      </c>
      <c r="G675" s="59" t="n"/>
      <c r="N675" s="59" t="n"/>
      <c r="O675" s="59" t="n"/>
      <c r="X675" s="61" t="n"/>
      <c r="Y675" s="61" t="n"/>
    </row>
    <row r="676" ht="14.25" customHeight="1" s="86">
      <c r="E676" s="53" t="inlineStr">
        <is>
          <t>ID</t>
        </is>
      </c>
      <c r="F676" s="53" t="inlineStr">
        <is>
          <t>FREMONT</t>
        </is>
      </c>
      <c r="G676" s="59" t="n"/>
      <c r="N676" s="59" t="n"/>
      <c r="O676" s="59" t="n"/>
      <c r="X676" s="61" t="n"/>
      <c r="Y676" s="61" t="n"/>
    </row>
    <row r="677" ht="14.25" customHeight="1" s="86">
      <c r="E677" s="53" t="inlineStr">
        <is>
          <t>ID</t>
        </is>
      </c>
      <c r="F677" s="53" t="inlineStr">
        <is>
          <t>GEM</t>
        </is>
      </c>
      <c r="G677" s="59" t="n"/>
      <c r="N677" s="59" t="n"/>
      <c r="O677" s="59" t="n"/>
      <c r="X677" s="61" t="n"/>
      <c r="Y677" s="61" t="n"/>
    </row>
    <row r="678" ht="14.25" customHeight="1" s="86">
      <c r="E678" s="53" t="inlineStr">
        <is>
          <t>ID</t>
        </is>
      </c>
      <c r="F678" s="53" t="inlineStr">
        <is>
          <t>GOODING</t>
        </is>
      </c>
      <c r="G678" s="59" t="n"/>
      <c r="N678" s="59" t="n"/>
      <c r="O678" s="59" t="n"/>
      <c r="X678" s="61" t="n"/>
      <c r="Y678" s="61" t="n"/>
    </row>
    <row r="679" ht="14.25" customHeight="1" s="86">
      <c r="E679" s="53" t="inlineStr">
        <is>
          <t>ID</t>
        </is>
      </c>
      <c r="F679" s="53" t="inlineStr">
        <is>
          <t>IDAHO</t>
        </is>
      </c>
      <c r="G679" s="59" t="n"/>
      <c r="N679" s="59" t="n"/>
      <c r="O679" s="59" t="n"/>
      <c r="X679" s="61" t="n"/>
      <c r="Y679" s="61" t="n"/>
    </row>
    <row r="680" ht="14.25" customHeight="1" s="86">
      <c r="E680" s="53" t="inlineStr">
        <is>
          <t>ID</t>
        </is>
      </c>
      <c r="F680" s="53" t="inlineStr">
        <is>
          <t>JEFFERSON</t>
        </is>
      </c>
      <c r="G680" s="59" t="n"/>
      <c r="N680" s="59" t="n"/>
      <c r="O680" s="59" t="n"/>
      <c r="X680" s="61" t="n"/>
      <c r="Y680" s="61" t="n"/>
    </row>
    <row r="681" ht="14.25" customHeight="1" s="86">
      <c r="E681" s="53" t="inlineStr">
        <is>
          <t>ID</t>
        </is>
      </c>
      <c r="F681" s="53" t="inlineStr">
        <is>
          <t>JEROME</t>
        </is>
      </c>
      <c r="G681" s="59" t="n"/>
      <c r="N681" s="59" t="n"/>
      <c r="O681" s="59" t="n"/>
      <c r="X681" s="61" t="n"/>
      <c r="Y681" s="61" t="n"/>
    </row>
    <row r="682" ht="14.25" customHeight="1" s="86">
      <c r="E682" s="53" t="inlineStr">
        <is>
          <t>ID</t>
        </is>
      </c>
      <c r="F682" s="53" t="inlineStr">
        <is>
          <t>KOOTENAI</t>
        </is>
      </c>
      <c r="G682" s="59" t="n"/>
      <c r="N682" s="59" t="n"/>
      <c r="O682" s="59" t="n"/>
      <c r="X682" s="61" t="n"/>
      <c r="Y682" s="61" t="n"/>
    </row>
    <row r="683" ht="14.25" customHeight="1" s="86">
      <c r="E683" s="53" t="inlineStr">
        <is>
          <t>ID</t>
        </is>
      </c>
      <c r="F683" s="53" t="inlineStr">
        <is>
          <t>LATAH</t>
        </is>
      </c>
      <c r="G683" s="59" t="n"/>
      <c r="N683" s="59" t="n"/>
      <c r="O683" s="59" t="n"/>
      <c r="X683" s="61" t="n"/>
      <c r="Y683" s="61" t="n"/>
    </row>
    <row r="684" ht="14.25" customHeight="1" s="86">
      <c r="E684" s="53" t="inlineStr">
        <is>
          <t>ID</t>
        </is>
      </c>
      <c r="F684" s="53" t="inlineStr">
        <is>
          <t>LEMHI</t>
        </is>
      </c>
      <c r="G684" s="59" t="n"/>
      <c r="N684" s="59" t="n"/>
      <c r="O684" s="59" t="n"/>
      <c r="X684" s="61" t="n"/>
      <c r="Y684" s="61" t="n"/>
    </row>
    <row r="685" ht="14.25" customHeight="1" s="86">
      <c r="E685" s="53" t="inlineStr">
        <is>
          <t>ID</t>
        </is>
      </c>
      <c r="F685" s="53" t="inlineStr">
        <is>
          <t>LEWIS</t>
        </is>
      </c>
      <c r="G685" s="59" t="n"/>
      <c r="N685" s="59" t="n"/>
      <c r="O685" s="59" t="n"/>
      <c r="X685" s="61" t="n"/>
      <c r="Y685" s="61" t="n"/>
    </row>
    <row r="686" ht="14.25" customHeight="1" s="86">
      <c r="E686" s="53" t="inlineStr">
        <is>
          <t>ID</t>
        </is>
      </c>
      <c r="F686" s="53" t="inlineStr">
        <is>
          <t>LINCOLN</t>
        </is>
      </c>
      <c r="G686" s="59" t="n"/>
      <c r="N686" s="59" t="n"/>
      <c r="O686" s="59" t="n"/>
      <c r="X686" s="61" t="n"/>
      <c r="Y686" s="61" t="n"/>
    </row>
    <row r="687" ht="14.25" customHeight="1" s="86">
      <c r="E687" s="53" t="inlineStr">
        <is>
          <t>ID</t>
        </is>
      </c>
      <c r="F687" s="53" t="inlineStr">
        <is>
          <t>MADISON</t>
        </is>
      </c>
      <c r="G687" s="59" t="n"/>
      <c r="N687" s="59" t="n"/>
      <c r="O687" s="59" t="n"/>
      <c r="X687" s="61" t="n"/>
      <c r="Y687" s="61" t="n"/>
    </row>
    <row r="688" ht="14.25" customHeight="1" s="86">
      <c r="E688" s="53" t="inlineStr">
        <is>
          <t>ID</t>
        </is>
      </c>
      <c r="F688" s="53" t="inlineStr">
        <is>
          <t>MINIDOKA</t>
        </is>
      </c>
      <c r="G688" s="59" t="n"/>
      <c r="N688" s="59" t="n"/>
      <c r="O688" s="59" t="n"/>
      <c r="X688" s="61" t="n"/>
      <c r="Y688" s="61" t="n"/>
    </row>
    <row r="689" ht="14.25" customHeight="1" s="86">
      <c r="E689" s="53" t="inlineStr">
        <is>
          <t>ID</t>
        </is>
      </c>
      <c r="F689" s="53" t="inlineStr">
        <is>
          <t>NEZ PERCE</t>
        </is>
      </c>
      <c r="G689" s="59" t="n"/>
      <c r="N689" s="59" t="n"/>
      <c r="O689" s="59" t="n"/>
      <c r="X689" s="61" t="n"/>
      <c r="Y689" s="61" t="n"/>
    </row>
    <row r="690" ht="14.25" customHeight="1" s="86">
      <c r="E690" s="53" t="inlineStr">
        <is>
          <t>ID</t>
        </is>
      </c>
      <c r="F690" s="53" t="inlineStr">
        <is>
          <t>ONEIDA</t>
        </is>
      </c>
      <c r="G690" s="59" t="n"/>
      <c r="N690" s="59" t="n"/>
      <c r="O690" s="59" t="n"/>
      <c r="X690" s="61" t="n"/>
      <c r="Y690" s="61" t="n"/>
    </row>
    <row r="691" ht="14.25" customHeight="1" s="86">
      <c r="E691" s="53" t="inlineStr">
        <is>
          <t>ID</t>
        </is>
      </c>
      <c r="F691" s="53" t="inlineStr">
        <is>
          <t>OWYHEE</t>
        </is>
      </c>
      <c r="G691" s="59" t="n"/>
      <c r="N691" s="59" t="n"/>
      <c r="O691" s="59" t="n"/>
      <c r="X691" s="61" t="n"/>
      <c r="Y691" s="61" t="n"/>
    </row>
    <row r="692" ht="14.25" customHeight="1" s="86">
      <c r="E692" s="53" t="inlineStr">
        <is>
          <t>ID</t>
        </is>
      </c>
      <c r="F692" s="53" t="inlineStr">
        <is>
          <t>PAYETTE</t>
        </is>
      </c>
      <c r="G692" s="59" t="n"/>
      <c r="N692" s="59" t="n"/>
      <c r="O692" s="59" t="n"/>
      <c r="X692" s="61" t="n"/>
      <c r="Y692" s="61" t="n"/>
    </row>
    <row r="693" ht="14.25" customHeight="1" s="86">
      <c r="E693" s="53" t="inlineStr">
        <is>
          <t>ID</t>
        </is>
      </c>
      <c r="F693" s="53" t="inlineStr">
        <is>
          <t>POWER</t>
        </is>
      </c>
      <c r="G693" s="59" t="n"/>
      <c r="N693" s="59" t="n"/>
      <c r="O693" s="59" t="n"/>
      <c r="X693" s="61" t="n"/>
      <c r="Y693" s="61" t="n"/>
    </row>
    <row r="694" ht="14.25" customHeight="1" s="86">
      <c r="E694" s="53" t="inlineStr">
        <is>
          <t>ID</t>
        </is>
      </c>
      <c r="F694" s="53" t="inlineStr">
        <is>
          <t>SHOSHONE</t>
        </is>
      </c>
      <c r="G694" s="59" t="n"/>
      <c r="N694" s="59" t="n"/>
      <c r="O694" s="59" t="n"/>
      <c r="X694" s="61" t="n"/>
      <c r="Y694" s="61" t="n"/>
    </row>
    <row r="695" ht="14.25" customHeight="1" s="86">
      <c r="E695" s="53" t="inlineStr">
        <is>
          <t>ID</t>
        </is>
      </c>
      <c r="F695" s="53" t="inlineStr">
        <is>
          <t>TETON</t>
        </is>
      </c>
      <c r="G695" s="59" t="n"/>
      <c r="N695" s="59" t="n"/>
      <c r="O695" s="59" t="n"/>
      <c r="X695" s="61" t="n"/>
      <c r="Y695" s="61" t="n"/>
    </row>
    <row r="696" ht="14.25" customHeight="1" s="86">
      <c r="E696" s="53" t="inlineStr">
        <is>
          <t>ID</t>
        </is>
      </c>
      <c r="F696" s="53" t="inlineStr">
        <is>
          <t>TWIN FALLS</t>
        </is>
      </c>
      <c r="G696" s="59" t="n"/>
      <c r="N696" s="59" t="n"/>
      <c r="O696" s="59" t="n"/>
      <c r="X696" s="61" t="n"/>
      <c r="Y696" s="61" t="n"/>
    </row>
    <row r="697" ht="14.25" customHeight="1" s="86">
      <c r="E697" s="53" t="inlineStr">
        <is>
          <t>ID</t>
        </is>
      </c>
      <c r="F697" s="53" t="inlineStr">
        <is>
          <t>VALLEY</t>
        </is>
      </c>
      <c r="G697" s="59" t="n"/>
      <c r="N697" s="59" t="n"/>
      <c r="O697" s="59" t="n"/>
      <c r="X697" s="61" t="n"/>
      <c r="Y697" s="61" t="n"/>
    </row>
    <row r="698" ht="14.25" customHeight="1" s="86">
      <c r="E698" s="53" t="inlineStr">
        <is>
          <t>ID</t>
        </is>
      </c>
      <c r="F698" s="53" t="inlineStr">
        <is>
          <t>WASHINGTON</t>
        </is>
      </c>
      <c r="G698" s="59" t="n"/>
      <c r="N698" s="59" t="n"/>
      <c r="O698" s="59" t="n"/>
      <c r="X698" s="61" t="n"/>
      <c r="Y698" s="61" t="n"/>
    </row>
    <row r="699" ht="14.25" customHeight="1" s="86">
      <c r="E699" s="53" t="inlineStr">
        <is>
          <t>IL</t>
        </is>
      </c>
      <c r="F699" s="53" t="inlineStr">
        <is>
          <t>ADAMS</t>
        </is>
      </c>
      <c r="G699" s="59" t="n"/>
      <c r="N699" s="59" t="n"/>
      <c r="O699" s="59" t="n"/>
      <c r="X699" s="61" t="n"/>
      <c r="Y699" s="61" t="n"/>
    </row>
    <row r="700" ht="14.25" customHeight="1" s="86">
      <c r="E700" s="53" t="inlineStr">
        <is>
          <t>IL</t>
        </is>
      </c>
      <c r="F700" s="53" t="inlineStr">
        <is>
          <t>ALEXANDER</t>
        </is>
      </c>
      <c r="G700" s="59" t="n"/>
      <c r="N700" s="59" t="n"/>
      <c r="O700" s="59" t="n"/>
      <c r="X700" s="61" t="n"/>
      <c r="Y700" s="61" t="n"/>
    </row>
    <row r="701" ht="14.25" customHeight="1" s="86">
      <c r="E701" s="53" t="inlineStr">
        <is>
          <t>IL</t>
        </is>
      </c>
      <c r="F701" s="53" t="inlineStr">
        <is>
          <t>BOND</t>
        </is>
      </c>
      <c r="G701" s="59" t="n"/>
      <c r="N701" s="59" t="n"/>
      <c r="O701" s="59" t="n"/>
      <c r="X701" s="61" t="n"/>
      <c r="Y701" s="61" t="n"/>
    </row>
    <row r="702" ht="14.25" customHeight="1" s="86">
      <c r="E702" s="53" t="inlineStr">
        <is>
          <t>IL</t>
        </is>
      </c>
      <c r="F702" s="53" t="inlineStr">
        <is>
          <t>BOONE</t>
        </is>
      </c>
      <c r="G702" s="59" t="n"/>
      <c r="N702" s="59" t="n"/>
      <c r="O702" s="59" t="n"/>
      <c r="X702" s="61" t="n"/>
      <c r="Y702" s="61" t="n"/>
    </row>
    <row r="703" ht="14.25" customHeight="1" s="86">
      <c r="E703" s="53" t="inlineStr">
        <is>
          <t>IL</t>
        </is>
      </c>
      <c r="F703" s="53" t="inlineStr">
        <is>
          <t>BROWN</t>
        </is>
      </c>
      <c r="G703" s="59" t="n"/>
      <c r="N703" s="59" t="n"/>
      <c r="O703" s="59" t="n"/>
      <c r="X703" s="61" t="n"/>
      <c r="Y703" s="61" t="n"/>
    </row>
    <row r="704" ht="14.25" customHeight="1" s="86">
      <c r="E704" s="53" t="inlineStr">
        <is>
          <t>IL</t>
        </is>
      </c>
      <c r="F704" s="53" t="inlineStr">
        <is>
          <t>BUREAU</t>
        </is>
      </c>
      <c r="G704" s="59" t="n"/>
      <c r="N704" s="59" t="n"/>
      <c r="O704" s="59" t="n"/>
      <c r="X704" s="61" t="n"/>
      <c r="Y704" s="61" t="n"/>
    </row>
    <row r="705" ht="14.25" customHeight="1" s="86">
      <c r="E705" s="53" t="inlineStr">
        <is>
          <t>IL</t>
        </is>
      </c>
      <c r="F705" s="53" t="inlineStr">
        <is>
          <t>CALHOUN</t>
        </is>
      </c>
      <c r="G705" s="59" t="n"/>
      <c r="N705" s="59" t="n"/>
      <c r="O705" s="59" t="n"/>
      <c r="X705" s="61" t="n"/>
      <c r="Y705" s="61" t="n"/>
    </row>
    <row r="706" ht="14.25" customHeight="1" s="86">
      <c r="E706" s="53" t="inlineStr">
        <is>
          <t>IL</t>
        </is>
      </c>
      <c r="F706" s="53" t="inlineStr">
        <is>
          <t>CARROLL</t>
        </is>
      </c>
      <c r="G706" s="59" t="n"/>
      <c r="N706" s="59" t="n"/>
      <c r="O706" s="59" t="n"/>
      <c r="X706" s="61" t="n"/>
      <c r="Y706" s="61" t="n"/>
    </row>
    <row r="707" ht="14.25" customHeight="1" s="86">
      <c r="E707" s="53" t="inlineStr">
        <is>
          <t>IL</t>
        </is>
      </c>
      <c r="F707" s="53" t="inlineStr">
        <is>
          <t>CASS</t>
        </is>
      </c>
      <c r="G707" s="59" t="n"/>
      <c r="N707" s="59" t="n"/>
      <c r="O707" s="59" t="n"/>
      <c r="X707" s="61" t="n"/>
      <c r="Y707" s="61" t="n"/>
    </row>
    <row r="708" ht="14.25" customHeight="1" s="86">
      <c r="E708" s="53" t="inlineStr">
        <is>
          <t>IL</t>
        </is>
      </c>
      <c r="F708" s="53" t="inlineStr">
        <is>
          <t>CHAMPAIGN</t>
        </is>
      </c>
      <c r="G708" s="59" t="n"/>
      <c r="N708" s="59" t="n"/>
      <c r="O708" s="59" t="n"/>
      <c r="X708" s="61" t="n"/>
      <c r="Y708" s="61" t="n"/>
    </row>
    <row r="709" ht="14.25" customHeight="1" s="86">
      <c r="E709" s="53" t="inlineStr">
        <is>
          <t>IL</t>
        </is>
      </c>
      <c r="F709" s="53" t="inlineStr">
        <is>
          <t>CHRISTIAN</t>
        </is>
      </c>
      <c r="G709" s="59" t="n"/>
      <c r="N709" s="59" t="n"/>
      <c r="O709" s="59" t="n"/>
      <c r="X709" s="61" t="n"/>
      <c r="Y709" s="61" t="n"/>
    </row>
    <row r="710" ht="14.25" customHeight="1" s="86">
      <c r="E710" s="53" t="inlineStr">
        <is>
          <t>IL</t>
        </is>
      </c>
      <c r="F710" s="53" t="inlineStr">
        <is>
          <t>CLARK</t>
        </is>
      </c>
      <c r="G710" s="59" t="n"/>
      <c r="N710" s="59" t="n"/>
      <c r="O710" s="59" t="n"/>
      <c r="X710" s="61" t="n"/>
      <c r="Y710" s="61" t="n"/>
    </row>
    <row r="711" ht="14.25" customHeight="1" s="86">
      <c r="E711" s="53" t="inlineStr">
        <is>
          <t>IL</t>
        </is>
      </c>
      <c r="F711" s="53" t="inlineStr">
        <is>
          <t>CLAY</t>
        </is>
      </c>
      <c r="G711" s="59" t="n"/>
      <c r="N711" s="59" t="n"/>
      <c r="O711" s="59" t="n"/>
      <c r="X711" s="61" t="n"/>
      <c r="Y711" s="61" t="n"/>
    </row>
    <row r="712" ht="14.25" customHeight="1" s="86">
      <c r="E712" s="53" t="inlineStr">
        <is>
          <t>IL</t>
        </is>
      </c>
      <c r="F712" s="53" t="inlineStr">
        <is>
          <t>CLINTON</t>
        </is>
      </c>
      <c r="G712" s="59" t="n"/>
      <c r="N712" s="59" t="n"/>
      <c r="O712" s="59" t="n"/>
      <c r="X712" s="61" t="n"/>
      <c r="Y712" s="61" t="n"/>
    </row>
    <row r="713" ht="14.25" customHeight="1" s="86">
      <c r="E713" s="53" t="inlineStr">
        <is>
          <t>IL</t>
        </is>
      </c>
      <c r="F713" s="53" t="inlineStr">
        <is>
          <t>COLES</t>
        </is>
      </c>
      <c r="G713" s="59" t="n"/>
      <c r="N713" s="59" t="n"/>
      <c r="O713" s="59" t="n"/>
      <c r="X713" s="61" t="n"/>
      <c r="Y713" s="61" t="n"/>
    </row>
    <row r="714" ht="14.25" customHeight="1" s="86">
      <c r="E714" s="53" t="inlineStr">
        <is>
          <t>IL</t>
        </is>
      </c>
      <c r="F714" s="53" t="inlineStr">
        <is>
          <t>COOK</t>
        </is>
      </c>
      <c r="G714" s="59" t="n"/>
      <c r="N714" s="59" t="n"/>
      <c r="O714" s="59" t="n"/>
      <c r="X714" s="61" t="n"/>
      <c r="Y714" s="61" t="n"/>
    </row>
    <row r="715" ht="14.25" customHeight="1" s="86">
      <c r="E715" s="53" t="inlineStr">
        <is>
          <t>IL</t>
        </is>
      </c>
      <c r="F715" s="53" t="inlineStr">
        <is>
          <t>CRAWFORD</t>
        </is>
      </c>
      <c r="G715" s="59" t="n"/>
      <c r="N715" s="59" t="n"/>
      <c r="O715" s="59" t="n"/>
      <c r="X715" s="61" t="n"/>
      <c r="Y715" s="61" t="n"/>
    </row>
    <row r="716" ht="14.25" customHeight="1" s="86">
      <c r="E716" s="53" t="inlineStr">
        <is>
          <t>IL</t>
        </is>
      </c>
      <c r="F716" s="53" t="inlineStr">
        <is>
          <t>CUMBERLAND</t>
        </is>
      </c>
      <c r="G716" s="59" t="n"/>
      <c r="N716" s="59" t="n"/>
      <c r="O716" s="59" t="n"/>
      <c r="X716" s="61" t="n"/>
      <c r="Y716" s="61" t="n"/>
    </row>
    <row r="717" ht="14.25" customHeight="1" s="86">
      <c r="E717" s="53" t="inlineStr">
        <is>
          <t>IL</t>
        </is>
      </c>
      <c r="F717" s="53" t="inlineStr">
        <is>
          <t>DEKALB</t>
        </is>
      </c>
      <c r="G717" s="59" t="n"/>
      <c r="N717" s="59" t="n"/>
      <c r="O717" s="59" t="n"/>
      <c r="X717" s="61" t="n"/>
      <c r="Y717" s="61" t="n"/>
    </row>
    <row r="718" ht="14.25" customHeight="1" s="86">
      <c r="E718" s="53" t="inlineStr">
        <is>
          <t>IL</t>
        </is>
      </c>
      <c r="F718" s="53" t="inlineStr">
        <is>
          <t>DEWITT</t>
        </is>
      </c>
      <c r="G718" s="59" t="n"/>
      <c r="N718" s="59" t="n"/>
      <c r="O718" s="59" t="n"/>
      <c r="X718" s="61" t="n"/>
      <c r="Y718" s="61" t="n"/>
    </row>
    <row r="719" ht="14.25" customHeight="1" s="86">
      <c r="E719" s="53" t="inlineStr">
        <is>
          <t>IL</t>
        </is>
      </c>
      <c r="F719" s="53" t="inlineStr">
        <is>
          <t>DOUGLAS</t>
        </is>
      </c>
      <c r="G719" s="59" t="n"/>
      <c r="N719" s="59" t="n"/>
      <c r="O719" s="59" t="n"/>
      <c r="X719" s="61" t="n"/>
      <c r="Y719" s="61" t="n"/>
    </row>
    <row r="720" ht="14.25" customHeight="1" s="86">
      <c r="E720" s="53" t="inlineStr">
        <is>
          <t>IL</t>
        </is>
      </c>
      <c r="F720" s="53" t="inlineStr">
        <is>
          <t>DUPAGE</t>
        </is>
      </c>
      <c r="G720" s="59" t="n"/>
      <c r="N720" s="59" t="n"/>
      <c r="O720" s="59" t="n"/>
      <c r="X720" s="61" t="n"/>
      <c r="Y720" s="61" t="n"/>
    </row>
    <row r="721" ht="14.25" customHeight="1" s="86">
      <c r="E721" s="53" t="inlineStr">
        <is>
          <t>IL</t>
        </is>
      </c>
      <c r="F721" s="53" t="inlineStr">
        <is>
          <t>EDGAR</t>
        </is>
      </c>
      <c r="G721" s="59" t="n"/>
      <c r="N721" s="59" t="n"/>
      <c r="O721" s="59" t="n"/>
      <c r="X721" s="61" t="n"/>
      <c r="Y721" s="61" t="n"/>
    </row>
    <row r="722" ht="14.25" customHeight="1" s="86">
      <c r="E722" s="53" t="inlineStr">
        <is>
          <t>IL</t>
        </is>
      </c>
      <c r="F722" s="53" t="inlineStr">
        <is>
          <t>EDWARDS</t>
        </is>
      </c>
      <c r="G722" s="59" t="n"/>
      <c r="N722" s="59" t="n"/>
      <c r="O722" s="59" t="n"/>
      <c r="X722" s="61" t="n"/>
      <c r="Y722" s="61" t="n"/>
    </row>
    <row r="723" ht="14.25" customHeight="1" s="86">
      <c r="E723" s="53" t="inlineStr">
        <is>
          <t>IL</t>
        </is>
      </c>
      <c r="F723" s="53" t="inlineStr">
        <is>
          <t>EFFINGHAM</t>
        </is>
      </c>
      <c r="G723" s="59" t="n"/>
      <c r="N723" s="59" t="n"/>
      <c r="O723" s="59" t="n"/>
      <c r="X723" s="61" t="n"/>
      <c r="Y723" s="61" t="n"/>
    </row>
    <row r="724" ht="14.25" customHeight="1" s="86">
      <c r="E724" s="53" t="inlineStr">
        <is>
          <t>IL</t>
        </is>
      </c>
      <c r="F724" s="53" t="inlineStr">
        <is>
          <t>FAYETTE</t>
        </is>
      </c>
      <c r="G724" s="59" t="n"/>
      <c r="N724" s="59" t="n"/>
      <c r="O724" s="59" t="n"/>
      <c r="X724" s="61" t="n"/>
      <c r="Y724" s="61" t="n"/>
    </row>
    <row r="725" ht="14.25" customHeight="1" s="86">
      <c r="E725" s="53" t="inlineStr">
        <is>
          <t>IL</t>
        </is>
      </c>
      <c r="F725" s="53" t="inlineStr">
        <is>
          <t>FORD</t>
        </is>
      </c>
      <c r="G725" s="59" t="n"/>
      <c r="N725" s="59" t="n"/>
      <c r="O725" s="59" t="n"/>
      <c r="X725" s="61" t="n"/>
      <c r="Y725" s="61" t="n"/>
    </row>
    <row r="726" ht="14.25" customHeight="1" s="86">
      <c r="E726" s="53" t="inlineStr">
        <is>
          <t>IL</t>
        </is>
      </c>
      <c r="F726" s="53" t="inlineStr">
        <is>
          <t>FRANKLIN</t>
        </is>
      </c>
      <c r="G726" s="59" t="n"/>
      <c r="N726" s="59" t="n"/>
      <c r="O726" s="59" t="n"/>
      <c r="X726" s="61" t="n"/>
      <c r="Y726" s="61" t="n"/>
    </row>
    <row r="727" ht="14.25" customHeight="1" s="86">
      <c r="E727" s="53" t="inlineStr">
        <is>
          <t>IL</t>
        </is>
      </c>
      <c r="F727" s="53" t="inlineStr">
        <is>
          <t>FULTON</t>
        </is>
      </c>
      <c r="G727" s="59" t="n"/>
      <c r="N727" s="59" t="n"/>
      <c r="O727" s="59" t="n"/>
      <c r="X727" s="61" t="n"/>
      <c r="Y727" s="61" t="n"/>
    </row>
    <row r="728" ht="14.25" customHeight="1" s="86">
      <c r="E728" s="53" t="inlineStr">
        <is>
          <t>IL</t>
        </is>
      </c>
      <c r="F728" s="53" t="inlineStr">
        <is>
          <t>GALLATIN</t>
        </is>
      </c>
      <c r="G728" s="59" t="n"/>
      <c r="N728" s="59" t="n"/>
      <c r="O728" s="59" t="n"/>
      <c r="X728" s="61" t="n"/>
      <c r="Y728" s="61" t="n"/>
    </row>
    <row r="729" ht="14.25" customHeight="1" s="86">
      <c r="E729" s="53" t="inlineStr">
        <is>
          <t>IL</t>
        </is>
      </c>
      <c r="F729" s="53" t="inlineStr">
        <is>
          <t>GREENE</t>
        </is>
      </c>
      <c r="G729" s="59" t="n"/>
      <c r="N729" s="59" t="n"/>
      <c r="O729" s="59" t="n"/>
      <c r="X729" s="61" t="n"/>
      <c r="Y729" s="61" t="n"/>
    </row>
    <row r="730" ht="14.25" customHeight="1" s="86">
      <c r="E730" s="53" t="inlineStr">
        <is>
          <t>IL</t>
        </is>
      </c>
      <c r="F730" s="53" t="inlineStr">
        <is>
          <t>GRUNDY</t>
        </is>
      </c>
      <c r="G730" s="59" t="n"/>
      <c r="N730" s="59" t="n"/>
      <c r="O730" s="59" t="n"/>
      <c r="X730" s="61" t="n"/>
      <c r="Y730" s="61" t="n"/>
    </row>
    <row r="731" ht="14.25" customHeight="1" s="86">
      <c r="E731" s="53" t="inlineStr">
        <is>
          <t>IL</t>
        </is>
      </c>
      <c r="F731" s="53" t="inlineStr">
        <is>
          <t>HAMILTON</t>
        </is>
      </c>
      <c r="G731" s="59" t="n"/>
      <c r="N731" s="59" t="n"/>
      <c r="O731" s="59" t="n"/>
      <c r="X731" s="61" t="n"/>
      <c r="Y731" s="61" t="n"/>
    </row>
    <row r="732" ht="14.25" customHeight="1" s="86">
      <c r="E732" s="53" t="inlineStr">
        <is>
          <t>IL</t>
        </is>
      </c>
      <c r="F732" s="53" t="inlineStr">
        <is>
          <t>HANCOCK</t>
        </is>
      </c>
      <c r="G732" s="59" t="n"/>
      <c r="N732" s="59" t="n"/>
      <c r="O732" s="59" t="n"/>
      <c r="X732" s="61" t="n"/>
      <c r="Y732" s="61" t="n"/>
    </row>
    <row r="733" ht="14.25" customHeight="1" s="86">
      <c r="E733" s="53" t="inlineStr">
        <is>
          <t>IL</t>
        </is>
      </c>
      <c r="F733" s="53" t="inlineStr">
        <is>
          <t>HARDIN</t>
        </is>
      </c>
      <c r="G733" s="59" t="n"/>
      <c r="N733" s="59" t="n"/>
      <c r="O733" s="59" t="n"/>
      <c r="X733" s="61" t="n"/>
      <c r="Y733" s="61" t="n"/>
    </row>
    <row r="734" ht="14.25" customHeight="1" s="86">
      <c r="E734" s="53" t="inlineStr">
        <is>
          <t>IL</t>
        </is>
      </c>
      <c r="F734" s="53" t="inlineStr">
        <is>
          <t>HENDERSON</t>
        </is>
      </c>
      <c r="G734" s="59" t="n"/>
      <c r="N734" s="59" t="n"/>
      <c r="O734" s="59" t="n"/>
      <c r="X734" s="61" t="n"/>
      <c r="Y734" s="61" t="n"/>
    </row>
    <row r="735" ht="14.25" customHeight="1" s="86">
      <c r="E735" s="53" t="inlineStr">
        <is>
          <t>IL</t>
        </is>
      </c>
      <c r="F735" s="53" t="inlineStr">
        <is>
          <t>HENRY</t>
        </is>
      </c>
      <c r="G735" s="59" t="n"/>
      <c r="N735" s="59" t="n"/>
      <c r="O735" s="59" t="n"/>
      <c r="X735" s="61" t="n"/>
      <c r="Y735" s="61" t="n"/>
    </row>
    <row r="736" ht="14.25" customHeight="1" s="86">
      <c r="E736" s="53" t="inlineStr">
        <is>
          <t>IL</t>
        </is>
      </c>
      <c r="F736" s="53" t="inlineStr">
        <is>
          <t>IROQUOIS</t>
        </is>
      </c>
      <c r="G736" s="59" t="n"/>
      <c r="N736" s="59" t="n"/>
      <c r="O736" s="59" t="n"/>
      <c r="X736" s="61" t="n"/>
      <c r="Y736" s="61" t="n"/>
    </row>
    <row r="737" ht="14.25" customHeight="1" s="86">
      <c r="E737" s="53" t="inlineStr">
        <is>
          <t>IL</t>
        </is>
      </c>
      <c r="F737" s="53" t="inlineStr">
        <is>
          <t>JACKSON</t>
        </is>
      </c>
      <c r="G737" s="59" t="n"/>
      <c r="N737" s="59" t="n"/>
      <c r="O737" s="59" t="n"/>
      <c r="X737" s="61" t="n"/>
      <c r="Y737" s="61" t="n"/>
    </row>
    <row r="738" ht="14.25" customHeight="1" s="86">
      <c r="E738" s="53" t="inlineStr">
        <is>
          <t>IL</t>
        </is>
      </c>
      <c r="F738" s="53" t="inlineStr">
        <is>
          <t>JASPER</t>
        </is>
      </c>
      <c r="G738" s="59" t="n"/>
      <c r="N738" s="59" t="n"/>
      <c r="O738" s="59" t="n"/>
      <c r="X738" s="61" t="n"/>
      <c r="Y738" s="61" t="n"/>
    </row>
    <row r="739" ht="14.25" customHeight="1" s="86">
      <c r="E739" s="53" t="inlineStr">
        <is>
          <t>IL</t>
        </is>
      </c>
      <c r="F739" s="53" t="inlineStr">
        <is>
          <t>JEFFERSON</t>
        </is>
      </c>
      <c r="G739" s="59" t="n"/>
      <c r="N739" s="59" t="n"/>
      <c r="O739" s="59" t="n"/>
      <c r="X739" s="61" t="n"/>
      <c r="Y739" s="61" t="n"/>
    </row>
    <row r="740" ht="14.25" customHeight="1" s="86">
      <c r="E740" s="53" t="inlineStr">
        <is>
          <t>IL</t>
        </is>
      </c>
      <c r="F740" s="53" t="inlineStr">
        <is>
          <t>JERSEY</t>
        </is>
      </c>
      <c r="G740" s="59" t="n"/>
      <c r="N740" s="59" t="n"/>
      <c r="O740" s="59" t="n"/>
      <c r="X740" s="61" t="n"/>
      <c r="Y740" s="61" t="n"/>
    </row>
    <row r="741" ht="14.25" customHeight="1" s="86">
      <c r="E741" s="53" t="inlineStr">
        <is>
          <t>IL</t>
        </is>
      </c>
      <c r="F741" s="53" t="inlineStr">
        <is>
          <t>JO DAVIESS</t>
        </is>
      </c>
      <c r="G741" s="59" t="n"/>
      <c r="N741" s="59" t="n"/>
      <c r="O741" s="59" t="n"/>
      <c r="X741" s="61" t="n"/>
      <c r="Y741" s="61" t="n"/>
    </row>
    <row r="742" ht="14.25" customHeight="1" s="86">
      <c r="E742" s="53" t="inlineStr">
        <is>
          <t>IL</t>
        </is>
      </c>
      <c r="F742" s="53" t="inlineStr">
        <is>
          <t>JOHNSON</t>
        </is>
      </c>
      <c r="G742" s="59" t="n"/>
      <c r="N742" s="59" t="n"/>
      <c r="O742" s="59" t="n"/>
      <c r="X742" s="61" t="n"/>
      <c r="Y742" s="61" t="n"/>
    </row>
    <row r="743" ht="14.25" customHeight="1" s="86">
      <c r="E743" s="53" t="inlineStr">
        <is>
          <t>IL</t>
        </is>
      </c>
      <c r="F743" s="53" t="inlineStr">
        <is>
          <t>KANE</t>
        </is>
      </c>
      <c r="G743" s="59" t="n"/>
      <c r="N743" s="59" t="n"/>
      <c r="O743" s="59" t="n"/>
      <c r="X743" s="61" t="n"/>
      <c r="Y743" s="61" t="n"/>
    </row>
    <row r="744" ht="14.25" customHeight="1" s="86">
      <c r="E744" s="53" t="inlineStr">
        <is>
          <t>IL</t>
        </is>
      </c>
      <c r="F744" s="53" t="inlineStr">
        <is>
          <t>KANKAKEE</t>
        </is>
      </c>
      <c r="G744" s="59" t="n"/>
      <c r="N744" s="59" t="n"/>
      <c r="O744" s="59" t="n"/>
      <c r="X744" s="61" t="n"/>
      <c r="Y744" s="61" t="n"/>
    </row>
    <row r="745" ht="14.25" customHeight="1" s="86">
      <c r="E745" s="53" t="inlineStr">
        <is>
          <t>IL</t>
        </is>
      </c>
      <c r="F745" s="53" t="inlineStr">
        <is>
          <t>KENDALL</t>
        </is>
      </c>
      <c r="G745" s="59" t="n"/>
      <c r="N745" s="59" t="n"/>
      <c r="O745" s="59" t="n"/>
      <c r="X745" s="61" t="n"/>
      <c r="Y745" s="61" t="n"/>
    </row>
    <row r="746" ht="14.25" customHeight="1" s="86">
      <c r="E746" s="53" t="inlineStr">
        <is>
          <t>IL</t>
        </is>
      </c>
      <c r="F746" s="53" t="inlineStr">
        <is>
          <t>KNOX</t>
        </is>
      </c>
      <c r="G746" s="59" t="n"/>
      <c r="N746" s="59" t="n"/>
      <c r="O746" s="59" t="n"/>
      <c r="X746" s="61" t="n"/>
      <c r="Y746" s="61" t="n"/>
    </row>
    <row r="747" ht="14.25" customHeight="1" s="86">
      <c r="E747" s="53" t="inlineStr">
        <is>
          <t>IL</t>
        </is>
      </c>
      <c r="F747" s="53" t="inlineStr">
        <is>
          <t>LA SALLE</t>
        </is>
      </c>
      <c r="G747" s="59" t="n"/>
      <c r="N747" s="59" t="n"/>
      <c r="O747" s="59" t="n"/>
      <c r="X747" s="61" t="n"/>
      <c r="Y747" s="61" t="n"/>
    </row>
    <row r="748" ht="14.25" customHeight="1" s="86">
      <c r="E748" s="53" t="inlineStr">
        <is>
          <t>IL</t>
        </is>
      </c>
      <c r="F748" s="53" t="inlineStr">
        <is>
          <t>LAKE</t>
        </is>
      </c>
      <c r="G748" s="59" t="n"/>
      <c r="N748" s="59" t="n"/>
      <c r="O748" s="59" t="n"/>
      <c r="X748" s="61" t="n"/>
      <c r="Y748" s="61" t="n"/>
    </row>
    <row r="749" ht="14.25" customHeight="1" s="86">
      <c r="E749" s="53" t="inlineStr">
        <is>
          <t>IL</t>
        </is>
      </c>
      <c r="F749" s="53" t="inlineStr">
        <is>
          <t>LAWRENCE</t>
        </is>
      </c>
      <c r="G749" s="59" t="n"/>
      <c r="N749" s="59" t="n"/>
      <c r="O749" s="59" t="n"/>
      <c r="X749" s="61" t="n"/>
      <c r="Y749" s="61" t="n"/>
    </row>
    <row r="750" ht="14.25" customHeight="1" s="86">
      <c r="E750" s="53" t="inlineStr">
        <is>
          <t>IL</t>
        </is>
      </c>
      <c r="F750" s="53" t="inlineStr">
        <is>
          <t>LEE</t>
        </is>
      </c>
      <c r="G750" s="59" t="n"/>
      <c r="N750" s="59" t="n"/>
      <c r="O750" s="59" t="n"/>
      <c r="X750" s="61" t="n"/>
      <c r="Y750" s="61" t="n"/>
    </row>
    <row r="751" ht="14.25" customHeight="1" s="86">
      <c r="E751" s="53" t="inlineStr">
        <is>
          <t>IL</t>
        </is>
      </c>
      <c r="F751" s="53" t="inlineStr">
        <is>
          <t>LIVINGSTON</t>
        </is>
      </c>
      <c r="G751" s="59" t="n"/>
      <c r="N751" s="59" t="n"/>
      <c r="O751" s="59" t="n"/>
      <c r="X751" s="61" t="n"/>
      <c r="Y751" s="61" t="n"/>
    </row>
    <row r="752" ht="14.25" customHeight="1" s="86">
      <c r="E752" s="53" t="inlineStr">
        <is>
          <t>IL</t>
        </is>
      </c>
      <c r="F752" s="53" t="inlineStr">
        <is>
          <t>LOGAN</t>
        </is>
      </c>
      <c r="G752" s="59" t="n"/>
      <c r="N752" s="59" t="n"/>
      <c r="O752" s="59" t="n"/>
      <c r="X752" s="61" t="n"/>
      <c r="Y752" s="61" t="n"/>
    </row>
    <row r="753" ht="14.25" customHeight="1" s="86">
      <c r="E753" s="53" t="inlineStr">
        <is>
          <t>IL</t>
        </is>
      </c>
      <c r="F753" s="53" t="inlineStr">
        <is>
          <t>MACON</t>
        </is>
      </c>
      <c r="G753" s="59" t="n"/>
      <c r="N753" s="59" t="n"/>
      <c r="O753" s="59" t="n"/>
      <c r="X753" s="61" t="n"/>
      <c r="Y753" s="61" t="n"/>
    </row>
    <row r="754" ht="14.25" customHeight="1" s="86">
      <c r="E754" s="53" t="inlineStr">
        <is>
          <t>IL</t>
        </is>
      </c>
      <c r="F754" s="53" t="inlineStr">
        <is>
          <t>MACOUPIN</t>
        </is>
      </c>
      <c r="G754" s="59" t="n"/>
      <c r="N754" s="59" t="n"/>
      <c r="O754" s="59" t="n"/>
      <c r="X754" s="61" t="n"/>
      <c r="Y754" s="61" t="n"/>
    </row>
    <row r="755" ht="14.25" customHeight="1" s="86">
      <c r="E755" s="53" t="inlineStr">
        <is>
          <t>IL</t>
        </is>
      </c>
      <c r="F755" s="53" t="inlineStr">
        <is>
          <t>MADISON</t>
        </is>
      </c>
      <c r="G755" s="59" t="n"/>
      <c r="N755" s="59" t="n"/>
      <c r="O755" s="59" t="n"/>
      <c r="X755" s="61" t="n"/>
      <c r="Y755" s="61" t="n"/>
    </row>
    <row r="756" ht="14.25" customHeight="1" s="86">
      <c r="E756" s="53" t="inlineStr">
        <is>
          <t>IL</t>
        </is>
      </c>
      <c r="F756" s="53" t="inlineStr">
        <is>
          <t>MARION</t>
        </is>
      </c>
      <c r="G756" s="59" t="n"/>
      <c r="N756" s="59" t="n"/>
      <c r="O756" s="59" t="n"/>
      <c r="X756" s="61" t="n"/>
      <c r="Y756" s="61" t="n"/>
    </row>
    <row r="757" ht="14.25" customHeight="1" s="86">
      <c r="E757" s="53" t="inlineStr">
        <is>
          <t>IL</t>
        </is>
      </c>
      <c r="F757" s="53" t="inlineStr">
        <is>
          <t>MARSHALL</t>
        </is>
      </c>
      <c r="G757" s="59" t="n"/>
      <c r="N757" s="59" t="n"/>
      <c r="O757" s="59" t="n"/>
      <c r="X757" s="61" t="n"/>
      <c r="Y757" s="61" t="n"/>
    </row>
    <row r="758" ht="14.25" customHeight="1" s="86">
      <c r="E758" s="53" t="inlineStr">
        <is>
          <t>IL</t>
        </is>
      </c>
      <c r="F758" s="53" t="inlineStr">
        <is>
          <t>MASON</t>
        </is>
      </c>
      <c r="G758" s="59" t="n"/>
      <c r="N758" s="59" t="n"/>
      <c r="O758" s="59" t="n"/>
      <c r="X758" s="61" t="n"/>
      <c r="Y758" s="61" t="n"/>
    </row>
    <row r="759" ht="14.25" customHeight="1" s="86">
      <c r="E759" s="53" t="inlineStr">
        <is>
          <t>IL</t>
        </is>
      </c>
      <c r="F759" s="53" t="inlineStr">
        <is>
          <t>MASSAC</t>
        </is>
      </c>
      <c r="G759" s="59" t="n"/>
      <c r="N759" s="59" t="n"/>
      <c r="O759" s="59" t="n"/>
      <c r="X759" s="61" t="n"/>
      <c r="Y759" s="61" t="n"/>
    </row>
    <row r="760" ht="14.25" customHeight="1" s="86">
      <c r="E760" s="53" t="inlineStr">
        <is>
          <t>IL</t>
        </is>
      </c>
      <c r="F760" s="53" t="inlineStr">
        <is>
          <t>MCDONOUGH</t>
        </is>
      </c>
      <c r="G760" s="59" t="n"/>
      <c r="N760" s="59" t="n"/>
      <c r="O760" s="59" t="n"/>
      <c r="X760" s="61" t="n"/>
      <c r="Y760" s="61" t="n"/>
    </row>
    <row r="761" ht="14.25" customHeight="1" s="86">
      <c r="E761" s="53" t="inlineStr">
        <is>
          <t>IL</t>
        </is>
      </c>
      <c r="F761" s="53" t="inlineStr">
        <is>
          <t>MCHENRY</t>
        </is>
      </c>
      <c r="G761" s="59" t="n"/>
      <c r="N761" s="59" t="n"/>
      <c r="O761" s="59" t="n"/>
      <c r="X761" s="61" t="n"/>
      <c r="Y761" s="61" t="n"/>
    </row>
    <row r="762" ht="14.25" customHeight="1" s="86">
      <c r="E762" s="53" t="inlineStr">
        <is>
          <t>IL</t>
        </is>
      </c>
      <c r="F762" s="53" t="inlineStr">
        <is>
          <t>MCLEAN</t>
        </is>
      </c>
      <c r="G762" s="59" t="n"/>
      <c r="N762" s="59" t="n"/>
      <c r="O762" s="59" t="n"/>
      <c r="X762" s="61" t="n"/>
      <c r="Y762" s="61" t="n"/>
    </row>
    <row r="763" ht="14.25" customHeight="1" s="86">
      <c r="E763" s="53" t="inlineStr">
        <is>
          <t>IL</t>
        </is>
      </c>
      <c r="F763" s="53" t="inlineStr">
        <is>
          <t>MENARD</t>
        </is>
      </c>
      <c r="G763" s="59" t="n"/>
      <c r="N763" s="59" t="n"/>
      <c r="O763" s="59" t="n"/>
      <c r="X763" s="61" t="n"/>
      <c r="Y763" s="61" t="n"/>
    </row>
    <row r="764" ht="14.25" customHeight="1" s="86">
      <c r="E764" s="53" t="inlineStr">
        <is>
          <t>IL</t>
        </is>
      </c>
      <c r="F764" s="53" t="inlineStr">
        <is>
          <t>MERCER</t>
        </is>
      </c>
      <c r="G764" s="59" t="n"/>
      <c r="N764" s="59" t="n"/>
      <c r="O764" s="59" t="n"/>
      <c r="X764" s="61" t="n"/>
      <c r="Y764" s="61" t="n"/>
    </row>
    <row r="765" ht="14.25" customHeight="1" s="86">
      <c r="E765" s="53" t="inlineStr">
        <is>
          <t>IL</t>
        </is>
      </c>
      <c r="F765" s="53" t="inlineStr">
        <is>
          <t>MONROE</t>
        </is>
      </c>
      <c r="G765" s="59" t="n"/>
      <c r="N765" s="59" t="n"/>
      <c r="O765" s="59" t="n"/>
      <c r="X765" s="61" t="n"/>
      <c r="Y765" s="61" t="n"/>
    </row>
    <row r="766" ht="14.25" customHeight="1" s="86">
      <c r="E766" s="53" t="inlineStr">
        <is>
          <t>IL</t>
        </is>
      </c>
      <c r="F766" s="53" t="inlineStr">
        <is>
          <t>MONTGOMERY</t>
        </is>
      </c>
      <c r="G766" s="59" t="n"/>
      <c r="N766" s="59" t="n"/>
      <c r="O766" s="59" t="n"/>
      <c r="X766" s="61" t="n"/>
      <c r="Y766" s="61" t="n"/>
    </row>
    <row r="767" ht="14.25" customHeight="1" s="86">
      <c r="E767" s="53" t="inlineStr">
        <is>
          <t>IL</t>
        </is>
      </c>
      <c r="F767" s="53" t="inlineStr">
        <is>
          <t>MORGAN</t>
        </is>
      </c>
      <c r="G767" s="59" t="n"/>
      <c r="N767" s="59" t="n"/>
      <c r="O767" s="59" t="n"/>
      <c r="X767" s="61" t="n"/>
      <c r="Y767" s="61" t="n"/>
    </row>
    <row r="768" ht="14.25" customHeight="1" s="86">
      <c r="E768" s="53" t="inlineStr">
        <is>
          <t>IL</t>
        </is>
      </c>
      <c r="F768" s="53" t="inlineStr">
        <is>
          <t>MOULTRIE</t>
        </is>
      </c>
      <c r="G768" s="59" t="n"/>
      <c r="N768" s="59" t="n"/>
      <c r="O768" s="59" t="n"/>
      <c r="X768" s="61" t="n"/>
      <c r="Y768" s="61" t="n"/>
    </row>
    <row r="769" ht="14.25" customHeight="1" s="86">
      <c r="E769" s="53" t="inlineStr">
        <is>
          <t>IL</t>
        </is>
      </c>
      <c r="F769" s="53" t="inlineStr">
        <is>
          <t>OGLE</t>
        </is>
      </c>
      <c r="G769" s="59" t="n"/>
      <c r="N769" s="59" t="n"/>
      <c r="O769" s="59" t="n"/>
      <c r="X769" s="61" t="n"/>
      <c r="Y769" s="61" t="n"/>
    </row>
    <row r="770" ht="14.25" customHeight="1" s="86">
      <c r="E770" s="53" t="inlineStr">
        <is>
          <t>IL</t>
        </is>
      </c>
      <c r="F770" s="53" t="inlineStr">
        <is>
          <t>PEORIA</t>
        </is>
      </c>
      <c r="G770" s="59" t="n"/>
      <c r="N770" s="59" t="n"/>
      <c r="O770" s="59" t="n"/>
      <c r="X770" s="61" t="n"/>
      <c r="Y770" s="61" t="n"/>
    </row>
    <row r="771" ht="14.25" customHeight="1" s="86">
      <c r="E771" s="53" t="inlineStr">
        <is>
          <t>IL</t>
        </is>
      </c>
      <c r="F771" s="53" t="inlineStr">
        <is>
          <t>PERRY</t>
        </is>
      </c>
      <c r="G771" s="59" t="n"/>
      <c r="N771" s="59" t="n"/>
      <c r="O771" s="59" t="n"/>
      <c r="X771" s="61" t="n"/>
      <c r="Y771" s="61" t="n"/>
    </row>
    <row r="772" ht="14.25" customHeight="1" s="86">
      <c r="E772" s="53" t="inlineStr">
        <is>
          <t>IL</t>
        </is>
      </c>
      <c r="F772" s="53" t="inlineStr">
        <is>
          <t>PIATT</t>
        </is>
      </c>
      <c r="G772" s="59" t="n"/>
      <c r="N772" s="59" t="n"/>
      <c r="O772" s="59" t="n"/>
      <c r="X772" s="61" t="n"/>
      <c r="Y772" s="61" t="n"/>
    </row>
    <row r="773" ht="14.25" customHeight="1" s="86">
      <c r="E773" s="53" t="inlineStr">
        <is>
          <t>IL</t>
        </is>
      </c>
      <c r="F773" s="53" t="inlineStr">
        <is>
          <t>PIKE</t>
        </is>
      </c>
      <c r="G773" s="59" t="n"/>
      <c r="N773" s="59" t="n"/>
      <c r="O773" s="59" t="n"/>
      <c r="X773" s="61" t="n"/>
      <c r="Y773" s="61" t="n"/>
    </row>
    <row r="774" ht="14.25" customHeight="1" s="86">
      <c r="E774" s="53" t="inlineStr">
        <is>
          <t>IL</t>
        </is>
      </c>
      <c r="F774" s="53" t="inlineStr">
        <is>
          <t>POPE</t>
        </is>
      </c>
      <c r="G774" s="59" t="n"/>
      <c r="N774" s="59" t="n"/>
      <c r="O774" s="59" t="n"/>
      <c r="X774" s="61" t="n"/>
      <c r="Y774" s="61" t="n"/>
    </row>
    <row r="775" ht="14.25" customHeight="1" s="86">
      <c r="E775" s="53" t="inlineStr">
        <is>
          <t>IL</t>
        </is>
      </c>
      <c r="F775" s="53" t="inlineStr">
        <is>
          <t>PULASKI</t>
        </is>
      </c>
      <c r="G775" s="59" t="n"/>
      <c r="N775" s="59" t="n"/>
      <c r="O775" s="59" t="n"/>
      <c r="X775" s="61" t="n"/>
      <c r="Y775" s="61" t="n"/>
    </row>
    <row r="776" ht="14.25" customHeight="1" s="86">
      <c r="E776" s="53" t="inlineStr">
        <is>
          <t>IL</t>
        </is>
      </c>
      <c r="F776" s="53" t="inlineStr">
        <is>
          <t>PUTNAM</t>
        </is>
      </c>
      <c r="G776" s="59" t="n"/>
      <c r="N776" s="59" t="n"/>
      <c r="O776" s="59" t="n"/>
      <c r="X776" s="61" t="n"/>
      <c r="Y776" s="61" t="n"/>
    </row>
    <row r="777" ht="14.25" customHeight="1" s="86">
      <c r="E777" s="53" t="inlineStr">
        <is>
          <t>IL</t>
        </is>
      </c>
      <c r="F777" s="53" t="inlineStr">
        <is>
          <t>RANDOLPH</t>
        </is>
      </c>
      <c r="G777" s="59" t="n"/>
      <c r="N777" s="59" t="n"/>
      <c r="O777" s="59" t="n"/>
      <c r="X777" s="61" t="n"/>
      <c r="Y777" s="61" t="n"/>
    </row>
    <row r="778" ht="14.25" customHeight="1" s="86">
      <c r="E778" s="53" t="inlineStr">
        <is>
          <t>IL</t>
        </is>
      </c>
      <c r="F778" s="53" t="inlineStr">
        <is>
          <t>RICHLAND</t>
        </is>
      </c>
      <c r="G778" s="59" t="n"/>
      <c r="N778" s="59" t="n"/>
      <c r="O778" s="59" t="n"/>
      <c r="X778" s="61" t="n"/>
      <c r="Y778" s="61" t="n"/>
    </row>
    <row r="779" ht="14.25" customHeight="1" s="86">
      <c r="E779" s="53" t="inlineStr">
        <is>
          <t>IL</t>
        </is>
      </c>
      <c r="F779" s="53" t="inlineStr">
        <is>
          <t>ROCK ISLAND</t>
        </is>
      </c>
      <c r="G779" s="59" t="n"/>
      <c r="N779" s="59" t="n"/>
      <c r="O779" s="59" t="n"/>
      <c r="X779" s="61" t="n"/>
      <c r="Y779" s="61" t="n"/>
    </row>
    <row r="780" ht="14.25" customHeight="1" s="86">
      <c r="E780" s="53" t="inlineStr">
        <is>
          <t>IL</t>
        </is>
      </c>
      <c r="F780" s="53" t="inlineStr">
        <is>
          <t>SAINT CLAIR</t>
        </is>
      </c>
      <c r="G780" s="59" t="n"/>
      <c r="N780" s="59" t="n"/>
      <c r="O780" s="59" t="n"/>
      <c r="X780" s="61" t="n"/>
      <c r="Y780" s="61" t="n"/>
    </row>
    <row r="781" ht="14.25" customHeight="1" s="86">
      <c r="E781" s="53" t="inlineStr">
        <is>
          <t>IL</t>
        </is>
      </c>
      <c r="F781" s="53" t="inlineStr">
        <is>
          <t>SALINE</t>
        </is>
      </c>
      <c r="G781" s="59" t="n"/>
      <c r="N781" s="59" t="n"/>
      <c r="O781" s="59" t="n"/>
      <c r="X781" s="61" t="n"/>
      <c r="Y781" s="61" t="n"/>
    </row>
    <row r="782" ht="14.25" customHeight="1" s="86">
      <c r="E782" s="53" t="inlineStr">
        <is>
          <t>IL</t>
        </is>
      </c>
      <c r="F782" s="53" t="inlineStr">
        <is>
          <t>SANGAMON</t>
        </is>
      </c>
      <c r="G782" s="59" t="n"/>
      <c r="N782" s="59" t="n"/>
      <c r="O782" s="59" t="n"/>
      <c r="X782" s="61" t="n"/>
      <c r="Y782" s="61" t="n"/>
    </row>
    <row r="783" ht="14.25" customHeight="1" s="86">
      <c r="E783" s="53" t="inlineStr">
        <is>
          <t>IL</t>
        </is>
      </c>
      <c r="F783" s="53" t="inlineStr">
        <is>
          <t>SCHUYLER</t>
        </is>
      </c>
      <c r="G783" s="59" t="n"/>
      <c r="N783" s="59" t="n"/>
      <c r="O783" s="59" t="n"/>
      <c r="X783" s="61" t="n"/>
      <c r="Y783" s="61" t="n"/>
    </row>
    <row r="784" ht="14.25" customHeight="1" s="86">
      <c r="E784" s="53" t="inlineStr">
        <is>
          <t>IL</t>
        </is>
      </c>
      <c r="F784" s="53" t="inlineStr">
        <is>
          <t>SCOTT</t>
        </is>
      </c>
      <c r="G784" s="59" t="n"/>
      <c r="N784" s="59" t="n"/>
      <c r="O784" s="59" t="n"/>
      <c r="X784" s="61" t="n"/>
      <c r="Y784" s="61" t="n"/>
    </row>
    <row r="785" ht="14.25" customHeight="1" s="86">
      <c r="E785" s="53" t="inlineStr">
        <is>
          <t>IL</t>
        </is>
      </c>
      <c r="F785" s="53" t="inlineStr">
        <is>
          <t>SHELBY</t>
        </is>
      </c>
      <c r="G785" s="59" t="n"/>
      <c r="N785" s="59" t="n"/>
      <c r="O785" s="59" t="n"/>
      <c r="X785" s="61" t="n"/>
      <c r="Y785" s="61" t="n"/>
    </row>
    <row r="786" ht="14.25" customHeight="1" s="86">
      <c r="E786" s="53" t="inlineStr">
        <is>
          <t>IL</t>
        </is>
      </c>
      <c r="F786" s="53" t="inlineStr">
        <is>
          <t>STARK</t>
        </is>
      </c>
      <c r="G786" s="59" t="n"/>
      <c r="N786" s="59" t="n"/>
      <c r="O786" s="59" t="n"/>
      <c r="X786" s="61" t="n"/>
      <c r="Y786" s="61" t="n"/>
    </row>
    <row r="787" ht="14.25" customHeight="1" s="86">
      <c r="E787" s="53" t="inlineStr">
        <is>
          <t>IL</t>
        </is>
      </c>
      <c r="F787" s="53" t="inlineStr">
        <is>
          <t>STEPHENSON</t>
        </is>
      </c>
      <c r="G787" s="59" t="n"/>
      <c r="N787" s="59" t="n"/>
      <c r="O787" s="59" t="n"/>
      <c r="X787" s="61" t="n"/>
      <c r="Y787" s="61" t="n"/>
    </row>
    <row r="788" ht="14.25" customHeight="1" s="86">
      <c r="E788" s="53" t="inlineStr">
        <is>
          <t>IL</t>
        </is>
      </c>
      <c r="F788" s="53" t="inlineStr">
        <is>
          <t>TAZEWELL</t>
        </is>
      </c>
      <c r="G788" s="59" t="n"/>
      <c r="N788" s="59" t="n"/>
      <c r="O788" s="59" t="n"/>
      <c r="X788" s="61" t="n"/>
      <c r="Y788" s="61" t="n"/>
    </row>
    <row r="789" ht="14.25" customHeight="1" s="86">
      <c r="E789" s="53" t="inlineStr">
        <is>
          <t>IL</t>
        </is>
      </c>
      <c r="F789" s="53" t="inlineStr">
        <is>
          <t>UNION</t>
        </is>
      </c>
      <c r="G789" s="59" t="n"/>
      <c r="N789" s="59" t="n"/>
      <c r="O789" s="59" t="n"/>
      <c r="X789" s="61" t="n"/>
      <c r="Y789" s="61" t="n"/>
    </row>
    <row r="790" ht="14.25" customHeight="1" s="86">
      <c r="E790" s="53" t="inlineStr">
        <is>
          <t>IL</t>
        </is>
      </c>
      <c r="F790" s="53" t="inlineStr">
        <is>
          <t>VERMILION</t>
        </is>
      </c>
      <c r="G790" s="59" t="n"/>
      <c r="N790" s="59" t="n"/>
      <c r="O790" s="59" t="n"/>
      <c r="X790" s="61" t="n"/>
      <c r="Y790" s="61" t="n"/>
    </row>
    <row r="791" ht="14.25" customHeight="1" s="86">
      <c r="E791" s="53" t="inlineStr">
        <is>
          <t>IL</t>
        </is>
      </c>
      <c r="F791" s="53" t="inlineStr">
        <is>
          <t>WABASH</t>
        </is>
      </c>
      <c r="G791" s="59" t="n"/>
      <c r="N791" s="59" t="n"/>
      <c r="O791" s="59" t="n"/>
      <c r="X791" s="61" t="n"/>
      <c r="Y791" s="61" t="n"/>
    </row>
    <row r="792" ht="14.25" customHeight="1" s="86">
      <c r="E792" s="53" t="inlineStr">
        <is>
          <t>IL</t>
        </is>
      </c>
      <c r="F792" s="53" t="inlineStr">
        <is>
          <t>WARREN</t>
        </is>
      </c>
      <c r="G792" s="59" t="n"/>
      <c r="N792" s="59" t="n"/>
      <c r="O792" s="59" t="n"/>
      <c r="X792" s="61" t="n"/>
      <c r="Y792" s="61" t="n"/>
    </row>
    <row r="793" ht="14.25" customHeight="1" s="86">
      <c r="E793" s="53" t="inlineStr">
        <is>
          <t>IL</t>
        </is>
      </c>
      <c r="F793" s="53" t="inlineStr">
        <is>
          <t>WASHINGTON</t>
        </is>
      </c>
      <c r="G793" s="59" t="n"/>
      <c r="N793" s="59" t="n"/>
      <c r="O793" s="59" t="n"/>
      <c r="X793" s="61" t="n"/>
      <c r="Y793" s="61" t="n"/>
    </row>
    <row r="794" ht="14.25" customHeight="1" s="86">
      <c r="E794" s="53" t="inlineStr">
        <is>
          <t>IL</t>
        </is>
      </c>
      <c r="F794" s="53" t="inlineStr">
        <is>
          <t>WAYNE</t>
        </is>
      </c>
      <c r="G794" s="59" t="n"/>
      <c r="N794" s="69" t="n"/>
      <c r="O794" s="69" t="n"/>
      <c r="X794" s="61" t="n"/>
      <c r="Y794" s="61" t="n"/>
    </row>
    <row r="795" ht="14.25" customHeight="1" s="86">
      <c r="E795" s="53" t="inlineStr">
        <is>
          <t>IL</t>
        </is>
      </c>
      <c r="F795" s="53" t="inlineStr">
        <is>
          <t>WHITE</t>
        </is>
      </c>
      <c r="G795" s="59" t="n"/>
      <c r="N795" s="69" t="n"/>
      <c r="O795" s="69" t="n"/>
      <c r="X795" s="61" t="n"/>
      <c r="Y795" s="61" t="n"/>
    </row>
    <row r="796" ht="14.25" customHeight="1" s="86">
      <c r="E796" s="53" t="inlineStr">
        <is>
          <t>IL</t>
        </is>
      </c>
      <c r="F796" s="53" t="inlineStr">
        <is>
          <t>WHITESIDE</t>
        </is>
      </c>
      <c r="G796" s="59" t="n"/>
      <c r="N796" s="69" t="n"/>
      <c r="O796" s="69" t="n"/>
      <c r="X796" s="61" t="n"/>
      <c r="Y796" s="61" t="n"/>
    </row>
    <row r="797" ht="14.25" customHeight="1" s="86">
      <c r="E797" s="53" t="inlineStr">
        <is>
          <t>IL</t>
        </is>
      </c>
      <c r="F797" s="53" t="inlineStr">
        <is>
          <t>WILL</t>
        </is>
      </c>
      <c r="G797" s="59" t="n"/>
      <c r="N797" s="69" t="n"/>
      <c r="O797" s="69" t="n"/>
      <c r="X797" s="61" t="n"/>
      <c r="Y797" s="61" t="n"/>
    </row>
    <row r="798" ht="14.25" customHeight="1" s="86">
      <c r="E798" s="53" t="inlineStr">
        <is>
          <t>IL</t>
        </is>
      </c>
      <c r="F798" s="53" t="inlineStr">
        <is>
          <t>WILLIAMSON</t>
        </is>
      </c>
      <c r="G798" s="59" t="n"/>
      <c r="N798" s="69" t="n"/>
      <c r="O798" s="69" t="n"/>
      <c r="X798" s="61" t="n"/>
      <c r="Y798" s="61" t="n"/>
    </row>
    <row r="799" ht="14.25" customHeight="1" s="86">
      <c r="E799" s="53" t="inlineStr">
        <is>
          <t>IL</t>
        </is>
      </c>
      <c r="F799" s="53" t="inlineStr">
        <is>
          <t>WINNEBAGO</t>
        </is>
      </c>
      <c r="G799" s="59" t="n"/>
      <c r="N799" s="69" t="n"/>
      <c r="O799" s="69" t="n"/>
      <c r="X799" s="61" t="n"/>
      <c r="Y799" s="61" t="n"/>
    </row>
    <row r="800" ht="14.25" customHeight="1" s="86">
      <c r="E800" s="53" t="inlineStr">
        <is>
          <t>IL</t>
        </is>
      </c>
      <c r="F800" s="53" t="inlineStr">
        <is>
          <t>WOODFORD</t>
        </is>
      </c>
      <c r="G800" s="59" t="n"/>
      <c r="N800" s="69" t="n"/>
      <c r="O800" s="69" t="n"/>
      <c r="X800" s="61" t="n"/>
      <c r="Y800" s="61" t="n"/>
    </row>
    <row r="801" ht="14.25" customHeight="1" s="86">
      <c r="E801" s="53" t="inlineStr">
        <is>
          <t>IN</t>
        </is>
      </c>
      <c r="F801" s="53" t="inlineStr">
        <is>
          <t>ADAMS</t>
        </is>
      </c>
      <c r="G801" s="59" t="n"/>
      <c r="N801" s="69" t="n"/>
      <c r="O801" s="69" t="n"/>
      <c r="X801" s="61" t="n"/>
      <c r="Y801" s="61" t="n"/>
    </row>
    <row r="802" ht="14.25" customHeight="1" s="86">
      <c r="E802" s="53" t="inlineStr">
        <is>
          <t>IN</t>
        </is>
      </c>
      <c r="F802" s="53" t="inlineStr">
        <is>
          <t>ALLEN</t>
        </is>
      </c>
      <c r="G802" s="59" t="n"/>
      <c r="N802" s="69" t="n"/>
      <c r="O802" s="69" t="n"/>
      <c r="X802" s="61" t="n"/>
      <c r="Y802" s="61" t="n"/>
    </row>
    <row r="803" ht="14.25" customHeight="1" s="86">
      <c r="E803" s="53" t="inlineStr">
        <is>
          <t>IN</t>
        </is>
      </c>
      <c r="F803" s="53" t="inlineStr">
        <is>
          <t>BARTHOLOMEW</t>
        </is>
      </c>
      <c r="G803" s="59" t="n"/>
      <c r="N803" s="69" t="n"/>
      <c r="O803" s="69" t="n"/>
      <c r="X803" s="61" t="n"/>
      <c r="Y803" s="61" t="n"/>
    </row>
    <row r="804" ht="14.25" customHeight="1" s="86">
      <c r="E804" s="53" t="inlineStr">
        <is>
          <t>IN</t>
        </is>
      </c>
      <c r="F804" s="53" t="inlineStr">
        <is>
          <t>BENTON</t>
        </is>
      </c>
      <c r="G804" s="59" t="n"/>
      <c r="N804" s="69" t="n"/>
      <c r="O804" s="69" t="n"/>
      <c r="X804" s="61" t="n"/>
      <c r="Y804" s="61" t="n"/>
    </row>
    <row r="805" ht="14.25" customHeight="1" s="86">
      <c r="E805" s="53" t="inlineStr">
        <is>
          <t>IN</t>
        </is>
      </c>
      <c r="F805" s="53" t="inlineStr">
        <is>
          <t>BLACKFORD</t>
        </is>
      </c>
      <c r="G805" s="59" t="n"/>
      <c r="N805" s="69" t="n"/>
      <c r="O805" s="69" t="n"/>
      <c r="X805" s="61" t="n"/>
      <c r="Y805" s="61" t="n"/>
    </row>
    <row r="806" ht="14.25" customHeight="1" s="86">
      <c r="E806" s="53" t="inlineStr">
        <is>
          <t>IN</t>
        </is>
      </c>
      <c r="F806" s="53" t="inlineStr">
        <is>
          <t>BOONE</t>
        </is>
      </c>
      <c r="G806" s="59" t="n"/>
      <c r="N806" s="59" t="n"/>
      <c r="O806" s="59" t="n"/>
      <c r="X806" s="61" t="n"/>
      <c r="Y806" s="61" t="n"/>
    </row>
    <row r="807" ht="14.25" customHeight="1" s="86">
      <c r="E807" s="53" t="inlineStr">
        <is>
          <t>IN</t>
        </is>
      </c>
      <c r="F807" s="53" t="inlineStr">
        <is>
          <t>BROWN</t>
        </is>
      </c>
      <c r="G807" s="59" t="n"/>
      <c r="N807" s="59" t="n"/>
      <c r="O807" s="59" t="n"/>
      <c r="X807" s="61" t="n"/>
      <c r="Y807" s="61" t="n"/>
    </row>
    <row r="808" ht="14.25" customHeight="1" s="86">
      <c r="E808" s="53" t="inlineStr">
        <is>
          <t>IN</t>
        </is>
      </c>
      <c r="F808" s="53" t="inlineStr">
        <is>
          <t>CARROLL</t>
        </is>
      </c>
      <c r="G808" s="59" t="n"/>
      <c r="N808" s="59" t="n"/>
      <c r="O808" s="59" t="n"/>
      <c r="X808" s="61" t="n"/>
      <c r="Y808" s="61" t="n"/>
    </row>
    <row r="809" ht="14.25" customHeight="1" s="86">
      <c r="E809" s="53" t="inlineStr">
        <is>
          <t>IN</t>
        </is>
      </c>
      <c r="F809" s="53" t="inlineStr">
        <is>
          <t>CASS</t>
        </is>
      </c>
      <c r="G809" s="59" t="n"/>
      <c r="N809" s="59" t="n"/>
      <c r="O809" s="59" t="n"/>
      <c r="X809" s="61" t="n"/>
      <c r="Y809" s="61" t="n"/>
    </row>
    <row r="810" ht="14.25" customHeight="1" s="86">
      <c r="E810" s="53" t="inlineStr">
        <is>
          <t>IN</t>
        </is>
      </c>
      <c r="F810" s="53" t="inlineStr">
        <is>
          <t>CLARK</t>
        </is>
      </c>
      <c r="G810" s="59" t="n"/>
      <c r="N810" s="59" t="n"/>
      <c r="O810" s="59" t="n"/>
      <c r="X810" s="61" t="n"/>
      <c r="Y810" s="61" t="n"/>
    </row>
    <row r="811" ht="14.25" customHeight="1" s="86">
      <c r="E811" s="53" t="inlineStr">
        <is>
          <t>IN</t>
        </is>
      </c>
      <c r="F811" s="53" t="inlineStr">
        <is>
          <t>CLAY</t>
        </is>
      </c>
      <c r="G811" s="59" t="n"/>
      <c r="N811" s="59" t="n"/>
      <c r="O811" s="59" t="n"/>
      <c r="X811" s="61" t="n"/>
      <c r="Y811" s="61" t="n"/>
    </row>
    <row r="812" ht="14.25" customHeight="1" s="86">
      <c r="E812" s="53" t="inlineStr">
        <is>
          <t>IN</t>
        </is>
      </c>
      <c r="F812" s="53" t="inlineStr">
        <is>
          <t>CLINTON</t>
        </is>
      </c>
      <c r="G812" s="59" t="n"/>
      <c r="N812" s="59" t="n"/>
      <c r="O812" s="59" t="n"/>
      <c r="X812" s="61" t="n"/>
      <c r="Y812" s="61" t="n"/>
    </row>
    <row r="813" ht="14.25" customHeight="1" s="86">
      <c r="E813" s="53" t="inlineStr">
        <is>
          <t>IN</t>
        </is>
      </c>
      <c r="F813" s="53" t="inlineStr">
        <is>
          <t>CRAWFORD</t>
        </is>
      </c>
      <c r="G813" s="59" t="n"/>
      <c r="N813" s="59" t="n"/>
      <c r="O813" s="59" t="n"/>
      <c r="X813" s="61" t="n"/>
      <c r="Y813" s="61" t="n"/>
    </row>
    <row r="814" ht="14.25" customHeight="1" s="86">
      <c r="E814" s="53" t="inlineStr">
        <is>
          <t>IN</t>
        </is>
      </c>
      <c r="F814" s="53" t="inlineStr">
        <is>
          <t>DAVIESS</t>
        </is>
      </c>
      <c r="G814" s="59" t="n"/>
      <c r="N814" s="59" t="n"/>
      <c r="O814" s="59" t="n"/>
      <c r="X814" s="61" t="n"/>
      <c r="Y814" s="61" t="n"/>
    </row>
    <row r="815" ht="14.25" customHeight="1" s="86">
      <c r="E815" s="53" t="inlineStr">
        <is>
          <t>IN</t>
        </is>
      </c>
      <c r="F815" s="53" t="inlineStr">
        <is>
          <t>DE KALB</t>
        </is>
      </c>
      <c r="G815" s="59" t="n"/>
      <c r="N815" s="59" t="n"/>
      <c r="O815" s="59" t="n"/>
      <c r="X815" s="61" t="n"/>
      <c r="Y815" s="61" t="n"/>
    </row>
    <row r="816" ht="14.25" customHeight="1" s="86">
      <c r="E816" s="53" t="inlineStr">
        <is>
          <t>IN</t>
        </is>
      </c>
      <c r="F816" s="53" t="inlineStr">
        <is>
          <t>DEARBORN</t>
        </is>
      </c>
      <c r="G816" s="59" t="n"/>
      <c r="N816" s="59" t="n"/>
      <c r="O816" s="59" t="n"/>
      <c r="X816" s="61" t="n"/>
      <c r="Y816" s="61" t="n"/>
    </row>
    <row r="817" ht="14.25" customHeight="1" s="86">
      <c r="E817" s="53" t="inlineStr">
        <is>
          <t>IN</t>
        </is>
      </c>
      <c r="F817" s="53" t="inlineStr">
        <is>
          <t>DECATUR</t>
        </is>
      </c>
      <c r="G817" s="59" t="n"/>
      <c r="N817" s="59" t="n"/>
      <c r="O817" s="59" t="n"/>
      <c r="X817" s="61" t="n"/>
      <c r="Y817" s="61" t="n"/>
    </row>
    <row r="818" ht="14.25" customHeight="1" s="86">
      <c r="E818" s="53" t="inlineStr">
        <is>
          <t>IN</t>
        </is>
      </c>
      <c r="F818" s="53" t="inlineStr">
        <is>
          <t>DELAWARE</t>
        </is>
      </c>
      <c r="G818" s="59" t="n"/>
      <c r="N818" s="59" t="n"/>
      <c r="O818" s="59" t="n"/>
      <c r="X818" s="61" t="n"/>
      <c r="Y818" s="61" t="n"/>
    </row>
    <row r="819" ht="14.25" customHeight="1" s="86">
      <c r="E819" s="53" t="inlineStr">
        <is>
          <t>IN</t>
        </is>
      </c>
      <c r="F819" s="53" t="inlineStr">
        <is>
          <t>DUBOIS</t>
        </is>
      </c>
      <c r="G819" s="59" t="n"/>
      <c r="N819" s="59" t="n"/>
      <c r="O819" s="59" t="n"/>
      <c r="X819" s="61" t="n"/>
      <c r="Y819" s="61" t="n"/>
    </row>
    <row r="820" ht="14.25" customHeight="1" s="86">
      <c r="E820" s="53" t="inlineStr">
        <is>
          <t>IN</t>
        </is>
      </c>
      <c r="F820" s="53" t="inlineStr">
        <is>
          <t>ELKHART</t>
        </is>
      </c>
      <c r="G820" s="59" t="n"/>
      <c r="N820" s="59" t="n"/>
      <c r="O820" s="59" t="n"/>
      <c r="X820" s="61" t="n"/>
      <c r="Y820" s="61" t="n"/>
    </row>
    <row r="821" ht="14.25" customHeight="1" s="86">
      <c r="E821" s="53" t="inlineStr">
        <is>
          <t>IN</t>
        </is>
      </c>
      <c r="F821" s="53" t="inlineStr">
        <is>
          <t>FAYETTE</t>
        </is>
      </c>
      <c r="G821" s="59" t="n"/>
      <c r="N821" s="59" t="n"/>
      <c r="O821" s="59" t="n"/>
      <c r="X821" s="61" t="n"/>
      <c r="Y821" s="61" t="n"/>
    </row>
    <row r="822" ht="14.25" customHeight="1" s="86">
      <c r="E822" s="53" t="inlineStr">
        <is>
          <t>IN</t>
        </is>
      </c>
      <c r="F822" s="53" t="inlineStr">
        <is>
          <t>FLOYD</t>
        </is>
      </c>
      <c r="G822" s="59" t="n"/>
      <c r="N822" s="59" t="n"/>
      <c r="O822" s="59" t="n"/>
      <c r="X822" s="61" t="n"/>
      <c r="Y822" s="61" t="n"/>
    </row>
    <row r="823" ht="14.25" customHeight="1" s="86">
      <c r="E823" s="53" t="inlineStr">
        <is>
          <t>IN</t>
        </is>
      </c>
      <c r="F823" s="53" t="inlineStr">
        <is>
          <t>FOUNTAIN</t>
        </is>
      </c>
      <c r="G823" s="59" t="n"/>
      <c r="N823" s="59" t="n"/>
      <c r="O823" s="59" t="n"/>
      <c r="X823" s="61" t="n"/>
      <c r="Y823" s="61" t="n"/>
    </row>
    <row r="824" ht="14.25" customHeight="1" s="86">
      <c r="E824" s="53" t="inlineStr">
        <is>
          <t>IN</t>
        </is>
      </c>
      <c r="F824" s="53" t="inlineStr">
        <is>
          <t>FRANKLIN</t>
        </is>
      </c>
      <c r="G824" s="59" t="n"/>
      <c r="N824" s="59" t="n"/>
      <c r="O824" s="59" t="n"/>
      <c r="X824" s="61" t="n"/>
      <c r="Y824" s="61" t="n"/>
    </row>
    <row r="825" ht="14.25" customHeight="1" s="86">
      <c r="E825" s="53" t="inlineStr">
        <is>
          <t>IN</t>
        </is>
      </c>
      <c r="F825" s="53" t="inlineStr">
        <is>
          <t>FULTON</t>
        </is>
      </c>
      <c r="G825" s="59" t="n"/>
      <c r="N825" s="59" t="n"/>
      <c r="O825" s="59" t="n"/>
      <c r="X825" s="61" t="n"/>
      <c r="Y825" s="61" t="n"/>
    </row>
    <row r="826" ht="14.25" customHeight="1" s="86">
      <c r="E826" s="53" t="inlineStr">
        <is>
          <t>IN</t>
        </is>
      </c>
      <c r="F826" s="53" t="inlineStr">
        <is>
          <t>GIBSON</t>
        </is>
      </c>
      <c r="G826" s="59" t="n"/>
      <c r="N826" s="59" t="n"/>
      <c r="O826" s="59" t="n"/>
      <c r="X826" s="61" t="n"/>
      <c r="Y826" s="61" t="n"/>
    </row>
    <row r="827" ht="14.25" customHeight="1" s="86">
      <c r="E827" s="53" t="inlineStr">
        <is>
          <t>IN</t>
        </is>
      </c>
      <c r="F827" s="53" t="inlineStr">
        <is>
          <t>GRANT</t>
        </is>
      </c>
      <c r="G827" s="59" t="n"/>
      <c r="N827" s="59" t="n"/>
      <c r="O827" s="59" t="n"/>
      <c r="X827" s="61" t="n"/>
      <c r="Y827" s="61" t="n"/>
    </row>
    <row r="828" ht="14.25" customHeight="1" s="86">
      <c r="E828" s="53" t="inlineStr">
        <is>
          <t>IN</t>
        </is>
      </c>
      <c r="F828" s="53" t="inlineStr">
        <is>
          <t>GREENE</t>
        </is>
      </c>
      <c r="G828" s="59" t="n"/>
      <c r="N828" s="59" t="n"/>
      <c r="O828" s="59" t="n"/>
      <c r="X828" s="61" t="n"/>
      <c r="Y828" s="61" t="n"/>
    </row>
    <row r="829" ht="14.25" customHeight="1" s="86">
      <c r="E829" s="53" t="inlineStr">
        <is>
          <t>IN</t>
        </is>
      </c>
      <c r="F829" s="53" t="inlineStr">
        <is>
          <t>HAMILTON</t>
        </is>
      </c>
      <c r="G829" s="59" t="n"/>
      <c r="N829" s="59" t="n"/>
      <c r="O829" s="59" t="n"/>
      <c r="X829" s="61" t="n"/>
      <c r="Y829" s="61" t="n"/>
    </row>
    <row r="830" ht="14.25" customHeight="1" s="86">
      <c r="E830" s="53" t="inlineStr">
        <is>
          <t>IN</t>
        </is>
      </c>
      <c r="F830" s="53" t="inlineStr">
        <is>
          <t>HANCOCK</t>
        </is>
      </c>
      <c r="G830" s="59" t="n"/>
      <c r="N830" s="59" t="n"/>
      <c r="O830" s="59" t="n"/>
      <c r="X830" s="61" t="n"/>
      <c r="Y830" s="61" t="n"/>
    </row>
    <row r="831" ht="14.25" customHeight="1" s="86">
      <c r="E831" s="53" t="inlineStr">
        <is>
          <t>IN</t>
        </is>
      </c>
      <c r="F831" s="53" t="inlineStr">
        <is>
          <t>HARRISON</t>
        </is>
      </c>
      <c r="G831" s="59" t="n"/>
      <c r="N831" s="59" t="n"/>
      <c r="O831" s="59" t="n"/>
      <c r="X831" s="61" t="n"/>
      <c r="Y831" s="61" t="n"/>
    </row>
    <row r="832" ht="14.25" customHeight="1" s="86">
      <c r="E832" s="53" t="inlineStr">
        <is>
          <t>IN</t>
        </is>
      </c>
      <c r="F832" s="53" t="inlineStr">
        <is>
          <t>HENDRICKS</t>
        </is>
      </c>
      <c r="G832" s="59" t="n"/>
      <c r="N832" s="59" t="n"/>
      <c r="O832" s="59" t="n"/>
      <c r="X832" s="61" t="n"/>
      <c r="Y832" s="61" t="n"/>
    </row>
    <row r="833" ht="14.25" customHeight="1" s="86">
      <c r="E833" s="53" t="inlineStr">
        <is>
          <t>IN</t>
        </is>
      </c>
      <c r="F833" s="53" t="inlineStr">
        <is>
          <t>HENRY</t>
        </is>
      </c>
      <c r="G833" s="59" t="n"/>
      <c r="N833" s="59" t="n"/>
      <c r="O833" s="59" t="n"/>
      <c r="X833" s="61" t="n"/>
      <c r="Y833" s="61" t="n"/>
    </row>
    <row r="834" ht="14.25" customHeight="1" s="86">
      <c r="E834" s="53" t="inlineStr">
        <is>
          <t>IN</t>
        </is>
      </c>
      <c r="F834" s="53" t="inlineStr">
        <is>
          <t>HOWARD</t>
        </is>
      </c>
      <c r="G834" s="59" t="n"/>
      <c r="N834" s="59" t="n"/>
      <c r="O834" s="59" t="n"/>
      <c r="X834" s="61" t="n"/>
      <c r="Y834" s="61" t="n"/>
    </row>
    <row r="835" ht="14.25" customHeight="1" s="86">
      <c r="E835" s="53" t="inlineStr">
        <is>
          <t>IN</t>
        </is>
      </c>
      <c r="F835" s="53" t="inlineStr">
        <is>
          <t>HUNTINGTON</t>
        </is>
      </c>
      <c r="G835" s="59" t="n"/>
      <c r="N835" s="59" t="n"/>
      <c r="O835" s="59" t="n"/>
      <c r="X835" s="61" t="n"/>
      <c r="Y835" s="61" t="n"/>
    </row>
    <row r="836" ht="14.25" customHeight="1" s="86">
      <c r="E836" s="53" t="inlineStr">
        <is>
          <t>IN</t>
        </is>
      </c>
      <c r="F836" s="53" t="inlineStr">
        <is>
          <t>JACKSON</t>
        </is>
      </c>
      <c r="G836" s="59" t="n"/>
      <c r="N836" s="59" t="n"/>
      <c r="O836" s="59" t="n"/>
      <c r="X836" s="61" t="n"/>
      <c r="Y836" s="61" t="n"/>
    </row>
    <row r="837" ht="14.25" customHeight="1" s="86">
      <c r="E837" s="53" t="inlineStr">
        <is>
          <t>IN</t>
        </is>
      </c>
      <c r="F837" s="53" t="inlineStr">
        <is>
          <t>JASPER</t>
        </is>
      </c>
      <c r="G837" s="59" t="n"/>
      <c r="N837" s="59" t="n"/>
      <c r="O837" s="59" t="n"/>
      <c r="X837" s="61" t="n"/>
      <c r="Y837" s="61" t="n"/>
    </row>
    <row r="838" ht="14.25" customHeight="1" s="86">
      <c r="E838" s="53" t="inlineStr">
        <is>
          <t>IN</t>
        </is>
      </c>
      <c r="F838" s="53" t="inlineStr">
        <is>
          <t>JAY</t>
        </is>
      </c>
      <c r="G838" s="59" t="n"/>
      <c r="N838" s="59" t="n"/>
      <c r="O838" s="59" t="n"/>
      <c r="X838" s="61" t="n"/>
      <c r="Y838" s="61" t="n"/>
    </row>
    <row r="839" ht="14.25" customHeight="1" s="86">
      <c r="E839" s="53" t="inlineStr">
        <is>
          <t>IN</t>
        </is>
      </c>
      <c r="F839" s="53" t="inlineStr">
        <is>
          <t>JEFFERSON</t>
        </is>
      </c>
      <c r="G839" s="59" t="n"/>
      <c r="N839" s="59" t="n"/>
      <c r="O839" s="59" t="n"/>
      <c r="X839" s="61" t="n"/>
      <c r="Y839" s="61" t="n"/>
    </row>
    <row r="840" ht="14.25" customHeight="1" s="86">
      <c r="E840" s="53" t="inlineStr">
        <is>
          <t>IN</t>
        </is>
      </c>
      <c r="F840" s="53" t="inlineStr">
        <is>
          <t>JENNINGS</t>
        </is>
      </c>
      <c r="G840" s="59" t="n"/>
      <c r="N840" s="59" t="n"/>
      <c r="O840" s="59" t="n"/>
      <c r="X840" s="61" t="n"/>
      <c r="Y840" s="61" t="n"/>
    </row>
    <row r="841" ht="14.25" customHeight="1" s="86">
      <c r="E841" s="53" t="inlineStr">
        <is>
          <t>IN</t>
        </is>
      </c>
      <c r="F841" s="53" t="inlineStr">
        <is>
          <t>JOHNSON</t>
        </is>
      </c>
      <c r="G841" s="59" t="n"/>
      <c r="N841" s="59" t="n"/>
      <c r="O841" s="59" t="n"/>
      <c r="X841" s="61" t="n"/>
      <c r="Y841" s="61" t="n"/>
    </row>
    <row r="842" ht="14.25" customHeight="1" s="86">
      <c r="E842" s="53" t="inlineStr">
        <is>
          <t>IN</t>
        </is>
      </c>
      <c r="F842" s="53" t="inlineStr">
        <is>
          <t>KNOX</t>
        </is>
      </c>
      <c r="G842" s="59" t="n"/>
      <c r="N842" s="59" t="n"/>
      <c r="O842" s="59" t="n"/>
      <c r="X842" s="61" t="n"/>
      <c r="Y842" s="61" t="n"/>
    </row>
    <row r="843" ht="14.25" customHeight="1" s="86">
      <c r="E843" s="53" t="inlineStr">
        <is>
          <t>IN</t>
        </is>
      </c>
      <c r="F843" s="53" t="inlineStr">
        <is>
          <t>KOSCIUSKO</t>
        </is>
      </c>
      <c r="G843" s="59" t="n"/>
      <c r="N843" s="59" t="n"/>
      <c r="O843" s="59" t="n"/>
      <c r="X843" s="61" t="n"/>
      <c r="Y843" s="61" t="n"/>
    </row>
    <row r="844" ht="14.25" customHeight="1" s="86">
      <c r="E844" s="53" t="inlineStr">
        <is>
          <t>IN</t>
        </is>
      </c>
      <c r="F844" s="53" t="inlineStr">
        <is>
          <t>LA PORTE</t>
        </is>
      </c>
      <c r="G844" s="59" t="n"/>
      <c r="N844" s="59" t="n"/>
      <c r="O844" s="59" t="n"/>
      <c r="X844" s="61" t="n"/>
      <c r="Y844" s="61" t="n"/>
    </row>
    <row r="845" ht="14.25" customHeight="1" s="86">
      <c r="E845" s="53" t="inlineStr">
        <is>
          <t>IN</t>
        </is>
      </c>
      <c r="F845" s="53" t="inlineStr">
        <is>
          <t>LAGRANGE</t>
        </is>
      </c>
      <c r="G845" s="59" t="n"/>
      <c r="N845" s="59" t="n"/>
      <c r="O845" s="59" t="n"/>
      <c r="X845" s="61" t="n"/>
      <c r="Y845" s="61" t="n"/>
    </row>
    <row r="846" ht="14.25" customHeight="1" s="86">
      <c r="E846" s="53" t="inlineStr">
        <is>
          <t>IN</t>
        </is>
      </c>
      <c r="F846" s="53" t="inlineStr">
        <is>
          <t>LAKE</t>
        </is>
      </c>
      <c r="G846" s="59" t="n"/>
      <c r="N846" s="59" t="n"/>
      <c r="O846" s="59" t="n"/>
      <c r="X846" s="61" t="n"/>
      <c r="Y846" s="61" t="n"/>
    </row>
    <row r="847" ht="14.25" customHeight="1" s="86">
      <c r="E847" s="53" t="inlineStr">
        <is>
          <t>IN</t>
        </is>
      </c>
      <c r="F847" s="53" t="inlineStr">
        <is>
          <t>LAWRENCE</t>
        </is>
      </c>
      <c r="G847" s="59" t="n"/>
      <c r="N847" s="59" t="n"/>
      <c r="O847" s="59" t="n"/>
      <c r="X847" s="61" t="n"/>
      <c r="Y847" s="61" t="n"/>
    </row>
    <row r="848" ht="14.25" customHeight="1" s="86">
      <c r="E848" s="53" t="inlineStr">
        <is>
          <t>IN</t>
        </is>
      </c>
      <c r="F848" s="53" t="inlineStr">
        <is>
          <t>MADISON</t>
        </is>
      </c>
      <c r="G848" s="59" t="n"/>
      <c r="N848" s="59" t="n"/>
      <c r="O848" s="59" t="n"/>
      <c r="X848" s="61" t="n"/>
      <c r="Y848" s="61" t="n"/>
    </row>
    <row r="849" ht="14.25" customHeight="1" s="86">
      <c r="E849" s="53" t="inlineStr">
        <is>
          <t>IN</t>
        </is>
      </c>
      <c r="F849" s="53" t="inlineStr">
        <is>
          <t>MARION</t>
        </is>
      </c>
      <c r="G849" s="59" t="n"/>
      <c r="N849" s="59" t="n"/>
      <c r="O849" s="59" t="n"/>
      <c r="X849" s="61" t="n"/>
      <c r="Y849" s="61" t="n"/>
    </row>
    <row r="850" ht="14.25" customHeight="1" s="86">
      <c r="E850" s="53" t="inlineStr">
        <is>
          <t>IN</t>
        </is>
      </c>
      <c r="F850" s="53" t="inlineStr">
        <is>
          <t>MARSHALL</t>
        </is>
      </c>
      <c r="G850" s="59" t="n"/>
      <c r="N850" s="59" t="n"/>
      <c r="O850" s="59" t="n"/>
      <c r="X850" s="61" t="n"/>
      <c r="Y850" s="61" t="n"/>
    </row>
    <row r="851" ht="14.25" customHeight="1" s="86">
      <c r="E851" s="53" t="inlineStr">
        <is>
          <t>IN</t>
        </is>
      </c>
      <c r="F851" s="53" t="inlineStr">
        <is>
          <t>MARTIN</t>
        </is>
      </c>
      <c r="G851" s="59" t="n"/>
      <c r="N851" s="59" t="n"/>
      <c r="O851" s="59" t="n"/>
      <c r="X851" s="61" t="n"/>
      <c r="Y851" s="61" t="n"/>
    </row>
    <row r="852" ht="14.25" customHeight="1" s="86">
      <c r="E852" s="53" t="inlineStr">
        <is>
          <t>IN</t>
        </is>
      </c>
      <c r="F852" s="53" t="inlineStr">
        <is>
          <t>MIAMI</t>
        </is>
      </c>
      <c r="G852" s="59" t="n"/>
      <c r="N852" s="59" t="n"/>
      <c r="O852" s="59" t="n"/>
      <c r="X852" s="61" t="n"/>
      <c r="Y852" s="61" t="n"/>
    </row>
    <row r="853" ht="14.25" customHeight="1" s="86">
      <c r="E853" s="53" t="inlineStr">
        <is>
          <t>IN</t>
        </is>
      </c>
      <c r="F853" s="53" t="inlineStr">
        <is>
          <t>MONROE</t>
        </is>
      </c>
      <c r="G853" s="59" t="n"/>
      <c r="N853" s="59" t="n"/>
      <c r="O853" s="59" t="n"/>
      <c r="X853" s="61" t="n"/>
      <c r="Y853" s="61" t="n"/>
    </row>
    <row r="854" ht="14.25" customHeight="1" s="86">
      <c r="E854" s="53" t="inlineStr">
        <is>
          <t>IN</t>
        </is>
      </c>
      <c r="F854" s="53" t="inlineStr">
        <is>
          <t>MONTGOMERY</t>
        </is>
      </c>
      <c r="G854" s="59" t="n"/>
      <c r="N854" s="59" t="n"/>
      <c r="O854" s="59" t="n"/>
      <c r="X854" s="61" t="n"/>
      <c r="Y854" s="61" t="n"/>
    </row>
    <row r="855" ht="14.25" customHeight="1" s="86">
      <c r="E855" s="53" t="inlineStr">
        <is>
          <t>IN</t>
        </is>
      </c>
      <c r="F855" s="53" t="inlineStr">
        <is>
          <t>MORGAN</t>
        </is>
      </c>
      <c r="G855" s="59" t="n"/>
      <c r="N855" s="59" t="n"/>
      <c r="O855" s="59" t="n"/>
      <c r="X855" s="61" t="n"/>
      <c r="Y855" s="61" t="n"/>
    </row>
    <row r="856" ht="14.25" customHeight="1" s="86">
      <c r="E856" s="53" t="inlineStr">
        <is>
          <t>IN</t>
        </is>
      </c>
      <c r="F856" s="53" t="inlineStr">
        <is>
          <t>NEWTON</t>
        </is>
      </c>
      <c r="G856" s="59" t="n"/>
      <c r="N856" s="59" t="n"/>
      <c r="O856" s="59" t="n"/>
      <c r="X856" s="61" t="n"/>
      <c r="Y856" s="61" t="n"/>
    </row>
    <row r="857" ht="14.25" customHeight="1" s="86">
      <c r="E857" s="53" t="inlineStr">
        <is>
          <t>IN</t>
        </is>
      </c>
      <c r="F857" s="53" t="inlineStr">
        <is>
          <t>NOBLE</t>
        </is>
      </c>
      <c r="G857" s="59" t="n"/>
      <c r="N857" s="59" t="n"/>
      <c r="O857" s="59" t="n"/>
      <c r="X857" s="61" t="n"/>
      <c r="Y857" s="61" t="n"/>
    </row>
    <row r="858" ht="14.25" customHeight="1" s="86">
      <c r="E858" s="53" t="inlineStr">
        <is>
          <t>IN</t>
        </is>
      </c>
      <c r="F858" s="53" t="inlineStr">
        <is>
          <t>OHIO</t>
        </is>
      </c>
      <c r="G858" s="59" t="n"/>
      <c r="N858" s="59" t="n"/>
      <c r="O858" s="59" t="n"/>
      <c r="X858" s="61" t="n"/>
      <c r="Y858" s="61" t="n"/>
    </row>
    <row r="859" ht="14.25" customHeight="1" s="86">
      <c r="E859" s="53" t="inlineStr">
        <is>
          <t>IN</t>
        </is>
      </c>
      <c r="F859" s="53" t="inlineStr">
        <is>
          <t>ORANGE</t>
        </is>
      </c>
      <c r="G859" s="59" t="n"/>
      <c r="N859" s="59" t="n"/>
      <c r="O859" s="59" t="n"/>
      <c r="X859" s="61" t="n"/>
      <c r="Y859" s="61" t="n"/>
    </row>
    <row r="860" ht="14.25" customHeight="1" s="86">
      <c r="E860" s="53" t="inlineStr">
        <is>
          <t>IN</t>
        </is>
      </c>
      <c r="F860" s="53" t="inlineStr">
        <is>
          <t>OWEN</t>
        </is>
      </c>
      <c r="G860" s="59" t="n"/>
      <c r="N860" s="59" t="n"/>
      <c r="O860" s="59" t="n"/>
      <c r="X860" s="61" t="n"/>
      <c r="Y860" s="61" t="n"/>
    </row>
    <row r="861" ht="14.25" customHeight="1" s="86">
      <c r="E861" s="53" t="inlineStr">
        <is>
          <t>IN</t>
        </is>
      </c>
      <c r="F861" s="53" t="inlineStr">
        <is>
          <t>PARKE</t>
        </is>
      </c>
      <c r="G861" s="59" t="n"/>
      <c r="N861" s="59" t="n"/>
      <c r="O861" s="59" t="n"/>
      <c r="X861" s="61" t="n"/>
      <c r="Y861" s="61" t="n"/>
    </row>
    <row r="862" ht="14.25" customHeight="1" s="86">
      <c r="E862" s="53" t="inlineStr">
        <is>
          <t>IN</t>
        </is>
      </c>
      <c r="F862" s="53" t="inlineStr">
        <is>
          <t>PERRY</t>
        </is>
      </c>
      <c r="G862" s="59" t="n"/>
      <c r="N862" s="59" t="n"/>
      <c r="O862" s="59" t="n"/>
      <c r="X862" s="61" t="n"/>
      <c r="Y862" s="61" t="n"/>
    </row>
    <row r="863" ht="14.25" customHeight="1" s="86">
      <c r="E863" s="53" t="inlineStr">
        <is>
          <t>IN</t>
        </is>
      </c>
      <c r="F863" s="53" t="inlineStr">
        <is>
          <t>PIKE</t>
        </is>
      </c>
      <c r="G863" s="59" t="n"/>
      <c r="N863" s="59" t="n"/>
      <c r="O863" s="59" t="n"/>
      <c r="X863" s="61" t="n"/>
      <c r="Y863" s="61" t="n"/>
    </row>
    <row r="864" ht="14.25" customHeight="1" s="86">
      <c r="E864" s="53" t="inlineStr">
        <is>
          <t>IN</t>
        </is>
      </c>
      <c r="F864" s="53" t="inlineStr">
        <is>
          <t>PORTER</t>
        </is>
      </c>
      <c r="G864" s="59" t="n"/>
      <c r="N864" s="59" t="n"/>
      <c r="O864" s="59" t="n"/>
      <c r="X864" s="61" t="n"/>
      <c r="Y864" s="61" t="n"/>
    </row>
    <row r="865" ht="14.25" customHeight="1" s="86">
      <c r="E865" s="53" t="inlineStr">
        <is>
          <t>IN</t>
        </is>
      </c>
      <c r="F865" s="53" t="inlineStr">
        <is>
          <t>POSEY</t>
        </is>
      </c>
      <c r="G865" s="59" t="n"/>
      <c r="N865" s="59" t="n"/>
      <c r="O865" s="59" t="n"/>
      <c r="X865" s="61" t="n"/>
      <c r="Y865" s="61" t="n"/>
    </row>
    <row r="866" ht="14.25" customHeight="1" s="86">
      <c r="E866" s="53" t="inlineStr">
        <is>
          <t>IN</t>
        </is>
      </c>
      <c r="F866" s="53" t="inlineStr">
        <is>
          <t>PULASKI</t>
        </is>
      </c>
      <c r="G866" s="59" t="n"/>
      <c r="N866" s="59" t="n"/>
      <c r="O866" s="59" t="n"/>
      <c r="X866" s="61" t="n"/>
      <c r="Y866" s="61" t="n"/>
    </row>
    <row r="867" ht="14.25" customHeight="1" s="86">
      <c r="E867" s="53" t="inlineStr">
        <is>
          <t>IN</t>
        </is>
      </c>
      <c r="F867" s="53" t="inlineStr">
        <is>
          <t>PUTNAM</t>
        </is>
      </c>
      <c r="G867" s="59" t="n"/>
      <c r="N867" s="59" t="n"/>
      <c r="O867" s="59" t="n"/>
      <c r="X867" s="61" t="n"/>
      <c r="Y867" s="61" t="n"/>
    </row>
    <row r="868" ht="14.25" customHeight="1" s="86">
      <c r="E868" s="53" t="inlineStr">
        <is>
          <t>IN</t>
        </is>
      </c>
      <c r="F868" s="53" t="inlineStr">
        <is>
          <t>RANDOLPH</t>
        </is>
      </c>
      <c r="G868" s="59" t="n"/>
      <c r="N868" s="59" t="n"/>
      <c r="O868" s="59" t="n"/>
      <c r="X868" s="61" t="n"/>
      <c r="Y868" s="61" t="n"/>
    </row>
    <row r="869" ht="14.25" customHeight="1" s="86">
      <c r="E869" s="53" t="inlineStr">
        <is>
          <t>IN</t>
        </is>
      </c>
      <c r="F869" s="53" t="inlineStr">
        <is>
          <t>RIPLEY</t>
        </is>
      </c>
      <c r="G869" s="59" t="n"/>
      <c r="N869" s="59" t="n"/>
      <c r="O869" s="59" t="n"/>
      <c r="X869" s="61" t="n"/>
      <c r="Y869" s="61" t="n"/>
    </row>
    <row r="870" ht="14.25" customHeight="1" s="86">
      <c r="E870" s="53" t="inlineStr">
        <is>
          <t>IN</t>
        </is>
      </c>
      <c r="F870" s="53" t="inlineStr">
        <is>
          <t>RUSH</t>
        </is>
      </c>
      <c r="G870" s="59" t="n"/>
      <c r="N870" s="59" t="n"/>
      <c r="O870" s="59" t="n"/>
      <c r="X870" s="61" t="n"/>
      <c r="Y870" s="61" t="n"/>
    </row>
    <row r="871" ht="14.25" customHeight="1" s="86">
      <c r="E871" s="53" t="inlineStr">
        <is>
          <t>IN</t>
        </is>
      </c>
      <c r="F871" s="53" t="inlineStr">
        <is>
          <t>SCOTT</t>
        </is>
      </c>
      <c r="G871" s="59" t="n"/>
      <c r="N871" s="59" t="n"/>
      <c r="O871" s="59" t="n"/>
      <c r="X871" s="61" t="n"/>
      <c r="Y871" s="61" t="n"/>
    </row>
    <row r="872" ht="14.25" customHeight="1" s="86">
      <c r="E872" s="53" t="inlineStr">
        <is>
          <t>IN</t>
        </is>
      </c>
      <c r="F872" s="53" t="inlineStr">
        <is>
          <t>SHELBY</t>
        </is>
      </c>
      <c r="G872" s="59" t="n"/>
      <c r="N872" s="59" t="n"/>
      <c r="O872" s="59" t="n"/>
      <c r="X872" s="61" t="n"/>
      <c r="Y872" s="61" t="n"/>
    </row>
    <row r="873" ht="14.25" customHeight="1" s="86">
      <c r="E873" s="53" t="inlineStr">
        <is>
          <t>IN</t>
        </is>
      </c>
      <c r="F873" s="53" t="inlineStr">
        <is>
          <t>SPENCER</t>
        </is>
      </c>
      <c r="G873" s="59" t="n"/>
      <c r="N873" s="59" t="n"/>
      <c r="O873" s="59" t="n"/>
      <c r="X873" s="61" t="n"/>
      <c r="Y873" s="61" t="n"/>
    </row>
    <row r="874" ht="14.25" customHeight="1" s="86">
      <c r="E874" s="53" t="inlineStr">
        <is>
          <t>IN</t>
        </is>
      </c>
      <c r="F874" s="53" t="inlineStr">
        <is>
          <t>ST JOSEPH</t>
        </is>
      </c>
      <c r="G874" s="59" t="n"/>
      <c r="N874" s="59" t="n"/>
      <c r="O874" s="59" t="n"/>
      <c r="X874" s="61" t="n"/>
      <c r="Y874" s="61" t="n"/>
    </row>
    <row r="875" ht="14.25" customHeight="1" s="86">
      <c r="E875" s="53" t="inlineStr">
        <is>
          <t>IN</t>
        </is>
      </c>
      <c r="F875" s="53" t="inlineStr">
        <is>
          <t>STARKE</t>
        </is>
      </c>
      <c r="G875" s="59" t="n"/>
      <c r="N875" s="59" t="n"/>
      <c r="O875" s="59" t="n"/>
      <c r="X875" s="61" t="n"/>
      <c r="Y875" s="61" t="n"/>
    </row>
    <row r="876" ht="14.25" customHeight="1" s="86">
      <c r="E876" s="53" t="inlineStr">
        <is>
          <t>IN</t>
        </is>
      </c>
      <c r="F876" s="53" t="inlineStr">
        <is>
          <t>STEUBEN</t>
        </is>
      </c>
      <c r="G876" s="59" t="n"/>
      <c r="N876" s="59" t="n"/>
      <c r="O876" s="59" t="n"/>
      <c r="X876" s="61" t="n"/>
      <c r="Y876" s="61" t="n"/>
    </row>
    <row r="877" ht="14.25" customHeight="1" s="86">
      <c r="E877" s="53" t="inlineStr">
        <is>
          <t>IN</t>
        </is>
      </c>
      <c r="F877" s="53" t="inlineStr">
        <is>
          <t>SULLIVAN</t>
        </is>
      </c>
      <c r="G877" s="59" t="n"/>
      <c r="N877" s="59" t="n"/>
      <c r="O877" s="59" t="n"/>
      <c r="X877" s="61" t="n"/>
      <c r="Y877" s="61" t="n"/>
    </row>
    <row r="878" ht="14.25" customHeight="1" s="86">
      <c r="E878" s="53" t="inlineStr">
        <is>
          <t>IN</t>
        </is>
      </c>
      <c r="F878" s="53" t="inlineStr">
        <is>
          <t>SWITZERLAND</t>
        </is>
      </c>
      <c r="G878" s="59" t="n"/>
      <c r="N878" s="59" t="n"/>
      <c r="O878" s="59" t="n"/>
      <c r="X878" s="61" t="n"/>
      <c r="Y878" s="61" t="n"/>
    </row>
    <row r="879" ht="14.25" customHeight="1" s="86">
      <c r="E879" s="53" t="inlineStr">
        <is>
          <t>IN</t>
        </is>
      </c>
      <c r="F879" s="53" t="inlineStr">
        <is>
          <t>TIPPECANOE</t>
        </is>
      </c>
      <c r="G879" s="59" t="n"/>
      <c r="N879" s="59" t="n"/>
      <c r="O879" s="59" t="n"/>
      <c r="X879" s="61" t="n"/>
      <c r="Y879" s="61" t="n"/>
    </row>
    <row r="880" ht="14.25" customHeight="1" s="86">
      <c r="E880" s="53" t="inlineStr">
        <is>
          <t>IN</t>
        </is>
      </c>
      <c r="F880" s="53" t="inlineStr">
        <is>
          <t>TIPTON</t>
        </is>
      </c>
      <c r="G880" s="59" t="n"/>
      <c r="N880" s="59" t="n"/>
      <c r="O880" s="59" t="n"/>
      <c r="X880" s="61" t="n"/>
      <c r="Y880" s="61" t="n"/>
    </row>
    <row r="881" ht="14.25" customHeight="1" s="86">
      <c r="E881" s="53" t="inlineStr">
        <is>
          <t>IN</t>
        </is>
      </c>
      <c r="F881" s="53" t="inlineStr">
        <is>
          <t>UNION</t>
        </is>
      </c>
      <c r="G881" s="59" t="n"/>
      <c r="N881" s="59" t="n"/>
      <c r="O881" s="59" t="n"/>
      <c r="X881" s="61" t="n"/>
      <c r="Y881" s="61" t="n"/>
    </row>
    <row r="882" ht="14.25" customHeight="1" s="86">
      <c r="E882" s="53" t="inlineStr">
        <is>
          <t>IN</t>
        </is>
      </c>
      <c r="F882" s="53" t="inlineStr">
        <is>
          <t>VANDERBURGH</t>
        </is>
      </c>
      <c r="G882" s="59" t="n"/>
      <c r="N882" s="59" t="n"/>
      <c r="O882" s="59" t="n"/>
      <c r="X882" s="61" t="n"/>
      <c r="Y882" s="61" t="n"/>
    </row>
    <row r="883" ht="14.25" customHeight="1" s="86">
      <c r="E883" s="53" t="inlineStr">
        <is>
          <t>IN</t>
        </is>
      </c>
      <c r="F883" s="53" t="inlineStr">
        <is>
          <t>VERMILLION</t>
        </is>
      </c>
      <c r="G883" s="59" t="n"/>
      <c r="N883" s="59" t="n"/>
      <c r="O883" s="59" t="n"/>
      <c r="X883" s="61" t="n"/>
      <c r="Y883" s="61" t="n"/>
    </row>
    <row r="884" ht="14.25" customHeight="1" s="86">
      <c r="E884" s="53" t="inlineStr">
        <is>
          <t>IN</t>
        </is>
      </c>
      <c r="F884" s="53" t="inlineStr">
        <is>
          <t>VIGO</t>
        </is>
      </c>
      <c r="G884" s="59" t="n"/>
      <c r="N884" s="59" t="n"/>
      <c r="O884" s="59" t="n"/>
      <c r="X884" s="61" t="n"/>
      <c r="Y884" s="61" t="n"/>
    </row>
    <row r="885" ht="14.25" customHeight="1" s="86">
      <c r="E885" s="53" t="inlineStr">
        <is>
          <t>IN</t>
        </is>
      </c>
      <c r="F885" s="53" t="inlineStr">
        <is>
          <t>WABASH</t>
        </is>
      </c>
      <c r="G885" s="59" t="n"/>
      <c r="N885" s="59" t="n"/>
      <c r="O885" s="59" t="n"/>
      <c r="X885" s="61" t="n"/>
      <c r="Y885" s="61" t="n"/>
    </row>
    <row r="886" ht="14.25" customHeight="1" s="86">
      <c r="E886" s="53" t="inlineStr">
        <is>
          <t>IN</t>
        </is>
      </c>
      <c r="F886" s="53" t="inlineStr">
        <is>
          <t>WARREN</t>
        </is>
      </c>
      <c r="G886" s="59" t="n"/>
      <c r="N886" s="59" t="n"/>
      <c r="O886" s="59" t="n"/>
      <c r="X886" s="61" t="n"/>
      <c r="Y886" s="61" t="n"/>
    </row>
    <row r="887" ht="14.25" customHeight="1" s="86">
      <c r="E887" s="53" t="inlineStr">
        <is>
          <t>IN</t>
        </is>
      </c>
      <c r="F887" s="53" t="inlineStr">
        <is>
          <t>WARRICK</t>
        </is>
      </c>
      <c r="G887" s="59" t="n"/>
      <c r="N887" s="59" t="n"/>
      <c r="O887" s="59" t="n"/>
      <c r="X887" s="61" t="n"/>
      <c r="Y887" s="61" t="n"/>
    </row>
    <row r="888" ht="14.25" customHeight="1" s="86">
      <c r="E888" s="53" t="inlineStr">
        <is>
          <t>IN</t>
        </is>
      </c>
      <c r="F888" s="53" t="inlineStr">
        <is>
          <t>WASHINGTON</t>
        </is>
      </c>
      <c r="G888" s="59" t="n"/>
      <c r="N888" s="59" t="n"/>
      <c r="O888" s="59" t="n"/>
      <c r="X888" s="61" t="n"/>
      <c r="Y888" s="61" t="n"/>
    </row>
    <row r="889" ht="14.25" customHeight="1" s="86">
      <c r="E889" s="53" t="inlineStr">
        <is>
          <t>IN</t>
        </is>
      </c>
      <c r="F889" s="53" t="inlineStr">
        <is>
          <t>WAYNE</t>
        </is>
      </c>
      <c r="G889" s="59" t="n"/>
      <c r="N889" s="59" t="n"/>
      <c r="O889" s="59" t="n"/>
      <c r="X889" s="61" t="n"/>
      <c r="Y889" s="61" t="n"/>
    </row>
    <row r="890" ht="14.25" customHeight="1" s="86">
      <c r="E890" s="53" t="inlineStr">
        <is>
          <t>IN</t>
        </is>
      </c>
      <c r="F890" s="53" t="inlineStr">
        <is>
          <t>WELLS</t>
        </is>
      </c>
      <c r="G890" s="59" t="n"/>
      <c r="N890" s="59" t="n"/>
      <c r="O890" s="59" t="n"/>
      <c r="X890" s="61" t="n"/>
      <c r="Y890" s="61" t="n"/>
    </row>
    <row r="891" ht="14.25" customHeight="1" s="86">
      <c r="E891" s="53" t="inlineStr">
        <is>
          <t>IN</t>
        </is>
      </c>
      <c r="F891" s="53" t="inlineStr">
        <is>
          <t>WHITE</t>
        </is>
      </c>
      <c r="G891" s="59" t="n"/>
      <c r="N891" s="59" t="n"/>
      <c r="O891" s="59" t="n"/>
      <c r="X891" s="61" t="n"/>
      <c r="Y891" s="61" t="n"/>
    </row>
    <row r="892" ht="14.25" customHeight="1" s="86">
      <c r="E892" s="53" t="inlineStr">
        <is>
          <t>IN</t>
        </is>
      </c>
      <c r="F892" s="53" t="inlineStr">
        <is>
          <t>WHITLEY</t>
        </is>
      </c>
      <c r="G892" s="59" t="n"/>
      <c r="N892" s="59" t="n"/>
      <c r="O892" s="59" t="n"/>
      <c r="X892" s="61" t="n"/>
      <c r="Y892" s="61" t="n"/>
    </row>
    <row r="893" ht="14.25" customHeight="1" s="86">
      <c r="E893" s="53" t="inlineStr">
        <is>
          <t>KS</t>
        </is>
      </c>
      <c r="F893" s="53" t="inlineStr">
        <is>
          <t>ALLEN</t>
        </is>
      </c>
      <c r="G893" s="59" t="n"/>
      <c r="N893" s="59" t="n"/>
      <c r="O893" s="59" t="n"/>
      <c r="X893" s="61" t="n"/>
      <c r="Y893" s="61" t="n"/>
    </row>
    <row r="894" ht="14.25" customHeight="1" s="86">
      <c r="E894" s="53" t="inlineStr">
        <is>
          <t>KS</t>
        </is>
      </c>
      <c r="F894" s="53" t="inlineStr">
        <is>
          <t>ANDERSON</t>
        </is>
      </c>
      <c r="G894" s="59" t="n"/>
      <c r="N894" s="59" t="n"/>
      <c r="O894" s="59" t="n"/>
      <c r="X894" s="61" t="n"/>
      <c r="Y894" s="61" t="n"/>
    </row>
    <row r="895" ht="14.25" customHeight="1" s="86">
      <c r="E895" s="53" t="inlineStr">
        <is>
          <t>KS</t>
        </is>
      </c>
      <c r="F895" s="53" t="inlineStr">
        <is>
          <t>ATCHISON</t>
        </is>
      </c>
      <c r="G895" s="59" t="n"/>
      <c r="N895" s="59" t="n"/>
      <c r="O895" s="59" t="n"/>
      <c r="X895" s="61" t="n"/>
      <c r="Y895" s="61" t="n"/>
    </row>
    <row r="896" ht="14.25" customHeight="1" s="86">
      <c r="E896" s="53" t="inlineStr">
        <is>
          <t>KS</t>
        </is>
      </c>
      <c r="F896" s="53" t="inlineStr">
        <is>
          <t>BARBER</t>
        </is>
      </c>
      <c r="G896" s="59" t="n"/>
      <c r="N896" s="59" t="n"/>
      <c r="O896" s="59" t="n"/>
      <c r="X896" s="61" t="n"/>
      <c r="Y896" s="61" t="n"/>
    </row>
    <row r="897" ht="14.25" customHeight="1" s="86">
      <c r="E897" s="53" t="inlineStr">
        <is>
          <t>KS</t>
        </is>
      </c>
      <c r="F897" s="53" t="inlineStr">
        <is>
          <t>BARTON</t>
        </is>
      </c>
      <c r="G897" s="59" t="n"/>
      <c r="N897" s="59" t="n"/>
      <c r="O897" s="59" t="n"/>
      <c r="X897" s="61" t="n"/>
      <c r="Y897" s="61" t="n"/>
    </row>
    <row r="898" ht="14.25" customHeight="1" s="86">
      <c r="E898" s="53" t="inlineStr">
        <is>
          <t>KS</t>
        </is>
      </c>
      <c r="F898" s="53" t="inlineStr">
        <is>
          <t>BOURBON</t>
        </is>
      </c>
      <c r="G898" s="59" t="n"/>
      <c r="N898" s="59" t="n"/>
      <c r="O898" s="59" t="n"/>
      <c r="X898" s="61" t="n"/>
      <c r="Y898" s="61" t="n"/>
    </row>
    <row r="899" ht="14.25" customHeight="1" s="86">
      <c r="E899" s="53" t="inlineStr">
        <is>
          <t>KS</t>
        </is>
      </c>
      <c r="F899" s="53" t="inlineStr">
        <is>
          <t>BROWN</t>
        </is>
      </c>
      <c r="G899" s="59" t="n"/>
      <c r="N899" s="59" t="n"/>
      <c r="O899" s="59" t="n"/>
      <c r="X899" s="61" t="n"/>
      <c r="Y899" s="61" t="n"/>
    </row>
    <row r="900" ht="14.25" customHeight="1" s="86">
      <c r="E900" s="53" t="inlineStr">
        <is>
          <t>KS</t>
        </is>
      </c>
      <c r="F900" s="53" t="inlineStr">
        <is>
          <t>BUTLER</t>
        </is>
      </c>
      <c r="G900" s="59" t="n"/>
      <c r="N900" s="59" t="n"/>
      <c r="O900" s="59" t="n"/>
      <c r="X900" s="61" t="n"/>
      <c r="Y900" s="61" t="n"/>
    </row>
    <row r="901" ht="14.25" customHeight="1" s="86">
      <c r="E901" s="53" t="inlineStr">
        <is>
          <t>KS</t>
        </is>
      </c>
      <c r="F901" s="53" t="inlineStr">
        <is>
          <t>CHASE</t>
        </is>
      </c>
      <c r="G901" s="59" t="n"/>
      <c r="N901" s="59" t="n"/>
      <c r="O901" s="59" t="n"/>
      <c r="X901" s="61" t="n"/>
      <c r="Y901" s="61" t="n"/>
    </row>
    <row r="902" ht="14.25" customHeight="1" s="86">
      <c r="E902" s="53" t="inlineStr">
        <is>
          <t>KS</t>
        </is>
      </c>
      <c r="F902" s="53" t="inlineStr">
        <is>
          <t>CHAUTAUQUA</t>
        </is>
      </c>
      <c r="G902" s="59" t="n"/>
      <c r="N902" s="59" t="n"/>
      <c r="O902" s="59" t="n"/>
      <c r="X902" s="61" t="n"/>
      <c r="Y902" s="61" t="n"/>
    </row>
    <row r="903" ht="14.25" customHeight="1" s="86">
      <c r="E903" s="53" t="inlineStr">
        <is>
          <t>KS</t>
        </is>
      </c>
      <c r="F903" s="53" t="inlineStr">
        <is>
          <t>CHEROKEE</t>
        </is>
      </c>
      <c r="G903" s="59" t="n"/>
      <c r="N903" s="59" t="n"/>
      <c r="O903" s="59" t="n"/>
      <c r="X903" s="61" t="n"/>
      <c r="Y903" s="61" t="n"/>
    </row>
    <row r="904" ht="14.25" customHeight="1" s="86">
      <c r="E904" s="53" t="inlineStr">
        <is>
          <t>KS</t>
        </is>
      </c>
      <c r="F904" s="53" t="inlineStr">
        <is>
          <t>CHEYENNE</t>
        </is>
      </c>
      <c r="G904" s="59" t="n"/>
      <c r="N904" s="59" t="n"/>
      <c r="O904" s="59" t="n"/>
      <c r="X904" s="61" t="n"/>
      <c r="Y904" s="61" t="n"/>
    </row>
    <row r="905" ht="14.25" customHeight="1" s="86">
      <c r="E905" s="53" t="inlineStr">
        <is>
          <t>KS</t>
        </is>
      </c>
      <c r="F905" s="53" t="inlineStr">
        <is>
          <t>CLARK</t>
        </is>
      </c>
      <c r="G905" s="59" t="n"/>
      <c r="N905" s="59" t="n"/>
      <c r="O905" s="59" t="n"/>
      <c r="X905" s="61" t="n"/>
      <c r="Y905" s="61" t="n"/>
    </row>
    <row r="906" ht="14.25" customHeight="1" s="86">
      <c r="E906" s="53" t="inlineStr">
        <is>
          <t>KS</t>
        </is>
      </c>
      <c r="F906" s="53" t="inlineStr">
        <is>
          <t>CLAY</t>
        </is>
      </c>
      <c r="G906" s="59" t="n"/>
      <c r="N906" s="59" t="n"/>
      <c r="O906" s="59" t="n"/>
      <c r="X906" s="61" t="n"/>
      <c r="Y906" s="61" t="n"/>
    </row>
    <row r="907" ht="14.25" customHeight="1" s="86">
      <c r="E907" s="53" t="inlineStr">
        <is>
          <t>KS</t>
        </is>
      </c>
      <c r="F907" s="53" t="inlineStr">
        <is>
          <t>CLOUD</t>
        </is>
      </c>
      <c r="G907" s="59" t="n"/>
      <c r="N907" s="59" t="n"/>
      <c r="O907" s="59" t="n"/>
      <c r="X907" s="61" t="n"/>
      <c r="Y907" s="61" t="n"/>
    </row>
    <row r="908" ht="14.25" customHeight="1" s="86">
      <c r="E908" s="53" t="inlineStr">
        <is>
          <t>KS</t>
        </is>
      </c>
      <c r="F908" s="53" t="inlineStr">
        <is>
          <t>COFFEY</t>
        </is>
      </c>
      <c r="G908" s="59" t="n"/>
      <c r="N908" s="59" t="n"/>
      <c r="O908" s="59" t="n"/>
      <c r="X908" s="61" t="n"/>
      <c r="Y908" s="61" t="n"/>
    </row>
    <row r="909" ht="14.25" customHeight="1" s="86">
      <c r="E909" s="53" t="inlineStr">
        <is>
          <t>KS</t>
        </is>
      </c>
      <c r="F909" s="53" t="inlineStr">
        <is>
          <t>COMANCHE</t>
        </is>
      </c>
      <c r="G909" s="59" t="n"/>
      <c r="N909" s="59" t="n"/>
      <c r="O909" s="59" t="n"/>
      <c r="X909" s="61" t="n"/>
      <c r="Y909" s="61" t="n"/>
    </row>
    <row r="910" ht="14.25" customHeight="1" s="86">
      <c r="E910" s="53" t="inlineStr">
        <is>
          <t>KS</t>
        </is>
      </c>
      <c r="F910" s="53" t="inlineStr">
        <is>
          <t>COWLEY</t>
        </is>
      </c>
      <c r="G910" s="59" t="n"/>
      <c r="N910" s="59" t="n"/>
      <c r="O910" s="59" t="n"/>
      <c r="X910" s="61" t="n"/>
      <c r="Y910" s="61" t="n"/>
    </row>
    <row r="911" ht="14.25" customHeight="1" s="86">
      <c r="E911" s="53" t="inlineStr">
        <is>
          <t>KS</t>
        </is>
      </c>
      <c r="F911" s="53" t="inlineStr">
        <is>
          <t>CRAWFORD</t>
        </is>
      </c>
      <c r="G911" s="59" t="n"/>
      <c r="N911" s="59" t="n"/>
      <c r="O911" s="59" t="n"/>
      <c r="X911" s="61" t="n"/>
      <c r="Y911" s="61" t="n"/>
    </row>
    <row r="912" ht="14.25" customHeight="1" s="86">
      <c r="E912" s="53" t="inlineStr">
        <is>
          <t>KS</t>
        </is>
      </c>
      <c r="F912" s="53" t="inlineStr">
        <is>
          <t>DECATUR</t>
        </is>
      </c>
      <c r="G912" s="59" t="n"/>
      <c r="N912" s="59" t="n"/>
      <c r="O912" s="59" t="n"/>
      <c r="X912" s="61" t="n"/>
      <c r="Y912" s="61" t="n"/>
    </row>
    <row r="913" ht="14.25" customHeight="1" s="86">
      <c r="E913" s="53" t="inlineStr">
        <is>
          <t>KS</t>
        </is>
      </c>
      <c r="F913" s="53" t="inlineStr">
        <is>
          <t>DICKINSON</t>
        </is>
      </c>
      <c r="G913" s="59" t="n"/>
      <c r="N913" s="59" t="n"/>
      <c r="O913" s="59" t="n"/>
      <c r="X913" s="61" t="n"/>
      <c r="Y913" s="61" t="n"/>
    </row>
    <row r="914" ht="14.25" customHeight="1" s="86">
      <c r="E914" s="53" t="inlineStr">
        <is>
          <t>KS</t>
        </is>
      </c>
      <c r="F914" s="53" t="inlineStr">
        <is>
          <t>DONIPHAN</t>
        </is>
      </c>
      <c r="G914" s="59" t="n"/>
      <c r="N914" s="59" t="n"/>
      <c r="O914" s="59" t="n"/>
      <c r="X914" s="61" t="n"/>
      <c r="Y914" s="61" t="n"/>
    </row>
    <row r="915" ht="14.25" customHeight="1" s="86">
      <c r="E915" s="53" t="inlineStr">
        <is>
          <t>KS</t>
        </is>
      </c>
      <c r="F915" s="53" t="inlineStr">
        <is>
          <t>DOUGLAS</t>
        </is>
      </c>
      <c r="G915" s="59" t="n"/>
      <c r="N915" s="59" t="n"/>
      <c r="O915" s="59" t="n"/>
      <c r="X915" s="61" t="n"/>
      <c r="Y915" s="61" t="n"/>
    </row>
    <row r="916" ht="14.25" customHeight="1" s="86">
      <c r="E916" s="53" t="inlineStr">
        <is>
          <t>KS</t>
        </is>
      </c>
      <c r="F916" s="53" t="inlineStr">
        <is>
          <t>EDWARDS</t>
        </is>
      </c>
      <c r="G916" s="59" t="n"/>
      <c r="N916" s="59" t="n"/>
      <c r="O916" s="59" t="n"/>
      <c r="X916" s="61" t="n"/>
      <c r="Y916" s="61" t="n"/>
    </row>
    <row r="917" ht="14.25" customHeight="1" s="86">
      <c r="E917" s="53" t="inlineStr">
        <is>
          <t>KS</t>
        </is>
      </c>
      <c r="F917" s="53" t="inlineStr">
        <is>
          <t>ELK</t>
        </is>
      </c>
      <c r="G917" s="59" t="n"/>
      <c r="N917" s="59" t="n"/>
      <c r="O917" s="59" t="n"/>
      <c r="X917" s="61" t="n"/>
      <c r="Y917" s="61" t="n"/>
    </row>
    <row r="918" ht="14.25" customHeight="1" s="86">
      <c r="E918" s="53" t="inlineStr">
        <is>
          <t>KS</t>
        </is>
      </c>
      <c r="F918" s="53" t="inlineStr">
        <is>
          <t>ELLIS</t>
        </is>
      </c>
      <c r="G918" s="59" t="n"/>
      <c r="N918" s="59" t="n"/>
      <c r="O918" s="59" t="n"/>
      <c r="X918" s="61" t="n"/>
      <c r="Y918" s="61" t="n"/>
    </row>
    <row r="919" ht="14.25" customHeight="1" s="86">
      <c r="E919" s="53" t="inlineStr">
        <is>
          <t>KS</t>
        </is>
      </c>
      <c r="F919" s="53" t="inlineStr">
        <is>
          <t>ELLSWORTH</t>
        </is>
      </c>
      <c r="G919" s="59" t="n"/>
      <c r="N919" s="59" t="n"/>
      <c r="O919" s="59" t="n"/>
      <c r="X919" s="61" t="n"/>
      <c r="Y919" s="61" t="n"/>
    </row>
    <row r="920" ht="14.25" customHeight="1" s="86">
      <c r="E920" s="53" t="inlineStr">
        <is>
          <t>KS</t>
        </is>
      </c>
      <c r="F920" s="53" t="inlineStr">
        <is>
          <t>FINNEY</t>
        </is>
      </c>
      <c r="G920" s="59" t="n"/>
      <c r="N920" s="59" t="n"/>
      <c r="O920" s="59" t="n"/>
      <c r="X920" s="61" t="n"/>
      <c r="Y920" s="61" t="n"/>
    </row>
    <row r="921" ht="14.25" customHeight="1" s="86">
      <c r="E921" s="53" t="inlineStr">
        <is>
          <t>KS</t>
        </is>
      </c>
      <c r="F921" s="53" t="inlineStr">
        <is>
          <t>FORD</t>
        </is>
      </c>
      <c r="G921" s="59" t="n"/>
      <c r="N921" s="59" t="n"/>
      <c r="O921" s="59" t="n"/>
      <c r="X921" s="61" t="n"/>
      <c r="Y921" s="61" t="n"/>
    </row>
    <row r="922" ht="14.25" customHeight="1" s="86">
      <c r="E922" s="53" t="inlineStr">
        <is>
          <t>KS</t>
        </is>
      </c>
      <c r="F922" s="53" t="inlineStr">
        <is>
          <t>FRANKLIN</t>
        </is>
      </c>
      <c r="G922" s="59" t="n"/>
      <c r="N922" s="59" t="n"/>
      <c r="O922" s="59" t="n"/>
      <c r="X922" s="61" t="n"/>
      <c r="Y922" s="61" t="n"/>
    </row>
    <row r="923" ht="14.25" customHeight="1" s="86">
      <c r="E923" s="53" t="inlineStr">
        <is>
          <t>KS</t>
        </is>
      </c>
      <c r="F923" s="53" t="inlineStr">
        <is>
          <t>GEARY</t>
        </is>
      </c>
      <c r="G923" s="59" t="n"/>
      <c r="N923" s="59" t="n"/>
      <c r="O923" s="59" t="n"/>
      <c r="X923" s="61" t="n"/>
      <c r="Y923" s="61" t="n"/>
    </row>
    <row r="924" ht="14.25" customHeight="1" s="86">
      <c r="E924" s="53" t="inlineStr">
        <is>
          <t>KS</t>
        </is>
      </c>
      <c r="F924" s="53" t="inlineStr">
        <is>
          <t>GOVE</t>
        </is>
      </c>
      <c r="G924" s="59" t="n"/>
      <c r="N924" s="59" t="n"/>
      <c r="O924" s="59" t="n"/>
      <c r="X924" s="61" t="n"/>
      <c r="Y924" s="61" t="n"/>
    </row>
    <row r="925" ht="14.25" customHeight="1" s="86">
      <c r="E925" s="53" t="inlineStr">
        <is>
          <t>KS</t>
        </is>
      </c>
      <c r="F925" s="53" t="inlineStr">
        <is>
          <t>GRAHAM</t>
        </is>
      </c>
      <c r="G925" s="59" t="n"/>
      <c r="N925" s="59" t="n"/>
      <c r="O925" s="59" t="n"/>
      <c r="X925" s="61" t="n"/>
      <c r="Y925" s="61" t="n"/>
    </row>
    <row r="926" ht="14.25" customHeight="1" s="86">
      <c r="E926" s="53" t="inlineStr">
        <is>
          <t>KS</t>
        </is>
      </c>
      <c r="F926" s="53" t="inlineStr">
        <is>
          <t>GRANT</t>
        </is>
      </c>
      <c r="G926" s="59" t="n"/>
      <c r="N926" s="59" t="n"/>
      <c r="O926" s="59" t="n"/>
      <c r="X926" s="61" t="n"/>
      <c r="Y926" s="61" t="n"/>
    </row>
    <row r="927" ht="14.25" customHeight="1" s="86">
      <c r="E927" s="53" t="inlineStr">
        <is>
          <t>KS</t>
        </is>
      </c>
      <c r="F927" s="53" t="inlineStr">
        <is>
          <t>GRAY</t>
        </is>
      </c>
      <c r="G927" s="59" t="n"/>
      <c r="N927" s="59" t="n"/>
      <c r="O927" s="59" t="n"/>
      <c r="X927" s="61" t="n"/>
      <c r="Y927" s="61" t="n"/>
    </row>
    <row r="928" ht="14.25" customHeight="1" s="86">
      <c r="E928" s="53" t="inlineStr">
        <is>
          <t>KS</t>
        </is>
      </c>
      <c r="F928" s="53" t="inlineStr">
        <is>
          <t>GREELEY</t>
        </is>
      </c>
      <c r="G928" s="59" t="n"/>
      <c r="N928" s="59" t="n"/>
      <c r="O928" s="59" t="n"/>
      <c r="X928" s="61" t="n"/>
      <c r="Y928" s="61" t="n"/>
    </row>
    <row r="929" ht="14.25" customHeight="1" s="86">
      <c r="E929" s="53" t="inlineStr">
        <is>
          <t>KS</t>
        </is>
      </c>
      <c r="F929" s="53" t="inlineStr">
        <is>
          <t>GREENWOOD</t>
        </is>
      </c>
      <c r="G929" s="59" t="n"/>
      <c r="N929" s="59" t="n"/>
      <c r="O929" s="59" t="n"/>
      <c r="X929" s="61" t="n"/>
      <c r="Y929" s="61" t="n"/>
    </row>
    <row r="930" ht="14.25" customHeight="1" s="86">
      <c r="E930" s="53" t="inlineStr">
        <is>
          <t>KS</t>
        </is>
      </c>
      <c r="F930" s="53" t="inlineStr">
        <is>
          <t>HAMILTON</t>
        </is>
      </c>
      <c r="G930" s="59" t="n"/>
      <c r="N930" s="59" t="n"/>
      <c r="O930" s="59" t="n"/>
      <c r="X930" s="61" t="n"/>
      <c r="Y930" s="61" t="n"/>
    </row>
    <row r="931" ht="14.25" customHeight="1" s="86">
      <c r="E931" s="53" t="inlineStr">
        <is>
          <t>KS</t>
        </is>
      </c>
      <c r="F931" s="53" t="inlineStr">
        <is>
          <t>HARPER</t>
        </is>
      </c>
      <c r="G931" s="59" t="n"/>
      <c r="N931" s="59" t="n"/>
      <c r="O931" s="59" t="n"/>
      <c r="X931" s="61" t="n"/>
      <c r="Y931" s="61" t="n"/>
    </row>
    <row r="932" ht="14.25" customHeight="1" s="86">
      <c r="E932" s="53" t="inlineStr">
        <is>
          <t>KS</t>
        </is>
      </c>
      <c r="F932" s="53" t="inlineStr">
        <is>
          <t>HARVEY</t>
        </is>
      </c>
      <c r="G932" s="59" t="n"/>
      <c r="N932" s="59" t="n"/>
      <c r="O932" s="59" t="n"/>
      <c r="X932" s="61" t="n"/>
      <c r="Y932" s="61" t="n"/>
    </row>
    <row r="933" ht="14.25" customHeight="1" s="86">
      <c r="E933" s="53" t="inlineStr">
        <is>
          <t>KS</t>
        </is>
      </c>
      <c r="F933" s="53" t="inlineStr">
        <is>
          <t>HASKELL</t>
        </is>
      </c>
      <c r="G933" s="59" t="n"/>
      <c r="N933" s="59" t="n"/>
      <c r="O933" s="59" t="n"/>
      <c r="X933" s="61" t="n"/>
      <c r="Y933" s="61" t="n"/>
    </row>
    <row r="934" ht="14.25" customHeight="1" s="86">
      <c r="E934" s="53" t="inlineStr">
        <is>
          <t>KS</t>
        </is>
      </c>
      <c r="F934" s="53" t="inlineStr">
        <is>
          <t>HODGEMAN</t>
        </is>
      </c>
      <c r="G934" s="59" t="n"/>
      <c r="N934" s="59" t="n"/>
      <c r="O934" s="59" t="n"/>
      <c r="X934" s="61" t="n"/>
      <c r="Y934" s="61" t="n"/>
    </row>
    <row r="935" ht="14.25" customHeight="1" s="86">
      <c r="E935" s="53" t="inlineStr">
        <is>
          <t>KS</t>
        </is>
      </c>
      <c r="F935" s="53" t="inlineStr">
        <is>
          <t>JACKSON</t>
        </is>
      </c>
      <c r="G935" s="59" t="n"/>
      <c r="N935" s="59" t="n"/>
      <c r="O935" s="59" t="n"/>
      <c r="X935" s="61" t="n"/>
      <c r="Y935" s="61" t="n"/>
    </row>
    <row r="936" ht="14.25" customHeight="1" s="86">
      <c r="E936" s="53" t="inlineStr">
        <is>
          <t>KS</t>
        </is>
      </c>
      <c r="F936" s="53" t="inlineStr">
        <is>
          <t>JEFFERSON</t>
        </is>
      </c>
      <c r="G936" s="59" t="n"/>
      <c r="N936" s="59" t="n"/>
      <c r="O936" s="59" t="n"/>
      <c r="X936" s="61" t="n"/>
      <c r="Y936" s="61" t="n"/>
    </row>
    <row r="937" ht="14.25" customHeight="1" s="86">
      <c r="E937" s="53" t="inlineStr">
        <is>
          <t>KS</t>
        </is>
      </c>
      <c r="F937" s="53" t="inlineStr">
        <is>
          <t>JEWELL</t>
        </is>
      </c>
      <c r="G937" s="59" t="n"/>
      <c r="N937" s="59" t="n"/>
      <c r="O937" s="59" t="n"/>
      <c r="X937" s="61" t="n"/>
      <c r="Y937" s="61" t="n"/>
    </row>
    <row r="938" ht="14.25" customHeight="1" s="86">
      <c r="E938" s="53" t="inlineStr">
        <is>
          <t>KS</t>
        </is>
      </c>
      <c r="F938" s="53" t="inlineStr">
        <is>
          <t>JOHNSON</t>
        </is>
      </c>
      <c r="G938" s="59" t="n"/>
      <c r="N938" s="59" t="n"/>
      <c r="O938" s="59" t="n"/>
      <c r="X938" s="61" t="n"/>
      <c r="Y938" s="61" t="n"/>
    </row>
    <row r="939" ht="14.25" customHeight="1" s="86">
      <c r="E939" s="53" t="inlineStr">
        <is>
          <t>KS</t>
        </is>
      </c>
      <c r="F939" s="53" t="inlineStr">
        <is>
          <t>KEARNY</t>
        </is>
      </c>
      <c r="G939" s="59" t="n"/>
      <c r="N939" s="59" t="n"/>
      <c r="O939" s="59" t="n"/>
      <c r="X939" s="61" t="n"/>
      <c r="Y939" s="61" t="n"/>
    </row>
    <row r="940" ht="14.25" customHeight="1" s="86">
      <c r="E940" s="53" t="inlineStr">
        <is>
          <t>KS</t>
        </is>
      </c>
      <c r="F940" s="53" t="inlineStr">
        <is>
          <t>KINGMAN</t>
        </is>
      </c>
      <c r="G940" s="59" t="n"/>
      <c r="N940" s="59" t="n"/>
      <c r="O940" s="59" t="n"/>
      <c r="X940" s="61" t="n"/>
      <c r="Y940" s="61" t="n"/>
    </row>
    <row r="941" ht="14.25" customHeight="1" s="86">
      <c r="E941" s="53" t="inlineStr">
        <is>
          <t>KS</t>
        </is>
      </c>
      <c r="F941" s="53" t="inlineStr">
        <is>
          <t>KIOWA</t>
        </is>
      </c>
      <c r="G941" s="59" t="n"/>
      <c r="N941" s="59" t="n"/>
      <c r="O941" s="59" t="n"/>
      <c r="X941" s="61" t="n"/>
      <c r="Y941" s="61" t="n"/>
    </row>
    <row r="942" ht="14.25" customHeight="1" s="86">
      <c r="E942" s="53" t="inlineStr">
        <is>
          <t>KS</t>
        </is>
      </c>
      <c r="F942" s="53" t="inlineStr">
        <is>
          <t>LABETTE</t>
        </is>
      </c>
      <c r="G942" s="59" t="n"/>
      <c r="N942" s="59" t="n"/>
      <c r="O942" s="59" t="n"/>
      <c r="X942" s="61" t="n"/>
      <c r="Y942" s="61" t="n"/>
    </row>
    <row r="943" ht="14.25" customHeight="1" s="86">
      <c r="E943" s="53" t="inlineStr">
        <is>
          <t>KS</t>
        </is>
      </c>
      <c r="F943" s="53" t="inlineStr">
        <is>
          <t>LANE</t>
        </is>
      </c>
      <c r="G943" s="59" t="n"/>
      <c r="N943" s="59" t="n"/>
      <c r="O943" s="59" t="n"/>
      <c r="X943" s="61" t="n"/>
      <c r="Y943" s="61" t="n"/>
    </row>
    <row r="944" ht="14.25" customHeight="1" s="86">
      <c r="E944" s="53" t="inlineStr">
        <is>
          <t>KS</t>
        </is>
      </c>
      <c r="F944" s="53" t="inlineStr">
        <is>
          <t>LEAVENWORTH</t>
        </is>
      </c>
      <c r="G944" s="59" t="n"/>
      <c r="N944" s="59" t="n"/>
      <c r="O944" s="59" t="n"/>
      <c r="X944" s="61" t="n"/>
      <c r="Y944" s="61" t="n"/>
    </row>
    <row r="945" ht="14.25" customHeight="1" s="86">
      <c r="E945" s="53" t="inlineStr">
        <is>
          <t>KS</t>
        </is>
      </c>
      <c r="F945" s="53" t="inlineStr">
        <is>
          <t>LINCOLN</t>
        </is>
      </c>
      <c r="G945" s="59" t="n"/>
      <c r="N945" s="59" t="n"/>
      <c r="O945" s="59" t="n"/>
      <c r="X945" s="61" t="n"/>
      <c r="Y945" s="61" t="n"/>
    </row>
    <row r="946" ht="14.25" customHeight="1" s="86">
      <c r="E946" s="53" t="inlineStr">
        <is>
          <t>KS</t>
        </is>
      </c>
      <c r="F946" s="53" t="inlineStr">
        <is>
          <t>LINN</t>
        </is>
      </c>
      <c r="G946" s="59" t="n"/>
      <c r="N946" s="59" t="n"/>
      <c r="O946" s="59" t="n"/>
      <c r="X946" s="61" t="n"/>
      <c r="Y946" s="61" t="n"/>
    </row>
    <row r="947" ht="14.25" customHeight="1" s="86">
      <c r="E947" s="53" t="inlineStr">
        <is>
          <t>KS</t>
        </is>
      </c>
      <c r="F947" s="53" t="inlineStr">
        <is>
          <t>LOGAN</t>
        </is>
      </c>
      <c r="G947" s="59" t="n"/>
      <c r="N947" s="59" t="n"/>
      <c r="O947" s="59" t="n"/>
      <c r="X947" s="61" t="n"/>
      <c r="Y947" s="61" t="n"/>
    </row>
    <row r="948" ht="14.25" customHeight="1" s="86">
      <c r="E948" s="53" t="inlineStr">
        <is>
          <t>KS</t>
        </is>
      </c>
      <c r="F948" s="53" t="inlineStr">
        <is>
          <t>LYON</t>
        </is>
      </c>
      <c r="G948" s="59" t="n"/>
      <c r="N948" s="59" t="n"/>
      <c r="O948" s="59" t="n"/>
      <c r="X948" s="61" t="n"/>
      <c r="Y948" s="61" t="n"/>
    </row>
    <row r="949" ht="14.25" customHeight="1" s="86">
      <c r="E949" s="53" t="inlineStr">
        <is>
          <t>KS</t>
        </is>
      </c>
      <c r="F949" s="53" t="inlineStr">
        <is>
          <t>MARION</t>
        </is>
      </c>
      <c r="G949" s="59" t="n"/>
      <c r="N949" s="59" t="n"/>
      <c r="O949" s="59" t="n"/>
      <c r="X949" s="61" t="n"/>
      <c r="Y949" s="61" t="n"/>
    </row>
    <row r="950" ht="14.25" customHeight="1" s="86">
      <c r="E950" s="53" t="inlineStr">
        <is>
          <t>KS</t>
        </is>
      </c>
      <c r="F950" s="53" t="inlineStr">
        <is>
          <t>MARSHALL</t>
        </is>
      </c>
      <c r="G950" s="59" t="n"/>
      <c r="N950" s="59" t="n"/>
      <c r="O950" s="59" t="n"/>
      <c r="X950" s="61" t="n"/>
      <c r="Y950" s="61" t="n"/>
    </row>
    <row r="951" ht="14.25" customHeight="1" s="86">
      <c r="E951" s="53" t="inlineStr">
        <is>
          <t>KS</t>
        </is>
      </c>
      <c r="F951" s="53" t="inlineStr">
        <is>
          <t>MCPHERSON</t>
        </is>
      </c>
      <c r="G951" s="59" t="n"/>
      <c r="N951" s="59" t="n"/>
      <c r="O951" s="59" t="n"/>
      <c r="X951" s="61" t="n"/>
      <c r="Y951" s="61" t="n"/>
    </row>
    <row r="952" ht="14.25" customHeight="1" s="86">
      <c r="E952" s="53" t="inlineStr">
        <is>
          <t>KS</t>
        </is>
      </c>
      <c r="F952" s="53" t="inlineStr">
        <is>
          <t>MEADE</t>
        </is>
      </c>
      <c r="G952" s="59" t="n"/>
      <c r="N952" s="59" t="n"/>
      <c r="O952" s="59" t="n"/>
      <c r="X952" s="61" t="n"/>
      <c r="Y952" s="61" t="n"/>
    </row>
    <row r="953" ht="14.25" customHeight="1" s="86">
      <c r="E953" s="53" t="inlineStr">
        <is>
          <t>KS</t>
        </is>
      </c>
      <c r="F953" s="53" t="inlineStr">
        <is>
          <t>MIAMI</t>
        </is>
      </c>
      <c r="G953" s="59" t="n"/>
      <c r="N953" s="59" t="n"/>
      <c r="O953" s="59" t="n"/>
      <c r="X953" s="61" t="n"/>
      <c r="Y953" s="61" t="n"/>
    </row>
    <row r="954" ht="14.25" customHeight="1" s="86">
      <c r="E954" s="53" t="inlineStr">
        <is>
          <t>KS</t>
        </is>
      </c>
      <c r="F954" s="53" t="inlineStr">
        <is>
          <t>MITCHELL</t>
        </is>
      </c>
      <c r="G954" s="59" t="n"/>
      <c r="N954" s="59" t="n"/>
      <c r="O954" s="59" t="n"/>
      <c r="X954" s="61" t="n"/>
      <c r="Y954" s="61" t="n"/>
    </row>
    <row r="955" ht="14.25" customHeight="1" s="86">
      <c r="E955" s="53" t="inlineStr">
        <is>
          <t>KS</t>
        </is>
      </c>
      <c r="F955" s="53" t="inlineStr">
        <is>
          <t>MONTGOMERY</t>
        </is>
      </c>
      <c r="G955" s="59" t="n"/>
      <c r="N955" s="59" t="n"/>
      <c r="O955" s="59" t="n"/>
      <c r="X955" s="61" t="n"/>
      <c r="Y955" s="61" t="n"/>
    </row>
    <row r="956" ht="14.25" customHeight="1" s="86">
      <c r="E956" s="53" t="inlineStr">
        <is>
          <t>KS</t>
        </is>
      </c>
      <c r="F956" s="53" t="inlineStr">
        <is>
          <t>MORRIS</t>
        </is>
      </c>
      <c r="G956" s="59" t="n"/>
      <c r="N956" s="59" t="n"/>
      <c r="O956" s="59" t="n"/>
      <c r="X956" s="61" t="n"/>
      <c r="Y956" s="61" t="n"/>
    </row>
    <row r="957" ht="14.25" customHeight="1" s="86">
      <c r="E957" s="53" t="inlineStr">
        <is>
          <t>KS</t>
        </is>
      </c>
      <c r="F957" s="53" t="inlineStr">
        <is>
          <t>MORTON</t>
        </is>
      </c>
      <c r="G957" s="59" t="n"/>
      <c r="N957" s="59" t="n"/>
      <c r="O957" s="59" t="n"/>
      <c r="X957" s="61" t="n"/>
      <c r="Y957" s="61" t="n"/>
    </row>
    <row r="958" ht="14.25" customHeight="1" s="86">
      <c r="E958" s="53" t="inlineStr">
        <is>
          <t>KS</t>
        </is>
      </c>
      <c r="F958" s="53" t="inlineStr">
        <is>
          <t>NEMAHA</t>
        </is>
      </c>
      <c r="G958" s="59" t="n"/>
      <c r="N958" s="59" t="n"/>
      <c r="O958" s="59" t="n"/>
      <c r="X958" s="61" t="n"/>
      <c r="Y958" s="61" t="n"/>
    </row>
    <row r="959" ht="14.25" customHeight="1" s="86">
      <c r="E959" s="53" t="inlineStr">
        <is>
          <t>KS</t>
        </is>
      </c>
      <c r="F959" s="53" t="inlineStr">
        <is>
          <t>NEOSHO</t>
        </is>
      </c>
      <c r="G959" s="59" t="n"/>
      <c r="N959" s="59" t="n"/>
      <c r="O959" s="59" t="n"/>
      <c r="X959" s="61" t="n"/>
      <c r="Y959" s="61" t="n"/>
    </row>
    <row r="960" ht="14.25" customHeight="1" s="86">
      <c r="E960" s="53" t="inlineStr">
        <is>
          <t>KS</t>
        </is>
      </c>
      <c r="F960" s="53" t="inlineStr">
        <is>
          <t>NESS</t>
        </is>
      </c>
      <c r="G960" s="59" t="n"/>
      <c r="N960" s="59" t="n"/>
      <c r="O960" s="59" t="n"/>
      <c r="X960" s="61" t="n"/>
      <c r="Y960" s="61" t="n"/>
    </row>
    <row r="961" ht="14.25" customHeight="1" s="86">
      <c r="E961" s="53" t="inlineStr">
        <is>
          <t>KS</t>
        </is>
      </c>
      <c r="F961" s="53" t="inlineStr">
        <is>
          <t>NORTON</t>
        </is>
      </c>
      <c r="G961" s="59" t="n"/>
      <c r="N961" s="59" t="n"/>
      <c r="O961" s="59" t="n"/>
      <c r="X961" s="61" t="n"/>
      <c r="Y961" s="61" t="n"/>
    </row>
    <row r="962" ht="14.25" customHeight="1" s="86">
      <c r="E962" s="53" t="inlineStr">
        <is>
          <t>KS</t>
        </is>
      </c>
      <c r="F962" s="53" t="inlineStr">
        <is>
          <t>OSAGE</t>
        </is>
      </c>
      <c r="G962" s="59" t="n"/>
      <c r="N962" s="59" t="n"/>
      <c r="O962" s="59" t="n"/>
      <c r="X962" s="61" t="n"/>
      <c r="Y962" s="61" t="n"/>
    </row>
    <row r="963" ht="14.25" customHeight="1" s="86">
      <c r="E963" s="53" t="inlineStr">
        <is>
          <t>KS</t>
        </is>
      </c>
      <c r="F963" s="53" t="inlineStr">
        <is>
          <t>OSBORNE</t>
        </is>
      </c>
      <c r="G963" s="59" t="n"/>
      <c r="N963" s="59" t="n"/>
      <c r="O963" s="59" t="n"/>
      <c r="X963" s="61" t="n"/>
      <c r="Y963" s="61" t="n"/>
    </row>
    <row r="964" ht="14.25" customHeight="1" s="86">
      <c r="E964" s="53" t="inlineStr">
        <is>
          <t>KS</t>
        </is>
      </c>
      <c r="F964" s="53" t="inlineStr">
        <is>
          <t>OTTAWA</t>
        </is>
      </c>
      <c r="G964" s="59" t="n"/>
      <c r="N964" s="59" t="n"/>
      <c r="O964" s="59" t="n"/>
      <c r="X964" s="61" t="n"/>
      <c r="Y964" s="61" t="n"/>
    </row>
    <row r="965" ht="14.25" customHeight="1" s="86">
      <c r="E965" s="53" t="inlineStr">
        <is>
          <t>KS</t>
        </is>
      </c>
      <c r="F965" s="53" t="inlineStr">
        <is>
          <t>PAWNEE</t>
        </is>
      </c>
      <c r="G965" s="59" t="n"/>
      <c r="N965" s="59" t="n"/>
      <c r="O965" s="59" t="n"/>
      <c r="X965" s="61" t="n"/>
      <c r="Y965" s="61" t="n"/>
    </row>
    <row r="966" ht="14.25" customHeight="1" s="86">
      <c r="E966" s="53" t="inlineStr">
        <is>
          <t>KS</t>
        </is>
      </c>
      <c r="F966" s="53" t="inlineStr">
        <is>
          <t>PHILLIPS</t>
        </is>
      </c>
      <c r="G966" s="59" t="n"/>
      <c r="N966" s="59" t="n"/>
      <c r="O966" s="59" t="n"/>
      <c r="X966" s="61" t="n"/>
      <c r="Y966" s="61" t="n"/>
    </row>
    <row r="967" ht="14.25" customHeight="1" s="86">
      <c r="E967" s="53" t="inlineStr">
        <is>
          <t>KS</t>
        </is>
      </c>
      <c r="F967" s="53" t="inlineStr">
        <is>
          <t>POTTAWATOMIE</t>
        </is>
      </c>
      <c r="G967" s="59" t="n"/>
      <c r="N967" s="59" t="n"/>
      <c r="O967" s="59" t="n"/>
      <c r="X967" s="61" t="n"/>
      <c r="Y967" s="61" t="n"/>
    </row>
    <row r="968" ht="14.25" customHeight="1" s="86">
      <c r="E968" s="53" t="inlineStr">
        <is>
          <t>KS</t>
        </is>
      </c>
      <c r="F968" s="53" t="inlineStr">
        <is>
          <t>PRATT</t>
        </is>
      </c>
      <c r="G968" s="59" t="n"/>
      <c r="N968" s="59" t="n"/>
      <c r="O968" s="59" t="n"/>
      <c r="X968" s="61" t="n"/>
      <c r="Y968" s="61" t="n"/>
    </row>
    <row r="969" ht="14.25" customHeight="1" s="86">
      <c r="E969" s="53" t="inlineStr">
        <is>
          <t>KS</t>
        </is>
      </c>
      <c r="F969" s="53" t="inlineStr">
        <is>
          <t>RAWLINS</t>
        </is>
      </c>
      <c r="G969" s="59" t="n"/>
      <c r="N969" s="59" t="n"/>
      <c r="O969" s="59" t="n"/>
      <c r="X969" s="61" t="n"/>
      <c r="Y969" s="61" t="n"/>
    </row>
    <row r="970" ht="14.25" customHeight="1" s="86">
      <c r="E970" s="53" t="inlineStr">
        <is>
          <t>KS</t>
        </is>
      </c>
      <c r="F970" s="53" t="inlineStr">
        <is>
          <t>RENO</t>
        </is>
      </c>
      <c r="G970" s="59" t="n"/>
      <c r="N970" s="59" t="n"/>
      <c r="O970" s="59" t="n"/>
      <c r="X970" s="61" t="n"/>
      <c r="Y970" s="61" t="n"/>
    </row>
    <row r="971" ht="14.25" customHeight="1" s="86">
      <c r="E971" s="53" t="inlineStr">
        <is>
          <t>KS</t>
        </is>
      </c>
      <c r="F971" s="53" t="inlineStr">
        <is>
          <t>REPUBLIC</t>
        </is>
      </c>
      <c r="G971" s="59" t="n"/>
      <c r="N971" s="59" t="n"/>
      <c r="O971" s="59" t="n"/>
      <c r="X971" s="61" t="n"/>
      <c r="Y971" s="61" t="n"/>
    </row>
    <row r="972" ht="14.25" customHeight="1" s="86">
      <c r="E972" s="53" t="inlineStr">
        <is>
          <t>KS</t>
        </is>
      </c>
      <c r="F972" s="53" t="inlineStr">
        <is>
          <t>RICE</t>
        </is>
      </c>
      <c r="G972" s="59" t="n"/>
      <c r="N972" s="59" t="n"/>
      <c r="O972" s="59" t="n"/>
      <c r="X972" s="61" t="n"/>
      <c r="Y972" s="61" t="n"/>
    </row>
    <row r="973" ht="14.25" customHeight="1" s="86">
      <c r="E973" s="53" t="inlineStr">
        <is>
          <t>KS</t>
        </is>
      </c>
      <c r="F973" s="53" t="inlineStr">
        <is>
          <t>RILEY</t>
        </is>
      </c>
      <c r="G973" s="59" t="n"/>
      <c r="N973" s="59" t="n"/>
      <c r="O973" s="59" t="n"/>
      <c r="X973" s="61" t="n"/>
      <c r="Y973" s="61" t="n"/>
    </row>
    <row r="974" ht="14.25" customHeight="1" s="86">
      <c r="E974" s="53" t="inlineStr">
        <is>
          <t>KS</t>
        </is>
      </c>
      <c r="F974" s="53" t="inlineStr">
        <is>
          <t>ROOKS</t>
        </is>
      </c>
      <c r="G974" s="59" t="n"/>
      <c r="N974" s="59" t="n"/>
      <c r="O974" s="59" t="n"/>
      <c r="X974" s="61" t="n"/>
      <c r="Y974" s="61" t="n"/>
    </row>
    <row r="975" ht="14.25" customHeight="1" s="86">
      <c r="E975" s="53" t="inlineStr">
        <is>
          <t>KS</t>
        </is>
      </c>
      <c r="F975" s="53" t="inlineStr">
        <is>
          <t>RUSH</t>
        </is>
      </c>
      <c r="G975" s="59" t="n"/>
      <c r="N975" s="59" t="n"/>
      <c r="O975" s="59" t="n"/>
      <c r="X975" s="61" t="n"/>
      <c r="Y975" s="61" t="n"/>
    </row>
    <row r="976" ht="14.25" customHeight="1" s="86">
      <c r="E976" s="53" t="inlineStr">
        <is>
          <t>KS</t>
        </is>
      </c>
      <c r="F976" s="53" t="inlineStr">
        <is>
          <t>RUSSELL</t>
        </is>
      </c>
      <c r="G976" s="59" t="n"/>
      <c r="N976" s="59" t="n"/>
      <c r="O976" s="59" t="n"/>
      <c r="X976" s="61" t="n"/>
      <c r="Y976" s="61" t="n"/>
    </row>
    <row r="977" ht="14.25" customHeight="1" s="86">
      <c r="E977" s="53" t="inlineStr">
        <is>
          <t>KS</t>
        </is>
      </c>
      <c r="F977" s="53" t="inlineStr">
        <is>
          <t>SALINE</t>
        </is>
      </c>
      <c r="G977" s="59" t="n"/>
      <c r="N977" s="59" t="n"/>
      <c r="O977" s="59" t="n"/>
      <c r="X977" s="61" t="n"/>
      <c r="Y977" s="61" t="n"/>
    </row>
    <row r="978" ht="14.25" customHeight="1" s="86">
      <c r="E978" s="53" t="inlineStr">
        <is>
          <t>KS</t>
        </is>
      </c>
      <c r="F978" s="53" t="inlineStr">
        <is>
          <t>SCOTT</t>
        </is>
      </c>
      <c r="G978" s="59" t="n"/>
      <c r="N978" s="59" t="n"/>
      <c r="O978" s="59" t="n"/>
      <c r="X978" s="61" t="n"/>
      <c r="Y978" s="61" t="n"/>
    </row>
    <row r="979" ht="14.25" customHeight="1" s="86">
      <c r="E979" s="53" t="inlineStr">
        <is>
          <t>KS</t>
        </is>
      </c>
      <c r="F979" s="53" t="inlineStr">
        <is>
          <t>SEDGWICK</t>
        </is>
      </c>
      <c r="G979" s="59" t="n"/>
      <c r="N979" s="59" t="n"/>
      <c r="O979" s="59" t="n"/>
      <c r="X979" s="61" t="n"/>
      <c r="Y979" s="61" t="n"/>
    </row>
    <row r="980" ht="14.25" customHeight="1" s="86">
      <c r="E980" s="53" t="inlineStr">
        <is>
          <t>KS</t>
        </is>
      </c>
      <c r="F980" s="53" t="inlineStr">
        <is>
          <t>SEWARD</t>
        </is>
      </c>
      <c r="G980" s="59" t="n"/>
      <c r="N980" s="59" t="n"/>
      <c r="O980" s="59" t="n"/>
      <c r="X980" s="61" t="n"/>
      <c r="Y980" s="61" t="n"/>
    </row>
    <row r="981" ht="14.25" customHeight="1" s="86">
      <c r="E981" s="53" t="inlineStr">
        <is>
          <t>KS</t>
        </is>
      </c>
      <c r="F981" s="53" t="inlineStr">
        <is>
          <t>SHAWNEE</t>
        </is>
      </c>
      <c r="G981" s="59" t="n"/>
      <c r="N981" s="59" t="n"/>
      <c r="O981" s="59" t="n"/>
      <c r="X981" s="61" t="n"/>
      <c r="Y981" s="61" t="n"/>
    </row>
    <row r="982" ht="14.25" customHeight="1" s="86">
      <c r="E982" s="53" t="inlineStr">
        <is>
          <t>KS</t>
        </is>
      </c>
      <c r="F982" s="53" t="inlineStr">
        <is>
          <t>SHERIDAN</t>
        </is>
      </c>
      <c r="G982" s="59" t="n"/>
      <c r="N982" s="59" t="n"/>
      <c r="O982" s="59" t="n"/>
      <c r="X982" s="61" t="n"/>
      <c r="Y982" s="61" t="n"/>
    </row>
    <row r="983" ht="14.25" customHeight="1" s="86">
      <c r="E983" s="53" t="inlineStr">
        <is>
          <t>KS</t>
        </is>
      </c>
      <c r="F983" s="53" t="inlineStr">
        <is>
          <t>SHERMAN</t>
        </is>
      </c>
      <c r="G983" s="59" t="n"/>
      <c r="N983" s="59" t="n"/>
      <c r="O983" s="59" t="n"/>
      <c r="X983" s="61" t="n"/>
      <c r="Y983" s="61" t="n"/>
    </row>
    <row r="984" ht="14.25" customHeight="1" s="86">
      <c r="E984" s="53" t="inlineStr">
        <is>
          <t>KS</t>
        </is>
      </c>
      <c r="F984" s="53" t="inlineStr">
        <is>
          <t>SMITH</t>
        </is>
      </c>
      <c r="G984" s="59" t="n"/>
      <c r="N984" s="59" t="n"/>
      <c r="O984" s="59" t="n"/>
      <c r="X984" s="61" t="n"/>
      <c r="Y984" s="61" t="n"/>
    </row>
    <row r="985" ht="14.25" customHeight="1" s="86">
      <c r="E985" s="53" t="inlineStr">
        <is>
          <t>KS</t>
        </is>
      </c>
      <c r="F985" s="53" t="inlineStr">
        <is>
          <t>STAFFORD</t>
        </is>
      </c>
      <c r="G985" s="59" t="n"/>
      <c r="N985" s="59" t="n"/>
      <c r="O985" s="59" t="n"/>
      <c r="X985" s="61" t="n"/>
      <c r="Y985" s="61" t="n"/>
    </row>
    <row r="986" ht="14.25" customHeight="1" s="86">
      <c r="E986" s="53" t="inlineStr">
        <is>
          <t>KS</t>
        </is>
      </c>
      <c r="F986" s="53" t="inlineStr">
        <is>
          <t>STANTON</t>
        </is>
      </c>
      <c r="G986" s="59" t="n"/>
      <c r="N986" s="59" t="n"/>
      <c r="O986" s="59" t="n"/>
      <c r="X986" s="61" t="n"/>
      <c r="Y986" s="61" t="n"/>
    </row>
    <row r="987" ht="14.25" customHeight="1" s="86">
      <c r="E987" s="53" t="inlineStr">
        <is>
          <t>KS</t>
        </is>
      </c>
      <c r="F987" s="53" t="inlineStr">
        <is>
          <t>STEVENS</t>
        </is>
      </c>
      <c r="G987" s="59" t="n"/>
      <c r="N987" s="59" t="n"/>
      <c r="O987" s="59" t="n"/>
      <c r="X987" s="61" t="n"/>
      <c r="Y987" s="61" t="n"/>
    </row>
    <row r="988" ht="14.25" customHeight="1" s="86">
      <c r="E988" s="53" t="inlineStr">
        <is>
          <t>KS</t>
        </is>
      </c>
      <c r="F988" s="53" t="inlineStr">
        <is>
          <t>SUMNER</t>
        </is>
      </c>
      <c r="G988" s="59" t="n"/>
      <c r="N988" s="59" t="n"/>
      <c r="O988" s="59" t="n"/>
      <c r="X988" s="61" t="n"/>
      <c r="Y988" s="61" t="n"/>
    </row>
    <row r="989" ht="14.25" customHeight="1" s="86">
      <c r="E989" s="53" t="inlineStr">
        <is>
          <t>KS</t>
        </is>
      </c>
      <c r="F989" s="53" t="inlineStr">
        <is>
          <t>THOMAS</t>
        </is>
      </c>
      <c r="G989" s="59" t="n"/>
      <c r="N989" s="59" t="n"/>
      <c r="O989" s="59" t="n"/>
      <c r="X989" s="61" t="n"/>
      <c r="Y989" s="61" t="n"/>
    </row>
    <row r="990" ht="14.25" customHeight="1" s="86">
      <c r="E990" s="53" t="inlineStr">
        <is>
          <t>KS</t>
        </is>
      </c>
      <c r="F990" s="53" t="inlineStr">
        <is>
          <t>TREGO</t>
        </is>
      </c>
      <c r="G990" s="59" t="n"/>
      <c r="N990" s="59" t="n"/>
      <c r="O990" s="59" t="n"/>
      <c r="X990" s="61" t="n"/>
      <c r="Y990" s="61" t="n"/>
    </row>
    <row r="991" ht="14.25" customHeight="1" s="86">
      <c r="E991" s="53" t="inlineStr">
        <is>
          <t>KS</t>
        </is>
      </c>
      <c r="F991" s="53" t="inlineStr">
        <is>
          <t>WABAUNSEE</t>
        </is>
      </c>
      <c r="G991" s="59" t="n"/>
      <c r="N991" s="59" t="n"/>
      <c r="O991" s="59" t="n"/>
      <c r="X991" s="61" t="n"/>
      <c r="Y991" s="61" t="n"/>
    </row>
    <row r="992" ht="14.25" customHeight="1" s="86">
      <c r="E992" s="53" t="inlineStr">
        <is>
          <t>KS</t>
        </is>
      </c>
      <c r="F992" s="53" t="inlineStr">
        <is>
          <t>WALLACE</t>
        </is>
      </c>
      <c r="G992" s="59" t="n"/>
      <c r="N992" s="59" t="n"/>
      <c r="O992" s="59" t="n"/>
      <c r="X992" s="61" t="n"/>
      <c r="Y992" s="61" t="n"/>
    </row>
    <row r="993" ht="14.25" customHeight="1" s="86">
      <c r="E993" s="53" t="inlineStr">
        <is>
          <t>KS</t>
        </is>
      </c>
      <c r="F993" s="53" t="inlineStr">
        <is>
          <t>WASHINGTON</t>
        </is>
      </c>
      <c r="G993" s="59" t="n"/>
      <c r="N993" s="59" t="n"/>
      <c r="O993" s="59" t="n"/>
      <c r="X993" s="61" t="n"/>
      <c r="Y993" s="61" t="n"/>
    </row>
    <row r="994" ht="14.25" customHeight="1" s="86">
      <c r="E994" s="53" t="inlineStr">
        <is>
          <t>KS</t>
        </is>
      </c>
      <c r="F994" s="53" t="inlineStr">
        <is>
          <t>WICHITA</t>
        </is>
      </c>
      <c r="G994" s="59" t="n"/>
      <c r="N994" s="59" t="n"/>
      <c r="O994" s="59" t="n"/>
      <c r="X994" s="61" t="n"/>
      <c r="Y994" s="61" t="n"/>
    </row>
    <row r="995" ht="14.25" customHeight="1" s="86">
      <c r="E995" s="53" t="inlineStr">
        <is>
          <t>KS</t>
        </is>
      </c>
      <c r="F995" s="53" t="inlineStr">
        <is>
          <t>WILSON</t>
        </is>
      </c>
      <c r="G995" s="59" t="n"/>
      <c r="N995" s="59" t="n"/>
      <c r="O995" s="59" t="n"/>
      <c r="X995" s="61" t="n"/>
      <c r="Y995" s="61" t="n"/>
    </row>
    <row r="996" ht="14.25" customHeight="1" s="86">
      <c r="E996" s="53" t="inlineStr">
        <is>
          <t>KS</t>
        </is>
      </c>
      <c r="F996" s="53" t="inlineStr">
        <is>
          <t>WOODSON</t>
        </is>
      </c>
      <c r="G996" s="59" t="n"/>
      <c r="N996" s="59" t="n"/>
      <c r="O996" s="59" t="n"/>
      <c r="X996" s="61" t="n"/>
      <c r="Y996" s="61" t="n"/>
    </row>
    <row r="997" ht="14.25" customHeight="1" s="86">
      <c r="E997" s="53" t="inlineStr">
        <is>
          <t>KS</t>
        </is>
      </c>
      <c r="F997" s="53" t="inlineStr">
        <is>
          <t>WYANDOTTE</t>
        </is>
      </c>
      <c r="G997" s="59" t="n"/>
      <c r="N997" s="59" t="n"/>
      <c r="O997" s="59" t="n"/>
      <c r="X997" s="61" t="n"/>
      <c r="Y997" s="61" t="n"/>
    </row>
    <row r="998" ht="14.25" customHeight="1" s="86">
      <c r="E998" s="53" t="inlineStr">
        <is>
          <t>KY</t>
        </is>
      </c>
      <c r="F998" s="53" t="inlineStr">
        <is>
          <t>ADAIR</t>
        </is>
      </c>
      <c r="G998" s="59" t="n"/>
      <c r="N998" s="59" t="n"/>
      <c r="O998" s="59" t="n"/>
      <c r="X998" s="61" t="n"/>
      <c r="Y998" s="61" t="n"/>
    </row>
    <row r="999" ht="14.25" customHeight="1" s="86">
      <c r="E999" s="53" t="inlineStr">
        <is>
          <t>KY</t>
        </is>
      </c>
      <c r="F999" s="53" t="inlineStr">
        <is>
          <t>ALLEN</t>
        </is>
      </c>
      <c r="G999" s="59" t="n"/>
      <c r="N999" s="59" t="n"/>
      <c r="O999" s="59" t="n"/>
      <c r="X999" s="61" t="n"/>
      <c r="Y999" s="61" t="n"/>
    </row>
    <row r="1000" ht="14.25" customHeight="1" s="86">
      <c r="E1000" s="53" t="inlineStr">
        <is>
          <t>KY</t>
        </is>
      </c>
      <c r="F1000" s="53" t="inlineStr">
        <is>
          <t>ANDERSON</t>
        </is>
      </c>
      <c r="G1000" s="59" t="n"/>
      <c r="N1000" s="59" t="n"/>
      <c r="O1000" s="59" t="n"/>
      <c r="X1000" s="61" t="n"/>
      <c r="Y1000" s="61" t="n"/>
    </row>
    <row r="1001" ht="14.25" customHeight="1" s="86">
      <c r="E1001" s="53" t="inlineStr">
        <is>
          <t>KY</t>
        </is>
      </c>
      <c r="F1001" s="53" t="inlineStr">
        <is>
          <t>BALLARD</t>
        </is>
      </c>
      <c r="G1001" s="59" t="n"/>
      <c r="N1001" s="59" t="n"/>
      <c r="O1001" s="59" t="n"/>
      <c r="X1001" s="61" t="n"/>
      <c r="Y1001" s="61" t="n"/>
    </row>
    <row r="1002" ht="14.25" customHeight="1" s="86">
      <c r="E1002" s="53" t="inlineStr">
        <is>
          <t>KY</t>
        </is>
      </c>
      <c r="F1002" s="53" t="inlineStr">
        <is>
          <t>BARREN</t>
        </is>
      </c>
      <c r="G1002" s="59" t="n"/>
      <c r="N1002" s="59" t="n"/>
      <c r="O1002" s="59" t="n"/>
      <c r="X1002" s="61" t="n"/>
      <c r="Y1002" s="61" t="n"/>
    </row>
    <row r="1003" ht="14.25" customHeight="1" s="86">
      <c r="E1003" s="53" t="inlineStr">
        <is>
          <t>KY</t>
        </is>
      </c>
      <c r="F1003" s="53" t="inlineStr">
        <is>
          <t>BATH</t>
        </is>
      </c>
      <c r="G1003" s="59" t="n"/>
      <c r="N1003" s="59" t="n"/>
      <c r="O1003" s="59" t="n"/>
      <c r="X1003" s="61" t="n"/>
      <c r="Y1003" s="61" t="n"/>
    </row>
    <row r="1004" ht="14.25" customHeight="1" s="86">
      <c r="E1004" s="53" t="inlineStr">
        <is>
          <t>KY</t>
        </is>
      </c>
      <c r="F1004" s="53" t="inlineStr">
        <is>
          <t>BELL</t>
        </is>
      </c>
      <c r="G1004" s="59" t="n"/>
      <c r="N1004" s="59" t="n"/>
      <c r="O1004" s="59" t="n"/>
      <c r="X1004" s="61" t="n"/>
      <c r="Y1004" s="61" t="n"/>
    </row>
    <row r="1005" ht="14.25" customHeight="1" s="86">
      <c r="E1005" s="53" t="inlineStr">
        <is>
          <t>KY</t>
        </is>
      </c>
      <c r="F1005" s="53" t="inlineStr">
        <is>
          <t>BOONE</t>
        </is>
      </c>
      <c r="G1005" s="59" t="n"/>
      <c r="N1005" s="59" t="n"/>
      <c r="O1005" s="59" t="n"/>
      <c r="X1005" s="61" t="n"/>
      <c r="Y1005" s="61" t="n"/>
    </row>
    <row r="1006" ht="14.25" customHeight="1" s="86">
      <c r="E1006" s="53" t="inlineStr">
        <is>
          <t>KY</t>
        </is>
      </c>
      <c r="F1006" s="53" t="inlineStr">
        <is>
          <t>BOURBON</t>
        </is>
      </c>
      <c r="G1006" s="59" t="n"/>
      <c r="N1006" s="59" t="n"/>
      <c r="O1006" s="59" t="n"/>
      <c r="X1006" s="61" t="n"/>
      <c r="Y1006" s="61" t="n"/>
    </row>
    <row r="1007" ht="14.25" customHeight="1" s="86">
      <c r="E1007" s="53" t="inlineStr">
        <is>
          <t>KY</t>
        </is>
      </c>
      <c r="F1007" s="53" t="inlineStr">
        <is>
          <t>BOYD</t>
        </is>
      </c>
      <c r="G1007" s="59" t="n"/>
      <c r="N1007" s="59" t="n"/>
      <c r="O1007" s="59" t="n"/>
      <c r="X1007" s="61" t="n"/>
      <c r="Y1007" s="61" t="n"/>
    </row>
    <row r="1008" ht="14.25" customHeight="1" s="86">
      <c r="E1008" s="53" t="inlineStr">
        <is>
          <t>KY</t>
        </is>
      </c>
      <c r="F1008" s="53" t="inlineStr">
        <is>
          <t>BOYLE</t>
        </is>
      </c>
      <c r="G1008" s="59" t="n"/>
      <c r="N1008" s="59" t="n"/>
      <c r="O1008" s="59" t="n"/>
      <c r="X1008" s="61" t="n"/>
      <c r="Y1008" s="61" t="n"/>
    </row>
    <row r="1009" ht="14.25" customHeight="1" s="86">
      <c r="E1009" s="53" t="inlineStr">
        <is>
          <t>KY</t>
        </is>
      </c>
      <c r="F1009" s="53" t="inlineStr">
        <is>
          <t>BRACKEN</t>
        </is>
      </c>
      <c r="G1009" s="59" t="n"/>
      <c r="N1009" s="59" t="n"/>
      <c r="O1009" s="59" t="n"/>
      <c r="X1009" s="61" t="n"/>
      <c r="Y1009" s="61" t="n"/>
    </row>
    <row r="1010" ht="14.25" customHeight="1" s="86">
      <c r="E1010" s="53" t="inlineStr">
        <is>
          <t>KY</t>
        </is>
      </c>
      <c r="F1010" s="53" t="inlineStr">
        <is>
          <t>BREATHITT</t>
        </is>
      </c>
      <c r="G1010" s="59" t="n"/>
      <c r="N1010" s="59" t="n"/>
      <c r="O1010" s="59" t="n"/>
      <c r="X1010" s="61" t="n"/>
      <c r="Y1010" s="61" t="n"/>
    </row>
    <row r="1011" ht="14.25" customHeight="1" s="86">
      <c r="E1011" s="53" t="inlineStr">
        <is>
          <t>KY</t>
        </is>
      </c>
      <c r="F1011" s="53" t="inlineStr">
        <is>
          <t>BRECKINRIDGE</t>
        </is>
      </c>
      <c r="G1011" s="59" t="n"/>
      <c r="N1011" s="59" t="n"/>
      <c r="O1011" s="59" t="n"/>
      <c r="X1011" s="61" t="n"/>
      <c r="Y1011" s="61" t="n"/>
    </row>
    <row r="1012" ht="14.25" customHeight="1" s="86">
      <c r="E1012" s="53" t="inlineStr">
        <is>
          <t>KY</t>
        </is>
      </c>
      <c r="F1012" s="53" t="inlineStr">
        <is>
          <t>BULLITT</t>
        </is>
      </c>
      <c r="G1012" s="59" t="n"/>
      <c r="N1012" s="59" t="n"/>
      <c r="O1012" s="59" t="n"/>
      <c r="X1012" s="61" t="n"/>
      <c r="Y1012" s="61" t="n"/>
    </row>
    <row r="1013" ht="14.25" customHeight="1" s="86">
      <c r="E1013" s="53" t="inlineStr">
        <is>
          <t>KY</t>
        </is>
      </c>
      <c r="F1013" s="53" t="inlineStr">
        <is>
          <t>BUTLER</t>
        </is>
      </c>
      <c r="G1013" s="59" t="n"/>
      <c r="N1013" s="59" t="n"/>
      <c r="O1013" s="59" t="n"/>
      <c r="X1013" s="61" t="n"/>
      <c r="Y1013" s="61" t="n"/>
    </row>
    <row r="1014" ht="14.25" customHeight="1" s="86">
      <c r="E1014" s="53" t="inlineStr">
        <is>
          <t>KY</t>
        </is>
      </c>
      <c r="F1014" s="53" t="inlineStr">
        <is>
          <t>CALDWELL</t>
        </is>
      </c>
      <c r="G1014" s="59" t="n"/>
      <c r="N1014" s="59" t="n"/>
      <c r="O1014" s="59" t="n"/>
      <c r="X1014" s="61" t="n"/>
      <c r="Y1014" s="61" t="n"/>
    </row>
    <row r="1015" ht="14.25" customHeight="1" s="86">
      <c r="E1015" s="53" t="inlineStr">
        <is>
          <t>KY</t>
        </is>
      </c>
      <c r="F1015" s="53" t="inlineStr">
        <is>
          <t>CALLOWAY</t>
        </is>
      </c>
      <c r="G1015" s="59" t="n"/>
      <c r="N1015" s="59" t="n"/>
      <c r="O1015" s="59" t="n"/>
      <c r="X1015" s="61" t="n"/>
      <c r="Y1015" s="61" t="n"/>
    </row>
    <row r="1016" ht="14.25" customHeight="1" s="86">
      <c r="E1016" s="53" t="inlineStr">
        <is>
          <t>KY</t>
        </is>
      </c>
      <c r="F1016" s="53" t="inlineStr">
        <is>
          <t>CAMPBELL</t>
        </is>
      </c>
      <c r="G1016" s="59" t="n"/>
      <c r="N1016" s="59" t="n"/>
      <c r="O1016" s="59" t="n"/>
      <c r="X1016" s="61" t="n"/>
      <c r="Y1016" s="61" t="n"/>
    </row>
    <row r="1017" ht="14.25" customHeight="1" s="86">
      <c r="E1017" s="53" t="inlineStr">
        <is>
          <t>KY</t>
        </is>
      </c>
      <c r="F1017" s="53" t="inlineStr">
        <is>
          <t>CARLISLE</t>
        </is>
      </c>
      <c r="G1017" s="59" t="n"/>
      <c r="N1017" s="59" t="n"/>
      <c r="O1017" s="59" t="n"/>
      <c r="X1017" s="61" t="n"/>
      <c r="Y1017" s="61" t="n"/>
    </row>
    <row r="1018" ht="14.25" customHeight="1" s="86">
      <c r="E1018" s="53" t="inlineStr">
        <is>
          <t>KY</t>
        </is>
      </c>
      <c r="F1018" s="53" t="inlineStr">
        <is>
          <t>CARROLL</t>
        </is>
      </c>
      <c r="G1018" s="59" t="n"/>
      <c r="N1018" s="59" t="n"/>
      <c r="O1018" s="59" t="n"/>
      <c r="X1018" s="61" t="n"/>
      <c r="Y1018" s="61" t="n"/>
    </row>
    <row r="1019" ht="14.25" customHeight="1" s="86">
      <c r="E1019" s="53" t="inlineStr">
        <is>
          <t>KY</t>
        </is>
      </c>
      <c r="F1019" s="53" t="inlineStr">
        <is>
          <t>CARTER</t>
        </is>
      </c>
      <c r="G1019" s="59" t="n"/>
      <c r="N1019" s="59" t="n"/>
      <c r="O1019" s="59" t="n"/>
      <c r="X1019" s="61" t="n"/>
      <c r="Y1019" s="61" t="n"/>
    </row>
    <row r="1020" ht="14.25" customHeight="1" s="86">
      <c r="E1020" s="53" t="inlineStr">
        <is>
          <t>KY</t>
        </is>
      </c>
      <c r="F1020" s="53" t="inlineStr">
        <is>
          <t>CASEY</t>
        </is>
      </c>
      <c r="G1020" s="59" t="n"/>
      <c r="N1020" s="59" t="n"/>
      <c r="O1020" s="59" t="n"/>
      <c r="X1020" s="61" t="n"/>
      <c r="Y1020" s="61" t="n"/>
    </row>
    <row r="1021" ht="14.25" customHeight="1" s="86">
      <c r="E1021" s="53" t="inlineStr">
        <is>
          <t>KY</t>
        </is>
      </c>
      <c r="F1021" s="53" t="inlineStr">
        <is>
          <t>CHRISTIAN</t>
        </is>
      </c>
      <c r="G1021" s="59" t="n"/>
      <c r="N1021" s="59" t="n"/>
      <c r="O1021" s="59" t="n"/>
      <c r="X1021" s="61" t="n"/>
      <c r="Y1021" s="61" t="n"/>
    </row>
    <row r="1022" ht="14.25" customHeight="1" s="86">
      <c r="E1022" s="53" t="inlineStr">
        <is>
          <t>KY</t>
        </is>
      </c>
      <c r="F1022" s="53" t="inlineStr">
        <is>
          <t>CLARK</t>
        </is>
      </c>
      <c r="G1022" s="59" t="n"/>
      <c r="N1022" s="59" t="n"/>
      <c r="O1022" s="59" t="n"/>
      <c r="X1022" s="61" t="n"/>
      <c r="Y1022" s="61" t="n"/>
    </row>
    <row r="1023" ht="14.25" customHeight="1" s="86">
      <c r="E1023" s="53" t="inlineStr">
        <is>
          <t>KY</t>
        </is>
      </c>
      <c r="F1023" s="53" t="inlineStr">
        <is>
          <t>CLAY</t>
        </is>
      </c>
      <c r="G1023" s="59" t="n"/>
      <c r="N1023" s="59" t="n"/>
      <c r="O1023" s="59" t="n"/>
      <c r="X1023" s="61" t="n"/>
      <c r="Y1023" s="61" t="n"/>
    </row>
    <row r="1024" ht="14.25" customHeight="1" s="86">
      <c r="E1024" s="53" t="inlineStr">
        <is>
          <t>KY</t>
        </is>
      </c>
      <c r="F1024" s="53" t="inlineStr">
        <is>
          <t>CLINTON</t>
        </is>
      </c>
      <c r="G1024" s="59" t="n"/>
      <c r="N1024" s="59" t="n"/>
      <c r="O1024" s="59" t="n"/>
      <c r="X1024" s="61" t="n"/>
      <c r="Y1024" s="61" t="n"/>
    </row>
    <row r="1025" ht="14.25" customHeight="1" s="86">
      <c r="E1025" s="53" t="inlineStr">
        <is>
          <t>KY</t>
        </is>
      </c>
      <c r="F1025" s="53" t="inlineStr">
        <is>
          <t>CRITTENDEN</t>
        </is>
      </c>
      <c r="G1025" s="59" t="n"/>
      <c r="N1025" s="59" t="n"/>
      <c r="O1025" s="59" t="n"/>
      <c r="X1025" s="61" t="n"/>
      <c r="Y1025" s="61" t="n"/>
    </row>
    <row r="1026" ht="14.25" customHeight="1" s="86">
      <c r="E1026" s="53" t="inlineStr">
        <is>
          <t>KY</t>
        </is>
      </c>
      <c r="F1026" s="53" t="inlineStr">
        <is>
          <t>CUMBERLAND</t>
        </is>
      </c>
      <c r="G1026" s="59" t="n"/>
      <c r="N1026" s="59" t="n"/>
      <c r="O1026" s="59" t="n"/>
      <c r="X1026" s="61" t="n"/>
      <c r="Y1026" s="61" t="n"/>
    </row>
    <row r="1027" ht="14.25" customHeight="1" s="86">
      <c r="E1027" s="53" t="inlineStr">
        <is>
          <t>KY</t>
        </is>
      </c>
      <c r="F1027" s="53" t="inlineStr">
        <is>
          <t>DAVIESS</t>
        </is>
      </c>
      <c r="G1027" s="59" t="n"/>
      <c r="N1027" s="59" t="n"/>
      <c r="O1027" s="59" t="n"/>
      <c r="X1027" s="61" t="n"/>
      <c r="Y1027" s="61" t="n"/>
    </row>
    <row r="1028" ht="14.25" customHeight="1" s="86">
      <c r="E1028" s="53" t="inlineStr">
        <is>
          <t>KY</t>
        </is>
      </c>
      <c r="F1028" s="53" t="inlineStr">
        <is>
          <t>EDMONSON</t>
        </is>
      </c>
      <c r="G1028" s="59" t="n"/>
      <c r="N1028" s="59" t="n"/>
      <c r="O1028" s="59" t="n"/>
      <c r="X1028" s="61" t="n"/>
      <c r="Y1028" s="61" t="n"/>
    </row>
    <row r="1029" ht="14.25" customHeight="1" s="86">
      <c r="E1029" s="53" t="inlineStr">
        <is>
          <t>KY</t>
        </is>
      </c>
      <c r="F1029" s="53" t="inlineStr">
        <is>
          <t>ELLIOTT</t>
        </is>
      </c>
      <c r="G1029" s="59" t="n"/>
      <c r="N1029" s="59" t="n"/>
      <c r="O1029" s="59" t="n"/>
      <c r="X1029" s="61" t="n"/>
      <c r="Y1029" s="61" t="n"/>
    </row>
    <row r="1030" ht="14.25" customHeight="1" s="86">
      <c r="E1030" s="53" t="inlineStr">
        <is>
          <t>KY</t>
        </is>
      </c>
      <c r="F1030" s="53" t="inlineStr">
        <is>
          <t>ESTILL</t>
        </is>
      </c>
      <c r="G1030" s="59" t="n"/>
      <c r="N1030" s="59" t="n"/>
      <c r="O1030" s="59" t="n"/>
      <c r="X1030" s="61" t="n"/>
      <c r="Y1030" s="61" t="n"/>
    </row>
    <row r="1031" ht="14.25" customHeight="1" s="86">
      <c r="E1031" s="53" t="inlineStr">
        <is>
          <t>KY</t>
        </is>
      </c>
      <c r="F1031" s="53" t="inlineStr">
        <is>
          <t>FAYETTE</t>
        </is>
      </c>
      <c r="G1031" s="59" t="n"/>
      <c r="N1031" s="59" t="n"/>
      <c r="O1031" s="59" t="n"/>
      <c r="X1031" s="61" t="n"/>
      <c r="Y1031" s="61" t="n"/>
    </row>
    <row r="1032" ht="14.25" customHeight="1" s="86">
      <c r="E1032" s="53" t="inlineStr">
        <is>
          <t>KY</t>
        </is>
      </c>
      <c r="F1032" s="53" t="inlineStr">
        <is>
          <t>FLEMING</t>
        </is>
      </c>
      <c r="G1032" s="59" t="n"/>
      <c r="N1032" s="59" t="n"/>
      <c r="O1032" s="59" t="n"/>
      <c r="X1032" s="61" t="n"/>
      <c r="Y1032" s="61" t="n"/>
    </row>
    <row r="1033" ht="14.25" customHeight="1" s="86">
      <c r="E1033" s="53" t="inlineStr">
        <is>
          <t>KY</t>
        </is>
      </c>
      <c r="F1033" s="53" t="inlineStr">
        <is>
          <t>FLOYD</t>
        </is>
      </c>
      <c r="G1033" s="59" t="n"/>
      <c r="N1033" s="59" t="n"/>
      <c r="O1033" s="59" t="n"/>
      <c r="X1033" s="61" t="n"/>
      <c r="Y1033" s="61" t="n"/>
    </row>
    <row r="1034" ht="14.25" customHeight="1" s="86">
      <c r="E1034" s="53" t="inlineStr">
        <is>
          <t>KY</t>
        </is>
      </c>
      <c r="F1034" s="53" t="inlineStr">
        <is>
          <t>FRANKLIN</t>
        </is>
      </c>
      <c r="G1034" s="59" t="n"/>
      <c r="N1034" s="59" t="n"/>
      <c r="O1034" s="59" t="n"/>
      <c r="X1034" s="61" t="n"/>
      <c r="Y1034" s="61" t="n"/>
    </row>
    <row r="1035" ht="14.25" customHeight="1" s="86">
      <c r="E1035" s="53" t="inlineStr">
        <is>
          <t>KY</t>
        </is>
      </c>
      <c r="F1035" s="53" t="inlineStr">
        <is>
          <t>FULTON</t>
        </is>
      </c>
      <c r="G1035" s="59" t="n"/>
      <c r="N1035" s="59" t="n"/>
      <c r="O1035" s="59" t="n"/>
      <c r="X1035" s="61" t="n"/>
      <c r="Y1035" s="61" t="n"/>
    </row>
    <row r="1036" ht="14.25" customHeight="1" s="86">
      <c r="E1036" s="53" t="inlineStr">
        <is>
          <t>KY</t>
        </is>
      </c>
      <c r="F1036" s="53" t="inlineStr">
        <is>
          <t>GALLATIN</t>
        </is>
      </c>
      <c r="G1036" s="59" t="n"/>
      <c r="N1036" s="59" t="n"/>
      <c r="O1036" s="59" t="n"/>
      <c r="X1036" s="61" t="n"/>
      <c r="Y1036" s="61" t="n"/>
    </row>
    <row r="1037" ht="14.25" customHeight="1" s="86">
      <c r="E1037" s="53" t="inlineStr">
        <is>
          <t>KY</t>
        </is>
      </c>
      <c r="F1037" s="53" t="inlineStr">
        <is>
          <t>GARRARD</t>
        </is>
      </c>
      <c r="G1037" s="59" t="n"/>
      <c r="N1037" s="59" t="n"/>
      <c r="O1037" s="59" t="n"/>
      <c r="X1037" s="61" t="n"/>
      <c r="Y1037" s="61" t="n"/>
    </row>
    <row r="1038" ht="14.25" customHeight="1" s="86">
      <c r="E1038" s="53" t="inlineStr">
        <is>
          <t>KY</t>
        </is>
      </c>
      <c r="F1038" s="53" t="inlineStr">
        <is>
          <t>GRANT</t>
        </is>
      </c>
      <c r="G1038" s="59" t="n"/>
      <c r="N1038" s="59" t="n"/>
      <c r="O1038" s="59" t="n"/>
      <c r="X1038" s="61" t="n"/>
      <c r="Y1038" s="61" t="n"/>
    </row>
    <row r="1039" ht="14.25" customHeight="1" s="86">
      <c r="E1039" s="53" t="inlineStr">
        <is>
          <t>KY</t>
        </is>
      </c>
      <c r="F1039" s="53" t="inlineStr">
        <is>
          <t>GRAVES</t>
        </is>
      </c>
      <c r="G1039" s="59" t="n"/>
      <c r="N1039" s="59" t="n"/>
      <c r="O1039" s="59" t="n"/>
      <c r="X1039" s="61" t="n"/>
      <c r="Y1039" s="61" t="n"/>
    </row>
    <row r="1040" ht="14.25" customHeight="1" s="86">
      <c r="E1040" s="53" t="inlineStr">
        <is>
          <t>KY</t>
        </is>
      </c>
      <c r="F1040" s="53" t="inlineStr">
        <is>
          <t>GRAYSON</t>
        </is>
      </c>
      <c r="G1040" s="59" t="n"/>
      <c r="N1040" s="59" t="n"/>
      <c r="O1040" s="59" t="n"/>
      <c r="X1040" s="61" t="n"/>
      <c r="Y1040" s="61" t="n"/>
    </row>
    <row r="1041" ht="14.25" customHeight="1" s="86">
      <c r="E1041" s="53" t="inlineStr">
        <is>
          <t>KY</t>
        </is>
      </c>
      <c r="F1041" s="53" t="inlineStr">
        <is>
          <t>GREEN</t>
        </is>
      </c>
      <c r="G1041" s="59" t="n"/>
      <c r="N1041" s="59" t="n"/>
      <c r="O1041" s="59" t="n"/>
      <c r="X1041" s="61" t="n"/>
      <c r="Y1041" s="61" t="n"/>
    </row>
    <row r="1042" ht="14.25" customHeight="1" s="86">
      <c r="E1042" s="53" t="inlineStr">
        <is>
          <t>KY</t>
        </is>
      </c>
      <c r="F1042" s="53" t="inlineStr">
        <is>
          <t>GREENUP</t>
        </is>
      </c>
      <c r="G1042" s="59" t="n"/>
      <c r="N1042" s="59" t="n"/>
      <c r="O1042" s="59" t="n"/>
      <c r="X1042" s="61" t="n"/>
      <c r="Y1042" s="61" t="n"/>
    </row>
    <row r="1043" ht="14.25" customHeight="1" s="86">
      <c r="E1043" s="53" t="inlineStr">
        <is>
          <t>KY</t>
        </is>
      </c>
      <c r="F1043" s="53" t="inlineStr">
        <is>
          <t>HANCOCK</t>
        </is>
      </c>
      <c r="G1043" s="59" t="n"/>
      <c r="N1043" s="59" t="n"/>
      <c r="O1043" s="59" t="n"/>
      <c r="X1043" s="61" t="n"/>
      <c r="Y1043" s="61" t="n"/>
    </row>
    <row r="1044" ht="14.25" customHeight="1" s="86">
      <c r="E1044" s="53" t="inlineStr">
        <is>
          <t>KY</t>
        </is>
      </c>
      <c r="F1044" s="53" t="inlineStr">
        <is>
          <t>HARDIN</t>
        </is>
      </c>
      <c r="G1044" s="59" t="n"/>
      <c r="N1044" s="59" t="n"/>
      <c r="O1044" s="59" t="n"/>
      <c r="X1044" s="61" t="n"/>
      <c r="Y1044" s="61" t="n"/>
    </row>
    <row r="1045" ht="14.25" customHeight="1" s="86">
      <c r="E1045" s="53" t="inlineStr">
        <is>
          <t>KY</t>
        </is>
      </c>
      <c r="F1045" s="53" t="inlineStr">
        <is>
          <t>HARLAN</t>
        </is>
      </c>
      <c r="G1045" s="59" t="n"/>
      <c r="N1045" s="59" t="n"/>
      <c r="O1045" s="59" t="n"/>
      <c r="X1045" s="61" t="n"/>
      <c r="Y1045" s="61" t="n"/>
    </row>
    <row r="1046" ht="14.25" customHeight="1" s="86">
      <c r="E1046" s="53" t="inlineStr">
        <is>
          <t>KY</t>
        </is>
      </c>
      <c r="F1046" s="53" t="inlineStr">
        <is>
          <t>HARRISON</t>
        </is>
      </c>
      <c r="G1046" s="59" t="n"/>
      <c r="N1046" s="59" t="n"/>
      <c r="O1046" s="59" t="n"/>
      <c r="X1046" s="61" t="n"/>
      <c r="Y1046" s="61" t="n"/>
    </row>
    <row r="1047" ht="14.25" customHeight="1" s="86">
      <c r="E1047" s="53" t="inlineStr">
        <is>
          <t>KY</t>
        </is>
      </c>
      <c r="F1047" s="53" t="inlineStr">
        <is>
          <t>HART</t>
        </is>
      </c>
      <c r="G1047" s="59" t="n"/>
      <c r="N1047" s="59" t="n"/>
      <c r="O1047" s="59" t="n"/>
      <c r="X1047" s="61" t="n"/>
      <c r="Y1047" s="61" t="n"/>
    </row>
    <row r="1048" ht="14.25" customHeight="1" s="86">
      <c r="E1048" s="53" t="inlineStr">
        <is>
          <t>KY</t>
        </is>
      </c>
      <c r="F1048" s="53" t="inlineStr">
        <is>
          <t>HENDERSON</t>
        </is>
      </c>
      <c r="G1048" s="59" t="n"/>
      <c r="N1048" s="59" t="n"/>
      <c r="O1048" s="59" t="n"/>
      <c r="X1048" s="61" t="n"/>
      <c r="Y1048" s="61" t="n"/>
    </row>
    <row r="1049" ht="14.25" customHeight="1" s="86">
      <c r="E1049" s="53" t="inlineStr">
        <is>
          <t>KY</t>
        </is>
      </c>
      <c r="F1049" s="53" t="inlineStr">
        <is>
          <t>HENRY</t>
        </is>
      </c>
      <c r="G1049" s="59" t="n"/>
      <c r="N1049" s="59" t="n"/>
      <c r="O1049" s="59" t="n"/>
      <c r="X1049" s="61" t="n"/>
      <c r="Y1049" s="61" t="n"/>
    </row>
    <row r="1050" ht="14.25" customHeight="1" s="86">
      <c r="E1050" s="53" t="inlineStr">
        <is>
          <t>KY</t>
        </is>
      </c>
      <c r="F1050" s="53" t="inlineStr">
        <is>
          <t>HICKMAN</t>
        </is>
      </c>
      <c r="G1050" s="59" t="n"/>
      <c r="N1050" s="59" t="n"/>
      <c r="O1050" s="59" t="n"/>
      <c r="X1050" s="61" t="n"/>
      <c r="Y1050" s="61" t="n"/>
    </row>
    <row r="1051" ht="14.25" customHeight="1" s="86">
      <c r="E1051" s="53" t="inlineStr">
        <is>
          <t>KY</t>
        </is>
      </c>
      <c r="F1051" s="53" t="inlineStr">
        <is>
          <t>HOPKINS</t>
        </is>
      </c>
      <c r="G1051" s="59" t="n"/>
      <c r="N1051" s="59" t="n"/>
      <c r="O1051" s="59" t="n"/>
      <c r="X1051" s="61" t="n"/>
      <c r="Y1051" s="61" t="n"/>
    </row>
    <row r="1052" ht="14.25" customHeight="1" s="86">
      <c r="E1052" s="53" t="inlineStr">
        <is>
          <t>KY</t>
        </is>
      </c>
      <c r="F1052" s="53" t="inlineStr">
        <is>
          <t>JACKSON</t>
        </is>
      </c>
      <c r="G1052" s="59" t="n"/>
      <c r="N1052" s="59" t="n"/>
      <c r="O1052" s="59" t="n"/>
      <c r="X1052" s="61" t="n"/>
      <c r="Y1052" s="61" t="n"/>
    </row>
    <row r="1053" ht="14.25" customHeight="1" s="86">
      <c r="E1053" s="53" t="inlineStr">
        <is>
          <t>KY</t>
        </is>
      </c>
      <c r="F1053" s="53" t="inlineStr">
        <is>
          <t>JEFFERSON</t>
        </is>
      </c>
      <c r="G1053" s="59" t="n"/>
      <c r="N1053" s="59" t="n"/>
      <c r="O1053" s="59" t="n"/>
      <c r="X1053" s="61" t="n"/>
      <c r="Y1053" s="61" t="n"/>
    </row>
    <row r="1054" ht="14.25" customHeight="1" s="86">
      <c r="E1054" s="53" t="inlineStr">
        <is>
          <t>KY</t>
        </is>
      </c>
      <c r="F1054" s="53" t="inlineStr">
        <is>
          <t>JESSAMINE</t>
        </is>
      </c>
      <c r="G1054" s="59" t="n"/>
      <c r="N1054" s="59" t="n"/>
      <c r="O1054" s="59" t="n"/>
      <c r="X1054" s="61" t="n"/>
      <c r="Y1054" s="61" t="n"/>
    </row>
    <row r="1055" ht="14.25" customHeight="1" s="86">
      <c r="E1055" s="53" t="inlineStr">
        <is>
          <t>KY</t>
        </is>
      </c>
      <c r="F1055" s="53" t="inlineStr">
        <is>
          <t>JOHNSON</t>
        </is>
      </c>
      <c r="G1055" s="59" t="n"/>
      <c r="N1055" s="59" t="n"/>
      <c r="O1055" s="59" t="n"/>
      <c r="X1055" s="61" t="n"/>
      <c r="Y1055" s="61" t="n"/>
    </row>
    <row r="1056" ht="14.25" customHeight="1" s="86">
      <c r="E1056" s="53" t="inlineStr">
        <is>
          <t>KY</t>
        </is>
      </c>
      <c r="F1056" s="53" t="inlineStr">
        <is>
          <t>KENTON</t>
        </is>
      </c>
      <c r="G1056" s="59" t="n"/>
      <c r="N1056" s="59" t="n"/>
      <c r="O1056" s="59" t="n"/>
      <c r="X1056" s="61" t="n"/>
      <c r="Y1056" s="61" t="n"/>
    </row>
    <row r="1057" ht="14.25" customHeight="1" s="86">
      <c r="E1057" s="53" t="inlineStr">
        <is>
          <t>KY</t>
        </is>
      </c>
      <c r="F1057" s="53" t="inlineStr">
        <is>
          <t>KNOTT</t>
        </is>
      </c>
      <c r="G1057" s="59" t="n"/>
      <c r="N1057" s="59" t="n"/>
      <c r="O1057" s="59" t="n"/>
      <c r="X1057" s="61" t="n"/>
      <c r="Y1057" s="61" t="n"/>
    </row>
    <row r="1058" ht="14.25" customHeight="1" s="86">
      <c r="E1058" s="53" t="inlineStr">
        <is>
          <t>KY</t>
        </is>
      </c>
      <c r="F1058" s="53" t="inlineStr">
        <is>
          <t>KNOX</t>
        </is>
      </c>
      <c r="G1058" s="59" t="n"/>
      <c r="N1058" s="59" t="n"/>
      <c r="O1058" s="59" t="n"/>
      <c r="X1058" s="61" t="n"/>
      <c r="Y1058" s="61" t="n"/>
    </row>
    <row r="1059" ht="14.25" customHeight="1" s="86">
      <c r="E1059" s="53" t="inlineStr">
        <is>
          <t>KY</t>
        </is>
      </c>
      <c r="F1059" s="53" t="inlineStr">
        <is>
          <t>LARUE</t>
        </is>
      </c>
      <c r="G1059" s="59" t="n"/>
      <c r="N1059" s="59" t="n"/>
      <c r="O1059" s="59" t="n"/>
      <c r="X1059" s="61" t="n"/>
      <c r="Y1059" s="61" t="n"/>
    </row>
    <row r="1060" ht="14.25" customHeight="1" s="86">
      <c r="E1060" s="53" t="inlineStr">
        <is>
          <t>KY</t>
        </is>
      </c>
      <c r="F1060" s="53" t="inlineStr">
        <is>
          <t>LAUREL</t>
        </is>
      </c>
      <c r="G1060" s="59" t="n"/>
      <c r="N1060" s="59" t="n"/>
      <c r="O1060" s="59" t="n"/>
      <c r="X1060" s="61" t="n"/>
      <c r="Y1060" s="61" t="n"/>
    </row>
    <row r="1061" ht="14.25" customHeight="1" s="86">
      <c r="E1061" s="53" t="inlineStr">
        <is>
          <t>KY</t>
        </is>
      </c>
      <c r="F1061" s="53" t="inlineStr">
        <is>
          <t>LAWRENCE</t>
        </is>
      </c>
      <c r="G1061" s="59" t="n"/>
      <c r="N1061" s="59" t="n"/>
      <c r="O1061" s="59" t="n"/>
      <c r="X1061" s="61" t="n"/>
      <c r="Y1061" s="61" t="n"/>
    </row>
    <row r="1062" ht="14.25" customHeight="1" s="86">
      <c r="E1062" s="53" t="inlineStr">
        <is>
          <t>KY</t>
        </is>
      </c>
      <c r="F1062" s="53" t="inlineStr">
        <is>
          <t>LEE</t>
        </is>
      </c>
      <c r="G1062" s="59" t="n"/>
      <c r="N1062" s="59" t="n"/>
      <c r="O1062" s="59" t="n"/>
      <c r="X1062" s="61" t="n"/>
      <c r="Y1062" s="61" t="n"/>
    </row>
    <row r="1063" ht="14.25" customHeight="1" s="86">
      <c r="E1063" s="53" t="inlineStr">
        <is>
          <t>KY</t>
        </is>
      </c>
      <c r="F1063" s="53" t="inlineStr">
        <is>
          <t>LESLIE</t>
        </is>
      </c>
      <c r="G1063" s="59" t="n"/>
      <c r="N1063" s="59" t="n"/>
      <c r="O1063" s="59" t="n"/>
      <c r="X1063" s="61" t="n"/>
      <c r="Y1063" s="61" t="n"/>
    </row>
    <row r="1064" ht="14.25" customHeight="1" s="86">
      <c r="E1064" s="53" t="inlineStr">
        <is>
          <t>KY</t>
        </is>
      </c>
      <c r="F1064" s="53" t="inlineStr">
        <is>
          <t>LETCHER</t>
        </is>
      </c>
      <c r="G1064" s="59" t="n"/>
      <c r="N1064" s="59" t="n"/>
      <c r="O1064" s="59" t="n"/>
      <c r="X1064" s="61" t="n"/>
      <c r="Y1064" s="61" t="n"/>
    </row>
    <row r="1065" ht="14.25" customHeight="1" s="86">
      <c r="E1065" s="53" t="inlineStr">
        <is>
          <t>KY</t>
        </is>
      </c>
      <c r="F1065" s="53" t="inlineStr">
        <is>
          <t>LEWIS</t>
        </is>
      </c>
      <c r="G1065" s="59" t="n"/>
      <c r="N1065" s="59" t="n"/>
      <c r="O1065" s="59" t="n"/>
      <c r="X1065" s="61" t="n"/>
      <c r="Y1065" s="61" t="n"/>
    </row>
    <row r="1066" ht="14.25" customHeight="1" s="86">
      <c r="E1066" s="53" t="inlineStr">
        <is>
          <t>KY</t>
        </is>
      </c>
      <c r="F1066" s="53" t="inlineStr">
        <is>
          <t>LINCOLN</t>
        </is>
      </c>
      <c r="G1066" s="59" t="n"/>
      <c r="N1066" s="59" t="n"/>
      <c r="O1066" s="59" t="n"/>
      <c r="X1066" s="61" t="n"/>
      <c r="Y1066" s="61" t="n"/>
    </row>
    <row r="1067" ht="14.25" customHeight="1" s="86">
      <c r="E1067" s="53" t="inlineStr">
        <is>
          <t>KY</t>
        </is>
      </c>
      <c r="F1067" s="53" t="inlineStr">
        <is>
          <t>LIVINGSTON</t>
        </is>
      </c>
      <c r="G1067" s="59" t="n"/>
      <c r="N1067" s="59" t="n"/>
      <c r="O1067" s="59" t="n"/>
      <c r="X1067" s="61" t="n"/>
      <c r="Y1067" s="61" t="n"/>
    </row>
    <row r="1068" ht="14.25" customHeight="1" s="86">
      <c r="E1068" s="53" t="inlineStr">
        <is>
          <t>KY</t>
        </is>
      </c>
      <c r="F1068" s="53" t="inlineStr">
        <is>
          <t>LOGAN</t>
        </is>
      </c>
      <c r="G1068" s="59" t="n"/>
      <c r="N1068" s="59" t="n"/>
      <c r="O1068" s="59" t="n"/>
      <c r="X1068" s="61" t="n"/>
      <c r="Y1068" s="61" t="n"/>
    </row>
    <row r="1069" ht="14.25" customHeight="1" s="86">
      <c r="E1069" s="53" t="inlineStr">
        <is>
          <t>KY</t>
        </is>
      </c>
      <c r="F1069" s="53" t="inlineStr">
        <is>
          <t>LYON</t>
        </is>
      </c>
      <c r="G1069" s="59" t="n"/>
      <c r="N1069" s="59" t="n"/>
      <c r="O1069" s="59" t="n"/>
      <c r="X1069" s="61" t="n"/>
      <c r="Y1069" s="61" t="n"/>
    </row>
    <row r="1070" ht="14.25" customHeight="1" s="86">
      <c r="E1070" s="53" t="inlineStr">
        <is>
          <t>KY</t>
        </is>
      </c>
      <c r="F1070" s="53" t="inlineStr">
        <is>
          <t>MADISON</t>
        </is>
      </c>
      <c r="G1070" s="59" t="n"/>
      <c r="N1070" s="59" t="n"/>
      <c r="O1070" s="59" t="n"/>
      <c r="X1070" s="61" t="n"/>
      <c r="Y1070" s="61" t="n"/>
    </row>
    <row r="1071" ht="14.25" customHeight="1" s="86">
      <c r="E1071" s="53" t="inlineStr">
        <is>
          <t>KY</t>
        </is>
      </c>
      <c r="F1071" s="53" t="inlineStr">
        <is>
          <t>MAGOFFIN</t>
        </is>
      </c>
      <c r="G1071" s="59" t="n"/>
      <c r="N1071" s="59" t="n"/>
      <c r="O1071" s="59" t="n"/>
      <c r="X1071" s="61" t="n"/>
      <c r="Y1071" s="61" t="n"/>
    </row>
    <row r="1072" ht="14.25" customHeight="1" s="86">
      <c r="E1072" s="53" t="inlineStr">
        <is>
          <t>KY</t>
        </is>
      </c>
      <c r="F1072" s="53" t="inlineStr">
        <is>
          <t>MARION</t>
        </is>
      </c>
      <c r="G1072" s="59" t="n"/>
      <c r="N1072" s="59" t="n"/>
      <c r="O1072" s="59" t="n"/>
      <c r="X1072" s="61" t="n"/>
      <c r="Y1072" s="61" t="n"/>
    </row>
    <row r="1073" ht="14.25" customHeight="1" s="86">
      <c r="E1073" s="53" t="inlineStr">
        <is>
          <t>KY</t>
        </is>
      </c>
      <c r="F1073" s="53" t="inlineStr">
        <is>
          <t>MARSHALL</t>
        </is>
      </c>
      <c r="G1073" s="59" t="n"/>
      <c r="N1073" s="59" t="n"/>
      <c r="O1073" s="59" t="n"/>
      <c r="X1073" s="61" t="n"/>
      <c r="Y1073" s="61" t="n"/>
    </row>
    <row r="1074" ht="14.25" customHeight="1" s="86">
      <c r="E1074" s="53" t="inlineStr">
        <is>
          <t>KY</t>
        </is>
      </c>
      <c r="F1074" s="53" t="inlineStr">
        <is>
          <t>MARTIN</t>
        </is>
      </c>
      <c r="G1074" s="59" t="n"/>
      <c r="N1074" s="59" t="n"/>
      <c r="O1074" s="59" t="n"/>
      <c r="X1074" s="61" t="n"/>
      <c r="Y1074" s="61" t="n"/>
    </row>
    <row r="1075" ht="14.25" customHeight="1" s="86">
      <c r="E1075" s="53" t="inlineStr">
        <is>
          <t>KY</t>
        </is>
      </c>
      <c r="F1075" s="53" t="inlineStr">
        <is>
          <t>MASON</t>
        </is>
      </c>
      <c r="G1075" s="59" t="n"/>
      <c r="N1075" s="59" t="n"/>
      <c r="O1075" s="59" t="n"/>
      <c r="X1075" s="61" t="n"/>
      <c r="Y1075" s="61" t="n"/>
    </row>
    <row r="1076" ht="14.25" customHeight="1" s="86">
      <c r="E1076" s="53" t="inlineStr">
        <is>
          <t>KY</t>
        </is>
      </c>
      <c r="F1076" s="53" t="inlineStr">
        <is>
          <t>MCCRACKEN</t>
        </is>
      </c>
      <c r="G1076" s="59" t="n"/>
      <c r="N1076" s="59" t="n"/>
      <c r="O1076" s="59" t="n"/>
      <c r="X1076" s="61" t="n"/>
      <c r="Y1076" s="61" t="n"/>
    </row>
    <row r="1077" ht="14.25" customHeight="1" s="86">
      <c r="E1077" s="53" t="inlineStr">
        <is>
          <t>KY</t>
        </is>
      </c>
      <c r="F1077" s="53" t="inlineStr">
        <is>
          <t>MCCREARY</t>
        </is>
      </c>
      <c r="G1077" s="59" t="n"/>
      <c r="N1077" s="59" t="n"/>
      <c r="O1077" s="59" t="n"/>
      <c r="X1077" s="61" t="n"/>
      <c r="Y1077" s="61" t="n"/>
    </row>
    <row r="1078" ht="14.25" customHeight="1" s="86">
      <c r="E1078" s="53" t="inlineStr">
        <is>
          <t>KY</t>
        </is>
      </c>
      <c r="F1078" s="53" t="inlineStr">
        <is>
          <t>MCLEAN</t>
        </is>
      </c>
      <c r="G1078" s="59" t="n"/>
      <c r="N1078" s="59" t="n"/>
      <c r="O1078" s="59" t="n"/>
      <c r="X1078" s="61" t="n"/>
      <c r="Y1078" s="61" t="n"/>
    </row>
    <row r="1079" ht="14.25" customHeight="1" s="86">
      <c r="E1079" s="53" t="inlineStr">
        <is>
          <t>KY</t>
        </is>
      </c>
      <c r="F1079" s="53" t="inlineStr">
        <is>
          <t>MEADE</t>
        </is>
      </c>
      <c r="G1079" s="59" t="n"/>
      <c r="N1079" s="59" t="n"/>
      <c r="O1079" s="59" t="n"/>
      <c r="X1079" s="61" t="n"/>
      <c r="Y1079" s="61" t="n"/>
    </row>
    <row r="1080" ht="14.25" customHeight="1" s="86">
      <c r="E1080" s="53" t="inlineStr">
        <is>
          <t>KY</t>
        </is>
      </c>
      <c r="F1080" s="53" t="inlineStr">
        <is>
          <t>MENIFEE</t>
        </is>
      </c>
      <c r="G1080" s="59" t="n"/>
      <c r="N1080" s="59" t="n"/>
      <c r="O1080" s="59" t="n"/>
      <c r="X1080" s="61" t="n"/>
      <c r="Y1080" s="61" t="n"/>
    </row>
    <row r="1081" ht="14.25" customHeight="1" s="86">
      <c r="E1081" s="53" t="inlineStr">
        <is>
          <t>KY</t>
        </is>
      </c>
      <c r="F1081" s="53" t="inlineStr">
        <is>
          <t>MERCER</t>
        </is>
      </c>
      <c r="G1081" s="59" t="n"/>
      <c r="N1081" s="59" t="n"/>
      <c r="O1081" s="59" t="n"/>
      <c r="X1081" s="61" t="n"/>
      <c r="Y1081" s="61" t="n"/>
    </row>
    <row r="1082" ht="14.25" customHeight="1" s="86">
      <c r="E1082" s="53" t="inlineStr">
        <is>
          <t>KY</t>
        </is>
      </c>
      <c r="F1082" s="53" t="inlineStr">
        <is>
          <t>METCALFE</t>
        </is>
      </c>
      <c r="G1082" s="59" t="n"/>
      <c r="N1082" s="59" t="n"/>
      <c r="O1082" s="59" t="n"/>
      <c r="X1082" s="61" t="n"/>
      <c r="Y1082" s="61" t="n"/>
    </row>
    <row r="1083" ht="14.25" customHeight="1" s="86">
      <c r="E1083" s="53" t="inlineStr">
        <is>
          <t>KY</t>
        </is>
      </c>
      <c r="F1083" s="53" t="inlineStr">
        <is>
          <t>MONROE</t>
        </is>
      </c>
      <c r="G1083" s="59" t="n"/>
      <c r="N1083" s="59" t="n"/>
      <c r="O1083" s="59" t="n"/>
      <c r="X1083" s="61" t="n"/>
      <c r="Y1083" s="61" t="n"/>
    </row>
    <row r="1084" ht="14.25" customHeight="1" s="86">
      <c r="E1084" s="53" t="inlineStr">
        <is>
          <t>KY</t>
        </is>
      </c>
      <c r="F1084" s="53" t="inlineStr">
        <is>
          <t>MONTGOMERY</t>
        </is>
      </c>
      <c r="G1084" s="59" t="n"/>
      <c r="N1084" s="59" t="n"/>
      <c r="O1084" s="59" t="n"/>
      <c r="X1084" s="61" t="n"/>
      <c r="Y1084" s="61" t="n"/>
    </row>
    <row r="1085" ht="14.25" customHeight="1" s="86">
      <c r="E1085" s="53" t="inlineStr">
        <is>
          <t>KY</t>
        </is>
      </c>
      <c r="F1085" s="53" t="inlineStr">
        <is>
          <t>MORGAN</t>
        </is>
      </c>
      <c r="G1085" s="59" t="n"/>
      <c r="N1085" s="59" t="n"/>
      <c r="O1085" s="59" t="n"/>
      <c r="X1085" s="61" t="n"/>
      <c r="Y1085" s="61" t="n"/>
    </row>
    <row r="1086" ht="14.25" customHeight="1" s="86">
      <c r="E1086" s="53" t="inlineStr">
        <is>
          <t>KY</t>
        </is>
      </c>
      <c r="F1086" s="53" t="inlineStr">
        <is>
          <t>MUHLENBERG</t>
        </is>
      </c>
      <c r="G1086" s="59" t="n"/>
      <c r="N1086" s="59" t="n"/>
      <c r="O1086" s="59" t="n"/>
      <c r="X1086" s="61" t="n"/>
      <c r="Y1086" s="61" t="n"/>
    </row>
    <row r="1087" ht="14.25" customHeight="1" s="86">
      <c r="E1087" s="53" t="inlineStr">
        <is>
          <t>KY</t>
        </is>
      </c>
      <c r="F1087" s="53" t="inlineStr">
        <is>
          <t>NELSON</t>
        </is>
      </c>
      <c r="G1087" s="59" t="n"/>
      <c r="N1087" s="59" t="n"/>
      <c r="O1087" s="59" t="n"/>
      <c r="X1087" s="61" t="n"/>
      <c r="Y1087" s="61" t="n"/>
    </row>
    <row r="1088" ht="14.25" customHeight="1" s="86">
      <c r="E1088" s="53" t="inlineStr">
        <is>
          <t>KY</t>
        </is>
      </c>
      <c r="F1088" s="53" t="inlineStr">
        <is>
          <t>NICHOLAS</t>
        </is>
      </c>
      <c r="G1088" s="59" t="n"/>
      <c r="N1088" s="59" t="n"/>
      <c r="O1088" s="59" t="n"/>
      <c r="X1088" s="61" t="n"/>
      <c r="Y1088" s="61" t="n"/>
    </row>
    <row r="1089" ht="14.25" customHeight="1" s="86">
      <c r="E1089" s="53" t="inlineStr">
        <is>
          <t>KY</t>
        </is>
      </c>
      <c r="F1089" s="53" t="inlineStr">
        <is>
          <t>OHIO</t>
        </is>
      </c>
      <c r="G1089" s="59" t="n"/>
      <c r="N1089" s="59" t="n"/>
      <c r="O1089" s="59" t="n"/>
      <c r="X1089" s="61" t="n"/>
      <c r="Y1089" s="61" t="n"/>
    </row>
    <row r="1090" ht="14.25" customHeight="1" s="86">
      <c r="E1090" s="53" t="inlineStr">
        <is>
          <t>KY</t>
        </is>
      </c>
      <c r="F1090" s="53" t="inlineStr">
        <is>
          <t>OLDHAM</t>
        </is>
      </c>
      <c r="G1090" s="59" t="n"/>
      <c r="N1090" s="59" t="n"/>
      <c r="O1090" s="59" t="n"/>
      <c r="X1090" s="61" t="n"/>
      <c r="Y1090" s="61" t="n"/>
    </row>
    <row r="1091" ht="14.25" customHeight="1" s="86">
      <c r="E1091" s="53" t="inlineStr">
        <is>
          <t>KY</t>
        </is>
      </c>
      <c r="F1091" s="53" t="inlineStr">
        <is>
          <t>OWEN</t>
        </is>
      </c>
      <c r="G1091" s="59" t="n"/>
      <c r="N1091" s="59" t="n"/>
      <c r="O1091" s="59" t="n"/>
      <c r="X1091" s="61" t="n"/>
      <c r="Y1091" s="61" t="n"/>
    </row>
    <row r="1092" ht="14.25" customHeight="1" s="86">
      <c r="E1092" s="53" t="inlineStr">
        <is>
          <t>KY</t>
        </is>
      </c>
      <c r="F1092" s="53" t="inlineStr">
        <is>
          <t>OWSLEY</t>
        </is>
      </c>
      <c r="G1092" s="59" t="n"/>
      <c r="N1092" s="59" t="n"/>
      <c r="O1092" s="59" t="n"/>
      <c r="X1092" s="61" t="n"/>
      <c r="Y1092" s="61" t="n"/>
    </row>
    <row r="1093" ht="14.25" customHeight="1" s="86">
      <c r="E1093" s="53" t="inlineStr">
        <is>
          <t>KY</t>
        </is>
      </c>
      <c r="F1093" s="53" t="inlineStr">
        <is>
          <t>PENDLETON</t>
        </is>
      </c>
      <c r="G1093" s="59" t="n"/>
      <c r="N1093" s="59" t="n"/>
      <c r="O1093" s="59" t="n"/>
      <c r="X1093" s="61" t="n"/>
      <c r="Y1093" s="61" t="n"/>
    </row>
    <row r="1094" ht="14.25" customHeight="1" s="86">
      <c r="E1094" s="53" t="inlineStr">
        <is>
          <t>KY</t>
        </is>
      </c>
      <c r="F1094" s="53" t="inlineStr">
        <is>
          <t>PERRY</t>
        </is>
      </c>
      <c r="G1094" s="59" t="n"/>
      <c r="N1094" s="59" t="n"/>
      <c r="O1094" s="59" t="n"/>
      <c r="X1094" s="61" t="n"/>
      <c r="Y1094" s="61" t="n"/>
    </row>
    <row r="1095" ht="14.25" customHeight="1" s="86">
      <c r="E1095" s="53" t="inlineStr">
        <is>
          <t>KY</t>
        </is>
      </c>
      <c r="F1095" s="53" t="inlineStr">
        <is>
          <t>PIKE</t>
        </is>
      </c>
      <c r="G1095" s="59" t="n"/>
      <c r="N1095" s="59" t="n"/>
      <c r="O1095" s="59" t="n"/>
      <c r="X1095" s="61" t="n"/>
      <c r="Y1095" s="61" t="n"/>
    </row>
    <row r="1096" ht="14.25" customHeight="1" s="86">
      <c r="E1096" s="53" t="inlineStr">
        <is>
          <t>KY</t>
        </is>
      </c>
      <c r="F1096" s="53" t="inlineStr">
        <is>
          <t>POWELL</t>
        </is>
      </c>
      <c r="G1096" s="59" t="n"/>
      <c r="N1096" s="59" t="n"/>
      <c r="O1096" s="59" t="n"/>
      <c r="X1096" s="61" t="n"/>
      <c r="Y1096" s="61" t="n"/>
    </row>
    <row r="1097" ht="14.25" customHeight="1" s="86">
      <c r="E1097" s="53" t="inlineStr">
        <is>
          <t>KY</t>
        </is>
      </c>
      <c r="F1097" s="53" t="inlineStr">
        <is>
          <t>PULASKI</t>
        </is>
      </c>
      <c r="G1097" s="59" t="n"/>
      <c r="N1097" s="59" t="n"/>
      <c r="O1097" s="59" t="n"/>
      <c r="X1097" s="61" t="n"/>
      <c r="Y1097" s="61" t="n"/>
    </row>
    <row r="1098" ht="14.25" customHeight="1" s="86">
      <c r="E1098" s="53" t="inlineStr">
        <is>
          <t>KY</t>
        </is>
      </c>
      <c r="F1098" s="53" t="inlineStr">
        <is>
          <t>ROBERTSON</t>
        </is>
      </c>
      <c r="G1098" s="59" t="n"/>
      <c r="N1098" s="59" t="n"/>
      <c r="O1098" s="59" t="n"/>
      <c r="X1098" s="61" t="n"/>
      <c r="Y1098" s="61" t="n"/>
    </row>
    <row r="1099" ht="14.25" customHeight="1" s="86">
      <c r="E1099" s="53" t="inlineStr">
        <is>
          <t>KY</t>
        </is>
      </c>
      <c r="F1099" s="53" t="inlineStr">
        <is>
          <t>ROCKCASTLE</t>
        </is>
      </c>
      <c r="G1099" s="59" t="n"/>
      <c r="N1099" s="59" t="n"/>
      <c r="O1099" s="59" t="n"/>
      <c r="X1099" s="61" t="n"/>
      <c r="Y1099" s="61" t="n"/>
    </row>
    <row r="1100" ht="14.25" customHeight="1" s="86">
      <c r="E1100" s="53" t="inlineStr">
        <is>
          <t>KY</t>
        </is>
      </c>
      <c r="F1100" s="53" t="inlineStr">
        <is>
          <t>ROWAN</t>
        </is>
      </c>
      <c r="G1100" s="59" t="n"/>
      <c r="N1100" s="59" t="n"/>
      <c r="O1100" s="59" t="n"/>
      <c r="X1100" s="61" t="n"/>
      <c r="Y1100" s="61" t="n"/>
    </row>
    <row r="1101" ht="14.25" customHeight="1" s="86">
      <c r="E1101" s="53" t="inlineStr">
        <is>
          <t>KY</t>
        </is>
      </c>
      <c r="F1101" s="53" t="inlineStr">
        <is>
          <t>RUSSELL</t>
        </is>
      </c>
      <c r="G1101" s="59" t="n"/>
      <c r="N1101" s="59" t="n"/>
      <c r="O1101" s="59" t="n"/>
      <c r="X1101" s="61" t="n"/>
      <c r="Y1101" s="61" t="n"/>
    </row>
    <row r="1102" ht="14.25" customHeight="1" s="86">
      <c r="E1102" s="53" t="inlineStr">
        <is>
          <t>KY</t>
        </is>
      </c>
      <c r="F1102" s="53" t="inlineStr">
        <is>
          <t>SCOTT</t>
        </is>
      </c>
      <c r="G1102" s="59" t="n"/>
      <c r="N1102" s="59" t="n"/>
      <c r="O1102" s="59" t="n"/>
      <c r="X1102" s="61" t="n"/>
      <c r="Y1102" s="61" t="n"/>
    </row>
    <row r="1103" ht="14.25" customHeight="1" s="86">
      <c r="E1103" s="53" t="inlineStr">
        <is>
          <t>KY</t>
        </is>
      </c>
      <c r="F1103" s="53" t="inlineStr">
        <is>
          <t>SHELBY</t>
        </is>
      </c>
      <c r="G1103" s="59" t="n"/>
      <c r="N1103" s="59" t="n"/>
      <c r="O1103" s="59" t="n"/>
      <c r="X1103" s="61" t="n"/>
      <c r="Y1103" s="61" t="n"/>
    </row>
    <row r="1104" ht="14.25" customHeight="1" s="86">
      <c r="E1104" s="53" t="inlineStr">
        <is>
          <t>KY</t>
        </is>
      </c>
      <c r="F1104" s="53" t="inlineStr">
        <is>
          <t>SIMPSON</t>
        </is>
      </c>
      <c r="G1104" s="59" t="n"/>
      <c r="N1104" s="59" t="n"/>
      <c r="O1104" s="59" t="n"/>
      <c r="X1104" s="61" t="n"/>
      <c r="Y1104" s="61" t="n"/>
    </row>
    <row r="1105" ht="14.25" customHeight="1" s="86">
      <c r="E1105" s="53" t="inlineStr">
        <is>
          <t>KY</t>
        </is>
      </c>
      <c r="F1105" s="53" t="inlineStr">
        <is>
          <t>SPENCER</t>
        </is>
      </c>
      <c r="G1105" s="59" t="n"/>
      <c r="N1105" s="59" t="n"/>
      <c r="O1105" s="59" t="n"/>
      <c r="X1105" s="61" t="n"/>
      <c r="Y1105" s="61" t="n"/>
    </row>
    <row r="1106" ht="14.25" customHeight="1" s="86">
      <c r="E1106" s="53" t="inlineStr">
        <is>
          <t>KY</t>
        </is>
      </c>
      <c r="F1106" s="53" t="inlineStr">
        <is>
          <t>TAYLOR</t>
        </is>
      </c>
      <c r="G1106" s="59" t="n"/>
      <c r="N1106" s="59" t="n"/>
      <c r="O1106" s="59" t="n"/>
      <c r="X1106" s="61" t="n"/>
      <c r="Y1106" s="61" t="n"/>
    </row>
    <row r="1107" ht="14.25" customHeight="1" s="86">
      <c r="E1107" s="53" t="inlineStr">
        <is>
          <t>KY</t>
        </is>
      </c>
      <c r="F1107" s="53" t="inlineStr">
        <is>
          <t>TODD</t>
        </is>
      </c>
      <c r="G1107" s="59" t="n"/>
      <c r="N1107" s="59" t="n"/>
      <c r="O1107" s="59" t="n"/>
      <c r="X1107" s="61" t="n"/>
      <c r="Y1107" s="61" t="n"/>
    </row>
    <row r="1108" ht="14.25" customHeight="1" s="86">
      <c r="E1108" s="53" t="inlineStr">
        <is>
          <t>KY</t>
        </is>
      </c>
      <c r="F1108" s="53" t="inlineStr">
        <is>
          <t>TRIGG</t>
        </is>
      </c>
      <c r="G1108" s="59" t="n"/>
      <c r="N1108" s="59" t="n"/>
      <c r="O1108" s="59" t="n"/>
      <c r="X1108" s="61" t="n"/>
      <c r="Y1108" s="61" t="n"/>
    </row>
    <row r="1109" ht="14.25" customHeight="1" s="86">
      <c r="E1109" s="53" t="inlineStr">
        <is>
          <t>KY</t>
        </is>
      </c>
      <c r="F1109" s="53" t="inlineStr">
        <is>
          <t>TRIMBLE</t>
        </is>
      </c>
      <c r="G1109" s="59" t="n"/>
      <c r="N1109" s="59" t="n"/>
      <c r="O1109" s="59" t="n"/>
      <c r="X1109" s="61" t="n"/>
      <c r="Y1109" s="61" t="n"/>
    </row>
    <row r="1110" ht="14.25" customHeight="1" s="86">
      <c r="E1110" s="53" t="inlineStr">
        <is>
          <t>KY</t>
        </is>
      </c>
      <c r="F1110" s="53" t="inlineStr">
        <is>
          <t>UNION</t>
        </is>
      </c>
      <c r="G1110" s="59" t="n"/>
      <c r="N1110" s="59" t="n"/>
      <c r="O1110" s="59" t="n"/>
      <c r="X1110" s="61" t="n"/>
      <c r="Y1110" s="61" t="n"/>
    </row>
    <row r="1111" ht="14.25" customHeight="1" s="86">
      <c r="E1111" s="53" t="inlineStr">
        <is>
          <t>KY</t>
        </is>
      </c>
      <c r="F1111" s="53" t="inlineStr">
        <is>
          <t>WARREN</t>
        </is>
      </c>
      <c r="G1111" s="59" t="n"/>
      <c r="N1111" s="59" t="n"/>
      <c r="O1111" s="59" t="n"/>
      <c r="X1111" s="61" t="n"/>
      <c r="Y1111" s="61" t="n"/>
    </row>
    <row r="1112" ht="14.25" customHeight="1" s="86">
      <c r="E1112" s="53" t="inlineStr">
        <is>
          <t>KY</t>
        </is>
      </c>
      <c r="F1112" s="53" t="inlineStr">
        <is>
          <t>WASHINGTON</t>
        </is>
      </c>
      <c r="G1112" s="59" t="n"/>
      <c r="N1112" s="59" t="n"/>
      <c r="O1112" s="59" t="n"/>
      <c r="X1112" s="61" t="n"/>
      <c r="Y1112" s="61" t="n"/>
    </row>
    <row r="1113" ht="14.25" customHeight="1" s="86">
      <c r="E1113" s="53" t="inlineStr">
        <is>
          <t>KY</t>
        </is>
      </c>
      <c r="F1113" s="53" t="inlineStr">
        <is>
          <t>WAYNE</t>
        </is>
      </c>
      <c r="G1113" s="59" t="n"/>
      <c r="N1113" s="59" t="n"/>
      <c r="O1113" s="59" t="n"/>
      <c r="X1113" s="61" t="n"/>
      <c r="Y1113" s="61" t="n"/>
    </row>
    <row r="1114" ht="14.25" customHeight="1" s="86">
      <c r="E1114" s="53" t="inlineStr">
        <is>
          <t>KY</t>
        </is>
      </c>
      <c r="F1114" s="53" t="inlineStr">
        <is>
          <t>WEBSTER</t>
        </is>
      </c>
      <c r="G1114" s="59" t="n"/>
      <c r="N1114" s="59" t="n"/>
      <c r="O1114" s="59" t="n"/>
      <c r="X1114" s="61" t="n"/>
      <c r="Y1114" s="61" t="n"/>
    </row>
    <row r="1115" ht="14.25" customHeight="1" s="86">
      <c r="E1115" s="53" t="inlineStr">
        <is>
          <t>KY</t>
        </is>
      </c>
      <c r="F1115" s="53" t="inlineStr">
        <is>
          <t>WHITLEY</t>
        </is>
      </c>
      <c r="G1115" s="59" t="n"/>
      <c r="N1115" s="59" t="n"/>
      <c r="O1115" s="59" t="n"/>
      <c r="X1115" s="61" t="n"/>
      <c r="Y1115" s="61" t="n"/>
    </row>
    <row r="1116" ht="14.25" customHeight="1" s="86">
      <c r="E1116" s="53" t="inlineStr">
        <is>
          <t>KY</t>
        </is>
      </c>
      <c r="F1116" s="53" t="inlineStr">
        <is>
          <t>WOLFE</t>
        </is>
      </c>
      <c r="G1116" s="59" t="n"/>
      <c r="N1116" s="59" t="n"/>
      <c r="O1116" s="59" t="n"/>
      <c r="X1116" s="61" t="n"/>
      <c r="Y1116" s="61" t="n"/>
    </row>
    <row r="1117" ht="14.25" customHeight="1" s="86">
      <c r="E1117" s="53" t="inlineStr">
        <is>
          <t>KY</t>
        </is>
      </c>
      <c r="F1117" s="53" t="inlineStr">
        <is>
          <t>WOODFORD</t>
        </is>
      </c>
      <c r="G1117" s="59" t="n"/>
      <c r="N1117" s="59" t="n"/>
      <c r="O1117" s="59" t="n"/>
      <c r="X1117" s="61" t="n"/>
      <c r="Y1117" s="61" t="n"/>
    </row>
    <row r="1118" ht="14.25" customHeight="1" s="86">
      <c r="E1118" s="53" t="inlineStr">
        <is>
          <t>LA</t>
        </is>
      </c>
      <c r="F1118" s="53" t="inlineStr">
        <is>
          <t>ACADIA</t>
        </is>
      </c>
      <c r="G1118" s="59" t="n"/>
      <c r="N1118" s="59" t="n"/>
      <c r="O1118" s="59" t="n"/>
      <c r="X1118" s="61" t="n"/>
      <c r="Y1118" s="61" t="n"/>
    </row>
    <row r="1119" ht="14.25" customHeight="1" s="86">
      <c r="E1119" s="53" t="inlineStr">
        <is>
          <t>LA</t>
        </is>
      </c>
      <c r="F1119" s="53" t="inlineStr">
        <is>
          <t>ALLEN</t>
        </is>
      </c>
      <c r="G1119" s="59" t="n"/>
      <c r="N1119" s="59" t="n"/>
      <c r="O1119" s="59" t="n"/>
      <c r="X1119" s="61" t="n"/>
      <c r="Y1119" s="61" t="n"/>
    </row>
    <row r="1120" ht="14.25" customHeight="1" s="86">
      <c r="E1120" s="53" t="inlineStr">
        <is>
          <t>LA</t>
        </is>
      </c>
      <c r="F1120" s="53" t="inlineStr">
        <is>
          <t>ASCENSION</t>
        </is>
      </c>
      <c r="G1120" s="59" t="n"/>
      <c r="N1120" s="59" t="n"/>
      <c r="O1120" s="59" t="n"/>
      <c r="X1120" s="61" t="n"/>
      <c r="Y1120" s="61" t="n"/>
    </row>
    <row r="1121" ht="14.25" customHeight="1" s="86">
      <c r="E1121" s="53" t="inlineStr">
        <is>
          <t>LA</t>
        </is>
      </c>
      <c r="F1121" s="53" t="inlineStr">
        <is>
          <t>ASSUMPTION</t>
        </is>
      </c>
      <c r="G1121" s="59" t="n"/>
      <c r="N1121" s="59" t="n"/>
      <c r="O1121" s="59" t="n"/>
      <c r="X1121" s="61" t="n"/>
      <c r="Y1121" s="61" t="n"/>
    </row>
    <row r="1122" ht="14.25" customHeight="1" s="86">
      <c r="E1122" s="53" t="inlineStr">
        <is>
          <t>LA</t>
        </is>
      </c>
      <c r="F1122" s="53" t="inlineStr">
        <is>
          <t>AVOYELLES</t>
        </is>
      </c>
      <c r="G1122" s="59" t="n"/>
      <c r="N1122" s="59" t="n"/>
      <c r="O1122" s="59" t="n"/>
      <c r="X1122" s="61" t="n"/>
      <c r="Y1122" s="61" t="n"/>
    </row>
    <row r="1123" ht="14.25" customHeight="1" s="86">
      <c r="E1123" s="53" t="inlineStr">
        <is>
          <t>LA</t>
        </is>
      </c>
      <c r="F1123" s="53" t="inlineStr">
        <is>
          <t>BEAUREGARD</t>
        </is>
      </c>
      <c r="G1123" s="59" t="n"/>
      <c r="N1123" s="59" t="n"/>
      <c r="O1123" s="59" t="n"/>
      <c r="X1123" s="61" t="n"/>
      <c r="Y1123" s="61" t="n"/>
    </row>
    <row r="1124" ht="14.25" customHeight="1" s="86">
      <c r="E1124" s="53" t="inlineStr">
        <is>
          <t>LA</t>
        </is>
      </c>
      <c r="F1124" s="53" t="inlineStr">
        <is>
          <t>BIENVILLE</t>
        </is>
      </c>
      <c r="G1124" s="59" t="n"/>
      <c r="N1124" s="59" t="n"/>
      <c r="O1124" s="59" t="n"/>
      <c r="X1124" s="61" t="n"/>
      <c r="Y1124" s="61" t="n"/>
    </row>
    <row r="1125" ht="14.25" customHeight="1" s="86">
      <c r="E1125" s="53" t="inlineStr">
        <is>
          <t>LA</t>
        </is>
      </c>
      <c r="F1125" s="53" t="inlineStr">
        <is>
          <t>BOSSIER</t>
        </is>
      </c>
      <c r="G1125" s="59" t="n"/>
      <c r="N1125" s="59" t="n"/>
      <c r="O1125" s="59" t="n"/>
      <c r="X1125" s="61" t="n"/>
      <c r="Y1125" s="61" t="n"/>
    </row>
    <row r="1126" ht="14.25" customHeight="1" s="86">
      <c r="E1126" s="53" t="inlineStr">
        <is>
          <t>LA</t>
        </is>
      </c>
      <c r="F1126" s="53" t="inlineStr">
        <is>
          <t>CADDO</t>
        </is>
      </c>
      <c r="G1126" s="59" t="n"/>
      <c r="N1126" s="59" t="n"/>
      <c r="O1126" s="59" t="n"/>
      <c r="X1126" s="61" t="n"/>
      <c r="Y1126" s="61" t="n"/>
    </row>
    <row r="1127" ht="14.25" customHeight="1" s="86">
      <c r="E1127" s="53" t="inlineStr">
        <is>
          <t>LA</t>
        </is>
      </c>
      <c r="F1127" s="53" t="inlineStr">
        <is>
          <t>CALCASIEU</t>
        </is>
      </c>
      <c r="G1127" s="59" t="n"/>
      <c r="N1127" s="59" t="n"/>
      <c r="O1127" s="59" t="n"/>
      <c r="X1127" s="61" t="n"/>
      <c r="Y1127" s="61" t="n"/>
    </row>
    <row r="1128" ht="14.25" customHeight="1" s="86">
      <c r="E1128" s="53" t="inlineStr">
        <is>
          <t>LA</t>
        </is>
      </c>
      <c r="F1128" s="53" t="inlineStr">
        <is>
          <t>CALDWELL</t>
        </is>
      </c>
      <c r="G1128" s="59" t="n"/>
      <c r="N1128" s="59" t="n"/>
      <c r="O1128" s="59" t="n"/>
      <c r="X1128" s="61" t="n"/>
      <c r="Y1128" s="61" t="n"/>
    </row>
    <row r="1129" ht="14.25" customHeight="1" s="86">
      <c r="E1129" s="53" t="inlineStr">
        <is>
          <t>LA</t>
        </is>
      </c>
      <c r="F1129" s="53" t="inlineStr">
        <is>
          <t>CAMERON</t>
        </is>
      </c>
      <c r="G1129" s="59" t="n"/>
      <c r="N1129" s="59" t="n"/>
      <c r="O1129" s="59" t="n"/>
      <c r="X1129" s="61" t="n"/>
      <c r="Y1129" s="61" t="n"/>
    </row>
    <row r="1130" ht="14.25" customHeight="1" s="86">
      <c r="E1130" s="53" t="inlineStr">
        <is>
          <t>LA</t>
        </is>
      </c>
      <c r="F1130" s="53" t="inlineStr">
        <is>
          <t>CATAHOULA</t>
        </is>
      </c>
      <c r="G1130" s="59" t="n"/>
      <c r="N1130" s="59" t="n"/>
      <c r="O1130" s="59" t="n"/>
      <c r="X1130" s="61" t="n"/>
      <c r="Y1130" s="61" t="n"/>
    </row>
    <row r="1131" ht="14.25" customHeight="1" s="86">
      <c r="E1131" s="53" t="inlineStr">
        <is>
          <t>LA</t>
        </is>
      </c>
      <c r="F1131" s="53" t="inlineStr">
        <is>
          <t>CLAIBORNE</t>
        </is>
      </c>
      <c r="G1131" s="59" t="n"/>
      <c r="N1131" s="59" t="n"/>
      <c r="O1131" s="59" t="n"/>
      <c r="X1131" s="61" t="n"/>
      <c r="Y1131" s="61" t="n"/>
    </row>
    <row r="1132" ht="14.25" customHeight="1" s="86">
      <c r="E1132" s="53" t="inlineStr">
        <is>
          <t>LA</t>
        </is>
      </c>
      <c r="F1132" s="53" t="inlineStr">
        <is>
          <t>CONCORDIA</t>
        </is>
      </c>
      <c r="G1132" s="59" t="n"/>
      <c r="N1132" s="59" t="n"/>
      <c r="O1132" s="59" t="n"/>
      <c r="X1132" s="61" t="n"/>
      <c r="Y1132" s="61" t="n"/>
    </row>
    <row r="1133" ht="14.25" customHeight="1" s="86">
      <c r="E1133" s="53" t="inlineStr">
        <is>
          <t>LA</t>
        </is>
      </c>
      <c r="F1133" s="53" t="inlineStr">
        <is>
          <t>DE SOTO</t>
        </is>
      </c>
      <c r="G1133" s="59" t="n"/>
      <c r="N1133" s="59" t="n"/>
      <c r="O1133" s="59" t="n"/>
      <c r="X1133" s="61" t="n"/>
      <c r="Y1133" s="61" t="n"/>
    </row>
    <row r="1134" ht="14.25" customHeight="1" s="86">
      <c r="E1134" s="53" t="inlineStr">
        <is>
          <t>LA</t>
        </is>
      </c>
      <c r="F1134" s="53" t="inlineStr">
        <is>
          <t>EAST BATON ROUGE</t>
        </is>
      </c>
      <c r="G1134" s="59" t="n"/>
      <c r="N1134" s="59" t="n"/>
      <c r="O1134" s="59" t="n"/>
      <c r="X1134" s="61" t="n"/>
      <c r="Y1134" s="61" t="n"/>
    </row>
    <row r="1135" ht="14.25" customHeight="1" s="86">
      <c r="E1135" s="53" t="inlineStr">
        <is>
          <t>LA</t>
        </is>
      </c>
      <c r="F1135" s="53" t="inlineStr">
        <is>
          <t>EAST CARROLL</t>
        </is>
      </c>
      <c r="G1135" s="59" t="n"/>
      <c r="N1135" s="59" t="n"/>
      <c r="O1135" s="59" t="n"/>
      <c r="X1135" s="61" t="n"/>
      <c r="Y1135" s="61" t="n"/>
    </row>
    <row r="1136" ht="14.25" customHeight="1" s="86">
      <c r="E1136" s="53" t="inlineStr">
        <is>
          <t>LA</t>
        </is>
      </c>
      <c r="F1136" s="53" t="inlineStr">
        <is>
          <t>EAST FELICIANA</t>
        </is>
      </c>
      <c r="G1136" s="59" t="n"/>
      <c r="N1136" s="59" t="n"/>
      <c r="O1136" s="59" t="n"/>
      <c r="X1136" s="61" t="n"/>
      <c r="Y1136" s="61" t="n"/>
    </row>
    <row r="1137" ht="14.25" customHeight="1" s="86">
      <c r="E1137" s="53" t="inlineStr">
        <is>
          <t>LA</t>
        </is>
      </c>
      <c r="F1137" s="53" t="inlineStr">
        <is>
          <t>EVANGELINE</t>
        </is>
      </c>
      <c r="G1137" s="59" t="n"/>
      <c r="N1137" s="59" t="n"/>
      <c r="O1137" s="59" t="n"/>
      <c r="X1137" s="61" t="n"/>
      <c r="Y1137" s="61" t="n"/>
    </row>
    <row r="1138" ht="14.25" customHeight="1" s="86">
      <c r="E1138" s="53" t="inlineStr">
        <is>
          <t>LA</t>
        </is>
      </c>
      <c r="F1138" s="53" t="inlineStr">
        <is>
          <t>FRANKLIN</t>
        </is>
      </c>
      <c r="G1138" s="59" t="n"/>
      <c r="N1138" s="59" t="n"/>
      <c r="O1138" s="59" t="n"/>
      <c r="X1138" s="61" t="n"/>
      <c r="Y1138" s="61" t="n"/>
    </row>
    <row r="1139" ht="14.25" customHeight="1" s="86">
      <c r="E1139" s="53" t="inlineStr">
        <is>
          <t>LA</t>
        </is>
      </c>
      <c r="F1139" s="53" t="inlineStr">
        <is>
          <t>GRANT</t>
        </is>
      </c>
      <c r="G1139" s="59" t="n"/>
      <c r="N1139" s="59" t="n"/>
      <c r="O1139" s="59" t="n"/>
      <c r="X1139" s="61" t="n"/>
      <c r="Y1139" s="61" t="n"/>
    </row>
    <row r="1140" ht="14.25" customHeight="1" s="86">
      <c r="E1140" s="53" t="inlineStr">
        <is>
          <t>LA</t>
        </is>
      </c>
      <c r="F1140" s="53" t="inlineStr">
        <is>
          <t>IBERIA</t>
        </is>
      </c>
      <c r="G1140" s="59" t="n"/>
      <c r="N1140" s="59" t="n"/>
      <c r="O1140" s="59" t="n"/>
      <c r="X1140" s="61" t="n"/>
      <c r="Y1140" s="61" t="n"/>
    </row>
    <row r="1141" ht="14.25" customHeight="1" s="86">
      <c r="E1141" s="53" t="inlineStr">
        <is>
          <t>LA</t>
        </is>
      </c>
      <c r="F1141" s="53" t="inlineStr">
        <is>
          <t>IBERVILLE</t>
        </is>
      </c>
      <c r="G1141" s="59" t="n"/>
      <c r="N1141" s="59" t="n"/>
      <c r="O1141" s="59" t="n"/>
      <c r="X1141" s="61" t="n"/>
      <c r="Y1141" s="61" t="n"/>
    </row>
    <row r="1142" ht="14.25" customHeight="1" s="86">
      <c r="E1142" s="53" t="inlineStr">
        <is>
          <t>LA</t>
        </is>
      </c>
      <c r="F1142" s="53" t="inlineStr">
        <is>
          <t>JACKSON</t>
        </is>
      </c>
      <c r="G1142" s="59" t="n"/>
      <c r="N1142" s="59" t="n"/>
      <c r="O1142" s="59" t="n"/>
      <c r="X1142" s="61" t="n"/>
      <c r="Y1142" s="61" t="n"/>
    </row>
    <row r="1143" ht="14.25" customHeight="1" s="86">
      <c r="E1143" s="53" t="inlineStr">
        <is>
          <t>LA</t>
        </is>
      </c>
      <c r="F1143" s="53" t="inlineStr">
        <is>
          <t>JEFFERSON</t>
        </is>
      </c>
      <c r="G1143" s="59" t="n"/>
      <c r="N1143" s="59" t="n"/>
      <c r="O1143" s="59" t="n"/>
      <c r="X1143" s="61" t="n"/>
      <c r="Y1143" s="61" t="n"/>
    </row>
    <row r="1144" ht="14.25" customHeight="1" s="86">
      <c r="E1144" s="53" t="inlineStr">
        <is>
          <t>LA</t>
        </is>
      </c>
      <c r="F1144" s="53" t="inlineStr">
        <is>
          <t>JEFFERSON DAVIS</t>
        </is>
      </c>
      <c r="G1144" s="59" t="n"/>
      <c r="N1144" s="59" t="n"/>
      <c r="O1144" s="59" t="n"/>
      <c r="X1144" s="61" t="n"/>
      <c r="Y1144" s="61" t="n"/>
    </row>
    <row r="1145" ht="14.25" customHeight="1" s="86">
      <c r="E1145" s="53" t="inlineStr">
        <is>
          <t>LA</t>
        </is>
      </c>
      <c r="F1145" s="53" t="inlineStr">
        <is>
          <t>LA SALLE</t>
        </is>
      </c>
      <c r="G1145" s="59" t="n"/>
      <c r="N1145" s="59" t="n"/>
      <c r="O1145" s="59" t="n"/>
      <c r="X1145" s="61" t="n"/>
      <c r="Y1145" s="61" t="n"/>
    </row>
    <row r="1146" ht="14.25" customHeight="1" s="86">
      <c r="E1146" s="53" t="inlineStr">
        <is>
          <t>LA</t>
        </is>
      </c>
      <c r="F1146" s="53" t="inlineStr">
        <is>
          <t>LAFAYETTE</t>
        </is>
      </c>
      <c r="G1146" s="59" t="n"/>
      <c r="N1146" s="59" t="n"/>
      <c r="O1146" s="59" t="n"/>
      <c r="X1146" s="61" t="n"/>
      <c r="Y1146" s="61" t="n"/>
    </row>
    <row r="1147" ht="14.25" customHeight="1" s="86">
      <c r="E1147" s="53" t="inlineStr">
        <is>
          <t>LA</t>
        </is>
      </c>
      <c r="F1147" s="53" t="inlineStr">
        <is>
          <t>LAFOURCHE</t>
        </is>
      </c>
      <c r="G1147" s="59" t="n"/>
      <c r="N1147" s="59" t="n"/>
      <c r="O1147" s="59" t="n"/>
      <c r="X1147" s="61" t="n"/>
      <c r="Y1147" s="61" t="n"/>
    </row>
    <row r="1148" ht="14.25" customHeight="1" s="86">
      <c r="E1148" s="53" t="inlineStr">
        <is>
          <t>LA</t>
        </is>
      </c>
      <c r="F1148" s="53" t="inlineStr">
        <is>
          <t>LINCOLN</t>
        </is>
      </c>
      <c r="G1148" s="59" t="n"/>
      <c r="N1148" s="59" t="n"/>
      <c r="O1148" s="59" t="n"/>
      <c r="X1148" s="61" t="n"/>
      <c r="Y1148" s="61" t="n"/>
    </row>
    <row r="1149" ht="14.25" customHeight="1" s="86">
      <c r="E1149" s="53" t="inlineStr">
        <is>
          <t>LA</t>
        </is>
      </c>
      <c r="F1149" s="53" t="inlineStr">
        <is>
          <t>LIVINGSTON</t>
        </is>
      </c>
      <c r="G1149" s="59" t="n"/>
      <c r="N1149" s="59" t="n"/>
      <c r="O1149" s="59" t="n"/>
      <c r="X1149" s="61" t="n"/>
      <c r="Y1149" s="61" t="n"/>
    </row>
    <row r="1150" ht="14.25" customHeight="1" s="86">
      <c r="E1150" s="53" t="inlineStr">
        <is>
          <t>LA</t>
        </is>
      </c>
      <c r="F1150" s="53" t="inlineStr">
        <is>
          <t>MADISON</t>
        </is>
      </c>
      <c r="G1150" s="59" t="n"/>
      <c r="N1150" s="59" t="n"/>
      <c r="O1150" s="59" t="n"/>
      <c r="X1150" s="61" t="n"/>
      <c r="Y1150" s="61" t="n"/>
    </row>
    <row r="1151" ht="14.25" customHeight="1" s="86">
      <c r="E1151" s="53" t="inlineStr">
        <is>
          <t>LA</t>
        </is>
      </c>
      <c r="F1151" s="53" t="inlineStr">
        <is>
          <t>MOREHOUSE</t>
        </is>
      </c>
      <c r="G1151" s="59" t="n"/>
      <c r="N1151" s="59" t="n"/>
      <c r="O1151" s="59" t="n"/>
      <c r="X1151" s="61" t="n"/>
      <c r="Y1151" s="61" t="n"/>
    </row>
    <row r="1152" ht="14.25" customHeight="1" s="86">
      <c r="E1152" s="53" t="inlineStr">
        <is>
          <t>LA</t>
        </is>
      </c>
      <c r="F1152" s="53" t="inlineStr">
        <is>
          <t>NATCHITOCHES</t>
        </is>
      </c>
      <c r="G1152" s="59" t="n"/>
      <c r="N1152" s="59" t="n"/>
      <c r="O1152" s="59" t="n"/>
      <c r="X1152" s="61" t="n"/>
      <c r="Y1152" s="61" t="n"/>
    </row>
    <row r="1153" ht="14.25" customHeight="1" s="86">
      <c r="E1153" s="53" t="inlineStr">
        <is>
          <t>LA</t>
        </is>
      </c>
      <c r="F1153" s="53" t="inlineStr">
        <is>
          <t>ORLEANS</t>
        </is>
      </c>
      <c r="G1153" s="59" t="n"/>
      <c r="N1153" s="59" t="n"/>
      <c r="O1153" s="59" t="n"/>
      <c r="X1153" s="61" t="n"/>
      <c r="Y1153" s="61" t="n"/>
    </row>
    <row r="1154" ht="14.25" customHeight="1" s="86">
      <c r="E1154" s="53" t="inlineStr">
        <is>
          <t>LA</t>
        </is>
      </c>
      <c r="F1154" s="53" t="inlineStr">
        <is>
          <t>OUACHITA</t>
        </is>
      </c>
      <c r="G1154" s="59" t="n"/>
      <c r="N1154" s="59" t="n"/>
      <c r="O1154" s="59" t="n"/>
      <c r="X1154" s="61" t="n"/>
      <c r="Y1154" s="61" t="n"/>
    </row>
    <row r="1155" ht="14.25" customHeight="1" s="86">
      <c r="E1155" s="53" t="inlineStr">
        <is>
          <t>LA</t>
        </is>
      </c>
      <c r="F1155" s="53" t="inlineStr">
        <is>
          <t>PLAQUEMINES</t>
        </is>
      </c>
      <c r="G1155" s="59" t="n"/>
      <c r="N1155" s="59" t="n"/>
      <c r="O1155" s="59" t="n"/>
      <c r="X1155" s="61" t="n"/>
      <c r="Y1155" s="61" t="n"/>
    </row>
    <row r="1156" ht="14.25" customHeight="1" s="86">
      <c r="E1156" s="53" t="inlineStr">
        <is>
          <t>LA</t>
        </is>
      </c>
      <c r="F1156" s="53" t="inlineStr">
        <is>
          <t>POINTE COUPEE</t>
        </is>
      </c>
      <c r="G1156" s="59" t="n"/>
      <c r="N1156" s="59" t="n"/>
      <c r="O1156" s="59" t="n"/>
      <c r="X1156" s="61" t="n"/>
      <c r="Y1156" s="61" t="n"/>
    </row>
    <row r="1157" ht="14.25" customHeight="1" s="86">
      <c r="E1157" s="53" t="inlineStr">
        <is>
          <t>LA</t>
        </is>
      </c>
      <c r="F1157" s="53" t="inlineStr">
        <is>
          <t>RAPIDES</t>
        </is>
      </c>
      <c r="G1157" s="59" t="n"/>
      <c r="N1157" s="59" t="n"/>
      <c r="O1157" s="59" t="n"/>
      <c r="X1157" s="61" t="n"/>
      <c r="Y1157" s="61" t="n"/>
    </row>
    <row r="1158" ht="14.25" customHeight="1" s="86">
      <c r="E1158" s="53" t="inlineStr">
        <is>
          <t>LA</t>
        </is>
      </c>
      <c r="F1158" s="53" t="inlineStr">
        <is>
          <t>RED RIVER</t>
        </is>
      </c>
      <c r="G1158" s="59" t="n"/>
      <c r="N1158" s="59" t="n"/>
      <c r="O1158" s="59" t="n"/>
      <c r="X1158" s="61" t="n"/>
      <c r="Y1158" s="61" t="n"/>
    </row>
    <row r="1159" ht="14.25" customHeight="1" s="86">
      <c r="E1159" s="53" t="inlineStr">
        <is>
          <t>LA</t>
        </is>
      </c>
      <c r="F1159" s="53" t="inlineStr">
        <is>
          <t>RICHLAND</t>
        </is>
      </c>
      <c r="G1159" s="59" t="n"/>
      <c r="N1159" s="59" t="n"/>
      <c r="O1159" s="59" t="n"/>
      <c r="X1159" s="61" t="n"/>
      <c r="Y1159" s="61" t="n"/>
    </row>
    <row r="1160" ht="14.25" customHeight="1" s="86">
      <c r="E1160" s="53" t="inlineStr">
        <is>
          <t>LA</t>
        </is>
      </c>
      <c r="F1160" s="53" t="inlineStr">
        <is>
          <t>SABINE</t>
        </is>
      </c>
      <c r="G1160" s="59" t="n"/>
      <c r="N1160" s="59" t="n"/>
      <c r="O1160" s="59" t="n"/>
      <c r="X1160" s="61" t="n"/>
      <c r="Y1160" s="61" t="n"/>
    </row>
    <row r="1161" ht="14.25" customHeight="1" s="86">
      <c r="E1161" s="53" t="inlineStr">
        <is>
          <t>LA</t>
        </is>
      </c>
      <c r="F1161" s="53" t="inlineStr">
        <is>
          <t>SAINT BERNARD</t>
        </is>
      </c>
      <c r="G1161" s="59" t="n"/>
      <c r="N1161" s="59" t="n"/>
      <c r="O1161" s="59" t="n"/>
      <c r="X1161" s="61" t="n"/>
      <c r="Y1161" s="61" t="n"/>
    </row>
    <row r="1162" ht="14.25" customHeight="1" s="86">
      <c r="E1162" s="53" t="inlineStr">
        <is>
          <t>LA</t>
        </is>
      </c>
      <c r="F1162" s="53" t="inlineStr">
        <is>
          <t>SAINT CHARLES</t>
        </is>
      </c>
      <c r="G1162" s="59" t="n"/>
      <c r="N1162" s="59" t="n"/>
      <c r="O1162" s="59" t="n"/>
      <c r="X1162" s="61" t="n"/>
      <c r="Y1162" s="61" t="n"/>
    </row>
    <row r="1163" ht="14.25" customHeight="1" s="86">
      <c r="E1163" s="53" t="inlineStr">
        <is>
          <t>LA</t>
        </is>
      </c>
      <c r="F1163" s="53" t="inlineStr">
        <is>
          <t>SAINT HELENA</t>
        </is>
      </c>
      <c r="G1163" s="59" t="n"/>
      <c r="N1163" s="59" t="n"/>
      <c r="O1163" s="59" t="n"/>
      <c r="X1163" s="61" t="n"/>
      <c r="Y1163" s="61" t="n"/>
    </row>
    <row r="1164" ht="14.25" customHeight="1" s="86">
      <c r="E1164" s="53" t="inlineStr">
        <is>
          <t>LA</t>
        </is>
      </c>
      <c r="F1164" s="53" t="inlineStr">
        <is>
          <t>SAINT JAMES</t>
        </is>
      </c>
      <c r="G1164" s="59" t="n"/>
      <c r="N1164" s="59" t="n"/>
      <c r="O1164" s="59" t="n"/>
      <c r="X1164" s="61" t="n"/>
      <c r="Y1164" s="61" t="n"/>
    </row>
    <row r="1165" ht="14.25" customHeight="1" s="86">
      <c r="E1165" s="53" t="inlineStr">
        <is>
          <t>LA</t>
        </is>
      </c>
      <c r="F1165" s="53" t="inlineStr">
        <is>
          <t>SAINT LANDRY</t>
        </is>
      </c>
      <c r="G1165" s="59" t="n"/>
      <c r="N1165" s="59" t="n"/>
      <c r="O1165" s="59" t="n"/>
      <c r="X1165" s="61" t="n"/>
      <c r="Y1165" s="61" t="n"/>
    </row>
    <row r="1166" ht="14.25" customHeight="1" s="86">
      <c r="E1166" s="53" t="inlineStr">
        <is>
          <t>LA</t>
        </is>
      </c>
      <c r="F1166" s="53" t="inlineStr">
        <is>
          <t>SAINT MARTIN</t>
        </is>
      </c>
      <c r="G1166" s="59" t="n"/>
      <c r="N1166" s="59" t="n"/>
      <c r="O1166" s="59" t="n"/>
      <c r="X1166" s="61" t="n"/>
      <c r="Y1166" s="61" t="n"/>
    </row>
    <row r="1167" ht="14.25" customHeight="1" s="86">
      <c r="E1167" s="53" t="inlineStr">
        <is>
          <t>LA</t>
        </is>
      </c>
      <c r="F1167" s="53" t="inlineStr">
        <is>
          <t>SAINT MARY</t>
        </is>
      </c>
      <c r="G1167" s="59" t="n"/>
      <c r="N1167" s="59" t="n"/>
      <c r="O1167" s="59" t="n"/>
      <c r="X1167" s="61" t="n"/>
      <c r="Y1167" s="61" t="n"/>
    </row>
    <row r="1168" ht="14.25" customHeight="1" s="86">
      <c r="E1168" s="53" t="inlineStr">
        <is>
          <t>LA</t>
        </is>
      </c>
      <c r="F1168" s="53" t="inlineStr">
        <is>
          <t>SAINT TAMMANY</t>
        </is>
      </c>
      <c r="G1168" s="59" t="n"/>
      <c r="N1168" s="59" t="n"/>
      <c r="O1168" s="59" t="n"/>
      <c r="X1168" s="61" t="n"/>
      <c r="Y1168" s="61" t="n"/>
    </row>
    <row r="1169" ht="14.25" customHeight="1" s="86">
      <c r="E1169" s="53" t="inlineStr">
        <is>
          <t>LA</t>
        </is>
      </c>
      <c r="F1169" s="53" t="inlineStr">
        <is>
          <t>ST JOHN THE BAPTIST</t>
        </is>
      </c>
      <c r="G1169" s="59" t="n"/>
      <c r="N1169" s="59" t="n"/>
      <c r="O1169" s="59" t="n"/>
      <c r="X1169" s="61" t="n"/>
      <c r="Y1169" s="61" t="n"/>
    </row>
    <row r="1170" ht="14.25" customHeight="1" s="86">
      <c r="E1170" s="53" t="inlineStr">
        <is>
          <t>LA</t>
        </is>
      </c>
      <c r="F1170" s="53" t="inlineStr">
        <is>
          <t>TANGIPAHOA</t>
        </is>
      </c>
      <c r="G1170" s="59" t="n"/>
      <c r="N1170" s="59" t="n"/>
      <c r="O1170" s="59" t="n"/>
      <c r="X1170" s="61" t="n"/>
      <c r="Y1170" s="61" t="n"/>
    </row>
    <row r="1171" ht="14.25" customHeight="1" s="86">
      <c r="E1171" s="53" t="inlineStr">
        <is>
          <t>LA</t>
        </is>
      </c>
      <c r="F1171" s="53" t="inlineStr">
        <is>
          <t>TENSAS</t>
        </is>
      </c>
      <c r="G1171" s="59" t="n"/>
      <c r="N1171" s="59" t="n"/>
      <c r="O1171" s="59" t="n"/>
      <c r="X1171" s="61" t="n"/>
      <c r="Y1171" s="61" t="n"/>
    </row>
    <row r="1172" ht="14.25" customHeight="1" s="86">
      <c r="E1172" s="53" t="inlineStr">
        <is>
          <t>LA</t>
        </is>
      </c>
      <c r="F1172" s="53" t="inlineStr">
        <is>
          <t>TERREBONNE</t>
        </is>
      </c>
      <c r="G1172" s="59" t="n"/>
      <c r="N1172" s="59" t="n"/>
      <c r="O1172" s="59" t="n"/>
      <c r="X1172" s="61" t="n"/>
      <c r="Y1172" s="61" t="n"/>
    </row>
    <row r="1173" ht="14.25" customHeight="1" s="86">
      <c r="E1173" s="53" t="inlineStr">
        <is>
          <t>LA</t>
        </is>
      </c>
      <c r="F1173" s="53" t="inlineStr">
        <is>
          <t>UNION</t>
        </is>
      </c>
      <c r="G1173" s="59" t="n"/>
      <c r="N1173" s="59" t="n"/>
      <c r="O1173" s="59" t="n"/>
      <c r="X1173" s="61" t="n"/>
      <c r="Y1173" s="61" t="n"/>
    </row>
    <row r="1174" ht="14.25" customHeight="1" s="86">
      <c r="E1174" s="53" t="inlineStr">
        <is>
          <t>LA</t>
        </is>
      </c>
      <c r="F1174" s="53" t="inlineStr">
        <is>
          <t>VERMILION</t>
        </is>
      </c>
      <c r="G1174" s="59" t="n"/>
      <c r="N1174" s="59" t="n"/>
      <c r="O1174" s="59" t="n"/>
      <c r="X1174" s="61" t="n"/>
      <c r="Y1174" s="61" t="n"/>
    </row>
    <row r="1175" ht="14.25" customHeight="1" s="86">
      <c r="E1175" s="53" t="inlineStr">
        <is>
          <t>LA</t>
        </is>
      </c>
      <c r="F1175" s="53" t="inlineStr">
        <is>
          <t>VERNON</t>
        </is>
      </c>
      <c r="G1175" s="59" t="n"/>
      <c r="N1175" s="59" t="n"/>
      <c r="O1175" s="59" t="n"/>
      <c r="X1175" s="61" t="n"/>
      <c r="Y1175" s="61" t="n"/>
    </row>
    <row r="1176" ht="14.25" customHeight="1" s="86">
      <c r="E1176" s="53" t="inlineStr">
        <is>
          <t>LA</t>
        </is>
      </c>
      <c r="F1176" s="53" t="inlineStr">
        <is>
          <t>WASHINGTON</t>
        </is>
      </c>
      <c r="G1176" s="59" t="n"/>
      <c r="N1176" s="59" t="n"/>
      <c r="O1176" s="59" t="n"/>
      <c r="X1176" s="61" t="n"/>
      <c r="Y1176" s="61" t="n"/>
    </row>
    <row r="1177" ht="14.25" customHeight="1" s="86">
      <c r="E1177" s="53" t="inlineStr">
        <is>
          <t>LA</t>
        </is>
      </c>
      <c r="F1177" s="53" t="inlineStr">
        <is>
          <t>WEBSTER</t>
        </is>
      </c>
      <c r="G1177" s="69" t="n"/>
      <c r="N1177" s="59" t="n"/>
      <c r="O1177" s="59" t="n"/>
      <c r="X1177" s="61" t="n"/>
      <c r="Y1177" s="61" t="n"/>
    </row>
    <row r="1178" ht="14.25" customHeight="1" s="86">
      <c r="E1178" s="53" t="inlineStr">
        <is>
          <t>LA</t>
        </is>
      </c>
      <c r="F1178" s="53" t="inlineStr">
        <is>
          <t>WEST BATON ROUGE</t>
        </is>
      </c>
      <c r="G1178" s="69" t="n"/>
      <c r="N1178" s="59" t="n"/>
      <c r="O1178" s="59" t="n"/>
      <c r="X1178" s="61" t="n"/>
      <c r="Y1178" s="61" t="n"/>
    </row>
    <row r="1179" ht="14.25" customHeight="1" s="86">
      <c r="E1179" s="53" t="inlineStr">
        <is>
          <t>LA</t>
        </is>
      </c>
      <c r="F1179" s="53" t="inlineStr">
        <is>
          <t>WEST CARROLL</t>
        </is>
      </c>
      <c r="G1179" s="69" t="n"/>
      <c r="N1179" s="59" t="n"/>
      <c r="O1179" s="59" t="n"/>
      <c r="X1179" s="61" t="n"/>
      <c r="Y1179" s="61" t="n"/>
    </row>
    <row r="1180" ht="14.25" customHeight="1" s="86">
      <c r="E1180" s="53" t="inlineStr">
        <is>
          <t>LA</t>
        </is>
      </c>
      <c r="F1180" s="53" t="inlineStr">
        <is>
          <t>WEST FELICIANA</t>
        </is>
      </c>
      <c r="G1180" s="69" t="n"/>
      <c r="N1180" s="59" t="n"/>
      <c r="O1180" s="59" t="n"/>
      <c r="X1180" s="61" t="n"/>
      <c r="Y1180" s="61" t="n"/>
    </row>
    <row r="1181" ht="14.25" customHeight="1" s="86">
      <c r="E1181" s="53" t="inlineStr">
        <is>
          <t>LA</t>
        </is>
      </c>
      <c r="F1181" s="53" t="inlineStr">
        <is>
          <t>WINN</t>
        </is>
      </c>
      <c r="G1181" s="69" t="n"/>
      <c r="N1181" s="59" t="n"/>
      <c r="O1181" s="59" t="n"/>
      <c r="X1181" s="61" t="n"/>
      <c r="Y1181" s="61" t="n"/>
    </row>
    <row r="1182" ht="14.25" customHeight="1" s="86">
      <c r="E1182" s="53" t="inlineStr">
        <is>
          <t>MA</t>
        </is>
      </c>
      <c r="F1182" s="53" t="inlineStr">
        <is>
          <t>BARNSTABLE</t>
        </is>
      </c>
      <c r="G1182" s="69" t="n"/>
      <c r="N1182" s="59" t="n"/>
      <c r="O1182" s="59" t="n"/>
      <c r="X1182" s="61" t="n"/>
      <c r="Y1182" s="61" t="n"/>
    </row>
    <row r="1183" ht="14.25" customHeight="1" s="86">
      <c r="E1183" s="53" t="inlineStr">
        <is>
          <t>MA</t>
        </is>
      </c>
      <c r="F1183" s="53" t="inlineStr">
        <is>
          <t>BERKSHIRE</t>
        </is>
      </c>
      <c r="G1183" s="69" t="n"/>
      <c r="N1183" s="59" t="n"/>
      <c r="O1183" s="59" t="n"/>
      <c r="X1183" s="61" t="n"/>
      <c r="Y1183" s="61" t="n"/>
    </row>
    <row r="1184" ht="14.25" customHeight="1" s="86">
      <c r="E1184" s="53" t="inlineStr">
        <is>
          <t>MA</t>
        </is>
      </c>
      <c r="F1184" s="53" t="inlineStr">
        <is>
          <t>BRISTOL</t>
        </is>
      </c>
      <c r="G1184" s="69" t="n"/>
      <c r="N1184" s="59" t="n"/>
      <c r="O1184" s="59" t="n"/>
      <c r="X1184" s="61" t="n"/>
      <c r="Y1184" s="61" t="n"/>
    </row>
    <row r="1185" ht="14.25" customHeight="1" s="86">
      <c r="E1185" s="53" t="inlineStr">
        <is>
          <t>MA</t>
        </is>
      </c>
      <c r="F1185" s="53" t="inlineStr">
        <is>
          <t>DUKES</t>
        </is>
      </c>
      <c r="G1185" s="69" t="n"/>
      <c r="N1185" s="59" t="n"/>
      <c r="O1185" s="59" t="n"/>
      <c r="X1185" s="61" t="n"/>
      <c r="Y1185" s="61" t="n"/>
    </row>
    <row r="1186" ht="14.25" customHeight="1" s="86">
      <c r="E1186" s="53" t="inlineStr">
        <is>
          <t>MA</t>
        </is>
      </c>
      <c r="F1186" s="53" t="inlineStr">
        <is>
          <t>ESSEX</t>
        </is>
      </c>
      <c r="G1186" s="69" t="n"/>
      <c r="N1186" s="59" t="n"/>
      <c r="O1186" s="59" t="n"/>
      <c r="X1186" s="61" t="n"/>
      <c r="Y1186" s="61" t="n"/>
    </row>
    <row r="1187" ht="14.25" customHeight="1" s="86">
      <c r="E1187" s="53" t="inlineStr">
        <is>
          <t>MA</t>
        </is>
      </c>
      <c r="F1187" s="53" t="inlineStr">
        <is>
          <t>FRANKLIN</t>
        </is>
      </c>
      <c r="G1187" s="69" t="n"/>
      <c r="N1187" s="59" t="n"/>
      <c r="O1187" s="59" t="n"/>
      <c r="X1187" s="61" t="n"/>
      <c r="Y1187" s="61" t="n"/>
    </row>
    <row r="1188" ht="14.25" customHeight="1" s="86">
      <c r="E1188" s="53" t="inlineStr">
        <is>
          <t>MA</t>
        </is>
      </c>
      <c r="F1188" s="53" t="inlineStr">
        <is>
          <t>HAMPDEN</t>
        </is>
      </c>
      <c r="G1188" s="69" t="n"/>
      <c r="N1188" s="59" t="n"/>
      <c r="O1188" s="59" t="n"/>
      <c r="X1188" s="61" t="n"/>
      <c r="Y1188" s="61" t="n"/>
    </row>
    <row r="1189" ht="14.25" customHeight="1" s="86">
      <c r="E1189" s="53" t="inlineStr">
        <is>
          <t>MA</t>
        </is>
      </c>
      <c r="F1189" s="53" t="inlineStr">
        <is>
          <t>HAMPSHIRE</t>
        </is>
      </c>
      <c r="G1189" s="69" t="n"/>
      <c r="N1189" s="59" t="n"/>
      <c r="O1189" s="59" t="n"/>
      <c r="X1189" s="61" t="n"/>
      <c r="Y1189" s="61" t="n"/>
    </row>
    <row r="1190" ht="14.25" customHeight="1" s="86">
      <c r="E1190" s="53" t="inlineStr">
        <is>
          <t>MA</t>
        </is>
      </c>
      <c r="F1190" s="53" t="inlineStr">
        <is>
          <t>MIDDLESEX</t>
        </is>
      </c>
      <c r="G1190" s="69" t="n"/>
      <c r="N1190" s="59" t="n"/>
      <c r="O1190" s="59" t="n"/>
      <c r="X1190" s="61" t="n"/>
      <c r="Y1190" s="61" t="n"/>
    </row>
    <row r="1191" ht="14.25" customHeight="1" s="86">
      <c r="E1191" s="53" t="inlineStr">
        <is>
          <t>MA</t>
        </is>
      </c>
      <c r="F1191" s="53" t="inlineStr">
        <is>
          <t>NANTUCKET</t>
        </is>
      </c>
      <c r="G1191" s="69" t="n"/>
      <c r="N1191" s="59" t="n"/>
      <c r="O1191" s="59" t="n"/>
      <c r="X1191" s="61" t="n"/>
      <c r="Y1191" s="61" t="n"/>
    </row>
    <row r="1192" ht="14.25" customHeight="1" s="86">
      <c r="E1192" s="53" t="inlineStr">
        <is>
          <t>MA</t>
        </is>
      </c>
      <c r="F1192" s="53" t="inlineStr">
        <is>
          <t>NORFOLK</t>
        </is>
      </c>
      <c r="G1192" s="69" t="n"/>
      <c r="N1192" s="59" t="n"/>
      <c r="O1192" s="59" t="n"/>
      <c r="X1192" s="61" t="n"/>
      <c r="Y1192" s="61" t="n"/>
    </row>
    <row r="1193" ht="14.25" customHeight="1" s="86">
      <c r="E1193" s="53" t="inlineStr">
        <is>
          <t>MA</t>
        </is>
      </c>
      <c r="F1193" s="53" t="inlineStr">
        <is>
          <t>PLYMOUTH</t>
        </is>
      </c>
      <c r="G1193" s="59" t="n"/>
      <c r="N1193" s="59" t="n"/>
      <c r="O1193" s="59" t="n"/>
      <c r="X1193" s="61" t="n"/>
      <c r="Y1193" s="61" t="n"/>
    </row>
    <row r="1194" ht="14.25" customHeight="1" s="86">
      <c r="E1194" s="53" t="inlineStr">
        <is>
          <t>MA</t>
        </is>
      </c>
      <c r="F1194" s="53" t="inlineStr">
        <is>
          <t>SUFFOLK</t>
        </is>
      </c>
      <c r="G1194" s="59" t="n"/>
      <c r="N1194" s="59" t="n"/>
      <c r="O1194" s="59" t="n"/>
      <c r="X1194" s="61" t="n"/>
      <c r="Y1194" s="61" t="n"/>
    </row>
    <row r="1195" ht="14.25" customHeight="1" s="86">
      <c r="E1195" s="53" t="inlineStr">
        <is>
          <t>MA</t>
        </is>
      </c>
      <c r="F1195" s="53" t="inlineStr">
        <is>
          <t>WORCESTER</t>
        </is>
      </c>
      <c r="G1195" s="59" t="n"/>
      <c r="N1195" s="59" t="n"/>
      <c r="O1195" s="59" t="n"/>
      <c r="X1195" s="61" t="n"/>
      <c r="Y1195" s="61" t="n"/>
    </row>
    <row r="1196" ht="14.25" customHeight="1" s="86">
      <c r="E1196" s="53" t="inlineStr">
        <is>
          <t>MD</t>
        </is>
      </c>
      <c r="F1196" s="53" t="inlineStr">
        <is>
          <t>ALLEGANY</t>
        </is>
      </c>
      <c r="G1196" s="59" t="n"/>
      <c r="N1196" s="59" t="n"/>
      <c r="O1196" s="59" t="n"/>
      <c r="X1196" s="61" t="n"/>
      <c r="Y1196" s="61" t="n"/>
    </row>
    <row r="1197" ht="14.25" customHeight="1" s="86">
      <c r="E1197" s="53" t="inlineStr">
        <is>
          <t>MD</t>
        </is>
      </c>
      <c r="F1197" s="53" t="inlineStr">
        <is>
          <t>ANNE ARUNDEL</t>
        </is>
      </c>
      <c r="G1197" s="59" t="n"/>
      <c r="N1197" s="59" t="n"/>
      <c r="O1197" s="59" t="n"/>
      <c r="X1197" s="61" t="n"/>
      <c r="Y1197" s="61" t="n"/>
    </row>
    <row r="1198" ht="14.25" customHeight="1" s="86">
      <c r="E1198" s="53" t="inlineStr">
        <is>
          <t>MD</t>
        </is>
      </c>
      <c r="F1198" s="53" t="inlineStr">
        <is>
          <t>BALTIMORE</t>
        </is>
      </c>
      <c r="G1198" s="59" t="n"/>
      <c r="N1198" s="59" t="n"/>
      <c r="O1198" s="59" t="n"/>
      <c r="X1198" s="61" t="n"/>
      <c r="Y1198" s="61" t="n"/>
    </row>
    <row r="1199" ht="14.25" customHeight="1" s="86">
      <c r="E1199" s="53" t="inlineStr">
        <is>
          <t>MD</t>
        </is>
      </c>
      <c r="F1199" s="53" t="inlineStr">
        <is>
          <t>BALTIMORE CITY</t>
        </is>
      </c>
      <c r="G1199" s="59" t="n"/>
      <c r="N1199" s="59" t="n"/>
      <c r="O1199" s="59" t="n"/>
      <c r="X1199" s="61" t="n"/>
      <c r="Y1199" s="61" t="n"/>
    </row>
    <row r="1200" ht="14.25" customHeight="1" s="86">
      <c r="E1200" s="53" t="inlineStr">
        <is>
          <t>MD</t>
        </is>
      </c>
      <c r="F1200" s="53" t="inlineStr">
        <is>
          <t>CALVERT</t>
        </is>
      </c>
      <c r="G1200" s="59" t="n"/>
      <c r="N1200" s="59" t="n"/>
      <c r="O1200" s="59" t="n"/>
      <c r="X1200" s="61" t="n"/>
      <c r="Y1200" s="61" t="n"/>
    </row>
    <row r="1201" ht="14.25" customHeight="1" s="86">
      <c r="E1201" s="53" t="inlineStr">
        <is>
          <t>MD</t>
        </is>
      </c>
      <c r="F1201" s="53" t="inlineStr">
        <is>
          <t>CAROLINE</t>
        </is>
      </c>
      <c r="G1201" s="59" t="n"/>
      <c r="N1201" s="59" t="n"/>
      <c r="O1201" s="59" t="n"/>
      <c r="X1201" s="61" t="n"/>
      <c r="Y1201" s="61" t="n"/>
    </row>
    <row r="1202" ht="14.25" customHeight="1" s="86">
      <c r="E1202" s="53" t="inlineStr">
        <is>
          <t>MD</t>
        </is>
      </c>
      <c r="F1202" s="53" t="inlineStr">
        <is>
          <t>CARROLL</t>
        </is>
      </c>
      <c r="G1202" s="59" t="n"/>
      <c r="N1202" s="59" t="n"/>
      <c r="O1202" s="59" t="n"/>
      <c r="X1202" s="61" t="n"/>
      <c r="Y1202" s="61" t="n"/>
    </row>
    <row r="1203" ht="14.25" customHeight="1" s="86">
      <c r="E1203" s="53" t="inlineStr">
        <is>
          <t>MD</t>
        </is>
      </c>
      <c r="F1203" s="53" t="inlineStr">
        <is>
          <t>CECIL</t>
        </is>
      </c>
      <c r="G1203" s="59" t="n"/>
      <c r="N1203" s="59" t="n"/>
      <c r="O1203" s="59" t="n"/>
      <c r="X1203" s="61" t="n"/>
      <c r="Y1203" s="61" t="n"/>
    </row>
    <row r="1204" ht="14.25" customHeight="1" s="86">
      <c r="E1204" s="53" t="inlineStr">
        <is>
          <t>MD</t>
        </is>
      </c>
      <c r="F1204" s="53" t="inlineStr">
        <is>
          <t>CHARLES</t>
        </is>
      </c>
      <c r="G1204" s="59" t="n"/>
      <c r="N1204" s="59" t="n"/>
      <c r="O1204" s="59" t="n"/>
      <c r="X1204" s="61" t="n"/>
      <c r="Y1204" s="61" t="n"/>
    </row>
    <row r="1205" ht="14.25" customHeight="1" s="86">
      <c r="E1205" s="53" t="inlineStr">
        <is>
          <t>MD</t>
        </is>
      </c>
      <c r="F1205" s="53" t="inlineStr">
        <is>
          <t>DORCHESTER</t>
        </is>
      </c>
      <c r="G1205" s="59" t="n"/>
      <c r="N1205" s="59" t="n"/>
      <c r="O1205" s="59" t="n"/>
      <c r="X1205" s="61" t="n"/>
      <c r="Y1205" s="61" t="n"/>
    </row>
    <row r="1206" ht="14.25" customHeight="1" s="86">
      <c r="E1206" s="53" t="inlineStr">
        <is>
          <t>MD</t>
        </is>
      </c>
      <c r="F1206" s="53" t="inlineStr">
        <is>
          <t>FREDERICK</t>
        </is>
      </c>
      <c r="G1206" s="59" t="n"/>
      <c r="N1206" s="59" t="n"/>
      <c r="O1206" s="59" t="n"/>
      <c r="X1206" s="61" t="n"/>
      <c r="Y1206" s="61" t="n"/>
    </row>
    <row r="1207" ht="14.25" customHeight="1" s="86">
      <c r="E1207" s="53" t="inlineStr">
        <is>
          <t>MD</t>
        </is>
      </c>
      <c r="F1207" s="53" t="inlineStr">
        <is>
          <t>GARRETT</t>
        </is>
      </c>
      <c r="G1207" s="59" t="n"/>
      <c r="N1207" s="59" t="n"/>
      <c r="O1207" s="59" t="n"/>
      <c r="X1207" s="61" t="n"/>
      <c r="Y1207" s="61" t="n"/>
    </row>
    <row r="1208" ht="14.25" customHeight="1" s="86">
      <c r="E1208" s="53" t="inlineStr">
        <is>
          <t>MD</t>
        </is>
      </c>
      <c r="F1208" s="53" t="inlineStr">
        <is>
          <t>HARFORD</t>
        </is>
      </c>
      <c r="G1208" s="59" t="n"/>
      <c r="N1208" s="59" t="n"/>
      <c r="O1208" s="59" t="n"/>
      <c r="X1208" s="61" t="n"/>
      <c r="Y1208" s="61" t="n"/>
    </row>
    <row r="1209" ht="14.25" customHeight="1" s="86">
      <c r="E1209" s="53" t="inlineStr">
        <is>
          <t>MD</t>
        </is>
      </c>
      <c r="F1209" s="53" t="inlineStr">
        <is>
          <t>HOWARD</t>
        </is>
      </c>
      <c r="G1209" s="59" t="n"/>
      <c r="N1209" s="59" t="n"/>
      <c r="O1209" s="59" t="n"/>
      <c r="X1209" s="61" t="n"/>
      <c r="Y1209" s="61" t="n"/>
    </row>
    <row r="1210" ht="14.25" customHeight="1" s="86">
      <c r="E1210" s="53" t="inlineStr">
        <is>
          <t>MD</t>
        </is>
      </c>
      <c r="F1210" s="53" t="inlineStr">
        <is>
          <t>KENT</t>
        </is>
      </c>
      <c r="G1210" s="59" t="n"/>
      <c r="N1210" s="59" t="n"/>
      <c r="O1210" s="59" t="n"/>
      <c r="X1210" s="61" t="n"/>
      <c r="Y1210" s="61" t="n"/>
    </row>
    <row r="1211" ht="14.25" customHeight="1" s="86">
      <c r="E1211" s="53" t="inlineStr">
        <is>
          <t>MD</t>
        </is>
      </c>
      <c r="F1211" s="53" t="inlineStr">
        <is>
          <t>MONTGOMERY</t>
        </is>
      </c>
      <c r="G1211" s="59" t="n"/>
      <c r="N1211" s="59" t="n"/>
      <c r="O1211" s="59" t="n"/>
      <c r="X1211" s="61" t="n"/>
      <c r="Y1211" s="61" t="n"/>
    </row>
    <row r="1212" ht="14.25" customHeight="1" s="86">
      <c r="E1212" s="53" t="inlineStr">
        <is>
          <t>MD</t>
        </is>
      </c>
      <c r="F1212" s="53" t="inlineStr">
        <is>
          <t>PRINCE GEORGES</t>
        </is>
      </c>
      <c r="G1212" s="59" t="n"/>
      <c r="N1212" s="59" t="n"/>
      <c r="O1212" s="59" t="n"/>
      <c r="X1212" s="61" t="n"/>
      <c r="Y1212" s="61" t="n"/>
    </row>
    <row r="1213" ht="14.25" customHeight="1" s="86">
      <c r="E1213" s="53" t="inlineStr">
        <is>
          <t>MD</t>
        </is>
      </c>
      <c r="F1213" s="53" t="inlineStr">
        <is>
          <t>QUEEN ANNES</t>
        </is>
      </c>
      <c r="G1213" s="59" t="n"/>
      <c r="N1213" s="59" t="n"/>
      <c r="O1213" s="59" t="n"/>
      <c r="X1213" s="61" t="n"/>
      <c r="Y1213" s="61" t="n"/>
    </row>
    <row r="1214" ht="14.25" customHeight="1" s="86">
      <c r="E1214" s="53" t="inlineStr">
        <is>
          <t>MD</t>
        </is>
      </c>
      <c r="F1214" s="53" t="inlineStr">
        <is>
          <t>SAINT MARYS</t>
        </is>
      </c>
      <c r="G1214" s="59" t="n"/>
      <c r="N1214" s="59" t="n"/>
      <c r="O1214" s="59" t="n"/>
      <c r="X1214" s="61" t="n"/>
      <c r="Y1214" s="61" t="n"/>
    </row>
    <row r="1215" ht="14.25" customHeight="1" s="86">
      <c r="E1215" s="53" t="inlineStr">
        <is>
          <t>MD</t>
        </is>
      </c>
      <c r="F1215" s="53" t="inlineStr">
        <is>
          <t>SOMERSET</t>
        </is>
      </c>
      <c r="G1215" s="59" t="n"/>
      <c r="N1215" s="59" t="n"/>
      <c r="O1215" s="59" t="n"/>
      <c r="X1215" s="61" t="n"/>
      <c r="Y1215" s="61" t="n"/>
    </row>
    <row r="1216" ht="14.25" customHeight="1" s="86">
      <c r="E1216" s="53" t="inlineStr">
        <is>
          <t>MD</t>
        </is>
      </c>
      <c r="F1216" s="53" t="inlineStr">
        <is>
          <t>TALBOT</t>
        </is>
      </c>
      <c r="G1216" s="59" t="n"/>
      <c r="N1216" s="59" t="n"/>
      <c r="O1216" s="59" t="n"/>
      <c r="X1216" s="61" t="n"/>
      <c r="Y1216" s="61" t="n"/>
    </row>
    <row r="1217" ht="14.25" customHeight="1" s="86">
      <c r="E1217" s="53" t="inlineStr">
        <is>
          <t>MD</t>
        </is>
      </c>
      <c r="F1217" s="53" t="inlineStr">
        <is>
          <t>WASHINGTON</t>
        </is>
      </c>
      <c r="G1217" s="59" t="n"/>
      <c r="N1217" s="59" t="n"/>
      <c r="O1217" s="59" t="n"/>
      <c r="X1217" s="61" t="n"/>
      <c r="Y1217" s="61" t="n"/>
    </row>
    <row r="1218" ht="14.25" customHeight="1" s="86">
      <c r="E1218" s="53" t="inlineStr">
        <is>
          <t>MD</t>
        </is>
      </c>
      <c r="F1218" s="53" t="inlineStr">
        <is>
          <t>WICOMICO</t>
        </is>
      </c>
      <c r="G1218" s="59" t="n"/>
      <c r="N1218" s="59" t="n"/>
      <c r="O1218" s="59" t="n"/>
      <c r="X1218" s="61" t="n"/>
      <c r="Y1218" s="61" t="n"/>
    </row>
    <row r="1219" ht="14.25" customHeight="1" s="86">
      <c r="E1219" s="53" t="inlineStr">
        <is>
          <t>MD</t>
        </is>
      </c>
      <c r="F1219" s="53" t="inlineStr">
        <is>
          <t>WORCESTER</t>
        </is>
      </c>
      <c r="G1219" s="59" t="n"/>
      <c r="N1219" s="59" t="n"/>
      <c r="O1219" s="59" t="n"/>
      <c r="X1219" s="61" t="n"/>
      <c r="Y1219" s="61" t="n"/>
    </row>
    <row r="1220" ht="14.25" customHeight="1" s="86">
      <c r="E1220" s="53" t="inlineStr">
        <is>
          <t>ME</t>
        </is>
      </c>
      <c r="F1220" s="53" t="inlineStr">
        <is>
          <t>ANDROSCOGGIN</t>
        </is>
      </c>
      <c r="G1220" s="59" t="n"/>
      <c r="N1220" s="59" t="n"/>
      <c r="O1220" s="59" t="n"/>
      <c r="X1220" s="61" t="n"/>
      <c r="Y1220" s="61" t="n"/>
    </row>
    <row r="1221" ht="14.25" customHeight="1" s="86">
      <c r="E1221" s="53" t="inlineStr">
        <is>
          <t>ME</t>
        </is>
      </c>
      <c r="F1221" s="53" t="inlineStr">
        <is>
          <t>AROOSTOOK</t>
        </is>
      </c>
      <c r="G1221" s="59" t="n"/>
      <c r="N1221" s="59" t="n"/>
      <c r="O1221" s="59" t="n"/>
      <c r="X1221" s="61" t="n"/>
      <c r="Y1221" s="61" t="n"/>
    </row>
    <row r="1222" ht="14.25" customHeight="1" s="86">
      <c r="E1222" s="53" t="inlineStr">
        <is>
          <t>ME</t>
        </is>
      </c>
      <c r="F1222" s="53" t="inlineStr">
        <is>
          <t>CUMBERLAND</t>
        </is>
      </c>
      <c r="G1222" s="59" t="n"/>
      <c r="N1222" s="59" t="n"/>
      <c r="O1222" s="59" t="n"/>
      <c r="X1222" s="61" t="n"/>
      <c r="Y1222" s="61" t="n"/>
    </row>
    <row r="1223" ht="14.25" customHeight="1" s="86">
      <c r="E1223" s="53" t="inlineStr">
        <is>
          <t>ME</t>
        </is>
      </c>
      <c r="F1223" s="53" t="inlineStr">
        <is>
          <t>FRANKLIN</t>
        </is>
      </c>
      <c r="G1223" s="59" t="n"/>
      <c r="N1223" s="59" t="n"/>
      <c r="O1223" s="59" t="n"/>
      <c r="X1223" s="61" t="n"/>
      <c r="Y1223" s="61" t="n"/>
    </row>
    <row r="1224" ht="14.25" customHeight="1" s="86">
      <c r="E1224" s="53" t="inlineStr">
        <is>
          <t>ME</t>
        </is>
      </c>
      <c r="F1224" s="53" t="inlineStr">
        <is>
          <t>HANCOCK</t>
        </is>
      </c>
      <c r="G1224" s="59" t="n"/>
      <c r="N1224" s="59" t="n"/>
      <c r="O1224" s="59" t="n"/>
      <c r="X1224" s="61" t="n"/>
      <c r="Y1224" s="61" t="n"/>
    </row>
    <row r="1225" ht="14.25" customHeight="1" s="86">
      <c r="E1225" s="53" t="inlineStr">
        <is>
          <t>ME</t>
        </is>
      </c>
      <c r="F1225" s="53" t="inlineStr">
        <is>
          <t>KENNEBEC</t>
        </is>
      </c>
      <c r="G1225" s="59" t="n"/>
      <c r="N1225" s="59" t="n"/>
      <c r="O1225" s="59" t="n"/>
      <c r="X1225" s="61" t="n"/>
      <c r="Y1225" s="61" t="n"/>
    </row>
    <row r="1226" ht="14.25" customHeight="1" s="86">
      <c r="E1226" s="53" t="inlineStr">
        <is>
          <t>ME</t>
        </is>
      </c>
      <c r="F1226" s="53" t="inlineStr">
        <is>
          <t>KNOX</t>
        </is>
      </c>
      <c r="G1226" s="59" t="n"/>
      <c r="N1226" s="59" t="n"/>
      <c r="O1226" s="59" t="n"/>
      <c r="X1226" s="61" t="n"/>
      <c r="Y1226" s="61" t="n"/>
    </row>
    <row r="1227" ht="14.25" customHeight="1" s="86">
      <c r="E1227" s="53" t="inlineStr">
        <is>
          <t>ME</t>
        </is>
      </c>
      <c r="F1227" s="53" t="inlineStr">
        <is>
          <t>LINCOLN</t>
        </is>
      </c>
      <c r="G1227" s="59" t="n"/>
      <c r="N1227" s="59" t="n"/>
      <c r="O1227" s="59" t="n"/>
      <c r="X1227" s="61" t="n"/>
      <c r="Y1227" s="61" t="n"/>
    </row>
    <row r="1228" ht="14.25" customHeight="1" s="86">
      <c r="E1228" s="53" t="inlineStr">
        <is>
          <t>ME</t>
        </is>
      </c>
      <c r="F1228" s="53" t="inlineStr">
        <is>
          <t>OXFORD</t>
        </is>
      </c>
      <c r="G1228" s="59" t="n"/>
      <c r="N1228" s="59" t="n"/>
      <c r="O1228" s="59" t="n"/>
      <c r="X1228" s="61" t="n"/>
      <c r="Y1228" s="61" t="n"/>
    </row>
    <row r="1229" ht="14.25" customHeight="1" s="86">
      <c r="E1229" s="53" t="inlineStr">
        <is>
          <t>ME</t>
        </is>
      </c>
      <c r="F1229" s="53" t="inlineStr">
        <is>
          <t>PENOBSCOT</t>
        </is>
      </c>
      <c r="G1229" s="59" t="n"/>
      <c r="N1229" s="59" t="n"/>
      <c r="O1229" s="59" t="n"/>
      <c r="X1229" s="61" t="n"/>
      <c r="Y1229" s="61" t="n"/>
    </row>
    <row r="1230" ht="14.25" customHeight="1" s="86">
      <c r="E1230" s="53" t="inlineStr">
        <is>
          <t>ME</t>
        </is>
      </c>
      <c r="F1230" s="53" t="inlineStr">
        <is>
          <t>PISCATAQUIS</t>
        </is>
      </c>
      <c r="G1230" s="59" t="n"/>
      <c r="N1230" s="59" t="n"/>
      <c r="O1230" s="59" t="n"/>
      <c r="X1230" s="61" t="n"/>
      <c r="Y1230" s="61" t="n"/>
    </row>
    <row r="1231" ht="14.25" customHeight="1" s="86">
      <c r="E1231" s="53" t="inlineStr">
        <is>
          <t>ME</t>
        </is>
      </c>
      <c r="F1231" s="53" t="inlineStr">
        <is>
          <t>SAGADAHOC</t>
        </is>
      </c>
      <c r="G1231" s="59" t="n"/>
      <c r="N1231" s="59" t="n"/>
      <c r="O1231" s="59" t="n"/>
      <c r="X1231" s="61" t="n"/>
      <c r="Y1231" s="61" t="n"/>
    </row>
    <row r="1232" ht="14.25" customHeight="1" s="86">
      <c r="E1232" s="53" t="inlineStr">
        <is>
          <t>ME</t>
        </is>
      </c>
      <c r="F1232" s="53" t="inlineStr">
        <is>
          <t>SOMERSET</t>
        </is>
      </c>
      <c r="G1232" s="59" t="n"/>
      <c r="N1232" s="59" t="n"/>
      <c r="O1232" s="59" t="n"/>
      <c r="X1232" s="61" t="n"/>
      <c r="Y1232" s="61" t="n"/>
    </row>
    <row r="1233" ht="14.25" customHeight="1" s="86">
      <c r="E1233" s="53" t="inlineStr">
        <is>
          <t>ME</t>
        </is>
      </c>
      <c r="F1233" s="53" t="inlineStr">
        <is>
          <t>WALDO</t>
        </is>
      </c>
      <c r="G1233" s="59" t="n"/>
      <c r="N1233" s="59" t="n"/>
      <c r="O1233" s="59" t="n"/>
      <c r="X1233" s="61" t="n"/>
      <c r="Y1233" s="61" t="n"/>
    </row>
    <row r="1234" ht="14.25" customHeight="1" s="86">
      <c r="E1234" s="53" t="inlineStr">
        <is>
          <t>ME</t>
        </is>
      </c>
      <c r="F1234" s="53" t="inlineStr">
        <is>
          <t>WASHINGTON</t>
        </is>
      </c>
      <c r="G1234" s="59" t="n"/>
      <c r="N1234" s="59" t="n"/>
      <c r="O1234" s="59" t="n"/>
      <c r="X1234" s="61" t="n"/>
      <c r="Y1234" s="61" t="n"/>
    </row>
    <row r="1235" ht="14.25" customHeight="1" s="86">
      <c r="E1235" s="53" t="inlineStr">
        <is>
          <t>ME</t>
        </is>
      </c>
      <c r="F1235" s="53" t="inlineStr">
        <is>
          <t>YORK</t>
        </is>
      </c>
      <c r="G1235" s="59" t="n"/>
      <c r="N1235" s="59" t="n"/>
      <c r="O1235" s="59" t="n"/>
      <c r="X1235" s="61" t="n"/>
      <c r="Y1235" s="61" t="n"/>
    </row>
    <row r="1236" ht="14.25" customHeight="1" s="86">
      <c r="E1236" s="53" t="inlineStr">
        <is>
          <t>MH</t>
        </is>
      </c>
      <c r="F1236" s="53" t="inlineStr">
        <is>
          <t>MARSHALL ISLANDS</t>
        </is>
      </c>
      <c r="G1236" s="59" t="n"/>
      <c r="N1236" s="59" t="n"/>
      <c r="O1236" s="59" t="n"/>
      <c r="X1236" s="61" t="n"/>
      <c r="Y1236" s="61" t="n"/>
    </row>
    <row r="1237" ht="14.25" customHeight="1" s="86">
      <c r="E1237" s="53" t="inlineStr">
        <is>
          <t>MI</t>
        </is>
      </c>
      <c r="F1237" s="53" t="inlineStr">
        <is>
          <t>ALCONA</t>
        </is>
      </c>
      <c r="G1237" s="59" t="n"/>
      <c r="N1237" s="59" t="n"/>
      <c r="O1237" s="59" t="n"/>
      <c r="X1237" s="61" t="n"/>
      <c r="Y1237" s="61" t="n"/>
    </row>
    <row r="1238" ht="14.25" customHeight="1" s="86">
      <c r="E1238" s="53" t="inlineStr">
        <is>
          <t>MI</t>
        </is>
      </c>
      <c r="F1238" s="53" t="inlineStr">
        <is>
          <t>ALGER</t>
        </is>
      </c>
      <c r="G1238" s="59" t="n"/>
      <c r="N1238" s="59" t="n"/>
      <c r="O1238" s="59" t="n"/>
      <c r="X1238" s="61" t="n"/>
      <c r="Y1238" s="61" t="n"/>
    </row>
    <row r="1239" ht="14.25" customHeight="1" s="86">
      <c r="E1239" s="53" t="inlineStr">
        <is>
          <t>MI</t>
        </is>
      </c>
      <c r="F1239" s="53" t="inlineStr">
        <is>
          <t>ALLEGAN</t>
        </is>
      </c>
      <c r="G1239" s="59" t="n"/>
      <c r="N1239" s="59" t="n"/>
      <c r="O1239" s="59" t="n"/>
      <c r="X1239" s="61" t="n"/>
      <c r="Y1239" s="61" t="n"/>
    </row>
    <row r="1240" ht="14.25" customHeight="1" s="86">
      <c r="E1240" s="53" t="inlineStr">
        <is>
          <t>MI</t>
        </is>
      </c>
      <c r="F1240" s="53" t="inlineStr">
        <is>
          <t>ALPENA</t>
        </is>
      </c>
      <c r="G1240" s="59" t="n"/>
      <c r="N1240" s="59" t="n"/>
      <c r="O1240" s="59" t="n"/>
      <c r="X1240" s="61" t="n"/>
      <c r="Y1240" s="61" t="n"/>
    </row>
    <row r="1241" ht="14.25" customHeight="1" s="86">
      <c r="E1241" s="53" t="inlineStr">
        <is>
          <t>MI</t>
        </is>
      </c>
      <c r="F1241" s="53" t="inlineStr">
        <is>
          <t>ANTRIM</t>
        </is>
      </c>
      <c r="G1241" s="59" t="n"/>
      <c r="N1241" s="59" t="n"/>
      <c r="O1241" s="59" t="n"/>
      <c r="X1241" s="61" t="n"/>
      <c r="Y1241" s="61" t="n"/>
    </row>
    <row r="1242" ht="14.25" customHeight="1" s="86">
      <c r="E1242" s="53" t="inlineStr">
        <is>
          <t>MI</t>
        </is>
      </c>
      <c r="F1242" s="53" t="inlineStr">
        <is>
          <t>ARENAC</t>
        </is>
      </c>
      <c r="G1242" s="59" t="n"/>
      <c r="N1242" s="59" t="n"/>
      <c r="O1242" s="59" t="n"/>
      <c r="X1242" s="61" t="n"/>
      <c r="Y1242" s="61" t="n"/>
    </row>
    <row r="1243" ht="14.25" customHeight="1" s="86">
      <c r="E1243" s="53" t="inlineStr">
        <is>
          <t>MI</t>
        </is>
      </c>
      <c r="F1243" s="53" t="inlineStr">
        <is>
          <t>BARAGA</t>
        </is>
      </c>
      <c r="G1243" s="59" t="n"/>
      <c r="N1243" s="59" t="n"/>
      <c r="O1243" s="59" t="n"/>
      <c r="X1243" s="61" t="n"/>
      <c r="Y1243" s="61" t="n"/>
    </row>
    <row r="1244" ht="14.25" customHeight="1" s="86">
      <c r="E1244" s="53" t="inlineStr">
        <is>
          <t>MI</t>
        </is>
      </c>
      <c r="F1244" s="53" t="inlineStr">
        <is>
          <t>BARRY</t>
        </is>
      </c>
      <c r="G1244" s="59" t="n"/>
      <c r="N1244" s="59" t="n"/>
      <c r="O1244" s="59" t="n"/>
      <c r="X1244" s="61" t="n"/>
      <c r="Y1244" s="61" t="n"/>
    </row>
    <row r="1245" ht="14.25" customHeight="1" s="86">
      <c r="E1245" s="53" t="inlineStr">
        <is>
          <t>MI</t>
        </is>
      </c>
      <c r="F1245" s="53" t="inlineStr">
        <is>
          <t>BAY</t>
        </is>
      </c>
      <c r="G1245" s="59" t="n"/>
      <c r="N1245" s="59" t="n"/>
      <c r="O1245" s="59" t="n"/>
      <c r="X1245" s="61" t="n"/>
      <c r="Y1245" s="61" t="n"/>
    </row>
    <row r="1246" ht="14.25" customHeight="1" s="86">
      <c r="E1246" s="53" t="inlineStr">
        <is>
          <t>MI</t>
        </is>
      </c>
      <c r="F1246" s="53" t="inlineStr">
        <is>
          <t>BENZIE</t>
        </is>
      </c>
      <c r="G1246" s="59" t="n"/>
      <c r="N1246" s="59" t="n"/>
      <c r="O1246" s="59" t="n"/>
      <c r="X1246" s="61" t="n"/>
      <c r="Y1246" s="61" t="n"/>
    </row>
    <row r="1247" ht="14.25" customHeight="1" s="86">
      <c r="E1247" s="53" t="inlineStr">
        <is>
          <t>MI</t>
        </is>
      </c>
      <c r="F1247" s="53" t="inlineStr">
        <is>
          <t>BERRIEN</t>
        </is>
      </c>
      <c r="G1247" s="59" t="n"/>
      <c r="N1247" s="59" t="n"/>
      <c r="O1247" s="59" t="n"/>
      <c r="X1247" s="61" t="n"/>
      <c r="Y1247" s="61" t="n"/>
    </row>
    <row r="1248" ht="14.25" customHeight="1" s="86">
      <c r="E1248" s="53" t="inlineStr">
        <is>
          <t>MI</t>
        </is>
      </c>
      <c r="F1248" s="53" t="inlineStr">
        <is>
          <t>BRANCH</t>
        </is>
      </c>
      <c r="G1248" s="59" t="n"/>
      <c r="N1248" s="59" t="n"/>
      <c r="O1248" s="59" t="n"/>
      <c r="X1248" s="61" t="n"/>
      <c r="Y1248" s="61" t="n"/>
    </row>
    <row r="1249" ht="14.25" customHeight="1" s="86">
      <c r="E1249" s="53" t="inlineStr">
        <is>
          <t>MI</t>
        </is>
      </c>
      <c r="F1249" s="53" t="inlineStr">
        <is>
          <t>CALHOUN</t>
        </is>
      </c>
      <c r="G1249" s="59" t="n"/>
      <c r="N1249" s="59" t="n"/>
      <c r="O1249" s="59" t="n"/>
      <c r="X1249" s="61" t="n"/>
      <c r="Y1249" s="61" t="n"/>
    </row>
    <row r="1250" ht="14.25" customHeight="1" s="86">
      <c r="E1250" s="53" t="inlineStr">
        <is>
          <t>MI</t>
        </is>
      </c>
      <c r="F1250" s="53" t="inlineStr">
        <is>
          <t>CASS</t>
        </is>
      </c>
      <c r="G1250" s="59" t="n"/>
      <c r="N1250" s="59" t="n"/>
      <c r="O1250" s="59" t="n"/>
      <c r="X1250" s="61" t="n"/>
      <c r="Y1250" s="61" t="n"/>
    </row>
    <row r="1251" ht="14.25" customHeight="1" s="86">
      <c r="E1251" s="53" t="inlineStr">
        <is>
          <t>MI</t>
        </is>
      </c>
      <c r="F1251" s="53" t="inlineStr">
        <is>
          <t>CHARLEVOIX</t>
        </is>
      </c>
      <c r="G1251" s="59" t="n"/>
      <c r="N1251" s="59" t="n"/>
      <c r="O1251" s="59" t="n"/>
      <c r="X1251" s="61" t="n"/>
      <c r="Y1251" s="61" t="n"/>
    </row>
    <row r="1252" ht="14.25" customHeight="1" s="86">
      <c r="E1252" s="53" t="inlineStr">
        <is>
          <t>MI</t>
        </is>
      </c>
      <c r="F1252" s="53" t="inlineStr">
        <is>
          <t>CHEBOYGAN</t>
        </is>
      </c>
      <c r="G1252" s="59" t="n"/>
      <c r="N1252" s="59" t="n"/>
      <c r="O1252" s="59" t="n"/>
      <c r="X1252" s="61" t="n"/>
      <c r="Y1252" s="61" t="n"/>
    </row>
    <row r="1253" ht="14.25" customHeight="1" s="86">
      <c r="E1253" s="53" t="inlineStr">
        <is>
          <t>MI</t>
        </is>
      </c>
      <c r="F1253" s="53" t="inlineStr">
        <is>
          <t>CHIPPEWA</t>
        </is>
      </c>
      <c r="G1253" s="59" t="n"/>
      <c r="N1253" s="59" t="n"/>
      <c r="O1253" s="59" t="n"/>
      <c r="X1253" s="61" t="n"/>
      <c r="Y1253" s="61" t="n"/>
    </row>
    <row r="1254" ht="14.25" customHeight="1" s="86">
      <c r="E1254" s="53" t="inlineStr">
        <is>
          <t>MI</t>
        </is>
      </c>
      <c r="F1254" s="53" t="inlineStr">
        <is>
          <t>CLARE</t>
        </is>
      </c>
      <c r="G1254" s="59" t="n"/>
      <c r="N1254" s="59" t="n"/>
      <c r="O1254" s="59" t="n"/>
      <c r="X1254" s="61" t="n"/>
      <c r="Y1254" s="61" t="n"/>
    </row>
    <row r="1255" ht="14.25" customHeight="1" s="86">
      <c r="E1255" s="53" t="inlineStr">
        <is>
          <t>MI</t>
        </is>
      </c>
      <c r="F1255" s="53" t="inlineStr">
        <is>
          <t>CLINTON</t>
        </is>
      </c>
      <c r="G1255" s="59" t="n"/>
      <c r="N1255" s="59" t="n"/>
      <c r="O1255" s="59" t="n"/>
      <c r="X1255" s="61" t="n"/>
      <c r="Y1255" s="61" t="n"/>
    </row>
    <row r="1256" ht="14.25" customHeight="1" s="86">
      <c r="E1256" s="53" t="inlineStr">
        <is>
          <t>MI</t>
        </is>
      </c>
      <c r="F1256" s="53" t="inlineStr">
        <is>
          <t>CRAWFORD</t>
        </is>
      </c>
      <c r="G1256" s="59" t="n"/>
      <c r="N1256" s="59" t="n"/>
      <c r="O1256" s="59" t="n"/>
      <c r="X1256" s="61" t="n"/>
      <c r="Y1256" s="61" t="n"/>
    </row>
    <row r="1257" ht="14.25" customHeight="1" s="86">
      <c r="E1257" s="53" t="inlineStr">
        <is>
          <t>MI</t>
        </is>
      </c>
      <c r="F1257" s="53" t="inlineStr">
        <is>
          <t>DELTA</t>
        </is>
      </c>
      <c r="G1257" s="59" t="n"/>
      <c r="N1257" s="59" t="n"/>
      <c r="O1257" s="59" t="n"/>
      <c r="X1257" s="61" t="n"/>
      <c r="Y1257" s="61" t="n"/>
    </row>
    <row r="1258" ht="14.25" customHeight="1" s="86">
      <c r="E1258" s="53" t="inlineStr">
        <is>
          <t>MI</t>
        </is>
      </c>
      <c r="F1258" s="53" t="inlineStr">
        <is>
          <t>DICKINSON</t>
        </is>
      </c>
      <c r="G1258" s="59" t="n"/>
      <c r="N1258" s="59" t="n"/>
      <c r="O1258" s="59" t="n"/>
      <c r="X1258" s="61" t="n"/>
      <c r="Y1258" s="61" t="n"/>
    </row>
    <row r="1259" ht="14.25" customHeight="1" s="86">
      <c r="E1259" s="53" t="inlineStr">
        <is>
          <t>MI</t>
        </is>
      </c>
      <c r="F1259" s="53" t="inlineStr">
        <is>
          <t>EATON</t>
        </is>
      </c>
      <c r="G1259" s="59" t="n"/>
      <c r="N1259" s="59" t="n"/>
      <c r="O1259" s="59" t="n"/>
      <c r="X1259" s="61" t="n"/>
      <c r="Y1259" s="61" t="n"/>
    </row>
    <row r="1260" ht="14.25" customHeight="1" s="86">
      <c r="E1260" s="53" t="inlineStr">
        <is>
          <t>MI</t>
        </is>
      </c>
      <c r="F1260" s="53" t="inlineStr">
        <is>
          <t>EMMET</t>
        </is>
      </c>
      <c r="G1260" s="59" t="n"/>
      <c r="N1260" s="59" t="n"/>
      <c r="O1260" s="59" t="n"/>
      <c r="X1260" s="61" t="n"/>
      <c r="Y1260" s="61" t="n"/>
    </row>
    <row r="1261" ht="14.25" customHeight="1" s="86">
      <c r="E1261" s="53" t="inlineStr">
        <is>
          <t>MI</t>
        </is>
      </c>
      <c r="F1261" s="53" t="inlineStr">
        <is>
          <t>GENESEE</t>
        </is>
      </c>
      <c r="G1261" s="59" t="n"/>
      <c r="N1261" s="59" t="n"/>
      <c r="O1261" s="59" t="n"/>
      <c r="X1261" s="61" t="n"/>
      <c r="Y1261" s="61" t="n"/>
    </row>
    <row r="1262" ht="14.25" customHeight="1" s="86">
      <c r="E1262" s="53" t="inlineStr">
        <is>
          <t>MI</t>
        </is>
      </c>
      <c r="F1262" s="53" t="inlineStr">
        <is>
          <t>GLADWIN</t>
        </is>
      </c>
      <c r="G1262" s="59" t="n"/>
      <c r="N1262" s="59" t="n"/>
      <c r="O1262" s="59" t="n"/>
      <c r="X1262" s="61" t="n"/>
      <c r="Y1262" s="61" t="n"/>
    </row>
    <row r="1263" ht="14.25" customHeight="1" s="86">
      <c r="E1263" s="53" t="inlineStr">
        <is>
          <t>MI</t>
        </is>
      </c>
      <c r="F1263" s="53" t="inlineStr">
        <is>
          <t>GOGEBIC</t>
        </is>
      </c>
      <c r="G1263" s="59" t="n"/>
      <c r="N1263" s="59" t="n"/>
      <c r="O1263" s="59" t="n"/>
      <c r="X1263" s="61" t="n"/>
      <c r="Y1263" s="61" t="n"/>
    </row>
    <row r="1264" ht="14.25" customHeight="1" s="86">
      <c r="E1264" s="53" t="inlineStr">
        <is>
          <t>MI</t>
        </is>
      </c>
      <c r="F1264" s="53" t="inlineStr">
        <is>
          <t>GRAND TRAVERSE</t>
        </is>
      </c>
      <c r="G1264" s="59" t="n"/>
      <c r="N1264" s="59" t="n"/>
      <c r="O1264" s="59" t="n"/>
      <c r="X1264" s="61" t="n"/>
      <c r="Y1264" s="61" t="n"/>
    </row>
    <row r="1265" ht="14.25" customHeight="1" s="86">
      <c r="E1265" s="53" t="inlineStr">
        <is>
          <t>MI</t>
        </is>
      </c>
      <c r="F1265" s="53" t="inlineStr">
        <is>
          <t>GRATIOT</t>
        </is>
      </c>
      <c r="G1265" s="59" t="n"/>
      <c r="N1265" s="59" t="n"/>
      <c r="O1265" s="59" t="n"/>
      <c r="X1265" s="61" t="n"/>
      <c r="Y1265" s="61" t="n"/>
    </row>
    <row r="1266" ht="14.25" customHeight="1" s="86">
      <c r="E1266" s="53" t="inlineStr">
        <is>
          <t>MI</t>
        </is>
      </c>
      <c r="F1266" s="53" t="inlineStr">
        <is>
          <t>HILLSDALE</t>
        </is>
      </c>
      <c r="G1266" s="59" t="n"/>
      <c r="N1266" s="59" t="n"/>
      <c r="O1266" s="59" t="n"/>
      <c r="X1266" s="61" t="n"/>
      <c r="Y1266" s="61" t="n"/>
    </row>
    <row r="1267" ht="14.25" customHeight="1" s="86">
      <c r="E1267" s="53" t="inlineStr">
        <is>
          <t>MI</t>
        </is>
      </c>
      <c r="F1267" s="53" t="inlineStr">
        <is>
          <t>HOUGHTON</t>
        </is>
      </c>
      <c r="G1267" s="59" t="n"/>
      <c r="N1267" s="59" t="n"/>
      <c r="O1267" s="59" t="n"/>
      <c r="X1267" s="61" t="n"/>
      <c r="Y1267" s="61" t="n"/>
    </row>
    <row r="1268" ht="14.25" customHeight="1" s="86">
      <c r="E1268" s="53" t="inlineStr">
        <is>
          <t>MI</t>
        </is>
      </c>
      <c r="F1268" s="53" t="inlineStr">
        <is>
          <t>HURON</t>
        </is>
      </c>
      <c r="G1268" s="59" t="n"/>
      <c r="N1268" s="59" t="n"/>
      <c r="O1268" s="59" t="n"/>
      <c r="X1268" s="61" t="n"/>
      <c r="Y1268" s="61" t="n"/>
    </row>
    <row r="1269" ht="14.25" customHeight="1" s="86">
      <c r="E1269" s="53" t="inlineStr">
        <is>
          <t>MI</t>
        </is>
      </c>
      <c r="F1269" s="53" t="inlineStr">
        <is>
          <t>INGHAM</t>
        </is>
      </c>
      <c r="G1269" s="59" t="n"/>
      <c r="N1269" s="59" t="n"/>
      <c r="O1269" s="59" t="n"/>
      <c r="X1269" s="61" t="n"/>
      <c r="Y1269" s="61" t="n"/>
    </row>
    <row r="1270" ht="14.25" customHeight="1" s="86">
      <c r="E1270" s="53" t="inlineStr">
        <is>
          <t>MI</t>
        </is>
      </c>
      <c r="F1270" s="53" t="inlineStr">
        <is>
          <t>IONIA</t>
        </is>
      </c>
      <c r="G1270" s="59" t="n"/>
      <c r="N1270" s="59" t="n"/>
      <c r="O1270" s="59" t="n"/>
      <c r="X1270" s="61" t="n"/>
      <c r="Y1270" s="61" t="n"/>
    </row>
    <row r="1271" ht="14.25" customHeight="1" s="86">
      <c r="E1271" s="53" t="inlineStr">
        <is>
          <t>MI</t>
        </is>
      </c>
      <c r="F1271" s="53" t="inlineStr">
        <is>
          <t>IOSCO</t>
        </is>
      </c>
      <c r="G1271" s="59" t="n"/>
      <c r="N1271" s="59" t="n"/>
      <c r="O1271" s="59" t="n"/>
      <c r="X1271" s="61" t="n"/>
      <c r="Y1271" s="61" t="n"/>
    </row>
    <row r="1272" ht="14.25" customHeight="1" s="86">
      <c r="E1272" s="53" t="inlineStr">
        <is>
          <t>MI</t>
        </is>
      </c>
      <c r="F1272" s="53" t="inlineStr">
        <is>
          <t>IRON</t>
        </is>
      </c>
      <c r="G1272" s="59" t="n"/>
      <c r="N1272" s="59" t="n"/>
      <c r="O1272" s="59" t="n"/>
      <c r="X1272" s="61" t="n"/>
      <c r="Y1272" s="61" t="n"/>
    </row>
    <row r="1273" ht="14.25" customHeight="1" s="86">
      <c r="E1273" s="53" t="inlineStr">
        <is>
          <t>MI</t>
        </is>
      </c>
      <c r="F1273" s="53" t="inlineStr">
        <is>
          <t>ISABELLA</t>
        </is>
      </c>
      <c r="G1273" s="59" t="n"/>
      <c r="N1273" s="59" t="n"/>
      <c r="O1273" s="59" t="n"/>
      <c r="X1273" s="61" t="n"/>
      <c r="Y1273" s="61" t="n"/>
    </row>
    <row r="1274" ht="14.25" customHeight="1" s="86">
      <c r="E1274" s="53" t="inlineStr">
        <is>
          <t>MI</t>
        </is>
      </c>
      <c r="F1274" s="53" t="inlineStr">
        <is>
          <t>JACKSON</t>
        </is>
      </c>
      <c r="G1274" s="59" t="n"/>
      <c r="N1274" s="59" t="n"/>
      <c r="O1274" s="59" t="n"/>
      <c r="X1274" s="61" t="n"/>
      <c r="Y1274" s="61" t="n"/>
    </row>
    <row r="1275" ht="14.25" customHeight="1" s="86">
      <c r="E1275" s="53" t="inlineStr">
        <is>
          <t>MI</t>
        </is>
      </c>
      <c r="F1275" s="53" t="inlineStr">
        <is>
          <t>KALAMAZOO</t>
        </is>
      </c>
      <c r="G1275" s="59" t="n"/>
      <c r="N1275" s="59" t="n"/>
      <c r="O1275" s="59" t="n"/>
      <c r="X1275" s="61" t="n"/>
      <c r="Y1275" s="61" t="n"/>
    </row>
    <row r="1276" ht="14.25" customHeight="1" s="86">
      <c r="E1276" s="53" t="inlineStr">
        <is>
          <t>MI</t>
        </is>
      </c>
      <c r="F1276" s="53" t="inlineStr">
        <is>
          <t>KALKASKA</t>
        </is>
      </c>
      <c r="G1276" s="59" t="n"/>
      <c r="N1276" s="59" t="n"/>
      <c r="O1276" s="59" t="n"/>
      <c r="X1276" s="61" t="n"/>
      <c r="Y1276" s="61" t="n"/>
    </row>
    <row r="1277" ht="14.25" customHeight="1" s="86">
      <c r="E1277" s="53" t="inlineStr">
        <is>
          <t>MI</t>
        </is>
      </c>
      <c r="F1277" s="53" t="inlineStr">
        <is>
          <t>KENT</t>
        </is>
      </c>
      <c r="G1277" s="59" t="n"/>
      <c r="N1277" s="59" t="n"/>
      <c r="O1277" s="59" t="n"/>
      <c r="X1277" s="61" t="n"/>
      <c r="Y1277" s="61" t="n"/>
    </row>
    <row r="1278" ht="14.25" customHeight="1" s="86">
      <c r="E1278" s="53" t="inlineStr">
        <is>
          <t>MI</t>
        </is>
      </c>
      <c r="F1278" s="53" t="inlineStr">
        <is>
          <t>KEWEENAW</t>
        </is>
      </c>
      <c r="G1278" s="59" t="n"/>
      <c r="N1278" s="59" t="n"/>
      <c r="O1278" s="59" t="n"/>
      <c r="X1278" s="61" t="n"/>
      <c r="Y1278" s="61" t="n"/>
    </row>
    <row r="1279" ht="14.25" customHeight="1" s="86">
      <c r="E1279" s="53" t="inlineStr">
        <is>
          <t>MI</t>
        </is>
      </c>
      <c r="F1279" s="53" t="inlineStr">
        <is>
          <t>LAKE</t>
        </is>
      </c>
      <c r="G1279" s="59" t="n"/>
      <c r="N1279" s="59" t="n"/>
      <c r="O1279" s="59" t="n"/>
      <c r="X1279" s="61" t="n"/>
      <c r="Y1279" s="61" t="n"/>
    </row>
    <row r="1280" ht="14.25" customHeight="1" s="86">
      <c r="E1280" s="53" t="inlineStr">
        <is>
          <t>MI</t>
        </is>
      </c>
      <c r="F1280" s="53" t="inlineStr">
        <is>
          <t>LAPEER</t>
        </is>
      </c>
      <c r="G1280" s="59" t="n"/>
      <c r="N1280" s="59" t="n"/>
      <c r="O1280" s="59" t="n"/>
      <c r="X1280" s="61" t="n"/>
      <c r="Y1280" s="61" t="n"/>
    </row>
    <row r="1281" ht="14.25" customHeight="1" s="86">
      <c r="E1281" s="53" t="inlineStr">
        <is>
          <t>MI</t>
        </is>
      </c>
      <c r="F1281" s="53" t="inlineStr">
        <is>
          <t>LEELANAU</t>
        </is>
      </c>
      <c r="G1281" s="59" t="n"/>
      <c r="N1281" s="59" t="n"/>
      <c r="O1281" s="59" t="n"/>
      <c r="X1281" s="61" t="n"/>
      <c r="Y1281" s="61" t="n"/>
    </row>
    <row r="1282" ht="14.25" customHeight="1" s="86">
      <c r="E1282" s="53" t="inlineStr">
        <is>
          <t>MI</t>
        </is>
      </c>
      <c r="F1282" s="53" t="inlineStr">
        <is>
          <t>LENAWEE</t>
        </is>
      </c>
      <c r="G1282" s="59" t="n"/>
      <c r="N1282" s="59" t="n"/>
      <c r="O1282" s="59" t="n"/>
      <c r="X1282" s="61" t="n"/>
      <c r="Y1282" s="61" t="n"/>
    </row>
    <row r="1283" ht="14.25" customHeight="1" s="86">
      <c r="E1283" s="53" t="inlineStr">
        <is>
          <t>MI</t>
        </is>
      </c>
      <c r="F1283" s="53" t="inlineStr">
        <is>
          <t>LIVINGSTON</t>
        </is>
      </c>
      <c r="G1283" s="59" t="n"/>
      <c r="N1283" s="59" t="n"/>
      <c r="O1283" s="59" t="n"/>
      <c r="X1283" s="61" t="n"/>
      <c r="Y1283" s="61" t="n"/>
    </row>
    <row r="1284" ht="14.25" customHeight="1" s="86">
      <c r="E1284" s="53" t="inlineStr">
        <is>
          <t>MI</t>
        </is>
      </c>
      <c r="F1284" s="53" t="inlineStr">
        <is>
          <t>LUCE</t>
        </is>
      </c>
      <c r="G1284" s="59" t="n"/>
      <c r="N1284" s="59" t="n"/>
      <c r="O1284" s="59" t="n"/>
      <c r="X1284" s="61" t="n"/>
      <c r="Y1284" s="61" t="n"/>
    </row>
    <row r="1285" ht="14.25" customHeight="1" s="86">
      <c r="E1285" s="53" t="inlineStr">
        <is>
          <t>MI</t>
        </is>
      </c>
      <c r="F1285" s="53" t="inlineStr">
        <is>
          <t>MACKINAC</t>
        </is>
      </c>
      <c r="G1285" s="59" t="n"/>
      <c r="N1285" s="59" t="n"/>
      <c r="O1285" s="59" t="n"/>
      <c r="X1285" s="61" t="n"/>
      <c r="Y1285" s="61" t="n"/>
    </row>
    <row r="1286" ht="14.25" customHeight="1" s="86">
      <c r="E1286" s="53" t="inlineStr">
        <is>
          <t>MI</t>
        </is>
      </c>
      <c r="F1286" s="53" t="inlineStr">
        <is>
          <t>MACOMB</t>
        </is>
      </c>
      <c r="G1286" s="59" t="n"/>
      <c r="N1286" s="59" t="n"/>
      <c r="O1286" s="59" t="n"/>
      <c r="X1286" s="61" t="n"/>
      <c r="Y1286" s="61" t="n"/>
    </row>
    <row r="1287" ht="14.25" customHeight="1" s="86">
      <c r="E1287" s="53" t="inlineStr">
        <is>
          <t>MI</t>
        </is>
      </c>
      <c r="F1287" s="53" t="inlineStr">
        <is>
          <t>MANISTEE</t>
        </is>
      </c>
      <c r="G1287" s="59" t="n"/>
      <c r="N1287" s="59" t="n"/>
      <c r="O1287" s="59" t="n"/>
      <c r="X1287" s="61" t="n"/>
      <c r="Y1287" s="61" t="n"/>
    </row>
    <row r="1288" ht="14.25" customHeight="1" s="86">
      <c r="E1288" s="53" t="inlineStr">
        <is>
          <t>MI</t>
        </is>
      </c>
      <c r="F1288" s="53" t="inlineStr">
        <is>
          <t>MARQUETTE</t>
        </is>
      </c>
      <c r="G1288" s="59" t="n"/>
      <c r="N1288" s="59" t="n"/>
      <c r="O1288" s="59" t="n"/>
      <c r="X1288" s="61" t="n"/>
      <c r="Y1288" s="61" t="n"/>
    </row>
    <row r="1289" ht="14.25" customHeight="1" s="86">
      <c r="E1289" s="53" t="inlineStr">
        <is>
          <t>MI</t>
        </is>
      </c>
      <c r="F1289" s="53" t="inlineStr">
        <is>
          <t>MASON</t>
        </is>
      </c>
      <c r="G1289" s="59" t="n"/>
      <c r="N1289" s="59" t="n"/>
      <c r="O1289" s="59" t="n"/>
      <c r="X1289" s="61" t="n"/>
      <c r="Y1289" s="61" t="n"/>
    </row>
    <row r="1290" ht="14.25" customHeight="1" s="86">
      <c r="E1290" s="53" t="inlineStr">
        <is>
          <t>MI</t>
        </is>
      </c>
      <c r="F1290" s="53" t="inlineStr">
        <is>
          <t>MECOSTA</t>
        </is>
      </c>
      <c r="G1290" s="59" t="n"/>
      <c r="N1290" s="59" t="n"/>
      <c r="O1290" s="59" t="n"/>
      <c r="X1290" s="61" t="n"/>
      <c r="Y1290" s="61" t="n"/>
    </row>
    <row r="1291" ht="14.25" customHeight="1" s="86">
      <c r="E1291" s="53" t="inlineStr">
        <is>
          <t>MI</t>
        </is>
      </c>
      <c r="F1291" s="53" t="inlineStr">
        <is>
          <t>MENOMINEE</t>
        </is>
      </c>
      <c r="G1291" s="59" t="n"/>
      <c r="N1291" s="59" t="n"/>
      <c r="O1291" s="59" t="n"/>
      <c r="X1291" s="61" t="n"/>
      <c r="Y1291" s="61" t="n"/>
    </row>
    <row r="1292" ht="14.25" customHeight="1" s="86">
      <c r="E1292" s="53" t="inlineStr">
        <is>
          <t>MI</t>
        </is>
      </c>
      <c r="F1292" s="53" t="inlineStr">
        <is>
          <t>MIDLAND</t>
        </is>
      </c>
      <c r="G1292" s="59" t="n"/>
      <c r="N1292" s="59" t="n"/>
      <c r="O1292" s="59" t="n"/>
      <c r="X1292" s="61" t="n"/>
      <c r="Y1292" s="61" t="n"/>
    </row>
    <row r="1293" ht="14.25" customHeight="1" s="86">
      <c r="E1293" s="53" t="inlineStr">
        <is>
          <t>MI</t>
        </is>
      </c>
      <c r="F1293" s="53" t="inlineStr">
        <is>
          <t>MISSAUKEE</t>
        </is>
      </c>
      <c r="G1293" s="59" t="n"/>
      <c r="N1293" s="59" t="n"/>
      <c r="O1293" s="59" t="n"/>
      <c r="X1293" s="61" t="n"/>
      <c r="Y1293" s="61" t="n"/>
    </row>
    <row r="1294" ht="14.25" customHeight="1" s="86">
      <c r="E1294" s="53" t="inlineStr">
        <is>
          <t>MI</t>
        </is>
      </c>
      <c r="F1294" s="53" t="inlineStr">
        <is>
          <t>MONROE</t>
        </is>
      </c>
      <c r="G1294" s="59" t="n"/>
      <c r="N1294" s="59" t="n"/>
      <c r="O1294" s="59" t="n"/>
      <c r="X1294" s="61" t="n"/>
      <c r="Y1294" s="61" t="n"/>
    </row>
    <row r="1295" ht="14.25" customHeight="1" s="86">
      <c r="E1295" s="53" t="inlineStr">
        <is>
          <t>MI</t>
        </is>
      </c>
      <c r="F1295" s="53" t="inlineStr">
        <is>
          <t>MONTCALM</t>
        </is>
      </c>
      <c r="G1295" s="59" t="n"/>
      <c r="N1295" s="59" t="n"/>
      <c r="O1295" s="59" t="n"/>
      <c r="X1295" s="61" t="n"/>
      <c r="Y1295" s="61" t="n"/>
    </row>
    <row r="1296" ht="14.25" customHeight="1" s="86">
      <c r="E1296" s="53" t="inlineStr">
        <is>
          <t>MI</t>
        </is>
      </c>
      <c r="F1296" s="53" t="inlineStr">
        <is>
          <t>MONTMORENCY</t>
        </is>
      </c>
      <c r="G1296" s="59" t="n"/>
      <c r="N1296" s="59" t="n"/>
      <c r="O1296" s="59" t="n"/>
      <c r="X1296" s="61" t="n"/>
      <c r="Y1296" s="61" t="n"/>
    </row>
    <row r="1297" ht="14.25" customHeight="1" s="86">
      <c r="E1297" s="53" t="inlineStr">
        <is>
          <t>MI</t>
        </is>
      </c>
      <c r="F1297" s="53" t="inlineStr">
        <is>
          <t>MUSKEGON</t>
        </is>
      </c>
      <c r="G1297" s="59" t="n"/>
      <c r="N1297" s="59" t="n"/>
      <c r="O1297" s="59" t="n"/>
      <c r="X1297" s="61" t="n"/>
      <c r="Y1297" s="61" t="n"/>
    </row>
    <row r="1298" ht="14.25" customHeight="1" s="86">
      <c r="E1298" s="53" t="inlineStr">
        <is>
          <t>MI</t>
        </is>
      </c>
      <c r="F1298" s="53" t="inlineStr">
        <is>
          <t>NEWAYGO</t>
        </is>
      </c>
      <c r="G1298" s="59" t="n"/>
      <c r="N1298" s="59" t="n"/>
      <c r="O1298" s="59" t="n"/>
      <c r="X1298" s="61" t="n"/>
      <c r="Y1298" s="61" t="n"/>
    </row>
    <row r="1299" ht="14.25" customHeight="1" s="86">
      <c r="E1299" s="53" t="inlineStr">
        <is>
          <t>MI</t>
        </is>
      </c>
      <c r="F1299" s="53" t="inlineStr">
        <is>
          <t>OAKLAND</t>
        </is>
      </c>
      <c r="G1299" s="59" t="n"/>
      <c r="N1299" s="59" t="n"/>
      <c r="O1299" s="59" t="n"/>
      <c r="X1299" s="61" t="n"/>
      <c r="Y1299" s="61" t="n"/>
    </row>
    <row r="1300" ht="14.25" customHeight="1" s="86">
      <c r="E1300" s="53" t="inlineStr">
        <is>
          <t>MI</t>
        </is>
      </c>
      <c r="F1300" s="53" t="inlineStr">
        <is>
          <t>OCEANA</t>
        </is>
      </c>
      <c r="G1300" s="59" t="n"/>
      <c r="N1300" s="59" t="n"/>
      <c r="O1300" s="59" t="n"/>
      <c r="X1300" s="61" t="n"/>
      <c r="Y1300" s="61" t="n"/>
    </row>
    <row r="1301" ht="14.25" customHeight="1" s="86">
      <c r="E1301" s="53" t="inlineStr">
        <is>
          <t>MI</t>
        </is>
      </c>
      <c r="F1301" s="53" t="inlineStr">
        <is>
          <t>OGEMAW</t>
        </is>
      </c>
      <c r="G1301" s="59" t="n"/>
      <c r="N1301" s="59" t="n"/>
      <c r="O1301" s="59" t="n"/>
      <c r="X1301" s="61" t="n"/>
      <c r="Y1301" s="61" t="n"/>
    </row>
    <row r="1302" ht="14.25" customHeight="1" s="86">
      <c r="E1302" s="53" t="inlineStr">
        <is>
          <t>MI</t>
        </is>
      </c>
      <c r="F1302" s="53" t="inlineStr">
        <is>
          <t>ONTONAGON</t>
        </is>
      </c>
      <c r="G1302" s="59" t="n"/>
      <c r="N1302" s="59" t="n"/>
      <c r="O1302" s="59" t="n"/>
      <c r="X1302" s="61" t="n"/>
      <c r="Y1302" s="61" t="n"/>
    </row>
    <row r="1303" ht="14.25" customHeight="1" s="86">
      <c r="E1303" s="53" t="inlineStr">
        <is>
          <t>MI</t>
        </is>
      </c>
      <c r="F1303" s="53" t="inlineStr">
        <is>
          <t>OSCEOLA</t>
        </is>
      </c>
      <c r="G1303" s="59" t="n"/>
      <c r="N1303" s="59" t="n"/>
      <c r="O1303" s="59" t="n"/>
      <c r="X1303" s="61" t="n"/>
      <c r="Y1303" s="61" t="n"/>
    </row>
    <row r="1304" ht="14.25" customHeight="1" s="86">
      <c r="E1304" s="53" t="inlineStr">
        <is>
          <t>MI</t>
        </is>
      </c>
      <c r="F1304" s="53" t="inlineStr">
        <is>
          <t>OSCODA</t>
        </is>
      </c>
      <c r="G1304" s="59" t="n"/>
      <c r="N1304" s="59" t="n"/>
      <c r="O1304" s="59" t="n"/>
      <c r="X1304" s="61" t="n"/>
      <c r="Y1304" s="61" t="n"/>
    </row>
    <row r="1305" ht="14.25" customHeight="1" s="86">
      <c r="E1305" s="53" t="inlineStr">
        <is>
          <t>MI</t>
        </is>
      </c>
      <c r="F1305" s="53" t="inlineStr">
        <is>
          <t>OTSEGO</t>
        </is>
      </c>
      <c r="G1305" s="59" t="n"/>
      <c r="N1305" s="59" t="n"/>
      <c r="O1305" s="59" t="n"/>
      <c r="X1305" s="61" t="n"/>
      <c r="Y1305" s="61" t="n"/>
    </row>
    <row r="1306" ht="14.25" customHeight="1" s="86">
      <c r="E1306" s="53" t="inlineStr">
        <is>
          <t>MI</t>
        </is>
      </c>
      <c r="F1306" s="53" t="inlineStr">
        <is>
          <t>OTTAWA</t>
        </is>
      </c>
      <c r="G1306" s="59" t="n"/>
      <c r="N1306" s="59" t="n"/>
      <c r="O1306" s="59" t="n"/>
      <c r="X1306" s="61" t="n"/>
      <c r="Y1306" s="61" t="n"/>
    </row>
    <row r="1307" ht="14.25" customHeight="1" s="86">
      <c r="E1307" s="53" t="inlineStr">
        <is>
          <t>MI</t>
        </is>
      </c>
      <c r="F1307" s="53" t="inlineStr">
        <is>
          <t>PRESQUE ISLE</t>
        </is>
      </c>
      <c r="G1307" s="59" t="n"/>
      <c r="N1307" s="59" t="n"/>
      <c r="O1307" s="59" t="n"/>
      <c r="X1307" s="61" t="n"/>
      <c r="Y1307" s="61" t="n"/>
    </row>
    <row r="1308" ht="14.25" customHeight="1" s="86">
      <c r="E1308" s="53" t="inlineStr">
        <is>
          <t>MI</t>
        </is>
      </c>
      <c r="F1308" s="53" t="inlineStr">
        <is>
          <t>ROSCOMMON</t>
        </is>
      </c>
      <c r="G1308" s="59" t="n"/>
      <c r="N1308" s="59" t="n"/>
      <c r="O1308" s="59" t="n"/>
      <c r="X1308" s="61" t="n"/>
      <c r="Y1308" s="61" t="n"/>
    </row>
    <row r="1309" ht="14.25" customHeight="1" s="86">
      <c r="E1309" s="53" t="inlineStr">
        <is>
          <t>MI</t>
        </is>
      </c>
      <c r="F1309" s="53" t="inlineStr">
        <is>
          <t>SAGINAW</t>
        </is>
      </c>
      <c r="G1309" s="59" t="n"/>
      <c r="N1309" s="59" t="n"/>
      <c r="O1309" s="59" t="n"/>
      <c r="X1309" s="61" t="n"/>
      <c r="Y1309" s="61" t="n"/>
    </row>
    <row r="1310" ht="14.25" customHeight="1" s="86">
      <c r="E1310" s="53" t="inlineStr">
        <is>
          <t>MI</t>
        </is>
      </c>
      <c r="F1310" s="53" t="inlineStr">
        <is>
          <t>SAINT CLAIR</t>
        </is>
      </c>
      <c r="G1310" s="59" t="n"/>
      <c r="N1310" s="59" t="n"/>
      <c r="O1310" s="59" t="n"/>
      <c r="X1310" s="61" t="n"/>
      <c r="Y1310" s="61" t="n"/>
    </row>
    <row r="1311" ht="14.25" customHeight="1" s="86">
      <c r="E1311" s="53" t="inlineStr">
        <is>
          <t>MI</t>
        </is>
      </c>
      <c r="F1311" s="53" t="inlineStr">
        <is>
          <t>SAINT JOSEPH</t>
        </is>
      </c>
      <c r="G1311" s="59" t="n"/>
      <c r="N1311" s="59" t="n"/>
      <c r="O1311" s="59" t="n"/>
      <c r="X1311" s="61" t="n"/>
      <c r="Y1311" s="61" t="n"/>
    </row>
    <row r="1312" ht="14.25" customHeight="1" s="86">
      <c r="E1312" s="53" t="inlineStr">
        <is>
          <t>MI</t>
        </is>
      </c>
      <c r="F1312" s="53" t="inlineStr">
        <is>
          <t>SANILAC</t>
        </is>
      </c>
      <c r="G1312" s="59" t="n"/>
      <c r="N1312" s="59" t="n"/>
      <c r="O1312" s="59" t="n"/>
      <c r="X1312" s="61" t="n"/>
      <c r="Y1312" s="61" t="n"/>
    </row>
    <row r="1313" ht="14.25" customHeight="1" s="86">
      <c r="E1313" s="53" t="inlineStr">
        <is>
          <t>MI</t>
        </is>
      </c>
      <c r="F1313" s="53" t="inlineStr">
        <is>
          <t>SCHOOLCRAFT</t>
        </is>
      </c>
      <c r="G1313" s="59" t="n"/>
      <c r="N1313" s="59" t="n"/>
      <c r="O1313" s="59" t="n"/>
      <c r="X1313" s="61" t="n"/>
      <c r="Y1313" s="61" t="n"/>
    </row>
    <row r="1314" ht="14.25" customHeight="1" s="86">
      <c r="E1314" s="53" t="inlineStr">
        <is>
          <t>MI</t>
        </is>
      </c>
      <c r="F1314" s="53" t="inlineStr">
        <is>
          <t>SHIAWASSEE</t>
        </is>
      </c>
      <c r="G1314" s="59" t="n"/>
      <c r="N1314" s="59" t="n"/>
      <c r="O1314" s="59" t="n"/>
      <c r="X1314" s="61" t="n"/>
      <c r="Y1314" s="61" t="n"/>
    </row>
    <row r="1315" ht="14.25" customHeight="1" s="86">
      <c r="E1315" s="53" t="inlineStr">
        <is>
          <t>MI</t>
        </is>
      </c>
      <c r="F1315" s="53" t="inlineStr">
        <is>
          <t>TUSCOLA</t>
        </is>
      </c>
      <c r="G1315" s="59" t="n"/>
      <c r="N1315" s="59" t="n"/>
      <c r="O1315" s="59" t="n"/>
      <c r="X1315" s="61" t="n"/>
      <c r="Y1315" s="61" t="n"/>
    </row>
    <row r="1316" ht="14.25" customHeight="1" s="86">
      <c r="E1316" s="53" t="inlineStr">
        <is>
          <t>MI</t>
        </is>
      </c>
      <c r="F1316" s="53" t="inlineStr">
        <is>
          <t>VAN BUREN</t>
        </is>
      </c>
      <c r="G1316" s="59" t="n"/>
      <c r="N1316" s="59" t="n"/>
      <c r="O1316" s="59" t="n"/>
      <c r="X1316" s="61" t="n"/>
      <c r="Y1316" s="61" t="n"/>
    </row>
    <row r="1317" ht="14.25" customHeight="1" s="86">
      <c r="E1317" s="53" t="inlineStr">
        <is>
          <t>MI</t>
        </is>
      </c>
      <c r="F1317" s="53" t="inlineStr">
        <is>
          <t>WASHTENAW</t>
        </is>
      </c>
      <c r="G1317" s="59" t="n"/>
      <c r="N1317" s="59" t="n"/>
      <c r="O1317" s="59" t="n"/>
      <c r="X1317" s="61" t="n"/>
      <c r="Y1317" s="61" t="n"/>
    </row>
    <row r="1318" ht="14.25" customHeight="1" s="86">
      <c r="E1318" s="53" t="inlineStr">
        <is>
          <t>MI</t>
        </is>
      </c>
      <c r="F1318" s="53" t="inlineStr">
        <is>
          <t>WAYNE</t>
        </is>
      </c>
      <c r="G1318" s="59" t="n"/>
      <c r="N1318" s="59" t="n"/>
      <c r="O1318" s="59" t="n"/>
      <c r="X1318" s="61" t="n"/>
      <c r="Y1318" s="61" t="n"/>
    </row>
    <row r="1319" ht="14.25" customHeight="1" s="86">
      <c r="E1319" s="53" t="inlineStr">
        <is>
          <t>MI</t>
        </is>
      </c>
      <c r="F1319" s="53" t="inlineStr">
        <is>
          <t>WEXFORD</t>
        </is>
      </c>
      <c r="G1319" s="59" t="n"/>
      <c r="N1319" s="59" t="n"/>
      <c r="O1319" s="59" t="n"/>
      <c r="X1319" s="61" t="n"/>
      <c r="Y1319" s="61" t="n"/>
    </row>
    <row r="1320" ht="14.25" customHeight="1" s="86">
      <c r="E1320" s="53" t="inlineStr">
        <is>
          <t>MN</t>
        </is>
      </c>
      <c r="F1320" s="53" t="inlineStr">
        <is>
          <t>AITKIN</t>
        </is>
      </c>
      <c r="G1320" s="59" t="n"/>
      <c r="N1320" s="59" t="n"/>
      <c r="O1320" s="59" t="n"/>
      <c r="X1320" s="61" t="n"/>
      <c r="Y1320" s="61" t="n"/>
    </row>
    <row r="1321" ht="14.25" customHeight="1" s="86">
      <c r="E1321" s="53" t="inlineStr">
        <is>
          <t>MN</t>
        </is>
      </c>
      <c r="F1321" s="53" t="inlineStr">
        <is>
          <t>ANOKA</t>
        </is>
      </c>
      <c r="G1321" s="59" t="n"/>
      <c r="N1321" s="59" t="n"/>
      <c r="O1321" s="59" t="n"/>
      <c r="X1321" s="61" t="n"/>
      <c r="Y1321" s="61" t="n"/>
    </row>
    <row r="1322" ht="14.25" customHeight="1" s="86">
      <c r="E1322" s="53" t="inlineStr">
        <is>
          <t>MN</t>
        </is>
      </c>
      <c r="F1322" s="53" t="inlineStr">
        <is>
          <t>BECKER</t>
        </is>
      </c>
      <c r="G1322" s="59" t="n"/>
      <c r="N1322" s="59" t="n"/>
      <c r="O1322" s="59" t="n"/>
      <c r="X1322" s="61" t="n"/>
      <c r="Y1322" s="61" t="n"/>
    </row>
    <row r="1323" ht="14.25" customHeight="1" s="86">
      <c r="E1323" s="53" t="inlineStr">
        <is>
          <t>MN</t>
        </is>
      </c>
      <c r="F1323" s="53" t="inlineStr">
        <is>
          <t>BELTRAMI</t>
        </is>
      </c>
      <c r="G1323" s="59" t="n"/>
      <c r="N1323" s="59" t="n"/>
      <c r="O1323" s="59" t="n"/>
      <c r="X1323" s="61" t="n"/>
      <c r="Y1323" s="61" t="n"/>
    </row>
    <row r="1324" ht="14.25" customHeight="1" s="86">
      <c r="E1324" s="53" t="inlineStr">
        <is>
          <t>MN</t>
        </is>
      </c>
      <c r="F1324" s="53" t="inlineStr">
        <is>
          <t>BENTON</t>
        </is>
      </c>
      <c r="G1324" s="59" t="n"/>
      <c r="N1324" s="59" t="n"/>
      <c r="O1324" s="59" t="n"/>
      <c r="X1324" s="61" t="n"/>
      <c r="Y1324" s="61" t="n"/>
    </row>
    <row r="1325" ht="14.25" customHeight="1" s="86">
      <c r="E1325" s="53" t="inlineStr">
        <is>
          <t>MN</t>
        </is>
      </c>
      <c r="F1325" s="53" t="inlineStr">
        <is>
          <t>BIG STONE</t>
        </is>
      </c>
      <c r="G1325" s="59" t="n"/>
      <c r="N1325" s="59" t="n"/>
      <c r="O1325" s="59" t="n"/>
      <c r="X1325" s="61" t="n"/>
      <c r="Y1325" s="61" t="n"/>
    </row>
    <row r="1326" ht="14.25" customHeight="1" s="86">
      <c r="E1326" s="53" t="inlineStr">
        <is>
          <t>MN</t>
        </is>
      </c>
      <c r="F1326" s="53" t="inlineStr">
        <is>
          <t>BLUE EARTH</t>
        </is>
      </c>
      <c r="G1326" s="59" t="n"/>
      <c r="N1326" s="59" t="n"/>
      <c r="O1326" s="59" t="n"/>
      <c r="X1326" s="61" t="n"/>
      <c r="Y1326" s="61" t="n"/>
    </row>
    <row r="1327" ht="14.25" customHeight="1" s="86">
      <c r="E1327" s="53" t="inlineStr">
        <is>
          <t>MN</t>
        </is>
      </c>
      <c r="F1327" s="53" t="inlineStr">
        <is>
          <t>BROWN</t>
        </is>
      </c>
      <c r="G1327" s="59" t="n"/>
      <c r="N1327" s="59" t="n"/>
      <c r="O1327" s="59" t="n"/>
      <c r="X1327" s="61" t="n"/>
      <c r="Y1327" s="61" t="n"/>
    </row>
    <row r="1328" ht="14.25" customHeight="1" s="86">
      <c r="E1328" s="53" t="inlineStr">
        <is>
          <t>MN</t>
        </is>
      </c>
      <c r="F1328" s="53" t="inlineStr">
        <is>
          <t>CARLTON</t>
        </is>
      </c>
      <c r="G1328" s="59" t="n"/>
      <c r="N1328" s="59" t="n"/>
      <c r="O1328" s="59" t="n"/>
      <c r="X1328" s="61" t="n"/>
      <c r="Y1328" s="61" t="n"/>
    </row>
    <row r="1329" ht="14.25" customHeight="1" s="86">
      <c r="E1329" s="53" t="inlineStr">
        <is>
          <t>MN</t>
        </is>
      </c>
      <c r="F1329" s="53" t="inlineStr">
        <is>
          <t>CARVER</t>
        </is>
      </c>
      <c r="G1329" s="59" t="n"/>
      <c r="N1329" s="59" t="n"/>
      <c r="O1329" s="59" t="n"/>
      <c r="X1329" s="61" t="n"/>
      <c r="Y1329" s="61" t="n"/>
    </row>
    <row r="1330" ht="14.25" customHeight="1" s="86">
      <c r="E1330" s="53" t="inlineStr">
        <is>
          <t>MN</t>
        </is>
      </c>
      <c r="F1330" s="53" t="inlineStr">
        <is>
          <t>CASS</t>
        </is>
      </c>
      <c r="G1330" s="59" t="n"/>
      <c r="N1330" s="59" t="n"/>
      <c r="O1330" s="59" t="n"/>
      <c r="X1330" s="61" t="n"/>
      <c r="Y1330" s="61" t="n"/>
    </row>
    <row r="1331" ht="14.25" customHeight="1" s="86">
      <c r="E1331" s="53" t="inlineStr">
        <is>
          <t>MN</t>
        </is>
      </c>
      <c r="F1331" s="53" t="inlineStr">
        <is>
          <t>CHIPPEWA</t>
        </is>
      </c>
      <c r="G1331" s="59" t="n"/>
      <c r="N1331" s="59" t="n"/>
      <c r="O1331" s="59" t="n"/>
      <c r="X1331" s="61" t="n"/>
      <c r="Y1331" s="61" t="n"/>
    </row>
    <row r="1332" ht="14.25" customHeight="1" s="86">
      <c r="E1332" s="53" t="inlineStr">
        <is>
          <t>MN</t>
        </is>
      </c>
      <c r="F1332" s="53" t="inlineStr">
        <is>
          <t>CHISAGO</t>
        </is>
      </c>
      <c r="G1332" s="59" t="n"/>
      <c r="N1332" s="59" t="n"/>
      <c r="O1332" s="59" t="n"/>
      <c r="X1332" s="61" t="n"/>
      <c r="Y1332" s="61" t="n"/>
    </row>
    <row r="1333" ht="14.25" customHeight="1" s="86">
      <c r="E1333" s="53" t="inlineStr">
        <is>
          <t>MN</t>
        </is>
      </c>
      <c r="F1333" s="53" t="inlineStr">
        <is>
          <t>CLAY</t>
        </is>
      </c>
      <c r="G1333" s="59" t="n"/>
      <c r="N1333" s="59" t="n"/>
      <c r="O1333" s="59" t="n"/>
      <c r="X1333" s="61" t="n"/>
      <c r="Y1333" s="61" t="n"/>
    </row>
    <row r="1334" ht="14.25" customHeight="1" s="86">
      <c r="E1334" s="53" t="inlineStr">
        <is>
          <t>MN</t>
        </is>
      </c>
      <c r="F1334" s="53" t="inlineStr">
        <is>
          <t>CLEARWATER</t>
        </is>
      </c>
      <c r="G1334" s="59" t="n"/>
      <c r="N1334" s="59" t="n"/>
      <c r="O1334" s="59" t="n"/>
      <c r="X1334" s="61" t="n"/>
      <c r="Y1334" s="61" t="n"/>
    </row>
    <row r="1335" ht="14.25" customHeight="1" s="86">
      <c r="E1335" s="53" t="inlineStr">
        <is>
          <t>MN</t>
        </is>
      </c>
      <c r="F1335" s="53" t="inlineStr">
        <is>
          <t>COOK</t>
        </is>
      </c>
      <c r="G1335" s="59" t="n"/>
      <c r="N1335" s="59" t="n"/>
      <c r="O1335" s="59" t="n"/>
      <c r="X1335" s="61" t="n"/>
      <c r="Y1335" s="61" t="n"/>
    </row>
    <row r="1336" ht="14.25" customHeight="1" s="86">
      <c r="E1336" s="53" t="inlineStr">
        <is>
          <t>MN</t>
        </is>
      </c>
      <c r="F1336" s="53" t="inlineStr">
        <is>
          <t>COTTONWOOD</t>
        </is>
      </c>
      <c r="G1336" s="59" t="n"/>
      <c r="N1336" s="59" t="n"/>
      <c r="O1336" s="59" t="n"/>
      <c r="X1336" s="61" t="n"/>
      <c r="Y1336" s="61" t="n"/>
    </row>
    <row r="1337" ht="14.25" customHeight="1" s="86">
      <c r="E1337" s="53" t="inlineStr">
        <is>
          <t>MN</t>
        </is>
      </c>
      <c r="F1337" s="53" t="inlineStr">
        <is>
          <t>CROW WING</t>
        </is>
      </c>
      <c r="G1337" s="59" t="n"/>
      <c r="N1337" s="59" t="n"/>
      <c r="O1337" s="59" t="n"/>
      <c r="X1337" s="61" t="n"/>
      <c r="Y1337" s="61" t="n"/>
    </row>
    <row r="1338" ht="14.25" customHeight="1" s="86">
      <c r="E1338" s="53" t="inlineStr">
        <is>
          <t>MN</t>
        </is>
      </c>
      <c r="F1338" s="53" t="inlineStr">
        <is>
          <t>DAKOTA</t>
        </is>
      </c>
      <c r="G1338" s="59" t="n"/>
      <c r="N1338" s="59" t="n"/>
      <c r="O1338" s="59" t="n"/>
      <c r="X1338" s="61" t="n"/>
      <c r="Y1338" s="61" t="n"/>
    </row>
    <row r="1339" ht="14.25" customHeight="1" s="86">
      <c r="E1339" s="53" t="inlineStr">
        <is>
          <t>MN</t>
        </is>
      </c>
      <c r="F1339" s="53" t="inlineStr">
        <is>
          <t>DODGE</t>
        </is>
      </c>
      <c r="G1339" s="59" t="n"/>
      <c r="N1339" s="59" t="n"/>
      <c r="O1339" s="59" t="n"/>
      <c r="X1339" s="61" t="n"/>
      <c r="Y1339" s="61" t="n"/>
    </row>
    <row r="1340" ht="14.25" customHeight="1" s="86">
      <c r="E1340" s="53" t="inlineStr">
        <is>
          <t>MN</t>
        </is>
      </c>
      <c r="F1340" s="53" t="inlineStr">
        <is>
          <t>DOUGLAS</t>
        </is>
      </c>
      <c r="G1340" s="59" t="n"/>
      <c r="N1340" s="59" t="n"/>
      <c r="O1340" s="59" t="n"/>
      <c r="X1340" s="61" t="n"/>
      <c r="Y1340" s="61" t="n"/>
    </row>
    <row r="1341" ht="14.25" customHeight="1" s="86">
      <c r="E1341" s="53" t="inlineStr">
        <is>
          <t>MN</t>
        </is>
      </c>
      <c r="F1341" s="53" t="inlineStr">
        <is>
          <t>FARIBAULT</t>
        </is>
      </c>
      <c r="G1341" s="59" t="n"/>
      <c r="N1341" s="59" t="n"/>
      <c r="O1341" s="59" t="n"/>
      <c r="X1341" s="61" t="n"/>
      <c r="Y1341" s="61" t="n"/>
    </row>
    <row r="1342" ht="14.25" customHeight="1" s="86">
      <c r="E1342" s="53" t="inlineStr">
        <is>
          <t>MN</t>
        </is>
      </c>
      <c r="F1342" s="53" t="inlineStr">
        <is>
          <t>FILLMORE</t>
        </is>
      </c>
      <c r="G1342" s="59" t="n"/>
      <c r="N1342" s="59" t="n"/>
      <c r="O1342" s="59" t="n"/>
      <c r="X1342" s="61" t="n"/>
      <c r="Y1342" s="61" t="n"/>
    </row>
    <row r="1343" ht="14.25" customHeight="1" s="86">
      <c r="E1343" s="53" t="inlineStr">
        <is>
          <t>MN</t>
        </is>
      </c>
      <c r="F1343" s="53" t="inlineStr">
        <is>
          <t>FREEBORN</t>
        </is>
      </c>
      <c r="G1343" s="59" t="n"/>
      <c r="N1343" s="59" t="n"/>
      <c r="O1343" s="59" t="n"/>
      <c r="X1343" s="61" t="n"/>
      <c r="Y1343" s="61" t="n"/>
    </row>
    <row r="1344" ht="14.25" customHeight="1" s="86">
      <c r="E1344" s="53" t="inlineStr">
        <is>
          <t>MN</t>
        </is>
      </c>
      <c r="F1344" s="53" t="inlineStr">
        <is>
          <t>GOODHUE</t>
        </is>
      </c>
      <c r="G1344" s="59" t="n"/>
      <c r="N1344" s="59" t="n"/>
      <c r="O1344" s="59" t="n"/>
      <c r="X1344" s="61" t="n"/>
      <c r="Y1344" s="61" t="n"/>
    </row>
    <row r="1345" ht="14.25" customHeight="1" s="86">
      <c r="E1345" s="53" t="inlineStr">
        <is>
          <t>MN</t>
        </is>
      </c>
      <c r="F1345" s="53" t="inlineStr">
        <is>
          <t>GRANT</t>
        </is>
      </c>
      <c r="G1345" s="59" t="n"/>
      <c r="N1345" s="59" t="n"/>
      <c r="O1345" s="59" t="n"/>
      <c r="X1345" s="61" t="n"/>
      <c r="Y1345" s="61" t="n"/>
    </row>
    <row r="1346" ht="14.25" customHeight="1" s="86">
      <c r="E1346" s="53" t="inlineStr">
        <is>
          <t>MN</t>
        </is>
      </c>
      <c r="F1346" s="53" t="inlineStr">
        <is>
          <t>HENNEPIN</t>
        </is>
      </c>
      <c r="G1346" s="59" t="n"/>
      <c r="N1346" s="59" t="n"/>
      <c r="O1346" s="59" t="n"/>
      <c r="X1346" s="61" t="n"/>
      <c r="Y1346" s="61" t="n"/>
    </row>
    <row r="1347" ht="14.25" customHeight="1" s="86">
      <c r="E1347" s="53" t="inlineStr">
        <is>
          <t>MN</t>
        </is>
      </c>
      <c r="F1347" s="53" t="inlineStr">
        <is>
          <t>HOUSTON</t>
        </is>
      </c>
      <c r="G1347" s="59" t="n"/>
      <c r="N1347" s="59" t="n"/>
      <c r="O1347" s="59" t="n"/>
      <c r="X1347" s="61" t="n"/>
      <c r="Y1347" s="61" t="n"/>
    </row>
    <row r="1348" ht="14.25" customHeight="1" s="86">
      <c r="E1348" s="53" t="inlineStr">
        <is>
          <t>MN</t>
        </is>
      </c>
      <c r="F1348" s="53" t="inlineStr">
        <is>
          <t>HUBBARD</t>
        </is>
      </c>
      <c r="G1348" s="59" t="n"/>
      <c r="N1348" s="59" t="n"/>
      <c r="O1348" s="59" t="n"/>
      <c r="X1348" s="61" t="n"/>
      <c r="Y1348" s="61" t="n"/>
    </row>
    <row r="1349" ht="14.25" customHeight="1" s="86">
      <c r="E1349" s="53" t="inlineStr">
        <is>
          <t>MN</t>
        </is>
      </c>
      <c r="F1349" s="53" t="inlineStr">
        <is>
          <t>ISANTI</t>
        </is>
      </c>
      <c r="G1349" s="59" t="n"/>
      <c r="N1349" s="59" t="n"/>
      <c r="O1349" s="59" t="n"/>
      <c r="X1349" s="61" t="n"/>
      <c r="Y1349" s="61" t="n"/>
    </row>
    <row r="1350" ht="14.25" customHeight="1" s="86">
      <c r="E1350" s="53" t="inlineStr">
        <is>
          <t>MN</t>
        </is>
      </c>
      <c r="F1350" s="53" t="inlineStr">
        <is>
          <t>ITASCA</t>
        </is>
      </c>
      <c r="G1350" s="59" t="n"/>
      <c r="N1350" s="59" t="n"/>
      <c r="O1350" s="59" t="n"/>
      <c r="X1350" s="61" t="n"/>
      <c r="Y1350" s="61" t="n"/>
    </row>
    <row r="1351" ht="14.25" customHeight="1" s="86">
      <c r="E1351" s="53" t="inlineStr">
        <is>
          <t>MN</t>
        </is>
      </c>
      <c r="F1351" s="53" t="inlineStr">
        <is>
          <t>JACKSON</t>
        </is>
      </c>
      <c r="G1351" s="59" t="n"/>
      <c r="N1351" s="59" t="n"/>
      <c r="O1351" s="59" t="n"/>
      <c r="X1351" s="61" t="n"/>
      <c r="Y1351" s="61" t="n"/>
    </row>
    <row r="1352" ht="14.25" customHeight="1" s="86">
      <c r="E1352" s="53" t="inlineStr">
        <is>
          <t>MN</t>
        </is>
      </c>
      <c r="F1352" s="53" t="inlineStr">
        <is>
          <t>KANABEC</t>
        </is>
      </c>
      <c r="G1352" s="59" t="n"/>
      <c r="N1352" s="59" t="n"/>
      <c r="O1352" s="59" t="n"/>
      <c r="X1352" s="61" t="n"/>
      <c r="Y1352" s="61" t="n"/>
    </row>
    <row r="1353" ht="14.25" customHeight="1" s="86">
      <c r="E1353" s="53" t="inlineStr">
        <is>
          <t>MN</t>
        </is>
      </c>
      <c r="F1353" s="53" t="inlineStr">
        <is>
          <t>KANDIYOHI</t>
        </is>
      </c>
      <c r="G1353" s="59" t="n"/>
      <c r="N1353" s="59" t="n"/>
      <c r="O1353" s="59" t="n"/>
      <c r="X1353" s="61" t="n"/>
      <c r="Y1353" s="61" t="n"/>
    </row>
    <row r="1354" ht="14.25" customHeight="1" s="86">
      <c r="E1354" s="53" t="inlineStr">
        <is>
          <t>MN</t>
        </is>
      </c>
      <c r="F1354" s="53" t="inlineStr">
        <is>
          <t>KITTSON</t>
        </is>
      </c>
      <c r="G1354" s="59" t="n"/>
      <c r="N1354" s="59" t="n"/>
      <c r="O1354" s="59" t="n"/>
      <c r="X1354" s="61" t="n"/>
      <c r="Y1354" s="61" t="n"/>
    </row>
    <row r="1355" ht="14.25" customHeight="1" s="86">
      <c r="E1355" s="53" t="inlineStr">
        <is>
          <t>MN</t>
        </is>
      </c>
      <c r="F1355" s="53" t="inlineStr">
        <is>
          <t>KOOCHICHING</t>
        </is>
      </c>
      <c r="G1355" s="59" t="n"/>
      <c r="N1355" s="59" t="n"/>
      <c r="O1355" s="59" t="n"/>
      <c r="X1355" s="61" t="n"/>
      <c r="Y1355" s="61" t="n"/>
    </row>
    <row r="1356" ht="14.25" customHeight="1" s="86">
      <c r="E1356" s="53" t="inlineStr">
        <is>
          <t>MN</t>
        </is>
      </c>
      <c r="F1356" s="53" t="inlineStr">
        <is>
          <t>LAC QUI PARLE</t>
        </is>
      </c>
      <c r="G1356" s="59" t="n"/>
      <c r="N1356" s="59" t="n"/>
      <c r="O1356" s="59" t="n"/>
      <c r="X1356" s="61" t="n"/>
      <c r="Y1356" s="61" t="n"/>
    </row>
    <row r="1357" ht="14.25" customHeight="1" s="86">
      <c r="E1357" s="53" t="inlineStr">
        <is>
          <t>MN</t>
        </is>
      </c>
      <c r="F1357" s="53" t="inlineStr">
        <is>
          <t>LAKE</t>
        </is>
      </c>
      <c r="G1357" s="59" t="n"/>
      <c r="N1357" s="59" t="n"/>
      <c r="O1357" s="59" t="n"/>
      <c r="X1357" s="61" t="n"/>
      <c r="Y1357" s="61" t="n"/>
    </row>
    <row r="1358" ht="14.25" customHeight="1" s="86">
      <c r="E1358" s="53" t="inlineStr">
        <is>
          <t>MN</t>
        </is>
      </c>
      <c r="F1358" s="53" t="inlineStr">
        <is>
          <t>LAKE OF THE WOODS</t>
        </is>
      </c>
      <c r="G1358" s="59" t="n"/>
      <c r="N1358" s="59" t="n"/>
      <c r="O1358" s="59" t="n"/>
      <c r="X1358" s="61" t="n"/>
      <c r="Y1358" s="61" t="n"/>
    </row>
    <row r="1359" ht="14.25" customHeight="1" s="86">
      <c r="E1359" s="53" t="inlineStr">
        <is>
          <t>MN</t>
        </is>
      </c>
      <c r="F1359" s="53" t="inlineStr">
        <is>
          <t>LE SUEUR</t>
        </is>
      </c>
      <c r="G1359" s="59" t="n"/>
      <c r="N1359" s="59" t="n"/>
      <c r="O1359" s="59" t="n"/>
      <c r="X1359" s="61" t="n"/>
      <c r="Y1359" s="61" t="n"/>
    </row>
    <row r="1360" ht="14.25" customHeight="1" s="86">
      <c r="E1360" s="53" t="inlineStr">
        <is>
          <t>MN</t>
        </is>
      </c>
      <c r="F1360" s="53" t="inlineStr">
        <is>
          <t>LINCOLN</t>
        </is>
      </c>
      <c r="G1360" s="59" t="n"/>
      <c r="N1360" s="59" t="n"/>
      <c r="O1360" s="59" t="n"/>
      <c r="X1360" s="61" t="n"/>
      <c r="Y1360" s="61" t="n"/>
    </row>
    <row r="1361" ht="14.25" customHeight="1" s="86">
      <c r="E1361" s="53" t="inlineStr">
        <is>
          <t>MN</t>
        </is>
      </c>
      <c r="F1361" s="53" t="inlineStr">
        <is>
          <t>LYON</t>
        </is>
      </c>
      <c r="G1361" s="59" t="n"/>
      <c r="N1361" s="59" t="n"/>
      <c r="O1361" s="59" t="n"/>
      <c r="X1361" s="61" t="n"/>
      <c r="Y1361" s="61" t="n"/>
    </row>
    <row r="1362" ht="14.25" customHeight="1" s="86">
      <c r="E1362" s="53" t="inlineStr">
        <is>
          <t>MN</t>
        </is>
      </c>
      <c r="F1362" s="53" t="inlineStr">
        <is>
          <t>MAHNOMEN</t>
        </is>
      </c>
      <c r="G1362" s="59" t="n"/>
      <c r="N1362" s="59" t="n"/>
      <c r="O1362" s="59" t="n"/>
      <c r="X1362" s="61" t="n"/>
      <c r="Y1362" s="61" t="n"/>
    </row>
    <row r="1363" ht="14.25" customHeight="1" s="86">
      <c r="E1363" s="53" t="inlineStr">
        <is>
          <t>MN</t>
        </is>
      </c>
      <c r="F1363" s="53" t="inlineStr">
        <is>
          <t>MARSHALL</t>
        </is>
      </c>
      <c r="G1363" s="59" t="n"/>
      <c r="N1363" s="59" t="n"/>
      <c r="O1363" s="59" t="n"/>
      <c r="X1363" s="61" t="n"/>
      <c r="Y1363" s="61" t="n"/>
    </row>
    <row r="1364" ht="14.25" customHeight="1" s="86">
      <c r="E1364" s="53" t="inlineStr">
        <is>
          <t>MN</t>
        </is>
      </c>
      <c r="F1364" s="53" t="inlineStr">
        <is>
          <t>MARTIN</t>
        </is>
      </c>
      <c r="G1364" s="59" t="n"/>
      <c r="N1364" s="59" t="n"/>
      <c r="O1364" s="59" t="n"/>
      <c r="X1364" s="61" t="n"/>
      <c r="Y1364" s="61" t="n"/>
    </row>
    <row r="1365" ht="14.25" customHeight="1" s="86">
      <c r="E1365" s="53" t="inlineStr">
        <is>
          <t>MN</t>
        </is>
      </c>
      <c r="F1365" s="53" t="inlineStr">
        <is>
          <t>MCLEOD</t>
        </is>
      </c>
      <c r="G1365" s="59" t="n"/>
      <c r="N1365" s="59" t="n"/>
      <c r="O1365" s="59" t="n"/>
      <c r="X1365" s="61" t="n"/>
      <c r="Y1365" s="61" t="n"/>
    </row>
    <row r="1366" ht="14.25" customHeight="1" s="86">
      <c r="E1366" s="53" t="inlineStr">
        <is>
          <t>MN</t>
        </is>
      </c>
      <c r="F1366" s="53" t="inlineStr">
        <is>
          <t>MEEKER</t>
        </is>
      </c>
      <c r="G1366" s="59" t="n"/>
      <c r="N1366" s="59" t="n"/>
      <c r="O1366" s="59" t="n"/>
      <c r="X1366" s="61" t="n"/>
      <c r="Y1366" s="61" t="n"/>
    </row>
    <row r="1367" ht="14.25" customHeight="1" s="86">
      <c r="E1367" s="53" t="inlineStr">
        <is>
          <t>MN</t>
        </is>
      </c>
      <c r="F1367" s="53" t="inlineStr">
        <is>
          <t>MILLE LACS</t>
        </is>
      </c>
      <c r="G1367" s="59" t="n"/>
      <c r="N1367" s="59" t="n"/>
      <c r="O1367" s="59" t="n"/>
      <c r="X1367" s="61" t="n"/>
      <c r="Y1367" s="61" t="n"/>
    </row>
    <row r="1368" ht="14.25" customHeight="1" s="86">
      <c r="E1368" s="53" t="inlineStr">
        <is>
          <t>MN</t>
        </is>
      </c>
      <c r="F1368" s="53" t="inlineStr">
        <is>
          <t>MORRISON</t>
        </is>
      </c>
      <c r="G1368" s="59" t="n"/>
      <c r="N1368" s="59" t="n"/>
      <c r="O1368" s="59" t="n"/>
      <c r="X1368" s="61" t="n"/>
      <c r="Y1368" s="61" t="n"/>
    </row>
    <row r="1369" ht="14.25" customHeight="1" s="86">
      <c r="E1369" s="53" t="inlineStr">
        <is>
          <t>MN</t>
        </is>
      </c>
      <c r="F1369" s="53" t="inlineStr">
        <is>
          <t>MOWER</t>
        </is>
      </c>
      <c r="G1369" s="59" t="n"/>
      <c r="N1369" s="59" t="n"/>
      <c r="O1369" s="59" t="n"/>
      <c r="X1369" s="61" t="n"/>
      <c r="Y1369" s="61" t="n"/>
    </row>
    <row r="1370" ht="14.25" customHeight="1" s="86">
      <c r="E1370" s="53" t="inlineStr">
        <is>
          <t>MN</t>
        </is>
      </c>
      <c r="F1370" s="53" t="inlineStr">
        <is>
          <t>MURRAY</t>
        </is>
      </c>
      <c r="G1370" s="59" t="n"/>
      <c r="N1370" s="59" t="n"/>
      <c r="O1370" s="59" t="n"/>
      <c r="X1370" s="61" t="n"/>
      <c r="Y1370" s="61" t="n"/>
    </row>
    <row r="1371" ht="14.25" customHeight="1" s="86">
      <c r="E1371" s="53" t="inlineStr">
        <is>
          <t>MN</t>
        </is>
      </c>
      <c r="F1371" s="53" t="inlineStr">
        <is>
          <t>NICOLLET</t>
        </is>
      </c>
      <c r="G1371" s="59" t="n"/>
      <c r="N1371" s="59" t="n"/>
      <c r="O1371" s="59" t="n"/>
      <c r="X1371" s="61" t="n"/>
      <c r="Y1371" s="61" t="n"/>
    </row>
    <row r="1372" ht="14.25" customHeight="1" s="86">
      <c r="E1372" s="53" t="inlineStr">
        <is>
          <t>MN</t>
        </is>
      </c>
      <c r="F1372" s="53" t="inlineStr">
        <is>
          <t>NOBLES</t>
        </is>
      </c>
      <c r="G1372" s="59" t="n"/>
      <c r="N1372" s="59" t="n"/>
      <c r="O1372" s="59" t="n"/>
      <c r="X1372" s="61" t="n"/>
      <c r="Y1372" s="61" t="n"/>
    </row>
    <row r="1373" ht="14.25" customHeight="1" s="86">
      <c r="E1373" s="53" t="inlineStr">
        <is>
          <t>MN</t>
        </is>
      </c>
      <c r="F1373" s="53" t="inlineStr">
        <is>
          <t>NORMAN</t>
        </is>
      </c>
      <c r="G1373" s="59" t="n"/>
      <c r="N1373" s="59" t="n"/>
      <c r="O1373" s="59" t="n"/>
      <c r="X1373" s="61" t="n"/>
      <c r="Y1373" s="61" t="n"/>
    </row>
    <row r="1374" ht="14.25" customHeight="1" s="86">
      <c r="E1374" s="53" t="inlineStr">
        <is>
          <t>MN</t>
        </is>
      </c>
      <c r="F1374" s="53" t="inlineStr">
        <is>
          <t>OLMSTED</t>
        </is>
      </c>
      <c r="G1374" s="59" t="n"/>
      <c r="N1374" s="59" t="n"/>
      <c r="O1374" s="59" t="n"/>
      <c r="X1374" s="61" t="n"/>
      <c r="Y1374" s="61" t="n"/>
    </row>
    <row r="1375" ht="14.25" customHeight="1" s="86">
      <c r="E1375" s="53" t="inlineStr">
        <is>
          <t>MN</t>
        </is>
      </c>
      <c r="F1375" s="53" t="inlineStr">
        <is>
          <t>OTTER TAIL</t>
        </is>
      </c>
      <c r="G1375" s="59" t="n"/>
      <c r="N1375" s="59" t="n"/>
      <c r="O1375" s="59" t="n"/>
      <c r="X1375" s="61" t="n"/>
      <c r="Y1375" s="61" t="n"/>
    </row>
    <row r="1376" ht="14.25" customHeight="1" s="86">
      <c r="E1376" s="53" t="inlineStr">
        <is>
          <t>MN</t>
        </is>
      </c>
      <c r="F1376" s="53" t="inlineStr">
        <is>
          <t>PENNINGTON</t>
        </is>
      </c>
      <c r="G1376" s="59" t="n"/>
      <c r="N1376" s="59" t="n"/>
      <c r="O1376" s="59" t="n"/>
      <c r="X1376" s="61" t="n"/>
      <c r="Y1376" s="61" t="n"/>
    </row>
    <row r="1377" ht="14.25" customHeight="1" s="86">
      <c r="E1377" s="53" t="inlineStr">
        <is>
          <t>MN</t>
        </is>
      </c>
      <c r="F1377" s="53" t="inlineStr">
        <is>
          <t>PINE</t>
        </is>
      </c>
      <c r="G1377" s="59" t="n"/>
      <c r="N1377" s="59" t="n"/>
      <c r="O1377" s="59" t="n"/>
      <c r="X1377" s="61" t="n"/>
      <c r="Y1377" s="61" t="n"/>
    </row>
    <row r="1378" ht="14.25" customHeight="1" s="86">
      <c r="E1378" s="53" t="inlineStr">
        <is>
          <t>MN</t>
        </is>
      </c>
      <c r="F1378" s="53" t="inlineStr">
        <is>
          <t>PIPESTONE</t>
        </is>
      </c>
      <c r="G1378" s="59" t="n"/>
      <c r="N1378" s="59" t="n"/>
      <c r="O1378" s="59" t="n"/>
      <c r="X1378" s="61" t="n"/>
      <c r="Y1378" s="61" t="n"/>
    </row>
    <row r="1379" ht="14.25" customHeight="1" s="86">
      <c r="E1379" s="53" t="inlineStr">
        <is>
          <t>MN</t>
        </is>
      </c>
      <c r="F1379" s="53" t="inlineStr">
        <is>
          <t>POLK</t>
        </is>
      </c>
      <c r="G1379" s="59" t="n"/>
      <c r="N1379" s="59" t="n"/>
      <c r="O1379" s="59" t="n"/>
      <c r="X1379" s="61" t="n"/>
      <c r="Y1379" s="61" t="n"/>
    </row>
    <row r="1380" ht="14.25" customHeight="1" s="86">
      <c r="E1380" s="53" t="inlineStr">
        <is>
          <t>MN</t>
        </is>
      </c>
      <c r="F1380" s="53" t="inlineStr">
        <is>
          <t>POPE</t>
        </is>
      </c>
      <c r="G1380" s="59" t="n"/>
      <c r="N1380" s="59" t="n"/>
      <c r="O1380" s="59" t="n"/>
      <c r="X1380" s="61" t="n"/>
      <c r="Y1380" s="61" t="n"/>
    </row>
    <row r="1381" ht="14.25" customHeight="1" s="86">
      <c r="E1381" s="53" t="inlineStr">
        <is>
          <t>MN</t>
        </is>
      </c>
      <c r="F1381" s="53" t="inlineStr">
        <is>
          <t>RAMSEY</t>
        </is>
      </c>
      <c r="G1381" s="59" t="n"/>
      <c r="N1381" s="59" t="n"/>
      <c r="O1381" s="59" t="n"/>
      <c r="X1381" s="61" t="n"/>
      <c r="Y1381" s="61" t="n"/>
    </row>
    <row r="1382" ht="14.25" customHeight="1" s="86">
      <c r="E1382" s="53" t="inlineStr">
        <is>
          <t>MN</t>
        </is>
      </c>
      <c r="F1382" s="53" t="inlineStr">
        <is>
          <t>RED LAKE</t>
        </is>
      </c>
      <c r="G1382" s="59" t="n"/>
      <c r="N1382" s="59" t="n"/>
      <c r="O1382" s="59" t="n"/>
      <c r="X1382" s="61" t="n"/>
      <c r="Y1382" s="61" t="n"/>
    </row>
    <row r="1383" ht="14.25" customHeight="1" s="86">
      <c r="E1383" s="53" t="inlineStr">
        <is>
          <t>MN</t>
        </is>
      </c>
      <c r="F1383" s="53" t="inlineStr">
        <is>
          <t>REDWOOD</t>
        </is>
      </c>
      <c r="G1383" s="59" t="n"/>
      <c r="N1383" s="59" t="n"/>
      <c r="O1383" s="59" t="n"/>
      <c r="X1383" s="61" t="n"/>
      <c r="Y1383" s="61" t="n"/>
    </row>
    <row r="1384" ht="14.25" customHeight="1" s="86">
      <c r="E1384" s="53" t="inlineStr">
        <is>
          <t>MN</t>
        </is>
      </c>
      <c r="F1384" s="53" t="inlineStr">
        <is>
          <t>RENVILLE</t>
        </is>
      </c>
      <c r="G1384" s="59" t="n"/>
      <c r="N1384" s="59" t="n"/>
      <c r="O1384" s="59" t="n"/>
      <c r="X1384" s="61" t="n"/>
      <c r="Y1384" s="61" t="n"/>
    </row>
    <row r="1385" ht="14.25" customHeight="1" s="86">
      <c r="E1385" s="53" t="inlineStr">
        <is>
          <t>MN</t>
        </is>
      </c>
      <c r="F1385" s="53" t="inlineStr">
        <is>
          <t>RICE</t>
        </is>
      </c>
      <c r="G1385" s="59" t="n"/>
      <c r="N1385" s="59" t="n"/>
      <c r="O1385" s="59" t="n"/>
      <c r="X1385" s="61" t="n"/>
      <c r="Y1385" s="61" t="n"/>
    </row>
    <row r="1386" ht="14.25" customHeight="1" s="86">
      <c r="E1386" s="53" t="inlineStr">
        <is>
          <t>MN</t>
        </is>
      </c>
      <c r="F1386" s="53" t="inlineStr">
        <is>
          <t>ROCK</t>
        </is>
      </c>
      <c r="G1386" s="59" t="n"/>
      <c r="N1386" s="59" t="n"/>
      <c r="O1386" s="59" t="n"/>
      <c r="X1386" s="61" t="n"/>
      <c r="Y1386" s="61" t="n"/>
    </row>
    <row r="1387" ht="14.25" customHeight="1" s="86">
      <c r="E1387" s="53" t="inlineStr">
        <is>
          <t>MN</t>
        </is>
      </c>
      <c r="F1387" s="53" t="inlineStr">
        <is>
          <t>ROSEAU</t>
        </is>
      </c>
      <c r="G1387" s="59" t="n"/>
      <c r="N1387" s="59" t="n"/>
      <c r="O1387" s="59" t="n"/>
      <c r="X1387" s="61" t="n"/>
      <c r="Y1387" s="61" t="n"/>
    </row>
    <row r="1388" ht="14.25" customHeight="1" s="86">
      <c r="E1388" s="53" t="inlineStr">
        <is>
          <t>MN</t>
        </is>
      </c>
      <c r="F1388" s="53" t="inlineStr">
        <is>
          <t>SAINT LOUIS</t>
        </is>
      </c>
      <c r="G1388" s="59" t="n"/>
      <c r="N1388" s="59" t="n"/>
      <c r="O1388" s="59" t="n"/>
      <c r="X1388" s="61" t="n"/>
      <c r="Y1388" s="61" t="n"/>
    </row>
    <row r="1389" ht="14.25" customHeight="1" s="86">
      <c r="E1389" s="53" t="inlineStr">
        <is>
          <t>MN</t>
        </is>
      </c>
      <c r="F1389" s="53" t="inlineStr">
        <is>
          <t>SCOTT</t>
        </is>
      </c>
      <c r="G1389" s="59" t="n"/>
      <c r="N1389" s="59" t="n"/>
      <c r="O1389" s="59" t="n"/>
      <c r="X1389" s="61" t="n"/>
      <c r="Y1389" s="61" t="n"/>
    </row>
    <row r="1390" ht="14.25" customHeight="1" s="86">
      <c r="E1390" s="53" t="inlineStr">
        <is>
          <t>MN</t>
        </is>
      </c>
      <c r="F1390" s="53" t="inlineStr">
        <is>
          <t>SHERBURNE</t>
        </is>
      </c>
      <c r="G1390" s="59" t="n"/>
      <c r="N1390" s="59" t="n"/>
      <c r="O1390" s="59" t="n"/>
      <c r="X1390" s="61" t="n"/>
      <c r="Y1390" s="61" t="n"/>
    </row>
    <row r="1391" ht="14.25" customHeight="1" s="86">
      <c r="E1391" s="53" t="inlineStr">
        <is>
          <t>MN</t>
        </is>
      </c>
      <c r="F1391" s="53" t="inlineStr">
        <is>
          <t>SIBLEY</t>
        </is>
      </c>
      <c r="G1391" s="59" t="n"/>
      <c r="N1391" s="59" t="n"/>
      <c r="O1391" s="59" t="n"/>
      <c r="X1391" s="61" t="n"/>
      <c r="Y1391" s="61" t="n"/>
    </row>
    <row r="1392" ht="14.25" customHeight="1" s="86">
      <c r="E1392" s="53" t="inlineStr">
        <is>
          <t>MN</t>
        </is>
      </c>
      <c r="F1392" s="53" t="inlineStr">
        <is>
          <t>STEARNS</t>
        </is>
      </c>
      <c r="G1392" s="59" t="n"/>
      <c r="N1392" s="59" t="n"/>
      <c r="O1392" s="59" t="n"/>
      <c r="X1392" s="61" t="n"/>
      <c r="Y1392" s="61" t="n"/>
    </row>
    <row r="1393" ht="14.25" customHeight="1" s="86">
      <c r="E1393" s="53" t="inlineStr">
        <is>
          <t>MN</t>
        </is>
      </c>
      <c r="F1393" s="53" t="inlineStr">
        <is>
          <t>STEELE</t>
        </is>
      </c>
      <c r="G1393" s="59" t="n"/>
      <c r="N1393" s="59" t="n"/>
      <c r="O1393" s="59" t="n"/>
      <c r="X1393" s="61" t="n"/>
      <c r="Y1393" s="61" t="n"/>
    </row>
    <row r="1394" ht="14.25" customHeight="1" s="86">
      <c r="E1394" s="53" t="inlineStr">
        <is>
          <t>MN</t>
        </is>
      </c>
      <c r="F1394" s="53" t="inlineStr">
        <is>
          <t>STEVENS</t>
        </is>
      </c>
      <c r="G1394" s="59" t="n"/>
      <c r="N1394" s="59" t="n"/>
      <c r="O1394" s="59" t="n"/>
      <c r="X1394" s="61" t="n"/>
      <c r="Y1394" s="61" t="n"/>
    </row>
    <row r="1395" ht="14.25" customHeight="1" s="86">
      <c r="E1395" s="53" t="inlineStr">
        <is>
          <t>MN</t>
        </is>
      </c>
      <c r="F1395" s="53" t="inlineStr">
        <is>
          <t>SWIFT</t>
        </is>
      </c>
      <c r="G1395" s="59" t="n"/>
      <c r="N1395" s="59" t="n"/>
      <c r="O1395" s="59" t="n"/>
      <c r="X1395" s="61" t="n"/>
      <c r="Y1395" s="61" t="n"/>
    </row>
    <row r="1396" ht="14.25" customHeight="1" s="86">
      <c r="E1396" s="53" t="inlineStr">
        <is>
          <t>MN</t>
        </is>
      </c>
      <c r="F1396" s="53" t="inlineStr">
        <is>
          <t>TODD</t>
        </is>
      </c>
      <c r="G1396" s="59" t="n"/>
      <c r="N1396" s="59" t="n"/>
      <c r="O1396" s="59" t="n"/>
      <c r="X1396" s="61" t="n"/>
      <c r="Y1396" s="61" t="n"/>
    </row>
    <row r="1397" ht="14.25" customHeight="1" s="86">
      <c r="E1397" s="53" t="inlineStr">
        <is>
          <t>MN</t>
        </is>
      </c>
      <c r="F1397" s="53" t="inlineStr">
        <is>
          <t>TRAVERSE</t>
        </is>
      </c>
      <c r="G1397" s="59" t="n"/>
      <c r="N1397" s="59" t="n"/>
      <c r="O1397" s="59" t="n"/>
      <c r="X1397" s="61" t="n"/>
      <c r="Y1397" s="61" t="n"/>
    </row>
    <row r="1398" ht="14.25" customHeight="1" s="86">
      <c r="E1398" s="53" t="inlineStr">
        <is>
          <t>MN</t>
        </is>
      </c>
      <c r="F1398" s="53" t="inlineStr">
        <is>
          <t>WABASHA</t>
        </is>
      </c>
      <c r="G1398" s="59" t="n"/>
      <c r="N1398" s="59" t="n"/>
      <c r="O1398" s="59" t="n"/>
      <c r="X1398" s="61" t="n"/>
      <c r="Y1398" s="61" t="n"/>
    </row>
    <row r="1399" ht="14.25" customHeight="1" s="86">
      <c r="E1399" s="53" t="inlineStr">
        <is>
          <t>MN</t>
        </is>
      </c>
      <c r="F1399" s="53" t="inlineStr">
        <is>
          <t>WADENA</t>
        </is>
      </c>
      <c r="G1399" s="59" t="n"/>
      <c r="N1399" s="59" t="n"/>
      <c r="O1399" s="59" t="n"/>
      <c r="X1399" s="61" t="n"/>
      <c r="Y1399" s="61" t="n"/>
    </row>
    <row r="1400" ht="14.25" customHeight="1" s="86">
      <c r="E1400" s="53" t="inlineStr">
        <is>
          <t>MN</t>
        </is>
      </c>
      <c r="F1400" s="53" t="inlineStr">
        <is>
          <t>WASECA</t>
        </is>
      </c>
      <c r="G1400" s="59" t="n"/>
      <c r="N1400" s="59" t="n"/>
      <c r="O1400" s="59" t="n"/>
      <c r="X1400" s="61" t="n"/>
      <c r="Y1400" s="61" t="n"/>
    </row>
    <row r="1401" ht="14.25" customHeight="1" s="86">
      <c r="E1401" s="53" t="inlineStr">
        <is>
          <t>MN</t>
        </is>
      </c>
      <c r="F1401" s="53" t="inlineStr">
        <is>
          <t>WASHINGTON</t>
        </is>
      </c>
      <c r="G1401" s="59" t="n"/>
      <c r="N1401" s="59" t="n"/>
      <c r="O1401" s="59" t="n"/>
      <c r="X1401" s="61" t="n"/>
      <c r="Y1401" s="61" t="n"/>
    </row>
    <row r="1402" ht="14.25" customHeight="1" s="86">
      <c r="E1402" s="53" t="inlineStr">
        <is>
          <t>MN</t>
        </is>
      </c>
      <c r="F1402" s="53" t="inlineStr">
        <is>
          <t>WATONWAN</t>
        </is>
      </c>
      <c r="G1402" s="59" t="n"/>
      <c r="N1402" s="59" t="n"/>
      <c r="O1402" s="59" t="n"/>
      <c r="X1402" s="61" t="n"/>
      <c r="Y1402" s="61" t="n"/>
    </row>
    <row r="1403" ht="14.25" customHeight="1" s="86">
      <c r="E1403" s="53" t="inlineStr">
        <is>
          <t>MN</t>
        </is>
      </c>
      <c r="F1403" s="53" t="inlineStr">
        <is>
          <t>WILKIN</t>
        </is>
      </c>
      <c r="G1403" s="59" t="n"/>
      <c r="N1403" s="59" t="n"/>
      <c r="O1403" s="59" t="n"/>
      <c r="X1403" s="61" t="n"/>
      <c r="Y1403" s="61" t="n"/>
    </row>
    <row r="1404" ht="14.25" customHeight="1" s="86">
      <c r="E1404" s="53" t="inlineStr">
        <is>
          <t>MN</t>
        </is>
      </c>
      <c r="F1404" s="53" t="inlineStr">
        <is>
          <t>WINONA</t>
        </is>
      </c>
      <c r="G1404" s="59" t="n"/>
      <c r="N1404" s="59" t="n"/>
      <c r="O1404" s="59" t="n"/>
      <c r="X1404" s="61" t="n"/>
      <c r="Y1404" s="61" t="n"/>
    </row>
    <row r="1405" ht="14.25" customHeight="1" s="86">
      <c r="E1405" s="53" t="inlineStr">
        <is>
          <t>MN</t>
        </is>
      </c>
      <c r="F1405" s="53" t="inlineStr">
        <is>
          <t>WRIGHT</t>
        </is>
      </c>
      <c r="G1405" s="59" t="n"/>
      <c r="N1405" s="59" t="n"/>
      <c r="O1405" s="59" t="n"/>
      <c r="X1405" s="61" t="n"/>
      <c r="Y1405" s="61" t="n"/>
    </row>
    <row r="1406" ht="14.25" customHeight="1" s="86">
      <c r="E1406" s="53" t="inlineStr">
        <is>
          <t>MN</t>
        </is>
      </c>
      <c r="F1406" s="53" t="inlineStr">
        <is>
          <t>YELLOW MEDICINE</t>
        </is>
      </c>
      <c r="G1406" s="59" t="n"/>
      <c r="N1406" s="59" t="n"/>
      <c r="O1406" s="59" t="n"/>
      <c r="X1406" s="61" t="n"/>
      <c r="Y1406" s="61" t="n"/>
    </row>
    <row r="1407" ht="14.25" customHeight="1" s="86">
      <c r="E1407" s="53" t="inlineStr">
        <is>
          <t>MO</t>
        </is>
      </c>
      <c r="F1407" s="53" t="inlineStr">
        <is>
          <t>ADAIR</t>
        </is>
      </c>
      <c r="G1407" s="59" t="n"/>
      <c r="N1407" s="59" t="n"/>
      <c r="O1407" s="59" t="n"/>
      <c r="X1407" s="61" t="n"/>
      <c r="Y1407" s="61" t="n"/>
    </row>
    <row r="1408" ht="14.25" customHeight="1" s="86">
      <c r="E1408" s="53" t="inlineStr">
        <is>
          <t>MO</t>
        </is>
      </c>
      <c r="F1408" s="53" t="inlineStr">
        <is>
          <t>ANDREW</t>
        </is>
      </c>
      <c r="G1408" s="59" t="n"/>
      <c r="N1408" s="59" t="n"/>
      <c r="O1408" s="59" t="n"/>
      <c r="X1408" s="61" t="n"/>
      <c r="Y1408" s="61" t="n"/>
    </row>
    <row r="1409" ht="14.25" customHeight="1" s="86">
      <c r="E1409" s="53" t="inlineStr">
        <is>
          <t>MO</t>
        </is>
      </c>
      <c r="F1409" s="53" t="inlineStr">
        <is>
          <t>ATCHISON</t>
        </is>
      </c>
      <c r="G1409" s="59" t="n"/>
      <c r="N1409" s="59" t="n"/>
      <c r="O1409" s="59" t="n"/>
      <c r="X1409" s="61" t="n"/>
      <c r="Y1409" s="61" t="n"/>
    </row>
    <row r="1410" ht="14.25" customHeight="1" s="86">
      <c r="E1410" s="53" t="inlineStr">
        <is>
          <t>MO</t>
        </is>
      </c>
      <c r="F1410" s="53" t="inlineStr">
        <is>
          <t>AUDRAIN</t>
        </is>
      </c>
      <c r="G1410" s="59" t="n"/>
      <c r="N1410" s="59" t="n"/>
      <c r="O1410" s="59" t="n"/>
      <c r="X1410" s="61" t="n"/>
      <c r="Y1410" s="61" t="n"/>
    </row>
    <row r="1411" ht="14.25" customHeight="1" s="86">
      <c r="E1411" s="53" t="inlineStr">
        <is>
          <t>MO</t>
        </is>
      </c>
      <c r="F1411" s="53" t="inlineStr">
        <is>
          <t>BARRY</t>
        </is>
      </c>
      <c r="G1411" s="59" t="n"/>
      <c r="N1411" s="59" t="n"/>
      <c r="O1411" s="59" t="n"/>
      <c r="X1411" s="61" t="n"/>
      <c r="Y1411" s="61" t="n"/>
    </row>
    <row r="1412" ht="14.25" customHeight="1" s="86">
      <c r="E1412" s="53" t="inlineStr">
        <is>
          <t>MO</t>
        </is>
      </c>
      <c r="F1412" s="53" t="inlineStr">
        <is>
          <t>BARTON</t>
        </is>
      </c>
      <c r="G1412" s="59" t="n"/>
      <c r="N1412" s="59" t="n"/>
      <c r="O1412" s="59" t="n"/>
      <c r="X1412" s="61" t="n"/>
      <c r="Y1412" s="61" t="n"/>
    </row>
    <row r="1413" ht="14.25" customHeight="1" s="86">
      <c r="E1413" s="53" t="inlineStr">
        <is>
          <t>MO</t>
        </is>
      </c>
      <c r="F1413" s="53" t="inlineStr">
        <is>
          <t>BATES</t>
        </is>
      </c>
      <c r="G1413" s="59" t="n"/>
      <c r="N1413" s="59" t="n"/>
      <c r="O1413" s="59" t="n"/>
      <c r="X1413" s="61" t="n"/>
      <c r="Y1413" s="61" t="n"/>
    </row>
    <row r="1414" ht="14.25" customHeight="1" s="86">
      <c r="E1414" s="53" t="inlineStr">
        <is>
          <t>MO</t>
        </is>
      </c>
      <c r="F1414" s="53" t="inlineStr">
        <is>
          <t>BENTON</t>
        </is>
      </c>
      <c r="G1414" s="59" t="n"/>
      <c r="N1414" s="59" t="n"/>
      <c r="O1414" s="59" t="n"/>
      <c r="X1414" s="61" t="n"/>
      <c r="Y1414" s="61" t="n"/>
    </row>
    <row r="1415" ht="14.25" customHeight="1" s="86">
      <c r="E1415" s="53" t="inlineStr">
        <is>
          <t>MO</t>
        </is>
      </c>
      <c r="F1415" s="53" t="inlineStr">
        <is>
          <t>BOLLINGER</t>
        </is>
      </c>
      <c r="G1415" s="59" t="n"/>
      <c r="N1415" s="59" t="n"/>
      <c r="O1415" s="59" t="n"/>
      <c r="X1415" s="61" t="n"/>
      <c r="Y1415" s="61" t="n"/>
    </row>
    <row r="1416" ht="14.25" customHeight="1" s="86">
      <c r="E1416" s="53" t="inlineStr">
        <is>
          <t>MO</t>
        </is>
      </c>
      <c r="F1416" s="53" t="inlineStr">
        <is>
          <t>BOONE</t>
        </is>
      </c>
      <c r="G1416" s="59" t="n"/>
      <c r="N1416" s="59" t="n"/>
      <c r="O1416" s="59" t="n"/>
      <c r="X1416" s="61" t="n"/>
      <c r="Y1416" s="61" t="n"/>
    </row>
    <row r="1417" ht="14.25" customHeight="1" s="86">
      <c r="E1417" s="53" t="inlineStr">
        <is>
          <t>MO</t>
        </is>
      </c>
      <c r="F1417" s="53" t="inlineStr">
        <is>
          <t>BUCHANAN</t>
        </is>
      </c>
      <c r="G1417" s="59" t="n"/>
      <c r="N1417" s="59" t="n"/>
      <c r="O1417" s="59" t="n"/>
      <c r="X1417" s="61" t="n"/>
      <c r="Y1417" s="61" t="n"/>
    </row>
    <row r="1418" ht="14.25" customHeight="1" s="86">
      <c r="E1418" s="53" t="inlineStr">
        <is>
          <t>MO</t>
        </is>
      </c>
      <c r="F1418" s="53" t="inlineStr">
        <is>
          <t>BUTLER</t>
        </is>
      </c>
      <c r="G1418" s="59" t="n"/>
      <c r="N1418" s="59" t="n"/>
      <c r="O1418" s="59" t="n"/>
      <c r="X1418" s="61" t="n"/>
      <c r="Y1418" s="61" t="n"/>
    </row>
    <row r="1419" ht="14.25" customHeight="1" s="86">
      <c r="E1419" s="53" t="inlineStr">
        <is>
          <t>MO</t>
        </is>
      </c>
      <c r="F1419" s="53" t="inlineStr">
        <is>
          <t>CALDWELL</t>
        </is>
      </c>
      <c r="G1419" s="59" t="n"/>
      <c r="N1419" s="59" t="n"/>
      <c r="O1419" s="59" t="n"/>
      <c r="X1419" s="61" t="n"/>
      <c r="Y1419" s="61" t="n"/>
    </row>
    <row r="1420" ht="14.25" customHeight="1" s="86">
      <c r="E1420" s="53" t="inlineStr">
        <is>
          <t>MO</t>
        </is>
      </c>
      <c r="F1420" s="53" t="inlineStr">
        <is>
          <t>CALLAWAY</t>
        </is>
      </c>
      <c r="G1420" s="59" t="n"/>
      <c r="N1420" s="59" t="n"/>
      <c r="O1420" s="59" t="n"/>
      <c r="X1420" s="61" t="n"/>
      <c r="Y1420" s="61" t="n"/>
    </row>
    <row r="1421" ht="14.25" customHeight="1" s="86">
      <c r="E1421" s="53" t="inlineStr">
        <is>
          <t>MO</t>
        </is>
      </c>
      <c r="F1421" s="53" t="inlineStr">
        <is>
          <t>CAMDEN</t>
        </is>
      </c>
      <c r="G1421" s="59" t="n"/>
      <c r="N1421" s="59" t="n"/>
      <c r="O1421" s="59" t="n"/>
      <c r="X1421" s="61" t="n"/>
      <c r="Y1421" s="61" t="n"/>
    </row>
    <row r="1422" ht="14.25" customHeight="1" s="86">
      <c r="E1422" s="53" t="inlineStr">
        <is>
          <t>MO</t>
        </is>
      </c>
      <c r="F1422" s="53" t="inlineStr">
        <is>
          <t>CAPE GIRARDEAU</t>
        </is>
      </c>
      <c r="G1422" s="59" t="n"/>
      <c r="N1422" s="59" t="n"/>
      <c r="O1422" s="59" t="n"/>
      <c r="X1422" s="61" t="n"/>
      <c r="Y1422" s="61" t="n"/>
    </row>
    <row r="1423" ht="14.25" customHeight="1" s="86">
      <c r="E1423" s="53" t="inlineStr">
        <is>
          <t>MO</t>
        </is>
      </c>
      <c r="F1423" s="53" t="inlineStr">
        <is>
          <t>CARROLL</t>
        </is>
      </c>
      <c r="G1423" s="59" t="n"/>
      <c r="N1423" s="59" t="n"/>
      <c r="O1423" s="59" t="n"/>
      <c r="X1423" s="61" t="n"/>
      <c r="Y1423" s="61" t="n"/>
    </row>
    <row r="1424" ht="14.25" customHeight="1" s="86">
      <c r="E1424" s="53" t="inlineStr">
        <is>
          <t>MO</t>
        </is>
      </c>
      <c r="F1424" s="53" t="inlineStr">
        <is>
          <t>CARTER</t>
        </is>
      </c>
      <c r="G1424" s="59" t="n"/>
      <c r="N1424" s="59" t="n"/>
      <c r="O1424" s="59" t="n"/>
      <c r="X1424" s="61" t="n"/>
      <c r="Y1424" s="61" t="n"/>
    </row>
    <row r="1425" ht="14.25" customHeight="1" s="86">
      <c r="E1425" s="53" t="inlineStr">
        <is>
          <t>MO</t>
        </is>
      </c>
      <c r="F1425" s="53" t="inlineStr">
        <is>
          <t>CASS</t>
        </is>
      </c>
      <c r="G1425" s="59" t="n"/>
      <c r="N1425" s="59" t="n"/>
      <c r="O1425" s="59" t="n"/>
      <c r="X1425" s="61" t="n"/>
      <c r="Y1425" s="61" t="n"/>
    </row>
    <row r="1426" ht="14.25" customHeight="1" s="86">
      <c r="E1426" s="53" t="inlineStr">
        <is>
          <t>MO</t>
        </is>
      </c>
      <c r="F1426" s="53" t="inlineStr">
        <is>
          <t>CEDAR</t>
        </is>
      </c>
      <c r="G1426" s="59" t="n"/>
      <c r="N1426" s="59" t="n"/>
      <c r="O1426" s="59" t="n"/>
      <c r="X1426" s="61" t="n"/>
      <c r="Y1426" s="61" t="n"/>
    </row>
    <row r="1427" ht="14.25" customHeight="1" s="86">
      <c r="E1427" s="53" t="inlineStr">
        <is>
          <t>MO</t>
        </is>
      </c>
      <c r="F1427" s="53" t="inlineStr">
        <is>
          <t>CHARITON</t>
        </is>
      </c>
      <c r="G1427" s="59" t="n"/>
      <c r="N1427" s="59" t="n"/>
      <c r="O1427" s="59" t="n"/>
      <c r="X1427" s="61" t="n"/>
      <c r="Y1427" s="61" t="n"/>
    </row>
    <row r="1428" ht="14.25" customHeight="1" s="86">
      <c r="E1428" s="53" t="inlineStr">
        <is>
          <t>MO</t>
        </is>
      </c>
      <c r="F1428" s="53" t="inlineStr">
        <is>
          <t>CHRISTIAN</t>
        </is>
      </c>
      <c r="G1428" s="59" t="n"/>
      <c r="N1428" s="59" t="n"/>
      <c r="O1428" s="59" t="n"/>
      <c r="X1428" s="61" t="n"/>
      <c r="Y1428" s="61" t="n"/>
    </row>
    <row r="1429" ht="14.25" customHeight="1" s="86">
      <c r="E1429" s="53" t="inlineStr">
        <is>
          <t>MO</t>
        </is>
      </c>
      <c r="F1429" s="53" t="inlineStr">
        <is>
          <t>CLARK</t>
        </is>
      </c>
      <c r="G1429" s="59" t="n"/>
      <c r="N1429" s="59" t="n"/>
      <c r="O1429" s="59" t="n"/>
      <c r="X1429" s="61" t="n"/>
      <c r="Y1429" s="61" t="n"/>
    </row>
    <row r="1430" ht="14.25" customHeight="1" s="86">
      <c r="E1430" s="53" t="inlineStr">
        <is>
          <t>MO</t>
        </is>
      </c>
      <c r="F1430" s="53" t="inlineStr">
        <is>
          <t>CLAY</t>
        </is>
      </c>
      <c r="G1430" s="59" t="n"/>
      <c r="N1430" s="59" t="n"/>
      <c r="O1430" s="59" t="n"/>
      <c r="X1430" s="61" t="n"/>
      <c r="Y1430" s="61" t="n"/>
    </row>
    <row r="1431" ht="14.25" customHeight="1" s="86">
      <c r="E1431" s="53" t="inlineStr">
        <is>
          <t>MO</t>
        </is>
      </c>
      <c r="F1431" s="53" t="inlineStr">
        <is>
          <t>CLINTON</t>
        </is>
      </c>
      <c r="G1431" s="59" t="n"/>
      <c r="N1431" s="59" t="n"/>
      <c r="O1431" s="59" t="n"/>
      <c r="X1431" s="61" t="n"/>
      <c r="Y1431" s="61" t="n"/>
    </row>
    <row r="1432" ht="14.25" customHeight="1" s="86">
      <c r="E1432" s="53" t="inlineStr">
        <is>
          <t>MO</t>
        </is>
      </c>
      <c r="F1432" s="53" t="inlineStr">
        <is>
          <t>COLE</t>
        </is>
      </c>
      <c r="G1432" s="59" t="n"/>
      <c r="N1432" s="59" t="n"/>
      <c r="O1432" s="59" t="n"/>
      <c r="X1432" s="61" t="n"/>
      <c r="Y1432" s="61" t="n"/>
    </row>
    <row r="1433" ht="14.25" customHeight="1" s="86">
      <c r="E1433" s="53" t="inlineStr">
        <is>
          <t>MO</t>
        </is>
      </c>
      <c r="F1433" s="53" t="inlineStr">
        <is>
          <t>COOPER</t>
        </is>
      </c>
      <c r="G1433" s="59" t="n"/>
      <c r="N1433" s="59" t="n"/>
      <c r="O1433" s="59" t="n"/>
      <c r="X1433" s="61" t="n"/>
      <c r="Y1433" s="61" t="n"/>
    </row>
    <row r="1434" ht="14.25" customHeight="1" s="86">
      <c r="E1434" s="53" t="inlineStr">
        <is>
          <t>MO</t>
        </is>
      </c>
      <c r="F1434" s="53" t="inlineStr">
        <is>
          <t>CRAWFORD</t>
        </is>
      </c>
      <c r="G1434" s="59" t="n"/>
      <c r="N1434" s="59" t="n"/>
      <c r="O1434" s="59" t="n"/>
      <c r="X1434" s="61" t="n"/>
      <c r="Y1434" s="61" t="n"/>
    </row>
    <row r="1435" ht="14.25" customHeight="1" s="86">
      <c r="E1435" s="53" t="inlineStr">
        <is>
          <t>MO</t>
        </is>
      </c>
      <c r="F1435" s="53" t="inlineStr">
        <is>
          <t>DADE</t>
        </is>
      </c>
      <c r="G1435" s="59" t="n"/>
      <c r="N1435" s="59" t="n"/>
      <c r="O1435" s="59" t="n"/>
      <c r="X1435" s="61" t="n"/>
      <c r="Y1435" s="61" t="n"/>
    </row>
    <row r="1436" ht="14.25" customHeight="1" s="86">
      <c r="E1436" s="53" t="inlineStr">
        <is>
          <t>MO</t>
        </is>
      </c>
      <c r="F1436" s="53" t="inlineStr">
        <is>
          <t>DALLAS</t>
        </is>
      </c>
      <c r="G1436" s="59" t="n"/>
      <c r="N1436" s="59" t="n"/>
      <c r="O1436" s="59" t="n"/>
      <c r="X1436" s="61" t="n"/>
      <c r="Y1436" s="61" t="n"/>
    </row>
    <row r="1437" ht="14.25" customHeight="1" s="86">
      <c r="E1437" s="53" t="inlineStr">
        <is>
          <t>MO</t>
        </is>
      </c>
      <c r="F1437" s="53" t="inlineStr">
        <is>
          <t>DAVIESS</t>
        </is>
      </c>
      <c r="G1437" s="59" t="n"/>
      <c r="N1437" s="59" t="n"/>
      <c r="O1437" s="59" t="n"/>
      <c r="X1437" s="61" t="n"/>
      <c r="Y1437" s="61" t="n"/>
    </row>
    <row r="1438" ht="14.25" customHeight="1" s="86">
      <c r="E1438" s="53" t="inlineStr">
        <is>
          <t>MO</t>
        </is>
      </c>
      <c r="F1438" s="53" t="inlineStr">
        <is>
          <t>DEKALB</t>
        </is>
      </c>
      <c r="G1438" s="59" t="n"/>
      <c r="N1438" s="59" t="n"/>
      <c r="O1438" s="59" t="n"/>
      <c r="X1438" s="61" t="n"/>
      <c r="Y1438" s="61" t="n"/>
    </row>
    <row r="1439" ht="14.25" customHeight="1" s="86">
      <c r="E1439" s="53" t="inlineStr">
        <is>
          <t>MO</t>
        </is>
      </c>
      <c r="F1439" s="53" t="inlineStr">
        <is>
          <t>DENT</t>
        </is>
      </c>
      <c r="G1439" s="59" t="n"/>
      <c r="N1439" s="59" t="n"/>
      <c r="O1439" s="59" t="n"/>
      <c r="X1439" s="61" t="n"/>
      <c r="Y1439" s="61" t="n"/>
    </row>
    <row r="1440" ht="14.25" customHeight="1" s="86">
      <c r="E1440" s="53" t="inlineStr">
        <is>
          <t>MO</t>
        </is>
      </c>
      <c r="F1440" s="53" t="inlineStr">
        <is>
          <t>DOUGLAS</t>
        </is>
      </c>
      <c r="G1440" s="59" t="n"/>
      <c r="N1440" s="59" t="n"/>
      <c r="O1440" s="59" t="n"/>
      <c r="X1440" s="61" t="n"/>
      <c r="Y1440" s="61" t="n"/>
    </row>
    <row r="1441" ht="14.25" customHeight="1" s="86">
      <c r="E1441" s="53" t="inlineStr">
        <is>
          <t>MO</t>
        </is>
      </c>
      <c r="F1441" s="53" t="inlineStr">
        <is>
          <t>DUNKLIN</t>
        </is>
      </c>
      <c r="G1441" s="59" t="n"/>
      <c r="N1441" s="59" t="n"/>
      <c r="O1441" s="59" t="n"/>
      <c r="X1441" s="61" t="n"/>
      <c r="Y1441" s="61" t="n"/>
    </row>
    <row r="1442" ht="14.25" customHeight="1" s="86">
      <c r="E1442" s="53" t="inlineStr">
        <is>
          <t>MO</t>
        </is>
      </c>
      <c r="F1442" s="53" t="inlineStr">
        <is>
          <t>FRANKLIN</t>
        </is>
      </c>
      <c r="G1442" s="59" t="n"/>
      <c r="N1442" s="59" t="n"/>
      <c r="O1442" s="59" t="n"/>
      <c r="X1442" s="61" t="n"/>
      <c r="Y1442" s="61" t="n"/>
    </row>
    <row r="1443" ht="14.25" customHeight="1" s="86">
      <c r="E1443" s="53" t="inlineStr">
        <is>
          <t>MO</t>
        </is>
      </c>
      <c r="F1443" s="53" t="inlineStr">
        <is>
          <t>GASCONADE</t>
        </is>
      </c>
      <c r="G1443" s="59" t="n"/>
      <c r="N1443" s="59" t="n"/>
      <c r="O1443" s="59" t="n"/>
      <c r="X1443" s="61" t="n"/>
      <c r="Y1443" s="61" t="n"/>
    </row>
    <row r="1444" ht="14.25" customHeight="1" s="86">
      <c r="E1444" s="53" t="inlineStr">
        <is>
          <t>MO</t>
        </is>
      </c>
      <c r="F1444" s="53" t="inlineStr">
        <is>
          <t>GENTRY</t>
        </is>
      </c>
      <c r="G1444" s="59" t="n"/>
      <c r="N1444" s="59" t="n"/>
      <c r="O1444" s="59" t="n"/>
      <c r="X1444" s="61" t="n"/>
      <c r="Y1444" s="61" t="n"/>
    </row>
    <row r="1445" ht="14.25" customHeight="1" s="86">
      <c r="E1445" s="53" t="inlineStr">
        <is>
          <t>MO</t>
        </is>
      </c>
      <c r="F1445" s="53" t="inlineStr">
        <is>
          <t>GREENE</t>
        </is>
      </c>
      <c r="G1445" s="59" t="n"/>
      <c r="N1445" s="59" t="n"/>
      <c r="O1445" s="59" t="n"/>
      <c r="X1445" s="61" t="n"/>
      <c r="Y1445" s="61" t="n"/>
    </row>
    <row r="1446" ht="14.25" customHeight="1" s="86">
      <c r="E1446" s="53" t="inlineStr">
        <is>
          <t>MO</t>
        </is>
      </c>
      <c r="F1446" s="53" t="inlineStr">
        <is>
          <t>GRUNDY</t>
        </is>
      </c>
      <c r="G1446" s="59" t="n"/>
      <c r="N1446" s="59" t="n"/>
      <c r="O1446" s="59" t="n"/>
      <c r="X1446" s="61" t="n"/>
      <c r="Y1446" s="61" t="n"/>
    </row>
    <row r="1447" ht="14.25" customHeight="1" s="86">
      <c r="E1447" s="53" t="inlineStr">
        <is>
          <t>MO</t>
        </is>
      </c>
      <c r="F1447" s="53" t="inlineStr">
        <is>
          <t>HARRISON</t>
        </is>
      </c>
      <c r="G1447" s="59" t="n"/>
      <c r="N1447" s="59" t="n"/>
      <c r="O1447" s="59" t="n"/>
      <c r="X1447" s="61" t="n"/>
      <c r="Y1447" s="61" t="n"/>
    </row>
    <row r="1448" ht="14.25" customHeight="1" s="86">
      <c r="E1448" s="53" t="inlineStr">
        <is>
          <t>MO</t>
        </is>
      </c>
      <c r="F1448" s="53" t="inlineStr">
        <is>
          <t>HENRY</t>
        </is>
      </c>
      <c r="G1448" s="59" t="n"/>
      <c r="N1448" s="59" t="n"/>
      <c r="O1448" s="59" t="n"/>
      <c r="X1448" s="61" t="n"/>
      <c r="Y1448" s="61" t="n"/>
    </row>
    <row r="1449" ht="14.25" customHeight="1" s="86">
      <c r="E1449" s="53" t="inlineStr">
        <is>
          <t>MO</t>
        </is>
      </c>
      <c r="F1449" s="53" t="inlineStr">
        <is>
          <t>HICKORY</t>
        </is>
      </c>
      <c r="G1449" s="59" t="n"/>
      <c r="N1449" s="59" t="n"/>
      <c r="O1449" s="59" t="n"/>
      <c r="X1449" s="61" t="n"/>
      <c r="Y1449" s="61" t="n"/>
    </row>
    <row r="1450" ht="14.25" customHeight="1" s="86">
      <c r="E1450" s="53" t="inlineStr">
        <is>
          <t>MO</t>
        </is>
      </c>
      <c r="F1450" s="53" t="inlineStr">
        <is>
          <t>HOLT</t>
        </is>
      </c>
      <c r="G1450" s="59" t="n"/>
      <c r="N1450" s="59" t="n"/>
      <c r="O1450" s="59" t="n"/>
      <c r="X1450" s="61" t="n"/>
      <c r="Y1450" s="61" t="n"/>
    </row>
    <row r="1451" ht="14.25" customHeight="1" s="86">
      <c r="E1451" s="53" t="inlineStr">
        <is>
          <t>MO</t>
        </is>
      </c>
      <c r="F1451" s="53" t="inlineStr">
        <is>
          <t>HOWARD</t>
        </is>
      </c>
      <c r="G1451" s="59" t="n"/>
      <c r="N1451" s="59" t="n"/>
      <c r="O1451" s="59" t="n"/>
      <c r="X1451" s="61" t="n"/>
      <c r="Y1451" s="61" t="n"/>
    </row>
    <row r="1452" ht="14.25" customHeight="1" s="86">
      <c r="E1452" s="53" t="inlineStr">
        <is>
          <t>MO</t>
        </is>
      </c>
      <c r="F1452" s="53" t="inlineStr">
        <is>
          <t>HOWELL</t>
        </is>
      </c>
      <c r="G1452" s="59" t="n"/>
      <c r="N1452" s="59" t="n"/>
      <c r="O1452" s="59" t="n"/>
      <c r="X1452" s="61" t="n"/>
      <c r="Y1452" s="61" t="n"/>
    </row>
    <row r="1453" ht="14.25" customHeight="1" s="86">
      <c r="E1453" s="53" t="inlineStr">
        <is>
          <t>MO</t>
        </is>
      </c>
      <c r="F1453" s="53" t="inlineStr">
        <is>
          <t>IRON</t>
        </is>
      </c>
      <c r="G1453" s="59" t="n"/>
      <c r="N1453" s="59" t="n"/>
      <c r="O1453" s="59" t="n"/>
      <c r="X1453" s="61" t="n"/>
      <c r="Y1453" s="61" t="n"/>
    </row>
    <row r="1454" ht="14.25" customHeight="1" s="86">
      <c r="E1454" s="53" t="inlineStr">
        <is>
          <t>MO</t>
        </is>
      </c>
      <c r="F1454" s="53" t="inlineStr">
        <is>
          <t>JACKSON</t>
        </is>
      </c>
      <c r="G1454" s="59" t="n"/>
      <c r="N1454" s="59" t="n"/>
      <c r="O1454" s="59" t="n"/>
      <c r="X1454" s="61" t="n"/>
      <c r="Y1454" s="61" t="n"/>
    </row>
    <row r="1455" ht="14.25" customHeight="1" s="86">
      <c r="E1455" s="53" t="inlineStr">
        <is>
          <t>MO</t>
        </is>
      </c>
      <c r="F1455" s="53" t="inlineStr">
        <is>
          <t>JASPER</t>
        </is>
      </c>
      <c r="G1455" s="59" t="n"/>
      <c r="N1455" s="59" t="n"/>
      <c r="O1455" s="59" t="n"/>
      <c r="X1455" s="61" t="n"/>
      <c r="Y1455" s="61" t="n"/>
    </row>
    <row r="1456" ht="14.25" customHeight="1" s="86">
      <c r="E1456" s="53" t="inlineStr">
        <is>
          <t>MO</t>
        </is>
      </c>
      <c r="F1456" s="53" t="inlineStr">
        <is>
          <t>JEFFERSON</t>
        </is>
      </c>
      <c r="G1456" s="59" t="n"/>
      <c r="N1456" s="59" t="n"/>
      <c r="O1456" s="59" t="n"/>
      <c r="X1456" s="61" t="n"/>
      <c r="Y1456" s="61" t="n"/>
    </row>
    <row r="1457" ht="14.25" customHeight="1" s="86">
      <c r="E1457" s="53" t="inlineStr">
        <is>
          <t>MO</t>
        </is>
      </c>
      <c r="F1457" s="53" t="inlineStr">
        <is>
          <t>JOHNSON</t>
        </is>
      </c>
      <c r="G1457" s="59" t="n"/>
      <c r="N1457" s="59" t="n"/>
      <c r="O1457" s="59" t="n"/>
      <c r="X1457" s="61" t="n"/>
      <c r="Y1457" s="61" t="n"/>
    </row>
    <row r="1458" ht="14.25" customHeight="1" s="86">
      <c r="E1458" s="53" t="inlineStr">
        <is>
          <t>MO</t>
        </is>
      </c>
      <c r="F1458" s="53" t="inlineStr">
        <is>
          <t>KNOX</t>
        </is>
      </c>
      <c r="G1458" s="59" t="n"/>
      <c r="N1458" s="59" t="n"/>
      <c r="O1458" s="59" t="n"/>
      <c r="X1458" s="61" t="n"/>
      <c r="Y1458" s="61" t="n"/>
    </row>
    <row r="1459" ht="14.25" customHeight="1" s="86">
      <c r="E1459" s="53" t="inlineStr">
        <is>
          <t>MO</t>
        </is>
      </c>
      <c r="F1459" s="53" t="inlineStr">
        <is>
          <t>LACLEDE</t>
        </is>
      </c>
      <c r="G1459" s="59" t="n"/>
      <c r="N1459" s="59" t="n"/>
      <c r="O1459" s="59" t="n"/>
      <c r="X1459" s="61" t="n"/>
      <c r="Y1459" s="61" t="n"/>
    </row>
    <row r="1460" ht="14.25" customHeight="1" s="86">
      <c r="E1460" s="53" t="inlineStr">
        <is>
          <t>MO</t>
        </is>
      </c>
      <c r="F1460" s="53" t="inlineStr">
        <is>
          <t>LAFAYETTE</t>
        </is>
      </c>
      <c r="G1460" s="59" t="n"/>
      <c r="N1460" s="59" t="n"/>
      <c r="O1460" s="59" t="n"/>
      <c r="X1460" s="61" t="n"/>
      <c r="Y1460" s="61" t="n"/>
    </row>
    <row r="1461" ht="14.25" customHeight="1" s="86">
      <c r="E1461" s="53" t="inlineStr">
        <is>
          <t>MO</t>
        </is>
      </c>
      <c r="F1461" s="53" t="inlineStr">
        <is>
          <t>LAWRENCE</t>
        </is>
      </c>
      <c r="G1461" s="59" t="n"/>
      <c r="N1461" s="59" t="n"/>
      <c r="O1461" s="59" t="n"/>
      <c r="X1461" s="61" t="n"/>
      <c r="Y1461" s="61" t="n"/>
    </row>
    <row r="1462" ht="14.25" customHeight="1" s="86">
      <c r="E1462" s="53" t="inlineStr">
        <is>
          <t>MO</t>
        </is>
      </c>
      <c r="F1462" s="53" t="inlineStr">
        <is>
          <t>LEWIS</t>
        </is>
      </c>
      <c r="G1462" s="59" t="n"/>
      <c r="N1462" s="59" t="n"/>
      <c r="O1462" s="59" t="n"/>
      <c r="X1462" s="61" t="n"/>
      <c r="Y1462" s="61" t="n"/>
    </row>
    <row r="1463" ht="14.25" customHeight="1" s="86">
      <c r="E1463" s="53" t="inlineStr">
        <is>
          <t>MO</t>
        </is>
      </c>
      <c r="F1463" s="53" t="inlineStr">
        <is>
          <t>LINCOLN</t>
        </is>
      </c>
      <c r="G1463" s="59" t="n"/>
      <c r="N1463" s="59" t="n"/>
      <c r="O1463" s="59" t="n"/>
      <c r="X1463" s="61" t="n"/>
      <c r="Y1463" s="61" t="n"/>
    </row>
    <row r="1464" ht="14.25" customHeight="1" s="86">
      <c r="E1464" s="53" t="inlineStr">
        <is>
          <t>MO</t>
        </is>
      </c>
      <c r="F1464" s="53" t="inlineStr">
        <is>
          <t>LINN</t>
        </is>
      </c>
      <c r="G1464" s="59" t="n"/>
      <c r="N1464" s="59" t="n"/>
      <c r="O1464" s="59" t="n"/>
      <c r="X1464" s="61" t="n"/>
      <c r="Y1464" s="61" t="n"/>
    </row>
    <row r="1465" ht="14.25" customHeight="1" s="86">
      <c r="E1465" s="53" t="inlineStr">
        <is>
          <t>MO</t>
        </is>
      </c>
      <c r="F1465" s="53" t="inlineStr">
        <is>
          <t>LIVINGSTON</t>
        </is>
      </c>
      <c r="G1465" s="59" t="n"/>
      <c r="N1465" s="59" t="n"/>
      <c r="O1465" s="59" t="n"/>
      <c r="X1465" s="61" t="n"/>
      <c r="Y1465" s="61" t="n"/>
    </row>
    <row r="1466" ht="14.25" customHeight="1" s="86">
      <c r="E1466" s="53" t="inlineStr">
        <is>
          <t>MO</t>
        </is>
      </c>
      <c r="F1466" s="53" t="inlineStr">
        <is>
          <t>MACON</t>
        </is>
      </c>
      <c r="G1466" s="59" t="n"/>
      <c r="N1466" s="59" t="n"/>
      <c r="O1466" s="59" t="n"/>
      <c r="X1466" s="61" t="n"/>
      <c r="Y1466" s="61" t="n"/>
    </row>
    <row r="1467" ht="14.25" customHeight="1" s="86">
      <c r="E1467" s="53" t="inlineStr">
        <is>
          <t>MO</t>
        </is>
      </c>
      <c r="F1467" s="53" t="inlineStr">
        <is>
          <t>MADISON</t>
        </is>
      </c>
      <c r="G1467" s="59" t="n"/>
      <c r="N1467" s="59" t="n"/>
      <c r="O1467" s="59" t="n"/>
      <c r="X1467" s="61" t="n"/>
      <c r="Y1467" s="61" t="n"/>
    </row>
    <row r="1468" ht="14.25" customHeight="1" s="86">
      <c r="E1468" s="53" t="inlineStr">
        <is>
          <t>MO</t>
        </is>
      </c>
      <c r="F1468" s="53" t="inlineStr">
        <is>
          <t>MARIES</t>
        </is>
      </c>
      <c r="G1468" s="59" t="n"/>
      <c r="N1468" s="59" t="n"/>
      <c r="O1468" s="59" t="n"/>
      <c r="X1468" s="61" t="n"/>
      <c r="Y1468" s="61" t="n"/>
    </row>
    <row r="1469" ht="14.25" customHeight="1" s="86">
      <c r="E1469" s="53" t="inlineStr">
        <is>
          <t>MO</t>
        </is>
      </c>
      <c r="F1469" s="53" t="inlineStr">
        <is>
          <t>MARION</t>
        </is>
      </c>
      <c r="G1469" s="59" t="n"/>
      <c r="N1469" s="59" t="n"/>
      <c r="O1469" s="59" t="n"/>
      <c r="X1469" s="61" t="n"/>
      <c r="Y1469" s="61" t="n"/>
    </row>
    <row r="1470" ht="14.25" customHeight="1" s="86">
      <c r="E1470" s="53" t="inlineStr">
        <is>
          <t>MO</t>
        </is>
      </c>
      <c r="F1470" s="53" t="inlineStr">
        <is>
          <t>MCDONALD</t>
        </is>
      </c>
      <c r="G1470" s="59" t="n"/>
      <c r="N1470" s="59" t="n"/>
      <c r="O1470" s="59" t="n"/>
      <c r="X1470" s="61" t="n"/>
      <c r="Y1470" s="61" t="n"/>
    </row>
    <row r="1471" ht="14.25" customHeight="1" s="86">
      <c r="E1471" s="53" t="inlineStr">
        <is>
          <t>MO</t>
        </is>
      </c>
      <c r="F1471" s="53" t="inlineStr">
        <is>
          <t>MERCER</t>
        </is>
      </c>
      <c r="G1471" s="59" t="n"/>
      <c r="N1471" s="59" t="n"/>
      <c r="O1471" s="59" t="n"/>
      <c r="X1471" s="61" t="n"/>
      <c r="Y1471" s="61" t="n"/>
    </row>
    <row r="1472" ht="14.25" customHeight="1" s="86">
      <c r="E1472" s="53" t="inlineStr">
        <is>
          <t>MO</t>
        </is>
      </c>
      <c r="F1472" s="53" t="inlineStr">
        <is>
          <t>MILLER</t>
        </is>
      </c>
      <c r="G1472" s="59" t="n"/>
      <c r="N1472" s="59" t="n"/>
      <c r="O1472" s="59" t="n"/>
      <c r="X1472" s="61" t="n"/>
      <c r="Y1472" s="61" t="n"/>
    </row>
    <row r="1473" ht="14.25" customHeight="1" s="86">
      <c r="E1473" s="53" t="inlineStr">
        <is>
          <t>MO</t>
        </is>
      </c>
      <c r="F1473" s="53" t="inlineStr">
        <is>
          <t>MISSISSIPPI</t>
        </is>
      </c>
      <c r="G1473" s="59" t="n"/>
      <c r="N1473" s="59" t="n"/>
      <c r="O1473" s="59" t="n"/>
      <c r="X1473" s="61" t="n"/>
      <c r="Y1473" s="61" t="n"/>
    </row>
    <row r="1474" ht="14.25" customHeight="1" s="86">
      <c r="E1474" s="53" t="inlineStr">
        <is>
          <t>MO</t>
        </is>
      </c>
      <c r="F1474" s="53" t="inlineStr">
        <is>
          <t>MONITEAU</t>
        </is>
      </c>
      <c r="G1474" s="59" t="n"/>
      <c r="N1474" s="59" t="n"/>
      <c r="O1474" s="59" t="n"/>
      <c r="X1474" s="61" t="n"/>
      <c r="Y1474" s="61" t="n"/>
    </row>
    <row r="1475" ht="14.25" customHeight="1" s="86">
      <c r="E1475" s="53" t="inlineStr">
        <is>
          <t>MO</t>
        </is>
      </c>
      <c r="F1475" s="53" t="inlineStr">
        <is>
          <t>MONROE</t>
        </is>
      </c>
      <c r="G1475" s="59" t="n"/>
      <c r="N1475" s="59" t="n"/>
      <c r="O1475" s="59" t="n"/>
      <c r="X1475" s="61" t="n"/>
      <c r="Y1475" s="61" t="n"/>
    </row>
    <row r="1476" ht="14.25" customHeight="1" s="86">
      <c r="E1476" s="53" t="inlineStr">
        <is>
          <t>MO</t>
        </is>
      </c>
      <c r="F1476" s="53" t="inlineStr">
        <is>
          <t>MONTGOMERY</t>
        </is>
      </c>
      <c r="G1476" s="59" t="n"/>
      <c r="N1476" s="59" t="n"/>
      <c r="O1476" s="59" t="n"/>
      <c r="X1476" s="61" t="n"/>
      <c r="Y1476" s="61" t="n"/>
    </row>
    <row r="1477" ht="14.25" customHeight="1" s="86">
      <c r="E1477" s="53" t="inlineStr">
        <is>
          <t>MO</t>
        </is>
      </c>
      <c r="F1477" s="53" t="inlineStr">
        <is>
          <t>MORGAN</t>
        </is>
      </c>
      <c r="G1477" s="59" t="n"/>
      <c r="N1477" s="59" t="n"/>
      <c r="O1477" s="59" t="n"/>
      <c r="X1477" s="61" t="n"/>
      <c r="Y1477" s="61" t="n"/>
    </row>
    <row r="1478" ht="14.25" customHeight="1" s="86">
      <c r="E1478" s="53" t="inlineStr">
        <is>
          <t>MO</t>
        </is>
      </c>
      <c r="F1478" s="53" t="inlineStr">
        <is>
          <t>NEW MADRID</t>
        </is>
      </c>
      <c r="G1478" s="59" t="n"/>
      <c r="N1478" s="59" t="n"/>
      <c r="O1478" s="59" t="n"/>
      <c r="X1478" s="61" t="n"/>
      <c r="Y1478" s="61" t="n"/>
    </row>
    <row r="1479" ht="14.25" customHeight="1" s="86">
      <c r="E1479" s="53" t="inlineStr">
        <is>
          <t>MO</t>
        </is>
      </c>
      <c r="F1479" s="53" t="inlineStr">
        <is>
          <t>NEWTON</t>
        </is>
      </c>
      <c r="G1479" s="59" t="n"/>
      <c r="N1479" s="59" t="n"/>
      <c r="O1479" s="59" t="n"/>
      <c r="X1479" s="61" t="n"/>
      <c r="Y1479" s="61" t="n"/>
    </row>
    <row r="1480" ht="14.25" customHeight="1" s="86">
      <c r="E1480" s="53" t="inlineStr">
        <is>
          <t>MO</t>
        </is>
      </c>
      <c r="F1480" s="53" t="inlineStr">
        <is>
          <t>NODAWAY</t>
        </is>
      </c>
      <c r="G1480" s="59" t="n"/>
      <c r="N1480" s="59" t="n"/>
      <c r="O1480" s="59" t="n"/>
      <c r="X1480" s="61" t="n"/>
      <c r="Y1480" s="61" t="n"/>
    </row>
    <row r="1481" ht="14.25" customHeight="1" s="86">
      <c r="E1481" s="53" t="inlineStr">
        <is>
          <t>MO</t>
        </is>
      </c>
      <c r="F1481" s="53" t="inlineStr">
        <is>
          <t>OREGON</t>
        </is>
      </c>
      <c r="G1481" s="59" t="n"/>
      <c r="N1481" s="59" t="n"/>
      <c r="O1481" s="59" t="n"/>
      <c r="X1481" s="61" t="n"/>
      <c r="Y1481" s="61" t="n"/>
    </row>
    <row r="1482" ht="14.25" customHeight="1" s="86">
      <c r="E1482" s="53" t="inlineStr">
        <is>
          <t>MO</t>
        </is>
      </c>
      <c r="F1482" s="53" t="inlineStr">
        <is>
          <t>OSAGE</t>
        </is>
      </c>
      <c r="G1482" s="59" t="n"/>
      <c r="N1482" s="59" t="n"/>
      <c r="O1482" s="59" t="n"/>
      <c r="X1482" s="61" t="n"/>
      <c r="Y1482" s="61" t="n"/>
    </row>
    <row r="1483" ht="14.25" customHeight="1" s="86">
      <c r="E1483" s="53" t="inlineStr">
        <is>
          <t>MO</t>
        </is>
      </c>
      <c r="F1483" s="53" t="inlineStr">
        <is>
          <t>OZARK</t>
        </is>
      </c>
      <c r="G1483" s="59" t="n"/>
      <c r="N1483" s="59" t="n"/>
      <c r="O1483" s="59" t="n"/>
      <c r="X1483" s="61" t="n"/>
      <c r="Y1483" s="61" t="n"/>
    </row>
    <row r="1484" ht="14.25" customHeight="1" s="86">
      <c r="E1484" s="53" t="inlineStr">
        <is>
          <t>MO</t>
        </is>
      </c>
      <c r="F1484" s="53" t="inlineStr">
        <is>
          <t>PEMISCOT</t>
        </is>
      </c>
      <c r="G1484" s="59" t="n"/>
      <c r="N1484" s="59" t="n"/>
      <c r="O1484" s="59" t="n"/>
      <c r="X1484" s="61" t="n"/>
      <c r="Y1484" s="61" t="n"/>
    </row>
    <row r="1485" ht="14.25" customHeight="1" s="86">
      <c r="E1485" s="53" t="inlineStr">
        <is>
          <t>MO</t>
        </is>
      </c>
      <c r="F1485" s="53" t="inlineStr">
        <is>
          <t>PERRY</t>
        </is>
      </c>
      <c r="G1485" s="59" t="n"/>
      <c r="N1485" s="59" t="n"/>
      <c r="O1485" s="59" t="n"/>
      <c r="X1485" s="61" t="n"/>
      <c r="Y1485" s="61" t="n"/>
    </row>
    <row r="1486" ht="14.25" customHeight="1" s="86">
      <c r="E1486" s="53" t="inlineStr">
        <is>
          <t>MO</t>
        </is>
      </c>
      <c r="F1486" s="53" t="inlineStr">
        <is>
          <t>PETTIS</t>
        </is>
      </c>
      <c r="G1486" s="59" t="n"/>
      <c r="N1486" s="59" t="n"/>
      <c r="O1486" s="59" t="n"/>
      <c r="X1486" s="61" t="n"/>
      <c r="Y1486" s="61" t="n"/>
    </row>
    <row r="1487" ht="14.25" customHeight="1" s="86">
      <c r="E1487" s="53" t="inlineStr">
        <is>
          <t>MO</t>
        </is>
      </c>
      <c r="F1487" s="53" t="inlineStr">
        <is>
          <t>PHELPS</t>
        </is>
      </c>
      <c r="G1487" s="59" t="n"/>
      <c r="N1487" s="59" t="n"/>
      <c r="O1487" s="59" t="n"/>
      <c r="X1487" s="61" t="n"/>
      <c r="Y1487" s="61" t="n"/>
    </row>
    <row r="1488" ht="14.25" customHeight="1" s="86">
      <c r="E1488" s="53" t="inlineStr">
        <is>
          <t>MO</t>
        </is>
      </c>
      <c r="F1488" s="53" t="inlineStr">
        <is>
          <t>PIKE</t>
        </is>
      </c>
      <c r="G1488" s="59" t="n"/>
      <c r="N1488" s="59" t="n"/>
      <c r="O1488" s="59" t="n"/>
      <c r="X1488" s="61" t="n"/>
      <c r="Y1488" s="61" t="n"/>
    </row>
    <row r="1489" ht="14.25" customHeight="1" s="86">
      <c r="E1489" s="53" t="inlineStr">
        <is>
          <t>MO</t>
        </is>
      </c>
      <c r="F1489" s="53" t="inlineStr">
        <is>
          <t>PLATTE</t>
        </is>
      </c>
      <c r="G1489" s="59" t="n"/>
      <c r="N1489" s="59" t="n"/>
      <c r="O1489" s="59" t="n"/>
      <c r="X1489" s="61" t="n"/>
      <c r="Y1489" s="61" t="n"/>
    </row>
    <row r="1490" ht="14.25" customHeight="1" s="86">
      <c r="E1490" s="53" t="inlineStr">
        <is>
          <t>MO</t>
        </is>
      </c>
      <c r="F1490" s="53" t="inlineStr">
        <is>
          <t>POLK</t>
        </is>
      </c>
      <c r="G1490" s="59" t="n"/>
      <c r="N1490" s="59" t="n"/>
      <c r="O1490" s="59" t="n"/>
      <c r="X1490" s="61" t="n"/>
      <c r="Y1490" s="61" t="n"/>
    </row>
    <row r="1491" ht="14.25" customHeight="1" s="86">
      <c r="E1491" s="53" t="inlineStr">
        <is>
          <t>MO</t>
        </is>
      </c>
      <c r="F1491" s="53" t="inlineStr">
        <is>
          <t>PULASKI</t>
        </is>
      </c>
      <c r="G1491" s="59" t="n"/>
      <c r="N1491" s="59" t="n"/>
      <c r="O1491" s="59" t="n"/>
      <c r="X1491" s="61" t="n"/>
      <c r="Y1491" s="61" t="n"/>
    </row>
    <row r="1492" ht="14.25" customHeight="1" s="86">
      <c r="E1492" s="53" t="inlineStr">
        <is>
          <t>MO</t>
        </is>
      </c>
      <c r="F1492" s="53" t="inlineStr">
        <is>
          <t>PUTNAM</t>
        </is>
      </c>
      <c r="G1492" s="59" t="n"/>
      <c r="N1492" s="59" t="n"/>
      <c r="O1492" s="59" t="n"/>
      <c r="X1492" s="61" t="n"/>
      <c r="Y1492" s="61" t="n"/>
    </row>
    <row r="1493" ht="14.25" customHeight="1" s="86">
      <c r="E1493" s="53" t="inlineStr">
        <is>
          <t>MO</t>
        </is>
      </c>
      <c r="F1493" s="53" t="inlineStr">
        <is>
          <t>RALLS</t>
        </is>
      </c>
      <c r="G1493" s="59" t="n"/>
      <c r="N1493" s="59" t="n"/>
      <c r="O1493" s="59" t="n"/>
      <c r="X1493" s="61" t="n"/>
      <c r="Y1493" s="61" t="n"/>
    </row>
    <row r="1494" ht="14.25" customHeight="1" s="86">
      <c r="E1494" s="53" t="inlineStr">
        <is>
          <t>MO</t>
        </is>
      </c>
      <c r="F1494" s="53" t="inlineStr">
        <is>
          <t>RANDOLPH</t>
        </is>
      </c>
      <c r="G1494" s="59" t="n"/>
      <c r="N1494" s="59" t="n"/>
      <c r="O1494" s="59" t="n"/>
      <c r="X1494" s="61" t="n"/>
      <c r="Y1494" s="61" t="n"/>
    </row>
    <row r="1495" ht="14.25" customHeight="1" s="86">
      <c r="E1495" s="53" t="inlineStr">
        <is>
          <t>MO</t>
        </is>
      </c>
      <c r="F1495" s="53" t="inlineStr">
        <is>
          <t>RAY</t>
        </is>
      </c>
      <c r="G1495" s="59" t="n"/>
      <c r="N1495" s="59" t="n"/>
      <c r="O1495" s="59" t="n"/>
      <c r="X1495" s="61" t="n"/>
      <c r="Y1495" s="61" t="n"/>
    </row>
    <row r="1496" ht="14.25" customHeight="1" s="86">
      <c r="E1496" s="53" t="inlineStr">
        <is>
          <t>MO</t>
        </is>
      </c>
      <c r="F1496" s="53" t="inlineStr">
        <is>
          <t>REYNOLDS</t>
        </is>
      </c>
      <c r="G1496" s="59" t="n"/>
      <c r="N1496" s="59" t="n"/>
      <c r="O1496" s="59" t="n"/>
      <c r="X1496" s="61" t="n"/>
      <c r="Y1496" s="61" t="n"/>
    </row>
    <row r="1497" ht="14.25" customHeight="1" s="86">
      <c r="E1497" s="53" t="inlineStr">
        <is>
          <t>MO</t>
        </is>
      </c>
      <c r="F1497" s="53" t="inlineStr">
        <is>
          <t>RIPLEY</t>
        </is>
      </c>
      <c r="G1497" s="59" t="n"/>
      <c r="N1497" s="59" t="n"/>
      <c r="O1497" s="59" t="n"/>
      <c r="X1497" s="61" t="n"/>
      <c r="Y1497" s="61" t="n"/>
    </row>
    <row r="1498" ht="14.25" customHeight="1" s="86">
      <c r="E1498" s="53" t="inlineStr">
        <is>
          <t>MO</t>
        </is>
      </c>
      <c r="F1498" s="53" t="inlineStr">
        <is>
          <t>SAINT CHARLES</t>
        </is>
      </c>
      <c r="G1498" s="59" t="n"/>
      <c r="N1498" s="59" t="n"/>
      <c r="O1498" s="59" t="n"/>
      <c r="X1498" s="61" t="n"/>
      <c r="Y1498" s="61" t="n"/>
    </row>
    <row r="1499" ht="14.25" customHeight="1" s="86">
      <c r="E1499" s="53" t="inlineStr">
        <is>
          <t>MO</t>
        </is>
      </c>
      <c r="F1499" s="53" t="inlineStr">
        <is>
          <t>SAINT CLAIR</t>
        </is>
      </c>
      <c r="G1499" s="59" t="n"/>
      <c r="N1499" s="59" t="n"/>
      <c r="O1499" s="59" t="n"/>
      <c r="X1499" s="61" t="n"/>
      <c r="Y1499" s="61" t="n"/>
    </row>
    <row r="1500" ht="14.25" customHeight="1" s="86">
      <c r="E1500" s="53" t="inlineStr">
        <is>
          <t>MO</t>
        </is>
      </c>
      <c r="F1500" s="53" t="inlineStr">
        <is>
          <t>SAINT FRANCOIS</t>
        </is>
      </c>
      <c r="G1500" s="59" t="n"/>
      <c r="N1500" s="59" t="n"/>
      <c r="O1500" s="59" t="n"/>
      <c r="X1500" s="61" t="n"/>
      <c r="Y1500" s="61" t="n"/>
    </row>
    <row r="1501" ht="14.25" customHeight="1" s="86">
      <c r="E1501" s="53" t="inlineStr">
        <is>
          <t>MO</t>
        </is>
      </c>
      <c r="F1501" s="53" t="inlineStr">
        <is>
          <t>SAINT LOUIS</t>
        </is>
      </c>
      <c r="G1501" s="59" t="n"/>
      <c r="N1501" s="59" t="n"/>
      <c r="O1501" s="59" t="n"/>
      <c r="X1501" s="61" t="n"/>
      <c r="Y1501" s="61" t="n"/>
    </row>
    <row r="1502" ht="14.25" customHeight="1" s="86">
      <c r="E1502" s="53" t="inlineStr">
        <is>
          <t>MO</t>
        </is>
      </c>
      <c r="F1502" s="53" t="inlineStr">
        <is>
          <t>SAINT LOUIS CITY</t>
        </is>
      </c>
      <c r="G1502" s="59" t="n"/>
      <c r="N1502" s="59" t="n"/>
      <c r="O1502" s="59" t="n"/>
      <c r="X1502" s="61" t="n"/>
      <c r="Y1502" s="61" t="n"/>
    </row>
    <row r="1503" ht="14.25" customHeight="1" s="86">
      <c r="E1503" s="53" t="inlineStr">
        <is>
          <t>MO</t>
        </is>
      </c>
      <c r="F1503" s="53" t="inlineStr">
        <is>
          <t>SAINTE GENEVIEVE</t>
        </is>
      </c>
      <c r="G1503" s="59" t="n"/>
      <c r="N1503" s="59" t="n"/>
      <c r="O1503" s="59" t="n"/>
      <c r="X1503" s="61" t="n"/>
      <c r="Y1503" s="61" t="n"/>
    </row>
    <row r="1504" ht="14.25" customHeight="1" s="86">
      <c r="E1504" s="53" t="inlineStr">
        <is>
          <t>MO</t>
        </is>
      </c>
      <c r="F1504" s="53" t="inlineStr">
        <is>
          <t>SALINE</t>
        </is>
      </c>
      <c r="G1504" s="59" t="n"/>
      <c r="N1504" s="59" t="n"/>
      <c r="O1504" s="59" t="n"/>
      <c r="X1504" s="61" t="n"/>
      <c r="Y1504" s="61" t="n"/>
    </row>
    <row r="1505" ht="14.25" customHeight="1" s="86">
      <c r="E1505" s="53" t="inlineStr">
        <is>
          <t>MO</t>
        </is>
      </c>
      <c r="F1505" s="53" t="inlineStr">
        <is>
          <t>SCHUYLER</t>
        </is>
      </c>
      <c r="G1505" s="59" t="n"/>
      <c r="N1505" s="59" t="n"/>
      <c r="O1505" s="59" t="n"/>
      <c r="X1505" s="61" t="n"/>
      <c r="Y1505" s="61" t="n"/>
    </row>
    <row r="1506" ht="14.25" customHeight="1" s="86">
      <c r="E1506" s="53" t="inlineStr">
        <is>
          <t>MO</t>
        </is>
      </c>
      <c r="F1506" s="53" t="inlineStr">
        <is>
          <t>SCOTLAND</t>
        </is>
      </c>
      <c r="G1506" s="59" t="n"/>
      <c r="N1506" s="59" t="n"/>
      <c r="O1506" s="59" t="n"/>
      <c r="X1506" s="61" t="n"/>
      <c r="Y1506" s="61" t="n"/>
    </row>
    <row r="1507" ht="14.25" customHeight="1" s="86">
      <c r="E1507" s="53" t="inlineStr">
        <is>
          <t>MO</t>
        </is>
      </c>
      <c r="F1507" s="53" t="inlineStr">
        <is>
          <t>SCOTT</t>
        </is>
      </c>
      <c r="G1507" s="59" t="n"/>
      <c r="N1507" s="59" t="n"/>
      <c r="O1507" s="59" t="n"/>
      <c r="X1507" s="61" t="n"/>
      <c r="Y1507" s="61" t="n"/>
    </row>
    <row r="1508" ht="14.25" customHeight="1" s="86">
      <c r="E1508" s="53" t="inlineStr">
        <is>
          <t>MO</t>
        </is>
      </c>
      <c r="F1508" s="53" t="inlineStr">
        <is>
          <t>SHANNON</t>
        </is>
      </c>
      <c r="G1508" s="59" t="n"/>
      <c r="N1508" s="59" t="n"/>
      <c r="O1508" s="59" t="n"/>
      <c r="X1508" s="61" t="n"/>
      <c r="Y1508" s="61" t="n"/>
    </row>
    <row r="1509" ht="14.25" customHeight="1" s="86">
      <c r="E1509" s="53" t="inlineStr">
        <is>
          <t>MO</t>
        </is>
      </c>
      <c r="F1509" s="53" t="inlineStr">
        <is>
          <t>SHELBY</t>
        </is>
      </c>
      <c r="G1509" s="59" t="n"/>
      <c r="N1509" s="59" t="n"/>
      <c r="O1509" s="59" t="n"/>
      <c r="X1509" s="61" t="n"/>
      <c r="Y1509" s="61" t="n"/>
    </row>
    <row r="1510" ht="14.25" customHeight="1" s="86">
      <c r="E1510" s="53" t="inlineStr">
        <is>
          <t>MO</t>
        </is>
      </c>
      <c r="F1510" s="53" t="inlineStr">
        <is>
          <t>STODDARD</t>
        </is>
      </c>
      <c r="G1510" s="59" t="n"/>
      <c r="N1510" s="59" t="n"/>
      <c r="O1510" s="59" t="n"/>
      <c r="X1510" s="61" t="n"/>
      <c r="Y1510" s="61" t="n"/>
    </row>
    <row r="1511" ht="14.25" customHeight="1" s="86">
      <c r="E1511" s="53" t="inlineStr">
        <is>
          <t>MO</t>
        </is>
      </c>
      <c r="F1511" s="53" t="inlineStr">
        <is>
          <t>STONE</t>
        </is>
      </c>
      <c r="G1511" s="59" t="n"/>
      <c r="N1511" s="59" t="n"/>
      <c r="O1511" s="59" t="n"/>
      <c r="X1511" s="61" t="n"/>
      <c r="Y1511" s="61" t="n"/>
    </row>
    <row r="1512" ht="14.25" customHeight="1" s="86">
      <c r="E1512" s="53" t="inlineStr">
        <is>
          <t>MO</t>
        </is>
      </c>
      <c r="F1512" s="53" t="inlineStr">
        <is>
          <t>SULLIVAN</t>
        </is>
      </c>
      <c r="G1512" s="59" t="n"/>
      <c r="N1512" s="59" t="n"/>
      <c r="O1512" s="59" t="n"/>
      <c r="X1512" s="61" t="n"/>
      <c r="Y1512" s="61" t="n"/>
    </row>
    <row r="1513" ht="14.25" customHeight="1" s="86">
      <c r="E1513" s="53" t="inlineStr">
        <is>
          <t>MO</t>
        </is>
      </c>
      <c r="F1513" s="53" t="inlineStr">
        <is>
          <t>TANEY</t>
        </is>
      </c>
      <c r="G1513" s="59" t="n"/>
      <c r="N1513" s="59" t="n"/>
      <c r="O1513" s="59" t="n"/>
      <c r="X1513" s="61" t="n"/>
      <c r="Y1513" s="61" t="n"/>
    </row>
    <row r="1514" ht="14.25" customHeight="1" s="86">
      <c r="E1514" s="53" t="inlineStr">
        <is>
          <t>MO</t>
        </is>
      </c>
      <c r="F1514" s="53" t="inlineStr">
        <is>
          <t>TEXAS</t>
        </is>
      </c>
      <c r="G1514" s="59" t="n"/>
      <c r="N1514" s="59" t="n"/>
      <c r="O1514" s="59" t="n"/>
      <c r="X1514" s="61" t="n"/>
      <c r="Y1514" s="61" t="n"/>
    </row>
    <row r="1515" ht="14.25" customHeight="1" s="86">
      <c r="E1515" s="53" t="inlineStr">
        <is>
          <t>MO</t>
        </is>
      </c>
      <c r="F1515" s="53" t="inlineStr">
        <is>
          <t>VERNON</t>
        </is>
      </c>
      <c r="G1515" s="59" t="n"/>
      <c r="N1515" s="59" t="n"/>
      <c r="O1515" s="59" t="n"/>
      <c r="X1515" s="61" t="n"/>
      <c r="Y1515" s="61" t="n"/>
    </row>
    <row r="1516" ht="14.25" customHeight="1" s="86">
      <c r="E1516" s="53" t="inlineStr">
        <is>
          <t>MO</t>
        </is>
      </c>
      <c r="F1516" s="53" t="inlineStr">
        <is>
          <t>WARREN</t>
        </is>
      </c>
      <c r="G1516" s="59" t="n"/>
      <c r="N1516" s="59" t="n"/>
      <c r="O1516" s="59" t="n"/>
      <c r="X1516" s="61" t="n"/>
      <c r="Y1516" s="61" t="n"/>
    </row>
    <row r="1517" ht="14.25" customHeight="1" s="86">
      <c r="E1517" s="53" t="inlineStr">
        <is>
          <t>MO</t>
        </is>
      </c>
      <c r="F1517" s="53" t="inlineStr">
        <is>
          <t>WASHINGTON</t>
        </is>
      </c>
      <c r="G1517" s="59" t="n"/>
      <c r="N1517" s="59" t="n"/>
      <c r="O1517" s="59" t="n"/>
      <c r="X1517" s="61" t="n"/>
      <c r="Y1517" s="61" t="n"/>
    </row>
    <row r="1518" ht="14.25" customHeight="1" s="86">
      <c r="E1518" s="53" t="inlineStr">
        <is>
          <t>MO</t>
        </is>
      </c>
      <c r="F1518" s="53" t="inlineStr">
        <is>
          <t>WAYNE</t>
        </is>
      </c>
      <c r="G1518" s="59" t="n"/>
      <c r="N1518" s="59" t="n"/>
      <c r="O1518" s="59" t="n"/>
      <c r="X1518" s="61" t="n"/>
      <c r="Y1518" s="61" t="n"/>
    </row>
    <row r="1519" ht="14.25" customHeight="1" s="86">
      <c r="E1519" s="53" t="inlineStr">
        <is>
          <t>MO</t>
        </is>
      </c>
      <c r="F1519" s="53" t="inlineStr">
        <is>
          <t>WEBSTER</t>
        </is>
      </c>
      <c r="G1519" s="59" t="n"/>
      <c r="N1519" s="59" t="n"/>
      <c r="O1519" s="59" t="n"/>
      <c r="X1519" s="61" t="n"/>
      <c r="Y1519" s="61" t="n"/>
    </row>
    <row r="1520" ht="14.25" customHeight="1" s="86">
      <c r="E1520" s="53" t="inlineStr">
        <is>
          <t>MO</t>
        </is>
      </c>
      <c r="F1520" s="53" t="inlineStr">
        <is>
          <t>WORTH</t>
        </is>
      </c>
      <c r="G1520" s="59" t="n"/>
      <c r="N1520" s="59" t="n"/>
      <c r="O1520" s="59" t="n"/>
      <c r="X1520" s="61" t="n"/>
      <c r="Y1520" s="61" t="n"/>
    </row>
    <row r="1521" ht="14.25" customHeight="1" s="86">
      <c r="E1521" s="53" t="inlineStr">
        <is>
          <t>MO</t>
        </is>
      </c>
      <c r="F1521" s="53" t="inlineStr">
        <is>
          <t>WRIGHT</t>
        </is>
      </c>
      <c r="G1521" s="59" t="n"/>
      <c r="N1521" s="59" t="n"/>
      <c r="O1521" s="59" t="n"/>
      <c r="X1521" s="61" t="n"/>
      <c r="Y1521" s="61" t="n"/>
    </row>
    <row r="1522" ht="14.25" customHeight="1" s="86">
      <c r="E1522" s="53" t="inlineStr">
        <is>
          <t>MP</t>
        </is>
      </c>
      <c r="F1522" s="53" t="inlineStr">
        <is>
          <t>NORTHERN MARIANA ISLANDS</t>
        </is>
      </c>
      <c r="G1522" s="59" t="n"/>
      <c r="N1522" s="59" t="n"/>
      <c r="O1522" s="59" t="n"/>
      <c r="X1522" s="61" t="n"/>
      <c r="Y1522" s="61" t="n"/>
    </row>
    <row r="1523" ht="14.25" customHeight="1" s="86">
      <c r="E1523" s="53" t="inlineStr">
        <is>
          <t>MS</t>
        </is>
      </c>
      <c r="F1523" s="53" t="inlineStr">
        <is>
          <t>ADAMS</t>
        </is>
      </c>
      <c r="G1523" s="59" t="n"/>
      <c r="N1523" s="59" t="n"/>
      <c r="O1523" s="59" t="n"/>
      <c r="X1523" s="61" t="n"/>
      <c r="Y1523" s="61" t="n"/>
    </row>
    <row r="1524" ht="14.25" customHeight="1" s="86">
      <c r="E1524" s="53" t="inlineStr">
        <is>
          <t>MS</t>
        </is>
      </c>
      <c r="F1524" s="53" t="inlineStr">
        <is>
          <t>ALCORN</t>
        </is>
      </c>
      <c r="G1524" s="59" t="n"/>
      <c r="N1524" s="59" t="n"/>
      <c r="O1524" s="59" t="n"/>
      <c r="X1524" s="61" t="n"/>
      <c r="Y1524" s="61" t="n"/>
    </row>
    <row r="1525" ht="14.25" customHeight="1" s="86">
      <c r="E1525" s="53" t="inlineStr">
        <is>
          <t>MS</t>
        </is>
      </c>
      <c r="F1525" s="53" t="inlineStr">
        <is>
          <t>AMITE</t>
        </is>
      </c>
      <c r="G1525" s="59" t="n"/>
      <c r="N1525" s="59" t="n"/>
      <c r="O1525" s="59" t="n"/>
      <c r="X1525" s="61" t="n"/>
      <c r="Y1525" s="61" t="n"/>
    </row>
    <row r="1526" ht="14.25" customHeight="1" s="86">
      <c r="E1526" s="53" t="inlineStr">
        <is>
          <t>MS</t>
        </is>
      </c>
      <c r="F1526" s="53" t="inlineStr">
        <is>
          <t>ATTALA</t>
        </is>
      </c>
      <c r="G1526" s="59" t="n"/>
      <c r="N1526" s="59" t="n"/>
      <c r="O1526" s="59" t="n"/>
      <c r="X1526" s="61" t="n"/>
      <c r="Y1526" s="61" t="n"/>
    </row>
    <row r="1527" ht="14.25" customHeight="1" s="86">
      <c r="E1527" s="53" t="inlineStr">
        <is>
          <t>MS</t>
        </is>
      </c>
      <c r="F1527" s="53" t="inlineStr">
        <is>
          <t>BENTON</t>
        </is>
      </c>
      <c r="G1527" s="59" t="n"/>
      <c r="N1527" s="59" t="n"/>
      <c r="O1527" s="59" t="n"/>
      <c r="X1527" s="61" t="n"/>
      <c r="Y1527" s="61" t="n"/>
    </row>
    <row r="1528" ht="14.25" customHeight="1" s="86">
      <c r="E1528" s="53" t="inlineStr">
        <is>
          <t>MS</t>
        </is>
      </c>
      <c r="F1528" s="53" t="inlineStr">
        <is>
          <t>BOLIVAR</t>
        </is>
      </c>
      <c r="G1528" s="59" t="n"/>
      <c r="N1528" s="59" t="n"/>
      <c r="O1528" s="59" t="n"/>
      <c r="X1528" s="61" t="n"/>
      <c r="Y1528" s="61" t="n"/>
    </row>
    <row r="1529" ht="14.25" customHeight="1" s="86">
      <c r="E1529" s="53" t="inlineStr">
        <is>
          <t>MS</t>
        </is>
      </c>
      <c r="F1529" s="53" t="inlineStr">
        <is>
          <t>CALHOUN</t>
        </is>
      </c>
      <c r="G1529" s="59" t="n"/>
      <c r="N1529" s="59" t="n"/>
      <c r="O1529" s="59" t="n"/>
      <c r="X1529" s="61" t="n"/>
      <c r="Y1529" s="61" t="n"/>
    </row>
    <row r="1530" ht="14.25" customHeight="1" s="86">
      <c r="E1530" s="53" t="inlineStr">
        <is>
          <t>MS</t>
        </is>
      </c>
      <c r="F1530" s="53" t="inlineStr">
        <is>
          <t>CARROLL</t>
        </is>
      </c>
      <c r="G1530" s="59" t="n"/>
      <c r="N1530" s="59" t="n"/>
      <c r="O1530" s="59" t="n"/>
      <c r="X1530" s="61" t="n"/>
      <c r="Y1530" s="61" t="n"/>
    </row>
    <row r="1531" ht="14.25" customHeight="1" s="86">
      <c r="E1531" s="53" t="inlineStr">
        <is>
          <t>MS</t>
        </is>
      </c>
      <c r="F1531" s="53" t="inlineStr">
        <is>
          <t>CHICKASAW</t>
        </is>
      </c>
      <c r="G1531" s="59" t="n"/>
      <c r="N1531" s="59" t="n"/>
      <c r="O1531" s="59" t="n"/>
      <c r="X1531" s="61" t="n"/>
      <c r="Y1531" s="61" t="n"/>
    </row>
    <row r="1532" ht="14.25" customHeight="1" s="86">
      <c r="E1532" s="53" t="inlineStr">
        <is>
          <t>MS</t>
        </is>
      </c>
      <c r="F1532" s="53" t="inlineStr">
        <is>
          <t>CHOCTAW</t>
        </is>
      </c>
      <c r="G1532" s="59" t="n"/>
      <c r="N1532" s="59" t="n"/>
      <c r="O1532" s="59" t="n"/>
      <c r="X1532" s="61" t="n"/>
      <c r="Y1532" s="61" t="n"/>
    </row>
    <row r="1533" ht="14.25" customHeight="1" s="86">
      <c r="E1533" s="53" t="inlineStr">
        <is>
          <t>MS</t>
        </is>
      </c>
      <c r="F1533" s="53" t="inlineStr">
        <is>
          <t>CLAIBORNE</t>
        </is>
      </c>
      <c r="G1533" s="59" t="n"/>
      <c r="N1533" s="59" t="n"/>
      <c r="O1533" s="59" t="n"/>
      <c r="X1533" s="61" t="n"/>
      <c r="Y1533" s="61" t="n"/>
    </row>
    <row r="1534" ht="14.25" customHeight="1" s="86">
      <c r="E1534" s="53" t="inlineStr">
        <is>
          <t>MS</t>
        </is>
      </c>
      <c r="F1534" s="53" t="inlineStr">
        <is>
          <t>CLARKE</t>
        </is>
      </c>
      <c r="G1534" s="59" t="n"/>
      <c r="N1534" s="59" t="n"/>
      <c r="O1534" s="59" t="n"/>
      <c r="X1534" s="61" t="n"/>
      <c r="Y1534" s="61" t="n"/>
    </row>
    <row r="1535" ht="14.25" customHeight="1" s="86">
      <c r="E1535" s="53" t="inlineStr">
        <is>
          <t>MS</t>
        </is>
      </c>
      <c r="F1535" s="53" t="inlineStr">
        <is>
          <t>CLAY</t>
        </is>
      </c>
      <c r="G1535" s="59" t="n"/>
      <c r="N1535" s="59" t="n"/>
      <c r="O1535" s="59" t="n"/>
      <c r="X1535" s="61" t="n"/>
      <c r="Y1535" s="61" t="n"/>
    </row>
    <row r="1536" ht="14.25" customHeight="1" s="86">
      <c r="E1536" s="53" t="inlineStr">
        <is>
          <t>MS</t>
        </is>
      </c>
      <c r="F1536" s="53" t="inlineStr">
        <is>
          <t>COAHOMA</t>
        </is>
      </c>
      <c r="G1536" s="59" t="n"/>
      <c r="N1536" s="59" t="n"/>
      <c r="O1536" s="59" t="n"/>
      <c r="X1536" s="61" t="n"/>
      <c r="Y1536" s="61" t="n"/>
    </row>
    <row r="1537" ht="14.25" customHeight="1" s="86">
      <c r="E1537" s="53" t="inlineStr">
        <is>
          <t>MS</t>
        </is>
      </c>
      <c r="F1537" s="53" t="inlineStr">
        <is>
          <t>COPIAH</t>
        </is>
      </c>
      <c r="G1537" s="59" t="n"/>
      <c r="N1537" s="59" t="n"/>
      <c r="O1537" s="59" t="n"/>
      <c r="X1537" s="61" t="n"/>
      <c r="Y1537" s="61" t="n"/>
    </row>
    <row r="1538" ht="14.25" customHeight="1" s="86">
      <c r="E1538" s="53" t="inlineStr">
        <is>
          <t>MS</t>
        </is>
      </c>
      <c r="F1538" s="53" t="inlineStr">
        <is>
          <t>COVINGTON</t>
        </is>
      </c>
      <c r="G1538" s="59" t="n"/>
      <c r="N1538" s="59" t="n"/>
      <c r="O1538" s="59" t="n"/>
      <c r="X1538" s="61" t="n"/>
      <c r="Y1538" s="61" t="n"/>
    </row>
    <row r="1539" ht="14.25" customHeight="1" s="86">
      <c r="E1539" s="53" t="inlineStr">
        <is>
          <t>MS</t>
        </is>
      </c>
      <c r="F1539" s="53" t="inlineStr">
        <is>
          <t>DESOTO</t>
        </is>
      </c>
      <c r="G1539" s="59" t="n"/>
      <c r="N1539" s="59" t="n"/>
      <c r="O1539" s="59" t="n"/>
      <c r="X1539" s="61" t="n"/>
      <c r="Y1539" s="61" t="n"/>
    </row>
    <row r="1540" ht="14.25" customHeight="1" s="86">
      <c r="E1540" s="53" t="inlineStr">
        <is>
          <t>MS</t>
        </is>
      </c>
      <c r="F1540" s="53" t="inlineStr">
        <is>
          <t>FORREST</t>
        </is>
      </c>
      <c r="G1540" s="59" t="n"/>
      <c r="N1540" s="59" t="n"/>
      <c r="O1540" s="59" t="n"/>
      <c r="X1540" s="61" t="n"/>
      <c r="Y1540" s="61" t="n"/>
    </row>
    <row r="1541" ht="14.25" customHeight="1" s="86">
      <c r="E1541" s="53" t="inlineStr">
        <is>
          <t>MS</t>
        </is>
      </c>
      <c r="F1541" s="53" t="inlineStr">
        <is>
          <t>FRANKLIN</t>
        </is>
      </c>
      <c r="G1541" s="59" t="n"/>
      <c r="N1541" s="59" t="n"/>
      <c r="O1541" s="59" t="n"/>
      <c r="X1541" s="61" t="n"/>
      <c r="Y1541" s="61" t="n"/>
    </row>
    <row r="1542" ht="14.25" customHeight="1" s="86">
      <c r="E1542" s="53" t="inlineStr">
        <is>
          <t>MS</t>
        </is>
      </c>
      <c r="F1542" s="53" t="inlineStr">
        <is>
          <t>GEORGE</t>
        </is>
      </c>
      <c r="G1542" s="59" t="n"/>
      <c r="N1542" s="59" t="n"/>
      <c r="O1542" s="59" t="n"/>
      <c r="X1542" s="61" t="n"/>
      <c r="Y1542" s="61" t="n"/>
    </row>
    <row r="1543" ht="14.25" customHeight="1" s="86">
      <c r="E1543" s="53" t="inlineStr">
        <is>
          <t>MS</t>
        </is>
      </c>
      <c r="F1543" s="53" t="inlineStr">
        <is>
          <t>GREENE</t>
        </is>
      </c>
      <c r="G1543" s="59" t="n"/>
      <c r="N1543" s="59" t="n"/>
      <c r="O1543" s="59" t="n"/>
      <c r="X1543" s="61" t="n"/>
      <c r="Y1543" s="61" t="n"/>
    </row>
    <row r="1544" ht="14.25" customHeight="1" s="86">
      <c r="E1544" s="53" t="inlineStr">
        <is>
          <t>MS</t>
        </is>
      </c>
      <c r="F1544" s="53" t="inlineStr">
        <is>
          <t>GRENADA</t>
        </is>
      </c>
      <c r="G1544" s="59" t="n"/>
      <c r="N1544" s="59" t="n"/>
      <c r="O1544" s="59" t="n"/>
      <c r="X1544" s="61" t="n"/>
      <c r="Y1544" s="61" t="n"/>
    </row>
    <row r="1545" ht="14.25" customHeight="1" s="86">
      <c r="E1545" s="53" t="inlineStr">
        <is>
          <t>MS</t>
        </is>
      </c>
      <c r="F1545" s="53" t="inlineStr">
        <is>
          <t>HANCOCK</t>
        </is>
      </c>
      <c r="G1545" s="59" t="n"/>
      <c r="N1545" s="59" t="n"/>
      <c r="O1545" s="59" t="n"/>
      <c r="X1545" s="61" t="n"/>
      <c r="Y1545" s="61" t="n"/>
    </row>
    <row r="1546" ht="14.25" customHeight="1" s="86">
      <c r="E1546" s="53" t="inlineStr">
        <is>
          <t>MS</t>
        </is>
      </c>
      <c r="F1546" s="53" t="inlineStr">
        <is>
          <t>HARRISON</t>
        </is>
      </c>
      <c r="G1546" s="59" t="n"/>
      <c r="N1546" s="59" t="n"/>
      <c r="O1546" s="59" t="n"/>
      <c r="X1546" s="61" t="n"/>
      <c r="Y1546" s="61" t="n"/>
    </row>
    <row r="1547" ht="14.25" customHeight="1" s="86">
      <c r="E1547" s="53" t="inlineStr">
        <is>
          <t>MS</t>
        </is>
      </c>
      <c r="F1547" s="53" t="inlineStr">
        <is>
          <t>HINDS</t>
        </is>
      </c>
      <c r="G1547" s="59" t="n"/>
      <c r="N1547" s="59" t="n"/>
      <c r="O1547" s="59" t="n"/>
      <c r="X1547" s="61" t="n"/>
      <c r="Y1547" s="61" t="n"/>
    </row>
    <row r="1548" ht="14.25" customHeight="1" s="86">
      <c r="E1548" s="53" t="inlineStr">
        <is>
          <t>MS</t>
        </is>
      </c>
      <c r="F1548" s="53" t="inlineStr">
        <is>
          <t>HOLMES</t>
        </is>
      </c>
      <c r="G1548" s="59" t="n"/>
      <c r="N1548" s="59" t="n"/>
      <c r="O1548" s="59" t="n"/>
      <c r="X1548" s="61" t="n"/>
      <c r="Y1548" s="61" t="n"/>
    </row>
    <row r="1549" ht="14.25" customHeight="1" s="86">
      <c r="E1549" s="53" t="inlineStr">
        <is>
          <t>MS</t>
        </is>
      </c>
      <c r="F1549" s="53" t="inlineStr">
        <is>
          <t>HUMPHREYS</t>
        </is>
      </c>
      <c r="G1549" s="59" t="n"/>
      <c r="N1549" s="59" t="n"/>
      <c r="O1549" s="59" t="n"/>
      <c r="X1549" s="61" t="n"/>
      <c r="Y1549" s="61" t="n"/>
    </row>
    <row r="1550" ht="14.25" customHeight="1" s="86">
      <c r="E1550" s="53" t="inlineStr">
        <is>
          <t>MS</t>
        </is>
      </c>
      <c r="F1550" s="53" t="inlineStr">
        <is>
          <t>ISSAQUENA</t>
        </is>
      </c>
      <c r="G1550" s="59" t="n"/>
      <c r="N1550" s="59" t="n"/>
      <c r="O1550" s="59" t="n"/>
      <c r="X1550" s="61" t="n"/>
      <c r="Y1550" s="61" t="n"/>
    </row>
    <row r="1551" ht="14.25" customHeight="1" s="86">
      <c r="E1551" s="53" t="inlineStr">
        <is>
          <t>MS</t>
        </is>
      </c>
      <c r="F1551" s="53" t="inlineStr">
        <is>
          <t>ITAWAMBA</t>
        </is>
      </c>
      <c r="G1551" s="59" t="n"/>
      <c r="N1551" s="59" t="n"/>
      <c r="O1551" s="59" t="n"/>
      <c r="X1551" s="61" t="n"/>
      <c r="Y1551" s="61" t="n"/>
    </row>
    <row r="1552" ht="14.25" customHeight="1" s="86">
      <c r="E1552" s="53" t="inlineStr">
        <is>
          <t>MS</t>
        </is>
      </c>
      <c r="F1552" s="53" t="inlineStr">
        <is>
          <t>JACKSON</t>
        </is>
      </c>
      <c r="G1552" s="59" t="n"/>
      <c r="N1552" s="59" t="n"/>
      <c r="O1552" s="59" t="n"/>
      <c r="X1552" s="61" t="n"/>
      <c r="Y1552" s="61" t="n"/>
    </row>
    <row r="1553" ht="14.25" customHeight="1" s="86">
      <c r="E1553" s="53" t="inlineStr">
        <is>
          <t>MS</t>
        </is>
      </c>
      <c r="F1553" s="53" t="inlineStr">
        <is>
          <t>JASPER</t>
        </is>
      </c>
      <c r="G1553" s="59" t="n"/>
      <c r="N1553" s="59" t="n"/>
      <c r="O1553" s="59" t="n"/>
      <c r="X1553" s="61" t="n"/>
      <c r="Y1553" s="61" t="n"/>
    </row>
    <row r="1554" ht="14.25" customHeight="1" s="86">
      <c r="E1554" s="53" t="inlineStr">
        <is>
          <t>MS</t>
        </is>
      </c>
      <c r="F1554" s="53" t="inlineStr">
        <is>
          <t>JEFFERSON</t>
        </is>
      </c>
      <c r="G1554" s="59" t="n"/>
      <c r="N1554" s="59" t="n"/>
      <c r="O1554" s="59" t="n"/>
      <c r="X1554" s="61" t="n"/>
      <c r="Y1554" s="61" t="n"/>
    </row>
    <row r="1555" ht="14.25" customHeight="1" s="86">
      <c r="E1555" s="53" t="inlineStr">
        <is>
          <t>MS</t>
        </is>
      </c>
      <c r="F1555" s="53" t="inlineStr">
        <is>
          <t>JEFFERSON DAVIS</t>
        </is>
      </c>
      <c r="G1555" s="59" t="n"/>
      <c r="N1555" s="59" t="n"/>
      <c r="O1555" s="59" t="n"/>
      <c r="X1555" s="61" t="n"/>
      <c r="Y1555" s="61" t="n"/>
    </row>
    <row r="1556" ht="14.25" customHeight="1" s="86">
      <c r="E1556" s="53" t="inlineStr">
        <is>
          <t>MS</t>
        </is>
      </c>
      <c r="F1556" s="53" t="inlineStr">
        <is>
          <t>JONES</t>
        </is>
      </c>
      <c r="G1556" s="59" t="n"/>
      <c r="N1556" s="59" t="n"/>
      <c r="O1556" s="59" t="n"/>
      <c r="X1556" s="61" t="n"/>
      <c r="Y1556" s="61" t="n"/>
    </row>
    <row r="1557" ht="14.25" customHeight="1" s="86">
      <c r="E1557" s="53" t="inlineStr">
        <is>
          <t>MS</t>
        </is>
      </c>
      <c r="F1557" s="53" t="inlineStr">
        <is>
          <t>KEMPER</t>
        </is>
      </c>
      <c r="G1557" s="59" t="n"/>
      <c r="N1557" s="59" t="n"/>
      <c r="O1557" s="59" t="n"/>
      <c r="X1557" s="61" t="n"/>
      <c r="Y1557" s="61" t="n"/>
    </row>
    <row r="1558" ht="14.25" customHeight="1" s="86">
      <c r="E1558" s="53" t="inlineStr">
        <is>
          <t>MS</t>
        </is>
      </c>
      <c r="F1558" s="53" t="inlineStr">
        <is>
          <t>LAFAYETTE</t>
        </is>
      </c>
      <c r="G1558" s="59" t="n"/>
      <c r="N1558" s="59" t="n"/>
      <c r="O1558" s="59" t="n"/>
      <c r="X1558" s="61" t="n"/>
      <c r="Y1558" s="61" t="n"/>
    </row>
    <row r="1559" ht="14.25" customHeight="1" s="86">
      <c r="E1559" s="53" t="inlineStr">
        <is>
          <t>MS</t>
        </is>
      </c>
      <c r="F1559" s="53" t="inlineStr">
        <is>
          <t>LAMAR</t>
        </is>
      </c>
      <c r="G1559" s="59" t="n"/>
      <c r="N1559" s="59" t="n"/>
      <c r="O1559" s="59" t="n"/>
      <c r="X1559" s="61" t="n"/>
      <c r="Y1559" s="61" t="n"/>
    </row>
    <row r="1560" ht="14.25" customHeight="1" s="86">
      <c r="E1560" s="53" t="inlineStr">
        <is>
          <t>MS</t>
        </is>
      </c>
      <c r="F1560" s="53" t="inlineStr">
        <is>
          <t>LAUDERDALE</t>
        </is>
      </c>
      <c r="G1560" s="59" t="n"/>
      <c r="N1560" s="59" t="n"/>
      <c r="O1560" s="59" t="n"/>
      <c r="X1560" s="61" t="n"/>
      <c r="Y1560" s="61" t="n"/>
    </row>
    <row r="1561" ht="14.25" customHeight="1" s="86">
      <c r="E1561" s="53" t="inlineStr">
        <is>
          <t>MS</t>
        </is>
      </c>
      <c r="F1561" s="53" t="inlineStr">
        <is>
          <t>LAWRENCE</t>
        </is>
      </c>
      <c r="G1561" s="59" t="n"/>
      <c r="N1561" s="59" t="n"/>
      <c r="O1561" s="59" t="n"/>
      <c r="X1561" s="61" t="n"/>
      <c r="Y1561" s="61" t="n"/>
    </row>
    <row r="1562" ht="14.25" customHeight="1" s="86">
      <c r="E1562" s="53" t="inlineStr">
        <is>
          <t>MS</t>
        </is>
      </c>
      <c r="F1562" s="53" t="inlineStr">
        <is>
          <t>LEAKE</t>
        </is>
      </c>
      <c r="G1562" s="59" t="n"/>
      <c r="N1562" s="59" t="n"/>
      <c r="O1562" s="59" t="n"/>
      <c r="X1562" s="61" t="n"/>
      <c r="Y1562" s="61" t="n"/>
    </row>
    <row r="1563" ht="14.25" customHeight="1" s="86">
      <c r="E1563" s="53" t="inlineStr">
        <is>
          <t>MS</t>
        </is>
      </c>
      <c r="F1563" s="53" t="inlineStr">
        <is>
          <t>LEE</t>
        </is>
      </c>
      <c r="G1563" s="59" t="n"/>
      <c r="N1563" s="59" t="n"/>
      <c r="O1563" s="59" t="n"/>
      <c r="X1563" s="61" t="n"/>
      <c r="Y1563" s="61" t="n"/>
    </row>
    <row r="1564" ht="14.25" customHeight="1" s="86">
      <c r="E1564" s="53" t="inlineStr">
        <is>
          <t>MS</t>
        </is>
      </c>
      <c r="F1564" s="53" t="inlineStr">
        <is>
          <t>LEFLORE</t>
        </is>
      </c>
      <c r="G1564" s="59" t="n"/>
      <c r="N1564" s="59" t="n"/>
      <c r="O1564" s="59" t="n"/>
      <c r="X1564" s="61" t="n"/>
      <c r="Y1564" s="61" t="n"/>
    </row>
    <row r="1565" ht="14.25" customHeight="1" s="86">
      <c r="E1565" s="53" t="inlineStr">
        <is>
          <t>MS</t>
        </is>
      </c>
      <c r="F1565" s="53" t="inlineStr">
        <is>
          <t>LINCOLN</t>
        </is>
      </c>
      <c r="G1565" s="59" t="n"/>
      <c r="N1565" s="59" t="n"/>
      <c r="O1565" s="59" t="n"/>
      <c r="X1565" s="61" t="n"/>
      <c r="Y1565" s="61" t="n"/>
    </row>
    <row r="1566" ht="14.25" customHeight="1" s="86">
      <c r="E1566" s="53" t="inlineStr">
        <is>
          <t>MS</t>
        </is>
      </c>
      <c r="F1566" s="53" t="inlineStr">
        <is>
          <t>LOWNDES</t>
        </is>
      </c>
      <c r="G1566" s="59" t="n"/>
      <c r="N1566" s="59" t="n"/>
      <c r="O1566" s="59" t="n"/>
      <c r="X1566" s="61" t="n"/>
      <c r="Y1566" s="61" t="n"/>
    </row>
    <row r="1567" ht="14.25" customHeight="1" s="86">
      <c r="E1567" s="53" t="inlineStr">
        <is>
          <t>MS</t>
        </is>
      </c>
      <c r="F1567" s="53" t="inlineStr">
        <is>
          <t>MADISON</t>
        </is>
      </c>
      <c r="G1567" s="59" t="n"/>
      <c r="N1567" s="59" t="n"/>
      <c r="O1567" s="59" t="n"/>
      <c r="X1567" s="61" t="n"/>
      <c r="Y1567" s="61" t="n"/>
    </row>
    <row r="1568" ht="14.25" customHeight="1" s="86">
      <c r="E1568" s="53" t="inlineStr">
        <is>
          <t>MS</t>
        </is>
      </c>
      <c r="F1568" s="53" t="inlineStr">
        <is>
          <t>MARION</t>
        </is>
      </c>
      <c r="G1568" s="59" t="n"/>
      <c r="N1568" s="59" t="n"/>
      <c r="O1568" s="59" t="n"/>
      <c r="X1568" s="61" t="n"/>
      <c r="Y1568" s="61" t="n"/>
    </row>
    <row r="1569" ht="14.25" customHeight="1" s="86">
      <c r="E1569" s="53" t="inlineStr">
        <is>
          <t>MS</t>
        </is>
      </c>
      <c r="F1569" s="53" t="inlineStr">
        <is>
          <t>MARSHALL</t>
        </is>
      </c>
      <c r="G1569" s="59" t="n"/>
      <c r="N1569" s="59" t="n"/>
      <c r="O1569" s="59" t="n"/>
      <c r="X1569" s="61" t="n"/>
      <c r="Y1569" s="61" t="n"/>
    </row>
    <row r="1570" ht="14.25" customHeight="1" s="86">
      <c r="E1570" s="53" t="inlineStr">
        <is>
          <t>MS</t>
        </is>
      </c>
      <c r="F1570" s="53" t="inlineStr">
        <is>
          <t>MONROE</t>
        </is>
      </c>
      <c r="G1570" s="59" t="n"/>
      <c r="N1570" s="59" t="n"/>
      <c r="O1570" s="59" t="n"/>
      <c r="X1570" s="61" t="n"/>
      <c r="Y1570" s="61" t="n"/>
    </row>
    <row r="1571" ht="14.25" customHeight="1" s="86">
      <c r="E1571" s="53" t="inlineStr">
        <is>
          <t>MS</t>
        </is>
      </c>
      <c r="F1571" s="53" t="inlineStr">
        <is>
          <t>MONTGOMERY</t>
        </is>
      </c>
      <c r="G1571" s="59" t="n"/>
      <c r="N1571" s="59" t="n"/>
      <c r="O1571" s="59" t="n"/>
      <c r="X1571" s="61" t="n"/>
      <c r="Y1571" s="61" t="n"/>
    </row>
    <row r="1572" ht="14.25" customHeight="1" s="86">
      <c r="E1572" s="53" t="inlineStr">
        <is>
          <t>MS</t>
        </is>
      </c>
      <c r="F1572" s="53" t="inlineStr">
        <is>
          <t>NESHOBA</t>
        </is>
      </c>
      <c r="G1572" s="59" t="n"/>
      <c r="N1572" s="59" t="n"/>
      <c r="O1572" s="59" t="n"/>
      <c r="X1572" s="61" t="n"/>
      <c r="Y1572" s="61" t="n"/>
    </row>
    <row r="1573" ht="14.25" customHeight="1" s="86">
      <c r="E1573" s="53" t="inlineStr">
        <is>
          <t>MS</t>
        </is>
      </c>
      <c r="F1573" s="53" t="inlineStr">
        <is>
          <t>NEWTON</t>
        </is>
      </c>
      <c r="G1573" s="59" t="n"/>
      <c r="N1573" s="59" t="n"/>
      <c r="O1573" s="59" t="n"/>
      <c r="X1573" s="61" t="n"/>
      <c r="Y1573" s="61" t="n"/>
    </row>
    <row r="1574" ht="14.25" customHeight="1" s="86">
      <c r="E1574" s="53" t="inlineStr">
        <is>
          <t>MS</t>
        </is>
      </c>
      <c r="F1574" s="53" t="inlineStr">
        <is>
          <t>NOXUBEE</t>
        </is>
      </c>
      <c r="G1574" s="59" t="n"/>
      <c r="N1574" s="59" t="n"/>
      <c r="O1574" s="59" t="n"/>
      <c r="X1574" s="61" t="n"/>
      <c r="Y1574" s="61" t="n"/>
    </row>
    <row r="1575" ht="14.25" customHeight="1" s="86">
      <c r="E1575" s="53" t="inlineStr">
        <is>
          <t>MS</t>
        </is>
      </c>
      <c r="F1575" s="53" t="inlineStr">
        <is>
          <t>OKTIBBEHA</t>
        </is>
      </c>
      <c r="G1575" s="59" t="n"/>
      <c r="N1575" s="59" t="n"/>
      <c r="O1575" s="59" t="n"/>
      <c r="X1575" s="61" t="n"/>
      <c r="Y1575" s="61" t="n"/>
    </row>
    <row r="1576" ht="14.25" customHeight="1" s="86">
      <c r="E1576" s="53" t="inlineStr">
        <is>
          <t>MS</t>
        </is>
      </c>
      <c r="F1576" s="53" t="inlineStr">
        <is>
          <t>PANOLA</t>
        </is>
      </c>
      <c r="G1576" s="59" t="n"/>
      <c r="N1576" s="59" t="n"/>
      <c r="O1576" s="59" t="n"/>
      <c r="X1576" s="61" t="n"/>
      <c r="Y1576" s="61" t="n"/>
    </row>
    <row r="1577" ht="14.25" customHeight="1" s="86">
      <c r="E1577" s="53" t="inlineStr">
        <is>
          <t>MS</t>
        </is>
      </c>
      <c r="F1577" s="53" t="inlineStr">
        <is>
          <t>PEARL RIVER</t>
        </is>
      </c>
      <c r="G1577" s="59" t="n"/>
      <c r="N1577" s="59" t="n"/>
      <c r="O1577" s="59" t="n"/>
      <c r="X1577" s="61" t="n"/>
      <c r="Y1577" s="61" t="n"/>
    </row>
    <row r="1578" ht="14.25" customHeight="1" s="86">
      <c r="E1578" s="53" t="inlineStr">
        <is>
          <t>MS</t>
        </is>
      </c>
      <c r="F1578" s="53" t="inlineStr">
        <is>
          <t>PERRY</t>
        </is>
      </c>
      <c r="G1578" s="59" t="n"/>
      <c r="N1578" s="59" t="n"/>
      <c r="O1578" s="59" t="n"/>
      <c r="X1578" s="61" t="n"/>
      <c r="Y1578" s="61" t="n"/>
    </row>
    <row r="1579" ht="14.25" customHeight="1" s="86">
      <c r="E1579" s="53" t="inlineStr">
        <is>
          <t>MS</t>
        </is>
      </c>
      <c r="F1579" s="53" t="inlineStr">
        <is>
          <t>PIKE</t>
        </is>
      </c>
      <c r="G1579" s="59" t="n"/>
      <c r="N1579" s="59" t="n"/>
      <c r="O1579" s="59" t="n"/>
      <c r="X1579" s="61" t="n"/>
      <c r="Y1579" s="61" t="n"/>
    </row>
    <row r="1580" ht="14.25" customHeight="1" s="86">
      <c r="E1580" s="53" t="inlineStr">
        <is>
          <t>MS</t>
        </is>
      </c>
      <c r="F1580" s="53" t="inlineStr">
        <is>
          <t>PONTOTOC</t>
        </is>
      </c>
      <c r="G1580" s="59" t="n"/>
      <c r="N1580" s="59" t="n"/>
      <c r="O1580" s="59" t="n"/>
      <c r="X1580" s="61" t="n"/>
      <c r="Y1580" s="61" t="n"/>
    </row>
    <row r="1581" ht="14.25" customHeight="1" s="86">
      <c r="E1581" s="53" t="inlineStr">
        <is>
          <t>MS</t>
        </is>
      </c>
      <c r="F1581" s="53" t="inlineStr">
        <is>
          <t>PRENTISS</t>
        </is>
      </c>
      <c r="G1581" s="59" t="n"/>
      <c r="N1581" s="59" t="n"/>
      <c r="O1581" s="59" t="n"/>
      <c r="X1581" s="61" t="n"/>
      <c r="Y1581" s="61" t="n"/>
    </row>
    <row r="1582" ht="14.25" customHeight="1" s="86">
      <c r="E1582" s="53" t="inlineStr">
        <is>
          <t>MS</t>
        </is>
      </c>
      <c r="F1582" s="53" t="inlineStr">
        <is>
          <t>QUITMAN</t>
        </is>
      </c>
      <c r="G1582" s="59" t="n"/>
      <c r="N1582" s="59" t="n"/>
      <c r="O1582" s="59" t="n"/>
      <c r="X1582" s="61" t="n"/>
      <c r="Y1582" s="61" t="n"/>
    </row>
    <row r="1583" ht="14.25" customHeight="1" s="86">
      <c r="E1583" s="53" t="inlineStr">
        <is>
          <t>MS</t>
        </is>
      </c>
      <c r="F1583" s="53" t="inlineStr">
        <is>
          <t>RANKIN</t>
        </is>
      </c>
      <c r="G1583" s="59" t="n"/>
      <c r="N1583" s="59" t="n"/>
      <c r="O1583" s="59" t="n"/>
      <c r="X1583" s="61" t="n"/>
      <c r="Y1583" s="61" t="n"/>
    </row>
    <row r="1584" ht="14.25" customHeight="1" s="86">
      <c r="E1584" s="53" t="inlineStr">
        <is>
          <t>MS</t>
        </is>
      </c>
      <c r="F1584" s="53" t="inlineStr">
        <is>
          <t>SCOTT</t>
        </is>
      </c>
      <c r="G1584" s="59" t="n"/>
      <c r="N1584" s="59" t="n"/>
      <c r="O1584" s="59" t="n"/>
      <c r="X1584" s="61" t="n"/>
      <c r="Y1584" s="61" t="n"/>
    </row>
    <row r="1585" ht="14.25" customHeight="1" s="86">
      <c r="E1585" s="53" t="inlineStr">
        <is>
          <t>MS</t>
        </is>
      </c>
      <c r="F1585" s="53" t="inlineStr">
        <is>
          <t>SHARKEY</t>
        </is>
      </c>
      <c r="G1585" s="59" t="n"/>
      <c r="N1585" s="59" t="n"/>
      <c r="O1585" s="59" t="n"/>
      <c r="X1585" s="61" t="n"/>
      <c r="Y1585" s="61" t="n"/>
    </row>
    <row r="1586" ht="14.25" customHeight="1" s="86">
      <c r="E1586" s="53" t="inlineStr">
        <is>
          <t>MS</t>
        </is>
      </c>
      <c r="F1586" s="53" t="inlineStr">
        <is>
          <t>SIMPSON</t>
        </is>
      </c>
      <c r="G1586" s="59" t="n"/>
      <c r="N1586" s="59" t="n"/>
      <c r="O1586" s="59" t="n"/>
      <c r="X1586" s="61" t="n"/>
      <c r="Y1586" s="61" t="n"/>
    </row>
    <row r="1587" ht="14.25" customHeight="1" s="86">
      <c r="E1587" s="53" t="inlineStr">
        <is>
          <t>MS</t>
        </is>
      </c>
      <c r="F1587" s="53" t="inlineStr">
        <is>
          <t>SMITH</t>
        </is>
      </c>
      <c r="G1587" s="59" t="n"/>
      <c r="N1587" s="59" t="n"/>
      <c r="O1587" s="59" t="n"/>
      <c r="X1587" s="61" t="n"/>
      <c r="Y1587" s="61" t="n"/>
    </row>
    <row r="1588" ht="14.25" customHeight="1" s="86">
      <c r="E1588" s="53" t="inlineStr">
        <is>
          <t>MS</t>
        </is>
      </c>
      <c r="F1588" s="53" t="inlineStr">
        <is>
          <t>STONE</t>
        </is>
      </c>
      <c r="G1588" s="59" t="n"/>
      <c r="N1588" s="59" t="n"/>
      <c r="O1588" s="59" t="n"/>
      <c r="X1588" s="61" t="n"/>
      <c r="Y1588" s="61" t="n"/>
    </row>
    <row r="1589" ht="14.25" customHeight="1" s="86">
      <c r="E1589" s="53" t="inlineStr">
        <is>
          <t>MS</t>
        </is>
      </c>
      <c r="F1589" s="53" t="inlineStr">
        <is>
          <t>SUNFLOWER</t>
        </is>
      </c>
      <c r="G1589" s="59" t="n"/>
      <c r="N1589" s="59" t="n"/>
      <c r="O1589" s="59" t="n"/>
      <c r="X1589" s="61" t="n"/>
      <c r="Y1589" s="61" t="n"/>
    </row>
    <row r="1590" ht="14.25" customHeight="1" s="86">
      <c r="E1590" s="53" t="inlineStr">
        <is>
          <t>MS</t>
        </is>
      </c>
      <c r="F1590" s="53" t="inlineStr">
        <is>
          <t>TALLAHATCHIE</t>
        </is>
      </c>
      <c r="G1590" s="59" t="n"/>
      <c r="N1590" s="59" t="n"/>
      <c r="O1590" s="59" t="n"/>
      <c r="X1590" s="61" t="n"/>
      <c r="Y1590" s="61" t="n"/>
    </row>
    <row r="1591" ht="14.25" customHeight="1" s="86">
      <c r="E1591" s="53" t="inlineStr">
        <is>
          <t>MS</t>
        </is>
      </c>
      <c r="F1591" s="53" t="inlineStr">
        <is>
          <t>TATE</t>
        </is>
      </c>
      <c r="G1591" s="59" t="n"/>
      <c r="N1591" s="59" t="n"/>
      <c r="O1591" s="59" t="n"/>
      <c r="X1591" s="61" t="n"/>
      <c r="Y1591" s="61" t="n"/>
    </row>
    <row r="1592" ht="14.25" customHeight="1" s="86">
      <c r="E1592" s="53" t="inlineStr">
        <is>
          <t>MS</t>
        </is>
      </c>
      <c r="F1592" s="53" t="inlineStr">
        <is>
          <t>TIPPAH</t>
        </is>
      </c>
      <c r="G1592" s="59" t="n"/>
      <c r="N1592" s="59" t="n"/>
      <c r="O1592" s="59" t="n"/>
      <c r="X1592" s="61" t="n"/>
      <c r="Y1592" s="61" t="n"/>
    </row>
    <row r="1593" ht="14.25" customHeight="1" s="86">
      <c r="E1593" s="53" t="inlineStr">
        <is>
          <t>MS</t>
        </is>
      </c>
      <c r="F1593" s="53" t="inlineStr">
        <is>
          <t>TISHOMINGO</t>
        </is>
      </c>
      <c r="G1593" s="59" t="n"/>
      <c r="N1593" s="59" t="n"/>
      <c r="O1593" s="59" t="n"/>
      <c r="X1593" s="61" t="n"/>
      <c r="Y1593" s="61" t="n"/>
    </row>
    <row r="1594" ht="14.25" customHeight="1" s="86">
      <c r="E1594" s="53" t="inlineStr">
        <is>
          <t>MS</t>
        </is>
      </c>
      <c r="F1594" s="53" t="inlineStr">
        <is>
          <t>TUNICA</t>
        </is>
      </c>
      <c r="G1594" s="59" t="n"/>
      <c r="N1594" s="59" t="n"/>
      <c r="O1594" s="59" t="n"/>
      <c r="X1594" s="61" t="n"/>
      <c r="Y1594" s="61" t="n"/>
    </row>
    <row r="1595" ht="14.25" customHeight="1" s="86">
      <c r="E1595" s="53" t="inlineStr">
        <is>
          <t>MS</t>
        </is>
      </c>
      <c r="F1595" s="53" t="inlineStr">
        <is>
          <t>UNION</t>
        </is>
      </c>
      <c r="G1595" s="59" t="n"/>
      <c r="N1595" s="59" t="n"/>
      <c r="O1595" s="59" t="n"/>
      <c r="X1595" s="61" t="n"/>
      <c r="Y1595" s="61" t="n"/>
    </row>
    <row r="1596" ht="14.25" customHeight="1" s="86">
      <c r="E1596" s="53" t="inlineStr">
        <is>
          <t>MS</t>
        </is>
      </c>
      <c r="F1596" s="53" t="inlineStr">
        <is>
          <t>WALTHALL</t>
        </is>
      </c>
      <c r="G1596" s="59" t="n"/>
      <c r="N1596" s="59" t="n"/>
      <c r="O1596" s="59" t="n"/>
      <c r="X1596" s="61" t="n"/>
      <c r="Y1596" s="61" t="n"/>
    </row>
    <row r="1597" ht="14.25" customHeight="1" s="86">
      <c r="E1597" s="53" t="inlineStr">
        <is>
          <t>MS</t>
        </is>
      </c>
      <c r="F1597" s="53" t="inlineStr">
        <is>
          <t>WARREN</t>
        </is>
      </c>
      <c r="G1597" s="59" t="n"/>
      <c r="N1597" s="59" t="n"/>
      <c r="O1597" s="59" t="n"/>
      <c r="X1597" s="61" t="n"/>
      <c r="Y1597" s="61" t="n"/>
    </row>
    <row r="1598" ht="14.25" customHeight="1" s="86">
      <c r="E1598" s="53" t="inlineStr">
        <is>
          <t>MS</t>
        </is>
      </c>
      <c r="F1598" s="53" t="inlineStr">
        <is>
          <t>WASHINGTON</t>
        </is>
      </c>
      <c r="G1598" s="59" t="n"/>
      <c r="N1598" s="59" t="n"/>
      <c r="O1598" s="59" t="n"/>
      <c r="X1598" s="61" t="n"/>
      <c r="Y1598" s="61" t="n"/>
    </row>
    <row r="1599" ht="14.25" customHeight="1" s="86">
      <c r="E1599" s="53" t="inlineStr">
        <is>
          <t>MS</t>
        </is>
      </c>
      <c r="F1599" s="53" t="inlineStr">
        <is>
          <t>WAYNE</t>
        </is>
      </c>
      <c r="G1599" s="59" t="n"/>
      <c r="N1599" s="59" t="n"/>
      <c r="O1599" s="59" t="n"/>
      <c r="X1599" s="61" t="n"/>
      <c r="Y1599" s="61" t="n"/>
    </row>
    <row r="1600" ht="14.25" customHeight="1" s="86">
      <c r="E1600" s="53" t="inlineStr">
        <is>
          <t>MS</t>
        </is>
      </c>
      <c r="F1600" s="53" t="inlineStr">
        <is>
          <t>WEBSTER</t>
        </is>
      </c>
      <c r="G1600" s="59" t="n"/>
      <c r="N1600" s="59" t="n"/>
      <c r="O1600" s="59" t="n"/>
      <c r="X1600" s="61" t="n"/>
      <c r="Y1600" s="61" t="n"/>
    </row>
    <row r="1601" ht="14.25" customHeight="1" s="86">
      <c r="E1601" s="53" t="inlineStr">
        <is>
          <t>MS</t>
        </is>
      </c>
      <c r="F1601" s="53" t="inlineStr">
        <is>
          <t>WILKINSON</t>
        </is>
      </c>
      <c r="G1601" s="59" t="n"/>
      <c r="N1601" s="59" t="n"/>
      <c r="O1601" s="59" t="n"/>
      <c r="X1601" s="61" t="n"/>
      <c r="Y1601" s="61" t="n"/>
    </row>
    <row r="1602" ht="14.25" customHeight="1" s="86">
      <c r="E1602" s="53" t="inlineStr">
        <is>
          <t>MS</t>
        </is>
      </c>
      <c r="F1602" s="53" t="inlineStr">
        <is>
          <t>WINSTON</t>
        </is>
      </c>
      <c r="G1602" s="59" t="n"/>
      <c r="N1602" s="59" t="n"/>
      <c r="O1602" s="59" t="n"/>
      <c r="X1602" s="61" t="n"/>
      <c r="Y1602" s="61" t="n"/>
    </row>
    <row r="1603" ht="14.25" customHeight="1" s="86">
      <c r="E1603" s="53" t="inlineStr">
        <is>
          <t>MS</t>
        </is>
      </c>
      <c r="F1603" s="53" t="inlineStr">
        <is>
          <t>YALOBUSHA</t>
        </is>
      </c>
      <c r="G1603" s="59" t="n"/>
      <c r="N1603" s="59" t="n"/>
      <c r="O1603" s="59" t="n"/>
      <c r="X1603" s="61" t="n"/>
      <c r="Y1603" s="61" t="n"/>
    </row>
    <row r="1604" ht="14.25" customHeight="1" s="86">
      <c r="E1604" s="53" t="inlineStr">
        <is>
          <t>MS</t>
        </is>
      </c>
      <c r="F1604" s="53" t="inlineStr">
        <is>
          <t>YAZOO</t>
        </is>
      </c>
      <c r="G1604" s="59" t="n"/>
      <c r="N1604" s="59" t="n"/>
      <c r="O1604" s="59" t="n"/>
      <c r="X1604" s="61" t="n"/>
      <c r="Y1604" s="61" t="n"/>
    </row>
    <row r="1605" ht="14.25" customHeight="1" s="86">
      <c r="E1605" s="53" t="inlineStr">
        <is>
          <t>MT</t>
        </is>
      </c>
      <c r="F1605" s="53" t="inlineStr">
        <is>
          <t>BEAVERHEAD</t>
        </is>
      </c>
      <c r="G1605" s="59" t="n"/>
      <c r="N1605" s="59" t="n"/>
      <c r="O1605" s="59" t="n"/>
      <c r="X1605" s="61" t="n"/>
      <c r="Y1605" s="61" t="n"/>
    </row>
    <row r="1606" ht="14.25" customHeight="1" s="86">
      <c r="E1606" s="53" t="inlineStr">
        <is>
          <t>MT</t>
        </is>
      </c>
      <c r="F1606" s="53" t="inlineStr">
        <is>
          <t>BIG HORN</t>
        </is>
      </c>
      <c r="G1606" s="59" t="n"/>
      <c r="N1606" s="59" t="n"/>
      <c r="O1606" s="59" t="n"/>
      <c r="X1606" s="61" t="n"/>
      <c r="Y1606" s="61" t="n"/>
    </row>
    <row r="1607" ht="14.25" customHeight="1" s="86">
      <c r="E1607" s="53" t="inlineStr">
        <is>
          <t>MT</t>
        </is>
      </c>
      <c r="F1607" s="53" t="inlineStr">
        <is>
          <t>BLAINE</t>
        </is>
      </c>
      <c r="G1607" s="59" t="n"/>
      <c r="N1607" s="59" t="n"/>
      <c r="O1607" s="59" t="n"/>
      <c r="X1607" s="61" t="n"/>
      <c r="Y1607" s="61" t="n"/>
    </row>
    <row r="1608" ht="14.25" customHeight="1" s="86">
      <c r="E1608" s="53" t="inlineStr">
        <is>
          <t>MT</t>
        </is>
      </c>
      <c r="F1608" s="53" t="inlineStr">
        <is>
          <t>BROADWATER</t>
        </is>
      </c>
      <c r="G1608" s="59" t="n"/>
      <c r="N1608" s="59" t="n"/>
      <c r="O1608" s="59" t="n"/>
      <c r="X1608" s="61" t="n"/>
      <c r="Y1608" s="61" t="n"/>
    </row>
    <row r="1609" ht="14.25" customHeight="1" s="86">
      <c r="E1609" s="53" t="inlineStr">
        <is>
          <t>MT</t>
        </is>
      </c>
      <c r="F1609" s="53" t="inlineStr">
        <is>
          <t>CARBON</t>
        </is>
      </c>
      <c r="G1609" s="59" t="n"/>
      <c r="N1609" s="59" t="n"/>
      <c r="O1609" s="59" t="n"/>
      <c r="X1609" s="61" t="n"/>
      <c r="Y1609" s="61" t="n"/>
    </row>
    <row r="1610" ht="14.25" customHeight="1" s="86">
      <c r="E1610" s="53" t="inlineStr">
        <is>
          <t>MT</t>
        </is>
      </c>
      <c r="F1610" s="53" t="inlineStr">
        <is>
          <t>CARTER</t>
        </is>
      </c>
      <c r="G1610" s="59" t="n"/>
      <c r="N1610" s="59" t="n"/>
      <c r="O1610" s="59" t="n"/>
      <c r="X1610" s="61" t="n"/>
      <c r="Y1610" s="61" t="n"/>
    </row>
    <row r="1611" ht="14.25" customHeight="1" s="86">
      <c r="E1611" s="53" t="inlineStr">
        <is>
          <t>MT</t>
        </is>
      </c>
      <c r="F1611" s="53" t="inlineStr">
        <is>
          <t>CASCADE</t>
        </is>
      </c>
      <c r="G1611" s="59" t="n"/>
      <c r="N1611" s="59" t="n"/>
      <c r="O1611" s="59" t="n"/>
      <c r="X1611" s="61" t="n"/>
      <c r="Y1611" s="61" t="n"/>
    </row>
    <row r="1612" ht="14.25" customHeight="1" s="86">
      <c r="E1612" s="53" t="inlineStr">
        <is>
          <t>MT</t>
        </is>
      </c>
      <c r="F1612" s="53" t="inlineStr">
        <is>
          <t>CHOUTEAU</t>
        </is>
      </c>
      <c r="G1612" s="59" t="n"/>
      <c r="N1612" s="59" t="n"/>
      <c r="O1612" s="59" t="n"/>
      <c r="X1612" s="61" t="n"/>
      <c r="Y1612" s="61" t="n"/>
    </row>
    <row r="1613" ht="14.25" customHeight="1" s="86">
      <c r="E1613" s="53" t="inlineStr">
        <is>
          <t>MT</t>
        </is>
      </c>
      <c r="F1613" s="53" t="inlineStr">
        <is>
          <t>CUSTER</t>
        </is>
      </c>
      <c r="G1613" s="59" t="n"/>
      <c r="N1613" s="59" t="n"/>
      <c r="O1613" s="59" t="n"/>
      <c r="X1613" s="61" t="n"/>
      <c r="Y1613" s="61" t="n"/>
    </row>
    <row r="1614" ht="14.25" customHeight="1" s="86">
      <c r="E1614" s="53" t="inlineStr">
        <is>
          <t>MT</t>
        </is>
      </c>
      <c r="F1614" s="53" t="inlineStr">
        <is>
          <t>DANIELS</t>
        </is>
      </c>
      <c r="G1614" s="59" t="n"/>
      <c r="N1614" s="59" t="n"/>
      <c r="O1614" s="59" t="n"/>
      <c r="X1614" s="61" t="n"/>
      <c r="Y1614" s="61" t="n"/>
    </row>
    <row r="1615" ht="14.25" customHeight="1" s="86">
      <c r="E1615" s="53" t="inlineStr">
        <is>
          <t>MT</t>
        </is>
      </c>
      <c r="F1615" s="53" t="inlineStr">
        <is>
          <t>DAWSON</t>
        </is>
      </c>
      <c r="G1615" s="59" t="n"/>
      <c r="N1615" s="59" t="n"/>
      <c r="O1615" s="59" t="n"/>
      <c r="X1615" s="61" t="n"/>
      <c r="Y1615" s="61" t="n"/>
    </row>
    <row r="1616" ht="14.25" customHeight="1" s="86">
      <c r="E1616" s="53" t="inlineStr">
        <is>
          <t>MT</t>
        </is>
      </c>
      <c r="F1616" s="53" t="inlineStr">
        <is>
          <t>DEER LODGE</t>
        </is>
      </c>
      <c r="G1616" s="59" t="n"/>
      <c r="N1616" s="59" t="n"/>
      <c r="O1616" s="59" t="n"/>
      <c r="X1616" s="61" t="n"/>
      <c r="Y1616" s="61" t="n"/>
    </row>
    <row r="1617" ht="14.25" customHeight="1" s="86">
      <c r="E1617" s="53" t="inlineStr">
        <is>
          <t>MT</t>
        </is>
      </c>
      <c r="F1617" s="53" t="inlineStr">
        <is>
          <t>FALLON</t>
        </is>
      </c>
      <c r="G1617" s="59" t="n"/>
      <c r="N1617" s="59" t="n"/>
      <c r="O1617" s="59" t="n"/>
      <c r="X1617" s="61" t="n"/>
      <c r="Y1617" s="61" t="n"/>
    </row>
    <row r="1618" ht="14.25" customHeight="1" s="86">
      <c r="E1618" s="53" t="inlineStr">
        <is>
          <t>MT</t>
        </is>
      </c>
      <c r="F1618" s="53" t="inlineStr">
        <is>
          <t>FERGUS</t>
        </is>
      </c>
      <c r="G1618" s="59" t="n"/>
      <c r="N1618" s="59" t="n"/>
      <c r="O1618" s="59" t="n"/>
      <c r="X1618" s="61" t="n"/>
      <c r="Y1618" s="61" t="n"/>
    </row>
    <row r="1619" ht="14.25" customHeight="1" s="86">
      <c r="E1619" s="53" t="inlineStr">
        <is>
          <t>MT</t>
        </is>
      </c>
      <c r="F1619" s="53" t="inlineStr">
        <is>
          <t>FLATHEAD</t>
        </is>
      </c>
      <c r="G1619" s="59" t="n"/>
      <c r="N1619" s="59" t="n"/>
      <c r="O1619" s="59" t="n"/>
      <c r="X1619" s="61" t="n"/>
      <c r="Y1619" s="61" t="n"/>
    </row>
    <row r="1620" ht="14.25" customHeight="1" s="86">
      <c r="E1620" s="53" t="inlineStr">
        <is>
          <t>MT</t>
        </is>
      </c>
      <c r="F1620" s="53" t="inlineStr">
        <is>
          <t>GALLATIN</t>
        </is>
      </c>
      <c r="G1620" s="59" t="n"/>
      <c r="N1620" s="59" t="n"/>
      <c r="O1620" s="59" t="n"/>
      <c r="X1620" s="61" t="n"/>
      <c r="Y1620" s="61" t="n"/>
    </row>
    <row r="1621" ht="14.25" customHeight="1" s="86">
      <c r="E1621" s="53" t="inlineStr">
        <is>
          <t>MT</t>
        </is>
      </c>
      <c r="F1621" s="53" t="inlineStr">
        <is>
          <t>GARFIELD</t>
        </is>
      </c>
      <c r="G1621" s="59" t="n"/>
      <c r="N1621" s="59" t="n"/>
      <c r="O1621" s="59" t="n"/>
      <c r="X1621" s="61" t="n"/>
      <c r="Y1621" s="61" t="n"/>
    </row>
    <row r="1622" ht="14.25" customHeight="1" s="86">
      <c r="E1622" s="53" t="inlineStr">
        <is>
          <t>MT</t>
        </is>
      </c>
      <c r="F1622" s="53" t="inlineStr">
        <is>
          <t>GLACIER</t>
        </is>
      </c>
      <c r="G1622" s="59" t="n"/>
      <c r="N1622" s="59" t="n"/>
      <c r="O1622" s="59" t="n"/>
      <c r="X1622" s="61" t="n"/>
      <c r="Y1622" s="61" t="n"/>
    </row>
    <row r="1623" ht="14.25" customHeight="1" s="86">
      <c r="E1623" s="53" t="inlineStr">
        <is>
          <t>MT</t>
        </is>
      </c>
      <c r="F1623" s="53" t="inlineStr">
        <is>
          <t>GOLDEN VALLEY</t>
        </is>
      </c>
      <c r="G1623" s="59" t="n"/>
      <c r="N1623" s="59" t="n"/>
      <c r="O1623" s="59" t="n"/>
      <c r="X1623" s="61" t="n"/>
      <c r="Y1623" s="61" t="n"/>
    </row>
    <row r="1624" ht="14.25" customHeight="1" s="86">
      <c r="E1624" s="53" t="inlineStr">
        <is>
          <t>MT</t>
        </is>
      </c>
      <c r="F1624" s="53" t="inlineStr">
        <is>
          <t>GRANITE</t>
        </is>
      </c>
      <c r="G1624" s="59" t="n"/>
      <c r="N1624" s="59" t="n"/>
      <c r="O1624" s="59" t="n"/>
      <c r="X1624" s="61" t="n"/>
      <c r="Y1624" s="61" t="n"/>
    </row>
    <row r="1625" ht="14.25" customHeight="1" s="86">
      <c r="E1625" s="53" t="inlineStr">
        <is>
          <t>MT</t>
        </is>
      </c>
      <c r="F1625" s="53" t="inlineStr">
        <is>
          <t>HILL</t>
        </is>
      </c>
      <c r="G1625" s="59" t="n"/>
      <c r="N1625" s="59" t="n"/>
      <c r="O1625" s="59" t="n"/>
      <c r="X1625" s="61" t="n"/>
      <c r="Y1625" s="61" t="n"/>
    </row>
    <row r="1626" ht="14.25" customHeight="1" s="86">
      <c r="E1626" s="53" t="inlineStr">
        <is>
          <t>MT</t>
        </is>
      </c>
      <c r="F1626" s="53" t="inlineStr">
        <is>
          <t>JEFFERSON</t>
        </is>
      </c>
      <c r="G1626" s="59" t="n"/>
      <c r="N1626" s="59" t="n"/>
      <c r="O1626" s="59" t="n"/>
      <c r="X1626" s="61" t="n"/>
      <c r="Y1626" s="61" t="n"/>
    </row>
    <row r="1627" ht="14.25" customHeight="1" s="86">
      <c r="E1627" s="53" t="inlineStr">
        <is>
          <t>MT</t>
        </is>
      </c>
      <c r="F1627" s="53" t="inlineStr">
        <is>
          <t>JUDITH BASIN</t>
        </is>
      </c>
      <c r="G1627" s="59" t="n"/>
      <c r="N1627" s="59" t="n"/>
      <c r="O1627" s="59" t="n"/>
      <c r="X1627" s="61" t="n"/>
      <c r="Y1627" s="61" t="n"/>
    </row>
    <row r="1628" ht="14.25" customHeight="1" s="86">
      <c r="E1628" s="53" t="inlineStr">
        <is>
          <t>MT</t>
        </is>
      </c>
      <c r="F1628" s="53" t="inlineStr">
        <is>
          <t>LAKE</t>
        </is>
      </c>
      <c r="G1628" s="59" t="n"/>
      <c r="N1628" s="59" t="n"/>
      <c r="O1628" s="59" t="n"/>
      <c r="X1628" s="61" t="n"/>
      <c r="Y1628" s="61" t="n"/>
    </row>
    <row r="1629" ht="14.25" customHeight="1" s="86">
      <c r="E1629" s="53" t="inlineStr">
        <is>
          <t>MT</t>
        </is>
      </c>
      <c r="F1629" s="53" t="inlineStr">
        <is>
          <t>LEWIS AND CLARK</t>
        </is>
      </c>
      <c r="G1629" s="59" t="n"/>
      <c r="N1629" s="59" t="n"/>
      <c r="O1629" s="59" t="n"/>
      <c r="X1629" s="61" t="n"/>
      <c r="Y1629" s="61" t="n"/>
    </row>
    <row r="1630" ht="14.25" customHeight="1" s="86">
      <c r="E1630" s="53" t="inlineStr">
        <is>
          <t>MT</t>
        </is>
      </c>
      <c r="F1630" s="53" t="inlineStr">
        <is>
          <t>LIBERTY</t>
        </is>
      </c>
      <c r="G1630" s="59" t="n"/>
      <c r="N1630" s="59" t="n"/>
      <c r="O1630" s="59" t="n"/>
      <c r="X1630" s="61" t="n"/>
      <c r="Y1630" s="61" t="n"/>
    </row>
    <row r="1631" ht="14.25" customHeight="1" s="86">
      <c r="E1631" s="53" t="inlineStr">
        <is>
          <t>MT</t>
        </is>
      </c>
      <c r="F1631" s="53" t="inlineStr">
        <is>
          <t>LINCOLN</t>
        </is>
      </c>
      <c r="G1631" s="59" t="n"/>
      <c r="N1631" s="59" t="n"/>
      <c r="O1631" s="59" t="n"/>
      <c r="X1631" s="61" t="n"/>
      <c r="Y1631" s="61" t="n"/>
    </row>
    <row r="1632" ht="14.25" customHeight="1" s="86">
      <c r="E1632" s="53" t="inlineStr">
        <is>
          <t>MT</t>
        </is>
      </c>
      <c r="F1632" s="53" t="inlineStr">
        <is>
          <t>MADISON</t>
        </is>
      </c>
      <c r="G1632" s="59" t="n"/>
      <c r="N1632" s="59" t="n"/>
      <c r="O1632" s="59" t="n"/>
      <c r="X1632" s="61" t="n"/>
      <c r="Y1632" s="61" t="n"/>
    </row>
    <row r="1633" ht="14.25" customHeight="1" s="86">
      <c r="E1633" s="53" t="inlineStr">
        <is>
          <t>MT</t>
        </is>
      </c>
      <c r="F1633" s="53" t="inlineStr">
        <is>
          <t>MCCONE</t>
        </is>
      </c>
      <c r="G1633" s="59" t="n"/>
      <c r="N1633" s="59" t="n"/>
      <c r="O1633" s="59" t="n"/>
      <c r="X1633" s="61" t="n"/>
      <c r="Y1633" s="61" t="n"/>
    </row>
    <row r="1634" ht="14.25" customHeight="1" s="86">
      <c r="E1634" s="53" t="inlineStr">
        <is>
          <t>MT</t>
        </is>
      </c>
      <c r="F1634" s="53" t="inlineStr">
        <is>
          <t>MEAGHER</t>
        </is>
      </c>
      <c r="G1634" s="59" t="n"/>
      <c r="N1634" s="59" t="n"/>
      <c r="O1634" s="59" t="n"/>
      <c r="X1634" s="61" t="n"/>
      <c r="Y1634" s="61" t="n"/>
    </row>
    <row r="1635" ht="14.25" customHeight="1" s="86">
      <c r="E1635" s="53" t="inlineStr">
        <is>
          <t>MT</t>
        </is>
      </c>
      <c r="F1635" s="53" t="inlineStr">
        <is>
          <t>MINERAL</t>
        </is>
      </c>
      <c r="G1635" s="59" t="n"/>
      <c r="N1635" s="59" t="n"/>
      <c r="O1635" s="59" t="n"/>
      <c r="X1635" s="61" t="n"/>
      <c r="Y1635" s="61" t="n"/>
    </row>
    <row r="1636" ht="14.25" customHeight="1" s="86">
      <c r="E1636" s="53" t="inlineStr">
        <is>
          <t>MT</t>
        </is>
      </c>
      <c r="F1636" s="53" t="inlineStr">
        <is>
          <t>MISSOULA</t>
        </is>
      </c>
      <c r="G1636" s="59" t="n"/>
      <c r="N1636" s="59" t="n"/>
      <c r="O1636" s="59" t="n"/>
      <c r="X1636" s="61" t="n"/>
      <c r="Y1636" s="61" t="n"/>
    </row>
    <row r="1637" ht="14.25" customHeight="1" s="86">
      <c r="E1637" s="53" t="inlineStr">
        <is>
          <t>MT</t>
        </is>
      </c>
      <c r="F1637" s="53" t="inlineStr">
        <is>
          <t>MUSSELSHELL</t>
        </is>
      </c>
      <c r="G1637" s="59" t="n"/>
      <c r="N1637" s="59" t="n"/>
      <c r="O1637" s="59" t="n"/>
      <c r="X1637" s="61" t="n"/>
      <c r="Y1637" s="61" t="n"/>
    </row>
    <row r="1638" ht="14.25" customHeight="1" s="86">
      <c r="E1638" s="53" t="inlineStr">
        <is>
          <t>MT</t>
        </is>
      </c>
      <c r="F1638" s="53" t="inlineStr">
        <is>
          <t>PARK</t>
        </is>
      </c>
      <c r="G1638" s="59" t="n"/>
      <c r="N1638" s="59" t="n"/>
      <c r="O1638" s="59" t="n"/>
      <c r="X1638" s="61" t="n"/>
      <c r="Y1638" s="61" t="n"/>
    </row>
    <row r="1639" ht="14.25" customHeight="1" s="86">
      <c r="E1639" s="53" t="inlineStr">
        <is>
          <t>MT</t>
        </is>
      </c>
      <c r="F1639" s="53" t="inlineStr">
        <is>
          <t>PETROLEUM</t>
        </is>
      </c>
      <c r="G1639" s="59" t="n"/>
      <c r="N1639" s="59" t="n"/>
      <c r="O1639" s="59" t="n"/>
      <c r="X1639" s="61" t="n"/>
      <c r="Y1639" s="61" t="n"/>
    </row>
    <row r="1640" ht="14.25" customHeight="1" s="86">
      <c r="E1640" s="53" t="inlineStr">
        <is>
          <t>MT</t>
        </is>
      </c>
      <c r="F1640" s="53" t="inlineStr">
        <is>
          <t>PHILLIPS</t>
        </is>
      </c>
      <c r="G1640" s="59" t="n"/>
      <c r="N1640" s="59" t="n"/>
      <c r="O1640" s="59" t="n"/>
      <c r="X1640" s="61" t="n"/>
      <c r="Y1640" s="61" t="n"/>
    </row>
    <row r="1641" ht="14.25" customHeight="1" s="86">
      <c r="E1641" s="53" t="inlineStr">
        <is>
          <t>MT</t>
        </is>
      </c>
      <c r="F1641" s="53" t="inlineStr">
        <is>
          <t>PONDERA</t>
        </is>
      </c>
      <c r="G1641" s="59" t="n"/>
      <c r="N1641" s="59" t="n"/>
      <c r="O1641" s="59" t="n"/>
      <c r="X1641" s="61" t="n"/>
      <c r="Y1641" s="61" t="n"/>
    </row>
    <row r="1642" ht="14.25" customHeight="1" s="86">
      <c r="E1642" s="53" t="inlineStr">
        <is>
          <t>MT</t>
        </is>
      </c>
      <c r="F1642" s="53" t="inlineStr">
        <is>
          <t>POWDER RIVER</t>
        </is>
      </c>
      <c r="G1642" s="59" t="n"/>
      <c r="N1642" s="59" t="n"/>
      <c r="O1642" s="59" t="n"/>
      <c r="X1642" s="61" t="n"/>
      <c r="Y1642" s="61" t="n"/>
    </row>
    <row r="1643" ht="14.25" customHeight="1" s="86">
      <c r="E1643" s="53" t="inlineStr">
        <is>
          <t>MT</t>
        </is>
      </c>
      <c r="F1643" s="53" t="inlineStr">
        <is>
          <t>POWELL</t>
        </is>
      </c>
      <c r="G1643" s="59" t="n"/>
      <c r="N1643" s="59" t="n"/>
      <c r="O1643" s="59" t="n"/>
      <c r="X1643" s="61" t="n"/>
      <c r="Y1643" s="61" t="n"/>
    </row>
    <row r="1644" ht="14.25" customHeight="1" s="86">
      <c r="E1644" s="53" t="inlineStr">
        <is>
          <t>MT</t>
        </is>
      </c>
      <c r="F1644" s="53" t="inlineStr">
        <is>
          <t>PRAIRIE</t>
        </is>
      </c>
      <c r="G1644" s="59" t="n"/>
      <c r="N1644" s="59" t="n"/>
      <c r="O1644" s="59" t="n"/>
      <c r="X1644" s="61" t="n"/>
      <c r="Y1644" s="61" t="n"/>
    </row>
    <row r="1645" ht="14.25" customHeight="1" s="86">
      <c r="E1645" s="53" t="inlineStr">
        <is>
          <t>MT</t>
        </is>
      </c>
      <c r="F1645" s="53" t="inlineStr">
        <is>
          <t>RAVALLI</t>
        </is>
      </c>
      <c r="G1645" s="59" t="n"/>
      <c r="N1645" s="59" t="n"/>
      <c r="O1645" s="59" t="n"/>
      <c r="X1645" s="61" t="n"/>
      <c r="Y1645" s="61" t="n"/>
    </row>
    <row r="1646" ht="14.25" customHeight="1" s="86">
      <c r="E1646" s="53" t="inlineStr">
        <is>
          <t>MT</t>
        </is>
      </c>
      <c r="F1646" s="53" t="inlineStr">
        <is>
          <t>RICHLAND</t>
        </is>
      </c>
      <c r="G1646" s="59" t="n"/>
      <c r="N1646" s="59" t="n"/>
      <c r="O1646" s="59" t="n"/>
      <c r="X1646" s="61" t="n"/>
      <c r="Y1646" s="61" t="n"/>
    </row>
    <row r="1647" ht="14.25" customHeight="1" s="86">
      <c r="E1647" s="53" t="inlineStr">
        <is>
          <t>MT</t>
        </is>
      </c>
      <c r="F1647" s="53" t="inlineStr">
        <is>
          <t>ROOSEVELT</t>
        </is>
      </c>
      <c r="G1647" s="59" t="n"/>
      <c r="N1647" s="59" t="n"/>
      <c r="O1647" s="59" t="n"/>
      <c r="X1647" s="61" t="n"/>
      <c r="Y1647" s="61" t="n"/>
    </row>
    <row r="1648" ht="14.25" customHeight="1" s="86">
      <c r="E1648" s="53" t="inlineStr">
        <is>
          <t>MT</t>
        </is>
      </c>
      <c r="F1648" s="53" t="inlineStr">
        <is>
          <t>ROSEBUD</t>
        </is>
      </c>
      <c r="G1648" s="59" t="n"/>
      <c r="N1648" s="59" t="n"/>
      <c r="O1648" s="59" t="n"/>
      <c r="X1648" s="61" t="n"/>
      <c r="Y1648" s="61" t="n"/>
    </row>
    <row r="1649" ht="14.25" customHeight="1" s="86">
      <c r="E1649" s="53" t="inlineStr">
        <is>
          <t>MT</t>
        </is>
      </c>
      <c r="F1649" s="53" t="inlineStr">
        <is>
          <t>SANDERS</t>
        </is>
      </c>
      <c r="G1649" s="59" t="n"/>
      <c r="N1649" s="59" t="n"/>
      <c r="O1649" s="59" t="n"/>
      <c r="X1649" s="61" t="n"/>
      <c r="Y1649" s="61" t="n"/>
    </row>
    <row r="1650" ht="14.25" customHeight="1" s="86">
      <c r="E1650" s="53" t="inlineStr">
        <is>
          <t>MT</t>
        </is>
      </c>
      <c r="F1650" s="53" t="inlineStr">
        <is>
          <t>SHERIDAN</t>
        </is>
      </c>
      <c r="G1650" s="59" t="n"/>
      <c r="N1650" s="59" t="n"/>
      <c r="O1650" s="59" t="n"/>
      <c r="X1650" s="61" t="n"/>
      <c r="Y1650" s="61" t="n"/>
    </row>
    <row r="1651" ht="14.25" customHeight="1" s="86">
      <c r="E1651" s="53" t="inlineStr">
        <is>
          <t>MT</t>
        </is>
      </c>
      <c r="F1651" s="53" t="inlineStr">
        <is>
          <t>SILVER BOW</t>
        </is>
      </c>
      <c r="G1651" s="59" t="n"/>
      <c r="N1651" s="59" t="n"/>
      <c r="O1651" s="59" t="n"/>
      <c r="X1651" s="61" t="n"/>
      <c r="Y1651" s="61" t="n"/>
    </row>
    <row r="1652" ht="14.25" customHeight="1" s="86">
      <c r="E1652" s="53" t="inlineStr">
        <is>
          <t>MT</t>
        </is>
      </c>
      <c r="F1652" s="53" t="inlineStr">
        <is>
          <t>STILLWATER</t>
        </is>
      </c>
      <c r="G1652" s="59" t="n"/>
      <c r="N1652" s="59" t="n"/>
      <c r="O1652" s="59" t="n"/>
      <c r="X1652" s="61" t="n"/>
      <c r="Y1652" s="61" t="n"/>
    </row>
    <row r="1653" ht="14.25" customHeight="1" s="86">
      <c r="E1653" s="53" t="inlineStr">
        <is>
          <t>MT</t>
        </is>
      </c>
      <c r="F1653" s="53" t="inlineStr">
        <is>
          <t>SWEET GRASS</t>
        </is>
      </c>
      <c r="G1653" s="59" t="n"/>
      <c r="N1653" s="59" t="n"/>
      <c r="O1653" s="59" t="n"/>
      <c r="X1653" s="61" t="n"/>
      <c r="Y1653" s="61" t="n"/>
    </row>
    <row r="1654" ht="14.25" customHeight="1" s="86">
      <c r="E1654" s="53" t="inlineStr">
        <is>
          <t>MT</t>
        </is>
      </c>
      <c r="F1654" s="53" t="inlineStr">
        <is>
          <t>TETON</t>
        </is>
      </c>
      <c r="G1654" s="59" t="n"/>
      <c r="N1654" s="59" t="n"/>
      <c r="O1654" s="59" t="n"/>
      <c r="X1654" s="61" t="n"/>
      <c r="Y1654" s="61" t="n"/>
    </row>
    <row r="1655" ht="14.25" customHeight="1" s="86">
      <c r="E1655" s="53" t="inlineStr">
        <is>
          <t>MT</t>
        </is>
      </c>
      <c r="F1655" s="53" t="inlineStr">
        <is>
          <t>TOOLE</t>
        </is>
      </c>
      <c r="G1655" s="59" t="n"/>
      <c r="N1655" s="59" t="n"/>
      <c r="O1655" s="59" t="n"/>
      <c r="X1655" s="61" t="n"/>
      <c r="Y1655" s="61" t="n"/>
    </row>
    <row r="1656" ht="14.25" customHeight="1" s="86">
      <c r="E1656" s="53" t="inlineStr">
        <is>
          <t>MT</t>
        </is>
      </c>
      <c r="F1656" s="53" t="inlineStr">
        <is>
          <t>TREASURE</t>
        </is>
      </c>
      <c r="G1656" s="59" t="n"/>
      <c r="N1656" s="59" t="n"/>
      <c r="O1656" s="59" t="n"/>
      <c r="X1656" s="61" t="n"/>
      <c r="Y1656" s="61" t="n"/>
    </row>
    <row r="1657" ht="14.25" customHeight="1" s="86">
      <c r="E1657" s="53" t="inlineStr">
        <is>
          <t>MT</t>
        </is>
      </c>
      <c r="F1657" s="53" t="inlineStr">
        <is>
          <t>VALLEY</t>
        </is>
      </c>
      <c r="G1657" s="59" t="n"/>
      <c r="N1657" s="59" t="n"/>
      <c r="O1657" s="59" t="n"/>
      <c r="X1657" s="61" t="n"/>
      <c r="Y1657" s="61" t="n"/>
    </row>
    <row r="1658" ht="14.25" customHeight="1" s="86">
      <c r="E1658" s="53" t="inlineStr">
        <is>
          <t>MT</t>
        </is>
      </c>
      <c r="F1658" s="53" t="inlineStr">
        <is>
          <t>WHEATLAND</t>
        </is>
      </c>
      <c r="G1658" s="59" t="n"/>
      <c r="N1658" s="59" t="n"/>
      <c r="O1658" s="59" t="n"/>
      <c r="X1658" s="61" t="n"/>
      <c r="Y1658" s="61" t="n"/>
    </row>
    <row r="1659" ht="14.25" customHeight="1" s="86">
      <c r="E1659" s="53" t="inlineStr">
        <is>
          <t>MT</t>
        </is>
      </c>
      <c r="F1659" s="53" t="inlineStr">
        <is>
          <t>WIBAUX</t>
        </is>
      </c>
      <c r="G1659" s="59" t="n"/>
      <c r="N1659" s="59" t="n"/>
      <c r="O1659" s="59" t="n"/>
      <c r="X1659" s="61" t="n"/>
      <c r="Y1659" s="61" t="n"/>
    </row>
    <row r="1660" ht="14.25" customHeight="1" s="86">
      <c r="E1660" s="53" t="inlineStr">
        <is>
          <t>MT</t>
        </is>
      </c>
      <c r="F1660" s="53" t="inlineStr">
        <is>
          <t>YELLOWSTONE</t>
        </is>
      </c>
      <c r="G1660" s="59" t="n"/>
      <c r="N1660" s="59" t="n"/>
      <c r="O1660" s="59" t="n"/>
      <c r="X1660" s="61" t="n"/>
      <c r="Y1660" s="61" t="n"/>
    </row>
    <row r="1661" ht="14.25" customHeight="1" s="86">
      <c r="E1661" s="53" t="inlineStr">
        <is>
          <t>NC</t>
        </is>
      </c>
      <c r="F1661" s="53" t="inlineStr">
        <is>
          <t>ALAMANCE</t>
        </is>
      </c>
      <c r="G1661" s="59" t="n"/>
      <c r="N1661" s="59" t="n"/>
      <c r="O1661" s="59" t="n"/>
      <c r="X1661" s="61" t="n"/>
      <c r="Y1661" s="61" t="n"/>
    </row>
    <row r="1662" ht="14.25" customHeight="1" s="86">
      <c r="E1662" s="53" t="inlineStr">
        <is>
          <t>NC</t>
        </is>
      </c>
      <c r="F1662" s="53" t="inlineStr">
        <is>
          <t>ALEXANDER</t>
        </is>
      </c>
      <c r="G1662" s="59" t="n"/>
      <c r="N1662" s="59" t="n"/>
      <c r="O1662" s="59" t="n"/>
      <c r="X1662" s="61" t="n"/>
      <c r="Y1662" s="61" t="n"/>
    </row>
    <row r="1663" ht="14.25" customHeight="1" s="86">
      <c r="E1663" s="53" t="inlineStr">
        <is>
          <t>NC</t>
        </is>
      </c>
      <c r="F1663" s="53" t="inlineStr">
        <is>
          <t>ALLEGHANY</t>
        </is>
      </c>
      <c r="G1663" s="59" t="n"/>
      <c r="N1663" s="59" t="n"/>
      <c r="O1663" s="59" t="n"/>
      <c r="X1663" s="61" t="n"/>
      <c r="Y1663" s="61" t="n"/>
    </row>
    <row r="1664" ht="14.25" customHeight="1" s="86">
      <c r="E1664" s="53" t="inlineStr">
        <is>
          <t>NC</t>
        </is>
      </c>
      <c r="F1664" s="53" t="inlineStr">
        <is>
          <t>ANSON</t>
        </is>
      </c>
      <c r="G1664" s="59" t="n"/>
      <c r="N1664" s="59" t="n"/>
      <c r="O1664" s="59" t="n"/>
      <c r="X1664" s="61" t="n"/>
      <c r="Y1664" s="61" t="n"/>
    </row>
    <row r="1665" ht="14.25" customHeight="1" s="86">
      <c r="E1665" s="53" t="inlineStr">
        <is>
          <t>NC</t>
        </is>
      </c>
      <c r="F1665" s="53" t="inlineStr">
        <is>
          <t>ASHE</t>
        </is>
      </c>
      <c r="G1665" s="59" t="n"/>
      <c r="N1665" s="59" t="n"/>
      <c r="O1665" s="59" t="n"/>
      <c r="X1665" s="61" t="n"/>
      <c r="Y1665" s="61" t="n"/>
    </row>
    <row r="1666" ht="14.25" customHeight="1" s="86">
      <c r="E1666" s="53" t="inlineStr">
        <is>
          <t>NC</t>
        </is>
      </c>
      <c r="F1666" s="53" t="inlineStr">
        <is>
          <t>AVERY</t>
        </is>
      </c>
      <c r="G1666" s="59" t="n"/>
      <c r="N1666" s="59" t="n"/>
      <c r="O1666" s="59" t="n"/>
      <c r="X1666" s="61" t="n"/>
      <c r="Y1666" s="61" t="n"/>
    </row>
    <row r="1667" ht="14.25" customHeight="1" s="86">
      <c r="E1667" s="53" t="inlineStr">
        <is>
          <t>NC</t>
        </is>
      </c>
      <c r="F1667" s="53" t="inlineStr">
        <is>
          <t>BEAUFORT</t>
        </is>
      </c>
      <c r="G1667" s="59" t="n"/>
      <c r="N1667" s="59" t="n"/>
      <c r="O1667" s="59" t="n"/>
      <c r="X1667" s="61" t="n"/>
      <c r="Y1667" s="61" t="n"/>
    </row>
    <row r="1668" ht="14.25" customHeight="1" s="86">
      <c r="E1668" s="53" t="inlineStr">
        <is>
          <t>NC</t>
        </is>
      </c>
      <c r="F1668" s="53" t="inlineStr">
        <is>
          <t>BERTIE</t>
        </is>
      </c>
      <c r="G1668" s="59" t="n"/>
      <c r="N1668" s="59" t="n"/>
      <c r="O1668" s="59" t="n"/>
      <c r="X1668" s="61" t="n"/>
      <c r="Y1668" s="61" t="n"/>
    </row>
    <row r="1669" ht="14.25" customHeight="1" s="86">
      <c r="E1669" s="53" t="inlineStr">
        <is>
          <t>NC</t>
        </is>
      </c>
      <c r="F1669" s="53" t="inlineStr">
        <is>
          <t>BLADEN</t>
        </is>
      </c>
      <c r="G1669" s="59" t="n"/>
      <c r="N1669" s="59" t="n"/>
      <c r="O1669" s="59" t="n"/>
      <c r="X1669" s="61" t="n"/>
      <c r="Y1669" s="61" t="n"/>
    </row>
    <row r="1670" ht="14.25" customHeight="1" s="86">
      <c r="E1670" s="53" t="inlineStr">
        <is>
          <t>NC</t>
        </is>
      </c>
      <c r="F1670" s="53" t="inlineStr">
        <is>
          <t>BRUNSWICK</t>
        </is>
      </c>
      <c r="G1670" s="59" t="n"/>
      <c r="N1670" s="59" t="n"/>
      <c r="O1670" s="59" t="n"/>
      <c r="X1670" s="61" t="n"/>
      <c r="Y1670" s="61" t="n"/>
    </row>
    <row r="1671" ht="14.25" customHeight="1" s="86">
      <c r="E1671" s="53" t="inlineStr">
        <is>
          <t>NC</t>
        </is>
      </c>
      <c r="F1671" s="53" t="inlineStr">
        <is>
          <t>BUNCOMBE</t>
        </is>
      </c>
      <c r="G1671" s="59" t="n"/>
      <c r="N1671" s="59" t="n"/>
      <c r="O1671" s="59" t="n"/>
      <c r="X1671" s="61" t="n"/>
      <c r="Y1671" s="61" t="n"/>
    </row>
    <row r="1672" ht="14.25" customHeight="1" s="86">
      <c r="E1672" s="53" t="inlineStr">
        <is>
          <t>NC</t>
        </is>
      </c>
      <c r="F1672" s="53" t="inlineStr">
        <is>
          <t>BURKE</t>
        </is>
      </c>
      <c r="G1672" s="59" t="n"/>
      <c r="N1672" s="59" t="n"/>
      <c r="O1672" s="59" t="n"/>
      <c r="X1672" s="61" t="n"/>
      <c r="Y1672" s="61" t="n"/>
    </row>
    <row r="1673" ht="14.25" customHeight="1" s="86">
      <c r="E1673" s="53" t="inlineStr">
        <is>
          <t>NC</t>
        </is>
      </c>
      <c r="F1673" s="53" t="inlineStr">
        <is>
          <t>CABARRUS</t>
        </is>
      </c>
      <c r="G1673" s="59" t="n"/>
      <c r="N1673" s="59" t="n"/>
      <c r="O1673" s="59" t="n"/>
      <c r="X1673" s="61" t="n"/>
      <c r="Y1673" s="61" t="n"/>
    </row>
    <row r="1674" ht="14.25" customHeight="1" s="86">
      <c r="E1674" s="53" t="inlineStr">
        <is>
          <t>NC</t>
        </is>
      </c>
      <c r="F1674" s="53" t="inlineStr">
        <is>
          <t>CALDWELL</t>
        </is>
      </c>
      <c r="G1674" s="59" t="n"/>
      <c r="N1674" s="59" t="n"/>
      <c r="O1674" s="59" t="n"/>
      <c r="X1674" s="61" t="n"/>
      <c r="Y1674" s="61" t="n"/>
    </row>
    <row r="1675" ht="14.25" customHeight="1" s="86">
      <c r="E1675" s="53" t="inlineStr">
        <is>
          <t>NC</t>
        </is>
      </c>
      <c r="F1675" s="53" t="inlineStr">
        <is>
          <t>CAMDEN</t>
        </is>
      </c>
      <c r="G1675" s="59" t="n"/>
      <c r="N1675" s="59" t="n"/>
      <c r="O1675" s="59" t="n"/>
      <c r="X1675" s="61" t="n"/>
      <c r="Y1675" s="61" t="n"/>
    </row>
    <row r="1676" ht="14.25" customHeight="1" s="86">
      <c r="E1676" s="53" t="inlineStr">
        <is>
          <t>NC</t>
        </is>
      </c>
      <c r="F1676" s="53" t="inlineStr">
        <is>
          <t>CARTERET</t>
        </is>
      </c>
      <c r="G1676" s="59" t="n"/>
      <c r="N1676" s="59" t="n"/>
      <c r="O1676" s="59" t="n"/>
      <c r="X1676" s="61" t="n"/>
      <c r="Y1676" s="61" t="n"/>
    </row>
    <row r="1677" ht="14.25" customHeight="1" s="86">
      <c r="E1677" s="53" t="inlineStr">
        <is>
          <t>NC</t>
        </is>
      </c>
      <c r="F1677" s="53" t="inlineStr">
        <is>
          <t>CASWELL</t>
        </is>
      </c>
      <c r="G1677" s="59" t="n"/>
      <c r="N1677" s="59" t="n"/>
      <c r="O1677" s="59" t="n"/>
      <c r="X1677" s="61" t="n"/>
      <c r="Y1677" s="61" t="n"/>
    </row>
    <row r="1678" ht="14.25" customHeight="1" s="86">
      <c r="E1678" s="53" t="inlineStr">
        <is>
          <t>NC</t>
        </is>
      </c>
      <c r="F1678" s="53" t="inlineStr">
        <is>
          <t>CATAWBA</t>
        </is>
      </c>
      <c r="G1678" s="59" t="n"/>
      <c r="N1678" s="59" t="n"/>
      <c r="O1678" s="59" t="n"/>
      <c r="X1678" s="61" t="n"/>
      <c r="Y1678" s="61" t="n"/>
    </row>
    <row r="1679" ht="14.25" customHeight="1" s="86">
      <c r="E1679" s="53" t="inlineStr">
        <is>
          <t>NC</t>
        </is>
      </c>
      <c r="F1679" s="53" t="inlineStr">
        <is>
          <t>CHATHAM</t>
        </is>
      </c>
      <c r="G1679" s="59" t="n"/>
      <c r="N1679" s="59" t="n"/>
      <c r="O1679" s="59" t="n"/>
      <c r="X1679" s="61" t="n"/>
      <c r="Y1679" s="61" t="n"/>
    </row>
    <row r="1680" ht="14.25" customHeight="1" s="86">
      <c r="E1680" s="53" t="inlineStr">
        <is>
          <t>NC</t>
        </is>
      </c>
      <c r="F1680" s="53" t="inlineStr">
        <is>
          <t>CHEROKEE</t>
        </is>
      </c>
      <c r="G1680" s="59" t="n"/>
      <c r="N1680" s="59" t="n"/>
      <c r="O1680" s="59" t="n"/>
      <c r="X1680" s="61" t="n"/>
      <c r="Y1680" s="61" t="n"/>
    </row>
    <row r="1681" ht="14.25" customHeight="1" s="86">
      <c r="E1681" s="53" t="inlineStr">
        <is>
          <t>NC</t>
        </is>
      </c>
      <c r="F1681" s="53" t="inlineStr">
        <is>
          <t>CHOWAN</t>
        </is>
      </c>
      <c r="G1681" s="59" t="n"/>
      <c r="N1681" s="59" t="n"/>
      <c r="O1681" s="59" t="n"/>
      <c r="X1681" s="61" t="n"/>
      <c r="Y1681" s="61" t="n"/>
    </row>
    <row r="1682" ht="14.25" customHeight="1" s="86">
      <c r="E1682" s="53" t="inlineStr">
        <is>
          <t>NC</t>
        </is>
      </c>
      <c r="F1682" s="53" t="inlineStr">
        <is>
          <t>CLAY</t>
        </is>
      </c>
      <c r="G1682" s="59" t="n"/>
      <c r="N1682" s="59" t="n"/>
      <c r="O1682" s="59" t="n"/>
      <c r="X1682" s="61" t="n"/>
      <c r="Y1682" s="61" t="n"/>
    </row>
    <row r="1683" ht="14.25" customHeight="1" s="86">
      <c r="E1683" s="53" t="inlineStr">
        <is>
          <t>NC</t>
        </is>
      </c>
      <c r="F1683" s="53" t="inlineStr">
        <is>
          <t>CLEVELAND</t>
        </is>
      </c>
      <c r="G1683" s="59" t="n"/>
      <c r="N1683" s="59" t="n"/>
      <c r="O1683" s="59" t="n"/>
      <c r="X1683" s="61" t="n"/>
      <c r="Y1683" s="61" t="n"/>
    </row>
    <row r="1684" ht="14.25" customHeight="1" s="86">
      <c r="E1684" s="53" t="inlineStr">
        <is>
          <t>NC</t>
        </is>
      </c>
      <c r="F1684" s="53" t="inlineStr">
        <is>
          <t>COLUMBUS</t>
        </is>
      </c>
      <c r="G1684" s="59" t="n"/>
      <c r="N1684" s="59" t="n"/>
      <c r="O1684" s="59" t="n"/>
      <c r="X1684" s="61" t="n"/>
      <c r="Y1684" s="61" t="n"/>
    </row>
    <row r="1685" ht="14.25" customHeight="1" s="86">
      <c r="E1685" s="53" t="inlineStr">
        <is>
          <t>NC</t>
        </is>
      </c>
      <c r="F1685" s="53" t="inlineStr">
        <is>
          <t>CRAVEN</t>
        </is>
      </c>
      <c r="G1685" s="59" t="n"/>
      <c r="N1685" s="59" t="n"/>
      <c r="O1685" s="59" t="n"/>
      <c r="X1685" s="61" t="n"/>
      <c r="Y1685" s="61" t="n"/>
    </row>
    <row r="1686" ht="14.25" customHeight="1" s="86">
      <c r="E1686" s="53" t="inlineStr">
        <is>
          <t>NC</t>
        </is>
      </c>
      <c r="F1686" s="53" t="inlineStr">
        <is>
          <t>CUMBERLAND</t>
        </is>
      </c>
      <c r="G1686" s="59" t="n"/>
      <c r="N1686" s="59" t="n"/>
      <c r="O1686" s="59" t="n"/>
      <c r="X1686" s="61" t="n"/>
      <c r="Y1686" s="61" t="n"/>
    </row>
    <row r="1687" ht="14.25" customHeight="1" s="86">
      <c r="E1687" s="53" t="inlineStr">
        <is>
          <t>NC</t>
        </is>
      </c>
      <c r="F1687" s="53" t="inlineStr">
        <is>
          <t>CURRITUCK</t>
        </is>
      </c>
      <c r="G1687" s="59" t="n"/>
      <c r="N1687" s="59" t="n"/>
      <c r="O1687" s="59" t="n"/>
      <c r="X1687" s="61" t="n"/>
      <c r="Y1687" s="61" t="n"/>
    </row>
    <row r="1688" ht="14.25" customHeight="1" s="86">
      <c r="E1688" s="53" t="inlineStr">
        <is>
          <t>NC</t>
        </is>
      </c>
      <c r="F1688" s="53" t="inlineStr">
        <is>
          <t>DARE</t>
        </is>
      </c>
      <c r="G1688" s="59" t="n"/>
      <c r="N1688" s="59" t="n"/>
      <c r="O1688" s="59" t="n"/>
      <c r="X1688" s="61" t="n"/>
      <c r="Y1688" s="61" t="n"/>
    </row>
    <row r="1689" ht="14.25" customHeight="1" s="86">
      <c r="E1689" s="53" t="inlineStr">
        <is>
          <t>NC</t>
        </is>
      </c>
      <c r="F1689" s="53" t="inlineStr">
        <is>
          <t>DAVIDSON</t>
        </is>
      </c>
      <c r="G1689" s="59" t="n"/>
      <c r="N1689" s="59" t="n"/>
      <c r="O1689" s="59" t="n"/>
      <c r="X1689" s="61" t="n"/>
      <c r="Y1689" s="61" t="n"/>
    </row>
    <row r="1690" ht="14.25" customHeight="1" s="86">
      <c r="E1690" s="53" t="inlineStr">
        <is>
          <t>NC</t>
        </is>
      </c>
      <c r="F1690" s="53" t="inlineStr">
        <is>
          <t>DAVIE</t>
        </is>
      </c>
      <c r="G1690" s="59" t="n"/>
      <c r="N1690" s="59" t="n"/>
      <c r="O1690" s="59" t="n"/>
      <c r="X1690" s="61" t="n"/>
      <c r="Y1690" s="61" t="n"/>
    </row>
    <row r="1691" ht="14.25" customHeight="1" s="86">
      <c r="E1691" s="53" t="inlineStr">
        <is>
          <t>NC</t>
        </is>
      </c>
      <c r="F1691" s="53" t="inlineStr">
        <is>
          <t>DUPLIN</t>
        </is>
      </c>
      <c r="G1691" s="59" t="n"/>
      <c r="N1691" s="59" t="n"/>
      <c r="O1691" s="59" t="n"/>
      <c r="X1691" s="61" t="n"/>
      <c r="Y1691" s="61" t="n"/>
    </row>
    <row r="1692" ht="14.25" customHeight="1" s="86">
      <c r="E1692" s="53" t="inlineStr">
        <is>
          <t>NC</t>
        </is>
      </c>
      <c r="F1692" s="53" t="inlineStr">
        <is>
          <t>DURHAM</t>
        </is>
      </c>
      <c r="G1692" s="59" t="n"/>
      <c r="N1692" s="59" t="n"/>
      <c r="O1692" s="59" t="n"/>
      <c r="X1692" s="61" t="n"/>
      <c r="Y1692" s="61" t="n"/>
    </row>
    <row r="1693" ht="14.25" customHeight="1" s="86">
      <c r="E1693" s="53" t="inlineStr">
        <is>
          <t>NC</t>
        </is>
      </c>
      <c r="F1693" s="53" t="inlineStr">
        <is>
          <t>EDGECOMBE</t>
        </is>
      </c>
      <c r="G1693" s="59" t="n"/>
      <c r="N1693" s="59" t="n"/>
      <c r="O1693" s="59" t="n"/>
      <c r="X1693" s="61" t="n"/>
      <c r="Y1693" s="61" t="n"/>
    </row>
    <row r="1694" ht="14.25" customHeight="1" s="86">
      <c r="E1694" s="53" t="inlineStr">
        <is>
          <t>NC</t>
        </is>
      </c>
      <c r="F1694" s="53" t="inlineStr">
        <is>
          <t>FORSYTH</t>
        </is>
      </c>
      <c r="G1694" s="59" t="n"/>
      <c r="N1694" s="59" t="n"/>
      <c r="O1694" s="59" t="n"/>
      <c r="X1694" s="61" t="n"/>
      <c r="Y1694" s="61" t="n"/>
    </row>
    <row r="1695" ht="14.25" customHeight="1" s="86">
      <c r="E1695" s="53" t="inlineStr">
        <is>
          <t>NC</t>
        </is>
      </c>
      <c r="F1695" s="53" t="inlineStr">
        <is>
          <t>FRANKLIN</t>
        </is>
      </c>
      <c r="G1695" s="59" t="n"/>
      <c r="N1695" s="59" t="n"/>
      <c r="O1695" s="59" t="n"/>
      <c r="X1695" s="61" t="n"/>
      <c r="Y1695" s="61" t="n"/>
    </row>
    <row r="1696" ht="14.25" customHeight="1" s="86">
      <c r="E1696" s="53" t="inlineStr">
        <is>
          <t>NC</t>
        </is>
      </c>
      <c r="F1696" s="53" t="inlineStr">
        <is>
          <t>GASTON</t>
        </is>
      </c>
      <c r="G1696" s="59" t="n"/>
      <c r="N1696" s="59" t="n"/>
      <c r="O1696" s="59" t="n"/>
      <c r="X1696" s="61" t="n"/>
      <c r="Y1696" s="61" t="n"/>
    </row>
    <row r="1697" ht="14.25" customHeight="1" s="86">
      <c r="E1697" s="53" t="inlineStr">
        <is>
          <t>NC</t>
        </is>
      </c>
      <c r="F1697" s="53" t="inlineStr">
        <is>
          <t>GATES</t>
        </is>
      </c>
      <c r="G1697" s="59" t="n"/>
      <c r="N1697" s="59" t="n"/>
      <c r="O1697" s="59" t="n"/>
      <c r="X1697" s="61" t="n"/>
      <c r="Y1697" s="61" t="n"/>
    </row>
    <row r="1698" ht="14.25" customHeight="1" s="86">
      <c r="E1698" s="53" t="inlineStr">
        <is>
          <t>NC</t>
        </is>
      </c>
      <c r="F1698" s="53" t="inlineStr">
        <is>
          <t>GRAHAM</t>
        </is>
      </c>
      <c r="G1698" s="59" t="n"/>
      <c r="N1698" s="59" t="n"/>
      <c r="O1698" s="59" t="n"/>
      <c r="X1698" s="61" t="n"/>
      <c r="Y1698" s="61" t="n"/>
    </row>
    <row r="1699" ht="14.25" customHeight="1" s="86">
      <c r="E1699" s="53" t="inlineStr">
        <is>
          <t>NC</t>
        </is>
      </c>
      <c r="F1699" s="53" t="inlineStr">
        <is>
          <t>GRANVILLE</t>
        </is>
      </c>
      <c r="G1699" s="59" t="n"/>
      <c r="N1699" s="59" t="n"/>
      <c r="O1699" s="59" t="n"/>
      <c r="X1699" s="61" t="n"/>
      <c r="Y1699" s="61" t="n"/>
    </row>
    <row r="1700" ht="14.25" customHeight="1" s="86">
      <c r="E1700" s="53" t="inlineStr">
        <is>
          <t>NC</t>
        </is>
      </c>
      <c r="F1700" s="53" t="inlineStr">
        <is>
          <t>GREENE</t>
        </is>
      </c>
      <c r="G1700" s="59" t="n"/>
      <c r="N1700" s="59" t="n"/>
      <c r="O1700" s="59" t="n"/>
      <c r="X1700" s="61" t="n"/>
      <c r="Y1700" s="61" t="n"/>
    </row>
    <row r="1701" ht="14.25" customHeight="1" s="86">
      <c r="E1701" s="53" t="inlineStr">
        <is>
          <t>NC</t>
        </is>
      </c>
      <c r="F1701" s="53" t="inlineStr">
        <is>
          <t>GUILFORD</t>
        </is>
      </c>
      <c r="G1701" s="59" t="n"/>
      <c r="N1701" s="59" t="n"/>
      <c r="O1701" s="59" t="n"/>
      <c r="X1701" s="61" t="n"/>
      <c r="Y1701" s="61" t="n"/>
    </row>
    <row r="1702" ht="14.25" customHeight="1" s="86">
      <c r="E1702" s="53" t="inlineStr">
        <is>
          <t>NC</t>
        </is>
      </c>
      <c r="F1702" s="53" t="inlineStr">
        <is>
          <t>HALIFAX</t>
        </is>
      </c>
      <c r="G1702" s="59" t="n"/>
      <c r="N1702" s="59" t="n"/>
      <c r="O1702" s="59" t="n"/>
      <c r="X1702" s="61" t="n"/>
      <c r="Y1702" s="61" t="n"/>
    </row>
    <row r="1703" ht="14.25" customHeight="1" s="86">
      <c r="E1703" s="53" t="inlineStr">
        <is>
          <t>NC</t>
        </is>
      </c>
      <c r="F1703" s="53" t="inlineStr">
        <is>
          <t>HARNETT</t>
        </is>
      </c>
      <c r="G1703" s="59" t="n"/>
      <c r="N1703" s="59" t="n"/>
      <c r="O1703" s="59" t="n"/>
      <c r="X1703" s="61" t="n"/>
      <c r="Y1703" s="61" t="n"/>
    </row>
    <row r="1704" ht="14.25" customHeight="1" s="86">
      <c r="E1704" s="53" t="inlineStr">
        <is>
          <t>NC</t>
        </is>
      </c>
      <c r="F1704" s="53" t="inlineStr">
        <is>
          <t>HAYWOOD</t>
        </is>
      </c>
      <c r="G1704" s="59" t="n"/>
      <c r="N1704" s="59" t="n"/>
      <c r="O1704" s="59" t="n"/>
      <c r="X1704" s="61" t="n"/>
      <c r="Y1704" s="61" t="n"/>
    </row>
    <row r="1705" ht="14.25" customHeight="1" s="86">
      <c r="E1705" s="53" t="inlineStr">
        <is>
          <t>NC</t>
        </is>
      </c>
      <c r="F1705" s="53" t="inlineStr">
        <is>
          <t>HENDERSON</t>
        </is>
      </c>
      <c r="G1705" s="59" t="n"/>
      <c r="N1705" s="59" t="n"/>
      <c r="O1705" s="59" t="n"/>
      <c r="X1705" s="61" t="n"/>
      <c r="Y1705" s="61" t="n"/>
    </row>
    <row r="1706" ht="14.25" customHeight="1" s="86">
      <c r="E1706" s="53" t="inlineStr">
        <is>
          <t>NC</t>
        </is>
      </c>
      <c r="F1706" s="53" t="inlineStr">
        <is>
          <t>HERTFORD</t>
        </is>
      </c>
      <c r="G1706" s="59" t="n"/>
      <c r="N1706" s="59" t="n"/>
      <c r="O1706" s="59" t="n"/>
      <c r="X1706" s="61" t="n"/>
      <c r="Y1706" s="61" t="n"/>
    </row>
    <row r="1707" ht="14.25" customHeight="1" s="86">
      <c r="E1707" s="53" t="inlineStr">
        <is>
          <t>NC</t>
        </is>
      </c>
      <c r="F1707" s="53" t="inlineStr">
        <is>
          <t>HOKE</t>
        </is>
      </c>
      <c r="G1707" s="59" t="n"/>
      <c r="N1707" s="59" t="n"/>
      <c r="O1707" s="59" t="n"/>
      <c r="X1707" s="61" t="n"/>
      <c r="Y1707" s="61" t="n"/>
    </row>
    <row r="1708" ht="14.25" customHeight="1" s="86">
      <c r="E1708" s="53" t="inlineStr">
        <is>
          <t>NC</t>
        </is>
      </c>
      <c r="F1708" s="53" t="inlineStr">
        <is>
          <t>HYDE</t>
        </is>
      </c>
      <c r="G1708" s="59" t="n"/>
      <c r="N1708" s="59" t="n"/>
      <c r="O1708" s="59" t="n"/>
      <c r="X1708" s="61" t="n"/>
      <c r="Y1708" s="61" t="n"/>
    </row>
    <row r="1709" ht="14.25" customHeight="1" s="86">
      <c r="E1709" s="53" t="inlineStr">
        <is>
          <t>NC</t>
        </is>
      </c>
      <c r="F1709" s="53" t="inlineStr">
        <is>
          <t>IREDELL</t>
        </is>
      </c>
      <c r="G1709" s="59" t="n"/>
      <c r="N1709" s="59" t="n"/>
      <c r="O1709" s="59" t="n"/>
      <c r="X1709" s="61" t="n"/>
      <c r="Y1709" s="61" t="n"/>
    </row>
    <row r="1710" ht="14.25" customHeight="1" s="86">
      <c r="E1710" s="53" t="inlineStr">
        <is>
          <t>NC</t>
        </is>
      </c>
      <c r="F1710" s="53" t="inlineStr">
        <is>
          <t>JACKSON</t>
        </is>
      </c>
      <c r="G1710" s="59" t="n"/>
      <c r="N1710" s="59" t="n"/>
      <c r="O1710" s="59" t="n"/>
      <c r="X1710" s="61" t="n"/>
      <c r="Y1710" s="61" t="n"/>
    </row>
    <row r="1711" ht="14.25" customHeight="1" s="86">
      <c r="E1711" s="53" t="inlineStr">
        <is>
          <t>NC</t>
        </is>
      </c>
      <c r="F1711" s="53" t="inlineStr">
        <is>
          <t>JOHNSTON</t>
        </is>
      </c>
      <c r="G1711" s="59" t="n"/>
      <c r="N1711" s="59" t="n"/>
      <c r="O1711" s="59" t="n"/>
      <c r="X1711" s="61" t="n"/>
      <c r="Y1711" s="61" t="n"/>
    </row>
    <row r="1712" ht="14.25" customHeight="1" s="86">
      <c r="E1712" s="53" t="inlineStr">
        <is>
          <t>NC</t>
        </is>
      </c>
      <c r="F1712" s="53" t="inlineStr">
        <is>
          <t>JONES</t>
        </is>
      </c>
      <c r="G1712" s="59" t="n"/>
      <c r="N1712" s="59" t="n"/>
      <c r="O1712" s="59" t="n"/>
      <c r="X1712" s="61" t="n"/>
      <c r="Y1712" s="61" t="n"/>
    </row>
    <row r="1713" ht="14.25" customHeight="1" s="86">
      <c r="E1713" s="53" t="inlineStr">
        <is>
          <t>NC</t>
        </is>
      </c>
      <c r="F1713" s="53" t="inlineStr">
        <is>
          <t>LEE</t>
        </is>
      </c>
      <c r="G1713" s="59" t="n"/>
      <c r="N1713" s="59" t="n"/>
      <c r="O1713" s="59" t="n"/>
      <c r="X1713" s="61" t="n"/>
      <c r="Y1713" s="61" t="n"/>
    </row>
    <row r="1714" ht="14.25" customHeight="1" s="86">
      <c r="E1714" s="53" t="inlineStr">
        <is>
          <t>NC</t>
        </is>
      </c>
      <c r="F1714" s="53" t="inlineStr">
        <is>
          <t>LENOIR</t>
        </is>
      </c>
      <c r="G1714" s="59" t="n"/>
      <c r="N1714" s="59" t="n"/>
      <c r="O1714" s="59" t="n"/>
      <c r="X1714" s="61" t="n"/>
      <c r="Y1714" s="61" t="n"/>
    </row>
    <row r="1715" ht="14.25" customHeight="1" s="86">
      <c r="E1715" s="53" t="inlineStr">
        <is>
          <t>NC</t>
        </is>
      </c>
      <c r="F1715" s="53" t="inlineStr">
        <is>
          <t>LINCOLN</t>
        </is>
      </c>
      <c r="G1715" s="59" t="n"/>
      <c r="N1715" s="59" t="n"/>
      <c r="O1715" s="59" t="n"/>
      <c r="X1715" s="61" t="n"/>
      <c r="Y1715" s="61" t="n"/>
    </row>
    <row r="1716" ht="14.25" customHeight="1" s="86">
      <c r="E1716" s="53" t="inlineStr">
        <is>
          <t>NC</t>
        </is>
      </c>
      <c r="F1716" s="53" t="inlineStr">
        <is>
          <t>MACON</t>
        </is>
      </c>
      <c r="G1716" s="59" t="n"/>
      <c r="N1716" s="59" t="n"/>
      <c r="O1716" s="59" t="n"/>
      <c r="X1716" s="61" t="n"/>
      <c r="Y1716" s="61" t="n"/>
    </row>
    <row r="1717" ht="14.25" customHeight="1" s="86">
      <c r="E1717" s="53" t="inlineStr">
        <is>
          <t>NC</t>
        </is>
      </c>
      <c r="F1717" s="53" t="inlineStr">
        <is>
          <t>MADISON</t>
        </is>
      </c>
      <c r="G1717" s="59" t="n"/>
      <c r="N1717" s="59" t="n"/>
      <c r="O1717" s="59" t="n"/>
      <c r="X1717" s="61" t="n"/>
      <c r="Y1717" s="61" t="n"/>
    </row>
    <row r="1718" ht="14.25" customHeight="1" s="86">
      <c r="E1718" s="53" t="inlineStr">
        <is>
          <t>NC</t>
        </is>
      </c>
      <c r="F1718" s="53" t="inlineStr">
        <is>
          <t>MARTIN</t>
        </is>
      </c>
      <c r="G1718" s="59" t="n"/>
      <c r="N1718" s="59" t="n"/>
      <c r="O1718" s="59" t="n"/>
      <c r="X1718" s="61" t="n"/>
      <c r="Y1718" s="61" t="n"/>
    </row>
    <row r="1719" ht="14.25" customHeight="1" s="86">
      <c r="E1719" s="53" t="inlineStr">
        <is>
          <t>NC</t>
        </is>
      </c>
      <c r="F1719" s="53" t="inlineStr">
        <is>
          <t>MCDOWELL</t>
        </is>
      </c>
      <c r="G1719" s="59" t="n"/>
      <c r="N1719" s="59" t="n"/>
      <c r="O1719" s="59" t="n"/>
      <c r="X1719" s="61" t="n"/>
      <c r="Y1719" s="61" t="n"/>
    </row>
    <row r="1720" ht="14.25" customHeight="1" s="86">
      <c r="E1720" s="53" t="inlineStr">
        <is>
          <t>NC</t>
        </is>
      </c>
      <c r="F1720" s="53" t="inlineStr">
        <is>
          <t>MECKLENBURG</t>
        </is>
      </c>
      <c r="G1720" s="59" t="n"/>
      <c r="N1720" s="59" t="n"/>
      <c r="O1720" s="59" t="n"/>
      <c r="X1720" s="61" t="n"/>
      <c r="Y1720" s="61" t="n"/>
    </row>
    <row r="1721" ht="14.25" customHeight="1" s="86">
      <c r="E1721" s="53" t="inlineStr">
        <is>
          <t>NC</t>
        </is>
      </c>
      <c r="F1721" s="53" t="inlineStr">
        <is>
          <t>MITCHELL</t>
        </is>
      </c>
      <c r="G1721" s="59" t="n"/>
      <c r="N1721" s="59" t="n"/>
      <c r="O1721" s="59" t="n"/>
      <c r="X1721" s="61" t="n"/>
      <c r="Y1721" s="61" t="n"/>
    </row>
    <row r="1722" ht="14.25" customHeight="1" s="86">
      <c r="E1722" s="53" t="inlineStr">
        <is>
          <t>NC</t>
        </is>
      </c>
      <c r="F1722" s="53" t="inlineStr">
        <is>
          <t>MONTGOMERY</t>
        </is>
      </c>
      <c r="G1722" s="59" t="n"/>
      <c r="N1722" s="59" t="n"/>
      <c r="O1722" s="59" t="n"/>
      <c r="X1722" s="61" t="n"/>
      <c r="Y1722" s="61" t="n"/>
    </row>
    <row r="1723" ht="14.25" customHeight="1" s="86">
      <c r="E1723" s="53" t="inlineStr">
        <is>
          <t>NC</t>
        </is>
      </c>
      <c r="F1723" s="53" t="inlineStr">
        <is>
          <t>MOORE</t>
        </is>
      </c>
      <c r="G1723" s="59" t="n"/>
      <c r="N1723" s="59" t="n"/>
      <c r="O1723" s="59" t="n"/>
      <c r="X1723" s="61" t="n"/>
      <c r="Y1723" s="61" t="n"/>
    </row>
    <row r="1724" ht="14.25" customHeight="1" s="86">
      <c r="E1724" s="53" t="inlineStr">
        <is>
          <t>NC</t>
        </is>
      </c>
      <c r="F1724" s="53" t="inlineStr">
        <is>
          <t>NASH</t>
        </is>
      </c>
      <c r="G1724" s="59" t="n"/>
      <c r="N1724" s="59" t="n"/>
      <c r="O1724" s="59" t="n"/>
      <c r="X1724" s="61" t="n"/>
      <c r="Y1724" s="61" t="n"/>
    </row>
    <row r="1725" ht="14.25" customHeight="1" s="86">
      <c r="E1725" s="53" t="inlineStr">
        <is>
          <t>NC</t>
        </is>
      </c>
      <c r="F1725" s="53" t="inlineStr">
        <is>
          <t>NEW HANOVER</t>
        </is>
      </c>
      <c r="G1725" s="59" t="n"/>
      <c r="N1725" s="59" t="n"/>
      <c r="O1725" s="59" t="n"/>
      <c r="X1725" s="61" t="n"/>
      <c r="Y1725" s="61" t="n"/>
    </row>
    <row r="1726" ht="14.25" customHeight="1" s="86">
      <c r="E1726" s="53" t="inlineStr">
        <is>
          <t>NC</t>
        </is>
      </c>
      <c r="F1726" s="53" t="inlineStr">
        <is>
          <t>NORTHAMPTON</t>
        </is>
      </c>
      <c r="G1726" s="59" t="n"/>
      <c r="N1726" s="59" t="n"/>
      <c r="O1726" s="59" t="n"/>
      <c r="X1726" s="61" t="n"/>
      <c r="Y1726" s="61" t="n"/>
    </row>
    <row r="1727" ht="14.25" customHeight="1" s="86">
      <c r="E1727" s="53" t="inlineStr">
        <is>
          <t>NC</t>
        </is>
      </c>
      <c r="F1727" s="53" t="inlineStr">
        <is>
          <t>ONSLOW</t>
        </is>
      </c>
      <c r="G1727" s="59" t="n"/>
      <c r="N1727" s="59" t="n"/>
      <c r="O1727" s="59" t="n"/>
      <c r="X1727" s="61" t="n"/>
      <c r="Y1727" s="61" t="n"/>
    </row>
    <row r="1728" ht="14.25" customHeight="1" s="86">
      <c r="E1728" s="53" t="inlineStr">
        <is>
          <t>NC</t>
        </is>
      </c>
      <c r="F1728" s="53" t="inlineStr">
        <is>
          <t>ORANGE</t>
        </is>
      </c>
      <c r="G1728" s="59" t="n"/>
      <c r="N1728" s="59" t="n"/>
      <c r="O1728" s="59" t="n"/>
      <c r="X1728" s="61" t="n"/>
      <c r="Y1728" s="61" t="n"/>
    </row>
    <row r="1729" ht="14.25" customHeight="1" s="86">
      <c r="E1729" s="53" t="inlineStr">
        <is>
          <t>NC</t>
        </is>
      </c>
      <c r="F1729" s="53" t="inlineStr">
        <is>
          <t>PAMLICO</t>
        </is>
      </c>
      <c r="G1729" s="59" t="n"/>
      <c r="N1729" s="59" t="n"/>
      <c r="O1729" s="59" t="n"/>
      <c r="X1729" s="61" t="n"/>
      <c r="Y1729" s="61" t="n"/>
    </row>
    <row r="1730" ht="14.25" customHeight="1" s="86">
      <c r="E1730" s="53" t="inlineStr">
        <is>
          <t>NC</t>
        </is>
      </c>
      <c r="F1730" s="53" t="inlineStr">
        <is>
          <t>PASQUOTANK</t>
        </is>
      </c>
      <c r="G1730" s="59" t="n"/>
      <c r="N1730" s="59" t="n"/>
      <c r="O1730" s="59" t="n"/>
      <c r="X1730" s="61" t="n"/>
      <c r="Y1730" s="61" t="n"/>
    </row>
    <row r="1731" ht="14.25" customHeight="1" s="86">
      <c r="E1731" s="53" t="inlineStr">
        <is>
          <t>NC</t>
        </is>
      </c>
      <c r="F1731" s="53" t="inlineStr">
        <is>
          <t>PENDER</t>
        </is>
      </c>
      <c r="G1731" s="59" t="n"/>
      <c r="N1731" s="59" t="n"/>
      <c r="O1731" s="59" t="n"/>
      <c r="X1731" s="61" t="n"/>
      <c r="Y1731" s="61" t="n"/>
    </row>
    <row r="1732" ht="14.25" customHeight="1" s="86">
      <c r="E1732" s="53" t="inlineStr">
        <is>
          <t>NC</t>
        </is>
      </c>
      <c r="F1732" s="53" t="inlineStr">
        <is>
          <t>PERQUIMANS</t>
        </is>
      </c>
      <c r="G1732" s="59" t="n"/>
      <c r="N1732" s="59" t="n"/>
      <c r="O1732" s="59" t="n"/>
      <c r="X1732" s="61" t="n"/>
      <c r="Y1732" s="61" t="n"/>
    </row>
    <row r="1733" ht="14.25" customHeight="1" s="86">
      <c r="E1733" s="53" t="inlineStr">
        <is>
          <t>NC</t>
        </is>
      </c>
      <c r="F1733" s="53" t="inlineStr">
        <is>
          <t>PERSON</t>
        </is>
      </c>
      <c r="G1733" s="59" t="n"/>
      <c r="N1733" s="59" t="n"/>
      <c r="O1733" s="59" t="n"/>
      <c r="X1733" s="61" t="n"/>
      <c r="Y1733" s="61" t="n"/>
    </row>
    <row r="1734" ht="14.25" customHeight="1" s="86">
      <c r="E1734" s="53" t="inlineStr">
        <is>
          <t>NC</t>
        </is>
      </c>
      <c r="F1734" s="53" t="inlineStr">
        <is>
          <t>PITT</t>
        </is>
      </c>
      <c r="G1734" s="59" t="n"/>
      <c r="N1734" s="59" t="n"/>
      <c r="O1734" s="59" t="n"/>
      <c r="X1734" s="61" t="n"/>
      <c r="Y1734" s="61" t="n"/>
    </row>
    <row r="1735" ht="14.25" customHeight="1" s="86">
      <c r="E1735" s="53" t="inlineStr">
        <is>
          <t>NC</t>
        </is>
      </c>
      <c r="F1735" s="53" t="inlineStr">
        <is>
          <t>POLK</t>
        </is>
      </c>
      <c r="G1735" s="59" t="n"/>
      <c r="N1735" s="59" t="n"/>
      <c r="O1735" s="59" t="n"/>
      <c r="X1735" s="61" t="n"/>
      <c r="Y1735" s="61" t="n"/>
    </row>
    <row r="1736" ht="14.25" customHeight="1" s="86">
      <c r="E1736" s="53" t="inlineStr">
        <is>
          <t>NC</t>
        </is>
      </c>
      <c r="F1736" s="53" t="inlineStr">
        <is>
          <t>RANDOLPH</t>
        </is>
      </c>
      <c r="G1736" s="59" t="n"/>
      <c r="N1736" s="59" t="n"/>
      <c r="O1736" s="59" t="n"/>
      <c r="X1736" s="61" t="n"/>
      <c r="Y1736" s="61" t="n"/>
    </row>
    <row r="1737" ht="14.25" customHeight="1" s="86">
      <c r="E1737" s="53" t="inlineStr">
        <is>
          <t>NC</t>
        </is>
      </c>
      <c r="F1737" s="53" t="inlineStr">
        <is>
          <t>RICHMOND</t>
        </is>
      </c>
      <c r="G1737" s="59" t="n"/>
      <c r="N1737" s="59" t="n"/>
      <c r="O1737" s="59" t="n"/>
      <c r="X1737" s="61" t="n"/>
      <c r="Y1737" s="61" t="n"/>
    </row>
    <row r="1738" ht="14.25" customHeight="1" s="86">
      <c r="E1738" s="53" t="inlineStr">
        <is>
          <t>NC</t>
        </is>
      </c>
      <c r="F1738" s="53" t="inlineStr">
        <is>
          <t>ROBESON</t>
        </is>
      </c>
      <c r="G1738" s="59" t="n"/>
      <c r="N1738" s="59" t="n"/>
      <c r="O1738" s="59" t="n"/>
      <c r="X1738" s="61" t="n"/>
      <c r="Y1738" s="61" t="n"/>
    </row>
    <row r="1739" ht="14.25" customHeight="1" s="86">
      <c r="E1739" s="53" t="inlineStr">
        <is>
          <t>NC</t>
        </is>
      </c>
      <c r="F1739" s="53" t="inlineStr">
        <is>
          <t>ROCKINGHAM</t>
        </is>
      </c>
      <c r="G1739" s="59" t="n"/>
      <c r="N1739" s="59" t="n"/>
      <c r="O1739" s="59" t="n"/>
      <c r="X1739" s="61" t="n"/>
      <c r="Y1739" s="61" t="n"/>
    </row>
    <row r="1740" ht="14.25" customHeight="1" s="86">
      <c r="E1740" s="53" t="inlineStr">
        <is>
          <t>NC</t>
        </is>
      </c>
      <c r="F1740" s="53" t="inlineStr">
        <is>
          <t>ROWAN</t>
        </is>
      </c>
      <c r="G1740" s="59" t="n"/>
      <c r="N1740" s="59" t="n"/>
      <c r="O1740" s="59" t="n"/>
      <c r="X1740" s="61" t="n"/>
      <c r="Y1740" s="61" t="n"/>
    </row>
    <row r="1741" ht="14.25" customHeight="1" s="86">
      <c r="E1741" s="53" t="inlineStr">
        <is>
          <t>NC</t>
        </is>
      </c>
      <c r="F1741" s="53" t="inlineStr">
        <is>
          <t>RUTHERFORD</t>
        </is>
      </c>
      <c r="G1741" s="59" t="n"/>
      <c r="N1741" s="59" t="n"/>
      <c r="O1741" s="59" t="n"/>
      <c r="X1741" s="61" t="n"/>
      <c r="Y1741" s="61" t="n"/>
    </row>
    <row r="1742" ht="14.25" customHeight="1" s="86">
      <c r="E1742" s="53" t="inlineStr">
        <is>
          <t>NC</t>
        </is>
      </c>
      <c r="F1742" s="53" t="inlineStr">
        <is>
          <t>SAMPSON</t>
        </is>
      </c>
      <c r="G1742" s="59" t="n"/>
      <c r="N1742" s="59" t="n"/>
      <c r="O1742" s="59" t="n"/>
      <c r="X1742" s="61" t="n"/>
      <c r="Y1742" s="61" t="n"/>
    </row>
    <row r="1743" ht="14.25" customHeight="1" s="86">
      <c r="E1743" s="53" t="inlineStr">
        <is>
          <t>NC</t>
        </is>
      </c>
      <c r="F1743" s="53" t="inlineStr">
        <is>
          <t>SCOTLAND</t>
        </is>
      </c>
      <c r="G1743" s="59" t="n"/>
      <c r="N1743" s="59" t="n"/>
      <c r="O1743" s="59" t="n"/>
      <c r="X1743" s="61" t="n"/>
      <c r="Y1743" s="61" t="n"/>
    </row>
    <row r="1744" ht="14.25" customHeight="1" s="86">
      <c r="E1744" s="53" t="inlineStr">
        <is>
          <t>NC</t>
        </is>
      </c>
      <c r="F1744" s="53" t="inlineStr">
        <is>
          <t>STANLY</t>
        </is>
      </c>
      <c r="G1744" s="59" t="n"/>
      <c r="N1744" s="59" t="n"/>
      <c r="O1744" s="59" t="n"/>
      <c r="X1744" s="61" t="n"/>
      <c r="Y1744" s="61" t="n"/>
    </row>
    <row r="1745" ht="14.25" customHeight="1" s="86">
      <c r="E1745" s="53" t="inlineStr">
        <is>
          <t>NC</t>
        </is>
      </c>
      <c r="F1745" s="53" t="inlineStr">
        <is>
          <t>STOKES</t>
        </is>
      </c>
      <c r="G1745" s="59" t="n"/>
      <c r="N1745" s="59" t="n"/>
      <c r="O1745" s="59" t="n"/>
      <c r="X1745" s="61" t="n"/>
      <c r="Y1745" s="61" t="n"/>
    </row>
    <row r="1746" ht="14.25" customHeight="1" s="86">
      <c r="E1746" s="53" t="inlineStr">
        <is>
          <t>NC</t>
        </is>
      </c>
      <c r="F1746" s="53" t="inlineStr">
        <is>
          <t>SURRY</t>
        </is>
      </c>
      <c r="G1746" s="59" t="n"/>
      <c r="N1746" s="59" t="n"/>
      <c r="O1746" s="59" t="n"/>
      <c r="X1746" s="61" t="n"/>
      <c r="Y1746" s="61" t="n"/>
    </row>
    <row r="1747" ht="14.25" customHeight="1" s="86">
      <c r="E1747" s="53" t="inlineStr">
        <is>
          <t>NC</t>
        </is>
      </c>
      <c r="F1747" s="53" t="inlineStr">
        <is>
          <t>SWAIN</t>
        </is>
      </c>
      <c r="G1747" s="59" t="n"/>
      <c r="N1747" s="59" t="n"/>
      <c r="O1747" s="59" t="n"/>
      <c r="X1747" s="61" t="n"/>
      <c r="Y1747" s="61" t="n"/>
    </row>
    <row r="1748" ht="14.25" customHeight="1" s="86">
      <c r="E1748" s="53" t="inlineStr">
        <is>
          <t>NC</t>
        </is>
      </c>
      <c r="F1748" s="53" t="inlineStr">
        <is>
          <t>TRANSYLVANIA</t>
        </is>
      </c>
      <c r="G1748" s="59" t="n"/>
      <c r="N1748" s="59" t="n"/>
      <c r="O1748" s="59" t="n"/>
      <c r="X1748" s="61" t="n"/>
      <c r="Y1748" s="61" t="n"/>
    </row>
    <row r="1749" ht="14.25" customHeight="1" s="86">
      <c r="E1749" s="53" t="inlineStr">
        <is>
          <t>NC</t>
        </is>
      </c>
      <c r="F1749" s="53" t="inlineStr">
        <is>
          <t>TYRRELL</t>
        </is>
      </c>
      <c r="G1749" s="59" t="n"/>
      <c r="N1749" s="59" t="n"/>
      <c r="O1749" s="59" t="n"/>
      <c r="X1749" s="61" t="n"/>
      <c r="Y1749" s="61" t="n"/>
    </row>
    <row r="1750" ht="14.25" customHeight="1" s="86">
      <c r="E1750" s="53" t="inlineStr">
        <is>
          <t>NC</t>
        </is>
      </c>
      <c r="F1750" s="53" t="inlineStr">
        <is>
          <t>UNION</t>
        </is>
      </c>
      <c r="G1750" s="59" t="n"/>
      <c r="N1750" s="59" t="n"/>
      <c r="O1750" s="59" t="n"/>
      <c r="X1750" s="61" t="n"/>
      <c r="Y1750" s="61" t="n"/>
    </row>
    <row r="1751" ht="14.25" customHeight="1" s="86">
      <c r="E1751" s="53" t="inlineStr">
        <is>
          <t>NC</t>
        </is>
      </c>
      <c r="F1751" s="53" t="inlineStr">
        <is>
          <t>VANCE</t>
        </is>
      </c>
      <c r="G1751" s="59" t="n"/>
      <c r="N1751" s="59" t="n"/>
      <c r="O1751" s="59" t="n"/>
      <c r="X1751" s="61" t="n"/>
      <c r="Y1751" s="61" t="n"/>
    </row>
    <row r="1752" ht="14.25" customHeight="1" s="86">
      <c r="E1752" s="53" t="inlineStr">
        <is>
          <t>NC</t>
        </is>
      </c>
      <c r="F1752" s="53" t="inlineStr">
        <is>
          <t>WAKE</t>
        </is>
      </c>
      <c r="G1752" s="59" t="n"/>
      <c r="N1752" s="59" t="n"/>
      <c r="O1752" s="59" t="n"/>
      <c r="X1752" s="61" t="n"/>
      <c r="Y1752" s="61" t="n"/>
    </row>
    <row r="1753" ht="14.25" customHeight="1" s="86">
      <c r="E1753" s="53" t="inlineStr">
        <is>
          <t>NC</t>
        </is>
      </c>
      <c r="F1753" s="53" t="inlineStr">
        <is>
          <t>WARREN</t>
        </is>
      </c>
      <c r="G1753" s="59" t="n"/>
      <c r="N1753" s="59" t="n"/>
      <c r="O1753" s="59" t="n"/>
      <c r="X1753" s="61" t="n"/>
      <c r="Y1753" s="61" t="n"/>
    </row>
    <row r="1754" ht="14.25" customHeight="1" s="86">
      <c r="E1754" s="53" t="inlineStr">
        <is>
          <t>NC</t>
        </is>
      </c>
      <c r="F1754" s="53" t="inlineStr">
        <is>
          <t>WASHINGTON</t>
        </is>
      </c>
      <c r="G1754" s="59" t="n"/>
      <c r="N1754" s="59" t="n"/>
      <c r="O1754" s="59" t="n"/>
      <c r="X1754" s="61" t="n"/>
      <c r="Y1754" s="61" t="n"/>
    </row>
    <row r="1755" ht="14.25" customHeight="1" s="86">
      <c r="E1755" s="53" t="inlineStr">
        <is>
          <t>NC</t>
        </is>
      </c>
      <c r="F1755" s="53" t="inlineStr">
        <is>
          <t>WATAUGA</t>
        </is>
      </c>
      <c r="G1755" s="59" t="n"/>
      <c r="N1755" s="59" t="n"/>
      <c r="O1755" s="59" t="n"/>
      <c r="X1755" s="61" t="n"/>
      <c r="Y1755" s="61" t="n"/>
    </row>
    <row r="1756" ht="14.25" customHeight="1" s="86">
      <c r="E1756" s="53" t="inlineStr">
        <is>
          <t>NC</t>
        </is>
      </c>
      <c r="F1756" s="53" t="inlineStr">
        <is>
          <t>WAYNE</t>
        </is>
      </c>
      <c r="G1756" s="59" t="n"/>
      <c r="N1756" s="59" t="n"/>
      <c r="O1756" s="59" t="n"/>
      <c r="X1756" s="61" t="n"/>
      <c r="Y1756" s="61" t="n"/>
    </row>
    <row r="1757" ht="14.25" customHeight="1" s="86">
      <c r="E1757" s="53" t="inlineStr">
        <is>
          <t>NC</t>
        </is>
      </c>
      <c r="F1757" s="53" t="inlineStr">
        <is>
          <t>WILKES</t>
        </is>
      </c>
      <c r="G1757" s="59" t="n"/>
      <c r="N1757" s="59" t="n"/>
      <c r="O1757" s="59" t="n"/>
      <c r="X1757" s="61" t="n"/>
      <c r="Y1757" s="61" t="n"/>
    </row>
    <row r="1758" ht="14.25" customHeight="1" s="86">
      <c r="E1758" s="53" t="inlineStr">
        <is>
          <t>NC</t>
        </is>
      </c>
      <c r="F1758" s="53" t="inlineStr">
        <is>
          <t>WILSON</t>
        </is>
      </c>
      <c r="G1758" s="59" t="n"/>
      <c r="N1758" s="59" t="n"/>
      <c r="O1758" s="59" t="n"/>
      <c r="X1758" s="61" t="n"/>
      <c r="Y1758" s="61" t="n"/>
    </row>
    <row r="1759" ht="14.25" customHeight="1" s="86">
      <c r="E1759" s="53" t="inlineStr">
        <is>
          <t>NC</t>
        </is>
      </c>
      <c r="F1759" s="53" t="inlineStr">
        <is>
          <t>YADKIN</t>
        </is>
      </c>
      <c r="G1759" s="59" t="n"/>
      <c r="N1759" s="59" t="n"/>
      <c r="O1759" s="59" t="n"/>
      <c r="X1759" s="61" t="n"/>
      <c r="Y1759" s="61" t="n"/>
    </row>
    <row r="1760" ht="14.25" customHeight="1" s="86">
      <c r="E1760" s="53" t="inlineStr">
        <is>
          <t>NC</t>
        </is>
      </c>
      <c r="F1760" s="53" t="inlineStr">
        <is>
          <t>YANCEY</t>
        </is>
      </c>
      <c r="G1760" s="59" t="n"/>
      <c r="N1760" s="59" t="n"/>
      <c r="O1760" s="59" t="n"/>
      <c r="X1760" s="61" t="n"/>
      <c r="Y1760" s="61" t="n"/>
    </row>
    <row r="1761" ht="14.25" customHeight="1" s="86">
      <c r="E1761" s="53" t="inlineStr">
        <is>
          <t>ND</t>
        </is>
      </c>
      <c r="F1761" s="53" t="inlineStr">
        <is>
          <t>ADAMS</t>
        </is>
      </c>
      <c r="G1761" s="59" t="n"/>
      <c r="N1761" s="59" t="n"/>
      <c r="O1761" s="59" t="n"/>
      <c r="X1761" s="61" t="n"/>
      <c r="Y1761" s="61" t="n"/>
    </row>
    <row r="1762" ht="14.25" customHeight="1" s="86">
      <c r="E1762" s="53" t="inlineStr">
        <is>
          <t>ND</t>
        </is>
      </c>
      <c r="F1762" s="53" t="inlineStr">
        <is>
          <t>BARNES</t>
        </is>
      </c>
      <c r="G1762" s="59" t="n"/>
      <c r="N1762" s="59" t="n"/>
      <c r="O1762" s="59" t="n"/>
      <c r="X1762" s="61" t="n"/>
      <c r="Y1762" s="61" t="n"/>
    </row>
    <row r="1763" ht="14.25" customHeight="1" s="86">
      <c r="E1763" s="53" t="inlineStr">
        <is>
          <t>ND</t>
        </is>
      </c>
      <c r="F1763" s="53" t="inlineStr">
        <is>
          <t>BENSON</t>
        </is>
      </c>
      <c r="G1763" s="59" t="n"/>
      <c r="N1763" s="59" t="n"/>
      <c r="O1763" s="59" t="n"/>
      <c r="X1763" s="61" t="n"/>
      <c r="Y1763" s="61" t="n"/>
    </row>
    <row r="1764" ht="14.25" customHeight="1" s="86">
      <c r="E1764" s="53" t="inlineStr">
        <is>
          <t>ND</t>
        </is>
      </c>
      <c r="F1764" s="53" t="inlineStr">
        <is>
          <t>BILLINGS</t>
        </is>
      </c>
      <c r="G1764" s="59" t="n"/>
      <c r="N1764" s="59" t="n"/>
      <c r="O1764" s="59" t="n"/>
      <c r="X1764" s="61" t="n"/>
      <c r="Y1764" s="61" t="n"/>
    </row>
    <row r="1765" ht="14.25" customHeight="1" s="86">
      <c r="E1765" s="53" t="inlineStr">
        <is>
          <t>ND</t>
        </is>
      </c>
      <c r="F1765" s="53" t="inlineStr">
        <is>
          <t>BOTTINEAU</t>
        </is>
      </c>
      <c r="G1765" s="59" t="n"/>
      <c r="N1765" s="59" t="n"/>
      <c r="O1765" s="59" t="n"/>
      <c r="X1765" s="61" t="n"/>
      <c r="Y1765" s="61" t="n"/>
    </row>
    <row r="1766" ht="14.25" customHeight="1" s="86">
      <c r="E1766" s="53" t="inlineStr">
        <is>
          <t>ND</t>
        </is>
      </c>
      <c r="F1766" s="53" t="inlineStr">
        <is>
          <t>BOWMAN</t>
        </is>
      </c>
      <c r="G1766" s="59" t="n"/>
      <c r="N1766" s="59" t="n"/>
      <c r="O1766" s="59" t="n"/>
      <c r="X1766" s="61" t="n"/>
      <c r="Y1766" s="61" t="n"/>
    </row>
    <row r="1767" ht="14.25" customHeight="1" s="86">
      <c r="E1767" s="53" t="inlineStr">
        <is>
          <t>ND</t>
        </is>
      </c>
      <c r="F1767" s="53" t="inlineStr">
        <is>
          <t>BURKE</t>
        </is>
      </c>
      <c r="G1767" s="59" t="n"/>
      <c r="N1767" s="59" t="n"/>
      <c r="O1767" s="59" t="n"/>
      <c r="X1767" s="61" t="n"/>
      <c r="Y1767" s="61" t="n"/>
    </row>
    <row r="1768" ht="14.25" customHeight="1" s="86">
      <c r="E1768" s="53" t="inlineStr">
        <is>
          <t>ND</t>
        </is>
      </c>
      <c r="F1768" s="53" t="inlineStr">
        <is>
          <t>BURLEIGH</t>
        </is>
      </c>
      <c r="G1768" s="59" t="n"/>
      <c r="N1768" s="59" t="n"/>
      <c r="O1768" s="59" t="n"/>
      <c r="X1768" s="61" t="n"/>
      <c r="Y1768" s="61" t="n"/>
    </row>
    <row r="1769" ht="14.25" customHeight="1" s="86">
      <c r="E1769" s="53" t="inlineStr">
        <is>
          <t>ND</t>
        </is>
      </c>
      <c r="F1769" s="53" t="inlineStr">
        <is>
          <t>CASS</t>
        </is>
      </c>
      <c r="G1769" s="59" t="n"/>
      <c r="N1769" s="59" t="n"/>
      <c r="O1769" s="59" t="n"/>
      <c r="X1769" s="61" t="n"/>
      <c r="Y1769" s="61" t="n"/>
    </row>
    <row r="1770" ht="14.25" customHeight="1" s="86">
      <c r="E1770" s="53" t="inlineStr">
        <is>
          <t>ND</t>
        </is>
      </c>
      <c r="F1770" s="53" t="inlineStr">
        <is>
          <t>CAVALIER</t>
        </is>
      </c>
      <c r="G1770" s="59" t="n"/>
      <c r="N1770" s="59" t="n"/>
      <c r="O1770" s="59" t="n"/>
      <c r="X1770" s="61" t="n"/>
      <c r="Y1770" s="61" t="n"/>
    </row>
    <row r="1771" ht="14.25" customHeight="1" s="86">
      <c r="E1771" s="53" t="inlineStr">
        <is>
          <t>ND</t>
        </is>
      </c>
      <c r="F1771" s="53" t="inlineStr">
        <is>
          <t>DICKEY</t>
        </is>
      </c>
      <c r="G1771" s="59" t="n"/>
      <c r="N1771" s="59" t="n"/>
      <c r="O1771" s="59" t="n"/>
      <c r="X1771" s="61" t="n"/>
      <c r="Y1771" s="61" t="n"/>
    </row>
    <row r="1772" ht="14.25" customHeight="1" s="86">
      <c r="E1772" s="53" t="inlineStr">
        <is>
          <t>ND</t>
        </is>
      </c>
      <c r="F1772" s="53" t="inlineStr">
        <is>
          <t>DIVIDE</t>
        </is>
      </c>
      <c r="G1772" s="59" t="n"/>
      <c r="N1772" s="59" t="n"/>
      <c r="O1772" s="59" t="n"/>
      <c r="X1772" s="61" t="n"/>
      <c r="Y1772" s="61" t="n"/>
    </row>
    <row r="1773" ht="14.25" customHeight="1" s="86">
      <c r="E1773" s="53" t="inlineStr">
        <is>
          <t>ND</t>
        </is>
      </c>
      <c r="F1773" s="53" t="inlineStr">
        <is>
          <t>DUNN</t>
        </is>
      </c>
      <c r="G1773" s="59" t="n"/>
      <c r="N1773" s="59" t="n"/>
      <c r="O1773" s="59" t="n"/>
      <c r="X1773" s="61" t="n"/>
      <c r="Y1773" s="61" t="n"/>
    </row>
    <row r="1774" ht="14.25" customHeight="1" s="86">
      <c r="E1774" s="53" t="inlineStr">
        <is>
          <t>ND</t>
        </is>
      </c>
      <c r="F1774" s="53" t="inlineStr">
        <is>
          <t>EDDY</t>
        </is>
      </c>
      <c r="G1774" s="59" t="n"/>
      <c r="N1774" s="59" t="n"/>
      <c r="O1774" s="59" t="n"/>
      <c r="X1774" s="61" t="n"/>
      <c r="Y1774" s="61" t="n"/>
    </row>
    <row r="1775" ht="14.25" customHeight="1" s="86">
      <c r="E1775" s="53" t="inlineStr">
        <is>
          <t>ND</t>
        </is>
      </c>
      <c r="F1775" s="53" t="inlineStr">
        <is>
          <t>EMMONS</t>
        </is>
      </c>
      <c r="G1775" s="59" t="n"/>
      <c r="N1775" s="59" t="n"/>
      <c r="O1775" s="59" t="n"/>
      <c r="X1775" s="61" t="n"/>
      <c r="Y1775" s="61" t="n"/>
    </row>
    <row r="1776" ht="14.25" customHeight="1" s="86">
      <c r="E1776" s="53" t="inlineStr">
        <is>
          <t>ND</t>
        </is>
      </c>
      <c r="F1776" s="53" t="inlineStr">
        <is>
          <t>FOSTER</t>
        </is>
      </c>
      <c r="G1776" s="59" t="n"/>
      <c r="N1776" s="59" t="n"/>
      <c r="O1776" s="59" t="n"/>
      <c r="X1776" s="61" t="n"/>
      <c r="Y1776" s="61" t="n"/>
    </row>
    <row r="1777" ht="14.25" customHeight="1" s="86">
      <c r="E1777" s="53" t="inlineStr">
        <is>
          <t>ND</t>
        </is>
      </c>
      <c r="F1777" s="53" t="inlineStr">
        <is>
          <t>GOLDEN VALLEY</t>
        </is>
      </c>
      <c r="G1777" s="59" t="n"/>
      <c r="N1777" s="59" t="n"/>
      <c r="O1777" s="59" t="n"/>
      <c r="X1777" s="61" t="n"/>
      <c r="Y1777" s="61" t="n"/>
    </row>
    <row r="1778" ht="14.25" customHeight="1" s="86">
      <c r="E1778" s="53" t="inlineStr">
        <is>
          <t>ND</t>
        </is>
      </c>
      <c r="F1778" s="53" t="inlineStr">
        <is>
          <t>GRAND FORKS</t>
        </is>
      </c>
      <c r="G1778" s="59" t="n"/>
      <c r="N1778" s="59" t="n"/>
      <c r="O1778" s="59" t="n"/>
      <c r="X1778" s="61" t="n"/>
      <c r="Y1778" s="61" t="n"/>
    </row>
    <row r="1779" ht="14.25" customHeight="1" s="86">
      <c r="E1779" s="53" t="inlineStr">
        <is>
          <t>ND</t>
        </is>
      </c>
      <c r="F1779" s="53" t="inlineStr">
        <is>
          <t>GRANT</t>
        </is>
      </c>
      <c r="G1779" s="59" t="n"/>
      <c r="N1779" s="59" t="n"/>
      <c r="O1779" s="59" t="n"/>
      <c r="X1779" s="61" t="n"/>
      <c r="Y1779" s="61" t="n"/>
    </row>
    <row r="1780" ht="14.25" customHeight="1" s="86">
      <c r="E1780" s="53" t="inlineStr">
        <is>
          <t>ND</t>
        </is>
      </c>
      <c r="F1780" s="53" t="inlineStr">
        <is>
          <t>GRIGGS</t>
        </is>
      </c>
      <c r="G1780" s="59" t="n"/>
      <c r="N1780" s="59" t="n"/>
      <c r="O1780" s="59" t="n"/>
      <c r="X1780" s="61" t="n"/>
      <c r="Y1780" s="61" t="n"/>
    </row>
    <row r="1781" ht="14.25" customHeight="1" s="86">
      <c r="E1781" s="53" t="inlineStr">
        <is>
          <t>ND</t>
        </is>
      </c>
      <c r="F1781" s="53" t="inlineStr">
        <is>
          <t>HETTINGER</t>
        </is>
      </c>
      <c r="G1781" s="59" t="n"/>
      <c r="N1781" s="59" t="n"/>
      <c r="O1781" s="59" t="n"/>
      <c r="X1781" s="61" t="n"/>
      <c r="Y1781" s="61" t="n"/>
    </row>
    <row r="1782" ht="14.25" customHeight="1" s="86">
      <c r="E1782" s="53" t="inlineStr">
        <is>
          <t>ND</t>
        </is>
      </c>
      <c r="F1782" s="53" t="inlineStr">
        <is>
          <t>KIDDER</t>
        </is>
      </c>
      <c r="G1782" s="59" t="n"/>
      <c r="N1782" s="59" t="n"/>
      <c r="O1782" s="59" t="n"/>
      <c r="X1782" s="61" t="n"/>
      <c r="Y1782" s="61" t="n"/>
    </row>
    <row r="1783" ht="14.25" customHeight="1" s="86">
      <c r="E1783" s="53" t="inlineStr">
        <is>
          <t>ND</t>
        </is>
      </c>
      <c r="F1783" s="53" t="inlineStr">
        <is>
          <t>LAMOURE</t>
        </is>
      </c>
      <c r="G1783" s="59" t="n"/>
      <c r="N1783" s="59" t="n"/>
      <c r="O1783" s="59" t="n"/>
      <c r="X1783" s="61" t="n"/>
      <c r="Y1783" s="61" t="n"/>
    </row>
    <row r="1784" ht="14.25" customHeight="1" s="86">
      <c r="E1784" s="53" t="inlineStr">
        <is>
          <t>ND</t>
        </is>
      </c>
      <c r="F1784" s="53" t="inlineStr">
        <is>
          <t>LOGAN</t>
        </is>
      </c>
      <c r="G1784" s="59" t="n"/>
      <c r="N1784" s="59" t="n"/>
      <c r="O1784" s="59" t="n"/>
      <c r="X1784" s="61" t="n"/>
      <c r="Y1784" s="61" t="n"/>
    </row>
    <row r="1785" ht="14.25" customHeight="1" s="86">
      <c r="E1785" s="53" t="inlineStr">
        <is>
          <t>ND</t>
        </is>
      </c>
      <c r="F1785" s="53" t="inlineStr">
        <is>
          <t>MCHENRY</t>
        </is>
      </c>
      <c r="G1785" s="59" t="n"/>
      <c r="N1785" s="59" t="n"/>
      <c r="O1785" s="59" t="n"/>
      <c r="X1785" s="61" t="n"/>
      <c r="Y1785" s="61" t="n"/>
    </row>
    <row r="1786" ht="14.25" customHeight="1" s="86">
      <c r="E1786" s="53" t="inlineStr">
        <is>
          <t>ND</t>
        </is>
      </c>
      <c r="F1786" s="53" t="inlineStr">
        <is>
          <t>MCINTOSH</t>
        </is>
      </c>
      <c r="G1786" s="59" t="n"/>
      <c r="N1786" s="59" t="n"/>
      <c r="O1786" s="59" t="n"/>
      <c r="X1786" s="61" t="n"/>
      <c r="Y1786" s="61" t="n"/>
    </row>
    <row r="1787" ht="14.25" customHeight="1" s="86">
      <c r="E1787" s="53" t="inlineStr">
        <is>
          <t>ND</t>
        </is>
      </c>
      <c r="F1787" s="53" t="inlineStr">
        <is>
          <t>MCKENZIE</t>
        </is>
      </c>
      <c r="G1787" s="59" t="n"/>
      <c r="N1787" s="59" t="n"/>
      <c r="O1787" s="59" t="n"/>
      <c r="X1787" s="61" t="n"/>
      <c r="Y1787" s="61" t="n"/>
    </row>
    <row r="1788" ht="14.25" customHeight="1" s="86">
      <c r="E1788" s="53" t="inlineStr">
        <is>
          <t>ND</t>
        </is>
      </c>
      <c r="F1788" s="53" t="inlineStr">
        <is>
          <t>MCLEAN</t>
        </is>
      </c>
      <c r="G1788" s="59" t="n"/>
      <c r="N1788" s="59" t="n"/>
      <c r="O1788" s="59" t="n"/>
      <c r="X1788" s="61" t="n"/>
      <c r="Y1788" s="61" t="n"/>
    </row>
    <row r="1789" ht="14.25" customHeight="1" s="86">
      <c r="E1789" s="53" t="inlineStr">
        <is>
          <t>ND</t>
        </is>
      </c>
      <c r="F1789" s="53" t="inlineStr">
        <is>
          <t>MERCER</t>
        </is>
      </c>
      <c r="G1789" s="59" t="n"/>
      <c r="N1789" s="59" t="n"/>
      <c r="O1789" s="59" t="n"/>
      <c r="X1789" s="61" t="n"/>
      <c r="Y1789" s="61" t="n"/>
    </row>
    <row r="1790" ht="14.25" customHeight="1" s="86">
      <c r="E1790" s="53" t="inlineStr">
        <is>
          <t>ND</t>
        </is>
      </c>
      <c r="F1790" s="53" t="inlineStr">
        <is>
          <t>MORTON</t>
        </is>
      </c>
      <c r="G1790" s="59" t="n"/>
      <c r="N1790" s="59" t="n"/>
      <c r="O1790" s="59" t="n"/>
      <c r="X1790" s="61" t="n"/>
      <c r="Y1790" s="61" t="n"/>
    </row>
    <row r="1791" ht="14.25" customHeight="1" s="86">
      <c r="E1791" s="53" t="inlineStr">
        <is>
          <t>ND</t>
        </is>
      </c>
      <c r="F1791" s="53" t="inlineStr">
        <is>
          <t>MOUNTRAIL</t>
        </is>
      </c>
      <c r="G1791" s="59" t="n"/>
      <c r="N1791" s="59" t="n"/>
      <c r="O1791" s="59" t="n"/>
      <c r="X1791" s="61" t="n"/>
      <c r="Y1791" s="61" t="n"/>
    </row>
    <row r="1792" ht="14.25" customHeight="1" s="86">
      <c r="E1792" s="53" t="inlineStr">
        <is>
          <t>ND</t>
        </is>
      </c>
      <c r="F1792" s="53" t="inlineStr">
        <is>
          <t>NELSON</t>
        </is>
      </c>
      <c r="G1792" s="59" t="n"/>
      <c r="N1792" s="59" t="n"/>
      <c r="O1792" s="59" t="n"/>
      <c r="X1792" s="61" t="n"/>
      <c r="Y1792" s="61" t="n"/>
    </row>
    <row r="1793" ht="14.25" customHeight="1" s="86">
      <c r="E1793" s="53" t="inlineStr">
        <is>
          <t>ND</t>
        </is>
      </c>
      <c r="F1793" s="53" t="inlineStr">
        <is>
          <t>OLIVER</t>
        </is>
      </c>
      <c r="G1793" s="59" t="n"/>
      <c r="N1793" s="59" t="n"/>
      <c r="O1793" s="59" t="n"/>
      <c r="X1793" s="61" t="n"/>
      <c r="Y1793" s="61" t="n"/>
    </row>
    <row r="1794" ht="14.25" customHeight="1" s="86">
      <c r="E1794" s="53" t="inlineStr">
        <is>
          <t>ND</t>
        </is>
      </c>
      <c r="F1794" s="53" t="inlineStr">
        <is>
          <t>PEMBINA</t>
        </is>
      </c>
      <c r="G1794" s="59" t="n"/>
      <c r="N1794" s="59" t="n"/>
      <c r="O1794" s="59" t="n"/>
      <c r="X1794" s="61" t="n"/>
      <c r="Y1794" s="61" t="n"/>
    </row>
    <row r="1795" ht="14.25" customHeight="1" s="86">
      <c r="E1795" s="53" t="inlineStr">
        <is>
          <t>ND</t>
        </is>
      </c>
      <c r="F1795" s="53" t="inlineStr">
        <is>
          <t>PIERCE</t>
        </is>
      </c>
      <c r="G1795" s="59" t="n"/>
      <c r="N1795" s="59" t="n"/>
      <c r="O1795" s="59" t="n"/>
      <c r="X1795" s="61" t="n"/>
      <c r="Y1795" s="61" t="n"/>
    </row>
    <row r="1796" ht="14.25" customHeight="1" s="86">
      <c r="E1796" s="53" t="inlineStr">
        <is>
          <t>ND</t>
        </is>
      </c>
      <c r="F1796" s="53" t="inlineStr">
        <is>
          <t>RAMSEY</t>
        </is>
      </c>
      <c r="G1796" s="59" t="n"/>
      <c r="N1796" s="59" t="n"/>
      <c r="O1796" s="59" t="n"/>
      <c r="X1796" s="61" t="n"/>
      <c r="Y1796" s="61" t="n"/>
    </row>
    <row r="1797" ht="14.25" customHeight="1" s="86">
      <c r="E1797" s="53" t="inlineStr">
        <is>
          <t>ND</t>
        </is>
      </c>
      <c r="F1797" s="53" t="inlineStr">
        <is>
          <t>RANSOM</t>
        </is>
      </c>
      <c r="G1797" s="59" t="n"/>
      <c r="N1797" s="59" t="n"/>
      <c r="O1797" s="59" t="n"/>
      <c r="X1797" s="61" t="n"/>
      <c r="Y1797" s="61" t="n"/>
    </row>
    <row r="1798" ht="14.25" customHeight="1" s="86">
      <c r="E1798" s="53" t="inlineStr">
        <is>
          <t>ND</t>
        </is>
      </c>
      <c r="F1798" s="53" t="inlineStr">
        <is>
          <t>RENVILLE</t>
        </is>
      </c>
      <c r="G1798" s="59" t="n"/>
      <c r="N1798" s="59" t="n"/>
      <c r="O1798" s="59" t="n"/>
      <c r="X1798" s="61" t="n"/>
      <c r="Y1798" s="61" t="n"/>
    </row>
    <row r="1799" ht="14.25" customHeight="1" s="86">
      <c r="E1799" s="53" t="inlineStr">
        <is>
          <t>ND</t>
        </is>
      </c>
      <c r="F1799" s="53" t="inlineStr">
        <is>
          <t>RICHLAND</t>
        </is>
      </c>
      <c r="G1799" s="59" t="n"/>
      <c r="N1799" s="59" t="n"/>
      <c r="O1799" s="59" t="n"/>
      <c r="X1799" s="61" t="n"/>
      <c r="Y1799" s="61" t="n"/>
    </row>
    <row r="1800" ht="14.25" customHeight="1" s="86">
      <c r="E1800" s="53" t="inlineStr">
        <is>
          <t>ND</t>
        </is>
      </c>
      <c r="F1800" s="53" t="inlineStr">
        <is>
          <t>ROLETTE</t>
        </is>
      </c>
      <c r="G1800" s="59" t="n"/>
      <c r="N1800" s="59" t="n"/>
      <c r="O1800" s="59" t="n"/>
      <c r="X1800" s="61" t="n"/>
      <c r="Y1800" s="61" t="n"/>
    </row>
    <row r="1801" ht="14.25" customHeight="1" s="86">
      <c r="E1801" s="53" t="inlineStr">
        <is>
          <t>ND</t>
        </is>
      </c>
      <c r="F1801" s="53" t="inlineStr">
        <is>
          <t>SARGENT</t>
        </is>
      </c>
      <c r="G1801" s="59" t="n"/>
      <c r="N1801" s="59" t="n"/>
      <c r="O1801" s="59" t="n"/>
      <c r="X1801" s="61" t="n"/>
      <c r="Y1801" s="61" t="n"/>
    </row>
    <row r="1802" ht="14.25" customHeight="1" s="86">
      <c r="E1802" s="53" t="inlineStr">
        <is>
          <t>ND</t>
        </is>
      </c>
      <c r="F1802" s="53" t="inlineStr">
        <is>
          <t>SHERIDAN</t>
        </is>
      </c>
      <c r="G1802" s="59" t="n"/>
      <c r="N1802" s="59" t="n"/>
      <c r="O1802" s="59" t="n"/>
      <c r="X1802" s="61" t="n"/>
      <c r="Y1802" s="61" t="n"/>
    </row>
    <row r="1803" ht="14.25" customHeight="1" s="86">
      <c r="E1803" s="53" t="inlineStr">
        <is>
          <t>ND</t>
        </is>
      </c>
      <c r="F1803" s="53" t="inlineStr">
        <is>
          <t>SIOUX</t>
        </is>
      </c>
      <c r="G1803" s="59" t="n"/>
      <c r="N1803" s="59" t="n"/>
      <c r="O1803" s="59" t="n"/>
      <c r="X1803" s="61" t="n"/>
      <c r="Y1803" s="61" t="n"/>
    </row>
    <row r="1804" ht="14.25" customHeight="1" s="86">
      <c r="E1804" s="53" t="inlineStr">
        <is>
          <t>ND</t>
        </is>
      </c>
      <c r="F1804" s="53" t="inlineStr">
        <is>
          <t>SLOPE</t>
        </is>
      </c>
      <c r="G1804" s="59" t="n"/>
      <c r="N1804" s="59" t="n"/>
      <c r="O1804" s="59" t="n"/>
      <c r="X1804" s="61" t="n"/>
      <c r="Y1804" s="61" t="n"/>
    </row>
    <row r="1805" ht="14.25" customHeight="1" s="86">
      <c r="E1805" s="53" t="inlineStr">
        <is>
          <t>ND</t>
        </is>
      </c>
      <c r="F1805" s="53" t="inlineStr">
        <is>
          <t>STARK</t>
        </is>
      </c>
      <c r="G1805" s="59" t="n"/>
      <c r="N1805" s="59" t="n"/>
      <c r="O1805" s="59" t="n"/>
      <c r="X1805" s="61" t="n"/>
      <c r="Y1805" s="61" t="n"/>
    </row>
    <row r="1806" ht="14.25" customHeight="1" s="86">
      <c r="E1806" s="53" t="inlineStr">
        <is>
          <t>ND</t>
        </is>
      </c>
      <c r="F1806" s="53" t="inlineStr">
        <is>
          <t>STEELE</t>
        </is>
      </c>
      <c r="G1806" s="59" t="n"/>
      <c r="N1806" s="59" t="n"/>
      <c r="O1806" s="59" t="n"/>
      <c r="X1806" s="61" t="n"/>
      <c r="Y1806" s="61" t="n"/>
    </row>
    <row r="1807" ht="14.25" customHeight="1" s="86">
      <c r="E1807" s="53" t="inlineStr">
        <is>
          <t>ND</t>
        </is>
      </c>
      <c r="F1807" s="53" t="inlineStr">
        <is>
          <t>STUTSMAN</t>
        </is>
      </c>
      <c r="G1807" s="59" t="n"/>
      <c r="N1807" s="59" t="n"/>
      <c r="O1807" s="59" t="n"/>
      <c r="X1807" s="61" t="n"/>
      <c r="Y1807" s="61" t="n"/>
    </row>
    <row r="1808" ht="14.25" customHeight="1" s="86">
      <c r="E1808" s="53" t="inlineStr">
        <is>
          <t>ND</t>
        </is>
      </c>
      <c r="F1808" s="53" t="inlineStr">
        <is>
          <t>TOWNER</t>
        </is>
      </c>
      <c r="G1808" s="59" t="n"/>
      <c r="N1808" s="59" t="n"/>
      <c r="O1808" s="59" t="n"/>
      <c r="X1808" s="61" t="n"/>
      <c r="Y1808" s="61" t="n"/>
    </row>
    <row r="1809" ht="14.25" customHeight="1" s="86">
      <c r="E1809" s="53" t="inlineStr">
        <is>
          <t>ND</t>
        </is>
      </c>
      <c r="F1809" s="53" t="inlineStr">
        <is>
          <t>TRAILL</t>
        </is>
      </c>
      <c r="G1809" s="59" t="n"/>
      <c r="N1809" s="59" t="n"/>
      <c r="O1809" s="59" t="n"/>
      <c r="X1809" s="61" t="n"/>
      <c r="Y1809" s="61" t="n"/>
    </row>
    <row r="1810" ht="14.25" customHeight="1" s="86">
      <c r="E1810" s="53" t="inlineStr">
        <is>
          <t>ND</t>
        </is>
      </c>
      <c r="F1810" s="53" t="inlineStr">
        <is>
          <t>WALSH</t>
        </is>
      </c>
      <c r="G1810" s="59" t="n"/>
      <c r="N1810" s="59" t="n"/>
      <c r="O1810" s="59" t="n"/>
      <c r="X1810" s="61" t="n"/>
      <c r="Y1810" s="61" t="n"/>
    </row>
    <row r="1811" ht="14.25" customHeight="1" s="86">
      <c r="E1811" s="53" t="inlineStr">
        <is>
          <t>ND</t>
        </is>
      </c>
      <c r="F1811" s="53" t="inlineStr">
        <is>
          <t>WARD</t>
        </is>
      </c>
      <c r="G1811" s="59" t="n"/>
      <c r="N1811" s="59" t="n"/>
      <c r="O1811" s="59" t="n"/>
      <c r="X1811" s="61" t="n"/>
      <c r="Y1811" s="61" t="n"/>
    </row>
    <row r="1812" ht="14.25" customHeight="1" s="86">
      <c r="E1812" s="53" t="inlineStr">
        <is>
          <t>ND</t>
        </is>
      </c>
      <c r="F1812" s="53" t="inlineStr">
        <is>
          <t>WELLS</t>
        </is>
      </c>
      <c r="G1812" s="59" t="n"/>
      <c r="N1812" s="59" t="n"/>
      <c r="O1812" s="59" t="n"/>
      <c r="X1812" s="61" t="n"/>
      <c r="Y1812" s="61" t="n"/>
    </row>
    <row r="1813" ht="14.25" customHeight="1" s="86">
      <c r="E1813" s="53" t="inlineStr">
        <is>
          <t>ND</t>
        </is>
      </c>
      <c r="F1813" s="53" t="inlineStr">
        <is>
          <t>WILLIAMS</t>
        </is>
      </c>
      <c r="G1813" s="59" t="n"/>
      <c r="N1813" s="59" t="n"/>
      <c r="O1813" s="59" t="n"/>
      <c r="X1813" s="61" t="n"/>
      <c r="Y1813" s="61" t="n"/>
    </row>
    <row r="1814" ht="14.25" customHeight="1" s="86">
      <c r="E1814" s="53" t="inlineStr">
        <is>
          <t>NE</t>
        </is>
      </c>
      <c r="F1814" s="53" t="inlineStr">
        <is>
          <t>ADAMS</t>
        </is>
      </c>
      <c r="G1814" s="59" t="n"/>
      <c r="N1814" s="59" t="n"/>
      <c r="O1814" s="59" t="n"/>
      <c r="X1814" s="61" t="n"/>
      <c r="Y1814" s="61" t="n"/>
    </row>
    <row r="1815" ht="14.25" customHeight="1" s="86">
      <c r="E1815" s="53" t="inlineStr">
        <is>
          <t>NE</t>
        </is>
      </c>
      <c r="F1815" s="53" t="inlineStr">
        <is>
          <t>ANTELOPE</t>
        </is>
      </c>
      <c r="G1815" s="59" t="n"/>
      <c r="N1815" s="59" t="n"/>
      <c r="O1815" s="59" t="n"/>
      <c r="X1815" s="61" t="n"/>
      <c r="Y1815" s="61" t="n"/>
    </row>
    <row r="1816" ht="14.25" customHeight="1" s="86">
      <c r="E1816" s="53" t="inlineStr">
        <is>
          <t>NE</t>
        </is>
      </c>
      <c r="F1816" s="53" t="inlineStr">
        <is>
          <t>ARTHUR</t>
        </is>
      </c>
      <c r="G1816" s="59" t="n"/>
      <c r="N1816" s="59" t="n"/>
      <c r="O1816" s="59" t="n"/>
      <c r="X1816" s="61" t="n"/>
      <c r="Y1816" s="61" t="n"/>
    </row>
    <row r="1817" ht="14.25" customHeight="1" s="86">
      <c r="E1817" s="53" t="inlineStr">
        <is>
          <t>NE</t>
        </is>
      </c>
      <c r="F1817" s="53" t="inlineStr">
        <is>
          <t>BANNER</t>
        </is>
      </c>
      <c r="G1817" s="59" t="n"/>
      <c r="N1817" s="59" t="n"/>
      <c r="O1817" s="59" t="n"/>
      <c r="X1817" s="61" t="n"/>
      <c r="Y1817" s="61" t="n"/>
    </row>
    <row r="1818" ht="14.25" customHeight="1" s="86">
      <c r="E1818" s="53" t="inlineStr">
        <is>
          <t>NE</t>
        </is>
      </c>
      <c r="F1818" s="53" t="inlineStr">
        <is>
          <t>BLAINE</t>
        </is>
      </c>
      <c r="G1818" s="59" t="n"/>
      <c r="N1818" s="59" t="n"/>
      <c r="O1818" s="59" t="n"/>
      <c r="X1818" s="61" t="n"/>
      <c r="Y1818" s="61" t="n"/>
    </row>
    <row r="1819" ht="14.25" customHeight="1" s="86">
      <c r="E1819" s="53" t="inlineStr">
        <is>
          <t>NE</t>
        </is>
      </c>
      <c r="F1819" s="53" t="inlineStr">
        <is>
          <t>BOONE</t>
        </is>
      </c>
      <c r="G1819" s="59" t="n"/>
      <c r="N1819" s="59" t="n"/>
      <c r="O1819" s="59" t="n"/>
      <c r="X1819" s="61" t="n"/>
      <c r="Y1819" s="61" t="n"/>
    </row>
    <row r="1820" ht="14.25" customHeight="1" s="86">
      <c r="E1820" s="53" t="inlineStr">
        <is>
          <t>NE</t>
        </is>
      </c>
      <c r="F1820" s="53" t="inlineStr">
        <is>
          <t>BOX BUTTE</t>
        </is>
      </c>
      <c r="G1820" s="59" t="n"/>
      <c r="N1820" s="59" t="n"/>
      <c r="O1820" s="59" t="n"/>
      <c r="X1820" s="61" t="n"/>
      <c r="Y1820" s="61" t="n"/>
    </row>
    <row r="1821" ht="14.25" customHeight="1" s="86">
      <c r="E1821" s="53" t="inlineStr">
        <is>
          <t>NE</t>
        </is>
      </c>
      <c r="F1821" s="53" t="inlineStr">
        <is>
          <t>BOYD</t>
        </is>
      </c>
      <c r="G1821" s="59" t="n"/>
      <c r="N1821" s="59" t="n"/>
      <c r="O1821" s="59" t="n"/>
      <c r="X1821" s="61" t="n"/>
      <c r="Y1821" s="61" t="n"/>
    </row>
    <row r="1822" ht="14.25" customHeight="1" s="86">
      <c r="E1822" s="53" t="inlineStr">
        <is>
          <t>NE</t>
        </is>
      </c>
      <c r="F1822" s="53" t="inlineStr">
        <is>
          <t>BROWN</t>
        </is>
      </c>
      <c r="G1822" s="59" t="n"/>
      <c r="N1822" s="59" t="n"/>
      <c r="O1822" s="59" t="n"/>
      <c r="X1822" s="61" t="n"/>
      <c r="Y1822" s="61" t="n"/>
    </row>
    <row r="1823" ht="14.25" customHeight="1" s="86">
      <c r="E1823" s="53" t="inlineStr">
        <is>
          <t>NE</t>
        </is>
      </c>
      <c r="F1823" s="53" t="inlineStr">
        <is>
          <t>BUFFALO</t>
        </is>
      </c>
      <c r="G1823" s="59" t="n"/>
      <c r="N1823" s="59" t="n"/>
      <c r="O1823" s="59" t="n"/>
      <c r="X1823" s="61" t="n"/>
      <c r="Y1823" s="61" t="n"/>
    </row>
    <row r="1824" ht="14.25" customHeight="1" s="86">
      <c r="E1824" s="53" t="inlineStr">
        <is>
          <t>NE</t>
        </is>
      </c>
      <c r="F1824" s="53" t="inlineStr">
        <is>
          <t>BURT</t>
        </is>
      </c>
      <c r="G1824" s="59" t="n"/>
      <c r="N1824" s="59" t="n"/>
      <c r="O1824" s="59" t="n"/>
      <c r="X1824" s="61" t="n"/>
      <c r="Y1824" s="61" t="n"/>
    </row>
    <row r="1825" ht="14.25" customHeight="1" s="86">
      <c r="E1825" s="53" t="inlineStr">
        <is>
          <t>NE</t>
        </is>
      </c>
      <c r="F1825" s="53" t="inlineStr">
        <is>
          <t>BUTLER</t>
        </is>
      </c>
      <c r="G1825" s="59" t="n"/>
      <c r="N1825" s="59" t="n"/>
      <c r="O1825" s="59" t="n"/>
      <c r="X1825" s="61" t="n"/>
      <c r="Y1825" s="61" t="n"/>
    </row>
    <row r="1826" ht="14.25" customHeight="1" s="86">
      <c r="E1826" s="53" t="inlineStr">
        <is>
          <t>NE</t>
        </is>
      </c>
      <c r="F1826" s="53" t="inlineStr">
        <is>
          <t>CASS</t>
        </is>
      </c>
      <c r="G1826" s="59" t="n"/>
      <c r="N1826" s="59" t="n"/>
      <c r="O1826" s="59" t="n"/>
      <c r="X1826" s="61" t="n"/>
      <c r="Y1826" s="61" t="n"/>
    </row>
    <row r="1827" ht="14.25" customHeight="1" s="86">
      <c r="E1827" s="53" t="inlineStr">
        <is>
          <t>NE</t>
        </is>
      </c>
      <c r="F1827" s="53" t="inlineStr">
        <is>
          <t>CEDAR</t>
        </is>
      </c>
      <c r="G1827" s="59" t="n"/>
      <c r="N1827" s="59" t="n"/>
      <c r="O1827" s="59" t="n"/>
      <c r="X1827" s="61" t="n"/>
      <c r="Y1827" s="61" t="n"/>
    </row>
    <row r="1828" ht="14.25" customHeight="1" s="86">
      <c r="E1828" s="53" t="inlineStr">
        <is>
          <t>NE</t>
        </is>
      </c>
      <c r="F1828" s="53" t="inlineStr">
        <is>
          <t>CHASE</t>
        </is>
      </c>
      <c r="G1828" s="59" t="n"/>
      <c r="N1828" s="59" t="n"/>
      <c r="O1828" s="59" t="n"/>
      <c r="X1828" s="61" t="n"/>
      <c r="Y1828" s="61" t="n"/>
    </row>
    <row r="1829" ht="14.25" customHeight="1" s="86">
      <c r="E1829" s="53" t="inlineStr">
        <is>
          <t>NE</t>
        </is>
      </c>
      <c r="F1829" s="53" t="inlineStr">
        <is>
          <t>CHERRY</t>
        </is>
      </c>
      <c r="G1829" s="59" t="n"/>
      <c r="N1829" s="59" t="n"/>
      <c r="O1829" s="59" t="n"/>
      <c r="X1829" s="61" t="n"/>
      <c r="Y1829" s="61" t="n"/>
    </row>
    <row r="1830" ht="14.25" customHeight="1" s="86">
      <c r="E1830" s="53" t="inlineStr">
        <is>
          <t>NE</t>
        </is>
      </c>
      <c r="F1830" s="53" t="inlineStr">
        <is>
          <t>CHEYENNE</t>
        </is>
      </c>
      <c r="G1830" s="59" t="n"/>
      <c r="N1830" s="59" t="n"/>
      <c r="O1830" s="59" t="n"/>
      <c r="X1830" s="61" t="n"/>
      <c r="Y1830" s="61" t="n"/>
    </row>
    <row r="1831" ht="14.25" customHeight="1" s="86">
      <c r="E1831" s="53" t="inlineStr">
        <is>
          <t>NE</t>
        </is>
      </c>
      <c r="F1831" s="53" t="inlineStr">
        <is>
          <t>CLAY</t>
        </is>
      </c>
      <c r="G1831" s="59" t="n"/>
      <c r="N1831" s="59" t="n"/>
      <c r="O1831" s="59" t="n"/>
      <c r="X1831" s="61" t="n"/>
      <c r="Y1831" s="61" t="n"/>
    </row>
    <row r="1832" ht="14.25" customHeight="1" s="86">
      <c r="E1832" s="53" t="inlineStr">
        <is>
          <t>NE</t>
        </is>
      </c>
      <c r="F1832" s="53" t="inlineStr">
        <is>
          <t>COLFAX</t>
        </is>
      </c>
      <c r="G1832" s="59" t="n"/>
      <c r="N1832" s="59" t="n"/>
      <c r="O1832" s="59" t="n"/>
      <c r="X1832" s="61" t="n"/>
      <c r="Y1832" s="61" t="n"/>
    </row>
    <row r="1833" ht="14.25" customHeight="1" s="86">
      <c r="E1833" s="53" t="inlineStr">
        <is>
          <t>NE</t>
        </is>
      </c>
      <c r="F1833" s="53" t="inlineStr">
        <is>
          <t>CUMING</t>
        </is>
      </c>
      <c r="G1833" s="59" t="n"/>
      <c r="N1833" s="59" t="n"/>
      <c r="O1833" s="59" t="n"/>
      <c r="X1833" s="61" t="n"/>
      <c r="Y1833" s="61" t="n"/>
    </row>
    <row r="1834" ht="14.25" customHeight="1" s="86">
      <c r="E1834" s="53" t="inlineStr">
        <is>
          <t>NE</t>
        </is>
      </c>
      <c r="F1834" s="53" t="inlineStr">
        <is>
          <t>CUSTER</t>
        </is>
      </c>
      <c r="G1834" s="59" t="n"/>
      <c r="N1834" s="59" t="n"/>
      <c r="O1834" s="59" t="n"/>
      <c r="X1834" s="61" t="n"/>
      <c r="Y1834" s="61" t="n"/>
    </row>
    <row r="1835" ht="14.25" customHeight="1" s="86">
      <c r="E1835" s="53" t="inlineStr">
        <is>
          <t>NE</t>
        </is>
      </c>
      <c r="F1835" s="53" t="inlineStr">
        <is>
          <t>DAKOTA</t>
        </is>
      </c>
      <c r="G1835" s="59" t="n"/>
      <c r="N1835" s="59" t="n"/>
      <c r="O1835" s="59" t="n"/>
      <c r="X1835" s="61" t="n"/>
      <c r="Y1835" s="61" t="n"/>
    </row>
    <row r="1836" ht="14.25" customHeight="1" s="86">
      <c r="E1836" s="53" t="inlineStr">
        <is>
          <t>NE</t>
        </is>
      </c>
      <c r="F1836" s="53" t="inlineStr">
        <is>
          <t>DAWES</t>
        </is>
      </c>
      <c r="G1836" s="59" t="n"/>
      <c r="N1836" s="59" t="n"/>
      <c r="O1836" s="59" t="n"/>
      <c r="X1836" s="61" t="n"/>
      <c r="Y1836" s="61" t="n"/>
    </row>
    <row r="1837" ht="14.25" customHeight="1" s="86">
      <c r="E1837" s="53" t="inlineStr">
        <is>
          <t>NE</t>
        </is>
      </c>
      <c r="F1837" s="53" t="inlineStr">
        <is>
          <t>DAWSON</t>
        </is>
      </c>
      <c r="G1837" s="59" t="n"/>
      <c r="N1837" s="59" t="n"/>
      <c r="O1837" s="59" t="n"/>
      <c r="X1837" s="61" t="n"/>
      <c r="Y1837" s="61" t="n"/>
    </row>
    <row r="1838" ht="14.25" customHeight="1" s="86">
      <c r="E1838" s="53" t="inlineStr">
        <is>
          <t>NE</t>
        </is>
      </c>
      <c r="F1838" s="53" t="inlineStr">
        <is>
          <t>DEUEL</t>
        </is>
      </c>
      <c r="G1838" s="59" t="n"/>
      <c r="N1838" s="59" t="n"/>
      <c r="O1838" s="59" t="n"/>
      <c r="X1838" s="61" t="n"/>
      <c r="Y1838" s="61" t="n"/>
    </row>
    <row r="1839" ht="14.25" customHeight="1" s="86">
      <c r="E1839" s="53" t="inlineStr">
        <is>
          <t>NE</t>
        </is>
      </c>
      <c r="F1839" s="53" t="inlineStr">
        <is>
          <t>DIXON</t>
        </is>
      </c>
      <c r="G1839" s="59" t="n"/>
      <c r="N1839" s="59" t="n"/>
      <c r="O1839" s="59" t="n"/>
      <c r="X1839" s="61" t="n"/>
      <c r="Y1839" s="61" t="n"/>
    </row>
    <row r="1840" ht="14.25" customHeight="1" s="86">
      <c r="E1840" s="53" t="inlineStr">
        <is>
          <t>NE</t>
        </is>
      </c>
      <c r="F1840" s="53" t="inlineStr">
        <is>
          <t>DODGE</t>
        </is>
      </c>
      <c r="G1840" s="59" t="n"/>
      <c r="N1840" s="59" t="n"/>
      <c r="O1840" s="59" t="n"/>
      <c r="X1840" s="61" t="n"/>
      <c r="Y1840" s="61" t="n"/>
    </row>
    <row r="1841" ht="14.25" customHeight="1" s="86">
      <c r="E1841" s="53" t="inlineStr">
        <is>
          <t>NE</t>
        </is>
      </c>
      <c r="F1841" s="53" t="inlineStr">
        <is>
          <t>DOUGLAS</t>
        </is>
      </c>
      <c r="G1841" s="59" t="n"/>
      <c r="N1841" s="59" t="n"/>
      <c r="O1841" s="59" t="n"/>
      <c r="X1841" s="61" t="n"/>
      <c r="Y1841" s="61" t="n"/>
    </row>
    <row r="1842" ht="14.25" customHeight="1" s="86">
      <c r="E1842" s="53" t="inlineStr">
        <is>
          <t>NE</t>
        </is>
      </c>
      <c r="F1842" s="53" t="inlineStr">
        <is>
          <t>DUNDY</t>
        </is>
      </c>
      <c r="G1842" s="59" t="n"/>
      <c r="N1842" s="59" t="n"/>
      <c r="O1842" s="59" t="n"/>
      <c r="X1842" s="61" t="n"/>
      <c r="Y1842" s="61" t="n"/>
    </row>
    <row r="1843" ht="14.25" customHeight="1" s="86">
      <c r="E1843" s="53" t="inlineStr">
        <is>
          <t>NE</t>
        </is>
      </c>
      <c r="F1843" s="53" t="inlineStr">
        <is>
          <t>FILLMORE</t>
        </is>
      </c>
      <c r="G1843" s="59" t="n"/>
      <c r="N1843" s="59" t="n"/>
      <c r="O1843" s="59" t="n"/>
      <c r="X1843" s="61" t="n"/>
      <c r="Y1843" s="61" t="n"/>
    </row>
    <row r="1844" ht="14.25" customHeight="1" s="86">
      <c r="E1844" s="53" t="inlineStr">
        <is>
          <t>NE</t>
        </is>
      </c>
      <c r="F1844" s="53" t="inlineStr">
        <is>
          <t>FRANKLIN</t>
        </is>
      </c>
      <c r="G1844" s="59" t="n"/>
      <c r="N1844" s="59" t="n"/>
      <c r="O1844" s="59" t="n"/>
      <c r="X1844" s="61" t="n"/>
      <c r="Y1844" s="61" t="n"/>
    </row>
    <row r="1845" ht="14.25" customHeight="1" s="86">
      <c r="E1845" s="53" t="inlineStr">
        <is>
          <t>NE</t>
        </is>
      </c>
      <c r="F1845" s="53" t="inlineStr">
        <is>
          <t>FRONTIER</t>
        </is>
      </c>
      <c r="G1845" s="59" t="n"/>
      <c r="N1845" s="59" t="n"/>
      <c r="O1845" s="59" t="n"/>
      <c r="X1845" s="61" t="n"/>
      <c r="Y1845" s="61" t="n"/>
    </row>
    <row r="1846" ht="14.25" customHeight="1" s="86">
      <c r="E1846" s="53" t="inlineStr">
        <is>
          <t>NE</t>
        </is>
      </c>
      <c r="F1846" s="53" t="inlineStr">
        <is>
          <t>FURNAS</t>
        </is>
      </c>
      <c r="G1846" s="59" t="n"/>
      <c r="N1846" s="59" t="n"/>
      <c r="O1846" s="59" t="n"/>
      <c r="X1846" s="61" t="n"/>
      <c r="Y1846" s="61" t="n"/>
    </row>
    <row r="1847" ht="14.25" customHeight="1" s="86">
      <c r="E1847" s="53" t="inlineStr">
        <is>
          <t>NE</t>
        </is>
      </c>
      <c r="F1847" s="53" t="inlineStr">
        <is>
          <t>GAGE</t>
        </is>
      </c>
      <c r="G1847" s="59" t="n"/>
      <c r="N1847" s="59" t="n"/>
      <c r="O1847" s="59" t="n"/>
      <c r="X1847" s="61" t="n"/>
      <c r="Y1847" s="61" t="n"/>
    </row>
    <row r="1848" ht="14.25" customHeight="1" s="86">
      <c r="E1848" s="53" t="inlineStr">
        <is>
          <t>NE</t>
        </is>
      </c>
      <c r="F1848" s="53" t="inlineStr">
        <is>
          <t>GARDEN</t>
        </is>
      </c>
      <c r="G1848" s="59" t="n"/>
      <c r="N1848" s="59" t="n"/>
      <c r="O1848" s="59" t="n"/>
      <c r="X1848" s="61" t="n"/>
      <c r="Y1848" s="61" t="n"/>
    </row>
    <row r="1849" ht="14.25" customHeight="1" s="86">
      <c r="E1849" s="53" t="inlineStr">
        <is>
          <t>NE</t>
        </is>
      </c>
      <c r="F1849" s="53" t="inlineStr">
        <is>
          <t>GARFIELD</t>
        </is>
      </c>
      <c r="G1849" s="59" t="n"/>
      <c r="N1849" s="59" t="n"/>
      <c r="O1849" s="59" t="n"/>
      <c r="X1849" s="61" t="n"/>
      <c r="Y1849" s="61" t="n"/>
    </row>
    <row r="1850" ht="14.25" customHeight="1" s="86">
      <c r="E1850" s="53" t="inlineStr">
        <is>
          <t>NE</t>
        </is>
      </c>
      <c r="F1850" s="53" t="inlineStr">
        <is>
          <t>GOSPER</t>
        </is>
      </c>
      <c r="G1850" s="59" t="n"/>
      <c r="N1850" s="59" t="n"/>
      <c r="O1850" s="59" t="n"/>
      <c r="X1850" s="61" t="n"/>
      <c r="Y1850" s="61" t="n"/>
    </row>
    <row r="1851" ht="14.25" customHeight="1" s="86">
      <c r="E1851" s="53" t="inlineStr">
        <is>
          <t>NE</t>
        </is>
      </c>
      <c r="F1851" s="53" t="inlineStr">
        <is>
          <t>GRANT</t>
        </is>
      </c>
      <c r="G1851" s="59" t="n"/>
      <c r="X1851" s="61" t="n"/>
      <c r="Y1851" s="61" t="n"/>
    </row>
    <row r="1852" ht="14.25" customHeight="1" s="86">
      <c r="E1852" s="53" t="inlineStr">
        <is>
          <t>NE</t>
        </is>
      </c>
      <c r="F1852" s="53" t="inlineStr">
        <is>
          <t>GREELEY</t>
        </is>
      </c>
      <c r="G1852" s="59" t="n"/>
      <c r="X1852" s="61" t="n"/>
      <c r="Y1852" s="61" t="n"/>
    </row>
    <row r="1853" ht="14.25" customHeight="1" s="86">
      <c r="E1853" s="53" t="inlineStr">
        <is>
          <t>NE</t>
        </is>
      </c>
      <c r="F1853" s="53" t="inlineStr">
        <is>
          <t>HALL</t>
        </is>
      </c>
      <c r="G1853" s="59" t="n"/>
      <c r="X1853" s="61" t="n"/>
      <c r="Y1853" s="61" t="n"/>
    </row>
    <row r="1854" ht="14.25" customHeight="1" s="86">
      <c r="E1854" s="53" t="inlineStr">
        <is>
          <t>NE</t>
        </is>
      </c>
      <c r="F1854" s="53" t="inlineStr">
        <is>
          <t>HAMILTON</t>
        </is>
      </c>
      <c r="G1854" s="59" t="n"/>
      <c r="X1854" s="61" t="n"/>
      <c r="Y1854" s="61" t="n"/>
    </row>
    <row r="1855" ht="14.25" customHeight="1" s="86">
      <c r="E1855" s="53" t="inlineStr">
        <is>
          <t>NE</t>
        </is>
      </c>
      <c r="F1855" s="53" t="inlineStr">
        <is>
          <t>HARLAN</t>
        </is>
      </c>
      <c r="G1855" s="59" t="n"/>
      <c r="X1855" s="61" t="n"/>
      <c r="Y1855" s="61" t="n"/>
    </row>
    <row r="1856" ht="14.25" customHeight="1" s="86">
      <c r="E1856" s="53" t="inlineStr">
        <is>
          <t>NE</t>
        </is>
      </c>
      <c r="F1856" s="53" t="inlineStr">
        <is>
          <t>HAYES</t>
        </is>
      </c>
      <c r="G1856" s="59" t="n"/>
      <c r="X1856" s="61" t="n"/>
      <c r="Y1856" s="61" t="n"/>
    </row>
    <row r="1857" ht="14.25" customHeight="1" s="86">
      <c r="E1857" s="53" t="inlineStr">
        <is>
          <t>NE</t>
        </is>
      </c>
      <c r="F1857" s="53" t="inlineStr">
        <is>
          <t>HITCHCOCK</t>
        </is>
      </c>
      <c r="G1857" s="59" t="n"/>
      <c r="X1857" s="61" t="n"/>
      <c r="Y1857" s="61" t="n"/>
    </row>
    <row r="1858" ht="14.25" customHeight="1" s="86">
      <c r="E1858" s="53" t="inlineStr">
        <is>
          <t>NE</t>
        </is>
      </c>
      <c r="F1858" s="53" t="inlineStr">
        <is>
          <t>HOLT</t>
        </is>
      </c>
      <c r="G1858" s="59" t="n"/>
      <c r="X1858" s="61" t="n"/>
      <c r="Y1858" s="61" t="n"/>
    </row>
    <row r="1859" ht="14.25" customHeight="1" s="86">
      <c r="E1859" s="53" t="inlineStr">
        <is>
          <t>NE</t>
        </is>
      </c>
      <c r="F1859" s="53" t="inlineStr">
        <is>
          <t>HOOKER</t>
        </is>
      </c>
      <c r="G1859" s="59" t="n"/>
      <c r="X1859" s="61" t="n"/>
      <c r="Y1859" s="61" t="n"/>
    </row>
    <row r="1860" ht="14.25" customHeight="1" s="86">
      <c r="E1860" s="53" t="inlineStr">
        <is>
          <t>NE</t>
        </is>
      </c>
      <c r="F1860" s="53" t="inlineStr">
        <is>
          <t>HOWARD</t>
        </is>
      </c>
      <c r="G1860" s="59" t="n"/>
      <c r="X1860" s="61" t="n"/>
      <c r="Y1860" s="61" t="n"/>
    </row>
    <row r="1861" ht="14.25" customHeight="1" s="86">
      <c r="E1861" s="53" t="inlineStr">
        <is>
          <t>NE</t>
        </is>
      </c>
      <c r="F1861" s="53" t="inlineStr">
        <is>
          <t>JEFFERSON</t>
        </is>
      </c>
      <c r="G1861" s="59" t="n"/>
      <c r="X1861" s="61" t="n"/>
      <c r="Y1861" s="61" t="n"/>
    </row>
    <row r="1862" ht="14.25" customHeight="1" s="86">
      <c r="E1862" s="53" t="inlineStr">
        <is>
          <t>NE</t>
        </is>
      </c>
      <c r="F1862" s="53" t="inlineStr">
        <is>
          <t>JOHNSON</t>
        </is>
      </c>
      <c r="G1862" s="59" t="n"/>
      <c r="X1862" s="61" t="n"/>
      <c r="Y1862" s="61" t="n"/>
    </row>
    <row r="1863" ht="14.25" customHeight="1" s="86">
      <c r="E1863" s="53" t="inlineStr">
        <is>
          <t>NE</t>
        </is>
      </c>
      <c r="F1863" s="53" t="inlineStr">
        <is>
          <t>KEARNEY</t>
        </is>
      </c>
      <c r="G1863" s="59" t="n"/>
      <c r="X1863" s="61" t="n"/>
      <c r="Y1863" s="61" t="n"/>
    </row>
    <row r="1864" ht="14.25" customHeight="1" s="86">
      <c r="E1864" s="53" t="inlineStr">
        <is>
          <t>NE</t>
        </is>
      </c>
      <c r="F1864" s="53" t="inlineStr">
        <is>
          <t>KEITH</t>
        </is>
      </c>
      <c r="G1864" s="59" t="n"/>
      <c r="X1864" s="61" t="n"/>
      <c r="Y1864" s="61" t="n"/>
    </row>
    <row r="1865" ht="14.25" customHeight="1" s="86">
      <c r="E1865" s="53" t="inlineStr">
        <is>
          <t>NE</t>
        </is>
      </c>
      <c r="F1865" s="53" t="inlineStr">
        <is>
          <t>KEYA PAHA</t>
        </is>
      </c>
      <c r="G1865" s="59" t="n"/>
      <c r="X1865" s="61" t="n"/>
      <c r="Y1865" s="61" t="n"/>
    </row>
    <row r="1866" ht="14.25" customHeight="1" s="86">
      <c r="E1866" s="53" t="inlineStr">
        <is>
          <t>NE</t>
        </is>
      </c>
      <c r="F1866" s="53" t="inlineStr">
        <is>
          <t>KIMBALL</t>
        </is>
      </c>
      <c r="G1866" s="59" t="n"/>
      <c r="X1866" s="61" t="n"/>
      <c r="Y1866" s="61" t="n"/>
    </row>
    <row r="1867" ht="14.25" customHeight="1" s="86">
      <c r="E1867" s="53" t="inlineStr">
        <is>
          <t>NE</t>
        </is>
      </c>
      <c r="F1867" s="53" t="inlineStr">
        <is>
          <t>KNOX</t>
        </is>
      </c>
      <c r="G1867" s="59" t="n"/>
      <c r="X1867" s="61" t="n"/>
      <c r="Y1867" s="61" t="n"/>
    </row>
    <row r="1868" ht="14.25" customHeight="1" s="86">
      <c r="E1868" s="53" t="inlineStr">
        <is>
          <t>NE</t>
        </is>
      </c>
      <c r="F1868" s="53" t="inlineStr">
        <is>
          <t>LANCASTER</t>
        </is>
      </c>
      <c r="G1868" s="59" t="n"/>
      <c r="X1868" s="61" t="n"/>
      <c r="Y1868" s="61" t="n"/>
    </row>
    <row r="1869" ht="14.25" customHeight="1" s="86">
      <c r="E1869" s="53" t="inlineStr">
        <is>
          <t>NE</t>
        </is>
      </c>
      <c r="F1869" s="53" t="inlineStr">
        <is>
          <t>LINCOLN</t>
        </is>
      </c>
      <c r="G1869" s="59" t="n"/>
      <c r="X1869" s="61" t="n"/>
      <c r="Y1869" s="61" t="n"/>
    </row>
    <row r="1870" ht="14.25" customHeight="1" s="86">
      <c r="E1870" s="53" t="inlineStr">
        <is>
          <t>NE</t>
        </is>
      </c>
      <c r="F1870" s="53" t="inlineStr">
        <is>
          <t>LOGAN</t>
        </is>
      </c>
      <c r="G1870" s="59" t="n"/>
      <c r="X1870" s="61" t="n"/>
      <c r="Y1870" s="61" t="n"/>
    </row>
    <row r="1871" ht="14.25" customHeight="1" s="86">
      <c r="E1871" s="53" t="inlineStr">
        <is>
          <t>NE</t>
        </is>
      </c>
      <c r="F1871" s="53" t="inlineStr">
        <is>
          <t>LOUP</t>
        </is>
      </c>
      <c r="G1871" s="59" t="n"/>
      <c r="X1871" s="61" t="n"/>
      <c r="Y1871" s="61" t="n"/>
    </row>
    <row r="1872" ht="14.25" customHeight="1" s="86">
      <c r="E1872" s="53" t="inlineStr">
        <is>
          <t>NE</t>
        </is>
      </c>
      <c r="F1872" s="53" t="inlineStr">
        <is>
          <t>MADISON</t>
        </is>
      </c>
      <c r="G1872" s="59" t="n"/>
      <c r="X1872" s="61" t="n"/>
      <c r="Y1872" s="61" t="n"/>
    </row>
    <row r="1873" ht="14.25" customHeight="1" s="86">
      <c r="E1873" s="53" t="inlineStr">
        <is>
          <t>NE</t>
        </is>
      </c>
      <c r="F1873" s="53" t="inlineStr">
        <is>
          <t>MCPHERSON</t>
        </is>
      </c>
      <c r="G1873" s="59" t="n"/>
      <c r="X1873" s="61" t="n"/>
      <c r="Y1873" s="61" t="n"/>
    </row>
    <row r="1874" ht="14.25" customHeight="1" s="86">
      <c r="E1874" s="53" t="inlineStr">
        <is>
          <t>NE</t>
        </is>
      </c>
      <c r="F1874" s="53" t="inlineStr">
        <is>
          <t>MERRICK</t>
        </is>
      </c>
      <c r="G1874" s="59" t="n"/>
      <c r="X1874" s="61" t="n"/>
      <c r="Y1874" s="61" t="n"/>
    </row>
    <row r="1875" ht="14.25" customHeight="1" s="86">
      <c r="E1875" s="53" t="inlineStr">
        <is>
          <t>NE</t>
        </is>
      </c>
      <c r="F1875" s="53" t="inlineStr">
        <is>
          <t>MORRILL</t>
        </is>
      </c>
      <c r="G1875" s="59" t="n"/>
      <c r="X1875" s="61" t="n"/>
      <c r="Y1875" s="61" t="n"/>
    </row>
    <row r="1876" ht="14.25" customHeight="1" s="86">
      <c r="E1876" s="53" t="inlineStr">
        <is>
          <t>NE</t>
        </is>
      </c>
      <c r="F1876" s="53" t="inlineStr">
        <is>
          <t>NANCE</t>
        </is>
      </c>
      <c r="G1876" s="59" t="n"/>
      <c r="X1876" s="61" t="n"/>
      <c r="Y1876" s="61" t="n"/>
    </row>
    <row r="1877" ht="14.25" customHeight="1" s="86">
      <c r="E1877" s="53" t="inlineStr">
        <is>
          <t>NE</t>
        </is>
      </c>
      <c r="F1877" s="53" t="inlineStr">
        <is>
          <t>NEMAHA</t>
        </is>
      </c>
      <c r="G1877" s="59" t="n"/>
      <c r="X1877" s="61" t="n"/>
      <c r="Y1877" s="61" t="n"/>
    </row>
    <row r="1878" ht="14.25" customHeight="1" s="86">
      <c r="E1878" s="53" t="inlineStr">
        <is>
          <t>NE</t>
        </is>
      </c>
      <c r="F1878" s="53" t="inlineStr">
        <is>
          <t>NUCKOLLS</t>
        </is>
      </c>
      <c r="G1878" s="59" t="n"/>
      <c r="X1878" s="61" t="n"/>
      <c r="Y1878" s="61" t="n"/>
    </row>
    <row r="1879" ht="14.25" customHeight="1" s="86">
      <c r="E1879" s="53" t="inlineStr">
        <is>
          <t>NE</t>
        </is>
      </c>
      <c r="F1879" s="53" t="inlineStr">
        <is>
          <t>OTOE</t>
        </is>
      </c>
      <c r="G1879" s="59" t="n"/>
      <c r="X1879" s="61" t="n"/>
      <c r="Y1879" s="61" t="n"/>
    </row>
    <row r="1880" ht="14.25" customHeight="1" s="86">
      <c r="E1880" s="53" t="inlineStr">
        <is>
          <t>NE</t>
        </is>
      </c>
      <c r="F1880" s="53" t="inlineStr">
        <is>
          <t>PAWNEE</t>
        </is>
      </c>
      <c r="G1880" s="59" t="n"/>
      <c r="X1880" s="61" t="n"/>
      <c r="Y1880" s="61" t="n"/>
    </row>
    <row r="1881" ht="14.25" customHeight="1" s="86">
      <c r="E1881" s="53" t="inlineStr">
        <is>
          <t>NE</t>
        </is>
      </c>
      <c r="F1881" s="53" t="inlineStr">
        <is>
          <t>PERKINS</t>
        </is>
      </c>
      <c r="G1881" s="59" t="n"/>
      <c r="X1881" s="61" t="n"/>
      <c r="Y1881" s="61" t="n"/>
    </row>
    <row r="1882" ht="14.25" customHeight="1" s="86">
      <c r="E1882" s="53" t="inlineStr">
        <is>
          <t>NE</t>
        </is>
      </c>
      <c r="F1882" s="53" t="inlineStr">
        <is>
          <t>PHELPS</t>
        </is>
      </c>
      <c r="G1882" s="59" t="n"/>
      <c r="X1882" s="61" t="n"/>
      <c r="Y1882" s="61" t="n"/>
    </row>
    <row r="1883" ht="14.25" customHeight="1" s="86">
      <c r="E1883" s="53" t="inlineStr">
        <is>
          <t>NE</t>
        </is>
      </c>
      <c r="F1883" s="53" t="inlineStr">
        <is>
          <t>PIERCE</t>
        </is>
      </c>
      <c r="G1883" s="59" t="n"/>
      <c r="X1883" s="61" t="n"/>
      <c r="Y1883" s="61" t="n"/>
    </row>
    <row r="1884" ht="14.25" customHeight="1" s="86">
      <c r="E1884" s="53" t="inlineStr">
        <is>
          <t>NE</t>
        </is>
      </c>
      <c r="F1884" s="53" t="inlineStr">
        <is>
          <t>PLATTE</t>
        </is>
      </c>
      <c r="G1884" s="59" t="n"/>
      <c r="X1884" s="61" t="n"/>
      <c r="Y1884" s="61" t="n"/>
    </row>
    <row r="1885" ht="14.25" customHeight="1" s="86">
      <c r="E1885" s="53" t="inlineStr">
        <is>
          <t>NE</t>
        </is>
      </c>
      <c r="F1885" s="53" t="inlineStr">
        <is>
          <t>POLK</t>
        </is>
      </c>
      <c r="G1885" s="59" t="n"/>
      <c r="X1885" s="61" t="n"/>
      <c r="Y1885" s="61" t="n"/>
    </row>
    <row r="1886" ht="14.25" customHeight="1" s="86">
      <c r="E1886" s="53" t="inlineStr">
        <is>
          <t>NE</t>
        </is>
      </c>
      <c r="F1886" s="53" t="inlineStr">
        <is>
          <t>RED WILLOW</t>
        </is>
      </c>
      <c r="G1886" s="59" t="n"/>
      <c r="X1886" s="61" t="n"/>
      <c r="Y1886" s="61" t="n"/>
    </row>
    <row r="1887" ht="14.25" customHeight="1" s="86">
      <c r="E1887" s="53" t="inlineStr">
        <is>
          <t>NE</t>
        </is>
      </c>
      <c r="F1887" s="53" t="inlineStr">
        <is>
          <t>RICHARDSON</t>
        </is>
      </c>
      <c r="G1887" s="59" t="n"/>
      <c r="X1887" s="61" t="n"/>
      <c r="Y1887" s="61" t="n"/>
    </row>
    <row r="1888" ht="14.25" customHeight="1" s="86">
      <c r="E1888" s="53" t="inlineStr">
        <is>
          <t>NE</t>
        </is>
      </c>
      <c r="F1888" s="53" t="inlineStr">
        <is>
          <t>ROCK</t>
        </is>
      </c>
      <c r="G1888" s="59" t="n"/>
      <c r="X1888" s="61" t="n"/>
      <c r="Y1888" s="61" t="n"/>
    </row>
    <row r="1889" ht="14.25" customHeight="1" s="86">
      <c r="E1889" s="53" t="inlineStr">
        <is>
          <t>NE</t>
        </is>
      </c>
      <c r="F1889" s="53" t="inlineStr">
        <is>
          <t>SALINE</t>
        </is>
      </c>
      <c r="G1889" s="59" t="n"/>
      <c r="X1889" s="61" t="n"/>
      <c r="Y1889" s="61" t="n"/>
    </row>
    <row r="1890" ht="14.25" customHeight="1" s="86">
      <c r="E1890" s="53" t="inlineStr">
        <is>
          <t>NE</t>
        </is>
      </c>
      <c r="F1890" s="53" t="inlineStr">
        <is>
          <t>SARPY</t>
        </is>
      </c>
      <c r="G1890" s="59" t="n"/>
      <c r="X1890" s="61" t="n"/>
      <c r="Y1890" s="61" t="n"/>
    </row>
    <row r="1891" ht="14.25" customHeight="1" s="86">
      <c r="E1891" s="53" t="inlineStr">
        <is>
          <t>NE</t>
        </is>
      </c>
      <c r="F1891" s="53" t="inlineStr">
        <is>
          <t>SAUNDERS</t>
        </is>
      </c>
      <c r="G1891" s="59" t="n"/>
      <c r="X1891" s="61" t="n"/>
      <c r="Y1891" s="61" t="n"/>
    </row>
    <row r="1892" ht="14.25" customHeight="1" s="86">
      <c r="E1892" s="53" t="inlineStr">
        <is>
          <t>NE</t>
        </is>
      </c>
      <c r="F1892" s="53" t="inlineStr">
        <is>
          <t>SCOTTS BLUFF</t>
        </is>
      </c>
      <c r="G1892" s="59" t="n"/>
      <c r="X1892" s="61" t="n"/>
      <c r="Y1892" s="61" t="n"/>
    </row>
    <row r="1893" ht="14.25" customHeight="1" s="86">
      <c r="E1893" s="53" t="inlineStr">
        <is>
          <t>NE</t>
        </is>
      </c>
      <c r="F1893" s="53" t="inlineStr">
        <is>
          <t>SEWARD</t>
        </is>
      </c>
      <c r="G1893" s="59" t="n"/>
      <c r="X1893" s="61" t="n"/>
      <c r="Y1893" s="61" t="n"/>
    </row>
    <row r="1894" ht="14.25" customHeight="1" s="86">
      <c r="E1894" s="53" t="inlineStr">
        <is>
          <t>NE</t>
        </is>
      </c>
      <c r="F1894" s="53" t="inlineStr">
        <is>
          <t>SHERIDAN</t>
        </is>
      </c>
      <c r="G1894" s="59" t="n"/>
      <c r="X1894" s="61" t="n"/>
      <c r="Y1894" s="61" t="n"/>
    </row>
    <row r="1895" ht="14.25" customHeight="1" s="86">
      <c r="E1895" s="53" t="inlineStr">
        <is>
          <t>NE</t>
        </is>
      </c>
      <c r="F1895" s="53" t="inlineStr">
        <is>
          <t>SHERMAN</t>
        </is>
      </c>
      <c r="G1895" s="59" t="n"/>
      <c r="X1895" s="61" t="n"/>
      <c r="Y1895" s="61" t="n"/>
    </row>
    <row r="1896" ht="14.25" customHeight="1" s="86">
      <c r="E1896" s="53" t="inlineStr">
        <is>
          <t>NE</t>
        </is>
      </c>
      <c r="F1896" s="53" t="inlineStr">
        <is>
          <t>SIOUX</t>
        </is>
      </c>
      <c r="G1896" s="59" t="n"/>
      <c r="X1896" s="61" t="n"/>
      <c r="Y1896" s="61" t="n"/>
    </row>
    <row r="1897" ht="14.25" customHeight="1" s="86">
      <c r="E1897" s="53" t="inlineStr">
        <is>
          <t>NE</t>
        </is>
      </c>
      <c r="F1897" s="53" t="inlineStr">
        <is>
          <t>STANTON</t>
        </is>
      </c>
      <c r="G1897" s="59" t="n"/>
      <c r="X1897" s="61" t="n"/>
      <c r="Y1897" s="61" t="n"/>
    </row>
    <row r="1898" ht="14.25" customHeight="1" s="86">
      <c r="E1898" s="53" t="inlineStr">
        <is>
          <t>NE</t>
        </is>
      </c>
      <c r="F1898" s="53" t="inlineStr">
        <is>
          <t>THAYER</t>
        </is>
      </c>
      <c r="G1898" s="59" t="n"/>
      <c r="X1898" s="61" t="n"/>
      <c r="Y1898" s="61" t="n"/>
    </row>
    <row r="1899" ht="14.25" customHeight="1" s="86">
      <c r="E1899" s="53" t="inlineStr">
        <is>
          <t>NE</t>
        </is>
      </c>
      <c r="F1899" s="53" t="inlineStr">
        <is>
          <t>THOMAS</t>
        </is>
      </c>
      <c r="G1899" s="59" t="n"/>
      <c r="X1899" s="61" t="n"/>
      <c r="Y1899" s="61" t="n"/>
    </row>
    <row r="1900" ht="14.25" customHeight="1" s="86">
      <c r="E1900" s="53" t="inlineStr">
        <is>
          <t>NE</t>
        </is>
      </c>
      <c r="F1900" s="53" t="inlineStr">
        <is>
          <t>THURSTON</t>
        </is>
      </c>
      <c r="G1900" s="59" t="n"/>
      <c r="X1900" s="61" t="n"/>
      <c r="Y1900" s="61" t="n"/>
    </row>
    <row r="1901" ht="14.25" customHeight="1" s="86">
      <c r="E1901" s="53" t="inlineStr">
        <is>
          <t>NE</t>
        </is>
      </c>
      <c r="F1901" s="53" t="inlineStr">
        <is>
          <t>VALLEY</t>
        </is>
      </c>
      <c r="G1901" s="59" t="n"/>
      <c r="X1901" s="61" t="n"/>
      <c r="Y1901" s="61" t="n"/>
    </row>
    <row r="1902" ht="14.25" customHeight="1" s="86">
      <c r="E1902" s="53" t="inlineStr">
        <is>
          <t>NE</t>
        </is>
      </c>
      <c r="F1902" s="53" t="inlineStr">
        <is>
          <t>WASHINGTON</t>
        </is>
      </c>
      <c r="G1902" s="59" t="n"/>
      <c r="X1902" s="61" t="n"/>
      <c r="Y1902" s="61" t="n"/>
    </row>
    <row r="1903" ht="14.25" customHeight="1" s="86">
      <c r="E1903" s="53" t="inlineStr">
        <is>
          <t>NE</t>
        </is>
      </c>
      <c r="F1903" s="53" t="inlineStr">
        <is>
          <t>WAYNE</t>
        </is>
      </c>
      <c r="G1903" s="59" t="n"/>
      <c r="X1903" s="61" t="n"/>
      <c r="Y1903" s="61" t="n"/>
    </row>
    <row r="1904" ht="14.25" customHeight="1" s="86">
      <c r="E1904" s="53" t="inlineStr">
        <is>
          <t>NE</t>
        </is>
      </c>
      <c r="F1904" s="53" t="inlineStr">
        <is>
          <t>WEBSTER</t>
        </is>
      </c>
      <c r="G1904" s="59" t="n"/>
      <c r="X1904" s="61" t="n"/>
      <c r="Y1904" s="61" t="n"/>
    </row>
    <row r="1905" ht="14.25" customHeight="1" s="86">
      <c r="E1905" s="53" t="inlineStr">
        <is>
          <t>NE</t>
        </is>
      </c>
      <c r="F1905" s="53" t="inlineStr">
        <is>
          <t>WHEELER</t>
        </is>
      </c>
      <c r="G1905" s="59" t="n"/>
      <c r="X1905" s="61" t="n"/>
      <c r="Y1905" s="61" t="n"/>
    </row>
    <row r="1906" ht="14.25" customHeight="1" s="86">
      <c r="E1906" s="53" t="inlineStr">
        <is>
          <t>NE</t>
        </is>
      </c>
      <c r="F1906" s="53" t="inlineStr">
        <is>
          <t>YORK</t>
        </is>
      </c>
      <c r="G1906" s="59" t="n"/>
      <c r="X1906" s="61" t="n"/>
      <c r="Y1906" s="61" t="n"/>
    </row>
    <row r="1907" ht="14.25" customHeight="1" s="86">
      <c r="E1907" s="53" t="inlineStr">
        <is>
          <t>NH</t>
        </is>
      </c>
      <c r="F1907" s="53" t="inlineStr">
        <is>
          <t>BELKNAP</t>
        </is>
      </c>
      <c r="G1907" s="59" t="n"/>
      <c r="X1907" s="61" t="n"/>
      <c r="Y1907" s="61" t="n"/>
    </row>
    <row r="1908" ht="14.25" customHeight="1" s="86">
      <c r="E1908" s="53" t="inlineStr">
        <is>
          <t>NH</t>
        </is>
      </c>
      <c r="F1908" s="53" t="inlineStr">
        <is>
          <t>CARROLL</t>
        </is>
      </c>
      <c r="G1908" s="59" t="n"/>
      <c r="X1908" s="61" t="n"/>
      <c r="Y1908" s="61" t="n"/>
    </row>
    <row r="1909" ht="14.25" customHeight="1" s="86">
      <c r="E1909" s="53" t="inlineStr">
        <is>
          <t>NH</t>
        </is>
      </c>
      <c r="F1909" s="53" t="inlineStr">
        <is>
          <t>CHESHIRE</t>
        </is>
      </c>
      <c r="G1909" s="59" t="n"/>
      <c r="X1909" s="61" t="n"/>
      <c r="Y1909" s="61" t="n"/>
    </row>
    <row r="1910" ht="14.25" customHeight="1" s="86">
      <c r="E1910" s="53" t="inlineStr">
        <is>
          <t>NH</t>
        </is>
      </c>
      <c r="F1910" s="53" t="inlineStr">
        <is>
          <t>COOS</t>
        </is>
      </c>
      <c r="G1910" s="59" t="n"/>
      <c r="X1910" s="61" t="n"/>
      <c r="Y1910" s="61" t="n"/>
    </row>
    <row r="1911" ht="14.25" customHeight="1" s="86">
      <c r="E1911" s="53" t="inlineStr">
        <is>
          <t>NH</t>
        </is>
      </c>
      <c r="F1911" s="53" t="inlineStr">
        <is>
          <t>GRAFTON</t>
        </is>
      </c>
      <c r="G1911" s="59" t="n"/>
      <c r="X1911" s="61" t="n"/>
      <c r="Y1911" s="61" t="n"/>
    </row>
    <row r="1912" ht="14.25" customHeight="1" s="86">
      <c r="E1912" s="53" t="inlineStr">
        <is>
          <t>NH</t>
        </is>
      </c>
      <c r="F1912" s="53" t="inlineStr">
        <is>
          <t>HILLSBOROUGH</t>
        </is>
      </c>
      <c r="G1912" s="59" t="n"/>
      <c r="X1912" s="61" t="n"/>
      <c r="Y1912" s="61" t="n"/>
    </row>
    <row r="1913" ht="14.25" customHeight="1" s="86">
      <c r="E1913" s="53" t="inlineStr">
        <is>
          <t>NH</t>
        </is>
      </c>
      <c r="F1913" s="53" t="inlineStr">
        <is>
          <t>MERRIMACK</t>
        </is>
      </c>
      <c r="G1913" s="59" t="n"/>
      <c r="X1913" s="61" t="n"/>
      <c r="Y1913" s="61" t="n"/>
    </row>
    <row r="1914" ht="14.25" customHeight="1" s="86">
      <c r="E1914" s="53" t="inlineStr">
        <is>
          <t>NH</t>
        </is>
      </c>
      <c r="F1914" s="53" t="inlineStr">
        <is>
          <t>ROCKINGHAM</t>
        </is>
      </c>
      <c r="G1914" s="59" t="n"/>
      <c r="X1914" s="61" t="n"/>
      <c r="Y1914" s="61" t="n"/>
    </row>
    <row r="1915" ht="14.25" customHeight="1" s="86">
      <c r="E1915" s="53" t="inlineStr">
        <is>
          <t>NH</t>
        </is>
      </c>
      <c r="F1915" s="53" t="inlineStr">
        <is>
          <t>STRAFFORD</t>
        </is>
      </c>
      <c r="G1915" s="59" t="n"/>
      <c r="X1915" s="61" t="n"/>
      <c r="Y1915" s="61" t="n"/>
    </row>
    <row r="1916" ht="14.25" customHeight="1" s="86">
      <c r="E1916" s="53" t="inlineStr">
        <is>
          <t>NH</t>
        </is>
      </c>
      <c r="F1916" s="53" t="inlineStr">
        <is>
          <t>SULLIVAN</t>
        </is>
      </c>
      <c r="G1916" s="59" t="n"/>
      <c r="X1916" s="61" t="n"/>
      <c r="Y1916" s="61" t="n"/>
    </row>
    <row r="1917" ht="14.25" customHeight="1" s="86">
      <c r="E1917" s="53" t="inlineStr">
        <is>
          <t>NJ</t>
        </is>
      </c>
      <c r="F1917" s="53" t="inlineStr">
        <is>
          <t>ATLANTIC</t>
        </is>
      </c>
      <c r="G1917" s="59" t="n"/>
      <c r="X1917" s="61" t="n"/>
      <c r="Y1917" s="61" t="n"/>
    </row>
    <row r="1918" ht="14.25" customHeight="1" s="86">
      <c r="E1918" s="53" t="inlineStr">
        <is>
          <t>NJ</t>
        </is>
      </c>
      <c r="F1918" s="53" t="inlineStr">
        <is>
          <t>BERGEN</t>
        </is>
      </c>
      <c r="G1918" s="59" t="n"/>
      <c r="X1918" s="61" t="n"/>
      <c r="Y1918" s="61" t="n"/>
    </row>
    <row r="1919" ht="14.25" customHeight="1" s="86">
      <c r="E1919" s="53" t="inlineStr">
        <is>
          <t>NJ</t>
        </is>
      </c>
      <c r="F1919" s="53" t="inlineStr">
        <is>
          <t>BURLINGTON</t>
        </is>
      </c>
      <c r="G1919" s="59" t="n"/>
      <c r="X1919" s="61" t="n"/>
      <c r="Y1919" s="61" t="n"/>
    </row>
    <row r="1920" ht="14.25" customHeight="1" s="86">
      <c r="E1920" s="53" t="inlineStr">
        <is>
          <t>NJ</t>
        </is>
      </c>
      <c r="F1920" s="53" t="inlineStr">
        <is>
          <t>CAMDEN</t>
        </is>
      </c>
      <c r="G1920" s="59" t="n"/>
      <c r="X1920" s="61" t="n"/>
      <c r="Y1920" s="61" t="n"/>
    </row>
    <row r="1921" ht="14.25" customHeight="1" s="86">
      <c r="E1921" s="53" t="inlineStr">
        <is>
          <t>NJ</t>
        </is>
      </c>
      <c r="F1921" s="53" t="inlineStr">
        <is>
          <t>CAPE MAY</t>
        </is>
      </c>
      <c r="G1921" s="59" t="n"/>
      <c r="X1921" s="61" t="n"/>
      <c r="Y1921" s="61" t="n"/>
    </row>
    <row r="1922" ht="14.25" customHeight="1" s="86">
      <c r="E1922" s="53" t="inlineStr">
        <is>
          <t>NJ</t>
        </is>
      </c>
      <c r="F1922" s="53" t="inlineStr">
        <is>
          <t>CUMBERLAND</t>
        </is>
      </c>
      <c r="G1922" s="59" t="n"/>
      <c r="X1922" s="61" t="n"/>
      <c r="Y1922" s="61" t="n"/>
    </row>
    <row r="1923" ht="14.25" customHeight="1" s="86">
      <c r="E1923" s="53" t="inlineStr">
        <is>
          <t>NJ</t>
        </is>
      </c>
      <c r="F1923" s="53" t="inlineStr">
        <is>
          <t>ESSEX</t>
        </is>
      </c>
      <c r="G1923" s="59" t="n"/>
      <c r="X1923" s="61" t="n"/>
      <c r="Y1923" s="61" t="n"/>
    </row>
    <row r="1924" ht="14.25" customHeight="1" s="86">
      <c r="E1924" s="53" t="inlineStr">
        <is>
          <t>NJ</t>
        </is>
      </c>
      <c r="F1924" s="53" t="inlineStr">
        <is>
          <t>GLOUCESTER</t>
        </is>
      </c>
      <c r="G1924" s="59" t="n"/>
      <c r="X1924" s="61" t="n"/>
      <c r="Y1924" s="61" t="n"/>
    </row>
    <row r="1925" ht="14.25" customHeight="1" s="86">
      <c r="E1925" s="53" t="inlineStr">
        <is>
          <t>NJ</t>
        </is>
      </c>
      <c r="F1925" s="53" t="inlineStr">
        <is>
          <t>HUDSON</t>
        </is>
      </c>
      <c r="G1925" s="59" t="n"/>
      <c r="X1925" s="61" t="n"/>
      <c r="Y1925" s="61" t="n"/>
    </row>
    <row r="1926" ht="14.25" customHeight="1" s="86">
      <c r="E1926" s="53" t="inlineStr">
        <is>
          <t>NJ</t>
        </is>
      </c>
      <c r="F1926" s="53" t="inlineStr">
        <is>
          <t>HUNTERDON</t>
        </is>
      </c>
      <c r="G1926" s="59" t="n"/>
      <c r="X1926" s="61" t="n"/>
      <c r="Y1926" s="61" t="n"/>
    </row>
    <row r="1927" ht="14.25" customHeight="1" s="86">
      <c r="E1927" s="53" t="inlineStr">
        <is>
          <t>NJ</t>
        </is>
      </c>
      <c r="F1927" s="53" t="inlineStr">
        <is>
          <t>MERCER</t>
        </is>
      </c>
      <c r="G1927" s="59" t="n"/>
      <c r="X1927" s="61" t="n"/>
      <c r="Y1927" s="61" t="n"/>
    </row>
    <row r="1928" ht="14.25" customHeight="1" s="86">
      <c r="E1928" s="53" t="inlineStr">
        <is>
          <t>NJ</t>
        </is>
      </c>
      <c r="F1928" s="53" t="inlineStr">
        <is>
          <t>MIDDLESEX</t>
        </is>
      </c>
      <c r="G1928" s="59" t="n"/>
      <c r="X1928" s="61" t="n"/>
      <c r="Y1928" s="61" t="n"/>
    </row>
    <row r="1929" ht="14.25" customHeight="1" s="86">
      <c r="E1929" s="53" t="inlineStr">
        <is>
          <t>NJ</t>
        </is>
      </c>
      <c r="F1929" s="53" t="inlineStr">
        <is>
          <t>MONMOUTH</t>
        </is>
      </c>
      <c r="G1929" s="59" t="n"/>
      <c r="X1929" s="61" t="n"/>
      <c r="Y1929" s="61" t="n"/>
    </row>
    <row r="1930" ht="14.25" customHeight="1" s="86">
      <c r="E1930" s="53" t="inlineStr">
        <is>
          <t>NJ</t>
        </is>
      </c>
      <c r="F1930" s="53" t="inlineStr">
        <is>
          <t>MORRIS</t>
        </is>
      </c>
      <c r="G1930" s="59" t="n"/>
      <c r="X1930" s="61" t="n"/>
      <c r="Y1930" s="61" t="n"/>
    </row>
    <row r="1931" ht="14.25" customHeight="1" s="86">
      <c r="E1931" s="53" t="inlineStr">
        <is>
          <t>NJ</t>
        </is>
      </c>
      <c r="F1931" s="53" t="inlineStr">
        <is>
          <t>OCEAN</t>
        </is>
      </c>
      <c r="G1931" s="59" t="n"/>
      <c r="X1931" s="61" t="n"/>
      <c r="Y1931" s="61" t="n"/>
    </row>
    <row r="1932" ht="14.25" customHeight="1" s="86">
      <c r="E1932" s="53" t="inlineStr">
        <is>
          <t>NJ</t>
        </is>
      </c>
      <c r="F1932" s="53" t="inlineStr">
        <is>
          <t>PASSAIC</t>
        </is>
      </c>
      <c r="G1932" s="59" t="n"/>
      <c r="X1932" s="61" t="n"/>
      <c r="Y1932" s="61" t="n"/>
    </row>
    <row r="1933" ht="14.25" customHeight="1" s="86">
      <c r="E1933" s="53" t="inlineStr">
        <is>
          <t>NJ</t>
        </is>
      </c>
      <c r="F1933" s="53" t="inlineStr">
        <is>
          <t>SALEM</t>
        </is>
      </c>
      <c r="G1933" s="59" t="n"/>
      <c r="X1933" s="61" t="n"/>
      <c r="Y1933" s="61" t="n"/>
    </row>
    <row r="1934" ht="14.25" customHeight="1" s="86">
      <c r="E1934" s="53" t="inlineStr">
        <is>
          <t>NJ</t>
        </is>
      </c>
      <c r="F1934" s="53" t="inlineStr">
        <is>
          <t>SOMERSET</t>
        </is>
      </c>
      <c r="G1934" s="59" t="n"/>
      <c r="X1934" s="61" t="n"/>
      <c r="Y1934" s="61" t="n"/>
    </row>
    <row r="1935" ht="14.25" customHeight="1" s="86">
      <c r="E1935" s="53" t="inlineStr">
        <is>
          <t>NJ</t>
        </is>
      </c>
      <c r="F1935" s="53" t="inlineStr">
        <is>
          <t>SUSSEX</t>
        </is>
      </c>
      <c r="G1935" s="59" t="n"/>
      <c r="X1935" s="61" t="n"/>
      <c r="Y1935" s="61" t="n"/>
    </row>
    <row r="1936" ht="14.25" customHeight="1" s="86">
      <c r="E1936" s="53" t="inlineStr">
        <is>
          <t>NJ</t>
        </is>
      </c>
      <c r="F1936" s="53" t="inlineStr">
        <is>
          <t>UNION</t>
        </is>
      </c>
      <c r="G1936" s="59" t="n"/>
      <c r="X1936" s="61" t="n"/>
      <c r="Y1936" s="61" t="n"/>
    </row>
    <row r="1937" ht="14.25" customHeight="1" s="86">
      <c r="E1937" s="53" t="inlineStr">
        <is>
          <t>NJ</t>
        </is>
      </c>
      <c r="F1937" s="53" t="inlineStr">
        <is>
          <t>WARREN</t>
        </is>
      </c>
      <c r="G1937" s="59" t="n"/>
      <c r="X1937" s="61" t="n"/>
      <c r="Y1937" s="61" t="n"/>
    </row>
    <row r="1938" ht="14.25" customHeight="1" s="86">
      <c r="E1938" s="53" t="inlineStr">
        <is>
          <t>NM</t>
        </is>
      </c>
      <c r="F1938" s="53" t="inlineStr">
        <is>
          <t>BERNALILLO</t>
        </is>
      </c>
      <c r="G1938" s="59" t="n"/>
      <c r="X1938" s="61" t="n"/>
      <c r="Y1938" s="61" t="n"/>
    </row>
    <row r="1939" ht="14.25" customHeight="1" s="86">
      <c r="E1939" s="53" t="inlineStr">
        <is>
          <t>NM</t>
        </is>
      </c>
      <c r="F1939" s="53" t="inlineStr">
        <is>
          <t>CATRON</t>
        </is>
      </c>
      <c r="G1939" s="59" t="n"/>
      <c r="X1939" s="61" t="n"/>
      <c r="Y1939" s="61" t="n"/>
    </row>
    <row r="1940" ht="14.25" customHeight="1" s="86">
      <c r="E1940" s="53" t="inlineStr">
        <is>
          <t>NM</t>
        </is>
      </c>
      <c r="F1940" s="53" t="inlineStr">
        <is>
          <t>CHAVES</t>
        </is>
      </c>
      <c r="G1940" s="59" t="n"/>
      <c r="X1940" s="61" t="n"/>
      <c r="Y1940" s="61" t="n"/>
    </row>
    <row r="1941" ht="14.25" customHeight="1" s="86">
      <c r="E1941" s="53" t="inlineStr">
        <is>
          <t>NM</t>
        </is>
      </c>
      <c r="F1941" s="53" t="inlineStr">
        <is>
          <t>CIBOLA</t>
        </is>
      </c>
      <c r="G1941" s="59" t="n"/>
      <c r="X1941" s="61" t="n"/>
      <c r="Y1941" s="61" t="n"/>
    </row>
    <row r="1942" ht="14.25" customHeight="1" s="86">
      <c r="E1942" s="53" t="inlineStr">
        <is>
          <t>NM</t>
        </is>
      </c>
      <c r="F1942" s="53" t="inlineStr">
        <is>
          <t>COLFAX</t>
        </is>
      </c>
      <c r="G1942" s="59" t="n"/>
      <c r="X1942" s="61" t="n"/>
      <c r="Y1942" s="61" t="n"/>
    </row>
    <row r="1943" ht="14.25" customHeight="1" s="86">
      <c r="E1943" s="53" t="inlineStr">
        <is>
          <t>NM</t>
        </is>
      </c>
      <c r="F1943" s="53" t="inlineStr">
        <is>
          <t>CURRY</t>
        </is>
      </c>
      <c r="G1943" s="59" t="n"/>
      <c r="X1943" s="61" t="n"/>
      <c r="Y1943" s="61" t="n"/>
    </row>
    <row r="1944" ht="14.25" customHeight="1" s="86">
      <c r="E1944" s="53" t="inlineStr">
        <is>
          <t>NM</t>
        </is>
      </c>
      <c r="F1944" s="53" t="inlineStr">
        <is>
          <t>DE BACA</t>
        </is>
      </c>
      <c r="G1944" s="59" t="n"/>
      <c r="X1944" s="61" t="n"/>
      <c r="Y1944" s="61" t="n"/>
    </row>
    <row r="1945" ht="14.25" customHeight="1" s="86">
      <c r="E1945" s="53" t="inlineStr">
        <is>
          <t>NM</t>
        </is>
      </c>
      <c r="F1945" s="53" t="inlineStr">
        <is>
          <t>DONA ANA</t>
        </is>
      </c>
      <c r="G1945" s="59" t="n"/>
      <c r="X1945" s="61" t="n"/>
      <c r="Y1945" s="61" t="n"/>
    </row>
    <row r="1946" ht="14.25" customHeight="1" s="86">
      <c r="E1946" s="53" t="inlineStr">
        <is>
          <t>NM</t>
        </is>
      </c>
      <c r="F1946" s="53" t="inlineStr">
        <is>
          <t>EDDY</t>
        </is>
      </c>
      <c r="G1946" s="59" t="n"/>
      <c r="X1946" s="61" t="n"/>
      <c r="Y1946" s="61" t="n"/>
    </row>
    <row r="1947" ht="14.25" customHeight="1" s="86">
      <c r="E1947" s="53" t="inlineStr">
        <is>
          <t>NM</t>
        </is>
      </c>
      <c r="F1947" s="53" t="inlineStr">
        <is>
          <t>GRANT</t>
        </is>
      </c>
      <c r="G1947" s="59" t="n"/>
      <c r="X1947" s="61" t="n"/>
      <c r="Y1947" s="61" t="n"/>
    </row>
    <row r="1948" ht="14.25" customHeight="1" s="86">
      <c r="E1948" s="53" t="inlineStr">
        <is>
          <t>NM</t>
        </is>
      </c>
      <c r="F1948" s="53" t="inlineStr">
        <is>
          <t>GUADALUPE</t>
        </is>
      </c>
      <c r="G1948" s="59" t="n"/>
      <c r="X1948" s="61" t="n"/>
      <c r="Y1948" s="61" t="n"/>
    </row>
    <row r="1949" ht="14.25" customHeight="1" s="86">
      <c r="E1949" s="53" t="inlineStr">
        <is>
          <t>NM</t>
        </is>
      </c>
      <c r="F1949" s="53" t="inlineStr">
        <is>
          <t>HARDING</t>
        </is>
      </c>
      <c r="G1949" s="59" t="n"/>
      <c r="X1949" s="61" t="n"/>
      <c r="Y1949" s="61" t="n"/>
    </row>
    <row r="1950" ht="14.25" customHeight="1" s="86">
      <c r="E1950" s="53" t="inlineStr">
        <is>
          <t>NM</t>
        </is>
      </c>
      <c r="F1950" s="53" t="inlineStr">
        <is>
          <t>HIDALGO</t>
        </is>
      </c>
      <c r="G1950" s="59" t="n"/>
      <c r="X1950" s="61" t="n"/>
      <c r="Y1950" s="61" t="n"/>
    </row>
    <row r="1951" ht="14.25" customHeight="1" s="86">
      <c r="E1951" s="53" t="inlineStr">
        <is>
          <t>NM</t>
        </is>
      </c>
      <c r="F1951" s="53" t="inlineStr">
        <is>
          <t>LEA</t>
        </is>
      </c>
      <c r="G1951" s="59" t="n"/>
      <c r="X1951" s="61" t="n"/>
      <c r="Y1951" s="61" t="n"/>
    </row>
    <row r="1952" ht="14.25" customHeight="1" s="86">
      <c r="E1952" s="53" t="inlineStr">
        <is>
          <t>NM</t>
        </is>
      </c>
      <c r="F1952" s="53" t="inlineStr">
        <is>
          <t>LINCOLN</t>
        </is>
      </c>
      <c r="G1952" s="59" t="n"/>
      <c r="X1952" s="61" t="n"/>
      <c r="Y1952" s="61" t="n"/>
    </row>
    <row r="1953" ht="14.25" customHeight="1" s="86">
      <c r="E1953" s="53" t="inlineStr">
        <is>
          <t>NM</t>
        </is>
      </c>
      <c r="F1953" s="53" t="inlineStr">
        <is>
          <t>LOS ALAMOS</t>
        </is>
      </c>
      <c r="G1953" s="59" t="n"/>
      <c r="X1953" s="61" t="n"/>
      <c r="Y1953" s="61" t="n"/>
    </row>
    <row r="1954" ht="14.25" customHeight="1" s="86">
      <c r="E1954" s="53" t="inlineStr">
        <is>
          <t>NM</t>
        </is>
      </c>
      <c r="F1954" s="53" t="inlineStr">
        <is>
          <t>LUNA</t>
        </is>
      </c>
      <c r="G1954" s="59" t="n"/>
      <c r="X1954" s="61" t="n"/>
      <c r="Y1954" s="61" t="n"/>
    </row>
    <row r="1955" ht="14.25" customHeight="1" s="86">
      <c r="E1955" s="53" t="inlineStr">
        <is>
          <t>NM</t>
        </is>
      </c>
      <c r="F1955" s="53" t="inlineStr">
        <is>
          <t>MCKINLEY</t>
        </is>
      </c>
      <c r="G1955" s="59" t="n"/>
      <c r="X1955" s="61" t="n"/>
      <c r="Y1955" s="61" t="n"/>
    </row>
    <row r="1956" ht="14.25" customHeight="1" s="86">
      <c r="E1956" s="53" t="inlineStr">
        <is>
          <t>NM</t>
        </is>
      </c>
      <c r="F1956" s="53" t="inlineStr">
        <is>
          <t>MORA</t>
        </is>
      </c>
      <c r="G1956" s="59" t="n"/>
      <c r="X1956" s="61" t="n"/>
      <c r="Y1956" s="61" t="n"/>
    </row>
    <row r="1957" ht="14.25" customHeight="1" s="86">
      <c r="E1957" s="53" t="inlineStr">
        <is>
          <t>NM</t>
        </is>
      </c>
      <c r="F1957" s="53" t="inlineStr">
        <is>
          <t>OTERO</t>
        </is>
      </c>
      <c r="G1957" s="59" t="n"/>
      <c r="X1957" s="61" t="n"/>
      <c r="Y1957" s="61" t="n"/>
    </row>
    <row r="1958" ht="14.25" customHeight="1" s="86">
      <c r="E1958" s="53" t="inlineStr">
        <is>
          <t>NM</t>
        </is>
      </c>
      <c r="F1958" s="53" t="inlineStr">
        <is>
          <t>QUAY</t>
        </is>
      </c>
      <c r="G1958" s="59" t="n"/>
      <c r="X1958" s="61" t="n"/>
      <c r="Y1958" s="61" t="n"/>
    </row>
    <row r="1959" ht="14.25" customHeight="1" s="86">
      <c r="E1959" s="53" t="inlineStr">
        <is>
          <t>NM</t>
        </is>
      </c>
      <c r="F1959" s="53" t="inlineStr">
        <is>
          <t>RIO ARRIBA</t>
        </is>
      </c>
      <c r="G1959" s="59" t="n"/>
      <c r="X1959" s="61" t="n"/>
      <c r="Y1959" s="61" t="n"/>
    </row>
    <row r="1960" ht="14.25" customHeight="1" s="86">
      <c r="E1960" s="53" t="inlineStr">
        <is>
          <t>NM</t>
        </is>
      </c>
      <c r="F1960" s="53" t="inlineStr">
        <is>
          <t>ROOSEVELT</t>
        </is>
      </c>
      <c r="G1960" s="59" t="n"/>
      <c r="X1960" s="61" t="n"/>
      <c r="Y1960" s="61" t="n"/>
    </row>
    <row r="1961" ht="14.25" customHeight="1" s="86">
      <c r="E1961" s="53" t="inlineStr">
        <is>
          <t>NM</t>
        </is>
      </c>
      <c r="F1961" s="53" t="inlineStr">
        <is>
          <t>SAN JUAN</t>
        </is>
      </c>
      <c r="G1961" s="59" t="n"/>
      <c r="X1961" s="61" t="n"/>
      <c r="Y1961" s="61" t="n"/>
    </row>
    <row r="1962" ht="14.25" customHeight="1" s="86">
      <c r="E1962" s="53" t="inlineStr">
        <is>
          <t>NM</t>
        </is>
      </c>
      <c r="F1962" s="53" t="inlineStr">
        <is>
          <t>SAN MIGUEL</t>
        </is>
      </c>
      <c r="G1962" s="59" t="n"/>
      <c r="X1962" s="61" t="n"/>
      <c r="Y1962" s="61" t="n"/>
    </row>
    <row r="1963" ht="14.25" customHeight="1" s="86">
      <c r="E1963" s="53" t="inlineStr">
        <is>
          <t>NM</t>
        </is>
      </c>
      <c r="F1963" s="53" t="inlineStr">
        <is>
          <t>SANDOVAL</t>
        </is>
      </c>
      <c r="G1963" s="59" t="n"/>
      <c r="X1963" s="61" t="n"/>
      <c r="Y1963" s="61" t="n"/>
    </row>
    <row r="1964" ht="14.25" customHeight="1" s="86">
      <c r="E1964" s="53" t="inlineStr">
        <is>
          <t>NM</t>
        </is>
      </c>
      <c r="F1964" s="53" t="inlineStr">
        <is>
          <t>SANTA FE</t>
        </is>
      </c>
      <c r="G1964" s="59" t="n"/>
      <c r="X1964" s="61" t="n"/>
      <c r="Y1964" s="61" t="n"/>
    </row>
    <row r="1965" ht="14.25" customHeight="1" s="86">
      <c r="E1965" s="53" t="inlineStr">
        <is>
          <t>NM</t>
        </is>
      </c>
      <c r="F1965" s="53" t="inlineStr">
        <is>
          <t>SIERRA</t>
        </is>
      </c>
      <c r="G1965" s="59" t="n"/>
      <c r="X1965" s="61" t="n"/>
      <c r="Y1965" s="61" t="n"/>
    </row>
    <row r="1966" ht="14.25" customHeight="1" s="86">
      <c r="E1966" s="53" t="inlineStr">
        <is>
          <t>NM</t>
        </is>
      </c>
      <c r="F1966" s="53" t="inlineStr">
        <is>
          <t>SOCORRO</t>
        </is>
      </c>
      <c r="G1966" s="59" t="n"/>
      <c r="X1966" s="61" t="n"/>
      <c r="Y1966" s="61" t="n"/>
    </row>
    <row r="1967" ht="14.25" customHeight="1" s="86">
      <c r="E1967" s="53" t="inlineStr">
        <is>
          <t>NM</t>
        </is>
      </c>
      <c r="F1967" s="53" t="inlineStr">
        <is>
          <t>TAOS</t>
        </is>
      </c>
      <c r="G1967" s="59" t="n"/>
      <c r="X1967" s="61" t="n"/>
      <c r="Y1967" s="61" t="n"/>
    </row>
    <row r="1968" ht="14.25" customHeight="1" s="86">
      <c r="E1968" s="53" t="inlineStr">
        <is>
          <t>NM</t>
        </is>
      </c>
      <c r="F1968" s="53" t="inlineStr">
        <is>
          <t>TORRANCE</t>
        </is>
      </c>
      <c r="G1968" s="59" t="n"/>
      <c r="X1968" s="61" t="n"/>
      <c r="Y1968" s="61" t="n"/>
    </row>
    <row r="1969" ht="14.25" customHeight="1" s="86">
      <c r="E1969" s="53" t="inlineStr">
        <is>
          <t>NM</t>
        </is>
      </c>
      <c r="F1969" s="53" t="inlineStr">
        <is>
          <t>UNION</t>
        </is>
      </c>
      <c r="G1969" s="59" t="n"/>
      <c r="X1969" s="61" t="n"/>
      <c r="Y1969" s="61" t="n"/>
    </row>
    <row r="1970" ht="14.25" customHeight="1" s="86">
      <c r="E1970" s="53" t="inlineStr">
        <is>
          <t>NM</t>
        </is>
      </c>
      <c r="F1970" s="53" t="inlineStr">
        <is>
          <t>VALENCIA</t>
        </is>
      </c>
      <c r="G1970" s="59" t="n"/>
      <c r="X1970" s="61" t="n"/>
      <c r="Y1970" s="61" t="n"/>
    </row>
    <row r="1971" ht="14.25" customHeight="1" s="86">
      <c r="E1971" s="53" t="inlineStr">
        <is>
          <t>NV</t>
        </is>
      </c>
      <c r="F1971" s="53" t="inlineStr">
        <is>
          <t>CARSON CITY</t>
        </is>
      </c>
      <c r="G1971" s="59" t="n"/>
      <c r="X1971" s="61" t="n"/>
      <c r="Y1971" s="61" t="n"/>
    </row>
    <row r="1972" ht="14.25" customHeight="1" s="86">
      <c r="E1972" s="53" t="inlineStr">
        <is>
          <t>NV</t>
        </is>
      </c>
      <c r="F1972" s="53" t="inlineStr">
        <is>
          <t>CHURCHILL</t>
        </is>
      </c>
      <c r="G1972" s="59" t="n"/>
      <c r="X1972" s="61" t="n"/>
      <c r="Y1972" s="61" t="n"/>
    </row>
    <row r="1973" ht="14.25" customHeight="1" s="86">
      <c r="E1973" s="53" t="inlineStr">
        <is>
          <t>NV</t>
        </is>
      </c>
      <c r="F1973" s="53" t="inlineStr">
        <is>
          <t>CLARK</t>
        </is>
      </c>
      <c r="G1973" s="59" t="n"/>
      <c r="X1973" s="61" t="n"/>
      <c r="Y1973" s="61" t="n"/>
    </row>
    <row r="1974" ht="14.25" customHeight="1" s="86">
      <c r="E1974" s="53" t="inlineStr">
        <is>
          <t>NV</t>
        </is>
      </c>
      <c r="F1974" s="53" t="inlineStr">
        <is>
          <t>DOUGLAS</t>
        </is>
      </c>
      <c r="G1974" s="59" t="n"/>
      <c r="X1974" s="61" t="n"/>
      <c r="Y1974" s="61" t="n"/>
    </row>
    <row r="1975" ht="14.25" customHeight="1" s="86">
      <c r="E1975" s="53" t="inlineStr">
        <is>
          <t>NV</t>
        </is>
      </c>
      <c r="F1975" s="53" t="inlineStr">
        <is>
          <t>ELKO</t>
        </is>
      </c>
      <c r="G1975" s="59" t="n"/>
      <c r="X1975" s="61" t="n"/>
      <c r="Y1975" s="61" t="n"/>
    </row>
    <row r="1976" ht="14.25" customHeight="1" s="86">
      <c r="E1976" s="53" t="inlineStr">
        <is>
          <t>NV</t>
        </is>
      </c>
      <c r="F1976" s="53" t="inlineStr">
        <is>
          <t>ESMERALDA</t>
        </is>
      </c>
      <c r="G1976" s="59" t="n"/>
      <c r="X1976" s="61" t="n"/>
      <c r="Y1976" s="61" t="n"/>
    </row>
    <row r="1977" ht="14.25" customHeight="1" s="86">
      <c r="E1977" s="53" t="inlineStr">
        <is>
          <t>NV</t>
        </is>
      </c>
      <c r="F1977" s="53" t="inlineStr">
        <is>
          <t>EUREKA</t>
        </is>
      </c>
      <c r="G1977" s="59" t="n"/>
      <c r="X1977" s="61" t="n"/>
      <c r="Y1977" s="61" t="n"/>
    </row>
    <row r="1978" ht="14.25" customHeight="1" s="86">
      <c r="E1978" s="53" t="inlineStr">
        <is>
          <t>NV</t>
        </is>
      </c>
      <c r="F1978" s="53" t="inlineStr">
        <is>
          <t>HUMBOLDT</t>
        </is>
      </c>
      <c r="G1978" s="59" t="n"/>
      <c r="X1978" s="61" t="n"/>
      <c r="Y1978" s="61" t="n"/>
    </row>
    <row r="1979" ht="14.25" customHeight="1" s="86">
      <c r="E1979" s="53" t="inlineStr">
        <is>
          <t>NV</t>
        </is>
      </c>
      <c r="F1979" s="53" t="inlineStr">
        <is>
          <t>LANDER</t>
        </is>
      </c>
      <c r="G1979" s="59" t="n"/>
      <c r="X1979" s="61" t="n"/>
      <c r="Y1979" s="61" t="n"/>
    </row>
    <row r="1980" ht="14.25" customHeight="1" s="86">
      <c r="E1980" s="53" t="inlineStr">
        <is>
          <t>NV</t>
        </is>
      </c>
      <c r="F1980" s="53" t="inlineStr">
        <is>
          <t>LINCOLN</t>
        </is>
      </c>
      <c r="G1980" s="59" t="n"/>
      <c r="X1980" s="61" t="n"/>
      <c r="Y1980" s="61" t="n"/>
    </row>
    <row r="1981" ht="14.25" customHeight="1" s="86">
      <c r="E1981" s="53" t="inlineStr">
        <is>
          <t>NV</t>
        </is>
      </c>
      <c r="F1981" s="53" t="inlineStr">
        <is>
          <t>LYON</t>
        </is>
      </c>
      <c r="G1981" s="59" t="n"/>
      <c r="X1981" s="61" t="n"/>
      <c r="Y1981" s="61" t="n"/>
    </row>
    <row r="1982" ht="14.25" customHeight="1" s="86">
      <c r="E1982" s="53" t="inlineStr">
        <is>
          <t>NV</t>
        </is>
      </c>
      <c r="F1982" s="53" t="inlineStr">
        <is>
          <t>MINERAL</t>
        </is>
      </c>
      <c r="G1982" s="59" t="n"/>
      <c r="X1982" s="61" t="n"/>
      <c r="Y1982" s="61" t="n"/>
    </row>
    <row r="1983" ht="14.25" customHeight="1" s="86">
      <c r="E1983" s="53" t="inlineStr">
        <is>
          <t>NV</t>
        </is>
      </c>
      <c r="F1983" s="53" t="inlineStr">
        <is>
          <t>NYE</t>
        </is>
      </c>
      <c r="G1983" s="59" t="n"/>
      <c r="X1983" s="61" t="n"/>
      <c r="Y1983" s="61" t="n"/>
    </row>
    <row r="1984" ht="14.25" customHeight="1" s="86">
      <c r="E1984" s="53" t="inlineStr">
        <is>
          <t>NV</t>
        </is>
      </c>
      <c r="F1984" s="53" t="inlineStr">
        <is>
          <t>PERSHING</t>
        </is>
      </c>
      <c r="G1984" s="59" t="n"/>
      <c r="X1984" s="61" t="n"/>
      <c r="Y1984" s="61" t="n"/>
    </row>
    <row r="1985" ht="14.25" customHeight="1" s="86">
      <c r="E1985" s="53" t="inlineStr">
        <is>
          <t>NV</t>
        </is>
      </c>
      <c r="F1985" s="53" t="inlineStr">
        <is>
          <t>STOREY</t>
        </is>
      </c>
      <c r="G1985" s="59" t="n"/>
      <c r="X1985" s="61" t="n"/>
      <c r="Y1985" s="61" t="n"/>
    </row>
    <row r="1986" ht="14.25" customHeight="1" s="86">
      <c r="E1986" s="53" t="inlineStr">
        <is>
          <t>NV</t>
        </is>
      </c>
      <c r="F1986" s="53" t="inlineStr">
        <is>
          <t>WASHOE</t>
        </is>
      </c>
      <c r="G1986" s="59" t="n"/>
      <c r="X1986" s="61" t="n"/>
      <c r="Y1986" s="61" t="n"/>
    </row>
    <row r="1987" ht="14.25" customHeight="1" s="86">
      <c r="E1987" s="53" t="inlineStr">
        <is>
          <t>NV</t>
        </is>
      </c>
      <c r="F1987" s="53" t="inlineStr">
        <is>
          <t>WHITE PINE</t>
        </is>
      </c>
      <c r="G1987" s="59" t="n"/>
      <c r="X1987" s="61" t="n"/>
      <c r="Y1987" s="61" t="n"/>
    </row>
    <row r="1988" ht="14.25" customHeight="1" s="86">
      <c r="E1988" s="53" t="inlineStr">
        <is>
          <t>NY</t>
        </is>
      </c>
      <c r="F1988" s="53" t="inlineStr">
        <is>
          <t>ALBANY</t>
        </is>
      </c>
      <c r="G1988" s="59" t="n"/>
      <c r="X1988" s="61" t="n"/>
      <c r="Y1988" s="61" t="n"/>
    </row>
    <row r="1989" ht="14.25" customHeight="1" s="86">
      <c r="E1989" s="53" t="inlineStr">
        <is>
          <t>NY</t>
        </is>
      </c>
      <c r="F1989" s="53" t="inlineStr">
        <is>
          <t>ALLEGANY</t>
        </is>
      </c>
      <c r="G1989" s="59" t="n"/>
      <c r="X1989" s="61" t="n"/>
      <c r="Y1989" s="61" t="n"/>
    </row>
    <row r="1990" ht="14.25" customHeight="1" s="86">
      <c r="E1990" s="53" t="inlineStr">
        <is>
          <t>NY</t>
        </is>
      </c>
      <c r="F1990" s="53" t="inlineStr">
        <is>
          <t>BRONX</t>
        </is>
      </c>
      <c r="G1990" s="59" t="n"/>
      <c r="X1990" s="61" t="n"/>
      <c r="Y1990" s="61" t="n"/>
    </row>
    <row r="1991" ht="14.25" customHeight="1" s="86">
      <c r="E1991" s="53" t="inlineStr">
        <is>
          <t>NY</t>
        </is>
      </c>
      <c r="F1991" s="53" t="inlineStr">
        <is>
          <t>BROOME</t>
        </is>
      </c>
      <c r="G1991" s="59" t="n"/>
      <c r="X1991" s="61" t="n"/>
      <c r="Y1991" s="61" t="n"/>
    </row>
    <row r="1992" ht="14.25" customHeight="1" s="86">
      <c r="E1992" s="53" t="inlineStr">
        <is>
          <t>NY</t>
        </is>
      </c>
      <c r="F1992" s="53" t="inlineStr">
        <is>
          <t>CATTARAUGUS</t>
        </is>
      </c>
      <c r="G1992" s="59" t="n"/>
      <c r="X1992" s="61" t="n"/>
      <c r="Y1992" s="61" t="n"/>
    </row>
    <row r="1993" ht="14.25" customHeight="1" s="86">
      <c r="E1993" s="53" t="inlineStr">
        <is>
          <t>NY</t>
        </is>
      </c>
      <c r="F1993" s="53" t="inlineStr">
        <is>
          <t>CAYUGA</t>
        </is>
      </c>
      <c r="G1993" s="59" t="n"/>
      <c r="X1993" s="61" t="n"/>
      <c r="Y1993" s="61" t="n"/>
    </row>
    <row r="1994" ht="14.25" customHeight="1" s="86">
      <c r="E1994" s="53" t="inlineStr">
        <is>
          <t>NY</t>
        </is>
      </c>
      <c r="F1994" s="53" t="inlineStr">
        <is>
          <t>CHAUTAUQUA</t>
        </is>
      </c>
      <c r="G1994" s="59" t="n"/>
      <c r="X1994" s="61" t="n"/>
      <c r="Y1994" s="61" t="n"/>
    </row>
    <row r="1995" ht="14.25" customHeight="1" s="86">
      <c r="E1995" s="53" t="inlineStr">
        <is>
          <t>NY</t>
        </is>
      </c>
      <c r="F1995" s="53" t="inlineStr">
        <is>
          <t>CHEMUNG</t>
        </is>
      </c>
      <c r="G1995" s="59" t="n"/>
      <c r="X1995" s="61" t="n"/>
      <c r="Y1995" s="61" t="n"/>
    </row>
    <row r="1996" ht="14.25" customHeight="1" s="86">
      <c r="E1996" s="53" t="inlineStr">
        <is>
          <t>NY</t>
        </is>
      </c>
      <c r="F1996" s="53" t="inlineStr">
        <is>
          <t>CHENANGO</t>
        </is>
      </c>
      <c r="G1996" s="59" t="n"/>
      <c r="X1996" s="61" t="n"/>
      <c r="Y1996" s="61" t="n"/>
    </row>
    <row r="1997" ht="14.25" customHeight="1" s="86">
      <c r="E1997" s="53" t="inlineStr">
        <is>
          <t>NY</t>
        </is>
      </c>
      <c r="F1997" s="53" t="inlineStr">
        <is>
          <t>CLINTON</t>
        </is>
      </c>
      <c r="G1997" s="59" t="n"/>
      <c r="X1997" s="61" t="n"/>
      <c r="Y1997" s="61" t="n"/>
    </row>
    <row r="1998" ht="14.25" customHeight="1" s="86">
      <c r="E1998" s="53" t="inlineStr">
        <is>
          <t>NY</t>
        </is>
      </c>
      <c r="F1998" s="53" t="inlineStr">
        <is>
          <t>COLUMBIA</t>
        </is>
      </c>
      <c r="G1998" s="59" t="n"/>
      <c r="X1998" s="61" t="n"/>
      <c r="Y1998" s="61" t="n"/>
    </row>
    <row r="1999" ht="14.25" customHeight="1" s="86">
      <c r="E1999" s="53" t="inlineStr">
        <is>
          <t>NY</t>
        </is>
      </c>
      <c r="F1999" s="53" t="inlineStr">
        <is>
          <t>CORTLAND</t>
        </is>
      </c>
      <c r="G1999" s="59" t="n"/>
      <c r="X1999" s="61" t="n"/>
      <c r="Y1999" s="61" t="n"/>
    </row>
    <row r="2000" ht="14.25" customHeight="1" s="86">
      <c r="E2000" s="53" t="inlineStr">
        <is>
          <t>NY</t>
        </is>
      </c>
      <c r="F2000" s="53" t="inlineStr">
        <is>
          <t>DELAWARE</t>
        </is>
      </c>
      <c r="G2000" s="59" t="n"/>
      <c r="X2000" s="61" t="n"/>
      <c r="Y2000" s="61" t="n"/>
    </row>
    <row r="2001" ht="14.25" customHeight="1" s="86">
      <c r="E2001" s="53" t="inlineStr">
        <is>
          <t>NY</t>
        </is>
      </c>
      <c r="F2001" s="53" t="inlineStr">
        <is>
          <t>DUTCHESS</t>
        </is>
      </c>
      <c r="G2001" s="59" t="n"/>
      <c r="X2001" s="61" t="n"/>
      <c r="Y2001" s="61" t="n"/>
    </row>
    <row r="2002" ht="14.25" customHeight="1" s="86">
      <c r="E2002" s="53" t="inlineStr">
        <is>
          <t>NY</t>
        </is>
      </c>
      <c r="F2002" s="53" t="inlineStr">
        <is>
          <t>ERIE</t>
        </is>
      </c>
      <c r="G2002" s="59" t="n"/>
      <c r="X2002" s="61" t="n"/>
      <c r="Y2002" s="61" t="n"/>
    </row>
    <row r="2003" ht="14.25" customHeight="1" s="86">
      <c r="E2003" s="53" t="inlineStr">
        <is>
          <t>NY</t>
        </is>
      </c>
      <c r="F2003" s="53" t="inlineStr">
        <is>
          <t>ESSEX</t>
        </is>
      </c>
      <c r="G2003" s="59" t="n"/>
      <c r="X2003" s="61" t="n"/>
      <c r="Y2003" s="61" t="n"/>
    </row>
    <row r="2004" ht="14.25" customHeight="1" s="86">
      <c r="E2004" s="53" t="inlineStr">
        <is>
          <t>NY</t>
        </is>
      </c>
      <c r="F2004" s="53" t="inlineStr">
        <is>
          <t>FRANKLIN</t>
        </is>
      </c>
      <c r="G2004" s="59" t="n"/>
      <c r="X2004" s="61" t="n"/>
      <c r="Y2004" s="61" t="n"/>
    </row>
    <row r="2005" ht="14.25" customHeight="1" s="86">
      <c r="E2005" s="53" t="inlineStr">
        <is>
          <t>NY</t>
        </is>
      </c>
      <c r="F2005" s="53" t="inlineStr">
        <is>
          <t>FULTON</t>
        </is>
      </c>
      <c r="G2005" s="59" t="n"/>
      <c r="X2005" s="61" t="n"/>
      <c r="Y2005" s="61" t="n"/>
    </row>
    <row r="2006" ht="14.25" customHeight="1" s="86">
      <c r="E2006" s="53" t="inlineStr">
        <is>
          <t>NY</t>
        </is>
      </c>
      <c r="F2006" s="53" t="inlineStr">
        <is>
          <t>GENESEE</t>
        </is>
      </c>
      <c r="G2006" s="59" t="n"/>
      <c r="X2006" s="61" t="n"/>
      <c r="Y2006" s="61" t="n"/>
    </row>
    <row r="2007" ht="14.25" customHeight="1" s="86">
      <c r="E2007" s="53" t="inlineStr">
        <is>
          <t>NY</t>
        </is>
      </c>
      <c r="F2007" s="53" t="inlineStr">
        <is>
          <t>GREENE</t>
        </is>
      </c>
      <c r="G2007" s="59" t="n"/>
      <c r="X2007" s="61" t="n"/>
      <c r="Y2007" s="61" t="n"/>
    </row>
    <row r="2008" ht="14.25" customHeight="1" s="86">
      <c r="E2008" s="53" t="inlineStr">
        <is>
          <t>NY</t>
        </is>
      </c>
      <c r="F2008" s="53" t="inlineStr">
        <is>
          <t>HAMILTON</t>
        </is>
      </c>
      <c r="G2008" s="59" t="n"/>
      <c r="X2008" s="61" t="n"/>
      <c r="Y2008" s="61" t="n"/>
    </row>
    <row r="2009" ht="14.25" customHeight="1" s="86">
      <c r="E2009" s="53" t="inlineStr">
        <is>
          <t>NY</t>
        </is>
      </c>
      <c r="F2009" s="53" t="inlineStr">
        <is>
          <t>HERKIMER</t>
        </is>
      </c>
      <c r="G2009" s="59" t="n"/>
      <c r="X2009" s="61" t="n"/>
      <c r="Y2009" s="61" t="n"/>
    </row>
    <row r="2010" ht="14.25" customHeight="1" s="86">
      <c r="E2010" s="53" t="inlineStr">
        <is>
          <t>NY</t>
        </is>
      </c>
      <c r="F2010" s="53" t="inlineStr">
        <is>
          <t>JEFFERSON</t>
        </is>
      </c>
      <c r="G2010" s="59" t="n"/>
      <c r="X2010" s="61" t="n"/>
      <c r="Y2010" s="61" t="n"/>
    </row>
    <row r="2011" ht="14.25" customHeight="1" s="86">
      <c r="E2011" s="53" t="inlineStr">
        <is>
          <t>NY</t>
        </is>
      </c>
      <c r="F2011" s="53" t="inlineStr">
        <is>
          <t>KINGS</t>
        </is>
      </c>
      <c r="G2011" s="59" t="n"/>
      <c r="X2011" s="61" t="n"/>
      <c r="Y2011" s="61" t="n"/>
    </row>
    <row r="2012" ht="14.25" customHeight="1" s="86">
      <c r="E2012" s="53" t="inlineStr">
        <is>
          <t>NY</t>
        </is>
      </c>
      <c r="F2012" s="53" t="inlineStr">
        <is>
          <t>LEWIS</t>
        </is>
      </c>
      <c r="G2012" s="59" t="n"/>
      <c r="X2012" s="61" t="n"/>
      <c r="Y2012" s="61" t="n"/>
    </row>
    <row r="2013" ht="14.25" customHeight="1" s="86">
      <c r="E2013" s="53" t="inlineStr">
        <is>
          <t>NY</t>
        </is>
      </c>
      <c r="F2013" s="53" t="inlineStr">
        <is>
          <t>LIVINGSTON</t>
        </is>
      </c>
      <c r="G2013" s="59" t="n"/>
      <c r="X2013" s="61" t="n"/>
      <c r="Y2013" s="61" t="n"/>
    </row>
    <row r="2014" ht="14.25" customHeight="1" s="86">
      <c r="E2014" s="53" t="inlineStr">
        <is>
          <t>NY</t>
        </is>
      </c>
      <c r="F2014" s="53" t="inlineStr">
        <is>
          <t>MADISON</t>
        </is>
      </c>
      <c r="G2014" s="59" t="n"/>
      <c r="X2014" s="61" t="n"/>
      <c r="Y2014" s="61" t="n"/>
    </row>
    <row r="2015" ht="14.25" customHeight="1" s="86">
      <c r="E2015" s="53" t="inlineStr">
        <is>
          <t>NY</t>
        </is>
      </c>
      <c r="F2015" s="53" t="inlineStr">
        <is>
          <t>MONROE</t>
        </is>
      </c>
      <c r="G2015" s="59" t="n"/>
      <c r="X2015" s="61" t="n"/>
      <c r="Y2015" s="61" t="n"/>
    </row>
    <row r="2016" ht="14.25" customHeight="1" s="86">
      <c r="E2016" s="53" t="inlineStr">
        <is>
          <t>NY</t>
        </is>
      </c>
      <c r="F2016" s="53" t="inlineStr">
        <is>
          <t>MONTGOMERY</t>
        </is>
      </c>
      <c r="G2016" s="59" t="n"/>
      <c r="X2016" s="61" t="n"/>
      <c r="Y2016" s="61" t="n"/>
    </row>
    <row r="2017" ht="14.25" customHeight="1" s="86">
      <c r="E2017" s="53" t="inlineStr">
        <is>
          <t>NY</t>
        </is>
      </c>
      <c r="F2017" s="53" t="inlineStr">
        <is>
          <t>NASSAU</t>
        </is>
      </c>
      <c r="G2017" s="59" t="n"/>
      <c r="X2017" s="61" t="n"/>
      <c r="Y2017" s="61" t="n"/>
    </row>
    <row r="2018" ht="14.25" customHeight="1" s="86">
      <c r="E2018" s="53" t="inlineStr">
        <is>
          <t>NY</t>
        </is>
      </c>
      <c r="F2018" s="53" t="inlineStr">
        <is>
          <t>NEW YORK</t>
        </is>
      </c>
      <c r="G2018" s="59" t="n"/>
      <c r="X2018" s="61" t="n"/>
      <c r="Y2018" s="61" t="n"/>
    </row>
    <row r="2019" ht="14.25" customHeight="1" s="86">
      <c r="E2019" s="53" t="inlineStr">
        <is>
          <t>NY</t>
        </is>
      </c>
      <c r="F2019" s="53" t="inlineStr">
        <is>
          <t>NIAGARA</t>
        </is>
      </c>
      <c r="G2019" s="59" t="n"/>
      <c r="X2019" s="61" t="n"/>
      <c r="Y2019" s="61" t="n"/>
    </row>
    <row r="2020" ht="14.25" customHeight="1" s="86">
      <c r="E2020" s="53" t="inlineStr">
        <is>
          <t>NY</t>
        </is>
      </c>
      <c r="F2020" s="53" t="inlineStr">
        <is>
          <t>ONEIDA</t>
        </is>
      </c>
      <c r="G2020" s="59" t="n"/>
      <c r="X2020" s="61" t="n"/>
      <c r="Y2020" s="61" t="n"/>
    </row>
    <row r="2021" ht="14.25" customHeight="1" s="86">
      <c r="E2021" s="53" t="inlineStr">
        <is>
          <t>NY</t>
        </is>
      </c>
      <c r="F2021" s="53" t="inlineStr">
        <is>
          <t>ONONDAGA</t>
        </is>
      </c>
      <c r="G2021" s="59" t="n"/>
      <c r="X2021" s="61" t="n"/>
      <c r="Y2021" s="61" t="n"/>
    </row>
    <row r="2022" ht="14.25" customHeight="1" s="86">
      <c r="E2022" s="53" t="inlineStr">
        <is>
          <t>NY</t>
        </is>
      </c>
      <c r="F2022" s="53" t="inlineStr">
        <is>
          <t>ONTARIO</t>
        </is>
      </c>
      <c r="G2022" s="59" t="n"/>
      <c r="X2022" s="61" t="n"/>
      <c r="Y2022" s="61" t="n"/>
    </row>
    <row r="2023" ht="14.25" customHeight="1" s="86">
      <c r="E2023" s="53" t="inlineStr">
        <is>
          <t>NY</t>
        </is>
      </c>
      <c r="F2023" s="53" t="inlineStr">
        <is>
          <t>ORANGE</t>
        </is>
      </c>
      <c r="G2023" s="59" t="n"/>
      <c r="X2023" s="61" t="n"/>
      <c r="Y2023" s="61" t="n"/>
    </row>
    <row r="2024" ht="14.25" customHeight="1" s="86">
      <c r="E2024" s="53" t="inlineStr">
        <is>
          <t>NY</t>
        </is>
      </c>
      <c r="F2024" s="53" t="inlineStr">
        <is>
          <t>ORLEANS</t>
        </is>
      </c>
      <c r="G2024" s="59" t="n"/>
      <c r="X2024" s="61" t="n"/>
      <c r="Y2024" s="61" t="n"/>
    </row>
    <row r="2025" ht="14.25" customHeight="1" s="86">
      <c r="E2025" s="53" t="inlineStr">
        <is>
          <t>NY</t>
        </is>
      </c>
      <c r="F2025" s="53" t="inlineStr">
        <is>
          <t>OSWEGO</t>
        </is>
      </c>
      <c r="G2025" s="59" t="n"/>
      <c r="X2025" s="61" t="n"/>
      <c r="Y2025" s="61" t="n"/>
    </row>
    <row r="2026" ht="14.25" customHeight="1" s="86">
      <c r="E2026" s="53" t="inlineStr">
        <is>
          <t>NY</t>
        </is>
      </c>
      <c r="F2026" s="53" t="inlineStr">
        <is>
          <t>OTSEGO</t>
        </is>
      </c>
      <c r="G2026" s="59" t="n"/>
      <c r="X2026" s="61" t="n"/>
      <c r="Y2026" s="61" t="n"/>
    </row>
    <row r="2027" ht="14.25" customHeight="1" s="86">
      <c r="E2027" s="53" t="inlineStr">
        <is>
          <t>NY</t>
        </is>
      </c>
      <c r="F2027" s="53" t="inlineStr">
        <is>
          <t>PUTNAM</t>
        </is>
      </c>
      <c r="G2027" s="59" t="n"/>
      <c r="X2027" s="61" t="n"/>
      <c r="Y2027" s="61" t="n"/>
    </row>
    <row r="2028" ht="14.25" customHeight="1" s="86">
      <c r="E2028" s="53" t="inlineStr">
        <is>
          <t>NY</t>
        </is>
      </c>
      <c r="F2028" s="53" t="inlineStr">
        <is>
          <t>QUEENS</t>
        </is>
      </c>
      <c r="G2028" s="59" t="n"/>
      <c r="X2028" s="61" t="n"/>
      <c r="Y2028" s="61" t="n"/>
    </row>
    <row r="2029" ht="14.25" customHeight="1" s="86">
      <c r="E2029" s="53" t="inlineStr">
        <is>
          <t>NY</t>
        </is>
      </c>
      <c r="F2029" s="53" t="inlineStr">
        <is>
          <t>RENSSELAER</t>
        </is>
      </c>
      <c r="G2029" s="59" t="n"/>
      <c r="X2029" s="61" t="n"/>
      <c r="Y2029" s="61" t="n"/>
    </row>
    <row r="2030" ht="14.25" customHeight="1" s="86">
      <c r="E2030" s="53" t="inlineStr">
        <is>
          <t>NY</t>
        </is>
      </c>
      <c r="F2030" s="53" t="inlineStr">
        <is>
          <t>RICHMOND</t>
        </is>
      </c>
      <c r="G2030" s="59" t="n"/>
      <c r="X2030" s="61" t="n"/>
      <c r="Y2030" s="61" t="n"/>
    </row>
    <row r="2031" ht="14.25" customHeight="1" s="86">
      <c r="E2031" s="53" t="inlineStr">
        <is>
          <t>NY</t>
        </is>
      </c>
      <c r="F2031" s="53" t="inlineStr">
        <is>
          <t>ROCKLAND</t>
        </is>
      </c>
      <c r="G2031" s="59" t="n"/>
      <c r="X2031" s="61" t="n"/>
      <c r="Y2031" s="61" t="n"/>
    </row>
    <row r="2032" ht="14.25" customHeight="1" s="86">
      <c r="E2032" s="53" t="inlineStr">
        <is>
          <t>NY</t>
        </is>
      </c>
      <c r="F2032" s="53" t="inlineStr">
        <is>
          <t>SAINT LAWRENCE</t>
        </is>
      </c>
      <c r="G2032" s="59" t="n"/>
      <c r="X2032" s="61" t="n"/>
      <c r="Y2032" s="61" t="n"/>
    </row>
    <row r="2033" ht="14.25" customHeight="1" s="86">
      <c r="E2033" s="53" t="inlineStr">
        <is>
          <t>NY</t>
        </is>
      </c>
      <c r="F2033" s="53" t="inlineStr">
        <is>
          <t>SARATOGA</t>
        </is>
      </c>
      <c r="G2033" s="59" t="n"/>
      <c r="X2033" s="61" t="n"/>
      <c r="Y2033" s="61" t="n"/>
    </row>
    <row r="2034" ht="14.25" customHeight="1" s="86">
      <c r="E2034" s="53" t="inlineStr">
        <is>
          <t>NY</t>
        </is>
      </c>
      <c r="F2034" s="53" t="inlineStr">
        <is>
          <t>SCHENECTADY</t>
        </is>
      </c>
      <c r="G2034" s="59" t="n"/>
      <c r="X2034" s="61" t="n"/>
      <c r="Y2034" s="61" t="n"/>
    </row>
    <row r="2035" ht="14.25" customHeight="1" s="86">
      <c r="E2035" s="53" t="inlineStr">
        <is>
          <t>NY</t>
        </is>
      </c>
      <c r="F2035" s="53" t="inlineStr">
        <is>
          <t>SCHOHARIE</t>
        </is>
      </c>
      <c r="G2035" s="59" t="n"/>
      <c r="X2035" s="61" t="n"/>
      <c r="Y2035" s="61" t="n"/>
    </row>
    <row r="2036" ht="14.25" customHeight="1" s="86">
      <c r="E2036" s="53" t="inlineStr">
        <is>
          <t>NY</t>
        </is>
      </c>
      <c r="F2036" s="53" t="inlineStr">
        <is>
          <t>SCHUYLER</t>
        </is>
      </c>
      <c r="G2036" s="59" t="n"/>
      <c r="X2036" s="61" t="n"/>
      <c r="Y2036" s="61" t="n"/>
    </row>
    <row r="2037" ht="14.25" customHeight="1" s="86">
      <c r="E2037" s="53" t="inlineStr">
        <is>
          <t>NY</t>
        </is>
      </c>
      <c r="F2037" s="53" t="inlineStr">
        <is>
          <t>SENECA</t>
        </is>
      </c>
      <c r="G2037" s="59" t="n"/>
      <c r="X2037" s="61" t="n"/>
      <c r="Y2037" s="61" t="n"/>
    </row>
    <row r="2038" ht="14.25" customHeight="1" s="86">
      <c r="E2038" s="53" t="inlineStr">
        <is>
          <t>NY</t>
        </is>
      </c>
      <c r="F2038" s="53" t="inlineStr">
        <is>
          <t>STEUBEN</t>
        </is>
      </c>
      <c r="G2038" s="59" t="n"/>
      <c r="X2038" s="61" t="n"/>
      <c r="Y2038" s="61" t="n"/>
    </row>
    <row r="2039" ht="14.25" customHeight="1" s="86">
      <c r="E2039" s="53" t="inlineStr">
        <is>
          <t>NY</t>
        </is>
      </c>
      <c r="F2039" s="53" t="inlineStr">
        <is>
          <t>SUFFOLK</t>
        </is>
      </c>
      <c r="G2039" s="59" t="n"/>
      <c r="X2039" s="61" t="n"/>
      <c r="Y2039" s="61" t="n"/>
    </row>
    <row r="2040" ht="14.25" customHeight="1" s="86">
      <c r="E2040" s="53" t="inlineStr">
        <is>
          <t>NY</t>
        </is>
      </c>
      <c r="F2040" s="53" t="inlineStr">
        <is>
          <t>SULLIVAN</t>
        </is>
      </c>
      <c r="G2040" s="59" t="n"/>
      <c r="X2040" s="61" t="n"/>
      <c r="Y2040" s="61" t="n"/>
    </row>
    <row r="2041" ht="14.25" customHeight="1" s="86">
      <c r="E2041" s="53" t="inlineStr">
        <is>
          <t>NY</t>
        </is>
      </c>
      <c r="F2041" s="53" t="inlineStr">
        <is>
          <t>TIOGA</t>
        </is>
      </c>
      <c r="G2041" s="59" t="n"/>
      <c r="X2041" s="61" t="n"/>
      <c r="Y2041" s="61" t="n"/>
    </row>
    <row r="2042" ht="14.25" customHeight="1" s="86">
      <c r="E2042" s="53" t="inlineStr">
        <is>
          <t>NY</t>
        </is>
      </c>
      <c r="F2042" s="53" t="inlineStr">
        <is>
          <t>TOMPKINS</t>
        </is>
      </c>
      <c r="G2042" s="59" t="n"/>
      <c r="X2042" s="61" t="n"/>
      <c r="Y2042" s="61" t="n"/>
    </row>
    <row r="2043" ht="14.25" customHeight="1" s="86">
      <c r="E2043" s="53" t="inlineStr">
        <is>
          <t>NY</t>
        </is>
      </c>
      <c r="F2043" s="53" t="inlineStr">
        <is>
          <t>ULSTER</t>
        </is>
      </c>
      <c r="G2043" s="59" t="n"/>
      <c r="X2043" s="61" t="n"/>
      <c r="Y2043" s="61" t="n"/>
    </row>
    <row r="2044" ht="14.25" customHeight="1" s="86">
      <c r="E2044" s="53" t="inlineStr">
        <is>
          <t>NY</t>
        </is>
      </c>
      <c r="F2044" s="53" t="inlineStr">
        <is>
          <t>WARREN</t>
        </is>
      </c>
      <c r="G2044" s="59" t="n"/>
      <c r="X2044" s="61" t="n"/>
      <c r="Y2044" s="61" t="n"/>
    </row>
    <row r="2045" ht="14.25" customHeight="1" s="86">
      <c r="E2045" s="53" t="inlineStr">
        <is>
          <t>NY</t>
        </is>
      </c>
      <c r="F2045" s="53" t="inlineStr">
        <is>
          <t>WASHINGTON</t>
        </is>
      </c>
      <c r="G2045" s="59" t="n"/>
      <c r="X2045" s="61" t="n"/>
      <c r="Y2045" s="61" t="n"/>
    </row>
    <row r="2046" ht="14.25" customHeight="1" s="86">
      <c r="E2046" s="53" t="inlineStr">
        <is>
          <t>NY</t>
        </is>
      </c>
      <c r="F2046" s="53" t="inlineStr">
        <is>
          <t>WAYNE</t>
        </is>
      </c>
      <c r="G2046" s="59" t="n"/>
      <c r="X2046" s="61" t="n"/>
      <c r="Y2046" s="61" t="n"/>
    </row>
    <row r="2047" ht="14.25" customHeight="1" s="86">
      <c r="E2047" s="53" t="inlineStr">
        <is>
          <t>NY</t>
        </is>
      </c>
      <c r="F2047" s="53" t="inlineStr">
        <is>
          <t>WESTCHESTER</t>
        </is>
      </c>
      <c r="G2047" s="59" t="n"/>
      <c r="X2047" s="61" t="n"/>
      <c r="Y2047" s="61" t="n"/>
    </row>
    <row r="2048" ht="14.25" customHeight="1" s="86">
      <c r="E2048" s="53" t="inlineStr">
        <is>
          <t>NY</t>
        </is>
      </c>
      <c r="F2048" s="53" t="inlineStr">
        <is>
          <t>WYOMING</t>
        </is>
      </c>
      <c r="G2048" s="59" t="n"/>
      <c r="X2048" s="61" t="n"/>
      <c r="Y2048" s="61" t="n"/>
    </row>
    <row r="2049" ht="14.25" customHeight="1" s="86">
      <c r="E2049" s="53" t="inlineStr">
        <is>
          <t>NY</t>
        </is>
      </c>
      <c r="F2049" s="53" t="inlineStr">
        <is>
          <t>YATES</t>
        </is>
      </c>
      <c r="G2049" s="59" t="n"/>
      <c r="X2049" s="61" t="n"/>
      <c r="Y2049" s="61" t="n"/>
    </row>
    <row r="2050" ht="14.25" customHeight="1" s="86">
      <c r="E2050" s="53" t="inlineStr">
        <is>
          <t>OH</t>
        </is>
      </c>
      <c r="F2050" s="53" t="inlineStr">
        <is>
          <t>ADAMS</t>
        </is>
      </c>
      <c r="G2050" s="59" t="n"/>
      <c r="X2050" s="61" t="n"/>
      <c r="Y2050" s="61" t="n"/>
    </row>
    <row r="2051" ht="14.25" customHeight="1" s="86">
      <c r="E2051" s="53" t="inlineStr">
        <is>
          <t>OH</t>
        </is>
      </c>
      <c r="F2051" s="53" t="inlineStr">
        <is>
          <t>ALLEN</t>
        </is>
      </c>
      <c r="G2051" s="59" t="n"/>
      <c r="X2051" s="61" t="n"/>
      <c r="Y2051" s="61" t="n"/>
    </row>
    <row r="2052" ht="14.25" customHeight="1" s="86">
      <c r="E2052" s="53" t="inlineStr">
        <is>
          <t>OH</t>
        </is>
      </c>
      <c r="F2052" s="53" t="inlineStr">
        <is>
          <t>ASHLAND</t>
        </is>
      </c>
      <c r="G2052" s="59" t="n"/>
      <c r="X2052" s="61" t="n"/>
      <c r="Y2052" s="61" t="n"/>
    </row>
    <row r="2053" ht="14.25" customHeight="1" s="86">
      <c r="E2053" s="53" t="inlineStr">
        <is>
          <t>OH</t>
        </is>
      </c>
      <c r="F2053" s="53" t="inlineStr">
        <is>
          <t>ASHTABULA</t>
        </is>
      </c>
      <c r="G2053" s="59" t="n"/>
      <c r="X2053" s="61" t="n"/>
      <c r="Y2053" s="61" t="n"/>
    </row>
    <row r="2054" ht="14.25" customHeight="1" s="86">
      <c r="E2054" s="53" t="inlineStr">
        <is>
          <t>OH</t>
        </is>
      </c>
      <c r="F2054" s="53" t="inlineStr">
        <is>
          <t>ATHENS</t>
        </is>
      </c>
      <c r="G2054" s="59" t="n"/>
      <c r="X2054" s="61" t="n"/>
      <c r="Y2054" s="61" t="n"/>
    </row>
    <row r="2055" ht="14.25" customHeight="1" s="86">
      <c r="E2055" s="53" t="inlineStr">
        <is>
          <t>OH</t>
        </is>
      </c>
      <c r="F2055" s="53" t="inlineStr">
        <is>
          <t>AUGLAIZE</t>
        </is>
      </c>
      <c r="G2055" s="59" t="n"/>
      <c r="X2055" s="61" t="n"/>
      <c r="Y2055" s="61" t="n"/>
    </row>
    <row r="2056" ht="14.25" customHeight="1" s="86">
      <c r="E2056" s="53" t="inlineStr">
        <is>
          <t>OH</t>
        </is>
      </c>
      <c r="F2056" s="53" t="inlineStr">
        <is>
          <t>BELMONT</t>
        </is>
      </c>
      <c r="G2056" s="59" t="n"/>
      <c r="X2056" s="61" t="n"/>
      <c r="Y2056" s="61" t="n"/>
    </row>
    <row r="2057" ht="14.25" customHeight="1" s="86">
      <c r="E2057" s="53" t="inlineStr">
        <is>
          <t>OH</t>
        </is>
      </c>
      <c r="F2057" s="53" t="inlineStr">
        <is>
          <t>BROWN</t>
        </is>
      </c>
      <c r="G2057" s="59" t="n"/>
      <c r="X2057" s="61" t="n"/>
      <c r="Y2057" s="61" t="n"/>
    </row>
    <row r="2058" ht="14.25" customHeight="1" s="86">
      <c r="E2058" s="53" t="inlineStr">
        <is>
          <t>OH</t>
        </is>
      </c>
      <c r="F2058" s="53" t="inlineStr">
        <is>
          <t>BUTLER</t>
        </is>
      </c>
      <c r="G2058" s="59" t="n"/>
      <c r="X2058" s="61" t="n"/>
      <c r="Y2058" s="61" t="n"/>
    </row>
    <row r="2059" ht="14.25" customHeight="1" s="86">
      <c r="E2059" s="53" t="inlineStr">
        <is>
          <t>OH</t>
        </is>
      </c>
      <c r="F2059" s="53" t="inlineStr">
        <is>
          <t>CARROLL</t>
        </is>
      </c>
      <c r="G2059" s="59" t="n"/>
      <c r="X2059" s="61" t="n"/>
      <c r="Y2059" s="61" t="n"/>
    </row>
    <row r="2060" ht="14.25" customHeight="1" s="86">
      <c r="E2060" s="53" t="inlineStr">
        <is>
          <t>OH</t>
        </is>
      </c>
      <c r="F2060" s="53" t="inlineStr">
        <is>
          <t>CHAMPAIGN</t>
        </is>
      </c>
      <c r="G2060" s="59" t="n"/>
      <c r="X2060" s="61" t="n"/>
      <c r="Y2060" s="61" t="n"/>
    </row>
    <row r="2061" ht="14.25" customHeight="1" s="86">
      <c r="E2061" s="53" t="inlineStr">
        <is>
          <t>OH</t>
        </is>
      </c>
      <c r="F2061" s="53" t="inlineStr">
        <is>
          <t>CLARK</t>
        </is>
      </c>
      <c r="G2061" s="59" t="n"/>
      <c r="X2061" s="61" t="n"/>
      <c r="Y2061" s="61" t="n"/>
    </row>
    <row r="2062" ht="14.25" customHeight="1" s="86">
      <c r="E2062" s="53" t="inlineStr">
        <is>
          <t>OH</t>
        </is>
      </c>
      <c r="F2062" s="53" t="inlineStr">
        <is>
          <t>CLERMONT</t>
        </is>
      </c>
      <c r="G2062" s="59" t="n"/>
      <c r="X2062" s="61" t="n"/>
      <c r="Y2062" s="61" t="n"/>
    </row>
    <row r="2063" ht="14.25" customHeight="1" s="86">
      <c r="E2063" s="53" t="inlineStr">
        <is>
          <t>OH</t>
        </is>
      </c>
      <c r="F2063" s="53" t="inlineStr">
        <is>
          <t>CLINTON</t>
        </is>
      </c>
      <c r="G2063" s="59" t="n"/>
      <c r="X2063" s="61" t="n"/>
      <c r="Y2063" s="61" t="n"/>
    </row>
    <row r="2064" ht="14.25" customHeight="1" s="86">
      <c r="E2064" s="53" t="inlineStr">
        <is>
          <t>OH</t>
        </is>
      </c>
      <c r="F2064" s="53" t="inlineStr">
        <is>
          <t>COLUMBIANA</t>
        </is>
      </c>
      <c r="G2064" s="59" t="n"/>
      <c r="X2064" s="61" t="n"/>
      <c r="Y2064" s="61" t="n"/>
    </row>
    <row r="2065" ht="14.25" customHeight="1" s="86">
      <c r="E2065" s="53" t="inlineStr">
        <is>
          <t>OH</t>
        </is>
      </c>
      <c r="F2065" s="53" t="inlineStr">
        <is>
          <t>COSHOCTON</t>
        </is>
      </c>
      <c r="G2065" s="59" t="n"/>
      <c r="X2065" s="61" t="n"/>
      <c r="Y2065" s="61" t="n"/>
    </row>
    <row r="2066" ht="14.25" customHeight="1" s="86">
      <c r="E2066" s="53" t="inlineStr">
        <is>
          <t>OH</t>
        </is>
      </c>
      <c r="F2066" s="53" t="inlineStr">
        <is>
          <t>CRAWFORD</t>
        </is>
      </c>
      <c r="G2066" s="59" t="n"/>
      <c r="X2066" s="61" t="n"/>
      <c r="Y2066" s="61" t="n"/>
    </row>
    <row r="2067" ht="14.25" customHeight="1" s="86">
      <c r="E2067" s="53" t="inlineStr">
        <is>
          <t>OH</t>
        </is>
      </c>
      <c r="F2067" s="53" t="inlineStr">
        <is>
          <t>CUYAHOGA</t>
        </is>
      </c>
      <c r="G2067" s="59" t="n"/>
      <c r="X2067" s="61" t="n"/>
      <c r="Y2067" s="61" t="n"/>
    </row>
    <row r="2068" ht="14.25" customHeight="1" s="86">
      <c r="E2068" s="53" t="inlineStr">
        <is>
          <t>OH</t>
        </is>
      </c>
      <c r="F2068" s="53" t="inlineStr">
        <is>
          <t>DARKE</t>
        </is>
      </c>
      <c r="G2068" s="59" t="n"/>
      <c r="X2068" s="61" t="n"/>
      <c r="Y2068" s="61" t="n"/>
    </row>
    <row r="2069" ht="14.25" customHeight="1" s="86">
      <c r="E2069" s="53" t="inlineStr">
        <is>
          <t>OH</t>
        </is>
      </c>
      <c r="F2069" s="53" t="inlineStr">
        <is>
          <t>DEFIANCE</t>
        </is>
      </c>
      <c r="G2069" s="59" t="n"/>
      <c r="X2069" s="61" t="n"/>
      <c r="Y2069" s="61" t="n"/>
    </row>
    <row r="2070" ht="14.25" customHeight="1" s="86">
      <c r="E2070" s="53" t="inlineStr">
        <is>
          <t>OH</t>
        </is>
      </c>
      <c r="F2070" s="53" t="inlineStr">
        <is>
          <t>DELAWARE</t>
        </is>
      </c>
      <c r="G2070" s="59" t="n"/>
      <c r="X2070" s="61" t="n"/>
      <c r="Y2070" s="61" t="n"/>
    </row>
    <row r="2071" ht="14.25" customHeight="1" s="86">
      <c r="E2071" s="53" t="inlineStr">
        <is>
          <t>OH</t>
        </is>
      </c>
      <c r="F2071" s="53" t="inlineStr">
        <is>
          <t>ERIE</t>
        </is>
      </c>
      <c r="G2071" s="59" t="n"/>
      <c r="X2071" s="61" t="n"/>
      <c r="Y2071" s="61" t="n"/>
    </row>
    <row r="2072" ht="14.25" customHeight="1" s="86">
      <c r="E2072" s="53" t="inlineStr">
        <is>
          <t>OH</t>
        </is>
      </c>
      <c r="F2072" s="53" t="inlineStr">
        <is>
          <t>FAIRFIELD</t>
        </is>
      </c>
      <c r="G2072" s="59" t="n"/>
      <c r="X2072" s="61" t="n"/>
      <c r="Y2072" s="61" t="n"/>
    </row>
    <row r="2073" ht="14.25" customHeight="1" s="86">
      <c r="E2073" s="53" t="inlineStr">
        <is>
          <t>OH</t>
        </is>
      </c>
      <c r="F2073" s="53" t="inlineStr">
        <is>
          <t>FAYETTE</t>
        </is>
      </c>
      <c r="G2073" s="59" t="n"/>
      <c r="X2073" s="61" t="n"/>
      <c r="Y2073" s="61" t="n"/>
    </row>
    <row r="2074" ht="14.25" customHeight="1" s="86">
      <c r="E2074" s="53" t="inlineStr">
        <is>
          <t>OH</t>
        </is>
      </c>
      <c r="F2074" s="53" t="inlineStr">
        <is>
          <t>FRANKLIN</t>
        </is>
      </c>
      <c r="G2074" s="59" t="n"/>
      <c r="X2074" s="61" t="n"/>
      <c r="Y2074" s="61" t="n"/>
    </row>
    <row r="2075" ht="14.25" customHeight="1" s="86">
      <c r="E2075" s="53" t="inlineStr">
        <is>
          <t>OH</t>
        </is>
      </c>
      <c r="F2075" s="53" t="inlineStr">
        <is>
          <t>FULTON</t>
        </is>
      </c>
      <c r="G2075" s="59" t="n"/>
      <c r="X2075" s="61" t="n"/>
      <c r="Y2075" s="61" t="n"/>
    </row>
    <row r="2076" ht="14.25" customHeight="1" s="86">
      <c r="E2076" s="53" t="inlineStr">
        <is>
          <t>OH</t>
        </is>
      </c>
      <c r="F2076" s="53" t="inlineStr">
        <is>
          <t>GALLIA</t>
        </is>
      </c>
      <c r="G2076" s="59" t="n"/>
      <c r="X2076" s="61" t="n"/>
      <c r="Y2076" s="61" t="n"/>
    </row>
    <row r="2077" ht="14.25" customHeight="1" s="86">
      <c r="E2077" s="53" t="inlineStr">
        <is>
          <t>OH</t>
        </is>
      </c>
      <c r="F2077" s="53" t="inlineStr">
        <is>
          <t>GEAUGA</t>
        </is>
      </c>
      <c r="G2077" s="59" t="n"/>
      <c r="X2077" s="61" t="n"/>
      <c r="Y2077" s="61" t="n"/>
    </row>
    <row r="2078" ht="14.25" customHeight="1" s="86">
      <c r="E2078" s="53" t="inlineStr">
        <is>
          <t>OH</t>
        </is>
      </c>
      <c r="F2078" s="53" t="inlineStr">
        <is>
          <t>GREENE</t>
        </is>
      </c>
      <c r="G2078" s="59" t="n"/>
      <c r="X2078" s="61" t="n"/>
      <c r="Y2078" s="61" t="n"/>
    </row>
    <row r="2079" ht="14.25" customHeight="1" s="86">
      <c r="E2079" s="53" t="inlineStr">
        <is>
          <t>OH</t>
        </is>
      </c>
      <c r="F2079" s="53" t="inlineStr">
        <is>
          <t>GUERNSEY</t>
        </is>
      </c>
      <c r="G2079" s="59" t="n"/>
      <c r="X2079" s="61" t="n"/>
      <c r="Y2079" s="61" t="n"/>
    </row>
    <row r="2080" ht="14.25" customHeight="1" s="86">
      <c r="E2080" s="53" t="inlineStr">
        <is>
          <t>OH</t>
        </is>
      </c>
      <c r="F2080" s="53" t="inlineStr">
        <is>
          <t>HAMILTON</t>
        </is>
      </c>
      <c r="G2080" s="59" t="n"/>
      <c r="X2080" s="61" t="n"/>
      <c r="Y2080" s="61" t="n"/>
    </row>
    <row r="2081" ht="14.25" customHeight="1" s="86">
      <c r="E2081" s="53" t="inlineStr">
        <is>
          <t>OH</t>
        </is>
      </c>
      <c r="F2081" s="53" t="inlineStr">
        <is>
          <t>HANCOCK</t>
        </is>
      </c>
      <c r="G2081" s="59" t="n"/>
      <c r="X2081" s="61" t="n"/>
      <c r="Y2081" s="61" t="n"/>
    </row>
    <row r="2082" ht="14.25" customHeight="1" s="86">
      <c r="E2082" s="53" t="inlineStr">
        <is>
          <t>OH</t>
        </is>
      </c>
      <c r="F2082" s="53" t="inlineStr">
        <is>
          <t>HARDIN</t>
        </is>
      </c>
      <c r="G2082" s="59" t="n"/>
      <c r="X2082" s="61" t="n"/>
      <c r="Y2082" s="61" t="n"/>
    </row>
    <row r="2083" ht="14.25" customHeight="1" s="86">
      <c r="E2083" s="53" t="inlineStr">
        <is>
          <t>OH</t>
        </is>
      </c>
      <c r="F2083" s="53" t="inlineStr">
        <is>
          <t>HARRISON</t>
        </is>
      </c>
      <c r="G2083" s="59" t="n"/>
      <c r="X2083" s="61" t="n"/>
      <c r="Y2083" s="61" t="n"/>
    </row>
    <row r="2084" ht="14.25" customHeight="1" s="86">
      <c r="E2084" s="53" t="inlineStr">
        <is>
          <t>OH</t>
        </is>
      </c>
      <c r="F2084" s="53" t="inlineStr">
        <is>
          <t>HENRY</t>
        </is>
      </c>
      <c r="G2084" s="59" t="n"/>
      <c r="X2084" s="61" t="n"/>
      <c r="Y2084" s="61" t="n"/>
    </row>
    <row r="2085" ht="14.25" customHeight="1" s="86">
      <c r="E2085" s="53" t="inlineStr">
        <is>
          <t>OH</t>
        </is>
      </c>
      <c r="F2085" s="53" t="inlineStr">
        <is>
          <t>HIGHLAND</t>
        </is>
      </c>
      <c r="G2085" s="59" t="n"/>
      <c r="X2085" s="61" t="n"/>
      <c r="Y2085" s="61" t="n"/>
    </row>
    <row r="2086" ht="14.25" customHeight="1" s="86">
      <c r="E2086" s="53" t="inlineStr">
        <is>
          <t>OH</t>
        </is>
      </c>
      <c r="F2086" s="53" t="inlineStr">
        <is>
          <t>HOCKING</t>
        </is>
      </c>
      <c r="G2086" s="59" t="n"/>
      <c r="X2086" s="61" t="n"/>
      <c r="Y2086" s="61" t="n"/>
    </row>
    <row r="2087" ht="14.25" customHeight="1" s="86">
      <c r="E2087" s="53" t="inlineStr">
        <is>
          <t>OH</t>
        </is>
      </c>
      <c r="F2087" s="53" t="inlineStr">
        <is>
          <t>HOLMES</t>
        </is>
      </c>
      <c r="G2087" s="59" t="n"/>
      <c r="X2087" s="61" t="n"/>
      <c r="Y2087" s="61" t="n"/>
    </row>
    <row r="2088" ht="14.25" customHeight="1" s="86">
      <c r="E2088" s="53" t="inlineStr">
        <is>
          <t>OH</t>
        </is>
      </c>
      <c r="F2088" s="53" t="inlineStr">
        <is>
          <t>HURON</t>
        </is>
      </c>
      <c r="G2088" s="59" t="n"/>
      <c r="X2088" s="61" t="n"/>
      <c r="Y2088" s="61" t="n"/>
    </row>
    <row r="2089" ht="14.25" customHeight="1" s="86">
      <c r="E2089" s="53" t="inlineStr">
        <is>
          <t>OH</t>
        </is>
      </c>
      <c r="F2089" s="53" t="inlineStr">
        <is>
          <t>JACKSON</t>
        </is>
      </c>
      <c r="G2089" s="59" t="n"/>
      <c r="X2089" s="61" t="n"/>
      <c r="Y2089" s="61" t="n"/>
    </row>
    <row r="2090" ht="14.25" customHeight="1" s="86">
      <c r="E2090" s="53" t="inlineStr">
        <is>
          <t>OH</t>
        </is>
      </c>
      <c r="F2090" s="53" t="inlineStr">
        <is>
          <t>JEFFERSON</t>
        </is>
      </c>
      <c r="G2090" s="59" t="n"/>
      <c r="X2090" s="61" t="n"/>
      <c r="Y2090" s="61" t="n"/>
    </row>
    <row r="2091" ht="14.25" customHeight="1" s="86">
      <c r="E2091" s="53" t="inlineStr">
        <is>
          <t>OH</t>
        </is>
      </c>
      <c r="F2091" s="53" t="inlineStr">
        <is>
          <t>KNOX</t>
        </is>
      </c>
      <c r="G2091" s="59" t="n"/>
      <c r="X2091" s="61" t="n"/>
      <c r="Y2091" s="61" t="n"/>
    </row>
    <row r="2092" ht="14.25" customHeight="1" s="86">
      <c r="E2092" s="53" t="inlineStr">
        <is>
          <t>OH</t>
        </is>
      </c>
      <c r="F2092" s="53" t="inlineStr">
        <is>
          <t>LAKE</t>
        </is>
      </c>
      <c r="G2092" s="59" t="n"/>
      <c r="X2092" s="61" t="n"/>
      <c r="Y2092" s="61" t="n"/>
    </row>
    <row r="2093" ht="14.25" customHeight="1" s="86">
      <c r="E2093" s="53" t="inlineStr">
        <is>
          <t>OH</t>
        </is>
      </c>
      <c r="F2093" s="53" t="inlineStr">
        <is>
          <t>LAWRENCE</t>
        </is>
      </c>
      <c r="G2093" s="59" t="n"/>
      <c r="X2093" s="61" t="n"/>
      <c r="Y2093" s="61" t="n"/>
    </row>
    <row r="2094" ht="14.25" customHeight="1" s="86">
      <c r="E2094" s="53" t="inlineStr">
        <is>
          <t>OH</t>
        </is>
      </c>
      <c r="F2094" s="53" t="inlineStr">
        <is>
          <t>LICKING</t>
        </is>
      </c>
      <c r="G2094" s="59" t="n"/>
      <c r="X2094" s="61" t="n"/>
      <c r="Y2094" s="61" t="n"/>
    </row>
    <row r="2095" ht="14.25" customHeight="1" s="86">
      <c r="E2095" s="53" t="inlineStr">
        <is>
          <t>OH</t>
        </is>
      </c>
      <c r="F2095" s="53" t="inlineStr">
        <is>
          <t>LOGAN</t>
        </is>
      </c>
      <c r="G2095" s="59" t="n"/>
      <c r="X2095" s="61" t="n"/>
      <c r="Y2095" s="61" t="n"/>
    </row>
    <row r="2096" ht="14.25" customHeight="1" s="86">
      <c r="E2096" s="53" t="inlineStr">
        <is>
          <t>OH</t>
        </is>
      </c>
      <c r="F2096" s="53" t="inlineStr">
        <is>
          <t>LORAIN</t>
        </is>
      </c>
      <c r="G2096" s="59" t="n"/>
      <c r="X2096" s="61" t="n"/>
      <c r="Y2096" s="61" t="n"/>
    </row>
    <row r="2097" ht="14.25" customHeight="1" s="86">
      <c r="E2097" s="53" t="inlineStr">
        <is>
          <t>OH</t>
        </is>
      </c>
      <c r="F2097" s="53" t="inlineStr">
        <is>
          <t>LUCAS</t>
        </is>
      </c>
      <c r="G2097" s="59" t="n"/>
      <c r="X2097" s="61" t="n"/>
      <c r="Y2097" s="61" t="n"/>
    </row>
    <row r="2098" ht="14.25" customHeight="1" s="86">
      <c r="E2098" s="53" t="inlineStr">
        <is>
          <t>OH</t>
        </is>
      </c>
      <c r="F2098" s="53" t="inlineStr">
        <is>
          <t>MADISON</t>
        </is>
      </c>
      <c r="G2098" s="59" t="n"/>
      <c r="X2098" s="61" t="n"/>
      <c r="Y2098" s="61" t="n"/>
    </row>
    <row r="2099" ht="14.25" customHeight="1" s="86">
      <c r="E2099" s="53" t="inlineStr">
        <is>
          <t>OH</t>
        </is>
      </c>
      <c r="F2099" s="53" t="inlineStr">
        <is>
          <t>MAHONING</t>
        </is>
      </c>
      <c r="G2099" s="59" t="n"/>
      <c r="X2099" s="61" t="n"/>
      <c r="Y2099" s="61" t="n"/>
    </row>
    <row r="2100" ht="14.25" customHeight="1" s="86">
      <c r="E2100" s="53" t="inlineStr">
        <is>
          <t>OH</t>
        </is>
      </c>
      <c r="F2100" s="53" t="inlineStr">
        <is>
          <t>MARION</t>
        </is>
      </c>
      <c r="G2100" s="59" t="n"/>
      <c r="X2100" s="61" t="n"/>
      <c r="Y2100" s="61" t="n"/>
    </row>
    <row r="2101" ht="14.25" customHeight="1" s="86">
      <c r="E2101" s="53" t="inlineStr">
        <is>
          <t>OH</t>
        </is>
      </c>
      <c r="F2101" s="53" t="inlineStr">
        <is>
          <t>MEDINA</t>
        </is>
      </c>
      <c r="G2101" s="59" t="n"/>
      <c r="X2101" s="61" t="n"/>
      <c r="Y2101" s="61" t="n"/>
    </row>
    <row r="2102" ht="14.25" customHeight="1" s="86">
      <c r="E2102" s="53" t="inlineStr">
        <is>
          <t>OH</t>
        </is>
      </c>
      <c r="F2102" s="53" t="inlineStr">
        <is>
          <t>MEIGS</t>
        </is>
      </c>
      <c r="G2102" s="59" t="n"/>
      <c r="X2102" s="61" t="n"/>
      <c r="Y2102" s="61" t="n"/>
    </row>
    <row r="2103" ht="14.25" customHeight="1" s="86">
      <c r="E2103" s="53" t="inlineStr">
        <is>
          <t>OH</t>
        </is>
      </c>
      <c r="F2103" s="53" t="inlineStr">
        <is>
          <t>MERCER</t>
        </is>
      </c>
      <c r="G2103" s="59" t="n"/>
      <c r="X2103" s="61" t="n"/>
      <c r="Y2103" s="61" t="n"/>
    </row>
    <row r="2104" ht="14.25" customHeight="1" s="86">
      <c r="E2104" s="53" t="inlineStr">
        <is>
          <t>OH</t>
        </is>
      </c>
      <c r="F2104" s="53" t="inlineStr">
        <is>
          <t>MIAMI</t>
        </is>
      </c>
      <c r="G2104" s="59" t="n"/>
      <c r="X2104" s="61" t="n"/>
      <c r="Y2104" s="61" t="n"/>
    </row>
    <row r="2105" ht="14.25" customHeight="1" s="86">
      <c r="E2105" s="53" t="inlineStr">
        <is>
          <t>OH</t>
        </is>
      </c>
      <c r="F2105" s="53" t="inlineStr">
        <is>
          <t>MONROE</t>
        </is>
      </c>
      <c r="G2105" s="59" t="n"/>
      <c r="X2105" s="61" t="n"/>
      <c r="Y2105" s="61" t="n"/>
    </row>
    <row r="2106" ht="14.25" customHeight="1" s="86">
      <c r="E2106" s="53" t="inlineStr">
        <is>
          <t>OH</t>
        </is>
      </c>
      <c r="F2106" s="53" t="inlineStr">
        <is>
          <t>MONTGOMERY</t>
        </is>
      </c>
      <c r="G2106" s="59" t="n"/>
      <c r="X2106" s="61" t="n"/>
      <c r="Y2106" s="61" t="n"/>
    </row>
    <row r="2107" ht="14.25" customHeight="1" s="86">
      <c r="E2107" s="53" t="inlineStr">
        <is>
          <t>OH</t>
        </is>
      </c>
      <c r="F2107" s="53" t="inlineStr">
        <is>
          <t>MORGAN</t>
        </is>
      </c>
      <c r="G2107" s="59" t="n"/>
      <c r="X2107" s="61" t="n"/>
      <c r="Y2107" s="61" t="n"/>
    </row>
    <row r="2108" ht="14.25" customHeight="1" s="86">
      <c r="E2108" s="53" t="inlineStr">
        <is>
          <t>OH</t>
        </is>
      </c>
      <c r="F2108" s="53" t="inlineStr">
        <is>
          <t>MORROW</t>
        </is>
      </c>
      <c r="G2108" s="59" t="n"/>
      <c r="X2108" s="61" t="n"/>
      <c r="Y2108" s="61" t="n"/>
    </row>
    <row r="2109" ht="14.25" customHeight="1" s="86">
      <c r="E2109" s="53" t="inlineStr">
        <is>
          <t>OH</t>
        </is>
      </c>
      <c r="F2109" s="53" t="inlineStr">
        <is>
          <t>MUSKINGUM</t>
        </is>
      </c>
      <c r="G2109" s="59" t="n"/>
      <c r="X2109" s="61" t="n"/>
      <c r="Y2109" s="61" t="n"/>
    </row>
    <row r="2110" ht="14.25" customHeight="1" s="86">
      <c r="E2110" s="53" t="inlineStr">
        <is>
          <t>OH</t>
        </is>
      </c>
      <c r="F2110" s="53" t="inlineStr">
        <is>
          <t>NOBLE</t>
        </is>
      </c>
      <c r="G2110" s="59" t="n"/>
      <c r="X2110" s="61" t="n"/>
      <c r="Y2110" s="61" t="n"/>
    </row>
    <row r="2111" ht="14.25" customHeight="1" s="86">
      <c r="E2111" s="53" t="inlineStr">
        <is>
          <t>OH</t>
        </is>
      </c>
      <c r="F2111" s="53" t="inlineStr">
        <is>
          <t>OTTAWA</t>
        </is>
      </c>
      <c r="G2111" s="59" t="n"/>
      <c r="X2111" s="61" t="n"/>
      <c r="Y2111" s="61" t="n"/>
    </row>
    <row r="2112" ht="14.25" customHeight="1" s="86">
      <c r="E2112" s="53" t="inlineStr">
        <is>
          <t>OH</t>
        </is>
      </c>
      <c r="F2112" s="53" t="inlineStr">
        <is>
          <t>PAULDING</t>
        </is>
      </c>
      <c r="G2112" s="59" t="n"/>
      <c r="X2112" s="61" t="n"/>
      <c r="Y2112" s="61" t="n"/>
    </row>
    <row r="2113" ht="14.25" customHeight="1" s="86">
      <c r="E2113" s="53" t="inlineStr">
        <is>
          <t>OH</t>
        </is>
      </c>
      <c r="F2113" s="53" t="inlineStr">
        <is>
          <t>PERRY</t>
        </is>
      </c>
      <c r="G2113" s="59" t="n"/>
      <c r="X2113" s="61" t="n"/>
      <c r="Y2113" s="61" t="n"/>
    </row>
    <row r="2114" ht="14.25" customHeight="1" s="86">
      <c r="E2114" s="53" t="inlineStr">
        <is>
          <t>OH</t>
        </is>
      </c>
      <c r="F2114" s="53" t="inlineStr">
        <is>
          <t>PICKAWAY</t>
        </is>
      </c>
      <c r="G2114" s="59" t="n"/>
      <c r="X2114" s="61" t="n"/>
      <c r="Y2114" s="61" t="n"/>
    </row>
    <row r="2115" ht="14.25" customHeight="1" s="86">
      <c r="E2115" s="53" t="inlineStr">
        <is>
          <t>OH</t>
        </is>
      </c>
      <c r="F2115" s="53" t="inlineStr">
        <is>
          <t>PIKE</t>
        </is>
      </c>
      <c r="G2115" s="59" t="n"/>
      <c r="X2115" s="61" t="n"/>
      <c r="Y2115" s="61" t="n"/>
    </row>
    <row r="2116" ht="14.25" customHeight="1" s="86">
      <c r="E2116" s="53" t="inlineStr">
        <is>
          <t>OH</t>
        </is>
      </c>
      <c r="F2116" s="53" t="inlineStr">
        <is>
          <t>PORTAGE</t>
        </is>
      </c>
      <c r="G2116" s="59" t="n"/>
      <c r="X2116" s="61" t="n"/>
      <c r="Y2116" s="61" t="n"/>
    </row>
    <row r="2117" ht="14.25" customHeight="1" s="86">
      <c r="E2117" s="53" t="inlineStr">
        <is>
          <t>OH</t>
        </is>
      </c>
      <c r="F2117" s="53" t="inlineStr">
        <is>
          <t>PREBLE</t>
        </is>
      </c>
      <c r="G2117" s="59" t="n"/>
      <c r="X2117" s="61" t="n"/>
      <c r="Y2117" s="61" t="n"/>
    </row>
    <row r="2118" ht="14.25" customHeight="1" s="86">
      <c r="E2118" s="53" t="inlineStr">
        <is>
          <t>OH</t>
        </is>
      </c>
      <c r="F2118" s="53" t="inlineStr">
        <is>
          <t>PUTNAM</t>
        </is>
      </c>
      <c r="G2118" s="59" t="n"/>
      <c r="X2118" s="61" t="n"/>
      <c r="Y2118" s="61" t="n"/>
    </row>
    <row r="2119" ht="14.25" customHeight="1" s="86">
      <c r="E2119" s="53" t="inlineStr">
        <is>
          <t>OH</t>
        </is>
      </c>
      <c r="F2119" s="53" t="inlineStr">
        <is>
          <t>RICHLAND</t>
        </is>
      </c>
      <c r="G2119" s="59" t="n"/>
      <c r="X2119" s="61" t="n"/>
      <c r="Y2119" s="61" t="n"/>
    </row>
    <row r="2120" ht="14.25" customHeight="1" s="86">
      <c r="E2120" s="53" t="inlineStr">
        <is>
          <t>OH</t>
        </is>
      </c>
      <c r="F2120" s="53" t="inlineStr">
        <is>
          <t>ROSS</t>
        </is>
      </c>
      <c r="G2120" s="59" t="n"/>
      <c r="X2120" s="61" t="n"/>
      <c r="Y2120" s="61" t="n"/>
    </row>
    <row r="2121" ht="14.25" customHeight="1" s="86">
      <c r="E2121" s="53" t="inlineStr">
        <is>
          <t>OH</t>
        </is>
      </c>
      <c r="F2121" s="53" t="inlineStr">
        <is>
          <t>SANDUSKY</t>
        </is>
      </c>
      <c r="G2121" s="59" t="n"/>
      <c r="X2121" s="61" t="n"/>
      <c r="Y2121" s="61" t="n"/>
    </row>
    <row r="2122" ht="14.25" customHeight="1" s="86">
      <c r="E2122" s="53" t="inlineStr">
        <is>
          <t>OH</t>
        </is>
      </c>
      <c r="F2122" s="53" t="inlineStr">
        <is>
          <t>SCIOTO</t>
        </is>
      </c>
      <c r="G2122" s="59" t="n"/>
      <c r="X2122" s="61" t="n"/>
      <c r="Y2122" s="61" t="n"/>
    </row>
    <row r="2123" ht="14.25" customHeight="1" s="86">
      <c r="E2123" s="53" t="inlineStr">
        <is>
          <t>OH</t>
        </is>
      </c>
      <c r="F2123" s="53" t="inlineStr">
        <is>
          <t>SENECA</t>
        </is>
      </c>
      <c r="G2123" s="59" t="n"/>
      <c r="X2123" s="61" t="n"/>
      <c r="Y2123" s="61" t="n"/>
    </row>
    <row r="2124" ht="14.25" customHeight="1" s="86">
      <c r="E2124" s="53" t="inlineStr">
        <is>
          <t>OH</t>
        </is>
      </c>
      <c r="F2124" s="53" t="inlineStr">
        <is>
          <t>SHELBY</t>
        </is>
      </c>
      <c r="G2124" s="59" t="n"/>
      <c r="X2124" s="61" t="n"/>
      <c r="Y2124" s="61" t="n"/>
    </row>
    <row r="2125" ht="14.25" customHeight="1" s="86">
      <c r="E2125" s="53" t="inlineStr">
        <is>
          <t>OH</t>
        </is>
      </c>
      <c r="F2125" s="53" t="inlineStr">
        <is>
          <t>STARK</t>
        </is>
      </c>
      <c r="G2125" s="59" t="n"/>
      <c r="X2125" s="61" t="n"/>
      <c r="Y2125" s="61" t="n"/>
    </row>
    <row r="2126" ht="14.25" customHeight="1" s="86">
      <c r="E2126" s="53" t="inlineStr">
        <is>
          <t>OH</t>
        </is>
      </c>
      <c r="F2126" s="53" t="inlineStr">
        <is>
          <t>SUMMIT</t>
        </is>
      </c>
      <c r="G2126" s="59" t="n"/>
      <c r="X2126" s="61" t="n"/>
      <c r="Y2126" s="61" t="n"/>
    </row>
    <row r="2127" ht="14.25" customHeight="1" s="86">
      <c r="E2127" s="53" t="inlineStr">
        <is>
          <t>OH</t>
        </is>
      </c>
      <c r="F2127" s="53" t="inlineStr">
        <is>
          <t>TRUMBULL</t>
        </is>
      </c>
      <c r="G2127" s="59" t="n"/>
      <c r="X2127" s="61" t="n"/>
      <c r="Y2127" s="61" t="n"/>
    </row>
    <row r="2128" ht="14.25" customHeight="1" s="86">
      <c r="E2128" s="53" t="inlineStr">
        <is>
          <t>OH</t>
        </is>
      </c>
      <c r="F2128" s="53" t="inlineStr">
        <is>
          <t>TUSCARAWAS</t>
        </is>
      </c>
      <c r="G2128" s="59" t="n"/>
      <c r="X2128" s="61" t="n"/>
      <c r="Y2128" s="61" t="n"/>
    </row>
    <row r="2129" ht="14.25" customHeight="1" s="86">
      <c r="E2129" s="53" t="inlineStr">
        <is>
          <t>OH</t>
        </is>
      </c>
      <c r="F2129" s="53" t="inlineStr">
        <is>
          <t>UNION</t>
        </is>
      </c>
      <c r="G2129" s="59" t="n"/>
      <c r="X2129" s="61" t="n"/>
      <c r="Y2129" s="61" t="n"/>
    </row>
    <row r="2130" ht="14.25" customHeight="1" s="86">
      <c r="E2130" s="53" t="inlineStr">
        <is>
          <t>OH</t>
        </is>
      </c>
      <c r="F2130" s="53" t="inlineStr">
        <is>
          <t>VAN WERT</t>
        </is>
      </c>
      <c r="G2130" s="59" t="n"/>
      <c r="X2130" s="61" t="n"/>
      <c r="Y2130" s="61" t="n"/>
    </row>
    <row r="2131" ht="14.25" customHeight="1" s="86">
      <c r="E2131" s="53" t="inlineStr">
        <is>
          <t>OH</t>
        </is>
      </c>
      <c r="F2131" s="53" t="inlineStr">
        <is>
          <t>VINTON</t>
        </is>
      </c>
      <c r="G2131" s="59" t="n"/>
      <c r="X2131" s="61" t="n"/>
      <c r="Y2131" s="61" t="n"/>
    </row>
    <row r="2132" ht="14.25" customHeight="1" s="86">
      <c r="E2132" s="53" t="inlineStr">
        <is>
          <t>OH</t>
        </is>
      </c>
      <c r="F2132" s="53" t="inlineStr">
        <is>
          <t>WARREN</t>
        </is>
      </c>
      <c r="G2132" s="59" t="n"/>
      <c r="X2132" s="61" t="n"/>
      <c r="Y2132" s="61" t="n"/>
    </row>
    <row r="2133" ht="14.25" customHeight="1" s="86">
      <c r="E2133" s="53" t="inlineStr">
        <is>
          <t>OH</t>
        </is>
      </c>
      <c r="F2133" s="53" t="inlineStr">
        <is>
          <t>WASHINGTON</t>
        </is>
      </c>
      <c r="G2133" s="59" t="n"/>
      <c r="X2133" s="61" t="n"/>
      <c r="Y2133" s="61" t="n"/>
    </row>
    <row r="2134" ht="14.25" customHeight="1" s="86">
      <c r="E2134" s="53" t="inlineStr">
        <is>
          <t>OH</t>
        </is>
      </c>
      <c r="F2134" s="53" t="inlineStr">
        <is>
          <t>WAYNE</t>
        </is>
      </c>
      <c r="G2134" s="59" t="n"/>
      <c r="X2134" s="61" t="n"/>
      <c r="Y2134" s="61" t="n"/>
    </row>
    <row r="2135" ht="14.25" customHeight="1" s="86">
      <c r="E2135" s="53" t="inlineStr">
        <is>
          <t>OH</t>
        </is>
      </c>
      <c r="F2135" s="53" t="inlineStr">
        <is>
          <t>WILLIAMS</t>
        </is>
      </c>
      <c r="G2135" s="59" t="n"/>
      <c r="X2135" s="61" t="n"/>
      <c r="Y2135" s="61" t="n"/>
    </row>
    <row r="2136" ht="14.25" customHeight="1" s="86">
      <c r="E2136" s="53" t="inlineStr">
        <is>
          <t>OH</t>
        </is>
      </c>
      <c r="F2136" s="53" t="inlineStr">
        <is>
          <t>WOOD</t>
        </is>
      </c>
      <c r="G2136" s="59" t="n"/>
      <c r="X2136" s="61" t="n"/>
      <c r="Y2136" s="61" t="n"/>
    </row>
    <row r="2137" ht="14.25" customHeight="1" s="86">
      <c r="E2137" s="53" t="inlineStr">
        <is>
          <t>OH</t>
        </is>
      </c>
      <c r="F2137" s="53" t="inlineStr">
        <is>
          <t>WYANDOT</t>
        </is>
      </c>
      <c r="G2137" s="59" t="n"/>
      <c r="X2137" s="61" t="n"/>
      <c r="Y2137" s="61" t="n"/>
    </row>
    <row r="2138" ht="14.25" customHeight="1" s="86">
      <c r="E2138" s="53" t="inlineStr">
        <is>
          <t>OK</t>
        </is>
      </c>
      <c r="F2138" s="53" t="inlineStr">
        <is>
          <t>ADAIR</t>
        </is>
      </c>
      <c r="G2138" s="59" t="n"/>
      <c r="X2138" s="61" t="n"/>
      <c r="Y2138" s="61" t="n"/>
    </row>
    <row r="2139" ht="14.25" customHeight="1" s="86">
      <c r="E2139" s="53" t="inlineStr">
        <is>
          <t>OK</t>
        </is>
      </c>
      <c r="F2139" s="53" t="inlineStr">
        <is>
          <t>ALFALFA</t>
        </is>
      </c>
      <c r="G2139" s="59" t="n"/>
      <c r="X2139" s="61" t="n"/>
      <c r="Y2139" s="61" t="n"/>
    </row>
    <row r="2140" ht="14.25" customHeight="1" s="86">
      <c r="E2140" s="53" t="inlineStr">
        <is>
          <t>OK</t>
        </is>
      </c>
      <c r="F2140" s="53" t="inlineStr">
        <is>
          <t>ATOKA</t>
        </is>
      </c>
      <c r="G2140" s="59" t="n"/>
      <c r="X2140" s="61" t="n"/>
      <c r="Y2140" s="61" t="n"/>
    </row>
    <row r="2141" ht="14.25" customHeight="1" s="86">
      <c r="E2141" s="53" t="inlineStr">
        <is>
          <t>OK</t>
        </is>
      </c>
      <c r="F2141" s="53" t="inlineStr">
        <is>
          <t>BEAVER</t>
        </is>
      </c>
      <c r="G2141" s="59" t="n"/>
      <c r="X2141" s="61" t="n"/>
      <c r="Y2141" s="61" t="n"/>
    </row>
    <row r="2142" ht="14.25" customHeight="1" s="86">
      <c r="E2142" s="53" t="inlineStr">
        <is>
          <t>OK</t>
        </is>
      </c>
      <c r="F2142" s="53" t="inlineStr">
        <is>
          <t>BECKHAM</t>
        </is>
      </c>
      <c r="G2142" s="59" t="n"/>
      <c r="X2142" s="61" t="n"/>
      <c r="Y2142" s="61" t="n"/>
    </row>
    <row r="2143" ht="14.25" customHeight="1" s="86">
      <c r="E2143" s="53" t="inlineStr">
        <is>
          <t>OK</t>
        </is>
      </c>
      <c r="F2143" s="53" t="inlineStr">
        <is>
          <t>BLAINE</t>
        </is>
      </c>
      <c r="G2143" s="59" t="n"/>
      <c r="X2143" s="61" t="n"/>
      <c r="Y2143" s="61" t="n"/>
    </row>
    <row r="2144" ht="14.25" customHeight="1" s="86">
      <c r="E2144" s="53" t="inlineStr">
        <is>
          <t>OK</t>
        </is>
      </c>
      <c r="F2144" s="53" t="inlineStr">
        <is>
          <t>BRYAN</t>
        </is>
      </c>
      <c r="G2144" s="59" t="n"/>
      <c r="X2144" s="61" t="n"/>
      <c r="Y2144" s="61" t="n"/>
    </row>
    <row r="2145" ht="14.25" customHeight="1" s="86">
      <c r="E2145" s="53" t="inlineStr">
        <is>
          <t>OK</t>
        </is>
      </c>
      <c r="F2145" s="53" t="inlineStr">
        <is>
          <t>CADDO</t>
        </is>
      </c>
      <c r="G2145" s="59" t="n"/>
      <c r="X2145" s="61" t="n"/>
      <c r="Y2145" s="61" t="n"/>
    </row>
    <row r="2146" ht="14.25" customHeight="1" s="86">
      <c r="E2146" s="53" t="inlineStr">
        <is>
          <t>OK</t>
        </is>
      </c>
      <c r="F2146" s="53" t="inlineStr">
        <is>
          <t>CANADIAN</t>
        </is>
      </c>
      <c r="G2146" s="59" t="n"/>
      <c r="X2146" s="61" t="n"/>
      <c r="Y2146" s="61" t="n"/>
    </row>
    <row r="2147" ht="14.25" customHeight="1" s="86">
      <c r="E2147" s="53" t="inlineStr">
        <is>
          <t>OK</t>
        </is>
      </c>
      <c r="F2147" s="53" t="inlineStr">
        <is>
          <t>CARTER</t>
        </is>
      </c>
      <c r="G2147" s="59" t="n"/>
      <c r="X2147" s="61" t="n"/>
      <c r="Y2147" s="61" t="n"/>
    </row>
    <row r="2148" ht="14.25" customHeight="1" s="86">
      <c r="E2148" s="53" t="inlineStr">
        <is>
          <t>OK</t>
        </is>
      </c>
      <c r="F2148" s="53" t="inlineStr">
        <is>
          <t>CHEROKEE</t>
        </is>
      </c>
      <c r="G2148" s="59" t="n"/>
      <c r="X2148" s="61" t="n"/>
      <c r="Y2148" s="61" t="n"/>
    </row>
    <row r="2149" ht="14.25" customHeight="1" s="86">
      <c r="E2149" s="53" t="inlineStr">
        <is>
          <t>OK</t>
        </is>
      </c>
      <c r="F2149" s="53" t="inlineStr">
        <is>
          <t>CHOCTAW</t>
        </is>
      </c>
      <c r="G2149" s="59" t="n"/>
      <c r="X2149" s="61" t="n"/>
      <c r="Y2149" s="61" t="n"/>
    </row>
    <row r="2150" ht="14.25" customHeight="1" s="86">
      <c r="E2150" s="53" t="inlineStr">
        <is>
          <t>OK</t>
        </is>
      </c>
      <c r="F2150" s="53" t="inlineStr">
        <is>
          <t>CIMARRON</t>
        </is>
      </c>
      <c r="G2150" s="59" t="n"/>
      <c r="X2150" s="61" t="n"/>
      <c r="Y2150" s="61" t="n"/>
    </row>
    <row r="2151" ht="14.25" customHeight="1" s="86">
      <c r="E2151" s="53" t="inlineStr">
        <is>
          <t>OK</t>
        </is>
      </c>
      <c r="F2151" s="53" t="inlineStr">
        <is>
          <t>CLEVELAND</t>
        </is>
      </c>
      <c r="G2151" s="59" t="n"/>
      <c r="X2151" s="61" t="n"/>
      <c r="Y2151" s="61" t="n"/>
    </row>
    <row r="2152" ht="14.25" customHeight="1" s="86">
      <c r="E2152" s="53" t="inlineStr">
        <is>
          <t>OK</t>
        </is>
      </c>
      <c r="F2152" s="53" t="inlineStr">
        <is>
          <t>COAL</t>
        </is>
      </c>
      <c r="G2152" s="59" t="n"/>
      <c r="X2152" s="61" t="n"/>
      <c r="Y2152" s="61" t="n"/>
    </row>
    <row r="2153" ht="14.25" customHeight="1" s="86">
      <c r="E2153" s="53" t="inlineStr">
        <is>
          <t>OK</t>
        </is>
      </c>
      <c r="F2153" s="53" t="inlineStr">
        <is>
          <t>COMANCHE</t>
        </is>
      </c>
      <c r="G2153" s="59" t="n"/>
      <c r="X2153" s="61" t="n"/>
      <c r="Y2153" s="61" t="n"/>
    </row>
    <row r="2154" ht="14.25" customHeight="1" s="86">
      <c r="E2154" s="53" t="inlineStr">
        <is>
          <t>OK</t>
        </is>
      </c>
      <c r="F2154" s="53" t="inlineStr">
        <is>
          <t>COTTON</t>
        </is>
      </c>
      <c r="G2154" s="59" t="n"/>
      <c r="X2154" s="61" t="n"/>
      <c r="Y2154" s="61" t="n"/>
    </row>
    <row r="2155" ht="14.25" customHeight="1" s="86">
      <c r="E2155" s="53" t="inlineStr">
        <is>
          <t>OK</t>
        </is>
      </c>
      <c r="F2155" s="53" t="inlineStr">
        <is>
          <t>CRAIG</t>
        </is>
      </c>
      <c r="G2155" s="59" t="n"/>
      <c r="X2155" s="61" t="n"/>
      <c r="Y2155" s="61" t="n"/>
    </row>
    <row r="2156" ht="14.25" customHeight="1" s="86">
      <c r="E2156" s="53" t="inlineStr">
        <is>
          <t>OK</t>
        </is>
      </c>
      <c r="F2156" s="53" t="inlineStr">
        <is>
          <t>CREEK</t>
        </is>
      </c>
      <c r="G2156" s="59" t="n"/>
      <c r="X2156" s="61" t="n"/>
      <c r="Y2156" s="61" t="n"/>
    </row>
    <row r="2157" ht="14.25" customHeight="1" s="86">
      <c r="E2157" s="53" t="inlineStr">
        <is>
          <t>OK</t>
        </is>
      </c>
      <c r="F2157" s="53" t="inlineStr">
        <is>
          <t>CUSTER</t>
        </is>
      </c>
      <c r="G2157" s="59" t="n"/>
      <c r="X2157" s="61" t="n"/>
      <c r="Y2157" s="61" t="n"/>
    </row>
    <row r="2158" ht="14.25" customHeight="1" s="86">
      <c r="E2158" s="53" t="inlineStr">
        <is>
          <t>OK</t>
        </is>
      </c>
      <c r="F2158" s="53" t="inlineStr">
        <is>
          <t>DELAWARE</t>
        </is>
      </c>
      <c r="G2158" s="59" t="n"/>
      <c r="X2158" s="61" t="n"/>
      <c r="Y2158" s="61" t="n"/>
    </row>
    <row r="2159" ht="14.25" customHeight="1" s="86">
      <c r="E2159" s="53" t="inlineStr">
        <is>
          <t>OK</t>
        </is>
      </c>
      <c r="F2159" s="53" t="inlineStr">
        <is>
          <t>DEWEY</t>
        </is>
      </c>
      <c r="G2159" s="59" t="n"/>
      <c r="X2159" s="61" t="n"/>
      <c r="Y2159" s="61" t="n"/>
    </row>
    <row r="2160" ht="14.25" customHeight="1" s="86">
      <c r="E2160" s="53" t="inlineStr">
        <is>
          <t>OK</t>
        </is>
      </c>
      <c r="F2160" s="53" t="inlineStr">
        <is>
          <t>ELLIS</t>
        </is>
      </c>
      <c r="G2160" s="59" t="n"/>
      <c r="X2160" s="61" t="n"/>
      <c r="Y2160" s="61" t="n"/>
    </row>
    <row r="2161" ht="14.25" customHeight="1" s="86">
      <c r="E2161" s="53" t="inlineStr">
        <is>
          <t>OK</t>
        </is>
      </c>
      <c r="F2161" s="53" t="inlineStr">
        <is>
          <t>GARFIELD</t>
        </is>
      </c>
      <c r="G2161" s="59" t="n"/>
      <c r="X2161" s="61" t="n"/>
      <c r="Y2161" s="61" t="n"/>
    </row>
    <row r="2162" ht="14.25" customHeight="1" s="86">
      <c r="E2162" s="53" t="inlineStr">
        <is>
          <t>OK</t>
        </is>
      </c>
      <c r="F2162" s="53" t="inlineStr">
        <is>
          <t>GARVIN</t>
        </is>
      </c>
      <c r="G2162" s="59" t="n"/>
      <c r="X2162" s="61" t="n"/>
      <c r="Y2162" s="61" t="n"/>
    </row>
    <row r="2163" ht="14.25" customHeight="1" s="86">
      <c r="E2163" s="53" t="inlineStr">
        <is>
          <t>OK</t>
        </is>
      </c>
      <c r="F2163" s="53" t="inlineStr">
        <is>
          <t>GRADY</t>
        </is>
      </c>
      <c r="G2163" s="59" t="n"/>
      <c r="X2163" s="61" t="n"/>
      <c r="Y2163" s="61" t="n"/>
    </row>
    <row r="2164" ht="14.25" customHeight="1" s="86">
      <c r="E2164" s="53" t="inlineStr">
        <is>
          <t>OK</t>
        </is>
      </c>
      <c r="F2164" s="53" t="inlineStr">
        <is>
          <t>GRANT</t>
        </is>
      </c>
      <c r="G2164" s="59" t="n"/>
      <c r="X2164" s="61" t="n"/>
      <c r="Y2164" s="61" t="n"/>
    </row>
    <row r="2165" ht="14.25" customHeight="1" s="86">
      <c r="E2165" s="53" t="inlineStr">
        <is>
          <t>OK</t>
        </is>
      </c>
      <c r="F2165" s="53" t="inlineStr">
        <is>
          <t>GREER</t>
        </is>
      </c>
      <c r="G2165" s="59" t="n"/>
      <c r="X2165" s="61" t="n"/>
      <c r="Y2165" s="61" t="n"/>
    </row>
    <row r="2166" ht="14.25" customHeight="1" s="86">
      <c r="E2166" s="53" t="inlineStr">
        <is>
          <t>OK</t>
        </is>
      </c>
      <c r="F2166" s="53" t="inlineStr">
        <is>
          <t>HARMON</t>
        </is>
      </c>
      <c r="G2166" s="59" t="n"/>
      <c r="X2166" s="61" t="n"/>
      <c r="Y2166" s="61" t="n"/>
    </row>
    <row r="2167" ht="14.25" customHeight="1" s="86">
      <c r="E2167" s="53" t="inlineStr">
        <is>
          <t>OK</t>
        </is>
      </c>
      <c r="F2167" s="53" t="inlineStr">
        <is>
          <t>HARPER</t>
        </is>
      </c>
      <c r="G2167" s="59" t="n"/>
      <c r="X2167" s="61" t="n"/>
      <c r="Y2167" s="61" t="n"/>
    </row>
    <row r="2168" ht="14.25" customHeight="1" s="86">
      <c r="E2168" s="53" t="inlineStr">
        <is>
          <t>OK</t>
        </is>
      </c>
      <c r="F2168" s="53" t="inlineStr">
        <is>
          <t>HASKELL</t>
        </is>
      </c>
      <c r="G2168" s="59" t="n"/>
      <c r="X2168" s="61" t="n"/>
      <c r="Y2168" s="61" t="n"/>
    </row>
    <row r="2169" ht="14.25" customHeight="1" s="86">
      <c r="E2169" s="53" t="inlineStr">
        <is>
          <t>OK</t>
        </is>
      </c>
      <c r="F2169" s="53" t="inlineStr">
        <is>
          <t>HUGHES</t>
        </is>
      </c>
      <c r="G2169" s="59" t="n"/>
      <c r="X2169" s="61" t="n"/>
      <c r="Y2169" s="61" t="n"/>
    </row>
    <row r="2170" ht="14.25" customHeight="1" s="86">
      <c r="E2170" s="53" t="inlineStr">
        <is>
          <t>OK</t>
        </is>
      </c>
      <c r="F2170" s="53" t="inlineStr">
        <is>
          <t>JACKSON</t>
        </is>
      </c>
      <c r="G2170" s="59" t="n"/>
      <c r="X2170" s="61" t="n"/>
      <c r="Y2170" s="61" t="n"/>
    </row>
    <row r="2171" ht="14.25" customHeight="1" s="86">
      <c r="E2171" s="53" t="inlineStr">
        <is>
          <t>OK</t>
        </is>
      </c>
      <c r="F2171" s="53" t="inlineStr">
        <is>
          <t>JEFFERSON</t>
        </is>
      </c>
      <c r="G2171" s="59" t="n"/>
      <c r="X2171" s="61" t="n"/>
      <c r="Y2171" s="61" t="n"/>
    </row>
    <row r="2172" ht="14.25" customHeight="1" s="86">
      <c r="E2172" s="53" t="inlineStr">
        <is>
          <t>OK</t>
        </is>
      </c>
      <c r="F2172" s="53" t="inlineStr">
        <is>
          <t>JOHNSTON</t>
        </is>
      </c>
      <c r="G2172" s="59" t="n"/>
      <c r="X2172" s="61" t="n"/>
      <c r="Y2172" s="61" t="n"/>
    </row>
    <row r="2173" ht="14.25" customHeight="1" s="86">
      <c r="E2173" s="53" t="inlineStr">
        <is>
          <t>OK</t>
        </is>
      </c>
      <c r="F2173" s="53" t="inlineStr">
        <is>
          <t>KAY</t>
        </is>
      </c>
      <c r="G2173" s="59" t="n"/>
      <c r="X2173" s="61" t="n"/>
      <c r="Y2173" s="61" t="n"/>
    </row>
    <row r="2174" ht="14.25" customHeight="1" s="86">
      <c r="E2174" s="53" t="inlineStr">
        <is>
          <t>OK</t>
        </is>
      </c>
      <c r="F2174" s="53" t="inlineStr">
        <is>
          <t>KINGFISHER</t>
        </is>
      </c>
      <c r="G2174" s="59" t="n"/>
      <c r="X2174" s="61" t="n"/>
      <c r="Y2174" s="61" t="n"/>
    </row>
    <row r="2175" ht="14.25" customHeight="1" s="86">
      <c r="E2175" s="53" t="inlineStr">
        <is>
          <t>OK</t>
        </is>
      </c>
      <c r="F2175" s="53" t="inlineStr">
        <is>
          <t>KIOWA</t>
        </is>
      </c>
      <c r="G2175" s="59" t="n"/>
      <c r="X2175" s="61" t="n"/>
      <c r="Y2175" s="61" t="n"/>
    </row>
    <row r="2176" ht="14.25" customHeight="1" s="86">
      <c r="E2176" s="53" t="inlineStr">
        <is>
          <t>OK</t>
        </is>
      </c>
      <c r="F2176" s="53" t="inlineStr">
        <is>
          <t>LATIMER</t>
        </is>
      </c>
      <c r="G2176" s="59" t="n"/>
      <c r="X2176" s="61" t="n"/>
      <c r="Y2176" s="61" t="n"/>
    </row>
    <row r="2177" ht="14.25" customHeight="1" s="86">
      <c r="E2177" s="53" t="inlineStr">
        <is>
          <t>OK</t>
        </is>
      </c>
      <c r="F2177" s="53" t="inlineStr">
        <is>
          <t>LE FLORE</t>
        </is>
      </c>
      <c r="G2177" s="59" t="n"/>
      <c r="X2177" s="61" t="n"/>
      <c r="Y2177" s="61" t="n"/>
    </row>
    <row r="2178" ht="14.25" customHeight="1" s="86">
      <c r="E2178" s="53" t="inlineStr">
        <is>
          <t>OK</t>
        </is>
      </c>
      <c r="F2178" s="53" t="inlineStr">
        <is>
          <t>LINCOLN</t>
        </is>
      </c>
      <c r="G2178" s="59" t="n"/>
      <c r="X2178" s="61" t="n"/>
      <c r="Y2178" s="61" t="n"/>
    </row>
    <row r="2179" ht="14.25" customHeight="1" s="86">
      <c r="E2179" s="53" t="inlineStr">
        <is>
          <t>OK</t>
        </is>
      </c>
      <c r="F2179" s="53" t="inlineStr">
        <is>
          <t>LOGAN</t>
        </is>
      </c>
      <c r="G2179" s="59" t="n"/>
      <c r="X2179" s="61" t="n"/>
      <c r="Y2179" s="61" t="n"/>
    </row>
    <row r="2180" ht="14.25" customHeight="1" s="86">
      <c r="E2180" s="53" t="inlineStr">
        <is>
          <t>OK</t>
        </is>
      </c>
      <c r="F2180" s="53" t="inlineStr">
        <is>
          <t>LOVE</t>
        </is>
      </c>
      <c r="G2180" s="59" t="n"/>
      <c r="X2180" s="61" t="n"/>
      <c r="Y2180" s="61" t="n"/>
    </row>
    <row r="2181" ht="14.25" customHeight="1" s="86">
      <c r="E2181" s="53" t="inlineStr">
        <is>
          <t>OK</t>
        </is>
      </c>
      <c r="F2181" s="53" t="inlineStr">
        <is>
          <t>MAJOR</t>
        </is>
      </c>
      <c r="G2181" s="59" t="n"/>
      <c r="X2181" s="61" t="n"/>
      <c r="Y2181" s="61" t="n"/>
    </row>
    <row r="2182" ht="14.25" customHeight="1" s="86">
      <c r="E2182" s="53" t="inlineStr">
        <is>
          <t>OK</t>
        </is>
      </c>
      <c r="F2182" s="53" t="inlineStr">
        <is>
          <t>MARSHALL</t>
        </is>
      </c>
      <c r="G2182" s="59" t="n"/>
      <c r="X2182" s="61" t="n"/>
      <c r="Y2182" s="61" t="n"/>
    </row>
    <row r="2183" ht="14.25" customHeight="1" s="86">
      <c r="E2183" s="53" t="inlineStr">
        <is>
          <t>OK</t>
        </is>
      </c>
      <c r="F2183" s="53" t="inlineStr">
        <is>
          <t>MAYES</t>
        </is>
      </c>
      <c r="G2183" s="59" t="n"/>
      <c r="X2183" s="61" t="n"/>
      <c r="Y2183" s="61" t="n"/>
    </row>
    <row r="2184" ht="14.25" customHeight="1" s="86">
      <c r="E2184" s="53" t="inlineStr">
        <is>
          <t>OK</t>
        </is>
      </c>
      <c r="F2184" s="53" t="inlineStr">
        <is>
          <t>MCCLAIN</t>
        </is>
      </c>
      <c r="G2184" s="59" t="n"/>
      <c r="X2184" s="61" t="n"/>
      <c r="Y2184" s="61" t="n"/>
    </row>
    <row r="2185" ht="14.25" customHeight="1" s="86">
      <c r="E2185" s="53" t="inlineStr">
        <is>
          <t>OK</t>
        </is>
      </c>
      <c r="F2185" s="53" t="inlineStr">
        <is>
          <t>MCCURTAIN</t>
        </is>
      </c>
      <c r="G2185" s="59" t="n"/>
      <c r="X2185" s="61" t="n"/>
      <c r="Y2185" s="61" t="n"/>
    </row>
    <row r="2186" ht="14.25" customHeight="1" s="86">
      <c r="E2186" s="53" t="inlineStr">
        <is>
          <t>OK</t>
        </is>
      </c>
      <c r="F2186" s="53" t="inlineStr">
        <is>
          <t>MCINTOSH</t>
        </is>
      </c>
      <c r="G2186" s="59" t="n"/>
      <c r="X2186" s="61" t="n"/>
      <c r="Y2186" s="61" t="n"/>
    </row>
    <row r="2187" ht="14.25" customHeight="1" s="86">
      <c r="E2187" s="53" t="inlineStr">
        <is>
          <t>OK</t>
        </is>
      </c>
      <c r="F2187" s="53" t="inlineStr">
        <is>
          <t>MURRAY</t>
        </is>
      </c>
      <c r="G2187" s="59" t="n"/>
      <c r="X2187" s="61" t="n"/>
      <c r="Y2187" s="61" t="n"/>
    </row>
    <row r="2188" ht="14.25" customHeight="1" s="86">
      <c r="E2188" s="53" t="inlineStr">
        <is>
          <t>OK</t>
        </is>
      </c>
      <c r="F2188" s="53" t="inlineStr">
        <is>
          <t>MUSKOGEE</t>
        </is>
      </c>
      <c r="G2188" s="59" t="n"/>
      <c r="X2188" s="61" t="n"/>
      <c r="Y2188" s="61" t="n"/>
    </row>
    <row r="2189" ht="14.25" customHeight="1" s="86">
      <c r="E2189" s="53" t="inlineStr">
        <is>
          <t>OK</t>
        </is>
      </c>
      <c r="F2189" s="53" t="inlineStr">
        <is>
          <t>NOBLE</t>
        </is>
      </c>
      <c r="G2189" s="59" t="n"/>
      <c r="X2189" s="61" t="n"/>
      <c r="Y2189" s="61" t="n"/>
    </row>
    <row r="2190" ht="14.25" customHeight="1" s="86">
      <c r="E2190" s="53" t="inlineStr">
        <is>
          <t>OK</t>
        </is>
      </c>
      <c r="F2190" s="53" t="inlineStr">
        <is>
          <t>NOWATA</t>
        </is>
      </c>
      <c r="G2190" s="59" t="n"/>
      <c r="X2190" s="61" t="n"/>
      <c r="Y2190" s="61" t="n"/>
    </row>
    <row r="2191" ht="14.25" customHeight="1" s="86">
      <c r="E2191" s="53" t="inlineStr">
        <is>
          <t>OK</t>
        </is>
      </c>
      <c r="F2191" s="53" t="inlineStr">
        <is>
          <t>OKFUSKEE</t>
        </is>
      </c>
      <c r="G2191" s="59" t="n"/>
      <c r="X2191" s="61" t="n"/>
      <c r="Y2191" s="61" t="n"/>
    </row>
    <row r="2192" ht="14.25" customHeight="1" s="86">
      <c r="E2192" s="53" t="inlineStr">
        <is>
          <t>OK</t>
        </is>
      </c>
      <c r="F2192" s="53" t="inlineStr">
        <is>
          <t>OKLAHOMA</t>
        </is>
      </c>
      <c r="G2192" s="59" t="n"/>
      <c r="X2192" s="61" t="n"/>
      <c r="Y2192" s="61" t="n"/>
    </row>
    <row r="2193" ht="14.25" customHeight="1" s="86">
      <c r="E2193" s="53" t="inlineStr">
        <is>
          <t>OK</t>
        </is>
      </c>
      <c r="F2193" s="53" t="inlineStr">
        <is>
          <t>OKMULGEE</t>
        </is>
      </c>
      <c r="G2193" s="59" t="n"/>
      <c r="X2193" s="61" t="n"/>
      <c r="Y2193" s="61" t="n"/>
    </row>
    <row r="2194" ht="14.25" customHeight="1" s="86">
      <c r="E2194" s="53" t="inlineStr">
        <is>
          <t>OK</t>
        </is>
      </c>
      <c r="F2194" s="53" t="inlineStr">
        <is>
          <t>OSAGE</t>
        </is>
      </c>
      <c r="G2194" s="59" t="n"/>
      <c r="X2194" s="61" t="n"/>
      <c r="Y2194" s="61" t="n"/>
    </row>
    <row r="2195" ht="14.25" customHeight="1" s="86">
      <c r="E2195" s="53" t="inlineStr">
        <is>
          <t>OK</t>
        </is>
      </c>
      <c r="F2195" s="53" t="inlineStr">
        <is>
          <t>OTTAWA</t>
        </is>
      </c>
      <c r="G2195" s="59" t="n"/>
      <c r="X2195" s="61" t="n"/>
      <c r="Y2195" s="61" t="n"/>
    </row>
    <row r="2196" ht="14.25" customHeight="1" s="86">
      <c r="E2196" s="53" t="inlineStr">
        <is>
          <t>OK</t>
        </is>
      </c>
      <c r="F2196" s="53" t="inlineStr">
        <is>
          <t>PAWNEE</t>
        </is>
      </c>
      <c r="G2196" s="59" t="n"/>
      <c r="X2196" s="61" t="n"/>
      <c r="Y2196" s="61" t="n"/>
    </row>
    <row r="2197" ht="14.25" customHeight="1" s="86">
      <c r="E2197" s="53" t="inlineStr">
        <is>
          <t>OK</t>
        </is>
      </c>
      <c r="F2197" s="53" t="inlineStr">
        <is>
          <t>PAYNE</t>
        </is>
      </c>
      <c r="G2197" s="59" t="n"/>
      <c r="X2197" s="61" t="n"/>
      <c r="Y2197" s="61" t="n"/>
    </row>
    <row r="2198" ht="14.25" customHeight="1" s="86">
      <c r="E2198" s="53" t="inlineStr">
        <is>
          <t>OK</t>
        </is>
      </c>
      <c r="F2198" s="53" t="inlineStr">
        <is>
          <t>PITTSBURG</t>
        </is>
      </c>
      <c r="G2198" s="59" t="n"/>
      <c r="X2198" s="61" t="n"/>
      <c r="Y2198" s="61" t="n"/>
    </row>
    <row r="2199" ht="14.25" customHeight="1" s="86">
      <c r="E2199" s="53" t="inlineStr">
        <is>
          <t>OK</t>
        </is>
      </c>
      <c r="F2199" s="53" t="inlineStr">
        <is>
          <t>PONTOTOC</t>
        </is>
      </c>
      <c r="G2199" s="59" t="n"/>
      <c r="X2199" s="61" t="n"/>
      <c r="Y2199" s="61" t="n"/>
    </row>
    <row r="2200" ht="14.25" customHeight="1" s="86">
      <c r="E2200" s="53" t="inlineStr">
        <is>
          <t>OK</t>
        </is>
      </c>
      <c r="F2200" s="53" t="inlineStr">
        <is>
          <t>POTTAWATOMIE</t>
        </is>
      </c>
      <c r="G2200" s="59" t="n"/>
      <c r="X2200" s="61" t="n"/>
      <c r="Y2200" s="61" t="n"/>
    </row>
    <row r="2201" ht="14.25" customHeight="1" s="86">
      <c r="E2201" s="53" t="inlineStr">
        <is>
          <t>OK</t>
        </is>
      </c>
      <c r="F2201" s="53" t="inlineStr">
        <is>
          <t>PUSHMATAHA</t>
        </is>
      </c>
      <c r="G2201" s="59" t="n"/>
      <c r="X2201" s="61" t="n"/>
      <c r="Y2201" s="61" t="n"/>
    </row>
    <row r="2202" ht="14.25" customHeight="1" s="86">
      <c r="E2202" s="53" t="inlineStr">
        <is>
          <t>OK</t>
        </is>
      </c>
      <c r="F2202" s="53" t="inlineStr">
        <is>
          <t>ROGER MILLS</t>
        </is>
      </c>
      <c r="G2202" s="59" t="n"/>
      <c r="X2202" s="61" t="n"/>
      <c r="Y2202" s="61" t="n"/>
    </row>
    <row r="2203" ht="14.25" customHeight="1" s="86">
      <c r="E2203" s="53" t="inlineStr">
        <is>
          <t>OK</t>
        </is>
      </c>
      <c r="F2203" s="53" t="inlineStr">
        <is>
          <t>ROGERS</t>
        </is>
      </c>
      <c r="G2203" s="59" t="n"/>
      <c r="X2203" s="61" t="n"/>
      <c r="Y2203" s="61" t="n"/>
    </row>
    <row r="2204" ht="14.25" customHeight="1" s="86">
      <c r="E2204" s="53" t="inlineStr">
        <is>
          <t>OK</t>
        </is>
      </c>
      <c r="F2204" s="53" t="inlineStr">
        <is>
          <t>SEMINOLE</t>
        </is>
      </c>
      <c r="G2204" s="59" t="n"/>
      <c r="X2204" s="61" t="n"/>
      <c r="Y2204" s="61" t="n"/>
    </row>
    <row r="2205" ht="14.25" customHeight="1" s="86">
      <c r="E2205" s="53" t="inlineStr">
        <is>
          <t>OK</t>
        </is>
      </c>
      <c r="F2205" s="53" t="inlineStr">
        <is>
          <t>SEQUOYAH</t>
        </is>
      </c>
      <c r="G2205" s="59" t="n"/>
      <c r="X2205" s="61" t="n"/>
      <c r="Y2205" s="61" t="n"/>
    </row>
    <row r="2206" ht="14.25" customHeight="1" s="86">
      <c r="E2206" s="53" t="inlineStr">
        <is>
          <t>OK</t>
        </is>
      </c>
      <c r="F2206" s="53" t="inlineStr">
        <is>
          <t>STEPHENS</t>
        </is>
      </c>
      <c r="G2206" s="59" t="n"/>
      <c r="X2206" s="61" t="n"/>
      <c r="Y2206" s="61" t="n"/>
    </row>
    <row r="2207" ht="14.25" customHeight="1" s="86">
      <c r="E2207" s="53" t="inlineStr">
        <is>
          <t>OK</t>
        </is>
      </c>
      <c r="F2207" s="53" t="inlineStr">
        <is>
          <t>TEXAS</t>
        </is>
      </c>
      <c r="G2207" s="59" t="n"/>
      <c r="X2207" s="61" t="n"/>
      <c r="Y2207" s="61" t="n"/>
    </row>
    <row r="2208" ht="14.25" customHeight="1" s="86">
      <c r="E2208" s="53" t="inlineStr">
        <is>
          <t>OK</t>
        </is>
      </c>
      <c r="F2208" s="53" t="inlineStr">
        <is>
          <t>TILLMAN</t>
        </is>
      </c>
      <c r="G2208" s="59" t="n"/>
      <c r="X2208" s="61" t="n"/>
      <c r="Y2208" s="61" t="n"/>
    </row>
    <row r="2209" ht="14.25" customHeight="1" s="86">
      <c r="E2209" s="53" t="inlineStr">
        <is>
          <t>OK</t>
        </is>
      </c>
      <c r="F2209" s="53" t="inlineStr">
        <is>
          <t>TULSA</t>
        </is>
      </c>
      <c r="G2209" s="59" t="n"/>
      <c r="X2209" s="61" t="n"/>
      <c r="Y2209" s="61" t="n"/>
    </row>
    <row r="2210" ht="14.25" customHeight="1" s="86">
      <c r="E2210" s="53" t="inlineStr">
        <is>
          <t>OK</t>
        </is>
      </c>
      <c r="F2210" s="53" t="inlineStr">
        <is>
          <t>WAGONER</t>
        </is>
      </c>
      <c r="G2210" s="59" t="n"/>
      <c r="X2210" s="61" t="n"/>
      <c r="Y2210" s="61" t="n"/>
    </row>
    <row r="2211" ht="14.25" customHeight="1" s="86">
      <c r="E2211" s="53" t="inlineStr">
        <is>
          <t>OK</t>
        </is>
      </c>
      <c r="F2211" s="53" t="inlineStr">
        <is>
          <t>WASHINGTON</t>
        </is>
      </c>
      <c r="G2211" s="59" t="n"/>
      <c r="X2211" s="61" t="n"/>
      <c r="Y2211" s="61" t="n"/>
    </row>
    <row r="2212" ht="14.25" customHeight="1" s="86">
      <c r="E2212" s="53" t="inlineStr">
        <is>
          <t>OK</t>
        </is>
      </c>
      <c r="F2212" s="53" t="inlineStr">
        <is>
          <t>WASHITA</t>
        </is>
      </c>
      <c r="G2212" s="59" t="n"/>
      <c r="X2212" s="61" t="n"/>
      <c r="Y2212" s="61" t="n"/>
    </row>
    <row r="2213" ht="14.25" customHeight="1" s="86">
      <c r="E2213" s="53" t="inlineStr">
        <is>
          <t>OK</t>
        </is>
      </c>
      <c r="F2213" s="53" t="inlineStr">
        <is>
          <t>WOODS</t>
        </is>
      </c>
      <c r="G2213" s="59" t="n"/>
      <c r="X2213" s="61" t="n"/>
      <c r="Y2213" s="61" t="n"/>
    </row>
    <row r="2214" ht="14.25" customHeight="1" s="86">
      <c r="E2214" s="53" t="inlineStr">
        <is>
          <t>OK</t>
        </is>
      </c>
      <c r="F2214" s="53" t="inlineStr">
        <is>
          <t>WOODWARD</t>
        </is>
      </c>
      <c r="G2214" s="59" t="n"/>
      <c r="X2214" s="61" t="n"/>
      <c r="Y2214" s="61" t="n"/>
    </row>
    <row r="2215" ht="14.25" customHeight="1" s="86">
      <c r="E2215" s="53" t="inlineStr">
        <is>
          <t>OR</t>
        </is>
      </c>
      <c r="F2215" s="53" t="inlineStr">
        <is>
          <t>BAKER</t>
        </is>
      </c>
      <c r="G2215" s="59" t="n"/>
      <c r="X2215" s="61" t="n"/>
      <c r="Y2215" s="61" t="n"/>
    </row>
    <row r="2216" ht="14.25" customHeight="1" s="86">
      <c r="E2216" s="53" t="inlineStr">
        <is>
          <t>OR</t>
        </is>
      </c>
      <c r="F2216" s="53" t="inlineStr">
        <is>
          <t>BENTON</t>
        </is>
      </c>
      <c r="G2216" s="59" t="n"/>
      <c r="X2216" s="61" t="n"/>
      <c r="Y2216" s="61" t="n"/>
    </row>
    <row r="2217" ht="14.25" customHeight="1" s="86">
      <c r="E2217" s="53" t="inlineStr">
        <is>
          <t>OR</t>
        </is>
      </c>
      <c r="F2217" s="53" t="inlineStr">
        <is>
          <t>CLACKAMAS</t>
        </is>
      </c>
      <c r="G2217" s="59" t="n"/>
      <c r="X2217" s="61" t="n"/>
      <c r="Y2217" s="61" t="n"/>
    </row>
    <row r="2218" ht="14.25" customHeight="1" s="86">
      <c r="E2218" s="53" t="inlineStr">
        <is>
          <t>OR</t>
        </is>
      </c>
      <c r="F2218" s="53" t="inlineStr">
        <is>
          <t>CLATSOP</t>
        </is>
      </c>
      <c r="G2218" s="59" t="n"/>
      <c r="X2218" s="61" t="n"/>
      <c r="Y2218" s="61" t="n"/>
    </row>
    <row r="2219" ht="14.25" customHeight="1" s="86">
      <c r="E2219" s="53" t="inlineStr">
        <is>
          <t>OR</t>
        </is>
      </c>
      <c r="F2219" s="53" t="inlineStr">
        <is>
          <t>COLUMBIA</t>
        </is>
      </c>
      <c r="G2219" s="59" t="n"/>
      <c r="X2219" s="61" t="n"/>
      <c r="Y2219" s="61" t="n"/>
    </row>
    <row r="2220" ht="14.25" customHeight="1" s="86">
      <c r="E2220" s="53" t="inlineStr">
        <is>
          <t>OR</t>
        </is>
      </c>
      <c r="F2220" s="53" t="inlineStr">
        <is>
          <t>COOS</t>
        </is>
      </c>
      <c r="G2220" s="59" t="n"/>
      <c r="X2220" s="61" t="n"/>
      <c r="Y2220" s="61" t="n"/>
    </row>
    <row r="2221" ht="14.25" customHeight="1" s="86">
      <c r="E2221" s="53" t="inlineStr">
        <is>
          <t>OR</t>
        </is>
      </c>
      <c r="F2221" s="53" t="inlineStr">
        <is>
          <t>CROOK</t>
        </is>
      </c>
      <c r="G2221" s="59" t="n"/>
      <c r="X2221" s="61" t="n"/>
      <c r="Y2221" s="61" t="n"/>
    </row>
    <row r="2222" ht="14.25" customHeight="1" s="86">
      <c r="E2222" s="53" t="inlineStr">
        <is>
          <t>OR</t>
        </is>
      </c>
      <c r="F2222" s="53" t="inlineStr">
        <is>
          <t>CURRY</t>
        </is>
      </c>
      <c r="G2222" s="59" t="n"/>
      <c r="X2222" s="61" t="n"/>
      <c r="Y2222" s="61" t="n"/>
    </row>
    <row r="2223" ht="14.25" customHeight="1" s="86">
      <c r="E2223" s="53" t="inlineStr">
        <is>
          <t>OR</t>
        </is>
      </c>
      <c r="F2223" s="53" t="inlineStr">
        <is>
          <t>DESCHUTES</t>
        </is>
      </c>
      <c r="G2223" s="59" t="n"/>
      <c r="X2223" s="61" t="n"/>
      <c r="Y2223" s="61" t="n"/>
    </row>
    <row r="2224" ht="14.25" customHeight="1" s="86">
      <c r="E2224" s="53" t="inlineStr">
        <is>
          <t>OR</t>
        </is>
      </c>
      <c r="F2224" s="53" t="inlineStr">
        <is>
          <t>DOUGLAS</t>
        </is>
      </c>
      <c r="G2224" s="59" t="n"/>
      <c r="X2224" s="61" t="n"/>
      <c r="Y2224" s="61" t="n"/>
    </row>
    <row r="2225" ht="14.25" customHeight="1" s="86">
      <c r="E2225" s="53" t="inlineStr">
        <is>
          <t>OR</t>
        </is>
      </c>
      <c r="F2225" s="53" t="inlineStr">
        <is>
          <t>GILLIAM</t>
        </is>
      </c>
      <c r="G2225" s="59" t="n"/>
      <c r="X2225" s="61" t="n"/>
      <c r="Y2225" s="61" t="n"/>
    </row>
    <row r="2226" ht="14.25" customHeight="1" s="86">
      <c r="E2226" s="53" t="inlineStr">
        <is>
          <t>OR</t>
        </is>
      </c>
      <c r="F2226" s="53" t="inlineStr">
        <is>
          <t>GRANT</t>
        </is>
      </c>
      <c r="G2226" s="59" t="n"/>
      <c r="X2226" s="61" t="n"/>
      <c r="Y2226" s="61" t="n"/>
    </row>
    <row r="2227" ht="14.25" customHeight="1" s="86">
      <c r="E2227" s="53" t="inlineStr">
        <is>
          <t>OR</t>
        </is>
      </c>
      <c r="F2227" s="53" t="inlineStr">
        <is>
          <t>HARNEY</t>
        </is>
      </c>
      <c r="G2227" s="59" t="n"/>
      <c r="X2227" s="61" t="n"/>
      <c r="Y2227" s="61" t="n"/>
    </row>
    <row r="2228" ht="14.25" customHeight="1" s="86">
      <c r="E2228" s="53" t="inlineStr">
        <is>
          <t>OR</t>
        </is>
      </c>
      <c r="F2228" s="53" t="inlineStr">
        <is>
          <t>HOOD RIVER</t>
        </is>
      </c>
      <c r="G2228" s="59" t="n"/>
      <c r="X2228" s="61" t="n"/>
      <c r="Y2228" s="61" t="n"/>
    </row>
    <row r="2229" ht="14.25" customHeight="1" s="86">
      <c r="E2229" s="53" t="inlineStr">
        <is>
          <t>OR</t>
        </is>
      </c>
      <c r="F2229" s="53" t="inlineStr">
        <is>
          <t>JACKSON</t>
        </is>
      </c>
      <c r="G2229" s="59" t="n"/>
      <c r="X2229" s="61" t="n"/>
      <c r="Y2229" s="61" t="n"/>
    </row>
    <row r="2230" ht="14.25" customHeight="1" s="86">
      <c r="E2230" s="53" t="inlineStr">
        <is>
          <t>OR</t>
        </is>
      </c>
      <c r="F2230" s="53" t="inlineStr">
        <is>
          <t>JEFFERSON</t>
        </is>
      </c>
      <c r="G2230" s="59" t="n"/>
      <c r="X2230" s="61" t="n"/>
      <c r="Y2230" s="61" t="n"/>
    </row>
    <row r="2231" ht="14.25" customHeight="1" s="86">
      <c r="E2231" s="53" t="inlineStr">
        <is>
          <t>OR</t>
        </is>
      </c>
      <c r="F2231" s="53" t="inlineStr">
        <is>
          <t>JOSEPHINE</t>
        </is>
      </c>
      <c r="G2231" s="59" t="n"/>
      <c r="X2231" s="61" t="n"/>
      <c r="Y2231" s="61" t="n"/>
    </row>
    <row r="2232" ht="14.25" customHeight="1" s="86">
      <c r="E2232" s="53" t="inlineStr">
        <is>
          <t>OR</t>
        </is>
      </c>
      <c r="F2232" s="53" t="inlineStr">
        <is>
          <t>KLAMATH</t>
        </is>
      </c>
      <c r="G2232" s="59" t="n"/>
      <c r="X2232" s="61" t="n"/>
      <c r="Y2232" s="61" t="n"/>
    </row>
    <row r="2233" ht="14.25" customHeight="1" s="86">
      <c r="E2233" s="53" t="inlineStr">
        <is>
          <t>OR</t>
        </is>
      </c>
      <c r="F2233" s="53" t="inlineStr">
        <is>
          <t>LAKE</t>
        </is>
      </c>
      <c r="G2233" s="59" t="n"/>
      <c r="X2233" s="61" t="n"/>
      <c r="Y2233" s="61" t="n"/>
    </row>
    <row r="2234" ht="14.25" customHeight="1" s="86">
      <c r="E2234" s="53" t="inlineStr">
        <is>
          <t>OR</t>
        </is>
      </c>
      <c r="F2234" s="53" t="inlineStr">
        <is>
          <t>LANE</t>
        </is>
      </c>
      <c r="G2234" s="59" t="n"/>
      <c r="X2234" s="61" t="n"/>
      <c r="Y2234" s="61" t="n"/>
    </row>
    <row r="2235" ht="14.25" customHeight="1" s="86">
      <c r="E2235" s="53" t="inlineStr">
        <is>
          <t>OR</t>
        </is>
      </c>
      <c r="F2235" s="53" t="inlineStr">
        <is>
          <t>LINCOLN</t>
        </is>
      </c>
      <c r="G2235" s="59" t="n"/>
      <c r="X2235" s="61" t="n"/>
      <c r="Y2235" s="61" t="n"/>
    </row>
    <row r="2236" ht="14.25" customHeight="1" s="86">
      <c r="E2236" s="53" t="inlineStr">
        <is>
          <t>OR</t>
        </is>
      </c>
      <c r="F2236" s="53" t="inlineStr">
        <is>
          <t>LINN</t>
        </is>
      </c>
      <c r="G2236" s="59" t="n"/>
      <c r="X2236" s="61" t="n"/>
      <c r="Y2236" s="61" t="n"/>
    </row>
    <row r="2237" ht="14.25" customHeight="1" s="86">
      <c r="E2237" s="53" t="inlineStr">
        <is>
          <t>OR</t>
        </is>
      </c>
      <c r="F2237" s="53" t="inlineStr">
        <is>
          <t>MALHEUR</t>
        </is>
      </c>
      <c r="G2237" s="59" t="n"/>
      <c r="X2237" s="61" t="n"/>
      <c r="Y2237" s="61" t="n"/>
    </row>
    <row r="2238" ht="14.25" customHeight="1" s="86">
      <c r="E2238" s="53" t="inlineStr">
        <is>
          <t>OR</t>
        </is>
      </c>
      <c r="F2238" s="53" t="inlineStr">
        <is>
          <t>MARION</t>
        </is>
      </c>
      <c r="G2238" s="59" t="n"/>
      <c r="X2238" s="61" t="n"/>
      <c r="Y2238" s="61" t="n"/>
    </row>
    <row r="2239" ht="14.25" customHeight="1" s="86">
      <c r="E2239" s="53" t="inlineStr">
        <is>
          <t>OR</t>
        </is>
      </c>
      <c r="F2239" s="53" t="inlineStr">
        <is>
          <t>MORROW</t>
        </is>
      </c>
      <c r="G2239" s="59" t="n"/>
      <c r="X2239" s="61" t="n"/>
      <c r="Y2239" s="61" t="n"/>
    </row>
    <row r="2240" ht="14.25" customHeight="1" s="86">
      <c r="E2240" s="53" t="inlineStr">
        <is>
          <t>OR</t>
        </is>
      </c>
      <c r="F2240" s="53" t="inlineStr">
        <is>
          <t>MULTNOMAH</t>
        </is>
      </c>
      <c r="G2240" s="59" t="n"/>
      <c r="X2240" s="61" t="n"/>
      <c r="Y2240" s="61" t="n"/>
    </row>
    <row r="2241" ht="14.25" customHeight="1" s="86">
      <c r="E2241" s="53" t="inlineStr">
        <is>
          <t>OR</t>
        </is>
      </c>
      <c r="F2241" s="53" t="inlineStr">
        <is>
          <t>POLK</t>
        </is>
      </c>
      <c r="G2241" s="59" t="n"/>
      <c r="X2241" s="61" t="n"/>
      <c r="Y2241" s="61" t="n"/>
    </row>
    <row r="2242" ht="14.25" customHeight="1" s="86">
      <c r="E2242" s="53" t="inlineStr">
        <is>
          <t>OR</t>
        </is>
      </c>
      <c r="F2242" s="53" t="inlineStr">
        <is>
          <t>SHERMAN</t>
        </is>
      </c>
      <c r="G2242" s="59" t="n"/>
      <c r="X2242" s="61" t="n"/>
      <c r="Y2242" s="61" t="n"/>
    </row>
    <row r="2243" ht="14.25" customHeight="1" s="86">
      <c r="E2243" s="53" t="inlineStr">
        <is>
          <t>OR</t>
        </is>
      </c>
      <c r="F2243" s="53" t="inlineStr">
        <is>
          <t>TILLAMOOK</t>
        </is>
      </c>
      <c r="G2243" s="59" t="n"/>
      <c r="X2243" s="61" t="n"/>
      <c r="Y2243" s="61" t="n"/>
    </row>
    <row r="2244" ht="14.25" customHeight="1" s="86">
      <c r="E2244" s="53" t="inlineStr">
        <is>
          <t>OR</t>
        </is>
      </c>
      <c r="F2244" s="53" t="inlineStr">
        <is>
          <t>UMATILLA</t>
        </is>
      </c>
      <c r="G2244" s="59" t="n"/>
      <c r="X2244" s="61" t="n"/>
      <c r="Y2244" s="61" t="n"/>
    </row>
    <row r="2245" ht="14.25" customHeight="1" s="86">
      <c r="E2245" s="53" t="inlineStr">
        <is>
          <t>OR</t>
        </is>
      </c>
      <c r="F2245" s="53" t="inlineStr">
        <is>
          <t>UNION</t>
        </is>
      </c>
      <c r="G2245" s="59" t="n"/>
      <c r="X2245" s="61" t="n"/>
      <c r="Y2245" s="61" t="n"/>
    </row>
    <row r="2246" ht="14.25" customHeight="1" s="86">
      <c r="E2246" s="53" t="inlineStr">
        <is>
          <t>OR</t>
        </is>
      </c>
      <c r="F2246" s="53" t="inlineStr">
        <is>
          <t>WALLOWA</t>
        </is>
      </c>
      <c r="G2246" s="59" t="n"/>
      <c r="X2246" s="61" t="n"/>
      <c r="Y2246" s="61" t="n"/>
    </row>
    <row r="2247" ht="14.25" customHeight="1" s="86">
      <c r="E2247" s="53" t="inlineStr">
        <is>
          <t>OR</t>
        </is>
      </c>
      <c r="F2247" s="53" t="inlineStr">
        <is>
          <t>WASCO</t>
        </is>
      </c>
      <c r="G2247" s="59" t="n"/>
      <c r="X2247" s="61" t="n"/>
      <c r="Y2247" s="61" t="n"/>
    </row>
    <row r="2248" ht="14.25" customHeight="1" s="86">
      <c r="E2248" s="53" t="inlineStr">
        <is>
          <t>OR</t>
        </is>
      </c>
      <c r="F2248" s="53" t="inlineStr">
        <is>
          <t>WASHINGTON</t>
        </is>
      </c>
      <c r="G2248" s="59" t="n"/>
      <c r="X2248" s="61" t="n"/>
      <c r="Y2248" s="61" t="n"/>
    </row>
    <row r="2249" ht="14.25" customHeight="1" s="86">
      <c r="E2249" s="53" t="inlineStr">
        <is>
          <t>OR</t>
        </is>
      </c>
      <c r="F2249" s="53" t="inlineStr">
        <is>
          <t>WHEELER</t>
        </is>
      </c>
      <c r="G2249" s="59" t="n"/>
      <c r="X2249" s="61" t="n"/>
      <c r="Y2249" s="61" t="n"/>
    </row>
    <row r="2250" ht="14.25" customHeight="1" s="86">
      <c r="E2250" s="53" t="inlineStr">
        <is>
          <t>OR</t>
        </is>
      </c>
      <c r="F2250" s="53" t="inlineStr">
        <is>
          <t>YAMHILL</t>
        </is>
      </c>
      <c r="G2250" s="59" t="n"/>
      <c r="X2250" s="61" t="n"/>
      <c r="Y2250" s="61" t="n"/>
    </row>
    <row r="2251" ht="14.25" customHeight="1" s="86">
      <c r="E2251" s="53" t="inlineStr">
        <is>
          <t>PA</t>
        </is>
      </c>
      <c r="F2251" s="53" t="inlineStr">
        <is>
          <t>ADAMS</t>
        </is>
      </c>
      <c r="G2251" s="59" t="n"/>
      <c r="X2251" s="61" t="n"/>
      <c r="Y2251" s="61" t="n"/>
    </row>
    <row r="2252" ht="14.25" customHeight="1" s="86">
      <c r="E2252" s="53" t="inlineStr">
        <is>
          <t>PA</t>
        </is>
      </c>
      <c r="F2252" s="53" t="inlineStr">
        <is>
          <t>ALLEGHENY</t>
        </is>
      </c>
      <c r="G2252" s="59" t="n"/>
      <c r="X2252" s="61" t="n"/>
      <c r="Y2252" s="61" t="n"/>
    </row>
    <row r="2253" ht="14.25" customHeight="1" s="86">
      <c r="E2253" s="53" t="inlineStr">
        <is>
          <t>PA</t>
        </is>
      </c>
      <c r="F2253" s="53" t="inlineStr">
        <is>
          <t>ARMSTRONG</t>
        </is>
      </c>
      <c r="G2253" s="59" t="n"/>
      <c r="X2253" s="61" t="n"/>
      <c r="Y2253" s="61" t="n"/>
    </row>
    <row r="2254" ht="14.25" customHeight="1" s="86">
      <c r="E2254" s="53" t="inlineStr">
        <is>
          <t>PA</t>
        </is>
      </c>
      <c r="F2254" s="53" t="inlineStr">
        <is>
          <t>BEAVER</t>
        </is>
      </c>
      <c r="G2254" s="59" t="n"/>
      <c r="X2254" s="61" t="n"/>
      <c r="Y2254" s="61" t="n"/>
    </row>
    <row r="2255" ht="14.25" customHeight="1" s="86">
      <c r="E2255" s="53" t="inlineStr">
        <is>
          <t>PA</t>
        </is>
      </c>
      <c r="F2255" s="53" t="inlineStr">
        <is>
          <t>BEDFORD</t>
        </is>
      </c>
      <c r="G2255" s="59" t="n"/>
      <c r="X2255" s="61" t="n"/>
      <c r="Y2255" s="61" t="n"/>
    </row>
    <row r="2256" ht="14.25" customHeight="1" s="86">
      <c r="E2256" s="53" t="inlineStr">
        <is>
          <t>PA</t>
        </is>
      </c>
      <c r="F2256" s="53" t="inlineStr">
        <is>
          <t>BERKS</t>
        </is>
      </c>
      <c r="G2256" s="59" t="n"/>
      <c r="X2256" s="61" t="n"/>
      <c r="Y2256" s="61" t="n"/>
    </row>
    <row r="2257" ht="14.25" customHeight="1" s="86">
      <c r="E2257" s="53" t="inlineStr">
        <is>
          <t>PA</t>
        </is>
      </c>
      <c r="F2257" s="53" t="inlineStr">
        <is>
          <t>BLAIR</t>
        </is>
      </c>
      <c r="G2257" s="59" t="n"/>
      <c r="X2257" s="61" t="n"/>
      <c r="Y2257" s="61" t="n"/>
    </row>
    <row r="2258" ht="14.25" customHeight="1" s="86">
      <c r="E2258" s="53" t="inlineStr">
        <is>
          <t>PA</t>
        </is>
      </c>
      <c r="F2258" s="53" t="inlineStr">
        <is>
          <t>BRADFORD</t>
        </is>
      </c>
      <c r="G2258" s="59" t="n"/>
      <c r="X2258" s="61" t="n"/>
      <c r="Y2258" s="61" t="n"/>
    </row>
    <row r="2259" ht="14.25" customHeight="1" s="86">
      <c r="E2259" s="53" t="inlineStr">
        <is>
          <t>PA</t>
        </is>
      </c>
      <c r="F2259" s="53" t="inlineStr">
        <is>
          <t>BUCKS</t>
        </is>
      </c>
      <c r="G2259" s="59" t="n"/>
      <c r="X2259" s="61" t="n"/>
      <c r="Y2259" s="61" t="n"/>
    </row>
    <row r="2260" ht="14.25" customHeight="1" s="86">
      <c r="E2260" s="53" t="inlineStr">
        <is>
          <t>PA</t>
        </is>
      </c>
      <c r="F2260" s="53" t="inlineStr">
        <is>
          <t>BUTLER</t>
        </is>
      </c>
      <c r="G2260" s="59" t="n"/>
      <c r="X2260" s="61" t="n"/>
      <c r="Y2260" s="61" t="n"/>
    </row>
    <row r="2261" ht="14.25" customHeight="1" s="86">
      <c r="E2261" s="53" t="inlineStr">
        <is>
          <t>PA</t>
        </is>
      </c>
      <c r="F2261" s="53" t="inlineStr">
        <is>
          <t>CAMBRIA</t>
        </is>
      </c>
      <c r="G2261" s="59" t="n"/>
      <c r="X2261" s="61" t="n"/>
      <c r="Y2261" s="61" t="n"/>
    </row>
    <row r="2262" ht="14.25" customHeight="1" s="86">
      <c r="E2262" s="53" t="inlineStr">
        <is>
          <t>PA</t>
        </is>
      </c>
      <c r="F2262" s="53" t="inlineStr">
        <is>
          <t>CAMERON</t>
        </is>
      </c>
      <c r="G2262" s="59" t="n"/>
      <c r="X2262" s="61" t="n"/>
      <c r="Y2262" s="61" t="n"/>
    </row>
    <row r="2263" ht="14.25" customHeight="1" s="86">
      <c r="E2263" s="53" t="inlineStr">
        <is>
          <t>PA</t>
        </is>
      </c>
      <c r="F2263" s="53" t="inlineStr">
        <is>
          <t>CARBON</t>
        </is>
      </c>
      <c r="G2263" s="59" t="n"/>
      <c r="X2263" s="61" t="n"/>
      <c r="Y2263" s="61" t="n"/>
    </row>
    <row r="2264" ht="14.25" customHeight="1" s="86">
      <c r="E2264" s="53" t="inlineStr">
        <is>
          <t>PA</t>
        </is>
      </c>
      <c r="F2264" s="53" t="inlineStr">
        <is>
          <t>CENTRE</t>
        </is>
      </c>
      <c r="G2264" s="59" t="n"/>
      <c r="X2264" s="61" t="n"/>
      <c r="Y2264" s="61" t="n"/>
    </row>
    <row r="2265" ht="14.25" customHeight="1" s="86">
      <c r="E2265" s="53" t="inlineStr">
        <is>
          <t>PA</t>
        </is>
      </c>
      <c r="F2265" s="53" t="inlineStr">
        <is>
          <t>CHESTER</t>
        </is>
      </c>
      <c r="G2265" s="59" t="n"/>
      <c r="X2265" s="61" t="n"/>
      <c r="Y2265" s="61" t="n"/>
    </row>
    <row r="2266" ht="14.25" customHeight="1" s="86">
      <c r="E2266" s="53" t="inlineStr">
        <is>
          <t>PA</t>
        </is>
      </c>
      <c r="F2266" s="53" t="inlineStr">
        <is>
          <t>CLARION</t>
        </is>
      </c>
      <c r="G2266" s="59" t="n"/>
      <c r="X2266" s="61" t="n"/>
      <c r="Y2266" s="61" t="n"/>
    </row>
    <row r="2267" ht="14.25" customHeight="1" s="86">
      <c r="E2267" s="53" t="inlineStr">
        <is>
          <t>PA</t>
        </is>
      </c>
      <c r="F2267" s="53" t="inlineStr">
        <is>
          <t>CLEARFIELD</t>
        </is>
      </c>
      <c r="G2267" s="59" t="n"/>
      <c r="X2267" s="61" t="n"/>
      <c r="Y2267" s="61" t="n"/>
    </row>
    <row r="2268" ht="14.25" customHeight="1" s="86">
      <c r="E2268" s="53" t="inlineStr">
        <is>
          <t>PA</t>
        </is>
      </c>
      <c r="F2268" s="53" t="inlineStr">
        <is>
          <t>CLINTON</t>
        </is>
      </c>
      <c r="G2268" s="59" t="n"/>
      <c r="X2268" s="61" t="n"/>
      <c r="Y2268" s="61" t="n"/>
    </row>
    <row r="2269" ht="14.25" customHeight="1" s="86">
      <c r="E2269" s="53" t="inlineStr">
        <is>
          <t>PA</t>
        </is>
      </c>
      <c r="F2269" s="53" t="inlineStr">
        <is>
          <t>COLUMBIA</t>
        </is>
      </c>
      <c r="G2269" s="59" t="n"/>
      <c r="X2269" s="61" t="n"/>
      <c r="Y2269" s="61" t="n"/>
    </row>
    <row r="2270" ht="14.25" customHeight="1" s="86">
      <c r="E2270" s="53" t="inlineStr">
        <is>
          <t>PA</t>
        </is>
      </c>
      <c r="F2270" s="53" t="inlineStr">
        <is>
          <t>CRAWFORD</t>
        </is>
      </c>
      <c r="G2270" s="59" t="n"/>
      <c r="X2270" s="61" t="n"/>
      <c r="Y2270" s="61" t="n"/>
    </row>
    <row r="2271" ht="14.25" customHeight="1" s="86">
      <c r="E2271" s="53" t="inlineStr">
        <is>
          <t>PA</t>
        </is>
      </c>
      <c r="F2271" s="53" t="inlineStr">
        <is>
          <t>CUMBERLAND</t>
        </is>
      </c>
      <c r="G2271" s="59" t="n"/>
      <c r="X2271" s="61" t="n"/>
      <c r="Y2271" s="61" t="n"/>
    </row>
    <row r="2272" ht="14.25" customHeight="1" s="86">
      <c r="E2272" s="53" t="inlineStr">
        <is>
          <t>PA</t>
        </is>
      </c>
      <c r="F2272" s="53" t="inlineStr">
        <is>
          <t>DAUPHIN</t>
        </is>
      </c>
      <c r="G2272" s="59" t="n"/>
      <c r="X2272" s="61" t="n"/>
      <c r="Y2272" s="61" t="n"/>
    </row>
    <row r="2273" ht="14.25" customHeight="1" s="86">
      <c r="E2273" s="53" t="inlineStr">
        <is>
          <t>PA</t>
        </is>
      </c>
      <c r="F2273" s="53" t="inlineStr">
        <is>
          <t>DELAWARE</t>
        </is>
      </c>
      <c r="G2273" s="59" t="n"/>
      <c r="X2273" s="61" t="n"/>
      <c r="Y2273" s="61" t="n"/>
    </row>
    <row r="2274" ht="14.25" customHeight="1" s="86">
      <c r="E2274" s="53" t="inlineStr">
        <is>
          <t>PA</t>
        </is>
      </c>
      <c r="F2274" s="53" t="inlineStr">
        <is>
          <t>ELK</t>
        </is>
      </c>
      <c r="G2274" s="59" t="n"/>
      <c r="X2274" s="61" t="n"/>
      <c r="Y2274" s="61" t="n"/>
    </row>
    <row r="2275" ht="14.25" customHeight="1" s="86">
      <c r="E2275" s="53" t="inlineStr">
        <is>
          <t>PA</t>
        </is>
      </c>
      <c r="F2275" s="53" t="inlineStr">
        <is>
          <t>ERIE</t>
        </is>
      </c>
      <c r="G2275" s="59" t="n"/>
      <c r="X2275" s="61" t="n"/>
      <c r="Y2275" s="61" t="n"/>
    </row>
    <row r="2276" ht="14.25" customHeight="1" s="86">
      <c r="E2276" s="53" t="inlineStr">
        <is>
          <t>PA</t>
        </is>
      </c>
      <c r="F2276" s="53" t="inlineStr">
        <is>
          <t>FAYETTE</t>
        </is>
      </c>
      <c r="G2276" s="59" t="n"/>
      <c r="X2276" s="61" t="n"/>
      <c r="Y2276" s="61" t="n"/>
    </row>
    <row r="2277" ht="14.25" customHeight="1" s="86">
      <c r="E2277" s="53" t="inlineStr">
        <is>
          <t>PA</t>
        </is>
      </c>
      <c r="F2277" s="53" t="inlineStr">
        <is>
          <t>FOREST</t>
        </is>
      </c>
      <c r="G2277" s="59" t="n"/>
      <c r="X2277" s="61" t="n"/>
      <c r="Y2277" s="61" t="n"/>
    </row>
    <row r="2278" ht="14.25" customHeight="1" s="86">
      <c r="E2278" s="53" t="inlineStr">
        <is>
          <t>PA</t>
        </is>
      </c>
      <c r="F2278" s="53" t="inlineStr">
        <is>
          <t>FRANKLIN</t>
        </is>
      </c>
      <c r="G2278" s="59" t="n"/>
      <c r="X2278" s="61" t="n"/>
      <c r="Y2278" s="61" t="n"/>
    </row>
    <row r="2279" ht="14.25" customHeight="1" s="86">
      <c r="E2279" s="53" t="inlineStr">
        <is>
          <t>PA</t>
        </is>
      </c>
      <c r="F2279" s="53" t="inlineStr">
        <is>
          <t>FULTON</t>
        </is>
      </c>
      <c r="G2279" s="59" t="n"/>
      <c r="X2279" s="61" t="n"/>
      <c r="Y2279" s="61" t="n"/>
    </row>
    <row r="2280" ht="14.25" customHeight="1" s="86">
      <c r="E2280" s="53" t="inlineStr">
        <is>
          <t>PA</t>
        </is>
      </c>
      <c r="F2280" s="53" t="inlineStr">
        <is>
          <t>GREENE</t>
        </is>
      </c>
      <c r="G2280" s="59" t="n"/>
      <c r="X2280" s="61" t="n"/>
      <c r="Y2280" s="61" t="n"/>
    </row>
    <row r="2281" ht="14.25" customHeight="1" s="86">
      <c r="E2281" s="53" t="inlineStr">
        <is>
          <t>PA</t>
        </is>
      </c>
      <c r="F2281" s="53" t="inlineStr">
        <is>
          <t>HUNTINGDON</t>
        </is>
      </c>
      <c r="G2281" s="59" t="n"/>
      <c r="X2281" s="61" t="n"/>
      <c r="Y2281" s="61" t="n"/>
    </row>
    <row r="2282" ht="14.25" customHeight="1" s="86">
      <c r="E2282" s="53" t="inlineStr">
        <is>
          <t>PA</t>
        </is>
      </c>
      <c r="F2282" s="53" t="inlineStr">
        <is>
          <t>INDIANA</t>
        </is>
      </c>
      <c r="G2282" s="59" t="n"/>
      <c r="X2282" s="61" t="n"/>
      <c r="Y2282" s="61" t="n"/>
    </row>
    <row r="2283" ht="14.25" customHeight="1" s="86">
      <c r="E2283" s="53" t="inlineStr">
        <is>
          <t>PA</t>
        </is>
      </c>
      <c r="F2283" s="53" t="inlineStr">
        <is>
          <t>JEFFERSON</t>
        </is>
      </c>
      <c r="G2283" s="59" t="n"/>
      <c r="X2283" s="61" t="n"/>
      <c r="Y2283" s="61" t="n"/>
    </row>
    <row r="2284" ht="14.25" customHeight="1" s="86">
      <c r="E2284" s="53" t="inlineStr">
        <is>
          <t>PA</t>
        </is>
      </c>
      <c r="F2284" s="53" t="inlineStr">
        <is>
          <t>JUNIATA</t>
        </is>
      </c>
      <c r="G2284" s="59" t="n"/>
      <c r="X2284" s="61" t="n"/>
      <c r="Y2284" s="61" t="n"/>
    </row>
    <row r="2285" ht="14.25" customHeight="1" s="86">
      <c r="E2285" s="53" t="inlineStr">
        <is>
          <t>PA</t>
        </is>
      </c>
      <c r="F2285" s="53" t="inlineStr">
        <is>
          <t>LACKAWANNA</t>
        </is>
      </c>
      <c r="G2285" s="59" t="n"/>
      <c r="X2285" s="61" t="n"/>
      <c r="Y2285" s="61" t="n"/>
    </row>
    <row r="2286" ht="14.25" customHeight="1" s="86">
      <c r="E2286" s="53" t="inlineStr">
        <is>
          <t>PA</t>
        </is>
      </c>
      <c r="F2286" s="53" t="inlineStr">
        <is>
          <t>LANCASTER</t>
        </is>
      </c>
      <c r="G2286" s="59" t="n"/>
      <c r="X2286" s="61" t="n"/>
      <c r="Y2286" s="61" t="n"/>
    </row>
    <row r="2287" ht="14.25" customHeight="1" s="86">
      <c r="E2287" s="53" t="inlineStr">
        <is>
          <t>PA</t>
        </is>
      </c>
      <c r="F2287" s="53" t="inlineStr">
        <is>
          <t>LAWRENCE</t>
        </is>
      </c>
      <c r="G2287" s="59" t="n"/>
      <c r="X2287" s="61" t="n"/>
      <c r="Y2287" s="61" t="n"/>
    </row>
    <row r="2288" ht="14.25" customHeight="1" s="86">
      <c r="E2288" s="53" t="inlineStr">
        <is>
          <t>PA</t>
        </is>
      </c>
      <c r="F2288" s="53" t="inlineStr">
        <is>
          <t>LEBANON</t>
        </is>
      </c>
      <c r="G2288" s="59" t="n"/>
      <c r="X2288" s="61" t="n"/>
      <c r="Y2288" s="61" t="n"/>
    </row>
    <row r="2289" ht="14.25" customHeight="1" s="86">
      <c r="E2289" s="53" t="inlineStr">
        <is>
          <t>PA</t>
        </is>
      </c>
      <c r="F2289" s="53" t="inlineStr">
        <is>
          <t>LEHIGH</t>
        </is>
      </c>
      <c r="G2289" s="59" t="n"/>
      <c r="X2289" s="61" t="n"/>
      <c r="Y2289" s="61" t="n"/>
    </row>
    <row r="2290" ht="14.25" customHeight="1" s="86">
      <c r="E2290" s="53" t="inlineStr">
        <is>
          <t>PA</t>
        </is>
      </c>
      <c r="F2290" s="53" t="inlineStr">
        <is>
          <t>LUZERNE</t>
        </is>
      </c>
      <c r="G2290" s="59" t="n"/>
      <c r="X2290" s="61" t="n"/>
      <c r="Y2290" s="61" t="n"/>
    </row>
    <row r="2291" ht="14.25" customHeight="1" s="86">
      <c r="E2291" s="53" t="inlineStr">
        <is>
          <t>PA</t>
        </is>
      </c>
      <c r="F2291" s="53" t="inlineStr">
        <is>
          <t>LYCOMING</t>
        </is>
      </c>
      <c r="G2291" s="59" t="n"/>
      <c r="X2291" s="61" t="n"/>
      <c r="Y2291" s="61" t="n"/>
    </row>
    <row r="2292" ht="14.25" customHeight="1" s="86">
      <c r="E2292" s="53" t="inlineStr">
        <is>
          <t>PA</t>
        </is>
      </c>
      <c r="F2292" s="53" t="inlineStr">
        <is>
          <t>MCKEAN</t>
        </is>
      </c>
      <c r="G2292" s="59" t="n"/>
      <c r="X2292" s="61" t="n"/>
      <c r="Y2292" s="61" t="n"/>
    </row>
    <row r="2293" ht="14.25" customHeight="1" s="86">
      <c r="E2293" s="53" t="inlineStr">
        <is>
          <t>PA</t>
        </is>
      </c>
      <c r="F2293" s="53" t="inlineStr">
        <is>
          <t>MERCER</t>
        </is>
      </c>
      <c r="G2293" s="59" t="n"/>
      <c r="X2293" s="61" t="n"/>
      <c r="Y2293" s="61" t="n"/>
    </row>
    <row r="2294" ht="14.25" customHeight="1" s="86">
      <c r="E2294" s="53" t="inlineStr">
        <is>
          <t>PA</t>
        </is>
      </c>
      <c r="F2294" s="53" t="inlineStr">
        <is>
          <t>MIFFLIN</t>
        </is>
      </c>
      <c r="G2294" s="59" t="n"/>
      <c r="X2294" s="61" t="n"/>
      <c r="Y2294" s="61" t="n"/>
    </row>
    <row r="2295" ht="14.25" customHeight="1" s="86">
      <c r="E2295" s="53" t="inlineStr">
        <is>
          <t>PA</t>
        </is>
      </c>
      <c r="F2295" s="53" t="inlineStr">
        <is>
          <t>MONROE</t>
        </is>
      </c>
      <c r="G2295" s="59" t="n"/>
      <c r="X2295" s="61" t="n"/>
      <c r="Y2295" s="61" t="n"/>
    </row>
    <row r="2296" ht="14.25" customHeight="1" s="86">
      <c r="E2296" s="53" t="inlineStr">
        <is>
          <t>PA</t>
        </is>
      </c>
      <c r="F2296" s="53" t="inlineStr">
        <is>
          <t>MONTGOMERY</t>
        </is>
      </c>
      <c r="G2296" s="59" t="n"/>
      <c r="X2296" s="61" t="n"/>
      <c r="Y2296" s="61" t="n"/>
    </row>
    <row r="2297" ht="14.25" customHeight="1" s="86">
      <c r="E2297" s="53" t="inlineStr">
        <is>
          <t>PA</t>
        </is>
      </c>
      <c r="F2297" s="53" t="inlineStr">
        <is>
          <t>MONTOUR</t>
        </is>
      </c>
      <c r="G2297" s="59" t="n"/>
      <c r="X2297" s="61" t="n"/>
      <c r="Y2297" s="61" t="n"/>
    </row>
    <row r="2298" ht="14.25" customHeight="1" s="86">
      <c r="E2298" s="53" t="inlineStr">
        <is>
          <t>PA</t>
        </is>
      </c>
      <c r="F2298" s="53" t="inlineStr">
        <is>
          <t>NORTHAMPTON</t>
        </is>
      </c>
      <c r="G2298" s="59" t="n"/>
      <c r="X2298" s="61" t="n"/>
      <c r="Y2298" s="61" t="n"/>
    </row>
    <row r="2299" ht="14.25" customHeight="1" s="86">
      <c r="E2299" s="53" t="inlineStr">
        <is>
          <t>PA</t>
        </is>
      </c>
      <c r="F2299" s="53" t="inlineStr">
        <is>
          <t>NORTHUMBERLAND</t>
        </is>
      </c>
      <c r="G2299" s="59" t="n"/>
      <c r="X2299" s="61" t="n"/>
      <c r="Y2299" s="61" t="n"/>
    </row>
    <row r="2300" ht="14.25" customHeight="1" s="86">
      <c r="E2300" s="53" t="inlineStr">
        <is>
          <t>PA</t>
        </is>
      </c>
      <c r="F2300" s="53" t="inlineStr">
        <is>
          <t>PERRY</t>
        </is>
      </c>
      <c r="G2300" s="59" t="n"/>
      <c r="X2300" s="61" t="n"/>
      <c r="Y2300" s="61" t="n"/>
    </row>
    <row r="2301" ht="14.25" customHeight="1" s="86">
      <c r="E2301" s="53" t="inlineStr">
        <is>
          <t>PA</t>
        </is>
      </c>
      <c r="F2301" s="53" t="inlineStr">
        <is>
          <t>PHILADELPHIA</t>
        </is>
      </c>
      <c r="G2301" s="59" t="n"/>
      <c r="X2301" s="61" t="n"/>
      <c r="Y2301" s="61" t="n"/>
    </row>
    <row r="2302" ht="14.25" customHeight="1" s="86">
      <c r="E2302" s="53" t="inlineStr">
        <is>
          <t>PA</t>
        </is>
      </c>
      <c r="F2302" s="53" t="inlineStr">
        <is>
          <t>PIKE</t>
        </is>
      </c>
      <c r="G2302" s="59" t="n"/>
      <c r="X2302" s="61" t="n"/>
      <c r="Y2302" s="61" t="n"/>
    </row>
    <row r="2303" ht="14.25" customHeight="1" s="86">
      <c r="E2303" s="53" t="inlineStr">
        <is>
          <t>PA</t>
        </is>
      </c>
      <c r="F2303" s="53" t="inlineStr">
        <is>
          <t>POTTER</t>
        </is>
      </c>
      <c r="G2303" s="59" t="n"/>
      <c r="X2303" s="61" t="n"/>
      <c r="Y2303" s="61" t="n"/>
    </row>
    <row r="2304" ht="14.25" customHeight="1" s="86">
      <c r="E2304" s="53" t="inlineStr">
        <is>
          <t>PA</t>
        </is>
      </c>
      <c r="F2304" s="53" t="inlineStr">
        <is>
          <t>SCHUYLKILL</t>
        </is>
      </c>
      <c r="G2304" s="59" t="n"/>
      <c r="X2304" s="61" t="n"/>
      <c r="Y2304" s="61" t="n"/>
    </row>
    <row r="2305" ht="14.25" customHeight="1" s="86">
      <c r="E2305" s="53" t="inlineStr">
        <is>
          <t>PA</t>
        </is>
      </c>
      <c r="F2305" s="53" t="inlineStr">
        <is>
          <t>SNYDER</t>
        </is>
      </c>
      <c r="G2305" s="59" t="n"/>
      <c r="X2305" s="61" t="n"/>
      <c r="Y2305" s="61" t="n"/>
    </row>
    <row r="2306" ht="14.25" customHeight="1" s="86">
      <c r="E2306" s="53" t="inlineStr">
        <is>
          <t>PA</t>
        </is>
      </c>
      <c r="F2306" s="53" t="inlineStr">
        <is>
          <t>SOMERSET</t>
        </is>
      </c>
      <c r="G2306" s="59" t="n"/>
      <c r="X2306" s="61" t="n"/>
      <c r="Y2306" s="61" t="n"/>
    </row>
    <row r="2307" ht="14.25" customHeight="1" s="86">
      <c r="E2307" s="53" t="inlineStr">
        <is>
          <t>PA</t>
        </is>
      </c>
      <c r="F2307" s="53" t="inlineStr">
        <is>
          <t>SULLIVAN</t>
        </is>
      </c>
      <c r="G2307" s="59" t="n"/>
      <c r="X2307" s="61" t="n"/>
      <c r="Y2307" s="61" t="n"/>
    </row>
    <row r="2308" ht="14.25" customHeight="1" s="86">
      <c r="E2308" s="53" t="inlineStr">
        <is>
          <t>PA</t>
        </is>
      </c>
      <c r="F2308" s="53" t="inlineStr">
        <is>
          <t>SUSQUEHANNA</t>
        </is>
      </c>
      <c r="G2308" s="59" t="n"/>
      <c r="X2308" s="61" t="n"/>
      <c r="Y2308" s="61" t="n"/>
    </row>
    <row r="2309" ht="14.25" customHeight="1" s="86">
      <c r="E2309" s="53" t="inlineStr">
        <is>
          <t>PA</t>
        </is>
      </c>
      <c r="F2309" s="53" t="inlineStr">
        <is>
          <t>TIOGA</t>
        </is>
      </c>
      <c r="G2309" s="59" t="n"/>
      <c r="X2309" s="61" t="n"/>
      <c r="Y2309" s="61" t="n"/>
    </row>
    <row r="2310" ht="14.25" customHeight="1" s="86">
      <c r="E2310" s="53" t="inlineStr">
        <is>
          <t>PA</t>
        </is>
      </c>
      <c r="F2310" s="53" t="inlineStr">
        <is>
          <t>UNION</t>
        </is>
      </c>
      <c r="G2310" s="59" t="n"/>
      <c r="X2310" s="61" t="n"/>
      <c r="Y2310" s="61" t="n"/>
    </row>
    <row r="2311" ht="14.25" customHeight="1" s="86">
      <c r="E2311" s="53" t="inlineStr">
        <is>
          <t>PA</t>
        </is>
      </c>
      <c r="F2311" s="53" t="inlineStr">
        <is>
          <t>VENANGO</t>
        </is>
      </c>
      <c r="G2311" s="59" t="n"/>
      <c r="X2311" s="61" t="n"/>
      <c r="Y2311" s="61" t="n"/>
    </row>
    <row r="2312" ht="14.25" customHeight="1" s="86">
      <c r="E2312" s="53" t="inlineStr">
        <is>
          <t>PA</t>
        </is>
      </c>
      <c r="F2312" s="53" t="inlineStr">
        <is>
          <t>WARREN</t>
        </is>
      </c>
      <c r="G2312" s="59" t="n"/>
      <c r="X2312" s="61" t="n"/>
      <c r="Y2312" s="61" t="n"/>
    </row>
    <row r="2313" ht="14.25" customHeight="1" s="86">
      <c r="E2313" s="53" t="inlineStr">
        <is>
          <t>PA</t>
        </is>
      </c>
      <c r="F2313" s="53" t="inlineStr">
        <is>
          <t>WASHINGTON</t>
        </is>
      </c>
      <c r="G2313" s="59" t="n"/>
      <c r="X2313" s="61" t="n"/>
      <c r="Y2313" s="61" t="n"/>
    </row>
    <row r="2314" ht="14.25" customHeight="1" s="86">
      <c r="E2314" s="53" t="inlineStr">
        <is>
          <t>PA</t>
        </is>
      </c>
      <c r="F2314" s="53" t="inlineStr">
        <is>
          <t>WAYNE</t>
        </is>
      </c>
      <c r="G2314" s="59" t="n"/>
      <c r="X2314" s="61" t="n"/>
      <c r="Y2314" s="61" t="n"/>
    </row>
    <row r="2315" ht="14.25" customHeight="1" s="86">
      <c r="E2315" s="53" t="inlineStr">
        <is>
          <t>PA</t>
        </is>
      </c>
      <c r="F2315" s="53" t="inlineStr">
        <is>
          <t>WESTMORELAND</t>
        </is>
      </c>
      <c r="G2315" s="59" t="n"/>
      <c r="X2315" s="61" t="n"/>
      <c r="Y2315" s="61" t="n"/>
    </row>
    <row r="2316" ht="14.25" customHeight="1" s="86">
      <c r="E2316" s="53" t="inlineStr">
        <is>
          <t>PA</t>
        </is>
      </c>
      <c r="F2316" s="53" t="inlineStr">
        <is>
          <t>WYOMING</t>
        </is>
      </c>
      <c r="G2316" s="59" t="n"/>
      <c r="X2316" s="61" t="n"/>
      <c r="Y2316" s="61" t="n"/>
    </row>
    <row r="2317" ht="14.25" customHeight="1" s="86">
      <c r="E2317" s="53" t="inlineStr">
        <is>
          <t>PA</t>
        </is>
      </c>
      <c r="F2317" s="53" t="inlineStr">
        <is>
          <t>YORK</t>
        </is>
      </c>
      <c r="G2317" s="59" t="n"/>
      <c r="X2317" s="61" t="n"/>
      <c r="Y2317" s="61" t="n"/>
    </row>
    <row r="2318" ht="14.25" customHeight="1" s="86">
      <c r="E2318" s="53" t="inlineStr">
        <is>
          <t>PR</t>
        </is>
      </c>
      <c r="F2318" s="53" t="inlineStr">
        <is>
          <t>ADJUNTAS</t>
        </is>
      </c>
      <c r="G2318" s="59" t="n"/>
      <c r="X2318" s="61" t="n"/>
      <c r="Y2318" s="61" t="n"/>
    </row>
    <row r="2319" ht="14.25" customHeight="1" s="86">
      <c r="E2319" s="53" t="inlineStr">
        <is>
          <t>PR</t>
        </is>
      </c>
      <c r="F2319" s="53" t="inlineStr">
        <is>
          <t>AGUADA</t>
        </is>
      </c>
      <c r="G2319" s="59" t="n"/>
      <c r="X2319" s="61" t="n"/>
      <c r="Y2319" s="61" t="n"/>
    </row>
    <row r="2320" ht="14.25" customHeight="1" s="86">
      <c r="E2320" s="53" t="inlineStr">
        <is>
          <t>PR</t>
        </is>
      </c>
      <c r="F2320" s="53" t="inlineStr">
        <is>
          <t>AGUADILLA</t>
        </is>
      </c>
      <c r="G2320" s="59" t="n"/>
      <c r="X2320" s="61" t="n"/>
      <c r="Y2320" s="61" t="n"/>
    </row>
    <row r="2321" ht="14.25" customHeight="1" s="86">
      <c r="E2321" s="53" t="inlineStr">
        <is>
          <t>PR</t>
        </is>
      </c>
      <c r="F2321" s="53" t="inlineStr">
        <is>
          <t>AGUAS BUENAS</t>
        </is>
      </c>
      <c r="G2321" s="59" t="n"/>
      <c r="X2321" s="61" t="n"/>
      <c r="Y2321" s="61" t="n"/>
    </row>
    <row r="2322" ht="14.25" customHeight="1" s="86">
      <c r="E2322" s="53" t="inlineStr">
        <is>
          <t>PR</t>
        </is>
      </c>
      <c r="F2322" s="53" t="inlineStr">
        <is>
          <t>AIBONITO</t>
        </is>
      </c>
      <c r="G2322" s="59" t="n"/>
      <c r="X2322" s="61" t="n"/>
      <c r="Y2322" s="61" t="n"/>
    </row>
    <row r="2323" ht="14.25" customHeight="1" s="86">
      <c r="E2323" s="53" t="inlineStr">
        <is>
          <t>PR</t>
        </is>
      </c>
      <c r="F2323" s="53" t="inlineStr">
        <is>
          <t>ANASCO</t>
        </is>
      </c>
      <c r="G2323" s="59" t="n"/>
      <c r="X2323" s="61" t="n"/>
      <c r="Y2323" s="61" t="n"/>
    </row>
    <row r="2324" ht="14.25" customHeight="1" s="86">
      <c r="E2324" s="53" t="inlineStr">
        <is>
          <t>PR</t>
        </is>
      </c>
      <c r="F2324" s="53" t="inlineStr">
        <is>
          <t>ARECIBO</t>
        </is>
      </c>
      <c r="G2324" s="59" t="n"/>
      <c r="X2324" s="61" t="n"/>
      <c r="Y2324" s="61" t="n"/>
    </row>
    <row r="2325" ht="14.25" customHeight="1" s="86">
      <c r="E2325" s="53" t="inlineStr">
        <is>
          <t>PR</t>
        </is>
      </c>
      <c r="F2325" s="53" t="inlineStr">
        <is>
          <t>ARROYO</t>
        </is>
      </c>
      <c r="G2325" s="59" t="n"/>
      <c r="X2325" s="61" t="n"/>
      <c r="Y2325" s="61" t="n"/>
    </row>
    <row r="2326" ht="14.25" customHeight="1" s="86">
      <c r="E2326" s="53" t="inlineStr">
        <is>
          <t>PR</t>
        </is>
      </c>
      <c r="F2326" s="53" t="inlineStr">
        <is>
          <t>BARCELONETA</t>
        </is>
      </c>
      <c r="G2326" s="59" t="n"/>
      <c r="X2326" s="61" t="n"/>
      <c r="Y2326" s="61" t="n"/>
    </row>
    <row r="2327" ht="14.25" customHeight="1" s="86">
      <c r="E2327" s="53" t="inlineStr">
        <is>
          <t>PR</t>
        </is>
      </c>
      <c r="F2327" s="53" t="inlineStr">
        <is>
          <t>BARRANQUITAS</t>
        </is>
      </c>
      <c r="G2327" s="59" t="n"/>
      <c r="X2327" s="61" t="n"/>
      <c r="Y2327" s="61" t="n"/>
    </row>
    <row r="2328" ht="14.25" customHeight="1" s="86">
      <c r="E2328" s="53" t="inlineStr">
        <is>
          <t>PR</t>
        </is>
      </c>
      <c r="F2328" s="53" t="inlineStr">
        <is>
          <t>BAYAMON</t>
        </is>
      </c>
      <c r="G2328" s="59" t="n"/>
      <c r="X2328" s="61" t="n"/>
      <c r="Y2328" s="61" t="n"/>
    </row>
    <row r="2329" ht="14.25" customHeight="1" s="86">
      <c r="E2329" s="53" t="inlineStr">
        <is>
          <t>PR</t>
        </is>
      </c>
      <c r="F2329" s="53" t="inlineStr">
        <is>
          <t>CABO ROJO</t>
        </is>
      </c>
      <c r="G2329" s="59" t="n"/>
      <c r="X2329" s="61" t="n"/>
      <c r="Y2329" s="61" t="n"/>
    </row>
    <row r="2330" ht="14.25" customHeight="1" s="86">
      <c r="E2330" s="53" t="inlineStr">
        <is>
          <t>PR</t>
        </is>
      </c>
      <c r="F2330" s="53" t="inlineStr">
        <is>
          <t>CAGUAS</t>
        </is>
      </c>
      <c r="G2330" s="59" t="n"/>
      <c r="X2330" s="61" t="n"/>
      <c r="Y2330" s="61" t="n"/>
    </row>
    <row r="2331" ht="14.25" customHeight="1" s="86">
      <c r="E2331" s="53" t="inlineStr">
        <is>
          <t>PR</t>
        </is>
      </c>
      <c r="F2331" s="53" t="inlineStr">
        <is>
          <t>CAMUY</t>
        </is>
      </c>
      <c r="G2331" s="59" t="n"/>
      <c r="X2331" s="61" t="n"/>
      <c r="Y2331" s="61" t="n"/>
    </row>
    <row r="2332" ht="14.25" customHeight="1" s="86">
      <c r="E2332" s="53" t="inlineStr">
        <is>
          <t>PR</t>
        </is>
      </c>
      <c r="F2332" s="53" t="inlineStr">
        <is>
          <t>CANOVANAS</t>
        </is>
      </c>
      <c r="G2332" s="59" t="n"/>
      <c r="X2332" s="61" t="n"/>
      <c r="Y2332" s="61" t="n"/>
    </row>
    <row r="2333" ht="14.25" customHeight="1" s="86">
      <c r="E2333" s="53" t="inlineStr">
        <is>
          <t>PR</t>
        </is>
      </c>
      <c r="F2333" s="53" t="inlineStr">
        <is>
          <t>CAROLINA</t>
        </is>
      </c>
      <c r="G2333" s="59" t="n"/>
      <c r="X2333" s="61" t="n"/>
      <c r="Y2333" s="61" t="n"/>
    </row>
    <row r="2334" ht="14.25" customHeight="1" s="86">
      <c r="E2334" s="53" t="inlineStr">
        <is>
          <t>PR</t>
        </is>
      </c>
      <c r="F2334" s="53" t="inlineStr">
        <is>
          <t>CATANO</t>
        </is>
      </c>
      <c r="G2334" s="59" t="n"/>
      <c r="X2334" s="61" t="n"/>
      <c r="Y2334" s="61" t="n"/>
    </row>
    <row r="2335" ht="14.25" customHeight="1" s="86">
      <c r="E2335" s="53" t="inlineStr">
        <is>
          <t>PR</t>
        </is>
      </c>
      <c r="F2335" s="53" t="inlineStr">
        <is>
          <t>CAYEY</t>
        </is>
      </c>
      <c r="G2335" s="59" t="n"/>
      <c r="X2335" s="61" t="n"/>
      <c r="Y2335" s="61" t="n"/>
    </row>
    <row r="2336" ht="14.25" customHeight="1" s="86">
      <c r="E2336" s="53" t="inlineStr">
        <is>
          <t>PR</t>
        </is>
      </c>
      <c r="F2336" s="53" t="inlineStr">
        <is>
          <t>CEIBA</t>
        </is>
      </c>
      <c r="G2336" s="59" t="n"/>
      <c r="X2336" s="61" t="n"/>
      <c r="Y2336" s="61" t="n"/>
    </row>
    <row r="2337" ht="14.25" customHeight="1" s="86">
      <c r="E2337" s="53" t="inlineStr">
        <is>
          <t>PR</t>
        </is>
      </c>
      <c r="F2337" s="53" t="inlineStr">
        <is>
          <t>CIALES</t>
        </is>
      </c>
      <c r="G2337" s="59" t="n"/>
      <c r="X2337" s="61" t="n"/>
      <c r="Y2337" s="61" t="n"/>
    </row>
    <row r="2338" ht="14.25" customHeight="1" s="86">
      <c r="E2338" s="53" t="inlineStr">
        <is>
          <t>PR</t>
        </is>
      </c>
      <c r="F2338" s="53" t="inlineStr">
        <is>
          <t>CIDRA</t>
        </is>
      </c>
      <c r="G2338" s="59" t="n"/>
      <c r="X2338" s="61" t="n"/>
      <c r="Y2338" s="61" t="n"/>
    </row>
    <row r="2339" ht="14.25" customHeight="1" s="86">
      <c r="E2339" s="53" t="inlineStr">
        <is>
          <t>PR</t>
        </is>
      </c>
      <c r="F2339" s="53" t="inlineStr">
        <is>
          <t>COAMO</t>
        </is>
      </c>
      <c r="G2339" s="59" t="n"/>
      <c r="X2339" s="61" t="n"/>
      <c r="Y2339" s="61" t="n"/>
    </row>
    <row r="2340" ht="14.25" customHeight="1" s="86">
      <c r="E2340" s="53" t="inlineStr">
        <is>
          <t>PR</t>
        </is>
      </c>
      <c r="F2340" s="53" t="inlineStr">
        <is>
          <t>COMERIO</t>
        </is>
      </c>
      <c r="G2340" s="59" t="n"/>
      <c r="X2340" s="61" t="n"/>
      <c r="Y2340" s="61" t="n"/>
    </row>
    <row r="2341" ht="14.25" customHeight="1" s="86">
      <c r="E2341" s="53" t="inlineStr">
        <is>
          <t>PR</t>
        </is>
      </c>
      <c r="F2341" s="53" t="inlineStr">
        <is>
          <t>COROZAL</t>
        </is>
      </c>
      <c r="G2341" s="59" t="n"/>
      <c r="X2341" s="61" t="n"/>
      <c r="Y2341" s="61" t="n"/>
    </row>
    <row r="2342" ht="14.25" customHeight="1" s="86">
      <c r="E2342" s="53" t="inlineStr">
        <is>
          <t>PR</t>
        </is>
      </c>
      <c r="F2342" s="53" t="inlineStr">
        <is>
          <t>CULEBRA</t>
        </is>
      </c>
      <c r="G2342" s="59" t="n"/>
      <c r="X2342" s="61" t="n"/>
      <c r="Y2342" s="61" t="n"/>
    </row>
    <row r="2343" ht="14.25" customHeight="1" s="86">
      <c r="E2343" s="53" t="inlineStr">
        <is>
          <t>PR</t>
        </is>
      </c>
      <c r="F2343" s="53" t="inlineStr">
        <is>
          <t>DORADO</t>
        </is>
      </c>
      <c r="G2343" s="59" t="n"/>
      <c r="X2343" s="61" t="n"/>
      <c r="Y2343" s="61" t="n"/>
    </row>
    <row r="2344" ht="14.25" customHeight="1" s="86">
      <c r="E2344" s="53" t="inlineStr">
        <is>
          <t>PR</t>
        </is>
      </c>
      <c r="F2344" s="53" t="inlineStr">
        <is>
          <t>FAJARDO</t>
        </is>
      </c>
      <c r="G2344" s="59" t="n"/>
      <c r="X2344" s="61" t="n"/>
      <c r="Y2344" s="61" t="n"/>
    </row>
    <row r="2345" ht="14.25" customHeight="1" s="86">
      <c r="E2345" s="53" t="inlineStr">
        <is>
          <t>PR</t>
        </is>
      </c>
      <c r="F2345" s="53" t="inlineStr">
        <is>
          <t>FLORIDA</t>
        </is>
      </c>
      <c r="G2345" s="59" t="n"/>
      <c r="X2345" s="61" t="n"/>
      <c r="Y2345" s="61" t="n"/>
    </row>
    <row r="2346" ht="14.25" customHeight="1" s="86">
      <c r="E2346" s="53" t="inlineStr">
        <is>
          <t>PR</t>
        </is>
      </c>
      <c r="F2346" s="53" t="inlineStr">
        <is>
          <t>GUANICA</t>
        </is>
      </c>
      <c r="G2346" s="59" t="n"/>
      <c r="X2346" s="61" t="n"/>
      <c r="Y2346" s="61" t="n"/>
    </row>
    <row r="2347" ht="14.25" customHeight="1" s="86">
      <c r="E2347" s="53" t="inlineStr">
        <is>
          <t>PR</t>
        </is>
      </c>
      <c r="F2347" s="53" t="inlineStr">
        <is>
          <t>GUAYAMA</t>
        </is>
      </c>
      <c r="G2347" s="59" t="n"/>
      <c r="X2347" s="61" t="n"/>
      <c r="Y2347" s="61" t="n"/>
    </row>
    <row r="2348" ht="14.25" customHeight="1" s="86">
      <c r="E2348" s="53" t="inlineStr">
        <is>
          <t>PR</t>
        </is>
      </c>
      <c r="F2348" s="53" t="inlineStr">
        <is>
          <t>GUAYANILLA</t>
        </is>
      </c>
      <c r="G2348" s="59" t="n"/>
      <c r="X2348" s="61" t="n"/>
      <c r="Y2348" s="61" t="n"/>
    </row>
    <row r="2349" ht="14.25" customHeight="1" s="86">
      <c r="E2349" s="53" t="inlineStr">
        <is>
          <t>PR</t>
        </is>
      </c>
      <c r="F2349" s="53" t="inlineStr">
        <is>
          <t>GUAYNABO</t>
        </is>
      </c>
      <c r="G2349" s="59" t="n"/>
      <c r="X2349" s="61" t="n"/>
      <c r="Y2349" s="61" t="n"/>
    </row>
    <row r="2350" ht="14.25" customHeight="1" s="86">
      <c r="E2350" s="53" t="inlineStr">
        <is>
          <t>PR</t>
        </is>
      </c>
      <c r="F2350" s="53" t="inlineStr">
        <is>
          <t>GURABO</t>
        </is>
      </c>
      <c r="G2350" s="59" t="n"/>
      <c r="X2350" s="61" t="n"/>
      <c r="Y2350" s="61" t="n"/>
    </row>
    <row r="2351" ht="14.25" customHeight="1" s="86">
      <c r="E2351" s="53" t="inlineStr">
        <is>
          <t>PR</t>
        </is>
      </c>
      <c r="F2351" s="53" t="inlineStr">
        <is>
          <t>HATILLO</t>
        </is>
      </c>
      <c r="G2351" s="59" t="n"/>
      <c r="X2351" s="61" t="n"/>
      <c r="Y2351" s="61" t="n"/>
    </row>
    <row r="2352" ht="14.25" customHeight="1" s="86">
      <c r="E2352" s="53" t="inlineStr">
        <is>
          <t>PR</t>
        </is>
      </c>
      <c r="F2352" s="53" t="inlineStr">
        <is>
          <t>HORMIGUEROS</t>
        </is>
      </c>
      <c r="G2352" s="59" t="n"/>
      <c r="X2352" s="61" t="n"/>
      <c r="Y2352" s="61" t="n"/>
    </row>
    <row r="2353" ht="14.25" customHeight="1" s="86">
      <c r="E2353" s="53" t="inlineStr">
        <is>
          <t>PR</t>
        </is>
      </c>
      <c r="F2353" s="53" t="inlineStr">
        <is>
          <t>HUMACAO</t>
        </is>
      </c>
      <c r="G2353" s="59" t="n"/>
      <c r="X2353" s="61" t="n"/>
      <c r="Y2353" s="61" t="n"/>
    </row>
    <row r="2354" ht="14.25" customHeight="1" s="86">
      <c r="E2354" s="53" t="inlineStr">
        <is>
          <t>PR</t>
        </is>
      </c>
      <c r="F2354" s="53" t="inlineStr">
        <is>
          <t>ISABELA</t>
        </is>
      </c>
      <c r="G2354" s="59" t="n"/>
      <c r="X2354" s="61" t="n"/>
      <c r="Y2354" s="61" t="n"/>
    </row>
    <row r="2355" ht="14.25" customHeight="1" s="86">
      <c r="E2355" s="53" t="inlineStr">
        <is>
          <t>PR</t>
        </is>
      </c>
      <c r="F2355" s="53" t="inlineStr">
        <is>
          <t>JAYUYA</t>
        </is>
      </c>
      <c r="G2355" s="59" t="n"/>
      <c r="X2355" s="61" t="n"/>
      <c r="Y2355" s="61" t="n"/>
    </row>
    <row r="2356" ht="14.25" customHeight="1" s="86">
      <c r="E2356" s="53" t="inlineStr">
        <is>
          <t>PR</t>
        </is>
      </c>
      <c r="F2356" s="53" t="inlineStr">
        <is>
          <t>JUANA DIAZ</t>
        </is>
      </c>
      <c r="G2356" s="59" t="n"/>
      <c r="X2356" s="61" t="n"/>
      <c r="Y2356" s="61" t="n"/>
    </row>
    <row r="2357" ht="14.25" customHeight="1" s="86">
      <c r="E2357" s="53" t="inlineStr">
        <is>
          <t>PR</t>
        </is>
      </c>
      <c r="F2357" s="53" t="inlineStr">
        <is>
          <t>JUNCOS</t>
        </is>
      </c>
      <c r="G2357" s="59" t="n"/>
      <c r="X2357" s="61" t="n"/>
      <c r="Y2357" s="61" t="n"/>
    </row>
    <row r="2358" ht="14.25" customHeight="1" s="86">
      <c r="E2358" s="53" t="inlineStr">
        <is>
          <t>PR</t>
        </is>
      </c>
      <c r="F2358" s="53" t="inlineStr">
        <is>
          <t>LAJAS</t>
        </is>
      </c>
      <c r="G2358" s="59" t="n"/>
      <c r="X2358" s="61" t="n"/>
      <c r="Y2358" s="61" t="n"/>
    </row>
    <row r="2359" ht="14.25" customHeight="1" s="86">
      <c r="E2359" s="53" t="inlineStr">
        <is>
          <t>PR</t>
        </is>
      </c>
      <c r="F2359" s="53" t="inlineStr">
        <is>
          <t>LARES</t>
        </is>
      </c>
      <c r="G2359" s="59" t="n"/>
      <c r="X2359" s="61" t="n"/>
      <c r="Y2359" s="61" t="n"/>
    </row>
    <row r="2360" ht="14.25" customHeight="1" s="86">
      <c r="E2360" s="53" t="inlineStr">
        <is>
          <t>PR</t>
        </is>
      </c>
      <c r="F2360" s="53" t="inlineStr">
        <is>
          <t>LAS MARIAS</t>
        </is>
      </c>
      <c r="G2360" s="59" t="n"/>
      <c r="X2360" s="61" t="n"/>
      <c r="Y2360" s="61" t="n"/>
    </row>
    <row r="2361" ht="14.25" customHeight="1" s="86">
      <c r="E2361" s="53" t="inlineStr">
        <is>
          <t>PR</t>
        </is>
      </c>
      <c r="F2361" s="53" t="inlineStr">
        <is>
          <t>LAS PIEDRAS</t>
        </is>
      </c>
      <c r="G2361" s="59" t="n"/>
      <c r="X2361" s="61" t="n"/>
      <c r="Y2361" s="61" t="n"/>
    </row>
    <row r="2362" ht="14.25" customHeight="1" s="86">
      <c r="E2362" s="53" t="inlineStr">
        <is>
          <t>PR</t>
        </is>
      </c>
      <c r="F2362" s="53" t="inlineStr">
        <is>
          <t>LOIZA</t>
        </is>
      </c>
      <c r="G2362" s="59" t="n"/>
      <c r="X2362" s="61" t="n"/>
      <c r="Y2362" s="61" t="n"/>
    </row>
    <row r="2363" ht="14.25" customHeight="1" s="86">
      <c r="E2363" s="53" t="inlineStr">
        <is>
          <t>PR</t>
        </is>
      </c>
      <c r="F2363" s="53" t="inlineStr">
        <is>
          <t>LUQUILLO</t>
        </is>
      </c>
      <c r="G2363" s="59" t="n"/>
      <c r="X2363" s="61" t="n"/>
      <c r="Y2363" s="61" t="n"/>
    </row>
    <row r="2364" ht="14.25" customHeight="1" s="86">
      <c r="E2364" s="53" t="inlineStr">
        <is>
          <t>PR</t>
        </is>
      </c>
      <c r="F2364" s="53" t="inlineStr">
        <is>
          <t>MANATI</t>
        </is>
      </c>
      <c r="G2364" s="59" t="n"/>
      <c r="X2364" s="61" t="n"/>
      <c r="Y2364" s="61" t="n"/>
    </row>
    <row r="2365" ht="14.25" customHeight="1" s="86">
      <c r="E2365" s="53" t="inlineStr">
        <is>
          <t>PR</t>
        </is>
      </c>
      <c r="F2365" s="53" t="inlineStr">
        <is>
          <t>MARICAO</t>
        </is>
      </c>
      <c r="G2365" s="59" t="n"/>
      <c r="X2365" s="61" t="n"/>
      <c r="Y2365" s="61" t="n"/>
    </row>
    <row r="2366" ht="14.25" customHeight="1" s="86">
      <c r="E2366" s="53" t="inlineStr">
        <is>
          <t>PR</t>
        </is>
      </c>
      <c r="F2366" s="53" t="inlineStr">
        <is>
          <t>MAUNABO</t>
        </is>
      </c>
      <c r="G2366" s="59" t="n"/>
      <c r="X2366" s="61" t="n"/>
      <c r="Y2366" s="61" t="n"/>
    </row>
    <row r="2367" ht="14.25" customHeight="1" s="86">
      <c r="E2367" s="53" t="inlineStr">
        <is>
          <t>PR</t>
        </is>
      </c>
      <c r="F2367" s="53" t="inlineStr">
        <is>
          <t>MAYAGUEZ</t>
        </is>
      </c>
      <c r="G2367" s="59" t="n"/>
      <c r="X2367" s="61" t="n"/>
      <c r="Y2367" s="61" t="n"/>
    </row>
    <row r="2368" ht="14.25" customHeight="1" s="86">
      <c r="E2368" s="53" t="inlineStr">
        <is>
          <t>PR</t>
        </is>
      </c>
      <c r="F2368" s="53" t="inlineStr">
        <is>
          <t>MOCA</t>
        </is>
      </c>
      <c r="G2368" s="59" t="n"/>
      <c r="X2368" s="61" t="n"/>
      <c r="Y2368" s="61" t="n"/>
    </row>
    <row r="2369" ht="14.25" customHeight="1" s="86">
      <c r="E2369" s="53" t="inlineStr">
        <is>
          <t>PR</t>
        </is>
      </c>
      <c r="F2369" s="53" t="inlineStr">
        <is>
          <t>MOROVIS</t>
        </is>
      </c>
      <c r="G2369" s="59" t="n"/>
      <c r="X2369" s="61" t="n"/>
      <c r="Y2369" s="61" t="n"/>
    </row>
    <row r="2370" ht="14.25" customHeight="1" s="86">
      <c r="E2370" s="53" t="inlineStr">
        <is>
          <t>PR</t>
        </is>
      </c>
      <c r="F2370" s="53" t="inlineStr">
        <is>
          <t>NAGUABO</t>
        </is>
      </c>
      <c r="G2370" s="59" t="n"/>
      <c r="X2370" s="61" t="n"/>
      <c r="Y2370" s="61" t="n"/>
    </row>
    <row r="2371" ht="14.25" customHeight="1" s="86">
      <c r="E2371" s="53" t="inlineStr">
        <is>
          <t>PR</t>
        </is>
      </c>
      <c r="F2371" s="53" t="inlineStr">
        <is>
          <t>NARANJITO</t>
        </is>
      </c>
      <c r="G2371" s="59" t="n"/>
      <c r="X2371" s="61" t="n"/>
      <c r="Y2371" s="61" t="n"/>
    </row>
    <row r="2372" ht="14.25" customHeight="1" s="86">
      <c r="E2372" s="53" t="inlineStr">
        <is>
          <t>PR</t>
        </is>
      </c>
      <c r="F2372" s="53" t="inlineStr">
        <is>
          <t>OROCOVIS</t>
        </is>
      </c>
      <c r="G2372" s="59" t="n"/>
      <c r="X2372" s="61" t="n"/>
      <c r="Y2372" s="61" t="n"/>
    </row>
    <row r="2373" ht="14.25" customHeight="1" s="86">
      <c r="E2373" s="53" t="inlineStr">
        <is>
          <t>PR</t>
        </is>
      </c>
      <c r="F2373" s="53" t="inlineStr">
        <is>
          <t>PATILLAS</t>
        </is>
      </c>
      <c r="G2373" s="59" t="n"/>
      <c r="X2373" s="61" t="n"/>
      <c r="Y2373" s="61" t="n"/>
    </row>
    <row r="2374" ht="14.25" customHeight="1" s="86">
      <c r="E2374" s="53" t="inlineStr">
        <is>
          <t>PR</t>
        </is>
      </c>
      <c r="F2374" s="53" t="inlineStr">
        <is>
          <t>PENUELAS</t>
        </is>
      </c>
      <c r="G2374" s="59" t="n"/>
      <c r="X2374" s="61" t="n"/>
      <c r="Y2374" s="61" t="n"/>
    </row>
    <row r="2375" ht="14.25" customHeight="1" s="86">
      <c r="E2375" s="53" t="inlineStr">
        <is>
          <t>PR</t>
        </is>
      </c>
      <c r="F2375" s="53" t="inlineStr">
        <is>
          <t>PONCE</t>
        </is>
      </c>
      <c r="G2375" s="59" t="n"/>
      <c r="X2375" s="61" t="n"/>
      <c r="Y2375" s="61" t="n"/>
    </row>
    <row r="2376" ht="14.25" customHeight="1" s="86">
      <c r="E2376" s="53" t="inlineStr">
        <is>
          <t>PR</t>
        </is>
      </c>
      <c r="F2376" s="53" t="inlineStr">
        <is>
          <t>QUEBRADILLAS</t>
        </is>
      </c>
      <c r="G2376" s="59" t="n"/>
      <c r="X2376" s="61" t="n"/>
      <c r="Y2376" s="61" t="n"/>
    </row>
    <row r="2377" ht="14.25" customHeight="1" s="86">
      <c r="E2377" s="53" t="inlineStr">
        <is>
          <t>PR</t>
        </is>
      </c>
      <c r="F2377" s="53" t="inlineStr">
        <is>
          <t>RINCON</t>
        </is>
      </c>
      <c r="G2377" s="59" t="n"/>
      <c r="X2377" s="61" t="n"/>
      <c r="Y2377" s="61" t="n"/>
    </row>
    <row r="2378" ht="14.25" customHeight="1" s="86">
      <c r="E2378" s="53" t="inlineStr">
        <is>
          <t>PR</t>
        </is>
      </c>
      <c r="F2378" s="53" t="inlineStr">
        <is>
          <t>RIO GRANDE</t>
        </is>
      </c>
      <c r="G2378" s="59" t="n"/>
      <c r="X2378" s="61" t="n"/>
      <c r="Y2378" s="61" t="n"/>
    </row>
    <row r="2379" ht="14.25" customHeight="1" s="86">
      <c r="E2379" s="53" t="inlineStr">
        <is>
          <t>PR</t>
        </is>
      </c>
      <c r="F2379" s="53" t="inlineStr">
        <is>
          <t>SABANA GRANDE</t>
        </is>
      </c>
      <c r="G2379" s="59" t="n"/>
      <c r="X2379" s="61" t="n"/>
      <c r="Y2379" s="61" t="n"/>
    </row>
    <row r="2380" ht="14.25" customHeight="1" s="86">
      <c r="E2380" s="53" t="inlineStr">
        <is>
          <t>PR</t>
        </is>
      </c>
      <c r="F2380" s="53" t="inlineStr">
        <is>
          <t>SALINAS</t>
        </is>
      </c>
      <c r="G2380" s="59" t="n"/>
      <c r="X2380" s="61" t="n"/>
      <c r="Y2380" s="61" t="n"/>
    </row>
    <row r="2381" ht="14.25" customHeight="1" s="86">
      <c r="E2381" s="53" t="inlineStr">
        <is>
          <t>PR</t>
        </is>
      </c>
      <c r="F2381" s="53" t="inlineStr">
        <is>
          <t>SAN GERMAN</t>
        </is>
      </c>
      <c r="G2381" s="59" t="n"/>
      <c r="X2381" s="61" t="n"/>
      <c r="Y2381" s="61" t="n"/>
    </row>
    <row r="2382" ht="14.25" customHeight="1" s="86">
      <c r="E2382" s="53" t="inlineStr">
        <is>
          <t>PR</t>
        </is>
      </c>
      <c r="F2382" s="53" t="inlineStr">
        <is>
          <t>SAN JUAN</t>
        </is>
      </c>
      <c r="G2382" s="59" t="n"/>
      <c r="X2382" s="61" t="n"/>
      <c r="Y2382" s="61" t="n"/>
    </row>
    <row r="2383" ht="14.25" customHeight="1" s="86">
      <c r="E2383" s="53" t="inlineStr">
        <is>
          <t>PR</t>
        </is>
      </c>
      <c r="F2383" s="53" t="inlineStr">
        <is>
          <t>SAN LORENZO</t>
        </is>
      </c>
      <c r="G2383" s="59" t="n"/>
      <c r="X2383" s="61" t="n"/>
      <c r="Y2383" s="61" t="n"/>
    </row>
    <row r="2384" ht="14.25" customHeight="1" s="86">
      <c r="E2384" s="53" t="inlineStr">
        <is>
          <t>PR</t>
        </is>
      </c>
      <c r="F2384" s="53" t="inlineStr">
        <is>
          <t>SAN SEBASTIAN</t>
        </is>
      </c>
      <c r="G2384" s="59" t="n"/>
      <c r="X2384" s="61" t="n"/>
      <c r="Y2384" s="61" t="n"/>
    </row>
    <row r="2385" ht="14.25" customHeight="1" s="86">
      <c r="E2385" s="53" t="inlineStr">
        <is>
          <t>PR</t>
        </is>
      </c>
      <c r="F2385" s="53" t="inlineStr">
        <is>
          <t>SANTA ISABEL</t>
        </is>
      </c>
      <c r="G2385" s="59" t="n"/>
      <c r="X2385" s="61" t="n"/>
      <c r="Y2385" s="61" t="n"/>
    </row>
    <row r="2386" ht="14.25" customHeight="1" s="86">
      <c r="E2386" s="53" t="inlineStr">
        <is>
          <t>PR</t>
        </is>
      </c>
      <c r="F2386" s="53" t="inlineStr">
        <is>
          <t>TOA ALTA</t>
        </is>
      </c>
      <c r="G2386" s="59" t="n"/>
      <c r="X2386" s="61" t="n"/>
      <c r="Y2386" s="61" t="n"/>
    </row>
    <row r="2387" ht="14.25" customHeight="1" s="86">
      <c r="E2387" s="53" t="inlineStr">
        <is>
          <t>PR</t>
        </is>
      </c>
      <c r="F2387" s="53" t="inlineStr">
        <is>
          <t>TOA BAJA</t>
        </is>
      </c>
      <c r="G2387" s="59" t="n"/>
      <c r="X2387" s="61" t="n"/>
      <c r="Y2387" s="61" t="n"/>
    </row>
    <row r="2388" ht="14.25" customHeight="1" s="86">
      <c r="E2388" s="53" t="inlineStr">
        <is>
          <t>PR</t>
        </is>
      </c>
      <c r="F2388" s="53" t="inlineStr">
        <is>
          <t>TRUJILLO ALTO</t>
        </is>
      </c>
      <c r="G2388" s="59" t="n"/>
      <c r="X2388" s="61" t="n"/>
      <c r="Y2388" s="61" t="n"/>
    </row>
    <row r="2389" ht="14.25" customHeight="1" s="86">
      <c r="E2389" s="53" t="inlineStr">
        <is>
          <t>PR</t>
        </is>
      </c>
      <c r="F2389" s="53" t="inlineStr">
        <is>
          <t>UTUADO</t>
        </is>
      </c>
      <c r="G2389" s="59" t="n"/>
      <c r="X2389" s="61" t="n"/>
      <c r="Y2389" s="61" t="n"/>
    </row>
    <row r="2390" ht="14.25" customHeight="1" s="86">
      <c r="E2390" s="53" t="inlineStr">
        <is>
          <t>PR</t>
        </is>
      </c>
      <c r="F2390" s="53" t="inlineStr">
        <is>
          <t>VEGA ALTA</t>
        </is>
      </c>
      <c r="G2390" s="59" t="n"/>
      <c r="X2390" s="61" t="n"/>
      <c r="Y2390" s="61" t="n"/>
    </row>
    <row r="2391" ht="14.25" customHeight="1" s="86">
      <c r="E2391" s="53" t="inlineStr">
        <is>
          <t>PR</t>
        </is>
      </c>
      <c r="F2391" s="53" t="inlineStr">
        <is>
          <t>VEGA BAJA</t>
        </is>
      </c>
      <c r="G2391" s="59" t="n"/>
      <c r="X2391" s="61" t="n"/>
      <c r="Y2391" s="61" t="n"/>
    </row>
    <row r="2392" ht="14.25" customHeight="1" s="86">
      <c r="E2392" s="53" t="inlineStr">
        <is>
          <t>PR</t>
        </is>
      </c>
      <c r="F2392" s="53" t="inlineStr">
        <is>
          <t>VIEQUES</t>
        </is>
      </c>
      <c r="G2392" s="59" t="n"/>
      <c r="X2392" s="61" t="n"/>
      <c r="Y2392" s="61" t="n"/>
    </row>
    <row r="2393" ht="14.25" customHeight="1" s="86">
      <c r="E2393" s="53" t="inlineStr">
        <is>
          <t>PR</t>
        </is>
      </c>
      <c r="F2393" s="53" t="inlineStr">
        <is>
          <t>VILLALBA</t>
        </is>
      </c>
      <c r="G2393" s="59" t="n"/>
      <c r="X2393" s="61" t="n"/>
      <c r="Y2393" s="61" t="n"/>
    </row>
    <row r="2394" ht="14.25" customHeight="1" s="86">
      <c r="E2394" s="53" t="inlineStr">
        <is>
          <t>PR</t>
        </is>
      </c>
      <c r="F2394" s="53" t="inlineStr">
        <is>
          <t>YABUCOA</t>
        </is>
      </c>
      <c r="G2394" s="59" t="n"/>
      <c r="X2394" s="61" t="n"/>
      <c r="Y2394" s="61" t="n"/>
    </row>
    <row r="2395" ht="14.25" customHeight="1" s="86">
      <c r="E2395" s="53" t="inlineStr">
        <is>
          <t>PR</t>
        </is>
      </c>
      <c r="F2395" s="53" t="inlineStr">
        <is>
          <t>YAUCO</t>
        </is>
      </c>
      <c r="G2395" s="59" t="n"/>
      <c r="X2395" s="61" t="n"/>
      <c r="Y2395" s="61" t="n"/>
    </row>
    <row r="2396" ht="14.25" customHeight="1" s="86">
      <c r="E2396" s="53" t="inlineStr">
        <is>
          <t>PW</t>
        </is>
      </c>
      <c r="F2396" s="53" t="inlineStr">
        <is>
          <t>PALAU</t>
        </is>
      </c>
      <c r="G2396" s="59" t="n"/>
      <c r="X2396" s="61" t="n"/>
      <c r="Y2396" s="61" t="n"/>
    </row>
    <row r="2397" ht="14.25" customHeight="1" s="86">
      <c r="E2397" s="53" t="inlineStr">
        <is>
          <t>RI</t>
        </is>
      </c>
      <c r="F2397" s="53" t="inlineStr">
        <is>
          <t>BRISTOL</t>
        </is>
      </c>
      <c r="G2397" s="59" t="n"/>
      <c r="X2397" s="61" t="n"/>
      <c r="Y2397" s="61" t="n"/>
    </row>
    <row r="2398" ht="14.25" customHeight="1" s="86">
      <c r="E2398" s="53" t="inlineStr">
        <is>
          <t>RI</t>
        </is>
      </c>
      <c r="F2398" s="53" t="inlineStr">
        <is>
          <t>KENT</t>
        </is>
      </c>
      <c r="G2398" s="59" t="n"/>
      <c r="X2398" s="61" t="n"/>
      <c r="Y2398" s="61" t="n"/>
    </row>
    <row r="2399" ht="14.25" customHeight="1" s="86">
      <c r="E2399" s="53" t="inlineStr">
        <is>
          <t>RI</t>
        </is>
      </c>
      <c r="F2399" s="53" t="inlineStr">
        <is>
          <t>NEWPORT</t>
        </is>
      </c>
      <c r="G2399" s="59" t="n"/>
      <c r="X2399" s="61" t="n"/>
      <c r="Y2399" s="61" t="n"/>
    </row>
    <row r="2400" ht="14.25" customHeight="1" s="86">
      <c r="E2400" s="53" t="inlineStr">
        <is>
          <t>RI</t>
        </is>
      </c>
      <c r="F2400" s="53" t="inlineStr">
        <is>
          <t>PROVIDENCE</t>
        </is>
      </c>
      <c r="G2400" s="59" t="n"/>
      <c r="X2400" s="61" t="n"/>
      <c r="Y2400" s="61" t="n"/>
    </row>
    <row r="2401" ht="14.25" customHeight="1" s="86">
      <c r="E2401" s="53" t="inlineStr">
        <is>
          <t>RI</t>
        </is>
      </c>
      <c r="F2401" s="53" t="inlineStr">
        <is>
          <t>WASHINGTON</t>
        </is>
      </c>
      <c r="G2401" s="59" t="n"/>
      <c r="X2401" s="61" t="n"/>
      <c r="Y2401" s="61" t="n"/>
    </row>
    <row r="2402" ht="14.25" customHeight="1" s="86">
      <c r="E2402" s="53" t="inlineStr">
        <is>
          <t>SC</t>
        </is>
      </c>
      <c r="F2402" s="53" t="inlineStr">
        <is>
          <t>ABBEVILLE</t>
        </is>
      </c>
      <c r="G2402" s="59" t="n"/>
      <c r="X2402" s="61" t="n"/>
      <c r="Y2402" s="61" t="n"/>
    </row>
    <row r="2403" ht="14.25" customHeight="1" s="86">
      <c r="E2403" s="53" t="inlineStr">
        <is>
          <t>SC</t>
        </is>
      </c>
      <c r="F2403" s="53" t="inlineStr">
        <is>
          <t>AIKEN</t>
        </is>
      </c>
      <c r="G2403" s="59" t="n"/>
      <c r="X2403" s="61" t="n"/>
      <c r="Y2403" s="61" t="n"/>
    </row>
    <row r="2404" ht="14.25" customHeight="1" s="86">
      <c r="E2404" s="53" t="inlineStr">
        <is>
          <t>SC</t>
        </is>
      </c>
      <c r="F2404" s="53" t="inlineStr">
        <is>
          <t>ALLENDALE</t>
        </is>
      </c>
      <c r="G2404" s="59" t="n"/>
      <c r="X2404" s="61" t="n"/>
      <c r="Y2404" s="61" t="n"/>
    </row>
    <row r="2405" ht="14.25" customHeight="1" s="86">
      <c r="E2405" s="53" t="inlineStr">
        <is>
          <t>SC</t>
        </is>
      </c>
      <c r="F2405" s="53" t="inlineStr">
        <is>
          <t>ANDERSON</t>
        </is>
      </c>
      <c r="G2405" s="59" t="n"/>
      <c r="X2405" s="61" t="n"/>
      <c r="Y2405" s="61" t="n"/>
    </row>
    <row r="2406" ht="14.25" customHeight="1" s="86">
      <c r="E2406" s="53" t="inlineStr">
        <is>
          <t>SC</t>
        </is>
      </c>
      <c r="F2406" s="53" t="inlineStr">
        <is>
          <t>BAMBERG</t>
        </is>
      </c>
      <c r="G2406" s="59" t="n"/>
      <c r="X2406" s="61" t="n"/>
      <c r="Y2406" s="61" t="n"/>
    </row>
    <row r="2407" ht="14.25" customHeight="1" s="86">
      <c r="E2407" s="53" t="inlineStr">
        <is>
          <t>SC</t>
        </is>
      </c>
      <c r="F2407" s="53" t="inlineStr">
        <is>
          <t>BARNWELL</t>
        </is>
      </c>
      <c r="G2407" s="59" t="n"/>
      <c r="X2407" s="61" t="n"/>
      <c r="Y2407" s="61" t="n"/>
    </row>
    <row r="2408" ht="14.25" customHeight="1" s="86">
      <c r="E2408" s="53" t="inlineStr">
        <is>
          <t>SC</t>
        </is>
      </c>
      <c r="F2408" s="53" t="inlineStr">
        <is>
          <t>BEAUFORT</t>
        </is>
      </c>
      <c r="G2408" s="59" t="n"/>
      <c r="X2408" s="61" t="n"/>
      <c r="Y2408" s="61" t="n"/>
    </row>
    <row r="2409" ht="14.25" customHeight="1" s="86">
      <c r="E2409" s="53" t="inlineStr">
        <is>
          <t>SC</t>
        </is>
      </c>
      <c r="F2409" s="53" t="inlineStr">
        <is>
          <t>BERKELEY</t>
        </is>
      </c>
      <c r="G2409" s="59" t="n"/>
      <c r="X2409" s="61" t="n"/>
      <c r="Y2409" s="61" t="n"/>
    </row>
    <row r="2410" ht="14.25" customHeight="1" s="86">
      <c r="E2410" s="53" t="inlineStr">
        <is>
          <t>SC</t>
        </is>
      </c>
      <c r="F2410" s="53" t="inlineStr">
        <is>
          <t>CALHOUN</t>
        </is>
      </c>
      <c r="G2410" s="59" t="n"/>
      <c r="X2410" s="61" t="n"/>
      <c r="Y2410" s="61" t="n"/>
    </row>
    <row r="2411" ht="14.25" customHeight="1" s="86">
      <c r="E2411" s="53" t="inlineStr">
        <is>
          <t>SC</t>
        </is>
      </c>
      <c r="F2411" s="53" t="inlineStr">
        <is>
          <t>CHARLESTON</t>
        </is>
      </c>
      <c r="G2411" s="59" t="n"/>
      <c r="X2411" s="61" t="n"/>
      <c r="Y2411" s="61" t="n"/>
    </row>
    <row r="2412" ht="14.25" customHeight="1" s="86">
      <c r="E2412" s="53" t="inlineStr">
        <is>
          <t>SC</t>
        </is>
      </c>
      <c r="F2412" s="53" t="inlineStr">
        <is>
          <t>CHEROKEE</t>
        </is>
      </c>
      <c r="G2412" s="59" t="n"/>
      <c r="X2412" s="61" t="n"/>
      <c r="Y2412" s="61" t="n"/>
    </row>
    <row r="2413" ht="14.25" customHeight="1" s="86">
      <c r="E2413" s="53" t="inlineStr">
        <is>
          <t>SC</t>
        </is>
      </c>
      <c r="F2413" s="53" t="inlineStr">
        <is>
          <t>CHESTER</t>
        </is>
      </c>
      <c r="G2413" s="59" t="n"/>
      <c r="X2413" s="61" t="n"/>
      <c r="Y2413" s="61" t="n"/>
    </row>
    <row r="2414" ht="14.25" customHeight="1" s="86">
      <c r="E2414" s="53" t="inlineStr">
        <is>
          <t>SC</t>
        </is>
      </c>
      <c r="F2414" s="53" t="inlineStr">
        <is>
          <t>CHESTERFIELD</t>
        </is>
      </c>
      <c r="G2414" s="59" t="n"/>
      <c r="X2414" s="61" t="n"/>
      <c r="Y2414" s="61" t="n"/>
    </row>
    <row r="2415" ht="14.25" customHeight="1" s="86">
      <c r="E2415" s="53" t="inlineStr">
        <is>
          <t>SC</t>
        </is>
      </c>
      <c r="F2415" s="53" t="inlineStr">
        <is>
          <t>CLARENDON</t>
        </is>
      </c>
      <c r="G2415" s="59" t="n"/>
      <c r="X2415" s="61" t="n"/>
      <c r="Y2415" s="61" t="n"/>
    </row>
    <row r="2416" ht="14.25" customHeight="1" s="86">
      <c r="E2416" s="53" t="inlineStr">
        <is>
          <t>SC</t>
        </is>
      </c>
      <c r="F2416" s="53" t="inlineStr">
        <is>
          <t>COLLETON</t>
        </is>
      </c>
      <c r="G2416" s="59" t="n"/>
      <c r="X2416" s="61" t="n"/>
      <c r="Y2416" s="61" t="n"/>
    </row>
    <row r="2417" ht="14.25" customHeight="1" s="86">
      <c r="E2417" s="53" t="inlineStr">
        <is>
          <t>SC</t>
        </is>
      </c>
      <c r="F2417" s="53" t="inlineStr">
        <is>
          <t>DARLINGTON</t>
        </is>
      </c>
      <c r="G2417" s="59" t="n"/>
      <c r="X2417" s="61" t="n"/>
      <c r="Y2417" s="61" t="n"/>
    </row>
    <row r="2418" ht="14.25" customHeight="1" s="86">
      <c r="E2418" s="53" t="inlineStr">
        <is>
          <t>SC</t>
        </is>
      </c>
      <c r="F2418" s="53" t="inlineStr">
        <is>
          <t>DILLON</t>
        </is>
      </c>
      <c r="G2418" s="59" t="n"/>
      <c r="X2418" s="61" t="n"/>
      <c r="Y2418" s="61" t="n"/>
    </row>
    <row r="2419" ht="14.25" customHeight="1" s="86">
      <c r="E2419" s="53" t="inlineStr">
        <is>
          <t>SC</t>
        </is>
      </c>
      <c r="F2419" s="53" t="inlineStr">
        <is>
          <t>DORCHESTER</t>
        </is>
      </c>
      <c r="G2419" s="59" t="n"/>
      <c r="X2419" s="61" t="n"/>
      <c r="Y2419" s="61" t="n"/>
    </row>
    <row r="2420" ht="14.25" customHeight="1" s="86">
      <c r="E2420" s="53" t="inlineStr">
        <is>
          <t>SC</t>
        </is>
      </c>
      <c r="F2420" s="53" t="inlineStr">
        <is>
          <t>EDGEFIELD</t>
        </is>
      </c>
      <c r="G2420" s="59" t="n"/>
      <c r="X2420" s="61" t="n"/>
      <c r="Y2420" s="61" t="n"/>
    </row>
    <row r="2421" ht="14.25" customHeight="1" s="86">
      <c r="E2421" s="53" t="inlineStr">
        <is>
          <t>SC</t>
        </is>
      </c>
      <c r="F2421" s="53" t="inlineStr">
        <is>
          <t>FAIRFIELD</t>
        </is>
      </c>
      <c r="G2421" s="59" t="n"/>
      <c r="X2421" s="61" t="n"/>
      <c r="Y2421" s="61" t="n"/>
    </row>
    <row r="2422" ht="14.25" customHeight="1" s="86">
      <c r="E2422" s="53" t="inlineStr">
        <is>
          <t>SC</t>
        </is>
      </c>
      <c r="F2422" s="53" t="inlineStr">
        <is>
          <t>FLORENCE</t>
        </is>
      </c>
      <c r="G2422" s="59" t="n"/>
      <c r="X2422" s="61" t="n"/>
      <c r="Y2422" s="61" t="n"/>
    </row>
    <row r="2423" ht="14.25" customHeight="1" s="86">
      <c r="E2423" s="53" t="inlineStr">
        <is>
          <t>SC</t>
        </is>
      </c>
      <c r="F2423" s="53" t="inlineStr">
        <is>
          <t>GEORGETOWN</t>
        </is>
      </c>
      <c r="G2423" s="59" t="n"/>
      <c r="X2423" s="61" t="n"/>
      <c r="Y2423" s="61" t="n"/>
    </row>
    <row r="2424" ht="14.25" customHeight="1" s="86">
      <c r="E2424" s="53" t="inlineStr">
        <is>
          <t>SC</t>
        </is>
      </c>
      <c r="F2424" s="53" t="inlineStr">
        <is>
          <t>GREENVILLE</t>
        </is>
      </c>
      <c r="G2424" s="59" t="n"/>
      <c r="X2424" s="61" t="n"/>
      <c r="Y2424" s="61" t="n"/>
    </row>
    <row r="2425" ht="14.25" customHeight="1" s="86">
      <c r="E2425" s="53" t="inlineStr">
        <is>
          <t>SC</t>
        </is>
      </c>
      <c r="F2425" s="53" t="inlineStr">
        <is>
          <t>GREENWOOD</t>
        </is>
      </c>
      <c r="G2425" s="59" t="n"/>
      <c r="X2425" s="61" t="n"/>
      <c r="Y2425" s="61" t="n"/>
    </row>
    <row r="2426" ht="14.25" customHeight="1" s="86">
      <c r="E2426" s="53" t="inlineStr">
        <is>
          <t>SC</t>
        </is>
      </c>
      <c r="F2426" s="53" t="inlineStr">
        <is>
          <t>HAMPTON</t>
        </is>
      </c>
      <c r="G2426" s="59" t="n"/>
      <c r="X2426" s="61" t="n"/>
      <c r="Y2426" s="61" t="n"/>
    </row>
    <row r="2427" ht="14.25" customHeight="1" s="86">
      <c r="E2427" s="53" t="inlineStr">
        <is>
          <t>SC</t>
        </is>
      </c>
      <c r="F2427" s="53" t="inlineStr">
        <is>
          <t>HORRY</t>
        </is>
      </c>
      <c r="G2427" s="59" t="n"/>
      <c r="X2427" s="61" t="n"/>
      <c r="Y2427" s="61" t="n"/>
    </row>
    <row r="2428" ht="14.25" customHeight="1" s="86">
      <c r="E2428" s="53" t="inlineStr">
        <is>
          <t>SC</t>
        </is>
      </c>
      <c r="F2428" s="53" t="inlineStr">
        <is>
          <t>JASPER</t>
        </is>
      </c>
      <c r="G2428" s="59" t="n"/>
      <c r="X2428" s="61" t="n"/>
      <c r="Y2428" s="61" t="n"/>
    </row>
    <row r="2429" ht="14.25" customHeight="1" s="86">
      <c r="E2429" s="53" t="inlineStr">
        <is>
          <t>SC</t>
        </is>
      </c>
      <c r="F2429" s="53" t="inlineStr">
        <is>
          <t>KERSHAW</t>
        </is>
      </c>
      <c r="G2429" s="59" t="n"/>
      <c r="X2429" s="61" t="n"/>
      <c r="Y2429" s="61" t="n"/>
    </row>
    <row r="2430" ht="14.25" customHeight="1" s="86">
      <c r="E2430" s="53" t="inlineStr">
        <is>
          <t>SC</t>
        </is>
      </c>
      <c r="F2430" s="53" t="inlineStr">
        <is>
          <t>LANCASTER</t>
        </is>
      </c>
      <c r="G2430" s="59" t="n"/>
      <c r="X2430" s="61" t="n"/>
      <c r="Y2430" s="61" t="n"/>
    </row>
    <row r="2431" ht="14.25" customHeight="1" s="86">
      <c r="E2431" s="53" t="inlineStr">
        <is>
          <t>SC</t>
        </is>
      </c>
      <c r="F2431" s="53" t="inlineStr">
        <is>
          <t>LAURENS</t>
        </is>
      </c>
      <c r="G2431" s="59" t="n"/>
      <c r="X2431" s="61" t="n"/>
      <c r="Y2431" s="61" t="n"/>
    </row>
    <row r="2432" ht="14.25" customHeight="1" s="86">
      <c r="E2432" s="53" t="inlineStr">
        <is>
          <t>SC</t>
        </is>
      </c>
      <c r="F2432" s="53" t="inlineStr">
        <is>
          <t>LEE</t>
        </is>
      </c>
      <c r="G2432" s="59" t="n"/>
      <c r="X2432" s="61" t="n"/>
      <c r="Y2432" s="61" t="n"/>
    </row>
    <row r="2433" ht="14.25" customHeight="1" s="86">
      <c r="E2433" s="53" t="inlineStr">
        <is>
          <t>SC</t>
        </is>
      </c>
      <c r="F2433" s="53" t="inlineStr">
        <is>
          <t>LEXINGTON</t>
        </is>
      </c>
      <c r="G2433" s="59" t="n"/>
      <c r="X2433" s="61" t="n"/>
      <c r="Y2433" s="61" t="n"/>
    </row>
    <row r="2434" ht="14.25" customHeight="1" s="86">
      <c r="E2434" s="53" t="inlineStr">
        <is>
          <t>SC</t>
        </is>
      </c>
      <c r="F2434" s="53" t="inlineStr">
        <is>
          <t>MARION</t>
        </is>
      </c>
      <c r="G2434" s="59" t="n"/>
      <c r="X2434" s="61" t="n"/>
      <c r="Y2434" s="61" t="n"/>
    </row>
    <row r="2435" ht="14.25" customHeight="1" s="86">
      <c r="E2435" s="53" t="inlineStr">
        <is>
          <t>SC</t>
        </is>
      </c>
      <c r="F2435" s="53" t="inlineStr">
        <is>
          <t>MARLBORO</t>
        </is>
      </c>
      <c r="G2435" s="59" t="n"/>
      <c r="X2435" s="61" t="n"/>
      <c r="Y2435" s="61" t="n"/>
    </row>
    <row r="2436" ht="14.25" customHeight="1" s="86">
      <c r="E2436" s="53" t="inlineStr">
        <is>
          <t>SC</t>
        </is>
      </c>
      <c r="F2436" s="53" t="inlineStr">
        <is>
          <t>MCCORMICK</t>
        </is>
      </c>
      <c r="G2436" s="59" t="n"/>
      <c r="X2436" s="61" t="n"/>
      <c r="Y2436" s="61" t="n"/>
    </row>
    <row r="2437" ht="14.25" customHeight="1" s="86">
      <c r="E2437" s="53" t="inlineStr">
        <is>
          <t>SC</t>
        </is>
      </c>
      <c r="F2437" s="53" t="inlineStr">
        <is>
          <t>NEWBERRY</t>
        </is>
      </c>
      <c r="G2437" s="59" t="n"/>
      <c r="X2437" s="61" t="n"/>
      <c r="Y2437" s="61" t="n"/>
    </row>
    <row r="2438" ht="14.25" customHeight="1" s="86">
      <c r="E2438" s="53" t="inlineStr">
        <is>
          <t>SC</t>
        </is>
      </c>
      <c r="F2438" s="53" t="inlineStr">
        <is>
          <t>OCONEE</t>
        </is>
      </c>
      <c r="G2438" s="59" t="n"/>
      <c r="X2438" s="61" t="n"/>
      <c r="Y2438" s="61" t="n"/>
    </row>
    <row r="2439" ht="14.25" customHeight="1" s="86">
      <c r="E2439" s="53" t="inlineStr">
        <is>
          <t>SC</t>
        </is>
      </c>
      <c r="F2439" s="53" t="inlineStr">
        <is>
          <t>ORANGEBURG</t>
        </is>
      </c>
      <c r="G2439" s="59" t="n"/>
      <c r="X2439" s="61" t="n"/>
      <c r="Y2439" s="61" t="n"/>
    </row>
    <row r="2440" ht="14.25" customHeight="1" s="86">
      <c r="E2440" s="53" t="inlineStr">
        <is>
          <t>SC</t>
        </is>
      </c>
      <c r="F2440" s="53" t="inlineStr">
        <is>
          <t>PICKENS</t>
        </is>
      </c>
      <c r="G2440" s="59" t="n"/>
      <c r="X2440" s="61" t="n"/>
      <c r="Y2440" s="61" t="n"/>
    </row>
    <row r="2441" ht="14.25" customHeight="1" s="86">
      <c r="E2441" s="53" t="inlineStr">
        <is>
          <t>SC</t>
        </is>
      </c>
      <c r="F2441" s="53" t="inlineStr">
        <is>
          <t>RICHLAND</t>
        </is>
      </c>
      <c r="G2441" s="59" t="n"/>
      <c r="X2441" s="61" t="n"/>
      <c r="Y2441" s="61" t="n"/>
    </row>
    <row r="2442" ht="14.25" customHeight="1" s="86">
      <c r="E2442" s="53" t="inlineStr">
        <is>
          <t>SC</t>
        </is>
      </c>
      <c r="F2442" s="53" t="inlineStr">
        <is>
          <t>SALUDA</t>
        </is>
      </c>
      <c r="G2442" s="59" t="n"/>
      <c r="X2442" s="61" t="n"/>
      <c r="Y2442" s="61" t="n"/>
    </row>
    <row r="2443" ht="14.25" customHeight="1" s="86">
      <c r="E2443" s="53" t="inlineStr">
        <is>
          <t>SC</t>
        </is>
      </c>
      <c r="F2443" s="53" t="inlineStr">
        <is>
          <t>SPARTANBURG</t>
        </is>
      </c>
      <c r="G2443" s="59" t="n"/>
      <c r="X2443" s="61" t="n"/>
      <c r="Y2443" s="61" t="n"/>
    </row>
    <row r="2444" ht="14.25" customHeight="1" s="86">
      <c r="E2444" s="53" t="inlineStr">
        <is>
          <t>SC</t>
        </is>
      </c>
      <c r="F2444" s="53" t="inlineStr">
        <is>
          <t>SUMTER</t>
        </is>
      </c>
      <c r="G2444" s="59" t="n"/>
      <c r="X2444" s="61" t="n"/>
      <c r="Y2444" s="61" t="n"/>
    </row>
    <row r="2445" ht="14.25" customHeight="1" s="86">
      <c r="E2445" s="53" t="inlineStr">
        <is>
          <t>SC</t>
        </is>
      </c>
      <c r="F2445" s="53" t="inlineStr">
        <is>
          <t>UNION</t>
        </is>
      </c>
      <c r="G2445" s="59" t="n"/>
      <c r="X2445" s="61" t="n"/>
      <c r="Y2445" s="61" t="n"/>
    </row>
    <row r="2446" ht="14.25" customHeight="1" s="86">
      <c r="E2446" s="53" t="inlineStr">
        <is>
          <t>SC</t>
        </is>
      </c>
      <c r="F2446" s="53" t="inlineStr">
        <is>
          <t>WILLIAMSBURG</t>
        </is>
      </c>
      <c r="G2446" s="59" t="n"/>
      <c r="X2446" s="61" t="n"/>
      <c r="Y2446" s="61" t="n"/>
    </row>
    <row r="2447" ht="14.25" customHeight="1" s="86">
      <c r="E2447" s="53" t="inlineStr">
        <is>
          <t>SC</t>
        </is>
      </c>
      <c r="F2447" s="53" t="inlineStr">
        <is>
          <t>YORK</t>
        </is>
      </c>
      <c r="G2447" s="59" t="n"/>
      <c r="X2447" s="61" t="n"/>
      <c r="Y2447" s="61" t="n"/>
    </row>
    <row r="2448" ht="14.25" customHeight="1" s="86">
      <c r="E2448" s="53" t="inlineStr">
        <is>
          <t>SD</t>
        </is>
      </c>
      <c r="F2448" s="53" t="inlineStr">
        <is>
          <t>AURORA</t>
        </is>
      </c>
      <c r="G2448" s="59" t="n"/>
      <c r="X2448" s="61" t="n"/>
      <c r="Y2448" s="61" t="n"/>
    </row>
    <row r="2449" ht="14.25" customHeight="1" s="86">
      <c r="E2449" s="53" t="inlineStr">
        <is>
          <t>SD</t>
        </is>
      </c>
      <c r="F2449" s="53" t="inlineStr">
        <is>
          <t>BEADLE</t>
        </is>
      </c>
      <c r="G2449" s="59" t="n"/>
      <c r="X2449" s="61" t="n"/>
      <c r="Y2449" s="61" t="n"/>
    </row>
    <row r="2450" ht="14.25" customHeight="1" s="86">
      <c r="E2450" s="53" t="inlineStr">
        <is>
          <t>SD</t>
        </is>
      </c>
      <c r="F2450" s="53" t="inlineStr">
        <is>
          <t>BENNETT</t>
        </is>
      </c>
      <c r="G2450" s="59" t="n"/>
      <c r="X2450" s="61" t="n"/>
      <c r="Y2450" s="61" t="n"/>
    </row>
    <row r="2451" ht="14.25" customHeight="1" s="86">
      <c r="E2451" s="53" t="inlineStr">
        <is>
          <t>SD</t>
        </is>
      </c>
      <c r="F2451" s="53" t="inlineStr">
        <is>
          <t>BON HOMME</t>
        </is>
      </c>
      <c r="G2451" s="59" t="n"/>
      <c r="X2451" s="61" t="n"/>
      <c r="Y2451" s="61" t="n"/>
    </row>
    <row r="2452" ht="14.25" customHeight="1" s="86">
      <c r="E2452" s="53" t="inlineStr">
        <is>
          <t>SD</t>
        </is>
      </c>
      <c r="F2452" s="53" t="inlineStr">
        <is>
          <t>BROOKINGS</t>
        </is>
      </c>
      <c r="G2452" s="59" t="n"/>
      <c r="X2452" s="61" t="n"/>
      <c r="Y2452" s="61" t="n"/>
    </row>
    <row r="2453" ht="14.25" customHeight="1" s="86">
      <c r="E2453" s="53" t="inlineStr">
        <is>
          <t>SD</t>
        </is>
      </c>
      <c r="F2453" s="53" t="inlineStr">
        <is>
          <t>BROWN</t>
        </is>
      </c>
      <c r="G2453" s="59" t="n"/>
      <c r="X2453" s="61" t="n"/>
      <c r="Y2453" s="61" t="n"/>
    </row>
    <row r="2454" ht="14.25" customHeight="1" s="86">
      <c r="E2454" s="53" t="inlineStr">
        <is>
          <t>SD</t>
        </is>
      </c>
      <c r="F2454" s="53" t="inlineStr">
        <is>
          <t>BRULE</t>
        </is>
      </c>
      <c r="G2454" s="59" t="n"/>
      <c r="X2454" s="61" t="n"/>
      <c r="Y2454" s="61" t="n"/>
    </row>
    <row r="2455" ht="14.25" customHeight="1" s="86">
      <c r="E2455" s="53" t="inlineStr">
        <is>
          <t>SD</t>
        </is>
      </c>
      <c r="F2455" s="53" t="inlineStr">
        <is>
          <t>BUFFALO</t>
        </is>
      </c>
      <c r="G2455" s="59" t="n"/>
      <c r="X2455" s="61" t="n"/>
      <c r="Y2455" s="61" t="n"/>
    </row>
    <row r="2456" ht="14.25" customHeight="1" s="86">
      <c r="E2456" s="53" t="inlineStr">
        <is>
          <t>SD</t>
        </is>
      </c>
      <c r="F2456" s="53" t="inlineStr">
        <is>
          <t>BUTTE</t>
        </is>
      </c>
      <c r="G2456" s="59" t="n"/>
      <c r="X2456" s="61" t="n"/>
      <c r="Y2456" s="61" t="n"/>
    </row>
    <row r="2457" ht="14.25" customHeight="1" s="86">
      <c r="E2457" s="53" t="inlineStr">
        <is>
          <t>SD</t>
        </is>
      </c>
      <c r="F2457" s="53" t="inlineStr">
        <is>
          <t>CAMPBELL</t>
        </is>
      </c>
      <c r="G2457" s="59" t="n"/>
      <c r="X2457" s="61" t="n"/>
      <c r="Y2457" s="61" t="n"/>
    </row>
    <row r="2458" ht="14.25" customHeight="1" s="86">
      <c r="E2458" s="53" t="inlineStr">
        <is>
          <t>SD</t>
        </is>
      </c>
      <c r="F2458" s="53" t="inlineStr">
        <is>
          <t>CHARLES MIX</t>
        </is>
      </c>
      <c r="G2458" s="59" t="n"/>
      <c r="X2458" s="61" t="n"/>
      <c r="Y2458" s="61" t="n"/>
    </row>
    <row r="2459" ht="14.25" customHeight="1" s="86">
      <c r="E2459" s="53" t="inlineStr">
        <is>
          <t>SD</t>
        </is>
      </c>
      <c r="F2459" s="53" t="inlineStr">
        <is>
          <t>CLARK</t>
        </is>
      </c>
      <c r="G2459" s="59" t="n"/>
      <c r="X2459" s="61" t="n"/>
      <c r="Y2459" s="61" t="n"/>
    </row>
    <row r="2460" ht="14.25" customHeight="1" s="86">
      <c r="E2460" s="53" t="inlineStr">
        <is>
          <t>SD</t>
        </is>
      </c>
      <c r="F2460" s="53" t="inlineStr">
        <is>
          <t>CLAY</t>
        </is>
      </c>
      <c r="G2460" s="59" t="n"/>
      <c r="X2460" s="61" t="n"/>
      <c r="Y2460" s="61" t="n"/>
    </row>
    <row r="2461" ht="14.25" customHeight="1" s="86">
      <c r="E2461" s="53" t="inlineStr">
        <is>
          <t>SD</t>
        </is>
      </c>
      <c r="F2461" s="53" t="inlineStr">
        <is>
          <t>CODINGTON</t>
        </is>
      </c>
      <c r="G2461" s="59" t="n"/>
      <c r="X2461" s="61" t="n"/>
      <c r="Y2461" s="61" t="n"/>
    </row>
    <row r="2462" ht="14.25" customHeight="1" s="86">
      <c r="E2462" s="53" t="inlineStr">
        <is>
          <t>SD</t>
        </is>
      </c>
      <c r="F2462" s="53" t="inlineStr">
        <is>
          <t>CORSON</t>
        </is>
      </c>
      <c r="G2462" s="59" t="n"/>
      <c r="X2462" s="61" t="n"/>
      <c r="Y2462" s="61" t="n"/>
    </row>
    <row r="2463" ht="14.25" customHeight="1" s="86">
      <c r="E2463" s="53" t="inlineStr">
        <is>
          <t>SD</t>
        </is>
      </c>
      <c r="F2463" s="53" t="inlineStr">
        <is>
          <t>CUSTER</t>
        </is>
      </c>
      <c r="G2463" s="59" t="n"/>
      <c r="X2463" s="61" t="n"/>
      <c r="Y2463" s="61" t="n"/>
    </row>
    <row r="2464" ht="14.25" customHeight="1" s="86">
      <c r="E2464" s="53" t="inlineStr">
        <is>
          <t>SD</t>
        </is>
      </c>
      <c r="F2464" s="53" t="inlineStr">
        <is>
          <t>DAVISON</t>
        </is>
      </c>
      <c r="G2464" s="59" t="n"/>
      <c r="X2464" s="61" t="n"/>
      <c r="Y2464" s="61" t="n"/>
    </row>
    <row r="2465" ht="14.25" customHeight="1" s="86">
      <c r="E2465" s="53" t="inlineStr">
        <is>
          <t>SD</t>
        </is>
      </c>
      <c r="F2465" s="53" t="inlineStr">
        <is>
          <t>DAY</t>
        </is>
      </c>
      <c r="G2465" s="59" t="n"/>
      <c r="X2465" s="61" t="n"/>
      <c r="Y2465" s="61" t="n"/>
    </row>
    <row r="2466" ht="14.25" customHeight="1" s="86">
      <c r="E2466" s="53" t="inlineStr">
        <is>
          <t>SD</t>
        </is>
      </c>
      <c r="F2466" s="53" t="inlineStr">
        <is>
          <t>DEUEL</t>
        </is>
      </c>
      <c r="G2466" s="59" t="n"/>
      <c r="X2466" s="61" t="n"/>
      <c r="Y2466" s="61" t="n"/>
    </row>
    <row r="2467" ht="14.25" customHeight="1" s="86">
      <c r="E2467" s="53" t="inlineStr">
        <is>
          <t>SD</t>
        </is>
      </c>
      <c r="F2467" s="53" t="inlineStr">
        <is>
          <t>DEWEY</t>
        </is>
      </c>
      <c r="G2467" s="59" t="n"/>
      <c r="X2467" s="61" t="n"/>
      <c r="Y2467" s="61" t="n"/>
    </row>
    <row r="2468" ht="14.25" customHeight="1" s="86">
      <c r="E2468" s="53" t="inlineStr">
        <is>
          <t>SD</t>
        </is>
      </c>
      <c r="F2468" s="53" t="inlineStr">
        <is>
          <t>DOUGLAS</t>
        </is>
      </c>
      <c r="G2468" s="59" t="n"/>
      <c r="X2468" s="61" t="n"/>
      <c r="Y2468" s="61" t="n"/>
    </row>
    <row r="2469" ht="14.25" customHeight="1" s="86">
      <c r="E2469" s="53" t="inlineStr">
        <is>
          <t>SD</t>
        </is>
      </c>
      <c r="F2469" s="53" t="inlineStr">
        <is>
          <t>EDMUNDS</t>
        </is>
      </c>
      <c r="G2469" s="59" t="n"/>
      <c r="X2469" s="61" t="n"/>
      <c r="Y2469" s="61" t="n"/>
    </row>
    <row r="2470" ht="14.25" customHeight="1" s="86">
      <c r="E2470" s="53" t="inlineStr">
        <is>
          <t>SD</t>
        </is>
      </c>
      <c r="F2470" s="53" t="inlineStr">
        <is>
          <t>FALL RIVER</t>
        </is>
      </c>
      <c r="G2470" s="59" t="n"/>
      <c r="X2470" s="61" t="n"/>
      <c r="Y2470" s="61" t="n"/>
    </row>
    <row r="2471" ht="14.25" customHeight="1" s="86">
      <c r="E2471" s="53" t="inlineStr">
        <is>
          <t>SD</t>
        </is>
      </c>
      <c r="F2471" s="53" t="inlineStr">
        <is>
          <t>FAULK</t>
        </is>
      </c>
      <c r="G2471" s="59" t="n"/>
      <c r="X2471" s="61" t="n"/>
      <c r="Y2471" s="61" t="n"/>
    </row>
    <row r="2472" ht="14.25" customHeight="1" s="86">
      <c r="E2472" s="53" t="inlineStr">
        <is>
          <t>SD</t>
        </is>
      </c>
      <c r="F2472" s="53" t="inlineStr">
        <is>
          <t>GRANT</t>
        </is>
      </c>
      <c r="G2472" s="59" t="n"/>
      <c r="X2472" s="61" t="n"/>
      <c r="Y2472" s="61" t="n"/>
    </row>
    <row r="2473" ht="14.25" customHeight="1" s="86">
      <c r="E2473" s="53" t="inlineStr">
        <is>
          <t>SD</t>
        </is>
      </c>
      <c r="F2473" s="53" t="inlineStr">
        <is>
          <t>GREGORY</t>
        </is>
      </c>
      <c r="G2473" s="59" t="n"/>
      <c r="X2473" s="61" t="n"/>
      <c r="Y2473" s="61" t="n"/>
    </row>
    <row r="2474" ht="14.25" customHeight="1" s="86">
      <c r="E2474" s="53" t="inlineStr">
        <is>
          <t>SD</t>
        </is>
      </c>
      <c r="F2474" s="53" t="inlineStr">
        <is>
          <t>HAAKON</t>
        </is>
      </c>
      <c r="G2474" s="59" t="n"/>
      <c r="X2474" s="61" t="n"/>
      <c r="Y2474" s="61" t="n"/>
    </row>
    <row r="2475" ht="14.25" customHeight="1" s="86">
      <c r="E2475" s="53" t="inlineStr">
        <is>
          <t>SD</t>
        </is>
      </c>
      <c r="F2475" s="53" t="inlineStr">
        <is>
          <t>HAMLIN</t>
        </is>
      </c>
      <c r="G2475" s="59" t="n"/>
      <c r="X2475" s="61" t="n"/>
      <c r="Y2475" s="61" t="n"/>
    </row>
    <row r="2476" ht="14.25" customHeight="1" s="86">
      <c r="E2476" s="53" t="inlineStr">
        <is>
          <t>SD</t>
        </is>
      </c>
      <c r="F2476" s="53" t="inlineStr">
        <is>
          <t>HAND</t>
        </is>
      </c>
      <c r="G2476" s="59" t="n"/>
      <c r="X2476" s="61" t="n"/>
      <c r="Y2476" s="61" t="n"/>
    </row>
    <row r="2477" ht="14.25" customHeight="1" s="86">
      <c r="E2477" s="53" t="inlineStr">
        <is>
          <t>SD</t>
        </is>
      </c>
      <c r="F2477" s="53" t="inlineStr">
        <is>
          <t>HANSON</t>
        </is>
      </c>
      <c r="G2477" s="59" t="n"/>
      <c r="X2477" s="61" t="n"/>
      <c r="Y2477" s="61" t="n"/>
    </row>
    <row r="2478" ht="14.25" customHeight="1" s="86">
      <c r="E2478" s="53" t="inlineStr">
        <is>
          <t>SD</t>
        </is>
      </c>
      <c r="F2478" s="53" t="inlineStr">
        <is>
          <t>HARDING</t>
        </is>
      </c>
      <c r="G2478" s="59" t="n"/>
      <c r="X2478" s="61" t="n"/>
      <c r="Y2478" s="61" t="n"/>
    </row>
    <row r="2479" ht="14.25" customHeight="1" s="86">
      <c r="E2479" s="53" t="inlineStr">
        <is>
          <t>SD</t>
        </is>
      </c>
      <c r="F2479" s="53" t="inlineStr">
        <is>
          <t>HUGHES</t>
        </is>
      </c>
      <c r="G2479" s="59" t="n"/>
      <c r="X2479" s="61" t="n"/>
      <c r="Y2479" s="61" t="n"/>
    </row>
    <row r="2480" ht="14.25" customHeight="1" s="86">
      <c r="E2480" s="53" t="inlineStr">
        <is>
          <t>SD</t>
        </is>
      </c>
      <c r="F2480" s="53" t="inlineStr">
        <is>
          <t>HUTCHINSON</t>
        </is>
      </c>
      <c r="G2480" s="59" t="n"/>
      <c r="X2480" s="61" t="n"/>
      <c r="Y2480" s="61" t="n"/>
    </row>
    <row r="2481" ht="14.25" customHeight="1" s="86">
      <c r="E2481" s="53" t="inlineStr">
        <is>
          <t>SD</t>
        </is>
      </c>
      <c r="F2481" s="53" t="inlineStr">
        <is>
          <t>HYDE</t>
        </is>
      </c>
      <c r="G2481" s="59" t="n"/>
      <c r="X2481" s="61" t="n"/>
      <c r="Y2481" s="61" t="n"/>
    </row>
    <row r="2482" ht="14.25" customHeight="1" s="86">
      <c r="E2482" s="53" t="inlineStr">
        <is>
          <t>SD</t>
        </is>
      </c>
      <c r="F2482" s="53" t="inlineStr">
        <is>
          <t>JACKSON</t>
        </is>
      </c>
      <c r="G2482" s="59" t="n"/>
      <c r="X2482" s="61" t="n"/>
      <c r="Y2482" s="61" t="n"/>
    </row>
    <row r="2483" ht="14.25" customHeight="1" s="86">
      <c r="E2483" s="53" t="inlineStr">
        <is>
          <t>SD</t>
        </is>
      </c>
      <c r="F2483" s="53" t="inlineStr">
        <is>
          <t>JERAULD</t>
        </is>
      </c>
      <c r="G2483" s="59" t="n"/>
      <c r="X2483" s="61" t="n"/>
      <c r="Y2483" s="61" t="n"/>
    </row>
    <row r="2484" ht="14.25" customHeight="1" s="86">
      <c r="E2484" s="53" t="inlineStr">
        <is>
          <t>SD</t>
        </is>
      </c>
      <c r="F2484" s="53" t="inlineStr">
        <is>
          <t>JONES</t>
        </is>
      </c>
      <c r="G2484" s="59" t="n"/>
      <c r="X2484" s="61" t="n"/>
      <c r="Y2484" s="61" t="n"/>
    </row>
    <row r="2485" ht="14.25" customHeight="1" s="86">
      <c r="E2485" s="53" t="inlineStr">
        <is>
          <t>SD</t>
        </is>
      </c>
      <c r="F2485" s="53" t="inlineStr">
        <is>
          <t>KINGSBURY</t>
        </is>
      </c>
      <c r="G2485" s="59" t="n"/>
      <c r="X2485" s="61" t="n"/>
      <c r="Y2485" s="61" t="n"/>
    </row>
    <row r="2486" ht="14.25" customHeight="1" s="86">
      <c r="E2486" s="53" t="inlineStr">
        <is>
          <t>SD</t>
        </is>
      </c>
      <c r="F2486" s="53" t="inlineStr">
        <is>
          <t>LAKE</t>
        </is>
      </c>
      <c r="G2486" s="59" t="n"/>
      <c r="X2486" s="61" t="n"/>
      <c r="Y2486" s="61" t="n"/>
    </row>
    <row r="2487" ht="14.25" customHeight="1" s="86">
      <c r="E2487" s="53" t="inlineStr">
        <is>
          <t>SD</t>
        </is>
      </c>
      <c r="F2487" s="53" t="inlineStr">
        <is>
          <t>LAWRENCE</t>
        </is>
      </c>
      <c r="G2487" s="59" t="n"/>
      <c r="X2487" s="61" t="n"/>
      <c r="Y2487" s="61" t="n"/>
    </row>
    <row r="2488" ht="14.25" customHeight="1" s="86">
      <c r="E2488" s="53" t="inlineStr">
        <is>
          <t>SD</t>
        </is>
      </c>
      <c r="F2488" s="53" t="inlineStr">
        <is>
          <t>LINCOLN</t>
        </is>
      </c>
      <c r="G2488" s="59" t="n"/>
      <c r="X2488" s="61" t="n"/>
      <c r="Y2488" s="61" t="n"/>
    </row>
    <row r="2489" ht="14.25" customHeight="1" s="86">
      <c r="E2489" s="53" t="inlineStr">
        <is>
          <t>SD</t>
        </is>
      </c>
      <c r="F2489" s="53" t="inlineStr">
        <is>
          <t>LYMAN</t>
        </is>
      </c>
      <c r="G2489" s="59" t="n"/>
      <c r="X2489" s="61" t="n"/>
      <c r="Y2489" s="61" t="n"/>
    </row>
    <row r="2490" ht="14.25" customHeight="1" s="86">
      <c r="E2490" s="53" t="inlineStr">
        <is>
          <t>SD</t>
        </is>
      </c>
      <c r="F2490" s="53" t="inlineStr">
        <is>
          <t>MARSHALL</t>
        </is>
      </c>
      <c r="G2490" s="59" t="n"/>
      <c r="X2490" s="61" t="n"/>
      <c r="Y2490" s="61" t="n"/>
    </row>
    <row r="2491" ht="14.25" customHeight="1" s="86">
      <c r="E2491" s="53" t="inlineStr">
        <is>
          <t>SD</t>
        </is>
      </c>
      <c r="F2491" s="53" t="inlineStr">
        <is>
          <t>MCCOOK</t>
        </is>
      </c>
      <c r="G2491" s="59" t="n"/>
      <c r="X2491" s="61" t="n"/>
      <c r="Y2491" s="61" t="n"/>
    </row>
    <row r="2492" ht="14.25" customHeight="1" s="86">
      <c r="E2492" s="53" t="inlineStr">
        <is>
          <t>SD</t>
        </is>
      </c>
      <c r="F2492" s="53" t="inlineStr">
        <is>
          <t>MCPHERSON</t>
        </is>
      </c>
      <c r="G2492" s="59" t="n"/>
      <c r="X2492" s="61" t="n"/>
      <c r="Y2492" s="61" t="n"/>
    </row>
    <row r="2493" ht="14.25" customHeight="1" s="86">
      <c r="E2493" s="53" t="inlineStr">
        <is>
          <t>SD</t>
        </is>
      </c>
      <c r="F2493" s="53" t="inlineStr">
        <is>
          <t>MEADE</t>
        </is>
      </c>
      <c r="G2493" s="59" t="n"/>
      <c r="X2493" s="61" t="n"/>
      <c r="Y2493" s="61" t="n"/>
    </row>
    <row r="2494" ht="14.25" customHeight="1" s="86">
      <c r="E2494" s="53" t="inlineStr">
        <is>
          <t>SD</t>
        </is>
      </c>
      <c r="F2494" s="53" t="inlineStr">
        <is>
          <t>MELLETTE</t>
        </is>
      </c>
      <c r="G2494" s="59" t="n"/>
      <c r="X2494" s="61" t="n"/>
      <c r="Y2494" s="61" t="n"/>
    </row>
    <row r="2495" ht="14.25" customHeight="1" s="86">
      <c r="E2495" s="53" t="inlineStr">
        <is>
          <t>SD</t>
        </is>
      </c>
      <c r="F2495" s="53" t="inlineStr">
        <is>
          <t>MINER</t>
        </is>
      </c>
      <c r="G2495" s="59" t="n"/>
      <c r="X2495" s="61" t="n"/>
      <c r="Y2495" s="61" t="n"/>
    </row>
    <row r="2496" ht="14.25" customHeight="1" s="86">
      <c r="E2496" s="53" t="inlineStr">
        <is>
          <t>SD</t>
        </is>
      </c>
      <c r="F2496" s="53" t="inlineStr">
        <is>
          <t>MINNEHAHA</t>
        </is>
      </c>
      <c r="G2496" s="59" t="n"/>
      <c r="X2496" s="61" t="n"/>
      <c r="Y2496" s="61" t="n"/>
    </row>
    <row r="2497" ht="14.25" customHeight="1" s="86">
      <c r="E2497" s="53" t="inlineStr">
        <is>
          <t>SD</t>
        </is>
      </c>
      <c r="F2497" s="53" t="inlineStr">
        <is>
          <t>MOODY</t>
        </is>
      </c>
      <c r="G2497" s="59" t="n"/>
      <c r="X2497" s="61" t="n"/>
      <c r="Y2497" s="61" t="n"/>
    </row>
    <row r="2498" ht="14.25" customHeight="1" s="86">
      <c r="E2498" s="53" t="inlineStr">
        <is>
          <t>SD</t>
        </is>
      </c>
      <c r="F2498" s="53" t="inlineStr">
        <is>
          <t>OGLALA LAKOTA</t>
        </is>
      </c>
      <c r="G2498" s="59" t="n"/>
      <c r="X2498" s="61" t="n"/>
      <c r="Y2498" s="61" t="n"/>
    </row>
    <row r="2499" ht="14.25" customHeight="1" s="86">
      <c r="E2499" s="53" t="inlineStr">
        <is>
          <t>SD</t>
        </is>
      </c>
      <c r="F2499" s="53" t="inlineStr">
        <is>
          <t>PENNINGTON</t>
        </is>
      </c>
      <c r="G2499" s="59" t="n"/>
      <c r="X2499" s="61" t="n"/>
      <c r="Y2499" s="61" t="n"/>
    </row>
    <row r="2500" ht="14.25" customHeight="1" s="86">
      <c r="E2500" s="53" t="inlineStr">
        <is>
          <t>SD</t>
        </is>
      </c>
      <c r="F2500" s="53" t="inlineStr">
        <is>
          <t>PERKINS</t>
        </is>
      </c>
      <c r="G2500" s="59" t="n"/>
      <c r="X2500" s="61" t="n"/>
      <c r="Y2500" s="61" t="n"/>
    </row>
    <row r="2501" ht="14.25" customHeight="1" s="86">
      <c r="E2501" s="53" t="inlineStr">
        <is>
          <t>SD</t>
        </is>
      </c>
      <c r="F2501" s="53" t="inlineStr">
        <is>
          <t>POTTER</t>
        </is>
      </c>
      <c r="G2501" s="59" t="n"/>
      <c r="X2501" s="61" t="n"/>
      <c r="Y2501" s="61" t="n"/>
    </row>
    <row r="2502" ht="14.25" customHeight="1" s="86">
      <c r="E2502" s="53" t="inlineStr">
        <is>
          <t>SD</t>
        </is>
      </c>
      <c r="F2502" s="53" t="inlineStr">
        <is>
          <t>ROBERTS</t>
        </is>
      </c>
      <c r="G2502" s="59" t="n"/>
      <c r="X2502" s="61" t="n"/>
      <c r="Y2502" s="61" t="n"/>
    </row>
    <row r="2503" ht="14.25" customHeight="1" s="86">
      <c r="E2503" s="53" t="inlineStr">
        <is>
          <t>SD</t>
        </is>
      </c>
      <c r="F2503" s="53" t="inlineStr">
        <is>
          <t>SANBORN</t>
        </is>
      </c>
      <c r="G2503" s="59" t="n"/>
      <c r="X2503" s="61" t="n"/>
      <c r="Y2503" s="61" t="n"/>
    </row>
    <row r="2504" ht="14.25" customHeight="1" s="86">
      <c r="E2504" s="53" t="inlineStr">
        <is>
          <t>SD</t>
        </is>
      </c>
      <c r="F2504" s="53" t="inlineStr">
        <is>
          <t>SHANNON</t>
        </is>
      </c>
      <c r="G2504" s="59" t="n"/>
      <c r="X2504" s="61" t="n"/>
      <c r="Y2504" s="61" t="n"/>
    </row>
    <row r="2505" ht="14.25" customHeight="1" s="86">
      <c r="E2505" s="53" t="inlineStr">
        <is>
          <t>SD</t>
        </is>
      </c>
      <c r="F2505" s="53" t="inlineStr">
        <is>
          <t>SPINK</t>
        </is>
      </c>
      <c r="G2505" s="59" t="n"/>
      <c r="X2505" s="61" t="n"/>
      <c r="Y2505" s="61" t="n"/>
    </row>
    <row r="2506" ht="14.25" customHeight="1" s="86">
      <c r="E2506" s="53" t="inlineStr">
        <is>
          <t>SD</t>
        </is>
      </c>
      <c r="F2506" s="53" t="inlineStr">
        <is>
          <t>STANLEY</t>
        </is>
      </c>
      <c r="G2506" s="59" t="n"/>
      <c r="X2506" s="61" t="n"/>
      <c r="Y2506" s="61" t="n"/>
    </row>
    <row r="2507" ht="14.25" customHeight="1" s="86">
      <c r="E2507" s="53" t="inlineStr">
        <is>
          <t>SD</t>
        </is>
      </c>
      <c r="F2507" s="53" t="inlineStr">
        <is>
          <t>SULLY</t>
        </is>
      </c>
      <c r="G2507" s="59" t="n"/>
      <c r="X2507" s="61" t="n"/>
      <c r="Y2507" s="61" t="n"/>
    </row>
    <row r="2508" ht="14.25" customHeight="1" s="86">
      <c r="E2508" s="53" t="inlineStr">
        <is>
          <t>SD</t>
        </is>
      </c>
      <c r="F2508" s="53" t="inlineStr">
        <is>
          <t>TODD</t>
        </is>
      </c>
      <c r="G2508" s="59" t="n"/>
      <c r="X2508" s="61" t="n"/>
      <c r="Y2508" s="61" t="n"/>
    </row>
    <row r="2509" ht="14.25" customHeight="1" s="86">
      <c r="E2509" s="53" t="inlineStr">
        <is>
          <t>SD</t>
        </is>
      </c>
      <c r="F2509" s="53" t="inlineStr">
        <is>
          <t>TRIPP</t>
        </is>
      </c>
      <c r="G2509" s="59" t="n"/>
      <c r="X2509" s="61" t="n"/>
      <c r="Y2509" s="61" t="n"/>
    </row>
    <row r="2510" ht="14.25" customHeight="1" s="86">
      <c r="E2510" s="53" t="inlineStr">
        <is>
          <t>SD</t>
        </is>
      </c>
      <c r="F2510" s="53" t="inlineStr">
        <is>
          <t>TURNER</t>
        </is>
      </c>
      <c r="G2510" s="59" t="n"/>
      <c r="X2510" s="61" t="n"/>
      <c r="Y2510" s="61" t="n"/>
    </row>
    <row r="2511" ht="14.25" customHeight="1" s="86">
      <c r="E2511" s="53" t="inlineStr">
        <is>
          <t>SD</t>
        </is>
      </c>
      <c r="F2511" s="53" t="inlineStr">
        <is>
          <t>UNION</t>
        </is>
      </c>
      <c r="G2511" s="59" t="n"/>
      <c r="X2511" s="61" t="n"/>
      <c r="Y2511" s="61" t="n"/>
    </row>
    <row r="2512" ht="14.25" customHeight="1" s="86">
      <c r="E2512" s="53" t="inlineStr">
        <is>
          <t>SD</t>
        </is>
      </c>
      <c r="F2512" s="53" t="inlineStr">
        <is>
          <t>WALWORTH</t>
        </is>
      </c>
      <c r="G2512" s="59" t="n"/>
      <c r="X2512" s="61" t="n"/>
      <c r="Y2512" s="61" t="n"/>
    </row>
    <row r="2513" ht="14.25" customHeight="1" s="86">
      <c r="E2513" s="53" t="inlineStr">
        <is>
          <t>SD</t>
        </is>
      </c>
      <c r="F2513" s="53" t="inlineStr">
        <is>
          <t>YANKTON</t>
        </is>
      </c>
      <c r="G2513" s="59" t="n"/>
      <c r="X2513" s="61" t="n"/>
      <c r="Y2513" s="61" t="n"/>
    </row>
    <row r="2514" ht="14.25" customHeight="1" s="86">
      <c r="E2514" s="53" t="inlineStr">
        <is>
          <t>SD</t>
        </is>
      </c>
      <c r="F2514" s="53" t="inlineStr">
        <is>
          <t>ZIEBACH</t>
        </is>
      </c>
      <c r="G2514" s="59" t="n"/>
      <c r="X2514" s="61" t="n"/>
      <c r="Y2514" s="61" t="n"/>
    </row>
    <row r="2515" ht="14.25" customHeight="1" s="86">
      <c r="E2515" s="53" t="inlineStr">
        <is>
          <t>TN</t>
        </is>
      </c>
      <c r="F2515" s="53" t="inlineStr">
        <is>
          <t>ANDERSON</t>
        </is>
      </c>
      <c r="G2515" s="59" t="n"/>
      <c r="X2515" s="61" t="n"/>
      <c r="Y2515" s="61" t="n"/>
    </row>
    <row r="2516" ht="14.25" customHeight="1" s="86">
      <c r="E2516" s="53" t="inlineStr">
        <is>
          <t>TN</t>
        </is>
      </c>
      <c r="F2516" s="53" t="inlineStr">
        <is>
          <t>BEDFORD</t>
        </is>
      </c>
      <c r="G2516" s="59" t="n"/>
      <c r="X2516" s="61" t="n"/>
      <c r="Y2516" s="61" t="n"/>
    </row>
    <row r="2517" ht="14.25" customHeight="1" s="86">
      <c r="E2517" s="53" t="inlineStr">
        <is>
          <t>TN</t>
        </is>
      </c>
      <c r="F2517" s="53" t="inlineStr">
        <is>
          <t>BENTON</t>
        </is>
      </c>
      <c r="G2517" s="59" t="n"/>
      <c r="X2517" s="61" t="n"/>
      <c r="Y2517" s="61" t="n"/>
    </row>
    <row r="2518" ht="14.25" customHeight="1" s="86">
      <c r="E2518" s="53" t="inlineStr">
        <is>
          <t>TN</t>
        </is>
      </c>
      <c r="F2518" s="53" t="inlineStr">
        <is>
          <t>BLEDSOE</t>
        </is>
      </c>
      <c r="G2518" s="59" t="n"/>
      <c r="X2518" s="61" t="n"/>
      <c r="Y2518" s="61" t="n"/>
    </row>
    <row r="2519" ht="14.25" customHeight="1" s="86">
      <c r="E2519" s="53" t="inlineStr">
        <is>
          <t>TN</t>
        </is>
      </c>
      <c r="F2519" s="53" t="inlineStr">
        <is>
          <t>BLOUNT</t>
        </is>
      </c>
      <c r="G2519" s="59" t="n"/>
      <c r="X2519" s="61" t="n"/>
      <c r="Y2519" s="61" t="n"/>
    </row>
    <row r="2520" ht="14.25" customHeight="1" s="86">
      <c r="E2520" s="53" t="inlineStr">
        <is>
          <t>TN</t>
        </is>
      </c>
      <c r="F2520" s="53" t="inlineStr">
        <is>
          <t>BRADLEY</t>
        </is>
      </c>
      <c r="G2520" s="59" t="n"/>
      <c r="X2520" s="61" t="n"/>
      <c r="Y2520" s="61" t="n"/>
    </row>
    <row r="2521" ht="14.25" customHeight="1" s="86">
      <c r="E2521" s="53" t="inlineStr">
        <is>
          <t>TN</t>
        </is>
      </c>
      <c r="F2521" s="53" t="inlineStr">
        <is>
          <t>CAMPBELL</t>
        </is>
      </c>
      <c r="G2521" s="59" t="n"/>
      <c r="X2521" s="61" t="n"/>
      <c r="Y2521" s="61" t="n"/>
    </row>
    <row r="2522" ht="14.25" customHeight="1" s="86">
      <c r="E2522" s="53" t="inlineStr">
        <is>
          <t>TN</t>
        </is>
      </c>
      <c r="F2522" s="53" t="inlineStr">
        <is>
          <t>CANNON</t>
        </is>
      </c>
      <c r="G2522" s="59" t="n"/>
      <c r="X2522" s="61" t="n"/>
      <c r="Y2522" s="61" t="n"/>
    </row>
    <row r="2523" ht="14.25" customHeight="1" s="86">
      <c r="E2523" s="53" t="inlineStr">
        <is>
          <t>TN</t>
        </is>
      </c>
      <c r="F2523" s="53" t="inlineStr">
        <is>
          <t>CARROLL</t>
        </is>
      </c>
      <c r="G2523" s="59" t="n"/>
      <c r="X2523" s="61" t="n"/>
      <c r="Y2523" s="61" t="n"/>
    </row>
    <row r="2524" ht="14.25" customHeight="1" s="86">
      <c r="E2524" s="53" t="inlineStr">
        <is>
          <t>TN</t>
        </is>
      </c>
      <c r="F2524" s="53" t="inlineStr">
        <is>
          <t>CARTER</t>
        </is>
      </c>
      <c r="G2524" s="59" t="n"/>
      <c r="X2524" s="61" t="n"/>
      <c r="Y2524" s="61" t="n"/>
    </row>
    <row r="2525" ht="14.25" customHeight="1" s="86">
      <c r="E2525" s="53" t="inlineStr">
        <is>
          <t>TN</t>
        </is>
      </c>
      <c r="F2525" s="53" t="inlineStr">
        <is>
          <t>CHEATHAM</t>
        </is>
      </c>
      <c r="G2525" s="59" t="n"/>
      <c r="X2525" s="61" t="n"/>
      <c r="Y2525" s="61" t="n"/>
    </row>
    <row r="2526" ht="14.25" customHeight="1" s="86">
      <c r="E2526" s="53" t="inlineStr">
        <is>
          <t>TN</t>
        </is>
      </c>
      <c r="F2526" s="53" t="inlineStr">
        <is>
          <t>CHESTER</t>
        </is>
      </c>
      <c r="G2526" s="59" t="n"/>
      <c r="X2526" s="61" t="n"/>
      <c r="Y2526" s="61" t="n"/>
    </row>
    <row r="2527" ht="14.25" customHeight="1" s="86">
      <c r="E2527" s="53" t="inlineStr">
        <is>
          <t>TN</t>
        </is>
      </c>
      <c r="F2527" s="53" t="inlineStr">
        <is>
          <t>CLAIBORNE</t>
        </is>
      </c>
      <c r="G2527" s="59" t="n"/>
      <c r="X2527" s="61" t="n"/>
      <c r="Y2527" s="61" t="n"/>
    </row>
    <row r="2528" ht="14.25" customHeight="1" s="86">
      <c r="E2528" s="53" t="inlineStr">
        <is>
          <t>TN</t>
        </is>
      </c>
      <c r="F2528" s="53" t="inlineStr">
        <is>
          <t>CLAY</t>
        </is>
      </c>
      <c r="G2528" s="59" t="n"/>
      <c r="X2528" s="61" t="n"/>
      <c r="Y2528" s="61" t="n"/>
    </row>
    <row r="2529" ht="14.25" customHeight="1" s="86">
      <c r="E2529" s="53" t="inlineStr">
        <is>
          <t>TN</t>
        </is>
      </c>
      <c r="F2529" s="53" t="inlineStr">
        <is>
          <t>COCKE</t>
        </is>
      </c>
      <c r="G2529" s="59" t="n"/>
      <c r="X2529" s="61" t="n"/>
      <c r="Y2529" s="61" t="n"/>
    </row>
    <row r="2530" ht="14.25" customHeight="1" s="86">
      <c r="E2530" s="53" t="inlineStr">
        <is>
          <t>TN</t>
        </is>
      </c>
      <c r="F2530" s="53" t="inlineStr">
        <is>
          <t>COFFEE</t>
        </is>
      </c>
      <c r="G2530" s="59" t="n"/>
      <c r="X2530" s="61" t="n"/>
      <c r="Y2530" s="61" t="n"/>
    </row>
    <row r="2531" ht="14.25" customHeight="1" s="86">
      <c r="E2531" s="53" t="inlineStr">
        <is>
          <t>TN</t>
        </is>
      </c>
      <c r="F2531" s="53" t="inlineStr">
        <is>
          <t>CROCKETT</t>
        </is>
      </c>
      <c r="G2531" s="59" t="n"/>
      <c r="X2531" s="61" t="n"/>
      <c r="Y2531" s="61" t="n"/>
    </row>
    <row r="2532" ht="14.25" customHeight="1" s="86">
      <c r="E2532" s="53" t="inlineStr">
        <is>
          <t>TN</t>
        </is>
      </c>
      <c r="F2532" s="53" t="inlineStr">
        <is>
          <t>CUMBERLAND</t>
        </is>
      </c>
      <c r="G2532" s="59" t="n"/>
      <c r="X2532" s="61" t="n"/>
      <c r="Y2532" s="61" t="n"/>
    </row>
    <row r="2533" ht="14.25" customHeight="1" s="86">
      <c r="E2533" s="53" t="inlineStr">
        <is>
          <t>TN</t>
        </is>
      </c>
      <c r="F2533" s="53" t="inlineStr">
        <is>
          <t>DAVIDSON</t>
        </is>
      </c>
      <c r="G2533" s="59" t="n"/>
      <c r="X2533" s="61" t="n"/>
      <c r="Y2533" s="61" t="n"/>
    </row>
    <row r="2534" ht="14.25" customHeight="1" s="86">
      <c r="E2534" s="53" t="inlineStr">
        <is>
          <t>TN</t>
        </is>
      </c>
      <c r="F2534" s="53" t="inlineStr">
        <is>
          <t>DECATUR</t>
        </is>
      </c>
      <c r="G2534" s="59" t="n"/>
      <c r="X2534" s="61" t="n"/>
      <c r="Y2534" s="61" t="n"/>
    </row>
    <row r="2535" ht="14.25" customHeight="1" s="86">
      <c r="E2535" s="53" t="inlineStr">
        <is>
          <t>TN</t>
        </is>
      </c>
      <c r="F2535" s="53" t="inlineStr">
        <is>
          <t>DEKALB</t>
        </is>
      </c>
      <c r="G2535" s="59" t="n"/>
      <c r="X2535" s="61" t="n"/>
      <c r="Y2535" s="61" t="n"/>
    </row>
    <row r="2536" ht="14.25" customHeight="1" s="86">
      <c r="E2536" s="53" t="inlineStr">
        <is>
          <t>TN</t>
        </is>
      </c>
      <c r="F2536" s="53" t="inlineStr">
        <is>
          <t>DICKSON</t>
        </is>
      </c>
      <c r="G2536" s="59" t="n"/>
      <c r="X2536" s="61" t="n"/>
      <c r="Y2536" s="61" t="n"/>
    </row>
    <row r="2537" ht="14.25" customHeight="1" s="86">
      <c r="E2537" s="53" t="inlineStr">
        <is>
          <t>TN</t>
        </is>
      </c>
      <c r="F2537" s="53" t="inlineStr">
        <is>
          <t>DYER</t>
        </is>
      </c>
      <c r="G2537" s="59" t="n"/>
      <c r="X2537" s="61" t="n"/>
      <c r="Y2537" s="61" t="n"/>
    </row>
    <row r="2538" ht="14.25" customHeight="1" s="86">
      <c r="E2538" s="53" t="inlineStr">
        <is>
          <t>TN</t>
        </is>
      </c>
      <c r="F2538" s="53" t="inlineStr">
        <is>
          <t>FAYETTE</t>
        </is>
      </c>
      <c r="G2538" s="59" t="n"/>
      <c r="X2538" s="61" t="n"/>
      <c r="Y2538" s="61" t="n"/>
    </row>
    <row r="2539" ht="14.25" customHeight="1" s="86">
      <c r="E2539" s="53" t="inlineStr">
        <is>
          <t>TN</t>
        </is>
      </c>
      <c r="F2539" s="53" t="inlineStr">
        <is>
          <t>FENTRESS</t>
        </is>
      </c>
      <c r="G2539" s="59" t="n"/>
      <c r="X2539" s="61" t="n"/>
      <c r="Y2539" s="61" t="n"/>
    </row>
    <row r="2540" ht="14.25" customHeight="1" s="86">
      <c r="E2540" s="53" t="inlineStr">
        <is>
          <t>TN</t>
        </is>
      </c>
      <c r="F2540" s="53" t="inlineStr">
        <is>
          <t>FRANKLIN</t>
        </is>
      </c>
      <c r="G2540" s="59" t="n"/>
      <c r="X2540" s="61" t="n"/>
      <c r="Y2540" s="61" t="n"/>
    </row>
    <row r="2541" ht="14.25" customHeight="1" s="86">
      <c r="E2541" s="53" t="inlineStr">
        <is>
          <t>TN</t>
        </is>
      </c>
      <c r="F2541" s="53" t="inlineStr">
        <is>
          <t>GIBSON</t>
        </is>
      </c>
      <c r="G2541" s="59" t="n"/>
      <c r="X2541" s="61" t="n"/>
      <c r="Y2541" s="61" t="n"/>
    </row>
    <row r="2542" ht="14.25" customHeight="1" s="86">
      <c r="E2542" s="53" t="inlineStr">
        <is>
          <t>TN</t>
        </is>
      </c>
      <c r="F2542" s="53" t="inlineStr">
        <is>
          <t>GILES</t>
        </is>
      </c>
      <c r="G2542" s="59" t="n"/>
      <c r="X2542" s="61" t="n"/>
      <c r="Y2542" s="61" t="n"/>
    </row>
    <row r="2543" ht="14.25" customHeight="1" s="86">
      <c r="E2543" s="53" t="inlineStr">
        <is>
          <t>TN</t>
        </is>
      </c>
      <c r="F2543" s="53" t="inlineStr">
        <is>
          <t>GRAINGER</t>
        </is>
      </c>
      <c r="G2543" s="59" t="n"/>
      <c r="X2543" s="61" t="n"/>
      <c r="Y2543" s="61" t="n"/>
    </row>
    <row r="2544" ht="14.25" customHeight="1" s="86">
      <c r="E2544" s="53" t="inlineStr">
        <is>
          <t>TN</t>
        </is>
      </c>
      <c r="F2544" s="53" t="inlineStr">
        <is>
          <t>GREENE</t>
        </is>
      </c>
      <c r="G2544" s="59" t="n"/>
      <c r="X2544" s="61" t="n"/>
      <c r="Y2544" s="61" t="n"/>
    </row>
    <row r="2545" ht="14.25" customHeight="1" s="86">
      <c r="E2545" s="53" t="inlineStr">
        <is>
          <t>TN</t>
        </is>
      </c>
      <c r="F2545" s="53" t="inlineStr">
        <is>
          <t>GRUNDY</t>
        </is>
      </c>
      <c r="G2545" s="59" t="n"/>
      <c r="X2545" s="61" t="n"/>
      <c r="Y2545" s="61" t="n"/>
    </row>
    <row r="2546" ht="14.25" customHeight="1" s="86">
      <c r="E2546" s="53" t="inlineStr">
        <is>
          <t>TN</t>
        </is>
      </c>
      <c r="F2546" s="53" t="inlineStr">
        <is>
          <t>HAMBLEN</t>
        </is>
      </c>
      <c r="G2546" s="59" t="n"/>
      <c r="X2546" s="61" t="n"/>
      <c r="Y2546" s="61" t="n"/>
    </row>
    <row r="2547" ht="14.25" customHeight="1" s="86">
      <c r="E2547" s="53" t="inlineStr">
        <is>
          <t>TN</t>
        </is>
      </c>
      <c r="F2547" s="53" t="inlineStr">
        <is>
          <t>HAMILTON</t>
        </is>
      </c>
      <c r="G2547" s="59" t="n"/>
      <c r="X2547" s="61" t="n"/>
      <c r="Y2547" s="61" t="n"/>
    </row>
    <row r="2548" ht="14.25" customHeight="1" s="86">
      <c r="E2548" s="53" t="inlineStr">
        <is>
          <t>TN</t>
        </is>
      </c>
      <c r="F2548" s="53" t="inlineStr">
        <is>
          <t>HANCOCK</t>
        </is>
      </c>
      <c r="G2548" s="59" t="n"/>
      <c r="X2548" s="61" t="n"/>
      <c r="Y2548" s="61" t="n"/>
    </row>
    <row r="2549" ht="14.25" customHeight="1" s="86">
      <c r="E2549" s="53" t="inlineStr">
        <is>
          <t>TN</t>
        </is>
      </c>
      <c r="F2549" s="53" t="inlineStr">
        <is>
          <t>HARDEMAN</t>
        </is>
      </c>
      <c r="G2549" s="59" t="n"/>
      <c r="X2549" s="61" t="n"/>
      <c r="Y2549" s="61" t="n"/>
    </row>
    <row r="2550" ht="14.25" customHeight="1" s="86">
      <c r="E2550" s="53" t="inlineStr">
        <is>
          <t>TN</t>
        </is>
      </c>
      <c r="F2550" s="53" t="inlineStr">
        <is>
          <t>HARDIN</t>
        </is>
      </c>
      <c r="G2550" s="59" t="n"/>
      <c r="X2550" s="61" t="n"/>
      <c r="Y2550" s="61" t="n"/>
    </row>
    <row r="2551" ht="14.25" customHeight="1" s="86">
      <c r="E2551" s="53" t="inlineStr">
        <is>
          <t>TN</t>
        </is>
      </c>
      <c r="F2551" s="53" t="inlineStr">
        <is>
          <t>HAWKINS</t>
        </is>
      </c>
      <c r="G2551" s="59" t="n"/>
      <c r="X2551" s="61" t="n"/>
      <c r="Y2551" s="61" t="n"/>
    </row>
    <row r="2552" ht="14.25" customHeight="1" s="86">
      <c r="E2552" s="53" t="inlineStr">
        <is>
          <t>TN</t>
        </is>
      </c>
      <c r="F2552" s="53" t="inlineStr">
        <is>
          <t>HAYWOOD</t>
        </is>
      </c>
      <c r="G2552" s="59" t="n"/>
      <c r="X2552" s="61" t="n"/>
      <c r="Y2552" s="61" t="n"/>
    </row>
    <row r="2553" ht="14.25" customHeight="1" s="86">
      <c r="E2553" s="53" t="inlineStr">
        <is>
          <t>TN</t>
        </is>
      </c>
      <c r="F2553" s="53" t="inlineStr">
        <is>
          <t>HENDERSON</t>
        </is>
      </c>
      <c r="G2553" s="59" t="n"/>
      <c r="X2553" s="61" t="n"/>
      <c r="Y2553" s="61" t="n"/>
    </row>
    <row r="2554" ht="14.25" customHeight="1" s="86">
      <c r="E2554" s="53" t="inlineStr">
        <is>
          <t>TN</t>
        </is>
      </c>
      <c r="F2554" s="53" t="inlineStr">
        <is>
          <t>HENRY</t>
        </is>
      </c>
      <c r="G2554" s="59" t="n"/>
      <c r="X2554" s="61" t="n"/>
      <c r="Y2554" s="61" t="n"/>
    </row>
    <row r="2555" ht="14.25" customHeight="1" s="86">
      <c r="E2555" s="53" t="inlineStr">
        <is>
          <t>TN</t>
        </is>
      </c>
      <c r="F2555" s="53" t="inlineStr">
        <is>
          <t>HICKMAN</t>
        </is>
      </c>
      <c r="G2555" s="59" t="n"/>
      <c r="X2555" s="61" t="n"/>
      <c r="Y2555" s="61" t="n"/>
    </row>
    <row r="2556" ht="14.25" customHeight="1" s="86">
      <c r="E2556" s="53" t="inlineStr">
        <is>
          <t>TN</t>
        </is>
      </c>
      <c r="F2556" s="53" t="inlineStr">
        <is>
          <t>HOUSTON</t>
        </is>
      </c>
      <c r="G2556" s="59" t="n"/>
      <c r="X2556" s="61" t="n"/>
      <c r="Y2556" s="61" t="n"/>
    </row>
    <row r="2557" ht="14.25" customHeight="1" s="86">
      <c r="E2557" s="53" t="inlineStr">
        <is>
          <t>TN</t>
        </is>
      </c>
      <c r="F2557" s="53" t="inlineStr">
        <is>
          <t>HUMPHREYS</t>
        </is>
      </c>
      <c r="G2557" s="59" t="n"/>
      <c r="X2557" s="61" t="n"/>
      <c r="Y2557" s="61" t="n"/>
    </row>
    <row r="2558" ht="14.25" customHeight="1" s="86">
      <c r="E2558" s="53" t="inlineStr">
        <is>
          <t>TN</t>
        </is>
      </c>
      <c r="F2558" s="53" t="inlineStr">
        <is>
          <t>JACKSON</t>
        </is>
      </c>
      <c r="G2558" s="59" t="n"/>
      <c r="X2558" s="61" t="n"/>
      <c r="Y2558" s="61" t="n"/>
    </row>
    <row r="2559" ht="14.25" customHeight="1" s="86">
      <c r="E2559" s="53" t="inlineStr">
        <is>
          <t>TN</t>
        </is>
      </c>
      <c r="F2559" s="53" t="inlineStr">
        <is>
          <t>JEFFERSON</t>
        </is>
      </c>
      <c r="G2559" s="59" t="n"/>
      <c r="X2559" s="61" t="n"/>
      <c r="Y2559" s="61" t="n"/>
    </row>
    <row r="2560" ht="14.25" customHeight="1" s="86">
      <c r="E2560" s="53" t="inlineStr">
        <is>
          <t>TN</t>
        </is>
      </c>
      <c r="F2560" s="53" t="inlineStr">
        <is>
          <t>JOHNSON</t>
        </is>
      </c>
      <c r="G2560" s="59" t="n"/>
      <c r="X2560" s="61" t="n"/>
      <c r="Y2560" s="61" t="n"/>
    </row>
    <row r="2561" ht="14.25" customHeight="1" s="86">
      <c r="E2561" s="53" t="inlineStr">
        <is>
          <t>TN</t>
        </is>
      </c>
      <c r="F2561" s="53" t="inlineStr">
        <is>
          <t>KNOX</t>
        </is>
      </c>
      <c r="G2561" s="59" t="n"/>
      <c r="X2561" s="61" t="n"/>
      <c r="Y2561" s="61" t="n"/>
    </row>
    <row r="2562" ht="14.25" customHeight="1" s="86">
      <c r="E2562" s="53" t="inlineStr">
        <is>
          <t>TN</t>
        </is>
      </c>
      <c r="F2562" s="53" t="inlineStr">
        <is>
          <t>LAKE</t>
        </is>
      </c>
      <c r="G2562" s="59" t="n"/>
      <c r="X2562" s="61" t="n"/>
      <c r="Y2562" s="61" t="n"/>
    </row>
    <row r="2563" ht="14.25" customHeight="1" s="86">
      <c r="E2563" s="53" t="inlineStr">
        <is>
          <t>TN</t>
        </is>
      </c>
      <c r="F2563" s="53" t="inlineStr">
        <is>
          <t>LAUDERDALE</t>
        </is>
      </c>
      <c r="G2563" s="59" t="n"/>
      <c r="X2563" s="61" t="n"/>
      <c r="Y2563" s="61" t="n"/>
    </row>
    <row r="2564" ht="14.25" customHeight="1" s="86">
      <c r="E2564" s="53" t="inlineStr">
        <is>
          <t>TN</t>
        </is>
      </c>
      <c r="F2564" s="53" t="inlineStr">
        <is>
          <t>LAWRENCE</t>
        </is>
      </c>
      <c r="G2564" s="59" t="n"/>
      <c r="X2564" s="61" t="n"/>
      <c r="Y2564" s="61" t="n"/>
    </row>
    <row r="2565" ht="14.25" customHeight="1" s="86">
      <c r="E2565" s="53" t="inlineStr">
        <is>
          <t>TN</t>
        </is>
      </c>
      <c r="F2565" s="53" t="inlineStr">
        <is>
          <t>LEWIS</t>
        </is>
      </c>
      <c r="G2565" s="59" t="n"/>
      <c r="X2565" s="61" t="n"/>
      <c r="Y2565" s="61" t="n"/>
    </row>
    <row r="2566" ht="14.25" customHeight="1" s="86">
      <c r="E2566" s="53" t="inlineStr">
        <is>
          <t>TN</t>
        </is>
      </c>
      <c r="F2566" s="53" t="inlineStr">
        <is>
          <t>LINCOLN</t>
        </is>
      </c>
      <c r="G2566" s="59" t="n"/>
      <c r="X2566" s="61" t="n"/>
      <c r="Y2566" s="61" t="n"/>
    </row>
    <row r="2567" ht="14.25" customHeight="1" s="86">
      <c r="E2567" s="53" t="inlineStr">
        <is>
          <t>TN</t>
        </is>
      </c>
      <c r="F2567" s="53" t="inlineStr">
        <is>
          <t>LOUDON</t>
        </is>
      </c>
      <c r="G2567" s="59" t="n"/>
      <c r="X2567" s="61" t="n"/>
      <c r="Y2567" s="61" t="n"/>
    </row>
    <row r="2568" ht="14.25" customHeight="1" s="86">
      <c r="E2568" s="53" t="inlineStr">
        <is>
          <t>TN</t>
        </is>
      </c>
      <c r="F2568" s="53" t="inlineStr">
        <is>
          <t>MACON</t>
        </is>
      </c>
      <c r="G2568" s="59" t="n"/>
      <c r="X2568" s="61" t="n"/>
      <c r="Y2568" s="61" t="n"/>
    </row>
    <row r="2569" ht="14.25" customHeight="1" s="86">
      <c r="E2569" s="53" t="inlineStr">
        <is>
          <t>TN</t>
        </is>
      </c>
      <c r="F2569" s="53" t="inlineStr">
        <is>
          <t>MADISON</t>
        </is>
      </c>
      <c r="G2569" s="59" t="n"/>
      <c r="X2569" s="61" t="n"/>
      <c r="Y2569" s="61" t="n"/>
    </row>
    <row r="2570" ht="14.25" customHeight="1" s="86">
      <c r="E2570" s="53" t="inlineStr">
        <is>
          <t>TN</t>
        </is>
      </c>
      <c r="F2570" s="53" t="inlineStr">
        <is>
          <t>MARION</t>
        </is>
      </c>
      <c r="G2570" s="59" t="n"/>
      <c r="X2570" s="61" t="n"/>
      <c r="Y2570" s="61" t="n"/>
    </row>
    <row r="2571" ht="14.25" customHeight="1" s="86">
      <c r="E2571" s="53" t="inlineStr">
        <is>
          <t>TN</t>
        </is>
      </c>
      <c r="F2571" s="53" t="inlineStr">
        <is>
          <t>MARSHALL</t>
        </is>
      </c>
      <c r="G2571" s="59" t="n"/>
      <c r="X2571" s="61" t="n"/>
      <c r="Y2571" s="61" t="n"/>
    </row>
    <row r="2572" ht="14.25" customHeight="1" s="86">
      <c r="E2572" s="53" t="inlineStr">
        <is>
          <t>TN</t>
        </is>
      </c>
      <c r="F2572" s="53" t="inlineStr">
        <is>
          <t>MAURY</t>
        </is>
      </c>
      <c r="G2572" s="59" t="n"/>
      <c r="X2572" s="61" t="n"/>
      <c r="Y2572" s="61" t="n"/>
    </row>
    <row r="2573" ht="14.25" customHeight="1" s="86">
      <c r="E2573" s="53" t="inlineStr">
        <is>
          <t>TN</t>
        </is>
      </c>
      <c r="F2573" s="53" t="inlineStr">
        <is>
          <t>MCMINN</t>
        </is>
      </c>
      <c r="G2573" s="59" t="n"/>
      <c r="X2573" s="61" t="n"/>
      <c r="Y2573" s="61" t="n"/>
    </row>
    <row r="2574" ht="14.25" customHeight="1" s="86">
      <c r="E2574" s="53" t="inlineStr">
        <is>
          <t>TN</t>
        </is>
      </c>
      <c r="F2574" s="53" t="inlineStr">
        <is>
          <t>MCNAIRY</t>
        </is>
      </c>
      <c r="G2574" s="59" t="n"/>
      <c r="X2574" s="61" t="n"/>
      <c r="Y2574" s="61" t="n"/>
    </row>
    <row r="2575" ht="14.25" customHeight="1" s="86">
      <c r="E2575" s="53" t="inlineStr">
        <is>
          <t>TN</t>
        </is>
      </c>
      <c r="F2575" s="53" t="inlineStr">
        <is>
          <t>MEIGS</t>
        </is>
      </c>
      <c r="G2575" s="59" t="n"/>
      <c r="X2575" s="61" t="n"/>
      <c r="Y2575" s="61" t="n"/>
    </row>
    <row r="2576" ht="14.25" customHeight="1" s="86">
      <c r="E2576" s="53" t="inlineStr">
        <is>
          <t>TN</t>
        </is>
      </c>
      <c r="F2576" s="53" t="inlineStr">
        <is>
          <t>MONROE</t>
        </is>
      </c>
      <c r="G2576" s="59" t="n"/>
      <c r="X2576" s="61" t="n"/>
      <c r="Y2576" s="61" t="n"/>
    </row>
    <row r="2577" ht="14.25" customHeight="1" s="86">
      <c r="E2577" s="53" t="inlineStr">
        <is>
          <t>TN</t>
        </is>
      </c>
      <c r="F2577" s="53" t="inlineStr">
        <is>
          <t>MONTGOMERY</t>
        </is>
      </c>
      <c r="G2577" s="59" t="n"/>
      <c r="X2577" s="61" t="n"/>
      <c r="Y2577" s="61" t="n"/>
    </row>
    <row r="2578" ht="14.25" customHeight="1" s="86">
      <c r="E2578" s="53" t="inlineStr">
        <is>
          <t>TN</t>
        </is>
      </c>
      <c r="F2578" s="53" t="inlineStr">
        <is>
          <t>MOORE</t>
        </is>
      </c>
      <c r="G2578" s="59" t="n"/>
      <c r="X2578" s="61" t="n"/>
      <c r="Y2578" s="61" t="n"/>
    </row>
    <row r="2579" ht="14.25" customHeight="1" s="86">
      <c r="E2579" s="53" t="inlineStr">
        <is>
          <t>TN</t>
        </is>
      </c>
      <c r="F2579" s="53" t="inlineStr">
        <is>
          <t>MORGAN</t>
        </is>
      </c>
      <c r="G2579" s="59" t="n"/>
      <c r="X2579" s="61" t="n"/>
      <c r="Y2579" s="61" t="n"/>
    </row>
    <row r="2580" ht="14.25" customHeight="1" s="86">
      <c r="E2580" s="53" t="inlineStr">
        <is>
          <t>TN</t>
        </is>
      </c>
      <c r="F2580" s="53" t="inlineStr">
        <is>
          <t>OBION</t>
        </is>
      </c>
      <c r="G2580" s="59" t="n"/>
      <c r="X2580" s="61" t="n"/>
      <c r="Y2580" s="61" t="n"/>
    </row>
    <row r="2581" ht="14.25" customHeight="1" s="86">
      <c r="E2581" s="53" t="inlineStr">
        <is>
          <t>TN</t>
        </is>
      </c>
      <c r="F2581" s="53" t="inlineStr">
        <is>
          <t>OVERTON</t>
        </is>
      </c>
      <c r="G2581" s="59" t="n"/>
      <c r="X2581" s="61" t="n"/>
      <c r="Y2581" s="61" t="n"/>
    </row>
    <row r="2582" ht="14.25" customHeight="1" s="86">
      <c r="E2582" s="53" t="inlineStr">
        <is>
          <t>TN</t>
        </is>
      </c>
      <c r="F2582" s="53" t="inlineStr">
        <is>
          <t>PERRY</t>
        </is>
      </c>
      <c r="G2582" s="59" t="n"/>
      <c r="X2582" s="61" t="n"/>
      <c r="Y2582" s="61" t="n"/>
    </row>
    <row r="2583" ht="14.25" customHeight="1" s="86">
      <c r="E2583" s="53" t="inlineStr">
        <is>
          <t>TN</t>
        </is>
      </c>
      <c r="F2583" s="53" t="inlineStr">
        <is>
          <t>PICKETT</t>
        </is>
      </c>
      <c r="G2583" s="59" t="n"/>
      <c r="X2583" s="61" t="n"/>
      <c r="Y2583" s="61" t="n"/>
    </row>
    <row r="2584" ht="14.25" customHeight="1" s="86">
      <c r="E2584" s="53" t="inlineStr">
        <is>
          <t>TN</t>
        </is>
      </c>
      <c r="F2584" s="53" t="inlineStr">
        <is>
          <t>POLK</t>
        </is>
      </c>
      <c r="G2584" s="59" t="n"/>
      <c r="X2584" s="61" t="n"/>
      <c r="Y2584" s="61" t="n"/>
    </row>
    <row r="2585" ht="14.25" customHeight="1" s="86">
      <c r="E2585" s="53" t="inlineStr">
        <is>
          <t>TN</t>
        </is>
      </c>
      <c r="F2585" s="53" t="inlineStr">
        <is>
          <t>PUTNAM</t>
        </is>
      </c>
      <c r="G2585" s="59" t="n"/>
      <c r="X2585" s="61" t="n"/>
      <c r="Y2585" s="61" t="n"/>
    </row>
    <row r="2586" ht="14.25" customHeight="1" s="86">
      <c r="E2586" s="53" t="inlineStr">
        <is>
          <t>TN</t>
        </is>
      </c>
      <c r="F2586" s="53" t="inlineStr">
        <is>
          <t>RHEA</t>
        </is>
      </c>
      <c r="G2586" s="59" t="n"/>
      <c r="X2586" s="61" t="n"/>
      <c r="Y2586" s="61" t="n"/>
    </row>
    <row r="2587" ht="14.25" customHeight="1" s="86">
      <c r="E2587" s="53" t="inlineStr">
        <is>
          <t>TN</t>
        </is>
      </c>
      <c r="F2587" s="53" t="inlineStr">
        <is>
          <t>ROANE</t>
        </is>
      </c>
      <c r="G2587" s="59" t="n"/>
      <c r="X2587" s="61" t="n"/>
      <c r="Y2587" s="61" t="n"/>
    </row>
    <row r="2588" ht="14.25" customHeight="1" s="86">
      <c r="E2588" s="53" t="inlineStr">
        <is>
          <t>TN</t>
        </is>
      </c>
      <c r="F2588" s="53" t="inlineStr">
        <is>
          <t>ROBERTSON</t>
        </is>
      </c>
      <c r="G2588" s="59" t="n"/>
      <c r="X2588" s="61" t="n"/>
      <c r="Y2588" s="61" t="n"/>
    </row>
    <row r="2589" ht="14.25" customHeight="1" s="86">
      <c r="E2589" s="53" t="inlineStr">
        <is>
          <t>TN</t>
        </is>
      </c>
      <c r="F2589" s="53" t="inlineStr">
        <is>
          <t>RUTHERFORD</t>
        </is>
      </c>
      <c r="G2589" s="59" t="n"/>
      <c r="X2589" s="61" t="n"/>
      <c r="Y2589" s="61" t="n"/>
    </row>
    <row r="2590" ht="14.25" customHeight="1" s="86">
      <c r="E2590" s="53" t="inlineStr">
        <is>
          <t>TN</t>
        </is>
      </c>
      <c r="F2590" s="53" t="inlineStr">
        <is>
          <t>SCOTT</t>
        </is>
      </c>
      <c r="G2590" s="59" t="n"/>
      <c r="X2590" s="61" t="n"/>
      <c r="Y2590" s="61" t="n"/>
    </row>
    <row r="2591" ht="14.25" customHeight="1" s="86">
      <c r="E2591" s="53" t="inlineStr">
        <is>
          <t>TN</t>
        </is>
      </c>
      <c r="F2591" s="53" t="inlineStr">
        <is>
          <t>SEQUATCHIE</t>
        </is>
      </c>
      <c r="G2591" s="59" t="n"/>
      <c r="X2591" s="61" t="n"/>
      <c r="Y2591" s="61" t="n"/>
    </row>
    <row r="2592" ht="14.25" customHeight="1" s="86">
      <c r="E2592" s="53" t="inlineStr">
        <is>
          <t>TN</t>
        </is>
      </c>
      <c r="F2592" s="53" t="inlineStr">
        <is>
          <t>SEVIER</t>
        </is>
      </c>
      <c r="G2592" s="59" t="n"/>
      <c r="X2592" s="61" t="n"/>
      <c r="Y2592" s="61" t="n"/>
    </row>
    <row r="2593" ht="14.25" customHeight="1" s="86">
      <c r="E2593" s="53" t="inlineStr">
        <is>
          <t>TN</t>
        </is>
      </c>
      <c r="F2593" s="53" t="inlineStr">
        <is>
          <t>SHELBY</t>
        </is>
      </c>
      <c r="G2593" s="59" t="n"/>
      <c r="X2593" s="61" t="n"/>
      <c r="Y2593" s="61" t="n"/>
    </row>
    <row r="2594" ht="14.25" customHeight="1" s="86">
      <c r="E2594" s="53" t="inlineStr">
        <is>
          <t>TN</t>
        </is>
      </c>
      <c r="F2594" s="53" t="inlineStr">
        <is>
          <t>SMITH</t>
        </is>
      </c>
      <c r="G2594" s="59" t="n"/>
      <c r="X2594" s="61" t="n"/>
      <c r="Y2594" s="61" t="n"/>
    </row>
    <row r="2595" ht="14.25" customHeight="1" s="86">
      <c r="E2595" s="53" t="inlineStr">
        <is>
          <t>TN</t>
        </is>
      </c>
      <c r="F2595" s="53" t="inlineStr">
        <is>
          <t>STEWART</t>
        </is>
      </c>
      <c r="G2595" s="59" t="n"/>
      <c r="X2595" s="61" t="n"/>
      <c r="Y2595" s="61" t="n"/>
    </row>
    <row r="2596" ht="14.25" customHeight="1" s="86">
      <c r="E2596" s="53" t="inlineStr">
        <is>
          <t>TN</t>
        </is>
      </c>
      <c r="F2596" s="53" t="inlineStr">
        <is>
          <t>SULLIVAN</t>
        </is>
      </c>
      <c r="G2596" s="59" t="n"/>
      <c r="X2596" s="61" t="n"/>
      <c r="Y2596" s="61" t="n"/>
    </row>
    <row r="2597" ht="14.25" customHeight="1" s="86">
      <c r="E2597" s="53" t="inlineStr">
        <is>
          <t>TN</t>
        </is>
      </c>
      <c r="F2597" s="53" t="inlineStr">
        <is>
          <t>SUMNER</t>
        </is>
      </c>
      <c r="G2597" s="59" t="n"/>
      <c r="X2597" s="61" t="n"/>
      <c r="Y2597" s="61" t="n"/>
    </row>
    <row r="2598" ht="14.25" customHeight="1" s="86">
      <c r="E2598" s="53" t="inlineStr">
        <is>
          <t>TN</t>
        </is>
      </c>
      <c r="F2598" s="53" t="inlineStr">
        <is>
          <t>TIPTON</t>
        </is>
      </c>
      <c r="G2598" s="59" t="n"/>
      <c r="X2598" s="61" t="n"/>
      <c r="Y2598" s="61" t="n"/>
    </row>
    <row r="2599" ht="14.25" customHeight="1" s="86">
      <c r="E2599" s="53" t="inlineStr">
        <is>
          <t>TN</t>
        </is>
      </c>
      <c r="F2599" s="53" t="inlineStr">
        <is>
          <t>TROUSDALE</t>
        </is>
      </c>
      <c r="G2599" s="59" t="n"/>
      <c r="X2599" s="61" t="n"/>
      <c r="Y2599" s="61" t="n"/>
    </row>
    <row r="2600" ht="14.25" customHeight="1" s="86">
      <c r="E2600" s="53" t="inlineStr">
        <is>
          <t>TN</t>
        </is>
      </c>
      <c r="F2600" s="53" t="inlineStr">
        <is>
          <t>UNICOI</t>
        </is>
      </c>
      <c r="G2600" s="59" t="n"/>
      <c r="X2600" s="61" t="n"/>
      <c r="Y2600" s="61" t="n"/>
    </row>
    <row r="2601" ht="14.25" customHeight="1" s="86">
      <c r="E2601" s="53" t="inlineStr">
        <is>
          <t>TN</t>
        </is>
      </c>
      <c r="F2601" s="53" t="inlineStr">
        <is>
          <t>UNION</t>
        </is>
      </c>
      <c r="G2601" s="59" t="n"/>
      <c r="X2601" s="61" t="n"/>
      <c r="Y2601" s="61" t="n"/>
    </row>
    <row r="2602" ht="14.25" customHeight="1" s="86">
      <c r="E2602" s="53" t="inlineStr">
        <is>
          <t>TN</t>
        </is>
      </c>
      <c r="F2602" s="53" t="inlineStr">
        <is>
          <t>VAN BUREN</t>
        </is>
      </c>
      <c r="G2602" s="59" t="n"/>
      <c r="X2602" s="61" t="n"/>
      <c r="Y2602" s="61" t="n"/>
    </row>
    <row r="2603" ht="14.25" customHeight="1" s="86">
      <c r="E2603" s="53" t="inlineStr">
        <is>
          <t>TN</t>
        </is>
      </c>
      <c r="F2603" s="53" t="inlineStr">
        <is>
          <t>WARREN</t>
        </is>
      </c>
      <c r="G2603" s="59" t="n"/>
      <c r="X2603" s="61" t="n"/>
      <c r="Y2603" s="61" t="n"/>
    </row>
    <row r="2604" ht="14.25" customHeight="1" s="86">
      <c r="E2604" s="53" t="inlineStr">
        <is>
          <t>TN</t>
        </is>
      </c>
      <c r="F2604" s="53" t="inlineStr">
        <is>
          <t>WASHINGTON</t>
        </is>
      </c>
      <c r="G2604" s="59" t="n"/>
      <c r="X2604" s="61" t="n"/>
      <c r="Y2604" s="61" t="n"/>
    </row>
    <row r="2605" ht="14.25" customHeight="1" s="86">
      <c r="E2605" s="53" t="inlineStr">
        <is>
          <t>TN</t>
        </is>
      </c>
      <c r="F2605" s="53" t="inlineStr">
        <is>
          <t>WAYNE</t>
        </is>
      </c>
      <c r="G2605" s="59" t="n"/>
      <c r="X2605" s="61" t="n"/>
      <c r="Y2605" s="61" t="n"/>
    </row>
    <row r="2606" ht="14.25" customHeight="1" s="86">
      <c r="E2606" s="53" t="inlineStr">
        <is>
          <t>TN</t>
        </is>
      </c>
      <c r="F2606" s="53" t="inlineStr">
        <is>
          <t>WEAKLEY</t>
        </is>
      </c>
      <c r="G2606" s="59" t="n"/>
      <c r="X2606" s="61" t="n"/>
      <c r="Y2606" s="61" t="n"/>
    </row>
    <row r="2607" ht="14.25" customHeight="1" s="86">
      <c r="E2607" s="53" t="inlineStr">
        <is>
          <t>TN</t>
        </is>
      </c>
      <c r="F2607" s="53" t="inlineStr">
        <is>
          <t>WHITE</t>
        </is>
      </c>
      <c r="G2607" s="59" t="n"/>
      <c r="X2607" s="61" t="n"/>
      <c r="Y2607" s="61" t="n"/>
    </row>
    <row r="2608" ht="14.25" customHeight="1" s="86">
      <c r="E2608" s="53" t="inlineStr">
        <is>
          <t>TN</t>
        </is>
      </c>
      <c r="F2608" s="53" t="inlineStr">
        <is>
          <t>WILLIAMSON</t>
        </is>
      </c>
      <c r="G2608" s="59" t="n"/>
      <c r="X2608" s="61" t="n"/>
      <c r="Y2608" s="61" t="n"/>
    </row>
    <row r="2609" ht="14.25" customHeight="1" s="86">
      <c r="E2609" s="53" t="inlineStr">
        <is>
          <t>TN</t>
        </is>
      </c>
      <c r="F2609" s="53" t="inlineStr">
        <is>
          <t>WILSON</t>
        </is>
      </c>
      <c r="G2609" s="59" t="n"/>
      <c r="X2609" s="61" t="n"/>
      <c r="Y2609" s="61" t="n"/>
    </row>
    <row r="2610" ht="14.25" customHeight="1" s="86">
      <c r="E2610" s="53" t="inlineStr">
        <is>
          <t>TX</t>
        </is>
      </c>
      <c r="F2610" s="53" t="inlineStr">
        <is>
          <t>ANDERSON</t>
        </is>
      </c>
      <c r="G2610" s="59" t="n"/>
      <c r="X2610" s="61" t="n"/>
      <c r="Y2610" s="61" t="n"/>
    </row>
    <row r="2611" ht="14.25" customHeight="1" s="86">
      <c r="E2611" s="53" t="inlineStr">
        <is>
          <t>TX</t>
        </is>
      </c>
      <c r="F2611" s="53" t="inlineStr">
        <is>
          <t>ANDREWS</t>
        </is>
      </c>
      <c r="G2611" s="59" t="n"/>
      <c r="X2611" s="61" t="n"/>
      <c r="Y2611" s="61" t="n"/>
    </row>
    <row r="2612" ht="14.25" customHeight="1" s="86">
      <c r="E2612" s="53" t="inlineStr">
        <is>
          <t>TX</t>
        </is>
      </c>
      <c r="F2612" s="53" t="inlineStr">
        <is>
          <t>ANGELINA</t>
        </is>
      </c>
      <c r="G2612" s="59" t="n"/>
      <c r="X2612" s="61" t="n"/>
      <c r="Y2612" s="61" t="n"/>
    </row>
    <row r="2613" ht="14.25" customHeight="1" s="86">
      <c r="E2613" s="53" t="inlineStr">
        <is>
          <t>TX</t>
        </is>
      </c>
      <c r="F2613" s="53" t="inlineStr">
        <is>
          <t>ARANSAS</t>
        </is>
      </c>
      <c r="G2613" s="59" t="n"/>
      <c r="X2613" s="61" t="n"/>
      <c r="Y2613" s="61" t="n"/>
    </row>
    <row r="2614" ht="14.25" customHeight="1" s="86">
      <c r="E2614" s="53" t="inlineStr">
        <is>
          <t>TX</t>
        </is>
      </c>
      <c r="F2614" s="53" t="inlineStr">
        <is>
          <t>ARCHER</t>
        </is>
      </c>
      <c r="G2614" s="59" t="n"/>
      <c r="X2614" s="61" t="n"/>
      <c r="Y2614" s="61" t="n"/>
    </row>
    <row r="2615" ht="14.25" customHeight="1" s="86">
      <c r="E2615" s="53" t="inlineStr">
        <is>
          <t>TX</t>
        </is>
      </c>
      <c r="F2615" s="53" t="inlineStr">
        <is>
          <t>ARMSTRONG</t>
        </is>
      </c>
      <c r="G2615" s="59" t="n"/>
      <c r="X2615" s="61" t="n"/>
      <c r="Y2615" s="61" t="n"/>
    </row>
    <row r="2616" ht="14.25" customHeight="1" s="86">
      <c r="E2616" s="53" t="inlineStr">
        <is>
          <t>TX</t>
        </is>
      </c>
      <c r="F2616" s="53" t="inlineStr">
        <is>
          <t>ATASCOSA</t>
        </is>
      </c>
      <c r="G2616" s="59" t="n"/>
      <c r="X2616" s="61" t="n"/>
      <c r="Y2616" s="61" t="n"/>
    </row>
    <row r="2617" ht="14.25" customHeight="1" s="86">
      <c r="E2617" s="53" t="inlineStr">
        <is>
          <t>TX</t>
        </is>
      </c>
      <c r="F2617" s="53" t="inlineStr">
        <is>
          <t>AUSTIN</t>
        </is>
      </c>
      <c r="G2617" s="59" t="n"/>
      <c r="X2617" s="61" t="n"/>
      <c r="Y2617" s="61" t="n"/>
    </row>
    <row r="2618" ht="14.25" customHeight="1" s="86">
      <c r="E2618" s="53" t="inlineStr">
        <is>
          <t>TX</t>
        </is>
      </c>
      <c r="F2618" s="53" t="inlineStr">
        <is>
          <t>BAILEY</t>
        </is>
      </c>
      <c r="G2618" s="59" t="n"/>
      <c r="X2618" s="61" t="n"/>
      <c r="Y2618" s="61" t="n"/>
    </row>
    <row r="2619" ht="14.25" customHeight="1" s="86">
      <c r="E2619" s="53" t="inlineStr">
        <is>
          <t>TX</t>
        </is>
      </c>
      <c r="F2619" s="53" t="inlineStr">
        <is>
          <t>BANDERA</t>
        </is>
      </c>
      <c r="G2619" s="59" t="n"/>
      <c r="X2619" s="61" t="n"/>
      <c r="Y2619" s="61" t="n"/>
    </row>
    <row r="2620" ht="14.25" customHeight="1" s="86">
      <c r="E2620" s="53" t="inlineStr">
        <is>
          <t>TX</t>
        </is>
      </c>
      <c r="F2620" s="53" t="inlineStr">
        <is>
          <t>BASTROP</t>
        </is>
      </c>
      <c r="G2620" s="59" t="n"/>
      <c r="X2620" s="61" t="n"/>
      <c r="Y2620" s="61" t="n"/>
    </row>
    <row r="2621" ht="14.25" customHeight="1" s="86">
      <c r="E2621" s="53" t="inlineStr">
        <is>
          <t>TX</t>
        </is>
      </c>
      <c r="F2621" s="53" t="inlineStr">
        <is>
          <t>BAYLOR</t>
        </is>
      </c>
      <c r="G2621" s="59" t="n"/>
      <c r="X2621" s="61" t="n"/>
      <c r="Y2621" s="61" t="n"/>
    </row>
    <row r="2622" ht="14.25" customHeight="1" s="86">
      <c r="E2622" s="53" t="inlineStr">
        <is>
          <t>TX</t>
        </is>
      </c>
      <c r="F2622" s="53" t="inlineStr">
        <is>
          <t>BEE</t>
        </is>
      </c>
      <c r="G2622" s="59" t="n"/>
      <c r="X2622" s="61" t="n"/>
      <c r="Y2622" s="61" t="n"/>
    </row>
    <row r="2623" ht="14.25" customHeight="1" s="86">
      <c r="E2623" s="53" t="inlineStr">
        <is>
          <t>TX</t>
        </is>
      </c>
      <c r="F2623" s="53" t="inlineStr">
        <is>
          <t>BELL</t>
        </is>
      </c>
      <c r="G2623" s="59" t="n"/>
      <c r="X2623" s="61" t="n"/>
      <c r="Y2623" s="61" t="n"/>
    </row>
    <row r="2624" ht="14.25" customHeight="1" s="86">
      <c r="E2624" s="53" t="inlineStr">
        <is>
          <t>TX</t>
        </is>
      </c>
      <c r="F2624" s="53" t="inlineStr">
        <is>
          <t>BEXAR</t>
        </is>
      </c>
      <c r="G2624" s="59" t="n"/>
      <c r="X2624" s="61" t="n"/>
      <c r="Y2624" s="61" t="n"/>
    </row>
    <row r="2625" ht="14.25" customHeight="1" s="86">
      <c r="E2625" s="53" t="inlineStr">
        <is>
          <t>TX</t>
        </is>
      </c>
      <c r="F2625" s="53" t="inlineStr">
        <is>
          <t>BLANCO</t>
        </is>
      </c>
      <c r="G2625" s="59" t="n"/>
      <c r="X2625" s="61" t="n"/>
      <c r="Y2625" s="61" t="n"/>
    </row>
    <row r="2626" ht="14.25" customHeight="1" s="86">
      <c r="E2626" s="53" t="inlineStr">
        <is>
          <t>TX</t>
        </is>
      </c>
      <c r="F2626" s="53" t="inlineStr">
        <is>
          <t>BORDEN</t>
        </is>
      </c>
      <c r="G2626" s="59" t="n"/>
      <c r="X2626" s="61" t="n"/>
      <c r="Y2626" s="61" t="n"/>
    </row>
    <row r="2627" ht="14.25" customHeight="1" s="86">
      <c r="E2627" s="53" t="inlineStr">
        <is>
          <t>TX</t>
        </is>
      </c>
      <c r="F2627" s="53" t="inlineStr">
        <is>
          <t>BOSQUE</t>
        </is>
      </c>
      <c r="G2627" s="59" t="n"/>
      <c r="X2627" s="61" t="n"/>
      <c r="Y2627" s="61" t="n"/>
    </row>
    <row r="2628" ht="14.25" customHeight="1" s="86">
      <c r="E2628" s="53" t="inlineStr">
        <is>
          <t>TX</t>
        </is>
      </c>
      <c r="F2628" s="53" t="inlineStr">
        <is>
          <t>BOWIE</t>
        </is>
      </c>
      <c r="G2628" s="59" t="n"/>
      <c r="X2628" s="61" t="n"/>
      <c r="Y2628" s="61" t="n"/>
    </row>
    <row r="2629" ht="14.25" customHeight="1" s="86">
      <c r="E2629" s="53" t="inlineStr">
        <is>
          <t>TX</t>
        </is>
      </c>
      <c r="F2629" s="53" t="inlineStr">
        <is>
          <t>BRAZORIA</t>
        </is>
      </c>
      <c r="G2629" s="59" t="n"/>
      <c r="X2629" s="61" t="n"/>
      <c r="Y2629" s="61" t="n"/>
    </row>
    <row r="2630" ht="14.25" customHeight="1" s="86">
      <c r="E2630" s="53" t="inlineStr">
        <is>
          <t>TX</t>
        </is>
      </c>
      <c r="F2630" s="53" t="inlineStr">
        <is>
          <t>BRAZOS</t>
        </is>
      </c>
      <c r="G2630" s="59" t="n"/>
      <c r="X2630" s="61" t="n"/>
      <c r="Y2630" s="61" t="n"/>
    </row>
    <row r="2631" ht="14.25" customHeight="1" s="86">
      <c r="E2631" s="53" t="inlineStr">
        <is>
          <t>TX</t>
        </is>
      </c>
      <c r="F2631" s="53" t="inlineStr">
        <is>
          <t>BREWSTER</t>
        </is>
      </c>
      <c r="G2631" s="59" t="n"/>
      <c r="X2631" s="61" t="n"/>
      <c r="Y2631" s="61" t="n"/>
    </row>
    <row r="2632" ht="14.25" customHeight="1" s="86">
      <c r="E2632" s="53" t="inlineStr">
        <is>
          <t>TX</t>
        </is>
      </c>
      <c r="F2632" s="53" t="inlineStr">
        <is>
          <t>BRISCOE</t>
        </is>
      </c>
      <c r="G2632" s="59" t="n"/>
      <c r="X2632" s="61" t="n"/>
      <c r="Y2632" s="61" t="n"/>
    </row>
    <row r="2633" ht="14.25" customHeight="1" s="86">
      <c r="E2633" s="53" t="inlineStr">
        <is>
          <t>TX</t>
        </is>
      </c>
      <c r="F2633" s="53" t="inlineStr">
        <is>
          <t>BROOKS</t>
        </is>
      </c>
      <c r="G2633" s="59" t="n"/>
      <c r="X2633" s="61" t="n"/>
      <c r="Y2633" s="61" t="n"/>
    </row>
    <row r="2634" ht="14.25" customHeight="1" s="86">
      <c r="E2634" s="53" t="inlineStr">
        <is>
          <t>TX</t>
        </is>
      </c>
      <c r="F2634" s="53" t="inlineStr">
        <is>
          <t>BROWN</t>
        </is>
      </c>
      <c r="G2634" s="59" t="n"/>
      <c r="X2634" s="61" t="n"/>
      <c r="Y2634" s="61" t="n"/>
    </row>
    <row r="2635" ht="14.25" customHeight="1" s="86">
      <c r="E2635" s="53" t="inlineStr">
        <is>
          <t>TX</t>
        </is>
      </c>
      <c r="F2635" s="53" t="inlineStr">
        <is>
          <t>BURLESON</t>
        </is>
      </c>
      <c r="G2635" s="59" t="n"/>
      <c r="X2635" s="61" t="n"/>
      <c r="Y2635" s="61" t="n"/>
    </row>
    <row r="2636" ht="14.25" customHeight="1" s="86">
      <c r="E2636" s="53" t="inlineStr">
        <is>
          <t>TX</t>
        </is>
      </c>
      <c r="F2636" s="53" t="inlineStr">
        <is>
          <t>BURNET</t>
        </is>
      </c>
      <c r="G2636" s="59" t="n"/>
      <c r="X2636" s="61" t="n"/>
      <c r="Y2636" s="61" t="n"/>
    </row>
    <row r="2637" ht="14.25" customHeight="1" s="86">
      <c r="E2637" s="53" t="inlineStr">
        <is>
          <t>TX</t>
        </is>
      </c>
      <c r="F2637" s="53" t="inlineStr">
        <is>
          <t>CALDWELL</t>
        </is>
      </c>
      <c r="G2637" s="59" t="n"/>
      <c r="X2637" s="61" t="n"/>
      <c r="Y2637" s="61" t="n"/>
    </row>
    <row r="2638" ht="14.25" customHeight="1" s="86">
      <c r="E2638" s="53" t="inlineStr">
        <is>
          <t>TX</t>
        </is>
      </c>
      <c r="F2638" s="53" t="inlineStr">
        <is>
          <t>CALHOUN</t>
        </is>
      </c>
      <c r="G2638" s="59" t="n"/>
      <c r="X2638" s="61" t="n"/>
      <c r="Y2638" s="61" t="n"/>
    </row>
    <row r="2639" ht="14.25" customHeight="1" s="86">
      <c r="E2639" s="53" t="inlineStr">
        <is>
          <t>TX</t>
        </is>
      </c>
      <c r="F2639" s="53" t="inlineStr">
        <is>
          <t>CALLAHAN</t>
        </is>
      </c>
      <c r="G2639" s="59" t="n"/>
      <c r="X2639" s="61" t="n"/>
      <c r="Y2639" s="61" t="n"/>
    </row>
    <row r="2640" ht="14.25" customHeight="1" s="86">
      <c r="E2640" s="53" t="inlineStr">
        <is>
          <t>TX</t>
        </is>
      </c>
      <c r="F2640" s="53" t="inlineStr">
        <is>
          <t>CAMERON</t>
        </is>
      </c>
      <c r="G2640" s="59" t="n"/>
      <c r="X2640" s="61" t="n"/>
      <c r="Y2640" s="61" t="n"/>
    </row>
    <row r="2641" ht="14.25" customHeight="1" s="86">
      <c r="E2641" s="53" t="inlineStr">
        <is>
          <t>TX</t>
        </is>
      </c>
      <c r="F2641" s="53" t="inlineStr">
        <is>
          <t>CAMP</t>
        </is>
      </c>
      <c r="G2641" s="59" t="n"/>
      <c r="X2641" s="61" t="n"/>
      <c r="Y2641" s="61" t="n"/>
    </row>
    <row r="2642" ht="14.25" customHeight="1" s="86">
      <c r="E2642" s="53" t="inlineStr">
        <is>
          <t>TX</t>
        </is>
      </c>
      <c r="F2642" s="53" t="inlineStr">
        <is>
          <t>CARSON</t>
        </is>
      </c>
      <c r="G2642" s="59" t="n"/>
      <c r="X2642" s="61" t="n"/>
      <c r="Y2642" s="61" t="n"/>
    </row>
    <row r="2643" ht="14.25" customHeight="1" s="86">
      <c r="E2643" s="53" t="inlineStr">
        <is>
          <t>TX</t>
        </is>
      </c>
      <c r="F2643" s="53" t="inlineStr">
        <is>
          <t>CASS</t>
        </is>
      </c>
      <c r="G2643" s="59" t="n"/>
      <c r="X2643" s="61" t="n"/>
      <c r="Y2643" s="61" t="n"/>
    </row>
    <row r="2644" ht="14.25" customHeight="1" s="86">
      <c r="E2644" s="53" t="inlineStr">
        <is>
          <t>TX</t>
        </is>
      </c>
      <c r="F2644" s="53" t="inlineStr">
        <is>
          <t>CASTRO</t>
        </is>
      </c>
      <c r="G2644" s="59" t="n"/>
      <c r="X2644" s="61" t="n"/>
      <c r="Y2644" s="61" t="n"/>
    </row>
    <row r="2645" ht="14.25" customHeight="1" s="86">
      <c r="E2645" s="53" t="inlineStr">
        <is>
          <t>TX</t>
        </is>
      </c>
      <c r="F2645" s="53" t="inlineStr">
        <is>
          <t>CHAMBERS</t>
        </is>
      </c>
      <c r="G2645" s="59" t="n"/>
      <c r="X2645" s="61" t="n"/>
      <c r="Y2645" s="61" t="n"/>
    </row>
    <row r="2646" ht="14.25" customHeight="1" s="86">
      <c r="E2646" s="53" t="inlineStr">
        <is>
          <t>TX</t>
        </is>
      </c>
      <c r="F2646" s="53" t="inlineStr">
        <is>
          <t>CHEROKEE</t>
        </is>
      </c>
      <c r="G2646" s="59" t="n"/>
      <c r="X2646" s="61" t="n"/>
      <c r="Y2646" s="61" t="n"/>
    </row>
    <row r="2647" ht="14.25" customHeight="1" s="86">
      <c r="E2647" s="53" t="inlineStr">
        <is>
          <t>TX</t>
        </is>
      </c>
      <c r="F2647" s="53" t="inlineStr">
        <is>
          <t>CHILDRESS</t>
        </is>
      </c>
      <c r="G2647" s="59" t="n"/>
      <c r="X2647" s="61" t="n"/>
      <c r="Y2647" s="61" t="n"/>
    </row>
    <row r="2648" ht="14.25" customHeight="1" s="86">
      <c r="E2648" s="53" t="inlineStr">
        <is>
          <t>TX</t>
        </is>
      </c>
      <c r="F2648" s="53" t="inlineStr">
        <is>
          <t>CLAY</t>
        </is>
      </c>
      <c r="G2648" s="59" t="n"/>
      <c r="X2648" s="61" t="n"/>
      <c r="Y2648" s="61" t="n"/>
    </row>
    <row r="2649" ht="14.25" customHeight="1" s="86">
      <c r="E2649" s="53" t="inlineStr">
        <is>
          <t>TX</t>
        </is>
      </c>
      <c r="F2649" s="53" t="inlineStr">
        <is>
          <t>COCHRAN</t>
        </is>
      </c>
      <c r="G2649" s="59" t="n"/>
      <c r="X2649" s="61" t="n"/>
      <c r="Y2649" s="61" t="n"/>
    </row>
    <row r="2650" ht="14.25" customHeight="1" s="86">
      <c r="E2650" s="53" t="inlineStr">
        <is>
          <t>TX</t>
        </is>
      </c>
      <c r="F2650" s="53" t="inlineStr">
        <is>
          <t>COKE</t>
        </is>
      </c>
      <c r="G2650" s="59" t="n"/>
      <c r="X2650" s="61" t="n"/>
      <c r="Y2650" s="61" t="n"/>
    </row>
    <row r="2651" ht="14.25" customHeight="1" s="86">
      <c r="E2651" s="53" t="inlineStr">
        <is>
          <t>TX</t>
        </is>
      </c>
      <c r="F2651" s="53" t="inlineStr">
        <is>
          <t>COLEMAN</t>
        </is>
      </c>
      <c r="G2651" s="59" t="n"/>
      <c r="X2651" s="61" t="n"/>
      <c r="Y2651" s="61" t="n"/>
    </row>
    <row r="2652" ht="14.25" customHeight="1" s="86">
      <c r="E2652" s="53" t="inlineStr">
        <is>
          <t>TX</t>
        </is>
      </c>
      <c r="F2652" s="53" t="inlineStr">
        <is>
          <t>COLLIN</t>
        </is>
      </c>
      <c r="G2652" s="59" t="n"/>
      <c r="X2652" s="61" t="n"/>
      <c r="Y2652" s="61" t="n"/>
    </row>
    <row r="2653" ht="14.25" customHeight="1" s="86">
      <c r="E2653" s="53" t="inlineStr">
        <is>
          <t>TX</t>
        </is>
      </c>
      <c r="F2653" s="53" t="inlineStr">
        <is>
          <t>COLLINGSWORTH</t>
        </is>
      </c>
      <c r="G2653" s="59" t="n"/>
      <c r="X2653" s="61" t="n"/>
      <c r="Y2653" s="61" t="n"/>
    </row>
    <row r="2654" ht="14.25" customHeight="1" s="86">
      <c r="E2654" s="53" t="inlineStr">
        <is>
          <t>TX</t>
        </is>
      </c>
      <c r="F2654" s="53" t="inlineStr">
        <is>
          <t>COLORADO</t>
        </is>
      </c>
      <c r="G2654" s="59" t="n"/>
      <c r="X2654" s="61" t="n"/>
      <c r="Y2654" s="61" t="n"/>
    </row>
    <row r="2655" ht="14.25" customHeight="1" s="86">
      <c r="E2655" s="53" t="inlineStr">
        <is>
          <t>TX</t>
        </is>
      </c>
      <c r="F2655" s="53" t="inlineStr">
        <is>
          <t>COMAL</t>
        </is>
      </c>
      <c r="G2655" s="59" t="n"/>
      <c r="X2655" s="61" t="n"/>
      <c r="Y2655" s="61" t="n"/>
    </row>
    <row r="2656" ht="14.25" customHeight="1" s="86">
      <c r="E2656" s="53" t="inlineStr">
        <is>
          <t>TX</t>
        </is>
      </c>
      <c r="F2656" s="53" t="inlineStr">
        <is>
          <t>COMANCHE</t>
        </is>
      </c>
      <c r="G2656" s="59" t="n"/>
      <c r="X2656" s="61" t="n"/>
      <c r="Y2656" s="61" t="n"/>
    </row>
    <row r="2657" ht="14.25" customHeight="1" s="86">
      <c r="E2657" s="53" t="inlineStr">
        <is>
          <t>TX</t>
        </is>
      </c>
      <c r="F2657" s="53" t="inlineStr">
        <is>
          <t>CONCHO</t>
        </is>
      </c>
      <c r="G2657" s="59" t="n"/>
      <c r="X2657" s="61" t="n"/>
      <c r="Y2657" s="61" t="n"/>
    </row>
    <row r="2658" ht="14.25" customHeight="1" s="86">
      <c r="E2658" s="53" t="inlineStr">
        <is>
          <t>TX</t>
        </is>
      </c>
      <c r="F2658" s="53" t="inlineStr">
        <is>
          <t>COOKE</t>
        </is>
      </c>
      <c r="G2658" s="59" t="n"/>
      <c r="X2658" s="61" t="n"/>
      <c r="Y2658" s="61" t="n"/>
    </row>
    <row r="2659" ht="14.25" customHeight="1" s="86">
      <c r="E2659" s="53" t="inlineStr">
        <is>
          <t>TX</t>
        </is>
      </c>
      <c r="F2659" s="53" t="inlineStr">
        <is>
          <t>CORYELL</t>
        </is>
      </c>
      <c r="G2659" s="59" t="n"/>
      <c r="X2659" s="61" t="n"/>
      <c r="Y2659" s="61" t="n"/>
    </row>
    <row r="2660" ht="14.25" customHeight="1" s="86">
      <c r="E2660" s="53" t="inlineStr">
        <is>
          <t>TX</t>
        </is>
      </c>
      <c r="F2660" s="53" t="inlineStr">
        <is>
          <t>COTTLE</t>
        </is>
      </c>
      <c r="G2660" s="59" t="n"/>
      <c r="X2660" s="61" t="n"/>
      <c r="Y2660" s="61" t="n"/>
    </row>
    <row r="2661" ht="14.25" customHeight="1" s="86">
      <c r="E2661" s="53" t="inlineStr">
        <is>
          <t>TX</t>
        </is>
      </c>
      <c r="F2661" s="53" t="inlineStr">
        <is>
          <t>CRANE</t>
        </is>
      </c>
      <c r="G2661" s="59" t="n"/>
      <c r="X2661" s="61" t="n"/>
      <c r="Y2661" s="61" t="n"/>
    </row>
    <row r="2662" ht="14.25" customHeight="1" s="86">
      <c r="E2662" s="53" t="inlineStr">
        <is>
          <t>TX</t>
        </is>
      </c>
      <c r="F2662" s="53" t="inlineStr">
        <is>
          <t>CROCKETT</t>
        </is>
      </c>
      <c r="G2662" s="59" t="n"/>
      <c r="X2662" s="61" t="n"/>
      <c r="Y2662" s="61" t="n"/>
    </row>
    <row r="2663" ht="14.25" customHeight="1" s="86">
      <c r="E2663" s="53" t="inlineStr">
        <is>
          <t>TX</t>
        </is>
      </c>
      <c r="F2663" s="53" t="inlineStr">
        <is>
          <t>CROSBY</t>
        </is>
      </c>
      <c r="G2663" s="59" t="n"/>
      <c r="X2663" s="61" t="n"/>
      <c r="Y2663" s="61" t="n"/>
    </row>
    <row r="2664" ht="14.25" customHeight="1" s="86">
      <c r="E2664" s="53" t="inlineStr">
        <is>
          <t>TX</t>
        </is>
      </c>
      <c r="F2664" s="53" t="inlineStr">
        <is>
          <t>CULBERSON</t>
        </is>
      </c>
      <c r="G2664" s="59" t="n"/>
      <c r="X2664" s="61" t="n"/>
      <c r="Y2664" s="61" t="n"/>
    </row>
    <row r="2665" ht="14.25" customHeight="1" s="86">
      <c r="E2665" s="53" t="inlineStr">
        <is>
          <t>TX</t>
        </is>
      </c>
      <c r="F2665" s="53" t="inlineStr">
        <is>
          <t>DALLAM</t>
        </is>
      </c>
      <c r="G2665" s="59" t="n"/>
      <c r="X2665" s="61" t="n"/>
      <c r="Y2665" s="61" t="n"/>
    </row>
    <row r="2666" ht="14.25" customHeight="1" s="86">
      <c r="E2666" s="53" t="inlineStr">
        <is>
          <t>TX</t>
        </is>
      </c>
      <c r="F2666" s="53" t="inlineStr">
        <is>
          <t>DALLAS</t>
        </is>
      </c>
      <c r="G2666" s="59" t="n"/>
      <c r="X2666" s="61" t="n"/>
      <c r="Y2666" s="61" t="n"/>
    </row>
    <row r="2667" ht="14.25" customHeight="1" s="86">
      <c r="E2667" s="53" t="inlineStr">
        <is>
          <t>TX</t>
        </is>
      </c>
      <c r="F2667" s="53" t="inlineStr">
        <is>
          <t>DAWSON</t>
        </is>
      </c>
      <c r="G2667" s="59" t="n"/>
      <c r="X2667" s="61" t="n"/>
      <c r="Y2667" s="61" t="n"/>
    </row>
    <row r="2668" ht="14.25" customHeight="1" s="86">
      <c r="E2668" s="53" t="inlineStr">
        <is>
          <t>TX</t>
        </is>
      </c>
      <c r="F2668" s="53" t="inlineStr">
        <is>
          <t>DE WITT</t>
        </is>
      </c>
      <c r="G2668" s="59" t="n"/>
      <c r="X2668" s="61" t="n"/>
      <c r="Y2668" s="61" t="n"/>
    </row>
    <row r="2669" ht="14.25" customHeight="1" s="86">
      <c r="E2669" s="53" t="inlineStr">
        <is>
          <t>TX</t>
        </is>
      </c>
      <c r="F2669" s="53" t="inlineStr">
        <is>
          <t>DEAF SMITH</t>
        </is>
      </c>
      <c r="G2669" s="59" t="n"/>
      <c r="X2669" s="61" t="n"/>
      <c r="Y2669" s="61" t="n"/>
    </row>
    <row r="2670" ht="14.25" customHeight="1" s="86">
      <c r="E2670" s="53" t="inlineStr">
        <is>
          <t>TX</t>
        </is>
      </c>
      <c r="F2670" s="53" t="inlineStr">
        <is>
          <t>DELTA</t>
        </is>
      </c>
      <c r="G2670" s="59" t="n"/>
      <c r="X2670" s="61" t="n"/>
      <c r="Y2670" s="61" t="n"/>
    </row>
    <row r="2671" ht="14.25" customHeight="1" s="86">
      <c r="E2671" s="53" t="inlineStr">
        <is>
          <t>TX</t>
        </is>
      </c>
      <c r="F2671" s="53" t="inlineStr">
        <is>
          <t>DENTON</t>
        </is>
      </c>
      <c r="G2671" s="59" t="n"/>
      <c r="X2671" s="61" t="n"/>
      <c r="Y2671" s="61" t="n"/>
    </row>
    <row r="2672" ht="14.25" customHeight="1" s="86">
      <c r="E2672" s="53" t="inlineStr">
        <is>
          <t>TX</t>
        </is>
      </c>
      <c r="F2672" s="53" t="inlineStr">
        <is>
          <t>DICKENS</t>
        </is>
      </c>
      <c r="G2672" s="59" t="n"/>
      <c r="X2672" s="61" t="n"/>
      <c r="Y2672" s="61" t="n"/>
    </row>
    <row r="2673" ht="14.25" customHeight="1" s="86">
      <c r="E2673" s="53" t="inlineStr">
        <is>
          <t>TX</t>
        </is>
      </c>
      <c r="F2673" s="53" t="inlineStr">
        <is>
          <t>DIMMIT</t>
        </is>
      </c>
      <c r="G2673" s="59" t="n"/>
      <c r="X2673" s="61" t="n"/>
      <c r="Y2673" s="61" t="n"/>
    </row>
    <row r="2674" ht="14.25" customHeight="1" s="86">
      <c r="E2674" s="53" t="inlineStr">
        <is>
          <t>TX</t>
        </is>
      </c>
      <c r="F2674" s="53" t="inlineStr">
        <is>
          <t>DONLEY</t>
        </is>
      </c>
      <c r="G2674" s="59" t="n"/>
      <c r="X2674" s="61" t="n"/>
      <c r="Y2674" s="61" t="n"/>
    </row>
    <row r="2675" ht="14.25" customHeight="1" s="86">
      <c r="E2675" s="53" t="inlineStr">
        <is>
          <t>TX</t>
        </is>
      </c>
      <c r="F2675" s="53" t="inlineStr">
        <is>
          <t>DUVAL</t>
        </is>
      </c>
      <c r="G2675" s="59" t="n"/>
      <c r="X2675" s="61" t="n"/>
      <c r="Y2675" s="61" t="n"/>
    </row>
    <row r="2676" ht="14.25" customHeight="1" s="86">
      <c r="E2676" s="53" t="inlineStr">
        <is>
          <t>TX</t>
        </is>
      </c>
      <c r="F2676" s="53" t="inlineStr">
        <is>
          <t>EASTLAND</t>
        </is>
      </c>
      <c r="G2676" s="59" t="n"/>
      <c r="X2676" s="61" t="n"/>
      <c r="Y2676" s="61" t="n"/>
    </row>
    <row r="2677" ht="14.25" customHeight="1" s="86">
      <c r="E2677" s="53" t="inlineStr">
        <is>
          <t>TX</t>
        </is>
      </c>
      <c r="F2677" s="53" t="inlineStr">
        <is>
          <t>ECTOR</t>
        </is>
      </c>
      <c r="G2677" s="59" t="n"/>
      <c r="X2677" s="61" t="n"/>
      <c r="Y2677" s="61" t="n"/>
    </row>
    <row r="2678" ht="14.25" customHeight="1" s="86">
      <c r="E2678" s="53" t="inlineStr">
        <is>
          <t>TX</t>
        </is>
      </c>
      <c r="F2678" s="53" t="inlineStr">
        <is>
          <t>EDWARDS</t>
        </is>
      </c>
      <c r="G2678" s="59" t="n"/>
      <c r="X2678" s="61" t="n"/>
      <c r="Y2678" s="61" t="n"/>
    </row>
    <row r="2679" ht="14.25" customHeight="1" s="86">
      <c r="E2679" s="53" t="inlineStr">
        <is>
          <t>TX</t>
        </is>
      </c>
      <c r="F2679" s="53" t="inlineStr">
        <is>
          <t>EL PASO</t>
        </is>
      </c>
      <c r="G2679" s="59" t="n"/>
      <c r="X2679" s="61" t="n"/>
      <c r="Y2679" s="61" t="n"/>
    </row>
    <row r="2680" ht="14.25" customHeight="1" s="86">
      <c r="E2680" s="53" t="inlineStr">
        <is>
          <t>TX</t>
        </is>
      </c>
      <c r="F2680" s="53" t="inlineStr">
        <is>
          <t>ELLIS</t>
        </is>
      </c>
      <c r="G2680" s="59" t="n"/>
      <c r="X2680" s="61" t="n"/>
      <c r="Y2680" s="61" t="n"/>
    </row>
    <row r="2681" ht="14.25" customHeight="1" s="86">
      <c r="E2681" s="53" t="inlineStr">
        <is>
          <t>TX</t>
        </is>
      </c>
      <c r="F2681" s="53" t="inlineStr">
        <is>
          <t>ERATH</t>
        </is>
      </c>
      <c r="G2681" s="59" t="n"/>
      <c r="X2681" s="61" t="n"/>
      <c r="Y2681" s="61" t="n"/>
    </row>
    <row r="2682" ht="14.25" customHeight="1" s="86">
      <c r="E2682" s="53" t="inlineStr">
        <is>
          <t>TX</t>
        </is>
      </c>
      <c r="F2682" s="53" t="inlineStr">
        <is>
          <t>FALLS</t>
        </is>
      </c>
      <c r="G2682" s="59" t="n"/>
      <c r="X2682" s="61" t="n"/>
      <c r="Y2682" s="61" t="n"/>
    </row>
    <row r="2683" ht="14.25" customHeight="1" s="86">
      <c r="E2683" s="53" t="inlineStr">
        <is>
          <t>TX</t>
        </is>
      </c>
      <c r="F2683" s="53" t="inlineStr">
        <is>
          <t>FANNIN</t>
        </is>
      </c>
      <c r="G2683" s="59" t="n"/>
      <c r="X2683" s="61" t="n"/>
      <c r="Y2683" s="61" t="n"/>
    </row>
    <row r="2684" ht="14.25" customHeight="1" s="86">
      <c r="E2684" s="53" t="inlineStr">
        <is>
          <t>TX</t>
        </is>
      </c>
      <c r="F2684" s="53" t="inlineStr">
        <is>
          <t>FAYETTE</t>
        </is>
      </c>
      <c r="G2684" s="59" t="n"/>
      <c r="X2684" s="61" t="n"/>
      <c r="Y2684" s="61" t="n"/>
    </row>
    <row r="2685" ht="14.25" customHeight="1" s="86">
      <c r="E2685" s="53" t="inlineStr">
        <is>
          <t>TX</t>
        </is>
      </c>
      <c r="F2685" s="53" t="inlineStr">
        <is>
          <t>FISHER</t>
        </is>
      </c>
      <c r="G2685" s="59" t="n"/>
      <c r="X2685" s="61" t="n"/>
      <c r="Y2685" s="61" t="n"/>
    </row>
    <row r="2686" ht="14.25" customHeight="1" s="86">
      <c r="E2686" s="53" t="inlineStr">
        <is>
          <t>TX</t>
        </is>
      </c>
      <c r="F2686" s="53" t="inlineStr">
        <is>
          <t>FLOYD</t>
        </is>
      </c>
      <c r="G2686" s="59" t="n"/>
      <c r="X2686" s="61" t="n"/>
      <c r="Y2686" s="61" t="n"/>
    </row>
    <row r="2687" ht="14.25" customHeight="1" s="86">
      <c r="E2687" s="53" t="inlineStr">
        <is>
          <t>TX</t>
        </is>
      </c>
      <c r="F2687" s="53" t="inlineStr">
        <is>
          <t>FOARD</t>
        </is>
      </c>
      <c r="G2687" s="59" t="n"/>
      <c r="X2687" s="61" t="n"/>
      <c r="Y2687" s="61" t="n"/>
    </row>
    <row r="2688" ht="14.25" customHeight="1" s="86">
      <c r="E2688" s="53" t="inlineStr">
        <is>
          <t>TX</t>
        </is>
      </c>
      <c r="F2688" s="53" t="inlineStr">
        <is>
          <t>FORT BEND</t>
        </is>
      </c>
      <c r="G2688" s="59" t="n"/>
      <c r="X2688" s="61" t="n"/>
      <c r="Y2688" s="61" t="n"/>
    </row>
    <row r="2689" ht="14.25" customHeight="1" s="86">
      <c r="E2689" s="53" t="inlineStr">
        <is>
          <t>TX</t>
        </is>
      </c>
      <c r="F2689" s="53" t="inlineStr">
        <is>
          <t>FRANKLIN</t>
        </is>
      </c>
      <c r="G2689" s="59" t="n"/>
      <c r="X2689" s="61" t="n"/>
      <c r="Y2689" s="61" t="n"/>
    </row>
    <row r="2690" ht="14.25" customHeight="1" s="86">
      <c r="E2690" s="53" t="inlineStr">
        <is>
          <t>TX</t>
        </is>
      </c>
      <c r="F2690" s="53" t="inlineStr">
        <is>
          <t>FREESTONE</t>
        </is>
      </c>
      <c r="G2690" s="59" t="n"/>
      <c r="X2690" s="61" t="n"/>
      <c r="Y2690" s="61" t="n"/>
    </row>
    <row r="2691" ht="14.25" customHeight="1" s="86">
      <c r="E2691" s="53" t="inlineStr">
        <is>
          <t>TX</t>
        </is>
      </c>
      <c r="F2691" s="53" t="inlineStr">
        <is>
          <t>FRIO</t>
        </is>
      </c>
      <c r="G2691" s="59" t="n"/>
      <c r="X2691" s="61" t="n"/>
      <c r="Y2691" s="61" t="n"/>
    </row>
    <row r="2692" ht="14.25" customHeight="1" s="86">
      <c r="E2692" s="53" t="inlineStr">
        <is>
          <t>TX</t>
        </is>
      </c>
      <c r="F2692" s="53" t="inlineStr">
        <is>
          <t>GAINES</t>
        </is>
      </c>
      <c r="G2692" s="59" t="n"/>
      <c r="X2692" s="61" t="n"/>
      <c r="Y2692" s="61" t="n"/>
    </row>
    <row r="2693" ht="14.25" customHeight="1" s="86">
      <c r="E2693" s="53" t="inlineStr">
        <is>
          <t>TX</t>
        </is>
      </c>
      <c r="F2693" s="53" t="inlineStr">
        <is>
          <t>GALVESTON</t>
        </is>
      </c>
      <c r="G2693" s="59" t="n"/>
      <c r="X2693" s="61" t="n"/>
      <c r="Y2693" s="61" t="n"/>
    </row>
    <row r="2694" ht="14.25" customHeight="1" s="86">
      <c r="E2694" s="53" t="inlineStr">
        <is>
          <t>TX</t>
        </is>
      </c>
      <c r="F2694" s="53" t="inlineStr">
        <is>
          <t>GARZA</t>
        </is>
      </c>
      <c r="G2694" s="59" t="n"/>
      <c r="X2694" s="61" t="n"/>
      <c r="Y2694" s="61" t="n"/>
    </row>
    <row r="2695" ht="14.25" customHeight="1" s="86">
      <c r="E2695" s="53" t="inlineStr">
        <is>
          <t>TX</t>
        </is>
      </c>
      <c r="F2695" s="53" t="inlineStr">
        <is>
          <t>GILLESPIE</t>
        </is>
      </c>
      <c r="G2695" s="59" t="n"/>
      <c r="X2695" s="61" t="n"/>
      <c r="Y2695" s="61" t="n"/>
    </row>
    <row r="2696" ht="14.25" customHeight="1" s="86">
      <c r="E2696" s="53" t="inlineStr">
        <is>
          <t>TX</t>
        </is>
      </c>
      <c r="F2696" s="53" t="inlineStr">
        <is>
          <t>GLASSCOCK</t>
        </is>
      </c>
      <c r="G2696" s="59" t="n"/>
      <c r="X2696" s="61" t="n"/>
      <c r="Y2696" s="61" t="n"/>
    </row>
    <row r="2697" ht="14.25" customHeight="1" s="86">
      <c r="E2697" s="53" t="inlineStr">
        <is>
          <t>TX</t>
        </is>
      </c>
      <c r="F2697" s="53" t="inlineStr">
        <is>
          <t>GOLIAD</t>
        </is>
      </c>
      <c r="G2697" s="59" t="n"/>
      <c r="X2697" s="61" t="n"/>
      <c r="Y2697" s="61" t="n"/>
    </row>
    <row r="2698" ht="14.25" customHeight="1" s="86">
      <c r="E2698" s="53" t="inlineStr">
        <is>
          <t>TX</t>
        </is>
      </c>
      <c r="F2698" s="53" t="inlineStr">
        <is>
          <t>GONZALES</t>
        </is>
      </c>
      <c r="G2698" s="59" t="n"/>
      <c r="X2698" s="61" t="n"/>
      <c r="Y2698" s="61" t="n"/>
    </row>
    <row r="2699" ht="14.25" customHeight="1" s="86">
      <c r="E2699" s="53" t="inlineStr">
        <is>
          <t>TX</t>
        </is>
      </c>
      <c r="F2699" s="53" t="inlineStr">
        <is>
          <t>GRAY</t>
        </is>
      </c>
      <c r="G2699" s="59" t="n"/>
      <c r="X2699" s="61" t="n"/>
      <c r="Y2699" s="61" t="n"/>
    </row>
    <row r="2700" ht="14.25" customHeight="1" s="86">
      <c r="E2700" s="53" t="inlineStr">
        <is>
          <t>TX</t>
        </is>
      </c>
      <c r="F2700" s="53" t="inlineStr">
        <is>
          <t>GRAYSON</t>
        </is>
      </c>
      <c r="G2700" s="59" t="n"/>
      <c r="X2700" s="61" t="n"/>
      <c r="Y2700" s="61" t="n"/>
    </row>
    <row r="2701" ht="14.25" customHeight="1" s="86">
      <c r="E2701" s="53" t="inlineStr">
        <is>
          <t>TX</t>
        </is>
      </c>
      <c r="F2701" s="53" t="inlineStr">
        <is>
          <t>GREGG</t>
        </is>
      </c>
      <c r="G2701" s="59" t="n"/>
      <c r="X2701" s="61" t="n"/>
      <c r="Y2701" s="61" t="n"/>
    </row>
    <row r="2702" ht="14.25" customHeight="1" s="86">
      <c r="E2702" s="53" t="inlineStr">
        <is>
          <t>TX</t>
        </is>
      </c>
      <c r="F2702" s="53" t="inlineStr">
        <is>
          <t>GRIMES</t>
        </is>
      </c>
      <c r="G2702" s="59" t="n"/>
      <c r="X2702" s="61" t="n"/>
      <c r="Y2702" s="61" t="n"/>
    </row>
    <row r="2703" ht="14.25" customHeight="1" s="86">
      <c r="E2703" s="53" t="inlineStr">
        <is>
          <t>TX</t>
        </is>
      </c>
      <c r="F2703" s="53" t="inlineStr">
        <is>
          <t>GUADALUPE</t>
        </is>
      </c>
      <c r="G2703" s="59" t="n"/>
      <c r="X2703" s="61" t="n"/>
      <c r="Y2703" s="61" t="n"/>
    </row>
    <row r="2704" ht="14.25" customHeight="1" s="86">
      <c r="E2704" s="53" t="inlineStr">
        <is>
          <t>TX</t>
        </is>
      </c>
      <c r="F2704" s="53" t="inlineStr">
        <is>
          <t>HALE</t>
        </is>
      </c>
      <c r="G2704" s="59" t="n"/>
      <c r="X2704" s="61" t="n"/>
      <c r="Y2704" s="61" t="n"/>
    </row>
    <row r="2705" ht="14.25" customHeight="1" s="86">
      <c r="E2705" s="53" t="inlineStr">
        <is>
          <t>TX</t>
        </is>
      </c>
      <c r="F2705" s="53" t="inlineStr">
        <is>
          <t>HALL</t>
        </is>
      </c>
      <c r="G2705" s="59" t="n"/>
      <c r="X2705" s="61" t="n"/>
      <c r="Y2705" s="61" t="n"/>
    </row>
    <row r="2706" ht="14.25" customHeight="1" s="86">
      <c r="E2706" s="53" t="inlineStr">
        <is>
          <t>TX</t>
        </is>
      </c>
      <c r="F2706" s="53" t="inlineStr">
        <is>
          <t>HAMILTON</t>
        </is>
      </c>
      <c r="G2706" s="59" t="n"/>
      <c r="X2706" s="61" t="n"/>
      <c r="Y2706" s="61" t="n"/>
    </row>
    <row r="2707" ht="14.25" customHeight="1" s="86">
      <c r="E2707" s="53" t="inlineStr">
        <is>
          <t>TX</t>
        </is>
      </c>
      <c r="F2707" s="53" t="inlineStr">
        <is>
          <t>HANSFORD</t>
        </is>
      </c>
      <c r="G2707" s="59" t="n"/>
      <c r="X2707" s="61" t="n"/>
      <c r="Y2707" s="61" t="n"/>
    </row>
    <row r="2708" ht="14.25" customHeight="1" s="86">
      <c r="E2708" s="53" t="inlineStr">
        <is>
          <t>TX</t>
        </is>
      </c>
      <c r="F2708" s="53" t="inlineStr">
        <is>
          <t>HARDEMAN</t>
        </is>
      </c>
      <c r="G2708" s="59" t="n"/>
      <c r="X2708" s="61" t="n"/>
      <c r="Y2708" s="61" t="n"/>
    </row>
    <row r="2709" ht="14.25" customHeight="1" s="86">
      <c r="E2709" s="53" t="inlineStr">
        <is>
          <t>TX</t>
        </is>
      </c>
      <c r="F2709" s="53" t="inlineStr">
        <is>
          <t>HARDIN</t>
        </is>
      </c>
      <c r="G2709" s="59" t="n"/>
      <c r="X2709" s="61" t="n"/>
      <c r="Y2709" s="61" t="n"/>
    </row>
    <row r="2710" ht="14.25" customHeight="1" s="86">
      <c r="E2710" s="53" t="inlineStr">
        <is>
          <t>TX</t>
        </is>
      </c>
      <c r="F2710" s="53" t="inlineStr">
        <is>
          <t>HARRIS</t>
        </is>
      </c>
      <c r="G2710" s="59" t="n"/>
      <c r="X2710" s="61" t="n"/>
      <c r="Y2710" s="61" t="n"/>
    </row>
    <row r="2711" ht="14.25" customHeight="1" s="86">
      <c r="E2711" s="53" t="inlineStr">
        <is>
          <t>TX</t>
        </is>
      </c>
      <c r="F2711" s="53" t="inlineStr">
        <is>
          <t>HARRISON</t>
        </is>
      </c>
      <c r="G2711" s="59" t="n"/>
      <c r="X2711" s="61" t="n"/>
      <c r="Y2711" s="61" t="n"/>
    </row>
    <row r="2712" ht="14.25" customHeight="1" s="86">
      <c r="E2712" s="53" t="inlineStr">
        <is>
          <t>TX</t>
        </is>
      </c>
      <c r="F2712" s="53" t="inlineStr">
        <is>
          <t>HARTLEY</t>
        </is>
      </c>
      <c r="G2712" s="59" t="n"/>
      <c r="X2712" s="61" t="n"/>
      <c r="Y2712" s="61" t="n"/>
    </row>
    <row r="2713" ht="14.25" customHeight="1" s="86">
      <c r="E2713" s="53" t="inlineStr">
        <is>
          <t>TX</t>
        </is>
      </c>
      <c r="F2713" s="53" t="inlineStr">
        <is>
          <t>HASKELL</t>
        </is>
      </c>
      <c r="G2713" s="59" t="n"/>
      <c r="X2713" s="61" t="n"/>
      <c r="Y2713" s="61" t="n"/>
    </row>
    <row r="2714" ht="14.25" customHeight="1" s="86">
      <c r="E2714" s="53" t="inlineStr">
        <is>
          <t>TX</t>
        </is>
      </c>
      <c r="F2714" s="53" t="inlineStr">
        <is>
          <t>HAYS</t>
        </is>
      </c>
      <c r="G2714" s="59" t="n"/>
      <c r="X2714" s="61" t="n"/>
      <c r="Y2714" s="61" t="n"/>
    </row>
    <row r="2715" ht="14.25" customHeight="1" s="86">
      <c r="E2715" s="53" t="inlineStr">
        <is>
          <t>TX</t>
        </is>
      </c>
      <c r="F2715" s="53" t="inlineStr">
        <is>
          <t>HEMPHILL</t>
        </is>
      </c>
      <c r="G2715" s="59" t="n"/>
      <c r="X2715" s="61" t="n"/>
      <c r="Y2715" s="61" t="n"/>
    </row>
    <row r="2716" ht="14.25" customHeight="1" s="86">
      <c r="E2716" s="53" t="inlineStr">
        <is>
          <t>TX</t>
        </is>
      </c>
      <c r="F2716" s="53" t="inlineStr">
        <is>
          <t>HENDERSON</t>
        </is>
      </c>
      <c r="G2716" s="59" t="n"/>
      <c r="X2716" s="61" t="n"/>
      <c r="Y2716" s="61" t="n"/>
    </row>
    <row r="2717" ht="14.25" customHeight="1" s="86">
      <c r="E2717" s="53" t="inlineStr">
        <is>
          <t>TX</t>
        </is>
      </c>
      <c r="F2717" s="53" t="inlineStr">
        <is>
          <t>HIDALGO</t>
        </is>
      </c>
      <c r="G2717" s="59" t="n"/>
      <c r="X2717" s="61" t="n"/>
      <c r="Y2717" s="61" t="n"/>
    </row>
    <row r="2718" ht="14.25" customHeight="1" s="86">
      <c r="E2718" s="53" t="inlineStr">
        <is>
          <t>TX</t>
        </is>
      </c>
      <c r="F2718" s="53" t="inlineStr">
        <is>
          <t>HILL</t>
        </is>
      </c>
      <c r="G2718" s="59" t="n"/>
      <c r="X2718" s="61" t="n"/>
      <c r="Y2718" s="61" t="n"/>
    </row>
    <row r="2719" ht="14.25" customHeight="1" s="86">
      <c r="E2719" s="53" t="inlineStr">
        <is>
          <t>TX</t>
        </is>
      </c>
      <c r="F2719" s="53" t="inlineStr">
        <is>
          <t>HOCKLEY</t>
        </is>
      </c>
      <c r="G2719" s="59" t="n"/>
      <c r="X2719" s="61" t="n"/>
      <c r="Y2719" s="61" t="n"/>
    </row>
    <row r="2720" ht="14.25" customHeight="1" s="86">
      <c r="E2720" s="53" t="inlineStr">
        <is>
          <t>TX</t>
        </is>
      </c>
      <c r="F2720" s="53" t="inlineStr">
        <is>
          <t>HOOD</t>
        </is>
      </c>
      <c r="G2720" s="59" t="n"/>
      <c r="X2720" s="61" t="n"/>
      <c r="Y2720" s="61" t="n"/>
    </row>
    <row r="2721" ht="14.25" customHeight="1" s="86">
      <c r="E2721" s="53" t="inlineStr">
        <is>
          <t>TX</t>
        </is>
      </c>
      <c r="F2721" s="53" t="inlineStr">
        <is>
          <t>HOPKINS</t>
        </is>
      </c>
      <c r="G2721" s="59" t="n"/>
      <c r="X2721" s="61" t="n"/>
      <c r="Y2721" s="61" t="n"/>
    </row>
    <row r="2722" ht="14.25" customHeight="1" s="86">
      <c r="E2722" s="53" t="inlineStr">
        <is>
          <t>TX</t>
        </is>
      </c>
      <c r="F2722" s="53" t="inlineStr">
        <is>
          <t>HOUSTON</t>
        </is>
      </c>
      <c r="G2722" s="59" t="n"/>
      <c r="X2722" s="61" t="n"/>
      <c r="Y2722" s="61" t="n"/>
    </row>
    <row r="2723" ht="14.25" customHeight="1" s="86">
      <c r="E2723" s="53" t="inlineStr">
        <is>
          <t>TX</t>
        </is>
      </c>
      <c r="F2723" s="53" t="inlineStr">
        <is>
          <t>HOWARD</t>
        </is>
      </c>
      <c r="G2723" s="59" t="n"/>
      <c r="X2723" s="61" t="n"/>
      <c r="Y2723" s="61" t="n"/>
    </row>
    <row r="2724" ht="14.25" customHeight="1" s="86">
      <c r="E2724" s="53" t="inlineStr">
        <is>
          <t>TX</t>
        </is>
      </c>
      <c r="F2724" s="53" t="inlineStr">
        <is>
          <t>HUDSPETH</t>
        </is>
      </c>
      <c r="G2724" s="59" t="n"/>
      <c r="X2724" s="61" t="n"/>
      <c r="Y2724" s="61" t="n"/>
    </row>
    <row r="2725" ht="14.25" customHeight="1" s="86">
      <c r="E2725" s="53" t="inlineStr">
        <is>
          <t>TX</t>
        </is>
      </c>
      <c r="F2725" s="53" t="inlineStr">
        <is>
          <t>HUNT</t>
        </is>
      </c>
      <c r="G2725" s="59" t="n"/>
      <c r="X2725" s="61" t="n"/>
      <c r="Y2725" s="61" t="n"/>
    </row>
    <row r="2726" ht="14.25" customHeight="1" s="86">
      <c r="E2726" s="53" t="inlineStr">
        <is>
          <t>TX</t>
        </is>
      </c>
      <c r="F2726" s="53" t="inlineStr">
        <is>
          <t>HUTCHINSON</t>
        </is>
      </c>
      <c r="G2726" s="59" t="n"/>
      <c r="X2726" s="61" t="n"/>
      <c r="Y2726" s="61" t="n"/>
    </row>
    <row r="2727" ht="14.25" customHeight="1" s="86">
      <c r="E2727" s="53" t="inlineStr">
        <is>
          <t>TX</t>
        </is>
      </c>
      <c r="F2727" s="53" t="inlineStr">
        <is>
          <t>IRION</t>
        </is>
      </c>
      <c r="G2727" s="59" t="n"/>
      <c r="X2727" s="61" t="n"/>
      <c r="Y2727" s="61" t="n"/>
    </row>
    <row r="2728" ht="14.25" customHeight="1" s="86">
      <c r="E2728" s="53" t="inlineStr">
        <is>
          <t>TX</t>
        </is>
      </c>
      <c r="F2728" s="53" t="inlineStr">
        <is>
          <t>JACK</t>
        </is>
      </c>
      <c r="G2728" s="59" t="n"/>
      <c r="X2728" s="61" t="n"/>
      <c r="Y2728" s="61" t="n"/>
    </row>
    <row r="2729" ht="14.25" customHeight="1" s="86">
      <c r="E2729" s="53" t="inlineStr">
        <is>
          <t>TX</t>
        </is>
      </c>
      <c r="F2729" s="53" t="inlineStr">
        <is>
          <t>JACKSON</t>
        </is>
      </c>
      <c r="G2729" s="59" t="n"/>
      <c r="X2729" s="61" t="n"/>
      <c r="Y2729" s="61" t="n"/>
    </row>
    <row r="2730" ht="14.25" customHeight="1" s="86">
      <c r="E2730" s="53" t="inlineStr">
        <is>
          <t>TX</t>
        </is>
      </c>
      <c r="F2730" s="53" t="inlineStr">
        <is>
          <t>JASPER</t>
        </is>
      </c>
      <c r="G2730" s="59" t="n"/>
      <c r="X2730" s="61" t="n"/>
      <c r="Y2730" s="61" t="n"/>
    </row>
    <row r="2731" ht="14.25" customHeight="1" s="86">
      <c r="E2731" s="53" t="inlineStr">
        <is>
          <t>TX</t>
        </is>
      </c>
      <c r="F2731" s="53" t="inlineStr">
        <is>
          <t>JEFF DAVIS</t>
        </is>
      </c>
      <c r="G2731" s="59" t="n"/>
      <c r="X2731" s="61" t="n"/>
      <c r="Y2731" s="61" t="n"/>
    </row>
    <row r="2732" ht="14.25" customHeight="1" s="86">
      <c r="E2732" s="53" t="inlineStr">
        <is>
          <t>TX</t>
        </is>
      </c>
      <c r="F2732" s="53" t="inlineStr">
        <is>
          <t>JEFFERSON</t>
        </is>
      </c>
      <c r="G2732" s="59" t="n"/>
      <c r="X2732" s="61" t="n"/>
      <c r="Y2732" s="61" t="n"/>
    </row>
    <row r="2733" ht="14.25" customHeight="1" s="86">
      <c r="E2733" s="53" t="inlineStr">
        <is>
          <t>TX</t>
        </is>
      </c>
      <c r="F2733" s="53" t="inlineStr">
        <is>
          <t>JIM HOGG</t>
        </is>
      </c>
      <c r="G2733" s="59" t="n"/>
      <c r="X2733" s="61" t="n"/>
      <c r="Y2733" s="61" t="n"/>
    </row>
    <row r="2734" ht="14.25" customHeight="1" s="86">
      <c r="E2734" s="53" t="inlineStr">
        <is>
          <t>TX</t>
        </is>
      </c>
      <c r="F2734" s="53" t="inlineStr">
        <is>
          <t>JIM WELLS</t>
        </is>
      </c>
      <c r="G2734" s="59" t="n"/>
      <c r="X2734" s="61" t="n"/>
      <c r="Y2734" s="61" t="n"/>
    </row>
    <row r="2735" ht="14.25" customHeight="1" s="86">
      <c r="E2735" s="53" t="inlineStr">
        <is>
          <t>TX</t>
        </is>
      </c>
      <c r="F2735" s="53" t="inlineStr">
        <is>
          <t>JOHNSON</t>
        </is>
      </c>
      <c r="G2735" s="59" t="n"/>
      <c r="X2735" s="61" t="n"/>
      <c r="Y2735" s="61" t="n"/>
    </row>
    <row r="2736" ht="14.25" customHeight="1" s="86">
      <c r="E2736" s="53" t="inlineStr">
        <is>
          <t>TX</t>
        </is>
      </c>
      <c r="F2736" s="53" t="inlineStr">
        <is>
          <t>JONES</t>
        </is>
      </c>
      <c r="G2736" s="59" t="n"/>
      <c r="X2736" s="61" t="n"/>
      <c r="Y2736" s="61" t="n"/>
    </row>
    <row r="2737" ht="14.25" customHeight="1" s="86">
      <c r="E2737" s="53" t="inlineStr">
        <is>
          <t>TX</t>
        </is>
      </c>
      <c r="F2737" s="53" t="inlineStr">
        <is>
          <t>KARNES</t>
        </is>
      </c>
      <c r="G2737" s="59" t="n"/>
      <c r="X2737" s="61" t="n"/>
      <c r="Y2737" s="61" t="n"/>
    </row>
    <row r="2738" ht="14.25" customHeight="1" s="86">
      <c r="E2738" s="53" t="inlineStr">
        <is>
          <t>TX</t>
        </is>
      </c>
      <c r="F2738" s="53" t="inlineStr">
        <is>
          <t>KAUFMAN</t>
        </is>
      </c>
      <c r="G2738" s="59" t="n"/>
      <c r="X2738" s="61" t="n"/>
      <c r="Y2738" s="61" t="n"/>
    </row>
    <row r="2739" ht="14.25" customHeight="1" s="86">
      <c r="E2739" s="53" t="inlineStr">
        <is>
          <t>TX</t>
        </is>
      </c>
      <c r="F2739" s="53" t="inlineStr">
        <is>
          <t>KENDALL</t>
        </is>
      </c>
      <c r="G2739" s="59" t="n"/>
      <c r="X2739" s="61" t="n"/>
      <c r="Y2739" s="61" t="n"/>
    </row>
    <row r="2740" ht="14.25" customHeight="1" s="86">
      <c r="E2740" s="53" t="inlineStr">
        <is>
          <t>TX</t>
        </is>
      </c>
      <c r="F2740" s="53" t="inlineStr">
        <is>
          <t>KENEDY</t>
        </is>
      </c>
      <c r="G2740" s="59" t="n"/>
      <c r="X2740" s="61" t="n"/>
      <c r="Y2740" s="61" t="n"/>
    </row>
    <row r="2741" ht="14.25" customHeight="1" s="86">
      <c r="E2741" s="53" t="inlineStr">
        <is>
          <t>TX</t>
        </is>
      </c>
      <c r="F2741" s="53" t="inlineStr">
        <is>
          <t>KENT</t>
        </is>
      </c>
      <c r="G2741" s="59" t="n"/>
      <c r="X2741" s="61" t="n"/>
      <c r="Y2741" s="61" t="n"/>
    </row>
    <row r="2742" ht="14.25" customHeight="1" s="86">
      <c r="E2742" s="53" t="inlineStr">
        <is>
          <t>TX</t>
        </is>
      </c>
      <c r="F2742" s="53" t="inlineStr">
        <is>
          <t>KERR</t>
        </is>
      </c>
      <c r="G2742" s="59" t="n"/>
      <c r="X2742" s="61" t="n"/>
      <c r="Y2742" s="61" t="n"/>
    </row>
    <row r="2743" ht="14.25" customHeight="1" s="86">
      <c r="E2743" s="53" t="inlineStr">
        <is>
          <t>TX</t>
        </is>
      </c>
      <c r="F2743" s="53" t="inlineStr">
        <is>
          <t>KIMBLE</t>
        </is>
      </c>
      <c r="G2743" s="59" t="n"/>
      <c r="X2743" s="61" t="n"/>
      <c r="Y2743" s="61" t="n"/>
    </row>
    <row r="2744" ht="14.25" customHeight="1" s="86">
      <c r="E2744" s="53" t="inlineStr">
        <is>
          <t>TX</t>
        </is>
      </c>
      <c r="F2744" s="53" t="inlineStr">
        <is>
          <t>KING</t>
        </is>
      </c>
      <c r="G2744" s="59" t="n"/>
      <c r="X2744" s="61" t="n"/>
      <c r="Y2744" s="61" t="n"/>
    </row>
    <row r="2745" ht="14.25" customHeight="1" s="86">
      <c r="E2745" s="53" t="inlineStr">
        <is>
          <t>TX</t>
        </is>
      </c>
      <c r="F2745" s="53" t="inlineStr">
        <is>
          <t>KINNEY</t>
        </is>
      </c>
      <c r="G2745" s="59" t="n"/>
      <c r="X2745" s="61" t="n"/>
      <c r="Y2745" s="61" t="n"/>
    </row>
    <row r="2746" ht="14.25" customHeight="1" s="86">
      <c r="E2746" s="53" t="inlineStr">
        <is>
          <t>TX</t>
        </is>
      </c>
      <c r="F2746" s="53" t="inlineStr">
        <is>
          <t>KLEBERG</t>
        </is>
      </c>
      <c r="G2746" s="59" t="n"/>
      <c r="X2746" s="61" t="n"/>
      <c r="Y2746" s="61" t="n"/>
    </row>
    <row r="2747" ht="14.25" customHeight="1" s="86">
      <c r="E2747" s="53" t="inlineStr">
        <is>
          <t>TX</t>
        </is>
      </c>
      <c r="F2747" s="53" t="inlineStr">
        <is>
          <t>KNOX</t>
        </is>
      </c>
      <c r="G2747" s="59" t="n"/>
      <c r="X2747" s="61" t="n"/>
      <c r="Y2747" s="61" t="n"/>
    </row>
    <row r="2748" ht="14.25" customHeight="1" s="86">
      <c r="E2748" s="53" t="inlineStr">
        <is>
          <t>TX</t>
        </is>
      </c>
      <c r="F2748" s="53" t="inlineStr">
        <is>
          <t>LA SALLE</t>
        </is>
      </c>
      <c r="G2748" s="59" t="n"/>
      <c r="X2748" s="61" t="n"/>
      <c r="Y2748" s="61" t="n"/>
    </row>
    <row r="2749" ht="14.25" customHeight="1" s="86">
      <c r="E2749" s="53" t="inlineStr">
        <is>
          <t>TX</t>
        </is>
      </c>
      <c r="F2749" s="53" t="inlineStr">
        <is>
          <t>LAMAR</t>
        </is>
      </c>
      <c r="G2749" s="59" t="n"/>
      <c r="X2749" s="61" t="n"/>
      <c r="Y2749" s="61" t="n"/>
    </row>
    <row r="2750" ht="14.25" customHeight="1" s="86">
      <c r="E2750" s="53" t="inlineStr">
        <is>
          <t>TX</t>
        </is>
      </c>
      <c r="F2750" s="53" t="inlineStr">
        <is>
          <t>LAMB</t>
        </is>
      </c>
      <c r="G2750" s="59" t="n"/>
      <c r="X2750" s="61" t="n"/>
      <c r="Y2750" s="61" t="n"/>
    </row>
    <row r="2751" ht="14.25" customHeight="1" s="86">
      <c r="E2751" s="53" t="inlineStr">
        <is>
          <t>TX</t>
        </is>
      </c>
      <c r="F2751" s="53" t="inlineStr">
        <is>
          <t>LAMPASAS</t>
        </is>
      </c>
      <c r="G2751" s="59" t="n"/>
      <c r="X2751" s="61" t="n"/>
      <c r="Y2751" s="61" t="n"/>
    </row>
    <row r="2752" ht="14.25" customHeight="1" s="86">
      <c r="E2752" s="53" t="inlineStr">
        <is>
          <t>TX</t>
        </is>
      </c>
      <c r="F2752" s="53" t="inlineStr">
        <is>
          <t>LAVACA</t>
        </is>
      </c>
      <c r="G2752" s="59" t="n"/>
      <c r="X2752" s="61" t="n"/>
      <c r="Y2752" s="61" t="n"/>
    </row>
    <row r="2753" ht="14.25" customHeight="1" s="86">
      <c r="E2753" s="53" t="inlineStr">
        <is>
          <t>TX</t>
        </is>
      </c>
      <c r="F2753" s="53" t="inlineStr">
        <is>
          <t>LEE</t>
        </is>
      </c>
      <c r="G2753" s="59" t="n"/>
      <c r="X2753" s="61" t="n"/>
      <c r="Y2753" s="61" t="n"/>
    </row>
    <row r="2754" ht="14.25" customHeight="1" s="86">
      <c r="E2754" s="53" t="inlineStr">
        <is>
          <t>TX</t>
        </is>
      </c>
      <c r="F2754" s="53" t="inlineStr">
        <is>
          <t>LEON</t>
        </is>
      </c>
      <c r="G2754" s="59" t="n"/>
      <c r="X2754" s="61" t="n"/>
      <c r="Y2754" s="61" t="n"/>
    </row>
    <row r="2755" ht="14.25" customHeight="1" s="86">
      <c r="E2755" s="53" t="inlineStr">
        <is>
          <t>TX</t>
        </is>
      </c>
      <c r="F2755" s="53" t="inlineStr">
        <is>
          <t>LIBERTY</t>
        </is>
      </c>
      <c r="G2755" s="59" t="n"/>
      <c r="X2755" s="61" t="n"/>
      <c r="Y2755" s="61" t="n"/>
    </row>
    <row r="2756" ht="14.25" customHeight="1" s="86">
      <c r="E2756" s="53" t="inlineStr">
        <is>
          <t>TX</t>
        </is>
      </c>
      <c r="F2756" s="53" t="inlineStr">
        <is>
          <t>LIMESTONE</t>
        </is>
      </c>
      <c r="G2756" s="59" t="n"/>
      <c r="X2756" s="61" t="n"/>
      <c r="Y2756" s="61" t="n"/>
    </row>
    <row r="2757" ht="14.25" customHeight="1" s="86">
      <c r="E2757" s="53" t="inlineStr">
        <is>
          <t>TX</t>
        </is>
      </c>
      <c r="F2757" s="53" t="inlineStr">
        <is>
          <t>LIPSCOMB</t>
        </is>
      </c>
      <c r="G2757" s="59" t="n"/>
      <c r="X2757" s="61" t="n"/>
      <c r="Y2757" s="61" t="n"/>
    </row>
    <row r="2758" ht="14.25" customHeight="1" s="86">
      <c r="E2758" s="53" t="inlineStr">
        <is>
          <t>TX</t>
        </is>
      </c>
      <c r="F2758" s="53" t="inlineStr">
        <is>
          <t>LIVE OAK</t>
        </is>
      </c>
      <c r="G2758" s="59" t="n"/>
      <c r="X2758" s="61" t="n"/>
      <c r="Y2758" s="61" t="n"/>
    </row>
    <row r="2759" ht="14.25" customHeight="1" s="86">
      <c r="E2759" s="53" t="inlineStr">
        <is>
          <t>TX</t>
        </is>
      </c>
      <c r="F2759" s="53" t="inlineStr">
        <is>
          <t>LLANO</t>
        </is>
      </c>
      <c r="G2759" s="59" t="n"/>
      <c r="X2759" s="61" t="n"/>
      <c r="Y2759" s="61" t="n"/>
    </row>
    <row r="2760" ht="14.25" customHeight="1" s="86">
      <c r="E2760" s="53" t="inlineStr">
        <is>
          <t>TX</t>
        </is>
      </c>
      <c r="F2760" s="53" t="inlineStr">
        <is>
          <t>LOVING</t>
        </is>
      </c>
      <c r="G2760" s="59" t="n"/>
      <c r="X2760" s="61" t="n"/>
      <c r="Y2760" s="61" t="n"/>
    </row>
    <row r="2761" ht="14.25" customHeight="1" s="86">
      <c r="E2761" s="53" t="inlineStr">
        <is>
          <t>TX</t>
        </is>
      </c>
      <c r="F2761" s="53" t="inlineStr">
        <is>
          <t>LUBBOCK</t>
        </is>
      </c>
      <c r="G2761" s="59" t="n"/>
      <c r="X2761" s="61" t="n"/>
      <c r="Y2761" s="61" t="n"/>
    </row>
    <row r="2762" ht="14.25" customHeight="1" s="86">
      <c r="E2762" s="53" t="inlineStr">
        <is>
          <t>TX</t>
        </is>
      </c>
      <c r="F2762" s="53" t="inlineStr">
        <is>
          <t>LYNN</t>
        </is>
      </c>
      <c r="G2762" s="59" t="n"/>
      <c r="X2762" s="61" t="n"/>
      <c r="Y2762" s="61" t="n"/>
    </row>
    <row r="2763" ht="14.25" customHeight="1" s="86">
      <c r="E2763" s="53" t="inlineStr">
        <is>
          <t>TX</t>
        </is>
      </c>
      <c r="F2763" s="53" t="inlineStr">
        <is>
          <t>MADISON</t>
        </is>
      </c>
      <c r="G2763" s="59" t="n"/>
      <c r="X2763" s="61" t="n"/>
      <c r="Y2763" s="61" t="n"/>
    </row>
    <row r="2764" ht="14.25" customHeight="1" s="86">
      <c r="E2764" s="53" t="inlineStr">
        <is>
          <t>TX</t>
        </is>
      </c>
      <c r="F2764" s="53" t="inlineStr">
        <is>
          <t>MARION</t>
        </is>
      </c>
      <c r="G2764" s="59" t="n"/>
      <c r="X2764" s="61" t="n"/>
      <c r="Y2764" s="61" t="n"/>
    </row>
    <row r="2765" ht="14.25" customHeight="1" s="86">
      <c r="E2765" s="53" t="inlineStr">
        <is>
          <t>TX</t>
        </is>
      </c>
      <c r="F2765" s="53" t="inlineStr">
        <is>
          <t>MARTIN</t>
        </is>
      </c>
      <c r="G2765" s="59" t="n"/>
      <c r="X2765" s="61" t="n"/>
      <c r="Y2765" s="61" t="n"/>
    </row>
    <row r="2766" ht="14.25" customHeight="1" s="86">
      <c r="E2766" s="53" t="inlineStr">
        <is>
          <t>TX</t>
        </is>
      </c>
      <c r="F2766" s="53" t="inlineStr">
        <is>
          <t>MASON</t>
        </is>
      </c>
      <c r="G2766" s="59" t="n"/>
      <c r="X2766" s="61" t="n"/>
      <c r="Y2766" s="61" t="n"/>
    </row>
    <row r="2767" ht="14.25" customHeight="1" s="86">
      <c r="E2767" s="53" t="inlineStr">
        <is>
          <t>TX</t>
        </is>
      </c>
      <c r="F2767" s="53" t="inlineStr">
        <is>
          <t>MATAGORDA</t>
        </is>
      </c>
      <c r="G2767" s="59" t="n"/>
      <c r="X2767" s="61" t="n"/>
      <c r="Y2767" s="61" t="n"/>
    </row>
    <row r="2768" ht="14.25" customHeight="1" s="86">
      <c r="E2768" s="53" t="inlineStr">
        <is>
          <t>TX</t>
        </is>
      </c>
      <c r="F2768" s="53" t="inlineStr">
        <is>
          <t>MAVERICK</t>
        </is>
      </c>
      <c r="G2768" s="59" t="n"/>
      <c r="X2768" s="61" t="n"/>
      <c r="Y2768" s="61" t="n"/>
    </row>
    <row r="2769" ht="14.25" customHeight="1" s="86">
      <c r="E2769" s="53" t="inlineStr">
        <is>
          <t>TX</t>
        </is>
      </c>
      <c r="F2769" s="53" t="inlineStr">
        <is>
          <t>MCCULLOCH</t>
        </is>
      </c>
      <c r="G2769" s="59" t="n"/>
      <c r="X2769" s="61" t="n"/>
      <c r="Y2769" s="61" t="n"/>
    </row>
    <row r="2770" ht="14.25" customHeight="1" s="86">
      <c r="E2770" s="53" t="inlineStr">
        <is>
          <t>TX</t>
        </is>
      </c>
      <c r="F2770" s="53" t="inlineStr">
        <is>
          <t>MCLENNAN</t>
        </is>
      </c>
      <c r="G2770" s="59" t="n"/>
      <c r="X2770" s="61" t="n"/>
      <c r="Y2770" s="61" t="n"/>
    </row>
    <row r="2771" ht="14.25" customHeight="1" s="86">
      <c r="E2771" s="53" t="inlineStr">
        <is>
          <t>TX</t>
        </is>
      </c>
      <c r="F2771" s="53" t="inlineStr">
        <is>
          <t>MCMULLEN</t>
        </is>
      </c>
      <c r="G2771" s="59" t="n"/>
      <c r="X2771" s="61" t="n"/>
      <c r="Y2771" s="61" t="n"/>
    </row>
    <row r="2772" ht="14.25" customHeight="1" s="86">
      <c r="E2772" s="53" t="inlineStr">
        <is>
          <t>TX</t>
        </is>
      </c>
      <c r="F2772" s="53" t="inlineStr">
        <is>
          <t>MEDINA</t>
        </is>
      </c>
      <c r="G2772" s="59" t="n"/>
      <c r="X2772" s="61" t="n"/>
      <c r="Y2772" s="61" t="n"/>
    </row>
    <row r="2773" ht="14.25" customHeight="1" s="86">
      <c r="E2773" s="53" t="inlineStr">
        <is>
          <t>TX</t>
        </is>
      </c>
      <c r="F2773" s="53" t="inlineStr">
        <is>
          <t>MENARD</t>
        </is>
      </c>
      <c r="G2773" s="59" t="n"/>
      <c r="X2773" s="61" t="n"/>
      <c r="Y2773" s="61" t="n"/>
    </row>
    <row r="2774" ht="14.25" customHeight="1" s="86">
      <c r="E2774" s="53" t="inlineStr">
        <is>
          <t>TX</t>
        </is>
      </c>
      <c r="F2774" s="53" t="inlineStr">
        <is>
          <t>MIDLAND</t>
        </is>
      </c>
      <c r="G2774" s="59" t="n"/>
      <c r="X2774" s="61" t="n"/>
      <c r="Y2774" s="61" t="n"/>
    </row>
    <row r="2775" ht="14.25" customHeight="1" s="86">
      <c r="E2775" s="53" t="inlineStr">
        <is>
          <t>TX</t>
        </is>
      </c>
      <c r="F2775" s="53" t="inlineStr">
        <is>
          <t>MILAM</t>
        </is>
      </c>
      <c r="G2775" s="59" t="n"/>
      <c r="X2775" s="61" t="n"/>
      <c r="Y2775" s="61" t="n"/>
    </row>
    <row r="2776" ht="14.25" customHeight="1" s="86">
      <c r="E2776" s="53" t="inlineStr">
        <is>
          <t>TX</t>
        </is>
      </c>
      <c r="F2776" s="53" t="inlineStr">
        <is>
          <t>MILLS</t>
        </is>
      </c>
      <c r="G2776" s="59" t="n"/>
      <c r="X2776" s="61" t="n"/>
      <c r="Y2776" s="61" t="n"/>
    </row>
    <row r="2777" ht="14.25" customHeight="1" s="86">
      <c r="E2777" s="53" t="inlineStr">
        <is>
          <t>TX</t>
        </is>
      </c>
      <c r="F2777" s="53" t="inlineStr">
        <is>
          <t>MITCHELL</t>
        </is>
      </c>
      <c r="G2777" s="59" t="n"/>
      <c r="X2777" s="61" t="n"/>
      <c r="Y2777" s="61" t="n"/>
    </row>
    <row r="2778" ht="14.25" customHeight="1" s="86">
      <c r="E2778" s="53" t="inlineStr">
        <is>
          <t>TX</t>
        </is>
      </c>
      <c r="F2778" s="53" t="inlineStr">
        <is>
          <t>MONTAGUE</t>
        </is>
      </c>
      <c r="G2778" s="59" t="n"/>
      <c r="X2778" s="61" t="n"/>
      <c r="Y2778" s="61" t="n"/>
    </row>
    <row r="2779" ht="14.25" customHeight="1" s="86">
      <c r="E2779" s="53" t="inlineStr">
        <is>
          <t>TX</t>
        </is>
      </c>
      <c r="F2779" s="53" t="inlineStr">
        <is>
          <t>MONTGOMERY</t>
        </is>
      </c>
      <c r="G2779" s="59" t="n"/>
      <c r="X2779" s="61" t="n"/>
      <c r="Y2779" s="61" t="n"/>
    </row>
    <row r="2780" ht="14.25" customHeight="1" s="86">
      <c r="E2780" s="53" t="inlineStr">
        <is>
          <t>TX</t>
        </is>
      </c>
      <c r="F2780" s="53" t="inlineStr">
        <is>
          <t>MOORE</t>
        </is>
      </c>
      <c r="G2780" s="59" t="n"/>
      <c r="X2780" s="61" t="n"/>
      <c r="Y2780" s="61" t="n"/>
    </row>
    <row r="2781" ht="14.25" customHeight="1" s="86">
      <c r="E2781" s="53" t="inlineStr">
        <is>
          <t>TX</t>
        </is>
      </c>
      <c r="F2781" s="53" t="inlineStr">
        <is>
          <t>MORRIS</t>
        </is>
      </c>
      <c r="G2781" s="59" t="n"/>
      <c r="X2781" s="61" t="n"/>
      <c r="Y2781" s="61" t="n"/>
    </row>
    <row r="2782" ht="14.25" customHeight="1" s="86">
      <c r="E2782" s="53" t="inlineStr">
        <is>
          <t>TX</t>
        </is>
      </c>
      <c r="F2782" s="53" t="inlineStr">
        <is>
          <t>MOTLEY</t>
        </is>
      </c>
      <c r="G2782" s="59" t="n"/>
      <c r="X2782" s="61" t="n"/>
      <c r="Y2782" s="61" t="n"/>
    </row>
    <row r="2783" ht="14.25" customHeight="1" s="86">
      <c r="E2783" s="53" t="inlineStr">
        <is>
          <t>TX</t>
        </is>
      </c>
      <c r="F2783" s="53" t="inlineStr">
        <is>
          <t>NACOGDOCHES</t>
        </is>
      </c>
      <c r="G2783" s="59" t="n"/>
      <c r="X2783" s="61" t="n"/>
      <c r="Y2783" s="61" t="n"/>
    </row>
    <row r="2784" ht="14.25" customHeight="1" s="86">
      <c r="E2784" s="53" t="inlineStr">
        <is>
          <t>TX</t>
        </is>
      </c>
      <c r="F2784" s="53" t="inlineStr">
        <is>
          <t>NAVARRO</t>
        </is>
      </c>
      <c r="G2784" s="59" t="n"/>
      <c r="X2784" s="61" t="n"/>
      <c r="Y2784" s="61" t="n"/>
    </row>
    <row r="2785" ht="14.25" customHeight="1" s="86">
      <c r="E2785" s="53" t="inlineStr">
        <is>
          <t>TX</t>
        </is>
      </c>
      <c r="F2785" s="53" t="inlineStr">
        <is>
          <t>NEWTON</t>
        </is>
      </c>
      <c r="G2785" s="59" t="n"/>
      <c r="X2785" s="61" t="n"/>
      <c r="Y2785" s="61" t="n"/>
    </row>
    <row r="2786" ht="14.25" customHeight="1" s="86">
      <c r="E2786" s="53" t="inlineStr">
        <is>
          <t>TX</t>
        </is>
      </c>
      <c r="F2786" s="53" t="inlineStr">
        <is>
          <t>NOLAN</t>
        </is>
      </c>
      <c r="G2786" s="59" t="n"/>
      <c r="X2786" s="61" t="n"/>
      <c r="Y2786" s="61" t="n"/>
    </row>
    <row r="2787" ht="14.25" customHeight="1" s="86">
      <c r="E2787" s="53" t="inlineStr">
        <is>
          <t>TX</t>
        </is>
      </c>
      <c r="F2787" s="53" t="inlineStr">
        <is>
          <t>NUECES</t>
        </is>
      </c>
      <c r="G2787" s="59" t="n"/>
      <c r="X2787" s="61" t="n"/>
      <c r="Y2787" s="61" t="n"/>
    </row>
    <row r="2788" ht="14.25" customHeight="1" s="86">
      <c r="E2788" s="53" t="inlineStr">
        <is>
          <t>TX</t>
        </is>
      </c>
      <c r="F2788" s="53" t="inlineStr">
        <is>
          <t>OCHILTREE</t>
        </is>
      </c>
      <c r="G2788" s="59" t="n"/>
      <c r="X2788" s="61" t="n"/>
      <c r="Y2788" s="61" t="n"/>
    </row>
    <row r="2789" ht="14.25" customHeight="1" s="86">
      <c r="E2789" s="53" t="inlineStr">
        <is>
          <t>TX</t>
        </is>
      </c>
      <c r="F2789" s="53" t="inlineStr">
        <is>
          <t>OLDHAM</t>
        </is>
      </c>
      <c r="G2789" s="59" t="n"/>
      <c r="X2789" s="61" t="n"/>
      <c r="Y2789" s="61" t="n"/>
    </row>
    <row r="2790" ht="14.25" customHeight="1" s="86">
      <c r="E2790" s="53" t="inlineStr">
        <is>
          <t>TX</t>
        </is>
      </c>
      <c r="F2790" s="53" t="inlineStr">
        <is>
          <t>ORANGE</t>
        </is>
      </c>
      <c r="G2790" s="59" t="n"/>
      <c r="X2790" s="61" t="n"/>
      <c r="Y2790" s="61" t="n"/>
    </row>
    <row r="2791" ht="14.25" customHeight="1" s="86">
      <c r="E2791" s="53" t="inlineStr">
        <is>
          <t>TX</t>
        </is>
      </c>
      <c r="F2791" s="53" t="inlineStr">
        <is>
          <t>PALO PINTO</t>
        </is>
      </c>
      <c r="G2791" s="59" t="n"/>
      <c r="X2791" s="61" t="n"/>
      <c r="Y2791" s="61" t="n"/>
    </row>
    <row r="2792" ht="14.25" customHeight="1" s="86">
      <c r="E2792" s="53" t="inlineStr">
        <is>
          <t>TX</t>
        </is>
      </c>
      <c r="F2792" s="53" t="inlineStr">
        <is>
          <t>PANOLA</t>
        </is>
      </c>
      <c r="G2792" s="59" t="n"/>
      <c r="X2792" s="61" t="n"/>
      <c r="Y2792" s="61" t="n"/>
    </row>
    <row r="2793" ht="14.25" customHeight="1" s="86">
      <c r="E2793" s="53" t="inlineStr">
        <is>
          <t>TX</t>
        </is>
      </c>
      <c r="F2793" s="53" t="inlineStr">
        <is>
          <t>PARKER</t>
        </is>
      </c>
      <c r="G2793" s="59" t="n"/>
      <c r="X2793" s="61" t="n"/>
      <c r="Y2793" s="61" t="n"/>
    </row>
    <row r="2794" ht="14.25" customHeight="1" s="86">
      <c r="E2794" s="53" t="inlineStr">
        <is>
          <t>TX</t>
        </is>
      </c>
      <c r="F2794" s="53" t="inlineStr">
        <is>
          <t>PARMER</t>
        </is>
      </c>
      <c r="G2794" s="59" t="n"/>
      <c r="X2794" s="61" t="n"/>
      <c r="Y2794" s="61" t="n"/>
    </row>
    <row r="2795" ht="14.25" customHeight="1" s="86">
      <c r="E2795" s="53" t="inlineStr">
        <is>
          <t>TX</t>
        </is>
      </c>
      <c r="F2795" s="53" t="inlineStr">
        <is>
          <t>PECOS</t>
        </is>
      </c>
      <c r="G2795" s="59" t="n"/>
      <c r="X2795" s="61" t="n"/>
      <c r="Y2795" s="61" t="n"/>
    </row>
    <row r="2796" ht="14.25" customHeight="1" s="86">
      <c r="E2796" s="53" t="inlineStr">
        <is>
          <t>TX</t>
        </is>
      </c>
      <c r="F2796" s="53" t="inlineStr">
        <is>
          <t>POLK</t>
        </is>
      </c>
      <c r="G2796" s="59" t="n"/>
      <c r="X2796" s="61" t="n"/>
      <c r="Y2796" s="61" t="n"/>
    </row>
    <row r="2797" ht="14.25" customHeight="1" s="86">
      <c r="E2797" s="53" t="inlineStr">
        <is>
          <t>TX</t>
        </is>
      </c>
      <c r="F2797" s="53" t="inlineStr">
        <is>
          <t>POTTER</t>
        </is>
      </c>
      <c r="G2797" s="59" t="n"/>
      <c r="X2797" s="61" t="n"/>
      <c r="Y2797" s="61" t="n"/>
    </row>
    <row r="2798" ht="14.25" customHeight="1" s="86">
      <c r="E2798" s="53" t="inlineStr">
        <is>
          <t>TX</t>
        </is>
      </c>
      <c r="F2798" s="53" t="inlineStr">
        <is>
          <t>PRESIDIO</t>
        </is>
      </c>
      <c r="G2798" s="59" t="n"/>
      <c r="X2798" s="61" t="n"/>
      <c r="Y2798" s="61" t="n"/>
    </row>
    <row r="2799" ht="14.25" customHeight="1" s="86">
      <c r="E2799" s="53" t="inlineStr">
        <is>
          <t>TX</t>
        </is>
      </c>
      <c r="F2799" s="53" t="inlineStr">
        <is>
          <t>RAINS</t>
        </is>
      </c>
      <c r="G2799" s="59" t="n"/>
      <c r="X2799" s="61" t="n"/>
      <c r="Y2799" s="61" t="n"/>
    </row>
    <row r="2800" ht="14.25" customHeight="1" s="86">
      <c r="E2800" s="53" t="inlineStr">
        <is>
          <t>TX</t>
        </is>
      </c>
      <c r="F2800" s="53" t="inlineStr">
        <is>
          <t>RANDALL</t>
        </is>
      </c>
      <c r="G2800" s="59" t="n"/>
      <c r="X2800" s="61" t="n"/>
      <c r="Y2800" s="61" t="n"/>
    </row>
    <row r="2801" ht="14.25" customHeight="1" s="86">
      <c r="E2801" s="53" t="inlineStr">
        <is>
          <t>TX</t>
        </is>
      </c>
      <c r="F2801" s="53" t="inlineStr">
        <is>
          <t>REAGAN</t>
        </is>
      </c>
      <c r="G2801" s="59" t="n"/>
      <c r="X2801" s="61" t="n"/>
      <c r="Y2801" s="61" t="n"/>
    </row>
    <row r="2802" ht="14.25" customHeight="1" s="86">
      <c r="E2802" s="53" t="inlineStr">
        <is>
          <t>TX</t>
        </is>
      </c>
      <c r="F2802" s="53" t="inlineStr">
        <is>
          <t>REAL</t>
        </is>
      </c>
      <c r="G2802" s="59" t="n"/>
      <c r="X2802" s="61" t="n"/>
      <c r="Y2802" s="61" t="n"/>
    </row>
    <row r="2803" ht="14.25" customHeight="1" s="86">
      <c r="E2803" s="53" t="inlineStr">
        <is>
          <t>TX</t>
        </is>
      </c>
      <c r="F2803" s="53" t="inlineStr">
        <is>
          <t>RED RIVER</t>
        </is>
      </c>
      <c r="G2803" s="59" t="n"/>
      <c r="X2803" s="61" t="n"/>
      <c r="Y2803" s="61" t="n"/>
    </row>
    <row r="2804" ht="14.25" customHeight="1" s="86">
      <c r="E2804" s="53" t="inlineStr">
        <is>
          <t>TX</t>
        </is>
      </c>
      <c r="F2804" s="53" t="inlineStr">
        <is>
          <t>REEVES</t>
        </is>
      </c>
      <c r="G2804" s="59" t="n"/>
      <c r="X2804" s="61" t="n"/>
      <c r="Y2804" s="61" t="n"/>
    </row>
    <row r="2805" ht="14.25" customHeight="1" s="86">
      <c r="E2805" s="53" t="inlineStr">
        <is>
          <t>TX</t>
        </is>
      </c>
      <c r="F2805" s="53" t="inlineStr">
        <is>
          <t>REFUGIO</t>
        </is>
      </c>
      <c r="G2805" s="59" t="n"/>
      <c r="X2805" s="61" t="n"/>
      <c r="Y2805" s="61" t="n"/>
    </row>
    <row r="2806" ht="14.25" customHeight="1" s="86">
      <c r="E2806" s="53" t="inlineStr">
        <is>
          <t>TX</t>
        </is>
      </c>
      <c r="F2806" s="53" t="inlineStr">
        <is>
          <t>ROBERTS</t>
        </is>
      </c>
      <c r="G2806" s="59" t="n"/>
      <c r="X2806" s="61" t="n"/>
      <c r="Y2806" s="61" t="n"/>
    </row>
    <row r="2807" ht="14.25" customHeight="1" s="86">
      <c r="E2807" s="53" t="inlineStr">
        <is>
          <t>TX</t>
        </is>
      </c>
      <c r="F2807" s="53" t="inlineStr">
        <is>
          <t>ROBERTSON</t>
        </is>
      </c>
      <c r="G2807" s="59" t="n"/>
      <c r="X2807" s="61" t="n"/>
      <c r="Y2807" s="61" t="n"/>
    </row>
    <row r="2808" ht="14.25" customHeight="1" s="86">
      <c r="E2808" s="53" t="inlineStr">
        <is>
          <t>TX</t>
        </is>
      </c>
      <c r="F2808" s="53" t="inlineStr">
        <is>
          <t>ROCKWALL</t>
        </is>
      </c>
      <c r="G2808" s="59" t="n"/>
      <c r="X2808" s="61" t="n"/>
      <c r="Y2808" s="61" t="n"/>
    </row>
    <row r="2809" ht="14.25" customHeight="1" s="86">
      <c r="E2809" s="53" t="inlineStr">
        <is>
          <t>TX</t>
        </is>
      </c>
      <c r="F2809" s="53" t="inlineStr">
        <is>
          <t>RUNNELS</t>
        </is>
      </c>
      <c r="G2809" s="59" t="n"/>
      <c r="X2809" s="61" t="n"/>
      <c r="Y2809" s="61" t="n"/>
    </row>
    <row r="2810" ht="14.25" customHeight="1" s="86">
      <c r="E2810" s="53" t="inlineStr">
        <is>
          <t>TX</t>
        </is>
      </c>
      <c r="F2810" s="53" t="inlineStr">
        <is>
          <t>RUSK</t>
        </is>
      </c>
      <c r="G2810" s="59" t="n"/>
      <c r="X2810" s="61" t="n"/>
      <c r="Y2810" s="61" t="n"/>
    </row>
    <row r="2811" ht="14.25" customHeight="1" s="86">
      <c r="E2811" s="53" t="inlineStr">
        <is>
          <t>TX</t>
        </is>
      </c>
      <c r="F2811" s="53" t="inlineStr">
        <is>
          <t>SABINE</t>
        </is>
      </c>
      <c r="G2811" s="59" t="n"/>
      <c r="X2811" s="61" t="n"/>
      <c r="Y2811" s="61" t="n"/>
    </row>
    <row r="2812" ht="14.25" customHeight="1" s="86">
      <c r="E2812" s="53" t="inlineStr">
        <is>
          <t>TX</t>
        </is>
      </c>
      <c r="F2812" s="53" t="inlineStr">
        <is>
          <t>SAN AUGUSTINE</t>
        </is>
      </c>
      <c r="G2812" s="59" t="n"/>
      <c r="X2812" s="61" t="n"/>
      <c r="Y2812" s="61" t="n"/>
    </row>
    <row r="2813" ht="14.25" customHeight="1" s="86">
      <c r="E2813" s="53" t="inlineStr">
        <is>
          <t>TX</t>
        </is>
      </c>
      <c r="F2813" s="53" t="inlineStr">
        <is>
          <t>SAN JACINTO</t>
        </is>
      </c>
      <c r="G2813" s="59" t="n"/>
      <c r="X2813" s="61" t="n"/>
      <c r="Y2813" s="61" t="n"/>
    </row>
    <row r="2814" ht="14.25" customHeight="1" s="86">
      <c r="E2814" s="53" t="inlineStr">
        <is>
          <t>TX</t>
        </is>
      </c>
      <c r="F2814" s="53" t="inlineStr">
        <is>
          <t>SAN PATRICIO</t>
        </is>
      </c>
      <c r="G2814" s="59" t="n"/>
      <c r="X2814" s="61" t="n"/>
      <c r="Y2814" s="61" t="n"/>
    </row>
    <row r="2815" ht="14.25" customHeight="1" s="86">
      <c r="E2815" s="53" t="inlineStr">
        <is>
          <t>TX</t>
        </is>
      </c>
      <c r="F2815" s="53" t="inlineStr">
        <is>
          <t>SAN SABA</t>
        </is>
      </c>
      <c r="G2815" s="59" t="n"/>
      <c r="X2815" s="61" t="n"/>
      <c r="Y2815" s="61" t="n"/>
    </row>
    <row r="2816" ht="14.25" customHeight="1" s="86">
      <c r="E2816" s="53" t="inlineStr">
        <is>
          <t>TX</t>
        </is>
      </c>
      <c r="F2816" s="53" t="inlineStr">
        <is>
          <t>SCHLEICHER</t>
        </is>
      </c>
      <c r="G2816" s="59" t="n"/>
      <c r="X2816" s="61" t="n"/>
      <c r="Y2816" s="61" t="n"/>
    </row>
    <row r="2817" ht="14.25" customHeight="1" s="86">
      <c r="E2817" s="53" t="inlineStr">
        <is>
          <t>TX</t>
        </is>
      </c>
      <c r="F2817" s="53" t="inlineStr">
        <is>
          <t>SCURRY</t>
        </is>
      </c>
      <c r="G2817" s="59" t="n"/>
      <c r="X2817" s="61" t="n"/>
      <c r="Y2817" s="61" t="n"/>
    </row>
    <row r="2818" ht="14.25" customHeight="1" s="86">
      <c r="E2818" s="53" t="inlineStr">
        <is>
          <t>TX</t>
        </is>
      </c>
      <c r="F2818" s="53" t="inlineStr">
        <is>
          <t>SHACKELFORD</t>
        </is>
      </c>
      <c r="G2818" s="59" t="n"/>
      <c r="X2818" s="61" t="n"/>
      <c r="Y2818" s="61" t="n"/>
    </row>
    <row r="2819" ht="14.25" customHeight="1" s="86">
      <c r="E2819" s="53" t="inlineStr">
        <is>
          <t>TX</t>
        </is>
      </c>
      <c r="F2819" s="53" t="inlineStr">
        <is>
          <t>SHELBY</t>
        </is>
      </c>
      <c r="G2819" s="59" t="n"/>
      <c r="X2819" s="61" t="n"/>
      <c r="Y2819" s="61" t="n"/>
    </row>
    <row r="2820" ht="14.25" customHeight="1" s="86">
      <c r="E2820" s="53" t="inlineStr">
        <is>
          <t>TX</t>
        </is>
      </c>
      <c r="F2820" s="53" t="inlineStr">
        <is>
          <t>SHERMAN</t>
        </is>
      </c>
      <c r="G2820" s="59" t="n"/>
      <c r="X2820" s="61" t="n"/>
      <c r="Y2820" s="61" t="n"/>
    </row>
    <row r="2821" ht="14.25" customHeight="1" s="86">
      <c r="E2821" s="53" t="inlineStr">
        <is>
          <t>TX</t>
        </is>
      </c>
      <c r="F2821" s="53" t="inlineStr">
        <is>
          <t>SMITH</t>
        </is>
      </c>
      <c r="G2821" s="59" t="n"/>
      <c r="X2821" s="61" t="n"/>
      <c r="Y2821" s="61" t="n"/>
    </row>
    <row r="2822" ht="14.25" customHeight="1" s="86">
      <c r="E2822" s="53" t="inlineStr">
        <is>
          <t>TX</t>
        </is>
      </c>
      <c r="F2822" s="53" t="inlineStr">
        <is>
          <t>SOMERVELL</t>
        </is>
      </c>
      <c r="G2822" s="59" t="n"/>
      <c r="X2822" s="61" t="n"/>
      <c r="Y2822" s="61" t="n"/>
    </row>
    <row r="2823" ht="14.25" customHeight="1" s="86">
      <c r="E2823" s="53" t="inlineStr">
        <is>
          <t>TX</t>
        </is>
      </c>
      <c r="F2823" s="53" t="inlineStr">
        <is>
          <t>STARR</t>
        </is>
      </c>
      <c r="G2823" s="59" t="n"/>
      <c r="X2823" s="61" t="n"/>
      <c r="Y2823" s="61" t="n"/>
    </row>
    <row r="2824" ht="14.25" customHeight="1" s="86">
      <c r="E2824" s="53" t="inlineStr">
        <is>
          <t>TX</t>
        </is>
      </c>
      <c r="F2824" s="53" t="inlineStr">
        <is>
          <t>STEPHENS</t>
        </is>
      </c>
      <c r="G2824" s="59" t="n"/>
      <c r="X2824" s="61" t="n"/>
      <c r="Y2824" s="61" t="n"/>
    </row>
    <row r="2825" ht="14.25" customHeight="1" s="86">
      <c r="E2825" s="53" t="inlineStr">
        <is>
          <t>TX</t>
        </is>
      </c>
      <c r="F2825" s="53" t="inlineStr">
        <is>
          <t>STERLING</t>
        </is>
      </c>
      <c r="G2825" s="59" t="n"/>
      <c r="X2825" s="61" t="n"/>
      <c r="Y2825" s="61" t="n"/>
    </row>
    <row r="2826" ht="14.25" customHeight="1" s="86">
      <c r="E2826" s="53" t="inlineStr">
        <is>
          <t>TX</t>
        </is>
      </c>
      <c r="F2826" s="53" t="inlineStr">
        <is>
          <t>STONEWALL</t>
        </is>
      </c>
      <c r="G2826" s="59" t="n"/>
      <c r="X2826" s="61" t="n"/>
      <c r="Y2826" s="61" t="n"/>
    </row>
    <row r="2827" ht="14.25" customHeight="1" s="86">
      <c r="E2827" s="53" t="inlineStr">
        <is>
          <t>TX</t>
        </is>
      </c>
      <c r="F2827" s="53" t="inlineStr">
        <is>
          <t>SUTTON</t>
        </is>
      </c>
      <c r="G2827" s="59" t="n"/>
      <c r="X2827" s="61" t="n"/>
      <c r="Y2827" s="61" t="n"/>
    </row>
    <row r="2828" ht="14.25" customHeight="1" s="86">
      <c r="E2828" s="53" t="inlineStr">
        <is>
          <t>TX</t>
        </is>
      </c>
      <c r="F2828" s="53" t="inlineStr">
        <is>
          <t>SWISHER</t>
        </is>
      </c>
      <c r="G2828" s="59" t="n"/>
      <c r="X2828" s="61" t="n"/>
      <c r="Y2828" s="61" t="n"/>
    </row>
    <row r="2829" ht="14.25" customHeight="1" s="86">
      <c r="E2829" s="53" t="inlineStr">
        <is>
          <t>TX</t>
        </is>
      </c>
      <c r="F2829" s="53" t="inlineStr">
        <is>
          <t>TARRANT</t>
        </is>
      </c>
      <c r="G2829" s="59" t="n"/>
      <c r="X2829" s="61" t="n"/>
      <c r="Y2829" s="61" t="n"/>
    </row>
    <row r="2830" ht="14.25" customHeight="1" s="86">
      <c r="E2830" s="53" t="inlineStr">
        <is>
          <t>TX</t>
        </is>
      </c>
      <c r="F2830" s="53" t="inlineStr">
        <is>
          <t>TAYLOR</t>
        </is>
      </c>
      <c r="G2830" s="59" t="n"/>
      <c r="X2830" s="61" t="n"/>
      <c r="Y2830" s="61" t="n"/>
    </row>
    <row r="2831" ht="14.25" customHeight="1" s="86">
      <c r="E2831" s="53" t="inlineStr">
        <is>
          <t>TX</t>
        </is>
      </c>
      <c r="F2831" s="53" t="inlineStr">
        <is>
          <t>TERRELL</t>
        </is>
      </c>
      <c r="G2831" s="59" t="n"/>
      <c r="X2831" s="61" t="n"/>
      <c r="Y2831" s="61" t="n"/>
    </row>
    <row r="2832" ht="14.25" customHeight="1" s="86">
      <c r="E2832" s="53" t="inlineStr">
        <is>
          <t>TX</t>
        </is>
      </c>
      <c r="F2832" s="53" t="inlineStr">
        <is>
          <t>TERRY</t>
        </is>
      </c>
      <c r="G2832" s="59" t="n"/>
      <c r="X2832" s="61" t="n"/>
      <c r="Y2832" s="61" t="n"/>
    </row>
    <row r="2833" ht="14.25" customHeight="1" s="86">
      <c r="E2833" s="53" t="inlineStr">
        <is>
          <t>TX</t>
        </is>
      </c>
      <c r="F2833" s="53" t="inlineStr">
        <is>
          <t>THROCKMORTON</t>
        </is>
      </c>
      <c r="G2833" s="59" t="n"/>
      <c r="X2833" s="61" t="n"/>
      <c r="Y2833" s="61" t="n"/>
    </row>
    <row r="2834" ht="14.25" customHeight="1" s="86">
      <c r="E2834" s="53" t="inlineStr">
        <is>
          <t>TX</t>
        </is>
      </c>
      <c r="F2834" s="53" t="inlineStr">
        <is>
          <t>TITUS</t>
        </is>
      </c>
      <c r="G2834" s="59" t="n"/>
      <c r="X2834" s="61" t="n"/>
      <c r="Y2834" s="61" t="n"/>
    </row>
    <row r="2835" ht="14.25" customHeight="1" s="86">
      <c r="E2835" s="53" t="inlineStr">
        <is>
          <t>TX</t>
        </is>
      </c>
      <c r="F2835" s="53" t="inlineStr">
        <is>
          <t>TOM GREEN</t>
        </is>
      </c>
      <c r="G2835" s="59" t="n"/>
      <c r="X2835" s="61" t="n"/>
      <c r="Y2835" s="61" t="n"/>
    </row>
    <row r="2836" ht="14.25" customHeight="1" s="86">
      <c r="E2836" s="53" t="inlineStr">
        <is>
          <t>TX</t>
        </is>
      </c>
      <c r="F2836" s="53" t="inlineStr">
        <is>
          <t>TRAVIS</t>
        </is>
      </c>
      <c r="G2836" s="59" t="n"/>
      <c r="X2836" s="61" t="n"/>
      <c r="Y2836" s="61" t="n"/>
    </row>
    <row r="2837" ht="14.25" customHeight="1" s="86">
      <c r="E2837" s="53" t="inlineStr">
        <is>
          <t>TX</t>
        </is>
      </c>
      <c r="F2837" s="53" t="inlineStr">
        <is>
          <t>TRINITY</t>
        </is>
      </c>
      <c r="G2837" s="59" t="n"/>
      <c r="X2837" s="61" t="n"/>
      <c r="Y2837" s="61" t="n"/>
    </row>
    <row r="2838" ht="14.25" customHeight="1" s="86">
      <c r="E2838" s="53" t="inlineStr">
        <is>
          <t>TX</t>
        </is>
      </c>
      <c r="F2838" s="53" t="inlineStr">
        <is>
          <t>TYLER</t>
        </is>
      </c>
      <c r="G2838" s="59" t="n"/>
      <c r="X2838" s="61" t="n"/>
      <c r="Y2838" s="61" t="n"/>
    </row>
    <row r="2839" ht="14.25" customHeight="1" s="86">
      <c r="E2839" s="53" t="inlineStr">
        <is>
          <t>TX</t>
        </is>
      </c>
      <c r="F2839" s="53" t="inlineStr">
        <is>
          <t>UPSHUR</t>
        </is>
      </c>
      <c r="G2839" s="59" t="n"/>
      <c r="X2839" s="61" t="n"/>
      <c r="Y2839" s="61" t="n"/>
    </row>
    <row r="2840" ht="14.25" customHeight="1" s="86">
      <c r="E2840" s="53" t="inlineStr">
        <is>
          <t>TX</t>
        </is>
      </c>
      <c r="F2840" s="53" t="inlineStr">
        <is>
          <t>UPTON</t>
        </is>
      </c>
      <c r="G2840" s="59" t="n"/>
      <c r="X2840" s="61" t="n"/>
      <c r="Y2840" s="61" t="n"/>
    </row>
    <row r="2841" ht="14.25" customHeight="1" s="86">
      <c r="E2841" s="53" t="inlineStr">
        <is>
          <t>TX</t>
        </is>
      </c>
      <c r="F2841" s="53" t="inlineStr">
        <is>
          <t>UVALDE</t>
        </is>
      </c>
      <c r="G2841" s="59" t="n"/>
      <c r="X2841" s="61" t="n"/>
      <c r="Y2841" s="61" t="n"/>
    </row>
    <row r="2842" ht="14.25" customHeight="1" s="86">
      <c r="E2842" s="53" t="inlineStr">
        <is>
          <t>TX</t>
        </is>
      </c>
      <c r="F2842" s="53" t="inlineStr">
        <is>
          <t>VAL VERDE</t>
        </is>
      </c>
      <c r="G2842" s="59" t="n"/>
      <c r="X2842" s="61" t="n"/>
      <c r="Y2842" s="61" t="n"/>
    </row>
    <row r="2843" ht="14.25" customHeight="1" s="86">
      <c r="E2843" s="53" t="inlineStr">
        <is>
          <t>TX</t>
        </is>
      </c>
      <c r="F2843" s="53" t="inlineStr">
        <is>
          <t>VAN ZANDT</t>
        </is>
      </c>
      <c r="G2843" s="59" t="n"/>
      <c r="X2843" s="61" t="n"/>
      <c r="Y2843" s="61" t="n"/>
    </row>
    <row r="2844" ht="14.25" customHeight="1" s="86">
      <c r="E2844" s="53" t="inlineStr">
        <is>
          <t>TX</t>
        </is>
      </c>
      <c r="F2844" s="53" t="inlineStr">
        <is>
          <t>VICTORIA</t>
        </is>
      </c>
      <c r="G2844" s="59" t="n"/>
      <c r="X2844" s="61" t="n"/>
      <c r="Y2844" s="61" t="n"/>
    </row>
    <row r="2845" ht="14.25" customHeight="1" s="86">
      <c r="E2845" s="53" t="inlineStr">
        <is>
          <t>TX</t>
        </is>
      </c>
      <c r="F2845" s="53" t="inlineStr">
        <is>
          <t>WALKER</t>
        </is>
      </c>
      <c r="G2845" s="59" t="n"/>
      <c r="X2845" s="61" t="n"/>
      <c r="Y2845" s="61" t="n"/>
    </row>
    <row r="2846" ht="14.25" customHeight="1" s="86">
      <c r="E2846" s="53" t="inlineStr">
        <is>
          <t>TX</t>
        </is>
      </c>
      <c r="F2846" s="53" t="inlineStr">
        <is>
          <t>WALLER</t>
        </is>
      </c>
      <c r="G2846" s="59" t="n"/>
      <c r="X2846" s="61" t="n"/>
      <c r="Y2846" s="61" t="n"/>
    </row>
    <row r="2847" ht="14.25" customHeight="1" s="86">
      <c r="E2847" s="53" t="inlineStr">
        <is>
          <t>TX</t>
        </is>
      </c>
      <c r="F2847" s="53" t="inlineStr">
        <is>
          <t>WARD</t>
        </is>
      </c>
      <c r="G2847" s="59" t="n"/>
      <c r="X2847" s="61" t="n"/>
      <c r="Y2847" s="61" t="n"/>
    </row>
    <row r="2848" ht="14.25" customHeight="1" s="86">
      <c r="E2848" s="53" t="inlineStr">
        <is>
          <t>TX</t>
        </is>
      </c>
      <c r="F2848" s="53" t="inlineStr">
        <is>
          <t>WASHINGTON</t>
        </is>
      </c>
      <c r="G2848" s="59" t="n"/>
      <c r="X2848" s="61" t="n"/>
      <c r="Y2848" s="61" t="n"/>
    </row>
    <row r="2849" ht="14.25" customHeight="1" s="86">
      <c r="E2849" s="53" t="inlineStr">
        <is>
          <t>TX</t>
        </is>
      </c>
      <c r="F2849" s="53" t="inlineStr">
        <is>
          <t>WEBB</t>
        </is>
      </c>
      <c r="G2849" s="59" t="n"/>
      <c r="X2849" s="61" t="n"/>
      <c r="Y2849" s="61" t="n"/>
    </row>
    <row r="2850" ht="14.25" customHeight="1" s="86">
      <c r="E2850" s="53" t="inlineStr">
        <is>
          <t>TX</t>
        </is>
      </c>
      <c r="F2850" s="53" t="inlineStr">
        <is>
          <t>WHARTON</t>
        </is>
      </c>
      <c r="G2850" s="59" t="n"/>
      <c r="X2850" s="61" t="n"/>
      <c r="Y2850" s="61" t="n"/>
    </row>
    <row r="2851" ht="14.25" customHeight="1" s="86">
      <c r="E2851" s="53" t="inlineStr">
        <is>
          <t>TX</t>
        </is>
      </c>
      <c r="F2851" s="53" t="inlineStr">
        <is>
          <t>WHEELER</t>
        </is>
      </c>
      <c r="G2851" s="59" t="n"/>
      <c r="X2851" s="61" t="n"/>
      <c r="Y2851" s="61" t="n"/>
    </row>
    <row r="2852" ht="14.25" customHeight="1" s="86">
      <c r="E2852" s="53" t="inlineStr">
        <is>
          <t>TX</t>
        </is>
      </c>
      <c r="F2852" s="53" t="inlineStr">
        <is>
          <t>WICHITA</t>
        </is>
      </c>
      <c r="G2852" s="59" t="n"/>
      <c r="X2852" s="61" t="n"/>
      <c r="Y2852" s="61" t="n"/>
    </row>
    <row r="2853" ht="14.25" customHeight="1" s="86">
      <c r="E2853" s="53" t="inlineStr">
        <is>
          <t>TX</t>
        </is>
      </c>
      <c r="F2853" s="53" t="inlineStr">
        <is>
          <t>WILBARGER</t>
        </is>
      </c>
      <c r="G2853" s="59" t="n"/>
      <c r="X2853" s="61" t="n"/>
      <c r="Y2853" s="61" t="n"/>
    </row>
    <row r="2854" ht="14.25" customHeight="1" s="86">
      <c r="E2854" s="53" t="inlineStr">
        <is>
          <t>TX</t>
        </is>
      </c>
      <c r="F2854" s="53" t="inlineStr">
        <is>
          <t>WILLACY</t>
        </is>
      </c>
      <c r="G2854" s="59" t="n"/>
      <c r="X2854" s="61" t="n"/>
      <c r="Y2854" s="61" t="n"/>
    </row>
    <row r="2855" ht="14.25" customHeight="1" s="86">
      <c r="E2855" s="53" t="inlineStr">
        <is>
          <t>TX</t>
        </is>
      </c>
      <c r="F2855" s="53" t="inlineStr">
        <is>
          <t>WILLIAMSON</t>
        </is>
      </c>
      <c r="G2855" s="59" t="n"/>
      <c r="X2855" s="61" t="n"/>
      <c r="Y2855" s="61" t="n"/>
    </row>
    <row r="2856" ht="14.25" customHeight="1" s="86">
      <c r="E2856" s="53" t="inlineStr">
        <is>
          <t>TX</t>
        </is>
      </c>
      <c r="F2856" s="53" t="inlineStr">
        <is>
          <t>WILSON</t>
        </is>
      </c>
      <c r="G2856" s="59" t="n"/>
      <c r="X2856" s="61" t="n"/>
      <c r="Y2856" s="61" t="n"/>
    </row>
    <row r="2857" ht="14.25" customHeight="1" s="86">
      <c r="E2857" s="53" t="inlineStr">
        <is>
          <t>TX</t>
        </is>
      </c>
      <c r="F2857" s="53" t="inlineStr">
        <is>
          <t>WINKLER</t>
        </is>
      </c>
      <c r="G2857" s="59" t="n"/>
      <c r="X2857" s="61" t="n"/>
      <c r="Y2857" s="61" t="n"/>
    </row>
    <row r="2858" ht="14.25" customHeight="1" s="86">
      <c r="E2858" s="53" t="inlineStr">
        <is>
          <t>TX</t>
        </is>
      </c>
      <c r="F2858" s="53" t="inlineStr">
        <is>
          <t>WISE</t>
        </is>
      </c>
      <c r="G2858" s="59" t="n"/>
      <c r="X2858" s="61" t="n"/>
      <c r="Y2858" s="61" t="n"/>
    </row>
    <row r="2859" ht="14.25" customHeight="1" s="86">
      <c r="E2859" s="53" t="inlineStr">
        <is>
          <t>TX</t>
        </is>
      </c>
      <c r="F2859" s="53" t="inlineStr">
        <is>
          <t>WOOD</t>
        </is>
      </c>
      <c r="G2859" s="59" t="n"/>
      <c r="X2859" s="61" t="n"/>
      <c r="Y2859" s="61" t="n"/>
    </row>
    <row r="2860" ht="14.25" customHeight="1" s="86">
      <c r="E2860" s="53" t="inlineStr">
        <is>
          <t>TX</t>
        </is>
      </c>
      <c r="F2860" s="53" t="inlineStr">
        <is>
          <t>YOAKUM</t>
        </is>
      </c>
      <c r="G2860" s="59" t="n"/>
      <c r="X2860" s="61" t="n"/>
      <c r="Y2860" s="61" t="n"/>
    </row>
    <row r="2861" ht="14.25" customHeight="1" s="86">
      <c r="E2861" s="53" t="inlineStr">
        <is>
          <t>TX</t>
        </is>
      </c>
      <c r="F2861" s="53" t="inlineStr">
        <is>
          <t>YOUNG</t>
        </is>
      </c>
      <c r="G2861" s="59" t="n"/>
      <c r="X2861" s="61" t="n"/>
      <c r="Y2861" s="61" t="n"/>
    </row>
    <row r="2862" ht="14.25" customHeight="1" s="86">
      <c r="E2862" s="53" t="inlineStr">
        <is>
          <t>TX</t>
        </is>
      </c>
      <c r="F2862" s="53" t="inlineStr">
        <is>
          <t>ZAPATA</t>
        </is>
      </c>
      <c r="G2862" s="59" t="n"/>
      <c r="X2862" s="61" t="n"/>
      <c r="Y2862" s="61" t="n"/>
    </row>
    <row r="2863" ht="14.25" customHeight="1" s="86">
      <c r="E2863" s="53" t="inlineStr">
        <is>
          <t>TX</t>
        </is>
      </c>
      <c r="F2863" s="53" t="inlineStr">
        <is>
          <t>ZAVALA</t>
        </is>
      </c>
      <c r="G2863" s="59" t="n"/>
      <c r="X2863" s="61" t="n"/>
      <c r="Y2863" s="61" t="n"/>
    </row>
    <row r="2864" ht="14.25" customHeight="1" s="86">
      <c r="E2864" s="53" t="inlineStr">
        <is>
          <t>UT</t>
        </is>
      </c>
      <c r="F2864" s="53" t="inlineStr">
        <is>
          <t>BEAVER</t>
        </is>
      </c>
      <c r="G2864" s="59" t="n"/>
      <c r="X2864" s="61" t="n"/>
      <c r="Y2864" s="61" t="n"/>
    </row>
    <row r="2865" ht="14.25" customHeight="1" s="86">
      <c r="E2865" s="53" t="inlineStr">
        <is>
          <t>UT</t>
        </is>
      </c>
      <c r="F2865" s="53" t="inlineStr">
        <is>
          <t>BOX ELDER</t>
        </is>
      </c>
      <c r="G2865" s="59" t="n"/>
      <c r="X2865" s="61" t="n"/>
      <c r="Y2865" s="61" t="n"/>
    </row>
    <row r="2866" ht="14.25" customHeight="1" s="86">
      <c r="E2866" s="53" t="inlineStr">
        <is>
          <t>UT</t>
        </is>
      </c>
      <c r="F2866" s="53" t="inlineStr">
        <is>
          <t>CACHE</t>
        </is>
      </c>
      <c r="G2866" s="59" t="n"/>
      <c r="X2866" s="61" t="n"/>
      <c r="Y2866" s="61" t="n"/>
    </row>
    <row r="2867" ht="14.25" customHeight="1" s="86">
      <c r="E2867" s="53" t="inlineStr">
        <is>
          <t>UT</t>
        </is>
      </c>
      <c r="F2867" s="53" t="inlineStr">
        <is>
          <t>CARBON</t>
        </is>
      </c>
      <c r="G2867" s="59" t="n"/>
      <c r="X2867" s="61" t="n"/>
      <c r="Y2867" s="61" t="n"/>
    </row>
    <row r="2868" ht="14.25" customHeight="1" s="86">
      <c r="E2868" s="53" t="inlineStr">
        <is>
          <t>UT</t>
        </is>
      </c>
      <c r="F2868" s="53" t="inlineStr">
        <is>
          <t>DAGGETT</t>
        </is>
      </c>
      <c r="G2868" s="59" t="n"/>
      <c r="X2868" s="61" t="n"/>
      <c r="Y2868" s="61" t="n"/>
    </row>
    <row r="2869" ht="14.25" customHeight="1" s="86">
      <c r="E2869" s="53" t="inlineStr">
        <is>
          <t>UT</t>
        </is>
      </c>
      <c r="F2869" s="53" t="inlineStr">
        <is>
          <t>DAVIS</t>
        </is>
      </c>
      <c r="G2869" s="59" t="n"/>
      <c r="X2869" s="61" t="n"/>
      <c r="Y2869" s="61" t="n"/>
    </row>
    <row r="2870" ht="14.25" customHeight="1" s="86">
      <c r="E2870" s="53" t="inlineStr">
        <is>
          <t>UT</t>
        </is>
      </c>
      <c r="F2870" s="53" t="inlineStr">
        <is>
          <t>DUCHESNE</t>
        </is>
      </c>
      <c r="G2870" s="59" t="n"/>
      <c r="X2870" s="61" t="n"/>
      <c r="Y2870" s="61" t="n"/>
    </row>
    <row r="2871" ht="14.25" customHeight="1" s="86">
      <c r="E2871" s="53" t="inlineStr">
        <is>
          <t>UT</t>
        </is>
      </c>
      <c r="F2871" s="53" t="inlineStr">
        <is>
          <t>EMERY</t>
        </is>
      </c>
      <c r="G2871" s="59" t="n"/>
      <c r="X2871" s="61" t="n"/>
      <c r="Y2871" s="61" t="n"/>
    </row>
    <row r="2872" ht="14.25" customHeight="1" s="86">
      <c r="E2872" s="53" t="inlineStr">
        <is>
          <t>UT</t>
        </is>
      </c>
      <c r="F2872" s="53" t="inlineStr">
        <is>
          <t>GARFIELD</t>
        </is>
      </c>
      <c r="G2872" s="59" t="n"/>
      <c r="X2872" s="61" t="n"/>
      <c r="Y2872" s="61" t="n"/>
    </row>
    <row r="2873" ht="14.25" customHeight="1" s="86">
      <c r="E2873" s="53" t="inlineStr">
        <is>
          <t>UT</t>
        </is>
      </c>
      <c r="F2873" s="53" t="inlineStr">
        <is>
          <t>GRAND</t>
        </is>
      </c>
      <c r="G2873" s="59" t="n"/>
      <c r="X2873" s="61" t="n"/>
      <c r="Y2873" s="61" t="n"/>
    </row>
    <row r="2874" ht="14.25" customHeight="1" s="86">
      <c r="E2874" s="53" t="inlineStr">
        <is>
          <t>UT</t>
        </is>
      </c>
      <c r="F2874" s="53" t="inlineStr">
        <is>
          <t>IRON</t>
        </is>
      </c>
      <c r="G2874" s="59" t="n"/>
      <c r="X2874" s="61" t="n"/>
      <c r="Y2874" s="61" t="n"/>
    </row>
    <row r="2875" ht="14.25" customHeight="1" s="86">
      <c r="E2875" s="53" t="inlineStr">
        <is>
          <t>UT</t>
        </is>
      </c>
      <c r="F2875" s="53" t="inlineStr">
        <is>
          <t>JUAB</t>
        </is>
      </c>
      <c r="G2875" s="59" t="n"/>
      <c r="X2875" s="61" t="n"/>
      <c r="Y2875" s="61" t="n"/>
    </row>
    <row r="2876" ht="14.25" customHeight="1" s="86">
      <c r="E2876" s="53" t="inlineStr">
        <is>
          <t>UT</t>
        </is>
      </c>
      <c r="F2876" s="53" t="inlineStr">
        <is>
          <t>KANE</t>
        </is>
      </c>
      <c r="G2876" s="59" t="n"/>
      <c r="X2876" s="61" t="n"/>
      <c r="Y2876" s="61" t="n"/>
    </row>
    <row r="2877" ht="14.25" customHeight="1" s="86">
      <c r="E2877" s="53" t="inlineStr">
        <is>
          <t>UT</t>
        </is>
      </c>
      <c r="F2877" s="53" t="inlineStr">
        <is>
          <t>MILLARD</t>
        </is>
      </c>
      <c r="G2877" s="59" t="n"/>
      <c r="X2877" s="61" t="n"/>
      <c r="Y2877" s="61" t="n"/>
    </row>
    <row r="2878" ht="14.25" customHeight="1" s="86">
      <c r="E2878" s="53" t="inlineStr">
        <is>
          <t>UT</t>
        </is>
      </c>
      <c r="F2878" s="53" t="inlineStr">
        <is>
          <t>MORGAN</t>
        </is>
      </c>
      <c r="G2878" s="59" t="n"/>
      <c r="X2878" s="61" t="n"/>
      <c r="Y2878" s="61" t="n"/>
    </row>
    <row r="2879" ht="14.25" customHeight="1" s="86">
      <c r="E2879" s="53" t="inlineStr">
        <is>
          <t>UT</t>
        </is>
      </c>
      <c r="F2879" s="53" t="inlineStr">
        <is>
          <t>PIUTE</t>
        </is>
      </c>
      <c r="G2879" s="59" t="n"/>
      <c r="X2879" s="61" t="n"/>
      <c r="Y2879" s="61" t="n"/>
    </row>
    <row r="2880" ht="14.25" customHeight="1" s="86">
      <c r="E2880" s="53" t="inlineStr">
        <is>
          <t>UT</t>
        </is>
      </c>
      <c r="F2880" s="53" t="inlineStr">
        <is>
          <t>RICH</t>
        </is>
      </c>
      <c r="G2880" s="59" t="n"/>
      <c r="X2880" s="61" t="n"/>
      <c r="Y2880" s="61" t="n"/>
    </row>
    <row r="2881" ht="14.25" customHeight="1" s="86">
      <c r="E2881" s="53" t="inlineStr">
        <is>
          <t>UT</t>
        </is>
      </c>
      <c r="F2881" s="53" t="inlineStr">
        <is>
          <t>SALT LAKE</t>
        </is>
      </c>
      <c r="G2881" s="59" t="n"/>
      <c r="X2881" s="61" t="n"/>
      <c r="Y2881" s="61" t="n"/>
    </row>
    <row r="2882" ht="14.25" customHeight="1" s="86">
      <c r="E2882" s="53" t="inlineStr">
        <is>
          <t>UT</t>
        </is>
      </c>
      <c r="F2882" s="53" t="inlineStr">
        <is>
          <t>SAN JUAN</t>
        </is>
      </c>
      <c r="G2882" s="59" t="n"/>
      <c r="X2882" s="61" t="n"/>
      <c r="Y2882" s="61" t="n"/>
    </row>
    <row r="2883" ht="14.25" customHeight="1" s="86">
      <c r="E2883" s="53" t="inlineStr">
        <is>
          <t>UT</t>
        </is>
      </c>
      <c r="F2883" s="53" t="inlineStr">
        <is>
          <t>SANPETE</t>
        </is>
      </c>
      <c r="G2883" s="59" t="n"/>
      <c r="X2883" s="61" t="n"/>
      <c r="Y2883" s="61" t="n"/>
    </row>
    <row r="2884" ht="14.25" customHeight="1" s="86">
      <c r="E2884" s="53" t="inlineStr">
        <is>
          <t>UT</t>
        </is>
      </c>
      <c r="F2884" s="53" t="inlineStr">
        <is>
          <t>SEVIER</t>
        </is>
      </c>
      <c r="G2884" s="59" t="n"/>
      <c r="X2884" s="61" t="n"/>
      <c r="Y2884" s="61" t="n"/>
    </row>
    <row r="2885" ht="14.25" customHeight="1" s="86">
      <c r="E2885" s="53" t="inlineStr">
        <is>
          <t>UT</t>
        </is>
      </c>
      <c r="F2885" s="53" t="inlineStr">
        <is>
          <t>SUMMIT</t>
        </is>
      </c>
      <c r="G2885" s="59" t="n"/>
      <c r="X2885" s="61" t="n"/>
      <c r="Y2885" s="61" t="n"/>
    </row>
    <row r="2886" ht="14.25" customHeight="1" s="86">
      <c r="E2886" s="53" t="inlineStr">
        <is>
          <t>UT</t>
        </is>
      </c>
      <c r="F2886" s="53" t="inlineStr">
        <is>
          <t>TOOELE</t>
        </is>
      </c>
      <c r="G2886" s="59" t="n"/>
      <c r="X2886" s="61" t="n"/>
      <c r="Y2886" s="61" t="n"/>
    </row>
    <row r="2887" ht="14.25" customHeight="1" s="86">
      <c r="E2887" s="53" t="inlineStr">
        <is>
          <t>UT</t>
        </is>
      </c>
      <c r="F2887" s="53" t="inlineStr">
        <is>
          <t>UINTAH</t>
        </is>
      </c>
      <c r="G2887" s="59" t="n"/>
      <c r="X2887" s="61" t="n"/>
      <c r="Y2887" s="61" t="n"/>
    </row>
    <row r="2888" ht="14.25" customHeight="1" s="86">
      <c r="E2888" s="53" t="inlineStr">
        <is>
          <t>UT</t>
        </is>
      </c>
      <c r="F2888" s="53" t="inlineStr">
        <is>
          <t>UTAH</t>
        </is>
      </c>
      <c r="G2888" s="59" t="n"/>
      <c r="X2888" s="61" t="n"/>
      <c r="Y2888" s="61" t="n"/>
    </row>
    <row r="2889" ht="14.25" customHeight="1" s="86">
      <c r="E2889" s="53" t="inlineStr">
        <is>
          <t>UT</t>
        </is>
      </c>
      <c r="F2889" s="53" t="inlineStr">
        <is>
          <t>WASATCH</t>
        </is>
      </c>
      <c r="G2889" s="59" t="n"/>
      <c r="X2889" s="61" t="n"/>
      <c r="Y2889" s="61" t="n"/>
    </row>
    <row r="2890" ht="14.25" customHeight="1" s="86">
      <c r="E2890" s="53" t="inlineStr">
        <is>
          <t>UT</t>
        </is>
      </c>
      <c r="F2890" s="53" t="inlineStr">
        <is>
          <t>WASHINGTON</t>
        </is>
      </c>
      <c r="G2890" s="59" t="n"/>
      <c r="X2890" s="61" t="n"/>
      <c r="Y2890" s="61" t="n"/>
    </row>
    <row r="2891" ht="14.25" customHeight="1" s="86">
      <c r="E2891" s="53" t="inlineStr">
        <is>
          <t>UT</t>
        </is>
      </c>
      <c r="F2891" s="53" t="inlineStr">
        <is>
          <t>WAYNE</t>
        </is>
      </c>
      <c r="G2891" s="59" t="n"/>
      <c r="X2891" s="61" t="n"/>
      <c r="Y2891" s="61" t="n"/>
    </row>
    <row r="2892" ht="14.25" customHeight="1" s="86">
      <c r="E2892" s="53" t="inlineStr">
        <is>
          <t>UT</t>
        </is>
      </c>
      <c r="F2892" s="53" t="inlineStr">
        <is>
          <t>WEBER</t>
        </is>
      </c>
      <c r="G2892" s="59" t="n"/>
      <c r="X2892" s="61" t="n"/>
      <c r="Y2892" s="61" t="n"/>
    </row>
    <row r="2893" ht="14.25" customHeight="1" s="86">
      <c r="E2893" s="53" t="inlineStr">
        <is>
          <t>VA</t>
        </is>
      </c>
      <c r="F2893" s="53" t="inlineStr">
        <is>
          <t>ACCOMACK</t>
        </is>
      </c>
      <c r="G2893" s="59" t="n"/>
      <c r="X2893" s="61" t="n"/>
      <c r="Y2893" s="61" t="n"/>
    </row>
    <row r="2894" ht="14.25" customHeight="1" s="86">
      <c r="E2894" s="53" t="inlineStr">
        <is>
          <t>VA</t>
        </is>
      </c>
      <c r="F2894" s="53" t="inlineStr">
        <is>
          <t>ALBEMARLE</t>
        </is>
      </c>
      <c r="G2894" s="59" t="n"/>
      <c r="X2894" s="61" t="n"/>
      <c r="Y2894" s="61" t="n"/>
    </row>
    <row r="2895" ht="14.25" customHeight="1" s="86">
      <c r="E2895" s="53" t="inlineStr">
        <is>
          <t>VA</t>
        </is>
      </c>
      <c r="F2895" s="53" t="inlineStr">
        <is>
          <t>ALEXANDRIA CITY</t>
        </is>
      </c>
      <c r="G2895" s="59" t="n"/>
      <c r="X2895" s="61" t="n"/>
      <c r="Y2895" s="61" t="n"/>
    </row>
    <row r="2896" ht="14.25" customHeight="1" s="86">
      <c r="E2896" s="53" t="inlineStr">
        <is>
          <t>VA</t>
        </is>
      </c>
      <c r="F2896" s="53" t="inlineStr">
        <is>
          <t>ALLEGHANY</t>
        </is>
      </c>
      <c r="G2896" s="59" t="n"/>
      <c r="X2896" s="61" t="n"/>
      <c r="Y2896" s="61" t="n"/>
    </row>
    <row r="2897" ht="14.25" customHeight="1" s="86">
      <c r="E2897" s="53" t="inlineStr">
        <is>
          <t>VA</t>
        </is>
      </c>
      <c r="F2897" s="53" t="inlineStr">
        <is>
          <t>AMELIA</t>
        </is>
      </c>
      <c r="G2897" s="59" t="n"/>
      <c r="X2897" s="61" t="n"/>
      <c r="Y2897" s="61" t="n"/>
    </row>
    <row r="2898" ht="14.25" customHeight="1" s="86">
      <c r="E2898" s="53" t="inlineStr">
        <is>
          <t>VA</t>
        </is>
      </c>
      <c r="F2898" s="53" t="inlineStr">
        <is>
          <t>AMHERST</t>
        </is>
      </c>
      <c r="G2898" s="59" t="n"/>
      <c r="X2898" s="61" t="n"/>
      <c r="Y2898" s="61" t="n"/>
    </row>
    <row r="2899" ht="14.25" customHeight="1" s="86">
      <c r="E2899" s="53" t="inlineStr">
        <is>
          <t>VA</t>
        </is>
      </c>
      <c r="F2899" s="53" t="inlineStr">
        <is>
          <t>APPOMATTOX</t>
        </is>
      </c>
      <c r="G2899" s="59" t="n"/>
      <c r="X2899" s="61" t="n"/>
      <c r="Y2899" s="61" t="n"/>
    </row>
    <row r="2900" ht="14.25" customHeight="1" s="86">
      <c r="E2900" s="53" t="inlineStr">
        <is>
          <t>VA</t>
        </is>
      </c>
      <c r="F2900" s="53" t="inlineStr">
        <is>
          <t>ARLINGTON</t>
        </is>
      </c>
      <c r="G2900" s="59" t="n"/>
      <c r="X2900" s="61" t="n"/>
      <c r="Y2900" s="61" t="n"/>
    </row>
    <row r="2901" ht="14.25" customHeight="1" s="86">
      <c r="E2901" s="53" t="inlineStr">
        <is>
          <t>VA</t>
        </is>
      </c>
      <c r="F2901" s="53" t="inlineStr">
        <is>
          <t>AUGUSTA</t>
        </is>
      </c>
      <c r="G2901" s="59" t="n"/>
      <c r="X2901" s="61" t="n"/>
      <c r="Y2901" s="61" t="n"/>
    </row>
    <row r="2902" ht="14.25" customHeight="1" s="86">
      <c r="E2902" s="53" t="inlineStr">
        <is>
          <t>VA</t>
        </is>
      </c>
      <c r="F2902" s="53" t="inlineStr">
        <is>
          <t>BATH</t>
        </is>
      </c>
      <c r="G2902" s="59" t="n"/>
      <c r="X2902" s="61" t="n"/>
      <c r="Y2902" s="61" t="n"/>
    </row>
    <row r="2903" ht="14.25" customHeight="1" s="86">
      <c r="E2903" s="53" t="inlineStr">
        <is>
          <t>VA</t>
        </is>
      </c>
      <c r="F2903" s="53" t="inlineStr">
        <is>
          <t>BEDFORD</t>
        </is>
      </c>
      <c r="G2903" s="59" t="n"/>
      <c r="X2903" s="61" t="n"/>
      <c r="Y2903" s="61" t="n"/>
    </row>
    <row r="2904" ht="14.25" customHeight="1" s="86">
      <c r="E2904" s="53" t="inlineStr">
        <is>
          <t>VA</t>
        </is>
      </c>
      <c r="F2904" s="53" t="inlineStr">
        <is>
          <t>BEDFORD CITY</t>
        </is>
      </c>
      <c r="G2904" s="59" t="n"/>
      <c r="X2904" s="61" t="n"/>
      <c r="Y2904" s="61" t="n"/>
    </row>
    <row r="2905" ht="14.25" customHeight="1" s="86">
      <c r="E2905" s="53" t="inlineStr">
        <is>
          <t>VA</t>
        </is>
      </c>
      <c r="F2905" s="53" t="inlineStr">
        <is>
          <t>BLAND</t>
        </is>
      </c>
      <c r="G2905" s="59" t="n"/>
      <c r="X2905" s="61" t="n"/>
      <c r="Y2905" s="61" t="n"/>
    </row>
    <row r="2906" ht="14.25" customHeight="1" s="86">
      <c r="E2906" s="53" t="inlineStr">
        <is>
          <t>VA</t>
        </is>
      </c>
      <c r="F2906" s="53" t="inlineStr">
        <is>
          <t>BOTETOURT</t>
        </is>
      </c>
      <c r="G2906" s="59" t="n"/>
      <c r="X2906" s="61" t="n"/>
      <c r="Y2906" s="61" t="n"/>
    </row>
    <row r="2907" ht="14.25" customHeight="1" s="86">
      <c r="E2907" s="53" t="inlineStr">
        <is>
          <t>VA</t>
        </is>
      </c>
      <c r="F2907" s="53" t="inlineStr">
        <is>
          <t>BRISTOL CITY</t>
        </is>
      </c>
      <c r="G2907" s="59" t="n"/>
      <c r="X2907" s="61" t="n"/>
      <c r="Y2907" s="61" t="n"/>
    </row>
    <row r="2908" ht="14.25" customHeight="1" s="86">
      <c r="E2908" s="53" t="inlineStr">
        <is>
          <t>VA</t>
        </is>
      </c>
      <c r="F2908" s="53" t="inlineStr">
        <is>
          <t>BRUNSWICK</t>
        </is>
      </c>
      <c r="G2908" s="59" t="n"/>
      <c r="X2908" s="61" t="n"/>
      <c r="Y2908" s="61" t="n"/>
    </row>
    <row r="2909" ht="14.25" customHeight="1" s="86">
      <c r="E2909" s="53" t="inlineStr">
        <is>
          <t>VA</t>
        </is>
      </c>
      <c r="F2909" s="53" t="inlineStr">
        <is>
          <t>BUCHANAN</t>
        </is>
      </c>
      <c r="G2909" s="59" t="n"/>
      <c r="X2909" s="61" t="n"/>
      <c r="Y2909" s="61" t="n"/>
    </row>
    <row r="2910" ht="14.25" customHeight="1" s="86">
      <c r="E2910" s="53" t="inlineStr">
        <is>
          <t>VA</t>
        </is>
      </c>
      <c r="F2910" s="53" t="inlineStr">
        <is>
          <t>BUCKINGHAM</t>
        </is>
      </c>
      <c r="G2910" s="59" t="n"/>
      <c r="X2910" s="61" t="n"/>
      <c r="Y2910" s="61" t="n"/>
    </row>
    <row r="2911" ht="14.25" customHeight="1" s="86">
      <c r="E2911" s="53" t="inlineStr">
        <is>
          <t>VA</t>
        </is>
      </c>
      <c r="F2911" s="53" t="inlineStr">
        <is>
          <t>BUENA VISTA CITY</t>
        </is>
      </c>
      <c r="G2911" s="59" t="n"/>
      <c r="X2911" s="61" t="n"/>
      <c r="Y2911" s="61" t="n"/>
    </row>
    <row r="2912" ht="14.25" customHeight="1" s="86">
      <c r="E2912" s="53" t="inlineStr">
        <is>
          <t>VA</t>
        </is>
      </c>
      <c r="F2912" s="53" t="inlineStr">
        <is>
          <t>CAMPBELL</t>
        </is>
      </c>
      <c r="G2912" s="59" t="n"/>
      <c r="X2912" s="61" t="n"/>
      <c r="Y2912" s="61" t="n"/>
    </row>
    <row r="2913" ht="14.25" customHeight="1" s="86">
      <c r="E2913" s="53" t="inlineStr">
        <is>
          <t>VA</t>
        </is>
      </c>
      <c r="F2913" s="53" t="inlineStr">
        <is>
          <t>CAROLINE</t>
        </is>
      </c>
      <c r="G2913" s="59" t="n"/>
      <c r="X2913" s="61" t="n"/>
      <c r="Y2913" s="61" t="n"/>
    </row>
    <row r="2914" ht="14.25" customHeight="1" s="86">
      <c r="E2914" s="53" t="inlineStr">
        <is>
          <t>VA</t>
        </is>
      </c>
      <c r="F2914" s="53" t="inlineStr">
        <is>
          <t>CARROLL</t>
        </is>
      </c>
      <c r="G2914" s="59" t="n"/>
      <c r="X2914" s="61" t="n"/>
      <c r="Y2914" s="61" t="n"/>
    </row>
    <row r="2915" ht="14.25" customHeight="1" s="86">
      <c r="E2915" s="53" t="inlineStr">
        <is>
          <t>VA</t>
        </is>
      </c>
      <c r="F2915" s="53" t="inlineStr">
        <is>
          <t>CHARLES CITY</t>
        </is>
      </c>
      <c r="G2915" s="59" t="n"/>
      <c r="X2915" s="61" t="n"/>
      <c r="Y2915" s="61" t="n"/>
    </row>
    <row r="2916" ht="14.25" customHeight="1" s="86">
      <c r="E2916" s="53" t="inlineStr">
        <is>
          <t>VA</t>
        </is>
      </c>
      <c r="F2916" s="53" t="inlineStr">
        <is>
          <t>CHARLOTTE</t>
        </is>
      </c>
      <c r="G2916" s="59" t="n"/>
      <c r="X2916" s="61" t="n"/>
      <c r="Y2916" s="61" t="n"/>
    </row>
    <row r="2917" ht="14.25" customHeight="1" s="86">
      <c r="E2917" s="53" t="inlineStr">
        <is>
          <t>VA</t>
        </is>
      </c>
      <c r="F2917" s="53" t="inlineStr">
        <is>
          <t>CHARLOTTESVILLE CITY</t>
        </is>
      </c>
      <c r="G2917" s="59" t="n"/>
      <c r="X2917" s="61" t="n"/>
      <c r="Y2917" s="61" t="n"/>
    </row>
    <row r="2918" ht="14.25" customHeight="1" s="86">
      <c r="E2918" s="53" t="inlineStr">
        <is>
          <t>VA</t>
        </is>
      </c>
      <c r="F2918" s="53" t="inlineStr">
        <is>
          <t>CHESAPEAKE CITY</t>
        </is>
      </c>
      <c r="G2918" s="59" t="n"/>
      <c r="X2918" s="61" t="n"/>
      <c r="Y2918" s="61" t="n"/>
    </row>
    <row r="2919" ht="14.25" customHeight="1" s="86">
      <c r="E2919" s="53" t="inlineStr">
        <is>
          <t>VA</t>
        </is>
      </c>
      <c r="F2919" s="53" t="inlineStr">
        <is>
          <t>CHESTERFIELD</t>
        </is>
      </c>
      <c r="G2919" s="59" t="n"/>
      <c r="X2919" s="61" t="n"/>
      <c r="Y2919" s="61" t="n"/>
    </row>
    <row r="2920" ht="14.25" customHeight="1" s="86">
      <c r="E2920" s="53" t="inlineStr">
        <is>
          <t>VA</t>
        </is>
      </c>
      <c r="F2920" s="53" t="inlineStr">
        <is>
          <t>CLARKE</t>
        </is>
      </c>
      <c r="G2920" s="59" t="n"/>
      <c r="X2920" s="61" t="n"/>
      <c r="Y2920" s="61" t="n"/>
    </row>
    <row r="2921" ht="14.25" customHeight="1" s="86">
      <c r="E2921" s="53" t="inlineStr">
        <is>
          <t>VA</t>
        </is>
      </c>
      <c r="F2921" s="53" t="inlineStr">
        <is>
          <t>COLONIAL HEIGHTS CITY</t>
        </is>
      </c>
      <c r="G2921" s="59" t="n"/>
      <c r="X2921" s="61" t="n"/>
      <c r="Y2921" s="61" t="n"/>
    </row>
    <row r="2922" ht="14.25" customHeight="1" s="86">
      <c r="E2922" s="53" t="inlineStr">
        <is>
          <t>VA</t>
        </is>
      </c>
      <c r="F2922" s="53" t="inlineStr">
        <is>
          <t>COVINGTON CITY</t>
        </is>
      </c>
      <c r="G2922" s="59" t="n"/>
      <c r="X2922" s="61" t="n"/>
      <c r="Y2922" s="61" t="n"/>
    </row>
    <row r="2923" ht="14.25" customHeight="1" s="86">
      <c r="E2923" s="53" t="inlineStr">
        <is>
          <t>VA</t>
        </is>
      </c>
      <c r="F2923" s="53" t="inlineStr">
        <is>
          <t>CRAIG</t>
        </is>
      </c>
      <c r="G2923" s="59" t="n"/>
      <c r="X2923" s="61" t="n"/>
      <c r="Y2923" s="61" t="n"/>
    </row>
    <row r="2924" ht="14.25" customHeight="1" s="86">
      <c r="E2924" s="53" t="inlineStr">
        <is>
          <t>VA</t>
        </is>
      </c>
      <c r="F2924" s="53" t="inlineStr">
        <is>
          <t>CULPEPER</t>
        </is>
      </c>
      <c r="G2924" s="59" t="n"/>
      <c r="X2924" s="61" t="n"/>
      <c r="Y2924" s="61" t="n"/>
    </row>
    <row r="2925" ht="14.25" customHeight="1" s="86">
      <c r="E2925" s="53" t="inlineStr">
        <is>
          <t>VA</t>
        </is>
      </c>
      <c r="F2925" s="53" t="inlineStr">
        <is>
          <t>CUMBERLAND</t>
        </is>
      </c>
      <c r="G2925" s="59" t="n"/>
      <c r="X2925" s="61" t="n"/>
      <c r="Y2925" s="61" t="n"/>
    </row>
    <row r="2926" ht="14.25" customHeight="1" s="86">
      <c r="E2926" s="53" t="inlineStr">
        <is>
          <t>VA</t>
        </is>
      </c>
      <c r="F2926" s="53" t="inlineStr">
        <is>
          <t>DANVILLE CITY</t>
        </is>
      </c>
      <c r="G2926" s="59" t="n"/>
      <c r="X2926" s="61" t="n"/>
      <c r="Y2926" s="61" t="n"/>
    </row>
    <row r="2927" ht="14.25" customHeight="1" s="86">
      <c r="E2927" s="53" t="inlineStr">
        <is>
          <t>VA</t>
        </is>
      </c>
      <c r="F2927" s="53" t="inlineStr">
        <is>
          <t>DICKENSON</t>
        </is>
      </c>
      <c r="G2927" s="59" t="n"/>
      <c r="X2927" s="61" t="n"/>
      <c r="Y2927" s="61" t="n"/>
    </row>
    <row r="2928" ht="14.25" customHeight="1" s="86">
      <c r="E2928" s="53" t="inlineStr">
        <is>
          <t>VA</t>
        </is>
      </c>
      <c r="F2928" s="53" t="inlineStr">
        <is>
          <t>DINWIDDIE</t>
        </is>
      </c>
      <c r="G2928" s="59" t="n"/>
      <c r="X2928" s="61" t="n"/>
      <c r="Y2928" s="61" t="n"/>
    </row>
    <row r="2929" ht="14.25" customHeight="1" s="86">
      <c r="E2929" s="53" t="inlineStr">
        <is>
          <t>VA</t>
        </is>
      </c>
      <c r="F2929" s="53" t="inlineStr">
        <is>
          <t>EMPORIA CITY</t>
        </is>
      </c>
      <c r="G2929" s="59" t="n"/>
      <c r="X2929" s="61" t="n"/>
      <c r="Y2929" s="61" t="n"/>
    </row>
    <row r="2930" ht="14.25" customHeight="1" s="86">
      <c r="E2930" s="53" t="inlineStr">
        <is>
          <t>VA</t>
        </is>
      </c>
      <c r="F2930" s="53" t="inlineStr">
        <is>
          <t>ESSEX</t>
        </is>
      </c>
      <c r="G2930" s="59" t="n"/>
      <c r="X2930" s="61" t="n"/>
      <c r="Y2930" s="61" t="n"/>
    </row>
    <row r="2931" ht="14.25" customHeight="1" s="86">
      <c r="E2931" s="53" t="inlineStr">
        <is>
          <t>VA</t>
        </is>
      </c>
      <c r="F2931" s="53" t="inlineStr">
        <is>
          <t>FAIRFAX</t>
        </is>
      </c>
      <c r="G2931" s="59" t="n"/>
      <c r="X2931" s="61" t="n"/>
      <c r="Y2931" s="61" t="n"/>
    </row>
    <row r="2932" ht="14.25" customHeight="1" s="86">
      <c r="E2932" s="53" t="inlineStr">
        <is>
          <t>VA</t>
        </is>
      </c>
      <c r="F2932" s="53" t="inlineStr">
        <is>
          <t>FAIRFAX CITY</t>
        </is>
      </c>
      <c r="G2932" s="59" t="n"/>
      <c r="X2932" s="61" t="n"/>
      <c r="Y2932" s="61" t="n"/>
    </row>
    <row r="2933" ht="14.25" customHeight="1" s="86">
      <c r="E2933" s="53" t="inlineStr">
        <is>
          <t>VA</t>
        </is>
      </c>
      <c r="F2933" s="53" t="inlineStr">
        <is>
          <t>FALLS CHURCH CITY</t>
        </is>
      </c>
      <c r="G2933" s="59" t="n"/>
      <c r="X2933" s="61" t="n"/>
      <c r="Y2933" s="61" t="n"/>
    </row>
    <row r="2934" ht="14.25" customHeight="1" s="86">
      <c r="E2934" s="53" t="inlineStr">
        <is>
          <t>VA</t>
        </is>
      </c>
      <c r="F2934" s="53" t="inlineStr">
        <is>
          <t>FAUQUIER</t>
        </is>
      </c>
      <c r="G2934" s="59" t="n"/>
      <c r="X2934" s="61" t="n"/>
      <c r="Y2934" s="61" t="n"/>
    </row>
    <row r="2935" ht="14.25" customHeight="1" s="86">
      <c r="E2935" s="53" t="inlineStr">
        <is>
          <t>VA</t>
        </is>
      </c>
      <c r="F2935" s="53" t="inlineStr">
        <is>
          <t>FLOYD</t>
        </is>
      </c>
      <c r="G2935" s="59" t="n"/>
      <c r="X2935" s="61" t="n"/>
      <c r="Y2935" s="61" t="n"/>
    </row>
    <row r="2936" ht="14.25" customHeight="1" s="86">
      <c r="E2936" s="53" t="inlineStr">
        <is>
          <t>VA</t>
        </is>
      </c>
      <c r="F2936" s="53" t="inlineStr">
        <is>
          <t>FLUVANNA</t>
        </is>
      </c>
      <c r="G2936" s="59" t="n"/>
      <c r="X2936" s="61" t="n"/>
      <c r="Y2936" s="61" t="n"/>
    </row>
    <row r="2937" ht="14.25" customHeight="1" s="86">
      <c r="E2937" s="53" t="inlineStr">
        <is>
          <t>VA</t>
        </is>
      </c>
      <c r="F2937" s="53" t="inlineStr">
        <is>
          <t>FRANKLIN</t>
        </is>
      </c>
      <c r="G2937" s="59" t="n"/>
      <c r="X2937" s="61" t="n"/>
      <c r="Y2937" s="61" t="n"/>
    </row>
    <row r="2938" ht="14.25" customHeight="1" s="86">
      <c r="E2938" s="53" t="inlineStr">
        <is>
          <t>VA</t>
        </is>
      </c>
      <c r="F2938" s="53" t="inlineStr">
        <is>
          <t>FRANKLIN CITY</t>
        </is>
      </c>
      <c r="G2938" s="59" t="n"/>
      <c r="X2938" s="61" t="n"/>
      <c r="Y2938" s="61" t="n"/>
    </row>
    <row r="2939" ht="14.25" customHeight="1" s="86">
      <c r="E2939" s="53" t="inlineStr">
        <is>
          <t>VA</t>
        </is>
      </c>
      <c r="F2939" s="53" t="inlineStr">
        <is>
          <t>FREDERICK</t>
        </is>
      </c>
      <c r="G2939" s="59" t="n"/>
      <c r="X2939" s="61" t="n"/>
      <c r="Y2939" s="61" t="n"/>
    </row>
    <row r="2940" ht="14.25" customHeight="1" s="86">
      <c r="E2940" s="53" t="inlineStr">
        <is>
          <t>VA</t>
        </is>
      </c>
      <c r="F2940" s="53" t="inlineStr">
        <is>
          <t>FREDERICKSBURG CITY</t>
        </is>
      </c>
      <c r="G2940" s="59" t="n"/>
      <c r="X2940" s="61" t="n"/>
      <c r="Y2940" s="61" t="n"/>
    </row>
    <row r="2941" ht="14.25" customHeight="1" s="86">
      <c r="E2941" s="53" t="inlineStr">
        <is>
          <t>VA</t>
        </is>
      </c>
      <c r="F2941" s="53" t="inlineStr">
        <is>
          <t>GALAX CITY</t>
        </is>
      </c>
      <c r="G2941" s="59" t="n"/>
      <c r="X2941" s="61" t="n"/>
      <c r="Y2941" s="61" t="n"/>
    </row>
    <row r="2942" ht="14.25" customHeight="1" s="86">
      <c r="E2942" s="53" t="inlineStr">
        <is>
          <t>VA</t>
        </is>
      </c>
      <c r="F2942" s="53" t="inlineStr">
        <is>
          <t>GILES</t>
        </is>
      </c>
      <c r="G2942" s="59" t="n"/>
      <c r="X2942" s="61" t="n"/>
      <c r="Y2942" s="61" t="n"/>
    </row>
    <row r="2943" ht="14.25" customHeight="1" s="86">
      <c r="E2943" s="53" t="inlineStr">
        <is>
          <t>VA</t>
        </is>
      </c>
      <c r="F2943" s="53" t="inlineStr">
        <is>
          <t>GLOUCESTER</t>
        </is>
      </c>
      <c r="G2943" s="59" t="n"/>
      <c r="X2943" s="61" t="n"/>
      <c r="Y2943" s="61" t="n"/>
    </row>
    <row r="2944" ht="14.25" customHeight="1" s="86">
      <c r="E2944" s="53" t="inlineStr">
        <is>
          <t>VA</t>
        </is>
      </c>
      <c r="F2944" s="53" t="inlineStr">
        <is>
          <t>GOOCHLAND</t>
        </is>
      </c>
      <c r="G2944" s="59" t="n"/>
      <c r="X2944" s="61" t="n"/>
      <c r="Y2944" s="61" t="n"/>
    </row>
    <row r="2945" ht="14.25" customHeight="1" s="86">
      <c r="E2945" s="53" t="inlineStr">
        <is>
          <t>VA</t>
        </is>
      </c>
      <c r="F2945" s="53" t="inlineStr">
        <is>
          <t>GRAYSON</t>
        </is>
      </c>
      <c r="G2945" s="59" t="n"/>
      <c r="X2945" s="61" t="n"/>
      <c r="Y2945" s="61" t="n"/>
    </row>
    <row r="2946" ht="14.25" customHeight="1" s="86">
      <c r="E2946" s="53" t="inlineStr">
        <is>
          <t>VA</t>
        </is>
      </c>
      <c r="F2946" s="53" t="inlineStr">
        <is>
          <t>GREENE</t>
        </is>
      </c>
      <c r="G2946" s="59" t="n"/>
      <c r="X2946" s="61" t="n"/>
      <c r="Y2946" s="61" t="n"/>
    </row>
    <row r="2947" ht="14.25" customHeight="1" s="86">
      <c r="E2947" s="53" t="inlineStr">
        <is>
          <t>VA</t>
        </is>
      </c>
      <c r="F2947" s="53" t="inlineStr">
        <is>
          <t>GREENSVILLE</t>
        </is>
      </c>
      <c r="G2947" s="59" t="n"/>
      <c r="X2947" s="61" t="n"/>
      <c r="Y2947" s="61" t="n"/>
    </row>
    <row r="2948" ht="14.25" customHeight="1" s="86">
      <c r="E2948" s="53" t="inlineStr">
        <is>
          <t>VA</t>
        </is>
      </c>
      <c r="F2948" s="53" t="inlineStr">
        <is>
          <t>HALIFAX</t>
        </is>
      </c>
      <c r="G2948" s="59" t="n"/>
      <c r="X2948" s="61" t="n"/>
      <c r="Y2948" s="61" t="n"/>
    </row>
    <row r="2949" ht="14.25" customHeight="1" s="86">
      <c r="E2949" s="53" t="inlineStr">
        <is>
          <t>VA</t>
        </is>
      </c>
      <c r="F2949" s="53" t="inlineStr">
        <is>
          <t>HAMPTON CITY</t>
        </is>
      </c>
      <c r="G2949" s="59" t="n"/>
      <c r="X2949" s="61" t="n"/>
      <c r="Y2949" s="61" t="n"/>
    </row>
    <row r="2950" ht="14.25" customHeight="1" s="86">
      <c r="E2950" s="53" t="inlineStr">
        <is>
          <t>VA</t>
        </is>
      </c>
      <c r="F2950" s="53" t="inlineStr">
        <is>
          <t>HANOVER</t>
        </is>
      </c>
      <c r="G2950" s="59" t="n"/>
      <c r="X2950" s="61" t="n"/>
      <c r="Y2950" s="61" t="n"/>
    </row>
    <row r="2951" ht="14.25" customHeight="1" s="86">
      <c r="E2951" s="53" t="inlineStr">
        <is>
          <t>VA</t>
        </is>
      </c>
      <c r="F2951" s="53" t="inlineStr">
        <is>
          <t>HARRISONBURG CITY</t>
        </is>
      </c>
      <c r="G2951" s="59" t="n"/>
      <c r="X2951" s="61" t="n"/>
      <c r="Y2951" s="61" t="n"/>
    </row>
    <row r="2952" ht="14.25" customHeight="1" s="86">
      <c r="E2952" s="53" t="inlineStr">
        <is>
          <t>VA</t>
        </is>
      </c>
      <c r="F2952" s="53" t="inlineStr">
        <is>
          <t>HENRICO</t>
        </is>
      </c>
      <c r="G2952" s="59" t="n"/>
      <c r="X2952" s="61" t="n"/>
      <c r="Y2952" s="61" t="n"/>
    </row>
    <row r="2953" ht="14.25" customHeight="1" s="86">
      <c r="E2953" s="53" t="inlineStr">
        <is>
          <t>VA</t>
        </is>
      </c>
      <c r="F2953" s="53" t="inlineStr">
        <is>
          <t>HENRY</t>
        </is>
      </c>
      <c r="G2953" s="59" t="n"/>
      <c r="X2953" s="61" t="n"/>
      <c r="Y2953" s="61" t="n"/>
    </row>
    <row r="2954" ht="14.25" customHeight="1" s="86">
      <c r="E2954" s="53" t="inlineStr">
        <is>
          <t>VA</t>
        </is>
      </c>
      <c r="F2954" s="53" t="inlineStr">
        <is>
          <t>HIGHLAND</t>
        </is>
      </c>
      <c r="G2954" s="59" t="n"/>
      <c r="X2954" s="61" t="n"/>
      <c r="Y2954" s="61" t="n"/>
    </row>
    <row r="2955" ht="14.25" customHeight="1" s="86">
      <c r="E2955" s="53" t="inlineStr">
        <is>
          <t>VA</t>
        </is>
      </c>
      <c r="F2955" s="53" t="inlineStr">
        <is>
          <t>HOPEWELL CITY</t>
        </is>
      </c>
      <c r="G2955" s="59" t="n"/>
      <c r="X2955" s="61" t="n"/>
      <c r="Y2955" s="61" t="n"/>
    </row>
    <row r="2956" ht="14.25" customHeight="1" s="86">
      <c r="E2956" s="53" t="inlineStr">
        <is>
          <t>VA</t>
        </is>
      </c>
      <c r="F2956" s="53" t="inlineStr">
        <is>
          <t>ISLE OF WIGHT</t>
        </is>
      </c>
      <c r="G2956" s="59" t="n"/>
      <c r="X2956" s="61" t="n"/>
      <c r="Y2956" s="61" t="n"/>
    </row>
    <row r="2957" ht="14.25" customHeight="1" s="86">
      <c r="E2957" s="53" t="inlineStr">
        <is>
          <t>VA</t>
        </is>
      </c>
      <c r="F2957" s="53" t="inlineStr">
        <is>
          <t>JAMES CITY</t>
        </is>
      </c>
      <c r="G2957" s="59" t="n"/>
      <c r="X2957" s="61" t="n"/>
      <c r="Y2957" s="61" t="n"/>
    </row>
    <row r="2958" ht="14.25" customHeight="1" s="86">
      <c r="E2958" s="53" t="inlineStr">
        <is>
          <t>VA</t>
        </is>
      </c>
      <c r="F2958" s="53" t="inlineStr">
        <is>
          <t>KING AND QUEEN</t>
        </is>
      </c>
      <c r="G2958" s="59" t="n"/>
      <c r="X2958" s="61" t="n"/>
      <c r="Y2958" s="61" t="n"/>
    </row>
    <row r="2959" ht="14.25" customHeight="1" s="86">
      <c r="E2959" s="53" t="inlineStr">
        <is>
          <t>VA</t>
        </is>
      </c>
      <c r="F2959" s="53" t="inlineStr">
        <is>
          <t>KING GEORGE</t>
        </is>
      </c>
      <c r="G2959" s="59" t="n"/>
      <c r="X2959" s="61" t="n"/>
      <c r="Y2959" s="61" t="n"/>
    </row>
    <row r="2960" ht="14.25" customHeight="1" s="86">
      <c r="E2960" s="53" t="inlineStr">
        <is>
          <t>VA</t>
        </is>
      </c>
      <c r="F2960" s="53" t="inlineStr">
        <is>
          <t>KING WILLIAM</t>
        </is>
      </c>
      <c r="G2960" s="59" t="n"/>
      <c r="X2960" s="61" t="n"/>
      <c r="Y2960" s="61" t="n"/>
    </row>
    <row r="2961" ht="14.25" customHeight="1" s="86">
      <c r="E2961" s="53" t="inlineStr">
        <is>
          <t>VA</t>
        </is>
      </c>
      <c r="F2961" s="53" t="inlineStr">
        <is>
          <t>LANCASTER</t>
        </is>
      </c>
      <c r="G2961" s="59" t="n"/>
      <c r="X2961" s="61" t="n"/>
      <c r="Y2961" s="61" t="n"/>
    </row>
    <row r="2962" ht="14.25" customHeight="1" s="86">
      <c r="E2962" s="53" t="inlineStr">
        <is>
          <t>VA</t>
        </is>
      </c>
      <c r="F2962" s="53" t="inlineStr">
        <is>
          <t>LEE</t>
        </is>
      </c>
      <c r="G2962" s="59" t="n"/>
      <c r="X2962" s="61" t="n"/>
      <c r="Y2962" s="61" t="n"/>
    </row>
    <row r="2963" ht="14.25" customHeight="1" s="86">
      <c r="E2963" s="53" t="inlineStr">
        <is>
          <t>VA</t>
        </is>
      </c>
      <c r="F2963" s="53" t="inlineStr">
        <is>
          <t>LEXINGTON CITY</t>
        </is>
      </c>
      <c r="G2963" s="59" t="n"/>
      <c r="X2963" s="61" t="n"/>
      <c r="Y2963" s="61" t="n"/>
    </row>
    <row r="2964" ht="14.25" customHeight="1" s="86">
      <c r="E2964" s="53" t="inlineStr">
        <is>
          <t>VA</t>
        </is>
      </c>
      <c r="F2964" s="53" t="inlineStr">
        <is>
          <t>LOUDOUN</t>
        </is>
      </c>
      <c r="G2964" s="59" t="n"/>
      <c r="X2964" s="61" t="n"/>
      <c r="Y2964" s="61" t="n"/>
    </row>
    <row r="2965" ht="14.25" customHeight="1" s="86">
      <c r="E2965" s="53" t="inlineStr">
        <is>
          <t>VA</t>
        </is>
      </c>
      <c r="F2965" s="53" t="inlineStr">
        <is>
          <t>LOUISA</t>
        </is>
      </c>
      <c r="G2965" s="59" t="n"/>
      <c r="X2965" s="61" t="n"/>
      <c r="Y2965" s="61" t="n"/>
    </row>
    <row r="2966" ht="14.25" customHeight="1" s="86">
      <c r="E2966" s="53" t="inlineStr">
        <is>
          <t>VA</t>
        </is>
      </c>
      <c r="F2966" s="53" t="inlineStr">
        <is>
          <t>LUNENBURG</t>
        </is>
      </c>
      <c r="G2966" s="59" t="n"/>
      <c r="X2966" s="61" t="n"/>
      <c r="Y2966" s="61" t="n"/>
    </row>
    <row r="2967" ht="14.25" customHeight="1" s="86">
      <c r="E2967" s="53" t="inlineStr">
        <is>
          <t>VA</t>
        </is>
      </c>
      <c r="F2967" s="53" t="inlineStr">
        <is>
          <t>LYNCHBURG CITY</t>
        </is>
      </c>
      <c r="G2967" s="59" t="n"/>
      <c r="X2967" s="61" t="n"/>
      <c r="Y2967" s="61" t="n"/>
    </row>
    <row r="2968" ht="14.25" customHeight="1" s="86">
      <c r="E2968" s="53" t="inlineStr">
        <is>
          <t>VA</t>
        </is>
      </c>
      <c r="F2968" s="53" t="inlineStr">
        <is>
          <t>MADISON</t>
        </is>
      </c>
      <c r="G2968" s="59" t="n"/>
      <c r="X2968" s="61" t="n"/>
      <c r="Y2968" s="61" t="n"/>
    </row>
    <row r="2969" ht="14.25" customHeight="1" s="86">
      <c r="E2969" s="53" t="inlineStr">
        <is>
          <t>VA</t>
        </is>
      </c>
      <c r="F2969" s="53" t="inlineStr">
        <is>
          <t>MANASSAS CITY</t>
        </is>
      </c>
      <c r="G2969" s="59" t="n"/>
      <c r="X2969" s="61" t="n"/>
      <c r="Y2969" s="61" t="n"/>
    </row>
    <row r="2970" ht="14.25" customHeight="1" s="86">
      <c r="E2970" s="53" t="inlineStr">
        <is>
          <t>VA</t>
        </is>
      </c>
      <c r="F2970" s="53" t="inlineStr">
        <is>
          <t>MANASSAS PARK CITY</t>
        </is>
      </c>
      <c r="G2970" s="59" t="n"/>
      <c r="X2970" s="61" t="n"/>
      <c r="Y2970" s="61" t="n"/>
    </row>
    <row r="2971" ht="14.25" customHeight="1" s="86">
      <c r="E2971" s="53" t="inlineStr">
        <is>
          <t>VA</t>
        </is>
      </c>
      <c r="F2971" s="53" t="inlineStr">
        <is>
          <t>MARTINSVILLE CITY</t>
        </is>
      </c>
      <c r="G2971" s="59" t="n"/>
      <c r="X2971" s="61" t="n"/>
      <c r="Y2971" s="61" t="n"/>
    </row>
    <row r="2972" ht="14.25" customHeight="1" s="86">
      <c r="E2972" s="53" t="inlineStr">
        <is>
          <t>VA</t>
        </is>
      </c>
      <c r="F2972" s="53" t="inlineStr">
        <is>
          <t>MATHEWS</t>
        </is>
      </c>
      <c r="G2972" s="59" t="n"/>
      <c r="X2972" s="61" t="n"/>
      <c r="Y2972" s="61" t="n"/>
    </row>
    <row r="2973" ht="14.25" customHeight="1" s="86">
      <c r="E2973" s="53" t="inlineStr">
        <is>
          <t>VA</t>
        </is>
      </c>
      <c r="F2973" s="53" t="inlineStr">
        <is>
          <t>MECKLENBURG</t>
        </is>
      </c>
      <c r="G2973" s="59" t="n"/>
      <c r="X2973" s="61" t="n"/>
      <c r="Y2973" s="61" t="n"/>
    </row>
    <row r="2974" ht="14.25" customHeight="1" s="86">
      <c r="E2974" s="53" t="inlineStr">
        <is>
          <t>VA</t>
        </is>
      </c>
      <c r="F2974" s="53" t="inlineStr">
        <is>
          <t>MIDDLESEX</t>
        </is>
      </c>
      <c r="G2974" s="59" t="n"/>
      <c r="X2974" s="61" t="n"/>
      <c r="Y2974" s="61" t="n"/>
    </row>
    <row r="2975" ht="14.25" customHeight="1" s="86">
      <c r="E2975" s="53" t="inlineStr">
        <is>
          <t>VA</t>
        </is>
      </c>
      <c r="F2975" s="53" t="inlineStr">
        <is>
          <t>MONTGOMERY</t>
        </is>
      </c>
      <c r="G2975" s="59" t="n"/>
      <c r="X2975" s="61" t="n"/>
      <c r="Y2975" s="61" t="n"/>
    </row>
    <row r="2976" ht="14.25" customHeight="1" s="86">
      <c r="E2976" s="53" t="inlineStr">
        <is>
          <t>VA</t>
        </is>
      </c>
      <c r="F2976" s="53" t="inlineStr">
        <is>
          <t>NELSON</t>
        </is>
      </c>
      <c r="G2976" s="59" t="n"/>
      <c r="X2976" s="61" t="n"/>
      <c r="Y2976" s="61" t="n"/>
    </row>
    <row r="2977" ht="14.25" customHeight="1" s="86">
      <c r="E2977" s="53" t="inlineStr">
        <is>
          <t>VA</t>
        </is>
      </c>
      <c r="F2977" s="53" t="inlineStr">
        <is>
          <t>NEW KENT</t>
        </is>
      </c>
      <c r="G2977" s="59" t="n"/>
      <c r="X2977" s="61" t="n"/>
      <c r="Y2977" s="61" t="n"/>
    </row>
    <row r="2978" ht="14.25" customHeight="1" s="86">
      <c r="E2978" s="53" t="inlineStr">
        <is>
          <t>VA</t>
        </is>
      </c>
      <c r="F2978" s="53" t="inlineStr">
        <is>
          <t>NEWPORT NEWS CITY</t>
        </is>
      </c>
      <c r="G2978" s="59" t="n"/>
      <c r="X2978" s="61" t="n"/>
      <c r="Y2978" s="61" t="n"/>
    </row>
    <row r="2979" ht="14.25" customHeight="1" s="86">
      <c r="E2979" s="53" t="inlineStr">
        <is>
          <t>VA</t>
        </is>
      </c>
      <c r="F2979" s="53" t="inlineStr">
        <is>
          <t>NORFOLK CITY</t>
        </is>
      </c>
      <c r="G2979" s="59" t="n"/>
      <c r="X2979" s="61" t="n"/>
      <c r="Y2979" s="61" t="n"/>
    </row>
    <row r="2980" ht="14.25" customHeight="1" s="86">
      <c r="E2980" s="53" t="inlineStr">
        <is>
          <t>VA</t>
        </is>
      </c>
      <c r="F2980" s="53" t="inlineStr">
        <is>
          <t>NORTHAMPTON</t>
        </is>
      </c>
      <c r="G2980" s="59" t="n"/>
      <c r="X2980" s="61" t="n"/>
      <c r="Y2980" s="61" t="n"/>
    </row>
    <row r="2981" ht="14.25" customHeight="1" s="86">
      <c r="E2981" s="53" t="inlineStr">
        <is>
          <t>VA</t>
        </is>
      </c>
      <c r="F2981" s="53" t="inlineStr">
        <is>
          <t>NORTHUMBERLAND</t>
        </is>
      </c>
      <c r="G2981" s="59" t="n"/>
      <c r="X2981" s="61" t="n"/>
      <c r="Y2981" s="61" t="n"/>
    </row>
    <row r="2982" ht="14.25" customHeight="1" s="86">
      <c r="E2982" s="53" t="inlineStr">
        <is>
          <t>VA</t>
        </is>
      </c>
      <c r="F2982" s="53" t="inlineStr">
        <is>
          <t>NORTON CITY</t>
        </is>
      </c>
      <c r="G2982" s="59" t="n"/>
      <c r="X2982" s="61" t="n"/>
      <c r="Y2982" s="61" t="n"/>
    </row>
    <row r="2983" ht="14.25" customHeight="1" s="86">
      <c r="E2983" s="53" t="inlineStr">
        <is>
          <t>VA</t>
        </is>
      </c>
      <c r="F2983" s="53" t="inlineStr">
        <is>
          <t>NOTTOWAY</t>
        </is>
      </c>
      <c r="G2983" s="59" t="n"/>
      <c r="X2983" s="61" t="n"/>
      <c r="Y2983" s="61" t="n"/>
    </row>
    <row r="2984" ht="14.25" customHeight="1" s="86">
      <c r="E2984" s="53" t="inlineStr">
        <is>
          <t>VA</t>
        </is>
      </c>
      <c r="F2984" s="53" t="inlineStr">
        <is>
          <t>ORANGE</t>
        </is>
      </c>
      <c r="G2984" s="59" t="n"/>
      <c r="X2984" s="61" t="n"/>
      <c r="Y2984" s="61" t="n"/>
    </row>
    <row r="2985" ht="14.25" customHeight="1" s="86">
      <c r="E2985" s="53" t="inlineStr">
        <is>
          <t>VA</t>
        </is>
      </c>
      <c r="F2985" s="53" t="inlineStr">
        <is>
          <t>PAGE</t>
        </is>
      </c>
      <c r="G2985" s="59" t="n"/>
      <c r="X2985" s="61" t="n"/>
      <c r="Y2985" s="61" t="n"/>
    </row>
    <row r="2986" ht="14.25" customHeight="1" s="86">
      <c r="E2986" s="53" t="inlineStr">
        <is>
          <t>VA</t>
        </is>
      </c>
      <c r="F2986" s="53" t="inlineStr">
        <is>
          <t>PATRICK</t>
        </is>
      </c>
      <c r="G2986" s="59" t="n"/>
      <c r="X2986" s="61" t="n"/>
      <c r="Y2986" s="61" t="n"/>
    </row>
    <row r="2987" ht="14.25" customHeight="1" s="86">
      <c r="E2987" s="53" t="inlineStr">
        <is>
          <t>VA</t>
        </is>
      </c>
      <c r="F2987" s="53" t="inlineStr">
        <is>
          <t>PETERSBURG CITY</t>
        </is>
      </c>
      <c r="G2987" s="59" t="n"/>
      <c r="X2987" s="61" t="n"/>
      <c r="Y2987" s="61" t="n"/>
    </row>
    <row r="2988" ht="14.25" customHeight="1" s="86">
      <c r="E2988" s="53" t="inlineStr">
        <is>
          <t>VA</t>
        </is>
      </c>
      <c r="F2988" s="53" t="inlineStr">
        <is>
          <t>PITTSYLVANIA</t>
        </is>
      </c>
      <c r="G2988" s="59" t="n"/>
      <c r="X2988" s="61" t="n"/>
      <c r="Y2988" s="61" t="n"/>
    </row>
    <row r="2989" ht="14.25" customHeight="1" s="86">
      <c r="E2989" s="53" t="inlineStr">
        <is>
          <t>VA</t>
        </is>
      </c>
      <c r="F2989" s="53" t="inlineStr">
        <is>
          <t>POQUOSON CITY</t>
        </is>
      </c>
      <c r="G2989" s="59" t="n"/>
      <c r="X2989" s="61" t="n"/>
      <c r="Y2989" s="61" t="n"/>
    </row>
    <row r="2990" ht="14.25" customHeight="1" s="86">
      <c r="E2990" s="53" t="inlineStr">
        <is>
          <t>VA</t>
        </is>
      </c>
      <c r="F2990" s="53" t="inlineStr">
        <is>
          <t>PORTSMOUTH CITY</t>
        </is>
      </c>
      <c r="G2990" s="59" t="n"/>
      <c r="X2990" s="61" t="n"/>
      <c r="Y2990" s="61" t="n"/>
    </row>
    <row r="2991" ht="14.25" customHeight="1" s="86">
      <c r="E2991" s="53" t="inlineStr">
        <is>
          <t>VA</t>
        </is>
      </c>
      <c r="F2991" s="53" t="inlineStr">
        <is>
          <t>POWHATAN</t>
        </is>
      </c>
      <c r="G2991" s="59" t="n"/>
      <c r="X2991" s="61" t="n"/>
      <c r="Y2991" s="61" t="n"/>
    </row>
    <row r="2992" ht="14.25" customHeight="1" s="86">
      <c r="E2992" s="53" t="inlineStr">
        <is>
          <t>VA</t>
        </is>
      </c>
      <c r="F2992" s="53" t="inlineStr">
        <is>
          <t>PRINCE EDWARD</t>
        </is>
      </c>
      <c r="G2992" s="59" t="n"/>
      <c r="X2992" s="61" t="n"/>
      <c r="Y2992" s="61" t="n"/>
    </row>
    <row r="2993" ht="14.25" customHeight="1" s="86">
      <c r="E2993" s="53" t="inlineStr">
        <is>
          <t>VA</t>
        </is>
      </c>
      <c r="F2993" s="53" t="inlineStr">
        <is>
          <t>PRINCE GEORGE</t>
        </is>
      </c>
      <c r="G2993" s="59" t="n"/>
      <c r="X2993" s="61" t="n"/>
      <c r="Y2993" s="61" t="n"/>
    </row>
    <row r="2994" ht="14.25" customHeight="1" s="86">
      <c r="E2994" s="53" t="inlineStr">
        <is>
          <t>VA</t>
        </is>
      </c>
      <c r="F2994" s="53" t="inlineStr">
        <is>
          <t>PRINCE WILLIAM</t>
        </is>
      </c>
      <c r="G2994" s="59" t="n"/>
      <c r="X2994" s="61" t="n"/>
      <c r="Y2994" s="61" t="n"/>
    </row>
    <row r="2995" ht="14.25" customHeight="1" s="86">
      <c r="E2995" s="53" t="inlineStr">
        <is>
          <t>VA</t>
        </is>
      </c>
      <c r="F2995" s="53" t="inlineStr">
        <is>
          <t>PULASKI</t>
        </is>
      </c>
      <c r="G2995" s="59" t="n"/>
      <c r="X2995" s="61" t="n"/>
      <c r="Y2995" s="61" t="n"/>
    </row>
    <row r="2996" ht="14.25" customHeight="1" s="86">
      <c r="E2996" s="53" t="inlineStr">
        <is>
          <t>VA</t>
        </is>
      </c>
      <c r="F2996" s="53" t="inlineStr">
        <is>
          <t>RADFORD</t>
        </is>
      </c>
      <c r="G2996" s="59" t="n"/>
      <c r="X2996" s="61" t="n"/>
      <c r="Y2996" s="61" t="n"/>
    </row>
    <row r="2997" ht="14.25" customHeight="1" s="86">
      <c r="E2997" s="53" t="inlineStr">
        <is>
          <t>VA</t>
        </is>
      </c>
      <c r="F2997" s="53" t="inlineStr">
        <is>
          <t>RAPPAHANNOCK</t>
        </is>
      </c>
      <c r="G2997" s="59" t="n"/>
      <c r="X2997" s="61" t="n"/>
      <c r="Y2997" s="61" t="n"/>
    </row>
    <row r="2998" ht="14.25" customHeight="1" s="86">
      <c r="E2998" s="53" t="inlineStr">
        <is>
          <t>VA</t>
        </is>
      </c>
      <c r="F2998" s="53" t="inlineStr">
        <is>
          <t>RICHMOND</t>
        </is>
      </c>
      <c r="G2998" s="59" t="n"/>
      <c r="X2998" s="61" t="n"/>
      <c r="Y2998" s="61" t="n"/>
    </row>
    <row r="2999" ht="14.25" customHeight="1" s="86">
      <c r="E2999" s="53" t="inlineStr">
        <is>
          <t>VA</t>
        </is>
      </c>
      <c r="F2999" s="53" t="inlineStr">
        <is>
          <t>RICHMOND CITY</t>
        </is>
      </c>
      <c r="G2999" s="59" t="n"/>
      <c r="X2999" s="61" t="n"/>
      <c r="Y2999" s="61" t="n"/>
    </row>
    <row r="3000" ht="14.25" customHeight="1" s="86">
      <c r="E3000" s="53" t="inlineStr">
        <is>
          <t>VA</t>
        </is>
      </c>
      <c r="F3000" s="53" t="inlineStr">
        <is>
          <t>ROANOKE</t>
        </is>
      </c>
      <c r="G3000" s="59" t="n"/>
      <c r="X3000" s="61" t="n"/>
      <c r="Y3000" s="61" t="n"/>
    </row>
    <row r="3001" ht="14.25" customHeight="1" s="86">
      <c r="E3001" s="53" t="inlineStr">
        <is>
          <t>VA</t>
        </is>
      </c>
      <c r="F3001" s="53" t="inlineStr">
        <is>
          <t>ROANOKE CITY</t>
        </is>
      </c>
      <c r="G3001" s="59" t="n"/>
      <c r="X3001" s="61" t="n"/>
      <c r="Y3001" s="61" t="n"/>
    </row>
    <row r="3002" ht="14.25" customHeight="1" s="86">
      <c r="E3002" s="53" t="inlineStr">
        <is>
          <t>VA</t>
        </is>
      </c>
      <c r="F3002" s="53" t="inlineStr">
        <is>
          <t>ROCKBRIDGE</t>
        </is>
      </c>
      <c r="G3002" s="59" t="n"/>
      <c r="X3002" s="61" t="n"/>
      <c r="Y3002" s="61" t="n"/>
    </row>
    <row r="3003" ht="14.25" customHeight="1" s="86">
      <c r="E3003" s="53" t="inlineStr">
        <is>
          <t>VA</t>
        </is>
      </c>
      <c r="F3003" s="53" t="inlineStr">
        <is>
          <t>ROCKINGHAM</t>
        </is>
      </c>
      <c r="G3003" s="59" t="n"/>
      <c r="X3003" s="61" t="n"/>
      <c r="Y3003" s="61" t="n"/>
    </row>
    <row r="3004" ht="14.25" customHeight="1" s="86">
      <c r="E3004" s="53" t="inlineStr">
        <is>
          <t>VA</t>
        </is>
      </c>
      <c r="F3004" s="53" t="inlineStr">
        <is>
          <t>RUSSELL</t>
        </is>
      </c>
      <c r="G3004" s="59" t="n"/>
      <c r="X3004" s="61" t="n"/>
      <c r="Y3004" s="61" t="n"/>
    </row>
    <row r="3005" ht="14.25" customHeight="1" s="86">
      <c r="E3005" s="53" t="inlineStr">
        <is>
          <t>VA</t>
        </is>
      </c>
      <c r="F3005" s="53" t="inlineStr">
        <is>
          <t>SALEM</t>
        </is>
      </c>
      <c r="G3005" s="59" t="n"/>
      <c r="X3005" s="61" t="n"/>
      <c r="Y3005" s="61" t="n"/>
    </row>
    <row r="3006" ht="14.25" customHeight="1" s="86">
      <c r="E3006" s="53" t="inlineStr">
        <is>
          <t>VA</t>
        </is>
      </c>
      <c r="F3006" s="53" t="inlineStr">
        <is>
          <t>SCOTT</t>
        </is>
      </c>
      <c r="G3006" s="59" t="n"/>
      <c r="X3006" s="61" t="n"/>
      <c r="Y3006" s="61" t="n"/>
    </row>
    <row r="3007" ht="14.25" customHeight="1" s="86">
      <c r="E3007" s="53" t="inlineStr">
        <is>
          <t>VA</t>
        </is>
      </c>
      <c r="F3007" s="53" t="inlineStr">
        <is>
          <t>SHENANDOAH</t>
        </is>
      </c>
      <c r="G3007" s="59" t="n"/>
      <c r="X3007" s="61" t="n"/>
      <c r="Y3007" s="61" t="n"/>
    </row>
    <row r="3008" ht="14.25" customHeight="1" s="86">
      <c r="E3008" s="53" t="inlineStr">
        <is>
          <t>VA</t>
        </is>
      </c>
      <c r="F3008" s="53" t="inlineStr">
        <is>
          <t>SMYTH</t>
        </is>
      </c>
      <c r="G3008" s="59" t="n"/>
      <c r="X3008" s="61" t="n"/>
      <c r="Y3008" s="61" t="n"/>
    </row>
    <row r="3009" ht="14.25" customHeight="1" s="86">
      <c r="E3009" s="53" t="inlineStr">
        <is>
          <t>VA</t>
        </is>
      </c>
      <c r="F3009" s="53" t="inlineStr">
        <is>
          <t>SOUTHAMPTON</t>
        </is>
      </c>
      <c r="G3009" s="59" t="n"/>
      <c r="X3009" s="61" t="n"/>
      <c r="Y3009" s="61" t="n"/>
    </row>
    <row r="3010" ht="14.25" customHeight="1" s="86">
      <c r="E3010" s="53" t="inlineStr">
        <is>
          <t>VA</t>
        </is>
      </c>
      <c r="F3010" s="53" t="inlineStr">
        <is>
          <t>SPOTSYLVANIA</t>
        </is>
      </c>
      <c r="G3010" s="59" t="n"/>
      <c r="X3010" s="61" t="n"/>
      <c r="Y3010" s="61" t="n"/>
    </row>
    <row r="3011" ht="14.25" customHeight="1" s="86">
      <c r="E3011" s="53" t="inlineStr">
        <is>
          <t>VA</t>
        </is>
      </c>
      <c r="F3011" s="53" t="inlineStr">
        <is>
          <t>STAFFORD</t>
        </is>
      </c>
      <c r="G3011" s="59" t="n"/>
      <c r="X3011" s="61" t="n"/>
      <c r="Y3011" s="61" t="n"/>
    </row>
    <row r="3012" ht="14.25" customHeight="1" s="86">
      <c r="E3012" s="53" t="inlineStr">
        <is>
          <t>VA</t>
        </is>
      </c>
      <c r="F3012" s="53" t="inlineStr">
        <is>
          <t>STAUNTON CITY</t>
        </is>
      </c>
      <c r="G3012" s="59" t="n"/>
      <c r="X3012" s="61" t="n"/>
      <c r="Y3012" s="61" t="n"/>
    </row>
    <row r="3013" ht="14.25" customHeight="1" s="86">
      <c r="E3013" s="53" t="inlineStr">
        <is>
          <t>VA</t>
        </is>
      </c>
      <c r="F3013" s="53" t="inlineStr">
        <is>
          <t>SUFFOLK CITY</t>
        </is>
      </c>
      <c r="G3013" s="59" t="n"/>
      <c r="X3013" s="61" t="n"/>
      <c r="Y3013" s="61" t="n"/>
    </row>
    <row r="3014" ht="14.25" customHeight="1" s="86">
      <c r="E3014" s="53" t="inlineStr">
        <is>
          <t>VA</t>
        </is>
      </c>
      <c r="F3014" s="53" t="inlineStr">
        <is>
          <t>SURRY</t>
        </is>
      </c>
      <c r="G3014" s="59" t="n"/>
      <c r="X3014" s="61" t="n"/>
      <c r="Y3014" s="61" t="n"/>
    </row>
    <row r="3015" ht="14.25" customHeight="1" s="86">
      <c r="E3015" s="53" t="inlineStr">
        <is>
          <t>VA</t>
        </is>
      </c>
      <c r="F3015" s="53" t="inlineStr">
        <is>
          <t>SUSSEX</t>
        </is>
      </c>
      <c r="G3015" s="59" t="n"/>
      <c r="X3015" s="61" t="n"/>
      <c r="Y3015" s="61" t="n"/>
    </row>
    <row r="3016" ht="14.25" customHeight="1" s="86">
      <c r="E3016" s="53" t="inlineStr">
        <is>
          <t>VA</t>
        </is>
      </c>
      <c r="F3016" s="53" t="inlineStr">
        <is>
          <t>TAZEWELL</t>
        </is>
      </c>
      <c r="G3016" s="59" t="n"/>
      <c r="X3016" s="61" t="n"/>
      <c r="Y3016" s="61" t="n"/>
    </row>
    <row r="3017" ht="14.25" customHeight="1" s="86">
      <c r="E3017" s="53" t="inlineStr">
        <is>
          <t>VA</t>
        </is>
      </c>
      <c r="F3017" s="53" t="inlineStr">
        <is>
          <t>VIRGINIA BEACH CITY</t>
        </is>
      </c>
      <c r="G3017" s="59" t="n"/>
      <c r="X3017" s="61" t="n"/>
      <c r="Y3017" s="61" t="n"/>
    </row>
    <row r="3018" ht="14.25" customHeight="1" s="86">
      <c r="E3018" s="53" t="inlineStr">
        <is>
          <t>VA</t>
        </is>
      </c>
      <c r="F3018" s="53" t="inlineStr">
        <is>
          <t>WARREN</t>
        </is>
      </c>
      <c r="G3018" s="59" t="n"/>
      <c r="X3018" s="61" t="n"/>
      <c r="Y3018" s="61" t="n"/>
    </row>
    <row r="3019" ht="14.25" customHeight="1" s="86">
      <c r="E3019" s="53" t="inlineStr">
        <is>
          <t>VA</t>
        </is>
      </c>
      <c r="F3019" s="53" t="inlineStr">
        <is>
          <t>WASHINGTON</t>
        </is>
      </c>
      <c r="G3019" s="59" t="n"/>
      <c r="X3019" s="61" t="n"/>
      <c r="Y3019" s="61" t="n"/>
    </row>
    <row r="3020" ht="14.25" customHeight="1" s="86">
      <c r="E3020" s="53" t="inlineStr">
        <is>
          <t>VA</t>
        </is>
      </c>
      <c r="F3020" s="53" t="inlineStr">
        <is>
          <t>WAYNESBORO CITY</t>
        </is>
      </c>
      <c r="G3020" s="59" t="n"/>
      <c r="X3020" s="61" t="n"/>
      <c r="Y3020" s="61" t="n"/>
    </row>
    <row r="3021" ht="14.25" customHeight="1" s="86">
      <c r="E3021" s="53" t="inlineStr">
        <is>
          <t>VA</t>
        </is>
      </c>
      <c r="F3021" s="53" t="inlineStr">
        <is>
          <t>WESTMORELAND</t>
        </is>
      </c>
      <c r="G3021" s="59" t="n"/>
      <c r="X3021" s="61" t="n"/>
      <c r="Y3021" s="61" t="n"/>
    </row>
    <row r="3022" ht="14.25" customHeight="1" s="86">
      <c r="E3022" s="53" t="inlineStr">
        <is>
          <t>VA</t>
        </is>
      </c>
      <c r="F3022" s="53" t="inlineStr">
        <is>
          <t>WILLIAMSBURG CITY</t>
        </is>
      </c>
      <c r="G3022" s="59" t="n"/>
      <c r="X3022" s="61" t="n"/>
      <c r="Y3022" s="61" t="n"/>
    </row>
    <row r="3023" ht="14.25" customHeight="1" s="86">
      <c r="E3023" s="53" t="inlineStr">
        <is>
          <t>VA</t>
        </is>
      </c>
      <c r="F3023" s="53" t="inlineStr">
        <is>
          <t>WINCHESTER CITY</t>
        </is>
      </c>
      <c r="G3023" s="59" t="n"/>
      <c r="X3023" s="61" t="n"/>
      <c r="Y3023" s="61" t="n"/>
    </row>
    <row r="3024" ht="14.25" customHeight="1" s="86">
      <c r="E3024" s="53" t="inlineStr">
        <is>
          <t>VA</t>
        </is>
      </c>
      <c r="F3024" s="53" t="inlineStr">
        <is>
          <t>WISE</t>
        </is>
      </c>
      <c r="G3024" s="59" t="n"/>
      <c r="X3024" s="61" t="n"/>
      <c r="Y3024" s="61" t="n"/>
    </row>
    <row r="3025" ht="14.25" customHeight="1" s="86">
      <c r="E3025" s="53" t="inlineStr">
        <is>
          <t>VA</t>
        </is>
      </c>
      <c r="F3025" s="53" t="inlineStr">
        <is>
          <t>WYTHE</t>
        </is>
      </c>
      <c r="G3025" s="59" t="n"/>
      <c r="X3025" s="61" t="n"/>
      <c r="Y3025" s="61" t="n"/>
    </row>
    <row r="3026" ht="14.25" customHeight="1" s="86">
      <c r="E3026" s="53" t="inlineStr">
        <is>
          <t>VA</t>
        </is>
      </c>
      <c r="F3026" s="53" t="inlineStr">
        <is>
          <t>YORK</t>
        </is>
      </c>
      <c r="G3026" s="59" t="n"/>
      <c r="X3026" s="61" t="n"/>
      <c r="Y3026" s="61" t="n"/>
    </row>
    <row r="3027" ht="14.25" customHeight="1" s="86">
      <c r="E3027" s="53" t="inlineStr">
        <is>
          <t>VI</t>
        </is>
      </c>
      <c r="F3027" s="53" t="inlineStr">
        <is>
          <t>SAINT CROIX</t>
        </is>
      </c>
      <c r="G3027" s="59" t="n"/>
      <c r="X3027" s="61" t="n"/>
      <c r="Y3027" s="61" t="n"/>
    </row>
    <row r="3028" ht="14.25" customHeight="1" s="86">
      <c r="E3028" s="53" t="inlineStr">
        <is>
          <t>VI</t>
        </is>
      </c>
      <c r="F3028" s="53" t="inlineStr">
        <is>
          <t>SAINT JOHN</t>
        </is>
      </c>
      <c r="G3028" s="59" t="n"/>
      <c r="X3028" s="61" t="n"/>
      <c r="Y3028" s="61" t="n"/>
    </row>
    <row r="3029" ht="14.25" customHeight="1" s="86">
      <c r="E3029" s="53" t="inlineStr">
        <is>
          <t>VI</t>
        </is>
      </c>
      <c r="F3029" s="53" t="inlineStr">
        <is>
          <t>SAINT THOMAS</t>
        </is>
      </c>
      <c r="G3029" s="59" t="n"/>
      <c r="X3029" s="61" t="n"/>
      <c r="Y3029" s="61" t="n"/>
    </row>
    <row r="3030" ht="14.25" customHeight="1" s="86">
      <c r="E3030" s="53" t="inlineStr">
        <is>
          <t>VT</t>
        </is>
      </c>
      <c r="F3030" s="53" t="inlineStr">
        <is>
          <t>ADDISON</t>
        </is>
      </c>
      <c r="G3030" s="59" t="n"/>
      <c r="X3030" s="61" t="n"/>
      <c r="Y3030" s="61" t="n"/>
    </row>
    <row r="3031" ht="14.25" customHeight="1" s="86">
      <c r="E3031" s="53" t="inlineStr">
        <is>
          <t>VT</t>
        </is>
      </c>
      <c r="F3031" s="53" t="inlineStr">
        <is>
          <t>BENNINGTON</t>
        </is>
      </c>
      <c r="G3031" s="59" t="n"/>
      <c r="X3031" s="61" t="n"/>
      <c r="Y3031" s="61" t="n"/>
    </row>
    <row r="3032" ht="14.25" customHeight="1" s="86">
      <c r="E3032" s="53" t="inlineStr">
        <is>
          <t>VT</t>
        </is>
      </c>
      <c r="F3032" s="53" t="inlineStr">
        <is>
          <t>CALEDONIA</t>
        </is>
      </c>
      <c r="G3032" s="59" t="n"/>
      <c r="X3032" s="61" t="n"/>
      <c r="Y3032" s="61" t="n"/>
    </row>
    <row r="3033" ht="14.25" customHeight="1" s="86">
      <c r="E3033" s="53" t="inlineStr">
        <is>
          <t>VT</t>
        </is>
      </c>
      <c r="F3033" s="53" t="inlineStr">
        <is>
          <t>CHITTENDEN</t>
        </is>
      </c>
      <c r="G3033" s="59" t="n"/>
      <c r="X3033" s="61" t="n"/>
      <c r="Y3033" s="61" t="n"/>
    </row>
    <row r="3034" ht="14.25" customHeight="1" s="86">
      <c r="E3034" s="53" t="inlineStr">
        <is>
          <t>VT</t>
        </is>
      </c>
      <c r="F3034" s="53" t="inlineStr">
        <is>
          <t>ESSEX</t>
        </is>
      </c>
      <c r="G3034" s="59" t="n"/>
      <c r="X3034" s="61" t="n"/>
      <c r="Y3034" s="61" t="n"/>
    </row>
    <row r="3035" ht="14.25" customHeight="1" s="86">
      <c r="E3035" s="53" t="inlineStr">
        <is>
          <t>VT</t>
        </is>
      </c>
      <c r="F3035" s="53" t="inlineStr">
        <is>
          <t>FRANKLIN</t>
        </is>
      </c>
      <c r="G3035" s="59" t="n"/>
      <c r="X3035" s="61" t="n"/>
      <c r="Y3035" s="61" t="n"/>
    </row>
    <row r="3036" ht="14.25" customHeight="1" s="86">
      <c r="E3036" s="53" t="inlineStr">
        <is>
          <t>VT</t>
        </is>
      </c>
      <c r="F3036" s="53" t="inlineStr">
        <is>
          <t>GRAND ISLE</t>
        </is>
      </c>
      <c r="G3036" s="59" t="n"/>
      <c r="X3036" s="61" t="n"/>
      <c r="Y3036" s="61" t="n"/>
    </row>
    <row r="3037" ht="14.25" customHeight="1" s="86">
      <c r="E3037" s="53" t="inlineStr">
        <is>
          <t>VT</t>
        </is>
      </c>
      <c r="F3037" s="53" t="inlineStr">
        <is>
          <t>LAMOILLE</t>
        </is>
      </c>
      <c r="G3037" s="59" t="n"/>
      <c r="X3037" s="61" t="n"/>
      <c r="Y3037" s="61" t="n"/>
    </row>
    <row r="3038" ht="14.25" customHeight="1" s="86">
      <c r="E3038" s="53" t="inlineStr">
        <is>
          <t>VT</t>
        </is>
      </c>
      <c r="F3038" s="53" t="inlineStr">
        <is>
          <t>ORANGE</t>
        </is>
      </c>
      <c r="G3038" s="59" t="n"/>
      <c r="X3038" s="61" t="n"/>
      <c r="Y3038" s="61" t="n"/>
    </row>
    <row r="3039" ht="14.25" customHeight="1" s="86">
      <c r="E3039" s="53" t="inlineStr">
        <is>
          <t>VT</t>
        </is>
      </c>
      <c r="F3039" s="53" t="inlineStr">
        <is>
          <t>ORLEANS</t>
        </is>
      </c>
      <c r="G3039" s="59" t="n"/>
      <c r="X3039" s="61" t="n"/>
      <c r="Y3039" s="61" t="n"/>
    </row>
    <row r="3040" ht="14.25" customHeight="1" s="86">
      <c r="E3040" s="53" t="inlineStr">
        <is>
          <t>VT</t>
        </is>
      </c>
      <c r="F3040" s="53" t="inlineStr">
        <is>
          <t>RUTLAND</t>
        </is>
      </c>
      <c r="G3040" s="59" t="n"/>
      <c r="X3040" s="61" t="n"/>
      <c r="Y3040" s="61" t="n"/>
    </row>
    <row r="3041" ht="14.25" customHeight="1" s="86">
      <c r="E3041" s="53" t="inlineStr">
        <is>
          <t>VT</t>
        </is>
      </c>
      <c r="F3041" s="53" t="inlineStr">
        <is>
          <t>WASHINGTON</t>
        </is>
      </c>
      <c r="G3041" s="59" t="n"/>
      <c r="X3041" s="61" t="n"/>
      <c r="Y3041" s="61" t="n"/>
    </row>
    <row r="3042" ht="14.25" customHeight="1" s="86">
      <c r="E3042" s="53" t="inlineStr">
        <is>
          <t>VT</t>
        </is>
      </c>
      <c r="F3042" s="53" t="inlineStr">
        <is>
          <t>WINDHAM</t>
        </is>
      </c>
      <c r="G3042" s="59" t="n"/>
      <c r="X3042" s="61" t="n"/>
      <c r="Y3042" s="61" t="n"/>
    </row>
    <row r="3043" ht="14.25" customHeight="1" s="86">
      <c r="E3043" s="53" t="inlineStr">
        <is>
          <t>VT</t>
        </is>
      </c>
      <c r="F3043" s="53" t="inlineStr">
        <is>
          <t>WINDSOR</t>
        </is>
      </c>
      <c r="G3043" s="59" t="n"/>
      <c r="X3043" s="61" t="n"/>
      <c r="Y3043" s="61" t="n"/>
    </row>
    <row r="3044" ht="14.25" customHeight="1" s="86">
      <c r="E3044" s="53" t="inlineStr">
        <is>
          <t>WA</t>
        </is>
      </c>
      <c r="F3044" s="53" t="inlineStr">
        <is>
          <t>ADAMS</t>
        </is>
      </c>
      <c r="G3044" s="59" t="n"/>
      <c r="X3044" s="61" t="n"/>
      <c r="Y3044" s="61" t="n"/>
    </row>
    <row r="3045" ht="14.25" customHeight="1" s="86">
      <c r="E3045" s="53" t="inlineStr">
        <is>
          <t>WA</t>
        </is>
      </c>
      <c r="F3045" s="53" t="inlineStr">
        <is>
          <t>ASOTIN</t>
        </is>
      </c>
      <c r="G3045" s="59" t="n"/>
      <c r="X3045" s="61" t="n"/>
      <c r="Y3045" s="61" t="n"/>
    </row>
    <row r="3046" ht="14.25" customHeight="1" s="86">
      <c r="E3046" s="53" t="inlineStr">
        <is>
          <t>WA</t>
        </is>
      </c>
      <c r="F3046" s="53" t="inlineStr">
        <is>
          <t>BENTON</t>
        </is>
      </c>
      <c r="G3046" s="59" t="n"/>
      <c r="X3046" s="61" t="n"/>
      <c r="Y3046" s="61" t="n"/>
    </row>
    <row r="3047" ht="14.25" customHeight="1" s="86">
      <c r="E3047" s="53" t="inlineStr">
        <is>
          <t>WA</t>
        </is>
      </c>
      <c r="F3047" s="53" t="inlineStr">
        <is>
          <t>CHELAN</t>
        </is>
      </c>
      <c r="G3047" s="59" t="n"/>
      <c r="X3047" s="61" t="n"/>
      <c r="Y3047" s="61" t="n"/>
    </row>
    <row r="3048" ht="14.25" customHeight="1" s="86">
      <c r="E3048" s="53" t="inlineStr">
        <is>
          <t>WA</t>
        </is>
      </c>
      <c r="F3048" s="53" t="inlineStr">
        <is>
          <t>CLALLAM</t>
        </is>
      </c>
      <c r="G3048" s="59" t="n"/>
      <c r="X3048" s="61" t="n"/>
      <c r="Y3048" s="61" t="n"/>
    </row>
    <row r="3049" ht="14.25" customHeight="1" s="86">
      <c r="E3049" s="53" t="inlineStr">
        <is>
          <t>WA</t>
        </is>
      </c>
      <c r="F3049" s="53" t="inlineStr">
        <is>
          <t>CLARK</t>
        </is>
      </c>
      <c r="G3049" s="59" t="n"/>
      <c r="X3049" s="61" t="n"/>
      <c r="Y3049" s="61" t="n"/>
    </row>
    <row r="3050" ht="14.25" customHeight="1" s="86">
      <c r="E3050" s="53" t="inlineStr">
        <is>
          <t>WA</t>
        </is>
      </c>
      <c r="F3050" s="53" t="inlineStr">
        <is>
          <t>COLUMBIA</t>
        </is>
      </c>
      <c r="G3050" s="59" t="n"/>
      <c r="X3050" s="61" t="n"/>
      <c r="Y3050" s="61" t="n"/>
    </row>
    <row r="3051" ht="14.25" customHeight="1" s="86">
      <c r="E3051" s="53" t="inlineStr">
        <is>
          <t>WA</t>
        </is>
      </c>
      <c r="F3051" s="53" t="inlineStr">
        <is>
          <t>COWLITZ</t>
        </is>
      </c>
      <c r="G3051" s="59" t="n"/>
      <c r="X3051" s="61" t="n"/>
      <c r="Y3051" s="61" t="n"/>
    </row>
    <row r="3052" ht="14.25" customHeight="1" s="86">
      <c r="E3052" s="53" t="inlineStr">
        <is>
          <t>WA</t>
        </is>
      </c>
      <c r="F3052" s="53" t="inlineStr">
        <is>
          <t>DOUGLAS</t>
        </is>
      </c>
      <c r="G3052" s="59" t="n"/>
      <c r="X3052" s="61" t="n"/>
      <c r="Y3052" s="61" t="n"/>
    </row>
    <row r="3053" ht="14.25" customHeight="1" s="86">
      <c r="E3053" s="53" t="inlineStr">
        <is>
          <t>WA</t>
        </is>
      </c>
      <c r="F3053" s="53" t="inlineStr">
        <is>
          <t>FERRY</t>
        </is>
      </c>
      <c r="G3053" s="59" t="n"/>
      <c r="X3053" s="61" t="n"/>
      <c r="Y3053" s="61" t="n"/>
    </row>
    <row r="3054" ht="14.25" customHeight="1" s="86">
      <c r="E3054" s="53" t="inlineStr">
        <is>
          <t>WA</t>
        </is>
      </c>
      <c r="F3054" s="53" t="inlineStr">
        <is>
          <t>FRANKLIN</t>
        </is>
      </c>
      <c r="G3054" s="59" t="n"/>
      <c r="X3054" s="61" t="n"/>
      <c r="Y3054" s="61" t="n"/>
    </row>
    <row r="3055" ht="14.25" customHeight="1" s="86">
      <c r="E3055" s="53" t="inlineStr">
        <is>
          <t>WA</t>
        </is>
      </c>
      <c r="F3055" s="53" t="inlineStr">
        <is>
          <t>GARFIELD</t>
        </is>
      </c>
      <c r="G3055" s="59" t="n"/>
      <c r="X3055" s="61" t="n"/>
      <c r="Y3055" s="61" t="n"/>
    </row>
    <row r="3056" ht="14.25" customHeight="1" s="86">
      <c r="E3056" s="53" t="inlineStr">
        <is>
          <t>WA</t>
        </is>
      </c>
      <c r="F3056" s="53" t="inlineStr">
        <is>
          <t>GRANT</t>
        </is>
      </c>
      <c r="G3056" s="59" t="n"/>
      <c r="X3056" s="61" t="n"/>
      <c r="Y3056" s="61" t="n"/>
    </row>
    <row r="3057" ht="14.25" customHeight="1" s="86">
      <c r="E3057" s="53" t="inlineStr">
        <is>
          <t>WA</t>
        </is>
      </c>
      <c r="F3057" s="53" t="inlineStr">
        <is>
          <t>GRAYS HARBOR</t>
        </is>
      </c>
      <c r="G3057" s="59" t="n"/>
      <c r="X3057" s="61" t="n"/>
      <c r="Y3057" s="61" t="n"/>
    </row>
    <row r="3058" ht="14.25" customHeight="1" s="86">
      <c r="E3058" s="53" t="inlineStr">
        <is>
          <t>WA</t>
        </is>
      </c>
      <c r="F3058" s="53" t="inlineStr">
        <is>
          <t>ISLAND</t>
        </is>
      </c>
      <c r="G3058" s="59" t="n"/>
      <c r="X3058" s="61" t="n"/>
      <c r="Y3058" s="61" t="n"/>
    </row>
    <row r="3059" ht="14.25" customHeight="1" s="86">
      <c r="E3059" s="53" t="inlineStr">
        <is>
          <t>WA</t>
        </is>
      </c>
      <c r="F3059" s="53" t="inlineStr">
        <is>
          <t>JEFFERSON</t>
        </is>
      </c>
      <c r="G3059" s="59" t="n"/>
      <c r="X3059" s="61" t="n"/>
      <c r="Y3059" s="61" t="n"/>
    </row>
    <row r="3060" ht="14.25" customHeight="1" s="86">
      <c r="E3060" s="53" t="inlineStr">
        <is>
          <t>WA</t>
        </is>
      </c>
      <c r="F3060" s="53" t="inlineStr">
        <is>
          <t>KING</t>
        </is>
      </c>
      <c r="G3060" s="59" t="n"/>
      <c r="X3060" s="61" t="n"/>
      <c r="Y3060" s="61" t="n"/>
    </row>
    <row r="3061" ht="14.25" customHeight="1" s="86">
      <c r="E3061" s="53" t="inlineStr">
        <is>
          <t>WA</t>
        </is>
      </c>
      <c r="F3061" s="53" t="inlineStr">
        <is>
          <t>KITSAP</t>
        </is>
      </c>
      <c r="G3061" s="59" t="n"/>
      <c r="X3061" s="61" t="n"/>
      <c r="Y3061" s="61" t="n"/>
    </row>
    <row r="3062" ht="14.25" customHeight="1" s="86">
      <c r="E3062" s="53" t="inlineStr">
        <is>
          <t>WA</t>
        </is>
      </c>
      <c r="F3062" s="53" t="inlineStr">
        <is>
          <t>KITTITAS</t>
        </is>
      </c>
      <c r="G3062" s="59" t="n"/>
      <c r="X3062" s="61" t="n"/>
      <c r="Y3062" s="61" t="n"/>
    </row>
    <row r="3063" ht="14.25" customHeight="1" s="86">
      <c r="E3063" s="53" t="inlineStr">
        <is>
          <t>WA</t>
        </is>
      </c>
      <c r="F3063" s="53" t="inlineStr">
        <is>
          <t>KLICKITAT</t>
        </is>
      </c>
      <c r="G3063" s="59" t="n"/>
      <c r="X3063" s="61" t="n"/>
      <c r="Y3063" s="61" t="n"/>
    </row>
    <row r="3064" ht="14.25" customHeight="1" s="86">
      <c r="E3064" s="53" t="inlineStr">
        <is>
          <t>WA</t>
        </is>
      </c>
      <c r="F3064" s="53" t="inlineStr">
        <is>
          <t>LEWIS</t>
        </is>
      </c>
      <c r="G3064" s="59" t="n"/>
      <c r="X3064" s="61" t="n"/>
      <c r="Y3064" s="61" t="n"/>
    </row>
    <row r="3065" ht="14.25" customHeight="1" s="86">
      <c r="E3065" s="53" t="inlineStr">
        <is>
          <t>WA</t>
        </is>
      </c>
      <c r="F3065" s="53" t="inlineStr">
        <is>
          <t>LINCOLN</t>
        </is>
      </c>
      <c r="G3065" s="59" t="n"/>
      <c r="X3065" s="61" t="n"/>
      <c r="Y3065" s="61" t="n"/>
    </row>
    <row r="3066" ht="14.25" customHeight="1" s="86">
      <c r="E3066" s="53" t="inlineStr">
        <is>
          <t>WA</t>
        </is>
      </c>
      <c r="F3066" s="53" t="inlineStr">
        <is>
          <t>MASON</t>
        </is>
      </c>
      <c r="G3066" s="59" t="n"/>
      <c r="X3066" s="61" t="n"/>
      <c r="Y3066" s="61" t="n"/>
    </row>
    <row r="3067" ht="14.25" customHeight="1" s="86">
      <c r="E3067" s="53" t="inlineStr">
        <is>
          <t>WA</t>
        </is>
      </c>
      <c r="F3067" s="53" t="inlineStr">
        <is>
          <t>OKANOGAN</t>
        </is>
      </c>
      <c r="G3067" s="59" t="n"/>
      <c r="X3067" s="61" t="n"/>
      <c r="Y3067" s="61" t="n"/>
    </row>
    <row r="3068" ht="14.25" customHeight="1" s="86">
      <c r="E3068" s="53" t="inlineStr">
        <is>
          <t>WA</t>
        </is>
      </c>
      <c r="F3068" s="53" t="inlineStr">
        <is>
          <t>PACIFIC</t>
        </is>
      </c>
      <c r="G3068" s="59" t="n"/>
      <c r="X3068" s="61" t="n"/>
      <c r="Y3068" s="61" t="n"/>
    </row>
    <row r="3069" ht="14.25" customHeight="1" s="86">
      <c r="E3069" s="53" t="inlineStr">
        <is>
          <t>WA</t>
        </is>
      </c>
      <c r="F3069" s="53" t="inlineStr">
        <is>
          <t>PEND OREILLE</t>
        </is>
      </c>
      <c r="G3069" s="59" t="n"/>
      <c r="X3069" s="61" t="n"/>
      <c r="Y3069" s="61" t="n"/>
    </row>
    <row r="3070" ht="14.25" customHeight="1" s="86">
      <c r="E3070" s="53" t="inlineStr">
        <is>
          <t>WA</t>
        </is>
      </c>
      <c r="F3070" s="53" t="inlineStr">
        <is>
          <t>PIERCE</t>
        </is>
      </c>
      <c r="G3070" s="59" t="n"/>
      <c r="X3070" s="61" t="n"/>
      <c r="Y3070" s="61" t="n"/>
    </row>
    <row r="3071" ht="14.25" customHeight="1" s="86">
      <c r="E3071" s="53" t="inlineStr">
        <is>
          <t>WA</t>
        </is>
      </c>
      <c r="F3071" s="53" t="inlineStr">
        <is>
          <t>SAN JUAN</t>
        </is>
      </c>
      <c r="G3071" s="59" t="n"/>
      <c r="X3071" s="61" t="n"/>
      <c r="Y3071" s="61" t="n"/>
    </row>
    <row r="3072" ht="14.25" customHeight="1" s="86">
      <c r="E3072" s="53" t="inlineStr">
        <is>
          <t>WA</t>
        </is>
      </c>
      <c r="F3072" s="53" t="inlineStr">
        <is>
          <t>SKAGIT</t>
        </is>
      </c>
      <c r="G3072" s="59" t="n"/>
      <c r="X3072" s="61" t="n"/>
      <c r="Y3072" s="61" t="n"/>
    </row>
    <row r="3073" ht="14.25" customHeight="1" s="86">
      <c r="E3073" s="53" t="inlineStr">
        <is>
          <t>WA</t>
        </is>
      </c>
      <c r="F3073" s="53" t="inlineStr">
        <is>
          <t>SKAMANIA</t>
        </is>
      </c>
      <c r="G3073" s="59" t="n"/>
      <c r="X3073" s="61" t="n"/>
      <c r="Y3073" s="61" t="n"/>
    </row>
    <row r="3074" ht="14.25" customHeight="1" s="86">
      <c r="E3074" s="53" t="inlineStr">
        <is>
          <t>WA</t>
        </is>
      </c>
      <c r="F3074" s="53" t="inlineStr">
        <is>
          <t>SNOHOMISH</t>
        </is>
      </c>
      <c r="G3074" s="59" t="n"/>
      <c r="X3074" s="61" t="n"/>
      <c r="Y3074" s="61" t="n"/>
    </row>
    <row r="3075" ht="14.25" customHeight="1" s="86">
      <c r="E3075" s="53" t="inlineStr">
        <is>
          <t>WA</t>
        </is>
      </c>
      <c r="F3075" s="53" t="inlineStr">
        <is>
          <t>SPOKANE</t>
        </is>
      </c>
      <c r="G3075" s="59" t="n"/>
      <c r="X3075" s="61" t="n"/>
      <c r="Y3075" s="61" t="n"/>
    </row>
    <row r="3076" ht="14.25" customHeight="1" s="86">
      <c r="E3076" s="53" t="inlineStr">
        <is>
          <t>WA</t>
        </is>
      </c>
      <c r="F3076" s="53" t="inlineStr">
        <is>
          <t>STEVENS</t>
        </is>
      </c>
      <c r="G3076" s="59" t="n"/>
      <c r="X3076" s="61" t="n"/>
      <c r="Y3076" s="61" t="n"/>
    </row>
    <row r="3077" ht="14.25" customHeight="1" s="86">
      <c r="E3077" s="53" t="inlineStr">
        <is>
          <t>WA</t>
        </is>
      </c>
      <c r="F3077" s="53" t="inlineStr">
        <is>
          <t>THURSTON</t>
        </is>
      </c>
      <c r="G3077" s="59" t="n"/>
      <c r="X3077" s="61" t="n"/>
      <c r="Y3077" s="61" t="n"/>
    </row>
    <row r="3078" ht="14.25" customHeight="1" s="86">
      <c r="E3078" s="53" t="inlineStr">
        <is>
          <t>WA</t>
        </is>
      </c>
      <c r="F3078" s="53" t="inlineStr">
        <is>
          <t>WAHKIAKUM</t>
        </is>
      </c>
      <c r="G3078" s="59" t="n"/>
      <c r="X3078" s="61" t="n"/>
      <c r="Y3078" s="61" t="n"/>
    </row>
    <row r="3079" ht="14.25" customHeight="1" s="86">
      <c r="E3079" s="53" t="inlineStr">
        <is>
          <t>WA</t>
        </is>
      </c>
      <c r="F3079" s="53" t="inlineStr">
        <is>
          <t>WALLA WALLA</t>
        </is>
      </c>
      <c r="G3079" s="59" t="n"/>
      <c r="X3079" s="61" t="n"/>
      <c r="Y3079" s="61" t="n"/>
    </row>
    <row r="3080" ht="14.25" customHeight="1" s="86">
      <c r="E3080" s="53" t="inlineStr">
        <is>
          <t>WA</t>
        </is>
      </c>
      <c r="F3080" s="53" t="inlineStr">
        <is>
          <t>WHATCOM</t>
        </is>
      </c>
      <c r="G3080" s="59" t="n"/>
      <c r="X3080" s="61" t="n"/>
      <c r="Y3080" s="61" t="n"/>
    </row>
    <row r="3081" ht="14.25" customHeight="1" s="86">
      <c r="E3081" s="53" t="inlineStr">
        <is>
          <t>WA</t>
        </is>
      </c>
      <c r="F3081" s="53" t="inlineStr">
        <is>
          <t>WHITMAN</t>
        </is>
      </c>
      <c r="G3081" s="59" t="n"/>
      <c r="X3081" s="61" t="n"/>
      <c r="Y3081" s="61" t="n"/>
    </row>
    <row r="3082" ht="14.25" customHeight="1" s="86">
      <c r="E3082" s="53" t="inlineStr">
        <is>
          <t>WA</t>
        </is>
      </c>
      <c r="F3082" s="53" t="inlineStr">
        <is>
          <t>YAKIMA</t>
        </is>
      </c>
      <c r="G3082" s="59" t="n"/>
      <c r="X3082" s="61" t="n"/>
      <c r="Y3082" s="61" t="n"/>
    </row>
    <row r="3083" ht="14.25" customHeight="1" s="86">
      <c r="E3083" s="53" t="inlineStr">
        <is>
          <t>WI</t>
        </is>
      </c>
      <c r="F3083" s="53" t="inlineStr">
        <is>
          <t>ADAMS</t>
        </is>
      </c>
      <c r="G3083" s="59" t="n"/>
      <c r="X3083" s="61" t="n"/>
      <c r="Y3083" s="61" t="n"/>
    </row>
    <row r="3084" ht="14.25" customHeight="1" s="86">
      <c r="E3084" s="53" t="inlineStr">
        <is>
          <t>WI</t>
        </is>
      </c>
      <c r="F3084" s="53" t="inlineStr">
        <is>
          <t>ASHLAND</t>
        </is>
      </c>
      <c r="G3084" s="59" t="n"/>
      <c r="X3084" s="61" t="n"/>
      <c r="Y3084" s="61" t="n"/>
    </row>
    <row r="3085" ht="14.25" customHeight="1" s="86">
      <c r="E3085" s="53" t="inlineStr">
        <is>
          <t>WI</t>
        </is>
      </c>
      <c r="F3085" s="53" t="inlineStr">
        <is>
          <t>BARRON</t>
        </is>
      </c>
      <c r="G3085" s="59" t="n"/>
      <c r="X3085" s="61" t="n"/>
      <c r="Y3085" s="61" t="n"/>
    </row>
    <row r="3086" ht="14.25" customHeight="1" s="86">
      <c r="E3086" s="53" t="inlineStr">
        <is>
          <t>WI</t>
        </is>
      </c>
      <c r="F3086" s="53" t="inlineStr">
        <is>
          <t>BAYFIELD</t>
        </is>
      </c>
      <c r="G3086" s="59" t="n"/>
      <c r="X3086" s="61" t="n"/>
      <c r="Y3086" s="61" t="n"/>
    </row>
    <row r="3087" ht="14.25" customHeight="1" s="86">
      <c r="E3087" s="53" t="inlineStr">
        <is>
          <t>WI</t>
        </is>
      </c>
      <c r="F3087" s="53" t="inlineStr">
        <is>
          <t>BROWN</t>
        </is>
      </c>
      <c r="G3087" s="59" t="n"/>
      <c r="X3087" s="61" t="n"/>
      <c r="Y3087" s="61" t="n"/>
    </row>
    <row r="3088" ht="14.25" customHeight="1" s="86">
      <c r="E3088" s="53" t="inlineStr">
        <is>
          <t>WI</t>
        </is>
      </c>
      <c r="F3088" s="53" t="inlineStr">
        <is>
          <t>BUFFALO</t>
        </is>
      </c>
      <c r="G3088" s="59" t="n"/>
      <c r="X3088" s="61" t="n"/>
      <c r="Y3088" s="61" t="n"/>
    </row>
    <row r="3089" ht="14.25" customHeight="1" s="86">
      <c r="E3089" s="53" t="inlineStr">
        <is>
          <t>WI</t>
        </is>
      </c>
      <c r="F3089" s="53" t="inlineStr">
        <is>
          <t>BURNETT</t>
        </is>
      </c>
      <c r="G3089" s="59" t="n"/>
      <c r="X3089" s="61" t="n"/>
      <c r="Y3089" s="61" t="n"/>
    </row>
    <row r="3090" ht="14.25" customHeight="1" s="86">
      <c r="E3090" s="53" t="inlineStr">
        <is>
          <t>WI</t>
        </is>
      </c>
      <c r="F3090" s="53" t="inlineStr">
        <is>
          <t>CALUMET</t>
        </is>
      </c>
      <c r="G3090" s="59" t="n"/>
      <c r="X3090" s="61" t="n"/>
      <c r="Y3090" s="61" t="n"/>
    </row>
    <row r="3091" ht="14.25" customHeight="1" s="86">
      <c r="E3091" s="53" t="inlineStr">
        <is>
          <t>WI</t>
        </is>
      </c>
      <c r="F3091" s="53" t="inlineStr">
        <is>
          <t>CHIPPEWA</t>
        </is>
      </c>
      <c r="G3091" s="59" t="n"/>
      <c r="X3091" s="61" t="n"/>
      <c r="Y3091" s="61" t="n"/>
    </row>
    <row r="3092" ht="14.25" customHeight="1" s="86">
      <c r="E3092" s="53" t="inlineStr">
        <is>
          <t>WI</t>
        </is>
      </c>
      <c r="F3092" s="53" t="inlineStr">
        <is>
          <t>CLARK</t>
        </is>
      </c>
      <c r="G3092" s="59" t="n"/>
      <c r="X3092" s="61" t="n"/>
      <c r="Y3092" s="61" t="n"/>
    </row>
    <row r="3093" ht="14.25" customHeight="1" s="86">
      <c r="E3093" s="53" t="inlineStr">
        <is>
          <t>WI</t>
        </is>
      </c>
      <c r="F3093" s="53" t="inlineStr">
        <is>
          <t>COLUMBIA</t>
        </is>
      </c>
      <c r="G3093" s="59" t="n"/>
      <c r="X3093" s="61" t="n"/>
      <c r="Y3093" s="61" t="n"/>
    </row>
    <row r="3094" ht="14.25" customHeight="1" s="86">
      <c r="E3094" s="53" t="inlineStr">
        <is>
          <t>WI</t>
        </is>
      </c>
      <c r="F3094" s="53" t="inlineStr">
        <is>
          <t>CRAWFORD</t>
        </is>
      </c>
      <c r="G3094" s="59" t="n"/>
      <c r="X3094" s="61" t="n"/>
      <c r="Y3094" s="61" t="n"/>
    </row>
    <row r="3095" ht="14.25" customHeight="1" s="86">
      <c r="E3095" s="53" t="inlineStr">
        <is>
          <t>WI</t>
        </is>
      </c>
      <c r="F3095" s="53" t="inlineStr">
        <is>
          <t>DANE</t>
        </is>
      </c>
      <c r="G3095" s="59" t="n"/>
      <c r="X3095" s="61" t="n"/>
      <c r="Y3095" s="61" t="n"/>
    </row>
    <row r="3096" ht="14.25" customHeight="1" s="86">
      <c r="E3096" s="53" t="inlineStr">
        <is>
          <t>WI</t>
        </is>
      </c>
      <c r="F3096" s="53" t="inlineStr">
        <is>
          <t>DODGE</t>
        </is>
      </c>
      <c r="G3096" s="59" t="n"/>
      <c r="X3096" s="61" t="n"/>
      <c r="Y3096" s="61" t="n"/>
    </row>
    <row r="3097" ht="14.25" customHeight="1" s="86">
      <c r="E3097" s="53" t="inlineStr">
        <is>
          <t>WI</t>
        </is>
      </c>
      <c r="F3097" s="53" t="inlineStr">
        <is>
          <t>DOOR</t>
        </is>
      </c>
      <c r="G3097" s="59" t="n"/>
      <c r="X3097" s="61" t="n"/>
      <c r="Y3097" s="61" t="n"/>
    </row>
    <row r="3098" ht="14.25" customHeight="1" s="86">
      <c r="E3098" s="53" t="inlineStr">
        <is>
          <t>WI</t>
        </is>
      </c>
      <c r="F3098" s="53" t="inlineStr">
        <is>
          <t>DOUGLAS</t>
        </is>
      </c>
      <c r="G3098" s="59" t="n"/>
      <c r="X3098" s="61" t="n"/>
      <c r="Y3098" s="61" t="n"/>
    </row>
    <row r="3099" ht="14.25" customHeight="1" s="86">
      <c r="E3099" s="53" t="inlineStr">
        <is>
          <t>WI</t>
        </is>
      </c>
      <c r="F3099" s="53" t="inlineStr">
        <is>
          <t>DUNN</t>
        </is>
      </c>
      <c r="G3099" s="59" t="n"/>
      <c r="X3099" s="61" t="n"/>
      <c r="Y3099" s="61" t="n"/>
    </row>
    <row r="3100" ht="14.25" customHeight="1" s="86">
      <c r="E3100" s="53" t="inlineStr">
        <is>
          <t>WI</t>
        </is>
      </c>
      <c r="F3100" s="53" t="inlineStr">
        <is>
          <t>EAU CLAIRE</t>
        </is>
      </c>
      <c r="G3100" s="59" t="n"/>
      <c r="X3100" s="61" t="n"/>
      <c r="Y3100" s="61" t="n"/>
    </row>
    <row r="3101" ht="14.25" customHeight="1" s="86">
      <c r="E3101" s="53" t="inlineStr">
        <is>
          <t>WI</t>
        </is>
      </c>
      <c r="F3101" s="53" t="inlineStr">
        <is>
          <t>FLORENCE</t>
        </is>
      </c>
      <c r="G3101" s="59" t="n"/>
      <c r="X3101" s="61" t="n"/>
      <c r="Y3101" s="61" t="n"/>
    </row>
    <row r="3102" ht="14.25" customHeight="1" s="86">
      <c r="E3102" s="53" t="inlineStr">
        <is>
          <t>WI</t>
        </is>
      </c>
      <c r="F3102" s="53" t="inlineStr">
        <is>
          <t>FOND DU LAC</t>
        </is>
      </c>
      <c r="G3102" s="59" t="n"/>
      <c r="X3102" s="61" t="n"/>
      <c r="Y3102" s="61" t="n"/>
    </row>
    <row r="3103" ht="14.25" customHeight="1" s="86">
      <c r="E3103" s="53" t="inlineStr">
        <is>
          <t>WI</t>
        </is>
      </c>
      <c r="F3103" s="53" t="inlineStr">
        <is>
          <t>FOREST</t>
        </is>
      </c>
      <c r="G3103" s="59" t="n"/>
      <c r="X3103" s="61" t="n"/>
      <c r="Y3103" s="61" t="n"/>
    </row>
    <row r="3104" ht="14.25" customHeight="1" s="86">
      <c r="E3104" s="53" t="inlineStr">
        <is>
          <t>WI</t>
        </is>
      </c>
      <c r="F3104" s="53" t="inlineStr">
        <is>
          <t>GRANT</t>
        </is>
      </c>
      <c r="G3104" s="59" t="n"/>
      <c r="X3104" s="61" t="n"/>
      <c r="Y3104" s="61" t="n"/>
    </row>
    <row r="3105" ht="14.25" customHeight="1" s="86">
      <c r="E3105" s="53" t="inlineStr">
        <is>
          <t>WI</t>
        </is>
      </c>
      <c r="F3105" s="53" t="inlineStr">
        <is>
          <t>GREEN</t>
        </is>
      </c>
      <c r="G3105" s="59" t="n"/>
      <c r="X3105" s="61" t="n"/>
      <c r="Y3105" s="61" t="n"/>
    </row>
    <row r="3106" ht="14.25" customHeight="1" s="86">
      <c r="E3106" s="53" t="inlineStr">
        <is>
          <t>WI</t>
        </is>
      </c>
      <c r="F3106" s="53" t="inlineStr">
        <is>
          <t>GREEN LAKE</t>
        </is>
      </c>
      <c r="G3106" s="59" t="n"/>
      <c r="X3106" s="61" t="n"/>
      <c r="Y3106" s="61" t="n"/>
    </row>
    <row r="3107" ht="14.25" customHeight="1" s="86">
      <c r="E3107" s="53" t="inlineStr">
        <is>
          <t>WI</t>
        </is>
      </c>
      <c r="F3107" s="53" t="inlineStr">
        <is>
          <t>IOWA</t>
        </is>
      </c>
      <c r="G3107" s="59" t="n"/>
      <c r="X3107" s="61" t="n"/>
      <c r="Y3107" s="61" t="n"/>
    </row>
    <row r="3108" ht="14.25" customHeight="1" s="86">
      <c r="E3108" s="53" t="inlineStr">
        <is>
          <t>WI</t>
        </is>
      </c>
      <c r="F3108" s="53" t="inlineStr">
        <is>
          <t>IRON</t>
        </is>
      </c>
      <c r="G3108" s="59" t="n"/>
      <c r="X3108" s="61" t="n"/>
      <c r="Y3108" s="61" t="n"/>
    </row>
    <row r="3109" ht="14.25" customHeight="1" s="86">
      <c r="E3109" s="53" t="inlineStr">
        <is>
          <t>WI</t>
        </is>
      </c>
      <c r="F3109" s="53" t="inlineStr">
        <is>
          <t>JACKSON</t>
        </is>
      </c>
      <c r="G3109" s="59" t="n"/>
      <c r="X3109" s="61" t="n"/>
      <c r="Y3109" s="61" t="n"/>
    </row>
    <row r="3110" ht="14.25" customHeight="1" s="86">
      <c r="E3110" s="53" t="inlineStr">
        <is>
          <t>WI</t>
        </is>
      </c>
      <c r="F3110" s="53" t="inlineStr">
        <is>
          <t>JEFFERSON</t>
        </is>
      </c>
      <c r="G3110" s="59" t="n"/>
      <c r="X3110" s="61" t="n"/>
      <c r="Y3110" s="61" t="n"/>
    </row>
    <row r="3111" ht="14.25" customHeight="1" s="86">
      <c r="E3111" s="53" t="inlineStr">
        <is>
          <t>WI</t>
        </is>
      </c>
      <c r="F3111" s="53" t="inlineStr">
        <is>
          <t>JUNEAU</t>
        </is>
      </c>
      <c r="G3111" s="59" t="n"/>
      <c r="X3111" s="61" t="n"/>
      <c r="Y3111" s="61" t="n"/>
    </row>
    <row r="3112" ht="14.25" customHeight="1" s="86">
      <c r="E3112" s="53" t="inlineStr">
        <is>
          <t>WI</t>
        </is>
      </c>
      <c r="F3112" s="53" t="inlineStr">
        <is>
          <t>KENOSHA</t>
        </is>
      </c>
      <c r="G3112" s="59" t="n"/>
      <c r="X3112" s="61" t="n"/>
      <c r="Y3112" s="61" t="n"/>
    </row>
    <row r="3113" ht="14.25" customHeight="1" s="86">
      <c r="E3113" s="53" t="inlineStr">
        <is>
          <t>WI</t>
        </is>
      </c>
      <c r="F3113" s="53" t="inlineStr">
        <is>
          <t>KEWAUNEE</t>
        </is>
      </c>
      <c r="G3113" s="59" t="n"/>
      <c r="X3113" s="61" t="n"/>
      <c r="Y3113" s="61" t="n"/>
    </row>
    <row r="3114" ht="14.25" customHeight="1" s="86">
      <c r="E3114" s="53" t="inlineStr">
        <is>
          <t>WI</t>
        </is>
      </c>
      <c r="F3114" s="53" t="inlineStr">
        <is>
          <t>LA CROSSE</t>
        </is>
      </c>
      <c r="G3114" s="59" t="n"/>
      <c r="X3114" s="61" t="n"/>
      <c r="Y3114" s="61" t="n"/>
    </row>
    <row r="3115" ht="14.25" customHeight="1" s="86">
      <c r="E3115" s="53" t="inlineStr">
        <is>
          <t>WI</t>
        </is>
      </c>
      <c r="F3115" s="53" t="inlineStr">
        <is>
          <t>LAFAYETTE</t>
        </is>
      </c>
      <c r="G3115" s="59" t="n"/>
      <c r="X3115" s="61" t="n"/>
      <c r="Y3115" s="61" t="n"/>
    </row>
    <row r="3116" ht="14.25" customHeight="1" s="86">
      <c r="E3116" s="53" t="inlineStr">
        <is>
          <t>WI</t>
        </is>
      </c>
      <c r="F3116" s="53" t="inlineStr">
        <is>
          <t>LANGLADE</t>
        </is>
      </c>
      <c r="G3116" s="59" t="n"/>
      <c r="X3116" s="61" t="n"/>
      <c r="Y3116" s="61" t="n"/>
    </row>
    <row r="3117" ht="14.25" customHeight="1" s="86">
      <c r="E3117" s="53" t="inlineStr">
        <is>
          <t>WI</t>
        </is>
      </c>
      <c r="F3117" s="53" t="inlineStr">
        <is>
          <t>LINCOLN</t>
        </is>
      </c>
      <c r="G3117" s="59" t="n"/>
      <c r="X3117" s="61" t="n"/>
      <c r="Y3117" s="61" t="n"/>
    </row>
    <row r="3118" ht="14.25" customHeight="1" s="86">
      <c r="E3118" s="53" t="inlineStr">
        <is>
          <t>WI</t>
        </is>
      </c>
      <c r="F3118" s="53" t="inlineStr">
        <is>
          <t>MANITOWOC</t>
        </is>
      </c>
      <c r="G3118" s="59" t="n"/>
      <c r="X3118" s="61" t="n"/>
      <c r="Y3118" s="61" t="n"/>
    </row>
    <row r="3119" ht="14.25" customHeight="1" s="86">
      <c r="E3119" s="53" t="inlineStr">
        <is>
          <t>WI</t>
        </is>
      </c>
      <c r="F3119" s="53" t="inlineStr">
        <is>
          <t>MARATHON</t>
        </is>
      </c>
      <c r="G3119" s="59" t="n"/>
      <c r="X3119" s="61" t="n"/>
      <c r="Y3119" s="61" t="n"/>
    </row>
    <row r="3120" ht="14.25" customHeight="1" s="86">
      <c r="E3120" s="53" t="inlineStr">
        <is>
          <t>WI</t>
        </is>
      </c>
      <c r="F3120" s="53" t="inlineStr">
        <is>
          <t>MARINETTE</t>
        </is>
      </c>
      <c r="G3120" s="59" t="n"/>
      <c r="X3120" s="61" t="n"/>
      <c r="Y3120" s="61" t="n"/>
    </row>
    <row r="3121" ht="14.25" customHeight="1" s="86">
      <c r="E3121" s="53" t="inlineStr">
        <is>
          <t>WI</t>
        </is>
      </c>
      <c r="F3121" s="53" t="inlineStr">
        <is>
          <t>MARQUETTE</t>
        </is>
      </c>
      <c r="G3121" s="59" t="n"/>
      <c r="X3121" s="61" t="n"/>
      <c r="Y3121" s="61" t="n"/>
    </row>
    <row r="3122" ht="14.25" customHeight="1" s="86">
      <c r="E3122" s="53" t="inlineStr">
        <is>
          <t>WI</t>
        </is>
      </c>
      <c r="F3122" s="53" t="inlineStr">
        <is>
          <t>MENOMINEE</t>
        </is>
      </c>
      <c r="G3122" s="59" t="n"/>
      <c r="X3122" s="61" t="n"/>
      <c r="Y3122" s="61" t="n"/>
    </row>
    <row r="3123" ht="14.25" customHeight="1" s="86">
      <c r="E3123" s="53" t="inlineStr">
        <is>
          <t>WI</t>
        </is>
      </c>
      <c r="F3123" s="53" t="inlineStr">
        <is>
          <t>MILWAUKEE</t>
        </is>
      </c>
      <c r="G3123" s="59" t="n"/>
      <c r="X3123" s="61" t="n"/>
      <c r="Y3123" s="61" t="n"/>
    </row>
    <row r="3124" ht="14.25" customHeight="1" s="86">
      <c r="E3124" s="53" t="inlineStr">
        <is>
          <t>WI</t>
        </is>
      </c>
      <c r="F3124" s="53" t="inlineStr">
        <is>
          <t>MONROE</t>
        </is>
      </c>
      <c r="G3124" s="59" t="n"/>
      <c r="X3124" s="61" t="n"/>
      <c r="Y3124" s="61" t="n"/>
    </row>
    <row r="3125" ht="14.25" customHeight="1" s="86">
      <c r="E3125" s="53" t="inlineStr">
        <is>
          <t>WI</t>
        </is>
      </c>
      <c r="F3125" s="53" t="inlineStr">
        <is>
          <t>OCONTO</t>
        </is>
      </c>
      <c r="G3125" s="59" t="n"/>
      <c r="X3125" s="61" t="n"/>
      <c r="Y3125" s="61" t="n"/>
    </row>
    <row r="3126" ht="14.25" customHeight="1" s="86">
      <c r="E3126" s="53" t="inlineStr">
        <is>
          <t>WI</t>
        </is>
      </c>
      <c r="F3126" s="53" t="inlineStr">
        <is>
          <t>ONEIDA</t>
        </is>
      </c>
      <c r="G3126" s="59" t="n"/>
      <c r="X3126" s="61" t="n"/>
      <c r="Y3126" s="61" t="n"/>
    </row>
    <row r="3127" ht="14.25" customHeight="1" s="86">
      <c r="E3127" s="53" t="inlineStr">
        <is>
          <t>WI</t>
        </is>
      </c>
      <c r="F3127" s="53" t="inlineStr">
        <is>
          <t>OUTAGAMIE</t>
        </is>
      </c>
      <c r="G3127" s="59" t="n"/>
      <c r="X3127" s="61" t="n"/>
      <c r="Y3127" s="61" t="n"/>
    </row>
    <row r="3128" ht="14.25" customHeight="1" s="86">
      <c r="E3128" s="53" t="inlineStr">
        <is>
          <t>WI</t>
        </is>
      </c>
      <c r="F3128" s="53" t="inlineStr">
        <is>
          <t>OZAUKEE</t>
        </is>
      </c>
      <c r="G3128" s="59" t="n"/>
      <c r="X3128" s="61" t="n"/>
      <c r="Y3128" s="61" t="n"/>
    </row>
    <row r="3129" ht="14.25" customHeight="1" s="86">
      <c r="E3129" s="53" t="inlineStr">
        <is>
          <t>WI</t>
        </is>
      </c>
      <c r="F3129" s="53" t="inlineStr">
        <is>
          <t>PEPIN</t>
        </is>
      </c>
      <c r="G3129" s="59" t="n"/>
      <c r="X3129" s="61" t="n"/>
      <c r="Y3129" s="61" t="n"/>
    </row>
    <row r="3130" ht="14.25" customHeight="1" s="86">
      <c r="E3130" s="53" t="inlineStr">
        <is>
          <t>WI</t>
        </is>
      </c>
      <c r="F3130" s="53" t="inlineStr">
        <is>
          <t>PIERCE</t>
        </is>
      </c>
      <c r="G3130" s="59" t="n"/>
      <c r="X3130" s="61" t="n"/>
      <c r="Y3130" s="61" t="n"/>
    </row>
    <row r="3131" ht="14.25" customHeight="1" s="86">
      <c r="E3131" s="53" t="inlineStr">
        <is>
          <t>WI</t>
        </is>
      </c>
      <c r="F3131" s="53" t="inlineStr">
        <is>
          <t>POLK</t>
        </is>
      </c>
      <c r="G3131" s="59" t="n"/>
      <c r="X3131" s="61" t="n"/>
      <c r="Y3131" s="61" t="n"/>
    </row>
    <row r="3132" ht="14.25" customHeight="1" s="86">
      <c r="E3132" s="53" t="inlineStr">
        <is>
          <t>WI</t>
        </is>
      </c>
      <c r="F3132" s="53" t="inlineStr">
        <is>
          <t>PORTAGE</t>
        </is>
      </c>
      <c r="G3132" s="59" t="n"/>
      <c r="X3132" s="61" t="n"/>
      <c r="Y3132" s="61" t="n"/>
    </row>
    <row r="3133" ht="14.25" customHeight="1" s="86">
      <c r="E3133" s="53" t="inlineStr">
        <is>
          <t>WI</t>
        </is>
      </c>
      <c r="F3133" s="53" t="inlineStr">
        <is>
          <t>PRICE</t>
        </is>
      </c>
      <c r="G3133" s="59" t="n"/>
      <c r="X3133" s="61" t="n"/>
      <c r="Y3133" s="61" t="n"/>
    </row>
    <row r="3134" ht="14.25" customHeight="1" s="86">
      <c r="E3134" s="53" t="inlineStr">
        <is>
          <t>WI</t>
        </is>
      </c>
      <c r="F3134" s="53" t="inlineStr">
        <is>
          <t>RACINE</t>
        </is>
      </c>
      <c r="G3134" s="59" t="n"/>
      <c r="X3134" s="61" t="n"/>
      <c r="Y3134" s="61" t="n"/>
    </row>
    <row r="3135" ht="14.25" customHeight="1" s="86">
      <c r="E3135" s="53" t="inlineStr">
        <is>
          <t>WI</t>
        </is>
      </c>
      <c r="F3135" s="53" t="inlineStr">
        <is>
          <t>RICHLAND</t>
        </is>
      </c>
      <c r="G3135" s="59" t="n"/>
      <c r="X3135" s="61" t="n"/>
      <c r="Y3135" s="61" t="n"/>
    </row>
    <row r="3136" ht="14.25" customHeight="1" s="86">
      <c r="E3136" s="53" t="inlineStr">
        <is>
          <t>WI</t>
        </is>
      </c>
      <c r="F3136" s="53" t="inlineStr">
        <is>
          <t>ROCK</t>
        </is>
      </c>
      <c r="G3136" s="59" t="n"/>
      <c r="X3136" s="61" t="n"/>
      <c r="Y3136" s="61" t="n"/>
    </row>
    <row r="3137" ht="14.25" customHeight="1" s="86">
      <c r="E3137" s="53" t="inlineStr">
        <is>
          <t>WI</t>
        </is>
      </c>
      <c r="F3137" s="53" t="inlineStr">
        <is>
          <t>RUSK</t>
        </is>
      </c>
      <c r="G3137" s="59" t="n"/>
      <c r="X3137" s="61" t="n"/>
      <c r="Y3137" s="61" t="n"/>
    </row>
    <row r="3138" ht="14.25" customHeight="1" s="86">
      <c r="E3138" s="53" t="inlineStr">
        <is>
          <t>WI</t>
        </is>
      </c>
      <c r="F3138" s="53" t="inlineStr">
        <is>
          <t>SAINT CROIX</t>
        </is>
      </c>
      <c r="G3138" s="59" t="n"/>
      <c r="X3138" s="61" t="n"/>
      <c r="Y3138" s="61" t="n"/>
    </row>
    <row r="3139" ht="14.25" customHeight="1" s="86">
      <c r="E3139" s="53" t="inlineStr">
        <is>
          <t>WI</t>
        </is>
      </c>
      <c r="F3139" s="53" t="inlineStr">
        <is>
          <t>SAUK</t>
        </is>
      </c>
      <c r="G3139" s="59" t="n"/>
      <c r="X3139" s="61" t="n"/>
      <c r="Y3139" s="61" t="n"/>
    </row>
    <row r="3140" ht="14.25" customHeight="1" s="86">
      <c r="E3140" s="53" t="inlineStr">
        <is>
          <t>WI</t>
        </is>
      </c>
      <c r="F3140" s="53" t="inlineStr">
        <is>
          <t>SAWYER</t>
        </is>
      </c>
      <c r="G3140" s="59" t="n"/>
      <c r="X3140" s="61" t="n"/>
      <c r="Y3140" s="61" t="n"/>
    </row>
    <row r="3141" ht="14.25" customHeight="1" s="86">
      <c r="E3141" s="53" t="inlineStr">
        <is>
          <t>WI</t>
        </is>
      </c>
      <c r="F3141" s="53" t="inlineStr">
        <is>
          <t>SHAWANO</t>
        </is>
      </c>
      <c r="G3141" s="59" t="n"/>
      <c r="X3141" s="61" t="n"/>
      <c r="Y3141" s="61" t="n"/>
    </row>
    <row r="3142" ht="14.25" customHeight="1" s="86">
      <c r="E3142" s="53" t="inlineStr">
        <is>
          <t>WI</t>
        </is>
      </c>
      <c r="F3142" s="53" t="inlineStr">
        <is>
          <t>SHEBOYGAN</t>
        </is>
      </c>
      <c r="G3142" s="59" t="n"/>
      <c r="X3142" s="61" t="n"/>
      <c r="Y3142" s="61" t="n"/>
    </row>
    <row r="3143" ht="14.25" customHeight="1" s="86">
      <c r="E3143" s="53" t="inlineStr">
        <is>
          <t>WI</t>
        </is>
      </c>
      <c r="F3143" s="53" t="inlineStr">
        <is>
          <t>TAYLOR</t>
        </is>
      </c>
      <c r="G3143" s="59" t="n"/>
      <c r="X3143" s="61" t="n"/>
      <c r="Y3143" s="61" t="n"/>
    </row>
    <row r="3144" ht="14.25" customHeight="1" s="86">
      <c r="E3144" s="53" t="inlineStr">
        <is>
          <t>WI</t>
        </is>
      </c>
      <c r="F3144" s="53" t="inlineStr">
        <is>
          <t>TREMPEALEAU</t>
        </is>
      </c>
      <c r="G3144" s="59" t="n"/>
      <c r="X3144" s="61" t="n"/>
      <c r="Y3144" s="61" t="n"/>
    </row>
    <row r="3145" ht="14.25" customHeight="1" s="86">
      <c r="E3145" s="53" t="inlineStr">
        <is>
          <t>WI</t>
        </is>
      </c>
      <c r="F3145" s="53" t="inlineStr">
        <is>
          <t>VERNON</t>
        </is>
      </c>
      <c r="G3145" s="59" t="n"/>
      <c r="X3145" s="61" t="n"/>
      <c r="Y3145" s="61" t="n"/>
    </row>
    <row r="3146" ht="14.25" customHeight="1" s="86">
      <c r="E3146" s="70" t="inlineStr">
        <is>
          <t>WI</t>
        </is>
      </c>
      <c r="F3146" s="70" t="inlineStr">
        <is>
          <t>VILAS</t>
        </is>
      </c>
      <c r="X3146" s="61" t="n"/>
      <c r="Y3146" s="61" t="n"/>
    </row>
    <row r="3147" ht="14.25" customHeight="1" s="86">
      <c r="E3147" s="70" t="inlineStr">
        <is>
          <t>WI</t>
        </is>
      </c>
      <c r="F3147" s="70" t="inlineStr">
        <is>
          <t>WALWORTH</t>
        </is>
      </c>
      <c r="X3147" s="61" t="n"/>
      <c r="Y3147" s="61" t="n"/>
    </row>
    <row r="3148" ht="14.25" customHeight="1" s="86">
      <c r="E3148" s="70" t="inlineStr">
        <is>
          <t>WI</t>
        </is>
      </c>
      <c r="F3148" s="70" t="inlineStr">
        <is>
          <t>WASHBURN</t>
        </is>
      </c>
      <c r="X3148" s="61" t="n"/>
      <c r="Y3148" s="61" t="n"/>
    </row>
    <row r="3149" ht="14.25" customHeight="1" s="86">
      <c r="E3149" s="70" t="inlineStr">
        <is>
          <t>WI</t>
        </is>
      </c>
      <c r="F3149" s="70" t="inlineStr">
        <is>
          <t>WASHINGTON</t>
        </is>
      </c>
      <c r="X3149" s="61" t="n"/>
      <c r="Y3149" s="61" t="n"/>
    </row>
    <row r="3150" ht="14.25" customHeight="1" s="86">
      <c r="E3150" s="70" t="inlineStr">
        <is>
          <t>WI</t>
        </is>
      </c>
      <c r="F3150" s="70" t="inlineStr">
        <is>
          <t>WAUKESHA</t>
        </is>
      </c>
      <c r="X3150" s="61" t="n"/>
      <c r="Y3150" s="61" t="n"/>
    </row>
    <row r="3151" ht="14.25" customHeight="1" s="86">
      <c r="E3151" s="70" t="inlineStr">
        <is>
          <t>WI</t>
        </is>
      </c>
      <c r="F3151" s="70" t="inlineStr">
        <is>
          <t>WAUPACA</t>
        </is>
      </c>
      <c r="X3151" s="61" t="n"/>
      <c r="Y3151" s="61" t="n"/>
    </row>
    <row r="3152" ht="14.25" customHeight="1" s="86">
      <c r="E3152" s="70" t="inlineStr">
        <is>
          <t>WI</t>
        </is>
      </c>
      <c r="F3152" s="70" t="inlineStr">
        <is>
          <t>WAUSHARA</t>
        </is>
      </c>
      <c r="X3152" s="61" t="n"/>
      <c r="Y3152" s="61" t="n"/>
    </row>
    <row r="3153" ht="14.25" customHeight="1" s="86">
      <c r="E3153" s="70" t="inlineStr">
        <is>
          <t>WI</t>
        </is>
      </c>
      <c r="F3153" s="70" t="inlineStr">
        <is>
          <t>WINNEBAGO</t>
        </is>
      </c>
      <c r="X3153" s="61" t="n"/>
      <c r="Y3153" s="61" t="n"/>
    </row>
    <row r="3154" ht="14.25" customHeight="1" s="86">
      <c r="E3154" s="70" t="inlineStr">
        <is>
          <t>WI</t>
        </is>
      </c>
      <c r="F3154" s="70" t="inlineStr">
        <is>
          <t>WOOD</t>
        </is>
      </c>
      <c r="X3154" s="61" t="n"/>
      <c r="Y3154" s="61" t="n"/>
    </row>
    <row r="3155" ht="14.25" customHeight="1" s="86">
      <c r="E3155" s="70" t="inlineStr">
        <is>
          <t>WV</t>
        </is>
      </c>
      <c r="F3155" s="70" t="inlineStr">
        <is>
          <t>BARBOUR</t>
        </is>
      </c>
      <c r="X3155" s="61" t="n"/>
      <c r="Y3155" s="61" t="n"/>
    </row>
    <row r="3156" ht="14.25" customHeight="1" s="86">
      <c r="E3156" s="70" t="inlineStr">
        <is>
          <t>WV</t>
        </is>
      </c>
      <c r="F3156" s="70" t="inlineStr">
        <is>
          <t>BERKELEY</t>
        </is>
      </c>
      <c r="X3156" s="61" t="n"/>
      <c r="Y3156" s="61" t="n"/>
    </row>
    <row r="3157" ht="14.25" customHeight="1" s="86">
      <c r="E3157" s="70" t="inlineStr">
        <is>
          <t>WV</t>
        </is>
      </c>
      <c r="F3157" s="70" t="inlineStr">
        <is>
          <t>BOONE</t>
        </is>
      </c>
      <c r="X3157" s="61" t="n"/>
      <c r="Y3157" s="61" t="n"/>
    </row>
    <row r="3158" ht="14.25" customHeight="1" s="86">
      <c r="E3158" s="70" t="inlineStr">
        <is>
          <t>WV</t>
        </is>
      </c>
      <c r="F3158" s="70" t="inlineStr">
        <is>
          <t>BRAXTON</t>
        </is>
      </c>
      <c r="X3158" s="61" t="n"/>
      <c r="Y3158" s="61" t="n"/>
    </row>
    <row r="3159" ht="14.25" customHeight="1" s="86">
      <c r="E3159" s="70" t="inlineStr">
        <is>
          <t>WV</t>
        </is>
      </c>
      <c r="F3159" s="70" t="inlineStr">
        <is>
          <t>BROOKE</t>
        </is>
      </c>
      <c r="X3159" s="61" t="n"/>
      <c r="Y3159" s="61" t="n"/>
    </row>
    <row r="3160" ht="14.25" customHeight="1" s="86">
      <c r="E3160" s="70" t="inlineStr">
        <is>
          <t>WV</t>
        </is>
      </c>
      <c r="F3160" s="70" t="inlineStr">
        <is>
          <t>CABELL</t>
        </is>
      </c>
      <c r="X3160" s="61" t="n"/>
      <c r="Y3160" s="61" t="n"/>
    </row>
    <row r="3161" ht="14.25" customHeight="1" s="86">
      <c r="E3161" s="70" t="inlineStr">
        <is>
          <t>WV</t>
        </is>
      </c>
      <c r="F3161" s="70" t="inlineStr">
        <is>
          <t>CALHOUN</t>
        </is>
      </c>
      <c r="X3161" s="61" t="n"/>
      <c r="Y3161" s="61" t="n"/>
    </row>
    <row r="3162" ht="14.25" customHeight="1" s="86">
      <c r="E3162" s="70" t="inlineStr">
        <is>
          <t>WV</t>
        </is>
      </c>
      <c r="F3162" s="70" t="inlineStr">
        <is>
          <t>CLAY</t>
        </is>
      </c>
      <c r="X3162" s="61" t="n"/>
      <c r="Y3162" s="61" t="n"/>
    </row>
    <row r="3163" ht="14.25" customHeight="1" s="86">
      <c r="E3163" s="70" t="inlineStr">
        <is>
          <t>WV</t>
        </is>
      </c>
      <c r="F3163" s="70" t="inlineStr">
        <is>
          <t>DODDRIDGE</t>
        </is>
      </c>
      <c r="X3163" s="61" t="n"/>
      <c r="Y3163" s="61" t="n"/>
    </row>
    <row r="3164" ht="14.25" customHeight="1" s="86">
      <c r="E3164" s="70" t="inlineStr">
        <is>
          <t>WV</t>
        </is>
      </c>
      <c r="F3164" s="70" t="inlineStr">
        <is>
          <t>FAYETTE</t>
        </is>
      </c>
      <c r="X3164" s="61" t="n"/>
      <c r="Y3164" s="61" t="n"/>
    </row>
    <row r="3165" ht="14.25" customHeight="1" s="86">
      <c r="E3165" s="70" t="inlineStr">
        <is>
          <t>WV</t>
        </is>
      </c>
      <c r="F3165" s="70" t="inlineStr">
        <is>
          <t>GILMER</t>
        </is>
      </c>
      <c r="X3165" s="61" t="n"/>
      <c r="Y3165" s="61" t="n"/>
    </row>
    <row r="3166" ht="14.25" customHeight="1" s="86">
      <c r="E3166" s="70" t="inlineStr">
        <is>
          <t>WV</t>
        </is>
      </c>
      <c r="F3166" s="70" t="inlineStr">
        <is>
          <t>GRANT</t>
        </is>
      </c>
      <c r="X3166" s="61" t="n"/>
      <c r="Y3166" s="61" t="n"/>
    </row>
    <row r="3167" ht="14.25" customHeight="1" s="86">
      <c r="E3167" s="70" t="inlineStr">
        <is>
          <t>WV</t>
        </is>
      </c>
      <c r="F3167" s="70" t="inlineStr">
        <is>
          <t>GREENBRIER</t>
        </is>
      </c>
      <c r="X3167" s="61" t="n"/>
      <c r="Y3167" s="61" t="n"/>
    </row>
    <row r="3168" ht="14.25" customHeight="1" s="86">
      <c r="E3168" s="70" t="inlineStr">
        <is>
          <t>WV</t>
        </is>
      </c>
      <c r="F3168" s="70" t="inlineStr">
        <is>
          <t>HAMPSHIRE</t>
        </is>
      </c>
      <c r="X3168" s="61" t="n"/>
      <c r="Y3168" s="61" t="n"/>
    </row>
    <row r="3169" ht="14.25" customHeight="1" s="86">
      <c r="E3169" s="70" t="inlineStr">
        <is>
          <t>WV</t>
        </is>
      </c>
      <c r="F3169" s="70" t="inlineStr">
        <is>
          <t>HANCOCK</t>
        </is>
      </c>
      <c r="X3169" s="61" t="n"/>
      <c r="Y3169" s="61" t="n"/>
    </row>
    <row r="3170" ht="14.25" customHeight="1" s="86">
      <c r="E3170" s="70" t="inlineStr">
        <is>
          <t>WV</t>
        </is>
      </c>
      <c r="F3170" s="70" t="inlineStr">
        <is>
          <t>HARDY</t>
        </is>
      </c>
      <c r="X3170" s="61" t="n"/>
      <c r="Y3170" s="61" t="n"/>
    </row>
    <row r="3171" ht="14.25" customHeight="1" s="86">
      <c r="E3171" s="70" t="inlineStr">
        <is>
          <t>WV</t>
        </is>
      </c>
      <c r="F3171" s="70" t="inlineStr">
        <is>
          <t>HARRISON</t>
        </is>
      </c>
      <c r="X3171" s="61" t="n"/>
      <c r="Y3171" s="61" t="n"/>
    </row>
    <row r="3172" ht="14.25" customHeight="1" s="86">
      <c r="E3172" s="70" t="inlineStr">
        <is>
          <t>WV</t>
        </is>
      </c>
      <c r="F3172" s="70" t="inlineStr">
        <is>
          <t>JACKSON</t>
        </is>
      </c>
      <c r="X3172" s="61" t="n"/>
      <c r="Y3172" s="61" t="n"/>
    </row>
    <row r="3173" ht="14.25" customHeight="1" s="86">
      <c r="E3173" s="70" t="inlineStr">
        <is>
          <t>WV</t>
        </is>
      </c>
      <c r="F3173" s="70" t="inlineStr">
        <is>
          <t>JEFFERSON</t>
        </is>
      </c>
      <c r="X3173" s="61" t="n"/>
      <c r="Y3173" s="61" t="n"/>
    </row>
    <row r="3174" ht="14.25" customHeight="1" s="86">
      <c r="E3174" s="70" t="inlineStr">
        <is>
          <t>WV</t>
        </is>
      </c>
      <c r="F3174" s="70" t="inlineStr">
        <is>
          <t>KANAWHA</t>
        </is>
      </c>
      <c r="X3174" s="61" t="n"/>
      <c r="Y3174" s="61" t="n"/>
    </row>
    <row r="3175" ht="14.25" customHeight="1" s="86">
      <c r="E3175" s="70" t="inlineStr">
        <is>
          <t>WV</t>
        </is>
      </c>
      <c r="F3175" s="70" t="inlineStr">
        <is>
          <t>LEWIS</t>
        </is>
      </c>
      <c r="X3175" s="61" t="n"/>
      <c r="Y3175" s="61" t="n"/>
    </row>
    <row r="3176" ht="14.25" customHeight="1" s="86">
      <c r="E3176" s="70" t="inlineStr">
        <is>
          <t>WV</t>
        </is>
      </c>
      <c r="F3176" s="70" t="inlineStr">
        <is>
          <t>LINCOLN</t>
        </is>
      </c>
      <c r="X3176" s="61" t="n"/>
      <c r="Y3176" s="61" t="n"/>
    </row>
    <row r="3177" ht="14.25" customHeight="1" s="86">
      <c r="E3177" s="70" t="inlineStr">
        <is>
          <t>WV</t>
        </is>
      </c>
      <c r="F3177" s="70" t="inlineStr">
        <is>
          <t>LOGAN</t>
        </is>
      </c>
      <c r="X3177" s="61" t="n"/>
      <c r="Y3177" s="61" t="n"/>
    </row>
    <row r="3178" ht="14.25" customHeight="1" s="86">
      <c r="E3178" s="70" t="inlineStr">
        <is>
          <t>WV</t>
        </is>
      </c>
      <c r="F3178" s="70" t="inlineStr">
        <is>
          <t>MARION</t>
        </is>
      </c>
      <c r="X3178" s="61" t="n"/>
      <c r="Y3178" s="61" t="n"/>
    </row>
    <row r="3179" ht="14.25" customHeight="1" s="86">
      <c r="E3179" s="70" t="inlineStr">
        <is>
          <t>WV</t>
        </is>
      </c>
      <c r="F3179" s="70" t="inlineStr">
        <is>
          <t>MARSHALL</t>
        </is>
      </c>
      <c r="X3179" s="61" t="n"/>
      <c r="Y3179" s="61" t="n"/>
    </row>
    <row r="3180" ht="14.25" customHeight="1" s="86">
      <c r="E3180" s="70" t="inlineStr">
        <is>
          <t>WV</t>
        </is>
      </c>
      <c r="F3180" s="70" t="inlineStr">
        <is>
          <t>MASON</t>
        </is>
      </c>
      <c r="X3180" s="61" t="n"/>
      <c r="Y3180" s="61" t="n"/>
    </row>
    <row r="3181" ht="14.25" customHeight="1" s="86">
      <c r="E3181" s="70" t="inlineStr">
        <is>
          <t>WV</t>
        </is>
      </c>
      <c r="F3181" s="70" t="inlineStr">
        <is>
          <t>MCDOWELL</t>
        </is>
      </c>
      <c r="X3181" s="61" t="n"/>
      <c r="Y3181" s="61" t="n"/>
    </row>
    <row r="3182" ht="14.25" customHeight="1" s="86">
      <c r="E3182" s="70" t="inlineStr">
        <is>
          <t>WV</t>
        </is>
      </c>
      <c r="F3182" s="70" t="inlineStr">
        <is>
          <t>MERCER</t>
        </is>
      </c>
      <c r="X3182" s="61" t="n"/>
      <c r="Y3182" s="61" t="n"/>
    </row>
    <row r="3183" ht="14.25" customHeight="1" s="86">
      <c r="E3183" s="70" t="inlineStr">
        <is>
          <t>WV</t>
        </is>
      </c>
      <c r="F3183" s="70" t="inlineStr">
        <is>
          <t>MINERAL</t>
        </is>
      </c>
      <c r="X3183" s="61" t="n"/>
      <c r="Y3183" s="61" t="n"/>
    </row>
    <row r="3184" ht="14.25" customHeight="1" s="86">
      <c r="E3184" s="70" t="inlineStr">
        <is>
          <t>WV</t>
        </is>
      </c>
      <c r="F3184" s="70" t="inlineStr">
        <is>
          <t>MINGO</t>
        </is>
      </c>
      <c r="X3184" s="61" t="n"/>
      <c r="Y3184" s="61" t="n"/>
    </row>
    <row r="3185" ht="14.25" customHeight="1" s="86">
      <c r="E3185" s="70" t="inlineStr">
        <is>
          <t>WV</t>
        </is>
      </c>
      <c r="F3185" s="70" t="inlineStr">
        <is>
          <t>MONONGALIA</t>
        </is>
      </c>
      <c r="X3185" s="61" t="n"/>
      <c r="Y3185" s="61" t="n"/>
    </row>
    <row r="3186" ht="14.25" customHeight="1" s="86">
      <c r="E3186" s="70" t="inlineStr">
        <is>
          <t>WV</t>
        </is>
      </c>
      <c r="F3186" s="70" t="inlineStr">
        <is>
          <t>MONROE</t>
        </is>
      </c>
      <c r="X3186" s="61" t="n"/>
      <c r="Y3186" s="61" t="n"/>
    </row>
    <row r="3187" ht="14.25" customHeight="1" s="86">
      <c r="E3187" s="70" t="inlineStr">
        <is>
          <t>WV</t>
        </is>
      </c>
      <c r="F3187" s="70" t="inlineStr">
        <is>
          <t>MORGAN</t>
        </is>
      </c>
      <c r="X3187" s="61" t="n"/>
      <c r="Y3187" s="61" t="n"/>
    </row>
    <row r="3188" ht="14.25" customHeight="1" s="86">
      <c r="E3188" s="70" t="inlineStr">
        <is>
          <t>WV</t>
        </is>
      </c>
      <c r="F3188" s="70" t="inlineStr">
        <is>
          <t>NICHOLAS</t>
        </is>
      </c>
      <c r="X3188" s="61" t="n"/>
      <c r="Y3188" s="61" t="n"/>
    </row>
    <row r="3189" ht="14.25" customHeight="1" s="86">
      <c r="E3189" s="70" t="inlineStr">
        <is>
          <t>WV</t>
        </is>
      </c>
      <c r="F3189" s="70" t="inlineStr">
        <is>
          <t>OHIO</t>
        </is>
      </c>
      <c r="X3189" s="61" t="n"/>
      <c r="Y3189" s="61" t="n"/>
    </row>
    <row r="3190" ht="14.25" customHeight="1" s="86">
      <c r="E3190" s="70" t="inlineStr">
        <is>
          <t>WV</t>
        </is>
      </c>
      <c r="F3190" s="70" t="inlineStr">
        <is>
          <t>PENDLETON</t>
        </is>
      </c>
      <c r="X3190" s="61" t="n"/>
      <c r="Y3190" s="61" t="n"/>
    </row>
    <row r="3191" ht="14.25" customHeight="1" s="86">
      <c r="E3191" s="70" t="inlineStr">
        <is>
          <t>WV</t>
        </is>
      </c>
      <c r="F3191" s="70" t="inlineStr">
        <is>
          <t>PLEASANTS</t>
        </is>
      </c>
      <c r="X3191" s="61" t="n"/>
      <c r="Y3191" s="61" t="n"/>
    </row>
    <row r="3192" ht="14.25" customHeight="1" s="86">
      <c r="E3192" s="70" t="inlineStr">
        <is>
          <t>WV</t>
        </is>
      </c>
      <c r="F3192" s="70" t="inlineStr">
        <is>
          <t>POCAHONTAS</t>
        </is>
      </c>
      <c r="X3192" s="61" t="n"/>
      <c r="Y3192" s="61" t="n"/>
    </row>
    <row r="3193" ht="14.25" customHeight="1" s="86">
      <c r="E3193" s="70" t="inlineStr">
        <is>
          <t>WV</t>
        </is>
      </c>
      <c r="F3193" s="70" t="inlineStr">
        <is>
          <t>PRESTON</t>
        </is>
      </c>
      <c r="X3193" s="61" t="n"/>
      <c r="Y3193" s="61" t="n"/>
    </row>
    <row r="3194" ht="14.25" customHeight="1" s="86">
      <c r="E3194" s="70" t="inlineStr">
        <is>
          <t>WV</t>
        </is>
      </c>
      <c r="F3194" s="70" t="inlineStr">
        <is>
          <t>PUTNAM</t>
        </is>
      </c>
      <c r="X3194" s="61" t="n"/>
      <c r="Y3194" s="61" t="n"/>
    </row>
    <row r="3195" ht="14.25" customHeight="1" s="86">
      <c r="E3195" s="70" t="inlineStr">
        <is>
          <t>WV</t>
        </is>
      </c>
      <c r="F3195" s="70" t="inlineStr">
        <is>
          <t>RALEIGH</t>
        </is>
      </c>
      <c r="X3195" s="61" t="n"/>
      <c r="Y3195" s="61" t="n"/>
    </row>
    <row r="3196" ht="14.25" customHeight="1" s="86">
      <c r="E3196" s="70" t="inlineStr">
        <is>
          <t>WV</t>
        </is>
      </c>
      <c r="F3196" s="70" t="inlineStr">
        <is>
          <t>RANDOLPH</t>
        </is>
      </c>
      <c r="X3196" s="61" t="n"/>
      <c r="Y3196" s="61" t="n"/>
    </row>
    <row r="3197" ht="14.25" customHeight="1" s="86">
      <c r="E3197" s="70" t="inlineStr">
        <is>
          <t>WV</t>
        </is>
      </c>
      <c r="F3197" s="70" t="inlineStr">
        <is>
          <t>RITCHIE</t>
        </is>
      </c>
      <c r="X3197" s="61" t="n"/>
      <c r="Y3197" s="61" t="n"/>
    </row>
    <row r="3198" ht="14.25" customHeight="1" s="86">
      <c r="E3198" s="70" t="inlineStr">
        <is>
          <t>WV</t>
        </is>
      </c>
      <c r="F3198" s="70" t="inlineStr">
        <is>
          <t>ROANE</t>
        </is>
      </c>
      <c r="X3198" s="61" t="n"/>
      <c r="Y3198" s="61" t="n"/>
    </row>
    <row r="3199" ht="14.25" customHeight="1" s="86">
      <c r="E3199" s="70" t="inlineStr">
        <is>
          <t>WV</t>
        </is>
      </c>
      <c r="F3199" s="70" t="inlineStr">
        <is>
          <t>SUMMERS</t>
        </is>
      </c>
      <c r="X3199" s="61" t="n"/>
      <c r="Y3199" s="61" t="n"/>
    </row>
    <row r="3200" ht="14.25" customHeight="1" s="86">
      <c r="E3200" s="70" t="inlineStr">
        <is>
          <t>WV</t>
        </is>
      </c>
      <c r="F3200" s="70" t="inlineStr">
        <is>
          <t>TAYLOR</t>
        </is>
      </c>
      <c r="X3200" s="61" t="n"/>
      <c r="Y3200" s="61" t="n"/>
    </row>
    <row r="3201" ht="14.25" customHeight="1" s="86">
      <c r="E3201" s="70" t="inlineStr">
        <is>
          <t>WV</t>
        </is>
      </c>
      <c r="F3201" s="70" t="inlineStr">
        <is>
          <t>TUCKER</t>
        </is>
      </c>
      <c r="X3201" s="61" t="n"/>
      <c r="Y3201" s="61" t="n"/>
    </row>
    <row r="3202" ht="14.25" customHeight="1" s="86">
      <c r="E3202" s="70" t="inlineStr">
        <is>
          <t>WV</t>
        </is>
      </c>
      <c r="F3202" s="70" t="inlineStr">
        <is>
          <t>TYLER</t>
        </is>
      </c>
      <c r="X3202" s="61" t="n"/>
      <c r="Y3202" s="61" t="n"/>
    </row>
    <row r="3203" ht="14.25" customHeight="1" s="86">
      <c r="E3203" s="70" t="inlineStr">
        <is>
          <t>WV</t>
        </is>
      </c>
      <c r="F3203" s="70" t="inlineStr">
        <is>
          <t>UPSHUR</t>
        </is>
      </c>
      <c r="X3203" s="61" t="n"/>
      <c r="Y3203" s="61" t="n"/>
    </row>
    <row r="3204" ht="14.25" customHeight="1" s="86">
      <c r="E3204" s="70" t="inlineStr">
        <is>
          <t>WV</t>
        </is>
      </c>
      <c r="F3204" s="70" t="inlineStr">
        <is>
          <t>WAYNE</t>
        </is>
      </c>
      <c r="X3204" s="61" t="n"/>
      <c r="Y3204" s="61" t="n"/>
    </row>
    <row r="3205" ht="14.25" customHeight="1" s="86">
      <c r="E3205" s="70" t="inlineStr">
        <is>
          <t>WV</t>
        </is>
      </c>
      <c r="F3205" s="70" t="inlineStr">
        <is>
          <t>WEBSTER</t>
        </is>
      </c>
      <c r="X3205" s="61" t="n"/>
      <c r="Y3205" s="61" t="n"/>
    </row>
    <row r="3206" ht="14.25" customHeight="1" s="86">
      <c r="E3206" s="70" t="inlineStr">
        <is>
          <t>WV</t>
        </is>
      </c>
      <c r="F3206" s="70" t="inlineStr">
        <is>
          <t>WETZEL</t>
        </is>
      </c>
      <c r="X3206" s="61" t="n"/>
      <c r="Y3206" s="61" t="n"/>
    </row>
    <row r="3207" ht="14.25" customHeight="1" s="86">
      <c r="E3207" s="70" t="inlineStr">
        <is>
          <t>WV</t>
        </is>
      </c>
      <c r="F3207" s="70" t="inlineStr">
        <is>
          <t>WIRT</t>
        </is>
      </c>
      <c r="X3207" s="61" t="n"/>
      <c r="Y3207" s="61" t="n"/>
    </row>
    <row r="3208" ht="14.25" customHeight="1" s="86">
      <c r="E3208" s="70" t="inlineStr">
        <is>
          <t>WV</t>
        </is>
      </c>
      <c r="F3208" s="70" t="inlineStr">
        <is>
          <t>WOOD</t>
        </is>
      </c>
      <c r="X3208" s="61" t="n"/>
      <c r="Y3208" s="61" t="n"/>
    </row>
    <row r="3209" ht="14.25" customHeight="1" s="86">
      <c r="E3209" s="70" t="inlineStr">
        <is>
          <t>WV</t>
        </is>
      </c>
      <c r="F3209" s="70" t="inlineStr">
        <is>
          <t>WYOMING</t>
        </is>
      </c>
      <c r="X3209" s="61" t="n"/>
      <c r="Y3209" s="61" t="n"/>
    </row>
    <row r="3210" ht="14.25" customHeight="1" s="86">
      <c r="E3210" s="70" t="inlineStr">
        <is>
          <t>WY</t>
        </is>
      </c>
      <c r="F3210" s="70" t="inlineStr">
        <is>
          <t>ALBANY</t>
        </is>
      </c>
      <c r="X3210" s="61" t="n"/>
      <c r="Y3210" s="61" t="n"/>
    </row>
    <row r="3211" ht="14.25" customHeight="1" s="86">
      <c r="E3211" s="70" t="inlineStr">
        <is>
          <t>WY</t>
        </is>
      </c>
      <c r="F3211" s="70" t="inlineStr">
        <is>
          <t>BIG HORN</t>
        </is>
      </c>
      <c r="X3211" s="61" t="n"/>
      <c r="Y3211" s="61" t="n"/>
    </row>
    <row r="3212" ht="14.25" customHeight="1" s="86">
      <c r="E3212" s="70" t="inlineStr">
        <is>
          <t>WY</t>
        </is>
      </c>
      <c r="F3212" s="70" t="inlineStr">
        <is>
          <t>CAMPBELL</t>
        </is>
      </c>
      <c r="X3212" s="61" t="n"/>
      <c r="Y3212" s="61" t="n"/>
    </row>
    <row r="3213" ht="14.25" customHeight="1" s="86">
      <c r="E3213" s="70" t="inlineStr">
        <is>
          <t>WY</t>
        </is>
      </c>
      <c r="F3213" s="70" t="inlineStr">
        <is>
          <t>CARBON</t>
        </is>
      </c>
      <c r="X3213" s="61" t="n"/>
      <c r="Y3213" s="61" t="n"/>
    </row>
    <row r="3214" ht="14.25" customHeight="1" s="86">
      <c r="E3214" s="70" t="inlineStr">
        <is>
          <t>WY</t>
        </is>
      </c>
      <c r="F3214" s="70" t="inlineStr">
        <is>
          <t>CONVERSE</t>
        </is>
      </c>
      <c r="X3214" s="61" t="n"/>
      <c r="Y3214" s="61" t="n"/>
    </row>
    <row r="3215" ht="14.25" customHeight="1" s="86">
      <c r="E3215" s="70" t="inlineStr">
        <is>
          <t>WY</t>
        </is>
      </c>
      <c r="F3215" s="70" t="inlineStr">
        <is>
          <t>CROOK</t>
        </is>
      </c>
      <c r="X3215" s="61" t="n"/>
      <c r="Y3215" s="61" t="n"/>
    </row>
    <row r="3216" ht="14.25" customHeight="1" s="86">
      <c r="E3216" s="70" t="inlineStr">
        <is>
          <t>WY</t>
        </is>
      </c>
      <c r="F3216" s="70" t="inlineStr">
        <is>
          <t>FREMONT</t>
        </is>
      </c>
      <c r="X3216" s="61" t="n"/>
      <c r="Y3216" s="61" t="n"/>
    </row>
    <row r="3217" ht="14.25" customHeight="1" s="86">
      <c r="E3217" s="70" t="inlineStr">
        <is>
          <t>WY</t>
        </is>
      </c>
      <c r="F3217" s="70" t="inlineStr">
        <is>
          <t>GOSHEN</t>
        </is>
      </c>
      <c r="X3217" s="61" t="n"/>
      <c r="Y3217" s="61" t="n"/>
    </row>
    <row r="3218" ht="14.25" customHeight="1" s="86">
      <c r="E3218" s="70" t="inlineStr">
        <is>
          <t>WY</t>
        </is>
      </c>
      <c r="F3218" s="70" t="inlineStr">
        <is>
          <t>HOT SPRINGS</t>
        </is>
      </c>
      <c r="X3218" s="61" t="n"/>
      <c r="Y3218" s="61" t="n"/>
    </row>
    <row r="3219" ht="14.25" customHeight="1" s="86">
      <c r="E3219" s="70" t="inlineStr">
        <is>
          <t>WY</t>
        </is>
      </c>
      <c r="F3219" s="70" t="inlineStr">
        <is>
          <t>JOHNSON</t>
        </is>
      </c>
      <c r="X3219" s="61" t="n"/>
      <c r="Y3219" s="61" t="n"/>
    </row>
    <row r="3220" ht="14.25" customHeight="1" s="86">
      <c r="E3220" s="70" t="inlineStr">
        <is>
          <t>WY</t>
        </is>
      </c>
      <c r="F3220" s="70" t="inlineStr">
        <is>
          <t>LARAMIE</t>
        </is>
      </c>
      <c r="X3220" s="61" t="n"/>
      <c r="Y3220" s="61" t="n"/>
    </row>
    <row r="3221" ht="14.25" customHeight="1" s="86">
      <c r="E3221" s="70" t="inlineStr">
        <is>
          <t>WY</t>
        </is>
      </c>
      <c r="F3221" s="70" t="inlineStr">
        <is>
          <t>LINCOLN</t>
        </is>
      </c>
      <c r="X3221" s="61" t="n"/>
      <c r="Y3221" s="61" t="n"/>
    </row>
    <row r="3222" ht="14.25" customHeight="1" s="86">
      <c r="E3222" s="70" t="inlineStr">
        <is>
          <t>WY</t>
        </is>
      </c>
      <c r="F3222" s="70" t="inlineStr">
        <is>
          <t>NATRONA</t>
        </is>
      </c>
      <c r="X3222" s="61" t="n"/>
      <c r="Y3222" s="61" t="n"/>
    </row>
    <row r="3223" ht="14.25" customHeight="1" s="86">
      <c r="E3223" s="70" t="inlineStr">
        <is>
          <t>WY</t>
        </is>
      </c>
      <c r="F3223" s="70" t="inlineStr">
        <is>
          <t>NIOBRARA</t>
        </is>
      </c>
      <c r="X3223" s="61" t="n"/>
      <c r="Y3223" s="61" t="n"/>
    </row>
    <row r="3224" ht="14.25" customHeight="1" s="86">
      <c r="E3224" s="70" t="inlineStr">
        <is>
          <t>WY</t>
        </is>
      </c>
      <c r="F3224" s="70" t="inlineStr">
        <is>
          <t>PARK</t>
        </is>
      </c>
      <c r="X3224" s="61" t="n"/>
      <c r="Y3224" s="61" t="n"/>
    </row>
    <row r="3225" ht="14.25" customHeight="1" s="86">
      <c r="E3225" s="70" t="inlineStr">
        <is>
          <t>WY</t>
        </is>
      </c>
      <c r="F3225" s="70" t="inlineStr">
        <is>
          <t>PLATTE</t>
        </is>
      </c>
      <c r="X3225" s="61" t="n"/>
      <c r="Y3225" s="61" t="n"/>
    </row>
    <row r="3226" ht="14.25" customHeight="1" s="86">
      <c r="E3226" s="70" t="inlineStr">
        <is>
          <t>WY</t>
        </is>
      </c>
      <c r="F3226" s="70" t="inlineStr">
        <is>
          <t>SHERIDAN</t>
        </is>
      </c>
      <c r="X3226" s="61" t="n"/>
      <c r="Y3226" s="61" t="n"/>
    </row>
    <row r="3227" ht="14.25" customHeight="1" s="86">
      <c r="E3227" s="70" t="inlineStr">
        <is>
          <t>WY</t>
        </is>
      </c>
      <c r="F3227" s="70" t="inlineStr">
        <is>
          <t>SUBLETTE</t>
        </is>
      </c>
      <c r="X3227" s="61" t="n"/>
      <c r="Y3227" s="61" t="n"/>
    </row>
    <row r="3228" ht="14.25" customHeight="1" s="86">
      <c r="E3228" s="70" t="inlineStr">
        <is>
          <t>WY</t>
        </is>
      </c>
      <c r="F3228" s="70" t="inlineStr">
        <is>
          <t>SWEETWATER</t>
        </is>
      </c>
      <c r="X3228" s="61" t="n"/>
      <c r="Y3228" s="61" t="n"/>
    </row>
    <row r="3229" ht="14.25" customHeight="1" s="86">
      <c r="E3229" s="70" t="inlineStr">
        <is>
          <t>WY</t>
        </is>
      </c>
      <c r="F3229" s="70" t="inlineStr">
        <is>
          <t>TETON</t>
        </is>
      </c>
      <c r="X3229" s="61" t="n"/>
      <c r="Y3229" s="61" t="n"/>
    </row>
    <row r="3230" ht="14.25" customHeight="1" s="86">
      <c r="E3230" s="70" t="inlineStr">
        <is>
          <t>WY</t>
        </is>
      </c>
      <c r="F3230" s="70" t="inlineStr">
        <is>
          <t>UINTA</t>
        </is>
      </c>
      <c r="X3230" s="61" t="n"/>
      <c r="Y3230" s="61" t="n"/>
    </row>
    <row r="3231" ht="14.25" customHeight="1" s="86">
      <c r="E3231" s="70" t="inlineStr">
        <is>
          <t>WY</t>
        </is>
      </c>
      <c r="F3231" s="70" t="inlineStr">
        <is>
          <t>WASHAKIE</t>
        </is>
      </c>
      <c r="X3231" s="61" t="n"/>
      <c r="Y3231" s="61" t="n"/>
    </row>
    <row r="3232" ht="14.25" customHeight="1" s="86">
      <c r="E3232" s="70" t="inlineStr">
        <is>
          <t>WY</t>
        </is>
      </c>
      <c r="F3232" s="70" t="inlineStr">
        <is>
          <t>WESTON</t>
        </is>
      </c>
      <c r="X3232" s="61" t="n"/>
      <c r="Y3232" s="61" t="n"/>
    </row>
    <row r="3233" ht="14.25" customHeight="1" s="86">
      <c r="E3233" s="70" t="n"/>
      <c r="F3233" s="70" t="n"/>
      <c r="X3233" s="61" t="n"/>
      <c r="Y3233" s="61" t="n"/>
    </row>
    <row r="3234" ht="14.25" customHeight="1" s="86">
      <c r="E3234" s="70" t="n"/>
      <c r="F3234" s="70" t="n"/>
      <c r="X3234" s="61" t="n"/>
      <c r="Y3234" s="61" t="n"/>
    </row>
    <row r="3235" ht="14.25" customHeight="1" s="86">
      <c r="E3235" s="70" t="n"/>
      <c r="F3235" s="70" t="n"/>
      <c r="X3235" s="61" t="n"/>
      <c r="Y3235" s="61" t="n"/>
    </row>
    <row r="3236" ht="14.25" customHeight="1" s="86">
      <c r="E3236" s="70" t="n"/>
      <c r="F3236" s="70" t="n"/>
      <c r="X3236" s="61" t="n"/>
      <c r="Y3236" s="61" t="n"/>
    </row>
    <row r="3237" ht="14.25" customHeight="1" s="86">
      <c r="E3237" s="70" t="n"/>
      <c r="F3237" s="70" t="n"/>
      <c r="X3237" s="61" t="n"/>
      <c r="Y3237" s="61" t="n"/>
    </row>
    <row r="3238" ht="14.25" customHeight="1" s="86">
      <c r="E3238" s="70" t="n"/>
      <c r="F3238" s="70" t="n"/>
      <c r="X3238" s="61" t="n"/>
      <c r="Y3238" s="61" t="n"/>
    </row>
    <row r="3239" ht="14.25" customHeight="1" s="86">
      <c r="E3239" s="70" t="n"/>
      <c r="F3239" s="70" t="n"/>
      <c r="X3239" s="61" t="n"/>
      <c r="Y3239" s="61" t="n"/>
    </row>
    <row r="3240" ht="14.25" customHeight="1" s="86">
      <c r="E3240" s="70" t="n"/>
      <c r="F3240" s="70" t="n"/>
      <c r="X3240" s="61" t="n"/>
      <c r="Y3240" s="61" t="n"/>
    </row>
    <row r="3241" ht="14.25" customHeight="1" s="86">
      <c r="E3241" s="70" t="n"/>
      <c r="F3241" s="70" t="n"/>
      <c r="X3241" s="61" t="n"/>
      <c r="Y3241" s="61" t="n"/>
    </row>
    <row r="3242" ht="14.25" customHeight="1" s="86">
      <c r="E3242" s="70" t="n"/>
      <c r="F3242" s="70" t="n"/>
      <c r="X3242" s="61" t="n"/>
      <c r="Y3242" s="61" t="n"/>
    </row>
    <row r="3243" ht="14.25" customHeight="1" s="86">
      <c r="E3243" s="70" t="n"/>
      <c r="F3243" s="70" t="n"/>
      <c r="X3243" s="61" t="n"/>
      <c r="Y3243" s="61" t="n"/>
    </row>
    <row r="3244" ht="14.25" customHeight="1" s="86">
      <c r="E3244" s="70" t="n"/>
      <c r="F3244" s="70" t="n"/>
      <c r="X3244" s="61" t="n"/>
      <c r="Y3244" s="61" t="n"/>
    </row>
    <row r="3245" ht="14.25" customHeight="1" s="86">
      <c r="E3245" s="70" t="n"/>
      <c r="F3245" s="70" t="n"/>
      <c r="X3245" s="61" t="n"/>
      <c r="Y3245" s="61" t="n"/>
    </row>
    <row r="3246" ht="14.25" customHeight="1" s="86">
      <c r="E3246" s="70" t="n"/>
      <c r="F3246" s="70" t="n"/>
      <c r="X3246" s="61" t="n"/>
      <c r="Y3246" s="61" t="n"/>
    </row>
    <row r="3247" ht="14.25" customHeight="1" s="86">
      <c r="E3247" s="70" t="n"/>
      <c r="F3247" s="70" t="n"/>
      <c r="X3247" s="61" t="n"/>
      <c r="Y3247" s="61" t="n"/>
    </row>
    <row r="3248" ht="14.25" customHeight="1" s="86">
      <c r="E3248" s="70" t="n"/>
      <c r="F3248" s="70" t="n"/>
      <c r="X3248" s="61" t="n"/>
      <c r="Y3248" s="61" t="n"/>
    </row>
    <row r="3249" ht="14.25" customHeight="1" s="86">
      <c r="E3249" s="70" t="n"/>
      <c r="F3249" s="70" t="n"/>
      <c r="X3249" s="61" t="n"/>
      <c r="Y3249" s="61" t="n"/>
    </row>
    <row r="3250" ht="14.25" customHeight="1" s="86">
      <c r="E3250" s="70" t="n"/>
      <c r="F3250" s="70" t="n"/>
      <c r="X3250" s="61" t="n"/>
      <c r="Y3250" s="61" t="n"/>
    </row>
    <row r="3251" ht="14.25" customHeight="1" s="86">
      <c r="E3251" s="70" t="n"/>
      <c r="F3251" s="70" t="n"/>
      <c r="X3251" s="61" t="n"/>
      <c r="Y3251" s="61" t="n"/>
    </row>
    <row r="3252" ht="14.25" customHeight="1" s="86">
      <c r="E3252" s="70" t="n"/>
      <c r="F3252" s="70" t="n"/>
      <c r="X3252" s="61" t="n"/>
      <c r="Y3252" s="61" t="n"/>
    </row>
    <row r="3253" ht="14.25" customHeight="1" s="86">
      <c r="E3253" s="70" t="n"/>
      <c r="F3253" s="70" t="n"/>
      <c r="X3253" s="61" t="n"/>
      <c r="Y3253" s="61" t="n"/>
    </row>
    <row r="3254" ht="14.25" customHeight="1" s="86">
      <c r="E3254" s="70" t="n"/>
      <c r="F3254" s="70" t="n"/>
      <c r="X3254" s="61" t="n"/>
      <c r="Y3254" s="61" t="n"/>
    </row>
    <row r="3255" ht="14.25" customHeight="1" s="86">
      <c r="E3255" s="70" t="n"/>
      <c r="F3255" s="70" t="n"/>
      <c r="X3255" s="61" t="n"/>
      <c r="Y3255" s="61" t="n"/>
    </row>
    <row r="3256" ht="14.25" customHeight="1" s="86">
      <c r="E3256" s="70" t="n"/>
      <c r="F3256" s="70" t="n"/>
      <c r="X3256" s="61" t="n"/>
      <c r="Y3256" s="61" t="n"/>
    </row>
    <row r="3257" ht="14.25" customHeight="1" s="86">
      <c r="E3257" s="70" t="n"/>
      <c r="F3257" s="70" t="n"/>
      <c r="X3257" s="61" t="n"/>
      <c r="Y3257" s="61" t="n"/>
    </row>
    <row r="3258" ht="14.25" customHeight="1" s="86">
      <c r="E3258" s="70" t="n"/>
      <c r="F3258" s="70" t="n"/>
      <c r="X3258" s="61" t="n"/>
      <c r="Y3258" s="61" t="n"/>
    </row>
    <row r="3259" ht="14.25" customHeight="1" s="86">
      <c r="E3259" s="70" t="n"/>
      <c r="F3259" s="70" t="n"/>
      <c r="X3259" s="61" t="n"/>
      <c r="Y3259" s="61" t="n"/>
    </row>
    <row r="3260" ht="14.25" customHeight="1" s="86">
      <c r="E3260" s="70" t="n"/>
      <c r="F3260" s="70" t="n"/>
      <c r="X3260" s="61" t="n"/>
      <c r="Y3260" s="61" t="n"/>
    </row>
    <row r="3261" ht="14.25" customHeight="1" s="86">
      <c r="E3261" s="70" t="n"/>
      <c r="F3261" s="70" t="n"/>
      <c r="X3261" s="61" t="n"/>
      <c r="Y3261" s="61" t="n"/>
    </row>
    <row r="3262" ht="14.25" customHeight="1" s="86">
      <c r="E3262" s="70" t="n"/>
      <c r="F3262" s="70" t="n"/>
      <c r="X3262" s="61" t="n"/>
      <c r="Y3262" s="61" t="n"/>
    </row>
    <row r="3263" ht="14.25" customHeight="1" s="86">
      <c r="E3263" s="70" t="n"/>
      <c r="F3263" s="70" t="n"/>
      <c r="X3263" s="61" t="n"/>
      <c r="Y3263" s="61" t="n"/>
    </row>
    <row r="3264" ht="14.25" customHeight="1" s="86">
      <c r="E3264" s="70" t="n"/>
      <c r="F3264" s="70" t="n"/>
      <c r="X3264" s="61" t="n"/>
      <c r="Y3264" s="61" t="n"/>
    </row>
    <row r="3265" ht="14.25" customHeight="1" s="86">
      <c r="E3265" s="70" t="n"/>
      <c r="F3265" s="70" t="n"/>
      <c r="X3265" s="61" t="n"/>
      <c r="Y3265" s="61" t="n"/>
    </row>
    <row r="3266" ht="14.25" customHeight="1" s="86">
      <c r="E3266" s="70" t="n"/>
      <c r="F3266" s="70" t="n"/>
      <c r="X3266" s="61" t="n"/>
      <c r="Y3266" s="61" t="n"/>
    </row>
    <row r="3267" ht="14.25" customHeight="1" s="86">
      <c r="E3267" s="70" t="n"/>
      <c r="F3267" s="70" t="n"/>
      <c r="X3267" s="61" t="n"/>
      <c r="Y3267" s="61" t="n"/>
    </row>
    <row r="3268" ht="14.25" customHeight="1" s="86">
      <c r="E3268" s="70" t="n"/>
      <c r="F3268" s="70" t="n"/>
      <c r="X3268" s="61" t="n"/>
      <c r="Y3268" s="61" t="n"/>
    </row>
    <row r="3269" ht="14.25" customHeight="1" s="86">
      <c r="E3269" s="70" t="n"/>
      <c r="F3269" s="70" t="n"/>
      <c r="X3269" s="61" t="n"/>
      <c r="Y3269" s="61" t="n"/>
    </row>
    <row r="3270" ht="14.25" customHeight="1" s="86">
      <c r="E3270" s="70" t="n"/>
      <c r="F3270" s="70" t="n"/>
      <c r="X3270" s="61" t="n"/>
      <c r="Y3270" s="61" t="n"/>
    </row>
    <row r="3271" ht="14.25" customHeight="1" s="86">
      <c r="E3271" s="70" t="n"/>
      <c r="F3271" s="70" t="n"/>
      <c r="X3271" s="61" t="n"/>
      <c r="Y3271" s="61" t="n"/>
    </row>
    <row r="3272" ht="14.25" customHeight="1" s="86">
      <c r="E3272" s="70" t="n"/>
      <c r="F3272" s="70" t="n"/>
      <c r="X3272" s="61" t="n"/>
      <c r="Y3272" s="61" t="n"/>
    </row>
    <row r="3273" ht="14.25" customHeight="1" s="86">
      <c r="E3273" s="70" t="n"/>
      <c r="F3273" s="70" t="n"/>
      <c r="X3273" s="61" t="n"/>
      <c r="Y3273" s="61" t="n"/>
    </row>
    <row r="3274" ht="14.25" customHeight="1" s="86">
      <c r="E3274" s="70" t="n"/>
      <c r="F3274" s="70" t="n"/>
      <c r="X3274" s="61" t="n"/>
      <c r="Y3274" s="61" t="n"/>
    </row>
    <row r="3275" ht="14.25" customHeight="1" s="86">
      <c r="E3275" s="70" t="n"/>
      <c r="F3275" s="70" t="n"/>
      <c r="X3275" s="61" t="n"/>
      <c r="Y3275" s="61" t="n"/>
    </row>
    <row r="3276" ht="14.25" customHeight="1" s="86">
      <c r="E3276" s="70" t="n"/>
      <c r="F3276" s="70" t="n"/>
      <c r="X3276" s="61" t="n"/>
      <c r="Y3276" s="61" t="n"/>
    </row>
    <row r="3277" ht="14.25" customHeight="1" s="86">
      <c r="E3277" s="70" t="n"/>
      <c r="F3277" s="70" t="n"/>
      <c r="X3277" s="61" t="n"/>
      <c r="Y3277" s="61" t="n"/>
    </row>
    <row r="3278" ht="14.25" customHeight="1" s="86">
      <c r="E3278" s="70" t="n"/>
      <c r="F3278" s="70" t="n"/>
      <c r="X3278" s="61" t="n"/>
      <c r="Y3278" s="61" t="n"/>
    </row>
    <row r="3279" ht="14.25" customHeight="1" s="86">
      <c r="E3279" s="70" t="n"/>
      <c r="F3279" s="70" t="n"/>
      <c r="X3279" s="61" t="n"/>
      <c r="Y3279" s="61" t="n"/>
    </row>
    <row r="3280" ht="14.25" customHeight="1" s="86">
      <c r="E3280" s="70" t="n"/>
      <c r="F3280" s="70" t="n"/>
      <c r="X3280" s="61" t="n"/>
      <c r="Y3280" s="61" t="n"/>
    </row>
    <row r="3281" ht="14.25" customHeight="1" s="86">
      <c r="E3281" s="70" t="n"/>
      <c r="F3281" s="70" t="n"/>
      <c r="X3281" s="61" t="n"/>
      <c r="Y3281" s="61" t="n"/>
    </row>
    <row r="3282" ht="14.25" customHeight="1" s="86">
      <c r="E3282" s="70" t="n"/>
      <c r="F3282" s="70" t="n"/>
      <c r="X3282" s="61" t="n"/>
      <c r="Y3282" s="61" t="n"/>
    </row>
    <row r="3283" ht="14.25" customHeight="1" s="86">
      <c r="E3283" s="70" t="n"/>
      <c r="F3283" s="70" t="n"/>
      <c r="X3283" s="61" t="n"/>
      <c r="Y3283" s="61" t="n"/>
    </row>
    <row r="3284" ht="14.25" customHeight="1" s="86">
      <c r="E3284" s="70" t="n"/>
      <c r="F3284" s="70" t="n"/>
      <c r="X3284" s="61" t="n"/>
      <c r="Y3284" s="61" t="n"/>
    </row>
    <row r="3285" ht="14.25" customHeight="1" s="86">
      <c r="E3285" s="70" t="n"/>
      <c r="F3285" s="70" t="n"/>
      <c r="X3285" s="61" t="n"/>
      <c r="Y3285" s="61" t="n"/>
    </row>
    <row r="3286" ht="14.25" customHeight="1" s="86">
      <c r="E3286" s="70" t="n"/>
      <c r="F3286" s="70" t="n"/>
      <c r="X3286" s="61" t="n"/>
      <c r="Y3286" s="61" t="n"/>
    </row>
    <row r="3287" ht="14.25" customHeight="1" s="86">
      <c r="E3287" s="70" t="n"/>
      <c r="F3287" s="70" t="n"/>
      <c r="X3287" s="61" t="n"/>
      <c r="Y3287" s="61" t="n"/>
    </row>
    <row r="3288" ht="14.25" customHeight="1" s="86">
      <c r="E3288" s="70" t="n"/>
      <c r="F3288" s="70" t="n"/>
      <c r="X3288" s="61" t="n"/>
      <c r="Y3288" s="61" t="n"/>
    </row>
    <row r="3289" ht="14.25" customHeight="1" s="86">
      <c r="E3289" s="70" t="n"/>
      <c r="F3289" s="70" t="n"/>
      <c r="X3289" s="61" t="n"/>
      <c r="Y3289" s="61" t="n"/>
    </row>
    <row r="3290" ht="14.25" customHeight="1" s="86">
      <c r="E3290" s="70" t="n"/>
      <c r="F3290" s="70" t="n"/>
      <c r="X3290" s="61" t="n"/>
      <c r="Y3290" s="61" t="n"/>
    </row>
    <row r="3291" ht="14.25" customHeight="1" s="86">
      <c r="E3291" s="70" t="n"/>
      <c r="F3291" s="70" t="n"/>
      <c r="X3291" s="61" t="n"/>
      <c r="Y3291" s="61" t="n"/>
    </row>
    <row r="3292" ht="14.25" customHeight="1" s="86">
      <c r="E3292" s="70" t="n"/>
      <c r="F3292" s="70" t="n"/>
      <c r="X3292" s="61" t="n"/>
      <c r="Y3292" s="61" t="n"/>
    </row>
    <row r="3293" ht="14.25" customHeight="1" s="86">
      <c r="E3293" s="70" t="n"/>
      <c r="F3293" s="70" t="n"/>
      <c r="X3293" s="61" t="n"/>
      <c r="Y3293" s="61" t="n"/>
    </row>
    <row r="3294" ht="14.25" customHeight="1" s="86">
      <c r="E3294" s="70" t="n"/>
      <c r="F3294" s="70" t="n"/>
      <c r="X3294" s="61" t="n"/>
      <c r="Y3294" s="61" t="n"/>
    </row>
    <row r="3295" ht="14.25" customHeight="1" s="86">
      <c r="E3295" s="70" t="n"/>
      <c r="F3295" s="70" t="n"/>
      <c r="X3295" s="61" t="n"/>
      <c r="Y3295" s="61" t="n"/>
    </row>
    <row r="3296" ht="14.25" customHeight="1" s="86">
      <c r="E3296" s="70" t="n"/>
      <c r="F3296" s="70" t="n"/>
      <c r="X3296" s="61" t="n"/>
      <c r="Y3296" s="61" t="n"/>
    </row>
    <row r="3297" ht="14.25" customHeight="1" s="86">
      <c r="E3297" s="70" t="n"/>
      <c r="F3297" s="70" t="n"/>
      <c r="X3297" s="61" t="n"/>
      <c r="Y3297" s="61" t="n"/>
    </row>
    <row r="3298" ht="14.25" customHeight="1" s="86">
      <c r="E3298" s="70" t="n"/>
      <c r="F3298" s="70" t="n"/>
      <c r="X3298" s="61" t="n"/>
      <c r="Y3298" s="61" t="n"/>
    </row>
    <row r="3299" ht="14.25" customHeight="1" s="86">
      <c r="E3299" s="70" t="n"/>
      <c r="F3299" s="70" t="n"/>
      <c r="X3299" s="61" t="n"/>
      <c r="Y3299" s="61" t="n"/>
    </row>
    <row r="3300" ht="14.25" customHeight="1" s="86">
      <c r="E3300" s="70" t="n"/>
      <c r="F3300" s="70" t="n"/>
      <c r="X3300" s="61" t="n"/>
      <c r="Y3300" s="61" t="n"/>
    </row>
    <row r="3301" ht="14.25" customHeight="1" s="86">
      <c r="E3301" s="70" t="n"/>
      <c r="F3301" s="70" t="n"/>
      <c r="X3301" s="61" t="n"/>
      <c r="Y3301" s="61" t="n"/>
    </row>
    <row r="3302" ht="14.25" customHeight="1" s="86">
      <c r="E3302" s="70" t="n"/>
      <c r="F3302" s="70" t="n"/>
      <c r="X3302" s="61" t="n"/>
      <c r="Y3302" s="61" t="n"/>
    </row>
    <row r="3303" ht="14.25" customHeight="1" s="86">
      <c r="E3303" s="70" t="n"/>
      <c r="F3303" s="70" t="n"/>
      <c r="X3303" s="61" t="n"/>
      <c r="Y3303" s="61" t="n"/>
    </row>
    <row r="3304" ht="14.25" customHeight="1" s="86">
      <c r="E3304" s="70" t="n"/>
      <c r="F3304" s="70" t="n"/>
      <c r="X3304" s="61" t="n"/>
      <c r="Y3304" s="61" t="n"/>
    </row>
    <row r="3305" ht="14.25" customHeight="1" s="86">
      <c r="E3305" s="70" t="n"/>
      <c r="F3305" s="70" t="n"/>
      <c r="X3305" s="61" t="n"/>
      <c r="Y3305" s="61" t="n"/>
    </row>
    <row r="3306" ht="14.25" customHeight="1" s="86">
      <c r="E3306" s="70" t="n"/>
      <c r="F3306" s="70" t="n"/>
      <c r="X3306" s="61" t="n"/>
      <c r="Y3306" s="61" t="n"/>
    </row>
    <row r="3307" ht="14.25" customHeight="1" s="86">
      <c r="E3307" s="70" t="n"/>
      <c r="F3307" s="70" t="n"/>
      <c r="X3307" s="61" t="n"/>
      <c r="Y3307" s="61" t="n"/>
    </row>
    <row r="3308" ht="14.25" customHeight="1" s="86">
      <c r="E3308" s="70" t="n"/>
      <c r="F3308" s="70" t="n"/>
      <c r="X3308" s="61" t="n"/>
      <c r="Y3308" s="61" t="n"/>
    </row>
    <row r="3309" ht="14.25" customHeight="1" s="86">
      <c r="E3309" s="70" t="n"/>
      <c r="F3309" s="70" t="n"/>
      <c r="X3309" s="61" t="n"/>
      <c r="Y3309" s="61" t="n"/>
    </row>
    <row r="3310" ht="14.25" customHeight="1" s="86">
      <c r="E3310" s="70" t="n"/>
      <c r="F3310" s="70" t="n"/>
      <c r="X3310" s="61" t="n"/>
      <c r="Y3310" s="61" t="n"/>
    </row>
    <row r="3311" ht="14.25" customHeight="1" s="86">
      <c r="E3311" s="70" t="n"/>
      <c r="F3311" s="70" t="n"/>
      <c r="X3311" s="61" t="n"/>
      <c r="Y3311" s="61" t="n"/>
    </row>
    <row r="3312" ht="14.25" customHeight="1" s="86">
      <c r="E3312" s="70" t="n"/>
      <c r="F3312" s="70" t="n"/>
      <c r="X3312" s="61" t="n"/>
      <c r="Y3312" s="61" t="n"/>
    </row>
    <row r="3313" ht="14.25" customHeight="1" s="86">
      <c r="E3313" s="70" t="n"/>
      <c r="F3313" s="70" t="n"/>
      <c r="X3313" s="61" t="n"/>
      <c r="Y3313" s="61" t="n"/>
    </row>
    <row r="3314" ht="14.25" customHeight="1" s="86">
      <c r="E3314" s="70" t="n"/>
      <c r="F3314" s="70" t="n"/>
      <c r="X3314" s="61" t="n"/>
      <c r="Y3314" s="61" t="n"/>
    </row>
    <row r="3315" ht="14.25" customHeight="1" s="86">
      <c r="E3315" s="70" t="n"/>
      <c r="F3315" s="70" t="n"/>
      <c r="X3315" s="61" t="n"/>
      <c r="Y3315" s="61" t="n"/>
    </row>
    <row r="3316" ht="14.25" customHeight="1" s="86">
      <c r="E3316" s="70" t="n"/>
      <c r="F3316" s="70" t="n"/>
      <c r="X3316" s="61" t="n"/>
      <c r="Y3316" s="61" t="n"/>
    </row>
    <row r="3317" ht="14.25" customHeight="1" s="86">
      <c r="E3317" s="70" t="n"/>
      <c r="F3317" s="70" t="n"/>
      <c r="X3317" s="61" t="n"/>
      <c r="Y3317" s="61" t="n"/>
    </row>
    <row r="3318" ht="14.25" customHeight="1" s="86">
      <c r="E3318" s="70" t="n"/>
      <c r="F3318" s="70" t="n"/>
      <c r="X3318" s="61" t="n"/>
      <c r="Y3318" s="61" t="n"/>
    </row>
    <row r="3319" ht="14.25" customHeight="1" s="86">
      <c r="E3319" s="70" t="n"/>
      <c r="F3319" s="70" t="n"/>
      <c r="X3319" s="61" t="n"/>
      <c r="Y3319" s="61" t="n"/>
    </row>
    <row r="3320" ht="14.25" customHeight="1" s="86">
      <c r="E3320" s="70" t="n"/>
      <c r="F3320" s="70" t="n"/>
      <c r="X3320" s="61" t="n"/>
      <c r="Y3320" s="61" t="n"/>
    </row>
    <row r="3321" ht="14.25" customHeight="1" s="86">
      <c r="E3321" s="70" t="n"/>
      <c r="F3321" s="70" t="n"/>
      <c r="X3321" s="61" t="n"/>
      <c r="Y3321" s="61" t="n"/>
    </row>
    <row r="3322" ht="14.25" customHeight="1" s="86">
      <c r="E3322" s="70" t="n"/>
      <c r="F3322" s="70" t="n"/>
      <c r="X3322" s="61" t="n"/>
      <c r="Y3322" s="61" t="n"/>
    </row>
    <row r="3323" ht="14.25" customHeight="1" s="86">
      <c r="E3323" s="70" t="n"/>
      <c r="F3323" s="70" t="n"/>
      <c r="X3323" s="61" t="n"/>
      <c r="Y3323" s="61" t="n"/>
    </row>
    <row r="3324" ht="14.25" customHeight="1" s="86">
      <c r="E3324" s="70" t="n"/>
      <c r="F3324" s="70" t="n"/>
      <c r="X3324" s="61" t="n"/>
      <c r="Y3324" s="61" t="n"/>
    </row>
    <row r="3325" ht="14.25" customHeight="1" s="86">
      <c r="E3325" s="70" t="n"/>
      <c r="F3325" s="70" t="n"/>
      <c r="X3325" s="61" t="n"/>
      <c r="Y3325" s="61" t="n"/>
    </row>
    <row r="3326" ht="14.25" customHeight="1" s="86">
      <c r="E3326" s="70" t="n"/>
      <c r="F3326" s="70" t="n"/>
      <c r="X3326" s="61" t="n"/>
      <c r="Y3326" s="61" t="n"/>
    </row>
    <row r="3327" ht="14.25" customHeight="1" s="86">
      <c r="E3327" s="70" t="n"/>
      <c r="F3327" s="70" t="n"/>
      <c r="X3327" s="61" t="n"/>
      <c r="Y3327" s="61" t="n"/>
    </row>
    <row r="3328" ht="14.25" customHeight="1" s="86">
      <c r="E3328" s="70" t="n"/>
      <c r="F3328" s="70" t="n"/>
      <c r="X3328" s="61" t="n"/>
      <c r="Y3328" s="61" t="n"/>
    </row>
    <row r="3329" ht="14.25" customHeight="1" s="86">
      <c r="E3329" s="70" t="n"/>
      <c r="F3329" s="70" t="n"/>
      <c r="X3329" s="61" t="n"/>
      <c r="Y3329" s="61" t="n"/>
    </row>
    <row r="3330" ht="14.25" customHeight="1" s="86">
      <c r="E3330" s="70" t="n"/>
      <c r="F3330" s="70" t="n"/>
      <c r="X3330" s="61" t="n"/>
      <c r="Y3330" s="61" t="n"/>
    </row>
    <row r="3331" ht="14.25" customHeight="1" s="86">
      <c r="E3331" s="70" t="n"/>
      <c r="F3331" s="70" t="n"/>
      <c r="X3331" s="61" t="n"/>
      <c r="Y3331" s="61" t="n"/>
    </row>
    <row r="3332" ht="14.25" customHeight="1" s="86">
      <c r="E3332" s="70" t="n"/>
      <c r="F3332" s="70" t="n"/>
      <c r="X3332" s="61" t="n"/>
      <c r="Y3332" s="61" t="n"/>
    </row>
    <row r="3333" ht="14.25" customHeight="1" s="86">
      <c r="E3333" s="70" t="n"/>
      <c r="F3333" s="70" t="n"/>
      <c r="X3333" s="61" t="n"/>
      <c r="Y3333" s="61" t="n"/>
    </row>
    <row r="3334" ht="14.25" customHeight="1" s="86">
      <c r="E3334" s="70" t="n"/>
      <c r="F3334" s="70" t="n"/>
      <c r="X3334" s="61" t="n"/>
      <c r="Y3334" s="61" t="n"/>
    </row>
    <row r="3335" ht="14.25" customHeight="1" s="86">
      <c r="E3335" s="70" t="n"/>
      <c r="F3335" s="70" t="n"/>
      <c r="X3335" s="61" t="n"/>
      <c r="Y3335" s="61" t="n"/>
    </row>
    <row r="3336" ht="14.25" customHeight="1" s="86">
      <c r="E3336" s="70" t="n"/>
      <c r="F3336" s="70" t="n"/>
      <c r="X3336" s="61" t="n"/>
      <c r="Y3336" s="61" t="n"/>
    </row>
    <row r="3337" ht="14.25" customHeight="1" s="86">
      <c r="E3337" s="70" t="n"/>
      <c r="F3337" s="70" t="n"/>
      <c r="X3337" s="61" t="n"/>
      <c r="Y3337" s="61" t="n"/>
    </row>
    <row r="3338" ht="14.25" customHeight="1" s="86">
      <c r="E3338" s="70" t="n"/>
      <c r="F3338" s="70" t="n"/>
      <c r="X3338" s="61" t="n"/>
      <c r="Y3338" s="61" t="n"/>
    </row>
    <row r="3339" ht="14.25" customHeight="1" s="86">
      <c r="E3339" s="70" t="n"/>
      <c r="F3339" s="70" t="n"/>
      <c r="X3339" s="61" t="n"/>
      <c r="Y3339" s="61" t="n"/>
    </row>
    <row r="3340" ht="14.25" customHeight="1" s="86">
      <c r="E3340" s="70" t="n"/>
      <c r="F3340" s="70" t="n"/>
      <c r="X3340" s="61" t="n"/>
      <c r="Y3340" s="61" t="n"/>
    </row>
    <row r="3341" ht="14.25" customHeight="1" s="86">
      <c r="E3341" s="70" t="n"/>
      <c r="F3341" s="70" t="n"/>
      <c r="X3341" s="61" t="n"/>
      <c r="Y3341" s="61" t="n"/>
    </row>
    <row r="3342" ht="14.25" customHeight="1" s="86">
      <c r="E3342" s="70" t="n"/>
      <c r="F3342" s="70" t="n"/>
      <c r="X3342" s="61" t="n"/>
      <c r="Y3342" s="61" t="n"/>
    </row>
    <row r="3343" ht="14.25" customHeight="1" s="86">
      <c r="E3343" s="70" t="n"/>
      <c r="F3343" s="70" t="n"/>
      <c r="X3343" s="61" t="n"/>
      <c r="Y3343" s="61" t="n"/>
    </row>
    <row r="3344" ht="14.25" customHeight="1" s="86">
      <c r="E3344" s="70" t="n"/>
      <c r="F3344" s="70" t="n"/>
      <c r="X3344" s="61" t="n"/>
      <c r="Y3344" s="61" t="n"/>
    </row>
    <row r="3345" ht="14.25" customHeight="1" s="86">
      <c r="E3345" s="70" t="n"/>
      <c r="F3345" s="70" t="n"/>
      <c r="X3345" s="61" t="n"/>
      <c r="Y3345" s="61" t="n"/>
    </row>
    <row r="3346" ht="14.25" customHeight="1" s="86">
      <c r="E3346" s="70" t="n"/>
      <c r="F3346" s="70" t="n"/>
      <c r="X3346" s="61" t="n"/>
      <c r="Y3346" s="61" t="n"/>
    </row>
    <row r="3347" ht="14.25" customHeight="1" s="86">
      <c r="E3347" s="70" t="n"/>
      <c r="F3347" s="70" t="n"/>
      <c r="X3347" s="61" t="n"/>
      <c r="Y3347" s="61" t="n"/>
    </row>
    <row r="3348" ht="14.25" customHeight="1" s="86">
      <c r="E3348" s="70" t="n"/>
      <c r="F3348" s="70" t="n"/>
      <c r="X3348" s="61" t="n"/>
      <c r="Y3348" s="61" t="n"/>
    </row>
    <row r="3349" ht="14.25" customHeight="1" s="86">
      <c r="E3349" s="70" t="n"/>
      <c r="F3349" s="70" t="n"/>
      <c r="X3349" s="61" t="n"/>
      <c r="Y3349" s="61" t="n"/>
    </row>
    <row r="3350" ht="14.25" customHeight="1" s="86">
      <c r="E3350" s="70" t="n"/>
      <c r="F3350" s="70" t="n"/>
      <c r="X3350" s="61" t="n"/>
      <c r="Y3350" s="61" t="n"/>
    </row>
    <row r="3351" ht="14.25" customHeight="1" s="86">
      <c r="E3351" s="70" t="n"/>
      <c r="F3351" s="70" t="n"/>
      <c r="X3351" s="61" t="n"/>
      <c r="Y3351" s="61" t="n"/>
    </row>
    <row r="3352" ht="14.25" customHeight="1" s="86">
      <c r="E3352" s="70" t="n"/>
      <c r="F3352" s="70" t="n"/>
      <c r="X3352" s="61" t="n"/>
      <c r="Y3352" s="61" t="n"/>
    </row>
    <row r="3353" ht="14.25" customHeight="1" s="86">
      <c r="E3353" s="70" t="n"/>
      <c r="F3353" s="70" t="n"/>
      <c r="X3353" s="61" t="n"/>
      <c r="Y3353" s="61" t="n"/>
    </row>
    <row r="3354" ht="14.25" customHeight="1" s="86">
      <c r="E3354" s="70" t="n"/>
      <c r="F3354" s="70" t="n"/>
      <c r="X3354" s="61" t="n"/>
      <c r="Y3354" s="61" t="n"/>
    </row>
    <row r="3355" ht="14.25" customHeight="1" s="86">
      <c r="E3355" s="70" t="n"/>
      <c r="F3355" s="70" t="n"/>
      <c r="X3355" s="61" t="n"/>
      <c r="Y3355" s="61" t="n"/>
    </row>
    <row r="3356" ht="14.25" customHeight="1" s="86">
      <c r="E3356" s="70" t="n"/>
      <c r="F3356" s="70" t="n"/>
      <c r="X3356" s="61" t="n"/>
      <c r="Y3356" s="61" t="n"/>
    </row>
    <row r="3357" ht="14.25" customHeight="1" s="86">
      <c r="E3357" s="70" t="n"/>
      <c r="F3357" s="70" t="n"/>
      <c r="X3357" s="61" t="n"/>
      <c r="Y3357" s="61" t="n"/>
    </row>
    <row r="3358" ht="14.25" customHeight="1" s="86">
      <c r="E3358" s="70" t="n"/>
      <c r="F3358" s="70" t="n"/>
      <c r="X3358" s="61" t="n"/>
      <c r="Y3358" s="61" t="n"/>
    </row>
    <row r="3359" ht="14.25" customHeight="1" s="86">
      <c r="E3359" s="70" t="n"/>
      <c r="F3359" s="70" t="n"/>
      <c r="X3359" s="61" t="n"/>
      <c r="Y3359" s="61" t="n"/>
    </row>
    <row r="3360" ht="14.25" customHeight="1" s="86">
      <c r="E3360" s="70" t="n"/>
      <c r="F3360" s="70" t="n"/>
      <c r="X3360" s="61" t="n"/>
      <c r="Y3360" s="61" t="n"/>
    </row>
    <row r="3361" ht="14.25" customHeight="1" s="86">
      <c r="E3361" s="70" t="n"/>
      <c r="F3361" s="70" t="n"/>
      <c r="X3361" s="61" t="n"/>
      <c r="Y3361" s="61" t="n"/>
    </row>
    <row r="3362" ht="14.25" customHeight="1" s="86">
      <c r="E3362" s="70" t="n"/>
      <c r="F3362" s="70" t="n"/>
      <c r="X3362" s="61" t="n"/>
      <c r="Y3362" s="61" t="n"/>
    </row>
    <row r="3363" ht="14.25" customHeight="1" s="86">
      <c r="E3363" s="70" t="n"/>
      <c r="F3363" s="70" t="n"/>
      <c r="X3363" s="61" t="n"/>
      <c r="Y3363" s="61" t="n"/>
    </row>
    <row r="3364" ht="14.25" customHeight="1" s="86">
      <c r="E3364" s="70" t="n"/>
      <c r="F3364" s="70" t="n"/>
      <c r="X3364" s="61" t="n"/>
      <c r="Y3364" s="61" t="n"/>
    </row>
    <row r="3365" ht="14.25" customHeight="1" s="86">
      <c r="E3365" s="70" t="n"/>
      <c r="F3365" s="70" t="n"/>
      <c r="X3365" s="61" t="n"/>
      <c r="Y3365" s="61" t="n"/>
    </row>
    <row r="3366" ht="14.25" customHeight="1" s="86">
      <c r="E3366" s="70" t="n"/>
      <c r="F3366" s="70" t="n"/>
      <c r="X3366" s="61" t="n"/>
      <c r="Y3366" s="61" t="n"/>
    </row>
    <row r="3367" ht="14.25" customHeight="1" s="86">
      <c r="E3367" s="70" t="n"/>
      <c r="F3367" s="70" t="n"/>
      <c r="X3367" s="61" t="n"/>
      <c r="Y3367" s="61" t="n"/>
    </row>
    <row r="3368" ht="14.25" customHeight="1" s="86">
      <c r="E3368" s="70" t="n"/>
      <c r="F3368" s="70" t="n"/>
      <c r="X3368" s="61" t="n"/>
      <c r="Y3368" s="61" t="n"/>
    </row>
    <row r="3369" ht="14.25" customHeight="1" s="86">
      <c r="E3369" s="70" t="n"/>
      <c r="F3369" s="70" t="n"/>
      <c r="X3369" s="61" t="n"/>
      <c r="Y3369" s="61" t="n"/>
    </row>
    <row r="3370" ht="14.25" customHeight="1" s="86">
      <c r="E3370" s="70" t="n"/>
      <c r="F3370" s="70" t="n"/>
      <c r="X3370" s="61" t="n"/>
      <c r="Y3370" s="61" t="n"/>
    </row>
    <row r="3371" ht="14.25" customHeight="1" s="86">
      <c r="E3371" s="70" t="n"/>
      <c r="F3371" s="70" t="n"/>
      <c r="X3371" s="61" t="n"/>
      <c r="Y3371" s="61" t="n"/>
    </row>
    <row r="3372" ht="14.25" customHeight="1" s="86">
      <c r="E3372" s="70" t="n"/>
      <c r="F3372" s="70" t="n"/>
      <c r="X3372" s="61" t="n"/>
      <c r="Y3372" s="61" t="n"/>
    </row>
    <row r="3373" ht="14.25" customHeight="1" s="86">
      <c r="E3373" s="70" t="n"/>
      <c r="F3373" s="70" t="n"/>
      <c r="X3373" s="61" t="n"/>
      <c r="Y3373" s="61" t="n"/>
    </row>
    <row r="3374" ht="14.25" customHeight="1" s="86">
      <c r="E3374" s="70" t="n"/>
      <c r="F3374" s="70" t="n"/>
      <c r="X3374" s="61" t="n"/>
      <c r="Y3374" s="61" t="n"/>
    </row>
    <row r="3375" ht="14.25" customHeight="1" s="86">
      <c r="E3375" s="70" t="n"/>
      <c r="F3375" s="70" t="n"/>
      <c r="X3375" s="61" t="n"/>
      <c r="Y3375" s="61" t="n"/>
    </row>
    <row r="3376" ht="14.25" customHeight="1" s="86">
      <c r="E3376" s="70" t="n"/>
      <c r="F3376" s="70" t="n"/>
      <c r="X3376" s="61" t="n"/>
      <c r="Y3376" s="61" t="n"/>
    </row>
    <row r="3377" ht="14.25" customHeight="1" s="86">
      <c r="E3377" s="70" t="n"/>
      <c r="F3377" s="70" t="n"/>
      <c r="X3377" s="61" t="n"/>
      <c r="Y3377" s="61" t="n"/>
    </row>
    <row r="3378" ht="14.25" customHeight="1" s="86">
      <c r="E3378" s="70" t="n"/>
      <c r="F3378" s="70" t="n"/>
      <c r="X3378" s="61" t="n"/>
      <c r="Y3378" s="61" t="n"/>
    </row>
    <row r="3379" ht="14.25" customHeight="1" s="86">
      <c r="E3379" s="70" t="n"/>
      <c r="F3379" s="70" t="n"/>
      <c r="X3379" s="61" t="n"/>
      <c r="Y3379" s="61" t="n"/>
    </row>
    <row r="3380" ht="14.25" customHeight="1" s="86">
      <c r="E3380" s="70" t="n"/>
      <c r="F3380" s="70" t="n"/>
      <c r="X3380" s="61" t="n"/>
      <c r="Y3380" s="61" t="n"/>
    </row>
    <row r="3381" ht="14.25" customHeight="1" s="86">
      <c r="E3381" s="70" t="n"/>
      <c r="F3381" s="70" t="n"/>
      <c r="X3381" s="61" t="n"/>
      <c r="Y3381" s="61" t="n"/>
    </row>
    <row r="3382" ht="14.25" customHeight="1" s="86">
      <c r="E3382" s="70" t="n"/>
      <c r="F3382" s="70" t="n"/>
      <c r="X3382" s="61" t="n"/>
      <c r="Y3382" s="61" t="n"/>
    </row>
    <row r="3383" ht="14.25" customHeight="1" s="86">
      <c r="E3383" s="70" t="n"/>
      <c r="F3383" s="70" t="n"/>
      <c r="X3383" s="61" t="n"/>
      <c r="Y3383" s="61" t="n"/>
    </row>
    <row r="3384" ht="14.25" customHeight="1" s="86">
      <c r="E3384" s="70" t="n"/>
      <c r="F3384" s="70" t="n"/>
      <c r="X3384" s="61" t="n"/>
      <c r="Y3384" s="61" t="n"/>
    </row>
    <row r="3385" ht="14.25" customHeight="1" s="86">
      <c r="E3385" s="70" t="n"/>
      <c r="F3385" s="70" t="n"/>
      <c r="X3385" s="61" t="n"/>
      <c r="Y3385" s="61" t="n"/>
    </row>
    <row r="3386" ht="14.25" customHeight="1" s="86">
      <c r="E3386" s="70" t="n"/>
      <c r="F3386" s="70" t="n"/>
      <c r="X3386" s="61" t="n"/>
      <c r="Y3386" s="61" t="n"/>
    </row>
    <row r="3387" ht="14.25" customHeight="1" s="86">
      <c r="E3387" s="70" t="n"/>
      <c r="F3387" s="70" t="n"/>
      <c r="X3387" s="61" t="n"/>
      <c r="Y3387" s="61" t="n"/>
    </row>
    <row r="3388" ht="14.25" customHeight="1" s="86">
      <c r="E3388" s="70" t="n"/>
      <c r="F3388" s="70" t="n"/>
      <c r="X3388" s="61" t="n"/>
      <c r="Y3388" s="61" t="n"/>
    </row>
    <row r="3389" ht="14.25" customHeight="1" s="86">
      <c r="E3389" s="70" t="n"/>
      <c r="F3389" s="70" t="n"/>
      <c r="X3389" s="61" t="n"/>
      <c r="Y3389" s="61" t="n"/>
    </row>
    <row r="3390" ht="14.25" customHeight="1" s="86">
      <c r="E3390" s="70" t="n"/>
      <c r="F3390" s="70" t="n"/>
      <c r="X3390" s="61" t="n"/>
      <c r="Y3390" s="61" t="n"/>
    </row>
    <row r="3391" ht="14.25" customHeight="1" s="86">
      <c r="E3391" s="70" t="n"/>
      <c r="F3391" s="70" t="n"/>
      <c r="X3391" s="61" t="n"/>
      <c r="Y3391" s="61" t="n"/>
    </row>
    <row r="3392" ht="14.25" customHeight="1" s="86">
      <c r="E3392" s="70" t="n"/>
      <c r="F3392" s="70" t="n"/>
      <c r="X3392" s="61" t="n"/>
      <c r="Y3392" s="61" t="n"/>
    </row>
    <row r="3393" ht="14.25" customHeight="1" s="86">
      <c r="E3393" s="70" t="n"/>
      <c r="F3393" s="70" t="n"/>
      <c r="X3393" s="61" t="n"/>
      <c r="Y3393" s="61" t="n"/>
    </row>
    <row r="3394" ht="14.25" customHeight="1" s="86">
      <c r="E3394" s="70" t="n"/>
      <c r="F3394" s="70" t="n"/>
      <c r="X3394" s="61" t="n"/>
      <c r="Y3394" s="61" t="n"/>
    </row>
    <row r="3395" ht="14.25" customHeight="1" s="86">
      <c r="E3395" s="70" t="n"/>
      <c r="F3395" s="70" t="n"/>
      <c r="X3395" s="61" t="n"/>
      <c r="Y3395" s="61" t="n"/>
    </row>
    <row r="3396" ht="14.25" customHeight="1" s="86">
      <c r="E3396" s="70" t="n"/>
      <c r="F3396" s="70" t="n"/>
      <c r="X3396" s="61" t="n"/>
      <c r="Y3396" s="61" t="n"/>
    </row>
    <row r="3397" ht="14.25" customHeight="1" s="86">
      <c r="E3397" s="70" t="n"/>
      <c r="F3397" s="70" t="n"/>
      <c r="X3397" s="61" t="n"/>
      <c r="Y3397" s="61" t="n"/>
    </row>
    <row r="3398" ht="14.25" customHeight="1" s="86">
      <c r="E3398" s="70" t="n"/>
      <c r="F3398" s="70" t="n"/>
      <c r="X3398" s="61" t="n"/>
      <c r="Y3398" s="61" t="n"/>
    </row>
    <row r="3399" ht="14.25" customHeight="1" s="86">
      <c r="E3399" s="70" t="n"/>
      <c r="F3399" s="70" t="n"/>
      <c r="X3399" s="61" t="n"/>
      <c r="Y3399" s="61" t="n"/>
    </row>
    <row r="3400" ht="14.25" customHeight="1" s="86">
      <c r="E3400" s="70" t="n"/>
      <c r="F3400" s="70" t="n"/>
      <c r="X3400" s="61" t="n"/>
      <c r="Y3400" s="61" t="n"/>
    </row>
    <row r="3401" ht="14.25" customHeight="1" s="86">
      <c r="E3401" s="70" t="n"/>
      <c r="F3401" s="70" t="n"/>
      <c r="X3401" s="61" t="n"/>
      <c r="Y3401" s="61" t="n"/>
    </row>
    <row r="3402" ht="14.25" customHeight="1" s="86">
      <c r="E3402" s="70" t="n"/>
      <c r="F3402" s="70" t="n"/>
      <c r="X3402" s="61" t="n"/>
      <c r="Y3402" s="61" t="n"/>
    </row>
    <row r="3403" ht="14.25" customHeight="1" s="86">
      <c r="E3403" s="70" t="n"/>
      <c r="F3403" s="70" t="n"/>
      <c r="X3403" s="61" t="n"/>
      <c r="Y3403" s="61" t="n"/>
    </row>
    <row r="3404" ht="14.25" customHeight="1" s="86">
      <c r="E3404" s="70" t="n"/>
      <c r="F3404" s="70" t="n"/>
      <c r="X3404" s="61" t="n"/>
      <c r="Y3404" s="61" t="n"/>
    </row>
    <row r="3405" ht="14.25" customHeight="1" s="86">
      <c r="E3405" s="70" t="n"/>
      <c r="F3405" s="70" t="n"/>
      <c r="X3405" s="61" t="n"/>
      <c r="Y3405" s="61" t="n"/>
    </row>
    <row r="3406" ht="14.25" customHeight="1" s="86">
      <c r="E3406" s="70" t="n"/>
      <c r="F3406" s="70" t="n"/>
      <c r="X3406" s="61" t="n"/>
      <c r="Y3406" s="61" t="n"/>
    </row>
    <row r="3407" ht="14.25" customHeight="1" s="86">
      <c r="E3407" s="70" t="n"/>
      <c r="F3407" s="70" t="n"/>
      <c r="X3407" s="61" t="n"/>
      <c r="Y3407" s="61" t="n"/>
    </row>
    <row r="3408" ht="14.25" customHeight="1" s="86">
      <c r="E3408" s="70" t="n"/>
      <c r="F3408" s="70" t="n"/>
      <c r="X3408" s="61" t="n"/>
      <c r="Y3408" s="61" t="n"/>
    </row>
    <row r="3409" ht="14.25" customHeight="1" s="86">
      <c r="E3409" s="70" t="n"/>
      <c r="F3409" s="70" t="n"/>
      <c r="X3409" s="61" t="n"/>
      <c r="Y3409" s="61" t="n"/>
    </row>
    <row r="3410" ht="14.25" customHeight="1" s="86">
      <c r="E3410" s="70" t="n"/>
      <c r="F3410" s="70" t="n"/>
      <c r="X3410" s="61" t="n"/>
      <c r="Y3410" s="61" t="n"/>
    </row>
    <row r="3411" ht="14.25" customHeight="1" s="86">
      <c r="E3411" s="70" t="n"/>
      <c r="F3411" s="70" t="n"/>
      <c r="X3411" s="61" t="n"/>
      <c r="Y3411" s="61" t="n"/>
    </row>
    <row r="3412" ht="14.25" customHeight="1" s="86">
      <c r="E3412" s="70" t="n"/>
      <c r="F3412" s="70" t="n"/>
      <c r="X3412" s="61" t="n"/>
      <c r="Y3412" s="61" t="n"/>
    </row>
    <row r="3413" ht="14.25" customHeight="1" s="86">
      <c r="E3413" s="70" t="n"/>
      <c r="F3413" s="70" t="n"/>
      <c r="X3413" s="61" t="n"/>
      <c r="Y3413" s="61" t="n"/>
    </row>
    <row r="3414" ht="14.25" customHeight="1" s="86">
      <c r="E3414" s="70" t="n"/>
      <c r="F3414" s="70" t="n"/>
      <c r="X3414" s="61" t="n"/>
      <c r="Y3414" s="61" t="n"/>
    </row>
    <row r="3415" ht="14.25" customHeight="1" s="86">
      <c r="E3415" s="70" t="n"/>
      <c r="F3415" s="70" t="n"/>
      <c r="X3415" s="61" t="n"/>
      <c r="Y3415" s="61" t="n"/>
    </row>
    <row r="3416" ht="14.25" customHeight="1" s="86">
      <c r="E3416" s="70" t="n"/>
      <c r="F3416" s="70" t="n"/>
      <c r="X3416" s="61" t="n"/>
      <c r="Y3416" s="61" t="n"/>
    </row>
    <row r="3417" ht="14.25" customHeight="1" s="86">
      <c r="E3417" s="70" t="n"/>
      <c r="F3417" s="70" t="n"/>
      <c r="X3417" s="61" t="n"/>
      <c r="Y3417" s="61" t="n"/>
    </row>
    <row r="3418" ht="14.25" customHeight="1" s="86">
      <c r="E3418" s="70" t="n"/>
      <c r="F3418" s="70" t="n"/>
      <c r="X3418" s="61" t="n"/>
      <c r="Y3418" s="61" t="n"/>
    </row>
    <row r="3419" ht="14.25" customHeight="1" s="86">
      <c r="E3419" s="70" t="n"/>
      <c r="F3419" s="70" t="n"/>
      <c r="X3419" s="61" t="n"/>
      <c r="Y3419" s="61" t="n"/>
    </row>
    <row r="3420" ht="14.25" customHeight="1" s="86">
      <c r="E3420" s="70" t="n"/>
      <c r="F3420" s="70" t="n"/>
      <c r="X3420" s="61" t="n"/>
      <c r="Y3420" s="61" t="n"/>
    </row>
    <row r="3421" ht="14.25" customHeight="1" s="86">
      <c r="E3421" s="70" t="n"/>
      <c r="F3421" s="70" t="n"/>
      <c r="X3421" s="61" t="n"/>
      <c r="Y3421" s="61" t="n"/>
    </row>
    <row r="3422" ht="14.25" customHeight="1" s="86">
      <c r="E3422" s="70" t="n"/>
      <c r="F3422" s="70" t="n"/>
      <c r="X3422" s="61" t="n"/>
      <c r="Y3422" s="61" t="n"/>
    </row>
    <row r="3423" ht="14.25" customHeight="1" s="86">
      <c r="E3423" s="70" t="n"/>
      <c r="F3423" s="70" t="n"/>
      <c r="X3423" s="61" t="n"/>
      <c r="Y3423" s="61" t="n"/>
    </row>
    <row r="3424" ht="14.25" customHeight="1" s="86">
      <c r="E3424" s="70" t="n"/>
      <c r="F3424" s="70" t="n"/>
      <c r="X3424" s="61" t="n"/>
      <c r="Y3424" s="61" t="n"/>
    </row>
    <row r="3425" ht="14.25" customHeight="1" s="86">
      <c r="E3425" s="70" t="n"/>
      <c r="F3425" s="70" t="n"/>
      <c r="X3425" s="61" t="n"/>
      <c r="Y3425" s="61" t="n"/>
    </row>
    <row r="3426" ht="14.25" customHeight="1" s="86">
      <c r="E3426" s="70" t="n"/>
      <c r="F3426" s="70" t="n"/>
      <c r="X3426" s="61" t="n"/>
      <c r="Y3426" s="61" t="n"/>
    </row>
    <row r="3427" ht="14.25" customHeight="1" s="86">
      <c r="E3427" s="70" t="n"/>
      <c r="F3427" s="70" t="n"/>
      <c r="X3427" s="61" t="n"/>
      <c r="Y3427" s="61" t="n"/>
    </row>
    <row r="3428" ht="14.25" customHeight="1" s="86">
      <c r="E3428" s="70" t="n"/>
      <c r="F3428" s="70" t="n"/>
      <c r="X3428" s="61" t="n"/>
      <c r="Y3428" s="61" t="n"/>
    </row>
    <row r="3429" ht="14.25" customHeight="1" s="86">
      <c r="E3429" s="70" t="n"/>
      <c r="F3429" s="70" t="n"/>
      <c r="X3429" s="61" t="n"/>
      <c r="Y3429" s="61" t="n"/>
    </row>
    <row r="3430" ht="14.25" customHeight="1" s="86">
      <c r="E3430" s="70" t="n"/>
      <c r="F3430" s="70" t="n"/>
      <c r="X3430" s="61" t="n"/>
      <c r="Y3430" s="61" t="n"/>
    </row>
    <row r="3431" ht="14.25" customHeight="1" s="86">
      <c r="E3431" s="70" t="n"/>
      <c r="F3431" s="70" t="n"/>
      <c r="X3431" s="61" t="n"/>
      <c r="Y3431" s="61" t="n"/>
    </row>
    <row r="3432" ht="14.25" customHeight="1" s="86">
      <c r="E3432" s="70" t="n"/>
      <c r="F3432" s="70" t="n"/>
      <c r="X3432" s="61" t="n"/>
      <c r="Y3432" s="61" t="n"/>
    </row>
  </sheetData>
  <mergeCells count="2">
    <mergeCell ref="AF1:AO1"/>
    <mergeCell ref="BD1:BN1"/>
  </mergeCells>
  <dataValidations count="15">
    <dataValidation sqref="BJ3" showDropDown="0" showInputMessage="1" showErrorMessage="1" allowBlank="1" prompt="Required: - Please select dependent's gender." type="list">
      <formula1>"Male,Female"</formula1>
    </dataValidation>
    <dataValidation sqref="BF3" showDropDown="0" showInputMessage="1" showErrorMessage="1" allowBlank="1" prompt="Optional: - Please enter dependent's middle initial." type="custom">
      <formula1>AND(ISNUMBER(BF3)=FALSE,LEN(BF3)=1)</formula1>
    </dataValidation>
    <dataValidation sqref="AK3 BI3" showDropDown="0" showInputMessage="1" showErrorMessage="1" allowBlank="1" prompt="Required: - Date should be in MM/DD/YYYY format." type="date" operator="greaterThanOrEqual">
      <formula1>1.0</formula1>
    </dataValidation>
    <dataValidation sqref="AN3 BL3" showDropDown="0" showInputMessage="1" showErrorMessage="1" allowBlank="1" prompt="Required: - Please select Relationship." type="list">
      <formula1>"Spouse,Child,Domestic Partner,Other dependent"</formula1>
    </dataValidation>
    <dataValidation sqref="AG3 BE3" showDropDown="0" showInputMessage="1" showErrorMessage="1" allowBlank="1" prompt="Required: - Please enter dependent's first name." type="custom">
      <formula1>AND(GTE(LEN(AG3),MIN((1),(35))),LTE(LEN(AG3),MAX((1),(35))))</formula1>
    </dataValidation>
    <dataValidation sqref="AO3" showDropDown="0" showInputMessage="1" showErrorMessage="1" allowBlank="1" prompt="Optional: - Please select dependent's disability status." type="list">
      <formula1>"Yes,No"</formula1>
    </dataValidation>
    <dataValidation sqref="BD3" showDropDown="0" showInputMessage="1" showErrorMessage="1" allowBlank="1" prompt="Optional: - Please select a prefix." type="list">
      <formula1>"Mr.,Mrs.,Ms.,Miss.,Dr."</formula1>
    </dataValidation>
    <dataValidation sqref="AI3 BG3" showDropDown="0" showInputMessage="1" showErrorMessage="1" allowBlank="1" prompt="Required: - Please enter dependent's last name." type="custom">
      <formula1>AND(GTE(LEN(AI3),MIN((1),(60))),LTE(LEN(AI3),MAX((1),(60))))</formula1>
    </dataValidation>
    <dataValidation sqref="AJ3 BH3" showDropDown="0" showInputMessage="1" showErrorMessage="1" allowBlank="1" prompt="Optional: - Please select dependent's suffix." type="list">
      <formula1>"Jr.,Sr.,I,II,III,IV"</formula1>
    </dataValidation>
    <dataValidation sqref="AF3" showDropDown="0" showInputMessage="1" showErrorMessage="1" allowBlank="1" prompt="Optional: - Please select dependent's prefix." type="list">
      <formula1>"Mr.,Mrs.,Ms.,Miss.,Dr."</formula1>
    </dataValidation>
    <dataValidation sqref="AM3 BK3" showDropDown="0" showInputMessage="1" showErrorMessage="1" allowBlank="1" prompt="Optional: - Please select YES if employee's dependent has used any tobacco product in the past six months." type="list">
      <formula1>"Yes,No"</formula1>
    </dataValidation>
    <dataValidation sqref="AH3" showDropDown="0" showInputMessage="1" showErrorMessage="1" allowBlank="1" prompt="Optional: - Please enter dependent's middle initial." type="custom">
      <formula1>AND(EXACT(AH3,AH3),LEN(AH3)=1)</formula1>
    </dataValidation>
    <dataValidation sqref="BN3" showDropDown="0" showInputMessage="1" showErrorMessage="1" allowBlank="1" prompt="Required: - Please select Is Married." type="list">
      <formula1>"Yes,No"</formula1>
    </dataValidation>
    <dataValidation sqref="AL3" showDropDown="0" showInputMessage="1" showErrorMessage="0" allowBlank="1" prompt="Optional: - Please select dependent's gender." type="list">
      <formula1>"Male,Female"</formula1>
    </dataValidation>
    <dataValidation sqref="BM3" showDropDown="0" showInputMessage="1" showErrorMessage="1" allowBlank="1" prompt="Required: - Please select Is Disabled." type="list">
      <formula1>"Yes,No"</formula1>
    </dataValidation>
  </dataValidations>
  <pageMargins left="0.7" right="0.7" top="0.75" bottom="0.75" header="0" footer="0"/>
  <pageSetup orientation="portrait"/>
</worksheet>
</file>

<file path=xl/worksheets/sheet4.xml><?xml version="1.0" encoding="utf-8"?>
<worksheet xmlns="http://schemas.openxmlformats.org/spreadsheetml/2006/main">
  <sheetPr codeName="Sheet3">
    <outlinePr summaryBelow="1" summaryRight="1"/>
    <pageSetUpPr/>
  </sheetPr>
  <dimension ref="A1:Z1000"/>
  <sheetViews>
    <sheetView workbookViewId="0">
      <selection activeCell="A1" sqref="A1"/>
    </sheetView>
  </sheetViews>
  <sheetFormatPr baseColWidth="8" defaultColWidth="14.43" defaultRowHeight="15" customHeight="1"/>
  <cols>
    <col width="45" customWidth="1" style="86" min="1" max="1"/>
    <col width="41.29" customWidth="1" style="86" min="2" max="2"/>
    <col width="19.43" customWidth="1" style="86" min="3" max="3"/>
    <col width="23.71" customWidth="1" style="86" min="4" max="4"/>
    <col width="10.86" customWidth="1" style="86" min="5" max="7"/>
    <col width="27.14" customWidth="1" style="86" min="8" max="8"/>
    <col width="9.140000000000001" customWidth="1" style="86" min="9" max="26"/>
  </cols>
  <sheetData>
    <row r="1" ht="15.75" customHeight="1" s="86">
      <c r="A1" s="23" t="n"/>
      <c r="B1" s="23" t="n"/>
      <c r="C1" s="23" t="n"/>
      <c r="D1" s="23" t="n"/>
      <c r="E1" s="23" t="n"/>
      <c r="F1" s="23" t="n"/>
      <c r="G1" s="23" t="n"/>
      <c r="H1" s="23" t="n"/>
      <c r="I1" s="23" t="n"/>
      <c r="J1" s="23" t="n"/>
      <c r="K1" s="23" t="n"/>
      <c r="L1" s="23" t="n"/>
      <c r="M1" s="23" t="n"/>
      <c r="N1" s="23" t="n"/>
      <c r="O1" s="23" t="n"/>
      <c r="P1" s="23" t="n"/>
      <c r="Q1" s="23" t="n"/>
      <c r="R1" s="23" t="n"/>
      <c r="S1" s="23" t="n"/>
      <c r="T1" s="23" t="n"/>
      <c r="U1" s="23" t="n"/>
      <c r="V1" s="23" t="n"/>
      <c r="W1" s="23" t="n"/>
      <c r="X1" s="23" t="n"/>
      <c r="Y1" s="23" t="n"/>
      <c r="Z1" s="23" t="n"/>
    </row>
    <row r="2" ht="15.75" customHeight="1" s="86">
      <c r="A2" s="71" t="inlineStr">
        <is>
          <t>Field Name</t>
        </is>
      </c>
      <c r="B2" s="71" t="inlineStr">
        <is>
          <t>Mandatory/ Optional</t>
        </is>
      </c>
      <c r="C2" s="71" t="inlineStr">
        <is>
          <t>Field Type</t>
        </is>
      </c>
      <c r="D2" s="71" t="inlineStr">
        <is>
          <t>Data Type</t>
        </is>
      </c>
      <c r="E2" s="71" t="inlineStr">
        <is>
          <t>Business Rules</t>
        </is>
      </c>
      <c r="F2" s="71" t="inlineStr">
        <is>
          <t>Minimum Length</t>
        </is>
      </c>
      <c r="G2" s="71" t="inlineStr">
        <is>
          <t>Maximum Length</t>
        </is>
      </c>
      <c r="H2" s="71" t="inlineStr">
        <is>
          <t>Messages</t>
        </is>
      </c>
      <c r="I2" s="23" t="n"/>
      <c r="J2" s="23" t="n"/>
      <c r="K2" s="23" t="n"/>
      <c r="L2" s="23" t="n"/>
      <c r="M2" s="23" t="n"/>
      <c r="N2" s="23" t="n"/>
      <c r="O2" s="23" t="n"/>
      <c r="P2" s="23" t="n"/>
      <c r="Q2" s="23" t="n"/>
      <c r="R2" s="23" t="n"/>
      <c r="S2" s="23" t="n"/>
      <c r="T2" s="23" t="n"/>
      <c r="U2" s="23" t="n"/>
      <c r="V2" s="23" t="n"/>
      <c r="W2" s="23" t="n"/>
      <c r="X2" s="23" t="n"/>
      <c r="Y2" s="23" t="n"/>
      <c r="Z2" s="23" t="n"/>
    </row>
    <row r="3" ht="15.75" customHeight="1" s="86">
      <c r="A3" s="72" t="inlineStr">
        <is>
          <t>Prefix</t>
        </is>
      </c>
      <c r="B3" s="73" t="inlineStr">
        <is>
          <t>O</t>
        </is>
      </c>
      <c r="C3" s="74" t="inlineStr">
        <is>
          <t>Drop down</t>
        </is>
      </c>
      <c r="D3" s="74" t="inlineStr">
        <is>
          <t>Mr., Miss, Mrs., Ms., Dr.</t>
        </is>
      </c>
      <c r="E3" s="74" t="n"/>
      <c r="F3" s="73" t="inlineStr">
        <is>
          <t>NA</t>
        </is>
      </c>
      <c r="G3" s="73" t="inlineStr">
        <is>
          <t>NA</t>
        </is>
      </c>
      <c r="H3" s="74" t="n"/>
      <c r="I3" s="23" t="n"/>
      <c r="J3" s="23" t="n"/>
      <c r="K3" s="23" t="n"/>
      <c r="L3" s="23" t="n"/>
      <c r="M3" s="23" t="n"/>
      <c r="N3" s="23" t="n"/>
      <c r="O3" s="23" t="n"/>
      <c r="P3" s="23" t="n"/>
      <c r="Q3" s="23" t="n"/>
      <c r="R3" s="23" t="n"/>
      <c r="S3" s="23" t="n"/>
      <c r="T3" s="23" t="n"/>
      <c r="U3" s="23" t="n"/>
      <c r="V3" s="23" t="n"/>
      <c r="W3" s="23" t="n"/>
      <c r="X3" s="23" t="n"/>
      <c r="Y3" s="23" t="n"/>
      <c r="Z3" s="23" t="n"/>
    </row>
    <row r="4" ht="15.75" customHeight="1" s="86">
      <c r="A4" s="75" t="inlineStr">
        <is>
          <t>Employee FirstName</t>
        </is>
      </c>
      <c r="B4" s="73" t="inlineStr">
        <is>
          <t>M</t>
        </is>
      </c>
      <c r="C4" s="74" t="n"/>
      <c r="D4" s="74" t="n"/>
      <c r="E4" s="74" t="inlineStr">
        <is>
          <t>Should be mandatory during registration and e-app</t>
        </is>
      </c>
      <c r="F4" s="73" t="n">
        <v>1</v>
      </c>
      <c r="G4" s="73" t="n">
        <v>35</v>
      </c>
      <c r="H4" s="76" t="inlineStr">
        <is>
          <t>Please enter your First Name upto 35 characters</t>
        </is>
      </c>
      <c r="I4" s="23" t="n"/>
      <c r="J4" s="23" t="n"/>
      <c r="K4" s="23" t="n"/>
      <c r="L4" s="23" t="n"/>
      <c r="M4" s="23" t="n"/>
      <c r="N4" s="23" t="n"/>
      <c r="O4" s="23" t="n"/>
      <c r="P4" s="23" t="n"/>
      <c r="Q4" s="23" t="n"/>
      <c r="R4" s="23" t="n"/>
      <c r="S4" s="23" t="n"/>
      <c r="T4" s="23" t="n"/>
      <c r="U4" s="23" t="n"/>
      <c r="V4" s="23" t="n"/>
      <c r="W4" s="23" t="n"/>
      <c r="X4" s="23" t="n"/>
      <c r="Y4" s="23" t="n"/>
      <c r="Z4" s="23" t="n"/>
    </row>
    <row r="5" ht="15.75" customHeight="1" s="86">
      <c r="A5" s="77" t="inlineStr">
        <is>
          <t>Employee Middle Initial</t>
        </is>
      </c>
      <c r="B5" s="73" t="inlineStr">
        <is>
          <t>O</t>
        </is>
      </c>
      <c r="C5" s="74" t="inlineStr">
        <is>
          <t>Text box</t>
        </is>
      </c>
      <c r="D5" s="74" t="inlineStr">
        <is>
          <t>Should be a single charecter in capital letters. Eg. M</t>
        </is>
      </c>
      <c r="E5" s="74" t="inlineStr">
        <is>
          <t>Should be non-mandatory at all places</t>
        </is>
      </c>
      <c r="F5" s="73" t="n">
        <v>1</v>
      </c>
      <c r="G5" s="73" t="n">
        <v>1</v>
      </c>
      <c r="H5" s="78" t="n"/>
      <c r="I5" s="23" t="n"/>
      <c r="J5" s="23" t="n"/>
      <c r="K5" s="23" t="n"/>
      <c r="L5" s="23" t="n"/>
      <c r="M5" s="23" t="n"/>
      <c r="N5" s="23" t="n"/>
      <c r="O5" s="23" t="n"/>
      <c r="P5" s="23" t="n"/>
      <c r="Q5" s="23" t="n"/>
      <c r="R5" s="23" t="n"/>
      <c r="S5" s="23" t="n"/>
      <c r="T5" s="23" t="n"/>
      <c r="U5" s="23" t="n"/>
      <c r="V5" s="23" t="n"/>
      <c r="W5" s="23" t="n"/>
      <c r="X5" s="23" t="n"/>
      <c r="Y5" s="23" t="n"/>
      <c r="Z5" s="23" t="n"/>
    </row>
    <row r="6" ht="15.75" customHeight="1" s="86">
      <c r="A6" s="75" t="inlineStr">
        <is>
          <t>Employee LastName</t>
        </is>
      </c>
      <c r="B6" s="73" t="inlineStr">
        <is>
          <t>M</t>
        </is>
      </c>
      <c r="C6" s="74" t="inlineStr">
        <is>
          <t>Text box</t>
        </is>
      </c>
      <c r="D6" s="74" t="inlineStr">
        <is>
          <t>Free text including special characters</t>
        </is>
      </c>
      <c r="E6" s="74" t="inlineStr">
        <is>
          <t>Should be mandatory during registration and e-app</t>
        </is>
      </c>
      <c r="F6" s="73" t="n">
        <v>1</v>
      </c>
      <c r="G6" s="73" t="n">
        <v>60</v>
      </c>
      <c r="H6" s="76" t="inlineStr">
        <is>
          <t>Please enter your Last Name upto 60 characters</t>
        </is>
      </c>
      <c r="I6" s="23" t="n"/>
      <c r="J6" s="23" t="n"/>
      <c r="K6" s="23" t="n"/>
      <c r="L6" s="23" t="n"/>
      <c r="M6" s="23" t="n"/>
      <c r="N6" s="23" t="n"/>
      <c r="O6" s="23" t="n"/>
      <c r="P6" s="23" t="n"/>
      <c r="Q6" s="23" t="n"/>
      <c r="R6" s="23" t="n"/>
      <c r="S6" s="23" t="n"/>
      <c r="T6" s="23" t="n"/>
      <c r="U6" s="23" t="n"/>
      <c r="V6" s="23" t="n"/>
      <c r="W6" s="23" t="n"/>
      <c r="X6" s="23" t="n"/>
      <c r="Y6" s="23" t="n"/>
      <c r="Z6" s="23" t="n"/>
    </row>
    <row r="7" ht="15.75" customHeight="1" s="86">
      <c r="A7" s="78" t="inlineStr">
        <is>
          <t>Employee Suffix</t>
        </is>
      </c>
      <c r="B7" s="73" t="inlineStr">
        <is>
          <t>O</t>
        </is>
      </c>
      <c r="C7" s="74" t="inlineStr">
        <is>
          <t>Drop down</t>
        </is>
      </c>
      <c r="D7" s="74" t="inlineStr">
        <is>
          <t>Jr., Sr., I, II, III</t>
        </is>
      </c>
      <c r="E7" s="74" t="n"/>
      <c r="F7" s="73" t="inlineStr">
        <is>
          <t>NA</t>
        </is>
      </c>
      <c r="G7" s="73" t="inlineStr">
        <is>
          <t>NA</t>
        </is>
      </c>
      <c r="H7" s="78" t="n"/>
      <c r="I7" s="23" t="n"/>
      <c r="J7" s="23" t="n"/>
      <c r="K7" s="23" t="n"/>
      <c r="L7" s="23" t="n"/>
      <c r="M7" s="23" t="n"/>
      <c r="N7" s="23" t="n"/>
      <c r="O7" s="23" t="n"/>
      <c r="P7" s="23" t="n"/>
      <c r="Q7" s="23" t="n"/>
      <c r="R7" s="23" t="n"/>
      <c r="S7" s="23" t="n"/>
      <c r="T7" s="23" t="n"/>
      <c r="U7" s="23" t="n"/>
      <c r="V7" s="23" t="n"/>
      <c r="W7" s="23" t="n"/>
      <c r="X7" s="23" t="n"/>
      <c r="Y7" s="23" t="n"/>
      <c r="Z7" s="23" t="n"/>
    </row>
    <row r="8" ht="15.75" customHeight="1" s="86">
      <c r="A8" s="75" t="inlineStr">
        <is>
          <t>Employee DOB(mm/dd/yyyy)</t>
        </is>
      </c>
      <c r="B8" s="73" t="inlineStr">
        <is>
          <t>M</t>
        </is>
      </c>
      <c r="C8" s="74" t="inlineStr">
        <is>
          <t>Calender</t>
        </is>
      </c>
      <c r="D8" s="74" t="inlineStr">
        <is>
          <t>Upto 120 years of age (MM-DD-YYYY)</t>
        </is>
      </c>
      <c r="E8" s="74" t="n"/>
      <c r="F8" s="73" t="inlineStr">
        <is>
          <t>NA</t>
        </is>
      </c>
      <c r="G8" s="73" t="inlineStr">
        <is>
          <t>NA</t>
        </is>
      </c>
      <c r="H8" s="76" t="inlineStr">
        <is>
          <t>Please enter a valid Date of Birth</t>
        </is>
      </c>
      <c r="I8" s="23" t="n"/>
      <c r="J8" s="23" t="n"/>
      <c r="K8" s="23" t="n"/>
      <c r="L8" s="23" t="n"/>
      <c r="M8" s="23" t="n"/>
      <c r="N8" s="23" t="n"/>
      <c r="O8" s="23" t="n"/>
      <c r="P8" s="23" t="n"/>
      <c r="Q8" s="23" t="n"/>
      <c r="R8" s="23" t="n"/>
      <c r="S8" s="23" t="n"/>
      <c r="T8" s="23" t="n"/>
      <c r="U8" s="23" t="n"/>
      <c r="V8" s="23" t="n"/>
      <c r="W8" s="23" t="n"/>
      <c r="X8" s="23" t="n"/>
      <c r="Y8" s="23" t="n"/>
      <c r="Z8" s="23" t="n"/>
    </row>
    <row r="9" ht="15.75" customHeight="1" s="86">
      <c r="A9" s="75" t="inlineStr">
        <is>
          <t>Employee Gender(Male/Female)</t>
        </is>
      </c>
      <c r="B9" s="73" t="inlineStr">
        <is>
          <t>M</t>
        </is>
      </c>
      <c r="C9" s="74" t="inlineStr">
        <is>
          <t>Radio button</t>
        </is>
      </c>
      <c r="D9" s="74" t="inlineStr">
        <is>
          <t>M/ F</t>
        </is>
      </c>
      <c r="E9" s="74" t="n"/>
      <c r="F9" s="73" t="n">
        <v>1</v>
      </c>
      <c r="G9" s="73" t="n">
        <v>10</v>
      </c>
      <c r="H9" s="76" t="inlineStr">
        <is>
          <t>Please select a Gender</t>
        </is>
      </c>
      <c r="I9" s="23" t="n"/>
      <c r="J9" s="23" t="n"/>
      <c r="K9" s="23" t="n"/>
      <c r="L9" s="23" t="n"/>
      <c r="M9" s="23" t="n"/>
      <c r="N9" s="23" t="n"/>
      <c r="O9" s="23" t="n"/>
      <c r="P9" s="23" t="n"/>
      <c r="Q9" s="23" t="n"/>
      <c r="R9" s="23" t="n"/>
      <c r="S9" s="23" t="n"/>
      <c r="T9" s="23" t="n"/>
      <c r="U9" s="23" t="n"/>
      <c r="V9" s="23" t="n"/>
      <c r="W9" s="23" t="n"/>
      <c r="X9" s="23" t="n"/>
      <c r="Y9" s="23" t="n"/>
      <c r="Z9" s="23" t="n"/>
    </row>
    <row r="10" ht="15.75" customHeight="1" s="86">
      <c r="A10" s="75" t="inlineStr">
        <is>
          <t>Employee SSN(XXX-XX-XXXX)</t>
        </is>
      </c>
      <c r="B10" s="73" t="inlineStr">
        <is>
          <t>M</t>
        </is>
      </c>
      <c r="C10" s="74" t="inlineStr">
        <is>
          <t>Text box</t>
        </is>
      </c>
      <c r="D10" s="74" t="inlineStr">
        <is>
          <t>NNN-NN-NNNN</t>
        </is>
      </c>
      <c r="E10" s="74" t="n"/>
      <c r="F10" s="73" t="n">
        <v>9</v>
      </c>
      <c r="G10" s="73" t="n">
        <v>9</v>
      </c>
      <c r="H10" s="76" t="inlineStr">
        <is>
          <t>Please enter a valid 9 digit SSN</t>
        </is>
      </c>
      <c r="I10" s="23" t="n"/>
      <c r="J10" s="23" t="n"/>
      <c r="K10" s="23" t="n"/>
      <c r="L10" s="23" t="n"/>
      <c r="M10" s="23" t="n"/>
      <c r="N10" s="23" t="n"/>
      <c r="O10" s="23" t="n"/>
      <c r="P10" s="23" t="n"/>
      <c r="Q10" s="23" t="n"/>
      <c r="R10" s="23" t="n"/>
      <c r="S10" s="23" t="n"/>
      <c r="T10" s="23" t="n"/>
      <c r="U10" s="23" t="n"/>
      <c r="V10" s="23" t="n"/>
      <c r="W10" s="23" t="n"/>
      <c r="X10" s="23" t="n"/>
      <c r="Y10" s="23" t="n"/>
      <c r="Z10" s="23" t="n"/>
    </row>
    <row r="11" ht="15.75" customHeight="1" s="86">
      <c r="A11" s="75" t="inlineStr">
        <is>
          <t>Employee tobacco_usage in last 12 months (Yes/No)</t>
        </is>
      </c>
      <c r="B11" s="73" t="inlineStr">
        <is>
          <t>M</t>
        </is>
      </c>
      <c r="C11" s="74" t="inlineStr">
        <is>
          <t>Radio button</t>
        </is>
      </c>
      <c r="D11" s="74" t="inlineStr">
        <is>
          <t>Yes/ No</t>
        </is>
      </c>
      <c r="E11" s="74" t="n"/>
      <c r="F11" s="73" t="n">
        <v>1</v>
      </c>
      <c r="G11" s="73" t="n">
        <v>5</v>
      </c>
      <c r="H11" s="76" t="inlineStr">
        <is>
          <t>Please Select a valid Option</t>
        </is>
      </c>
      <c r="I11" s="23" t="n"/>
      <c r="J11" s="23" t="n"/>
      <c r="K11" s="23" t="n"/>
      <c r="L11" s="23" t="n"/>
      <c r="M11" s="23" t="n"/>
      <c r="N11" s="23" t="n"/>
      <c r="O11" s="23" t="n"/>
      <c r="P11" s="23" t="n"/>
      <c r="Q11" s="23" t="n"/>
      <c r="R11" s="23" t="n"/>
      <c r="S11" s="23" t="n"/>
      <c r="T11" s="23" t="n"/>
      <c r="U11" s="23" t="n"/>
      <c r="V11" s="23" t="n"/>
      <c r="W11" s="23" t="n"/>
      <c r="X11" s="23" t="n"/>
      <c r="Y11" s="23" t="n"/>
      <c r="Z11" s="23" t="n"/>
    </row>
    <row r="12" ht="15.75" customHeight="1" s="86">
      <c r="A12" s="75" t="inlineStr">
        <is>
          <t>Employee ID</t>
        </is>
      </c>
      <c r="B12" s="73" t="inlineStr">
        <is>
          <t>M</t>
        </is>
      </c>
      <c r="C12" s="74" t="inlineStr">
        <is>
          <t>Text box</t>
        </is>
      </c>
      <c r="D12" s="74" t="n"/>
      <c r="E12" s="74" t="n"/>
      <c r="F12" s="73" t="n">
        <v>1</v>
      </c>
      <c r="G12" s="73" t="n">
        <v>50</v>
      </c>
      <c r="H12" s="76" t="inlineStr">
        <is>
          <t>Please Enter a valid Employee ID</t>
        </is>
      </c>
      <c r="I12" s="23" t="n"/>
      <c r="J12" s="23" t="n"/>
      <c r="K12" s="23" t="n"/>
      <c r="L12" s="23" t="n"/>
      <c r="M12" s="23" t="n"/>
      <c r="N12" s="23" t="n"/>
      <c r="O12" s="23" t="n"/>
      <c r="P12" s="23" t="n"/>
      <c r="Q12" s="23" t="n"/>
      <c r="R12" s="23" t="n"/>
      <c r="S12" s="23" t="n"/>
      <c r="T12" s="23" t="n"/>
      <c r="U12" s="23" t="n"/>
      <c r="V12" s="23" t="n"/>
      <c r="W12" s="23" t="n"/>
      <c r="X12" s="23" t="n"/>
      <c r="Y12" s="23" t="n"/>
      <c r="Z12" s="23" t="n"/>
    </row>
    <row r="13" ht="15.75" customHeight="1" s="86">
      <c r="A13" s="75" t="inlineStr">
        <is>
          <t>Status</t>
        </is>
      </c>
      <c r="B13" s="73" t="inlineStr">
        <is>
          <t>M</t>
        </is>
      </c>
      <c r="C13" s="74" t="inlineStr">
        <is>
          <t>Drop down</t>
        </is>
      </c>
      <c r="D13" s="74" t="inlineStr">
        <is>
          <t>Active/ Terminated</t>
        </is>
      </c>
      <c r="E13" s="74" t="n"/>
      <c r="F13" s="73" t="n">
        <v>1</v>
      </c>
      <c r="G13" s="73" t="n">
        <v>20</v>
      </c>
      <c r="H13" s="76" t="inlineStr">
        <is>
          <t>Please Select a valid Employee Status</t>
        </is>
      </c>
      <c r="I13" s="23" t="n"/>
      <c r="J13" s="23" t="n"/>
      <c r="K13" s="23" t="n"/>
      <c r="L13" s="23" t="n"/>
      <c r="M13" s="23" t="n"/>
      <c r="N13" s="23" t="n"/>
      <c r="O13" s="23" t="n"/>
      <c r="P13" s="23" t="n"/>
      <c r="Q13" s="23" t="n"/>
      <c r="R13" s="23" t="n"/>
      <c r="S13" s="23" t="n"/>
      <c r="T13" s="23" t="n"/>
      <c r="U13" s="23" t="n"/>
      <c r="V13" s="23" t="n"/>
      <c r="W13" s="23" t="n"/>
      <c r="X13" s="23" t="n"/>
      <c r="Y13" s="23" t="n"/>
      <c r="Z13" s="23" t="n"/>
    </row>
    <row r="14" ht="15.75" customHeight="1" s="86">
      <c r="A14" s="75" t="inlineStr">
        <is>
          <t>Date of Hire(mm/dd/yyyy)</t>
        </is>
      </c>
      <c r="B14" s="73" t="inlineStr">
        <is>
          <t>M</t>
        </is>
      </c>
      <c r="C14" s="74" t="inlineStr">
        <is>
          <t>Calender</t>
        </is>
      </c>
      <c r="D14" s="74" t="inlineStr">
        <is>
          <t>MM-DD-YYYY</t>
        </is>
      </c>
      <c r="E14" s="79" t="inlineStr">
        <is>
          <t>Date of Hire cannot be prior to Employer's year of Incorporation.</t>
        </is>
      </c>
      <c r="F14" s="73" t="inlineStr">
        <is>
          <t>NA</t>
        </is>
      </c>
      <c r="G14" s="73" t="inlineStr">
        <is>
          <t>NA</t>
        </is>
      </c>
      <c r="H14" s="76" t="inlineStr">
        <is>
          <t>Please Select a valid Date</t>
        </is>
      </c>
      <c r="I14" s="23" t="n"/>
      <c r="J14" s="23" t="n"/>
      <c r="K14" s="23" t="n"/>
      <c r="L14" s="23" t="n"/>
      <c r="M14" s="23" t="n"/>
      <c r="N14" s="23" t="n"/>
      <c r="O14" s="23" t="n"/>
      <c r="P14" s="23" t="n"/>
      <c r="Q14" s="23" t="n"/>
      <c r="R14" s="23" t="n"/>
      <c r="S14" s="23" t="n"/>
      <c r="T14" s="23" t="n"/>
      <c r="U14" s="23" t="n"/>
      <c r="V14" s="23" t="n"/>
      <c r="W14" s="23" t="n"/>
      <c r="X14" s="23" t="n"/>
      <c r="Y14" s="23" t="n"/>
      <c r="Z14" s="23" t="n"/>
    </row>
    <row r="15" ht="15.75" customHeight="1" s="86">
      <c r="A15" s="77" t="inlineStr">
        <is>
          <t>Re-Hired Employee</t>
        </is>
      </c>
      <c r="B15" s="73" t="inlineStr">
        <is>
          <t>O</t>
        </is>
      </c>
      <c r="C15" s="74" t="inlineStr">
        <is>
          <t>Radio Button</t>
        </is>
      </c>
      <c r="D15" s="74" t="inlineStr">
        <is>
          <t>Yes/ No</t>
        </is>
      </c>
      <c r="E15" s="79" t="inlineStr">
        <is>
          <t>Indicates if an employee is a new hire.</t>
        </is>
      </c>
      <c r="F15" s="73" t="n">
        <v>1</v>
      </c>
      <c r="G15" s="73" t="n">
        <v>5</v>
      </c>
      <c r="H15" s="74" t="n"/>
      <c r="I15" s="23" t="n"/>
      <c r="J15" s="23" t="n"/>
      <c r="K15" s="23" t="n"/>
      <c r="L15" s="23" t="n"/>
      <c r="M15" s="23" t="n"/>
      <c r="N15" s="23" t="n"/>
      <c r="O15" s="23" t="n"/>
      <c r="P15" s="23" t="n"/>
      <c r="Q15" s="23" t="n"/>
      <c r="R15" s="23" t="n"/>
      <c r="S15" s="23" t="n"/>
      <c r="T15" s="23" t="n"/>
      <c r="U15" s="23" t="n"/>
      <c r="V15" s="23" t="n"/>
      <c r="W15" s="23" t="n"/>
      <c r="X15" s="23" t="n"/>
      <c r="Y15" s="23" t="n"/>
      <c r="Z15" s="23" t="n"/>
    </row>
    <row r="16" ht="15.75" customHeight="1" s="86">
      <c r="A16" s="75" t="inlineStr">
        <is>
          <t>Employment Type</t>
        </is>
      </c>
      <c r="B16" s="73" t="inlineStr">
        <is>
          <t>M</t>
        </is>
      </c>
      <c r="C16" s="74" t="inlineStr">
        <is>
          <t>Drop down</t>
        </is>
      </c>
      <c r="D16" s="74" t="inlineStr">
        <is>
          <t>Full Time/ Part Time/ Others</t>
        </is>
      </c>
      <c r="E16" s="74" t="n"/>
      <c r="F16" s="73" t="n">
        <v>1</v>
      </c>
      <c r="G16" s="73" t="n">
        <v>20</v>
      </c>
      <c r="H16" s="76" t="inlineStr">
        <is>
          <t>Please Select a valid Option</t>
        </is>
      </c>
      <c r="I16" s="23" t="n"/>
      <c r="J16" s="23" t="n"/>
      <c r="K16" s="23" t="n"/>
      <c r="L16" s="23" t="n"/>
      <c r="M16" s="23" t="n"/>
      <c r="N16" s="23" t="n"/>
      <c r="O16" s="23" t="n"/>
      <c r="P16" s="23" t="n"/>
      <c r="Q16" s="23" t="n"/>
      <c r="R16" s="23" t="n"/>
      <c r="S16" s="23" t="n"/>
      <c r="T16" s="23" t="n"/>
      <c r="U16" s="23" t="n"/>
      <c r="V16" s="23" t="n"/>
      <c r="W16" s="23" t="n"/>
      <c r="X16" s="23" t="n"/>
      <c r="Y16" s="23" t="n"/>
      <c r="Z16" s="23" t="n"/>
    </row>
    <row r="17" ht="15.75" customHeight="1" s="86">
      <c r="A17" s="75" t="inlineStr">
        <is>
          <t>Working Hours per Week(Digits)**</t>
        </is>
      </c>
      <c r="B17" s="73" t="inlineStr">
        <is>
          <t>C</t>
        </is>
      </c>
      <c r="C17" s="74" t="inlineStr">
        <is>
          <t>Numeric</t>
        </is>
      </c>
      <c r="D17" s="74" t="n"/>
      <c r="E17" s="79" t="inlineStr">
        <is>
          <t>M and appears if Paytype is hourly. Value between 0.25 and 40.</t>
        </is>
      </c>
      <c r="F17" s="73" t="n">
        <v>1</v>
      </c>
      <c r="G17" s="73" t="n">
        <v>2</v>
      </c>
      <c r="H17" s="76" t="inlineStr">
        <is>
          <t>Please Enter valid Working hours per week</t>
        </is>
      </c>
      <c r="I17" s="23" t="n"/>
      <c r="J17" s="23" t="n"/>
      <c r="K17" s="23" t="n"/>
      <c r="L17" s="23" t="n"/>
      <c r="M17" s="23" t="n"/>
      <c r="N17" s="23" t="n"/>
      <c r="O17" s="23" t="n"/>
      <c r="P17" s="23" t="n"/>
      <c r="Q17" s="23" t="n"/>
      <c r="R17" s="23" t="n"/>
      <c r="S17" s="23" t="n"/>
      <c r="T17" s="23" t="n"/>
      <c r="U17" s="23" t="n"/>
      <c r="V17" s="23" t="n"/>
      <c r="W17" s="23" t="n"/>
      <c r="X17" s="23" t="n"/>
      <c r="Y17" s="23" t="n"/>
      <c r="Z17" s="23" t="n"/>
    </row>
    <row r="18" ht="15.75" customHeight="1" s="86">
      <c r="A18" s="75" t="inlineStr">
        <is>
          <t>Others(Employement-Type)</t>
        </is>
      </c>
      <c r="B18" s="73" t="inlineStr">
        <is>
          <t>C</t>
        </is>
      </c>
      <c r="C18" s="74" t="inlineStr">
        <is>
          <t>Text box</t>
        </is>
      </c>
      <c r="D18" s="74" t="n"/>
      <c r="E18" s="79" t="inlineStr">
        <is>
          <t>M and appears if Employment Type is Others.</t>
        </is>
      </c>
      <c r="F18" s="73" t="n">
        <v>1</v>
      </c>
      <c r="G18" s="73" t="n">
        <v>50</v>
      </c>
      <c r="H18" s="76" t="inlineStr">
        <is>
          <t>Please Enter a valid Employment Type</t>
        </is>
      </c>
      <c r="I18" s="23" t="n"/>
      <c r="J18" s="23" t="n"/>
      <c r="K18" s="23" t="n"/>
      <c r="L18" s="23" t="n"/>
      <c r="M18" s="23" t="n"/>
      <c r="N18" s="23" t="n"/>
      <c r="O18" s="23" t="n"/>
      <c r="P18" s="23" t="n"/>
      <c r="Q18" s="23" t="n"/>
      <c r="R18" s="23" t="n"/>
      <c r="S18" s="23" t="n"/>
      <c r="T18" s="23" t="n"/>
      <c r="U18" s="23" t="n"/>
      <c r="V18" s="23" t="n"/>
      <c r="W18" s="23" t="n"/>
      <c r="X18" s="23" t="n"/>
      <c r="Y18" s="23" t="n"/>
      <c r="Z18" s="23" t="n"/>
    </row>
    <row r="19" ht="15.75" customHeight="1" s="86">
      <c r="A19" s="75" t="inlineStr">
        <is>
          <t>Annual Salary(Digits)</t>
        </is>
      </c>
      <c r="B19" s="73" t="inlineStr">
        <is>
          <t>C</t>
        </is>
      </c>
      <c r="C19" s="74" t="inlineStr">
        <is>
          <t>Numeric</t>
        </is>
      </c>
      <c r="D19" s="74" t="n"/>
      <c r="E19" s="79" t="inlineStr">
        <is>
          <t>M and appears if Paytype Type is Salaried.</t>
        </is>
      </c>
      <c r="F19" s="73" t="n">
        <v>1</v>
      </c>
      <c r="G19" s="73" t="n">
        <v>10</v>
      </c>
      <c r="H19" s="76" t="inlineStr">
        <is>
          <t>Please Enter a valid Annual Salary</t>
        </is>
      </c>
      <c r="I19" s="23" t="n"/>
      <c r="J19" s="23" t="n"/>
      <c r="K19" s="23" t="n"/>
      <c r="L19" s="23" t="n"/>
      <c r="M19" s="23" t="n"/>
      <c r="N19" s="23" t="n"/>
      <c r="O19" s="23" t="n"/>
      <c r="P19" s="23" t="n"/>
      <c r="Q19" s="23" t="n"/>
      <c r="R19" s="23" t="n"/>
      <c r="S19" s="23" t="n"/>
      <c r="T19" s="23" t="n"/>
      <c r="U19" s="23" t="n"/>
      <c r="V19" s="23" t="n"/>
      <c r="W19" s="23" t="n"/>
      <c r="X19" s="23" t="n"/>
      <c r="Y19" s="23" t="n"/>
      <c r="Z19" s="23" t="n"/>
    </row>
    <row r="20" ht="15.75" customHeight="1" s="86">
      <c r="A20" s="77" t="inlineStr">
        <is>
          <t>Employee Class</t>
        </is>
      </c>
      <c r="B20" s="73" t="inlineStr">
        <is>
          <t>O</t>
        </is>
      </c>
      <c r="C20" s="74" t="inlineStr">
        <is>
          <t>Drop down</t>
        </is>
      </c>
      <c r="D20" s="74" t="n"/>
      <c r="E20" s="79" t="inlineStr">
        <is>
          <t>Values appear based on the created classes by the employer. In no value is selected, default class is assigned.</t>
        </is>
      </c>
      <c r="F20" s="73" t="n">
        <v>1</v>
      </c>
      <c r="G20" s="73" t="n">
        <v>50</v>
      </c>
      <c r="H20" s="74" t="n"/>
      <c r="I20" s="23" t="n"/>
      <c r="J20" s="23" t="n"/>
      <c r="K20" s="23" t="n"/>
      <c r="L20" s="23" t="n"/>
      <c r="M20" s="23" t="n"/>
      <c r="N20" s="23" t="n"/>
      <c r="O20" s="23" t="n"/>
      <c r="P20" s="23" t="n"/>
      <c r="Q20" s="23" t="n"/>
      <c r="R20" s="23" t="n"/>
      <c r="S20" s="23" t="n"/>
      <c r="T20" s="23" t="n"/>
      <c r="U20" s="23" t="n"/>
      <c r="V20" s="23" t="n"/>
      <c r="W20" s="23" t="n"/>
      <c r="X20" s="23" t="n"/>
      <c r="Y20" s="23" t="n"/>
      <c r="Z20" s="23" t="n"/>
    </row>
    <row r="21" ht="15.75" customHeight="1" s="86">
      <c r="A21" s="75" t="inlineStr">
        <is>
          <t>Preferred Communication Mode</t>
        </is>
      </c>
      <c r="B21" s="78" t="n"/>
      <c r="C21" s="78" t="n"/>
      <c r="D21" s="78" t="n"/>
      <c r="E21" s="78" t="n"/>
      <c r="F21" s="78" t="n"/>
      <c r="G21" s="78" t="n"/>
      <c r="H21" s="78" t="n"/>
      <c r="I21" s="23" t="n"/>
      <c r="J21" s="23" t="n"/>
      <c r="K21" s="23" t="n"/>
      <c r="L21" s="23" t="n"/>
      <c r="M21" s="23" t="n"/>
      <c r="N21" s="23" t="n"/>
      <c r="O21" s="23" t="n"/>
      <c r="P21" s="23" t="n"/>
      <c r="Q21" s="23" t="n"/>
      <c r="R21" s="23" t="n"/>
      <c r="S21" s="23" t="n"/>
      <c r="T21" s="23" t="n"/>
      <c r="U21" s="23" t="n"/>
      <c r="V21" s="23" t="n"/>
      <c r="W21" s="23" t="n"/>
      <c r="X21" s="23" t="n"/>
      <c r="Y21" s="23" t="n"/>
      <c r="Z21" s="23" t="n"/>
    </row>
    <row r="22" ht="15.75" customHeight="1" s="86">
      <c r="A22" s="80" t="inlineStr">
        <is>
          <t>Pay Frequency</t>
        </is>
      </c>
      <c r="B22" s="73" t="inlineStr">
        <is>
          <t>C</t>
        </is>
      </c>
      <c r="C22" s="74" t="inlineStr">
        <is>
          <t>Drop down</t>
        </is>
      </c>
      <c r="D22" s="74" t="inlineStr">
        <is>
          <t>Weekly/ Monthly/ Bi-Weekly/ Semi-Weekly</t>
        </is>
      </c>
      <c r="E22" s="79" t="inlineStr">
        <is>
          <t>Dropdown with Multiple selection allowed. Atleast one criteria is required.</t>
        </is>
      </c>
      <c r="F22" s="73" t="n">
        <v>1</v>
      </c>
      <c r="G22" s="73" t="n">
        <v>20</v>
      </c>
      <c r="H22" s="76" t="inlineStr">
        <is>
          <t>Please select all applicable Pay Schedule</t>
        </is>
      </c>
      <c r="I22" s="23" t="n"/>
      <c r="J22" s="23" t="n"/>
      <c r="K22" s="23" t="n"/>
      <c r="L22" s="23" t="n"/>
      <c r="M22" s="23" t="n"/>
      <c r="N22" s="23" t="n"/>
      <c r="O22" s="23" t="n"/>
      <c r="P22" s="23" t="n"/>
      <c r="Q22" s="23" t="n"/>
      <c r="R22" s="23" t="n"/>
      <c r="S22" s="23" t="n"/>
      <c r="T22" s="23" t="n"/>
      <c r="U22" s="23" t="n"/>
      <c r="V22" s="23" t="n"/>
      <c r="W22" s="23" t="n"/>
      <c r="X22" s="23" t="n"/>
      <c r="Y22" s="23" t="n"/>
      <c r="Z22" s="23" t="n"/>
    </row>
    <row r="23" ht="15.75" customHeight="1" s="86">
      <c r="A23" s="80" t="inlineStr">
        <is>
          <t>Pay Type</t>
        </is>
      </c>
      <c r="B23" s="73" t="inlineStr">
        <is>
          <t>C</t>
        </is>
      </c>
      <c r="C23" s="74" t="inlineStr">
        <is>
          <t>Drop down</t>
        </is>
      </c>
      <c r="D23" s="74" t="inlineStr">
        <is>
          <t>Salaried/ Hourly</t>
        </is>
      </c>
      <c r="E23" s="79" t="inlineStr">
        <is>
          <t>Dropdown with Multiple selection allowed. Atleast one criteria is required.</t>
        </is>
      </c>
      <c r="F23" s="73" t="n">
        <v>1</v>
      </c>
      <c r="G23" s="73" t="n">
        <v>20</v>
      </c>
      <c r="H23" s="76" t="inlineStr">
        <is>
          <t>Please select all applicable Pay Type</t>
        </is>
      </c>
      <c r="I23" s="23" t="n"/>
      <c r="J23" s="23" t="n"/>
      <c r="K23" s="23" t="n"/>
      <c r="L23" s="23" t="n"/>
      <c r="M23" s="23" t="n"/>
      <c r="N23" s="23" t="n"/>
      <c r="O23" s="23" t="n"/>
      <c r="P23" s="23" t="n"/>
      <c r="Q23" s="23" t="n"/>
      <c r="R23" s="23" t="n"/>
      <c r="S23" s="23" t="n"/>
      <c r="T23" s="23" t="n"/>
      <c r="U23" s="23" t="n"/>
      <c r="V23" s="23" t="n"/>
      <c r="W23" s="23" t="n"/>
      <c r="X23" s="23" t="n"/>
      <c r="Y23" s="23" t="n"/>
      <c r="Z23" s="23" t="n"/>
    </row>
    <row r="24" ht="15.75" customHeight="1" s="86">
      <c r="A24" s="78" t="inlineStr">
        <is>
          <t>Designation</t>
        </is>
      </c>
      <c r="B24" s="73" t="inlineStr">
        <is>
          <t>C</t>
        </is>
      </c>
      <c r="C24" s="74" t="inlineStr">
        <is>
          <t>Drop down</t>
        </is>
      </c>
      <c r="D24" s="74" t="n"/>
      <c r="E24" s="79" t="inlineStr">
        <is>
          <t>Values appear based on the Designation values in the existing roster. At least one value is required.</t>
        </is>
      </c>
      <c r="F24" s="73" t="n">
        <v>1</v>
      </c>
      <c r="G24" s="73" t="n">
        <v>30</v>
      </c>
      <c r="H24" s="76" t="inlineStr">
        <is>
          <t>Please select all applicable Designations</t>
        </is>
      </c>
      <c r="I24" s="23" t="n"/>
      <c r="J24" s="23" t="n"/>
      <c r="K24" s="23" t="n"/>
      <c r="L24" s="23" t="n"/>
      <c r="M24" s="23" t="n"/>
      <c r="N24" s="23" t="n"/>
      <c r="O24" s="23" t="n"/>
      <c r="P24" s="23" t="n"/>
      <c r="Q24" s="23" t="n"/>
      <c r="R24" s="23" t="n"/>
      <c r="S24" s="23" t="n"/>
      <c r="T24" s="23" t="n"/>
      <c r="U24" s="23" t="n"/>
      <c r="V24" s="23" t="n"/>
      <c r="W24" s="23" t="n"/>
      <c r="X24" s="23" t="n"/>
      <c r="Y24" s="23" t="n"/>
      <c r="Z24" s="23" t="n"/>
    </row>
    <row r="25" ht="15.75" customHeight="1" s="86">
      <c r="A25" s="78" t="inlineStr">
        <is>
          <t>Department</t>
        </is>
      </c>
      <c r="B25" s="73" t="inlineStr">
        <is>
          <t>O</t>
        </is>
      </c>
      <c r="C25" s="74" t="inlineStr">
        <is>
          <t>Text box</t>
        </is>
      </c>
      <c r="D25" s="74" t="n"/>
      <c r="E25" s="74" t="n"/>
      <c r="F25" s="73" t="n">
        <v>1</v>
      </c>
      <c r="G25" s="73" t="n">
        <v>50</v>
      </c>
      <c r="H25" s="74" t="n"/>
      <c r="I25" s="23" t="n"/>
      <c r="J25" s="23" t="n"/>
      <c r="K25" s="23" t="n"/>
      <c r="L25" s="23" t="n"/>
      <c r="M25" s="23" t="n"/>
      <c r="N25" s="23" t="n"/>
      <c r="O25" s="23" t="n"/>
      <c r="P25" s="23" t="n"/>
      <c r="Q25" s="23" t="n"/>
      <c r="R25" s="23" t="n"/>
      <c r="S25" s="23" t="n"/>
      <c r="T25" s="23" t="n"/>
      <c r="U25" s="23" t="n"/>
      <c r="V25" s="23" t="n"/>
      <c r="W25" s="23" t="n"/>
      <c r="X25" s="23" t="n"/>
      <c r="Y25" s="23" t="n"/>
      <c r="Z25" s="23" t="n"/>
    </row>
    <row r="26" ht="15.75" customHeight="1" s="86">
      <c r="A26" s="80" t="inlineStr">
        <is>
          <t>Personal Email</t>
        </is>
      </c>
      <c r="B26" s="73" t="inlineStr">
        <is>
          <t>M</t>
        </is>
      </c>
      <c r="C26" s="74" t="inlineStr">
        <is>
          <t>Text box</t>
        </is>
      </c>
      <c r="D26" s="74" t="n"/>
      <c r="E26" s="74" t="inlineStr">
        <is>
          <t>Email ID should contain "@" and "."</t>
        </is>
      </c>
      <c r="F26" s="73" t="n">
        <v>5</v>
      </c>
      <c r="G26" s="73" t="n">
        <v>100</v>
      </c>
      <c r="H26" s="76" t="inlineStr">
        <is>
          <t>Please Enter a Valid email</t>
        </is>
      </c>
      <c r="I26" s="23" t="n"/>
      <c r="J26" s="23" t="n"/>
      <c r="K26" s="23" t="n"/>
      <c r="L26" s="23" t="n"/>
      <c r="M26" s="23" t="n"/>
      <c r="N26" s="23" t="n"/>
      <c r="O26" s="23" t="n"/>
      <c r="P26" s="23" t="n"/>
      <c r="Q26" s="23" t="n"/>
      <c r="R26" s="23" t="n"/>
      <c r="S26" s="23" t="n"/>
      <c r="T26" s="23" t="n"/>
      <c r="U26" s="23" t="n"/>
      <c r="V26" s="23" t="n"/>
      <c r="W26" s="23" t="n"/>
      <c r="X26" s="23" t="n"/>
      <c r="Y26" s="23" t="n"/>
      <c r="Z26" s="23" t="n"/>
    </row>
    <row r="27" ht="15.75" customHeight="1" s="86">
      <c r="A27" s="75" t="inlineStr">
        <is>
          <t>Official Email</t>
        </is>
      </c>
      <c r="B27" s="73" t="inlineStr">
        <is>
          <t>M</t>
        </is>
      </c>
      <c r="C27" s="74" t="inlineStr">
        <is>
          <t>Text box</t>
        </is>
      </c>
      <c r="D27" s="74" t="n"/>
      <c r="E27" s="74" t="inlineStr">
        <is>
          <t>Email ID should contain "@" and "."</t>
        </is>
      </c>
      <c r="F27" s="73" t="n">
        <v>5</v>
      </c>
      <c r="G27" s="73" t="n">
        <v>100</v>
      </c>
      <c r="H27" s="74" t="n"/>
      <c r="I27" s="23" t="n"/>
      <c r="J27" s="23" t="n"/>
      <c r="K27" s="23" t="n"/>
      <c r="L27" s="23" t="n"/>
      <c r="M27" s="23" t="n"/>
      <c r="N27" s="23" t="n"/>
      <c r="O27" s="23" t="n"/>
      <c r="P27" s="23" t="n"/>
      <c r="Q27" s="23" t="n"/>
      <c r="R27" s="23" t="n"/>
      <c r="S27" s="23" t="n"/>
      <c r="T27" s="23" t="n"/>
      <c r="U27" s="23" t="n"/>
      <c r="V27" s="23" t="n"/>
      <c r="W27" s="23" t="n"/>
      <c r="X27" s="23" t="n"/>
      <c r="Y27" s="23" t="n"/>
      <c r="Z27" s="23" t="n"/>
    </row>
    <row r="28" ht="15.75" customHeight="1" s="86">
      <c r="A28" s="75" t="inlineStr">
        <is>
          <t>Phone Number(Digits)</t>
        </is>
      </c>
      <c r="B28" s="73" t="inlineStr">
        <is>
          <t>O</t>
        </is>
      </c>
      <c r="C28" s="74" t="inlineStr">
        <is>
          <t>Numeric</t>
        </is>
      </c>
      <c r="D28" s="74" t="n"/>
      <c r="E28" s="74" t="n"/>
      <c r="F28" s="73" t="n">
        <v>1</v>
      </c>
      <c r="G28" s="73" t="n">
        <v>10</v>
      </c>
      <c r="H28" s="76" t="inlineStr">
        <is>
          <t>Please enter Phone number in 10 digits</t>
        </is>
      </c>
      <c r="I28" s="23" t="n"/>
      <c r="J28" s="23" t="n"/>
      <c r="K28" s="23" t="n"/>
      <c r="L28" s="23" t="n"/>
      <c r="M28" s="23" t="n"/>
      <c r="N28" s="23" t="n"/>
      <c r="O28" s="23" t="n"/>
      <c r="P28" s="23" t="n"/>
      <c r="Q28" s="23" t="n"/>
      <c r="R28" s="23" t="n"/>
      <c r="S28" s="23" t="n"/>
      <c r="T28" s="23" t="n"/>
      <c r="U28" s="23" t="n"/>
      <c r="V28" s="23" t="n"/>
      <c r="W28" s="23" t="n"/>
      <c r="X28" s="23" t="n"/>
      <c r="Y28" s="23" t="n"/>
      <c r="Z28" s="23" t="n"/>
    </row>
    <row r="29" ht="15.75" customHeight="1" s="86">
      <c r="A29" s="75" t="inlineStr">
        <is>
          <t>Employee Address Line 1</t>
        </is>
      </c>
      <c r="B29" s="73" t="inlineStr">
        <is>
          <t>M</t>
        </is>
      </c>
      <c r="C29" s="74" t="inlineStr">
        <is>
          <t>Text box</t>
        </is>
      </c>
      <c r="D29" s="74" t="inlineStr">
        <is>
          <t>Free text including special characters</t>
        </is>
      </c>
      <c r="E29" s="74" t="n"/>
      <c r="F29" s="73" t="n">
        <v>1</v>
      </c>
      <c r="G29" s="73" t="n">
        <v>55</v>
      </c>
      <c r="H29" s="76" t="inlineStr">
        <is>
          <t>Please enter Address 1 upto 55 characters</t>
        </is>
      </c>
      <c r="I29" s="23" t="n"/>
      <c r="J29" s="23" t="n"/>
      <c r="K29" s="23" t="n"/>
      <c r="L29" s="23" t="n"/>
      <c r="M29" s="23" t="n"/>
      <c r="N29" s="23" t="n"/>
      <c r="O29" s="23" t="n"/>
      <c r="P29" s="23" t="n"/>
      <c r="Q29" s="23" t="n"/>
      <c r="R29" s="23" t="n"/>
      <c r="S29" s="23" t="n"/>
      <c r="T29" s="23" t="n"/>
      <c r="U29" s="23" t="n"/>
      <c r="V29" s="23" t="n"/>
      <c r="W29" s="23" t="n"/>
      <c r="X29" s="23" t="n"/>
      <c r="Y29" s="23" t="n"/>
      <c r="Z29" s="23" t="n"/>
    </row>
    <row r="30" ht="15.75" customHeight="1" s="86">
      <c r="A30" s="77" t="inlineStr">
        <is>
          <t>Employee Address Line 2</t>
        </is>
      </c>
      <c r="B30" s="73" t="inlineStr">
        <is>
          <t>O</t>
        </is>
      </c>
      <c r="C30" s="74" t="inlineStr">
        <is>
          <t>Text box</t>
        </is>
      </c>
      <c r="D30" s="74" t="inlineStr">
        <is>
          <t>Free text including special characters</t>
        </is>
      </c>
      <c r="E30" s="74" t="inlineStr">
        <is>
          <t>Should not be similar to Address Line 1</t>
        </is>
      </c>
      <c r="F30" s="73" t="n">
        <v>1</v>
      </c>
      <c r="G30" s="73" t="n">
        <v>55</v>
      </c>
      <c r="H30" s="76" t="inlineStr">
        <is>
          <t>Please enter Address 2 upto 55 characters and should be different from Address 1</t>
        </is>
      </c>
      <c r="I30" s="23" t="n"/>
      <c r="J30" s="23" t="n"/>
      <c r="K30" s="23" t="n"/>
      <c r="L30" s="23" t="n"/>
      <c r="M30" s="23" t="n"/>
      <c r="N30" s="23" t="n"/>
      <c r="O30" s="23" t="n"/>
      <c r="P30" s="23" t="n"/>
      <c r="Q30" s="23" t="n"/>
      <c r="R30" s="23" t="n"/>
      <c r="S30" s="23" t="n"/>
      <c r="T30" s="23" t="n"/>
      <c r="U30" s="23" t="n"/>
      <c r="V30" s="23" t="n"/>
      <c r="W30" s="23" t="n"/>
      <c r="X30" s="23" t="n"/>
      <c r="Y30" s="23" t="n"/>
      <c r="Z30" s="23" t="n"/>
    </row>
    <row r="31" ht="15.75" customHeight="1" s="86">
      <c r="A31" s="75" t="inlineStr">
        <is>
          <t>City</t>
        </is>
      </c>
      <c r="B31" s="73" t="inlineStr">
        <is>
          <t>M</t>
        </is>
      </c>
      <c r="C31" s="74" t="inlineStr">
        <is>
          <t>Text box</t>
        </is>
      </c>
      <c r="D31" s="74" t="inlineStr">
        <is>
          <t>Free text including special characters</t>
        </is>
      </c>
      <c r="E31" s="74" t="n"/>
      <c r="F31" s="73" t="n">
        <v>2</v>
      </c>
      <c r="G31" s="73" t="n">
        <v>30</v>
      </c>
      <c r="H31" s="76" t="inlineStr">
        <is>
          <t>Please provide City</t>
        </is>
      </c>
      <c r="I31" s="23" t="n"/>
      <c r="J31" s="23" t="n"/>
      <c r="K31" s="23" t="n"/>
      <c r="L31" s="23" t="n"/>
      <c r="M31" s="23" t="n"/>
      <c r="N31" s="23" t="n"/>
      <c r="O31" s="23" t="n"/>
      <c r="P31" s="23" t="n"/>
      <c r="Q31" s="23" t="n"/>
      <c r="R31" s="23" t="n"/>
      <c r="S31" s="23" t="n"/>
      <c r="T31" s="23" t="n"/>
      <c r="U31" s="23" t="n"/>
      <c r="V31" s="23" t="n"/>
      <c r="W31" s="23" t="n"/>
      <c r="X31" s="23" t="n"/>
      <c r="Y31" s="23" t="n"/>
      <c r="Z31" s="23" t="n"/>
    </row>
    <row r="32" ht="15.75" customHeight="1" s="86">
      <c r="A32" s="75" t="inlineStr">
        <is>
          <t>ZIPCODE</t>
        </is>
      </c>
      <c r="B32" s="73" t="inlineStr">
        <is>
          <t>M</t>
        </is>
      </c>
      <c r="C32" s="74" t="inlineStr">
        <is>
          <t>Text box</t>
        </is>
      </c>
      <c r="D32" s="79" t="inlineStr">
        <is>
          <t>Numeric</t>
        </is>
      </c>
      <c r="E32" s="74" t="inlineStr">
        <is>
          <t>5-digits only, leading zeros is allowed</t>
        </is>
      </c>
      <c r="F32" s="81" t="n">
        <v>5</v>
      </c>
      <c r="G32" s="81" t="n">
        <v>5</v>
      </c>
      <c r="H32" s="82" t="inlineStr">
        <is>
          <t>Please provide 5-digits valid ZipCode</t>
        </is>
      </c>
      <c r="I32" s="23" t="n"/>
      <c r="J32" s="23" t="n"/>
      <c r="K32" s="23" t="n"/>
      <c r="L32" s="23" t="n"/>
      <c r="M32" s="23" t="n"/>
      <c r="N32" s="23" t="n"/>
      <c r="O32" s="23" t="n"/>
      <c r="P32" s="23" t="n"/>
      <c r="Q32" s="23" t="n"/>
      <c r="R32" s="23" t="n"/>
      <c r="S32" s="23" t="n"/>
      <c r="T32" s="23" t="n"/>
      <c r="U32" s="23" t="n"/>
      <c r="V32" s="23" t="n"/>
      <c r="W32" s="23" t="n"/>
      <c r="X32" s="23" t="n"/>
      <c r="Y32" s="23" t="n"/>
      <c r="Z32" s="23" t="n"/>
    </row>
    <row r="33" ht="15.75" customHeight="1" s="86">
      <c r="A33" s="75" t="inlineStr">
        <is>
          <t>State(Abbreviation)</t>
        </is>
      </c>
      <c r="B33" s="73" t="inlineStr">
        <is>
          <t>M</t>
        </is>
      </c>
      <c r="C33" s="74" t="inlineStr">
        <is>
          <t>Text box</t>
        </is>
      </c>
      <c r="D33" s="79" t="inlineStr">
        <is>
          <t>NA</t>
        </is>
      </c>
      <c r="E33" s="79" t="inlineStr">
        <is>
          <t>Should be populated as per ZipCode selection by user</t>
        </is>
      </c>
      <c r="F33" s="73" t="n">
        <v>2</v>
      </c>
      <c r="G33" s="73" t="n">
        <v>2</v>
      </c>
      <c r="H33" s="74" t="n"/>
      <c r="I33" s="23" t="n"/>
      <c r="J33" s="23" t="n"/>
      <c r="K33" s="23" t="n"/>
      <c r="L33" s="23" t="n"/>
      <c r="M33" s="23" t="n"/>
      <c r="N33" s="23" t="n"/>
      <c r="O33" s="23" t="n"/>
      <c r="P33" s="23" t="n"/>
      <c r="Q33" s="23" t="n"/>
      <c r="R33" s="23" t="n"/>
      <c r="S33" s="23" t="n"/>
      <c r="T33" s="23" t="n"/>
      <c r="U33" s="23" t="n"/>
      <c r="V33" s="23" t="n"/>
      <c r="W33" s="23" t="n"/>
      <c r="X33" s="23" t="n"/>
      <c r="Y33" s="23" t="n"/>
      <c r="Z33" s="23" t="n"/>
    </row>
    <row r="34" ht="15.75" customHeight="1" s="86">
      <c r="A34" s="75" t="inlineStr">
        <is>
          <t>COUNTY</t>
        </is>
      </c>
      <c r="B34" s="73" t="inlineStr">
        <is>
          <t>M</t>
        </is>
      </c>
      <c r="C34" s="74" t="inlineStr">
        <is>
          <t>Drop down</t>
        </is>
      </c>
      <c r="D34" s="79" t="inlineStr">
        <is>
          <t>NA</t>
        </is>
      </c>
      <c r="E34" s="79" t="inlineStr">
        <is>
          <t>Should be populated as per ZipCode entered by user</t>
        </is>
      </c>
      <c r="F34" s="73" t="inlineStr">
        <is>
          <t>NA</t>
        </is>
      </c>
      <c r="G34" s="73" t="inlineStr">
        <is>
          <t>NA</t>
        </is>
      </c>
      <c r="H34" s="76" t="inlineStr">
        <is>
          <t>Please provide County</t>
        </is>
      </c>
      <c r="I34" s="23" t="n"/>
      <c r="J34" s="23" t="n"/>
      <c r="K34" s="23" t="n"/>
      <c r="L34" s="23" t="n"/>
      <c r="M34" s="23" t="n"/>
      <c r="N34" s="23" t="n"/>
      <c r="O34" s="23" t="n"/>
      <c r="P34" s="23" t="n"/>
      <c r="Q34" s="23" t="n"/>
      <c r="R34" s="23" t="n"/>
      <c r="S34" s="23" t="n"/>
      <c r="T34" s="23" t="n"/>
      <c r="U34" s="23" t="n"/>
      <c r="V34" s="23" t="n"/>
      <c r="W34" s="23" t="n"/>
      <c r="X34" s="23" t="n"/>
      <c r="Y34" s="23" t="n"/>
      <c r="Z34" s="23" t="n"/>
    </row>
    <row r="35" ht="15.75" customHeight="1" s="86">
      <c r="A35" s="83" t="inlineStr">
        <is>
          <t>Hourly Pay Rate**</t>
        </is>
      </c>
      <c r="B35" s="73" t="inlineStr">
        <is>
          <t>C</t>
        </is>
      </c>
      <c r="C35" s="74" t="inlineStr">
        <is>
          <t>Numeric</t>
        </is>
      </c>
      <c r="D35" s="74" t="n"/>
      <c r="E35" s="79" t="inlineStr">
        <is>
          <t>M and appears if Paytype is hourly.</t>
        </is>
      </c>
      <c r="F35" s="73" t="n">
        <v>1</v>
      </c>
      <c r="G35" s="73" t="n">
        <v>5</v>
      </c>
      <c r="H35" s="74" t="n"/>
      <c r="I35" s="23" t="n"/>
      <c r="J35" s="23" t="n"/>
      <c r="K35" s="23" t="n"/>
      <c r="L35" s="23" t="n"/>
      <c r="M35" s="23" t="n"/>
      <c r="N35" s="23" t="n"/>
      <c r="O35" s="23" t="n"/>
      <c r="P35" s="23" t="n"/>
      <c r="Q35" s="23" t="n"/>
      <c r="R35" s="23" t="n"/>
      <c r="S35" s="23" t="n"/>
      <c r="T35" s="23" t="n"/>
      <c r="U35" s="23" t="n"/>
      <c r="V35" s="23" t="n"/>
      <c r="W35" s="23" t="n"/>
      <c r="X35" s="23" t="n"/>
      <c r="Y35" s="23" t="n"/>
      <c r="Z35" s="23" t="n"/>
    </row>
    <row r="36" ht="15.75" customHeight="1" s="86">
      <c r="A36" s="84" t="inlineStr">
        <is>
          <t>Custom Field</t>
        </is>
      </c>
      <c r="B36" s="73" t="inlineStr">
        <is>
          <t>Any custom field that can be added/ deleted</t>
        </is>
      </c>
      <c r="C36" s="78" t="n"/>
      <c r="D36" s="78" t="n"/>
      <c r="E36" s="78" t="n"/>
      <c r="F36" s="78" t="n"/>
      <c r="G36" s="78" t="n"/>
      <c r="H36" s="78" t="n"/>
      <c r="I36" s="23" t="n"/>
      <c r="J36" s="23" t="n"/>
      <c r="K36" s="23" t="n"/>
      <c r="L36" s="23" t="n"/>
      <c r="M36" s="23" t="n"/>
      <c r="N36" s="23" t="n"/>
      <c r="O36" s="23" t="n"/>
      <c r="P36" s="23" t="n"/>
      <c r="Q36" s="23" t="n"/>
      <c r="R36" s="23" t="n"/>
      <c r="S36" s="23" t="n"/>
      <c r="T36" s="23" t="n"/>
      <c r="U36" s="23" t="n"/>
      <c r="V36" s="23" t="n"/>
      <c r="W36" s="23" t="n"/>
      <c r="X36" s="23" t="n"/>
      <c r="Y36" s="23" t="n"/>
      <c r="Z36" s="23" t="n"/>
    </row>
    <row r="37" ht="15.75" customHeight="1" s="86">
      <c r="A37" s="77" t="inlineStr">
        <is>
          <t>Dependent 1 Prefix</t>
        </is>
      </c>
      <c r="B37" s="73" t="inlineStr">
        <is>
          <t>O</t>
        </is>
      </c>
      <c r="C37" s="74" t="inlineStr">
        <is>
          <t>Drop down</t>
        </is>
      </c>
      <c r="D37" s="74" t="inlineStr">
        <is>
          <t>Mr., Miss, Mrs., Ms., Dr.</t>
        </is>
      </c>
      <c r="E37" s="74" t="n"/>
      <c r="F37" s="73" t="inlineStr">
        <is>
          <t>NA</t>
        </is>
      </c>
      <c r="G37" s="73" t="inlineStr">
        <is>
          <t>NA</t>
        </is>
      </c>
      <c r="H37" s="74" t="n"/>
      <c r="I37" s="23" t="n"/>
      <c r="J37" s="23" t="n"/>
      <c r="K37" s="23" t="n"/>
      <c r="L37" s="23" t="n"/>
      <c r="M37" s="23" t="n"/>
      <c r="N37" s="23" t="n"/>
      <c r="O37" s="23" t="n"/>
      <c r="P37" s="23" t="n"/>
      <c r="Q37" s="23" t="n"/>
      <c r="R37" s="23" t="n"/>
      <c r="S37" s="23" t="n"/>
      <c r="T37" s="23" t="n"/>
      <c r="U37" s="23" t="n"/>
      <c r="V37" s="23" t="n"/>
      <c r="W37" s="23" t="n"/>
      <c r="X37" s="23" t="n"/>
      <c r="Y37" s="23" t="n"/>
      <c r="Z37" s="23" t="n"/>
    </row>
    <row r="38" ht="15.75" customHeight="1" s="86">
      <c r="A38" s="75" t="inlineStr">
        <is>
          <t>Dependent 1 First Name</t>
        </is>
      </c>
      <c r="B38" s="73" t="inlineStr">
        <is>
          <t>M</t>
        </is>
      </c>
      <c r="C38" s="74" t="n"/>
      <c r="D38" s="74" t="n"/>
      <c r="E38" s="74" t="inlineStr">
        <is>
          <t>Should be mandatory during registration and e-app</t>
        </is>
      </c>
      <c r="F38" s="73" t="n">
        <v>1</v>
      </c>
      <c r="G38" s="73" t="n">
        <v>35</v>
      </c>
      <c r="H38" s="76" t="inlineStr">
        <is>
          <t>Please enter your First Name upto 35 characters</t>
        </is>
      </c>
      <c r="I38" s="23" t="n"/>
      <c r="J38" s="23" t="n"/>
      <c r="K38" s="23" t="n"/>
      <c r="L38" s="23" t="n"/>
      <c r="M38" s="23" t="n"/>
      <c r="N38" s="23" t="n"/>
      <c r="O38" s="23" t="n"/>
      <c r="P38" s="23" t="n"/>
      <c r="Q38" s="23" t="n"/>
      <c r="R38" s="23" t="n"/>
      <c r="S38" s="23" t="n"/>
      <c r="T38" s="23" t="n"/>
      <c r="U38" s="23" t="n"/>
      <c r="V38" s="23" t="n"/>
      <c r="W38" s="23" t="n"/>
      <c r="X38" s="23" t="n"/>
      <c r="Y38" s="23" t="n"/>
      <c r="Z38" s="23" t="n"/>
    </row>
    <row r="39" ht="15.75" customHeight="1" s="86">
      <c r="A39" s="77" t="inlineStr">
        <is>
          <t>Dependent 1 Middle Initial</t>
        </is>
      </c>
      <c r="B39" s="73" t="inlineStr">
        <is>
          <t>O</t>
        </is>
      </c>
      <c r="C39" s="74" t="inlineStr">
        <is>
          <t>Text box</t>
        </is>
      </c>
      <c r="D39" s="74" t="inlineStr">
        <is>
          <t>Should be a single charecter in capital letters. Eg. M</t>
        </is>
      </c>
      <c r="E39" s="74" t="inlineStr">
        <is>
          <t>Should be non-mandatory at all places</t>
        </is>
      </c>
      <c r="F39" s="73" t="n">
        <v>1</v>
      </c>
      <c r="G39" s="73" t="n">
        <v>1</v>
      </c>
      <c r="H39" s="78" t="n"/>
      <c r="I39" s="23" t="n"/>
      <c r="J39" s="23" t="n"/>
      <c r="K39" s="23" t="n"/>
      <c r="L39" s="23" t="n"/>
      <c r="M39" s="23" t="n"/>
      <c r="N39" s="23" t="n"/>
      <c r="O39" s="23" t="n"/>
      <c r="P39" s="23" t="n"/>
      <c r="Q39" s="23" t="n"/>
      <c r="R39" s="23" t="n"/>
      <c r="S39" s="23" t="n"/>
      <c r="T39" s="23" t="n"/>
      <c r="U39" s="23" t="n"/>
      <c r="V39" s="23" t="n"/>
      <c r="W39" s="23" t="n"/>
      <c r="X39" s="23" t="n"/>
      <c r="Y39" s="23" t="n"/>
      <c r="Z39" s="23" t="n"/>
    </row>
    <row r="40" ht="15.75" customHeight="1" s="86">
      <c r="A40" s="75" t="inlineStr">
        <is>
          <t>Dependent 1 Last Name</t>
        </is>
      </c>
      <c r="B40" s="73" t="inlineStr">
        <is>
          <t>M</t>
        </is>
      </c>
      <c r="C40" s="74" t="inlineStr">
        <is>
          <t>Text box</t>
        </is>
      </c>
      <c r="D40" s="74" t="inlineStr">
        <is>
          <t>Free text including special characters</t>
        </is>
      </c>
      <c r="E40" s="74" t="inlineStr">
        <is>
          <t>Should be mandatory during registration and e-app</t>
        </is>
      </c>
      <c r="F40" s="73" t="n">
        <v>1</v>
      </c>
      <c r="G40" s="73" t="n">
        <v>60</v>
      </c>
      <c r="H40" s="76" t="inlineStr">
        <is>
          <t>Please enter your Last Name upto 60 characters</t>
        </is>
      </c>
      <c r="I40" s="23" t="n"/>
      <c r="J40" s="23" t="n"/>
      <c r="K40" s="23" t="n"/>
      <c r="L40" s="23" t="n"/>
      <c r="M40" s="23" t="n"/>
      <c r="N40" s="23" t="n"/>
      <c r="O40" s="23" t="n"/>
      <c r="P40" s="23" t="n"/>
      <c r="Q40" s="23" t="n"/>
      <c r="R40" s="23" t="n"/>
      <c r="S40" s="23" t="n"/>
      <c r="T40" s="23" t="n"/>
      <c r="U40" s="23" t="n"/>
      <c r="V40" s="23" t="n"/>
      <c r="W40" s="23" t="n"/>
      <c r="X40" s="23" t="n"/>
      <c r="Y40" s="23" t="n"/>
      <c r="Z40" s="23" t="n"/>
    </row>
    <row r="41" ht="15.75" customHeight="1" s="86">
      <c r="A41" s="77" t="inlineStr">
        <is>
          <t>Dependent 1 Suffix</t>
        </is>
      </c>
      <c r="B41" s="73" t="inlineStr">
        <is>
          <t>O</t>
        </is>
      </c>
      <c r="C41" s="74" t="inlineStr">
        <is>
          <t>Drop down</t>
        </is>
      </c>
      <c r="D41" s="74" t="inlineStr">
        <is>
          <t>Jr., Sr., I, II, III</t>
        </is>
      </c>
      <c r="E41" s="74" t="n"/>
      <c r="F41" s="73" t="inlineStr">
        <is>
          <t>NA</t>
        </is>
      </c>
      <c r="G41" s="73" t="inlineStr">
        <is>
          <t>NA</t>
        </is>
      </c>
      <c r="H41" s="78" t="n"/>
      <c r="I41" s="23" t="n"/>
      <c r="J41" s="23" t="n"/>
      <c r="K41" s="23" t="n"/>
      <c r="L41" s="23" t="n"/>
      <c r="M41" s="23" t="n"/>
      <c r="N41" s="23" t="n"/>
      <c r="O41" s="23" t="n"/>
      <c r="P41" s="23" t="n"/>
      <c r="Q41" s="23" t="n"/>
      <c r="R41" s="23" t="n"/>
      <c r="S41" s="23" t="n"/>
      <c r="T41" s="23" t="n"/>
      <c r="U41" s="23" t="n"/>
      <c r="V41" s="23" t="n"/>
      <c r="W41" s="23" t="n"/>
      <c r="X41" s="23" t="n"/>
      <c r="Y41" s="23" t="n"/>
      <c r="Z41" s="23" t="n"/>
    </row>
    <row r="42" ht="15.75" customHeight="1" s="86">
      <c r="A42" s="75" t="inlineStr">
        <is>
          <t>Dependent 1 DOB</t>
        </is>
      </c>
      <c r="B42" s="73" t="inlineStr">
        <is>
          <t>M</t>
        </is>
      </c>
      <c r="C42" s="74" t="inlineStr">
        <is>
          <t>Calender</t>
        </is>
      </c>
      <c r="D42" s="74" t="inlineStr">
        <is>
          <t>Upto 120 years of age (MM-DD-YYYY)</t>
        </is>
      </c>
      <c r="E42" s="74" t="n"/>
      <c r="F42" s="73" t="inlineStr">
        <is>
          <t>NA</t>
        </is>
      </c>
      <c r="G42" s="73" t="inlineStr">
        <is>
          <t>NA</t>
        </is>
      </c>
      <c r="H42" s="76" t="inlineStr">
        <is>
          <t>Please enter a valid Date of Birth</t>
        </is>
      </c>
      <c r="I42" s="23" t="n"/>
      <c r="J42" s="23" t="n"/>
      <c r="K42" s="23" t="n"/>
      <c r="L42" s="23" t="n"/>
      <c r="M42" s="23" t="n"/>
      <c r="N42" s="23" t="n"/>
      <c r="O42" s="23" t="n"/>
      <c r="P42" s="23" t="n"/>
      <c r="Q42" s="23" t="n"/>
      <c r="R42" s="23" t="n"/>
      <c r="S42" s="23" t="n"/>
      <c r="T42" s="23" t="n"/>
      <c r="U42" s="23" t="n"/>
      <c r="V42" s="23" t="n"/>
      <c r="W42" s="23" t="n"/>
      <c r="X42" s="23" t="n"/>
      <c r="Y42" s="23" t="n"/>
      <c r="Z42" s="23" t="n"/>
    </row>
    <row r="43" ht="15.75" customHeight="1" s="86">
      <c r="A43" s="75" t="inlineStr">
        <is>
          <t>Dependent 1 Gender</t>
        </is>
      </c>
      <c r="B43" s="73" t="inlineStr">
        <is>
          <t>M</t>
        </is>
      </c>
      <c r="C43" s="74" t="inlineStr">
        <is>
          <t>Radio button</t>
        </is>
      </c>
      <c r="D43" s="74" t="inlineStr">
        <is>
          <t>M/ F</t>
        </is>
      </c>
      <c r="E43" s="74" t="n"/>
      <c r="F43" s="73" t="n">
        <v>1</v>
      </c>
      <c r="G43" s="73" t="n">
        <v>10</v>
      </c>
      <c r="H43" s="76" t="inlineStr">
        <is>
          <t>Please select a Gender</t>
        </is>
      </c>
      <c r="I43" s="23" t="n"/>
      <c r="J43" s="23" t="n"/>
      <c r="K43" s="23" t="n"/>
      <c r="L43" s="23" t="n"/>
      <c r="M43" s="23" t="n"/>
      <c r="N43" s="23" t="n"/>
      <c r="O43" s="23" t="n"/>
      <c r="P43" s="23" t="n"/>
      <c r="Q43" s="23" t="n"/>
      <c r="R43" s="23" t="n"/>
      <c r="S43" s="23" t="n"/>
      <c r="T43" s="23" t="n"/>
      <c r="U43" s="23" t="n"/>
      <c r="V43" s="23" t="n"/>
      <c r="W43" s="23" t="n"/>
      <c r="X43" s="23" t="n"/>
      <c r="Y43" s="23" t="n"/>
      <c r="Z43" s="23" t="n"/>
    </row>
    <row r="44" ht="15.75" customHeight="1" s="86">
      <c r="A44" s="75" t="inlineStr">
        <is>
          <t>Dependent 1 tobacco_usage in last 12 months (Y/N)</t>
        </is>
      </c>
      <c r="B44" s="73" t="inlineStr">
        <is>
          <t>M</t>
        </is>
      </c>
      <c r="C44" s="74" t="inlineStr">
        <is>
          <t>Radio button</t>
        </is>
      </c>
      <c r="D44" s="74" t="inlineStr">
        <is>
          <t>Yes/ No</t>
        </is>
      </c>
      <c r="E44" s="74" t="n"/>
      <c r="F44" s="73" t="n">
        <v>1</v>
      </c>
      <c r="G44" s="73" t="n">
        <v>5</v>
      </c>
      <c r="H44" s="76" t="inlineStr">
        <is>
          <t>Please Select a valid Option</t>
        </is>
      </c>
      <c r="I44" s="23" t="n"/>
      <c r="J44" s="23" t="n"/>
      <c r="K44" s="23" t="n"/>
      <c r="L44" s="23" t="n"/>
      <c r="M44" s="23" t="n"/>
      <c r="N44" s="23" t="n"/>
      <c r="O44" s="23" t="n"/>
      <c r="P44" s="23" t="n"/>
      <c r="Q44" s="23" t="n"/>
      <c r="R44" s="23" t="n"/>
      <c r="S44" s="23" t="n"/>
      <c r="T44" s="23" t="n"/>
      <c r="U44" s="23" t="n"/>
      <c r="V44" s="23" t="n"/>
      <c r="W44" s="23" t="n"/>
      <c r="X44" s="23" t="n"/>
      <c r="Y44" s="23" t="n"/>
      <c r="Z44" s="23" t="n"/>
    </row>
    <row r="45" ht="15.75" customHeight="1" s="86">
      <c r="A45" s="75" t="inlineStr">
        <is>
          <t>Dependent 1 Relationship</t>
        </is>
      </c>
      <c r="B45" s="78" t="inlineStr">
        <is>
          <t>M</t>
        </is>
      </c>
      <c r="C45" s="74" t="inlineStr">
        <is>
          <t>Drop down</t>
        </is>
      </c>
      <c r="D45" s="74" t="inlineStr">
        <is>
          <t>Spouse
Child
Domestic Partner 
Other dependent</t>
        </is>
      </c>
      <c r="E45" s="78" t="n"/>
      <c r="F45" s="78" t="n"/>
      <c r="G45" s="78" t="n"/>
      <c r="H45" s="76" t="inlineStr">
        <is>
          <t>Please Select a valid Option</t>
        </is>
      </c>
      <c r="I45" s="23" t="n"/>
      <c r="J45" s="23" t="n"/>
      <c r="K45" s="23" t="n"/>
      <c r="L45" s="23" t="n"/>
      <c r="M45" s="23" t="n"/>
      <c r="N45" s="23" t="n"/>
      <c r="O45" s="23" t="n"/>
      <c r="P45" s="23" t="n"/>
      <c r="Q45" s="23" t="n"/>
      <c r="R45" s="23" t="n"/>
      <c r="S45" s="23" t="n"/>
      <c r="T45" s="23" t="n"/>
      <c r="U45" s="23" t="n"/>
      <c r="V45" s="23" t="n"/>
      <c r="W45" s="23" t="n"/>
      <c r="X45" s="23" t="n"/>
      <c r="Y45" s="23" t="n"/>
      <c r="Z45" s="23" t="n"/>
    </row>
    <row r="46" ht="15.75" customHeight="1" s="86">
      <c r="A46" s="75" t="inlineStr">
        <is>
          <t>Dependent 1 isDisabled (Y/N)</t>
        </is>
      </c>
      <c r="B46" s="78" t="inlineStr">
        <is>
          <t>M</t>
        </is>
      </c>
      <c r="C46" s="78" t="n"/>
      <c r="D46" s="74" t="inlineStr">
        <is>
          <t>Yes/ No</t>
        </is>
      </c>
      <c r="E46" s="78" t="n"/>
      <c r="F46" s="78" t="n"/>
      <c r="G46" s="78" t="n"/>
      <c r="H46" s="76" t="inlineStr">
        <is>
          <t>Please Select a valid Option</t>
        </is>
      </c>
      <c r="I46" s="23" t="n"/>
      <c r="J46" s="23" t="n"/>
      <c r="K46" s="23" t="n"/>
      <c r="L46" s="23" t="n"/>
      <c r="M46" s="23" t="n"/>
      <c r="N46" s="23" t="n"/>
      <c r="O46" s="23" t="n"/>
      <c r="P46" s="23" t="n"/>
      <c r="Q46" s="23" t="n"/>
      <c r="R46" s="23" t="n"/>
      <c r="S46" s="23" t="n"/>
      <c r="T46" s="23" t="n"/>
      <c r="U46" s="23" t="n"/>
      <c r="V46" s="23" t="n"/>
      <c r="W46" s="23" t="n"/>
      <c r="X46" s="23" t="n"/>
      <c r="Y46" s="23" t="n"/>
      <c r="Z46" s="23" t="n"/>
    </row>
    <row r="47" ht="15.75" customHeight="1" s="86">
      <c r="A47" s="75" t="inlineStr">
        <is>
          <t>Dependent 1 IsMarried(Y/N)</t>
        </is>
      </c>
      <c r="B47" s="78" t="inlineStr">
        <is>
          <t>M</t>
        </is>
      </c>
      <c r="C47" s="78" t="n"/>
      <c r="D47" s="74" t="inlineStr">
        <is>
          <t>Yes/ No</t>
        </is>
      </c>
      <c r="E47" s="78" t="n"/>
      <c r="F47" s="78" t="n"/>
      <c r="G47" s="78" t="n"/>
      <c r="H47" s="76" t="inlineStr">
        <is>
          <t>Please Select a valid Option</t>
        </is>
      </c>
      <c r="I47" s="23" t="n"/>
      <c r="J47" s="23" t="n"/>
      <c r="K47" s="23" t="n"/>
      <c r="L47" s="23" t="n"/>
      <c r="M47" s="23" t="n"/>
      <c r="N47" s="23" t="n"/>
      <c r="O47" s="23" t="n"/>
      <c r="P47" s="23" t="n"/>
      <c r="Q47" s="23" t="n"/>
      <c r="R47" s="23" t="n"/>
      <c r="S47" s="23" t="n"/>
      <c r="T47" s="23" t="n"/>
      <c r="U47" s="23" t="n"/>
      <c r="V47" s="23" t="n"/>
      <c r="W47" s="23" t="n"/>
      <c r="X47" s="23" t="n"/>
      <c r="Y47" s="23" t="n"/>
      <c r="Z47" s="23" t="n"/>
    </row>
    <row r="48" ht="15.75" customHeight="1" s="86">
      <c r="A48" s="77" t="inlineStr">
        <is>
          <t>Dependent 2 Prefix</t>
        </is>
      </c>
      <c r="B48" s="73" t="inlineStr">
        <is>
          <t>O</t>
        </is>
      </c>
      <c r="C48" s="74" t="inlineStr">
        <is>
          <t>Drop down</t>
        </is>
      </c>
      <c r="D48" s="74" t="inlineStr">
        <is>
          <t>Mr., Miss, Mrs., Ms., Dr.</t>
        </is>
      </c>
      <c r="E48" s="74" t="n"/>
      <c r="F48" s="73" t="inlineStr">
        <is>
          <t>NA</t>
        </is>
      </c>
      <c r="G48" s="73" t="inlineStr">
        <is>
          <t>NA</t>
        </is>
      </c>
      <c r="H48" s="74" t="n"/>
      <c r="I48" s="23" t="n"/>
      <c r="J48" s="23" t="n"/>
      <c r="K48" s="23" t="n"/>
      <c r="L48" s="23" t="n"/>
      <c r="M48" s="23" t="n"/>
      <c r="N48" s="23" t="n"/>
      <c r="O48" s="23" t="n"/>
      <c r="P48" s="23" t="n"/>
      <c r="Q48" s="23" t="n"/>
      <c r="R48" s="23" t="n"/>
      <c r="S48" s="23" t="n"/>
      <c r="T48" s="23" t="n"/>
      <c r="U48" s="23" t="n"/>
      <c r="V48" s="23" t="n"/>
      <c r="W48" s="23" t="n"/>
      <c r="X48" s="23" t="n"/>
      <c r="Y48" s="23" t="n"/>
      <c r="Z48" s="23" t="n"/>
    </row>
    <row r="49" ht="15.75" customHeight="1" s="86">
      <c r="A49" s="75" t="inlineStr">
        <is>
          <t>Dependent 2 First Name</t>
        </is>
      </c>
      <c r="B49" s="73" t="inlineStr">
        <is>
          <t>M</t>
        </is>
      </c>
      <c r="C49" s="74" t="n"/>
      <c r="D49" s="74" t="n"/>
      <c r="E49" s="74" t="inlineStr">
        <is>
          <t>Should be mandatory during registration and e-app</t>
        </is>
      </c>
      <c r="F49" s="73" t="n">
        <v>1</v>
      </c>
      <c r="G49" s="73" t="n">
        <v>35</v>
      </c>
      <c r="H49" s="76" t="inlineStr">
        <is>
          <t>Please enter your First Name upto 35 characters</t>
        </is>
      </c>
      <c r="I49" s="23" t="n"/>
      <c r="J49" s="23" t="n"/>
      <c r="K49" s="23" t="n"/>
      <c r="L49" s="23" t="n"/>
      <c r="M49" s="23" t="n"/>
      <c r="N49" s="23" t="n"/>
      <c r="O49" s="23" t="n"/>
      <c r="P49" s="23" t="n"/>
      <c r="Q49" s="23" t="n"/>
      <c r="R49" s="23" t="n"/>
      <c r="S49" s="23" t="n"/>
      <c r="T49" s="23" t="n"/>
      <c r="U49" s="23" t="n"/>
      <c r="V49" s="23" t="n"/>
      <c r="W49" s="23" t="n"/>
      <c r="X49" s="23" t="n"/>
      <c r="Y49" s="23" t="n"/>
      <c r="Z49" s="23" t="n"/>
    </row>
    <row r="50" ht="15.75" customHeight="1" s="86">
      <c r="A50" s="77" t="inlineStr">
        <is>
          <t>Dependent 2 Middle Initial</t>
        </is>
      </c>
      <c r="B50" s="73" t="inlineStr">
        <is>
          <t>O</t>
        </is>
      </c>
      <c r="C50" s="74" t="inlineStr">
        <is>
          <t>Text box</t>
        </is>
      </c>
      <c r="D50" s="74" t="inlineStr">
        <is>
          <t>Should be a single charecter in capital letters. Eg. M</t>
        </is>
      </c>
      <c r="E50" s="74" t="inlineStr">
        <is>
          <t>Should be non-mandatory at all places</t>
        </is>
      </c>
      <c r="F50" s="73" t="n">
        <v>1</v>
      </c>
      <c r="G50" s="73" t="n">
        <v>1</v>
      </c>
      <c r="H50" s="78" t="n"/>
      <c r="I50" s="23" t="n"/>
      <c r="J50" s="23" t="n"/>
      <c r="K50" s="23" t="n"/>
      <c r="L50" s="23" t="n"/>
      <c r="M50" s="23" t="n"/>
      <c r="N50" s="23" t="n"/>
      <c r="O50" s="23" t="n"/>
      <c r="P50" s="23" t="n"/>
      <c r="Q50" s="23" t="n"/>
      <c r="R50" s="23" t="n"/>
      <c r="S50" s="23" t="n"/>
      <c r="T50" s="23" t="n"/>
      <c r="U50" s="23" t="n"/>
      <c r="V50" s="23" t="n"/>
      <c r="W50" s="23" t="n"/>
      <c r="X50" s="23" t="n"/>
      <c r="Y50" s="23" t="n"/>
      <c r="Z50" s="23" t="n"/>
    </row>
    <row r="51" ht="15.75" customHeight="1" s="86">
      <c r="A51" s="75" t="inlineStr">
        <is>
          <t>Dependent 2 Last Name</t>
        </is>
      </c>
      <c r="B51" s="73" t="inlineStr">
        <is>
          <t>M</t>
        </is>
      </c>
      <c r="C51" s="74" t="inlineStr">
        <is>
          <t>Text box</t>
        </is>
      </c>
      <c r="D51" s="74" t="inlineStr">
        <is>
          <t>Free text including special characters</t>
        </is>
      </c>
      <c r="E51" s="74" t="inlineStr">
        <is>
          <t>Should be mandatory during registration and e-app</t>
        </is>
      </c>
      <c r="F51" s="73" t="n">
        <v>1</v>
      </c>
      <c r="G51" s="73" t="n">
        <v>60</v>
      </c>
      <c r="H51" s="76" t="inlineStr">
        <is>
          <t>Please enter your Last Name upto 60 characters</t>
        </is>
      </c>
      <c r="I51" s="23" t="n"/>
      <c r="J51" s="23" t="n"/>
      <c r="K51" s="23" t="n"/>
      <c r="L51" s="23" t="n"/>
      <c r="M51" s="23" t="n"/>
      <c r="N51" s="23" t="n"/>
      <c r="O51" s="23" t="n"/>
      <c r="P51" s="23" t="n"/>
      <c r="Q51" s="23" t="n"/>
      <c r="R51" s="23" t="n"/>
      <c r="S51" s="23" t="n"/>
      <c r="T51" s="23" t="n"/>
      <c r="U51" s="23" t="n"/>
      <c r="V51" s="23" t="n"/>
      <c r="W51" s="23" t="n"/>
      <c r="X51" s="23" t="n"/>
      <c r="Y51" s="23" t="n"/>
      <c r="Z51" s="23" t="n"/>
    </row>
    <row r="52" ht="15.75" customHeight="1" s="86">
      <c r="A52" s="77" t="inlineStr">
        <is>
          <t>Dependent 2 Suffix</t>
        </is>
      </c>
      <c r="B52" s="73" t="inlineStr">
        <is>
          <t>O</t>
        </is>
      </c>
      <c r="C52" s="74" t="inlineStr">
        <is>
          <t>Drop down</t>
        </is>
      </c>
      <c r="D52" s="74" t="inlineStr">
        <is>
          <t>Jr., Sr., I, II, III</t>
        </is>
      </c>
      <c r="E52" s="74" t="n"/>
      <c r="F52" s="73" t="inlineStr">
        <is>
          <t>NA</t>
        </is>
      </c>
      <c r="G52" s="73" t="inlineStr">
        <is>
          <t>NA</t>
        </is>
      </c>
      <c r="H52" s="78" t="n"/>
      <c r="I52" s="23" t="n"/>
      <c r="J52" s="23" t="n"/>
      <c r="K52" s="23" t="n"/>
      <c r="L52" s="23" t="n"/>
      <c r="M52" s="23" t="n"/>
      <c r="N52" s="23" t="n"/>
      <c r="O52" s="23" t="n"/>
      <c r="P52" s="23" t="n"/>
      <c r="Q52" s="23" t="n"/>
      <c r="R52" s="23" t="n"/>
      <c r="S52" s="23" t="n"/>
      <c r="T52" s="23" t="n"/>
      <c r="U52" s="23" t="n"/>
      <c r="V52" s="23" t="n"/>
      <c r="W52" s="23" t="n"/>
      <c r="X52" s="23" t="n"/>
      <c r="Y52" s="23" t="n"/>
      <c r="Z52" s="23" t="n"/>
    </row>
    <row r="53" ht="15.75" customHeight="1" s="86">
      <c r="A53" s="75" t="inlineStr">
        <is>
          <t>Dependent 2 DOB</t>
        </is>
      </c>
      <c r="B53" s="73" t="inlineStr">
        <is>
          <t>M</t>
        </is>
      </c>
      <c r="C53" s="74" t="inlineStr">
        <is>
          <t>Calender</t>
        </is>
      </c>
      <c r="D53" s="74" t="inlineStr">
        <is>
          <t>Upto 120 years of age (MM-DD-YYYY)</t>
        </is>
      </c>
      <c r="E53" s="74" t="n"/>
      <c r="F53" s="73" t="inlineStr">
        <is>
          <t>NA</t>
        </is>
      </c>
      <c r="G53" s="73" t="inlineStr">
        <is>
          <t>NA</t>
        </is>
      </c>
      <c r="H53" s="76" t="inlineStr">
        <is>
          <t>Please enter a valid Date of Birth</t>
        </is>
      </c>
      <c r="I53" s="23" t="n"/>
      <c r="J53" s="23" t="n"/>
      <c r="K53" s="23" t="n"/>
      <c r="L53" s="23" t="n"/>
      <c r="M53" s="23" t="n"/>
      <c r="N53" s="23" t="n"/>
      <c r="O53" s="23" t="n"/>
      <c r="P53" s="23" t="n"/>
      <c r="Q53" s="23" t="n"/>
      <c r="R53" s="23" t="n"/>
      <c r="S53" s="23" t="n"/>
      <c r="T53" s="23" t="n"/>
      <c r="U53" s="23" t="n"/>
      <c r="V53" s="23" t="n"/>
      <c r="W53" s="23" t="n"/>
      <c r="X53" s="23" t="n"/>
      <c r="Y53" s="23" t="n"/>
      <c r="Z53" s="23" t="n"/>
    </row>
    <row r="54" ht="15.75" customHeight="1" s="86">
      <c r="A54" s="75" t="inlineStr">
        <is>
          <t>Dependent 2 Gender</t>
        </is>
      </c>
      <c r="B54" s="73" t="inlineStr">
        <is>
          <t>M</t>
        </is>
      </c>
      <c r="C54" s="74" t="inlineStr">
        <is>
          <t>Radio button</t>
        </is>
      </c>
      <c r="D54" s="74" t="inlineStr">
        <is>
          <t>M/ F</t>
        </is>
      </c>
      <c r="E54" s="74" t="n"/>
      <c r="F54" s="73" t="n">
        <v>1</v>
      </c>
      <c r="G54" s="73" t="n">
        <v>10</v>
      </c>
      <c r="H54" s="76" t="inlineStr">
        <is>
          <t>Please select a Gender</t>
        </is>
      </c>
      <c r="I54" s="23" t="n"/>
      <c r="J54" s="23" t="n"/>
      <c r="K54" s="23" t="n"/>
      <c r="L54" s="23" t="n"/>
      <c r="M54" s="23" t="n"/>
      <c r="N54" s="23" t="n"/>
      <c r="O54" s="23" t="n"/>
      <c r="P54" s="23" t="n"/>
      <c r="Q54" s="23" t="n"/>
      <c r="R54" s="23" t="n"/>
      <c r="S54" s="23" t="n"/>
      <c r="T54" s="23" t="n"/>
      <c r="U54" s="23" t="n"/>
      <c r="V54" s="23" t="n"/>
      <c r="W54" s="23" t="n"/>
      <c r="X54" s="23" t="n"/>
      <c r="Y54" s="23" t="n"/>
      <c r="Z54" s="23" t="n"/>
    </row>
    <row r="55" ht="15.75" customHeight="1" s="86">
      <c r="A55" s="75" t="inlineStr">
        <is>
          <t>Dependent 2 tobacco_usage in last 12 months (Y/N)</t>
        </is>
      </c>
      <c r="B55" s="73" t="inlineStr">
        <is>
          <t>M</t>
        </is>
      </c>
      <c r="C55" s="74" t="inlineStr">
        <is>
          <t>Radio button</t>
        </is>
      </c>
      <c r="D55" s="74" t="inlineStr">
        <is>
          <t>Yes/ No</t>
        </is>
      </c>
      <c r="E55" s="74" t="n"/>
      <c r="F55" s="73" t="n">
        <v>1</v>
      </c>
      <c r="G55" s="73" t="n">
        <v>5</v>
      </c>
      <c r="H55" s="76" t="inlineStr">
        <is>
          <t>Please Select a valid Option</t>
        </is>
      </c>
      <c r="I55" s="23" t="n"/>
      <c r="J55" s="23" t="n"/>
      <c r="K55" s="23" t="n"/>
      <c r="L55" s="23" t="n"/>
      <c r="M55" s="23" t="n"/>
      <c r="N55" s="23" t="n"/>
      <c r="O55" s="23" t="n"/>
      <c r="P55" s="23" t="n"/>
      <c r="Q55" s="23" t="n"/>
      <c r="R55" s="23" t="n"/>
      <c r="S55" s="23" t="n"/>
      <c r="T55" s="23" t="n"/>
      <c r="U55" s="23" t="n"/>
      <c r="V55" s="23" t="n"/>
      <c r="W55" s="23" t="n"/>
      <c r="X55" s="23" t="n"/>
      <c r="Y55" s="23" t="n"/>
      <c r="Z55" s="23" t="n"/>
    </row>
    <row r="56" ht="15.75" customHeight="1" s="86">
      <c r="A56" s="75" t="inlineStr">
        <is>
          <t>Dependent 2 Relationship</t>
        </is>
      </c>
      <c r="B56" s="78" t="inlineStr">
        <is>
          <t>M</t>
        </is>
      </c>
      <c r="C56" s="74" t="inlineStr">
        <is>
          <t>Drop down</t>
        </is>
      </c>
      <c r="D56" s="74" t="inlineStr">
        <is>
          <t>Spouse
Child
Domestic Partner 
Other dependent</t>
        </is>
      </c>
      <c r="E56" s="78" t="n"/>
      <c r="F56" s="78" t="n"/>
      <c r="G56" s="78" t="n"/>
      <c r="H56" s="76" t="inlineStr">
        <is>
          <t>Please Select a valid Option</t>
        </is>
      </c>
      <c r="I56" s="23" t="n"/>
      <c r="J56" s="23" t="n"/>
      <c r="K56" s="23" t="n"/>
      <c r="L56" s="23" t="n"/>
      <c r="M56" s="23" t="n"/>
      <c r="N56" s="23" t="n"/>
      <c r="O56" s="23" t="n"/>
      <c r="P56" s="23" t="n"/>
      <c r="Q56" s="23" t="n"/>
      <c r="R56" s="23" t="n"/>
      <c r="S56" s="23" t="n"/>
      <c r="T56" s="23" t="n"/>
      <c r="U56" s="23" t="n"/>
      <c r="V56" s="23" t="n"/>
      <c r="W56" s="23" t="n"/>
      <c r="X56" s="23" t="n"/>
      <c r="Y56" s="23" t="n"/>
      <c r="Z56" s="23" t="n"/>
    </row>
    <row r="57" ht="15.75" customHeight="1" s="86">
      <c r="A57" s="75" t="inlineStr">
        <is>
          <t>Dependent 2 isDisabled (Y/N)</t>
        </is>
      </c>
      <c r="B57" s="78" t="inlineStr">
        <is>
          <t>M</t>
        </is>
      </c>
      <c r="C57" s="78" t="n"/>
      <c r="D57" s="74" t="inlineStr">
        <is>
          <t>Yes/ No</t>
        </is>
      </c>
      <c r="E57" s="78" t="n"/>
      <c r="F57" s="78" t="n"/>
      <c r="G57" s="78" t="n"/>
      <c r="H57" s="76" t="inlineStr">
        <is>
          <t>Please Select a valid Option</t>
        </is>
      </c>
      <c r="I57" s="23" t="n"/>
      <c r="J57" s="23" t="n"/>
      <c r="K57" s="23" t="n"/>
      <c r="L57" s="23" t="n"/>
      <c r="M57" s="23" t="n"/>
      <c r="N57" s="23" t="n"/>
      <c r="O57" s="23" t="n"/>
      <c r="P57" s="23" t="n"/>
      <c r="Q57" s="23" t="n"/>
      <c r="R57" s="23" t="n"/>
      <c r="S57" s="23" t="n"/>
      <c r="T57" s="23" t="n"/>
      <c r="U57" s="23" t="n"/>
      <c r="V57" s="23" t="n"/>
      <c r="W57" s="23" t="n"/>
      <c r="X57" s="23" t="n"/>
      <c r="Y57" s="23" t="n"/>
      <c r="Z57" s="23" t="n"/>
    </row>
    <row r="58" ht="15.75" customHeight="1" s="86">
      <c r="A58" s="75" t="inlineStr">
        <is>
          <t>Dependent 2 IsMarried(Y/N)</t>
        </is>
      </c>
      <c r="B58" s="78" t="inlineStr">
        <is>
          <t>M</t>
        </is>
      </c>
      <c r="C58" s="78" t="n"/>
      <c r="D58" s="74" t="inlineStr">
        <is>
          <t>Yes/ No</t>
        </is>
      </c>
      <c r="E58" s="78" t="n"/>
      <c r="F58" s="78" t="n"/>
      <c r="G58" s="78" t="n"/>
      <c r="H58" s="76" t="inlineStr">
        <is>
          <t>Please Select a valid Option</t>
        </is>
      </c>
      <c r="I58" s="23" t="n"/>
      <c r="J58" s="23" t="n"/>
      <c r="K58" s="23" t="n"/>
      <c r="L58" s="23" t="n"/>
      <c r="M58" s="23" t="n"/>
      <c r="N58" s="23" t="n"/>
      <c r="O58" s="23" t="n"/>
      <c r="P58" s="23" t="n"/>
      <c r="Q58" s="23" t="n"/>
      <c r="R58" s="23" t="n"/>
      <c r="S58" s="23" t="n"/>
      <c r="T58" s="23" t="n"/>
      <c r="U58" s="23" t="n"/>
      <c r="V58" s="23" t="n"/>
      <c r="W58" s="23" t="n"/>
      <c r="X58" s="23" t="n"/>
      <c r="Y58" s="23" t="n"/>
      <c r="Z58" s="23" t="n"/>
    </row>
    <row r="59" ht="15.75" customHeight="1" s="86">
      <c r="A59" s="77" t="inlineStr">
        <is>
          <t>Dependent 3 Prefix</t>
        </is>
      </c>
      <c r="B59" s="73" t="inlineStr">
        <is>
          <t>O</t>
        </is>
      </c>
      <c r="C59" s="74" t="inlineStr">
        <is>
          <t>Drop down</t>
        </is>
      </c>
      <c r="D59" s="74" t="inlineStr">
        <is>
          <t>Mr., Miss, Mrs., Ms., Dr.</t>
        </is>
      </c>
      <c r="E59" s="74" t="n"/>
      <c r="F59" s="73" t="inlineStr">
        <is>
          <t>NA</t>
        </is>
      </c>
      <c r="G59" s="73" t="inlineStr">
        <is>
          <t>NA</t>
        </is>
      </c>
      <c r="H59" s="74" t="n"/>
      <c r="I59" s="23" t="n"/>
      <c r="J59" s="23" t="n"/>
      <c r="K59" s="23" t="n"/>
      <c r="L59" s="23" t="n"/>
      <c r="M59" s="23" t="n"/>
      <c r="N59" s="23" t="n"/>
      <c r="O59" s="23" t="n"/>
      <c r="P59" s="23" t="n"/>
      <c r="Q59" s="23" t="n"/>
      <c r="R59" s="23" t="n"/>
      <c r="S59" s="23" t="n"/>
      <c r="T59" s="23" t="n"/>
      <c r="U59" s="23" t="n"/>
      <c r="V59" s="23" t="n"/>
      <c r="W59" s="23" t="n"/>
      <c r="X59" s="23" t="n"/>
      <c r="Y59" s="23" t="n"/>
      <c r="Z59" s="23" t="n"/>
    </row>
    <row r="60" ht="15.75" customHeight="1" s="86">
      <c r="A60" s="75" t="inlineStr">
        <is>
          <t>Dependent 3 First Name</t>
        </is>
      </c>
      <c r="B60" s="73" t="inlineStr">
        <is>
          <t>M</t>
        </is>
      </c>
      <c r="C60" s="74" t="n"/>
      <c r="D60" s="74" t="n"/>
      <c r="E60" s="74" t="inlineStr">
        <is>
          <t>Should be mandatory during registration and e-app</t>
        </is>
      </c>
      <c r="F60" s="73" t="n">
        <v>1</v>
      </c>
      <c r="G60" s="73" t="n">
        <v>35</v>
      </c>
      <c r="H60" s="76" t="inlineStr">
        <is>
          <t>Please enter your First Name upto 35 characters</t>
        </is>
      </c>
      <c r="I60" s="23" t="n"/>
      <c r="J60" s="23" t="n"/>
      <c r="K60" s="23" t="n"/>
      <c r="L60" s="23" t="n"/>
      <c r="M60" s="23" t="n"/>
      <c r="N60" s="23" t="n"/>
      <c r="O60" s="23" t="n"/>
      <c r="P60" s="23" t="n"/>
      <c r="Q60" s="23" t="n"/>
      <c r="R60" s="23" t="n"/>
      <c r="S60" s="23" t="n"/>
      <c r="T60" s="23" t="n"/>
      <c r="U60" s="23" t="n"/>
      <c r="V60" s="23" t="n"/>
      <c r="W60" s="23" t="n"/>
      <c r="X60" s="23" t="n"/>
      <c r="Y60" s="23" t="n"/>
      <c r="Z60" s="23" t="n"/>
    </row>
    <row r="61" ht="15.75" customHeight="1" s="86">
      <c r="A61" s="77" t="inlineStr">
        <is>
          <t>Dependent 3 Middle Initial</t>
        </is>
      </c>
      <c r="B61" s="73" t="inlineStr">
        <is>
          <t>O</t>
        </is>
      </c>
      <c r="C61" s="74" t="inlineStr">
        <is>
          <t>Text box</t>
        </is>
      </c>
      <c r="D61" s="74" t="inlineStr">
        <is>
          <t>Should be a single charecter in capital letters. Eg. M</t>
        </is>
      </c>
      <c r="E61" s="74" t="inlineStr">
        <is>
          <t>Should be non-mandatory at all places</t>
        </is>
      </c>
      <c r="F61" s="73" t="n">
        <v>1</v>
      </c>
      <c r="G61" s="73" t="n">
        <v>1</v>
      </c>
      <c r="H61" s="78" t="n"/>
      <c r="I61" s="23" t="n"/>
      <c r="J61" s="23" t="n"/>
      <c r="K61" s="23" t="n"/>
      <c r="L61" s="23" t="n"/>
      <c r="M61" s="23" t="n"/>
      <c r="N61" s="23" t="n"/>
      <c r="O61" s="23" t="n"/>
      <c r="P61" s="23" t="n"/>
      <c r="Q61" s="23" t="n"/>
      <c r="R61" s="23" t="n"/>
      <c r="S61" s="23" t="n"/>
      <c r="T61" s="23" t="n"/>
      <c r="U61" s="23" t="n"/>
      <c r="V61" s="23" t="n"/>
      <c r="W61" s="23" t="n"/>
      <c r="X61" s="23" t="n"/>
      <c r="Y61" s="23" t="n"/>
      <c r="Z61" s="23" t="n"/>
    </row>
    <row r="62" ht="15.75" customHeight="1" s="86">
      <c r="A62" s="75" t="inlineStr">
        <is>
          <t>Dependent 3 Last Name</t>
        </is>
      </c>
      <c r="B62" s="73" t="inlineStr">
        <is>
          <t>M</t>
        </is>
      </c>
      <c r="C62" s="74" t="inlineStr">
        <is>
          <t>Text box</t>
        </is>
      </c>
      <c r="D62" s="74" t="inlineStr">
        <is>
          <t>Free text including special characters</t>
        </is>
      </c>
      <c r="E62" s="74" t="inlineStr">
        <is>
          <t>Should be mandatory during registration and e-app</t>
        </is>
      </c>
      <c r="F62" s="73" t="n">
        <v>1</v>
      </c>
      <c r="G62" s="73" t="n">
        <v>60</v>
      </c>
      <c r="H62" s="76" t="inlineStr">
        <is>
          <t>Please enter your Last Name upto 60 characters</t>
        </is>
      </c>
      <c r="I62" s="23" t="n"/>
      <c r="J62" s="23" t="n"/>
      <c r="K62" s="23" t="n"/>
      <c r="L62" s="23" t="n"/>
      <c r="M62" s="23" t="n"/>
      <c r="N62" s="23" t="n"/>
      <c r="O62" s="23" t="n"/>
      <c r="P62" s="23" t="n"/>
      <c r="Q62" s="23" t="n"/>
      <c r="R62" s="23" t="n"/>
      <c r="S62" s="23" t="n"/>
      <c r="T62" s="23" t="n"/>
      <c r="U62" s="23" t="n"/>
      <c r="V62" s="23" t="n"/>
      <c r="W62" s="23" t="n"/>
      <c r="X62" s="23" t="n"/>
      <c r="Y62" s="23" t="n"/>
      <c r="Z62" s="23" t="n"/>
    </row>
    <row r="63" ht="15.75" customHeight="1" s="86">
      <c r="A63" s="77" t="inlineStr">
        <is>
          <t>Dependent 3 Suffix</t>
        </is>
      </c>
      <c r="B63" s="73" t="inlineStr">
        <is>
          <t>O</t>
        </is>
      </c>
      <c r="C63" s="74" t="inlineStr">
        <is>
          <t>Drop down</t>
        </is>
      </c>
      <c r="D63" s="74" t="inlineStr">
        <is>
          <t>Jr., Sr., I, II, III</t>
        </is>
      </c>
      <c r="E63" s="74" t="n"/>
      <c r="F63" s="73" t="inlineStr">
        <is>
          <t>NA</t>
        </is>
      </c>
      <c r="G63" s="73" t="inlineStr">
        <is>
          <t>NA</t>
        </is>
      </c>
      <c r="H63" s="78" t="n"/>
      <c r="I63" s="23" t="n"/>
      <c r="J63" s="23" t="n"/>
      <c r="K63" s="23" t="n"/>
      <c r="L63" s="23" t="n"/>
      <c r="M63" s="23" t="n"/>
      <c r="N63" s="23" t="n"/>
      <c r="O63" s="23" t="n"/>
      <c r="P63" s="23" t="n"/>
      <c r="Q63" s="23" t="n"/>
      <c r="R63" s="23" t="n"/>
      <c r="S63" s="23" t="n"/>
      <c r="T63" s="23" t="n"/>
      <c r="U63" s="23" t="n"/>
      <c r="V63" s="23" t="n"/>
      <c r="W63" s="23" t="n"/>
      <c r="X63" s="23" t="n"/>
      <c r="Y63" s="23" t="n"/>
      <c r="Z63" s="23" t="n"/>
    </row>
    <row r="64" ht="15.75" customHeight="1" s="86">
      <c r="A64" s="75" t="inlineStr">
        <is>
          <t>Dependent 3 DOB</t>
        </is>
      </c>
      <c r="B64" s="73" t="inlineStr">
        <is>
          <t>M</t>
        </is>
      </c>
      <c r="C64" s="74" t="inlineStr">
        <is>
          <t>Calender</t>
        </is>
      </c>
      <c r="D64" s="74" t="inlineStr">
        <is>
          <t>Upto 120 years of age (MM-DD-YYYY)</t>
        </is>
      </c>
      <c r="E64" s="74" t="n"/>
      <c r="F64" s="73" t="inlineStr">
        <is>
          <t>NA</t>
        </is>
      </c>
      <c r="G64" s="73" t="inlineStr">
        <is>
          <t>NA</t>
        </is>
      </c>
      <c r="H64" s="76" t="inlineStr">
        <is>
          <t>Please enter a valid Date of Birth</t>
        </is>
      </c>
      <c r="I64" s="23" t="n"/>
      <c r="J64" s="23" t="n"/>
      <c r="K64" s="23" t="n"/>
      <c r="L64" s="23" t="n"/>
      <c r="M64" s="23" t="n"/>
      <c r="N64" s="23" t="n"/>
      <c r="O64" s="23" t="n"/>
      <c r="P64" s="23" t="n"/>
      <c r="Q64" s="23" t="n"/>
      <c r="R64" s="23" t="n"/>
      <c r="S64" s="23" t="n"/>
      <c r="T64" s="23" t="n"/>
      <c r="U64" s="23" t="n"/>
      <c r="V64" s="23" t="n"/>
      <c r="W64" s="23" t="n"/>
      <c r="X64" s="23" t="n"/>
      <c r="Y64" s="23" t="n"/>
      <c r="Z64" s="23" t="n"/>
    </row>
    <row r="65" ht="15.75" customHeight="1" s="86">
      <c r="A65" s="75" t="inlineStr">
        <is>
          <t>Dependent 3 Gender</t>
        </is>
      </c>
      <c r="B65" s="73" t="inlineStr">
        <is>
          <t>M</t>
        </is>
      </c>
      <c r="C65" s="74" t="inlineStr">
        <is>
          <t>Radio button</t>
        </is>
      </c>
      <c r="D65" s="74" t="inlineStr">
        <is>
          <t>M/ F</t>
        </is>
      </c>
      <c r="E65" s="74" t="n"/>
      <c r="F65" s="73" t="n">
        <v>1</v>
      </c>
      <c r="G65" s="73" t="n">
        <v>10</v>
      </c>
      <c r="H65" s="76" t="inlineStr">
        <is>
          <t>Please select a Gender</t>
        </is>
      </c>
      <c r="I65" s="23" t="n"/>
      <c r="J65" s="23" t="n"/>
      <c r="K65" s="23" t="n"/>
      <c r="L65" s="23" t="n"/>
      <c r="M65" s="23" t="n"/>
      <c r="N65" s="23" t="n"/>
      <c r="O65" s="23" t="n"/>
      <c r="P65" s="23" t="n"/>
      <c r="Q65" s="23" t="n"/>
      <c r="R65" s="23" t="n"/>
      <c r="S65" s="23" t="n"/>
      <c r="T65" s="23" t="n"/>
      <c r="U65" s="23" t="n"/>
      <c r="V65" s="23" t="n"/>
      <c r="W65" s="23" t="n"/>
      <c r="X65" s="23" t="n"/>
      <c r="Y65" s="23" t="n"/>
      <c r="Z65" s="23" t="n"/>
    </row>
    <row r="66" ht="15.75" customHeight="1" s="86">
      <c r="A66" s="75" t="inlineStr">
        <is>
          <t>Dependent 3 tobacco_usage in last 12 months (Y/N)</t>
        </is>
      </c>
      <c r="B66" s="73" t="inlineStr">
        <is>
          <t>M</t>
        </is>
      </c>
      <c r="C66" s="74" t="inlineStr">
        <is>
          <t>Radio button</t>
        </is>
      </c>
      <c r="D66" s="74" t="inlineStr">
        <is>
          <t>Yes/ No</t>
        </is>
      </c>
      <c r="E66" s="74" t="n"/>
      <c r="F66" s="73" t="n">
        <v>1</v>
      </c>
      <c r="G66" s="73" t="n">
        <v>5</v>
      </c>
      <c r="H66" s="76" t="inlineStr">
        <is>
          <t>Please Select a valid Option</t>
        </is>
      </c>
      <c r="I66" s="23" t="n"/>
      <c r="J66" s="23" t="n"/>
      <c r="K66" s="23" t="n"/>
      <c r="L66" s="23" t="n"/>
      <c r="M66" s="23" t="n"/>
      <c r="N66" s="23" t="n"/>
      <c r="O66" s="23" t="n"/>
      <c r="P66" s="23" t="n"/>
      <c r="Q66" s="23" t="n"/>
      <c r="R66" s="23" t="n"/>
      <c r="S66" s="23" t="n"/>
      <c r="T66" s="23" t="n"/>
      <c r="U66" s="23" t="n"/>
      <c r="V66" s="23" t="n"/>
      <c r="W66" s="23" t="n"/>
      <c r="X66" s="23" t="n"/>
      <c r="Y66" s="23" t="n"/>
      <c r="Z66" s="23" t="n"/>
    </row>
    <row r="67" ht="15.75" customHeight="1" s="86">
      <c r="A67" s="75" t="inlineStr">
        <is>
          <t>Dependent 3 Relationship</t>
        </is>
      </c>
      <c r="B67" s="78" t="inlineStr">
        <is>
          <t>M</t>
        </is>
      </c>
      <c r="C67" s="74" t="inlineStr">
        <is>
          <t>Drop down</t>
        </is>
      </c>
      <c r="D67" s="74" t="inlineStr">
        <is>
          <t>Spouse
Child
Domestic Partner 
Other dependent</t>
        </is>
      </c>
      <c r="E67" s="78" t="n"/>
      <c r="F67" s="78" t="n"/>
      <c r="G67" s="78" t="n"/>
      <c r="H67" s="76" t="inlineStr">
        <is>
          <t>Please Select a valid Option</t>
        </is>
      </c>
      <c r="I67" s="23" t="n"/>
      <c r="J67" s="23" t="n"/>
      <c r="K67" s="23" t="n"/>
      <c r="L67" s="23" t="n"/>
      <c r="M67" s="23" t="n"/>
      <c r="N67" s="23" t="n"/>
      <c r="O67" s="23" t="n"/>
      <c r="P67" s="23" t="n"/>
      <c r="Q67" s="23" t="n"/>
      <c r="R67" s="23" t="n"/>
      <c r="S67" s="23" t="n"/>
      <c r="T67" s="23" t="n"/>
      <c r="U67" s="23" t="n"/>
      <c r="V67" s="23" t="n"/>
      <c r="W67" s="23" t="n"/>
      <c r="X67" s="23" t="n"/>
      <c r="Y67" s="23" t="n"/>
      <c r="Z67" s="23" t="n"/>
    </row>
    <row r="68" ht="15.75" customHeight="1" s="86">
      <c r="A68" s="75" t="inlineStr">
        <is>
          <t>Dependent 3 isDisabled (Y/N)</t>
        </is>
      </c>
      <c r="B68" s="78" t="inlineStr">
        <is>
          <t>M</t>
        </is>
      </c>
      <c r="C68" s="78" t="n"/>
      <c r="D68" s="74" t="inlineStr">
        <is>
          <t>Yes/ No</t>
        </is>
      </c>
      <c r="E68" s="78" t="n"/>
      <c r="F68" s="78" t="n"/>
      <c r="G68" s="78" t="n"/>
      <c r="H68" s="76" t="inlineStr">
        <is>
          <t>Please Select a valid Option</t>
        </is>
      </c>
      <c r="I68" s="23" t="n"/>
      <c r="J68" s="23" t="n"/>
      <c r="K68" s="23" t="n"/>
      <c r="L68" s="23" t="n"/>
      <c r="M68" s="23" t="n"/>
      <c r="N68" s="23" t="n"/>
      <c r="O68" s="23" t="n"/>
      <c r="P68" s="23" t="n"/>
      <c r="Q68" s="23" t="n"/>
      <c r="R68" s="23" t="n"/>
      <c r="S68" s="23" t="n"/>
      <c r="T68" s="23" t="n"/>
      <c r="U68" s="23" t="n"/>
      <c r="V68" s="23" t="n"/>
      <c r="W68" s="23" t="n"/>
      <c r="X68" s="23" t="n"/>
      <c r="Y68" s="23" t="n"/>
      <c r="Z68" s="23" t="n"/>
    </row>
    <row r="69" ht="15.75" customHeight="1" s="86">
      <c r="A69" s="75" t="inlineStr">
        <is>
          <t>Dependent 3 IsMarried(Y/N)</t>
        </is>
      </c>
      <c r="B69" s="78" t="inlineStr">
        <is>
          <t>M</t>
        </is>
      </c>
      <c r="C69" s="78" t="n"/>
      <c r="D69" s="74" t="inlineStr">
        <is>
          <t>Yes/ No</t>
        </is>
      </c>
      <c r="E69" s="78" t="n"/>
      <c r="F69" s="78" t="n"/>
      <c r="G69" s="78" t="n"/>
      <c r="H69" s="76" t="inlineStr">
        <is>
          <t>Please Select a valid Option</t>
        </is>
      </c>
      <c r="I69" s="23" t="n"/>
      <c r="J69" s="23" t="n"/>
      <c r="K69" s="23" t="n"/>
      <c r="L69" s="23" t="n"/>
      <c r="M69" s="23" t="n"/>
      <c r="N69" s="23" t="n"/>
      <c r="O69" s="23" t="n"/>
      <c r="P69" s="23" t="n"/>
      <c r="Q69" s="23" t="n"/>
      <c r="R69" s="23" t="n"/>
      <c r="S69" s="23" t="n"/>
      <c r="T69" s="23" t="n"/>
      <c r="U69" s="23" t="n"/>
      <c r="V69" s="23" t="n"/>
      <c r="W69" s="23" t="n"/>
      <c r="X69" s="23" t="n"/>
      <c r="Y69" s="23" t="n"/>
      <c r="Z69" s="23" t="n"/>
    </row>
    <row r="70" ht="15.75" customHeight="1" s="86">
      <c r="A70" s="22" t="n"/>
      <c r="B70" s="23" t="n"/>
      <c r="C70" s="23" t="n"/>
      <c r="D70" s="23" t="n"/>
      <c r="E70" s="23" t="n"/>
      <c r="F70" s="23" t="n"/>
      <c r="G70" s="23" t="n"/>
      <c r="H70" s="23" t="n"/>
      <c r="I70" s="23" t="n"/>
      <c r="J70" s="23" t="n"/>
      <c r="K70" s="23" t="n"/>
      <c r="L70" s="23" t="n"/>
      <c r="M70" s="23" t="n"/>
      <c r="N70" s="23" t="n"/>
      <c r="O70" s="23" t="n"/>
      <c r="P70" s="23" t="n"/>
      <c r="Q70" s="23" t="n"/>
      <c r="R70" s="23" t="n"/>
      <c r="S70" s="23" t="n"/>
      <c r="T70" s="23" t="n"/>
      <c r="U70" s="23" t="n"/>
      <c r="V70" s="23" t="n"/>
      <c r="W70" s="23" t="n"/>
      <c r="X70" s="23" t="n"/>
      <c r="Y70" s="23" t="n"/>
      <c r="Z70" s="23" t="n"/>
    </row>
    <row r="71" ht="36.75" customHeight="1" s="86">
      <c r="A71" s="85" t="inlineStr">
        <is>
          <t>Note: 1. User can add more than one custom fields/ delete those custom fields.
2. User can add more than one complete set of dependents/ delete those.</t>
        </is>
      </c>
      <c r="D71" s="23" t="n"/>
      <c r="E71" s="23" t="n"/>
      <c r="F71" s="23" t="n"/>
      <c r="G71" s="23" t="n"/>
      <c r="H71" s="23" t="n"/>
      <c r="I71" s="23" t="n"/>
      <c r="J71" s="23" t="n"/>
      <c r="K71" s="23" t="n"/>
      <c r="L71" s="23" t="n"/>
      <c r="M71" s="23" t="n"/>
      <c r="N71" s="23" t="n"/>
      <c r="O71" s="23" t="n"/>
      <c r="P71" s="23" t="n"/>
      <c r="Q71" s="23" t="n"/>
      <c r="R71" s="23" t="n"/>
      <c r="S71" s="23" t="n"/>
      <c r="T71" s="23" t="n"/>
      <c r="U71" s="23" t="n"/>
      <c r="V71" s="23" t="n"/>
      <c r="W71" s="23" t="n"/>
      <c r="X71" s="23" t="n"/>
      <c r="Y71" s="23" t="n"/>
      <c r="Z71" s="23" t="n"/>
    </row>
    <row r="72" ht="15.75" customHeight="1" s="86">
      <c r="A72" s="22" t="n"/>
      <c r="B72" s="23" t="n"/>
      <c r="C72" s="23" t="n"/>
      <c r="D72" s="23" t="n"/>
      <c r="E72" s="23" t="n"/>
      <c r="F72" s="23" t="n"/>
      <c r="G72" s="23" t="n"/>
      <c r="H72" s="23" t="n"/>
      <c r="I72" s="23" t="n"/>
      <c r="J72" s="23" t="n"/>
      <c r="K72" s="23" t="n"/>
      <c r="L72" s="23" t="n"/>
      <c r="M72" s="23" t="n"/>
      <c r="N72" s="23" t="n"/>
      <c r="O72" s="23" t="n"/>
      <c r="P72" s="23" t="n"/>
      <c r="Q72" s="23" t="n"/>
      <c r="R72" s="23" t="n"/>
      <c r="S72" s="23" t="n"/>
      <c r="T72" s="23" t="n"/>
      <c r="U72" s="23" t="n"/>
      <c r="V72" s="23" t="n"/>
      <c r="W72" s="23" t="n"/>
      <c r="X72" s="23" t="n"/>
      <c r="Y72" s="23" t="n"/>
      <c r="Z72" s="23" t="n"/>
    </row>
    <row r="73" ht="15.75" customHeight="1" s="86">
      <c r="A73" s="22" t="n"/>
      <c r="B73" s="23" t="n"/>
      <c r="C73" s="23" t="n"/>
      <c r="D73" s="23" t="n"/>
      <c r="E73" s="23" t="n"/>
      <c r="F73" s="23" t="n"/>
      <c r="G73" s="23" t="n"/>
      <c r="H73" s="23" t="n"/>
      <c r="I73" s="23" t="n"/>
      <c r="J73" s="23" t="n"/>
      <c r="K73" s="23" t="n"/>
      <c r="L73" s="23" t="n"/>
      <c r="M73" s="23" t="n"/>
      <c r="N73" s="23" t="n"/>
      <c r="O73" s="23" t="n"/>
      <c r="P73" s="23" t="n"/>
      <c r="Q73" s="23" t="n"/>
      <c r="R73" s="23" t="n"/>
      <c r="S73" s="23" t="n"/>
      <c r="T73" s="23" t="n"/>
      <c r="U73" s="23" t="n"/>
      <c r="V73" s="23" t="n"/>
      <c r="W73" s="23" t="n"/>
      <c r="X73" s="23" t="n"/>
      <c r="Y73" s="23" t="n"/>
      <c r="Z73" s="23" t="n"/>
    </row>
    <row r="74" ht="15.75" customHeight="1" s="86">
      <c r="A74" s="22" t="n"/>
      <c r="B74" s="23" t="n"/>
      <c r="C74" s="23" t="n"/>
      <c r="D74" s="23" t="n"/>
      <c r="E74" s="23" t="n"/>
      <c r="F74" s="23" t="n"/>
      <c r="G74" s="23" t="n"/>
      <c r="H74" s="23" t="n"/>
      <c r="I74" s="23" t="n"/>
      <c r="J74" s="23" t="n"/>
      <c r="K74" s="23" t="n"/>
      <c r="L74" s="23" t="n"/>
      <c r="M74" s="23" t="n"/>
      <c r="N74" s="23" t="n"/>
      <c r="O74" s="23" t="n"/>
      <c r="P74" s="23" t="n"/>
      <c r="Q74" s="23" t="n"/>
      <c r="R74" s="23" t="n"/>
      <c r="S74" s="23" t="n"/>
      <c r="T74" s="23" t="n"/>
      <c r="U74" s="23" t="n"/>
      <c r="V74" s="23" t="n"/>
      <c r="W74" s="23" t="n"/>
      <c r="X74" s="23" t="n"/>
      <c r="Y74" s="23" t="n"/>
      <c r="Z74" s="23" t="n"/>
    </row>
    <row r="75" ht="15.75" customHeight="1" s="86">
      <c r="A75" s="23" t="n"/>
      <c r="B75" s="23" t="n"/>
      <c r="C75" s="23" t="n"/>
      <c r="D75" s="23" t="n"/>
      <c r="E75" s="23" t="n"/>
      <c r="F75" s="23" t="n"/>
      <c r="G75" s="23" t="n"/>
      <c r="H75" s="23" t="n"/>
      <c r="I75" s="23" t="n"/>
      <c r="J75" s="23" t="n"/>
      <c r="K75" s="23" t="n"/>
      <c r="L75" s="23" t="n"/>
      <c r="M75" s="23" t="n"/>
      <c r="N75" s="23" t="n"/>
      <c r="O75" s="23" t="n"/>
      <c r="P75" s="23" t="n"/>
      <c r="Q75" s="23" t="n"/>
      <c r="R75" s="23" t="n"/>
      <c r="S75" s="23" t="n"/>
      <c r="T75" s="23" t="n"/>
      <c r="U75" s="23" t="n"/>
      <c r="V75" s="23" t="n"/>
      <c r="W75" s="23" t="n"/>
      <c r="X75" s="23" t="n"/>
      <c r="Y75" s="23" t="n"/>
      <c r="Z75" s="23" t="n"/>
    </row>
    <row r="76" ht="15.75" customHeight="1" s="86">
      <c r="A76" s="23" t="n"/>
      <c r="B76" s="23" t="n"/>
      <c r="C76" s="23" t="n"/>
      <c r="D76" s="23" t="n"/>
      <c r="E76" s="23" t="n"/>
      <c r="F76" s="23" t="n"/>
      <c r="G76" s="23" t="n"/>
      <c r="H76" s="23" t="n"/>
      <c r="I76" s="23" t="n"/>
      <c r="J76" s="23" t="n"/>
      <c r="K76" s="23" t="n"/>
      <c r="L76" s="23" t="n"/>
      <c r="M76" s="23" t="n"/>
      <c r="N76" s="23" t="n"/>
      <c r="O76" s="23" t="n"/>
      <c r="P76" s="23" t="n"/>
      <c r="Q76" s="23" t="n"/>
      <c r="R76" s="23" t="n"/>
      <c r="S76" s="23" t="n"/>
      <c r="T76" s="23" t="n"/>
      <c r="U76" s="23" t="n"/>
      <c r="V76" s="23" t="n"/>
      <c r="W76" s="23" t="n"/>
      <c r="X76" s="23" t="n"/>
      <c r="Y76" s="23" t="n"/>
      <c r="Z76" s="23" t="n"/>
    </row>
    <row r="77" ht="15.75" customHeight="1" s="86">
      <c r="A77" s="23" t="n"/>
      <c r="B77" s="23" t="n"/>
      <c r="C77" s="23" t="n"/>
      <c r="D77" s="23" t="n"/>
      <c r="E77" s="23" t="n"/>
      <c r="F77" s="23" t="n"/>
      <c r="G77" s="23" t="n"/>
      <c r="H77" s="23" t="n"/>
      <c r="I77" s="23" t="n"/>
      <c r="J77" s="23" t="n"/>
      <c r="K77" s="23" t="n"/>
      <c r="L77" s="23" t="n"/>
      <c r="M77" s="23" t="n"/>
      <c r="N77" s="23" t="n"/>
      <c r="O77" s="23" t="n"/>
      <c r="P77" s="23" t="n"/>
      <c r="Q77" s="23" t="n"/>
      <c r="R77" s="23" t="n"/>
      <c r="S77" s="23" t="n"/>
      <c r="T77" s="23" t="n"/>
      <c r="U77" s="23" t="n"/>
      <c r="V77" s="23" t="n"/>
      <c r="W77" s="23" t="n"/>
      <c r="X77" s="23" t="n"/>
      <c r="Y77" s="23" t="n"/>
      <c r="Z77" s="23" t="n"/>
    </row>
    <row r="78" ht="15.75" customHeight="1" s="86">
      <c r="A78" s="23" t="n"/>
      <c r="B78" s="23" t="n"/>
      <c r="C78" s="23" t="n"/>
      <c r="D78" s="23" t="n"/>
      <c r="E78" s="23" t="n"/>
      <c r="F78" s="23" t="n"/>
      <c r="G78" s="23" t="n"/>
      <c r="H78" s="23" t="n"/>
      <c r="I78" s="23" t="n"/>
      <c r="J78" s="23" t="n"/>
      <c r="K78" s="23" t="n"/>
      <c r="L78" s="23" t="n"/>
      <c r="M78" s="23" t="n"/>
      <c r="N78" s="23" t="n"/>
      <c r="O78" s="23" t="n"/>
      <c r="P78" s="23" t="n"/>
      <c r="Q78" s="23" t="n"/>
      <c r="R78" s="23" t="n"/>
      <c r="S78" s="23" t="n"/>
      <c r="T78" s="23" t="n"/>
      <c r="U78" s="23" t="n"/>
      <c r="V78" s="23" t="n"/>
      <c r="W78" s="23" t="n"/>
      <c r="X78" s="23" t="n"/>
      <c r="Y78" s="23" t="n"/>
      <c r="Z78" s="23" t="n"/>
    </row>
    <row r="79" ht="15.75" customHeight="1" s="86">
      <c r="A79" s="23" t="n"/>
      <c r="B79" s="23" t="n"/>
      <c r="C79" s="23" t="n"/>
      <c r="D79" s="23" t="n"/>
      <c r="E79" s="23" t="n"/>
      <c r="F79" s="23" t="n"/>
      <c r="G79" s="23" t="n"/>
      <c r="H79" s="23" t="n"/>
      <c r="I79" s="23" t="n"/>
      <c r="J79" s="23" t="n"/>
      <c r="K79" s="23" t="n"/>
      <c r="L79" s="23" t="n"/>
      <c r="M79" s="23" t="n"/>
      <c r="N79" s="23" t="n"/>
      <c r="O79" s="23" t="n"/>
      <c r="P79" s="23" t="n"/>
      <c r="Q79" s="23" t="n"/>
      <c r="R79" s="23" t="n"/>
      <c r="S79" s="23" t="n"/>
      <c r="T79" s="23" t="n"/>
      <c r="U79" s="23" t="n"/>
      <c r="V79" s="23" t="n"/>
      <c r="W79" s="23" t="n"/>
      <c r="X79" s="23" t="n"/>
      <c r="Y79" s="23" t="n"/>
      <c r="Z79" s="23" t="n"/>
    </row>
    <row r="80" ht="15.75" customHeight="1" s="86">
      <c r="A80" s="23" t="n"/>
      <c r="B80" s="23" t="n"/>
      <c r="C80" s="23" t="n"/>
      <c r="D80" s="23" t="n"/>
      <c r="E80" s="23" t="n"/>
      <c r="F80" s="23" t="n"/>
      <c r="G80" s="23" t="n"/>
      <c r="H80" s="23" t="n"/>
      <c r="I80" s="23" t="n"/>
      <c r="J80" s="23" t="n"/>
      <c r="K80" s="23" t="n"/>
      <c r="L80" s="23" t="n"/>
      <c r="M80" s="23" t="n"/>
      <c r="N80" s="23" t="n"/>
      <c r="O80" s="23" t="n"/>
      <c r="P80" s="23" t="n"/>
      <c r="Q80" s="23" t="n"/>
      <c r="R80" s="23" t="n"/>
      <c r="S80" s="23" t="n"/>
      <c r="T80" s="23" t="n"/>
      <c r="U80" s="23" t="n"/>
      <c r="V80" s="23" t="n"/>
      <c r="W80" s="23" t="n"/>
      <c r="X80" s="23" t="n"/>
      <c r="Y80" s="23" t="n"/>
      <c r="Z80" s="23" t="n"/>
    </row>
    <row r="81" ht="15.75" customHeight="1" s="86">
      <c r="A81" s="23" t="n"/>
      <c r="B81" s="23" t="n"/>
      <c r="C81" s="23" t="n"/>
      <c r="D81" s="23" t="n"/>
      <c r="E81" s="23" t="n"/>
      <c r="F81" s="23" t="n"/>
      <c r="G81" s="23" t="n"/>
      <c r="H81" s="23" t="n"/>
      <c r="I81" s="23" t="n"/>
      <c r="J81" s="23" t="n"/>
      <c r="K81" s="23" t="n"/>
      <c r="L81" s="23" t="n"/>
      <c r="M81" s="23" t="n"/>
      <c r="N81" s="23" t="n"/>
      <c r="O81" s="23" t="n"/>
      <c r="P81" s="23" t="n"/>
      <c r="Q81" s="23" t="n"/>
      <c r="R81" s="23" t="n"/>
      <c r="S81" s="23" t="n"/>
      <c r="T81" s="23" t="n"/>
      <c r="U81" s="23" t="n"/>
      <c r="V81" s="23" t="n"/>
      <c r="W81" s="23" t="n"/>
      <c r="X81" s="23" t="n"/>
      <c r="Y81" s="23" t="n"/>
      <c r="Z81" s="23" t="n"/>
    </row>
    <row r="82" ht="15.75" customHeight="1" s="86">
      <c r="A82" s="23" t="n"/>
      <c r="B82" s="23" t="n"/>
      <c r="C82" s="23" t="n"/>
      <c r="D82" s="23" t="n"/>
      <c r="E82" s="23" t="n"/>
      <c r="F82" s="23" t="n"/>
      <c r="G82" s="23" t="n"/>
      <c r="H82" s="23" t="n"/>
      <c r="I82" s="23" t="n"/>
      <c r="J82" s="23" t="n"/>
      <c r="K82" s="23" t="n"/>
      <c r="L82" s="23" t="n"/>
      <c r="M82" s="23" t="n"/>
      <c r="N82" s="23" t="n"/>
      <c r="O82" s="23" t="n"/>
      <c r="P82" s="23" t="n"/>
      <c r="Q82" s="23" t="n"/>
      <c r="R82" s="23" t="n"/>
      <c r="S82" s="23" t="n"/>
      <c r="T82" s="23" t="n"/>
      <c r="U82" s="23" t="n"/>
      <c r="V82" s="23" t="n"/>
      <c r="W82" s="23" t="n"/>
      <c r="X82" s="23" t="n"/>
      <c r="Y82" s="23" t="n"/>
      <c r="Z82" s="23" t="n"/>
    </row>
    <row r="83" ht="15.75" customHeight="1" s="86">
      <c r="A83" s="23" t="n"/>
      <c r="B83" s="23" t="n"/>
      <c r="C83" s="23" t="n"/>
      <c r="D83" s="23" t="n"/>
      <c r="E83" s="23" t="n"/>
      <c r="F83" s="23" t="n"/>
      <c r="G83" s="23" t="n"/>
      <c r="H83" s="23" t="n"/>
      <c r="I83" s="23" t="n"/>
      <c r="J83" s="23" t="n"/>
      <c r="K83" s="23" t="n"/>
      <c r="L83" s="23" t="n"/>
      <c r="M83" s="23" t="n"/>
      <c r="N83" s="23" t="n"/>
      <c r="O83" s="23" t="n"/>
      <c r="P83" s="23" t="n"/>
      <c r="Q83" s="23" t="n"/>
      <c r="R83" s="23" t="n"/>
      <c r="S83" s="23" t="n"/>
      <c r="T83" s="23" t="n"/>
      <c r="U83" s="23" t="n"/>
      <c r="V83" s="23" t="n"/>
      <c r="W83" s="23" t="n"/>
      <c r="X83" s="23" t="n"/>
      <c r="Y83" s="23" t="n"/>
      <c r="Z83" s="23" t="n"/>
    </row>
    <row r="84" ht="15.75" customHeight="1" s="86">
      <c r="A84" s="23" t="n"/>
      <c r="B84" s="23" t="n"/>
      <c r="C84" s="23" t="n"/>
      <c r="D84" s="23" t="n"/>
      <c r="E84" s="23" t="n"/>
      <c r="F84" s="23" t="n"/>
      <c r="G84" s="23" t="n"/>
      <c r="H84" s="23" t="n"/>
      <c r="I84" s="23" t="n"/>
      <c r="J84" s="23" t="n"/>
      <c r="K84" s="23" t="n"/>
      <c r="L84" s="23" t="n"/>
      <c r="M84" s="23" t="n"/>
      <c r="N84" s="23" t="n"/>
      <c r="O84" s="23" t="n"/>
      <c r="P84" s="23" t="n"/>
      <c r="Q84" s="23" t="n"/>
      <c r="R84" s="23" t="n"/>
      <c r="S84" s="23" t="n"/>
      <c r="T84" s="23" t="n"/>
      <c r="U84" s="23" t="n"/>
      <c r="V84" s="23" t="n"/>
      <c r="W84" s="23" t="n"/>
      <c r="X84" s="23" t="n"/>
      <c r="Y84" s="23" t="n"/>
      <c r="Z84" s="23" t="n"/>
    </row>
    <row r="85" ht="15.75" customHeight="1" s="86">
      <c r="A85" s="23" t="n"/>
      <c r="B85" s="23" t="n"/>
      <c r="C85" s="23" t="n"/>
      <c r="D85" s="23" t="n"/>
      <c r="E85" s="23" t="n"/>
      <c r="F85" s="23" t="n"/>
      <c r="G85" s="23" t="n"/>
      <c r="H85" s="23" t="n"/>
      <c r="I85" s="23" t="n"/>
      <c r="J85" s="23" t="n"/>
      <c r="K85" s="23" t="n"/>
      <c r="L85" s="23" t="n"/>
      <c r="M85" s="23" t="n"/>
      <c r="N85" s="23" t="n"/>
      <c r="O85" s="23" t="n"/>
      <c r="P85" s="23" t="n"/>
      <c r="Q85" s="23" t="n"/>
      <c r="R85" s="23" t="n"/>
      <c r="S85" s="23" t="n"/>
      <c r="T85" s="23" t="n"/>
      <c r="U85" s="23" t="n"/>
      <c r="V85" s="23" t="n"/>
      <c r="W85" s="23" t="n"/>
      <c r="X85" s="23" t="n"/>
      <c r="Y85" s="23" t="n"/>
      <c r="Z85" s="23" t="n"/>
    </row>
    <row r="86" ht="15.75" customHeight="1" s="86">
      <c r="A86" s="23" t="n"/>
      <c r="B86" s="23" t="n"/>
      <c r="C86" s="23" t="n"/>
      <c r="D86" s="23" t="n"/>
      <c r="E86" s="23" t="n"/>
      <c r="F86" s="23" t="n"/>
      <c r="G86" s="23" t="n"/>
      <c r="H86" s="23" t="n"/>
      <c r="I86" s="23" t="n"/>
      <c r="J86" s="23" t="n"/>
      <c r="K86" s="23" t="n"/>
      <c r="L86" s="23" t="n"/>
      <c r="M86" s="23" t="n"/>
      <c r="N86" s="23" t="n"/>
      <c r="O86" s="23" t="n"/>
      <c r="P86" s="23" t="n"/>
      <c r="Q86" s="23" t="n"/>
      <c r="R86" s="23" t="n"/>
      <c r="S86" s="23" t="n"/>
      <c r="T86" s="23" t="n"/>
      <c r="U86" s="23" t="n"/>
      <c r="V86" s="23" t="n"/>
      <c r="W86" s="23" t="n"/>
      <c r="X86" s="23" t="n"/>
      <c r="Y86" s="23" t="n"/>
      <c r="Z86" s="23" t="n"/>
    </row>
    <row r="87" ht="15.75" customHeight="1" s="86">
      <c r="A87" s="23" t="n"/>
      <c r="B87" s="23" t="n"/>
      <c r="C87" s="23" t="n"/>
      <c r="D87" s="23" t="n"/>
      <c r="E87" s="23" t="n"/>
      <c r="F87" s="23" t="n"/>
      <c r="G87" s="23" t="n"/>
      <c r="H87" s="23" t="n"/>
      <c r="I87" s="23" t="n"/>
      <c r="J87" s="23" t="n"/>
      <c r="K87" s="23" t="n"/>
      <c r="L87" s="23" t="n"/>
      <c r="M87" s="23" t="n"/>
      <c r="N87" s="23" t="n"/>
      <c r="O87" s="23" t="n"/>
      <c r="P87" s="23" t="n"/>
      <c r="Q87" s="23" t="n"/>
      <c r="R87" s="23" t="n"/>
      <c r="S87" s="23" t="n"/>
      <c r="T87" s="23" t="n"/>
      <c r="U87" s="23" t="n"/>
      <c r="V87" s="23" t="n"/>
      <c r="W87" s="23" t="n"/>
      <c r="X87" s="23" t="n"/>
      <c r="Y87" s="23" t="n"/>
      <c r="Z87" s="23" t="n"/>
    </row>
    <row r="88" ht="15.75" customHeight="1" s="86">
      <c r="A88" s="23" t="n"/>
      <c r="B88" s="23" t="n"/>
      <c r="C88" s="23" t="n"/>
      <c r="D88" s="23" t="n"/>
      <c r="E88" s="23" t="n"/>
      <c r="F88" s="23" t="n"/>
      <c r="G88" s="23" t="n"/>
      <c r="H88" s="23" t="n"/>
      <c r="I88" s="23" t="n"/>
      <c r="J88" s="23" t="n"/>
      <c r="K88" s="23" t="n"/>
      <c r="L88" s="23" t="n"/>
      <c r="M88" s="23" t="n"/>
      <c r="N88" s="23" t="n"/>
      <c r="O88" s="23" t="n"/>
      <c r="P88" s="23" t="n"/>
      <c r="Q88" s="23" t="n"/>
      <c r="R88" s="23" t="n"/>
      <c r="S88" s="23" t="n"/>
      <c r="T88" s="23" t="n"/>
      <c r="U88" s="23" t="n"/>
      <c r="V88" s="23" t="n"/>
      <c r="W88" s="23" t="n"/>
      <c r="X88" s="23" t="n"/>
      <c r="Y88" s="23" t="n"/>
      <c r="Z88" s="23" t="n"/>
    </row>
    <row r="89" ht="15.75" customHeight="1" s="86">
      <c r="A89" s="23" t="n"/>
      <c r="B89" s="23" t="n"/>
      <c r="C89" s="23" t="n"/>
      <c r="D89" s="23" t="n"/>
      <c r="E89" s="23" t="n"/>
      <c r="F89" s="23" t="n"/>
      <c r="G89" s="23" t="n"/>
      <c r="H89" s="23" t="n"/>
      <c r="I89" s="23" t="n"/>
      <c r="J89" s="23" t="n"/>
      <c r="K89" s="23" t="n"/>
      <c r="L89" s="23" t="n"/>
      <c r="M89" s="23" t="n"/>
      <c r="N89" s="23" t="n"/>
      <c r="O89" s="23" t="n"/>
      <c r="P89" s="23" t="n"/>
      <c r="Q89" s="23" t="n"/>
      <c r="R89" s="23" t="n"/>
      <c r="S89" s="23" t="n"/>
      <c r="T89" s="23" t="n"/>
      <c r="U89" s="23" t="n"/>
      <c r="V89" s="23" t="n"/>
      <c r="W89" s="23" t="n"/>
      <c r="X89" s="23" t="n"/>
      <c r="Y89" s="23" t="n"/>
      <c r="Z89" s="23" t="n"/>
    </row>
    <row r="90" ht="15.75" customHeight="1" s="86">
      <c r="A90" s="23" t="n"/>
      <c r="B90" s="23" t="n"/>
      <c r="C90" s="23" t="n"/>
      <c r="D90" s="23" t="n"/>
      <c r="E90" s="23" t="n"/>
      <c r="F90" s="23" t="n"/>
      <c r="G90" s="23" t="n"/>
      <c r="H90" s="23" t="n"/>
      <c r="I90" s="23" t="n"/>
      <c r="J90" s="23" t="n"/>
      <c r="K90" s="23" t="n"/>
      <c r="L90" s="23" t="n"/>
      <c r="M90" s="23" t="n"/>
      <c r="N90" s="23" t="n"/>
      <c r="O90" s="23" t="n"/>
      <c r="P90" s="23" t="n"/>
      <c r="Q90" s="23" t="n"/>
      <c r="R90" s="23" t="n"/>
      <c r="S90" s="23" t="n"/>
      <c r="T90" s="23" t="n"/>
      <c r="U90" s="23" t="n"/>
      <c r="V90" s="23" t="n"/>
      <c r="W90" s="23" t="n"/>
      <c r="X90" s="23" t="n"/>
      <c r="Y90" s="23" t="n"/>
      <c r="Z90" s="23" t="n"/>
    </row>
    <row r="91" ht="15.75" customHeight="1" s="86">
      <c r="A91" s="23" t="n"/>
      <c r="B91" s="23" t="n"/>
      <c r="C91" s="23" t="n"/>
      <c r="D91" s="23" t="n"/>
      <c r="E91" s="23" t="n"/>
      <c r="F91" s="23" t="n"/>
      <c r="G91" s="23" t="n"/>
      <c r="H91" s="23" t="n"/>
      <c r="I91" s="23" t="n"/>
      <c r="J91" s="23" t="n"/>
      <c r="K91" s="23" t="n"/>
      <c r="L91" s="23" t="n"/>
      <c r="M91" s="23" t="n"/>
      <c r="N91" s="23" t="n"/>
      <c r="O91" s="23" t="n"/>
      <c r="P91" s="23" t="n"/>
      <c r="Q91" s="23" t="n"/>
      <c r="R91" s="23" t="n"/>
      <c r="S91" s="23" t="n"/>
      <c r="T91" s="23" t="n"/>
      <c r="U91" s="23" t="n"/>
      <c r="V91" s="23" t="n"/>
      <c r="W91" s="23" t="n"/>
      <c r="X91" s="23" t="n"/>
      <c r="Y91" s="23" t="n"/>
      <c r="Z91" s="23" t="n"/>
    </row>
    <row r="92" ht="15.75" customHeight="1" s="86">
      <c r="A92" s="23" t="n"/>
      <c r="B92" s="23" t="n"/>
      <c r="C92" s="23" t="n"/>
      <c r="D92" s="23" t="n"/>
      <c r="E92" s="23" t="n"/>
      <c r="F92" s="23" t="n"/>
      <c r="G92" s="23" t="n"/>
      <c r="H92" s="23" t="n"/>
      <c r="I92" s="23" t="n"/>
      <c r="J92" s="23" t="n"/>
      <c r="K92" s="23" t="n"/>
      <c r="L92" s="23" t="n"/>
      <c r="M92" s="23" t="n"/>
      <c r="N92" s="23" t="n"/>
      <c r="O92" s="23" t="n"/>
      <c r="P92" s="23" t="n"/>
      <c r="Q92" s="23" t="n"/>
      <c r="R92" s="23" t="n"/>
      <c r="S92" s="23" t="n"/>
      <c r="T92" s="23" t="n"/>
      <c r="U92" s="23" t="n"/>
      <c r="V92" s="23" t="n"/>
      <c r="W92" s="23" t="n"/>
      <c r="X92" s="23" t="n"/>
      <c r="Y92" s="23" t="n"/>
      <c r="Z92" s="23" t="n"/>
    </row>
    <row r="93" ht="15.75" customHeight="1" s="86">
      <c r="A93" s="23" t="n"/>
      <c r="B93" s="23" t="n"/>
      <c r="C93" s="23" t="n"/>
      <c r="D93" s="23" t="n"/>
      <c r="E93" s="23" t="n"/>
      <c r="F93" s="23" t="n"/>
      <c r="G93" s="23" t="n"/>
      <c r="H93" s="23" t="n"/>
      <c r="I93" s="23" t="n"/>
      <c r="J93" s="23" t="n"/>
      <c r="K93" s="23" t="n"/>
      <c r="L93" s="23" t="n"/>
      <c r="M93" s="23" t="n"/>
      <c r="N93" s="23" t="n"/>
      <c r="O93" s="23" t="n"/>
      <c r="P93" s="23" t="n"/>
      <c r="Q93" s="23" t="n"/>
      <c r="R93" s="23" t="n"/>
      <c r="S93" s="23" t="n"/>
      <c r="T93" s="23" t="n"/>
      <c r="U93" s="23" t="n"/>
      <c r="V93" s="23" t="n"/>
      <c r="W93" s="23" t="n"/>
      <c r="X93" s="23" t="n"/>
      <c r="Y93" s="23" t="n"/>
      <c r="Z93" s="23" t="n"/>
    </row>
    <row r="94" ht="15.75" customHeight="1" s="86">
      <c r="A94" s="23" t="n"/>
      <c r="B94" s="23" t="n"/>
      <c r="C94" s="23" t="n"/>
      <c r="D94" s="23" t="n"/>
      <c r="E94" s="23" t="n"/>
      <c r="F94" s="23" t="n"/>
      <c r="G94" s="23" t="n"/>
      <c r="H94" s="23" t="n"/>
      <c r="I94" s="23" t="n"/>
      <c r="J94" s="23" t="n"/>
      <c r="K94" s="23" t="n"/>
      <c r="L94" s="23" t="n"/>
      <c r="M94" s="23" t="n"/>
      <c r="N94" s="23" t="n"/>
      <c r="O94" s="23" t="n"/>
      <c r="P94" s="23" t="n"/>
      <c r="Q94" s="23" t="n"/>
      <c r="R94" s="23" t="n"/>
      <c r="S94" s="23" t="n"/>
      <c r="T94" s="23" t="n"/>
      <c r="U94" s="23" t="n"/>
      <c r="V94" s="23" t="n"/>
      <c r="W94" s="23" t="n"/>
      <c r="X94" s="23" t="n"/>
      <c r="Y94" s="23" t="n"/>
      <c r="Z94" s="23" t="n"/>
    </row>
    <row r="95" ht="15.75" customHeight="1" s="86">
      <c r="A95" s="23" t="n"/>
      <c r="B95" s="23" t="n"/>
      <c r="C95" s="23" t="n"/>
      <c r="D95" s="23" t="n"/>
      <c r="E95" s="23" t="n"/>
      <c r="F95" s="23" t="n"/>
      <c r="G95" s="23" t="n"/>
      <c r="H95" s="23" t="n"/>
      <c r="I95" s="23" t="n"/>
      <c r="J95" s="23" t="n"/>
      <c r="K95" s="23" t="n"/>
      <c r="L95" s="23" t="n"/>
      <c r="M95" s="23" t="n"/>
      <c r="N95" s="23" t="n"/>
      <c r="O95" s="23" t="n"/>
      <c r="P95" s="23" t="n"/>
      <c r="Q95" s="23" t="n"/>
      <c r="R95" s="23" t="n"/>
      <c r="S95" s="23" t="n"/>
      <c r="T95" s="23" t="n"/>
      <c r="U95" s="23" t="n"/>
      <c r="V95" s="23" t="n"/>
      <c r="W95" s="23" t="n"/>
      <c r="X95" s="23" t="n"/>
      <c r="Y95" s="23" t="n"/>
      <c r="Z95" s="23" t="n"/>
    </row>
    <row r="96" ht="15.75" customHeight="1" s="86">
      <c r="A96" s="23" t="n"/>
      <c r="B96" s="23" t="n"/>
      <c r="C96" s="23" t="n"/>
      <c r="D96" s="23" t="n"/>
      <c r="E96" s="23" t="n"/>
      <c r="F96" s="23" t="n"/>
      <c r="G96" s="23" t="n"/>
      <c r="H96" s="23" t="n"/>
      <c r="I96" s="23" t="n"/>
      <c r="J96" s="23" t="n"/>
      <c r="K96" s="23" t="n"/>
      <c r="L96" s="23" t="n"/>
      <c r="M96" s="23" t="n"/>
      <c r="N96" s="23" t="n"/>
      <c r="O96" s="23" t="n"/>
      <c r="P96" s="23" t="n"/>
      <c r="Q96" s="23" t="n"/>
      <c r="R96" s="23" t="n"/>
      <c r="S96" s="23" t="n"/>
      <c r="T96" s="23" t="n"/>
      <c r="U96" s="23" t="n"/>
      <c r="V96" s="23" t="n"/>
      <c r="W96" s="23" t="n"/>
      <c r="X96" s="23" t="n"/>
      <c r="Y96" s="23" t="n"/>
      <c r="Z96" s="23" t="n"/>
    </row>
    <row r="97" ht="15.75" customHeight="1" s="86">
      <c r="A97" s="23" t="n"/>
      <c r="B97" s="23" t="n"/>
      <c r="C97" s="23" t="n"/>
      <c r="D97" s="23" t="n"/>
      <c r="E97" s="23" t="n"/>
      <c r="F97" s="23" t="n"/>
      <c r="G97" s="23" t="n"/>
      <c r="H97" s="23" t="n"/>
      <c r="I97" s="23" t="n"/>
      <c r="J97" s="23" t="n"/>
      <c r="K97" s="23" t="n"/>
      <c r="L97" s="23" t="n"/>
      <c r="M97" s="23" t="n"/>
      <c r="N97" s="23" t="n"/>
      <c r="O97" s="23" t="n"/>
      <c r="P97" s="23" t="n"/>
      <c r="Q97" s="23" t="n"/>
      <c r="R97" s="23" t="n"/>
      <c r="S97" s="23" t="n"/>
      <c r="T97" s="23" t="n"/>
      <c r="U97" s="23" t="n"/>
      <c r="V97" s="23" t="n"/>
      <c r="W97" s="23" t="n"/>
      <c r="X97" s="23" t="n"/>
      <c r="Y97" s="23" t="n"/>
      <c r="Z97" s="23" t="n"/>
    </row>
    <row r="98" ht="15.75" customHeight="1" s="86">
      <c r="A98" s="23" t="n"/>
      <c r="B98" s="23" t="n"/>
      <c r="C98" s="23" t="n"/>
      <c r="D98" s="23" t="n"/>
      <c r="E98" s="23" t="n"/>
      <c r="F98" s="23" t="n"/>
      <c r="G98" s="23" t="n"/>
      <c r="H98" s="23" t="n"/>
      <c r="I98" s="23" t="n"/>
      <c r="J98" s="23" t="n"/>
      <c r="K98" s="23" t="n"/>
      <c r="L98" s="23" t="n"/>
      <c r="M98" s="23" t="n"/>
      <c r="N98" s="23" t="n"/>
      <c r="O98" s="23" t="n"/>
      <c r="P98" s="23" t="n"/>
      <c r="Q98" s="23" t="n"/>
      <c r="R98" s="23" t="n"/>
      <c r="S98" s="23" t="n"/>
      <c r="T98" s="23" t="n"/>
      <c r="U98" s="23" t="n"/>
      <c r="V98" s="23" t="n"/>
      <c r="W98" s="23" t="n"/>
      <c r="X98" s="23" t="n"/>
      <c r="Y98" s="23" t="n"/>
      <c r="Z98" s="23" t="n"/>
    </row>
    <row r="99" ht="15.75" customHeight="1" s="86">
      <c r="A99" s="23" t="n"/>
      <c r="B99" s="23" t="n"/>
      <c r="C99" s="23" t="n"/>
      <c r="D99" s="23" t="n"/>
      <c r="E99" s="23" t="n"/>
      <c r="F99" s="23" t="n"/>
      <c r="G99" s="23" t="n"/>
      <c r="H99" s="23" t="n"/>
      <c r="I99" s="23" t="n"/>
      <c r="J99" s="23" t="n"/>
      <c r="K99" s="23" t="n"/>
      <c r="L99" s="23" t="n"/>
      <c r="M99" s="23" t="n"/>
      <c r="N99" s="23" t="n"/>
      <c r="O99" s="23" t="n"/>
      <c r="P99" s="23" t="n"/>
      <c r="Q99" s="23" t="n"/>
      <c r="R99" s="23" t="n"/>
      <c r="S99" s="23" t="n"/>
      <c r="T99" s="23" t="n"/>
      <c r="U99" s="23" t="n"/>
      <c r="V99" s="23" t="n"/>
      <c r="W99" s="23" t="n"/>
      <c r="X99" s="23" t="n"/>
      <c r="Y99" s="23" t="n"/>
      <c r="Z99" s="23" t="n"/>
    </row>
    <row r="100" ht="15.75" customHeight="1" s="86">
      <c r="A100" s="23" t="n"/>
      <c r="B100" s="23" t="n"/>
      <c r="C100" s="23" t="n"/>
      <c r="D100" s="23" t="n"/>
      <c r="E100" s="23" t="n"/>
      <c r="F100" s="23" t="n"/>
      <c r="G100" s="23" t="n"/>
      <c r="H100" s="23" t="n"/>
      <c r="I100" s="23" t="n"/>
      <c r="J100" s="23" t="n"/>
      <c r="K100" s="23" t="n"/>
      <c r="L100" s="23" t="n"/>
      <c r="M100" s="23" t="n"/>
      <c r="N100" s="23" t="n"/>
      <c r="O100" s="23" t="n"/>
      <c r="P100" s="23" t="n"/>
      <c r="Q100" s="23" t="n"/>
      <c r="R100" s="23" t="n"/>
      <c r="S100" s="23" t="n"/>
      <c r="T100" s="23" t="n"/>
      <c r="U100" s="23" t="n"/>
      <c r="V100" s="23" t="n"/>
      <c r="W100" s="23" t="n"/>
      <c r="X100" s="23" t="n"/>
      <c r="Y100" s="23" t="n"/>
      <c r="Z100" s="23" t="n"/>
    </row>
    <row r="101" ht="15.75" customHeight="1" s="86">
      <c r="A101" s="23" t="n"/>
      <c r="B101" s="23" t="n"/>
      <c r="C101" s="23" t="n"/>
      <c r="D101" s="23" t="n"/>
      <c r="E101" s="23" t="n"/>
      <c r="F101" s="23" t="n"/>
      <c r="G101" s="23" t="n"/>
      <c r="H101" s="23" t="n"/>
      <c r="I101" s="23" t="n"/>
      <c r="J101" s="23" t="n"/>
      <c r="K101" s="23" t="n"/>
      <c r="L101" s="23" t="n"/>
      <c r="M101" s="23" t="n"/>
      <c r="N101" s="23" t="n"/>
      <c r="O101" s="23" t="n"/>
      <c r="P101" s="23" t="n"/>
      <c r="Q101" s="23" t="n"/>
      <c r="R101" s="23" t="n"/>
      <c r="S101" s="23" t="n"/>
      <c r="T101" s="23" t="n"/>
      <c r="U101" s="23" t="n"/>
      <c r="V101" s="23" t="n"/>
      <c r="W101" s="23" t="n"/>
      <c r="X101" s="23" t="n"/>
      <c r="Y101" s="23" t="n"/>
      <c r="Z101" s="23" t="n"/>
    </row>
    <row r="102" ht="15.75" customHeight="1" s="86">
      <c r="A102" s="23" t="n"/>
      <c r="B102" s="23" t="n"/>
      <c r="C102" s="23" t="n"/>
      <c r="D102" s="23" t="n"/>
      <c r="E102" s="23" t="n"/>
      <c r="F102" s="23" t="n"/>
      <c r="G102" s="23" t="n"/>
      <c r="H102" s="23" t="n"/>
      <c r="I102" s="23" t="n"/>
      <c r="J102" s="23" t="n"/>
      <c r="K102" s="23" t="n"/>
      <c r="L102" s="23" t="n"/>
      <c r="M102" s="23" t="n"/>
      <c r="N102" s="23" t="n"/>
      <c r="O102" s="23" t="n"/>
      <c r="P102" s="23" t="n"/>
      <c r="Q102" s="23" t="n"/>
      <c r="R102" s="23" t="n"/>
      <c r="S102" s="23" t="n"/>
      <c r="T102" s="23" t="n"/>
      <c r="U102" s="23" t="n"/>
      <c r="V102" s="23" t="n"/>
      <c r="W102" s="23" t="n"/>
      <c r="X102" s="23" t="n"/>
      <c r="Y102" s="23" t="n"/>
      <c r="Z102" s="23" t="n"/>
    </row>
    <row r="103" ht="15.75" customHeight="1" s="86">
      <c r="A103" s="23" t="n"/>
      <c r="B103" s="23" t="n"/>
      <c r="C103" s="23" t="n"/>
      <c r="D103" s="23" t="n"/>
      <c r="E103" s="23" t="n"/>
      <c r="F103" s="23" t="n"/>
      <c r="G103" s="23" t="n"/>
      <c r="H103" s="23" t="n"/>
      <c r="I103" s="23" t="n"/>
      <c r="J103" s="23" t="n"/>
      <c r="K103" s="23" t="n"/>
      <c r="L103" s="23" t="n"/>
      <c r="M103" s="23" t="n"/>
      <c r="N103" s="23" t="n"/>
      <c r="O103" s="23" t="n"/>
      <c r="P103" s="23" t="n"/>
      <c r="Q103" s="23" t="n"/>
      <c r="R103" s="23" t="n"/>
      <c r="S103" s="23" t="n"/>
      <c r="T103" s="23" t="n"/>
      <c r="U103" s="23" t="n"/>
      <c r="V103" s="23" t="n"/>
      <c r="W103" s="23" t="n"/>
      <c r="X103" s="23" t="n"/>
      <c r="Y103" s="23" t="n"/>
      <c r="Z103" s="23" t="n"/>
    </row>
    <row r="104" ht="15.75" customHeight="1" s="86">
      <c r="A104" s="23" t="n"/>
      <c r="B104" s="23" t="n"/>
      <c r="C104" s="23" t="n"/>
      <c r="D104" s="23" t="n"/>
      <c r="E104" s="23" t="n"/>
      <c r="F104" s="23" t="n"/>
      <c r="G104" s="23" t="n"/>
      <c r="H104" s="23" t="n"/>
      <c r="I104" s="23" t="n"/>
      <c r="J104" s="23" t="n"/>
      <c r="K104" s="23" t="n"/>
      <c r="L104" s="23" t="n"/>
      <c r="M104" s="23" t="n"/>
      <c r="N104" s="23" t="n"/>
      <c r="O104" s="23" t="n"/>
      <c r="P104" s="23" t="n"/>
      <c r="Q104" s="23" t="n"/>
      <c r="R104" s="23" t="n"/>
      <c r="S104" s="23" t="n"/>
      <c r="T104" s="23" t="n"/>
      <c r="U104" s="23" t="n"/>
      <c r="V104" s="23" t="n"/>
      <c r="W104" s="23" t="n"/>
      <c r="X104" s="23" t="n"/>
      <c r="Y104" s="23" t="n"/>
      <c r="Z104" s="23" t="n"/>
    </row>
    <row r="105" ht="15.75" customHeight="1" s="86">
      <c r="A105" s="23" t="n"/>
      <c r="B105" s="23" t="n"/>
      <c r="C105" s="23" t="n"/>
      <c r="D105" s="23" t="n"/>
      <c r="E105" s="23" t="n"/>
      <c r="F105" s="23" t="n"/>
      <c r="G105" s="23" t="n"/>
      <c r="H105" s="23" t="n"/>
      <c r="I105" s="23" t="n"/>
      <c r="J105" s="23" t="n"/>
      <c r="K105" s="23" t="n"/>
      <c r="L105" s="23" t="n"/>
      <c r="M105" s="23" t="n"/>
      <c r="N105" s="23" t="n"/>
      <c r="O105" s="23" t="n"/>
      <c r="P105" s="23" t="n"/>
      <c r="Q105" s="23" t="n"/>
      <c r="R105" s="23" t="n"/>
      <c r="S105" s="23" t="n"/>
      <c r="T105" s="23" t="n"/>
      <c r="U105" s="23" t="n"/>
      <c r="V105" s="23" t="n"/>
      <c r="W105" s="23" t="n"/>
      <c r="X105" s="23" t="n"/>
      <c r="Y105" s="23" t="n"/>
      <c r="Z105" s="23" t="n"/>
    </row>
    <row r="106" ht="15.75" customHeight="1" s="86">
      <c r="A106" s="23" t="n"/>
      <c r="B106" s="23" t="n"/>
      <c r="C106" s="23" t="n"/>
      <c r="D106" s="23" t="n"/>
      <c r="E106" s="23" t="n"/>
      <c r="F106" s="23" t="n"/>
      <c r="G106" s="23" t="n"/>
      <c r="H106" s="23" t="n"/>
      <c r="I106" s="23" t="n"/>
      <c r="J106" s="23" t="n"/>
      <c r="K106" s="23" t="n"/>
      <c r="L106" s="23" t="n"/>
      <c r="M106" s="23" t="n"/>
      <c r="N106" s="23" t="n"/>
      <c r="O106" s="23" t="n"/>
      <c r="P106" s="23" t="n"/>
      <c r="Q106" s="23" t="n"/>
      <c r="R106" s="23" t="n"/>
      <c r="S106" s="23" t="n"/>
      <c r="T106" s="23" t="n"/>
      <c r="U106" s="23" t="n"/>
      <c r="V106" s="23" t="n"/>
      <c r="W106" s="23" t="n"/>
      <c r="X106" s="23" t="n"/>
      <c r="Y106" s="23" t="n"/>
      <c r="Z106" s="23" t="n"/>
    </row>
    <row r="107" ht="15.75" customHeight="1" s="86">
      <c r="A107" s="23" t="n"/>
      <c r="B107" s="23" t="n"/>
      <c r="C107" s="23" t="n"/>
      <c r="D107" s="23" t="n"/>
      <c r="E107" s="23" t="n"/>
      <c r="F107" s="23" t="n"/>
      <c r="G107" s="23" t="n"/>
      <c r="H107" s="23" t="n"/>
      <c r="I107" s="23" t="n"/>
      <c r="J107" s="23" t="n"/>
      <c r="K107" s="23" t="n"/>
      <c r="L107" s="23" t="n"/>
      <c r="M107" s="23" t="n"/>
      <c r="N107" s="23" t="n"/>
      <c r="O107" s="23" t="n"/>
      <c r="P107" s="23" t="n"/>
      <c r="Q107" s="23" t="n"/>
      <c r="R107" s="23" t="n"/>
      <c r="S107" s="23" t="n"/>
      <c r="T107" s="23" t="n"/>
      <c r="U107" s="23" t="n"/>
      <c r="V107" s="23" t="n"/>
      <c r="W107" s="23" t="n"/>
      <c r="X107" s="23" t="n"/>
      <c r="Y107" s="23" t="n"/>
      <c r="Z107" s="23" t="n"/>
    </row>
    <row r="108" ht="15.75" customHeight="1" s="86">
      <c r="A108" s="23" t="n"/>
      <c r="B108" s="23" t="n"/>
      <c r="C108" s="23" t="n"/>
      <c r="D108" s="23" t="n"/>
      <c r="E108" s="23" t="n"/>
      <c r="F108" s="23" t="n"/>
      <c r="G108" s="23" t="n"/>
      <c r="H108" s="23" t="n"/>
      <c r="I108" s="23" t="n"/>
      <c r="J108" s="23" t="n"/>
      <c r="K108" s="23" t="n"/>
      <c r="L108" s="23" t="n"/>
      <c r="M108" s="23" t="n"/>
      <c r="N108" s="23" t="n"/>
      <c r="O108" s="23" t="n"/>
      <c r="P108" s="23" t="n"/>
      <c r="Q108" s="23" t="n"/>
      <c r="R108" s="23" t="n"/>
      <c r="S108" s="23" t="n"/>
      <c r="T108" s="23" t="n"/>
      <c r="U108" s="23" t="n"/>
      <c r="V108" s="23" t="n"/>
      <c r="W108" s="23" t="n"/>
      <c r="X108" s="23" t="n"/>
      <c r="Y108" s="23" t="n"/>
      <c r="Z108" s="23" t="n"/>
    </row>
    <row r="109" ht="15.75" customHeight="1" s="86">
      <c r="A109" s="23" t="n"/>
      <c r="B109" s="23" t="n"/>
      <c r="C109" s="23" t="n"/>
      <c r="D109" s="23" t="n"/>
      <c r="E109" s="23" t="n"/>
      <c r="F109" s="23" t="n"/>
      <c r="G109" s="23" t="n"/>
      <c r="H109" s="23" t="n"/>
      <c r="I109" s="23" t="n"/>
      <c r="J109" s="23" t="n"/>
      <c r="K109" s="23" t="n"/>
      <c r="L109" s="23" t="n"/>
      <c r="M109" s="23" t="n"/>
      <c r="N109" s="23" t="n"/>
      <c r="O109" s="23" t="n"/>
      <c r="P109" s="23" t="n"/>
      <c r="Q109" s="23" t="n"/>
      <c r="R109" s="23" t="n"/>
      <c r="S109" s="23" t="n"/>
      <c r="T109" s="23" t="n"/>
      <c r="U109" s="23" t="n"/>
      <c r="V109" s="23" t="n"/>
      <c r="W109" s="23" t="n"/>
      <c r="X109" s="23" t="n"/>
      <c r="Y109" s="23" t="n"/>
      <c r="Z109" s="23" t="n"/>
    </row>
    <row r="110" ht="15.75" customHeight="1" s="86">
      <c r="A110" s="23" t="n"/>
      <c r="B110" s="23" t="n"/>
      <c r="C110" s="23" t="n"/>
      <c r="D110" s="23" t="n"/>
      <c r="E110" s="23" t="n"/>
      <c r="F110" s="23" t="n"/>
      <c r="G110" s="23" t="n"/>
      <c r="H110" s="23" t="n"/>
      <c r="I110" s="23" t="n"/>
      <c r="J110" s="23" t="n"/>
      <c r="K110" s="23" t="n"/>
      <c r="L110" s="23" t="n"/>
      <c r="M110" s="23" t="n"/>
      <c r="N110" s="23" t="n"/>
      <c r="O110" s="23" t="n"/>
      <c r="P110" s="23" t="n"/>
      <c r="Q110" s="23" t="n"/>
      <c r="R110" s="23" t="n"/>
      <c r="S110" s="23" t="n"/>
      <c r="T110" s="23" t="n"/>
      <c r="U110" s="23" t="n"/>
      <c r="V110" s="23" t="n"/>
      <c r="W110" s="23" t="n"/>
      <c r="X110" s="23" t="n"/>
      <c r="Y110" s="23" t="n"/>
      <c r="Z110" s="23" t="n"/>
    </row>
    <row r="111" ht="15.75" customHeight="1" s="86">
      <c r="A111" s="23" t="n"/>
      <c r="B111" s="23" t="n"/>
      <c r="C111" s="23" t="n"/>
      <c r="D111" s="23" t="n"/>
      <c r="E111" s="23" t="n"/>
      <c r="F111" s="23" t="n"/>
      <c r="G111" s="23" t="n"/>
      <c r="H111" s="23" t="n"/>
      <c r="I111" s="23" t="n"/>
      <c r="J111" s="23" t="n"/>
      <c r="K111" s="23" t="n"/>
      <c r="L111" s="23" t="n"/>
      <c r="M111" s="23" t="n"/>
      <c r="N111" s="23" t="n"/>
      <c r="O111" s="23" t="n"/>
      <c r="P111" s="23" t="n"/>
      <c r="Q111" s="23" t="n"/>
      <c r="R111" s="23" t="n"/>
      <c r="S111" s="23" t="n"/>
      <c r="T111" s="23" t="n"/>
      <c r="U111" s="23" t="n"/>
      <c r="V111" s="23" t="n"/>
      <c r="W111" s="23" t="n"/>
      <c r="X111" s="23" t="n"/>
      <c r="Y111" s="23" t="n"/>
      <c r="Z111" s="23" t="n"/>
    </row>
    <row r="112" ht="15.75" customHeight="1" s="86">
      <c r="A112" s="23" t="n"/>
      <c r="B112" s="23" t="n"/>
      <c r="C112" s="23" t="n"/>
      <c r="D112" s="23" t="n"/>
      <c r="E112" s="23" t="n"/>
      <c r="F112" s="23" t="n"/>
      <c r="G112" s="23" t="n"/>
      <c r="H112" s="23" t="n"/>
      <c r="I112" s="23" t="n"/>
      <c r="J112" s="23" t="n"/>
      <c r="K112" s="23" t="n"/>
      <c r="L112" s="23" t="n"/>
      <c r="M112" s="23" t="n"/>
      <c r="N112" s="23" t="n"/>
      <c r="O112" s="23" t="n"/>
      <c r="P112" s="23" t="n"/>
      <c r="Q112" s="23" t="n"/>
      <c r="R112" s="23" t="n"/>
      <c r="S112" s="23" t="n"/>
      <c r="T112" s="23" t="n"/>
      <c r="U112" s="23" t="n"/>
      <c r="V112" s="23" t="n"/>
      <c r="W112" s="23" t="n"/>
      <c r="X112" s="23" t="n"/>
      <c r="Y112" s="23" t="n"/>
      <c r="Z112" s="23" t="n"/>
    </row>
    <row r="113" ht="15.75" customHeight="1" s="86">
      <c r="A113" s="23" t="n"/>
      <c r="B113" s="23" t="n"/>
      <c r="C113" s="23" t="n"/>
      <c r="D113" s="23" t="n"/>
      <c r="E113" s="23" t="n"/>
      <c r="F113" s="23" t="n"/>
      <c r="G113" s="23" t="n"/>
      <c r="H113" s="23" t="n"/>
      <c r="I113" s="23" t="n"/>
      <c r="J113" s="23" t="n"/>
      <c r="K113" s="23" t="n"/>
      <c r="L113" s="23" t="n"/>
      <c r="M113" s="23" t="n"/>
      <c r="N113" s="23" t="n"/>
      <c r="O113" s="23" t="n"/>
      <c r="P113" s="23" t="n"/>
      <c r="Q113" s="23" t="n"/>
      <c r="R113" s="23" t="n"/>
      <c r="S113" s="23" t="n"/>
      <c r="T113" s="23" t="n"/>
      <c r="U113" s="23" t="n"/>
      <c r="V113" s="23" t="n"/>
      <c r="W113" s="23" t="n"/>
      <c r="X113" s="23" t="n"/>
      <c r="Y113" s="23" t="n"/>
      <c r="Z113" s="23" t="n"/>
    </row>
    <row r="114" ht="15.75" customHeight="1" s="86">
      <c r="A114" s="23" t="n"/>
      <c r="B114" s="23" t="n"/>
      <c r="C114" s="23" t="n"/>
      <c r="D114" s="23" t="n"/>
      <c r="E114" s="23" t="n"/>
      <c r="F114" s="23" t="n"/>
      <c r="G114" s="23" t="n"/>
      <c r="H114" s="23" t="n"/>
      <c r="I114" s="23" t="n"/>
      <c r="J114" s="23" t="n"/>
      <c r="K114" s="23" t="n"/>
      <c r="L114" s="23" t="n"/>
      <c r="M114" s="23" t="n"/>
      <c r="N114" s="23" t="n"/>
      <c r="O114" s="23" t="n"/>
      <c r="P114" s="23" t="n"/>
      <c r="Q114" s="23" t="n"/>
      <c r="R114" s="23" t="n"/>
      <c r="S114" s="23" t="n"/>
      <c r="T114" s="23" t="n"/>
      <c r="U114" s="23" t="n"/>
      <c r="V114" s="23" t="n"/>
      <c r="W114" s="23" t="n"/>
      <c r="X114" s="23" t="n"/>
      <c r="Y114" s="23" t="n"/>
      <c r="Z114" s="23" t="n"/>
    </row>
    <row r="115" ht="15.75" customHeight="1" s="86">
      <c r="A115" s="23" t="n"/>
      <c r="B115" s="23" t="n"/>
      <c r="C115" s="23" t="n"/>
      <c r="D115" s="23" t="n"/>
      <c r="E115" s="23" t="n"/>
      <c r="F115" s="23" t="n"/>
      <c r="G115" s="23" t="n"/>
      <c r="H115" s="23" t="n"/>
      <c r="I115" s="23" t="n"/>
      <c r="J115" s="23" t="n"/>
      <c r="K115" s="23" t="n"/>
      <c r="L115" s="23" t="n"/>
      <c r="M115" s="23" t="n"/>
      <c r="N115" s="23" t="n"/>
      <c r="O115" s="23" t="n"/>
      <c r="P115" s="23" t="n"/>
      <c r="Q115" s="23" t="n"/>
      <c r="R115" s="23" t="n"/>
      <c r="S115" s="23" t="n"/>
      <c r="T115" s="23" t="n"/>
      <c r="U115" s="23" t="n"/>
      <c r="V115" s="23" t="n"/>
      <c r="W115" s="23" t="n"/>
      <c r="X115" s="23" t="n"/>
      <c r="Y115" s="23" t="n"/>
      <c r="Z115" s="23" t="n"/>
    </row>
    <row r="116" ht="15.75" customHeight="1" s="86">
      <c r="A116" s="23" t="n"/>
      <c r="B116" s="23" t="n"/>
      <c r="C116" s="23" t="n"/>
      <c r="D116" s="23" t="n"/>
      <c r="E116" s="23" t="n"/>
      <c r="F116" s="23" t="n"/>
      <c r="G116" s="23" t="n"/>
      <c r="H116" s="23" t="n"/>
      <c r="I116" s="23" t="n"/>
      <c r="J116" s="23" t="n"/>
      <c r="K116" s="23" t="n"/>
      <c r="L116" s="23" t="n"/>
      <c r="M116" s="23" t="n"/>
      <c r="N116" s="23" t="n"/>
      <c r="O116" s="23" t="n"/>
      <c r="P116" s="23" t="n"/>
      <c r="Q116" s="23" t="n"/>
      <c r="R116" s="23" t="n"/>
      <c r="S116" s="23" t="n"/>
      <c r="T116" s="23" t="n"/>
      <c r="U116" s="23" t="n"/>
      <c r="V116" s="23" t="n"/>
      <c r="W116" s="23" t="n"/>
      <c r="X116" s="23" t="n"/>
      <c r="Y116" s="23" t="n"/>
      <c r="Z116" s="23" t="n"/>
    </row>
    <row r="117" ht="15.75" customHeight="1" s="86">
      <c r="A117" s="23" t="n"/>
      <c r="B117" s="23" t="n"/>
      <c r="C117" s="23" t="n"/>
      <c r="D117" s="23" t="n"/>
      <c r="E117" s="23" t="n"/>
      <c r="F117" s="23" t="n"/>
      <c r="G117" s="23" t="n"/>
      <c r="H117" s="23" t="n"/>
      <c r="I117" s="23" t="n"/>
      <c r="J117" s="23" t="n"/>
      <c r="K117" s="23" t="n"/>
      <c r="L117" s="23" t="n"/>
      <c r="M117" s="23" t="n"/>
      <c r="N117" s="23" t="n"/>
      <c r="O117" s="23" t="n"/>
      <c r="P117" s="23" t="n"/>
      <c r="Q117" s="23" t="n"/>
      <c r="R117" s="23" t="n"/>
      <c r="S117" s="23" t="n"/>
      <c r="T117" s="23" t="n"/>
      <c r="U117" s="23" t="n"/>
      <c r="V117" s="23" t="n"/>
      <c r="W117" s="23" t="n"/>
      <c r="X117" s="23" t="n"/>
      <c r="Y117" s="23" t="n"/>
      <c r="Z117" s="23" t="n"/>
    </row>
    <row r="118" ht="15.75" customHeight="1" s="86">
      <c r="A118" s="23" t="n"/>
      <c r="B118" s="23" t="n"/>
      <c r="C118" s="23" t="n"/>
      <c r="D118" s="23" t="n"/>
      <c r="E118" s="23" t="n"/>
      <c r="F118" s="23" t="n"/>
      <c r="G118" s="23" t="n"/>
      <c r="H118" s="23" t="n"/>
      <c r="I118" s="23" t="n"/>
      <c r="J118" s="23" t="n"/>
      <c r="K118" s="23" t="n"/>
      <c r="L118" s="23" t="n"/>
      <c r="M118" s="23" t="n"/>
      <c r="N118" s="23" t="n"/>
      <c r="O118" s="23" t="n"/>
      <c r="P118" s="23" t="n"/>
      <c r="Q118" s="23" t="n"/>
      <c r="R118" s="23" t="n"/>
      <c r="S118" s="23" t="n"/>
      <c r="T118" s="23" t="n"/>
      <c r="U118" s="23" t="n"/>
      <c r="V118" s="23" t="n"/>
      <c r="W118" s="23" t="n"/>
      <c r="X118" s="23" t="n"/>
      <c r="Y118" s="23" t="n"/>
      <c r="Z118" s="23" t="n"/>
    </row>
    <row r="119" ht="15.75" customHeight="1" s="86">
      <c r="A119" s="23" t="n"/>
      <c r="B119" s="23" t="n"/>
      <c r="C119" s="23" t="n"/>
      <c r="D119" s="23" t="n"/>
      <c r="E119" s="23" t="n"/>
      <c r="F119" s="23" t="n"/>
      <c r="G119" s="23" t="n"/>
      <c r="H119" s="23" t="n"/>
      <c r="I119" s="23" t="n"/>
      <c r="J119" s="23" t="n"/>
      <c r="K119" s="23" t="n"/>
      <c r="L119" s="23" t="n"/>
      <c r="M119" s="23" t="n"/>
      <c r="N119" s="23" t="n"/>
      <c r="O119" s="23" t="n"/>
      <c r="P119" s="23" t="n"/>
      <c r="Q119" s="23" t="n"/>
      <c r="R119" s="23" t="n"/>
      <c r="S119" s="23" t="n"/>
      <c r="T119" s="23" t="n"/>
      <c r="U119" s="23" t="n"/>
      <c r="V119" s="23" t="n"/>
      <c r="W119" s="23" t="n"/>
      <c r="X119" s="23" t="n"/>
      <c r="Y119" s="23" t="n"/>
      <c r="Z119" s="23" t="n"/>
    </row>
    <row r="120" ht="15.75" customHeight="1" s="86">
      <c r="A120" s="23" t="n"/>
      <c r="B120" s="23" t="n"/>
      <c r="C120" s="23" t="n"/>
      <c r="D120" s="23" t="n"/>
      <c r="E120" s="23" t="n"/>
      <c r="F120" s="23" t="n"/>
      <c r="G120" s="23" t="n"/>
      <c r="H120" s="23" t="n"/>
      <c r="I120" s="23" t="n"/>
      <c r="J120" s="23" t="n"/>
      <c r="K120" s="23" t="n"/>
      <c r="L120" s="23" t="n"/>
      <c r="M120" s="23" t="n"/>
      <c r="N120" s="23" t="n"/>
      <c r="O120" s="23" t="n"/>
      <c r="P120" s="23" t="n"/>
      <c r="Q120" s="23" t="n"/>
      <c r="R120" s="23" t="n"/>
      <c r="S120" s="23" t="n"/>
      <c r="T120" s="23" t="n"/>
      <c r="U120" s="23" t="n"/>
      <c r="V120" s="23" t="n"/>
      <c r="W120" s="23" t="n"/>
      <c r="X120" s="23" t="n"/>
      <c r="Y120" s="23" t="n"/>
      <c r="Z120" s="23" t="n"/>
    </row>
    <row r="121" ht="15.75" customHeight="1" s="86">
      <c r="A121" s="23" t="n"/>
      <c r="B121" s="23" t="n"/>
      <c r="C121" s="23" t="n"/>
      <c r="D121" s="23" t="n"/>
      <c r="E121" s="23" t="n"/>
      <c r="F121" s="23" t="n"/>
      <c r="G121" s="23" t="n"/>
      <c r="H121" s="23" t="n"/>
      <c r="I121" s="23" t="n"/>
      <c r="J121" s="23" t="n"/>
      <c r="K121" s="23" t="n"/>
      <c r="L121" s="23" t="n"/>
      <c r="M121" s="23" t="n"/>
      <c r="N121" s="23" t="n"/>
      <c r="O121" s="23" t="n"/>
      <c r="P121" s="23" t="n"/>
      <c r="Q121" s="23" t="n"/>
      <c r="R121" s="23" t="n"/>
      <c r="S121" s="23" t="n"/>
      <c r="T121" s="23" t="n"/>
      <c r="U121" s="23" t="n"/>
      <c r="V121" s="23" t="n"/>
      <c r="W121" s="23" t="n"/>
      <c r="X121" s="23" t="n"/>
      <c r="Y121" s="23" t="n"/>
      <c r="Z121" s="23" t="n"/>
    </row>
    <row r="122" ht="15.75" customHeight="1" s="86">
      <c r="A122" s="23" t="n"/>
      <c r="B122" s="23" t="n"/>
      <c r="C122" s="23" t="n"/>
      <c r="D122" s="23" t="n"/>
      <c r="E122" s="23" t="n"/>
      <c r="F122" s="23" t="n"/>
      <c r="G122" s="23" t="n"/>
      <c r="H122" s="23" t="n"/>
      <c r="I122" s="23" t="n"/>
      <c r="J122" s="23" t="n"/>
      <c r="K122" s="23" t="n"/>
      <c r="L122" s="23" t="n"/>
      <c r="M122" s="23" t="n"/>
      <c r="N122" s="23" t="n"/>
      <c r="O122" s="23" t="n"/>
      <c r="P122" s="23" t="n"/>
      <c r="Q122" s="23" t="n"/>
      <c r="R122" s="23" t="n"/>
      <c r="S122" s="23" t="n"/>
      <c r="T122" s="23" t="n"/>
      <c r="U122" s="23" t="n"/>
      <c r="V122" s="23" t="n"/>
      <c r="W122" s="23" t="n"/>
      <c r="X122" s="23" t="n"/>
      <c r="Y122" s="23" t="n"/>
      <c r="Z122" s="23" t="n"/>
    </row>
    <row r="123" ht="15.75" customHeight="1" s="86">
      <c r="A123" s="23" t="n"/>
      <c r="B123" s="23" t="n"/>
      <c r="C123" s="23" t="n"/>
      <c r="D123" s="23" t="n"/>
      <c r="E123" s="23" t="n"/>
      <c r="F123" s="23" t="n"/>
      <c r="G123" s="23" t="n"/>
      <c r="H123" s="23" t="n"/>
      <c r="I123" s="23" t="n"/>
      <c r="J123" s="23" t="n"/>
      <c r="K123" s="23" t="n"/>
      <c r="L123" s="23" t="n"/>
      <c r="M123" s="23" t="n"/>
      <c r="N123" s="23" t="n"/>
      <c r="O123" s="23" t="n"/>
      <c r="P123" s="23" t="n"/>
      <c r="Q123" s="23" t="n"/>
      <c r="R123" s="23" t="n"/>
      <c r="S123" s="23" t="n"/>
      <c r="T123" s="23" t="n"/>
      <c r="U123" s="23" t="n"/>
      <c r="V123" s="23" t="n"/>
      <c r="W123" s="23" t="n"/>
      <c r="X123" s="23" t="n"/>
      <c r="Y123" s="23" t="n"/>
      <c r="Z123" s="23" t="n"/>
    </row>
    <row r="124" ht="15.75" customHeight="1" s="86">
      <c r="A124" s="23" t="n"/>
      <c r="B124" s="23" t="n"/>
      <c r="C124" s="23" t="n"/>
      <c r="D124" s="23" t="n"/>
      <c r="E124" s="23" t="n"/>
      <c r="F124" s="23" t="n"/>
      <c r="G124" s="23" t="n"/>
      <c r="H124" s="23" t="n"/>
      <c r="I124" s="23" t="n"/>
      <c r="J124" s="23" t="n"/>
      <c r="K124" s="23" t="n"/>
      <c r="L124" s="23" t="n"/>
      <c r="M124" s="23" t="n"/>
      <c r="N124" s="23" t="n"/>
      <c r="O124" s="23" t="n"/>
      <c r="P124" s="23" t="n"/>
      <c r="Q124" s="23" t="n"/>
      <c r="R124" s="23" t="n"/>
      <c r="S124" s="23" t="n"/>
      <c r="T124" s="23" t="n"/>
      <c r="U124" s="23" t="n"/>
      <c r="V124" s="23" t="n"/>
      <c r="W124" s="23" t="n"/>
      <c r="X124" s="23" t="n"/>
      <c r="Y124" s="23" t="n"/>
      <c r="Z124" s="23" t="n"/>
    </row>
    <row r="125" ht="15.75" customHeight="1" s="86">
      <c r="A125" s="23" t="n"/>
      <c r="B125" s="23" t="n"/>
      <c r="C125" s="23" t="n"/>
      <c r="D125" s="23" t="n"/>
      <c r="E125" s="23" t="n"/>
      <c r="F125" s="23" t="n"/>
      <c r="G125" s="23" t="n"/>
      <c r="H125" s="23" t="n"/>
      <c r="I125" s="23" t="n"/>
      <c r="J125" s="23" t="n"/>
      <c r="K125" s="23" t="n"/>
      <c r="L125" s="23" t="n"/>
      <c r="M125" s="23" t="n"/>
      <c r="N125" s="23" t="n"/>
      <c r="O125" s="23" t="n"/>
      <c r="P125" s="23" t="n"/>
      <c r="Q125" s="23" t="n"/>
      <c r="R125" s="23" t="n"/>
      <c r="S125" s="23" t="n"/>
      <c r="T125" s="23" t="n"/>
      <c r="U125" s="23" t="n"/>
      <c r="V125" s="23" t="n"/>
      <c r="W125" s="23" t="n"/>
      <c r="X125" s="23" t="n"/>
      <c r="Y125" s="23" t="n"/>
      <c r="Z125" s="23" t="n"/>
    </row>
    <row r="126" ht="15.75" customHeight="1" s="86">
      <c r="A126" s="23" t="n"/>
      <c r="B126" s="23" t="n"/>
      <c r="C126" s="23" t="n"/>
      <c r="D126" s="23" t="n"/>
      <c r="E126" s="23" t="n"/>
      <c r="F126" s="23" t="n"/>
      <c r="G126" s="23" t="n"/>
      <c r="H126" s="23" t="n"/>
      <c r="I126" s="23" t="n"/>
      <c r="J126" s="23" t="n"/>
      <c r="K126" s="23" t="n"/>
      <c r="L126" s="23" t="n"/>
      <c r="M126" s="23" t="n"/>
      <c r="N126" s="23" t="n"/>
      <c r="O126" s="23" t="n"/>
      <c r="P126" s="23" t="n"/>
      <c r="Q126" s="23" t="n"/>
      <c r="R126" s="23" t="n"/>
      <c r="S126" s="23" t="n"/>
      <c r="T126" s="23" t="n"/>
      <c r="U126" s="23" t="n"/>
      <c r="V126" s="23" t="n"/>
      <c r="W126" s="23" t="n"/>
      <c r="X126" s="23" t="n"/>
      <c r="Y126" s="23" t="n"/>
      <c r="Z126" s="23" t="n"/>
    </row>
    <row r="127" ht="15.75" customHeight="1" s="86">
      <c r="A127" s="23" t="n"/>
      <c r="B127" s="23" t="n"/>
      <c r="C127" s="23" t="n"/>
      <c r="D127" s="23" t="n"/>
      <c r="E127" s="23" t="n"/>
      <c r="F127" s="23" t="n"/>
      <c r="G127" s="23" t="n"/>
      <c r="H127" s="23" t="n"/>
      <c r="I127" s="23" t="n"/>
      <c r="J127" s="23" t="n"/>
      <c r="K127" s="23" t="n"/>
      <c r="L127" s="23" t="n"/>
      <c r="M127" s="23" t="n"/>
      <c r="N127" s="23" t="n"/>
      <c r="O127" s="23" t="n"/>
      <c r="P127" s="23" t="n"/>
      <c r="Q127" s="23" t="n"/>
      <c r="R127" s="23" t="n"/>
      <c r="S127" s="23" t="n"/>
      <c r="T127" s="23" t="n"/>
      <c r="U127" s="23" t="n"/>
      <c r="V127" s="23" t="n"/>
      <c r="W127" s="23" t="n"/>
      <c r="X127" s="23" t="n"/>
      <c r="Y127" s="23" t="n"/>
      <c r="Z127" s="23" t="n"/>
    </row>
    <row r="128" ht="15.75" customHeight="1" s="86">
      <c r="A128" s="23" t="n"/>
      <c r="B128" s="23" t="n"/>
      <c r="C128" s="23" t="n"/>
      <c r="D128" s="23" t="n"/>
      <c r="E128" s="23" t="n"/>
      <c r="F128" s="23" t="n"/>
      <c r="G128" s="23" t="n"/>
      <c r="H128" s="23" t="n"/>
      <c r="I128" s="23" t="n"/>
      <c r="J128" s="23" t="n"/>
      <c r="K128" s="23" t="n"/>
      <c r="L128" s="23" t="n"/>
      <c r="M128" s="23" t="n"/>
      <c r="N128" s="23" t="n"/>
      <c r="O128" s="23" t="n"/>
      <c r="P128" s="23" t="n"/>
      <c r="Q128" s="23" t="n"/>
      <c r="R128" s="23" t="n"/>
      <c r="S128" s="23" t="n"/>
      <c r="T128" s="23" t="n"/>
      <c r="U128" s="23" t="n"/>
      <c r="V128" s="23" t="n"/>
      <c r="W128" s="23" t="n"/>
      <c r="X128" s="23" t="n"/>
      <c r="Y128" s="23" t="n"/>
      <c r="Z128" s="23" t="n"/>
    </row>
    <row r="129" ht="15.75" customHeight="1" s="86">
      <c r="A129" s="23" t="n"/>
      <c r="B129" s="23" t="n"/>
      <c r="C129" s="23" t="n"/>
      <c r="D129" s="23" t="n"/>
      <c r="E129" s="23" t="n"/>
      <c r="F129" s="23" t="n"/>
      <c r="G129" s="23" t="n"/>
      <c r="H129" s="23" t="n"/>
      <c r="I129" s="23" t="n"/>
      <c r="J129" s="23" t="n"/>
      <c r="K129" s="23" t="n"/>
      <c r="L129" s="23" t="n"/>
      <c r="M129" s="23" t="n"/>
      <c r="N129" s="23" t="n"/>
      <c r="O129" s="23" t="n"/>
      <c r="P129" s="23" t="n"/>
      <c r="Q129" s="23" t="n"/>
      <c r="R129" s="23" t="n"/>
      <c r="S129" s="23" t="n"/>
      <c r="T129" s="23" t="n"/>
      <c r="U129" s="23" t="n"/>
      <c r="V129" s="23" t="n"/>
      <c r="W129" s="23" t="n"/>
      <c r="X129" s="23" t="n"/>
      <c r="Y129" s="23" t="n"/>
      <c r="Z129" s="23" t="n"/>
    </row>
    <row r="130" ht="15.75" customHeight="1" s="86">
      <c r="A130" s="23" t="n"/>
      <c r="B130" s="23" t="n"/>
      <c r="C130" s="23" t="n"/>
      <c r="D130" s="23" t="n"/>
      <c r="E130" s="23" t="n"/>
      <c r="F130" s="23" t="n"/>
      <c r="G130" s="23" t="n"/>
      <c r="H130" s="23" t="n"/>
      <c r="I130" s="23" t="n"/>
      <c r="J130" s="23" t="n"/>
      <c r="K130" s="23" t="n"/>
      <c r="L130" s="23" t="n"/>
      <c r="M130" s="23" t="n"/>
      <c r="N130" s="23" t="n"/>
      <c r="O130" s="23" t="n"/>
      <c r="P130" s="23" t="n"/>
      <c r="Q130" s="23" t="n"/>
      <c r="R130" s="23" t="n"/>
      <c r="S130" s="23" t="n"/>
      <c r="T130" s="23" t="n"/>
      <c r="U130" s="23" t="n"/>
      <c r="V130" s="23" t="n"/>
      <c r="W130" s="23" t="n"/>
      <c r="X130" s="23" t="n"/>
      <c r="Y130" s="23" t="n"/>
      <c r="Z130" s="23" t="n"/>
    </row>
    <row r="131" ht="15.75" customHeight="1" s="86">
      <c r="A131" s="23" t="n"/>
      <c r="B131" s="23" t="n"/>
      <c r="C131" s="23" t="n"/>
      <c r="D131" s="23" t="n"/>
      <c r="E131" s="23" t="n"/>
      <c r="F131" s="23" t="n"/>
      <c r="G131" s="23" t="n"/>
      <c r="H131" s="23" t="n"/>
      <c r="I131" s="23" t="n"/>
      <c r="J131" s="23" t="n"/>
      <c r="K131" s="23" t="n"/>
      <c r="L131" s="23" t="n"/>
      <c r="M131" s="23" t="n"/>
      <c r="N131" s="23" t="n"/>
      <c r="O131" s="23" t="n"/>
      <c r="P131" s="23" t="n"/>
      <c r="Q131" s="23" t="n"/>
      <c r="R131" s="23" t="n"/>
      <c r="S131" s="23" t="n"/>
      <c r="T131" s="23" t="n"/>
      <c r="U131" s="23" t="n"/>
      <c r="V131" s="23" t="n"/>
      <c r="W131" s="23" t="n"/>
      <c r="X131" s="23" t="n"/>
      <c r="Y131" s="23" t="n"/>
      <c r="Z131" s="23" t="n"/>
    </row>
    <row r="132" ht="15.75" customHeight="1" s="86">
      <c r="A132" s="23" t="n"/>
      <c r="B132" s="23" t="n"/>
      <c r="C132" s="23" t="n"/>
      <c r="D132" s="23" t="n"/>
      <c r="E132" s="23" t="n"/>
      <c r="F132" s="23" t="n"/>
      <c r="G132" s="23" t="n"/>
      <c r="H132" s="23" t="n"/>
      <c r="I132" s="23" t="n"/>
      <c r="J132" s="23" t="n"/>
      <c r="K132" s="23" t="n"/>
      <c r="L132" s="23" t="n"/>
      <c r="M132" s="23" t="n"/>
      <c r="N132" s="23" t="n"/>
      <c r="O132" s="23" t="n"/>
      <c r="P132" s="23" t="n"/>
      <c r="Q132" s="23" t="n"/>
      <c r="R132" s="23" t="n"/>
      <c r="S132" s="23" t="n"/>
      <c r="T132" s="23" t="n"/>
      <c r="U132" s="23" t="n"/>
      <c r="V132" s="23" t="n"/>
      <c r="W132" s="23" t="n"/>
      <c r="X132" s="23" t="n"/>
      <c r="Y132" s="23" t="n"/>
      <c r="Z132" s="23" t="n"/>
    </row>
    <row r="133" ht="15.75" customHeight="1" s="86">
      <c r="A133" s="23" t="n"/>
      <c r="B133" s="23" t="n"/>
      <c r="C133" s="23" t="n"/>
      <c r="D133" s="23" t="n"/>
      <c r="E133" s="23" t="n"/>
      <c r="F133" s="23" t="n"/>
      <c r="G133" s="23" t="n"/>
      <c r="H133" s="23" t="n"/>
      <c r="I133" s="23" t="n"/>
      <c r="J133" s="23" t="n"/>
      <c r="K133" s="23" t="n"/>
      <c r="L133" s="23" t="n"/>
      <c r="M133" s="23" t="n"/>
      <c r="N133" s="23" t="n"/>
      <c r="O133" s="23" t="n"/>
      <c r="P133" s="23" t="n"/>
      <c r="Q133" s="23" t="n"/>
      <c r="R133" s="23" t="n"/>
      <c r="S133" s="23" t="n"/>
      <c r="T133" s="23" t="n"/>
      <c r="U133" s="23" t="n"/>
      <c r="V133" s="23" t="n"/>
      <c r="W133" s="23" t="n"/>
      <c r="X133" s="23" t="n"/>
      <c r="Y133" s="23" t="n"/>
      <c r="Z133" s="23" t="n"/>
    </row>
    <row r="134" ht="15.75" customHeight="1" s="86">
      <c r="A134" s="23" t="n"/>
      <c r="B134" s="23" t="n"/>
      <c r="C134" s="23" t="n"/>
      <c r="D134" s="23" t="n"/>
      <c r="E134" s="23" t="n"/>
      <c r="F134" s="23" t="n"/>
      <c r="G134" s="23" t="n"/>
      <c r="H134" s="23" t="n"/>
      <c r="I134" s="23" t="n"/>
      <c r="J134" s="23" t="n"/>
      <c r="K134" s="23" t="n"/>
      <c r="L134" s="23" t="n"/>
      <c r="M134" s="23" t="n"/>
      <c r="N134" s="23" t="n"/>
      <c r="O134" s="23" t="n"/>
      <c r="P134" s="23" t="n"/>
      <c r="Q134" s="23" t="n"/>
      <c r="R134" s="23" t="n"/>
      <c r="S134" s="23" t="n"/>
      <c r="T134" s="23" t="n"/>
      <c r="U134" s="23" t="n"/>
      <c r="V134" s="23" t="n"/>
      <c r="W134" s="23" t="n"/>
      <c r="X134" s="23" t="n"/>
      <c r="Y134" s="23" t="n"/>
      <c r="Z134" s="23" t="n"/>
    </row>
    <row r="135" ht="15.75" customHeight="1" s="86">
      <c r="A135" s="23" t="n"/>
      <c r="B135" s="23" t="n"/>
      <c r="C135" s="23" t="n"/>
      <c r="D135" s="23" t="n"/>
      <c r="E135" s="23" t="n"/>
      <c r="F135" s="23" t="n"/>
      <c r="G135" s="23" t="n"/>
      <c r="H135" s="23" t="n"/>
      <c r="I135" s="23" t="n"/>
      <c r="J135" s="23" t="n"/>
      <c r="K135" s="23" t="n"/>
      <c r="L135" s="23" t="n"/>
      <c r="M135" s="23" t="n"/>
      <c r="N135" s="23" t="n"/>
      <c r="O135" s="23" t="n"/>
      <c r="P135" s="23" t="n"/>
      <c r="Q135" s="23" t="n"/>
      <c r="R135" s="23" t="n"/>
      <c r="S135" s="23" t="n"/>
      <c r="T135" s="23" t="n"/>
      <c r="U135" s="23" t="n"/>
      <c r="V135" s="23" t="n"/>
      <c r="W135" s="23" t="n"/>
      <c r="X135" s="23" t="n"/>
      <c r="Y135" s="23" t="n"/>
      <c r="Z135" s="23" t="n"/>
    </row>
    <row r="136" ht="15.75" customHeight="1" s="86">
      <c r="A136" s="23" t="n"/>
      <c r="B136" s="23" t="n"/>
      <c r="C136" s="23" t="n"/>
      <c r="D136" s="23" t="n"/>
      <c r="E136" s="23" t="n"/>
      <c r="F136" s="23" t="n"/>
      <c r="G136" s="23" t="n"/>
      <c r="H136" s="23" t="n"/>
      <c r="I136" s="23" t="n"/>
      <c r="J136" s="23" t="n"/>
      <c r="K136" s="23" t="n"/>
      <c r="L136" s="23" t="n"/>
      <c r="M136" s="23" t="n"/>
      <c r="N136" s="23" t="n"/>
      <c r="O136" s="23" t="n"/>
      <c r="P136" s="23" t="n"/>
      <c r="Q136" s="23" t="n"/>
      <c r="R136" s="23" t="n"/>
      <c r="S136" s="23" t="n"/>
      <c r="T136" s="23" t="n"/>
      <c r="U136" s="23" t="n"/>
      <c r="V136" s="23" t="n"/>
      <c r="W136" s="23" t="n"/>
      <c r="X136" s="23" t="n"/>
      <c r="Y136" s="23" t="n"/>
      <c r="Z136" s="23" t="n"/>
    </row>
    <row r="137" ht="15.75" customHeight="1" s="86">
      <c r="A137" s="23" t="n"/>
      <c r="B137" s="23" t="n"/>
      <c r="C137" s="23" t="n"/>
      <c r="D137" s="23" t="n"/>
      <c r="E137" s="23" t="n"/>
      <c r="F137" s="23" t="n"/>
      <c r="G137" s="23" t="n"/>
      <c r="H137" s="23" t="n"/>
      <c r="I137" s="23" t="n"/>
      <c r="J137" s="23" t="n"/>
      <c r="K137" s="23" t="n"/>
      <c r="L137" s="23" t="n"/>
      <c r="M137" s="23" t="n"/>
      <c r="N137" s="23" t="n"/>
      <c r="O137" s="23" t="n"/>
      <c r="P137" s="23" t="n"/>
      <c r="Q137" s="23" t="n"/>
      <c r="R137" s="23" t="n"/>
      <c r="S137" s="23" t="n"/>
      <c r="T137" s="23" t="n"/>
      <c r="U137" s="23" t="n"/>
      <c r="V137" s="23" t="n"/>
      <c r="W137" s="23" t="n"/>
      <c r="X137" s="23" t="n"/>
      <c r="Y137" s="23" t="n"/>
      <c r="Z137" s="23" t="n"/>
    </row>
    <row r="138" ht="15.75" customHeight="1" s="86">
      <c r="A138" s="23" t="n"/>
      <c r="B138" s="23" t="n"/>
      <c r="C138" s="23" t="n"/>
      <c r="D138" s="23" t="n"/>
      <c r="E138" s="23" t="n"/>
      <c r="F138" s="23" t="n"/>
      <c r="G138" s="23" t="n"/>
      <c r="H138" s="23" t="n"/>
      <c r="I138" s="23" t="n"/>
      <c r="J138" s="23" t="n"/>
      <c r="K138" s="23" t="n"/>
      <c r="L138" s="23" t="n"/>
      <c r="M138" s="23" t="n"/>
      <c r="N138" s="23" t="n"/>
      <c r="O138" s="23" t="n"/>
      <c r="P138" s="23" t="n"/>
      <c r="Q138" s="23" t="n"/>
      <c r="R138" s="23" t="n"/>
      <c r="S138" s="23" t="n"/>
      <c r="T138" s="23" t="n"/>
      <c r="U138" s="23" t="n"/>
      <c r="V138" s="23" t="n"/>
      <c r="W138" s="23" t="n"/>
      <c r="X138" s="23" t="n"/>
      <c r="Y138" s="23" t="n"/>
      <c r="Z138" s="23" t="n"/>
    </row>
    <row r="139" ht="15.75" customHeight="1" s="86">
      <c r="A139" s="23" t="n"/>
      <c r="B139" s="23" t="n"/>
      <c r="C139" s="23" t="n"/>
      <c r="D139" s="23" t="n"/>
      <c r="E139" s="23" t="n"/>
      <c r="F139" s="23" t="n"/>
      <c r="G139" s="23" t="n"/>
      <c r="H139" s="23" t="n"/>
      <c r="I139" s="23" t="n"/>
      <c r="J139" s="23" t="n"/>
      <c r="K139" s="23" t="n"/>
      <c r="L139" s="23" t="n"/>
      <c r="M139" s="23" t="n"/>
      <c r="N139" s="23" t="n"/>
      <c r="O139" s="23" t="n"/>
      <c r="P139" s="23" t="n"/>
      <c r="Q139" s="23" t="n"/>
      <c r="R139" s="23" t="n"/>
      <c r="S139" s="23" t="n"/>
      <c r="T139" s="23" t="n"/>
      <c r="U139" s="23" t="n"/>
      <c r="V139" s="23" t="n"/>
      <c r="W139" s="23" t="n"/>
      <c r="X139" s="23" t="n"/>
      <c r="Y139" s="23" t="n"/>
      <c r="Z139" s="23" t="n"/>
    </row>
    <row r="140" ht="15.75" customHeight="1" s="86">
      <c r="A140" s="23" t="n"/>
      <c r="B140" s="23" t="n"/>
      <c r="C140" s="23" t="n"/>
      <c r="D140" s="23" t="n"/>
      <c r="E140" s="23" t="n"/>
      <c r="F140" s="23" t="n"/>
      <c r="G140" s="23" t="n"/>
      <c r="H140" s="23" t="n"/>
      <c r="I140" s="23" t="n"/>
      <c r="J140" s="23" t="n"/>
      <c r="K140" s="23" t="n"/>
      <c r="L140" s="23" t="n"/>
      <c r="M140" s="23" t="n"/>
      <c r="N140" s="23" t="n"/>
      <c r="O140" s="23" t="n"/>
      <c r="P140" s="23" t="n"/>
      <c r="Q140" s="23" t="n"/>
      <c r="R140" s="23" t="n"/>
      <c r="S140" s="23" t="n"/>
      <c r="T140" s="23" t="n"/>
      <c r="U140" s="23" t="n"/>
      <c r="V140" s="23" t="n"/>
      <c r="W140" s="23" t="n"/>
      <c r="X140" s="23" t="n"/>
      <c r="Y140" s="23" t="n"/>
      <c r="Z140" s="23" t="n"/>
    </row>
    <row r="141" ht="15.75" customHeight="1" s="86">
      <c r="A141" s="23" t="n"/>
      <c r="B141" s="23" t="n"/>
      <c r="C141" s="23" t="n"/>
      <c r="D141" s="23" t="n"/>
      <c r="E141" s="23" t="n"/>
      <c r="F141" s="23" t="n"/>
      <c r="G141" s="23" t="n"/>
      <c r="H141" s="23" t="n"/>
      <c r="I141" s="23" t="n"/>
      <c r="J141" s="23" t="n"/>
      <c r="K141" s="23" t="n"/>
      <c r="L141" s="23" t="n"/>
      <c r="M141" s="23" t="n"/>
      <c r="N141" s="23" t="n"/>
      <c r="O141" s="23" t="n"/>
      <c r="P141" s="23" t="n"/>
      <c r="Q141" s="23" t="n"/>
      <c r="R141" s="23" t="n"/>
      <c r="S141" s="23" t="n"/>
      <c r="T141" s="23" t="n"/>
      <c r="U141" s="23" t="n"/>
      <c r="V141" s="23" t="n"/>
      <c r="W141" s="23" t="n"/>
      <c r="X141" s="23" t="n"/>
      <c r="Y141" s="23" t="n"/>
      <c r="Z141" s="23" t="n"/>
    </row>
    <row r="142" ht="15.75" customHeight="1" s="86">
      <c r="A142" s="23" t="n"/>
      <c r="B142" s="23" t="n"/>
      <c r="C142" s="23" t="n"/>
      <c r="D142" s="23" t="n"/>
      <c r="E142" s="23" t="n"/>
      <c r="F142" s="23" t="n"/>
      <c r="G142" s="23" t="n"/>
      <c r="H142" s="23" t="n"/>
      <c r="I142" s="23" t="n"/>
      <c r="J142" s="23" t="n"/>
      <c r="K142" s="23" t="n"/>
      <c r="L142" s="23" t="n"/>
      <c r="M142" s="23" t="n"/>
      <c r="N142" s="23" t="n"/>
      <c r="O142" s="23" t="n"/>
      <c r="P142" s="23" t="n"/>
      <c r="Q142" s="23" t="n"/>
      <c r="R142" s="23" t="n"/>
      <c r="S142" s="23" t="n"/>
      <c r="T142" s="23" t="n"/>
      <c r="U142" s="23" t="n"/>
      <c r="V142" s="23" t="n"/>
      <c r="W142" s="23" t="n"/>
      <c r="X142" s="23" t="n"/>
      <c r="Y142" s="23" t="n"/>
      <c r="Z142" s="23" t="n"/>
    </row>
    <row r="143" ht="15.75" customHeight="1" s="86">
      <c r="A143" s="23" t="n"/>
      <c r="B143" s="23" t="n"/>
      <c r="C143" s="23" t="n"/>
      <c r="D143" s="23" t="n"/>
      <c r="E143" s="23" t="n"/>
      <c r="F143" s="23" t="n"/>
      <c r="G143" s="23" t="n"/>
      <c r="H143" s="23" t="n"/>
      <c r="I143" s="23" t="n"/>
      <c r="J143" s="23" t="n"/>
      <c r="K143" s="23" t="n"/>
      <c r="L143" s="23" t="n"/>
      <c r="M143" s="23" t="n"/>
      <c r="N143" s="23" t="n"/>
      <c r="O143" s="23" t="n"/>
      <c r="P143" s="23" t="n"/>
      <c r="Q143" s="23" t="n"/>
      <c r="R143" s="23" t="n"/>
      <c r="S143" s="23" t="n"/>
      <c r="T143" s="23" t="n"/>
      <c r="U143" s="23" t="n"/>
      <c r="V143" s="23" t="n"/>
      <c r="W143" s="23" t="n"/>
      <c r="X143" s="23" t="n"/>
      <c r="Y143" s="23" t="n"/>
      <c r="Z143" s="23" t="n"/>
    </row>
    <row r="144" ht="15.75" customHeight="1" s="86">
      <c r="A144" s="23" t="n"/>
      <c r="B144" s="23" t="n"/>
      <c r="C144" s="23" t="n"/>
      <c r="D144" s="23" t="n"/>
      <c r="E144" s="23" t="n"/>
      <c r="F144" s="23" t="n"/>
      <c r="G144" s="23" t="n"/>
      <c r="H144" s="23" t="n"/>
      <c r="I144" s="23" t="n"/>
      <c r="J144" s="23" t="n"/>
      <c r="K144" s="23" t="n"/>
      <c r="L144" s="23" t="n"/>
      <c r="M144" s="23" t="n"/>
      <c r="N144" s="23" t="n"/>
      <c r="O144" s="23" t="n"/>
      <c r="P144" s="23" t="n"/>
      <c r="Q144" s="23" t="n"/>
      <c r="R144" s="23" t="n"/>
      <c r="S144" s="23" t="n"/>
      <c r="T144" s="23" t="n"/>
      <c r="U144" s="23" t="n"/>
      <c r="V144" s="23" t="n"/>
      <c r="W144" s="23" t="n"/>
      <c r="X144" s="23" t="n"/>
      <c r="Y144" s="23" t="n"/>
      <c r="Z144" s="23" t="n"/>
    </row>
    <row r="145" ht="15.75" customHeight="1" s="86">
      <c r="A145" s="23" t="n"/>
      <c r="B145" s="23" t="n"/>
      <c r="C145" s="23" t="n"/>
      <c r="D145" s="23" t="n"/>
      <c r="E145" s="23" t="n"/>
      <c r="F145" s="23" t="n"/>
      <c r="G145" s="23" t="n"/>
      <c r="H145" s="23" t="n"/>
      <c r="I145" s="23" t="n"/>
      <c r="J145" s="23" t="n"/>
      <c r="K145" s="23" t="n"/>
      <c r="L145" s="23" t="n"/>
      <c r="M145" s="23" t="n"/>
      <c r="N145" s="23" t="n"/>
      <c r="O145" s="23" t="n"/>
      <c r="P145" s="23" t="n"/>
      <c r="Q145" s="23" t="n"/>
      <c r="R145" s="23" t="n"/>
      <c r="S145" s="23" t="n"/>
      <c r="T145" s="23" t="n"/>
      <c r="U145" s="23" t="n"/>
      <c r="V145" s="23" t="n"/>
      <c r="W145" s="23" t="n"/>
      <c r="X145" s="23" t="n"/>
      <c r="Y145" s="23" t="n"/>
      <c r="Z145" s="23" t="n"/>
    </row>
    <row r="146" ht="15.75" customHeight="1" s="86">
      <c r="A146" s="23" t="n"/>
      <c r="B146" s="23" t="n"/>
      <c r="C146" s="23" t="n"/>
      <c r="D146" s="23" t="n"/>
      <c r="E146" s="23" t="n"/>
      <c r="F146" s="23" t="n"/>
      <c r="G146" s="23" t="n"/>
      <c r="H146" s="23" t="n"/>
      <c r="I146" s="23" t="n"/>
      <c r="J146" s="23" t="n"/>
      <c r="K146" s="23" t="n"/>
      <c r="L146" s="23" t="n"/>
      <c r="M146" s="23" t="n"/>
      <c r="N146" s="23" t="n"/>
      <c r="O146" s="23" t="n"/>
      <c r="P146" s="23" t="n"/>
      <c r="Q146" s="23" t="n"/>
      <c r="R146" s="23" t="n"/>
      <c r="S146" s="23" t="n"/>
      <c r="T146" s="23" t="n"/>
      <c r="U146" s="23" t="n"/>
      <c r="V146" s="23" t="n"/>
      <c r="W146" s="23" t="n"/>
      <c r="X146" s="23" t="n"/>
      <c r="Y146" s="23" t="n"/>
      <c r="Z146" s="23" t="n"/>
    </row>
    <row r="147" ht="15.75" customHeight="1" s="86">
      <c r="A147" s="23" t="n"/>
      <c r="B147" s="23" t="n"/>
      <c r="C147" s="23" t="n"/>
      <c r="D147" s="23" t="n"/>
      <c r="E147" s="23" t="n"/>
      <c r="F147" s="23" t="n"/>
      <c r="G147" s="23" t="n"/>
      <c r="H147" s="23" t="n"/>
      <c r="I147" s="23" t="n"/>
      <c r="J147" s="23" t="n"/>
      <c r="K147" s="23" t="n"/>
      <c r="L147" s="23" t="n"/>
      <c r="M147" s="23" t="n"/>
      <c r="N147" s="23" t="n"/>
      <c r="O147" s="23" t="n"/>
      <c r="P147" s="23" t="n"/>
      <c r="Q147" s="23" t="n"/>
      <c r="R147" s="23" t="n"/>
      <c r="S147" s="23" t="n"/>
      <c r="T147" s="23" t="n"/>
      <c r="U147" s="23" t="n"/>
      <c r="V147" s="23" t="n"/>
      <c r="W147" s="23" t="n"/>
      <c r="X147" s="23" t="n"/>
      <c r="Y147" s="23" t="n"/>
      <c r="Z147" s="23" t="n"/>
    </row>
    <row r="148" ht="15.75" customHeight="1" s="86">
      <c r="A148" s="23" t="n"/>
      <c r="B148" s="23" t="n"/>
      <c r="C148" s="23" t="n"/>
      <c r="D148" s="23" t="n"/>
      <c r="E148" s="23" t="n"/>
      <c r="F148" s="23" t="n"/>
      <c r="G148" s="23" t="n"/>
      <c r="H148" s="23" t="n"/>
      <c r="I148" s="23" t="n"/>
      <c r="J148" s="23" t="n"/>
      <c r="K148" s="23" t="n"/>
      <c r="L148" s="23" t="n"/>
      <c r="M148" s="23" t="n"/>
      <c r="N148" s="23" t="n"/>
      <c r="O148" s="23" t="n"/>
      <c r="P148" s="23" t="n"/>
      <c r="Q148" s="23" t="n"/>
      <c r="R148" s="23" t="n"/>
      <c r="S148" s="23" t="n"/>
      <c r="T148" s="23" t="n"/>
      <c r="U148" s="23" t="n"/>
      <c r="V148" s="23" t="n"/>
      <c r="W148" s="23" t="n"/>
      <c r="X148" s="23" t="n"/>
      <c r="Y148" s="23" t="n"/>
      <c r="Z148" s="23" t="n"/>
    </row>
    <row r="149" ht="15.75" customHeight="1" s="86">
      <c r="A149" s="23" t="n"/>
      <c r="B149" s="23" t="n"/>
      <c r="C149" s="23" t="n"/>
      <c r="D149" s="23" t="n"/>
      <c r="E149" s="23" t="n"/>
      <c r="F149" s="23" t="n"/>
      <c r="G149" s="23" t="n"/>
      <c r="H149" s="23" t="n"/>
      <c r="I149" s="23" t="n"/>
      <c r="J149" s="23" t="n"/>
      <c r="K149" s="23" t="n"/>
      <c r="L149" s="23" t="n"/>
      <c r="M149" s="23" t="n"/>
      <c r="N149" s="23" t="n"/>
      <c r="O149" s="23" t="n"/>
      <c r="P149" s="23" t="n"/>
      <c r="Q149" s="23" t="n"/>
      <c r="R149" s="23" t="n"/>
      <c r="S149" s="23" t="n"/>
      <c r="T149" s="23" t="n"/>
      <c r="U149" s="23" t="n"/>
      <c r="V149" s="23" t="n"/>
      <c r="W149" s="23" t="n"/>
      <c r="X149" s="23" t="n"/>
      <c r="Y149" s="23" t="n"/>
      <c r="Z149" s="23" t="n"/>
    </row>
    <row r="150" ht="15.75" customHeight="1" s="86">
      <c r="A150" s="23" t="n"/>
      <c r="B150" s="23" t="n"/>
      <c r="C150" s="23" t="n"/>
      <c r="D150" s="23" t="n"/>
      <c r="E150" s="23" t="n"/>
      <c r="F150" s="23" t="n"/>
      <c r="G150" s="23" t="n"/>
      <c r="H150" s="23" t="n"/>
      <c r="I150" s="23" t="n"/>
      <c r="J150" s="23" t="n"/>
      <c r="K150" s="23" t="n"/>
      <c r="L150" s="23" t="n"/>
      <c r="M150" s="23" t="n"/>
      <c r="N150" s="23" t="n"/>
      <c r="O150" s="23" t="n"/>
      <c r="P150" s="23" t="n"/>
      <c r="Q150" s="23" t="n"/>
      <c r="R150" s="23" t="n"/>
      <c r="S150" s="23" t="n"/>
      <c r="T150" s="23" t="n"/>
      <c r="U150" s="23" t="n"/>
      <c r="V150" s="23" t="n"/>
      <c r="W150" s="23" t="n"/>
      <c r="X150" s="23" t="n"/>
      <c r="Y150" s="23" t="n"/>
      <c r="Z150" s="23" t="n"/>
    </row>
    <row r="151" ht="15.75" customHeight="1" s="86">
      <c r="A151" s="23" t="n"/>
      <c r="B151" s="23" t="n"/>
      <c r="C151" s="23" t="n"/>
      <c r="D151" s="23" t="n"/>
      <c r="E151" s="23" t="n"/>
      <c r="F151" s="23" t="n"/>
      <c r="G151" s="23" t="n"/>
      <c r="H151" s="23" t="n"/>
      <c r="I151" s="23" t="n"/>
      <c r="J151" s="23" t="n"/>
      <c r="K151" s="23" t="n"/>
      <c r="L151" s="23" t="n"/>
      <c r="M151" s="23" t="n"/>
      <c r="N151" s="23" t="n"/>
      <c r="O151" s="23" t="n"/>
      <c r="P151" s="23" t="n"/>
      <c r="Q151" s="23" t="n"/>
      <c r="R151" s="23" t="n"/>
      <c r="S151" s="23" t="n"/>
      <c r="T151" s="23" t="n"/>
      <c r="U151" s="23" t="n"/>
      <c r="V151" s="23" t="n"/>
      <c r="W151" s="23" t="n"/>
      <c r="X151" s="23" t="n"/>
      <c r="Y151" s="23" t="n"/>
      <c r="Z151" s="23" t="n"/>
    </row>
    <row r="152" ht="15.75" customHeight="1" s="86">
      <c r="A152" s="23" t="n"/>
      <c r="B152" s="23" t="n"/>
      <c r="C152" s="23" t="n"/>
      <c r="D152" s="23" t="n"/>
      <c r="E152" s="23" t="n"/>
      <c r="F152" s="23" t="n"/>
      <c r="G152" s="23" t="n"/>
      <c r="H152" s="23" t="n"/>
      <c r="I152" s="23" t="n"/>
      <c r="J152" s="23" t="n"/>
      <c r="K152" s="23" t="n"/>
      <c r="L152" s="23" t="n"/>
      <c r="M152" s="23" t="n"/>
      <c r="N152" s="23" t="n"/>
      <c r="O152" s="23" t="n"/>
      <c r="P152" s="23" t="n"/>
      <c r="Q152" s="23" t="n"/>
      <c r="R152" s="23" t="n"/>
      <c r="S152" s="23" t="n"/>
      <c r="T152" s="23" t="n"/>
      <c r="U152" s="23" t="n"/>
      <c r="V152" s="23" t="n"/>
      <c r="W152" s="23" t="n"/>
      <c r="X152" s="23" t="n"/>
      <c r="Y152" s="23" t="n"/>
      <c r="Z152" s="23" t="n"/>
    </row>
    <row r="153" ht="15.75" customHeight="1" s="86">
      <c r="A153" s="23" t="n"/>
      <c r="B153" s="23" t="n"/>
      <c r="C153" s="23" t="n"/>
      <c r="D153" s="23" t="n"/>
      <c r="E153" s="23" t="n"/>
      <c r="F153" s="23" t="n"/>
      <c r="G153" s="23" t="n"/>
      <c r="H153" s="23" t="n"/>
      <c r="I153" s="23" t="n"/>
      <c r="J153" s="23" t="n"/>
      <c r="K153" s="23" t="n"/>
      <c r="L153" s="23" t="n"/>
      <c r="M153" s="23" t="n"/>
      <c r="N153" s="23" t="n"/>
      <c r="O153" s="23" t="n"/>
      <c r="P153" s="23" t="n"/>
      <c r="Q153" s="23" t="n"/>
      <c r="R153" s="23" t="n"/>
      <c r="S153" s="23" t="n"/>
      <c r="T153" s="23" t="n"/>
      <c r="U153" s="23" t="n"/>
      <c r="V153" s="23" t="n"/>
      <c r="W153" s="23" t="n"/>
      <c r="X153" s="23" t="n"/>
      <c r="Y153" s="23" t="n"/>
      <c r="Z153" s="23" t="n"/>
    </row>
    <row r="154" ht="15.75" customHeight="1" s="86">
      <c r="A154" s="23" t="n"/>
      <c r="B154" s="23" t="n"/>
      <c r="C154" s="23" t="n"/>
      <c r="D154" s="23" t="n"/>
      <c r="E154" s="23" t="n"/>
      <c r="F154" s="23" t="n"/>
      <c r="G154" s="23" t="n"/>
      <c r="H154" s="23" t="n"/>
      <c r="I154" s="23" t="n"/>
      <c r="J154" s="23" t="n"/>
      <c r="K154" s="23" t="n"/>
      <c r="L154" s="23" t="n"/>
      <c r="M154" s="23" t="n"/>
      <c r="N154" s="23" t="n"/>
      <c r="O154" s="23" t="n"/>
      <c r="P154" s="23" t="n"/>
      <c r="Q154" s="23" t="n"/>
      <c r="R154" s="23" t="n"/>
      <c r="S154" s="23" t="n"/>
      <c r="T154" s="23" t="n"/>
      <c r="U154" s="23" t="n"/>
      <c r="V154" s="23" t="n"/>
      <c r="W154" s="23" t="n"/>
      <c r="X154" s="23" t="n"/>
      <c r="Y154" s="23" t="n"/>
      <c r="Z154" s="23" t="n"/>
    </row>
    <row r="155" ht="15.75" customHeight="1" s="86">
      <c r="A155" s="23" t="n"/>
      <c r="B155" s="23" t="n"/>
      <c r="C155" s="23" t="n"/>
      <c r="D155" s="23" t="n"/>
      <c r="E155" s="23" t="n"/>
      <c r="F155" s="23" t="n"/>
      <c r="G155" s="23" t="n"/>
      <c r="H155" s="23" t="n"/>
      <c r="I155" s="23" t="n"/>
      <c r="J155" s="23" t="n"/>
      <c r="K155" s="23" t="n"/>
      <c r="L155" s="23" t="n"/>
      <c r="M155" s="23" t="n"/>
      <c r="N155" s="23" t="n"/>
      <c r="O155" s="23" t="n"/>
      <c r="P155" s="23" t="n"/>
      <c r="Q155" s="23" t="n"/>
      <c r="R155" s="23" t="n"/>
      <c r="S155" s="23" t="n"/>
      <c r="T155" s="23" t="n"/>
      <c r="U155" s="23" t="n"/>
      <c r="V155" s="23" t="n"/>
      <c r="W155" s="23" t="n"/>
      <c r="X155" s="23" t="n"/>
      <c r="Y155" s="23" t="n"/>
      <c r="Z155" s="23" t="n"/>
    </row>
    <row r="156" ht="15.75" customHeight="1" s="86">
      <c r="A156" s="23" t="n"/>
      <c r="B156" s="23" t="n"/>
      <c r="C156" s="23" t="n"/>
      <c r="D156" s="23" t="n"/>
      <c r="E156" s="23" t="n"/>
      <c r="F156" s="23" t="n"/>
      <c r="G156" s="23" t="n"/>
      <c r="H156" s="23" t="n"/>
      <c r="I156" s="23" t="n"/>
      <c r="J156" s="23" t="n"/>
      <c r="K156" s="23" t="n"/>
      <c r="L156" s="23" t="n"/>
      <c r="M156" s="23" t="n"/>
      <c r="N156" s="23" t="n"/>
      <c r="O156" s="23" t="n"/>
      <c r="P156" s="23" t="n"/>
      <c r="Q156" s="23" t="n"/>
      <c r="R156" s="23" t="n"/>
      <c r="S156" s="23" t="n"/>
      <c r="T156" s="23" t="n"/>
      <c r="U156" s="23" t="n"/>
      <c r="V156" s="23" t="n"/>
      <c r="W156" s="23" t="n"/>
      <c r="X156" s="23" t="n"/>
      <c r="Y156" s="23" t="n"/>
      <c r="Z156" s="23" t="n"/>
    </row>
    <row r="157" ht="15.75" customHeight="1" s="86">
      <c r="A157" s="23" t="n"/>
      <c r="B157" s="23" t="n"/>
      <c r="C157" s="23" t="n"/>
      <c r="D157" s="23" t="n"/>
      <c r="E157" s="23" t="n"/>
      <c r="F157" s="23" t="n"/>
      <c r="G157" s="23" t="n"/>
      <c r="H157" s="23" t="n"/>
      <c r="I157" s="23" t="n"/>
      <c r="J157" s="23" t="n"/>
      <c r="K157" s="23" t="n"/>
      <c r="L157" s="23" t="n"/>
      <c r="M157" s="23" t="n"/>
      <c r="N157" s="23" t="n"/>
      <c r="O157" s="23" t="n"/>
      <c r="P157" s="23" t="n"/>
      <c r="Q157" s="23" t="n"/>
      <c r="R157" s="23" t="n"/>
      <c r="S157" s="23" t="n"/>
      <c r="T157" s="23" t="n"/>
      <c r="U157" s="23" t="n"/>
      <c r="V157" s="23" t="n"/>
      <c r="W157" s="23" t="n"/>
      <c r="X157" s="23" t="n"/>
      <c r="Y157" s="23" t="n"/>
      <c r="Z157" s="23" t="n"/>
    </row>
    <row r="158" ht="15.75" customHeight="1" s="86">
      <c r="A158" s="23" t="n"/>
      <c r="B158" s="23" t="n"/>
      <c r="C158" s="23" t="n"/>
      <c r="D158" s="23" t="n"/>
      <c r="E158" s="23" t="n"/>
      <c r="F158" s="23" t="n"/>
      <c r="G158" s="23" t="n"/>
      <c r="H158" s="23" t="n"/>
      <c r="I158" s="23" t="n"/>
      <c r="J158" s="23" t="n"/>
      <c r="K158" s="23" t="n"/>
      <c r="L158" s="23" t="n"/>
      <c r="M158" s="23" t="n"/>
      <c r="N158" s="23" t="n"/>
      <c r="O158" s="23" t="n"/>
      <c r="P158" s="23" t="n"/>
      <c r="Q158" s="23" t="n"/>
      <c r="R158" s="23" t="n"/>
      <c r="S158" s="23" t="n"/>
      <c r="T158" s="23" t="n"/>
      <c r="U158" s="23" t="n"/>
      <c r="V158" s="23" t="n"/>
      <c r="W158" s="23" t="n"/>
      <c r="X158" s="23" t="n"/>
      <c r="Y158" s="23" t="n"/>
      <c r="Z158" s="23" t="n"/>
    </row>
    <row r="159" ht="15.75" customHeight="1" s="86">
      <c r="A159" s="23" t="n"/>
      <c r="B159" s="23" t="n"/>
      <c r="C159" s="23" t="n"/>
      <c r="D159" s="23" t="n"/>
      <c r="E159" s="23" t="n"/>
      <c r="F159" s="23" t="n"/>
      <c r="G159" s="23" t="n"/>
      <c r="H159" s="23" t="n"/>
      <c r="I159" s="23" t="n"/>
      <c r="J159" s="23" t="n"/>
      <c r="K159" s="23" t="n"/>
      <c r="L159" s="23" t="n"/>
      <c r="M159" s="23" t="n"/>
      <c r="N159" s="23" t="n"/>
      <c r="O159" s="23" t="n"/>
      <c r="P159" s="23" t="n"/>
      <c r="Q159" s="23" t="n"/>
      <c r="R159" s="23" t="n"/>
      <c r="S159" s="23" t="n"/>
      <c r="T159" s="23" t="n"/>
      <c r="U159" s="23" t="n"/>
      <c r="V159" s="23" t="n"/>
      <c r="W159" s="23" t="n"/>
      <c r="X159" s="23" t="n"/>
      <c r="Y159" s="23" t="n"/>
      <c r="Z159" s="23" t="n"/>
    </row>
    <row r="160" ht="15.75" customHeight="1" s="86">
      <c r="A160" s="23" t="n"/>
      <c r="B160" s="23" t="n"/>
      <c r="C160" s="23" t="n"/>
      <c r="D160" s="23" t="n"/>
      <c r="E160" s="23" t="n"/>
      <c r="F160" s="23" t="n"/>
      <c r="G160" s="23" t="n"/>
      <c r="H160" s="23" t="n"/>
      <c r="I160" s="23" t="n"/>
      <c r="J160" s="23" t="n"/>
      <c r="K160" s="23" t="n"/>
      <c r="L160" s="23" t="n"/>
      <c r="M160" s="23" t="n"/>
      <c r="N160" s="23" t="n"/>
      <c r="O160" s="23" t="n"/>
      <c r="P160" s="23" t="n"/>
      <c r="Q160" s="23" t="n"/>
      <c r="R160" s="23" t="n"/>
      <c r="S160" s="23" t="n"/>
      <c r="T160" s="23" t="n"/>
      <c r="U160" s="23" t="n"/>
      <c r="V160" s="23" t="n"/>
      <c r="W160" s="23" t="n"/>
      <c r="X160" s="23" t="n"/>
      <c r="Y160" s="23" t="n"/>
      <c r="Z160" s="23" t="n"/>
    </row>
    <row r="161" ht="15.75" customHeight="1" s="86">
      <c r="A161" s="23" t="n"/>
      <c r="B161" s="23" t="n"/>
      <c r="C161" s="23" t="n"/>
      <c r="D161" s="23" t="n"/>
      <c r="E161" s="23" t="n"/>
      <c r="F161" s="23" t="n"/>
      <c r="G161" s="23" t="n"/>
      <c r="H161" s="23" t="n"/>
      <c r="I161" s="23" t="n"/>
      <c r="J161" s="23" t="n"/>
      <c r="K161" s="23" t="n"/>
      <c r="L161" s="23" t="n"/>
      <c r="M161" s="23" t="n"/>
      <c r="N161" s="23" t="n"/>
      <c r="O161" s="23" t="n"/>
      <c r="P161" s="23" t="n"/>
      <c r="Q161" s="23" t="n"/>
      <c r="R161" s="23" t="n"/>
      <c r="S161" s="23" t="n"/>
      <c r="T161" s="23" t="n"/>
      <c r="U161" s="23" t="n"/>
      <c r="V161" s="23" t="n"/>
      <c r="W161" s="23" t="n"/>
      <c r="X161" s="23" t="n"/>
      <c r="Y161" s="23" t="n"/>
      <c r="Z161" s="23" t="n"/>
    </row>
    <row r="162" ht="15.75" customHeight="1" s="86">
      <c r="A162" s="23" t="n"/>
      <c r="B162" s="23" t="n"/>
      <c r="C162" s="23" t="n"/>
      <c r="D162" s="23" t="n"/>
      <c r="E162" s="23" t="n"/>
      <c r="F162" s="23" t="n"/>
      <c r="G162" s="23" t="n"/>
      <c r="H162" s="23" t="n"/>
      <c r="I162" s="23" t="n"/>
      <c r="J162" s="23" t="n"/>
      <c r="K162" s="23" t="n"/>
      <c r="L162" s="23" t="n"/>
      <c r="M162" s="23" t="n"/>
      <c r="N162" s="23" t="n"/>
      <c r="O162" s="23" t="n"/>
      <c r="P162" s="23" t="n"/>
      <c r="Q162" s="23" t="n"/>
      <c r="R162" s="23" t="n"/>
      <c r="S162" s="23" t="n"/>
      <c r="T162" s="23" t="n"/>
      <c r="U162" s="23" t="n"/>
      <c r="V162" s="23" t="n"/>
      <c r="W162" s="23" t="n"/>
      <c r="X162" s="23" t="n"/>
      <c r="Y162" s="23" t="n"/>
      <c r="Z162" s="23" t="n"/>
    </row>
    <row r="163" ht="15.75" customHeight="1" s="86">
      <c r="A163" s="23" t="n"/>
      <c r="B163" s="23" t="n"/>
      <c r="C163" s="23" t="n"/>
      <c r="D163" s="23" t="n"/>
      <c r="E163" s="23" t="n"/>
      <c r="F163" s="23" t="n"/>
      <c r="G163" s="23" t="n"/>
      <c r="H163" s="23" t="n"/>
      <c r="I163" s="23" t="n"/>
      <c r="J163" s="23" t="n"/>
      <c r="K163" s="23" t="n"/>
      <c r="L163" s="23" t="n"/>
      <c r="M163" s="23" t="n"/>
      <c r="N163" s="23" t="n"/>
      <c r="O163" s="23" t="n"/>
      <c r="P163" s="23" t="n"/>
      <c r="Q163" s="23" t="n"/>
      <c r="R163" s="23" t="n"/>
      <c r="S163" s="23" t="n"/>
      <c r="T163" s="23" t="n"/>
      <c r="U163" s="23" t="n"/>
      <c r="V163" s="23" t="n"/>
      <c r="W163" s="23" t="n"/>
      <c r="X163" s="23" t="n"/>
      <c r="Y163" s="23" t="n"/>
      <c r="Z163" s="23" t="n"/>
    </row>
    <row r="164" ht="15.75" customHeight="1" s="86">
      <c r="A164" s="23" t="n"/>
      <c r="B164" s="23" t="n"/>
      <c r="C164" s="23" t="n"/>
      <c r="D164" s="23" t="n"/>
      <c r="E164" s="23" t="n"/>
      <c r="F164" s="23" t="n"/>
      <c r="G164" s="23" t="n"/>
      <c r="H164" s="23" t="n"/>
      <c r="I164" s="23" t="n"/>
      <c r="J164" s="23" t="n"/>
      <c r="K164" s="23" t="n"/>
      <c r="L164" s="23" t="n"/>
      <c r="M164" s="23" t="n"/>
      <c r="N164" s="23" t="n"/>
      <c r="O164" s="23" t="n"/>
      <c r="P164" s="23" t="n"/>
      <c r="Q164" s="23" t="n"/>
      <c r="R164" s="23" t="n"/>
      <c r="S164" s="23" t="n"/>
      <c r="T164" s="23" t="n"/>
      <c r="U164" s="23" t="n"/>
      <c r="V164" s="23" t="n"/>
      <c r="W164" s="23" t="n"/>
      <c r="X164" s="23" t="n"/>
      <c r="Y164" s="23" t="n"/>
      <c r="Z164" s="23" t="n"/>
    </row>
    <row r="165" ht="15.75" customHeight="1" s="86">
      <c r="A165" s="23" t="n"/>
      <c r="B165" s="23" t="n"/>
      <c r="C165" s="23" t="n"/>
      <c r="D165" s="23" t="n"/>
      <c r="E165" s="23" t="n"/>
      <c r="F165" s="23" t="n"/>
      <c r="G165" s="23" t="n"/>
      <c r="H165" s="23" t="n"/>
      <c r="I165" s="23" t="n"/>
      <c r="J165" s="23" t="n"/>
      <c r="K165" s="23" t="n"/>
      <c r="L165" s="23" t="n"/>
      <c r="M165" s="23" t="n"/>
      <c r="N165" s="23" t="n"/>
      <c r="O165" s="23" t="n"/>
      <c r="P165" s="23" t="n"/>
      <c r="Q165" s="23" t="n"/>
      <c r="R165" s="23" t="n"/>
      <c r="S165" s="23" t="n"/>
      <c r="T165" s="23" t="n"/>
      <c r="U165" s="23" t="n"/>
      <c r="V165" s="23" t="n"/>
      <c r="W165" s="23" t="n"/>
      <c r="X165" s="23" t="n"/>
      <c r="Y165" s="23" t="n"/>
      <c r="Z165" s="23" t="n"/>
    </row>
    <row r="166" ht="15.75" customHeight="1" s="86">
      <c r="A166" s="23" t="n"/>
      <c r="B166" s="23" t="n"/>
      <c r="C166" s="23" t="n"/>
      <c r="D166" s="23" t="n"/>
      <c r="E166" s="23" t="n"/>
      <c r="F166" s="23" t="n"/>
      <c r="G166" s="23" t="n"/>
      <c r="H166" s="23" t="n"/>
      <c r="I166" s="23" t="n"/>
      <c r="J166" s="23" t="n"/>
      <c r="K166" s="23" t="n"/>
      <c r="L166" s="23" t="n"/>
      <c r="M166" s="23" t="n"/>
      <c r="N166" s="23" t="n"/>
      <c r="O166" s="23" t="n"/>
      <c r="P166" s="23" t="n"/>
      <c r="Q166" s="23" t="n"/>
      <c r="R166" s="23" t="n"/>
      <c r="S166" s="23" t="n"/>
      <c r="T166" s="23" t="n"/>
      <c r="U166" s="23" t="n"/>
      <c r="V166" s="23" t="n"/>
      <c r="W166" s="23" t="n"/>
      <c r="X166" s="23" t="n"/>
      <c r="Y166" s="23" t="n"/>
      <c r="Z166" s="23" t="n"/>
    </row>
    <row r="167" ht="15.75" customHeight="1" s="86">
      <c r="A167" s="23" t="n"/>
      <c r="B167" s="23" t="n"/>
      <c r="C167" s="23" t="n"/>
      <c r="D167" s="23" t="n"/>
      <c r="E167" s="23" t="n"/>
      <c r="F167" s="23" t="n"/>
      <c r="G167" s="23" t="n"/>
      <c r="H167" s="23" t="n"/>
      <c r="I167" s="23" t="n"/>
      <c r="J167" s="23" t="n"/>
      <c r="K167" s="23" t="n"/>
      <c r="L167" s="23" t="n"/>
      <c r="M167" s="23" t="n"/>
      <c r="N167" s="23" t="n"/>
      <c r="O167" s="23" t="n"/>
      <c r="P167" s="23" t="n"/>
      <c r="Q167" s="23" t="n"/>
      <c r="R167" s="23" t="n"/>
      <c r="S167" s="23" t="n"/>
      <c r="T167" s="23" t="n"/>
      <c r="U167" s="23" t="n"/>
      <c r="V167" s="23" t="n"/>
      <c r="W167" s="23" t="n"/>
      <c r="X167" s="23" t="n"/>
      <c r="Y167" s="23" t="n"/>
      <c r="Z167" s="23" t="n"/>
    </row>
    <row r="168" ht="15.75" customHeight="1" s="86">
      <c r="A168" s="23" t="n"/>
      <c r="B168" s="23" t="n"/>
      <c r="C168" s="23" t="n"/>
      <c r="D168" s="23" t="n"/>
      <c r="E168" s="23" t="n"/>
      <c r="F168" s="23" t="n"/>
      <c r="G168" s="23" t="n"/>
      <c r="H168" s="23" t="n"/>
      <c r="I168" s="23" t="n"/>
      <c r="J168" s="23" t="n"/>
      <c r="K168" s="23" t="n"/>
      <c r="L168" s="23" t="n"/>
      <c r="M168" s="23" t="n"/>
      <c r="N168" s="23" t="n"/>
      <c r="O168" s="23" t="n"/>
      <c r="P168" s="23" t="n"/>
      <c r="Q168" s="23" t="n"/>
      <c r="R168" s="23" t="n"/>
      <c r="S168" s="23" t="n"/>
      <c r="T168" s="23" t="n"/>
      <c r="U168" s="23" t="n"/>
      <c r="V168" s="23" t="n"/>
      <c r="W168" s="23" t="n"/>
      <c r="X168" s="23" t="n"/>
      <c r="Y168" s="23" t="n"/>
      <c r="Z168" s="23" t="n"/>
    </row>
    <row r="169" ht="15.75" customHeight="1" s="86">
      <c r="A169" s="23" t="n"/>
      <c r="B169" s="23" t="n"/>
      <c r="C169" s="23" t="n"/>
      <c r="D169" s="23" t="n"/>
      <c r="E169" s="23" t="n"/>
      <c r="F169" s="23" t="n"/>
      <c r="G169" s="23" t="n"/>
      <c r="H169" s="23" t="n"/>
      <c r="I169" s="23" t="n"/>
      <c r="J169" s="23" t="n"/>
      <c r="K169" s="23" t="n"/>
      <c r="L169" s="23" t="n"/>
      <c r="M169" s="23" t="n"/>
      <c r="N169" s="23" t="n"/>
      <c r="O169" s="23" t="n"/>
      <c r="P169" s="23" t="n"/>
      <c r="Q169" s="23" t="n"/>
      <c r="R169" s="23" t="n"/>
      <c r="S169" s="23" t="n"/>
      <c r="T169" s="23" t="n"/>
      <c r="U169" s="23" t="n"/>
      <c r="V169" s="23" t="n"/>
      <c r="W169" s="23" t="n"/>
      <c r="X169" s="23" t="n"/>
      <c r="Y169" s="23" t="n"/>
      <c r="Z169" s="23" t="n"/>
    </row>
    <row r="170" ht="15.75" customHeight="1" s="86">
      <c r="A170" s="23" t="n"/>
      <c r="B170" s="23" t="n"/>
      <c r="C170" s="23" t="n"/>
      <c r="D170" s="23" t="n"/>
      <c r="E170" s="23" t="n"/>
      <c r="F170" s="23" t="n"/>
      <c r="G170" s="23" t="n"/>
      <c r="H170" s="23" t="n"/>
      <c r="I170" s="23" t="n"/>
      <c r="J170" s="23" t="n"/>
      <c r="K170" s="23" t="n"/>
      <c r="L170" s="23" t="n"/>
      <c r="M170" s="23" t="n"/>
      <c r="N170" s="23" t="n"/>
      <c r="O170" s="23" t="n"/>
      <c r="P170" s="23" t="n"/>
      <c r="Q170" s="23" t="n"/>
      <c r="R170" s="23" t="n"/>
      <c r="S170" s="23" t="n"/>
      <c r="T170" s="23" t="n"/>
      <c r="U170" s="23" t="n"/>
      <c r="V170" s="23" t="n"/>
      <c r="W170" s="23" t="n"/>
      <c r="X170" s="23" t="n"/>
      <c r="Y170" s="23" t="n"/>
      <c r="Z170" s="23" t="n"/>
    </row>
    <row r="171" ht="15.75" customHeight="1" s="86">
      <c r="A171" s="23" t="n"/>
      <c r="B171" s="23" t="n"/>
      <c r="C171" s="23" t="n"/>
      <c r="D171" s="23" t="n"/>
      <c r="E171" s="23" t="n"/>
      <c r="F171" s="23" t="n"/>
      <c r="G171" s="23" t="n"/>
      <c r="H171" s="23" t="n"/>
      <c r="I171" s="23" t="n"/>
      <c r="J171" s="23" t="n"/>
      <c r="K171" s="23" t="n"/>
      <c r="L171" s="23" t="n"/>
      <c r="M171" s="23" t="n"/>
      <c r="N171" s="23" t="n"/>
      <c r="O171" s="23" t="n"/>
      <c r="P171" s="23" t="n"/>
      <c r="Q171" s="23" t="n"/>
      <c r="R171" s="23" t="n"/>
      <c r="S171" s="23" t="n"/>
      <c r="T171" s="23" t="n"/>
      <c r="U171" s="23" t="n"/>
      <c r="V171" s="23" t="n"/>
      <c r="W171" s="23" t="n"/>
      <c r="X171" s="23" t="n"/>
      <c r="Y171" s="23" t="n"/>
      <c r="Z171" s="23" t="n"/>
    </row>
    <row r="172" ht="15.75" customHeight="1" s="86">
      <c r="A172" s="23" t="n"/>
      <c r="B172" s="23" t="n"/>
      <c r="C172" s="23" t="n"/>
      <c r="D172" s="23" t="n"/>
      <c r="E172" s="23" t="n"/>
      <c r="F172" s="23" t="n"/>
      <c r="G172" s="23" t="n"/>
      <c r="H172" s="23" t="n"/>
      <c r="I172" s="23" t="n"/>
      <c r="J172" s="23" t="n"/>
      <c r="K172" s="23" t="n"/>
      <c r="L172" s="23" t="n"/>
      <c r="M172" s="23" t="n"/>
      <c r="N172" s="23" t="n"/>
      <c r="O172" s="23" t="n"/>
      <c r="P172" s="23" t="n"/>
      <c r="Q172" s="23" t="n"/>
      <c r="R172" s="23" t="n"/>
      <c r="S172" s="23" t="n"/>
      <c r="T172" s="23" t="n"/>
      <c r="U172" s="23" t="n"/>
      <c r="V172" s="23" t="n"/>
      <c r="W172" s="23" t="n"/>
      <c r="X172" s="23" t="n"/>
      <c r="Y172" s="23" t="n"/>
      <c r="Z172" s="23" t="n"/>
    </row>
    <row r="173" ht="15.75" customHeight="1" s="86">
      <c r="A173" s="23" t="n"/>
      <c r="B173" s="23" t="n"/>
      <c r="C173" s="23" t="n"/>
      <c r="D173" s="23" t="n"/>
      <c r="E173" s="23" t="n"/>
      <c r="F173" s="23" t="n"/>
      <c r="G173" s="23" t="n"/>
      <c r="H173" s="23" t="n"/>
      <c r="I173" s="23" t="n"/>
      <c r="J173" s="23" t="n"/>
      <c r="K173" s="23" t="n"/>
      <c r="L173" s="23" t="n"/>
      <c r="M173" s="23" t="n"/>
      <c r="N173" s="23" t="n"/>
      <c r="O173" s="23" t="n"/>
      <c r="P173" s="23" t="n"/>
      <c r="Q173" s="23" t="n"/>
      <c r="R173" s="23" t="n"/>
      <c r="S173" s="23" t="n"/>
      <c r="T173" s="23" t="n"/>
      <c r="U173" s="23" t="n"/>
      <c r="V173" s="23" t="n"/>
      <c r="W173" s="23" t="n"/>
      <c r="X173" s="23" t="n"/>
      <c r="Y173" s="23" t="n"/>
      <c r="Z173" s="23" t="n"/>
    </row>
    <row r="174" ht="15.75" customHeight="1" s="86">
      <c r="A174" s="23" t="n"/>
      <c r="B174" s="23" t="n"/>
      <c r="C174" s="23" t="n"/>
      <c r="D174" s="23" t="n"/>
      <c r="E174" s="23" t="n"/>
      <c r="F174" s="23" t="n"/>
      <c r="G174" s="23" t="n"/>
      <c r="H174" s="23" t="n"/>
      <c r="I174" s="23" t="n"/>
      <c r="J174" s="23" t="n"/>
      <c r="K174" s="23" t="n"/>
      <c r="L174" s="23" t="n"/>
      <c r="M174" s="23" t="n"/>
      <c r="N174" s="23" t="n"/>
      <c r="O174" s="23" t="n"/>
      <c r="P174" s="23" t="n"/>
      <c r="Q174" s="23" t="n"/>
      <c r="R174" s="23" t="n"/>
      <c r="S174" s="23" t="n"/>
      <c r="T174" s="23" t="n"/>
      <c r="U174" s="23" t="n"/>
      <c r="V174" s="23" t="n"/>
      <c r="W174" s="23" t="n"/>
      <c r="X174" s="23" t="n"/>
      <c r="Y174" s="23" t="n"/>
      <c r="Z174" s="23" t="n"/>
    </row>
    <row r="175" ht="15.75" customHeight="1" s="86">
      <c r="A175" s="23" t="n"/>
      <c r="B175" s="23" t="n"/>
      <c r="C175" s="23" t="n"/>
      <c r="D175" s="23" t="n"/>
      <c r="E175" s="23" t="n"/>
      <c r="F175" s="23" t="n"/>
      <c r="G175" s="23" t="n"/>
      <c r="H175" s="23" t="n"/>
      <c r="I175" s="23" t="n"/>
      <c r="J175" s="23" t="n"/>
      <c r="K175" s="23" t="n"/>
      <c r="L175" s="23" t="n"/>
      <c r="M175" s="23" t="n"/>
      <c r="N175" s="23" t="n"/>
      <c r="O175" s="23" t="n"/>
      <c r="P175" s="23" t="n"/>
      <c r="Q175" s="23" t="n"/>
      <c r="R175" s="23" t="n"/>
      <c r="S175" s="23" t="n"/>
      <c r="T175" s="23" t="n"/>
      <c r="U175" s="23" t="n"/>
      <c r="V175" s="23" t="n"/>
      <c r="W175" s="23" t="n"/>
      <c r="X175" s="23" t="n"/>
      <c r="Y175" s="23" t="n"/>
      <c r="Z175" s="23" t="n"/>
    </row>
    <row r="176" ht="15.75" customHeight="1" s="86">
      <c r="A176" s="23" t="n"/>
      <c r="B176" s="23" t="n"/>
      <c r="C176" s="23" t="n"/>
      <c r="D176" s="23" t="n"/>
      <c r="E176" s="23" t="n"/>
      <c r="F176" s="23" t="n"/>
      <c r="G176" s="23" t="n"/>
      <c r="H176" s="23" t="n"/>
      <c r="I176" s="23" t="n"/>
      <c r="J176" s="23" t="n"/>
      <c r="K176" s="23" t="n"/>
      <c r="L176" s="23" t="n"/>
      <c r="M176" s="23" t="n"/>
      <c r="N176" s="23" t="n"/>
      <c r="O176" s="23" t="n"/>
      <c r="P176" s="23" t="n"/>
      <c r="Q176" s="23" t="n"/>
      <c r="R176" s="23" t="n"/>
      <c r="S176" s="23" t="n"/>
      <c r="T176" s="23" t="n"/>
      <c r="U176" s="23" t="n"/>
      <c r="V176" s="23" t="n"/>
      <c r="W176" s="23" t="n"/>
      <c r="X176" s="23" t="n"/>
      <c r="Y176" s="23" t="n"/>
      <c r="Z176" s="23" t="n"/>
    </row>
    <row r="177" ht="15.75" customHeight="1" s="86">
      <c r="A177" s="23" t="n"/>
      <c r="B177" s="23" t="n"/>
      <c r="C177" s="23" t="n"/>
      <c r="D177" s="23" t="n"/>
      <c r="E177" s="23" t="n"/>
      <c r="F177" s="23" t="n"/>
      <c r="G177" s="23" t="n"/>
      <c r="H177" s="23" t="n"/>
      <c r="I177" s="23" t="n"/>
      <c r="J177" s="23" t="n"/>
      <c r="K177" s="23" t="n"/>
      <c r="L177" s="23" t="n"/>
      <c r="M177" s="23" t="n"/>
      <c r="N177" s="23" t="n"/>
      <c r="O177" s="23" t="n"/>
      <c r="P177" s="23" t="n"/>
      <c r="Q177" s="23" t="n"/>
      <c r="R177" s="23" t="n"/>
      <c r="S177" s="23" t="n"/>
      <c r="T177" s="23" t="n"/>
      <c r="U177" s="23" t="n"/>
      <c r="V177" s="23" t="n"/>
      <c r="W177" s="23" t="n"/>
      <c r="X177" s="23" t="n"/>
      <c r="Y177" s="23" t="n"/>
      <c r="Z177" s="23" t="n"/>
    </row>
    <row r="178" ht="15.75" customHeight="1" s="86">
      <c r="A178" s="23" t="n"/>
      <c r="B178" s="23" t="n"/>
      <c r="C178" s="23" t="n"/>
      <c r="D178" s="23" t="n"/>
      <c r="E178" s="23" t="n"/>
      <c r="F178" s="23" t="n"/>
      <c r="G178" s="23" t="n"/>
      <c r="H178" s="23" t="n"/>
      <c r="I178" s="23" t="n"/>
      <c r="J178" s="23" t="n"/>
      <c r="K178" s="23" t="n"/>
      <c r="L178" s="23" t="n"/>
      <c r="M178" s="23" t="n"/>
      <c r="N178" s="23" t="n"/>
      <c r="O178" s="23" t="n"/>
      <c r="P178" s="23" t="n"/>
      <c r="Q178" s="23" t="n"/>
      <c r="R178" s="23" t="n"/>
      <c r="S178" s="23" t="n"/>
      <c r="T178" s="23" t="n"/>
      <c r="U178" s="23" t="n"/>
      <c r="V178" s="23" t="n"/>
      <c r="W178" s="23" t="n"/>
      <c r="X178" s="23" t="n"/>
      <c r="Y178" s="23" t="n"/>
      <c r="Z178" s="23" t="n"/>
    </row>
    <row r="179" ht="15.75" customHeight="1" s="86">
      <c r="A179" s="23" t="n"/>
      <c r="B179" s="23" t="n"/>
      <c r="C179" s="23" t="n"/>
      <c r="D179" s="23" t="n"/>
      <c r="E179" s="23" t="n"/>
      <c r="F179" s="23" t="n"/>
      <c r="G179" s="23" t="n"/>
      <c r="H179" s="23" t="n"/>
      <c r="I179" s="23" t="n"/>
      <c r="J179" s="23" t="n"/>
      <c r="K179" s="23" t="n"/>
      <c r="L179" s="23" t="n"/>
      <c r="M179" s="23" t="n"/>
      <c r="N179" s="23" t="n"/>
      <c r="O179" s="23" t="n"/>
      <c r="P179" s="23" t="n"/>
      <c r="Q179" s="23" t="n"/>
      <c r="R179" s="23" t="n"/>
      <c r="S179" s="23" t="n"/>
      <c r="T179" s="23" t="n"/>
      <c r="U179" s="23" t="n"/>
      <c r="V179" s="23" t="n"/>
      <c r="W179" s="23" t="n"/>
      <c r="X179" s="23" t="n"/>
      <c r="Y179" s="23" t="n"/>
      <c r="Z179" s="23" t="n"/>
    </row>
    <row r="180" ht="15.75" customHeight="1" s="86">
      <c r="A180" s="23" t="n"/>
      <c r="B180" s="23" t="n"/>
      <c r="C180" s="23" t="n"/>
      <c r="D180" s="23" t="n"/>
      <c r="E180" s="23" t="n"/>
      <c r="F180" s="23" t="n"/>
      <c r="G180" s="23" t="n"/>
      <c r="H180" s="23" t="n"/>
      <c r="I180" s="23" t="n"/>
      <c r="J180" s="23" t="n"/>
      <c r="K180" s="23" t="n"/>
      <c r="L180" s="23" t="n"/>
      <c r="M180" s="23" t="n"/>
      <c r="N180" s="23" t="n"/>
      <c r="O180" s="23" t="n"/>
      <c r="P180" s="23" t="n"/>
      <c r="Q180" s="23" t="n"/>
      <c r="R180" s="23" t="n"/>
      <c r="S180" s="23" t="n"/>
      <c r="T180" s="23" t="n"/>
      <c r="U180" s="23" t="n"/>
      <c r="V180" s="23" t="n"/>
      <c r="W180" s="23" t="n"/>
      <c r="X180" s="23" t="n"/>
      <c r="Y180" s="23" t="n"/>
      <c r="Z180" s="23" t="n"/>
    </row>
    <row r="181" ht="15.75" customHeight="1" s="86">
      <c r="A181" s="23" t="n"/>
      <c r="B181" s="23" t="n"/>
      <c r="C181" s="23" t="n"/>
      <c r="D181" s="23" t="n"/>
      <c r="E181" s="23" t="n"/>
      <c r="F181" s="23" t="n"/>
      <c r="G181" s="23" t="n"/>
      <c r="H181" s="23" t="n"/>
      <c r="I181" s="23" t="n"/>
      <c r="J181" s="23" t="n"/>
      <c r="K181" s="23" t="n"/>
      <c r="L181" s="23" t="n"/>
      <c r="M181" s="23" t="n"/>
      <c r="N181" s="23" t="n"/>
      <c r="O181" s="23" t="n"/>
      <c r="P181" s="23" t="n"/>
      <c r="Q181" s="23" t="n"/>
      <c r="R181" s="23" t="n"/>
      <c r="S181" s="23" t="n"/>
      <c r="T181" s="23" t="n"/>
      <c r="U181" s="23" t="n"/>
      <c r="V181" s="23" t="n"/>
      <c r="W181" s="23" t="n"/>
      <c r="X181" s="23" t="n"/>
      <c r="Y181" s="23" t="n"/>
      <c r="Z181" s="23" t="n"/>
    </row>
    <row r="182" ht="15.75" customHeight="1" s="86">
      <c r="A182" s="23" t="n"/>
      <c r="B182" s="23" t="n"/>
      <c r="C182" s="23" t="n"/>
      <c r="D182" s="23" t="n"/>
      <c r="E182" s="23" t="n"/>
      <c r="F182" s="23" t="n"/>
      <c r="G182" s="23" t="n"/>
      <c r="H182" s="23" t="n"/>
      <c r="I182" s="23" t="n"/>
      <c r="J182" s="23" t="n"/>
      <c r="K182" s="23" t="n"/>
      <c r="L182" s="23" t="n"/>
      <c r="M182" s="23" t="n"/>
      <c r="N182" s="23" t="n"/>
      <c r="O182" s="23" t="n"/>
      <c r="P182" s="23" t="n"/>
      <c r="Q182" s="23" t="n"/>
      <c r="R182" s="23" t="n"/>
      <c r="S182" s="23" t="n"/>
      <c r="T182" s="23" t="n"/>
      <c r="U182" s="23" t="n"/>
      <c r="V182" s="23" t="n"/>
      <c r="W182" s="23" t="n"/>
      <c r="X182" s="23" t="n"/>
      <c r="Y182" s="23" t="n"/>
      <c r="Z182" s="23" t="n"/>
    </row>
    <row r="183" ht="15.75" customHeight="1" s="86">
      <c r="A183" s="23" t="n"/>
      <c r="B183" s="23" t="n"/>
      <c r="C183" s="23" t="n"/>
      <c r="D183" s="23" t="n"/>
      <c r="E183" s="23" t="n"/>
      <c r="F183" s="23" t="n"/>
      <c r="G183" s="23" t="n"/>
      <c r="H183" s="23" t="n"/>
      <c r="I183" s="23" t="n"/>
      <c r="J183" s="23" t="n"/>
      <c r="K183" s="23" t="n"/>
      <c r="L183" s="23" t="n"/>
      <c r="M183" s="23" t="n"/>
      <c r="N183" s="23" t="n"/>
      <c r="O183" s="23" t="n"/>
      <c r="P183" s="23" t="n"/>
      <c r="Q183" s="23" t="n"/>
      <c r="R183" s="23" t="n"/>
      <c r="S183" s="23" t="n"/>
      <c r="T183" s="23" t="n"/>
      <c r="U183" s="23" t="n"/>
      <c r="V183" s="23" t="n"/>
      <c r="W183" s="23" t="n"/>
      <c r="X183" s="23" t="n"/>
      <c r="Y183" s="23" t="n"/>
      <c r="Z183" s="23" t="n"/>
    </row>
    <row r="184" ht="15.75" customHeight="1" s="86">
      <c r="A184" s="23" t="n"/>
      <c r="B184" s="23" t="n"/>
      <c r="C184" s="23" t="n"/>
      <c r="D184" s="23" t="n"/>
      <c r="E184" s="23" t="n"/>
      <c r="F184" s="23" t="n"/>
      <c r="G184" s="23" t="n"/>
      <c r="H184" s="23" t="n"/>
      <c r="I184" s="23" t="n"/>
      <c r="J184" s="23" t="n"/>
      <c r="K184" s="23" t="n"/>
      <c r="L184" s="23" t="n"/>
      <c r="M184" s="23" t="n"/>
      <c r="N184" s="23" t="n"/>
      <c r="O184" s="23" t="n"/>
      <c r="P184" s="23" t="n"/>
      <c r="Q184" s="23" t="n"/>
      <c r="R184" s="23" t="n"/>
      <c r="S184" s="23" t="n"/>
      <c r="T184" s="23" t="n"/>
      <c r="U184" s="23" t="n"/>
      <c r="V184" s="23" t="n"/>
      <c r="W184" s="23" t="n"/>
      <c r="X184" s="23" t="n"/>
      <c r="Y184" s="23" t="n"/>
      <c r="Z184" s="23" t="n"/>
    </row>
    <row r="185" ht="15.75" customHeight="1" s="86">
      <c r="A185" s="23" t="n"/>
      <c r="B185" s="23" t="n"/>
      <c r="C185" s="23" t="n"/>
      <c r="D185" s="23" t="n"/>
      <c r="E185" s="23" t="n"/>
      <c r="F185" s="23" t="n"/>
      <c r="G185" s="23" t="n"/>
      <c r="H185" s="23" t="n"/>
      <c r="I185" s="23" t="n"/>
      <c r="J185" s="23" t="n"/>
      <c r="K185" s="23" t="n"/>
      <c r="L185" s="23" t="n"/>
      <c r="M185" s="23" t="n"/>
      <c r="N185" s="23" t="n"/>
      <c r="O185" s="23" t="n"/>
      <c r="P185" s="23" t="n"/>
      <c r="Q185" s="23" t="n"/>
      <c r="R185" s="23" t="n"/>
      <c r="S185" s="23" t="n"/>
      <c r="T185" s="23" t="n"/>
      <c r="U185" s="23" t="n"/>
      <c r="V185" s="23" t="n"/>
      <c r="W185" s="23" t="n"/>
      <c r="X185" s="23" t="n"/>
      <c r="Y185" s="23" t="n"/>
      <c r="Z185" s="23" t="n"/>
    </row>
    <row r="186" ht="15.75" customHeight="1" s="86">
      <c r="A186" s="23" t="n"/>
      <c r="B186" s="23" t="n"/>
      <c r="C186" s="23" t="n"/>
      <c r="D186" s="23" t="n"/>
      <c r="E186" s="23" t="n"/>
      <c r="F186" s="23" t="n"/>
      <c r="G186" s="23" t="n"/>
      <c r="H186" s="23" t="n"/>
      <c r="I186" s="23" t="n"/>
      <c r="J186" s="23" t="n"/>
      <c r="K186" s="23" t="n"/>
      <c r="L186" s="23" t="n"/>
      <c r="M186" s="23" t="n"/>
      <c r="N186" s="23" t="n"/>
      <c r="O186" s="23" t="n"/>
      <c r="P186" s="23" t="n"/>
      <c r="Q186" s="23" t="n"/>
      <c r="R186" s="23" t="n"/>
      <c r="S186" s="23" t="n"/>
      <c r="T186" s="23" t="n"/>
      <c r="U186" s="23" t="n"/>
      <c r="V186" s="23" t="n"/>
      <c r="W186" s="23" t="n"/>
      <c r="X186" s="23" t="n"/>
      <c r="Y186" s="23" t="n"/>
      <c r="Z186" s="23" t="n"/>
    </row>
    <row r="187" ht="15.75" customHeight="1" s="86">
      <c r="A187" s="23" t="n"/>
      <c r="B187" s="23" t="n"/>
      <c r="C187" s="23" t="n"/>
      <c r="D187" s="23" t="n"/>
      <c r="E187" s="23" t="n"/>
      <c r="F187" s="23" t="n"/>
      <c r="G187" s="23" t="n"/>
      <c r="H187" s="23" t="n"/>
      <c r="I187" s="23" t="n"/>
      <c r="J187" s="23" t="n"/>
      <c r="K187" s="23" t="n"/>
      <c r="L187" s="23" t="n"/>
      <c r="M187" s="23" t="n"/>
      <c r="N187" s="23" t="n"/>
      <c r="O187" s="23" t="n"/>
      <c r="P187" s="23" t="n"/>
      <c r="Q187" s="23" t="n"/>
      <c r="R187" s="23" t="n"/>
      <c r="S187" s="23" t="n"/>
      <c r="T187" s="23" t="n"/>
      <c r="U187" s="23" t="n"/>
      <c r="V187" s="23" t="n"/>
      <c r="W187" s="23" t="n"/>
      <c r="X187" s="23" t="n"/>
      <c r="Y187" s="23" t="n"/>
      <c r="Z187" s="23" t="n"/>
    </row>
    <row r="188" ht="15.75" customHeight="1" s="86">
      <c r="A188" s="23" t="n"/>
      <c r="B188" s="23" t="n"/>
      <c r="C188" s="23" t="n"/>
      <c r="D188" s="23" t="n"/>
      <c r="E188" s="23" t="n"/>
      <c r="F188" s="23" t="n"/>
      <c r="G188" s="23" t="n"/>
      <c r="H188" s="23" t="n"/>
      <c r="I188" s="23" t="n"/>
      <c r="J188" s="23" t="n"/>
      <c r="K188" s="23" t="n"/>
      <c r="L188" s="23" t="n"/>
      <c r="M188" s="23" t="n"/>
      <c r="N188" s="23" t="n"/>
      <c r="O188" s="23" t="n"/>
      <c r="P188" s="23" t="n"/>
      <c r="Q188" s="23" t="n"/>
      <c r="R188" s="23" t="n"/>
      <c r="S188" s="23" t="n"/>
      <c r="T188" s="23" t="n"/>
      <c r="U188" s="23" t="n"/>
      <c r="V188" s="23" t="n"/>
      <c r="W188" s="23" t="n"/>
      <c r="X188" s="23" t="n"/>
      <c r="Y188" s="23" t="n"/>
      <c r="Z188" s="23" t="n"/>
    </row>
    <row r="189" ht="15.75" customHeight="1" s="86">
      <c r="A189" s="23" t="n"/>
      <c r="B189" s="23" t="n"/>
      <c r="C189" s="23" t="n"/>
      <c r="D189" s="23" t="n"/>
      <c r="E189" s="23" t="n"/>
      <c r="F189" s="23" t="n"/>
      <c r="G189" s="23" t="n"/>
      <c r="H189" s="23" t="n"/>
      <c r="I189" s="23" t="n"/>
      <c r="J189" s="23" t="n"/>
      <c r="K189" s="23" t="n"/>
      <c r="L189" s="23" t="n"/>
      <c r="M189" s="23" t="n"/>
      <c r="N189" s="23" t="n"/>
      <c r="O189" s="23" t="n"/>
      <c r="P189" s="23" t="n"/>
      <c r="Q189" s="23" t="n"/>
      <c r="R189" s="23" t="n"/>
      <c r="S189" s="23" t="n"/>
      <c r="T189" s="23" t="n"/>
      <c r="U189" s="23" t="n"/>
      <c r="V189" s="23" t="n"/>
      <c r="W189" s="23" t="n"/>
      <c r="X189" s="23" t="n"/>
      <c r="Y189" s="23" t="n"/>
      <c r="Z189" s="23" t="n"/>
    </row>
    <row r="190" ht="15.75" customHeight="1" s="86">
      <c r="A190" s="23" t="n"/>
      <c r="B190" s="23" t="n"/>
      <c r="C190" s="23" t="n"/>
      <c r="D190" s="23" t="n"/>
      <c r="E190" s="23" t="n"/>
      <c r="F190" s="23" t="n"/>
      <c r="G190" s="23" t="n"/>
      <c r="H190" s="23" t="n"/>
      <c r="I190" s="23" t="n"/>
      <c r="J190" s="23" t="n"/>
      <c r="K190" s="23" t="n"/>
      <c r="L190" s="23" t="n"/>
      <c r="M190" s="23" t="n"/>
      <c r="N190" s="23" t="n"/>
      <c r="O190" s="23" t="n"/>
      <c r="P190" s="23" t="n"/>
      <c r="Q190" s="23" t="n"/>
      <c r="R190" s="23" t="n"/>
      <c r="S190" s="23" t="n"/>
      <c r="T190" s="23" t="n"/>
      <c r="U190" s="23" t="n"/>
      <c r="V190" s="23" t="n"/>
      <c r="W190" s="23" t="n"/>
      <c r="X190" s="23" t="n"/>
      <c r="Y190" s="23" t="n"/>
      <c r="Z190" s="23" t="n"/>
    </row>
    <row r="191" ht="15.75" customHeight="1" s="86">
      <c r="A191" s="23" t="n"/>
      <c r="B191" s="23" t="n"/>
      <c r="C191" s="23" t="n"/>
      <c r="D191" s="23" t="n"/>
      <c r="E191" s="23" t="n"/>
      <c r="F191" s="23" t="n"/>
      <c r="G191" s="23" t="n"/>
      <c r="H191" s="23" t="n"/>
      <c r="I191" s="23" t="n"/>
      <c r="J191" s="23" t="n"/>
      <c r="K191" s="23" t="n"/>
      <c r="L191" s="23" t="n"/>
      <c r="M191" s="23" t="n"/>
      <c r="N191" s="23" t="n"/>
      <c r="O191" s="23" t="n"/>
      <c r="P191" s="23" t="n"/>
      <c r="Q191" s="23" t="n"/>
      <c r="R191" s="23" t="n"/>
      <c r="S191" s="23" t="n"/>
      <c r="T191" s="23" t="n"/>
      <c r="U191" s="23" t="n"/>
      <c r="V191" s="23" t="n"/>
      <c r="W191" s="23" t="n"/>
      <c r="X191" s="23" t="n"/>
      <c r="Y191" s="23" t="n"/>
      <c r="Z191" s="23" t="n"/>
    </row>
    <row r="192" ht="15.75" customHeight="1" s="86">
      <c r="A192" s="23" t="n"/>
      <c r="B192" s="23" t="n"/>
      <c r="C192" s="23" t="n"/>
      <c r="D192" s="23" t="n"/>
      <c r="E192" s="23" t="n"/>
      <c r="F192" s="23" t="n"/>
      <c r="G192" s="23" t="n"/>
      <c r="H192" s="23" t="n"/>
      <c r="I192" s="23" t="n"/>
      <c r="J192" s="23" t="n"/>
      <c r="K192" s="23" t="n"/>
      <c r="L192" s="23" t="n"/>
      <c r="M192" s="23" t="n"/>
      <c r="N192" s="23" t="n"/>
      <c r="O192" s="23" t="n"/>
      <c r="P192" s="23" t="n"/>
      <c r="Q192" s="23" t="n"/>
      <c r="R192" s="23" t="n"/>
      <c r="S192" s="23" t="n"/>
      <c r="T192" s="23" t="n"/>
      <c r="U192" s="23" t="n"/>
      <c r="V192" s="23" t="n"/>
      <c r="W192" s="23" t="n"/>
      <c r="X192" s="23" t="n"/>
      <c r="Y192" s="23" t="n"/>
      <c r="Z192" s="23" t="n"/>
    </row>
    <row r="193" ht="15.75" customHeight="1" s="86">
      <c r="A193" s="23" t="n"/>
      <c r="B193" s="23" t="n"/>
      <c r="C193" s="23" t="n"/>
      <c r="D193" s="23" t="n"/>
      <c r="E193" s="23" t="n"/>
      <c r="F193" s="23" t="n"/>
      <c r="G193" s="23" t="n"/>
      <c r="H193" s="23" t="n"/>
      <c r="I193" s="23" t="n"/>
      <c r="J193" s="23" t="n"/>
      <c r="K193" s="23" t="n"/>
      <c r="L193" s="23" t="n"/>
      <c r="M193" s="23" t="n"/>
      <c r="N193" s="23" t="n"/>
      <c r="O193" s="23" t="n"/>
      <c r="P193" s="23" t="n"/>
      <c r="Q193" s="23" t="n"/>
      <c r="R193" s="23" t="n"/>
      <c r="S193" s="23" t="n"/>
      <c r="T193" s="23" t="n"/>
      <c r="U193" s="23" t="n"/>
      <c r="V193" s="23" t="n"/>
      <c r="W193" s="23" t="n"/>
      <c r="X193" s="23" t="n"/>
      <c r="Y193" s="23" t="n"/>
      <c r="Z193" s="23" t="n"/>
    </row>
    <row r="194" ht="15.75" customHeight="1" s="86">
      <c r="A194" s="23" t="n"/>
      <c r="B194" s="23" t="n"/>
      <c r="C194" s="23" t="n"/>
      <c r="D194" s="23" t="n"/>
      <c r="E194" s="23" t="n"/>
      <c r="F194" s="23" t="n"/>
      <c r="G194" s="23" t="n"/>
      <c r="H194" s="23" t="n"/>
      <c r="I194" s="23" t="n"/>
      <c r="J194" s="23" t="n"/>
      <c r="K194" s="23" t="n"/>
      <c r="L194" s="23" t="n"/>
      <c r="M194" s="23" t="n"/>
      <c r="N194" s="23" t="n"/>
      <c r="O194" s="23" t="n"/>
      <c r="P194" s="23" t="n"/>
      <c r="Q194" s="23" t="n"/>
      <c r="R194" s="23" t="n"/>
      <c r="S194" s="23" t="n"/>
      <c r="T194" s="23" t="n"/>
      <c r="U194" s="23" t="n"/>
      <c r="V194" s="23" t="n"/>
      <c r="W194" s="23" t="n"/>
      <c r="X194" s="23" t="n"/>
      <c r="Y194" s="23" t="n"/>
      <c r="Z194" s="23" t="n"/>
    </row>
    <row r="195" ht="15.75" customHeight="1" s="86">
      <c r="A195" s="23" t="n"/>
      <c r="B195" s="23" t="n"/>
      <c r="C195" s="23" t="n"/>
      <c r="D195" s="23" t="n"/>
      <c r="E195" s="23" t="n"/>
      <c r="F195" s="23" t="n"/>
      <c r="G195" s="23" t="n"/>
      <c r="H195" s="23" t="n"/>
      <c r="I195" s="23" t="n"/>
      <c r="J195" s="23" t="n"/>
      <c r="K195" s="23" t="n"/>
      <c r="L195" s="23" t="n"/>
      <c r="M195" s="23" t="n"/>
      <c r="N195" s="23" t="n"/>
      <c r="O195" s="23" t="n"/>
      <c r="P195" s="23" t="n"/>
      <c r="Q195" s="23" t="n"/>
      <c r="R195" s="23" t="n"/>
      <c r="S195" s="23" t="n"/>
      <c r="T195" s="23" t="n"/>
      <c r="U195" s="23" t="n"/>
      <c r="V195" s="23" t="n"/>
      <c r="W195" s="23" t="n"/>
      <c r="X195" s="23" t="n"/>
      <c r="Y195" s="23" t="n"/>
      <c r="Z195" s="23" t="n"/>
    </row>
    <row r="196" ht="15.75" customHeight="1" s="86">
      <c r="A196" s="23" t="n"/>
      <c r="B196" s="23" t="n"/>
      <c r="C196" s="23" t="n"/>
      <c r="D196" s="23" t="n"/>
      <c r="E196" s="23" t="n"/>
      <c r="F196" s="23" t="n"/>
      <c r="G196" s="23" t="n"/>
      <c r="H196" s="23" t="n"/>
      <c r="I196" s="23" t="n"/>
      <c r="J196" s="23" t="n"/>
      <c r="K196" s="23" t="n"/>
      <c r="L196" s="23" t="n"/>
      <c r="M196" s="23" t="n"/>
      <c r="N196" s="23" t="n"/>
      <c r="O196" s="23" t="n"/>
      <c r="P196" s="23" t="n"/>
      <c r="Q196" s="23" t="n"/>
      <c r="R196" s="23" t="n"/>
      <c r="S196" s="23" t="n"/>
      <c r="T196" s="23" t="n"/>
      <c r="U196" s="23" t="n"/>
      <c r="V196" s="23" t="n"/>
      <c r="W196" s="23" t="n"/>
      <c r="X196" s="23" t="n"/>
      <c r="Y196" s="23" t="n"/>
      <c r="Z196" s="23" t="n"/>
    </row>
    <row r="197" ht="15.75" customHeight="1" s="86">
      <c r="A197" s="23" t="n"/>
      <c r="B197" s="23" t="n"/>
      <c r="C197" s="23" t="n"/>
      <c r="D197" s="23" t="n"/>
      <c r="E197" s="23" t="n"/>
      <c r="F197" s="23" t="n"/>
      <c r="G197" s="23" t="n"/>
      <c r="H197" s="23" t="n"/>
      <c r="I197" s="23" t="n"/>
      <c r="J197" s="23" t="n"/>
      <c r="K197" s="23" t="n"/>
      <c r="L197" s="23" t="n"/>
      <c r="M197" s="23" t="n"/>
      <c r="N197" s="23" t="n"/>
      <c r="O197" s="23" t="n"/>
      <c r="P197" s="23" t="n"/>
      <c r="Q197" s="23" t="n"/>
      <c r="R197" s="23" t="n"/>
      <c r="S197" s="23" t="n"/>
      <c r="T197" s="23" t="n"/>
      <c r="U197" s="23" t="n"/>
      <c r="V197" s="23" t="n"/>
      <c r="W197" s="23" t="n"/>
      <c r="X197" s="23" t="n"/>
      <c r="Y197" s="23" t="n"/>
      <c r="Z197" s="23" t="n"/>
    </row>
    <row r="198" ht="15.75" customHeight="1" s="86">
      <c r="A198" s="23" t="n"/>
      <c r="B198" s="23" t="n"/>
      <c r="C198" s="23" t="n"/>
      <c r="D198" s="23" t="n"/>
      <c r="E198" s="23" t="n"/>
      <c r="F198" s="23" t="n"/>
      <c r="G198" s="23" t="n"/>
      <c r="H198" s="23" t="n"/>
      <c r="I198" s="23" t="n"/>
      <c r="J198" s="23" t="n"/>
      <c r="K198" s="23" t="n"/>
      <c r="L198" s="23" t="n"/>
      <c r="M198" s="23" t="n"/>
      <c r="N198" s="23" t="n"/>
      <c r="O198" s="23" t="n"/>
      <c r="P198" s="23" t="n"/>
      <c r="Q198" s="23" t="n"/>
      <c r="R198" s="23" t="n"/>
      <c r="S198" s="23" t="n"/>
      <c r="T198" s="23" t="n"/>
      <c r="U198" s="23" t="n"/>
      <c r="V198" s="23" t="n"/>
      <c r="W198" s="23" t="n"/>
      <c r="X198" s="23" t="n"/>
      <c r="Y198" s="23" t="n"/>
      <c r="Z198" s="23" t="n"/>
    </row>
    <row r="199" ht="15.75" customHeight="1" s="86">
      <c r="A199" s="23" t="n"/>
      <c r="B199" s="23" t="n"/>
      <c r="C199" s="23" t="n"/>
      <c r="D199" s="23" t="n"/>
      <c r="E199" s="23" t="n"/>
      <c r="F199" s="23" t="n"/>
      <c r="G199" s="23" t="n"/>
      <c r="H199" s="23" t="n"/>
      <c r="I199" s="23" t="n"/>
      <c r="J199" s="23" t="n"/>
      <c r="K199" s="23" t="n"/>
      <c r="L199" s="23" t="n"/>
      <c r="M199" s="23" t="n"/>
      <c r="N199" s="23" t="n"/>
      <c r="O199" s="23" t="n"/>
      <c r="P199" s="23" t="n"/>
      <c r="Q199" s="23" t="n"/>
      <c r="R199" s="23" t="n"/>
      <c r="S199" s="23" t="n"/>
      <c r="T199" s="23" t="n"/>
      <c r="U199" s="23" t="n"/>
      <c r="V199" s="23" t="n"/>
      <c r="W199" s="23" t="n"/>
      <c r="X199" s="23" t="n"/>
      <c r="Y199" s="23" t="n"/>
      <c r="Z199" s="23" t="n"/>
    </row>
    <row r="200" ht="15.75" customHeight="1" s="86">
      <c r="A200" s="23" t="n"/>
      <c r="B200" s="23" t="n"/>
      <c r="C200" s="23" t="n"/>
      <c r="D200" s="23" t="n"/>
      <c r="E200" s="23" t="n"/>
      <c r="F200" s="23" t="n"/>
      <c r="G200" s="23" t="n"/>
      <c r="H200" s="23" t="n"/>
      <c r="I200" s="23" t="n"/>
      <c r="J200" s="23" t="n"/>
      <c r="K200" s="23" t="n"/>
      <c r="L200" s="23" t="n"/>
      <c r="M200" s="23" t="n"/>
      <c r="N200" s="23" t="n"/>
      <c r="O200" s="23" t="n"/>
      <c r="P200" s="23" t="n"/>
      <c r="Q200" s="23" t="n"/>
      <c r="R200" s="23" t="n"/>
      <c r="S200" s="23" t="n"/>
      <c r="T200" s="23" t="n"/>
      <c r="U200" s="23" t="n"/>
      <c r="V200" s="23" t="n"/>
      <c r="W200" s="23" t="n"/>
      <c r="X200" s="23" t="n"/>
      <c r="Y200" s="23" t="n"/>
      <c r="Z200" s="23" t="n"/>
    </row>
    <row r="201" ht="15.75" customHeight="1" s="86">
      <c r="A201" s="23" t="n"/>
      <c r="B201" s="23" t="n"/>
      <c r="C201" s="23" t="n"/>
      <c r="D201" s="23" t="n"/>
      <c r="E201" s="23" t="n"/>
      <c r="F201" s="23" t="n"/>
      <c r="G201" s="23" t="n"/>
      <c r="H201" s="23" t="n"/>
      <c r="I201" s="23" t="n"/>
      <c r="J201" s="23" t="n"/>
      <c r="K201" s="23" t="n"/>
      <c r="L201" s="23" t="n"/>
      <c r="M201" s="23" t="n"/>
      <c r="N201" s="23" t="n"/>
      <c r="O201" s="23" t="n"/>
      <c r="P201" s="23" t="n"/>
      <c r="Q201" s="23" t="n"/>
      <c r="R201" s="23" t="n"/>
      <c r="S201" s="23" t="n"/>
      <c r="T201" s="23" t="n"/>
      <c r="U201" s="23" t="n"/>
      <c r="V201" s="23" t="n"/>
      <c r="W201" s="23" t="n"/>
      <c r="X201" s="23" t="n"/>
      <c r="Y201" s="23" t="n"/>
      <c r="Z201" s="23" t="n"/>
    </row>
    <row r="202" ht="15.75" customHeight="1" s="86">
      <c r="A202" s="23" t="n"/>
      <c r="B202" s="23" t="n"/>
      <c r="C202" s="23" t="n"/>
      <c r="D202" s="23" t="n"/>
      <c r="E202" s="23" t="n"/>
      <c r="F202" s="23" t="n"/>
      <c r="G202" s="23" t="n"/>
      <c r="H202" s="23" t="n"/>
      <c r="I202" s="23" t="n"/>
      <c r="J202" s="23" t="n"/>
      <c r="K202" s="23" t="n"/>
      <c r="L202" s="23" t="n"/>
      <c r="M202" s="23" t="n"/>
      <c r="N202" s="23" t="n"/>
      <c r="O202" s="23" t="n"/>
      <c r="P202" s="23" t="n"/>
      <c r="Q202" s="23" t="n"/>
      <c r="R202" s="23" t="n"/>
      <c r="S202" s="23" t="n"/>
      <c r="T202" s="23" t="n"/>
      <c r="U202" s="23" t="n"/>
      <c r="V202" s="23" t="n"/>
      <c r="W202" s="23" t="n"/>
      <c r="X202" s="23" t="n"/>
      <c r="Y202" s="23" t="n"/>
      <c r="Z202" s="23" t="n"/>
    </row>
    <row r="203" ht="15.75" customHeight="1" s="86">
      <c r="A203" s="23" t="n"/>
      <c r="B203" s="23" t="n"/>
      <c r="C203" s="23" t="n"/>
      <c r="D203" s="23" t="n"/>
      <c r="E203" s="23" t="n"/>
      <c r="F203" s="23" t="n"/>
      <c r="G203" s="23" t="n"/>
      <c r="H203" s="23" t="n"/>
      <c r="I203" s="23" t="n"/>
      <c r="J203" s="23" t="n"/>
      <c r="K203" s="23" t="n"/>
      <c r="L203" s="23" t="n"/>
      <c r="M203" s="23" t="n"/>
      <c r="N203" s="23" t="n"/>
      <c r="O203" s="23" t="n"/>
      <c r="P203" s="23" t="n"/>
      <c r="Q203" s="23" t="n"/>
      <c r="R203" s="23" t="n"/>
      <c r="S203" s="23" t="n"/>
      <c r="T203" s="23" t="n"/>
      <c r="U203" s="23" t="n"/>
      <c r="V203" s="23" t="n"/>
      <c r="W203" s="23" t="n"/>
      <c r="X203" s="23" t="n"/>
      <c r="Y203" s="23" t="n"/>
      <c r="Z203" s="23" t="n"/>
    </row>
    <row r="204" ht="15.75" customHeight="1" s="86">
      <c r="A204" s="23" t="n"/>
      <c r="B204" s="23" t="n"/>
      <c r="C204" s="23" t="n"/>
      <c r="D204" s="23" t="n"/>
      <c r="E204" s="23" t="n"/>
      <c r="F204" s="23" t="n"/>
      <c r="G204" s="23" t="n"/>
      <c r="H204" s="23" t="n"/>
      <c r="I204" s="23" t="n"/>
      <c r="J204" s="23" t="n"/>
      <c r="K204" s="23" t="n"/>
      <c r="L204" s="23" t="n"/>
      <c r="M204" s="23" t="n"/>
      <c r="N204" s="23" t="n"/>
      <c r="O204" s="23" t="n"/>
      <c r="P204" s="23" t="n"/>
      <c r="Q204" s="23" t="n"/>
      <c r="R204" s="23" t="n"/>
      <c r="S204" s="23" t="n"/>
      <c r="T204" s="23" t="n"/>
      <c r="U204" s="23" t="n"/>
      <c r="V204" s="23" t="n"/>
      <c r="W204" s="23" t="n"/>
      <c r="X204" s="23" t="n"/>
      <c r="Y204" s="23" t="n"/>
      <c r="Z204" s="23" t="n"/>
    </row>
    <row r="205" ht="15.75" customHeight="1" s="86">
      <c r="A205" s="23" t="n"/>
      <c r="B205" s="23" t="n"/>
      <c r="C205" s="23" t="n"/>
      <c r="D205" s="23" t="n"/>
      <c r="E205" s="23" t="n"/>
      <c r="F205" s="23" t="n"/>
      <c r="G205" s="23" t="n"/>
      <c r="H205" s="23" t="n"/>
      <c r="I205" s="23" t="n"/>
      <c r="J205" s="23" t="n"/>
      <c r="K205" s="23" t="n"/>
      <c r="L205" s="23" t="n"/>
      <c r="M205" s="23" t="n"/>
      <c r="N205" s="23" t="n"/>
      <c r="O205" s="23" t="n"/>
      <c r="P205" s="23" t="n"/>
      <c r="Q205" s="23" t="n"/>
      <c r="R205" s="23" t="n"/>
      <c r="S205" s="23" t="n"/>
      <c r="T205" s="23" t="n"/>
      <c r="U205" s="23" t="n"/>
      <c r="V205" s="23" t="n"/>
      <c r="W205" s="23" t="n"/>
      <c r="X205" s="23" t="n"/>
      <c r="Y205" s="23" t="n"/>
      <c r="Z205" s="23" t="n"/>
    </row>
    <row r="206" ht="15.75" customHeight="1" s="86">
      <c r="A206" s="23" t="n"/>
      <c r="B206" s="23" t="n"/>
      <c r="C206" s="23" t="n"/>
      <c r="D206" s="23" t="n"/>
      <c r="E206" s="23" t="n"/>
      <c r="F206" s="23" t="n"/>
      <c r="G206" s="23" t="n"/>
      <c r="H206" s="23" t="n"/>
      <c r="I206" s="23" t="n"/>
      <c r="J206" s="23" t="n"/>
      <c r="K206" s="23" t="n"/>
      <c r="L206" s="23" t="n"/>
      <c r="M206" s="23" t="n"/>
      <c r="N206" s="23" t="n"/>
      <c r="O206" s="23" t="n"/>
      <c r="P206" s="23" t="n"/>
      <c r="Q206" s="23" t="n"/>
      <c r="R206" s="23" t="n"/>
      <c r="S206" s="23" t="n"/>
      <c r="T206" s="23" t="n"/>
      <c r="U206" s="23" t="n"/>
      <c r="V206" s="23" t="n"/>
      <c r="W206" s="23" t="n"/>
      <c r="X206" s="23" t="n"/>
      <c r="Y206" s="23" t="n"/>
      <c r="Z206" s="23" t="n"/>
    </row>
    <row r="207" ht="15.75" customHeight="1" s="86">
      <c r="A207" s="23" t="n"/>
      <c r="B207" s="23" t="n"/>
      <c r="C207" s="23" t="n"/>
      <c r="D207" s="23" t="n"/>
      <c r="E207" s="23" t="n"/>
      <c r="F207" s="23" t="n"/>
      <c r="G207" s="23" t="n"/>
      <c r="H207" s="23" t="n"/>
      <c r="I207" s="23" t="n"/>
      <c r="J207" s="23" t="n"/>
      <c r="K207" s="23" t="n"/>
      <c r="L207" s="23" t="n"/>
      <c r="M207" s="23" t="n"/>
      <c r="N207" s="23" t="n"/>
      <c r="O207" s="23" t="n"/>
      <c r="P207" s="23" t="n"/>
      <c r="Q207" s="23" t="n"/>
      <c r="R207" s="23" t="n"/>
      <c r="S207" s="23" t="n"/>
      <c r="T207" s="23" t="n"/>
      <c r="U207" s="23" t="n"/>
      <c r="V207" s="23" t="n"/>
      <c r="W207" s="23" t="n"/>
      <c r="X207" s="23" t="n"/>
      <c r="Y207" s="23" t="n"/>
      <c r="Z207" s="23" t="n"/>
    </row>
    <row r="208" ht="15.75" customHeight="1" s="86">
      <c r="A208" s="23" t="n"/>
      <c r="B208" s="23" t="n"/>
      <c r="C208" s="23" t="n"/>
      <c r="D208" s="23" t="n"/>
      <c r="E208" s="23" t="n"/>
      <c r="F208" s="23" t="n"/>
      <c r="G208" s="23" t="n"/>
      <c r="H208" s="23" t="n"/>
      <c r="I208" s="23" t="n"/>
      <c r="J208" s="23" t="n"/>
      <c r="K208" s="23" t="n"/>
      <c r="L208" s="23" t="n"/>
      <c r="M208" s="23" t="n"/>
      <c r="N208" s="23" t="n"/>
      <c r="O208" s="23" t="n"/>
      <c r="P208" s="23" t="n"/>
      <c r="Q208" s="23" t="n"/>
      <c r="R208" s="23" t="n"/>
      <c r="S208" s="23" t="n"/>
      <c r="T208" s="23" t="n"/>
      <c r="U208" s="23" t="n"/>
      <c r="V208" s="23" t="n"/>
      <c r="W208" s="23" t="n"/>
      <c r="X208" s="23" t="n"/>
      <c r="Y208" s="23" t="n"/>
      <c r="Z208" s="23" t="n"/>
    </row>
    <row r="209" ht="15.75" customHeight="1" s="86">
      <c r="A209" s="23" t="n"/>
      <c r="B209" s="23" t="n"/>
      <c r="C209" s="23" t="n"/>
      <c r="D209" s="23" t="n"/>
      <c r="E209" s="23" t="n"/>
      <c r="F209" s="23" t="n"/>
      <c r="G209" s="23" t="n"/>
      <c r="H209" s="23" t="n"/>
      <c r="I209" s="23" t="n"/>
      <c r="J209" s="23" t="n"/>
      <c r="K209" s="23" t="n"/>
      <c r="L209" s="23" t="n"/>
      <c r="M209" s="23" t="n"/>
      <c r="N209" s="23" t="n"/>
      <c r="O209" s="23" t="n"/>
      <c r="P209" s="23" t="n"/>
      <c r="Q209" s="23" t="n"/>
      <c r="R209" s="23" t="n"/>
      <c r="S209" s="23" t="n"/>
      <c r="T209" s="23" t="n"/>
      <c r="U209" s="23" t="n"/>
      <c r="V209" s="23" t="n"/>
      <c r="W209" s="23" t="n"/>
      <c r="X209" s="23" t="n"/>
      <c r="Y209" s="23" t="n"/>
      <c r="Z209" s="23" t="n"/>
    </row>
    <row r="210" ht="15.75" customHeight="1" s="86">
      <c r="A210" s="23" t="n"/>
      <c r="B210" s="23" t="n"/>
      <c r="C210" s="23" t="n"/>
      <c r="D210" s="23" t="n"/>
      <c r="E210" s="23" t="n"/>
      <c r="F210" s="23" t="n"/>
      <c r="G210" s="23" t="n"/>
      <c r="H210" s="23" t="n"/>
      <c r="I210" s="23" t="n"/>
      <c r="J210" s="23" t="n"/>
      <c r="K210" s="23" t="n"/>
      <c r="L210" s="23" t="n"/>
      <c r="M210" s="23" t="n"/>
      <c r="N210" s="23" t="n"/>
      <c r="O210" s="23" t="n"/>
      <c r="P210" s="23" t="n"/>
      <c r="Q210" s="23" t="n"/>
      <c r="R210" s="23" t="n"/>
      <c r="S210" s="23" t="n"/>
      <c r="T210" s="23" t="n"/>
      <c r="U210" s="23" t="n"/>
      <c r="V210" s="23" t="n"/>
      <c r="W210" s="23" t="n"/>
      <c r="X210" s="23" t="n"/>
      <c r="Y210" s="23" t="n"/>
      <c r="Z210" s="23" t="n"/>
    </row>
    <row r="211" ht="15.75" customHeight="1" s="86">
      <c r="A211" s="23" t="n"/>
      <c r="B211" s="23" t="n"/>
      <c r="C211" s="23" t="n"/>
      <c r="D211" s="23" t="n"/>
      <c r="E211" s="23" t="n"/>
      <c r="F211" s="23" t="n"/>
      <c r="G211" s="23" t="n"/>
      <c r="H211" s="23" t="n"/>
      <c r="I211" s="23" t="n"/>
      <c r="J211" s="23" t="n"/>
      <c r="K211" s="23" t="n"/>
      <c r="L211" s="23" t="n"/>
      <c r="M211" s="23" t="n"/>
      <c r="N211" s="23" t="n"/>
      <c r="O211" s="23" t="n"/>
      <c r="P211" s="23" t="n"/>
      <c r="Q211" s="23" t="n"/>
      <c r="R211" s="23" t="n"/>
      <c r="S211" s="23" t="n"/>
      <c r="T211" s="23" t="n"/>
      <c r="U211" s="23" t="n"/>
      <c r="V211" s="23" t="n"/>
      <c r="W211" s="23" t="n"/>
      <c r="X211" s="23" t="n"/>
      <c r="Y211" s="23" t="n"/>
      <c r="Z211" s="23" t="n"/>
    </row>
    <row r="212" ht="15.75" customHeight="1" s="86">
      <c r="A212" s="23" t="n"/>
      <c r="B212" s="23" t="n"/>
      <c r="C212" s="23" t="n"/>
      <c r="D212" s="23" t="n"/>
      <c r="E212" s="23" t="n"/>
      <c r="F212" s="23" t="n"/>
      <c r="G212" s="23" t="n"/>
      <c r="H212" s="23" t="n"/>
      <c r="I212" s="23" t="n"/>
      <c r="J212" s="23" t="n"/>
      <c r="K212" s="23" t="n"/>
      <c r="L212" s="23" t="n"/>
      <c r="M212" s="23" t="n"/>
      <c r="N212" s="23" t="n"/>
      <c r="O212" s="23" t="n"/>
      <c r="P212" s="23" t="n"/>
      <c r="Q212" s="23" t="n"/>
      <c r="R212" s="23" t="n"/>
      <c r="S212" s="23" t="n"/>
      <c r="T212" s="23" t="n"/>
      <c r="U212" s="23" t="n"/>
      <c r="V212" s="23" t="n"/>
      <c r="W212" s="23" t="n"/>
      <c r="X212" s="23" t="n"/>
      <c r="Y212" s="23" t="n"/>
      <c r="Z212" s="23" t="n"/>
    </row>
    <row r="213" ht="15.75" customHeight="1" s="86">
      <c r="A213" s="23" t="n"/>
      <c r="B213" s="23" t="n"/>
      <c r="C213" s="23" t="n"/>
      <c r="D213" s="23" t="n"/>
      <c r="E213" s="23" t="n"/>
      <c r="F213" s="23" t="n"/>
      <c r="G213" s="23" t="n"/>
      <c r="H213" s="23" t="n"/>
      <c r="I213" s="23" t="n"/>
      <c r="J213" s="23" t="n"/>
      <c r="K213" s="23" t="n"/>
      <c r="L213" s="23" t="n"/>
      <c r="M213" s="23" t="n"/>
      <c r="N213" s="23" t="n"/>
      <c r="O213" s="23" t="n"/>
      <c r="P213" s="23" t="n"/>
      <c r="Q213" s="23" t="n"/>
      <c r="R213" s="23" t="n"/>
      <c r="S213" s="23" t="n"/>
      <c r="T213" s="23" t="n"/>
      <c r="U213" s="23" t="n"/>
      <c r="V213" s="23" t="n"/>
      <c r="W213" s="23" t="n"/>
      <c r="X213" s="23" t="n"/>
      <c r="Y213" s="23" t="n"/>
      <c r="Z213" s="23" t="n"/>
    </row>
    <row r="214" ht="15.75" customHeight="1" s="86">
      <c r="A214" s="23" t="n"/>
      <c r="B214" s="23" t="n"/>
      <c r="C214" s="23" t="n"/>
      <c r="D214" s="23" t="n"/>
      <c r="E214" s="23" t="n"/>
      <c r="F214" s="23" t="n"/>
      <c r="G214" s="23" t="n"/>
      <c r="H214" s="23" t="n"/>
      <c r="I214" s="23" t="n"/>
      <c r="J214" s="23" t="n"/>
      <c r="K214" s="23" t="n"/>
      <c r="L214" s="23" t="n"/>
      <c r="M214" s="23" t="n"/>
      <c r="N214" s="23" t="n"/>
      <c r="O214" s="23" t="n"/>
      <c r="P214" s="23" t="n"/>
      <c r="Q214" s="23" t="n"/>
      <c r="R214" s="23" t="n"/>
      <c r="S214" s="23" t="n"/>
      <c r="T214" s="23" t="n"/>
      <c r="U214" s="23" t="n"/>
      <c r="V214" s="23" t="n"/>
      <c r="W214" s="23" t="n"/>
      <c r="X214" s="23" t="n"/>
      <c r="Y214" s="23" t="n"/>
      <c r="Z214" s="23" t="n"/>
    </row>
    <row r="215" ht="15.75" customHeight="1" s="86">
      <c r="A215" s="23" t="n"/>
      <c r="B215" s="23" t="n"/>
      <c r="C215" s="23" t="n"/>
      <c r="D215" s="23" t="n"/>
      <c r="E215" s="23" t="n"/>
      <c r="F215" s="23" t="n"/>
      <c r="G215" s="23" t="n"/>
      <c r="H215" s="23" t="n"/>
      <c r="I215" s="23" t="n"/>
      <c r="J215" s="23" t="n"/>
      <c r="K215" s="23" t="n"/>
      <c r="L215" s="23" t="n"/>
      <c r="M215" s="23" t="n"/>
      <c r="N215" s="23" t="n"/>
      <c r="O215" s="23" t="n"/>
      <c r="P215" s="23" t="n"/>
      <c r="Q215" s="23" t="n"/>
      <c r="R215" s="23" t="n"/>
      <c r="S215" s="23" t="n"/>
      <c r="T215" s="23" t="n"/>
      <c r="U215" s="23" t="n"/>
      <c r="V215" s="23" t="n"/>
      <c r="W215" s="23" t="n"/>
      <c r="X215" s="23" t="n"/>
      <c r="Y215" s="23" t="n"/>
      <c r="Z215" s="23" t="n"/>
    </row>
    <row r="216" ht="15.75" customHeight="1" s="86">
      <c r="A216" s="23" t="n"/>
      <c r="B216" s="23" t="n"/>
      <c r="C216" s="23" t="n"/>
      <c r="D216" s="23" t="n"/>
      <c r="E216" s="23" t="n"/>
      <c r="F216" s="23" t="n"/>
      <c r="G216" s="23" t="n"/>
      <c r="H216" s="23" t="n"/>
      <c r="I216" s="23" t="n"/>
      <c r="J216" s="23" t="n"/>
      <c r="K216" s="23" t="n"/>
      <c r="L216" s="23" t="n"/>
      <c r="M216" s="23" t="n"/>
      <c r="N216" s="23" t="n"/>
      <c r="O216" s="23" t="n"/>
      <c r="P216" s="23" t="n"/>
      <c r="Q216" s="23" t="n"/>
      <c r="R216" s="23" t="n"/>
      <c r="S216" s="23" t="n"/>
      <c r="T216" s="23" t="n"/>
      <c r="U216" s="23" t="n"/>
      <c r="V216" s="23" t="n"/>
      <c r="W216" s="23" t="n"/>
      <c r="X216" s="23" t="n"/>
      <c r="Y216" s="23" t="n"/>
      <c r="Z216" s="23" t="n"/>
    </row>
    <row r="217" ht="15.75" customHeight="1" s="86">
      <c r="A217" s="23" t="n"/>
      <c r="B217" s="23" t="n"/>
      <c r="C217" s="23" t="n"/>
      <c r="D217" s="23" t="n"/>
      <c r="E217" s="23" t="n"/>
      <c r="F217" s="23" t="n"/>
      <c r="G217" s="23" t="n"/>
      <c r="H217" s="23" t="n"/>
      <c r="I217" s="23" t="n"/>
      <c r="J217" s="23" t="n"/>
      <c r="K217" s="23" t="n"/>
      <c r="L217" s="23" t="n"/>
      <c r="M217" s="23" t="n"/>
      <c r="N217" s="23" t="n"/>
      <c r="O217" s="23" t="n"/>
      <c r="P217" s="23" t="n"/>
      <c r="Q217" s="23" t="n"/>
      <c r="R217" s="23" t="n"/>
      <c r="S217" s="23" t="n"/>
      <c r="T217" s="23" t="n"/>
      <c r="U217" s="23" t="n"/>
      <c r="V217" s="23" t="n"/>
      <c r="W217" s="23" t="n"/>
      <c r="X217" s="23" t="n"/>
      <c r="Y217" s="23" t="n"/>
      <c r="Z217" s="23" t="n"/>
    </row>
    <row r="218" ht="15.75" customHeight="1" s="86">
      <c r="A218" s="23" t="n"/>
      <c r="B218" s="23" t="n"/>
      <c r="C218" s="23" t="n"/>
      <c r="D218" s="23" t="n"/>
      <c r="E218" s="23" t="n"/>
      <c r="F218" s="23" t="n"/>
      <c r="G218" s="23" t="n"/>
      <c r="H218" s="23" t="n"/>
      <c r="I218" s="23" t="n"/>
      <c r="J218" s="23" t="n"/>
      <c r="K218" s="23" t="n"/>
      <c r="L218" s="23" t="n"/>
      <c r="M218" s="23" t="n"/>
      <c r="N218" s="23" t="n"/>
      <c r="O218" s="23" t="n"/>
      <c r="P218" s="23" t="n"/>
      <c r="Q218" s="23" t="n"/>
      <c r="R218" s="23" t="n"/>
      <c r="S218" s="23" t="n"/>
      <c r="T218" s="23" t="n"/>
      <c r="U218" s="23" t="n"/>
      <c r="V218" s="23" t="n"/>
      <c r="W218" s="23" t="n"/>
      <c r="X218" s="23" t="n"/>
      <c r="Y218" s="23" t="n"/>
      <c r="Z218" s="23" t="n"/>
    </row>
    <row r="219" ht="15.75" customHeight="1" s="86">
      <c r="A219" s="23" t="n"/>
      <c r="B219" s="23" t="n"/>
      <c r="C219" s="23" t="n"/>
      <c r="D219" s="23" t="n"/>
      <c r="E219" s="23" t="n"/>
      <c r="F219" s="23" t="n"/>
      <c r="G219" s="23" t="n"/>
      <c r="H219" s="23" t="n"/>
      <c r="I219" s="23" t="n"/>
      <c r="J219" s="23" t="n"/>
      <c r="K219" s="23" t="n"/>
      <c r="L219" s="23" t="n"/>
      <c r="M219" s="23" t="n"/>
      <c r="N219" s="23" t="n"/>
      <c r="O219" s="23" t="n"/>
      <c r="P219" s="23" t="n"/>
      <c r="Q219" s="23" t="n"/>
      <c r="R219" s="23" t="n"/>
      <c r="S219" s="23" t="n"/>
      <c r="T219" s="23" t="n"/>
      <c r="U219" s="23" t="n"/>
      <c r="V219" s="23" t="n"/>
      <c r="W219" s="23" t="n"/>
      <c r="X219" s="23" t="n"/>
      <c r="Y219" s="23" t="n"/>
      <c r="Z219" s="23" t="n"/>
    </row>
    <row r="220" ht="15.75" customHeight="1" s="86">
      <c r="A220" s="23" t="n"/>
      <c r="B220" s="23" t="n"/>
      <c r="C220" s="23" t="n"/>
      <c r="D220" s="23" t="n"/>
      <c r="E220" s="23" t="n"/>
      <c r="F220" s="23" t="n"/>
      <c r="G220" s="23" t="n"/>
      <c r="H220" s="23" t="n"/>
      <c r="I220" s="23" t="n"/>
      <c r="J220" s="23" t="n"/>
      <c r="K220" s="23" t="n"/>
      <c r="L220" s="23" t="n"/>
      <c r="M220" s="23" t="n"/>
      <c r="N220" s="23" t="n"/>
      <c r="O220" s="23" t="n"/>
      <c r="P220" s="23" t="n"/>
      <c r="Q220" s="23" t="n"/>
      <c r="R220" s="23" t="n"/>
      <c r="S220" s="23" t="n"/>
      <c r="T220" s="23" t="n"/>
      <c r="U220" s="23" t="n"/>
      <c r="V220" s="23" t="n"/>
      <c r="W220" s="23" t="n"/>
      <c r="X220" s="23" t="n"/>
      <c r="Y220" s="23" t="n"/>
      <c r="Z220" s="23" t="n"/>
    </row>
    <row r="221" ht="15.75" customHeight="1" s="86">
      <c r="A221" s="23" t="n"/>
      <c r="B221" s="23" t="n"/>
      <c r="C221" s="23" t="n"/>
      <c r="D221" s="23" t="n"/>
      <c r="E221" s="23" t="n"/>
      <c r="F221" s="23" t="n"/>
      <c r="G221" s="23" t="n"/>
      <c r="H221" s="23" t="n"/>
      <c r="I221" s="23" t="n"/>
      <c r="J221" s="23" t="n"/>
      <c r="K221" s="23" t="n"/>
      <c r="L221" s="23" t="n"/>
      <c r="M221" s="23" t="n"/>
      <c r="N221" s="23" t="n"/>
      <c r="O221" s="23" t="n"/>
      <c r="P221" s="23" t="n"/>
      <c r="Q221" s="23" t="n"/>
      <c r="R221" s="23" t="n"/>
      <c r="S221" s="23" t="n"/>
      <c r="T221" s="23" t="n"/>
      <c r="U221" s="23" t="n"/>
      <c r="V221" s="23" t="n"/>
      <c r="W221" s="23" t="n"/>
      <c r="X221" s="23" t="n"/>
      <c r="Y221" s="23" t="n"/>
      <c r="Z221" s="23" t="n"/>
    </row>
    <row r="222" ht="15.75" customHeight="1" s="86">
      <c r="A222" s="23" t="n"/>
      <c r="B222" s="23" t="n"/>
      <c r="C222" s="23" t="n"/>
      <c r="D222" s="23" t="n"/>
      <c r="E222" s="23" t="n"/>
      <c r="F222" s="23" t="n"/>
      <c r="G222" s="23" t="n"/>
      <c r="H222" s="23" t="n"/>
      <c r="I222" s="23" t="n"/>
      <c r="J222" s="23" t="n"/>
      <c r="K222" s="23" t="n"/>
      <c r="L222" s="23" t="n"/>
      <c r="M222" s="23" t="n"/>
      <c r="N222" s="23" t="n"/>
      <c r="O222" s="23" t="n"/>
      <c r="P222" s="23" t="n"/>
      <c r="Q222" s="23" t="n"/>
      <c r="R222" s="23" t="n"/>
      <c r="S222" s="23" t="n"/>
      <c r="T222" s="23" t="n"/>
      <c r="U222" s="23" t="n"/>
      <c r="V222" s="23" t="n"/>
      <c r="W222" s="23" t="n"/>
      <c r="X222" s="23" t="n"/>
      <c r="Y222" s="23" t="n"/>
      <c r="Z222" s="23" t="n"/>
    </row>
    <row r="223" ht="15.75" customHeight="1" s="86">
      <c r="A223" s="23" t="n"/>
      <c r="B223" s="23" t="n"/>
      <c r="C223" s="23" t="n"/>
      <c r="D223" s="23" t="n"/>
      <c r="E223" s="23" t="n"/>
      <c r="F223" s="23" t="n"/>
      <c r="G223" s="23" t="n"/>
      <c r="H223" s="23" t="n"/>
      <c r="I223" s="23" t="n"/>
      <c r="J223" s="23" t="n"/>
      <c r="K223" s="23" t="n"/>
      <c r="L223" s="23" t="n"/>
      <c r="M223" s="23" t="n"/>
      <c r="N223" s="23" t="n"/>
      <c r="O223" s="23" t="n"/>
      <c r="P223" s="23" t="n"/>
      <c r="Q223" s="23" t="n"/>
      <c r="R223" s="23" t="n"/>
      <c r="S223" s="23" t="n"/>
      <c r="T223" s="23" t="n"/>
      <c r="U223" s="23" t="n"/>
      <c r="V223" s="23" t="n"/>
      <c r="W223" s="23" t="n"/>
      <c r="X223" s="23" t="n"/>
      <c r="Y223" s="23" t="n"/>
      <c r="Z223" s="23" t="n"/>
    </row>
    <row r="224" ht="15.75" customHeight="1" s="86">
      <c r="A224" s="23" t="n"/>
      <c r="B224" s="23" t="n"/>
      <c r="C224" s="23" t="n"/>
      <c r="D224" s="23" t="n"/>
      <c r="E224" s="23" t="n"/>
      <c r="F224" s="23" t="n"/>
      <c r="G224" s="23" t="n"/>
      <c r="H224" s="23" t="n"/>
      <c r="I224" s="23" t="n"/>
      <c r="J224" s="23" t="n"/>
      <c r="K224" s="23" t="n"/>
      <c r="L224" s="23" t="n"/>
      <c r="M224" s="23" t="n"/>
      <c r="N224" s="23" t="n"/>
      <c r="O224" s="23" t="n"/>
      <c r="P224" s="23" t="n"/>
      <c r="Q224" s="23" t="n"/>
      <c r="R224" s="23" t="n"/>
      <c r="S224" s="23" t="n"/>
      <c r="T224" s="23" t="n"/>
      <c r="U224" s="23" t="n"/>
      <c r="V224" s="23" t="n"/>
      <c r="W224" s="23" t="n"/>
      <c r="X224" s="23" t="n"/>
      <c r="Y224" s="23" t="n"/>
      <c r="Z224" s="23" t="n"/>
    </row>
    <row r="225" ht="15.75" customHeight="1" s="86">
      <c r="A225" s="23" t="n"/>
      <c r="B225" s="23" t="n"/>
      <c r="C225" s="23" t="n"/>
      <c r="D225" s="23" t="n"/>
      <c r="E225" s="23" t="n"/>
      <c r="F225" s="23" t="n"/>
      <c r="G225" s="23" t="n"/>
      <c r="H225" s="23" t="n"/>
      <c r="I225" s="23" t="n"/>
      <c r="J225" s="23" t="n"/>
      <c r="K225" s="23" t="n"/>
      <c r="L225" s="23" t="n"/>
      <c r="M225" s="23" t="n"/>
      <c r="N225" s="23" t="n"/>
      <c r="O225" s="23" t="n"/>
      <c r="P225" s="23" t="n"/>
      <c r="Q225" s="23" t="n"/>
      <c r="R225" s="23" t="n"/>
      <c r="S225" s="23" t="n"/>
      <c r="T225" s="23" t="n"/>
      <c r="U225" s="23" t="n"/>
      <c r="V225" s="23" t="n"/>
      <c r="W225" s="23" t="n"/>
      <c r="X225" s="23" t="n"/>
      <c r="Y225" s="23" t="n"/>
      <c r="Z225" s="23" t="n"/>
    </row>
    <row r="226" ht="15.75" customHeight="1" s="86">
      <c r="A226" s="23" t="n"/>
      <c r="B226" s="23" t="n"/>
      <c r="C226" s="23" t="n"/>
      <c r="D226" s="23" t="n"/>
      <c r="E226" s="23" t="n"/>
      <c r="F226" s="23" t="n"/>
      <c r="G226" s="23" t="n"/>
      <c r="H226" s="23" t="n"/>
      <c r="I226" s="23" t="n"/>
      <c r="J226" s="23" t="n"/>
      <c r="K226" s="23" t="n"/>
      <c r="L226" s="23" t="n"/>
      <c r="M226" s="23" t="n"/>
      <c r="N226" s="23" t="n"/>
      <c r="O226" s="23" t="n"/>
      <c r="P226" s="23" t="n"/>
      <c r="Q226" s="23" t="n"/>
      <c r="R226" s="23" t="n"/>
      <c r="S226" s="23" t="n"/>
      <c r="T226" s="23" t="n"/>
      <c r="U226" s="23" t="n"/>
      <c r="V226" s="23" t="n"/>
      <c r="W226" s="23" t="n"/>
      <c r="X226" s="23" t="n"/>
      <c r="Y226" s="23" t="n"/>
      <c r="Z226" s="23" t="n"/>
    </row>
    <row r="227" ht="15.75" customHeight="1" s="86">
      <c r="A227" s="23" t="n"/>
      <c r="B227" s="23" t="n"/>
      <c r="C227" s="23" t="n"/>
      <c r="D227" s="23" t="n"/>
      <c r="E227" s="23" t="n"/>
      <c r="F227" s="23" t="n"/>
      <c r="G227" s="23" t="n"/>
      <c r="H227" s="23" t="n"/>
      <c r="I227" s="23" t="n"/>
      <c r="J227" s="23" t="n"/>
      <c r="K227" s="23" t="n"/>
      <c r="L227" s="23" t="n"/>
      <c r="M227" s="23" t="n"/>
      <c r="N227" s="23" t="n"/>
      <c r="O227" s="23" t="n"/>
      <c r="P227" s="23" t="n"/>
      <c r="Q227" s="23" t="n"/>
      <c r="R227" s="23" t="n"/>
      <c r="S227" s="23" t="n"/>
      <c r="T227" s="23" t="n"/>
      <c r="U227" s="23" t="n"/>
      <c r="V227" s="23" t="n"/>
      <c r="W227" s="23" t="n"/>
      <c r="X227" s="23" t="n"/>
      <c r="Y227" s="23" t="n"/>
      <c r="Z227" s="23" t="n"/>
    </row>
    <row r="228" ht="15.75" customHeight="1" s="86">
      <c r="A228" s="23" t="n"/>
      <c r="B228" s="23" t="n"/>
      <c r="C228" s="23" t="n"/>
      <c r="D228" s="23" t="n"/>
      <c r="E228" s="23" t="n"/>
      <c r="F228" s="23" t="n"/>
      <c r="G228" s="23" t="n"/>
      <c r="H228" s="23" t="n"/>
      <c r="I228" s="23" t="n"/>
      <c r="J228" s="23" t="n"/>
      <c r="K228" s="23" t="n"/>
      <c r="L228" s="23" t="n"/>
      <c r="M228" s="23" t="n"/>
      <c r="N228" s="23" t="n"/>
      <c r="O228" s="23" t="n"/>
      <c r="P228" s="23" t="n"/>
      <c r="Q228" s="23" t="n"/>
      <c r="R228" s="23" t="n"/>
      <c r="S228" s="23" t="n"/>
      <c r="T228" s="23" t="n"/>
      <c r="U228" s="23" t="n"/>
      <c r="V228" s="23" t="n"/>
      <c r="W228" s="23" t="n"/>
      <c r="X228" s="23" t="n"/>
      <c r="Y228" s="23" t="n"/>
      <c r="Z228" s="23" t="n"/>
    </row>
    <row r="229" ht="15.75" customHeight="1" s="86">
      <c r="A229" s="23" t="n"/>
      <c r="B229" s="23" t="n"/>
      <c r="C229" s="23" t="n"/>
      <c r="D229" s="23" t="n"/>
      <c r="E229" s="23" t="n"/>
      <c r="F229" s="23" t="n"/>
      <c r="G229" s="23" t="n"/>
      <c r="H229" s="23" t="n"/>
      <c r="I229" s="23" t="n"/>
      <c r="J229" s="23" t="n"/>
      <c r="K229" s="23" t="n"/>
      <c r="L229" s="23" t="n"/>
      <c r="M229" s="23" t="n"/>
      <c r="N229" s="23" t="n"/>
      <c r="O229" s="23" t="n"/>
      <c r="P229" s="23" t="n"/>
      <c r="Q229" s="23" t="n"/>
      <c r="R229" s="23" t="n"/>
      <c r="S229" s="23" t="n"/>
      <c r="T229" s="23" t="n"/>
      <c r="U229" s="23" t="n"/>
      <c r="V229" s="23" t="n"/>
      <c r="W229" s="23" t="n"/>
      <c r="X229" s="23" t="n"/>
      <c r="Y229" s="23" t="n"/>
      <c r="Z229" s="23" t="n"/>
    </row>
    <row r="230" ht="15.75" customHeight="1" s="86">
      <c r="A230" s="23" t="n"/>
      <c r="B230" s="23" t="n"/>
      <c r="C230" s="23" t="n"/>
      <c r="D230" s="23" t="n"/>
      <c r="E230" s="23" t="n"/>
      <c r="F230" s="23" t="n"/>
      <c r="G230" s="23" t="n"/>
      <c r="H230" s="23" t="n"/>
      <c r="I230" s="23" t="n"/>
      <c r="J230" s="23" t="n"/>
      <c r="K230" s="23" t="n"/>
      <c r="L230" s="23" t="n"/>
      <c r="M230" s="23" t="n"/>
      <c r="N230" s="23" t="n"/>
      <c r="O230" s="23" t="n"/>
      <c r="P230" s="23" t="n"/>
      <c r="Q230" s="23" t="n"/>
      <c r="R230" s="23" t="n"/>
      <c r="S230" s="23" t="n"/>
      <c r="T230" s="23" t="n"/>
      <c r="U230" s="23" t="n"/>
      <c r="V230" s="23" t="n"/>
      <c r="W230" s="23" t="n"/>
      <c r="X230" s="23" t="n"/>
      <c r="Y230" s="23" t="n"/>
      <c r="Z230" s="23" t="n"/>
    </row>
    <row r="231" ht="15.75" customHeight="1" s="86">
      <c r="A231" s="23" t="n"/>
      <c r="B231" s="23" t="n"/>
      <c r="C231" s="23" t="n"/>
      <c r="D231" s="23" t="n"/>
      <c r="E231" s="23" t="n"/>
      <c r="F231" s="23" t="n"/>
      <c r="G231" s="23" t="n"/>
      <c r="H231" s="23" t="n"/>
      <c r="I231" s="23" t="n"/>
      <c r="J231" s="23" t="n"/>
      <c r="K231" s="23" t="n"/>
      <c r="L231" s="23" t="n"/>
      <c r="M231" s="23" t="n"/>
      <c r="N231" s="23" t="n"/>
      <c r="O231" s="23" t="n"/>
      <c r="P231" s="23" t="n"/>
      <c r="Q231" s="23" t="n"/>
      <c r="R231" s="23" t="n"/>
      <c r="S231" s="23" t="n"/>
      <c r="T231" s="23" t="n"/>
      <c r="U231" s="23" t="n"/>
      <c r="V231" s="23" t="n"/>
      <c r="W231" s="23" t="n"/>
      <c r="X231" s="23" t="n"/>
      <c r="Y231" s="23" t="n"/>
      <c r="Z231" s="23" t="n"/>
    </row>
    <row r="232" ht="15.75" customHeight="1" s="86">
      <c r="A232" s="23" t="n"/>
      <c r="B232" s="23" t="n"/>
      <c r="C232" s="23" t="n"/>
      <c r="D232" s="23" t="n"/>
      <c r="E232" s="23" t="n"/>
      <c r="F232" s="23" t="n"/>
      <c r="G232" s="23" t="n"/>
      <c r="H232" s="23" t="n"/>
      <c r="I232" s="23" t="n"/>
      <c r="J232" s="23" t="n"/>
      <c r="K232" s="23" t="n"/>
      <c r="L232" s="23" t="n"/>
      <c r="M232" s="23" t="n"/>
      <c r="N232" s="23" t="n"/>
      <c r="O232" s="23" t="n"/>
      <c r="P232" s="23" t="n"/>
      <c r="Q232" s="23" t="n"/>
      <c r="R232" s="23" t="n"/>
      <c r="S232" s="23" t="n"/>
      <c r="T232" s="23" t="n"/>
      <c r="U232" s="23" t="n"/>
      <c r="V232" s="23" t="n"/>
      <c r="W232" s="23" t="n"/>
      <c r="X232" s="23" t="n"/>
      <c r="Y232" s="23" t="n"/>
      <c r="Z232" s="23" t="n"/>
    </row>
    <row r="233" ht="15.75" customHeight="1" s="86">
      <c r="A233" s="23" t="n"/>
      <c r="B233" s="23" t="n"/>
      <c r="C233" s="23" t="n"/>
      <c r="D233" s="23" t="n"/>
      <c r="E233" s="23" t="n"/>
      <c r="F233" s="23" t="n"/>
      <c r="G233" s="23" t="n"/>
      <c r="H233" s="23" t="n"/>
      <c r="I233" s="23" t="n"/>
      <c r="J233" s="23" t="n"/>
      <c r="K233" s="23" t="n"/>
      <c r="L233" s="23" t="n"/>
      <c r="M233" s="23" t="n"/>
      <c r="N233" s="23" t="n"/>
      <c r="O233" s="23" t="n"/>
      <c r="P233" s="23" t="n"/>
      <c r="Q233" s="23" t="n"/>
      <c r="R233" s="23" t="n"/>
      <c r="S233" s="23" t="n"/>
      <c r="T233" s="23" t="n"/>
      <c r="U233" s="23" t="n"/>
      <c r="V233" s="23" t="n"/>
      <c r="W233" s="23" t="n"/>
      <c r="X233" s="23" t="n"/>
      <c r="Y233" s="23" t="n"/>
      <c r="Z233" s="23" t="n"/>
    </row>
    <row r="234" ht="15.75" customHeight="1" s="86">
      <c r="A234" s="23" t="n"/>
      <c r="B234" s="23" t="n"/>
      <c r="C234" s="23" t="n"/>
      <c r="D234" s="23" t="n"/>
      <c r="E234" s="23" t="n"/>
      <c r="F234" s="23" t="n"/>
      <c r="G234" s="23" t="n"/>
      <c r="H234" s="23" t="n"/>
      <c r="I234" s="23" t="n"/>
      <c r="J234" s="23" t="n"/>
      <c r="K234" s="23" t="n"/>
      <c r="L234" s="23" t="n"/>
      <c r="M234" s="23" t="n"/>
      <c r="N234" s="23" t="n"/>
      <c r="O234" s="23" t="n"/>
      <c r="P234" s="23" t="n"/>
      <c r="Q234" s="23" t="n"/>
      <c r="R234" s="23" t="n"/>
      <c r="S234" s="23" t="n"/>
      <c r="T234" s="23" t="n"/>
      <c r="U234" s="23" t="n"/>
      <c r="V234" s="23" t="n"/>
      <c r="W234" s="23" t="n"/>
      <c r="X234" s="23" t="n"/>
      <c r="Y234" s="23" t="n"/>
      <c r="Z234" s="23" t="n"/>
    </row>
    <row r="235" ht="15.75" customHeight="1" s="86">
      <c r="A235" s="23" t="n"/>
      <c r="B235" s="23" t="n"/>
      <c r="C235" s="23" t="n"/>
      <c r="D235" s="23" t="n"/>
      <c r="E235" s="23" t="n"/>
      <c r="F235" s="23" t="n"/>
      <c r="G235" s="23" t="n"/>
      <c r="H235" s="23" t="n"/>
      <c r="I235" s="23" t="n"/>
      <c r="J235" s="23" t="n"/>
      <c r="K235" s="23" t="n"/>
      <c r="L235" s="23" t="n"/>
      <c r="M235" s="23" t="n"/>
      <c r="N235" s="23" t="n"/>
      <c r="O235" s="23" t="n"/>
      <c r="P235" s="23" t="n"/>
      <c r="Q235" s="23" t="n"/>
      <c r="R235" s="23" t="n"/>
      <c r="S235" s="23" t="n"/>
      <c r="T235" s="23" t="n"/>
      <c r="U235" s="23" t="n"/>
      <c r="V235" s="23" t="n"/>
      <c r="W235" s="23" t="n"/>
      <c r="X235" s="23" t="n"/>
      <c r="Y235" s="23" t="n"/>
      <c r="Z235" s="23" t="n"/>
    </row>
    <row r="236" ht="15.75" customHeight="1" s="86">
      <c r="A236" s="23" t="n"/>
      <c r="B236" s="23" t="n"/>
      <c r="C236" s="23" t="n"/>
      <c r="D236" s="23" t="n"/>
      <c r="E236" s="23" t="n"/>
      <c r="F236" s="23" t="n"/>
      <c r="G236" s="23" t="n"/>
      <c r="H236" s="23" t="n"/>
      <c r="I236" s="23" t="n"/>
      <c r="J236" s="23" t="n"/>
      <c r="K236" s="23" t="n"/>
      <c r="L236" s="23" t="n"/>
      <c r="M236" s="23" t="n"/>
      <c r="N236" s="23" t="n"/>
      <c r="O236" s="23" t="n"/>
      <c r="P236" s="23" t="n"/>
      <c r="Q236" s="23" t="n"/>
      <c r="R236" s="23" t="n"/>
      <c r="S236" s="23" t="n"/>
      <c r="T236" s="23" t="n"/>
      <c r="U236" s="23" t="n"/>
      <c r="V236" s="23" t="n"/>
      <c r="W236" s="23" t="n"/>
      <c r="X236" s="23" t="n"/>
      <c r="Y236" s="23" t="n"/>
      <c r="Z236" s="23" t="n"/>
    </row>
    <row r="237" ht="15.75" customHeight="1" s="86">
      <c r="A237" s="23" t="n"/>
      <c r="B237" s="23" t="n"/>
      <c r="C237" s="23" t="n"/>
      <c r="D237" s="23" t="n"/>
      <c r="E237" s="23" t="n"/>
      <c r="F237" s="23" t="n"/>
      <c r="G237" s="23" t="n"/>
      <c r="H237" s="23" t="n"/>
      <c r="I237" s="23" t="n"/>
      <c r="J237" s="23" t="n"/>
      <c r="K237" s="23" t="n"/>
      <c r="L237" s="23" t="n"/>
      <c r="M237" s="23" t="n"/>
      <c r="N237" s="23" t="n"/>
      <c r="O237" s="23" t="n"/>
      <c r="P237" s="23" t="n"/>
      <c r="Q237" s="23" t="n"/>
      <c r="R237" s="23" t="n"/>
      <c r="S237" s="23" t="n"/>
      <c r="T237" s="23" t="n"/>
      <c r="U237" s="23" t="n"/>
      <c r="V237" s="23" t="n"/>
      <c r="W237" s="23" t="n"/>
      <c r="X237" s="23" t="n"/>
      <c r="Y237" s="23" t="n"/>
      <c r="Z237" s="23" t="n"/>
    </row>
    <row r="238" ht="15.75" customHeight="1" s="86">
      <c r="A238" s="23" t="n"/>
      <c r="B238" s="23" t="n"/>
      <c r="C238" s="23" t="n"/>
      <c r="D238" s="23" t="n"/>
      <c r="E238" s="23" t="n"/>
      <c r="F238" s="23" t="n"/>
      <c r="G238" s="23" t="n"/>
      <c r="H238" s="23" t="n"/>
      <c r="I238" s="23" t="n"/>
      <c r="J238" s="23" t="n"/>
      <c r="K238" s="23" t="n"/>
      <c r="L238" s="23" t="n"/>
      <c r="M238" s="23" t="n"/>
      <c r="N238" s="23" t="n"/>
      <c r="O238" s="23" t="n"/>
      <c r="P238" s="23" t="n"/>
      <c r="Q238" s="23" t="n"/>
      <c r="R238" s="23" t="n"/>
      <c r="S238" s="23" t="n"/>
      <c r="T238" s="23" t="n"/>
      <c r="U238" s="23" t="n"/>
      <c r="V238" s="23" t="n"/>
      <c r="W238" s="23" t="n"/>
      <c r="X238" s="23" t="n"/>
      <c r="Y238" s="23" t="n"/>
      <c r="Z238" s="23" t="n"/>
    </row>
    <row r="239" ht="15.75" customHeight="1" s="86">
      <c r="A239" s="23" t="n"/>
      <c r="B239" s="23" t="n"/>
      <c r="C239" s="23" t="n"/>
      <c r="D239" s="23" t="n"/>
      <c r="E239" s="23" t="n"/>
      <c r="F239" s="23" t="n"/>
      <c r="G239" s="23" t="n"/>
      <c r="H239" s="23" t="n"/>
      <c r="I239" s="23" t="n"/>
      <c r="J239" s="23" t="n"/>
      <c r="K239" s="23" t="n"/>
      <c r="L239" s="23" t="n"/>
      <c r="M239" s="23" t="n"/>
      <c r="N239" s="23" t="n"/>
      <c r="O239" s="23" t="n"/>
      <c r="P239" s="23" t="n"/>
      <c r="Q239" s="23" t="n"/>
      <c r="R239" s="23" t="n"/>
      <c r="S239" s="23" t="n"/>
      <c r="T239" s="23" t="n"/>
      <c r="U239" s="23" t="n"/>
      <c r="V239" s="23" t="n"/>
      <c r="W239" s="23" t="n"/>
      <c r="X239" s="23" t="n"/>
      <c r="Y239" s="23" t="n"/>
      <c r="Z239" s="23" t="n"/>
    </row>
    <row r="240" ht="15.75" customHeight="1" s="86">
      <c r="A240" s="23" t="n"/>
      <c r="B240" s="23" t="n"/>
      <c r="C240" s="23" t="n"/>
      <c r="D240" s="23" t="n"/>
      <c r="E240" s="23" t="n"/>
      <c r="F240" s="23" t="n"/>
      <c r="G240" s="23" t="n"/>
      <c r="H240" s="23" t="n"/>
      <c r="I240" s="23" t="n"/>
      <c r="J240" s="23" t="n"/>
      <c r="K240" s="23" t="n"/>
      <c r="L240" s="23" t="n"/>
      <c r="M240" s="23" t="n"/>
      <c r="N240" s="23" t="n"/>
      <c r="O240" s="23" t="n"/>
      <c r="P240" s="23" t="n"/>
      <c r="Q240" s="23" t="n"/>
      <c r="R240" s="23" t="n"/>
      <c r="S240" s="23" t="n"/>
      <c r="T240" s="23" t="n"/>
      <c r="U240" s="23" t="n"/>
      <c r="V240" s="23" t="n"/>
      <c r="W240" s="23" t="n"/>
      <c r="X240" s="23" t="n"/>
      <c r="Y240" s="23" t="n"/>
      <c r="Z240" s="23" t="n"/>
    </row>
    <row r="241" ht="15.75" customHeight="1" s="86">
      <c r="A241" s="23" t="n"/>
      <c r="B241" s="23" t="n"/>
      <c r="C241" s="23" t="n"/>
      <c r="D241" s="23" t="n"/>
      <c r="E241" s="23" t="n"/>
      <c r="F241" s="23" t="n"/>
      <c r="G241" s="23" t="n"/>
      <c r="H241" s="23" t="n"/>
      <c r="I241" s="23" t="n"/>
      <c r="J241" s="23" t="n"/>
      <c r="K241" s="23" t="n"/>
      <c r="L241" s="23" t="n"/>
      <c r="M241" s="23" t="n"/>
      <c r="N241" s="23" t="n"/>
      <c r="O241" s="23" t="n"/>
      <c r="P241" s="23" t="n"/>
      <c r="Q241" s="23" t="n"/>
      <c r="R241" s="23" t="n"/>
      <c r="S241" s="23" t="n"/>
      <c r="T241" s="23" t="n"/>
      <c r="U241" s="23" t="n"/>
      <c r="V241" s="23" t="n"/>
      <c r="W241" s="23" t="n"/>
      <c r="X241" s="23" t="n"/>
      <c r="Y241" s="23" t="n"/>
      <c r="Z241" s="23" t="n"/>
    </row>
    <row r="242" ht="15.75" customHeight="1" s="86">
      <c r="A242" s="23" t="n"/>
      <c r="B242" s="23" t="n"/>
      <c r="C242" s="23" t="n"/>
      <c r="D242" s="23" t="n"/>
      <c r="E242" s="23" t="n"/>
      <c r="F242" s="23" t="n"/>
      <c r="G242" s="23" t="n"/>
      <c r="H242" s="23" t="n"/>
      <c r="I242" s="23" t="n"/>
      <c r="J242" s="23" t="n"/>
      <c r="K242" s="23" t="n"/>
      <c r="L242" s="23" t="n"/>
      <c r="M242" s="23" t="n"/>
      <c r="N242" s="23" t="n"/>
      <c r="O242" s="23" t="n"/>
      <c r="P242" s="23" t="n"/>
      <c r="Q242" s="23" t="n"/>
      <c r="R242" s="23" t="n"/>
      <c r="S242" s="23" t="n"/>
      <c r="T242" s="23" t="n"/>
      <c r="U242" s="23" t="n"/>
      <c r="V242" s="23" t="n"/>
      <c r="W242" s="23" t="n"/>
      <c r="X242" s="23" t="n"/>
      <c r="Y242" s="23" t="n"/>
      <c r="Z242" s="23" t="n"/>
    </row>
    <row r="243" ht="15.75" customHeight="1" s="86">
      <c r="A243" s="23" t="n"/>
      <c r="B243" s="23" t="n"/>
      <c r="C243" s="23" t="n"/>
      <c r="D243" s="23" t="n"/>
      <c r="E243" s="23" t="n"/>
      <c r="F243" s="23" t="n"/>
      <c r="G243" s="23" t="n"/>
      <c r="H243" s="23" t="n"/>
      <c r="I243" s="23" t="n"/>
      <c r="J243" s="23" t="n"/>
      <c r="K243" s="23" t="n"/>
      <c r="L243" s="23" t="n"/>
      <c r="M243" s="23" t="n"/>
      <c r="N243" s="23" t="n"/>
      <c r="O243" s="23" t="n"/>
      <c r="P243" s="23" t="n"/>
      <c r="Q243" s="23" t="n"/>
      <c r="R243" s="23" t="n"/>
      <c r="S243" s="23" t="n"/>
      <c r="T243" s="23" t="n"/>
      <c r="U243" s="23" t="n"/>
      <c r="V243" s="23" t="n"/>
      <c r="W243" s="23" t="n"/>
      <c r="X243" s="23" t="n"/>
      <c r="Y243" s="23" t="n"/>
      <c r="Z243" s="23" t="n"/>
    </row>
    <row r="244" ht="15.75" customHeight="1" s="86">
      <c r="A244" s="23" t="n"/>
      <c r="B244" s="23" t="n"/>
      <c r="C244" s="23" t="n"/>
      <c r="D244" s="23" t="n"/>
      <c r="E244" s="23" t="n"/>
      <c r="F244" s="23" t="n"/>
      <c r="G244" s="23" t="n"/>
      <c r="H244" s="23" t="n"/>
      <c r="I244" s="23" t="n"/>
      <c r="J244" s="23" t="n"/>
      <c r="K244" s="23" t="n"/>
      <c r="L244" s="23" t="n"/>
      <c r="M244" s="23" t="n"/>
      <c r="N244" s="23" t="n"/>
      <c r="O244" s="23" t="n"/>
      <c r="P244" s="23" t="n"/>
      <c r="Q244" s="23" t="n"/>
      <c r="R244" s="23" t="n"/>
      <c r="S244" s="23" t="n"/>
      <c r="T244" s="23" t="n"/>
      <c r="U244" s="23" t="n"/>
      <c r="V244" s="23" t="n"/>
      <c r="W244" s="23" t="n"/>
      <c r="X244" s="23" t="n"/>
      <c r="Y244" s="23" t="n"/>
      <c r="Z244" s="23" t="n"/>
    </row>
    <row r="245" ht="15.75" customHeight="1" s="86">
      <c r="A245" s="23" t="n"/>
      <c r="B245" s="23" t="n"/>
      <c r="C245" s="23" t="n"/>
      <c r="D245" s="23" t="n"/>
      <c r="E245" s="23" t="n"/>
      <c r="F245" s="23" t="n"/>
      <c r="G245" s="23" t="n"/>
      <c r="H245" s="23" t="n"/>
      <c r="I245" s="23" t="n"/>
      <c r="J245" s="23" t="n"/>
      <c r="K245" s="23" t="n"/>
      <c r="L245" s="23" t="n"/>
      <c r="M245" s="23" t="n"/>
      <c r="N245" s="23" t="n"/>
      <c r="O245" s="23" t="n"/>
      <c r="P245" s="23" t="n"/>
      <c r="Q245" s="23" t="n"/>
      <c r="R245" s="23" t="n"/>
      <c r="S245" s="23" t="n"/>
      <c r="T245" s="23" t="n"/>
      <c r="U245" s="23" t="n"/>
      <c r="V245" s="23" t="n"/>
      <c r="W245" s="23" t="n"/>
      <c r="X245" s="23" t="n"/>
      <c r="Y245" s="23" t="n"/>
      <c r="Z245" s="23" t="n"/>
    </row>
    <row r="246" ht="15.75" customHeight="1" s="86">
      <c r="A246" s="23" t="n"/>
      <c r="B246" s="23" t="n"/>
      <c r="C246" s="23" t="n"/>
      <c r="D246" s="23" t="n"/>
      <c r="E246" s="23" t="n"/>
      <c r="F246" s="23" t="n"/>
      <c r="G246" s="23" t="n"/>
      <c r="H246" s="23" t="n"/>
      <c r="I246" s="23" t="n"/>
      <c r="J246" s="23" t="n"/>
      <c r="K246" s="23" t="n"/>
      <c r="L246" s="23" t="n"/>
      <c r="M246" s="23" t="n"/>
      <c r="N246" s="23" t="n"/>
      <c r="O246" s="23" t="n"/>
      <c r="P246" s="23" t="n"/>
      <c r="Q246" s="23" t="n"/>
      <c r="R246" s="23" t="n"/>
      <c r="S246" s="23" t="n"/>
      <c r="T246" s="23" t="n"/>
      <c r="U246" s="23" t="n"/>
      <c r="V246" s="23" t="n"/>
      <c r="W246" s="23" t="n"/>
      <c r="X246" s="23" t="n"/>
      <c r="Y246" s="23" t="n"/>
      <c r="Z246" s="23" t="n"/>
    </row>
    <row r="247" ht="15.75" customHeight="1" s="86">
      <c r="A247" s="23" t="n"/>
      <c r="B247" s="23" t="n"/>
      <c r="C247" s="23" t="n"/>
      <c r="D247" s="23" t="n"/>
      <c r="E247" s="23" t="n"/>
      <c r="F247" s="23" t="n"/>
      <c r="G247" s="23" t="n"/>
      <c r="H247" s="23" t="n"/>
      <c r="I247" s="23" t="n"/>
      <c r="J247" s="23" t="n"/>
      <c r="K247" s="23" t="n"/>
      <c r="L247" s="23" t="n"/>
      <c r="M247" s="23" t="n"/>
      <c r="N247" s="23" t="n"/>
      <c r="O247" s="23" t="n"/>
      <c r="P247" s="23" t="n"/>
      <c r="Q247" s="23" t="n"/>
      <c r="R247" s="23" t="n"/>
      <c r="S247" s="23" t="n"/>
      <c r="T247" s="23" t="n"/>
      <c r="U247" s="23" t="n"/>
      <c r="V247" s="23" t="n"/>
      <c r="W247" s="23" t="n"/>
      <c r="X247" s="23" t="n"/>
      <c r="Y247" s="23" t="n"/>
      <c r="Z247" s="23" t="n"/>
    </row>
    <row r="248" ht="15.75" customHeight="1" s="86">
      <c r="A248" s="23" t="n"/>
      <c r="B248" s="23" t="n"/>
      <c r="C248" s="23" t="n"/>
      <c r="D248" s="23" t="n"/>
      <c r="E248" s="23" t="n"/>
      <c r="F248" s="23" t="n"/>
      <c r="G248" s="23" t="n"/>
      <c r="H248" s="23" t="n"/>
      <c r="I248" s="23" t="n"/>
      <c r="J248" s="23" t="n"/>
      <c r="K248" s="23" t="n"/>
      <c r="L248" s="23" t="n"/>
      <c r="M248" s="23" t="n"/>
      <c r="N248" s="23" t="n"/>
      <c r="O248" s="23" t="n"/>
      <c r="P248" s="23" t="n"/>
      <c r="Q248" s="23" t="n"/>
      <c r="R248" s="23" t="n"/>
      <c r="S248" s="23" t="n"/>
      <c r="T248" s="23" t="n"/>
      <c r="U248" s="23" t="n"/>
      <c r="V248" s="23" t="n"/>
      <c r="W248" s="23" t="n"/>
      <c r="X248" s="23" t="n"/>
      <c r="Y248" s="23" t="n"/>
      <c r="Z248" s="23" t="n"/>
    </row>
    <row r="249" ht="15.75" customHeight="1" s="86">
      <c r="A249" s="23" t="n"/>
      <c r="B249" s="23" t="n"/>
      <c r="C249" s="23" t="n"/>
      <c r="D249" s="23" t="n"/>
      <c r="E249" s="23" t="n"/>
      <c r="F249" s="23" t="n"/>
      <c r="G249" s="23" t="n"/>
      <c r="H249" s="23" t="n"/>
      <c r="I249" s="23" t="n"/>
      <c r="J249" s="23" t="n"/>
      <c r="K249" s="23" t="n"/>
      <c r="L249" s="23" t="n"/>
      <c r="M249" s="23" t="n"/>
      <c r="N249" s="23" t="n"/>
      <c r="O249" s="23" t="n"/>
      <c r="P249" s="23" t="n"/>
      <c r="Q249" s="23" t="n"/>
      <c r="R249" s="23" t="n"/>
      <c r="S249" s="23" t="n"/>
      <c r="T249" s="23" t="n"/>
      <c r="U249" s="23" t="n"/>
      <c r="V249" s="23" t="n"/>
      <c r="W249" s="23" t="n"/>
      <c r="X249" s="23" t="n"/>
      <c r="Y249" s="23" t="n"/>
      <c r="Z249" s="23" t="n"/>
    </row>
    <row r="250" ht="15.75" customHeight="1" s="86">
      <c r="A250" s="23" t="n"/>
      <c r="B250" s="23" t="n"/>
      <c r="C250" s="23" t="n"/>
      <c r="D250" s="23" t="n"/>
      <c r="E250" s="23" t="n"/>
      <c r="F250" s="23" t="n"/>
      <c r="G250" s="23" t="n"/>
      <c r="H250" s="23" t="n"/>
      <c r="I250" s="23" t="n"/>
      <c r="J250" s="23" t="n"/>
      <c r="K250" s="23" t="n"/>
      <c r="L250" s="23" t="n"/>
      <c r="M250" s="23" t="n"/>
      <c r="N250" s="23" t="n"/>
      <c r="O250" s="23" t="n"/>
      <c r="P250" s="23" t="n"/>
      <c r="Q250" s="23" t="n"/>
      <c r="R250" s="23" t="n"/>
      <c r="S250" s="23" t="n"/>
      <c r="T250" s="23" t="n"/>
      <c r="U250" s="23" t="n"/>
      <c r="V250" s="23" t="n"/>
      <c r="W250" s="23" t="n"/>
      <c r="X250" s="23" t="n"/>
      <c r="Y250" s="23" t="n"/>
      <c r="Z250" s="23" t="n"/>
    </row>
    <row r="251" ht="15.75" customHeight="1" s="86">
      <c r="A251" s="23" t="n"/>
      <c r="B251" s="23" t="n"/>
      <c r="C251" s="23" t="n"/>
      <c r="D251" s="23" t="n"/>
      <c r="E251" s="23" t="n"/>
      <c r="F251" s="23" t="n"/>
      <c r="G251" s="23" t="n"/>
      <c r="H251" s="23" t="n"/>
      <c r="I251" s="23" t="n"/>
      <c r="J251" s="23" t="n"/>
      <c r="K251" s="23" t="n"/>
      <c r="L251" s="23" t="n"/>
      <c r="M251" s="23" t="n"/>
      <c r="N251" s="23" t="n"/>
      <c r="O251" s="23" t="n"/>
      <c r="P251" s="23" t="n"/>
      <c r="Q251" s="23" t="n"/>
      <c r="R251" s="23" t="n"/>
      <c r="S251" s="23" t="n"/>
      <c r="T251" s="23" t="n"/>
      <c r="U251" s="23" t="n"/>
      <c r="V251" s="23" t="n"/>
      <c r="W251" s="23" t="n"/>
      <c r="X251" s="23" t="n"/>
      <c r="Y251" s="23" t="n"/>
      <c r="Z251" s="23" t="n"/>
    </row>
    <row r="252" ht="15.75" customHeight="1" s="86">
      <c r="A252" s="23" t="n"/>
      <c r="B252" s="23" t="n"/>
      <c r="C252" s="23" t="n"/>
      <c r="D252" s="23" t="n"/>
      <c r="E252" s="23" t="n"/>
      <c r="F252" s="23" t="n"/>
      <c r="G252" s="23" t="n"/>
      <c r="H252" s="23" t="n"/>
      <c r="I252" s="23" t="n"/>
      <c r="J252" s="23" t="n"/>
      <c r="K252" s="23" t="n"/>
      <c r="L252" s="23" t="n"/>
      <c r="M252" s="23" t="n"/>
      <c r="N252" s="23" t="n"/>
      <c r="O252" s="23" t="n"/>
      <c r="P252" s="23" t="n"/>
      <c r="Q252" s="23" t="n"/>
      <c r="R252" s="23" t="n"/>
      <c r="S252" s="23" t="n"/>
      <c r="T252" s="23" t="n"/>
      <c r="U252" s="23" t="n"/>
      <c r="V252" s="23" t="n"/>
      <c r="W252" s="23" t="n"/>
      <c r="X252" s="23" t="n"/>
      <c r="Y252" s="23" t="n"/>
      <c r="Z252" s="23" t="n"/>
    </row>
    <row r="253" ht="15.75" customHeight="1" s="86">
      <c r="A253" s="23" t="n"/>
      <c r="B253" s="23" t="n"/>
      <c r="C253" s="23" t="n"/>
      <c r="D253" s="23" t="n"/>
      <c r="E253" s="23" t="n"/>
      <c r="F253" s="23" t="n"/>
      <c r="G253" s="23" t="n"/>
      <c r="H253" s="23" t="n"/>
      <c r="I253" s="23" t="n"/>
      <c r="J253" s="23" t="n"/>
      <c r="K253" s="23" t="n"/>
      <c r="L253" s="23" t="n"/>
      <c r="M253" s="23" t="n"/>
      <c r="N253" s="23" t="n"/>
      <c r="O253" s="23" t="n"/>
      <c r="P253" s="23" t="n"/>
      <c r="Q253" s="23" t="n"/>
      <c r="R253" s="23" t="n"/>
      <c r="S253" s="23" t="n"/>
      <c r="T253" s="23" t="n"/>
      <c r="U253" s="23" t="n"/>
      <c r="V253" s="23" t="n"/>
      <c r="W253" s="23" t="n"/>
      <c r="X253" s="23" t="n"/>
      <c r="Y253" s="23" t="n"/>
      <c r="Z253" s="23" t="n"/>
    </row>
    <row r="254" ht="15.75" customHeight="1" s="86">
      <c r="A254" s="23" t="n"/>
      <c r="B254" s="23" t="n"/>
      <c r="C254" s="23" t="n"/>
      <c r="D254" s="23" t="n"/>
      <c r="E254" s="23" t="n"/>
      <c r="F254" s="23" t="n"/>
      <c r="G254" s="23" t="n"/>
      <c r="H254" s="23" t="n"/>
      <c r="I254" s="23" t="n"/>
      <c r="J254" s="23" t="n"/>
      <c r="K254" s="23" t="n"/>
      <c r="L254" s="23" t="n"/>
      <c r="M254" s="23" t="n"/>
      <c r="N254" s="23" t="n"/>
      <c r="O254" s="23" t="n"/>
      <c r="P254" s="23" t="n"/>
      <c r="Q254" s="23" t="n"/>
      <c r="R254" s="23" t="n"/>
      <c r="S254" s="23" t="n"/>
      <c r="T254" s="23" t="n"/>
      <c r="U254" s="23" t="n"/>
      <c r="V254" s="23" t="n"/>
      <c r="W254" s="23" t="n"/>
      <c r="X254" s="23" t="n"/>
      <c r="Y254" s="23" t="n"/>
      <c r="Z254" s="23" t="n"/>
    </row>
    <row r="255" ht="15.75" customHeight="1" s="86">
      <c r="A255" s="23" t="n"/>
      <c r="B255" s="23" t="n"/>
      <c r="C255" s="23" t="n"/>
      <c r="D255" s="23" t="n"/>
      <c r="E255" s="23" t="n"/>
      <c r="F255" s="23" t="n"/>
      <c r="G255" s="23" t="n"/>
      <c r="H255" s="23" t="n"/>
      <c r="I255" s="23" t="n"/>
      <c r="J255" s="23" t="n"/>
      <c r="K255" s="23" t="n"/>
      <c r="L255" s="23" t="n"/>
      <c r="M255" s="23" t="n"/>
      <c r="N255" s="23" t="n"/>
      <c r="O255" s="23" t="n"/>
      <c r="P255" s="23" t="n"/>
      <c r="Q255" s="23" t="n"/>
      <c r="R255" s="23" t="n"/>
      <c r="S255" s="23" t="n"/>
      <c r="T255" s="23" t="n"/>
      <c r="U255" s="23" t="n"/>
      <c r="V255" s="23" t="n"/>
      <c r="W255" s="23" t="n"/>
      <c r="X255" s="23" t="n"/>
      <c r="Y255" s="23" t="n"/>
      <c r="Z255" s="23" t="n"/>
    </row>
    <row r="256" ht="15.75" customHeight="1" s="86">
      <c r="A256" s="23" t="n"/>
      <c r="B256" s="23" t="n"/>
      <c r="C256" s="23" t="n"/>
      <c r="D256" s="23" t="n"/>
      <c r="E256" s="23" t="n"/>
      <c r="F256" s="23" t="n"/>
      <c r="G256" s="23" t="n"/>
      <c r="H256" s="23" t="n"/>
      <c r="I256" s="23" t="n"/>
      <c r="J256" s="23" t="n"/>
      <c r="K256" s="23" t="n"/>
      <c r="L256" s="23" t="n"/>
      <c r="M256" s="23" t="n"/>
      <c r="N256" s="23" t="n"/>
      <c r="O256" s="23" t="n"/>
      <c r="P256" s="23" t="n"/>
      <c r="Q256" s="23" t="n"/>
      <c r="R256" s="23" t="n"/>
      <c r="S256" s="23" t="n"/>
      <c r="T256" s="23" t="n"/>
      <c r="U256" s="23" t="n"/>
      <c r="V256" s="23" t="n"/>
      <c r="W256" s="23" t="n"/>
      <c r="X256" s="23" t="n"/>
      <c r="Y256" s="23" t="n"/>
      <c r="Z256" s="23" t="n"/>
    </row>
    <row r="257" ht="15.75" customHeight="1" s="86">
      <c r="A257" s="23" t="n"/>
      <c r="B257" s="23" t="n"/>
      <c r="C257" s="23" t="n"/>
      <c r="D257" s="23" t="n"/>
      <c r="E257" s="23" t="n"/>
      <c r="F257" s="23" t="n"/>
      <c r="G257" s="23" t="n"/>
      <c r="H257" s="23" t="n"/>
      <c r="I257" s="23" t="n"/>
      <c r="J257" s="23" t="n"/>
      <c r="K257" s="23" t="n"/>
      <c r="L257" s="23" t="n"/>
      <c r="M257" s="23" t="n"/>
      <c r="N257" s="23" t="n"/>
      <c r="O257" s="23" t="n"/>
      <c r="P257" s="23" t="n"/>
      <c r="Q257" s="23" t="n"/>
      <c r="R257" s="23" t="n"/>
      <c r="S257" s="23" t="n"/>
      <c r="T257" s="23" t="n"/>
      <c r="U257" s="23" t="n"/>
      <c r="V257" s="23" t="n"/>
      <c r="W257" s="23" t="n"/>
      <c r="X257" s="23" t="n"/>
      <c r="Y257" s="23" t="n"/>
      <c r="Z257" s="23" t="n"/>
    </row>
    <row r="258" ht="15.75" customHeight="1" s="86">
      <c r="A258" s="23" t="n"/>
      <c r="B258" s="23" t="n"/>
      <c r="C258" s="23" t="n"/>
      <c r="D258" s="23" t="n"/>
      <c r="E258" s="23" t="n"/>
      <c r="F258" s="23" t="n"/>
      <c r="G258" s="23" t="n"/>
      <c r="H258" s="23" t="n"/>
      <c r="I258" s="23" t="n"/>
      <c r="J258" s="23" t="n"/>
      <c r="K258" s="23" t="n"/>
      <c r="L258" s="23" t="n"/>
      <c r="M258" s="23" t="n"/>
      <c r="N258" s="23" t="n"/>
      <c r="O258" s="23" t="n"/>
      <c r="P258" s="23" t="n"/>
      <c r="Q258" s="23" t="n"/>
      <c r="R258" s="23" t="n"/>
      <c r="S258" s="23" t="n"/>
      <c r="T258" s="23" t="n"/>
      <c r="U258" s="23" t="n"/>
      <c r="V258" s="23" t="n"/>
      <c r="W258" s="23" t="n"/>
      <c r="X258" s="23" t="n"/>
      <c r="Y258" s="23" t="n"/>
      <c r="Z258" s="23" t="n"/>
    </row>
    <row r="259" ht="15.75" customHeight="1" s="86">
      <c r="A259" s="23" t="n"/>
      <c r="B259" s="23" t="n"/>
      <c r="C259" s="23" t="n"/>
      <c r="D259" s="23" t="n"/>
      <c r="E259" s="23" t="n"/>
      <c r="F259" s="23" t="n"/>
      <c r="G259" s="23" t="n"/>
      <c r="H259" s="23" t="n"/>
      <c r="I259" s="23" t="n"/>
      <c r="J259" s="23" t="n"/>
      <c r="K259" s="23" t="n"/>
      <c r="L259" s="23" t="n"/>
      <c r="M259" s="23" t="n"/>
      <c r="N259" s="23" t="n"/>
      <c r="O259" s="23" t="n"/>
      <c r="P259" s="23" t="n"/>
      <c r="Q259" s="23" t="n"/>
      <c r="R259" s="23" t="n"/>
      <c r="S259" s="23" t="n"/>
      <c r="T259" s="23" t="n"/>
      <c r="U259" s="23" t="n"/>
      <c r="V259" s="23" t="n"/>
      <c r="W259" s="23" t="n"/>
      <c r="X259" s="23" t="n"/>
      <c r="Y259" s="23" t="n"/>
      <c r="Z259" s="23" t="n"/>
    </row>
    <row r="260" ht="15.75" customHeight="1" s="86">
      <c r="A260" s="23" t="n"/>
      <c r="B260" s="23" t="n"/>
      <c r="C260" s="23" t="n"/>
      <c r="D260" s="23" t="n"/>
      <c r="E260" s="23" t="n"/>
      <c r="F260" s="23" t="n"/>
      <c r="G260" s="23" t="n"/>
      <c r="H260" s="23" t="n"/>
      <c r="I260" s="23" t="n"/>
      <c r="J260" s="23" t="n"/>
      <c r="K260" s="23" t="n"/>
      <c r="L260" s="23" t="n"/>
      <c r="M260" s="23" t="n"/>
      <c r="N260" s="23" t="n"/>
      <c r="O260" s="23" t="n"/>
      <c r="P260" s="23" t="n"/>
      <c r="Q260" s="23" t="n"/>
      <c r="R260" s="23" t="n"/>
      <c r="S260" s="23" t="n"/>
      <c r="T260" s="23" t="n"/>
      <c r="U260" s="23" t="n"/>
      <c r="V260" s="23" t="n"/>
      <c r="W260" s="23" t="n"/>
      <c r="X260" s="23" t="n"/>
      <c r="Y260" s="23" t="n"/>
      <c r="Z260" s="23" t="n"/>
    </row>
    <row r="261" ht="15.75" customHeight="1" s="86">
      <c r="A261" s="23" t="n"/>
      <c r="B261" s="23" t="n"/>
      <c r="C261" s="23" t="n"/>
      <c r="D261" s="23" t="n"/>
      <c r="E261" s="23" t="n"/>
      <c r="F261" s="23" t="n"/>
      <c r="G261" s="23" t="n"/>
      <c r="H261" s="23" t="n"/>
      <c r="I261" s="23" t="n"/>
      <c r="J261" s="23" t="n"/>
      <c r="K261" s="23" t="n"/>
      <c r="L261" s="23" t="n"/>
      <c r="M261" s="23" t="n"/>
      <c r="N261" s="23" t="n"/>
      <c r="O261" s="23" t="n"/>
      <c r="P261" s="23" t="n"/>
      <c r="Q261" s="23" t="n"/>
      <c r="R261" s="23" t="n"/>
      <c r="S261" s="23" t="n"/>
      <c r="T261" s="23" t="n"/>
      <c r="U261" s="23" t="n"/>
      <c r="V261" s="23" t="n"/>
      <c r="W261" s="23" t="n"/>
      <c r="X261" s="23" t="n"/>
      <c r="Y261" s="23" t="n"/>
      <c r="Z261" s="23" t="n"/>
    </row>
    <row r="262" ht="15.75" customHeight="1" s="86">
      <c r="A262" s="23" t="n"/>
      <c r="B262" s="23" t="n"/>
      <c r="C262" s="23" t="n"/>
      <c r="D262" s="23" t="n"/>
      <c r="E262" s="23" t="n"/>
      <c r="F262" s="23" t="n"/>
      <c r="G262" s="23" t="n"/>
      <c r="H262" s="23" t="n"/>
      <c r="I262" s="23" t="n"/>
      <c r="J262" s="23" t="n"/>
      <c r="K262" s="23" t="n"/>
      <c r="L262" s="23" t="n"/>
      <c r="M262" s="23" t="n"/>
      <c r="N262" s="23" t="n"/>
      <c r="O262" s="23" t="n"/>
      <c r="P262" s="23" t="n"/>
      <c r="Q262" s="23" t="n"/>
      <c r="R262" s="23" t="n"/>
      <c r="S262" s="23" t="n"/>
      <c r="T262" s="23" t="n"/>
      <c r="U262" s="23" t="n"/>
      <c r="V262" s="23" t="n"/>
      <c r="W262" s="23" t="n"/>
      <c r="X262" s="23" t="n"/>
      <c r="Y262" s="23" t="n"/>
      <c r="Z262" s="23" t="n"/>
    </row>
    <row r="263" ht="15.75" customHeight="1" s="86">
      <c r="A263" s="23" t="n"/>
      <c r="B263" s="23" t="n"/>
      <c r="C263" s="23" t="n"/>
      <c r="D263" s="23" t="n"/>
      <c r="E263" s="23" t="n"/>
      <c r="F263" s="23" t="n"/>
      <c r="G263" s="23" t="n"/>
      <c r="H263" s="23" t="n"/>
      <c r="I263" s="23" t="n"/>
      <c r="J263" s="23" t="n"/>
      <c r="K263" s="23" t="n"/>
      <c r="L263" s="23" t="n"/>
      <c r="M263" s="23" t="n"/>
      <c r="N263" s="23" t="n"/>
      <c r="O263" s="23" t="n"/>
      <c r="P263" s="23" t="n"/>
      <c r="Q263" s="23" t="n"/>
      <c r="R263" s="23" t="n"/>
      <c r="S263" s="23" t="n"/>
      <c r="T263" s="23" t="n"/>
      <c r="U263" s="23" t="n"/>
      <c r="V263" s="23" t="n"/>
      <c r="W263" s="23" t="n"/>
      <c r="X263" s="23" t="n"/>
      <c r="Y263" s="23" t="n"/>
      <c r="Z263" s="23" t="n"/>
    </row>
    <row r="264" ht="15.75" customHeight="1" s="86">
      <c r="A264" s="23" t="n"/>
      <c r="B264" s="23" t="n"/>
      <c r="C264" s="23" t="n"/>
      <c r="D264" s="23" t="n"/>
      <c r="E264" s="23" t="n"/>
      <c r="F264" s="23" t="n"/>
      <c r="G264" s="23" t="n"/>
      <c r="H264" s="23" t="n"/>
      <c r="I264" s="23" t="n"/>
      <c r="J264" s="23" t="n"/>
      <c r="K264" s="23" t="n"/>
      <c r="L264" s="23" t="n"/>
      <c r="M264" s="23" t="n"/>
      <c r="N264" s="23" t="n"/>
      <c r="O264" s="23" t="n"/>
      <c r="P264" s="23" t="n"/>
      <c r="Q264" s="23" t="n"/>
      <c r="R264" s="23" t="n"/>
      <c r="S264" s="23" t="n"/>
      <c r="T264" s="23" t="n"/>
      <c r="U264" s="23" t="n"/>
      <c r="V264" s="23" t="n"/>
      <c r="W264" s="23" t="n"/>
      <c r="X264" s="23" t="n"/>
      <c r="Y264" s="23" t="n"/>
      <c r="Z264" s="23" t="n"/>
    </row>
    <row r="265" ht="15.75" customHeight="1" s="86">
      <c r="A265" s="23" t="n"/>
      <c r="B265" s="23" t="n"/>
      <c r="C265" s="23" t="n"/>
      <c r="D265" s="23" t="n"/>
      <c r="E265" s="23" t="n"/>
      <c r="F265" s="23" t="n"/>
      <c r="G265" s="23" t="n"/>
      <c r="H265" s="23" t="n"/>
      <c r="I265" s="23" t="n"/>
      <c r="J265" s="23" t="n"/>
      <c r="K265" s="23" t="n"/>
      <c r="L265" s="23" t="n"/>
      <c r="M265" s="23" t="n"/>
      <c r="N265" s="23" t="n"/>
      <c r="O265" s="23" t="n"/>
      <c r="P265" s="23" t="n"/>
      <c r="Q265" s="23" t="n"/>
      <c r="R265" s="23" t="n"/>
      <c r="S265" s="23" t="n"/>
      <c r="T265" s="23" t="n"/>
      <c r="U265" s="23" t="n"/>
      <c r="V265" s="23" t="n"/>
      <c r="W265" s="23" t="n"/>
      <c r="X265" s="23" t="n"/>
      <c r="Y265" s="23" t="n"/>
      <c r="Z265" s="23" t="n"/>
    </row>
    <row r="266" ht="15.75" customHeight="1" s="86">
      <c r="A266" s="23" t="n"/>
      <c r="B266" s="23" t="n"/>
      <c r="C266" s="23" t="n"/>
      <c r="D266" s="23" t="n"/>
      <c r="E266" s="23" t="n"/>
      <c r="F266" s="23" t="n"/>
      <c r="G266" s="23" t="n"/>
      <c r="H266" s="23" t="n"/>
      <c r="I266" s="23" t="n"/>
      <c r="J266" s="23" t="n"/>
      <c r="K266" s="23" t="n"/>
      <c r="L266" s="23" t="n"/>
      <c r="M266" s="23" t="n"/>
      <c r="N266" s="23" t="n"/>
      <c r="O266" s="23" t="n"/>
      <c r="P266" s="23" t="n"/>
      <c r="Q266" s="23" t="n"/>
      <c r="R266" s="23" t="n"/>
      <c r="S266" s="23" t="n"/>
      <c r="T266" s="23" t="n"/>
      <c r="U266" s="23" t="n"/>
      <c r="V266" s="23" t="n"/>
      <c r="W266" s="23" t="n"/>
      <c r="X266" s="23" t="n"/>
      <c r="Y266" s="23" t="n"/>
      <c r="Z266" s="23" t="n"/>
    </row>
    <row r="267" ht="15.75" customHeight="1" s="86">
      <c r="A267" s="23" t="n"/>
      <c r="B267" s="23" t="n"/>
      <c r="C267" s="23" t="n"/>
      <c r="D267" s="23" t="n"/>
      <c r="E267" s="23" t="n"/>
      <c r="F267" s="23" t="n"/>
      <c r="G267" s="23" t="n"/>
      <c r="H267" s="23" t="n"/>
      <c r="I267" s="23" t="n"/>
      <c r="J267" s="23" t="n"/>
      <c r="K267" s="23" t="n"/>
      <c r="L267" s="23" t="n"/>
      <c r="M267" s="23" t="n"/>
      <c r="N267" s="23" t="n"/>
      <c r="O267" s="23" t="n"/>
      <c r="P267" s="23" t="n"/>
      <c r="Q267" s="23" t="n"/>
      <c r="R267" s="23" t="n"/>
      <c r="S267" s="23" t="n"/>
      <c r="T267" s="23" t="n"/>
      <c r="U267" s="23" t="n"/>
      <c r="V267" s="23" t="n"/>
      <c r="W267" s="23" t="n"/>
      <c r="X267" s="23" t="n"/>
      <c r="Y267" s="23" t="n"/>
      <c r="Z267" s="23" t="n"/>
    </row>
    <row r="268" ht="15.75" customHeight="1" s="86">
      <c r="A268" s="23" t="n"/>
      <c r="B268" s="23" t="n"/>
      <c r="C268" s="23" t="n"/>
      <c r="D268" s="23" t="n"/>
      <c r="E268" s="23" t="n"/>
      <c r="F268" s="23" t="n"/>
      <c r="G268" s="23" t="n"/>
      <c r="H268" s="23" t="n"/>
      <c r="I268" s="23" t="n"/>
      <c r="J268" s="23" t="n"/>
      <c r="K268" s="23" t="n"/>
      <c r="L268" s="23" t="n"/>
      <c r="M268" s="23" t="n"/>
      <c r="N268" s="23" t="n"/>
      <c r="O268" s="23" t="n"/>
      <c r="P268" s="23" t="n"/>
      <c r="Q268" s="23" t="n"/>
      <c r="R268" s="23" t="n"/>
      <c r="S268" s="23" t="n"/>
      <c r="T268" s="23" t="n"/>
      <c r="U268" s="23" t="n"/>
      <c r="V268" s="23" t="n"/>
      <c r="W268" s="23" t="n"/>
      <c r="X268" s="23" t="n"/>
      <c r="Y268" s="23" t="n"/>
      <c r="Z268" s="23" t="n"/>
    </row>
    <row r="269" ht="15.75" customHeight="1" s="86">
      <c r="A269" s="23" t="n"/>
      <c r="B269" s="23" t="n"/>
      <c r="C269" s="23" t="n"/>
      <c r="D269" s="23" t="n"/>
      <c r="E269" s="23" t="n"/>
      <c r="F269" s="23" t="n"/>
      <c r="G269" s="23" t="n"/>
      <c r="H269" s="23" t="n"/>
      <c r="I269" s="23" t="n"/>
      <c r="J269" s="23" t="n"/>
      <c r="K269" s="23" t="n"/>
      <c r="L269" s="23" t="n"/>
      <c r="M269" s="23" t="n"/>
      <c r="N269" s="23" t="n"/>
      <c r="O269" s="23" t="n"/>
      <c r="P269" s="23" t="n"/>
      <c r="Q269" s="23" t="n"/>
      <c r="R269" s="23" t="n"/>
      <c r="S269" s="23" t="n"/>
      <c r="T269" s="23" t="n"/>
      <c r="U269" s="23" t="n"/>
      <c r="V269" s="23" t="n"/>
      <c r="W269" s="23" t="n"/>
      <c r="X269" s="23" t="n"/>
      <c r="Y269" s="23" t="n"/>
      <c r="Z269" s="23" t="n"/>
    </row>
    <row r="270" ht="15.75" customHeight="1" s="86">
      <c r="A270" s="23" t="n"/>
      <c r="B270" s="23" t="n"/>
      <c r="C270" s="23" t="n"/>
      <c r="D270" s="23" t="n"/>
      <c r="E270" s="23" t="n"/>
      <c r="F270" s="23" t="n"/>
      <c r="G270" s="23" t="n"/>
      <c r="H270" s="23" t="n"/>
      <c r="I270" s="23" t="n"/>
      <c r="J270" s="23" t="n"/>
      <c r="K270" s="23" t="n"/>
      <c r="L270" s="23" t="n"/>
      <c r="M270" s="23" t="n"/>
      <c r="N270" s="23" t="n"/>
      <c r="O270" s="23" t="n"/>
      <c r="P270" s="23" t="n"/>
      <c r="Q270" s="23" t="n"/>
      <c r="R270" s="23" t="n"/>
      <c r="S270" s="23" t="n"/>
      <c r="T270" s="23" t="n"/>
      <c r="U270" s="23" t="n"/>
      <c r="V270" s="23" t="n"/>
      <c r="W270" s="23" t="n"/>
      <c r="X270" s="23" t="n"/>
      <c r="Y270" s="23" t="n"/>
      <c r="Z270" s="23" t="n"/>
    </row>
    <row r="271" ht="15.75" customHeight="1" s="86">
      <c r="A271" s="23" t="n"/>
      <c r="B271" s="23" t="n"/>
      <c r="C271" s="23" t="n"/>
      <c r="D271" s="23" t="n"/>
      <c r="E271" s="23" t="n"/>
      <c r="F271" s="23" t="n"/>
      <c r="G271" s="23" t="n"/>
      <c r="H271" s="23" t="n"/>
      <c r="I271" s="23" t="n"/>
      <c r="J271" s="23" t="n"/>
      <c r="K271" s="23" t="n"/>
      <c r="L271" s="23" t="n"/>
      <c r="M271" s="23" t="n"/>
      <c r="N271" s="23" t="n"/>
      <c r="O271" s="23" t="n"/>
      <c r="P271" s="23" t="n"/>
      <c r="Q271" s="23" t="n"/>
      <c r="R271" s="23" t="n"/>
      <c r="S271" s="23" t="n"/>
      <c r="T271" s="23" t="n"/>
      <c r="U271" s="23" t="n"/>
      <c r="V271" s="23" t="n"/>
      <c r="W271" s="23" t="n"/>
      <c r="X271" s="23" t="n"/>
      <c r="Y271" s="23" t="n"/>
      <c r="Z271" s="23" t="n"/>
    </row>
    <row r="272" ht="15.75" customHeight="1" s="86">
      <c r="A272" s="23" t="n"/>
      <c r="B272" s="23" t="n"/>
      <c r="C272" s="23" t="n"/>
      <c r="D272" s="23" t="n"/>
      <c r="E272" s="23" t="n"/>
      <c r="F272" s="23" t="n"/>
      <c r="G272" s="23" t="n"/>
      <c r="H272" s="23" t="n"/>
      <c r="I272" s="23" t="n"/>
      <c r="J272" s="23" t="n"/>
      <c r="K272" s="23" t="n"/>
      <c r="L272" s="23" t="n"/>
      <c r="M272" s="23" t="n"/>
      <c r="N272" s="23" t="n"/>
      <c r="O272" s="23" t="n"/>
      <c r="P272" s="23" t="n"/>
      <c r="Q272" s="23" t="n"/>
      <c r="R272" s="23" t="n"/>
      <c r="S272" s="23" t="n"/>
      <c r="T272" s="23" t="n"/>
      <c r="U272" s="23" t="n"/>
      <c r="V272" s="23" t="n"/>
      <c r="W272" s="23" t="n"/>
      <c r="X272" s="23" t="n"/>
      <c r="Y272" s="23" t="n"/>
      <c r="Z272" s="23" t="n"/>
    </row>
    <row r="273" ht="15.75" customHeight="1" s="86">
      <c r="A273" s="23" t="n"/>
      <c r="B273" s="23" t="n"/>
      <c r="C273" s="23" t="n"/>
      <c r="D273" s="23" t="n"/>
      <c r="E273" s="23" t="n"/>
      <c r="F273" s="23" t="n"/>
      <c r="G273" s="23" t="n"/>
      <c r="H273" s="23" t="n"/>
      <c r="I273" s="23" t="n"/>
      <c r="J273" s="23" t="n"/>
      <c r="K273" s="23" t="n"/>
      <c r="L273" s="23" t="n"/>
      <c r="M273" s="23" t="n"/>
      <c r="N273" s="23" t="n"/>
      <c r="O273" s="23" t="n"/>
      <c r="P273" s="23" t="n"/>
      <c r="Q273" s="23" t="n"/>
      <c r="R273" s="23" t="n"/>
      <c r="S273" s="23" t="n"/>
      <c r="T273" s="23" t="n"/>
      <c r="U273" s="23" t="n"/>
      <c r="V273" s="23" t="n"/>
      <c r="W273" s="23" t="n"/>
      <c r="X273" s="23" t="n"/>
      <c r="Y273" s="23" t="n"/>
      <c r="Z273" s="23" t="n"/>
    </row>
    <row r="274" ht="15.75" customHeight="1" s="86">
      <c r="A274" s="23" t="n"/>
      <c r="B274" s="23" t="n"/>
      <c r="C274" s="23" t="n"/>
      <c r="D274" s="23" t="n"/>
      <c r="E274" s="23" t="n"/>
      <c r="F274" s="23" t="n"/>
      <c r="G274" s="23" t="n"/>
      <c r="H274" s="23" t="n"/>
      <c r="I274" s="23" t="n"/>
      <c r="J274" s="23" t="n"/>
      <c r="K274" s="23" t="n"/>
      <c r="L274" s="23" t="n"/>
      <c r="M274" s="23" t="n"/>
      <c r="N274" s="23" t="n"/>
      <c r="O274" s="23" t="n"/>
      <c r="P274" s="23" t="n"/>
      <c r="Q274" s="23" t="n"/>
      <c r="R274" s="23" t="n"/>
      <c r="S274" s="23" t="n"/>
      <c r="T274" s="23" t="n"/>
      <c r="U274" s="23" t="n"/>
      <c r="V274" s="23" t="n"/>
      <c r="W274" s="23" t="n"/>
      <c r="X274" s="23" t="n"/>
      <c r="Y274" s="23" t="n"/>
      <c r="Z274" s="23" t="n"/>
    </row>
    <row r="275" ht="15.75" customHeight="1" s="86">
      <c r="A275" s="23" t="n"/>
      <c r="B275" s="23" t="n"/>
      <c r="C275" s="23" t="n"/>
      <c r="D275" s="23" t="n"/>
      <c r="E275" s="23" t="n"/>
      <c r="F275" s="23" t="n"/>
      <c r="G275" s="23" t="n"/>
      <c r="H275" s="23" t="n"/>
      <c r="I275" s="23" t="n"/>
      <c r="J275" s="23" t="n"/>
      <c r="K275" s="23" t="n"/>
      <c r="L275" s="23" t="n"/>
      <c r="M275" s="23" t="n"/>
      <c r="N275" s="23" t="n"/>
      <c r="O275" s="23" t="n"/>
      <c r="P275" s="23" t="n"/>
      <c r="Q275" s="23" t="n"/>
      <c r="R275" s="23" t="n"/>
      <c r="S275" s="23" t="n"/>
      <c r="T275" s="23" t="n"/>
      <c r="U275" s="23" t="n"/>
      <c r="V275" s="23" t="n"/>
      <c r="W275" s="23" t="n"/>
      <c r="X275" s="23" t="n"/>
      <c r="Y275" s="23" t="n"/>
      <c r="Z275" s="23" t="n"/>
    </row>
    <row r="276" ht="15.75" customHeight="1" s="86">
      <c r="A276" s="23" t="n"/>
      <c r="B276" s="23" t="n"/>
      <c r="C276" s="23" t="n"/>
      <c r="D276" s="23" t="n"/>
      <c r="E276" s="23" t="n"/>
      <c r="F276" s="23" t="n"/>
      <c r="G276" s="23" t="n"/>
      <c r="H276" s="23" t="n"/>
      <c r="I276" s="23" t="n"/>
      <c r="J276" s="23" t="n"/>
      <c r="K276" s="23" t="n"/>
      <c r="L276" s="23" t="n"/>
      <c r="M276" s="23" t="n"/>
      <c r="N276" s="23" t="n"/>
      <c r="O276" s="23" t="n"/>
      <c r="P276" s="23" t="n"/>
      <c r="Q276" s="23" t="n"/>
      <c r="R276" s="23" t="n"/>
      <c r="S276" s="23" t="n"/>
      <c r="T276" s="23" t="n"/>
      <c r="U276" s="23" t="n"/>
      <c r="V276" s="23" t="n"/>
      <c r="W276" s="23" t="n"/>
      <c r="X276" s="23" t="n"/>
      <c r="Y276" s="23" t="n"/>
      <c r="Z276" s="23" t="n"/>
    </row>
    <row r="277" ht="15.75" customHeight="1" s="86">
      <c r="A277" s="23" t="n"/>
      <c r="B277" s="23" t="n"/>
      <c r="C277" s="23" t="n"/>
      <c r="D277" s="23" t="n"/>
      <c r="E277" s="23" t="n"/>
      <c r="F277" s="23" t="n"/>
      <c r="G277" s="23" t="n"/>
      <c r="H277" s="23" t="n"/>
      <c r="I277" s="23" t="n"/>
      <c r="J277" s="23" t="n"/>
      <c r="K277" s="23" t="n"/>
      <c r="L277" s="23" t="n"/>
      <c r="M277" s="23" t="n"/>
      <c r="N277" s="23" t="n"/>
      <c r="O277" s="23" t="n"/>
      <c r="P277" s="23" t="n"/>
      <c r="Q277" s="23" t="n"/>
      <c r="R277" s="23" t="n"/>
      <c r="S277" s="23" t="n"/>
      <c r="T277" s="23" t="n"/>
      <c r="U277" s="23" t="n"/>
      <c r="V277" s="23" t="n"/>
      <c r="W277" s="23" t="n"/>
      <c r="X277" s="23" t="n"/>
      <c r="Y277" s="23" t="n"/>
      <c r="Z277" s="23" t="n"/>
    </row>
    <row r="278" ht="15.75" customHeight="1" s="86">
      <c r="A278" s="23" t="n"/>
      <c r="B278" s="23" t="n"/>
      <c r="C278" s="23" t="n"/>
      <c r="D278" s="23" t="n"/>
      <c r="E278" s="23" t="n"/>
      <c r="F278" s="23" t="n"/>
      <c r="G278" s="23" t="n"/>
      <c r="H278" s="23" t="n"/>
      <c r="I278" s="23" t="n"/>
      <c r="J278" s="23" t="n"/>
      <c r="K278" s="23" t="n"/>
      <c r="L278" s="23" t="n"/>
      <c r="M278" s="23" t="n"/>
      <c r="N278" s="23" t="n"/>
      <c r="O278" s="23" t="n"/>
      <c r="P278" s="23" t="n"/>
      <c r="Q278" s="23" t="n"/>
      <c r="R278" s="23" t="n"/>
      <c r="S278" s="23" t="n"/>
      <c r="T278" s="23" t="n"/>
      <c r="U278" s="23" t="n"/>
      <c r="V278" s="23" t="n"/>
      <c r="W278" s="23" t="n"/>
      <c r="X278" s="23" t="n"/>
      <c r="Y278" s="23" t="n"/>
      <c r="Z278" s="23" t="n"/>
    </row>
    <row r="279" ht="15.75" customHeight="1" s="86">
      <c r="A279" s="23" t="n"/>
      <c r="B279" s="23" t="n"/>
      <c r="C279" s="23" t="n"/>
      <c r="D279" s="23" t="n"/>
      <c r="E279" s="23" t="n"/>
      <c r="F279" s="23" t="n"/>
      <c r="G279" s="23" t="n"/>
      <c r="H279" s="23" t="n"/>
      <c r="I279" s="23" t="n"/>
      <c r="J279" s="23" t="n"/>
      <c r="K279" s="23" t="n"/>
      <c r="L279" s="23" t="n"/>
      <c r="M279" s="23" t="n"/>
      <c r="N279" s="23" t="n"/>
      <c r="O279" s="23" t="n"/>
      <c r="P279" s="23" t="n"/>
      <c r="Q279" s="23" t="n"/>
      <c r="R279" s="23" t="n"/>
      <c r="S279" s="23" t="n"/>
      <c r="T279" s="23" t="n"/>
      <c r="U279" s="23" t="n"/>
      <c r="V279" s="23" t="n"/>
      <c r="W279" s="23" t="n"/>
      <c r="X279" s="23" t="n"/>
      <c r="Y279" s="23" t="n"/>
      <c r="Z279" s="23" t="n"/>
    </row>
    <row r="280" ht="15.75" customHeight="1" s="86">
      <c r="A280" s="23" t="n"/>
      <c r="B280" s="23" t="n"/>
      <c r="C280" s="23" t="n"/>
      <c r="D280" s="23" t="n"/>
      <c r="E280" s="23" t="n"/>
      <c r="F280" s="23" t="n"/>
      <c r="G280" s="23" t="n"/>
      <c r="H280" s="23" t="n"/>
      <c r="I280" s="23" t="n"/>
      <c r="J280" s="23" t="n"/>
      <c r="K280" s="23" t="n"/>
      <c r="L280" s="23" t="n"/>
      <c r="M280" s="23" t="n"/>
      <c r="N280" s="23" t="n"/>
      <c r="O280" s="23" t="n"/>
      <c r="P280" s="23" t="n"/>
      <c r="Q280" s="23" t="n"/>
      <c r="R280" s="23" t="n"/>
      <c r="S280" s="23" t="n"/>
      <c r="T280" s="23" t="n"/>
      <c r="U280" s="23" t="n"/>
      <c r="V280" s="23" t="n"/>
      <c r="W280" s="23" t="n"/>
      <c r="X280" s="23" t="n"/>
      <c r="Y280" s="23" t="n"/>
      <c r="Z280" s="23" t="n"/>
    </row>
    <row r="281" ht="15.75" customHeight="1" s="86">
      <c r="A281" s="23" t="n"/>
      <c r="B281" s="23" t="n"/>
      <c r="C281" s="23" t="n"/>
      <c r="D281" s="23" t="n"/>
      <c r="E281" s="23" t="n"/>
      <c r="F281" s="23" t="n"/>
      <c r="G281" s="23" t="n"/>
      <c r="H281" s="23" t="n"/>
      <c r="I281" s="23" t="n"/>
      <c r="J281" s="23" t="n"/>
      <c r="K281" s="23" t="n"/>
      <c r="L281" s="23" t="n"/>
      <c r="M281" s="23" t="n"/>
      <c r="N281" s="23" t="n"/>
      <c r="O281" s="23" t="n"/>
      <c r="P281" s="23" t="n"/>
      <c r="Q281" s="23" t="n"/>
      <c r="R281" s="23" t="n"/>
      <c r="S281" s="23" t="n"/>
      <c r="T281" s="23" t="n"/>
      <c r="U281" s="23" t="n"/>
      <c r="V281" s="23" t="n"/>
      <c r="W281" s="23" t="n"/>
      <c r="X281" s="23" t="n"/>
      <c r="Y281" s="23" t="n"/>
      <c r="Z281" s="23" t="n"/>
    </row>
    <row r="282" ht="15.75" customHeight="1" s="86">
      <c r="A282" s="23" t="n"/>
      <c r="B282" s="23" t="n"/>
      <c r="C282" s="23" t="n"/>
      <c r="D282" s="23" t="n"/>
      <c r="E282" s="23" t="n"/>
      <c r="F282" s="23" t="n"/>
      <c r="G282" s="23" t="n"/>
      <c r="H282" s="23" t="n"/>
      <c r="I282" s="23" t="n"/>
      <c r="J282" s="23" t="n"/>
      <c r="K282" s="23" t="n"/>
      <c r="L282" s="23" t="n"/>
      <c r="M282" s="23" t="n"/>
      <c r="N282" s="23" t="n"/>
      <c r="O282" s="23" t="n"/>
      <c r="P282" s="23" t="n"/>
      <c r="Q282" s="23" t="n"/>
      <c r="R282" s="23" t="n"/>
      <c r="S282" s="23" t="n"/>
      <c r="T282" s="23" t="n"/>
      <c r="U282" s="23" t="n"/>
      <c r="V282" s="23" t="n"/>
      <c r="W282" s="23" t="n"/>
      <c r="X282" s="23" t="n"/>
      <c r="Y282" s="23" t="n"/>
      <c r="Z282" s="23" t="n"/>
    </row>
    <row r="283" ht="15.75" customHeight="1" s="86">
      <c r="A283" s="23" t="n"/>
      <c r="B283" s="23" t="n"/>
      <c r="C283" s="23" t="n"/>
      <c r="D283" s="23" t="n"/>
      <c r="E283" s="23" t="n"/>
      <c r="F283" s="23" t="n"/>
      <c r="G283" s="23" t="n"/>
      <c r="H283" s="23" t="n"/>
      <c r="I283" s="23" t="n"/>
      <c r="J283" s="23" t="n"/>
      <c r="K283" s="23" t="n"/>
      <c r="L283" s="23" t="n"/>
      <c r="M283" s="23" t="n"/>
      <c r="N283" s="23" t="n"/>
      <c r="O283" s="23" t="n"/>
      <c r="P283" s="23" t="n"/>
      <c r="Q283" s="23" t="n"/>
      <c r="R283" s="23" t="n"/>
      <c r="S283" s="23" t="n"/>
      <c r="T283" s="23" t="n"/>
      <c r="U283" s="23" t="n"/>
      <c r="V283" s="23" t="n"/>
      <c r="W283" s="23" t="n"/>
      <c r="X283" s="23" t="n"/>
      <c r="Y283" s="23" t="n"/>
      <c r="Z283" s="23" t="n"/>
    </row>
    <row r="284" ht="15.75" customHeight="1" s="86">
      <c r="A284" s="23" t="n"/>
      <c r="B284" s="23" t="n"/>
      <c r="C284" s="23" t="n"/>
      <c r="D284" s="23" t="n"/>
      <c r="E284" s="23" t="n"/>
      <c r="F284" s="23" t="n"/>
      <c r="G284" s="23" t="n"/>
      <c r="H284" s="23" t="n"/>
      <c r="I284" s="23" t="n"/>
      <c r="J284" s="23" t="n"/>
      <c r="K284" s="23" t="n"/>
      <c r="L284" s="23" t="n"/>
      <c r="M284" s="23" t="n"/>
      <c r="N284" s="23" t="n"/>
      <c r="O284" s="23" t="n"/>
      <c r="P284" s="23" t="n"/>
      <c r="Q284" s="23" t="n"/>
      <c r="R284" s="23" t="n"/>
      <c r="S284" s="23" t="n"/>
      <c r="T284" s="23" t="n"/>
      <c r="U284" s="23" t="n"/>
      <c r="V284" s="23" t="n"/>
      <c r="W284" s="23" t="n"/>
      <c r="X284" s="23" t="n"/>
      <c r="Y284" s="23" t="n"/>
      <c r="Z284" s="23" t="n"/>
    </row>
    <row r="285" ht="15.75" customHeight="1" s="86">
      <c r="A285" s="23" t="n"/>
      <c r="B285" s="23" t="n"/>
      <c r="C285" s="23" t="n"/>
      <c r="D285" s="23" t="n"/>
      <c r="E285" s="23" t="n"/>
      <c r="F285" s="23" t="n"/>
      <c r="G285" s="23" t="n"/>
      <c r="H285" s="23" t="n"/>
      <c r="I285" s="23" t="n"/>
      <c r="J285" s="23" t="n"/>
      <c r="K285" s="23" t="n"/>
      <c r="L285" s="23" t="n"/>
      <c r="M285" s="23" t="n"/>
      <c r="N285" s="23" t="n"/>
      <c r="O285" s="23" t="n"/>
      <c r="P285" s="23" t="n"/>
      <c r="Q285" s="23" t="n"/>
      <c r="R285" s="23" t="n"/>
      <c r="S285" s="23" t="n"/>
      <c r="T285" s="23" t="n"/>
      <c r="U285" s="23" t="n"/>
      <c r="V285" s="23" t="n"/>
      <c r="W285" s="23" t="n"/>
      <c r="X285" s="23" t="n"/>
      <c r="Y285" s="23" t="n"/>
      <c r="Z285" s="23" t="n"/>
    </row>
    <row r="286" ht="15.75" customHeight="1" s="86">
      <c r="A286" s="23" t="n"/>
      <c r="B286" s="23" t="n"/>
      <c r="C286" s="23" t="n"/>
      <c r="D286" s="23" t="n"/>
      <c r="E286" s="23" t="n"/>
      <c r="F286" s="23" t="n"/>
      <c r="G286" s="23" t="n"/>
      <c r="H286" s="23" t="n"/>
      <c r="I286" s="23" t="n"/>
      <c r="J286" s="23" t="n"/>
      <c r="K286" s="23" t="n"/>
      <c r="L286" s="23" t="n"/>
      <c r="M286" s="23" t="n"/>
      <c r="N286" s="23" t="n"/>
      <c r="O286" s="23" t="n"/>
      <c r="P286" s="23" t="n"/>
      <c r="Q286" s="23" t="n"/>
      <c r="R286" s="23" t="n"/>
      <c r="S286" s="23" t="n"/>
      <c r="T286" s="23" t="n"/>
      <c r="U286" s="23" t="n"/>
      <c r="V286" s="23" t="n"/>
      <c r="W286" s="23" t="n"/>
      <c r="X286" s="23" t="n"/>
      <c r="Y286" s="23" t="n"/>
      <c r="Z286" s="23" t="n"/>
    </row>
    <row r="287" ht="15.75" customHeight="1" s="86">
      <c r="A287" s="23" t="n"/>
      <c r="B287" s="23" t="n"/>
      <c r="C287" s="23" t="n"/>
      <c r="D287" s="23" t="n"/>
      <c r="E287" s="23" t="n"/>
      <c r="F287" s="23" t="n"/>
      <c r="G287" s="23" t="n"/>
      <c r="H287" s="23" t="n"/>
      <c r="I287" s="23" t="n"/>
      <c r="J287" s="23" t="n"/>
      <c r="K287" s="23" t="n"/>
      <c r="L287" s="23" t="n"/>
      <c r="M287" s="23" t="n"/>
      <c r="N287" s="23" t="n"/>
      <c r="O287" s="23" t="n"/>
      <c r="P287" s="23" t="n"/>
      <c r="Q287" s="23" t="n"/>
      <c r="R287" s="23" t="n"/>
      <c r="S287" s="23" t="n"/>
      <c r="T287" s="23" t="n"/>
      <c r="U287" s="23" t="n"/>
      <c r="V287" s="23" t="n"/>
      <c r="W287" s="23" t="n"/>
      <c r="X287" s="23" t="n"/>
      <c r="Y287" s="23" t="n"/>
      <c r="Z287" s="23" t="n"/>
    </row>
    <row r="288" ht="15.75" customHeight="1" s="86">
      <c r="A288" s="23" t="n"/>
      <c r="B288" s="23" t="n"/>
      <c r="C288" s="23" t="n"/>
      <c r="D288" s="23" t="n"/>
      <c r="E288" s="23" t="n"/>
      <c r="F288" s="23" t="n"/>
      <c r="G288" s="23" t="n"/>
      <c r="H288" s="23" t="n"/>
      <c r="I288" s="23" t="n"/>
      <c r="J288" s="23" t="n"/>
      <c r="K288" s="23" t="n"/>
      <c r="L288" s="23" t="n"/>
      <c r="M288" s="23" t="n"/>
      <c r="N288" s="23" t="n"/>
      <c r="O288" s="23" t="n"/>
      <c r="P288" s="23" t="n"/>
      <c r="Q288" s="23" t="n"/>
      <c r="R288" s="23" t="n"/>
      <c r="S288" s="23" t="n"/>
      <c r="T288" s="23" t="n"/>
      <c r="U288" s="23" t="n"/>
      <c r="V288" s="23" t="n"/>
      <c r="W288" s="23" t="n"/>
      <c r="X288" s="23" t="n"/>
      <c r="Y288" s="23" t="n"/>
      <c r="Z288" s="23" t="n"/>
    </row>
    <row r="289" ht="15.75" customHeight="1" s="86">
      <c r="A289" s="23" t="n"/>
      <c r="B289" s="23" t="n"/>
      <c r="C289" s="23" t="n"/>
      <c r="D289" s="23" t="n"/>
      <c r="E289" s="23" t="n"/>
      <c r="F289" s="23" t="n"/>
      <c r="G289" s="23" t="n"/>
      <c r="H289" s="23" t="n"/>
      <c r="I289" s="23" t="n"/>
      <c r="J289" s="23" t="n"/>
      <c r="K289" s="23" t="n"/>
      <c r="L289" s="23" t="n"/>
      <c r="M289" s="23" t="n"/>
      <c r="N289" s="23" t="n"/>
      <c r="O289" s="23" t="n"/>
      <c r="P289" s="23" t="n"/>
      <c r="Q289" s="23" t="n"/>
      <c r="R289" s="23" t="n"/>
      <c r="S289" s="23" t="n"/>
      <c r="T289" s="23" t="n"/>
      <c r="U289" s="23" t="n"/>
      <c r="V289" s="23" t="n"/>
      <c r="W289" s="23" t="n"/>
      <c r="X289" s="23" t="n"/>
      <c r="Y289" s="23" t="n"/>
      <c r="Z289" s="23" t="n"/>
    </row>
    <row r="290" ht="15.75" customHeight="1" s="86">
      <c r="A290" s="23" t="n"/>
      <c r="B290" s="23" t="n"/>
      <c r="C290" s="23" t="n"/>
      <c r="D290" s="23" t="n"/>
      <c r="E290" s="23" t="n"/>
      <c r="F290" s="23" t="n"/>
      <c r="G290" s="23" t="n"/>
      <c r="H290" s="23" t="n"/>
      <c r="I290" s="23" t="n"/>
      <c r="J290" s="23" t="n"/>
      <c r="K290" s="23" t="n"/>
      <c r="L290" s="23" t="n"/>
      <c r="M290" s="23" t="n"/>
      <c r="N290" s="23" t="n"/>
      <c r="O290" s="23" t="n"/>
      <c r="P290" s="23" t="n"/>
      <c r="Q290" s="23" t="n"/>
      <c r="R290" s="23" t="n"/>
      <c r="S290" s="23" t="n"/>
      <c r="T290" s="23" t="n"/>
      <c r="U290" s="23" t="n"/>
      <c r="V290" s="23" t="n"/>
      <c r="W290" s="23" t="n"/>
      <c r="X290" s="23" t="n"/>
      <c r="Y290" s="23" t="n"/>
      <c r="Z290" s="23" t="n"/>
    </row>
    <row r="291" ht="15.75" customHeight="1" s="86">
      <c r="A291" s="23" t="n"/>
      <c r="B291" s="23" t="n"/>
      <c r="C291" s="23" t="n"/>
      <c r="D291" s="23" t="n"/>
      <c r="E291" s="23" t="n"/>
      <c r="F291" s="23" t="n"/>
      <c r="G291" s="23" t="n"/>
      <c r="H291" s="23" t="n"/>
      <c r="I291" s="23" t="n"/>
      <c r="J291" s="23" t="n"/>
      <c r="K291" s="23" t="n"/>
      <c r="L291" s="23" t="n"/>
      <c r="M291" s="23" t="n"/>
      <c r="N291" s="23" t="n"/>
      <c r="O291" s="23" t="n"/>
      <c r="P291" s="23" t="n"/>
      <c r="Q291" s="23" t="n"/>
      <c r="R291" s="23" t="n"/>
      <c r="S291" s="23" t="n"/>
      <c r="T291" s="23" t="n"/>
      <c r="U291" s="23" t="n"/>
      <c r="V291" s="23" t="n"/>
      <c r="W291" s="23" t="n"/>
      <c r="X291" s="23" t="n"/>
      <c r="Y291" s="23" t="n"/>
      <c r="Z291" s="23" t="n"/>
    </row>
    <row r="292" ht="15.75" customHeight="1" s="86">
      <c r="A292" s="23" t="n"/>
      <c r="B292" s="23" t="n"/>
      <c r="C292" s="23" t="n"/>
      <c r="D292" s="23" t="n"/>
      <c r="E292" s="23" t="n"/>
      <c r="F292" s="23" t="n"/>
      <c r="G292" s="23" t="n"/>
      <c r="H292" s="23" t="n"/>
      <c r="I292" s="23" t="n"/>
      <c r="J292" s="23" t="n"/>
      <c r="K292" s="23" t="n"/>
      <c r="L292" s="23" t="n"/>
      <c r="M292" s="23" t="n"/>
      <c r="N292" s="23" t="n"/>
      <c r="O292" s="23" t="n"/>
      <c r="P292" s="23" t="n"/>
      <c r="Q292" s="23" t="n"/>
      <c r="R292" s="23" t="n"/>
      <c r="S292" s="23" t="n"/>
      <c r="T292" s="23" t="n"/>
      <c r="U292" s="23" t="n"/>
      <c r="V292" s="23" t="n"/>
      <c r="W292" s="23" t="n"/>
      <c r="X292" s="23" t="n"/>
      <c r="Y292" s="23" t="n"/>
      <c r="Z292" s="23" t="n"/>
    </row>
    <row r="293" ht="15.75" customHeight="1" s="86">
      <c r="A293" s="23" t="n"/>
      <c r="B293" s="23" t="n"/>
      <c r="C293" s="23" t="n"/>
      <c r="D293" s="23" t="n"/>
      <c r="E293" s="23" t="n"/>
      <c r="F293" s="23" t="n"/>
      <c r="G293" s="23" t="n"/>
      <c r="H293" s="23" t="n"/>
      <c r="I293" s="23" t="n"/>
      <c r="J293" s="23" t="n"/>
      <c r="K293" s="23" t="n"/>
      <c r="L293" s="23" t="n"/>
      <c r="M293" s="23" t="n"/>
      <c r="N293" s="23" t="n"/>
      <c r="O293" s="23" t="n"/>
      <c r="P293" s="23" t="n"/>
      <c r="Q293" s="23" t="n"/>
      <c r="R293" s="23" t="n"/>
      <c r="S293" s="23" t="n"/>
      <c r="T293" s="23" t="n"/>
      <c r="U293" s="23" t="n"/>
      <c r="V293" s="23" t="n"/>
      <c r="W293" s="23" t="n"/>
      <c r="X293" s="23" t="n"/>
      <c r="Y293" s="23" t="n"/>
      <c r="Z293" s="23" t="n"/>
    </row>
    <row r="294" ht="15.75" customHeight="1" s="86">
      <c r="A294" s="23" t="n"/>
      <c r="B294" s="23" t="n"/>
      <c r="C294" s="23" t="n"/>
      <c r="D294" s="23" t="n"/>
      <c r="E294" s="23" t="n"/>
      <c r="F294" s="23" t="n"/>
      <c r="G294" s="23" t="n"/>
      <c r="H294" s="23" t="n"/>
      <c r="I294" s="23" t="n"/>
      <c r="J294" s="23" t="n"/>
      <c r="K294" s="23" t="n"/>
      <c r="L294" s="23" t="n"/>
      <c r="M294" s="23" t="n"/>
      <c r="N294" s="23" t="n"/>
      <c r="O294" s="23" t="n"/>
      <c r="P294" s="23" t="n"/>
      <c r="Q294" s="23" t="n"/>
      <c r="R294" s="23" t="n"/>
      <c r="S294" s="23" t="n"/>
      <c r="T294" s="23" t="n"/>
      <c r="U294" s="23" t="n"/>
      <c r="V294" s="23" t="n"/>
      <c r="W294" s="23" t="n"/>
      <c r="X294" s="23" t="n"/>
      <c r="Y294" s="23" t="n"/>
      <c r="Z294" s="23" t="n"/>
    </row>
    <row r="295" ht="15.75" customHeight="1" s="86">
      <c r="A295" s="23" t="n"/>
      <c r="B295" s="23" t="n"/>
      <c r="C295" s="23" t="n"/>
      <c r="D295" s="23" t="n"/>
      <c r="E295" s="23" t="n"/>
      <c r="F295" s="23" t="n"/>
      <c r="G295" s="23" t="n"/>
      <c r="H295" s="23" t="n"/>
      <c r="I295" s="23" t="n"/>
      <c r="J295" s="23" t="n"/>
      <c r="K295" s="23" t="n"/>
      <c r="L295" s="23" t="n"/>
      <c r="M295" s="23" t="n"/>
      <c r="N295" s="23" t="n"/>
      <c r="O295" s="23" t="n"/>
      <c r="P295" s="23" t="n"/>
      <c r="Q295" s="23" t="n"/>
      <c r="R295" s="23" t="n"/>
      <c r="S295" s="23" t="n"/>
      <c r="T295" s="23" t="n"/>
      <c r="U295" s="23" t="n"/>
      <c r="V295" s="23" t="n"/>
      <c r="W295" s="23" t="n"/>
      <c r="X295" s="23" t="n"/>
      <c r="Y295" s="23" t="n"/>
      <c r="Z295" s="23" t="n"/>
    </row>
    <row r="296" ht="15.75" customHeight="1" s="86">
      <c r="A296" s="23" t="n"/>
      <c r="B296" s="23" t="n"/>
      <c r="C296" s="23" t="n"/>
      <c r="D296" s="23" t="n"/>
      <c r="E296" s="23" t="n"/>
      <c r="F296" s="23" t="n"/>
      <c r="G296" s="23" t="n"/>
      <c r="H296" s="23" t="n"/>
      <c r="I296" s="23" t="n"/>
      <c r="J296" s="23" t="n"/>
      <c r="K296" s="23" t="n"/>
      <c r="L296" s="23" t="n"/>
      <c r="M296" s="23" t="n"/>
      <c r="N296" s="23" t="n"/>
      <c r="O296" s="23" t="n"/>
      <c r="P296" s="23" t="n"/>
      <c r="Q296" s="23" t="n"/>
      <c r="R296" s="23" t="n"/>
      <c r="S296" s="23" t="n"/>
      <c r="T296" s="23" t="n"/>
      <c r="U296" s="23" t="n"/>
      <c r="V296" s="23" t="n"/>
      <c r="W296" s="23" t="n"/>
      <c r="X296" s="23" t="n"/>
      <c r="Y296" s="23" t="n"/>
      <c r="Z296" s="23" t="n"/>
    </row>
    <row r="297" ht="15.75" customHeight="1" s="86">
      <c r="A297" s="23" t="n"/>
      <c r="B297" s="23" t="n"/>
      <c r="C297" s="23" t="n"/>
      <c r="D297" s="23" t="n"/>
      <c r="E297" s="23" t="n"/>
      <c r="F297" s="23" t="n"/>
      <c r="G297" s="23" t="n"/>
      <c r="H297" s="23" t="n"/>
      <c r="I297" s="23" t="n"/>
      <c r="J297" s="23" t="n"/>
      <c r="K297" s="23" t="n"/>
      <c r="L297" s="23" t="n"/>
      <c r="M297" s="23" t="n"/>
      <c r="N297" s="23" t="n"/>
      <c r="O297" s="23" t="n"/>
      <c r="P297" s="23" t="n"/>
      <c r="Q297" s="23" t="n"/>
      <c r="R297" s="23" t="n"/>
      <c r="S297" s="23" t="n"/>
      <c r="T297" s="23" t="n"/>
      <c r="U297" s="23" t="n"/>
      <c r="V297" s="23" t="n"/>
      <c r="W297" s="23" t="n"/>
      <c r="X297" s="23" t="n"/>
      <c r="Y297" s="23" t="n"/>
      <c r="Z297" s="23" t="n"/>
    </row>
    <row r="298" ht="15.75" customHeight="1" s="86">
      <c r="A298" s="23" t="n"/>
      <c r="B298" s="23" t="n"/>
      <c r="C298" s="23" t="n"/>
      <c r="D298" s="23" t="n"/>
      <c r="E298" s="23" t="n"/>
      <c r="F298" s="23" t="n"/>
      <c r="G298" s="23" t="n"/>
      <c r="H298" s="23" t="n"/>
      <c r="I298" s="23" t="n"/>
      <c r="J298" s="23" t="n"/>
      <c r="K298" s="23" t="n"/>
      <c r="L298" s="23" t="n"/>
      <c r="M298" s="23" t="n"/>
      <c r="N298" s="23" t="n"/>
      <c r="O298" s="23" t="n"/>
      <c r="P298" s="23" t="n"/>
      <c r="Q298" s="23" t="n"/>
      <c r="R298" s="23" t="n"/>
      <c r="S298" s="23" t="n"/>
      <c r="T298" s="23" t="n"/>
      <c r="U298" s="23" t="n"/>
      <c r="V298" s="23" t="n"/>
      <c r="W298" s="23" t="n"/>
      <c r="X298" s="23" t="n"/>
      <c r="Y298" s="23" t="n"/>
      <c r="Z298" s="23" t="n"/>
    </row>
    <row r="299" ht="15.75" customHeight="1" s="86">
      <c r="A299" s="23" t="n"/>
      <c r="B299" s="23" t="n"/>
      <c r="C299" s="23" t="n"/>
      <c r="D299" s="23" t="n"/>
      <c r="E299" s="23" t="n"/>
      <c r="F299" s="23" t="n"/>
      <c r="G299" s="23" t="n"/>
      <c r="H299" s="23" t="n"/>
      <c r="I299" s="23" t="n"/>
      <c r="J299" s="23" t="n"/>
      <c r="K299" s="23" t="n"/>
      <c r="L299" s="23" t="n"/>
      <c r="M299" s="23" t="n"/>
      <c r="N299" s="23" t="n"/>
      <c r="O299" s="23" t="n"/>
      <c r="P299" s="23" t="n"/>
      <c r="Q299" s="23" t="n"/>
      <c r="R299" s="23" t="n"/>
      <c r="S299" s="23" t="n"/>
      <c r="T299" s="23" t="n"/>
      <c r="U299" s="23" t="n"/>
      <c r="V299" s="23" t="n"/>
      <c r="W299" s="23" t="n"/>
      <c r="X299" s="23" t="n"/>
      <c r="Y299" s="23" t="n"/>
      <c r="Z299" s="23" t="n"/>
    </row>
    <row r="300" ht="15.75" customHeight="1" s="86">
      <c r="A300" s="23" t="n"/>
      <c r="B300" s="23" t="n"/>
      <c r="C300" s="23" t="n"/>
      <c r="D300" s="23" t="n"/>
      <c r="E300" s="23" t="n"/>
      <c r="F300" s="23" t="n"/>
      <c r="G300" s="23" t="n"/>
      <c r="H300" s="23" t="n"/>
      <c r="I300" s="23" t="n"/>
      <c r="J300" s="23" t="n"/>
      <c r="K300" s="23" t="n"/>
      <c r="L300" s="23" t="n"/>
      <c r="M300" s="23" t="n"/>
      <c r="N300" s="23" t="n"/>
      <c r="O300" s="23" t="n"/>
      <c r="P300" s="23" t="n"/>
      <c r="Q300" s="23" t="n"/>
      <c r="R300" s="23" t="n"/>
      <c r="S300" s="23" t="n"/>
      <c r="T300" s="23" t="n"/>
      <c r="U300" s="23" t="n"/>
      <c r="V300" s="23" t="n"/>
      <c r="W300" s="23" t="n"/>
      <c r="X300" s="23" t="n"/>
      <c r="Y300" s="23" t="n"/>
      <c r="Z300" s="23" t="n"/>
    </row>
    <row r="301" ht="15.75" customHeight="1" s="86">
      <c r="A301" s="23" t="n"/>
      <c r="B301" s="23" t="n"/>
      <c r="C301" s="23" t="n"/>
      <c r="D301" s="23" t="n"/>
      <c r="E301" s="23" t="n"/>
      <c r="F301" s="23" t="n"/>
      <c r="G301" s="23" t="n"/>
      <c r="H301" s="23" t="n"/>
      <c r="I301" s="23" t="n"/>
      <c r="J301" s="23" t="n"/>
      <c r="K301" s="23" t="n"/>
      <c r="L301" s="23" t="n"/>
      <c r="M301" s="23" t="n"/>
      <c r="N301" s="23" t="n"/>
      <c r="O301" s="23" t="n"/>
      <c r="P301" s="23" t="n"/>
      <c r="Q301" s="23" t="n"/>
      <c r="R301" s="23" t="n"/>
      <c r="S301" s="23" t="n"/>
      <c r="T301" s="23" t="n"/>
      <c r="U301" s="23" t="n"/>
      <c r="V301" s="23" t="n"/>
      <c r="W301" s="23" t="n"/>
      <c r="X301" s="23" t="n"/>
      <c r="Y301" s="23" t="n"/>
      <c r="Z301" s="23" t="n"/>
    </row>
    <row r="302" ht="15.75" customHeight="1" s="86">
      <c r="A302" s="23" t="n"/>
      <c r="B302" s="23" t="n"/>
      <c r="C302" s="23" t="n"/>
      <c r="D302" s="23" t="n"/>
      <c r="E302" s="23" t="n"/>
      <c r="F302" s="23" t="n"/>
      <c r="G302" s="23" t="n"/>
      <c r="H302" s="23" t="n"/>
      <c r="I302" s="23" t="n"/>
      <c r="J302" s="23" t="n"/>
      <c r="K302" s="23" t="n"/>
      <c r="L302" s="23" t="n"/>
      <c r="M302" s="23" t="n"/>
      <c r="N302" s="23" t="n"/>
      <c r="O302" s="23" t="n"/>
      <c r="P302" s="23" t="n"/>
      <c r="Q302" s="23" t="n"/>
      <c r="R302" s="23" t="n"/>
      <c r="S302" s="23" t="n"/>
      <c r="T302" s="23" t="n"/>
      <c r="U302" s="23" t="n"/>
      <c r="V302" s="23" t="n"/>
      <c r="W302" s="23" t="n"/>
      <c r="X302" s="23" t="n"/>
      <c r="Y302" s="23" t="n"/>
      <c r="Z302" s="23" t="n"/>
    </row>
    <row r="303" ht="15.75" customHeight="1" s="86">
      <c r="A303" s="23" t="n"/>
      <c r="B303" s="23" t="n"/>
      <c r="C303" s="23" t="n"/>
      <c r="D303" s="23" t="n"/>
      <c r="E303" s="23" t="n"/>
      <c r="F303" s="23" t="n"/>
      <c r="G303" s="23" t="n"/>
      <c r="H303" s="23" t="n"/>
      <c r="I303" s="23" t="n"/>
      <c r="J303" s="23" t="n"/>
      <c r="K303" s="23" t="n"/>
      <c r="L303" s="23" t="n"/>
      <c r="M303" s="23" t="n"/>
      <c r="N303" s="23" t="n"/>
      <c r="O303" s="23" t="n"/>
      <c r="P303" s="23" t="n"/>
      <c r="Q303" s="23" t="n"/>
      <c r="R303" s="23" t="n"/>
      <c r="S303" s="23" t="n"/>
      <c r="T303" s="23" t="n"/>
      <c r="U303" s="23" t="n"/>
      <c r="V303" s="23" t="n"/>
      <c r="W303" s="23" t="n"/>
      <c r="X303" s="23" t="n"/>
      <c r="Y303" s="23" t="n"/>
      <c r="Z303" s="23" t="n"/>
    </row>
    <row r="304" ht="15.75" customHeight="1" s="86">
      <c r="A304" s="23" t="n"/>
      <c r="B304" s="23" t="n"/>
      <c r="C304" s="23" t="n"/>
      <c r="D304" s="23" t="n"/>
      <c r="E304" s="23" t="n"/>
      <c r="F304" s="23" t="n"/>
      <c r="G304" s="23" t="n"/>
      <c r="H304" s="23" t="n"/>
      <c r="I304" s="23" t="n"/>
      <c r="J304" s="23" t="n"/>
      <c r="K304" s="23" t="n"/>
      <c r="L304" s="23" t="n"/>
      <c r="M304" s="23" t="n"/>
      <c r="N304" s="23" t="n"/>
      <c r="O304" s="23" t="n"/>
      <c r="P304" s="23" t="n"/>
      <c r="Q304" s="23" t="n"/>
      <c r="R304" s="23" t="n"/>
      <c r="S304" s="23" t="n"/>
      <c r="T304" s="23" t="n"/>
      <c r="U304" s="23" t="n"/>
      <c r="V304" s="23" t="n"/>
      <c r="W304" s="23" t="n"/>
      <c r="X304" s="23" t="n"/>
      <c r="Y304" s="23" t="n"/>
      <c r="Z304" s="23" t="n"/>
    </row>
    <row r="305" ht="15.75" customHeight="1" s="86">
      <c r="A305" s="23" t="n"/>
      <c r="B305" s="23" t="n"/>
      <c r="C305" s="23" t="n"/>
      <c r="D305" s="23" t="n"/>
      <c r="E305" s="23" t="n"/>
      <c r="F305" s="23" t="n"/>
      <c r="G305" s="23" t="n"/>
      <c r="H305" s="23" t="n"/>
      <c r="I305" s="23" t="n"/>
      <c r="J305" s="23" t="n"/>
      <c r="K305" s="23" t="n"/>
      <c r="L305" s="23" t="n"/>
      <c r="M305" s="23" t="n"/>
      <c r="N305" s="23" t="n"/>
      <c r="O305" s="23" t="n"/>
      <c r="P305" s="23" t="n"/>
      <c r="Q305" s="23" t="n"/>
      <c r="R305" s="23" t="n"/>
      <c r="S305" s="23" t="n"/>
      <c r="T305" s="23" t="n"/>
      <c r="U305" s="23" t="n"/>
      <c r="V305" s="23" t="n"/>
      <c r="W305" s="23" t="n"/>
      <c r="X305" s="23" t="n"/>
      <c r="Y305" s="23" t="n"/>
      <c r="Z305" s="23" t="n"/>
    </row>
    <row r="306" ht="15.75" customHeight="1" s="86">
      <c r="A306" s="23" t="n"/>
      <c r="B306" s="23" t="n"/>
      <c r="C306" s="23" t="n"/>
      <c r="D306" s="23" t="n"/>
      <c r="E306" s="23" t="n"/>
      <c r="F306" s="23" t="n"/>
      <c r="G306" s="23" t="n"/>
      <c r="H306" s="23" t="n"/>
      <c r="I306" s="23" t="n"/>
      <c r="J306" s="23" t="n"/>
      <c r="K306" s="23" t="n"/>
      <c r="L306" s="23" t="n"/>
      <c r="M306" s="23" t="n"/>
      <c r="N306" s="23" t="n"/>
      <c r="O306" s="23" t="n"/>
      <c r="P306" s="23" t="n"/>
      <c r="Q306" s="23" t="n"/>
      <c r="R306" s="23" t="n"/>
      <c r="S306" s="23" t="n"/>
      <c r="T306" s="23" t="n"/>
      <c r="U306" s="23" t="n"/>
      <c r="V306" s="23" t="n"/>
      <c r="W306" s="23" t="n"/>
      <c r="X306" s="23" t="n"/>
      <c r="Y306" s="23" t="n"/>
      <c r="Z306" s="23" t="n"/>
    </row>
    <row r="307" ht="15.75" customHeight="1" s="86">
      <c r="A307" s="23" t="n"/>
      <c r="B307" s="23" t="n"/>
      <c r="C307" s="23" t="n"/>
      <c r="D307" s="23" t="n"/>
      <c r="E307" s="23" t="n"/>
      <c r="F307" s="23" t="n"/>
      <c r="G307" s="23" t="n"/>
      <c r="H307" s="23" t="n"/>
      <c r="I307" s="23" t="n"/>
      <c r="J307" s="23" t="n"/>
      <c r="K307" s="23" t="n"/>
      <c r="L307" s="23" t="n"/>
      <c r="M307" s="23" t="n"/>
      <c r="N307" s="23" t="n"/>
      <c r="O307" s="23" t="n"/>
      <c r="P307" s="23" t="n"/>
      <c r="Q307" s="23" t="n"/>
      <c r="R307" s="23" t="n"/>
      <c r="S307" s="23" t="n"/>
      <c r="T307" s="23" t="n"/>
      <c r="U307" s="23" t="n"/>
      <c r="V307" s="23" t="n"/>
      <c r="W307" s="23" t="n"/>
      <c r="X307" s="23" t="n"/>
      <c r="Y307" s="23" t="n"/>
      <c r="Z307" s="23" t="n"/>
    </row>
    <row r="308" ht="15.75" customHeight="1" s="86">
      <c r="A308" s="23" t="n"/>
      <c r="B308" s="23" t="n"/>
      <c r="C308" s="23" t="n"/>
      <c r="D308" s="23" t="n"/>
      <c r="E308" s="23" t="n"/>
      <c r="F308" s="23" t="n"/>
      <c r="G308" s="23" t="n"/>
      <c r="H308" s="23" t="n"/>
      <c r="I308" s="23" t="n"/>
      <c r="J308" s="23" t="n"/>
      <c r="K308" s="23" t="n"/>
      <c r="L308" s="23" t="n"/>
      <c r="M308" s="23" t="n"/>
      <c r="N308" s="23" t="n"/>
      <c r="O308" s="23" t="n"/>
      <c r="P308" s="23" t="n"/>
      <c r="Q308" s="23" t="n"/>
      <c r="R308" s="23" t="n"/>
      <c r="S308" s="23" t="n"/>
      <c r="T308" s="23" t="n"/>
      <c r="U308" s="23" t="n"/>
      <c r="V308" s="23" t="n"/>
      <c r="W308" s="23" t="n"/>
      <c r="X308" s="23" t="n"/>
      <c r="Y308" s="23" t="n"/>
      <c r="Z308" s="23" t="n"/>
    </row>
    <row r="309" ht="15.75" customHeight="1" s="86">
      <c r="A309" s="23" t="n"/>
      <c r="B309" s="23" t="n"/>
      <c r="C309" s="23" t="n"/>
      <c r="D309" s="23" t="n"/>
      <c r="E309" s="23" t="n"/>
      <c r="F309" s="23" t="n"/>
      <c r="G309" s="23" t="n"/>
      <c r="H309" s="23" t="n"/>
      <c r="I309" s="23" t="n"/>
      <c r="J309" s="23" t="n"/>
      <c r="K309" s="23" t="n"/>
      <c r="L309" s="23" t="n"/>
      <c r="M309" s="23" t="n"/>
      <c r="N309" s="23" t="n"/>
      <c r="O309" s="23" t="n"/>
      <c r="P309" s="23" t="n"/>
      <c r="Q309" s="23" t="n"/>
      <c r="R309" s="23" t="n"/>
      <c r="S309" s="23" t="n"/>
      <c r="T309" s="23" t="n"/>
      <c r="U309" s="23" t="n"/>
      <c r="V309" s="23" t="n"/>
      <c r="W309" s="23" t="n"/>
      <c r="X309" s="23" t="n"/>
      <c r="Y309" s="23" t="n"/>
      <c r="Z309" s="23" t="n"/>
    </row>
    <row r="310" ht="15.75" customHeight="1" s="86">
      <c r="A310" s="23" t="n"/>
      <c r="B310" s="23" t="n"/>
      <c r="C310" s="23" t="n"/>
      <c r="D310" s="23" t="n"/>
      <c r="E310" s="23" t="n"/>
      <c r="F310" s="23" t="n"/>
      <c r="G310" s="23" t="n"/>
      <c r="H310" s="23" t="n"/>
      <c r="I310" s="23" t="n"/>
      <c r="J310" s="23" t="n"/>
      <c r="K310" s="23" t="n"/>
      <c r="L310" s="23" t="n"/>
      <c r="M310" s="23" t="n"/>
      <c r="N310" s="23" t="n"/>
      <c r="O310" s="23" t="n"/>
      <c r="P310" s="23" t="n"/>
      <c r="Q310" s="23" t="n"/>
      <c r="R310" s="23" t="n"/>
      <c r="S310" s="23" t="n"/>
      <c r="T310" s="23" t="n"/>
      <c r="U310" s="23" t="n"/>
      <c r="V310" s="23" t="n"/>
      <c r="W310" s="23" t="n"/>
      <c r="X310" s="23" t="n"/>
      <c r="Y310" s="23" t="n"/>
      <c r="Z310" s="23" t="n"/>
    </row>
    <row r="311" ht="15.75" customHeight="1" s="86">
      <c r="A311" s="23" t="n"/>
      <c r="B311" s="23" t="n"/>
      <c r="C311" s="23" t="n"/>
      <c r="D311" s="23" t="n"/>
      <c r="E311" s="23" t="n"/>
      <c r="F311" s="23" t="n"/>
      <c r="G311" s="23" t="n"/>
      <c r="H311" s="23" t="n"/>
      <c r="I311" s="23" t="n"/>
      <c r="J311" s="23" t="n"/>
      <c r="K311" s="23" t="n"/>
      <c r="L311" s="23" t="n"/>
      <c r="M311" s="23" t="n"/>
      <c r="N311" s="23" t="n"/>
      <c r="O311" s="23" t="n"/>
      <c r="P311" s="23" t="n"/>
      <c r="Q311" s="23" t="n"/>
      <c r="R311" s="23" t="n"/>
      <c r="S311" s="23" t="n"/>
      <c r="T311" s="23" t="n"/>
      <c r="U311" s="23" t="n"/>
      <c r="V311" s="23" t="n"/>
      <c r="W311" s="23" t="n"/>
      <c r="X311" s="23" t="n"/>
      <c r="Y311" s="23" t="n"/>
      <c r="Z311" s="23" t="n"/>
    </row>
    <row r="312" ht="15.75" customHeight="1" s="86">
      <c r="A312" s="23" t="n"/>
      <c r="B312" s="23" t="n"/>
      <c r="C312" s="23" t="n"/>
      <c r="D312" s="23" t="n"/>
      <c r="E312" s="23" t="n"/>
      <c r="F312" s="23" t="n"/>
      <c r="G312" s="23" t="n"/>
      <c r="H312" s="23" t="n"/>
      <c r="I312" s="23" t="n"/>
      <c r="J312" s="23" t="n"/>
      <c r="K312" s="23" t="n"/>
      <c r="L312" s="23" t="n"/>
      <c r="M312" s="23" t="n"/>
      <c r="N312" s="23" t="n"/>
      <c r="O312" s="23" t="n"/>
      <c r="P312" s="23" t="n"/>
      <c r="Q312" s="23" t="n"/>
      <c r="R312" s="23" t="n"/>
      <c r="S312" s="23" t="n"/>
      <c r="T312" s="23" t="n"/>
      <c r="U312" s="23" t="n"/>
      <c r="V312" s="23" t="n"/>
      <c r="W312" s="23" t="n"/>
      <c r="X312" s="23" t="n"/>
      <c r="Y312" s="23" t="n"/>
      <c r="Z312" s="23" t="n"/>
    </row>
    <row r="313" ht="15.75" customHeight="1" s="86">
      <c r="A313" s="23" t="n"/>
      <c r="B313" s="23" t="n"/>
      <c r="C313" s="23" t="n"/>
      <c r="D313" s="23" t="n"/>
      <c r="E313" s="23" t="n"/>
      <c r="F313" s="23" t="n"/>
      <c r="G313" s="23" t="n"/>
      <c r="H313" s="23" t="n"/>
      <c r="I313" s="23" t="n"/>
      <c r="J313" s="23" t="n"/>
      <c r="K313" s="23" t="n"/>
      <c r="L313" s="23" t="n"/>
      <c r="M313" s="23" t="n"/>
      <c r="N313" s="23" t="n"/>
      <c r="O313" s="23" t="n"/>
      <c r="P313" s="23" t="n"/>
      <c r="Q313" s="23" t="n"/>
      <c r="R313" s="23" t="n"/>
      <c r="S313" s="23" t="n"/>
      <c r="T313" s="23" t="n"/>
      <c r="U313" s="23" t="n"/>
      <c r="V313" s="23" t="n"/>
      <c r="W313" s="23" t="n"/>
      <c r="X313" s="23" t="n"/>
      <c r="Y313" s="23" t="n"/>
      <c r="Z313" s="23" t="n"/>
    </row>
    <row r="314" ht="15.75" customHeight="1" s="86">
      <c r="A314" s="23" t="n"/>
      <c r="B314" s="23" t="n"/>
      <c r="C314" s="23" t="n"/>
      <c r="D314" s="23" t="n"/>
      <c r="E314" s="23" t="n"/>
      <c r="F314" s="23" t="n"/>
      <c r="G314" s="23" t="n"/>
      <c r="H314" s="23" t="n"/>
      <c r="I314" s="23" t="n"/>
      <c r="J314" s="23" t="n"/>
      <c r="K314" s="23" t="n"/>
      <c r="L314" s="23" t="n"/>
      <c r="M314" s="23" t="n"/>
      <c r="N314" s="23" t="n"/>
      <c r="O314" s="23" t="n"/>
      <c r="P314" s="23" t="n"/>
      <c r="Q314" s="23" t="n"/>
      <c r="R314" s="23" t="n"/>
      <c r="S314" s="23" t="n"/>
      <c r="T314" s="23" t="n"/>
      <c r="U314" s="23" t="n"/>
      <c r="V314" s="23" t="n"/>
      <c r="W314" s="23" t="n"/>
      <c r="X314" s="23" t="n"/>
      <c r="Y314" s="23" t="n"/>
      <c r="Z314" s="23" t="n"/>
    </row>
    <row r="315" ht="15.75" customHeight="1" s="86">
      <c r="A315" s="23" t="n"/>
      <c r="B315" s="23" t="n"/>
      <c r="C315" s="23" t="n"/>
      <c r="D315" s="23" t="n"/>
      <c r="E315" s="23" t="n"/>
      <c r="F315" s="23" t="n"/>
      <c r="G315" s="23" t="n"/>
      <c r="H315" s="23" t="n"/>
      <c r="I315" s="23" t="n"/>
      <c r="J315" s="23" t="n"/>
      <c r="K315" s="23" t="n"/>
      <c r="L315" s="23" t="n"/>
      <c r="M315" s="23" t="n"/>
      <c r="N315" s="23" t="n"/>
      <c r="O315" s="23" t="n"/>
      <c r="P315" s="23" t="n"/>
      <c r="Q315" s="23" t="n"/>
      <c r="R315" s="23" t="n"/>
      <c r="S315" s="23" t="n"/>
      <c r="T315" s="23" t="n"/>
      <c r="U315" s="23" t="n"/>
      <c r="V315" s="23" t="n"/>
      <c r="W315" s="23" t="n"/>
      <c r="X315" s="23" t="n"/>
      <c r="Y315" s="23" t="n"/>
      <c r="Z315" s="23" t="n"/>
    </row>
    <row r="316" ht="15.75" customHeight="1" s="86">
      <c r="A316" s="23" t="n"/>
      <c r="B316" s="23" t="n"/>
      <c r="C316" s="23" t="n"/>
      <c r="D316" s="23" t="n"/>
      <c r="E316" s="23" t="n"/>
      <c r="F316" s="23" t="n"/>
      <c r="G316" s="23" t="n"/>
      <c r="H316" s="23" t="n"/>
      <c r="I316" s="23" t="n"/>
      <c r="J316" s="23" t="n"/>
      <c r="K316" s="23" t="n"/>
      <c r="L316" s="23" t="n"/>
      <c r="M316" s="23" t="n"/>
      <c r="N316" s="23" t="n"/>
      <c r="O316" s="23" t="n"/>
      <c r="P316" s="23" t="n"/>
      <c r="Q316" s="23" t="n"/>
      <c r="R316" s="23" t="n"/>
      <c r="S316" s="23" t="n"/>
      <c r="T316" s="23" t="n"/>
      <c r="U316" s="23" t="n"/>
      <c r="V316" s="23" t="n"/>
      <c r="W316" s="23" t="n"/>
      <c r="X316" s="23" t="n"/>
      <c r="Y316" s="23" t="n"/>
      <c r="Z316" s="23" t="n"/>
    </row>
    <row r="317" ht="15.75" customHeight="1" s="86">
      <c r="A317" s="23" t="n"/>
      <c r="B317" s="23" t="n"/>
      <c r="C317" s="23" t="n"/>
      <c r="D317" s="23" t="n"/>
      <c r="E317" s="23" t="n"/>
      <c r="F317" s="23" t="n"/>
      <c r="G317" s="23" t="n"/>
      <c r="H317" s="23" t="n"/>
      <c r="I317" s="23" t="n"/>
      <c r="J317" s="23" t="n"/>
      <c r="K317" s="23" t="n"/>
      <c r="L317" s="23" t="n"/>
      <c r="M317" s="23" t="n"/>
      <c r="N317" s="23" t="n"/>
      <c r="O317" s="23" t="n"/>
      <c r="P317" s="23" t="n"/>
      <c r="Q317" s="23" t="n"/>
      <c r="R317" s="23" t="n"/>
      <c r="S317" s="23" t="n"/>
      <c r="T317" s="23" t="n"/>
      <c r="U317" s="23" t="n"/>
      <c r="V317" s="23" t="n"/>
      <c r="W317" s="23" t="n"/>
      <c r="X317" s="23" t="n"/>
      <c r="Y317" s="23" t="n"/>
      <c r="Z317" s="23" t="n"/>
    </row>
    <row r="318" ht="15.75" customHeight="1" s="86">
      <c r="A318" s="23" t="n"/>
      <c r="B318" s="23" t="n"/>
      <c r="C318" s="23" t="n"/>
      <c r="D318" s="23" t="n"/>
      <c r="E318" s="23" t="n"/>
      <c r="F318" s="23" t="n"/>
      <c r="G318" s="23" t="n"/>
      <c r="H318" s="23" t="n"/>
      <c r="I318" s="23" t="n"/>
      <c r="J318" s="23" t="n"/>
      <c r="K318" s="23" t="n"/>
      <c r="L318" s="23" t="n"/>
      <c r="M318" s="23" t="n"/>
      <c r="N318" s="23" t="n"/>
      <c r="O318" s="23" t="n"/>
      <c r="P318" s="23" t="n"/>
      <c r="Q318" s="23" t="n"/>
      <c r="R318" s="23" t="n"/>
      <c r="S318" s="23" t="n"/>
      <c r="T318" s="23" t="n"/>
      <c r="U318" s="23" t="n"/>
      <c r="V318" s="23" t="n"/>
      <c r="W318" s="23" t="n"/>
      <c r="X318" s="23" t="n"/>
      <c r="Y318" s="23" t="n"/>
      <c r="Z318" s="23" t="n"/>
    </row>
    <row r="319" ht="15.75" customHeight="1" s="86">
      <c r="A319" s="23" t="n"/>
      <c r="B319" s="23" t="n"/>
      <c r="C319" s="23" t="n"/>
      <c r="D319" s="23" t="n"/>
      <c r="E319" s="23" t="n"/>
      <c r="F319" s="23" t="n"/>
      <c r="G319" s="23" t="n"/>
      <c r="H319" s="23" t="n"/>
      <c r="I319" s="23" t="n"/>
      <c r="J319" s="23" t="n"/>
      <c r="K319" s="23" t="n"/>
      <c r="L319" s="23" t="n"/>
      <c r="M319" s="23" t="n"/>
      <c r="N319" s="23" t="n"/>
      <c r="O319" s="23" t="n"/>
      <c r="P319" s="23" t="n"/>
      <c r="Q319" s="23" t="n"/>
      <c r="R319" s="23" t="n"/>
      <c r="S319" s="23" t="n"/>
      <c r="T319" s="23" t="n"/>
      <c r="U319" s="23" t="n"/>
      <c r="V319" s="23" t="n"/>
      <c r="W319" s="23" t="n"/>
      <c r="X319" s="23" t="n"/>
      <c r="Y319" s="23" t="n"/>
      <c r="Z319" s="23" t="n"/>
    </row>
    <row r="320" ht="15.75" customHeight="1" s="86">
      <c r="A320" s="23" t="n"/>
      <c r="B320" s="23" t="n"/>
      <c r="C320" s="23" t="n"/>
      <c r="D320" s="23" t="n"/>
      <c r="E320" s="23" t="n"/>
      <c r="F320" s="23" t="n"/>
      <c r="G320" s="23" t="n"/>
      <c r="H320" s="23" t="n"/>
      <c r="I320" s="23" t="n"/>
      <c r="J320" s="23" t="n"/>
      <c r="K320" s="23" t="n"/>
      <c r="L320" s="23" t="n"/>
      <c r="M320" s="23" t="n"/>
      <c r="N320" s="23" t="n"/>
      <c r="O320" s="23" t="n"/>
      <c r="P320" s="23" t="n"/>
      <c r="Q320" s="23" t="n"/>
      <c r="R320" s="23" t="n"/>
      <c r="S320" s="23" t="n"/>
      <c r="T320" s="23" t="n"/>
      <c r="U320" s="23" t="n"/>
      <c r="V320" s="23" t="n"/>
      <c r="W320" s="23" t="n"/>
      <c r="X320" s="23" t="n"/>
      <c r="Y320" s="23" t="n"/>
      <c r="Z320" s="23" t="n"/>
    </row>
    <row r="321" ht="15.75" customHeight="1" s="86">
      <c r="A321" s="23" t="n"/>
      <c r="B321" s="23" t="n"/>
      <c r="C321" s="23" t="n"/>
      <c r="D321" s="23" t="n"/>
      <c r="E321" s="23" t="n"/>
      <c r="F321" s="23" t="n"/>
      <c r="G321" s="23" t="n"/>
      <c r="H321" s="23" t="n"/>
      <c r="I321" s="23" t="n"/>
      <c r="J321" s="23" t="n"/>
      <c r="K321" s="23" t="n"/>
      <c r="L321" s="23" t="n"/>
      <c r="M321" s="23" t="n"/>
      <c r="N321" s="23" t="n"/>
      <c r="O321" s="23" t="n"/>
      <c r="P321" s="23" t="n"/>
      <c r="Q321" s="23" t="n"/>
      <c r="R321" s="23" t="n"/>
      <c r="S321" s="23" t="n"/>
      <c r="T321" s="23" t="n"/>
      <c r="U321" s="23" t="n"/>
      <c r="V321" s="23" t="n"/>
      <c r="W321" s="23" t="n"/>
      <c r="X321" s="23" t="n"/>
      <c r="Y321" s="23" t="n"/>
      <c r="Z321" s="23" t="n"/>
    </row>
    <row r="322" ht="15.75" customHeight="1" s="86">
      <c r="A322" s="23" t="n"/>
      <c r="B322" s="23" t="n"/>
      <c r="C322" s="23" t="n"/>
      <c r="D322" s="23" t="n"/>
      <c r="E322" s="23" t="n"/>
      <c r="F322" s="23" t="n"/>
      <c r="G322" s="23" t="n"/>
      <c r="H322" s="23" t="n"/>
      <c r="I322" s="23" t="n"/>
      <c r="J322" s="23" t="n"/>
      <c r="K322" s="23" t="n"/>
      <c r="L322" s="23" t="n"/>
      <c r="M322" s="23" t="n"/>
      <c r="N322" s="23" t="n"/>
      <c r="O322" s="23" t="n"/>
      <c r="P322" s="23" t="n"/>
      <c r="Q322" s="23" t="n"/>
      <c r="R322" s="23" t="n"/>
      <c r="S322" s="23" t="n"/>
      <c r="T322" s="23" t="n"/>
      <c r="U322" s="23" t="n"/>
      <c r="V322" s="23" t="n"/>
      <c r="W322" s="23" t="n"/>
      <c r="X322" s="23" t="n"/>
      <c r="Y322" s="23" t="n"/>
      <c r="Z322" s="23" t="n"/>
    </row>
    <row r="323" ht="15.75" customHeight="1" s="86">
      <c r="A323" s="23" t="n"/>
      <c r="B323" s="23" t="n"/>
      <c r="C323" s="23" t="n"/>
      <c r="D323" s="23" t="n"/>
      <c r="E323" s="23" t="n"/>
      <c r="F323" s="23" t="n"/>
      <c r="G323" s="23" t="n"/>
      <c r="H323" s="23" t="n"/>
      <c r="I323" s="23" t="n"/>
      <c r="J323" s="23" t="n"/>
      <c r="K323" s="23" t="n"/>
      <c r="L323" s="23" t="n"/>
      <c r="M323" s="23" t="n"/>
      <c r="N323" s="23" t="n"/>
      <c r="O323" s="23" t="n"/>
      <c r="P323" s="23" t="n"/>
      <c r="Q323" s="23" t="n"/>
      <c r="R323" s="23" t="n"/>
      <c r="S323" s="23" t="n"/>
      <c r="T323" s="23" t="n"/>
      <c r="U323" s="23" t="n"/>
      <c r="V323" s="23" t="n"/>
      <c r="W323" s="23" t="n"/>
      <c r="X323" s="23" t="n"/>
      <c r="Y323" s="23" t="n"/>
      <c r="Z323" s="23" t="n"/>
    </row>
    <row r="324" ht="15.75" customHeight="1" s="86">
      <c r="A324" s="23" t="n"/>
      <c r="B324" s="23" t="n"/>
      <c r="C324" s="23" t="n"/>
      <c r="D324" s="23" t="n"/>
      <c r="E324" s="23" t="n"/>
      <c r="F324" s="23" t="n"/>
      <c r="G324" s="23" t="n"/>
      <c r="H324" s="23" t="n"/>
      <c r="I324" s="23" t="n"/>
      <c r="J324" s="23" t="n"/>
      <c r="K324" s="23" t="n"/>
      <c r="L324" s="23" t="n"/>
      <c r="M324" s="23" t="n"/>
      <c r="N324" s="23" t="n"/>
      <c r="O324" s="23" t="n"/>
      <c r="P324" s="23" t="n"/>
      <c r="Q324" s="23" t="n"/>
      <c r="R324" s="23" t="n"/>
      <c r="S324" s="23" t="n"/>
      <c r="T324" s="23" t="n"/>
      <c r="U324" s="23" t="n"/>
      <c r="V324" s="23" t="n"/>
      <c r="W324" s="23" t="n"/>
      <c r="X324" s="23" t="n"/>
      <c r="Y324" s="23" t="n"/>
      <c r="Z324" s="23" t="n"/>
    </row>
    <row r="325" ht="15.75" customHeight="1" s="86">
      <c r="A325" s="23" t="n"/>
      <c r="B325" s="23" t="n"/>
      <c r="C325" s="23" t="n"/>
      <c r="D325" s="23" t="n"/>
      <c r="E325" s="23" t="n"/>
      <c r="F325" s="23" t="n"/>
      <c r="G325" s="23" t="n"/>
      <c r="H325" s="23" t="n"/>
      <c r="I325" s="23" t="n"/>
      <c r="J325" s="23" t="n"/>
      <c r="K325" s="23" t="n"/>
      <c r="L325" s="23" t="n"/>
      <c r="M325" s="23" t="n"/>
      <c r="N325" s="23" t="n"/>
      <c r="O325" s="23" t="n"/>
      <c r="P325" s="23" t="n"/>
      <c r="Q325" s="23" t="n"/>
      <c r="R325" s="23" t="n"/>
      <c r="S325" s="23" t="n"/>
      <c r="T325" s="23" t="n"/>
      <c r="U325" s="23" t="n"/>
      <c r="V325" s="23" t="n"/>
      <c r="W325" s="23" t="n"/>
      <c r="X325" s="23" t="n"/>
      <c r="Y325" s="23" t="n"/>
      <c r="Z325" s="23" t="n"/>
    </row>
    <row r="326" ht="15.75" customHeight="1" s="86">
      <c r="A326" s="23" t="n"/>
      <c r="B326" s="23" t="n"/>
      <c r="C326" s="23" t="n"/>
      <c r="D326" s="23" t="n"/>
      <c r="E326" s="23" t="n"/>
      <c r="F326" s="23" t="n"/>
      <c r="G326" s="23" t="n"/>
      <c r="H326" s="23" t="n"/>
      <c r="I326" s="23" t="n"/>
      <c r="J326" s="23" t="n"/>
      <c r="K326" s="23" t="n"/>
      <c r="L326" s="23" t="n"/>
      <c r="M326" s="23" t="n"/>
      <c r="N326" s="23" t="n"/>
      <c r="O326" s="23" t="n"/>
      <c r="P326" s="23" t="n"/>
      <c r="Q326" s="23" t="n"/>
      <c r="R326" s="23" t="n"/>
      <c r="S326" s="23" t="n"/>
      <c r="T326" s="23" t="n"/>
      <c r="U326" s="23" t="n"/>
      <c r="V326" s="23" t="n"/>
      <c r="W326" s="23" t="n"/>
      <c r="X326" s="23" t="n"/>
      <c r="Y326" s="23" t="n"/>
      <c r="Z326" s="23" t="n"/>
    </row>
    <row r="327" ht="15.75" customHeight="1" s="86">
      <c r="A327" s="23" t="n"/>
      <c r="B327" s="23" t="n"/>
      <c r="C327" s="23" t="n"/>
      <c r="D327" s="23" t="n"/>
      <c r="E327" s="23" t="n"/>
      <c r="F327" s="23" t="n"/>
      <c r="G327" s="23" t="n"/>
      <c r="H327" s="23" t="n"/>
      <c r="I327" s="23" t="n"/>
      <c r="J327" s="23" t="n"/>
      <c r="K327" s="23" t="n"/>
      <c r="L327" s="23" t="n"/>
      <c r="M327" s="23" t="n"/>
      <c r="N327" s="23" t="n"/>
      <c r="O327" s="23" t="n"/>
      <c r="P327" s="23" t="n"/>
      <c r="Q327" s="23" t="n"/>
      <c r="R327" s="23" t="n"/>
      <c r="S327" s="23" t="n"/>
      <c r="T327" s="23" t="n"/>
      <c r="U327" s="23" t="n"/>
      <c r="V327" s="23" t="n"/>
      <c r="W327" s="23" t="n"/>
      <c r="X327" s="23" t="n"/>
      <c r="Y327" s="23" t="n"/>
      <c r="Z327" s="23" t="n"/>
    </row>
    <row r="328" ht="15.75" customHeight="1" s="86">
      <c r="A328" s="23" t="n"/>
      <c r="B328" s="23" t="n"/>
      <c r="C328" s="23" t="n"/>
      <c r="D328" s="23" t="n"/>
      <c r="E328" s="23" t="n"/>
      <c r="F328" s="23" t="n"/>
      <c r="G328" s="23" t="n"/>
      <c r="H328" s="23" t="n"/>
      <c r="I328" s="23" t="n"/>
      <c r="J328" s="23" t="n"/>
      <c r="K328" s="23" t="n"/>
      <c r="L328" s="23" t="n"/>
      <c r="M328" s="23" t="n"/>
      <c r="N328" s="23" t="n"/>
      <c r="O328" s="23" t="n"/>
      <c r="P328" s="23" t="n"/>
      <c r="Q328" s="23" t="n"/>
      <c r="R328" s="23" t="n"/>
      <c r="S328" s="23" t="n"/>
      <c r="T328" s="23" t="n"/>
      <c r="U328" s="23" t="n"/>
      <c r="V328" s="23" t="n"/>
      <c r="W328" s="23" t="n"/>
      <c r="X328" s="23" t="n"/>
      <c r="Y328" s="23" t="n"/>
      <c r="Z328" s="23" t="n"/>
    </row>
    <row r="329" ht="15.75" customHeight="1" s="86">
      <c r="A329" s="23" t="n"/>
      <c r="B329" s="23" t="n"/>
      <c r="C329" s="23" t="n"/>
      <c r="D329" s="23" t="n"/>
      <c r="E329" s="23" t="n"/>
      <c r="F329" s="23" t="n"/>
      <c r="G329" s="23" t="n"/>
      <c r="H329" s="23" t="n"/>
      <c r="I329" s="23" t="n"/>
      <c r="J329" s="23" t="n"/>
      <c r="K329" s="23" t="n"/>
      <c r="L329" s="23" t="n"/>
      <c r="M329" s="23" t="n"/>
      <c r="N329" s="23" t="n"/>
      <c r="O329" s="23" t="n"/>
      <c r="P329" s="23" t="n"/>
      <c r="Q329" s="23" t="n"/>
      <c r="R329" s="23" t="n"/>
      <c r="S329" s="23" t="n"/>
      <c r="T329" s="23" t="n"/>
      <c r="U329" s="23" t="n"/>
      <c r="V329" s="23" t="n"/>
      <c r="W329" s="23" t="n"/>
      <c r="X329" s="23" t="n"/>
      <c r="Y329" s="23" t="n"/>
      <c r="Z329" s="23" t="n"/>
    </row>
    <row r="330" ht="15.75" customHeight="1" s="86">
      <c r="A330" s="23" t="n"/>
      <c r="B330" s="23" t="n"/>
      <c r="C330" s="23" t="n"/>
      <c r="D330" s="23" t="n"/>
      <c r="E330" s="23" t="n"/>
      <c r="F330" s="23" t="n"/>
      <c r="G330" s="23" t="n"/>
      <c r="H330" s="23" t="n"/>
      <c r="I330" s="23" t="n"/>
      <c r="J330" s="23" t="n"/>
      <c r="K330" s="23" t="n"/>
      <c r="L330" s="23" t="n"/>
      <c r="M330" s="23" t="n"/>
      <c r="N330" s="23" t="n"/>
      <c r="O330" s="23" t="n"/>
      <c r="P330" s="23" t="n"/>
      <c r="Q330" s="23" t="n"/>
      <c r="R330" s="23" t="n"/>
      <c r="S330" s="23" t="n"/>
      <c r="T330" s="23" t="n"/>
      <c r="U330" s="23" t="n"/>
      <c r="V330" s="23" t="n"/>
      <c r="W330" s="23" t="n"/>
      <c r="X330" s="23" t="n"/>
      <c r="Y330" s="23" t="n"/>
      <c r="Z330" s="23" t="n"/>
    </row>
    <row r="331" ht="15.75" customHeight="1" s="86">
      <c r="A331" s="23" t="n"/>
      <c r="B331" s="23" t="n"/>
      <c r="C331" s="23" t="n"/>
      <c r="D331" s="23" t="n"/>
      <c r="E331" s="23" t="n"/>
      <c r="F331" s="23" t="n"/>
      <c r="G331" s="23" t="n"/>
      <c r="H331" s="23" t="n"/>
      <c r="I331" s="23" t="n"/>
      <c r="J331" s="23" t="n"/>
      <c r="K331" s="23" t="n"/>
      <c r="L331" s="23" t="n"/>
      <c r="M331" s="23" t="n"/>
      <c r="N331" s="23" t="n"/>
      <c r="O331" s="23" t="n"/>
      <c r="P331" s="23" t="n"/>
      <c r="Q331" s="23" t="n"/>
      <c r="R331" s="23" t="n"/>
      <c r="S331" s="23" t="n"/>
      <c r="T331" s="23" t="n"/>
      <c r="U331" s="23" t="n"/>
      <c r="V331" s="23" t="n"/>
      <c r="W331" s="23" t="n"/>
      <c r="X331" s="23" t="n"/>
      <c r="Y331" s="23" t="n"/>
      <c r="Z331" s="23" t="n"/>
    </row>
    <row r="332" ht="15.75" customHeight="1" s="86">
      <c r="A332" s="23" t="n"/>
      <c r="B332" s="23" t="n"/>
      <c r="C332" s="23" t="n"/>
      <c r="D332" s="23" t="n"/>
      <c r="E332" s="23" t="n"/>
      <c r="F332" s="23" t="n"/>
      <c r="G332" s="23" t="n"/>
      <c r="H332" s="23" t="n"/>
      <c r="I332" s="23" t="n"/>
      <c r="J332" s="23" t="n"/>
      <c r="K332" s="23" t="n"/>
      <c r="L332" s="23" t="n"/>
      <c r="M332" s="23" t="n"/>
      <c r="N332" s="23" t="n"/>
      <c r="O332" s="23" t="n"/>
      <c r="P332" s="23" t="n"/>
      <c r="Q332" s="23" t="n"/>
      <c r="R332" s="23" t="n"/>
      <c r="S332" s="23" t="n"/>
      <c r="T332" s="23" t="n"/>
      <c r="U332" s="23" t="n"/>
      <c r="V332" s="23" t="n"/>
      <c r="W332" s="23" t="n"/>
      <c r="X332" s="23" t="n"/>
      <c r="Y332" s="23" t="n"/>
      <c r="Z332" s="23" t="n"/>
    </row>
    <row r="333" ht="15.75" customHeight="1" s="86">
      <c r="A333" s="23" t="n"/>
      <c r="B333" s="23" t="n"/>
      <c r="C333" s="23" t="n"/>
      <c r="D333" s="23" t="n"/>
      <c r="E333" s="23" t="n"/>
      <c r="F333" s="23" t="n"/>
      <c r="G333" s="23" t="n"/>
      <c r="H333" s="23" t="n"/>
      <c r="I333" s="23" t="n"/>
      <c r="J333" s="23" t="n"/>
      <c r="K333" s="23" t="n"/>
      <c r="L333" s="23" t="n"/>
      <c r="M333" s="23" t="n"/>
      <c r="N333" s="23" t="n"/>
      <c r="O333" s="23" t="n"/>
      <c r="P333" s="23" t="n"/>
      <c r="Q333" s="23" t="n"/>
      <c r="R333" s="23" t="n"/>
      <c r="S333" s="23" t="n"/>
      <c r="T333" s="23" t="n"/>
      <c r="U333" s="23" t="n"/>
      <c r="V333" s="23" t="n"/>
      <c r="W333" s="23" t="n"/>
      <c r="X333" s="23" t="n"/>
      <c r="Y333" s="23" t="n"/>
      <c r="Z333" s="23" t="n"/>
    </row>
    <row r="334" ht="15.75" customHeight="1" s="86">
      <c r="A334" s="23" t="n"/>
      <c r="B334" s="23" t="n"/>
      <c r="C334" s="23" t="n"/>
      <c r="D334" s="23" t="n"/>
      <c r="E334" s="23" t="n"/>
      <c r="F334" s="23" t="n"/>
      <c r="G334" s="23" t="n"/>
      <c r="H334" s="23" t="n"/>
      <c r="I334" s="23" t="n"/>
      <c r="J334" s="23" t="n"/>
      <c r="K334" s="23" t="n"/>
      <c r="L334" s="23" t="n"/>
      <c r="M334" s="23" t="n"/>
      <c r="N334" s="23" t="n"/>
      <c r="O334" s="23" t="n"/>
      <c r="P334" s="23" t="n"/>
      <c r="Q334" s="23" t="n"/>
      <c r="R334" s="23" t="n"/>
      <c r="S334" s="23" t="n"/>
      <c r="T334" s="23" t="n"/>
      <c r="U334" s="23" t="n"/>
      <c r="V334" s="23" t="n"/>
      <c r="W334" s="23" t="n"/>
      <c r="X334" s="23" t="n"/>
      <c r="Y334" s="23" t="n"/>
      <c r="Z334" s="23" t="n"/>
    </row>
    <row r="335" ht="15.75" customHeight="1" s="86">
      <c r="A335" s="23" t="n"/>
      <c r="B335" s="23" t="n"/>
      <c r="C335" s="23" t="n"/>
      <c r="D335" s="23" t="n"/>
      <c r="E335" s="23" t="n"/>
      <c r="F335" s="23" t="n"/>
      <c r="G335" s="23" t="n"/>
      <c r="H335" s="23" t="n"/>
      <c r="I335" s="23" t="n"/>
      <c r="J335" s="23" t="n"/>
      <c r="K335" s="23" t="n"/>
      <c r="L335" s="23" t="n"/>
      <c r="M335" s="23" t="n"/>
      <c r="N335" s="23" t="n"/>
      <c r="O335" s="23" t="n"/>
      <c r="P335" s="23" t="n"/>
      <c r="Q335" s="23" t="n"/>
      <c r="R335" s="23" t="n"/>
      <c r="S335" s="23" t="n"/>
      <c r="T335" s="23" t="n"/>
      <c r="U335" s="23" t="n"/>
      <c r="V335" s="23" t="n"/>
      <c r="W335" s="23" t="n"/>
      <c r="X335" s="23" t="n"/>
      <c r="Y335" s="23" t="n"/>
      <c r="Z335" s="23" t="n"/>
    </row>
    <row r="336" ht="15.75" customHeight="1" s="86">
      <c r="A336" s="23" t="n"/>
      <c r="B336" s="23" t="n"/>
      <c r="C336" s="23" t="n"/>
      <c r="D336" s="23" t="n"/>
      <c r="E336" s="23" t="n"/>
      <c r="F336" s="23" t="n"/>
      <c r="G336" s="23" t="n"/>
      <c r="H336" s="23" t="n"/>
      <c r="I336" s="23" t="n"/>
      <c r="J336" s="23" t="n"/>
      <c r="K336" s="23" t="n"/>
      <c r="L336" s="23" t="n"/>
      <c r="M336" s="23" t="n"/>
      <c r="N336" s="23" t="n"/>
      <c r="O336" s="23" t="n"/>
      <c r="P336" s="23" t="n"/>
      <c r="Q336" s="23" t="n"/>
      <c r="R336" s="23" t="n"/>
      <c r="S336" s="23" t="n"/>
      <c r="T336" s="23" t="n"/>
      <c r="U336" s="23" t="n"/>
      <c r="V336" s="23" t="n"/>
      <c r="W336" s="23" t="n"/>
      <c r="X336" s="23" t="n"/>
      <c r="Y336" s="23" t="n"/>
      <c r="Z336" s="23" t="n"/>
    </row>
    <row r="337" ht="15.75" customHeight="1" s="86">
      <c r="A337" s="23" t="n"/>
      <c r="B337" s="23" t="n"/>
      <c r="C337" s="23" t="n"/>
      <c r="D337" s="23" t="n"/>
      <c r="E337" s="23" t="n"/>
      <c r="F337" s="23" t="n"/>
      <c r="G337" s="23" t="n"/>
      <c r="H337" s="23" t="n"/>
      <c r="I337" s="23" t="n"/>
      <c r="J337" s="23" t="n"/>
      <c r="K337" s="23" t="n"/>
      <c r="L337" s="23" t="n"/>
      <c r="M337" s="23" t="n"/>
      <c r="N337" s="23" t="n"/>
      <c r="O337" s="23" t="n"/>
      <c r="P337" s="23" t="n"/>
      <c r="Q337" s="23" t="n"/>
      <c r="R337" s="23" t="n"/>
      <c r="S337" s="23" t="n"/>
      <c r="T337" s="23" t="n"/>
      <c r="U337" s="23" t="n"/>
      <c r="V337" s="23" t="n"/>
      <c r="W337" s="23" t="n"/>
      <c r="X337" s="23" t="n"/>
      <c r="Y337" s="23" t="n"/>
      <c r="Z337" s="23" t="n"/>
    </row>
    <row r="338" ht="15.75" customHeight="1" s="86">
      <c r="A338" s="23" t="n"/>
      <c r="B338" s="23" t="n"/>
      <c r="C338" s="23" t="n"/>
      <c r="D338" s="23" t="n"/>
      <c r="E338" s="23" t="n"/>
      <c r="F338" s="23" t="n"/>
      <c r="G338" s="23" t="n"/>
      <c r="H338" s="23" t="n"/>
      <c r="I338" s="23" t="n"/>
      <c r="J338" s="23" t="n"/>
      <c r="K338" s="23" t="n"/>
      <c r="L338" s="23" t="n"/>
      <c r="M338" s="23" t="n"/>
      <c r="N338" s="23" t="n"/>
      <c r="O338" s="23" t="n"/>
      <c r="P338" s="23" t="n"/>
      <c r="Q338" s="23" t="n"/>
      <c r="R338" s="23" t="n"/>
      <c r="S338" s="23" t="n"/>
      <c r="T338" s="23" t="n"/>
      <c r="U338" s="23" t="n"/>
      <c r="V338" s="23" t="n"/>
      <c r="W338" s="23" t="n"/>
      <c r="X338" s="23" t="n"/>
      <c r="Y338" s="23" t="n"/>
      <c r="Z338" s="23" t="n"/>
    </row>
    <row r="339" ht="15.75" customHeight="1" s="86">
      <c r="A339" s="23" t="n"/>
      <c r="B339" s="23" t="n"/>
      <c r="C339" s="23" t="n"/>
      <c r="D339" s="23" t="n"/>
      <c r="E339" s="23" t="n"/>
      <c r="F339" s="23" t="n"/>
      <c r="G339" s="23" t="n"/>
      <c r="H339" s="23" t="n"/>
      <c r="I339" s="23" t="n"/>
      <c r="J339" s="23" t="n"/>
      <c r="K339" s="23" t="n"/>
      <c r="L339" s="23" t="n"/>
      <c r="M339" s="23" t="n"/>
      <c r="N339" s="23" t="n"/>
      <c r="O339" s="23" t="n"/>
      <c r="P339" s="23" t="n"/>
      <c r="Q339" s="23" t="n"/>
      <c r="R339" s="23" t="n"/>
      <c r="S339" s="23" t="n"/>
      <c r="T339" s="23" t="n"/>
      <c r="U339" s="23" t="n"/>
      <c r="V339" s="23" t="n"/>
      <c r="W339" s="23" t="n"/>
      <c r="X339" s="23" t="n"/>
      <c r="Y339" s="23" t="n"/>
      <c r="Z339" s="23" t="n"/>
    </row>
    <row r="340" ht="15.75" customHeight="1" s="86">
      <c r="A340" s="23" t="n"/>
      <c r="B340" s="23" t="n"/>
      <c r="C340" s="23" t="n"/>
      <c r="D340" s="23" t="n"/>
      <c r="E340" s="23" t="n"/>
      <c r="F340" s="23" t="n"/>
      <c r="G340" s="23" t="n"/>
      <c r="H340" s="23" t="n"/>
      <c r="I340" s="23" t="n"/>
      <c r="J340" s="23" t="n"/>
      <c r="K340" s="23" t="n"/>
      <c r="L340" s="23" t="n"/>
      <c r="M340" s="23" t="n"/>
      <c r="N340" s="23" t="n"/>
      <c r="O340" s="23" t="n"/>
      <c r="P340" s="23" t="n"/>
      <c r="Q340" s="23" t="n"/>
      <c r="R340" s="23" t="n"/>
      <c r="S340" s="23" t="n"/>
      <c r="T340" s="23" t="n"/>
      <c r="U340" s="23" t="n"/>
      <c r="V340" s="23" t="n"/>
      <c r="W340" s="23" t="n"/>
      <c r="X340" s="23" t="n"/>
      <c r="Y340" s="23" t="n"/>
      <c r="Z340" s="23" t="n"/>
    </row>
    <row r="341" ht="15.75" customHeight="1" s="86">
      <c r="A341" s="23" t="n"/>
      <c r="B341" s="23" t="n"/>
      <c r="C341" s="23" t="n"/>
      <c r="D341" s="23" t="n"/>
      <c r="E341" s="23" t="n"/>
      <c r="F341" s="23" t="n"/>
      <c r="G341" s="23" t="n"/>
      <c r="H341" s="23" t="n"/>
      <c r="I341" s="23" t="n"/>
      <c r="J341" s="23" t="n"/>
      <c r="K341" s="23" t="n"/>
      <c r="L341" s="23" t="n"/>
      <c r="M341" s="23" t="n"/>
      <c r="N341" s="23" t="n"/>
      <c r="O341" s="23" t="n"/>
      <c r="P341" s="23" t="n"/>
      <c r="Q341" s="23" t="n"/>
      <c r="R341" s="23" t="n"/>
      <c r="S341" s="23" t="n"/>
      <c r="T341" s="23" t="n"/>
      <c r="U341" s="23" t="n"/>
      <c r="V341" s="23" t="n"/>
      <c r="W341" s="23" t="n"/>
      <c r="X341" s="23" t="n"/>
      <c r="Y341" s="23" t="n"/>
      <c r="Z341" s="23" t="n"/>
    </row>
    <row r="342" ht="15.75" customHeight="1" s="86">
      <c r="A342" s="23" t="n"/>
      <c r="B342" s="23" t="n"/>
      <c r="C342" s="23" t="n"/>
      <c r="D342" s="23" t="n"/>
      <c r="E342" s="23" t="n"/>
      <c r="F342" s="23" t="n"/>
      <c r="G342" s="23" t="n"/>
      <c r="H342" s="23" t="n"/>
      <c r="I342" s="23" t="n"/>
      <c r="J342" s="23" t="n"/>
      <c r="K342" s="23" t="n"/>
      <c r="L342" s="23" t="n"/>
      <c r="M342" s="23" t="n"/>
      <c r="N342" s="23" t="n"/>
      <c r="O342" s="23" t="n"/>
      <c r="P342" s="23" t="n"/>
      <c r="Q342" s="23" t="n"/>
      <c r="R342" s="23" t="n"/>
      <c r="S342" s="23" t="n"/>
      <c r="T342" s="23" t="n"/>
      <c r="U342" s="23" t="n"/>
      <c r="V342" s="23" t="n"/>
      <c r="W342" s="23" t="n"/>
      <c r="X342" s="23" t="n"/>
      <c r="Y342" s="23" t="n"/>
      <c r="Z342" s="23" t="n"/>
    </row>
    <row r="343" ht="15.75" customHeight="1" s="86">
      <c r="A343" s="23" t="n"/>
      <c r="B343" s="23" t="n"/>
      <c r="C343" s="23" t="n"/>
      <c r="D343" s="23" t="n"/>
      <c r="E343" s="23" t="n"/>
      <c r="F343" s="23" t="n"/>
      <c r="G343" s="23" t="n"/>
      <c r="H343" s="23" t="n"/>
      <c r="I343" s="23" t="n"/>
      <c r="J343" s="23" t="n"/>
      <c r="K343" s="23" t="n"/>
      <c r="L343" s="23" t="n"/>
      <c r="M343" s="23" t="n"/>
      <c r="N343" s="23" t="n"/>
      <c r="O343" s="23" t="n"/>
      <c r="P343" s="23" t="n"/>
      <c r="Q343" s="23" t="n"/>
      <c r="R343" s="23" t="n"/>
      <c r="S343" s="23" t="n"/>
      <c r="T343" s="23" t="n"/>
      <c r="U343" s="23" t="n"/>
      <c r="V343" s="23" t="n"/>
      <c r="W343" s="23" t="n"/>
      <c r="X343" s="23" t="n"/>
      <c r="Y343" s="23" t="n"/>
      <c r="Z343" s="23" t="n"/>
    </row>
    <row r="344" ht="15.75" customHeight="1" s="86">
      <c r="A344" s="23" t="n"/>
      <c r="B344" s="23" t="n"/>
      <c r="C344" s="23" t="n"/>
      <c r="D344" s="23" t="n"/>
      <c r="E344" s="23" t="n"/>
      <c r="F344" s="23" t="n"/>
      <c r="G344" s="23" t="n"/>
      <c r="H344" s="23" t="n"/>
      <c r="I344" s="23" t="n"/>
      <c r="J344" s="23" t="n"/>
      <c r="K344" s="23" t="n"/>
      <c r="L344" s="23" t="n"/>
      <c r="M344" s="23" t="n"/>
      <c r="N344" s="23" t="n"/>
      <c r="O344" s="23" t="n"/>
      <c r="P344" s="23" t="n"/>
      <c r="Q344" s="23" t="n"/>
      <c r="R344" s="23" t="n"/>
      <c r="S344" s="23" t="n"/>
      <c r="T344" s="23" t="n"/>
      <c r="U344" s="23" t="n"/>
      <c r="V344" s="23" t="n"/>
      <c r="W344" s="23" t="n"/>
      <c r="X344" s="23" t="n"/>
      <c r="Y344" s="23" t="n"/>
      <c r="Z344" s="23" t="n"/>
    </row>
    <row r="345" ht="15.75" customHeight="1" s="86">
      <c r="A345" s="23" t="n"/>
      <c r="B345" s="23" t="n"/>
      <c r="C345" s="23" t="n"/>
      <c r="D345" s="23" t="n"/>
      <c r="E345" s="23" t="n"/>
      <c r="F345" s="23" t="n"/>
      <c r="G345" s="23" t="n"/>
      <c r="H345" s="23" t="n"/>
      <c r="I345" s="23" t="n"/>
      <c r="J345" s="23" t="n"/>
      <c r="K345" s="23" t="n"/>
      <c r="L345" s="23" t="n"/>
      <c r="M345" s="23" t="n"/>
      <c r="N345" s="23" t="n"/>
      <c r="O345" s="23" t="n"/>
      <c r="P345" s="23" t="n"/>
      <c r="Q345" s="23" t="n"/>
      <c r="R345" s="23" t="n"/>
      <c r="S345" s="23" t="n"/>
      <c r="T345" s="23" t="n"/>
      <c r="U345" s="23" t="n"/>
      <c r="V345" s="23" t="n"/>
      <c r="W345" s="23" t="n"/>
      <c r="X345" s="23" t="n"/>
      <c r="Y345" s="23" t="n"/>
      <c r="Z345" s="23" t="n"/>
    </row>
    <row r="346" ht="15.75" customHeight="1" s="86">
      <c r="A346" s="23" t="n"/>
      <c r="B346" s="23" t="n"/>
      <c r="C346" s="23" t="n"/>
      <c r="D346" s="23" t="n"/>
      <c r="E346" s="23" t="n"/>
      <c r="F346" s="23" t="n"/>
      <c r="G346" s="23" t="n"/>
      <c r="H346" s="23" t="n"/>
      <c r="I346" s="23" t="n"/>
      <c r="J346" s="23" t="n"/>
      <c r="K346" s="23" t="n"/>
      <c r="L346" s="23" t="n"/>
      <c r="M346" s="23" t="n"/>
      <c r="N346" s="23" t="n"/>
      <c r="O346" s="23" t="n"/>
      <c r="P346" s="23" t="n"/>
      <c r="Q346" s="23" t="n"/>
      <c r="R346" s="23" t="n"/>
      <c r="S346" s="23" t="n"/>
      <c r="T346" s="23" t="n"/>
      <c r="U346" s="23" t="n"/>
      <c r="V346" s="23" t="n"/>
      <c r="W346" s="23" t="n"/>
      <c r="X346" s="23" t="n"/>
      <c r="Y346" s="23" t="n"/>
      <c r="Z346" s="23" t="n"/>
    </row>
    <row r="347" ht="15.75" customHeight="1" s="86">
      <c r="A347" s="23" t="n"/>
      <c r="B347" s="23" t="n"/>
      <c r="C347" s="23" t="n"/>
      <c r="D347" s="23" t="n"/>
      <c r="E347" s="23" t="n"/>
      <c r="F347" s="23" t="n"/>
      <c r="G347" s="23" t="n"/>
      <c r="H347" s="23" t="n"/>
      <c r="I347" s="23" t="n"/>
      <c r="J347" s="23" t="n"/>
      <c r="K347" s="23" t="n"/>
      <c r="L347" s="23" t="n"/>
      <c r="M347" s="23" t="n"/>
      <c r="N347" s="23" t="n"/>
      <c r="O347" s="23" t="n"/>
      <c r="P347" s="23" t="n"/>
      <c r="Q347" s="23" t="n"/>
      <c r="R347" s="23" t="n"/>
      <c r="S347" s="23" t="n"/>
      <c r="T347" s="23" t="n"/>
      <c r="U347" s="23" t="n"/>
      <c r="V347" s="23" t="n"/>
      <c r="W347" s="23" t="n"/>
      <c r="X347" s="23" t="n"/>
      <c r="Y347" s="23" t="n"/>
      <c r="Z347" s="23" t="n"/>
    </row>
    <row r="348" ht="15.75" customHeight="1" s="86">
      <c r="A348" s="23" t="n"/>
      <c r="B348" s="23" t="n"/>
      <c r="C348" s="23" t="n"/>
      <c r="D348" s="23" t="n"/>
      <c r="E348" s="23" t="n"/>
      <c r="F348" s="23" t="n"/>
      <c r="G348" s="23" t="n"/>
      <c r="H348" s="23" t="n"/>
      <c r="I348" s="23" t="n"/>
      <c r="J348" s="23" t="n"/>
      <c r="K348" s="23" t="n"/>
      <c r="L348" s="23" t="n"/>
      <c r="M348" s="23" t="n"/>
      <c r="N348" s="23" t="n"/>
      <c r="O348" s="23" t="n"/>
      <c r="P348" s="23" t="n"/>
      <c r="Q348" s="23" t="n"/>
      <c r="R348" s="23" t="n"/>
      <c r="S348" s="23" t="n"/>
      <c r="T348" s="23" t="n"/>
      <c r="U348" s="23" t="n"/>
      <c r="V348" s="23" t="n"/>
      <c r="W348" s="23" t="n"/>
      <c r="X348" s="23" t="n"/>
      <c r="Y348" s="23" t="n"/>
      <c r="Z348" s="23" t="n"/>
    </row>
    <row r="349" ht="15.75" customHeight="1" s="86">
      <c r="A349" s="23" t="n"/>
      <c r="B349" s="23" t="n"/>
      <c r="C349" s="23" t="n"/>
      <c r="D349" s="23" t="n"/>
      <c r="E349" s="23" t="n"/>
      <c r="F349" s="23" t="n"/>
      <c r="G349" s="23" t="n"/>
      <c r="H349" s="23" t="n"/>
      <c r="I349" s="23" t="n"/>
      <c r="J349" s="23" t="n"/>
      <c r="K349" s="23" t="n"/>
      <c r="L349" s="23" t="n"/>
      <c r="M349" s="23" t="n"/>
      <c r="N349" s="23" t="n"/>
      <c r="O349" s="23" t="n"/>
      <c r="P349" s="23" t="n"/>
      <c r="Q349" s="23" t="n"/>
      <c r="R349" s="23" t="n"/>
      <c r="S349" s="23" t="n"/>
      <c r="T349" s="23" t="n"/>
      <c r="U349" s="23" t="n"/>
      <c r="V349" s="23" t="n"/>
      <c r="W349" s="23" t="n"/>
      <c r="X349" s="23" t="n"/>
      <c r="Y349" s="23" t="n"/>
      <c r="Z349" s="23" t="n"/>
    </row>
    <row r="350" ht="15.75" customHeight="1" s="86">
      <c r="A350" s="23" t="n"/>
      <c r="B350" s="23" t="n"/>
      <c r="C350" s="23" t="n"/>
      <c r="D350" s="23" t="n"/>
      <c r="E350" s="23" t="n"/>
      <c r="F350" s="23" t="n"/>
      <c r="G350" s="23" t="n"/>
      <c r="H350" s="23" t="n"/>
      <c r="I350" s="23" t="n"/>
      <c r="J350" s="23" t="n"/>
      <c r="K350" s="23" t="n"/>
      <c r="L350" s="23" t="n"/>
      <c r="M350" s="23" t="n"/>
      <c r="N350" s="23" t="n"/>
      <c r="O350" s="23" t="n"/>
      <c r="P350" s="23" t="n"/>
      <c r="Q350" s="23" t="n"/>
      <c r="R350" s="23" t="n"/>
      <c r="S350" s="23" t="n"/>
      <c r="T350" s="23" t="n"/>
      <c r="U350" s="23" t="n"/>
      <c r="V350" s="23" t="n"/>
      <c r="W350" s="23" t="n"/>
      <c r="X350" s="23" t="n"/>
      <c r="Y350" s="23" t="n"/>
      <c r="Z350" s="23" t="n"/>
    </row>
    <row r="351" ht="15.75" customHeight="1" s="86">
      <c r="A351" s="23" t="n"/>
      <c r="B351" s="23" t="n"/>
      <c r="C351" s="23" t="n"/>
      <c r="D351" s="23" t="n"/>
      <c r="E351" s="23" t="n"/>
      <c r="F351" s="23" t="n"/>
      <c r="G351" s="23" t="n"/>
      <c r="H351" s="23" t="n"/>
      <c r="I351" s="23" t="n"/>
      <c r="J351" s="23" t="n"/>
      <c r="K351" s="23" t="n"/>
      <c r="L351" s="23" t="n"/>
      <c r="M351" s="23" t="n"/>
      <c r="N351" s="23" t="n"/>
      <c r="O351" s="23" t="n"/>
      <c r="P351" s="23" t="n"/>
      <c r="Q351" s="23" t="n"/>
      <c r="R351" s="23" t="n"/>
      <c r="S351" s="23" t="n"/>
      <c r="T351" s="23" t="n"/>
      <c r="U351" s="23" t="n"/>
      <c r="V351" s="23" t="n"/>
      <c r="W351" s="23" t="n"/>
      <c r="X351" s="23" t="n"/>
      <c r="Y351" s="23" t="n"/>
      <c r="Z351" s="23" t="n"/>
    </row>
    <row r="352" ht="15.75" customHeight="1" s="86">
      <c r="A352" s="23" t="n"/>
      <c r="B352" s="23" t="n"/>
      <c r="C352" s="23" t="n"/>
      <c r="D352" s="23" t="n"/>
      <c r="E352" s="23" t="n"/>
      <c r="F352" s="23" t="n"/>
      <c r="G352" s="23" t="n"/>
      <c r="H352" s="23" t="n"/>
      <c r="I352" s="23" t="n"/>
      <c r="J352" s="23" t="n"/>
      <c r="K352" s="23" t="n"/>
      <c r="L352" s="23" t="n"/>
      <c r="M352" s="23" t="n"/>
      <c r="N352" s="23" t="n"/>
      <c r="O352" s="23" t="n"/>
      <c r="P352" s="23" t="n"/>
      <c r="Q352" s="23" t="n"/>
      <c r="R352" s="23" t="n"/>
      <c r="S352" s="23" t="n"/>
      <c r="T352" s="23" t="n"/>
      <c r="U352" s="23" t="n"/>
      <c r="V352" s="23" t="n"/>
      <c r="W352" s="23" t="n"/>
      <c r="X352" s="23" t="n"/>
      <c r="Y352" s="23" t="n"/>
      <c r="Z352" s="23" t="n"/>
    </row>
    <row r="353" ht="15.75" customHeight="1" s="86">
      <c r="A353" s="23" t="n"/>
      <c r="B353" s="23" t="n"/>
      <c r="C353" s="23" t="n"/>
      <c r="D353" s="23" t="n"/>
      <c r="E353" s="23" t="n"/>
      <c r="F353" s="23" t="n"/>
      <c r="G353" s="23" t="n"/>
      <c r="H353" s="23" t="n"/>
      <c r="I353" s="23" t="n"/>
      <c r="J353" s="23" t="n"/>
      <c r="K353" s="23" t="n"/>
      <c r="L353" s="23" t="n"/>
      <c r="M353" s="23" t="n"/>
      <c r="N353" s="23" t="n"/>
      <c r="O353" s="23" t="n"/>
      <c r="P353" s="23" t="n"/>
      <c r="Q353" s="23" t="n"/>
      <c r="R353" s="23" t="n"/>
      <c r="S353" s="23" t="n"/>
      <c r="T353" s="23" t="n"/>
      <c r="U353" s="23" t="n"/>
      <c r="V353" s="23" t="n"/>
      <c r="W353" s="23" t="n"/>
      <c r="X353" s="23" t="n"/>
      <c r="Y353" s="23" t="n"/>
      <c r="Z353" s="23" t="n"/>
    </row>
    <row r="354" ht="15.75" customHeight="1" s="86">
      <c r="A354" s="23" t="n"/>
      <c r="B354" s="23" t="n"/>
      <c r="C354" s="23" t="n"/>
      <c r="D354" s="23" t="n"/>
      <c r="E354" s="23" t="n"/>
      <c r="F354" s="23" t="n"/>
      <c r="G354" s="23" t="n"/>
      <c r="H354" s="23" t="n"/>
      <c r="I354" s="23" t="n"/>
      <c r="J354" s="23" t="n"/>
      <c r="K354" s="23" t="n"/>
      <c r="L354" s="23" t="n"/>
      <c r="M354" s="23" t="n"/>
      <c r="N354" s="23" t="n"/>
      <c r="O354" s="23" t="n"/>
      <c r="P354" s="23" t="n"/>
      <c r="Q354" s="23" t="n"/>
      <c r="R354" s="23" t="n"/>
      <c r="S354" s="23" t="n"/>
      <c r="T354" s="23" t="n"/>
      <c r="U354" s="23" t="n"/>
      <c r="V354" s="23" t="n"/>
      <c r="W354" s="23" t="n"/>
      <c r="X354" s="23" t="n"/>
      <c r="Y354" s="23" t="n"/>
      <c r="Z354" s="23" t="n"/>
    </row>
    <row r="355" ht="15.75" customHeight="1" s="86">
      <c r="A355" s="23" t="n"/>
      <c r="B355" s="23" t="n"/>
      <c r="C355" s="23" t="n"/>
      <c r="D355" s="23" t="n"/>
      <c r="E355" s="23" t="n"/>
      <c r="F355" s="23" t="n"/>
      <c r="G355" s="23" t="n"/>
      <c r="H355" s="23" t="n"/>
      <c r="I355" s="23" t="n"/>
      <c r="J355" s="23" t="n"/>
      <c r="K355" s="23" t="n"/>
      <c r="L355" s="23" t="n"/>
      <c r="M355" s="23" t="n"/>
      <c r="N355" s="23" t="n"/>
      <c r="O355" s="23" t="n"/>
      <c r="P355" s="23" t="n"/>
      <c r="Q355" s="23" t="n"/>
      <c r="R355" s="23" t="n"/>
      <c r="S355" s="23" t="n"/>
      <c r="T355" s="23" t="n"/>
      <c r="U355" s="23" t="n"/>
      <c r="V355" s="23" t="n"/>
      <c r="W355" s="23" t="n"/>
      <c r="X355" s="23" t="n"/>
      <c r="Y355" s="23" t="n"/>
      <c r="Z355" s="23" t="n"/>
    </row>
    <row r="356" ht="15.75" customHeight="1" s="86">
      <c r="A356" s="23" t="n"/>
      <c r="B356" s="23" t="n"/>
      <c r="C356" s="23" t="n"/>
      <c r="D356" s="23" t="n"/>
      <c r="E356" s="23" t="n"/>
      <c r="F356" s="23" t="n"/>
      <c r="G356" s="23" t="n"/>
      <c r="H356" s="23" t="n"/>
      <c r="I356" s="23" t="n"/>
      <c r="J356" s="23" t="n"/>
      <c r="K356" s="23" t="n"/>
      <c r="L356" s="23" t="n"/>
      <c r="M356" s="23" t="n"/>
      <c r="N356" s="23" t="n"/>
      <c r="O356" s="23" t="n"/>
      <c r="P356" s="23" t="n"/>
      <c r="Q356" s="23" t="n"/>
      <c r="R356" s="23" t="n"/>
      <c r="S356" s="23" t="n"/>
      <c r="T356" s="23" t="n"/>
      <c r="U356" s="23" t="n"/>
      <c r="V356" s="23" t="n"/>
      <c r="W356" s="23" t="n"/>
      <c r="X356" s="23" t="n"/>
      <c r="Y356" s="23" t="n"/>
      <c r="Z356" s="23" t="n"/>
    </row>
    <row r="357" ht="15.75" customHeight="1" s="86">
      <c r="A357" s="23" t="n"/>
      <c r="B357" s="23" t="n"/>
      <c r="C357" s="23" t="n"/>
      <c r="D357" s="23" t="n"/>
      <c r="E357" s="23" t="n"/>
      <c r="F357" s="23" t="n"/>
      <c r="G357" s="23" t="n"/>
      <c r="H357" s="23" t="n"/>
      <c r="I357" s="23" t="n"/>
      <c r="J357" s="23" t="n"/>
      <c r="K357" s="23" t="n"/>
      <c r="L357" s="23" t="n"/>
      <c r="M357" s="23" t="n"/>
      <c r="N357" s="23" t="n"/>
      <c r="O357" s="23" t="n"/>
      <c r="P357" s="23" t="n"/>
      <c r="Q357" s="23" t="n"/>
      <c r="R357" s="23" t="n"/>
      <c r="S357" s="23" t="n"/>
      <c r="T357" s="23" t="n"/>
      <c r="U357" s="23" t="n"/>
      <c r="V357" s="23" t="n"/>
      <c r="W357" s="23" t="n"/>
      <c r="X357" s="23" t="n"/>
      <c r="Y357" s="23" t="n"/>
      <c r="Z357" s="23" t="n"/>
    </row>
    <row r="358" ht="15.75" customHeight="1" s="86">
      <c r="A358" s="23" t="n"/>
      <c r="B358" s="23" t="n"/>
      <c r="C358" s="23" t="n"/>
      <c r="D358" s="23" t="n"/>
      <c r="E358" s="23" t="n"/>
      <c r="F358" s="23" t="n"/>
      <c r="G358" s="23" t="n"/>
      <c r="H358" s="23" t="n"/>
      <c r="I358" s="23" t="n"/>
      <c r="J358" s="23" t="n"/>
      <c r="K358" s="23" t="n"/>
      <c r="L358" s="23" t="n"/>
      <c r="M358" s="23" t="n"/>
      <c r="N358" s="23" t="n"/>
      <c r="O358" s="23" t="n"/>
      <c r="P358" s="23" t="n"/>
      <c r="Q358" s="23" t="n"/>
      <c r="R358" s="23" t="n"/>
      <c r="S358" s="23" t="n"/>
      <c r="T358" s="23" t="n"/>
      <c r="U358" s="23" t="n"/>
      <c r="V358" s="23" t="n"/>
      <c r="W358" s="23" t="n"/>
      <c r="X358" s="23" t="n"/>
      <c r="Y358" s="23" t="n"/>
      <c r="Z358" s="23" t="n"/>
    </row>
    <row r="359" ht="15.75" customHeight="1" s="86">
      <c r="A359" s="23" t="n"/>
      <c r="B359" s="23" t="n"/>
      <c r="C359" s="23" t="n"/>
      <c r="D359" s="23" t="n"/>
      <c r="E359" s="23" t="n"/>
      <c r="F359" s="23" t="n"/>
      <c r="G359" s="23" t="n"/>
      <c r="H359" s="23" t="n"/>
      <c r="I359" s="23" t="n"/>
      <c r="J359" s="23" t="n"/>
      <c r="K359" s="23" t="n"/>
      <c r="L359" s="23" t="n"/>
      <c r="M359" s="23" t="n"/>
      <c r="N359" s="23" t="n"/>
      <c r="O359" s="23" t="n"/>
      <c r="P359" s="23" t="n"/>
      <c r="Q359" s="23" t="n"/>
      <c r="R359" s="23" t="n"/>
      <c r="S359" s="23" t="n"/>
      <c r="T359" s="23" t="n"/>
      <c r="U359" s="23" t="n"/>
      <c r="V359" s="23" t="n"/>
      <c r="W359" s="23" t="n"/>
      <c r="X359" s="23" t="n"/>
      <c r="Y359" s="23" t="n"/>
      <c r="Z359" s="23" t="n"/>
    </row>
    <row r="360" ht="15.75" customHeight="1" s="86">
      <c r="A360" s="23" t="n"/>
      <c r="B360" s="23" t="n"/>
      <c r="C360" s="23" t="n"/>
      <c r="D360" s="23" t="n"/>
      <c r="E360" s="23" t="n"/>
      <c r="F360" s="23" t="n"/>
      <c r="G360" s="23" t="n"/>
      <c r="H360" s="23" t="n"/>
      <c r="I360" s="23" t="n"/>
      <c r="J360" s="23" t="n"/>
      <c r="K360" s="23" t="n"/>
      <c r="L360" s="23" t="n"/>
      <c r="M360" s="23" t="n"/>
      <c r="N360" s="23" t="n"/>
      <c r="O360" s="23" t="n"/>
      <c r="P360" s="23" t="n"/>
      <c r="Q360" s="23" t="n"/>
      <c r="R360" s="23" t="n"/>
      <c r="S360" s="23" t="n"/>
      <c r="T360" s="23" t="n"/>
      <c r="U360" s="23" t="n"/>
      <c r="V360" s="23" t="n"/>
      <c r="W360" s="23" t="n"/>
      <c r="X360" s="23" t="n"/>
      <c r="Y360" s="23" t="n"/>
      <c r="Z360" s="23" t="n"/>
    </row>
    <row r="361" ht="15.75" customHeight="1" s="86">
      <c r="A361" s="23" t="n"/>
      <c r="B361" s="23" t="n"/>
      <c r="C361" s="23" t="n"/>
      <c r="D361" s="23" t="n"/>
      <c r="E361" s="23" t="n"/>
      <c r="F361" s="23" t="n"/>
      <c r="G361" s="23" t="n"/>
      <c r="H361" s="23" t="n"/>
      <c r="I361" s="23" t="n"/>
      <c r="J361" s="23" t="n"/>
      <c r="K361" s="23" t="n"/>
      <c r="L361" s="23" t="n"/>
      <c r="M361" s="23" t="n"/>
      <c r="N361" s="23" t="n"/>
      <c r="O361" s="23" t="n"/>
      <c r="P361" s="23" t="n"/>
      <c r="Q361" s="23" t="n"/>
      <c r="R361" s="23" t="n"/>
      <c r="S361" s="23" t="n"/>
      <c r="T361" s="23" t="n"/>
      <c r="U361" s="23" t="n"/>
      <c r="V361" s="23" t="n"/>
      <c r="W361" s="23" t="n"/>
      <c r="X361" s="23" t="n"/>
      <c r="Y361" s="23" t="n"/>
      <c r="Z361" s="23" t="n"/>
    </row>
    <row r="362" ht="15.75" customHeight="1" s="86">
      <c r="A362" s="23" t="n"/>
      <c r="B362" s="23" t="n"/>
      <c r="C362" s="23" t="n"/>
      <c r="D362" s="23" t="n"/>
      <c r="E362" s="23" t="n"/>
      <c r="F362" s="23" t="n"/>
      <c r="G362" s="23" t="n"/>
      <c r="H362" s="23" t="n"/>
      <c r="I362" s="23" t="n"/>
      <c r="J362" s="23" t="n"/>
      <c r="K362" s="23" t="n"/>
      <c r="L362" s="23" t="n"/>
      <c r="M362" s="23" t="n"/>
      <c r="N362" s="23" t="n"/>
      <c r="O362" s="23" t="n"/>
      <c r="P362" s="23" t="n"/>
      <c r="Q362" s="23" t="n"/>
      <c r="R362" s="23" t="n"/>
      <c r="S362" s="23" t="n"/>
      <c r="T362" s="23" t="n"/>
      <c r="U362" s="23" t="n"/>
      <c r="V362" s="23" t="n"/>
      <c r="W362" s="23" t="n"/>
      <c r="X362" s="23" t="n"/>
      <c r="Y362" s="23" t="n"/>
      <c r="Z362" s="23" t="n"/>
    </row>
    <row r="363" ht="15.75" customHeight="1" s="86">
      <c r="A363" s="23" t="n"/>
      <c r="B363" s="23" t="n"/>
      <c r="C363" s="23" t="n"/>
      <c r="D363" s="23" t="n"/>
      <c r="E363" s="23" t="n"/>
      <c r="F363" s="23" t="n"/>
      <c r="G363" s="23" t="n"/>
      <c r="H363" s="23" t="n"/>
      <c r="I363" s="23" t="n"/>
      <c r="J363" s="23" t="n"/>
      <c r="K363" s="23" t="n"/>
      <c r="L363" s="23" t="n"/>
      <c r="M363" s="23" t="n"/>
      <c r="N363" s="23" t="n"/>
      <c r="O363" s="23" t="n"/>
      <c r="P363" s="23" t="n"/>
      <c r="Q363" s="23" t="n"/>
      <c r="R363" s="23" t="n"/>
      <c r="S363" s="23" t="n"/>
      <c r="T363" s="23" t="n"/>
      <c r="U363" s="23" t="n"/>
      <c r="V363" s="23" t="n"/>
      <c r="W363" s="23" t="n"/>
      <c r="X363" s="23" t="n"/>
      <c r="Y363" s="23" t="n"/>
      <c r="Z363" s="23" t="n"/>
    </row>
    <row r="364" ht="15.75" customHeight="1" s="86">
      <c r="A364" s="23" t="n"/>
      <c r="B364" s="23" t="n"/>
      <c r="C364" s="23" t="n"/>
      <c r="D364" s="23" t="n"/>
      <c r="E364" s="23" t="n"/>
      <c r="F364" s="23" t="n"/>
      <c r="G364" s="23" t="n"/>
      <c r="H364" s="23" t="n"/>
      <c r="I364" s="23" t="n"/>
      <c r="J364" s="23" t="n"/>
      <c r="K364" s="23" t="n"/>
      <c r="L364" s="23" t="n"/>
      <c r="M364" s="23" t="n"/>
      <c r="N364" s="23" t="n"/>
      <c r="O364" s="23" t="n"/>
      <c r="P364" s="23" t="n"/>
      <c r="Q364" s="23" t="n"/>
      <c r="R364" s="23" t="n"/>
      <c r="S364" s="23" t="n"/>
      <c r="T364" s="23" t="n"/>
      <c r="U364" s="23" t="n"/>
      <c r="V364" s="23" t="n"/>
      <c r="W364" s="23" t="n"/>
      <c r="X364" s="23" t="n"/>
      <c r="Y364" s="23" t="n"/>
      <c r="Z364" s="23" t="n"/>
    </row>
    <row r="365" ht="15.75" customHeight="1" s="86">
      <c r="A365" s="23" t="n"/>
      <c r="B365" s="23" t="n"/>
      <c r="C365" s="23" t="n"/>
      <c r="D365" s="23" t="n"/>
      <c r="E365" s="23" t="n"/>
      <c r="F365" s="23" t="n"/>
      <c r="G365" s="23" t="n"/>
      <c r="H365" s="23" t="n"/>
      <c r="I365" s="23" t="n"/>
      <c r="J365" s="23" t="n"/>
      <c r="K365" s="23" t="n"/>
      <c r="L365" s="23" t="n"/>
      <c r="M365" s="23" t="n"/>
      <c r="N365" s="23" t="n"/>
      <c r="O365" s="23" t="n"/>
      <c r="P365" s="23" t="n"/>
      <c r="Q365" s="23" t="n"/>
      <c r="R365" s="23" t="n"/>
      <c r="S365" s="23" t="n"/>
      <c r="T365" s="23" t="n"/>
      <c r="U365" s="23" t="n"/>
      <c r="V365" s="23" t="n"/>
      <c r="W365" s="23" t="n"/>
      <c r="X365" s="23" t="n"/>
      <c r="Y365" s="23" t="n"/>
      <c r="Z365" s="23" t="n"/>
    </row>
    <row r="366" ht="15.75" customHeight="1" s="86">
      <c r="A366" s="23" t="n"/>
      <c r="B366" s="23" t="n"/>
      <c r="C366" s="23" t="n"/>
      <c r="D366" s="23" t="n"/>
      <c r="E366" s="23" t="n"/>
      <c r="F366" s="23" t="n"/>
      <c r="G366" s="23" t="n"/>
      <c r="H366" s="23" t="n"/>
      <c r="I366" s="23" t="n"/>
      <c r="J366" s="23" t="n"/>
      <c r="K366" s="23" t="n"/>
      <c r="L366" s="23" t="n"/>
      <c r="M366" s="23" t="n"/>
      <c r="N366" s="23" t="n"/>
      <c r="O366" s="23" t="n"/>
      <c r="P366" s="23" t="n"/>
      <c r="Q366" s="23" t="n"/>
      <c r="R366" s="23" t="n"/>
      <c r="S366" s="23" t="n"/>
      <c r="T366" s="23" t="n"/>
      <c r="U366" s="23" t="n"/>
      <c r="V366" s="23" t="n"/>
      <c r="W366" s="23" t="n"/>
      <c r="X366" s="23" t="n"/>
      <c r="Y366" s="23" t="n"/>
      <c r="Z366" s="23" t="n"/>
    </row>
    <row r="367" ht="15.75" customHeight="1" s="86">
      <c r="A367" s="23" t="n"/>
      <c r="B367" s="23" t="n"/>
      <c r="C367" s="23" t="n"/>
      <c r="D367" s="23" t="n"/>
      <c r="E367" s="23" t="n"/>
      <c r="F367" s="23" t="n"/>
      <c r="G367" s="23" t="n"/>
      <c r="H367" s="23" t="n"/>
      <c r="I367" s="23" t="n"/>
      <c r="J367" s="23" t="n"/>
      <c r="K367" s="23" t="n"/>
      <c r="L367" s="23" t="n"/>
      <c r="M367" s="23" t="n"/>
      <c r="N367" s="23" t="n"/>
      <c r="O367" s="23" t="n"/>
      <c r="P367" s="23" t="n"/>
      <c r="Q367" s="23" t="n"/>
      <c r="R367" s="23" t="n"/>
      <c r="S367" s="23" t="n"/>
      <c r="T367" s="23" t="n"/>
      <c r="U367" s="23" t="n"/>
      <c r="V367" s="23" t="n"/>
      <c r="W367" s="23" t="n"/>
      <c r="X367" s="23" t="n"/>
      <c r="Y367" s="23" t="n"/>
      <c r="Z367" s="23" t="n"/>
    </row>
    <row r="368" ht="15.75" customHeight="1" s="86">
      <c r="A368" s="23" t="n"/>
      <c r="B368" s="23" t="n"/>
      <c r="C368" s="23" t="n"/>
      <c r="D368" s="23" t="n"/>
      <c r="E368" s="23" t="n"/>
      <c r="F368" s="23" t="n"/>
      <c r="G368" s="23" t="n"/>
      <c r="H368" s="23" t="n"/>
      <c r="I368" s="23" t="n"/>
      <c r="J368" s="23" t="n"/>
      <c r="K368" s="23" t="n"/>
      <c r="L368" s="23" t="n"/>
      <c r="M368" s="23" t="n"/>
      <c r="N368" s="23" t="n"/>
      <c r="O368" s="23" t="n"/>
      <c r="P368" s="23" t="n"/>
      <c r="Q368" s="23" t="n"/>
      <c r="R368" s="23" t="n"/>
      <c r="S368" s="23" t="n"/>
      <c r="T368" s="23" t="n"/>
      <c r="U368" s="23" t="n"/>
      <c r="V368" s="23" t="n"/>
      <c r="W368" s="23" t="n"/>
      <c r="X368" s="23" t="n"/>
      <c r="Y368" s="23" t="n"/>
      <c r="Z368" s="23" t="n"/>
    </row>
    <row r="369" ht="15.75" customHeight="1" s="86">
      <c r="A369" s="23" t="n"/>
      <c r="B369" s="23" t="n"/>
      <c r="C369" s="23" t="n"/>
      <c r="D369" s="23" t="n"/>
      <c r="E369" s="23" t="n"/>
      <c r="F369" s="23" t="n"/>
      <c r="G369" s="23" t="n"/>
      <c r="H369" s="23" t="n"/>
      <c r="I369" s="23" t="n"/>
      <c r="J369" s="23" t="n"/>
      <c r="K369" s="23" t="n"/>
      <c r="L369" s="23" t="n"/>
      <c r="M369" s="23" t="n"/>
      <c r="N369" s="23" t="n"/>
      <c r="O369" s="23" t="n"/>
      <c r="P369" s="23" t="n"/>
      <c r="Q369" s="23" t="n"/>
      <c r="R369" s="23" t="n"/>
      <c r="S369" s="23" t="n"/>
      <c r="T369" s="23" t="n"/>
      <c r="U369" s="23" t="n"/>
      <c r="V369" s="23" t="n"/>
      <c r="W369" s="23" t="n"/>
      <c r="X369" s="23" t="n"/>
      <c r="Y369" s="23" t="n"/>
      <c r="Z369" s="23" t="n"/>
    </row>
    <row r="370" ht="15.75" customHeight="1" s="86">
      <c r="A370" s="23" t="n"/>
      <c r="B370" s="23" t="n"/>
      <c r="C370" s="23" t="n"/>
      <c r="D370" s="23" t="n"/>
      <c r="E370" s="23" t="n"/>
      <c r="F370" s="23" t="n"/>
      <c r="G370" s="23" t="n"/>
      <c r="H370" s="23" t="n"/>
      <c r="I370" s="23" t="n"/>
      <c r="J370" s="23" t="n"/>
      <c r="K370" s="23" t="n"/>
      <c r="L370" s="23" t="n"/>
      <c r="M370" s="23" t="n"/>
      <c r="N370" s="23" t="n"/>
      <c r="O370" s="23" t="n"/>
      <c r="P370" s="23" t="n"/>
      <c r="Q370" s="23" t="n"/>
      <c r="R370" s="23" t="n"/>
      <c r="S370" s="23" t="n"/>
      <c r="T370" s="23" t="n"/>
      <c r="U370" s="23" t="n"/>
      <c r="V370" s="23" t="n"/>
      <c r="W370" s="23" t="n"/>
      <c r="X370" s="23" t="n"/>
      <c r="Y370" s="23" t="n"/>
      <c r="Z370" s="23" t="n"/>
    </row>
    <row r="371" ht="15.75" customHeight="1" s="86">
      <c r="A371" s="23" t="n"/>
      <c r="B371" s="23" t="n"/>
      <c r="C371" s="23" t="n"/>
      <c r="D371" s="23" t="n"/>
      <c r="E371" s="23" t="n"/>
      <c r="F371" s="23" t="n"/>
      <c r="G371" s="23" t="n"/>
      <c r="H371" s="23" t="n"/>
      <c r="I371" s="23" t="n"/>
      <c r="J371" s="23" t="n"/>
      <c r="K371" s="23" t="n"/>
      <c r="L371" s="23" t="n"/>
      <c r="M371" s="23" t="n"/>
      <c r="N371" s="23" t="n"/>
      <c r="O371" s="23" t="n"/>
      <c r="P371" s="23" t="n"/>
      <c r="Q371" s="23" t="n"/>
      <c r="R371" s="23" t="n"/>
      <c r="S371" s="23" t="n"/>
      <c r="T371" s="23" t="n"/>
      <c r="U371" s="23" t="n"/>
      <c r="V371" s="23" t="n"/>
      <c r="W371" s="23" t="n"/>
      <c r="X371" s="23" t="n"/>
      <c r="Y371" s="23" t="n"/>
      <c r="Z371" s="23" t="n"/>
    </row>
    <row r="372" ht="15.75" customHeight="1" s="86">
      <c r="A372" s="23" t="n"/>
      <c r="B372" s="23" t="n"/>
      <c r="C372" s="23" t="n"/>
      <c r="D372" s="23" t="n"/>
      <c r="E372" s="23" t="n"/>
      <c r="F372" s="23" t="n"/>
      <c r="G372" s="23" t="n"/>
      <c r="H372" s="23" t="n"/>
      <c r="I372" s="23" t="n"/>
      <c r="J372" s="23" t="n"/>
      <c r="K372" s="23" t="n"/>
      <c r="L372" s="23" t="n"/>
      <c r="M372" s="23" t="n"/>
      <c r="N372" s="23" t="n"/>
      <c r="O372" s="23" t="n"/>
      <c r="P372" s="23" t="n"/>
      <c r="Q372" s="23" t="n"/>
      <c r="R372" s="23" t="n"/>
      <c r="S372" s="23" t="n"/>
      <c r="T372" s="23" t="n"/>
      <c r="U372" s="23" t="n"/>
      <c r="V372" s="23" t="n"/>
      <c r="W372" s="23" t="n"/>
      <c r="X372" s="23" t="n"/>
      <c r="Y372" s="23" t="n"/>
      <c r="Z372" s="23" t="n"/>
    </row>
    <row r="373" ht="15.75" customHeight="1" s="86">
      <c r="A373" s="23" t="n"/>
      <c r="B373" s="23" t="n"/>
      <c r="C373" s="23" t="n"/>
      <c r="D373" s="23" t="n"/>
      <c r="E373" s="23" t="n"/>
      <c r="F373" s="23" t="n"/>
      <c r="G373" s="23" t="n"/>
      <c r="H373" s="23" t="n"/>
      <c r="I373" s="23" t="n"/>
      <c r="J373" s="23" t="n"/>
      <c r="K373" s="23" t="n"/>
      <c r="L373" s="23" t="n"/>
      <c r="M373" s="23" t="n"/>
      <c r="N373" s="23" t="n"/>
      <c r="O373" s="23" t="n"/>
      <c r="P373" s="23" t="n"/>
      <c r="Q373" s="23" t="n"/>
      <c r="R373" s="23" t="n"/>
      <c r="S373" s="23" t="n"/>
      <c r="T373" s="23" t="n"/>
      <c r="U373" s="23" t="n"/>
      <c r="V373" s="23" t="n"/>
      <c r="W373" s="23" t="n"/>
      <c r="X373" s="23" t="n"/>
      <c r="Y373" s="23" t="n"/>
      <c r="Z373" s="23" t="n"/>
    </row>
    <row r="374" ht="15.75" customHeight="1" s="86">
      <c r="A374" s="23" t="n"/>
      <c r="B374" s="23" t="n"/>
      <c r="C374" s="23" t="n"/>
      <c r="D374" s="23" t="n"/>
      <c r="E374" s="23" t="n"/>
      <c r="F374" s="23" t="n"/>
      <c r="G374" s="23" t="n"/>
      <c r="H374" s="23" t="n"/>
      <c r="I374" s="23" t="n"/>
      <c r="J374" s="23" t="n"/>
      <c r="K374" s="23" t="n"/>
      <c r="L374" s="23" t="n"/>
      <c r="M374" s="23" t="n"/>
      <c r="N374" s="23" t="n"/>
      <c r="O374" s="23" t="n"/>
      <c r="P374" s="23" t="n"/>
      <c r="Q374" s="23" t="n"/>
      <c r="R374" s="23" t="n"/>
      <c r="S374" s="23" t="n"/>
      <c r="T374" s="23" t="n"/>
      <c r="U374" s="23" t="n"/>
      <c r="V374" s="23" t="n"/>
      <c r="W374" s="23" t="n"/>
      <c r="X374" s="23" t="n"/>
      <c r="Y374" s="23" t="n"/>
      <c r="Z374" s="23" t="n"/>
    </row>
    <row r="375" ht="15.75" customHeight="1" s="86">
      <c r="A375" s="23" t="n"/>
      <c r="B375" s="23" t="n"/>
      <c r="C375" s="23" t="n"/>
      <c r="D375" s="23" t="n"/>
      <c r="E375" s="23" t="n"/>
      <c r="F375" s="23" t="n"/>
      <c r="G375" s="23" t="n"/>
      <c r="H375" s="23" t="n"/>
      <c r="I375" s="23" t="n"/>
      <c r="J375" s="23" t="n"/>
      <c r="K375" s="23" t="n"/>
      <c r="L375" s="23" t="n"/>
      <c r="M375" s="23" t="n"/>
      <c r="N375" s="23" t="n"/>
      <c r="O375" s="23" t="n"/>
      <c r="P375" s="23" t="n"/>
      <c r="Q375" s="23" t="n"/>
      <c r="R375" s="23" t="n"/>
      <c r="S375" s="23" t="n"/>
      <c r="T375" s="23" t="n"/>
      <c r="U375" s="23" t="n"/>
      <c r="V375" s="23" t="n"/>
      <c r="W375" s="23" t="n"/>
      <c r="X375" s="23" t="n"/>
      <c r="Y375" s="23" t="n"/>
      <c r="Z375" s="23" t="n"/>
    </row>
    <row r="376" ht="15.75" customHeight="1" s="86">
      <c r="A376" s="23" t="n"/>
      <c r="B376" s="23" t="n"/>
      <c r="C376" s="23" t="n"/>
      <c r="D376" s="23" t="n"/>
      <c r="E376" s="23" t="n"/>
      <c r="F376" s="23" t="n"/>
      <c r="G376" s="23" t="n"/>
      <c r="H376" s="23" t="n"/>
      <c r="I376" s="23" t="n"/>
      <c r="J376" s="23" t="n"/>
      <c r="K376" s="23" t="n"/>
      <c r="L376" s="23" t="n"/>
      <c r="M376" s="23" t="n"/>
      <c r="N376" s="23" t="n"/>
      <c r="O376" s="23" t="n"/>
      <c r="P376" s="23" t="n"/>
      <c r="Q376" s="23" t="n"/>
      <c r="R376" s="23" t="n"/>
      <c r="S376" s="23" t="n"/>
      <c r="T376" s="23" t="n"/>
      <c r="U376" s="23" t="n"/>
      <c r="V376" s="23" t="n"/>
      <c r="W376" s="23" t="n"/>
      <c r="X376" s="23" t="n"/>
      <c r="Y376" s="23" t="n"/>
      <c r="Z376" s="23" t="n"/>
    </row>
    <row r="377" ht="15.75" customHeight="1" s="86">
      <c r="A377" s="23" t="n"/>
      <c r="B377" s="23" t="n"/>
      <c r="C377" s="23" t="n"/>
      <c r="D377" s="23" t="n"/>
      <c r="E377" s="23" t="n"/>
      <c r="F377" s="23" t="n"/>
      <c r="G377" s="23" t="n"/>
      <c r="H377" s="23" t="n"/>
      <c r="I377" s="23" t="n"/>
      <c r="J377" s="23" t="n"/>
      <c r="K377" s="23" t="n"/>
      <c r="L377" s="23" t="n"/>
      <c r="M377" s="23" t="n"/>
      <c r="N377" s="23" t="n"/>
      <c r="O377" s="23" t="n"/>
      <c r="P377" s="23" t="n"/>
      <c r="Q377" s="23" t="n"/>
      <c r="R377" s="23" t="n"/>
      <c r="S377" s="23" t="n"/>
      <c r="T377" s="23" t="n"/>
      <c r="U377" s="23" t="n"/>
      <c r="V377" s="23" t="n"/>
      <c r="W377" s="23" t="n"/>
      <c r="X377" s="23" t="n"/>
      <c r="Y377" s="23" t="n"/>
      <c r="Z377" s="23" t="n"/>
    </row>
    <row r="378" ht="15.75" customHeight="1" s="86">
      <c r="A378" s="23" t="n"/>
      <c r="B378" s="23" t="n"/>
      <c r="C378" s="23" t="n"/>
      <c r="D378" s="23" t="n"/>
      <c r="E378" s="23" t="n"/>
      <c r="F378" s="23" t="n"/>
      <c r="G378" s="23" t="n"/>
      <c r="H378" s="23" t="n"/>
      <c r="I378" s="23" t="n"/>
      <c r="J378" s="23" t="n"/>
      <c r="K378" s="23" t="n"/>
      <c r="L378" s="23" t="n"/>
      <c r="M378" s="23" t="n"/>
      <c r="N378" s="23" t="n"/>
      <c r="O378" s="23" t="n"/>
      <c r="P378" s="23" t="n"/>
      <c r="Q378" s="23" t="n"/>
      <c r="R378" s="23" t="n"/>
      <c r="S378" s="23" t="n"/>
      <c r="T378" s="23" t="n"/>
      <c r="U378" s="23" t="n"/>
      <c r="V378" s="23" t="n"/>
      <c r="W378" s="23" t="n"/>
      <c r="X378" s="23" t="n"/>
      <c r="Y378" s="23" t="n"/>
      <c r="Z378" s="23" t="n"/>
    </row>
    <row r="379" ht="15.75" customHeight="1" s="86">
      <c r="A379" s="23" t="n"/>
      <c r="B379" s="23" t="n"/>
      <c r="C379" s="23" t="n"/>
      <c r="D379" s="23" t="n"/>
      <c r="E379" s="23" t="n"/>
      <c r="F379" s="23" t="n"/>
      <c r="G379" s="23" t="n"/>
      <c r="H379" s="23" t="n"/>
      <c r="I379" s="23" t="n"/>
      <c r="J379" s="23" t="n"/>
      <c r="K379" s="23" t="n"/>
      <c r="L379" s="23" t="n"/>
      <c r="M379" s="23" t="n"/>
      <c r="N379" s="23" t="n"/>
      <c r="O379" s="23" t="n"/>
      <c r="P379" s="23" t="n"/>
      <c r="Q379" s="23" t="n"/>
      <c r="R379" s="23" t="n"/>
      <c r="S379" s="23" t="n"/>
      <c r="T379" s="23" t="n"/>
      <c r="U379" s="23" t="n"/>
      <c r="V379" s="23" t="n"/>
      <c r="W379" s="23" t="n"/>
      <c r="X379" s="23" t="n"/>
      <c r="Y379" s="23" t="n"/>
      <c r="Z379" s="23" t="n"/>
    </row>
    <row r="380" ht="15.75" customHeight="1" s="86">
      <c r="A380" s="23" t="n"/>
      <c r="B380" s="23" t="n"/>
      <c r="C380" s="23" t="n"/>
      <c r="D380" s="23" t="n"/>
      <c r="E380" s="23" t="n"/>
      <c r="F380" s="23" t="n"/>
      <c r="G380" s="23" t="n"/>
      <c r="H380" s="23" t="n"/>
      <c r="I380" s="23" t="n"/>
      <c r="J380" s="23" t="n"/>
      <c r="K380" s="23" t="n"/>
      <c r="L380" s="23" t="n"/>
      <c r="M380" s="23" t="n"/>
      <c r="N380" s="23" t="n"/>
      <c r="O380" s="23" t="n"/>
      <c r="P380" s="23" t="n"/>
      <c r="Q380" s="23" t="n"/>
      <c r="R380" s="23" t="n"/>
      <c r="S380" s="23" t="n"/>
      <c r="T380" s="23" t="n"/>
      <c r="U380" s="23" t="n"/>
      <c r="V380" s="23" t="n"/>
      <c r="W380" s="23" t="n"/>
      <c r="X380" s="23" t="n"/>
      <c r="Y380" s="23" t="n"/>
      <c r="Z380" s="23" t="n"/>
    </row>
    <row r="381" ht="15.75" customHeight="1" s="86">
      <c r="A381" s="23" t="n"/>
      <c r="B381" s="23" t="n"/>
      <c r="C381" s="23" t="n"/>
      <c r="D381" s="23" t="n"/>
      <c r="E381" s="23" t="n"/>
      <c r="F381" s="23" t="n"/>
      <c r="G381" s="23" t="n"/>
      <c r="H381" s="23" t="n"/>
      <c r="I381" s="23" t="n"/>
      <c r="J381" s="23" t="n"/>
      <c r="K381" s="23" t="n"/>
      <c r="L381" s="23" t="n"/>
      <c r="M381" s="23" t="n"/>
      <c r="N381" s="23" t="n"/>
      <c r="O381" s="23" t="n"/>
      <c r="P381" s="23" t="n"/>
      <c r="Q381" s="23" t="n"/>
      <c r="R381" s="23" t="n"/>
      <c r="S381" s="23" t="n"/>
      <c r="T381" s="23" t="n"/>
      <c r="U381" s="23" t="n"/>
      <c r="V381" s="23" t="n"/>
      <c r="W381" s="23" t="n"/>
      <c r="X381" s="23" t="n"/>
      <c r="Y381" s="23" t="n"/>
      <c r="Z381" s="23" t="n"/>
    </row>
    <row r="382" ht="15.75" customHeight="1" s="86">
      <c r="A382" s="23" t="n"/>
      <c r="B382" s="23" t="n"/>
      <c r="C382" s="23" t="n"/>
      <c r="D382" s="23" t="n"/>
      <c r="E382" s="23" t="n"/>
      <c r="F382" s="23" t="n"/>
      <c r="G382" s="23" t="n"/>
      <c r="H382" s="23" t="n"/>
      <c r="I382" s="23" t="n"/>
      <c r="J382" s="23" t="n"/>
      <c r="K382" s="23" t="n"/>
      <c r="L382" s="23" t="n"/>
      <c r="M382" s="23" t="n"/>
      <c r="N382" s="23" t="n"/>
      <c r="O382" s="23" t="n"/>
      <c r="P382" s="23" t="n"/>
      <c r="Q382" s="23" t="n"/>
      <c r="R382" s="23" t="n"/>
      <c r="S382" s="23" t="n"/>
      <c r="T382" s="23" t="n"/>
      <c r="U382" s="23" t="n"/>
      <c r="V382" s="23" t="n"/>
      <c r="W382" s="23" t="n"/>
      <c r="X382" s="23" t="n"/>
      <c r="Y382" s="23" t="n"/>
      <c r="Z382" s="23" t="n"/>
    </row>
    <row r="383" ht="15.75" customHeight="1" s="86">
      <c r="A383" s="23" t="n"/>
      <c r="B383" s="23" t="n"/>
      <c r="C383" s="23" t="n"/>
      <c r="D383" s="23" t="n"/>
      <c r="E383" s="23" t="n"/>
      <c r="F383" s="23" t="n"/>
      <c r="G383" s="23" t="n"/>
      <c r="H383" s="23" t="n"/>
      <c r="I383" s="23" t="n"/>
      <c r="J383" s="23" t="n"/>
      <c r="K383" s="23" t="n"/>
      <c r="L383" s="23" t="n"/>
      <c r="M383" s="23" t="n"/>
      <c r="N383" s="23" t="n"/>
      <c r="O383" s="23" t="n"/>
      <c r="P383" s="23" t="n"/>
      <c r="Q383" s="23" t="n"/>
      <c r="R383" s="23" t="n"/>
      <c r="S383" s="23" t="n"/>
      <c r="T383" s="23" t="n"/>
      <c r="U383" s="23" t="n"/>
      <c r="V383" s="23" t="n"/>
      <c r="W383" s="23" t="n"/>
      <c r="X383" s="23" t="n"/>
      <c r="Y383" s="23" t="n"/>
      <c r="Z383" s="23" t="n"/>
    </row>
    <row r="384" ht="15.75" customHeight="1" s="86">
      <c r="A384" s="23" t="n"/>
      <c r="B384" s="23" t="n"/>
      <c r="C384" s="23" t="n"/>
      <c r="D384" s="23" t="n"/>
      <c r="E384" s="23" t="n"/>
      <c r="F384" s="23" t="n"/>
      <c r="G384" s="23" t="n"/>
      <c r="H384" s="23" t="n"/>
      <c r="I384" s="23" t="n"/>
      <c r="J384" s="23" t="n"/>
      <c r="K384" s="23" t="n"/>
      <c r="L384" s="23" t="n"/>
      <c r="M384" s="23" t="n"/>
      <c r="N384" s="23" t="n"/>
      <c r="O384" s="23" t="n"/>
      <c r="P384" s="23" t="n"/>
      <c r="Q384" s="23" t="n"/>
      <c r="R384" s="23" t="n"/>
      <c r="S384" s="23" t="n"/>
      <c r="T384" s="23" t="n"/>
      <c r="U384" s="23" t="n"/>
      <c r="V384" s="23" t="n"/>
      <c r="W384" s="23" t="n"/>
      <c r="X384" s="23" t="n"/>
      <c r="Y384" s="23" t="n"/>
      <c r="Z384" s="23" t="n"/>
    </row>
    <row r="385" ht="15.75" customHeight="1" s="86">
      <c r="A385" s="23" t="n"/>
      <c r="B385" s="23" t="n"/>
      <c r="C385" s="23" t="n"/>
      <c r="D385" s="23" t="n"/>
      <c r="E385" s="23" t="n"/>
      <c r="F385" s="23" t="n"/>
      <c r="G385" s="23" t="n"/>
      <c r="H385" s="23" t="n"/>
      <c r="I385" s="23" t="n"/>
      <c r="J385" s="23" t="n"/>
      <c r="K385" s="23" t="n"/>
      <c r="L385" s="23" t="n"/>
      <c r="M385" s="23" t="n"/>
      <c r="N385" s="23" t="n"/>
      <c r="O385" s="23" t="n"/>
      <c r="P385" s="23" t="n"/>
      <c r="Q385" s="23" t="n"/>
      <c r="R385" s="23" t="n"/>
      <c r="S385" s="23" t="n"/>
      <c r="T385" s="23" t="n"/>
      <c r="U385" s="23" t="n"/>
      <c r="V385" s="23" t="n"/>
      <c r="W385" s="23" t="n"/>
      <c r="X385" s="23" t="n"/>
      <c r="Y385" s="23" t="n"/>
      <c r="Z385" s="23" t="n"/>
    </row>
    <row r="386" ht="15.75" customHeight="1" s="86">
      <c r="A386" s="23" t="n"/>
      <c r="B386" s="23" t="n"/>
      <c r="C386" s="23" t="n"/>
      <c r="D386" s="23" t="n"/>
      <c r="E386" s="23" t="n"/>
      <c r="F386" s="23" t="n"/>
      <c r="G386" s="23" t="n"/>
      <c r="H386" s="23" t="n"/>
      <c r="I386" s="23" t="n"/>
      <c r="J386" s="23" t="n"/>
      <c r="K386" s="23" t="n"/>
      <c r="L386" s="23" t="n"/>
      <c r="M386" s="23" t="n"/>
      <c r="N386" s="23" t="n"/>
      <c r="O386" s="23" t="n"/>
      <c r="P386" s="23" t="n"/>
      <c r="Q386" s="23" t="n"/>
      <c r="R386" s="23" t="n"/>
      <c r="S386" s="23" t="n"/>
      <c r="T386" s="23" t="n"/>
      <c r="U386" s="23" t="n"/>
      <c r="V386" s="23" t="n"/>
      <c r="W386" s="23" t="n"/>
      <c r="X386" s="23" t="n"/>
      <c r="Y386" s="23" t="n"/>
      <c r="Z386" s="23" t="n"/>
    </row>
    <row r="387" ht="15.75" customHeight="1" s="86">
      <c r="A387" s="23" t="n"/>
      <c r="B387" s="23" t="n"/>
      <c r="C387" s="23" t="n"/>
      <c r="D387" s="23" t="n"/>
      <c r="E387" s="23" t="n"/>
      <c r="F387" s="23" t="n"/>
      <c r="G387" s="23" t="n"/>
      <c r="H387" s="23" t="n"/>
      <c r="I387" s="23" t="n"/>
      <c r="J387" s="23" t="n"/>
      <c r="K387" s="23" t="n"/>
      <c r="L387" s="23" t="n"/>
      <c r="M387" s="23" t="n"/>
      <c r="N387" s="23" t="n"/>
      <c r="O387" s="23" t="n"/>
      <c r="P387" s="23" t="n"/>
      <c r="Q387" s="23" t="n"/>
      <c r="R387" s="23" t="n"/>
      <c r="S387" s="23" t="n"/>
      <c r="T387" s="23" t="n"/>
      <c r="U387" s="23" t="n"/>
      <c r="V387" s="23" t="n"/>
      <c r="W387" s="23" t="n"/>
      <c r="X387" s="23" t="n"/>
      <c r="Y387" s="23" t="n"/>
      <c r="Z387" s="23" t="n"/>
    </row>
    <row r="388" ht="15.75" customHeight="1" s="86">
      <c r="A388" s="23" t="n"/>
      <c r="B388" s="23" t="n"/>
      <c r="C388" s="23" t="n"/>
      <c r="D388" s="23" t="n"/>
      <c r="E388" s="23" t="n"/>
      <c r="F388" s="23" t="n"/>
      <c r="G388" s="23" t="n"/>
      <c r="H388" s="23" t="n"/>
      <c r="I388" s="23" t="n"/>
      <c r="J388" s="23" t="n"/>
      <c r="K388" s="23" t="n"/>
      <c r="L388" s="23" t="n"/>
      <c r="M388" s="23" t="n"/>
      <c r="N388" s="23" t="n"/>
      <c r="O388" s="23" t="n"/>
      <c r="P388" s="23" t="n"/>
      <c r="Q388" s="23" t="n"/>
      <c r="R388" s="23" t="n"/>
      <c r="S388" s="23" t="n"/>
      <c r="T388" s="23" t="n"/>
      <c r="U388" s="23" t="n"/>
      <c r="V388" s="23" t="n"/>
      <c r="W388" s="23" t="n"/>
      <c r="X388" s="23" t="n"/>
      <c r="Y388" s="23" t="n"/>
      <c r="Z388" s="23" t="n"/>
    </row>
    <row r="389" ht="15.75" customHeight="1" s="86">
      <c r="A389" s="23" t="n"/>
      <c r="B389" s="23" t="n"/>
      <c r="C389" s="23" t="n"/>
      <c r="D389" s="23" t="n"/>
      <c r="E389" s="23" t="n"/>
      <c r="F389" s="23" t="n"/>
      <c r="G389" s="23" t="n"/>
      <c r="H389" s="23" t="n"/>
      <c r="I389" s="23" t="n"/>
      <c r="J389" s="23" t="n"/>
      <c r="K389" s="23" t="n"/>
      <c r="L389" s="23" t="n"/>
      <c r="M389" s="23" t="n"/>
      <c r="N389" s="23" t="n"/>
      <c r="O389" s="23" t="n"/>
      <c r="P389" s="23" t="n"/>
      <c r="Q389" s="23" t="n"/>
      <c r="R389" s="23" t="n"/>
      <c r="S389" s="23" t="n"/>
      <c r="T389" s="23" t="n"/>
      <c r="U389" s="23" t="n"/>
      <c r="V389" s="23" t="n"/>
      <c r="W389" s="23" t="n"/>
      <c r="X389" s="23" t="n"/>
      <c r="Y389" s="23" t="n"/>
      <c r="Z389" s="23" t="n"/>
    </row>
    <row r="390" ht="15.75" customHeight="1" s="86">
      <c r="A390" s="23" t="n"/>
      <c r="B390" s="23" t="n"/>
      <c r="C390" s="23" t="n"/>
      <c r="D390" s="23" t="n"/>
      <c r="E390" s="23" t="n"/>
      <c r="F390" s="23" t="n"/>
      <c r="G390" s="23" t="n"/>
      <c r="H390" s="23" t="n"/>
      <c r="I390" s="23" t="n"/>
      <c r="J390" s="23" t="n"/>
      <c r="K390" s="23" t="n"/>
      <c r="L390" s="23" t="n"/>
      <c r="M390" s="23" t="n"/>
      <c r="N390" s="23" t="n"/>
      <c r="O390" s="23" t="n"/>
      <c r="P390" s="23" t="n"/>
      <c r="Q390" s="23" t="n"/>
      <c r="R390" s="23" t="n"/>
      <c r="S390" s="23" t="n"/>
      <c r="T390" s="23" t="n"/>
      <c r="U390" s="23" t="n"/>
      <c r="V390" s="23" t="n"/>
      <c r="W390" s="23" t="n"/>
      <c r="X390" s="23" t="n"/>
      <c r="Y390" s="23" t="n"/>
      <c r="Z390" s="23" t="n"/>
    </row>
    <row r="391" ht="15.75" customHeight="1" s="86">
      <c r="A391" s="23" t="n"/>
      <c r="B391" s="23" t="n"/>
      <c r="C391" s="23" t="n"/>
      <c r="D391" s="23" t="n"/>
      <c r="E391" s="23" t="n"/>
      <c r="F391" s="23" t="n"/>
      <c r="G391" s="23" t="n"/>
      <c r="H391" s="23" t="n"/>
      <c r="I391" s="23" t="n"/>
      <c r="J391" s="23" t="n"/>
      <c r="K391" s="23" t="n"/>
      <c r="L391" s="23" t="n"/>
      <c r="M391" s="23" t="n"/>
      <c r="N391" s="23" t="n"/>
      <c r="O391" s="23" t="n"/>
      <c r="P391" s="23" t="n"/>
      <c r="Q391" s="23" t="n"/>
      <c r="R391" s="23" t="n"/>
      <c r="S391" s="23" t="n"/>
      <c r="T391" s="23" t="n"/>
      <c r="U391" s="23" t="n"/>
      <c r="V391" s="23" t="n"/>
      <c r="W391" s="23" t="n"/>
      <c r="X391" s="23" t="n"/>
      <c r="Y391" s="23" t="n"/>
      <c r="Z391" s="23" t="n"/>
    </row>
    <row r="392" ht="15.75" customHeight="1" s="86">
      <c r="A392" s="23" t="n"/>
      <c r="B392" s="23" t="n"/>
      <c r="C392" s="23" t="n"/>
      <c r="D392" s="23" t="n"/>
      <c r="E392" s="23" t="n"/>
      <c r="F392" s="23" t="n"/>
      <c r="G392" s="23" t="n"/>
      <c r="H392" s="23" t="n"/>
      <c r="I392" s="23" t="n"/>
      <c r="J392" s="23" t="n"/>
      <c r="K392" s="23" t="n"/>
      <c r="L392" s="23" t="n"/>
      <c r="M392" s="23" t="n"/>
      <c r="N392" s="23" t="n"/>
      <c r="O392" s="23" t="n"/>
      <c r="P392" s="23" t="n"/>
      <c r="Q392" s="23" t="n"/>
      <c r="R392" s="23" t="n"/>
      <c r="S392" s="23" t="n"/>
      <c r="T392" s="23" t="n"/>
      <c r="U392" s="23" t="n"/>
      <c r="V392" s="23" t="n"/>
      <c r="W392" s="23" t="n"/>
      <c r="X392" s="23" t="n"/>
      <c r="Y392" s="23" t="n"/>
      <c r="Z392" s="23" t="n"/>
    </row>
    <row r="393" ht="15.75" customHeight="1" s="86">
      <c r="A393" s="23" t="n"/>
      <c r="B393" s="23" t="n"/>
      <c r="C393" s="23" t="n"/>
      <c r="D393" s="23" t="n"/>
      <c r="E393" s="23" t="n"/>
      <c r="F393" s="23" t="n"/>
      <c r="G393" s="23" t="n"/>
      <c r="H393" s="23" t="n"/>
      <c r="I393" s="23" t="n"/>
      <c r="J393" s="23" t="n"/>
      <c r="K393" s="23" t="n"/>
      <c r="L393" s="23" t="n"/>
      <c r="M393" s="23" t="n"/>
      <c r="N393" s="23" t="n"/>
      <c r="O393" s="23" t="n"/>
      <c r="P393" s="23" t="n"/>
      <c r="Q393" s="23" t="n"/>
      <c r="R393" s="23" t="n"/>
      <c r="S393" s="23" t="n"/>
      <c r="T393" s="23" t="n"/>
      <c r="U393" s="23" t="n"/>
      <c r="V393" s="23" t="n"/>
      <c r="W393" s="23" t="n"/>
      <c r="X393" s="23" t="n"/>
      <c r="Y393" s="23" t="n"/>
      <c r="Z393" s="23" t="n"/>
    </row>
    <row r="394" ht="15.75" customHeight="1" s="86">
      <c r="A394" s="23" t="n"/>
      <c r="B394" s="23" t="n"/>
      <c r="C394" s="23" t="n"/>
      <c r="D394" s="23" t="n"/>
      <c r="E394" s="23" t="n"/>
      <c r="F394" s="23" t="n"/>
      <c r="G394" s="23" t="n"/>
      <c r="H394" s="23" t="n"/>
      <c r="I394" s="23" t="n"/>
      <c r="J394" s="23" t="n"/>
      <c r="K394" s="23" t="n"/>
      <c r="L394" s="23" t="n"/>
      <c r="M394" s="23" t="n"/>
      <c r="N394" s="23" t="n"/>
      <c r="O394" s="23" t="n"/>
      <c r="P394" s="23" t="n"/>
      <c r="Q394" s="23" t="n"/>
      <c r="R394" s="23" t="n"/>
      <c r="S394" s="23" t="n"/>
      <c r="T394" s="23" t="n"/>
      <c r="U394" s="23" t="n"/>
      <c r="V394" s="23" t="n"/>
      <c r="W394" s="23" t="n"/>
      <c r="X394" s="23" t="n"/>
      <c r="Y394" s="23" t="n"/>
      <c r="Z394" s="23" t="n"/>
    </row>
    <row r="395" ht="15.75" customHeight="1" s="86">
      <c r="A395" s="23" t="n"/>
      <c r="B395" s="23" t="n"/>
      <c r="C395" s="23" t="n"/>
      <c r="D395" s="23" t="n"/>
      <c r="E395" s="23" t="n"/>
      <c r="F395" s="23" t="n"/>
      <c r="G395" s="23" t="n"/>
      <c r="H395" s="23" t="n"/>
      <c r="I395" s="23" t="n"/>
      <c r="J395" s="23" t="n"/>
      <c r="K395" s="23" t="n"/>
      <c r="L395" s="23" t="n"/>
      <c r="M395" s="23" t="n"/>
      <c r="N395" s="23" t="n"/>
      <c r="O395" s="23" t="n"/>
      <c r="P395" s="23" t="n"/>
      <c r="Q395" s="23" t="n"/>
      <c r="R395" s="23" t="n"/>
      <c r="S395" s="23" t="n"/>
      <c r="T395" s="23" t="n"/>
      <c r="U395" s="23" t="n"/>
      <c r="V395" s="23" t="n"/>
      <c r="W395" s="23" t="n"/>
      <c r="X395" s="23" t="n"/>
      <c r="Y395" s="23" t="n"/>
      <c r="Z395" s="23" t="n"/>
    </row>
    <row r="396" ht="15.75" customHeight="1" s="86">
      <c r="A396" s="23" t="n"/>
      <c r="B396" s="23" t="n"/>
      <c r="C396" s="23" t="n"/>
      <c r="D396" s="23" t="n"/>
      <c r="E396" s="23" t="n"/>
      <c r="F396" s="23" t="n"/>
      <c r="G396" s="23" t="n"/>
      <c r="H396" s="23" t="n"/>
      <c r="I396" s="23" t="n"/>
      <c r="J396" s="23" t="n"/>
      <c r="K396" s="23" t="n"/>
      <c r="L396" s="23" t="n"/>
      <c r="M396" s="23" t="n"/>
      <c r="N396" s="23" t="n"/>
      <c r="O396" s="23" t="n"/>
      <c r="P396" s="23" t="n"/>
      <c r="Q396" s="23" t="n"/>
      <c r="R396" s="23" t="n"/>
      <c r="S396" s="23" t="n"/>
      <c r="T396" s="23" t="n"/>
      <c r="U396" s="23" t="n"/>
      <c r="V396" s="23" t="n"/>
      <c r="W396" s="23" t="n"/>
      <c r="X396" s="23" t="n"/>
      <c r="Y396" s="23" t="n"/>
      <c r="Z396" s="23" t="n"/>
    </row>
    <row r="397" ht="15.75" customHeight="1" s="86">
      <c r="A397" s="23" t="n"/>
      <c r="B397" s="23" t="n"/>
      <c r="C397" s="23" t="n"/>
      <c r="D397" s="23" t="n"/>
      <c r="E397" s="23" t="n"/>
      <c r="F397" s="23" t="n"/>
      <c r="G397" s="23" t="n"/>
      <c r="H397" s="23" t="n"/>
      <c r="I397" s="23" t="n"/>
      <c r="J397" s="23" t="n"/>
      <c r="K397" s="23" t="n"/>
      <c r="L397" s="23" t="n"/>
      <c r="M397" s="23" t="n"/>
      <c r="N397" s="23" t="n"/>
      <c r="O397" s="23" t="n"/>
      <c r="P397" s="23" t="n"/>
      <c r="Q397" s="23" t="n"/>
      <c r="R397" s="23" t="n"/>
      <c r="S397" s="23" t="n"/>
      <c r="T397" s="23" t="n"/>
      <c r="U397" s="23" t="n"/>
      <c r="V397" s="23" t="n"/>
      <c r="W397" s="23" t="n"/>
      <c r="X397" s="23" t="n"/>
      <c r="Y397" s="23" t="n"/>
      <c r="Z397" s="23" t="n"/>
    </row>
    <row r="398" ht="15.75" customHeight="1" s="86">
      <c r="A398" s="23" t="n"/>
      <c r="B398" s="23" t="n"/>
      <c r="C398" s="23" t="n"/>
      <c r="D398" s="23" t="n"/>
      <c r="E398" s="23" t="n"/>
      <c r="F398" s="23" t="n"/>
      <c r="G398" s="23" t="n"/>
      <c r="H398" s="23" t="n"/>
      <c r="I398" s="23" t="n"/>
      <c r="J398" s="23" t="n"/>
      <c r="K398" s="23" t="n"/>
      <c r="L398" s="23" t="n"/>
      <c r="M398" s="23" t="n"/>
      <c r="N398" s="23" t="n"/>
      <c r="O398" s="23" t="n"/>
      <c r="P398" s="23" t="n"/>
      <c r="Q398" s="23" t="n"/>
      <c r="R398" s="23" t="n"/>
      <c r="S398" s="23" t="n"/>
      <c r="T398" s="23" t="n"/>
      <c r="U398" s="23" t="n"/>
      <c r="V398" s="23" t="n"/>
      <c r="W398" s="23" t="n"/>
      <c r="X398" s="23" t="n"/>
      <c r="Y398" s="23" t="n"/>
      <c r="Z398" s="23" t="n"/>
    </row>
    <row r="399" ht="15.75" customHeight="1" s="86">
      <c r="A399" s="23" t="n"/>
      <c r="B399" s="23" t="n"/>
      <c r="C399" s="23" t="n"/>
      <c r="D399" s="23" t="n"/>
      <c r="E399" s="23" t="n"/>
      <c r="F399" s="23" t="n"/>
      <c r="G399" s="23" t="n"/>
      <c r="H399" s="23" t="n"/>
      <c r="I399" s="23" t="n"/>
      <c r="J399" s="23" t="n"/>
      <c r="K399" s="23" t="n"/>
      <c r="L399" s="23" t="n"/>
      <c r="M399" s="23" t="n"/>
      <c r="N399" s="23" t="n"/>
      <c r="O399" s="23" t="n"/>
      <c r="P399" s="23" t="n"/>
      <c r="Q399" s="23" t="n"/>
      <c r="R399" s="23" t="n"/>
      <c r="S399" s="23" t="n"/>
      <c r="T399" s="23" t="n"/>
      <c r="U399" s="23" t="n"/>
      <c r="V399" s="23" t="n"/>
      <c r="W399" s="23" t="n"/>
      <c r="X399" s="23" t="n"/>
      <c r="Y399" s="23" t="n"/>
      <c r="Z399" s="23" t="n"/>
    </row>
    <row r="400" ht="15.75" customHeight="1" s="86">
      <c r="A400" s="23" t="n"/>
      <c r="B400" s="23" t="n"/>
      <c r="C400" s="23" t="n"/>
      <c r="D400" s="23" t="n"/>
      <c r="E400" s="23" t="n"/>
      <c r="F400" s="23" t="n"/>
      <c r="G400" s="23" t="n"/>
      <c r="H400" s="23" t="n"/>
      <c r="I400" s="23" t="n"/>
      <c r="J400" s="23" t="n"/>
      <c r="K400" s="23" t="n"/>
      <c r="L400" s="23" t="n"/>
      <c r="M400" s="23" t="n"/>
      <c r="N400" s="23" t="n"/>
      <c r="O400" s="23" t="n"/>
      <c r="P400" s="23" t="n"/>
      <c r="Q400" s="23" t="n"/>
      <c r="R400" s="23" t="n"/>
      <c r="S400" s="23" t="n"/>
      <c r="T400" s="23" t="n"/>
      <c r="U400" s="23" t="n"/>
      <c r="V400" s="23" t="n"/>
      <c r="W400" s="23" t="n"/>
      <c r="X400" s="23" t="n"/>
      <c r="Y400" s="23" t="n"/>
      <c r="Z400" s="23" t="n"/>
    </row>
    <row r="401" ht="15.75" customHeight="1" s="86">
      <c r="A401" s="23" t="n"/>
      <c r="B401" s="23" t="n"/>
      <c r="C401" s="23" t="n"/>
      <c r="D401" s="23" t="n"/>
      <c r="E401" s="23" t="n"/>
      <c r="F401" s="23" t="n"/>
      <c r="G401" s="23" t="n"/>
      <c r="H401" s="23" t="n"/>
      <c r="I401" s="23" t="n"/>
      <c r="J401" s="23" t="n"/>
      <c r="K401" s="23" t="n"/>
      <c r="L401" s="23" t="n"/>
      <c r="M401" s="23" t="n"/>
      <c r="N401" s="23" t="n"/>
      <c r="O401" s="23" t="n"/>
      <c r="P401" s="23" t="n"/>
      <c r="Q401" s="23" t="n"/>
      <c r="R401" s="23" t="n"/>
      <c r="S401" s="23" t="n"/>
      <c r="T401" s="23" t="n"/>
      <c r="U401" s="23" t="n"/>
      <c r="V401" s="23" t="n"/>
      <c r="W401" s="23" t="n"/>
      <c r="X401" s="23" t="n"/>
      <c r="Y401" s="23" t="n"/>
      <c r="Z401" s="23" t="n"/>
    </row>
    <row r="402" ht="15.75" customHeight="1" s="86">
      <c r="A402" s="23" t="n"/>
      <c r="B402" s="23" t="n"/>
      <c r="C402" s="23" t="n"/>
      <c r="D402" s="23" t="n"/>
      <c r="E402" s="23" t="n"/>
      <c r="F402" s="23" t="n"/>
      <c r="G402" s="23" t="n"/>
      <c r="H402" s="23" t="n"/>
      <c r="I402" s="23" t="n"/>
      <c r="J402" s="23" t="n"/>
      <c r="K402" s="23" t="n"/>
      <c r="L402" s="23" t="n"/>
      <c r="M402" s="23" t="n"/>
      <c r="N402" s="23" t="n"/>
      <c r="O402" s="23" t="n"/>
      <c r="P402" s="23" t="n"/>
      <c r="Q402" s="23" t="n"/>
      <c r="R402" s="23" t="n"/>
      <c r="S402" s="23" t="n"/>
      <c r="T402" s="23" t="n"/>
      <c r="U402" s="23" t="n"/>
      <c r="V402" s="23" t="n"/>
      <c r="W402" s="23" t="n"/>
      <c r="X402" s="23" t="n"/>
      <c r="Y402" s="23" t="n"/>
      <c r="Z402" s="23" t="n"/>
    </row>
    <row r="403" ht="15.75" customHeight="1" s="86">
      <c r="A403" s="23" t="n"/>
      <c r="B403" s="23" t="n"/>
      <c r="C403" s="23" t="n"/>
      <c r="D403" s="23" t="n"/>
      <c r="E403" s="23" t="n"/>
      <c r="F403" s="23" t="n"/>
      <c r="G403" s="23" t="n"/>
      <c r="H403" s="23" t="n"/>
      <c r="I403" s="23" t="n"/>
      <c r="J403" s="23" t="n"/>
      <c r="K403" s="23" t="n"/>
      <c r="L403" s="23" t="n"/>
      <c r="M403" s="23" t="n"/>
      <c r="N403" s="23" t="n"/>
      <c r="O403" s="23" t="n"/>
      <c r="P403" s="23" t="n"/>
      <c r="Q403" s="23" t="n"/>
      <c r="R403" s="23" t="n"/>
      <c r="S403" s="23" t="n"/>
      <c r="T403" s="23" t="n"/>
      <c r="U403" s="23" t="n"/>
      <c r="V403" s="23" t="n"/>
      <c r="W403" s="23" t="n"/>
      <c r="X403" s="23" t="n"/>
      <c r="Y403" s="23" t="n"/>
      <c r="Z403" s="23" t="n"/>
    </row>
    <row r="404" ht="15.75" customHeight="1" s="86">
      <c r="A404" s="23" t="n"/>
      <c r="B404" s="23" t="n"/>
      <c r="C404" s="23" t="n"/>
      <c r="D404" s="23" t="n"/>
      <c r="E404" s="23" t="n"/>
      <c r="F404" s="23" t="n"/>
      <c r="G404" s="23" t="n"/>
      <c r="H404" s="23" t="n"/>
      <c r="I404" s="23" t="n"/>
      <c r="J404" s="23" t="n"/>
      <c r="K404" s="23" t="n"/>
      <c r="L404" s="23" t="n"/>
      <c r="M404" s="23" t="n"/>
      <c r="N404" s="23" t="n"/>
      <c r="O404" s="23" t="n"/>
      <c r="P404" s="23" t="n"/>
      <c r="Q404" s="23" t="n"/>
      <c r="R404" s="23" t="n"/>
      <c r="S404" s="23" t="n"/>
      <c r="T404" s="23" t="n"/>
      <c r="U404" s="23" t="n"/>
      <c r="V404" s="23" t="n"/>
      <c r="W404" s="23" t="n"/>
      <c r="X404" s="23" t="n"/>
      <c r="Y404" s="23" t="n"/>
      <c r="Z404" s="23" t="n"/>
    </row>
    <row r="405" ht="15.75" customHeight="1" s="86">
      <c r="A405" s="23" t="n"/>
      <c r="B405" s="23" t="n"/>
      <c r="C405" s="23" t="n"/>
      <c r="D405" s="23" t="n"/>
      <c r="E405" s="23" t="n"/>
      <c r="F405" s="23" t="n"/>
      <c r="G405" s="23" t="n"/>
      <c r="H405" s="23" t="n"/>
      <c r="I405" s="23" t="n"/>
      <c r="J405" s="23" t="n"/>
      <c r="K405" s="23" t="n"/>
      <c r="L405" s="23" t="n"/>
      <c r="M405" s="23" t="n"/>
      <c r="N405" s="23" t="n"/>
      <c r="O405" s="23" t="n"/>
      <c r="P405" s="23" t="n"/>
      <c r="Q405" s="23" t="n"/>
      <c r="R405" s="23" t="n"/>
      <c r="S405" s="23" t="n"/>
      <c r="T405" s="23" t="n"/>
      <c r="U405" s="23" t="n"/>
      <c r="V405" s="23" t="n"/>
      <c r="W405" s="23" t="n"/>
      <c r="X405" s="23" t="n"/>
      <c r="Y405" s="23" t="n"/>
      <c r="Z405" s="23" t="n"/>
    </row>
    <row r="406" ht="15.75" customHeight="1" s="86">
      <c r="A406" s="23" t="n"/>
      <c r="B406" s="23" t="n"/>
      <c r="C406" s="23" t="n"/>
      <c r="D406" s="23" t="n"/>
      <c r="E406" s="23" t="n"/>
      <c r="F406" s="23" t="n"/>
      <c r="G406" s="23" t="n"/>
      <c r="H406" s="23" t="n"/>
      <c r="I406" s="23" t="n"/>
      <c r="J406" s="23" t="n"/>
      <c r="K406" s="23" t="n"/>
      <c r="L406" s="23" t="n"/>
      <c r="M406" s="23" t="n"/>
      <c r="N406" s="23" t="n"/>
      <c r="O406" s="23" t="n"/>
      <c r="P406" s="23" t="n"/>
      <c r="Q406" s="23" t="n"/>
      <c r="R406" s="23" t="n"/>
      <c r="S406" s="23" t="n"/>
      <c r="T406" s="23" t="n"/>
      <c r="U406" s="23" t="n"/>
      <c r="V406" s="23" t="n"/>
      <c r="W406" s="23" t="n"/>
      <c r="X406" s="23" t="n"/>
      <c r="Y406" s="23" t="n"/>
      <c r="Z406" s="23" t="n"/>
    </row>
    <row r="407" ht="15.75" customHeight="1" s="86">
      <c r="A407" s="23" t="n"/>
      <c r="B407" s="23" t="n"/>
      <c r="C407" s="23" t="n"/>
      <c r="D407" s="23" t="n"/>
      <c r="E407" s="23" t="n"/>
      <c r="F407" s="23" t="n"/>
      <c r="G407" s="23" t="n"/>
      <c r="H407" s="23" t="n"/>
      <c r="I407" s="23" t="n"/>
      <c r="J407" s="23" t="n"/>
      <c r="K407" s="23" t="n"/>
      <c r="L407" s="23" t="n"/>
      <c r="M407" s="23" t="n"/>
      <c r="N407" s="23" t="n"/>
      <c r="O407" s="23" t="n"/>
      <c r="P407" s="23" t="n"/>
      <c r="Q407" s="23" t="n"/>
      <c r="R407" s="23" t="n"/>
      <c r="S407" s="23" t="n"/>
      <c r="T407" s="23" t="n"/>
      <c r="U407" s="23" t="n"/>
      <c r="V407" s="23" t="n"/>
      <c r="W407" s="23" t="n"/>
      <c r="X407" s="23" t="n"/>
      <c r="Y407" s="23" t="n"/>
      <c r="Z407" s="23" t="n"/>
    </row>
    <row r="408" ht="15.75" customHeight="1" s="86">
      <c r="A408" s="23" t="n"/>
      <c r="B408" s="23" t="n"/>
      <c r="C408" s="23" t="n"/>
      <c r="D408" s="23" t="n"/>
      <c r="E408" s="23" t="n"/>
      <c r="F408" s="23" t="n"/>
      <c r="G408" s="23" t="n"/>
      <c r="H408" s="23" t="n"/>
      <c r="I408" s="23" t="n"/>
      <c r="J408" s="23" t="n"/>
      <c r="K408" s="23" t="n"/>
      <c r="L408" s="23" t="n"/>
      <c r="M408" s="23" t="n"/>
      <c r="N408" s="23" t="n"/>
      <c r="O408" s="23" t="n"/>
      <c r="P408" s="23" t="n"/>
      <c r="Q408" s="23" t="n"/>
      <c r="R408" s="23" t="n"/>
      <c r="S408" s="23" t="n"/>
      <c r="T408" s="23" t="n"/>
      <c r="U408" s="23" t="n"/>
      <c r="V408" s="23" t="n"/>
      <c r="W408" s="23" t="n"/>
      <c r="X408" s="23" t="n"/>
      <c r="Y408" s="23" t="n"/>
      <c r="Z408" s="23" t="n"/>
    </row>
    <row r="409" ht="15.75" customHeight="1" s="86">
      <c r="A409" s="23" t="n"/>
      <c r="B409" s="23" t="n"/>
      <c r="C409" s="23" t="n"/>
      <c r="D409" s="23" t="n"/>
      <c r="E409" s="23" t="n"/>
      <c r="F409" s="23" t="n"/>
      <c r="G409" s="23" t="n"/>
      <c r="H409" s="23" t="n"/>
      <c r="I409" s="23" t="n"/>
      <c r="J409" s="23" t="n"/>
      <c r="K409" s="23" t="n"/>
      <c r="L409" s="23" t="n"/>
      <c r="M409" s="23" t="n"/>
      <c r="N409" s="23" t="n"/>
      <c r="O409" s="23" t="n"/>
      <c r="P409" s="23" t="n"/>
      <c r="Q409" s="23" t="n"/>
      <c r="R409" s="23" t="n"/>
      <c r="S409" s="23" t="n"/>
      <c r="T409" s="23" t="n"/>
      <c r="U409" s="23" t="n"/>
      <c r="V409" s="23" t="n"/>
      <c r="W409" s="23" t="n"/>
      <c r="X409" s="23" t="n"/>
      <c r="Y409" s="23" t="n"/>
      <c r="Z409" s="23" t="n"/>
    </row>
    <row r="410" ht="15.75" customHeight="1" s="86">
      <c r="A410" s="23" t="n"/>
      <c r="B410" s="23" t="n"/>
      <c r="C410" s="23" t="n"/>
      <c r="D410" s="23" t="n"/>
      <c r="E410" s="23" t="n"/>
      <c r="F410" s="23" t="n"/>
      <c r="G410" s="23" t="n"/>
      <c r="H410" s="23" t="n"/>
      <c r="I410" s="23" t="n"/>
      <c r="J410" s="23" t="n"/>
      <c r="K410" s="23" t="n"/>
      <c r="L410" s="23" t="n"/>
      <c r="M410" s="23" t="n"/>
      <c r="N410" s="23" t="n"/>
      <c r="O410" s="23" t="n"/>
      <c r="P410" s="23" t="n"/>
      <c r="Q410" s="23" t="n"/>
      <c r="R410" s="23" t="n"/>
      <c r="S410" s="23" t="n"/>
      <c r="T410" s="23" t="n"/>
      <c r="U410" s="23" t="n"/>
      <c r="V410" s="23" t="n"/>
      <c r="W410" s="23" t="n"/>
      <c r="X410" s="23" t="n"/>
      <c r="Y410" s="23" t="n"/>
      <c r="Z410" s="23" t="n"/>
    </row>
    <row r="411" ht="15.75" customHeight="1" s="86">
      <c r="A411" s="23" t="n"/>
      <c r="B411" s="23" t="n"/>
      <c r="C411" s="23" t="n"/>
      <c r="D411" s="23" t="n"/>
      <c r="E411" s="23" t="n"/>
      <c r="F411" s="23" t="n"/>
      <c r="G411" s="23" t="n"/>
      <c r="H411" s="23" t="n"/>
      <c r="I411" s="23" t="n"/>
      <c r="J411" s="23" t="n"/>
      <c r="K411" s="23" t="n"/>
      <c r="L411" s="23" t="n"/>
      <c r="M411" s="23" t="n"/>
      <c r="N411" s="23" t="n"/>
      <c r="O411" s="23" t="n"/>
      <c r="P411" s="23" t="n"/>
      <c r="Q411" s="23" t="n"/>
      <c r="R411" s="23" t="n"/>
      <c r="S411" s="23" t="n"/>
      <c r="T411" s="23" t="n"/>
      <c r="U411" s="23" t="n"/>
      <c r="V411" s="23" t="n"/>
      <c r="W411" s="23" t="n"/>
      <c r="X411" s="23" t="n"/>
      <c r="Y411" s="23" t="n"/>
      <c r="Z411" s="23" t="n"/>
    </row>
    <row r="412" ht="15.75" customHeight="1" s="86">
      <c r="A412" s="23" t="n"/>
      <c r="B412" s="23" t="n"/>
      <c r="C412" s="23" t="n"/>
      <c r="D412" s="23" t="n"/>
      <c r="E412" s="23" t="n"/>
      <c r="F412" s="23" t="n"/>
      <c r="G412" s="23" t="n"/>
      <c r="H412" s="23" t="n"/>
      <c r="I412" s="23" t="n"/>
      <c r="J412" s="23" t="n"/>
      <c r="K412" s="23" t="n"/>
      <c r="L412" s="23" t="n"/>
      <c r="M412" s="23" t="n"/>
      <c r="N412" s="23" t="n"/>
      <c r="O412" s="23" t="n"/>
      <c r="P412" s="23" t="n"/>
      <c r="Q412" s="23" t="n"/>
      <c r="R412" s="23" t="n"/>
      <c r="S412" s="23" t="n"/>
      <c r="T412" s="23" t="n"/>
      <c r="U412" s="23" t="n"/>
      <c r="V412" s="23" t="n"/>
      <c r="W412" s="23" t="n"/>
      <c r="X412" s="23" t="n"/>
      <c r="Y412" s="23" t="n"/>
      <c r="Z412" s="23" t="n"/>
    </row>
    <row r="413" ht="15.75" customHeight="1" s="86">
      <c r="A413" s="23" t="n"/>
      <c r="B413" s="23" t="n"/>
      <c r="C413" s="23" t="n"/>
      <c r="D413" s="23" t="n"/>
      <c r="E413" s="23" t="n"/>
      <c r="F413" s="23" t="n"/>
      <c r="G413" s="23" t="n"/>
      <c r="H413" s="23" t="n"/>
      <c r="I413" s="23" t="n"/>
      <c r="J413" s="23" t="n"/>
      <c r="K413" s="23" t="n"/>
      <c r="L413" s="23" t="n"/>
      <c r="M413" s="23" t="n"/>
      <c r="N413" s="23" t="n"/>
      <c r="O413" s="23" t="n"/>
      <c r="P413" s="23" t="n"/>
      <c r="Q413" s="23" t="n"/>
      <c r="R413" s="23" t="n"/>
      <c r="S413" s="23" t="n"/>
      <c r="T413" s="23" t="n"/>
      <c r="U413" s="23" t="n"/>
      <c r="V413" s="23" t="n"/>
      <c r="W413" s="23" t="n"/>
      <c r="X413" s="23" t="n"/>
      <c r="Y413" s="23" t="n"/>
      <c r="Z413" s="23" t="n"/>
    </row>
    <row r="414" ht="15.75" customHeight="1" s="86">
      <c r="A414" s="23" t="n"/>
      <c r="B414" s="23" t="n"/>
      <c r="C414" s="23" t="n"/>
      <c r="D414" s="23" t="n"/>
      <c r="E414" s="23" t="n"/>
      <c r="F414" s="23" t="n"/>
      <c r="G414" s="23" t="n"/>
      <c r="H414" s="23" t="n"/>
      <c r="I414" s="23" t="n"/>
      <c r="J414" s="23" t="n"/>
      <c r="K414" s="23" t="n"/>
      <c r="L414" s="23" t="n"/>
      <c r="M414" s="23" t="n"/>
      <c r="N414" s="23" t="n"/>
      <c r="O414" s="23" t="n"/>
      <c r="P414" s="23" t="n"/>
      <c r="Q414" s="23" t="n"/>
      <c r="R414" s="23" t="n"/>
      <c r="S414" s="23" t="n"/>
      <c r="T414" s="23" t="n"/>
      <c r="U414" s="23" t="n"/>
      <c r="V414" s="23" t="n"/>
      <c r="W414" s="23" t="n"/>
      <c r="X414" s="23" t="n"/>
      <c r="Y414" s="23" t="n"/>
      <c r="Z414" s="23" t="n"/>
    </row>
    <row r="415" ht="15.75" customHeight="1" s="86">
      <c r="A415" s="23" t="n"/>
      <c r="B415" s="23" t="n"/>
      <c r="C415" s="23" t="n"/>
      <c r="D415" s="23" t="n"/>
      <c r="E415" s="23" t="n"/>
      <c r="F415" s="23" t="n"/>
      <c r="G415" s="23" t="n"/>
      <c r="H415" s="23" t="n"/>
      <c r="I415" s="23" t="n"/>
      <c r="J415" s="23" t="n"/>
      <c r="K415" s="23" t="n"/>
      <c r="L415" s="23" t="n"/>
      <c r="M415" s="23" t="n"/>
      <c r="N415" s="23" t="n"/>
      <c r="O415" s="23" t="n"/>
      <c r="P415" s="23" t="n"/>
      <c r="Q415" s="23" t="n"/>
      <c r="R415" s="23" t="n"/>
      <c r="S415" s="23" t="n"/>
      <c r="T415" s="23" t="n"/>
      <c r="U415" s="23" t="n"/>
      <c r="V415" s="23" t="n"/>
      <c r="W415" s="23" t="n"/>
      <c r="X415" s="23" t="n"/>
      <c r="Y415" s="23" t="n"/>
      <c r="Z415" s="23" t="n"/>
    </row>
    <row r="416" ht="15.75" customHeight="1" s="86">
      <c r="A416" s="23" t="n"/>
      <c r="B416" s="23" t="n"/>
      <c r="C416" s="23" t="n"/>
      <c r="D416" s="23" t="n"/>
      <c r="E416" s="23" t="n"/>
      <c r="F416" s="23" t="n"/>
      <c r="G416" s="23" t="n"/>
      <c r="H416" s="23" t="n"/>
      <c r="I416" s="23" t="n"/>
      <c r="J416" s="23" t="n"/>
      <c r="K416" s="23" t="n"/>
      <c r="L416" s="23" t="n"/>
      <c r="M416" s="23" t="n"/>
      <c r="N416" s="23" t="n"/>
      <c r="O416" s="23" t="n"/>
      <c r="P416" s="23" t="n"/>
      <c r="Q416" s="23" t="n"/>
      <c r="R416" s="23" t="n"/>
      <c r="S416" s="23" t="n"/>
      <c r="T416" s="23" t="n"/>
      <c r="U416" s="23" t="n"/>
      <c r="V416" s="23" t="n"/>
      <c r="W416" s="23" t="n"/>
      <c r="X416" s="23" t="n"/>
      <c r="Y416" s="23" t="n"/>
      <c r="Z416" s="23" t="n"/>
    </row>
    <row r="417" ht="15.75" customHeight="1" s="86">
      <c r="A417" s="23" t="n"/>
      <c r="B417" s="23" t="n"/>
      <c r="C417" s="23" t="n"/>
      <c r="D417" s="23" t="n"/>
      <c r="E417" s="23" t="n"/>
      <c r="F417" s="23" t="n"/>
      <c r="G417" s="23" t="n"/>
      <c r="H417" s="23" t="n"/>
      <c r="I417" s="23" t="n"/>
      <c r="J417" s="23" t="n"/>
      <c r="K417" s="23" t="n"/>
      <c r="L417" s="23" t="n"/>
      <c r="M417" s="23" t="n"/>
      <c r="N417" s="23" t="n"/>
      <c r="O417" s="23" t="n"/>
      <c r="P417" s="23" t="n"/>
      <c r="Q417" s="23" t="n"/>
      <c r="R417" s="23" t="n"/>
      <c r="S417" s="23" t="n"/>
      <c r="T417" s="23" t="n"/>
      <c r="U417" s="23" t="n"/>
      <c r="V417" s="23" t="n"/>
      <c r="W417" s="23" t="n"/>
      <c r="X417" s="23" t="n"/>
      <c r="Y417" s="23" t="n"/>
      <c r="Z417" s="23" t="n"/>
    </row>
    <row r="418" ht="15.75" customHeight="1" s="86">
      <c r="A418" s="23" t="n"/>
      <c r="B418" s="23" t="n"/>
      <c r="C418" s="23" t="n"/>
      <c r="D418" s="23" t="n"/>
      <c r="E418" s="23" t="n"/>
      <c r="F418" s="23" t="n"/>
      <c r="G418" s="23" t="n"/>
      <c r="H418" s="23" t="n"/>
      <c r="I418" s="23" t="n"/>
      <c r="J418" s="23" t="n"/>
      <c r="K418" s="23" t="n"/>
      <c r="L418" s="23" t="n"/>
      <c r="M418" s="23" t="n"/>
      <c r="N418" s="23" t="n"/>
      <c r="O418" s="23" t="n"/>
      <c r="P418" s="23" t="n"/>
      <c r="Q418" s="23" t="n"/>
      <c r="R418" s="23" t="n"/>
      <c r="S418" s="23" t="n"/>
      <c r="T418" s="23" t="n"/>
      <c r="U418" s="23" t="n"/>
      <c r="V418" s="23" t="n"/>
      <c r="W418" s="23" t="n"/>
      <c r="X418" s="23" t="n"/>
      <c r="Y418" s="23" t="n"/>
      <c r="Z418" s="23" t="n"/>
    </row>
    <row r="419" ht="15.75" customHeight="1" s="86">
      <c r="A419" s="23" t="n"/>
      <c r="B419" s="23" t="n"/>
      <c r="C419" s="23" t="n"/>
      <c r="D419" s="23" t="n"/>
      <c r="E419" s="23" t="n"/>
      <c r="F419" s="23" t="n"/>
      <c r="G419" s="23" t="n"/>
      <c r="H419" s="23" t="n"/>
      <c r="I419" s="23" t="n"/>
      <c r="J419" s="23" t="n"/>
      <c r="K419" s="23" t="n"/>
      <c r="L419" s="23" t="n"/>
      <c r="M419" s="23" t="n"/>
      <c r="N419" s="23" t="n"/>
      <c r="O419" s="23" t="n"/>
      <c r="P419" s="23" t="n"/>
      <c r="Q419" s="23" t="n"/>
      <c r="R419" s="23" t="n"/>
      <c r="S419" s="23" t="n"/>
      <c r="T419" s="23" t="n"/>
      <c r="U419" s="23" t="n"/>
      <c r="V419" s="23" t="n"/>
      <c r="W419" s="23" t="n"/>
      <c r="X419" s="23" t="n"/>
      <c r="Y419" s="23" t="n"/>
      <c r="Z419" s="23" t="n"/>
    </row>
    <row r="420" ht="15.75" customHeight="1" s="86">
      <c r="A420" s="23" t="n"/>
      <c r="B420" s="23" t="n"/>
      <c r="C420" s="23" t="n"/>
      <c r="D420" s="23" t="n"/>
      <c r="E420" s="23" t="n"/>
      <c r="F420" s="23" t="n"/>
      <c r="G420" s="23" t="n"/>
      <c r="H420" s="23" t="n"/>
      <c r="I420" s="23" t="n"/>
      <c r="J420" s="23" t="n"/>
      <c r="K420" s="23" t="n"/>
      <c r="L420" s="23" t="n"/>
      <c r="M420" s="23" t="n"/>
      <c r="N420" s="23" t="n"/>
      <c r="O420" s="23" t="n"/>
      <c r="P420" s="23" t="n"/>
      <c r="Q420" s="23" t="n"/>
      <c r="R420" s="23" t="n"/>
      <c r="S420" s="23" t="n"/>
      <c r="T420" s="23" t="n"/>
      <c r="U420" s="23" t="n"/>
      <c r="V420" s="23" t="n"/>
      <c r="W420" s="23" t="n"/>
      <c r="X420" s="23" t="n"/>
      <c r="Y420" s="23" t="n"/>
      <c r="Z420" s="23" t="n"/>
    </row>
    <row r="421" ht="15.75" customHeight="1" s="86">
      <c r="A421" s="23" t="n"/>
      <c r="B421" s="23" t="n"/>
      <c r="C421" s="23" t="n"/>
      <c r="D421" s="23" t="n"/>
      <c r="E421" s="23" t="n"/>
      <c r="F421" s="23" t="n"/>
      <c r="G421" s="23" t="n"/>
      <c r="H421" s="23" t="n"/>
      <c r="I421" s="23" t="n"/>
      <c r="J421" s="23" t="n"/>
      <c r="K421" s="23" t="n"/>
      <c r="L421" s="23" t="n"/>
      <c r="M421" s="23" t="n"/>
      <c r="N421" s="23" t="n"/>
      <c r="O421" s="23" t="n"/>
      <c r="P421" s="23" t="n"/>
      <c r="Q421" s="23" t="n"/>
      <c r="R421" s="23" t="n"/>
      <c r="S421" s="23" t="n"/>
      <c r="T421" s="23" t="n"/>
      <c r="U421" s="23" t="n"/>
      <c r="V421" s="23" t="n"/>
      <c r="W421" s="23" t="n"/>
      <c r="X421" s="23" t="n"/>
      <c r="Y421" s="23" t="n"/>
      <c r="Z421" s="23" t="n"/>
    </row>
    <row r="422" ht="15.75" customHeight="1" s="86">
      <c r="A422" s="23" t="n"/>
      <c r="B422" s="23" t="n"/>
      <c r="C422" s="23" t="n"/>
      <c r="D422" s="23" t="n"/>
      <c r="E422" s="23" t="n"/>
      <c r="F422" s="23" t="n"/>
      <c r="G422" s="23" t="n"/>
      <c r="H422" s="23" t="n"/>
      <c r="I422" s="23" t="n"/>
      <c r="J422" s="23" t="n"/>
      <c r="K422" s="23" t="n"/>
      <c r="L422" s="23" t="n"/>
      <c r="M422" s="23" t="n"/>
      <c r="N422" s="23" t="n"/>
      <c r="O422" s="23" t="n"/>
      <c r="P422" s="23" t="n"/>
      <c r="Q422" s="23" t="n"/>
      <c r="R422" s="23" t="n"/>
      <c r="S422" s="23" t="n"/>
      <c r="T422" s="23" t="n"/>
      <c r="U422" s="23" t="n"/>
      <c r="V422" s="23" t="n"/>
      <c r="W422" s="23" t="n"/>
      <c r="X422" s="23" t="n"/>
      <c r="Y422" s="23" t="n"/>
      <c r="Z422" s="23" t="n"/>
    </row>
    <row r="423" ht="15.75" customHeight="1" s="86">
      <c r="A423" s="23" t="n"/>
      <c r="B423" s="23" t="n"/>
      <c r="C423" s="23" t="n"/>
      <c r="D423" s="23" t="n"/>
      <c r="E423" s="23" t="n"/>
      <c r="F423" s="23" t="n"/>
      <c r="G423" s="23" t="n"/>
      <c r="H423" s="23" t="n"/>
      <c r="I423" s="23" t="n"/>
      <c r="J423" s="23" t="n"/>
      <c r="K423" s="23" t="n"/>
      <c r="L423" s="23" t="n"/>
      <c r="M423" s="23" t="n"/>
      <c r="N423" s="23" t="n"/>
      <c r="O423" s="23" t="n"/>
      <c r="P423" s="23" t="n"/>
      <c r="Q423" s="23" t="n"/>
      <c r="R423" s="23" t="n"/>
      <c r="S423" s="23" t="n"/>
      <c r="T423" s="23" t="n"/>
      <c r="U423" s="23" t="n"/>
      <c r="V423" s="23" t="n"/>
      <c r="W423" s="23" t="n"/>
      <c r="X423" s="23" t="n"/>
      <c r="Y423" s="23" t="n"/>
      <c r="Z423" s="23" t="n"/>
    </row>
    <row r="424" ht="15.75" customHeight="1" s="86">
      <c r="A424" s="23" t="n"/>
      <c r="B424" s="23" t="n"/>
      <c r="C424" s="23" t="n"/>
      <c r="D424" s="23" t="n"/>
      <c r="E424" s="23" t="n"/>
      <c r="F424" s="23" t="n"/>
      <c r="G424" s="23" t="n"/>
      <c r="H424" s="23" t="n"/>
      <c r="I424" s="23" t="n"/>
      <c r="J424" s="23" t="n"/>
      <c r="K424" s="23" t="n"/>
      <c r="L424" s="23" t="n"/>
      <c r="M424" s="23" t="n"/>
      <c r="N424" s="23" t="n"/>
      <c r="O424" s="23" t="n"/>
      <c r="P424" s="23" t="n"/>
      <c r="Q424" s="23" t="n"/>
      <c r="R424" s="23" t="n"/>
      <c r="S424" s="23" t="n"/>
      <c r="T424" s="23" t="n"/>
      <c r="U424" s="23" t="n"/>
      <c r="V424" s="23" t="n"/>
      <c r="W424" s="23" t="n"/>
      <c r="X424" s="23" t="n"/>
      <c r="Y424" s="23" t="n"/>
      <c r="Z424" s="23" t="n"/>
    </row>
    <row r="425" ht="15.75" customHeight="1" s="86">
      <c r="A425" s="23" t="n"/>
      <c r="B425" s="23" t="n"/>
      <c r="C425" s="23" t="n"/>
      <c r="D425" s="23" t="n"/>
      <c r="E425" s="23" t="n"/>
      <c r="F425" s="23" t="n"/>
      <c r="G425" s="23" t="n"/>
      <c r="H425" s="23" t="n"/>
      <c r="I425" s="23" t="n"/>
      <c r="J425" s="23" t="n"/>
      <c r="K425" s="23" t="n"/>
      <c r="L425" s="23" t="n"/>
      <c r="M425" s="23" t="n"/>
      <c r="N425" s="23" t="n"/>
      <c r="O425" s="23" t="n"/>
      <c r="P425" s="23" t="n"/>
      <c r="Q425" s="23" t="n"/>
      <c r="R425" s="23" t="n"/>
      <c r="S425" s="23" t="n"/>
      <c r="T425" s="23" t="n"/>
      <c r="U425" s="23" t="n"/>
      <c r="V425" s="23" t="n"/>
      <c r="W425" s="23" t="n"/>
      <c r="X425" s="23" t="n"/>
      <c r="Y425" s="23" t="n"/>
      <c r="Z425" s="23" t="n"/>
    </row>
    <row r="426" ht="15.75" customHeight="1" s="86">
      <c r="A426" s="23" t="n"/>
      <c r="B426" s="23" t="n"/>
      <c r="C426" s="23" t="n"/>
      <c r="D426" s="23" t="n"/>
      <c r="E426" s="23" t="n"/>
      <c r="F426" s="23" t="n"/>
      <c r="G426" s="23" t="n"/>
      <c r="H426" s="23" t="n"/>
      <c r="I426" s="23" t="n"/>
      <c r="J426" s="23" t="n"/>
      <c r="K426" s="23" t="n"/>
      <c r="L426" s="23" t="n"/>
      <c r="M426" s="23" t="n"/>
      <c r="N426" s="23" t="n"/>
      <c r="O426" s="23" t="n"/>
      <c r="P426" s="23" t="n"/>
      <c r="Q426" s="23" t="n"/>
      <c r="R426" s="23" t="n"/>
      <c r="S426" s="23" t="n"/>
      <c r="T426" s="23" t="n"/>
      <c r="U426" s="23" t="n"/>
      <c r="V426" s="23" t="n"/>
      <c r="W426" s="23" t="n"/>
      <c r="X426" s="23" t="n"/>
      <c r="Y426" s="23" t="n"/>
      <c r="Z426" s="23" t="n"/>
    </row>
    <row r="427" ht="15.75" customHeight="1" s="86">
      <c r="A427" s="23" t="n"/>
      <c r="B427" s="23" t="n"/>
      <c r="C427" s="23" t="n"/>
      <c r="D427" s="23" t="n"/>
      <c r="E427" s="23" t="n"/>
      <c r="F427" s="23" t="n"/>
      <c r="G427" s="23" t="n"/>
      <c r="H427" s="23" t="n"/>
      <c r="I427" s="23" t="n"/>
      <c r="J427" s="23" t="n"/>
      <c r="K427" s="23" t="n"/>
      <c r="L427" s="23" t="n"/>
      <c r="M427" s="23" t="n"/>
      <c r="N427" s="23" t="n"/>
      <c r="O427" s="23" t="n"/>
      <c r="P427" s="23" t="n"/>
      <c r="Q427" s="23" t="n"/>
      <c r="R427" s="23" t="n"/>
      <c r="S427" s="23" t="n"/>
      <c r="T427" s="23" t="n"/>
      <c r="U427" s="23" t="n"/>
      <c r="V427" s="23" t="n"/>
      <c r="W427" s="23" t="n"/>
      <c r="X427" s="23" t="n"/>
      <c r="Y427" s="23" t="n"/>
      <c r="Z427" s="23" t="n"/>
    </row>
    <row r="428" ht="15.75" customHeight="1" s="86">
      <c r="A428" s="23" t="n"/>
      <c r="B428" s="23" t="n"/>
      <c r="C428" s="23" t="n"/>
      <c r="D428" s="23" t="n"/>
      <c r="E428" s="23" t="n"/>
      <c r="F428" s="23" t="n"/>
      <c r="G428" s="23" t="n"/>
      <c r="H428" s="23" t="n"/>
      <c r="I428" s="23" t="n"/>
      <c r="J428" s="23" t="n"/>
      <c r="K428" s="23" t="n"/>
      <c r="L428" s="23" t="n"/>
      <c r="M428" s="23" t="n"/>
      <c r="N428" s="23" t="n"/>
      <c r="O428" s="23" t="n"/>
      <c r="P428" s="23" t="n"/>
      <c r="Q428" s="23" t="n"/>
      <c r="R428" s="23" t="n"/>
      <c r="S428" s="23" t="n"/>
      <c r="T428" s="23" t="n"/>
      <c r="U428" s="23" t="n"/>
      <c r="V428" s="23" t="n"/>
      <c r="W428" s="23" t="n"/>
      <c r="X428" s="23" t="n"/>
      <c r="Y428" s="23" t="n"/>
      <c r="Z428" s="23" t="n"/>
    </row>
    <row r="429" ht="15.75" customHeight="1" s="86">
      <c r="A429" s="23" t="n"/>
      <c r="B429" s="23" t="n"/>
      <c r="C429" s="23" t="n"/>
      <c r="D429" s="23" t="n"/>
      <c r="E429" s="23" t="n"/>
      <c r="F429" s="23" t="n"/>
      <c r="G429" s="23" t="n"/>
      <c r="H429" s="23" t="n"/>
      <c r="I429" s="23" t="n"/>
      <c r="J429" s="23" t="n"/>
      <c r="K429" s="23" t="n"/>
      <c r="L429" s="23" t="n"/>
      <c r="M429" s="23" t="n"/>
      <c r="N429" s="23" t="n"/>
      <c r="O429" s="23" t="n"/>
      <c r="P429" s="23" t="n"/>
      <c r="Q429" s="23" t="n"/>
      <c r="R429" s="23" t="n"/>
      <c r="S429" s="23" t="n"/>
      <c r="T429" s="23" t="n"/>
      <c r="U429" s="23" t="n"/>
      <c r="V429" s="23" t="n"/>
      <c r="W429" s="23" t="n"/>
      <c r="X429" s="23" t="n"/>
      <c r="Y429" s="23" t="n"/>
      <c r="Z429" s="23" t="n"/>
    </row>
    <row r="430" ht="15.75" customHeight="1" s="86">
      <c r="A430" s="23" t="n"/>
      <c r="B430" s="23" t="n"/>
      <c r="C430" s="23" t="n"/>
      <c r="D430" s="23" t="n"/>
      <c r="E430" s="23" t="n"/>
      <c r="F430" s="23" t="n"/>
      <c r="G430" s="23" t="n"/>
      <c r="H430" s="23" t="n"/>
      <c r="I430" s="23" t="n"/>
      <c r="J430" s="23" t="n"/>
      <c r="K430" s="23" t="n"/>
      <c r="L430" s="23" t="n"/>
      <c r="M430" s="23" t="n"/>
      <c r="N430" s="23" t="n"/>
      <c r="O430" s="23" t="n"/>
      <c r="P430" s="23" t="n"/>
      <c r="Q430" s="23" t="n"/>
      <c r="R430" s="23" t="n"/>
      <c r="S430" s="23" t="n"/>
      <c r="T430" s="23" t="n"/>
      <c r="U430" s="23" t="n"/>
      <c r="V430" s="23" t="n"/>
      <c r="W430" s="23" t="n"/>
      <c r="X430" s="23" t="n"/>
      <c r="Y430" s="23" t="n"/>
      <c r="Z430" s="23" t="n"/>
    </row>
    <row r="431" ht="15.75" customHeight="1" s="86">
      <c r="A431" s="23" t="n"/>
      <c r="B431" s="23" t="n"/>
      <c r="C431" s="23" t="n"/>
      <c r="D431" s="23" t="n"/>
      <c r="E431" s="23" t="n"/>
      <c r="F431" s="23" t="n"/>
      <c r="G431" s="23" t="n"/>
      <c r="H431" s="23" t="n"/>
      <c r="I431" s="23" t="n"/>
      <c r="J431" s="23" t="n"/>
      <c r="K431" s="23" t="n"/>
      <c r="L431" s="23" t="n"/>
      <c r="M431" s="23" t="n"/>
      <c r="N431" s="23" t="n"/>
      <c r="O431" s="23" t="n"/>
      <c r="P431" s="23" t="n"/>
      <c r="Q431" s="23" t="n"/>
      <c r="R431" s="23" t="n"/>
      <c r="S431" s="23" t="n"/>
      <c r="T431" s="23" t="n"/>
      <c r="U431" s="23" t="n"/>
      <c r="V431" s="23" t="n"/>
      <c r="W431" s="23" t="n"/>
      <c r="X431" s="23" t="n"/>
      <c r="Y431" s="23" t="n"/>
      <c r="Z431" s="23" t="n"/>
    </row>
    <row r="432" ht="15.75" customHeight="1" s="86">
      <c r="A432" s="23" t="n"/>
      <c r="B432" s="23" t="n"/>
      <c r="C432" s="23" t="n"/>
      <c r="D432" s="23" t="n"/>
      <c r="E432" s="23" t="n"/>
      <c r="F432" s="23" t="n"/>
      <c r="G432" s="23" t="n"/>
      <c r="H432" s="23" t="n"/>
      <c r="I432" s="23" t="n"/>
      <c r="J432" s="23" t="n"/>
      <c r="K432" s="23" t="n"/>
      <c r="L432" s="23" t="n"/>
      <c r="M432" s="23" t="n"/>
      <c r="N432" s="23" t="n"/>
      <c r="O432" s="23" t="n"/>
      <c r="P432" s="23" t="n"/>
      <c r="Q432" s="23" t="n"/>
      <c r="R432" s="23" t="n"/>
      <c r="S432" s="23" t="n"/>
      <c r="T432" s="23" t="n"/>
      <c r="U432" s="23" t="n"/>
      <c r="V432" s="23" t="n"/>
      <c r="W432" s="23" t="n"/>
      <c r="X432" s="23" t="n"/>
      <c r="Y432" s="23" t="n"/>
      <c r="Z432" s="23" t="n"/>
    </row>
    <row r="433" ht="15.75" customHeight="1" s="86">
      <c r="A433" s="23" t="n"/>
      <c r="B433" s="23" t="n"/>
      <c r="C433" s="23" t="n"/>
      <c r="D433" s="23" t="n"/>
      <c r="E433" s="23" t="n"/>
      <c r="F433" s="23" t="n"/>
      <c r="G433" s="23" t="n"/>
      <c r="H433" s="23" t="n"/>
      <c r="I433" s="23" t="n"/>
      <c r="J433" s="23" t="n"/>
      <c r="K433" s="23" t="n"/>
      <c r="L433" s="23" t="n"/>
      <c r="M433" s="23" t="n"/>
      <c r="N433" s="23" t="n"/>
      <c r="O433" s="23" t="n"/>
      <c r="P433" s="23" t="n"/>
      <c r="Q433" s="23" t="n"/>
      <c r="R433" s="23" t="n"/>
      <c r="S433" s="23" t="n"/>
      <c r="T433" s="23" t="n"/>
      <c r="U433" s="23" t="n"/>
      <c r="V433" s="23" t="n"/>
      <c r="W433" s="23" t="n"/>
      <c r="X433" s="23" t="n"/>
      <c r="Y433" s="23" t="n"/>
      <c r="Z433" s="23" t="n"/>
    </row>
    <row r="434" ht="15.75" customHeight="1" s="86">
      <c r="A434" s="23" t="n"/>
      <c r="B434" s="23" t="n"/>
      <c r="C434" s="23" t="n"/>
      <c r="D434" s="23" t="n"/>
      <c r="E434" s="23" t="n"/>
      <c r="F434" s="23" t="n"/>
      <c r="G434" s="23" t="n"/>
      <c r="H434" s="23" t="n"/>
      <c r="I434" s="23" t="n"/>
      <c r="J434" s="23" t="n"/>
      <c r="K434" s="23" t="n"/>
      <c r="L434" s="23" t="n"/>
      <c r="M434" s="23" t="n"/>
      <c r="N434" s="23" t="n"/>
      <c r="O434" s="23" t="n"/>
      <c r="P434" s="23" t="n"/>
      <c r="Q434" s="23" t="n"/>
      <c r="R434" s="23" t="n"/>
      <c r="S434" s="23" t="n"/>
      <c r="T434" s="23" t="n"/>
      <c r="U434" s="23" t="n"/>
      <c r="V434" s="23" t="n"/>
      <c r="W434" s="23" t="n"/>
      <c r="X434" s="23" t="n"/>
      <c r="Y434" s="23" t="n"/>
      <c r="Z434" s="23" t="n"/>
    </row>
    <row r="435" ht="15.75" customHeight="1" s="86">
      <c r="A435" s="23" t="n"/>
      <c r="B435" s="23" t="n"/>
      <c r="C435" s="23" t="n"/>
      <c r="D435" s="23" t="n"/>
      <c r="E435" s="23" t="n"/>
      <c r="F435" s="23" t="n"/>
      <c r="G435" s="23" t="n"/>
      <c r="H435" s="23" t="n"/>
      <c r="I435" s="23" t="n"/>
      <c r="J435" s="23" t="n"/>
      <c r="K435" s="23" t="n"/>
      <c r="L435" s="23" t="n"/>
      <c r="M435" s="23" t="n"/>
      <c r="N435" s="23" t="n"/>
      <c r="O435" s="23" t="n"/>
      <c r="P435" s="23" t="n"/>
      <c r="Q435" s="23" t="n"/>
      <c r="R435" s="23" t="n"/>
      <c r="S435" s="23" t="n"/>
      <c r="T435" s="23" t="n"/>
      <c r="U435" s="23" t="n"/>
      <c r="V435" s="23" t="n"/>
      <c r="W435" s="23" t="n"/>
      <c r="X435" s="23" t="n"/>
      <c r="Y435" s="23" t="n"/>
      <c r="Z435" s="23" t="n"/>
    </row>
    <row r="436" ht="15.75" customHeight="1" s="86">
      <c r="A436" s="23" t="n"/>
      <c r="B436" s="23" t="n"/>
      <c r="C436" s="23" t="n"/>
      <c r="D436" s="23" t="n"/>
      <c r="E436" s="23" t="n"/>
      <c r="F436" s="23" t="n"/>
      <c r="G436" s="23" t="n"/>
      <c r="H436" s="23" t="n"/>
      <c r="I436" s="23" t="n"/>
      <c r="J436" s="23" t="n"/>
      <c r="K436" s="23" t="n"/>
      <c r="L436" s="23" t="n"/>
      <c r="M436" s="23" t="n"/>
      <c r="N436" s="23" t="n"/>
      <c r="O436" s="23" t="n"/>
      <c r="P436" s="23" t="n"/>
      <c r="Q436" s="23" t="n"/>
      <c r="R436" s="23" t="n"/>
      <c r="S436" s="23" t="n"/>
      <c r="T436" s="23" t="n"/>
      <c r="U436" s="23" t="n"/>
      <c r="V436" s="23" t="n"/>
      <c r="W436" s="23" t="n"/>
      <c r="X436" s="23" t="n"/>
      <c r="Y436" s="23" t="n"/>
      <c r="Z436" s="23" t="n"/>
    </row>
    <row r="437" ht="15.75" customHeight="1" s="86">
      <c r="A437" s="23" t="n"/>
      <c r="B437" s="23" t="n"/>
      <c r="C437" s="23" t="n"/>
      <c r="D437" s="23" t="n"/>
      <c r="E437" s="23" t="n"/>
      <c r="F437" s="23" t="n"/>
      <c r="G437" s="23" t="n"/>
      <c r="H437" s="23" t="n"/>
      <c r="I437" s="23" t="n"/>
      <c r="J437" s="23" t="n"/>
      <c r="K437" s="23" t="n"/>
      <c r="L437" s="23" t="n"/>
      <c r="M437" s="23" t="n"/>
      <c r="N437" s="23" t="n"/>
      <c r="O437" s="23" t="n"/>
      <c r="P437" s="23" t="n"/>
      <c r="Q437" s="23" t="n"/>
      <c r="R437" s="23" t="n"/>
      <c r="S437" s="23" t="n"/>
      <c r="T437" s="23" t="n"/>
      <c r="U437" s="23" t="n"/>
      <c r="V437" s="23" t="n"/>
      <c r="W437" s="23" t="n"/>
      <c r="X437" s="23" t="n"/>
      <c r="Y437" s="23" t="n"/>
      <c r="Z437" s="23" t="n"/>
    </row>
    <row r="438" ht="15.75" customHeight="1" s="86">
      <c r="A438" s="23" t="n"/>
      <c r="B438" s="23" t="n"/>
      <c r="C438" s="23" t="n"/>
      <c r="D438" s="23" t="n"/>
      <c r="E438" s="23" t="n"/>
      <c r="F438" s="23" t="n"/>
      <c r="G438" s="23" t="n"/>
      <c r="H438" s="23" t="n"/>
      <c r="I438" s="23" t="n"/>
      <c r="J438" s="23" t="n"/>
      <c r="K438" s="23" t="n"/>
      <c r="L438" s="23" t="n"/>
      <c r="M438" s="23" t="n"/>
      <c r="N438" s="23" t="n"/>
      <c r="O438" s="23" t="n"/>
      <c r="P438" s="23" t="n"/>
      <c r="Q438" s="23" t="n"/>
      <c r="R438" s="23" t="n"/>
      <c r="S438" s="23" t="n"/>
      <c r="T438" s="23" t="n"/>
      <c r="U438" s="23" t="n"/>
      <c r="V438" s="23" t="n"/>
      <c r="W438" s="23" t="n"/>
      <c r="X438" s="23" t="n"/>
      <c r="Y438" s="23" t="n"/>
      <c r="Z438" s="23" t="n"/>
    </row>
    <row r="439" ht="15.75" customHeight="1" s="86">
      <c r="A439" s="23" t="n"/>
      <c r="B439" s="23" t="n"/>
      <c r="C439" s="23" t="n"/>
      <c r="D439" s="23" t="n"/>
      <c r="E439" s="23" t="n"/>
      <c r="F439" s="23" t="n"/>
      <c r="G439" s="23" t="n"/>
      <c r="H439" s="23" t="n"/>
      <c r="I439" s="23" t="n"/>
      <c r="J439" s="23" t="n"/>
      <c r="K439" s="23" t="n"/>
      <c r="L439" s="23" t="n"/>
      <c r="M439" s="23" t="n"/>
      <c r="N439" s="23" t="n"/>
      <c r="O439" s="23" t="n"/>
      <c r="P439" s="23" t="n"/>
      <c r="Q439" s="23" t="n"/>
      <c r="R439" s="23" t="n"/>
      <c r="S439" s="23" t="n"/>
      <c r="T439" s="23" t="n"/>
      <c r="U439" s="23" t="n"/>
      <c r="V439" s="23" t="n"/>
      <c r="W439" s="23" t="n"/>
      <c r="X439" s="23" t="n"/>
      <c r="Y439" s="23" t="n"/>
      <c r="Z439" s="23" t="n"/>
    </row>
    <row r="440" ht="15.75" customHeight="1" s="86">
      <c r="A440" s="23" t="n"/>
      <c r="B440" s="23" t="n"/>
      <c r="C440" s="23" t="n"/>
      <c r="D440" s="23" t="n"/>
      <c r="E440" s="23" t="n"/>
      <c r="F440" s="23" t="n"/>
      <c r="G440" s="23" t="n"/>
      <c r="H440" s="23" t="n"/>
      <c r="I440" s="23" t="n"/>
      <c r="J440" s="23" t="n"/>
      <c r="K440" s="23" t="n"/>
      <c r="L440" s="23" t="n"/>
      <c r="M440" s="23" t="n"/>
      <c r="N440" s="23" t="n"/>
      <c r="O440" s="23" t="n"/>
      <c r="P440" s="23" t="n"/>
      <c r="Q440" s="23" t="n"/>
      <c r="R440" s="23" t="n"/>
      <c r="S440" s="23" t="n"/>
      <c r="T440" s="23" t="n"/>
      <c r="U440" s="23" t="n"/>
      <c r="V440" s="23" t="n"/>
      <c r="W440" s="23" t="n"/>
      <c r="X440" s="23" t="n"/>
      <c r="Y440" s="23" t="n"/>
      <c r="Z440" s="23" t="n"/>
    </row>
    <row r="441" ht="15.75" customHeight="1" s="86">
      <c r="A441" s="23" t="n"/>
      <c r="B441" s="23" t="n"/>
      <c r="C441" s="23" t="n"/>
      <c r="D441" s="23" t="n"/>
      <c r="E441" s="23" t="n"/>
      <c r="F441" s="23" t="n"/>
      <c r="G441" s="23" t="n"/>
      <c r="H441" s="23" t="n"/>
      <c r="I441" s="23" t="n"/>
      <c r="J441" s="23" t="n"/>
      <c r="K441" s="23" t="n"/>
      <c r="L441" s="23" t="n"/>
      <c r="M441" s="23" t="n"/>
      <c r="N441" s="23" t="n"/>
      <c r="O441" s="23" t="n"/>
      <c r="P441" s="23" t="n"/>
      <c r="Q441" s="23" t="n"/>
      <c r="R441" s="23" t="n"/>
      <c r="S441" s="23" t="n"/>
      <c r="T441" s="23" t="n"/>
      <c r="U441" s="23" t="n"/>
      <c r="V441" s="23" t="n"/>
      <c r="W441" s="23" t="n"/>
      <c r="X441" s="23" t="n"/>
      <c r="Y441" s="23" t="n"/>
      <c r="Z441" s="23" t="n"/>
    </row>
    <row r="442" ht="15.75" customHeight="1" s="86">
      <c r="A442" s="23" t="n"/>
      <c r="B442" s="23" t="n"/>
      <c r="C442" s="23" t="n"/>
      <c r="D442" s="23" t="n"/>
      <c r="E442" s="23" t="n"/>
      <c r="F442" s="23" t="n"/>
      <c r="G442" s="23" t="n"/>
      <c r="H442" s="23" t="n"/>
      <c r="I442" s="23" t="n"/>
      <c r="J442" s="23" t="n"/>
      <c r="K442" s="23" t="n"/>
      <c r="L442" s="23" t="n"/>
      <c r="M442" s="23" t="n"/>
      <c r="N442" s="23" t="n"/>
      <c r="O442" s="23" t="n"/>
      <c r="P442" s="23" t="n"/>
      <c r="Q442" s="23" t="n"/>
      <c r="R442" s="23" t="n"/>
      <c r="S442" s="23" t="n"/>
      <c r="T442" s="23" t="n"/>
      <c r="U442" s="23" t="n"/>
      <c r="V442" s="23" t="n"/>
      <c r="W442" s="23" t="n"/>
      <c r="X442" s="23" t="n"/>
      <c r="Y442" s="23" t="n"/>
      <c r="Z442" s="23" t="n"/>
    </row>
    <row r="443" ht="15.75" customHeight="1" s="86">
      <c r="A443" s="23" t="n"/>
      <c r="B443" s="23" t="n"/>
      <c r="C443" s="23" t="n"/>
      <c r="D443" s="23" t="n"/>
      <c r="E443" s="23" t="n"/>
      <c r="F443" s="23" t="n"/>
      <c r="G443" s="23" t="n"/>
      <c r="H443" s="23" t="n"/>
      <c r="I443" s="23" t="n"/>
      <c r="J443" s="23" t="n"/>
      <c r="K443" s="23" t="n"/>
      <c r="L443" s="23" t="n"/>
      <c r="M443" s="23" t="n"/>
      <c r="N443" s="23" t="n"/>
      <c r="O443" s="23" t="n"/>
      <c r="P443" s="23" t="n"/>
      <c r="Q443" s="23" t="n"/>
      <c r="R443" s="23" t="n"/>
      <c r="S443" s="23" t="n"/>
      <c r="T443" s="23" t="n"/>
      <c r="U443" s="23" t="n"/>
      <c r="V443" s="23" t="n"/>
      <c r="W443" s="23" t="n"/>
      <c r="X443" s="23" t="n"/>
      <c r="Y443" s="23" t="n"/>
      <c r="Z443" s="23" t="n"/>
    </row>
    <row r="444" ht="15.75" customHeight="1" s="86">
      <c r="A444" s="23" t="n"/>
      <c r="B444" s="23" t="n"/>
      <c r="C444" s="23" t="n"/>
      <c r="D444" s="23" t="n"/>
      <c r="E444" s="23" t="n"/>
      <c r="F444" s="23" t="n"/>
      <c r="G444" s="23" t="n"/>
      <c r="H444" s="23" t="n"/>
      <c r="I444" s="23" t="n"/>
      <c r="J444" s="23" t="n"/>
      <c r="K444" s="23" t="n"/>
      <c r="L444" s="23" t="n"/>
      <c r="M444" s="23" t="n"/>
      <c r="N444" s="23" t="n"/>
      <c r="O444" s="23" t="n"/>
      <c r="P444" s="23" t="n"/>
      <c r="Q444" s="23" t="n"/>
      <c r="R444" s="23" t="n"/>
      <c r="S444" s="23" t="n"/>
      <c r="T444" s="23" t="n"/>
      <c r="U444" s="23" t="n"/>
      <c r="V444" s="23" t="n"/>
      <c r="W444" s="23" t="n"/>
      <c r="X444" s="23" t="n"/>
      <c r="Y444" s="23" t="n"/>
      <c r="Z444" s="23" t="n"/>
    </row>
    <row r="445" ht="15.75" customHeight="1" s="86">
      <c r="A445" s="23" t="n"/>
      <c r="B445" s="23" t="n"/>
      <c r="C445" s="23" t="n"/>
      <c r="D445" s="23" t="n"/>
      <c r="E445" s="23" t="n"/>
      <c r="F445" s="23" t="n"/>
      <c r="G445" s="23" t="n"/>
      <c r="H445" s="23" t="n"/>
      <c r="I445" s="23" t="n"/>
      <c r="J445" s="23" t="n"/>
      <c r="K445" s="23" t="n"/>
      <c r="L445" s="23" t="n"/>
      <c r="M445" s="23" t="n"/>
      <c r="N445" s="23" t="n"/>
      <c r="O445" s="23" t="n"/>
      <c r="P445" s="23" t="n"/>
      <c r="Q445" s="23" t="n"/>
      <c r="R445" s="23" t="n"/>
      <c r="S445" s="23" t="n"/>
      <c r="T445" s="23" t="n"/>
      <c r="U445" s="23" t="n"/>
      <c r="V445" s="23" t="n"/>
      <c r="W445" s="23" t="n"/>
      <c r="X445" s="23" t="n"/>
      <c r="Y445" s="23" t="n"/>
      <c r="Z445" s="23" t="n"/>
    </row>
    <row r="446" ht="15.75" customHeight="1" s="86">
      <c r="A446" s="23" t="n"/>
      <c r="B446" s="23" t="n"/>
      <c r="C446" s="23" t="n"/>
      <c r="D446" s="23" t="n"/>
      <c r="E446" s="23" t="n"/>
      <c r="F446" s="23" t="n"/>
      <c r="G446" s="23" t="n"/>
      <c r="H446" s="23" t="n"/>
      <c r="I446" s="23" t="n"/>
      <c r="J446" s="23" t="n"/>
      <c r="K446" s="23" t="n"/>
      <c r="L446" s="23" t="n"/>
      <c r="M446" s="23" t="n"/>
      <c r="N446" s="23" t="n"/>
      <c r="O446" s="23" t="n"/>
      <c r="P446" s="23" t="n"/>
      <c r="Q446" s="23" t="n"/>
      <c r="R446" s="23" t="n"/>
      <c r="S446" s="23" t="n"/>
      <c r="T446" s="23" t="n"/>
      <c r="U446" s="23" t="n"/>
      <c r="V446" s="23" t="n"/>
      <c r="W446" s="23" t="n"/>
      <c r="X446" s="23" t="n"/>
      <c r="Y446" s="23" t="n"/>
      <c r="Z446" s="23" t="n"/>
    </row>
    <row r="447" ht="15.75" customHeight="1" s="86">
      <c r="A447" s="23" t="n"/>
      <c r="B447" s="23" t="n"/>
      <c r="C447" s="23" t="n"/>
      <c r="D447" s="23" t="n"/>
      <c r="E447" s="23" t="n"/>
      <c r="F447" s="23" t="n"/>
      <c r="G447" s="23" t="n"/>
      <c r="H447" s="23" t="n"/>
      <c r="I447" s="23" t="n"/>
      <c r="J447" s="23" t="n"/>
      <c r="K447" s="23" t="n"/>
      <c r="L447" s="23" t="n"/>
      <c r="M447" s="23" t="n"/>
      <c r="N447" s="23" t="n"/>
      <c r="O447" s="23" t="n"/>
      <c r="P447" s="23" t="n"/>
      <c r="Q447" s="23" t="n"/>
      <c r="R447" s="23" t="n"/>
      <c r="S447" s="23" t="n"/>
      <c r="T447" s="23" t="n"/>
      <c r="U447" s="23" t="n"/>
      <c r="V447" s="23" t="n"/>
      <c r="W447" s="23" t="n"/>
      <c r="X447" s="23" t="n"/>
      <c r="Y447" s="23" t="n"/>
      <c r="Z447" s="23" t="n"/>
    </row>
    <row r="448" ht="15.75" customHeight="1" s="86">
      <c r="A448" s="23" t="n"/>
      <c r="B448" s="23" t="n"/>
      <c r="C448" s="23" t="n"/>
      <c r="D448" s="23" t="n"/>
      <c r="E448" s="23" t="n"/>
      <c r="F448" s="23" t="n"/>
      <c r="G448" s="23" t="n"/>
      <c r="H448" s="23" t="n"/>
      <c r="I448" s="23" t="n"/>
      <c r="J448" s="23" t="n"/>
      <c r="K448" s="23" t="n"/>
      <c r="L448" s="23" t="n"/>
      <c r="M448" s="23" t="n"/>
      <c r="N448" s="23" t="n"/>
      <c r="O448" s="23" t="n"/>
      <c r="P448" s="23" t="n"/>
      <c r="Q448" s="23" t="n"/>
      <c r="R448" s="23" t="n"/>
      <c r="S448" s="23" t="n"/>
      <c r="T448" s="23" t="n"/>
      <c r="U448" s="23" t="n"/>
      <c r="V448" s="23" t="n"/>
      <c r="W448" s="23" t="n"/>
      <c r="X448" s="23" t="n"/>
      <c r="Y448" s="23" t="n"/>
      <c r="Z448" s="23" t="n"/>
    </row>
    <row r="449" ht="15.75" customHeight="1" s="86">
      <c r="A449" s="23" t="n"/>
      <c r="B449" s="23" t="n"/>
      <c r="C449" s="23" t="n"/>
      <c r="D449" s="23" t="n"/>
      <c r="E449" s="23" t="n"/>
      <c r="F449" s="23" t="n"/>
      <c r="G449" s="23" t="n"/>
      <c r="H449" s="23" t="n"/>
      <c r="I449" s="23" t="n"/>
      <c r="J449" s="23" t="n"/>
      <c r="K449" s="23" t="n"/>
      <c r="L449" s="23" t="n"/>
      <c r="M449" s="23" t="n"/>
      <c r="N449" s="23" t="n"/>
      <c r="O449" s="23" t="n"/>
      <c r="P449" s="23" t="n"/>
      <c r="Q449" s="23" t="n"/>
      <c r="R449" s="23" t="n"/>
      <c r="S449" s="23" t="n"/>
      <c r="T449" s="23" t="n"/>
      <c r="U449" s="23" t="n"/>
      <c r="V449" s="23" t="n"/>
      <c r="W449" s="23" t="n"/>
      <c r="X449" s="23" t="n"/>
      <c r="Y449" s="23" t="n"/>
      <c r="Z449" s="23" t="n"/>
    </row>
    <row r="450" ht="15.75" customHeight="1" s="86">
      <c r="A450" s="23" t="n"/>
      <c r="B450" s="23" t="n"/>
      <c r="C450" s="23" t="n"/>
      <c r="D450" s="23" t="n"/>
      <c r="E450" s="23" t="n"/>
      <c r="F450" s="23" t="n"/>
      <c r="G450" s="23" t="n"/>
      <c r="H450" s="23" t="n"/>
      <c r="I450" s="23" t="n"/>
      <c r="J450" s="23" t="n"/>
      <c r="K450" s="23" t="n"/>
      <c r="L450" s="23" t="n"/>
      <c r="M450" s="23" t="n"/>
      <c r="N450" s="23" t="n"/>
      <c r="O450" s="23" t="n"/>
      <c r="P450" s="23" t="n"/>
      <c r="Q450" s="23" t="n"/>
      <c r="R450" s="23" t="n"/>
      <c r="S450" s="23" t="n"/>
      <c r="T450" s="23" t="n"/>
      <c r="U450" s="23" t="n"/>
      <c r="V450" s="23" t="n"/>
      <c r="W450" s="23" t="n"/>
      <c r="X450" s="23" t="n"/>
      <c r="Y450" s="23" t="n"/>
      <c r="Z450" s="23" t="n"/>
    </row>
    <row r="451" ht="15.75" customHeight="1" s="86">
      <c r="A451" s="23" t="n"/>
      <c r="B451" s="23" t="n"/>
      <c r="C451" s="23" t="n"/>
      <c r="D451" s="23" t="n"/>
      <c r="E451" s="23" t="n"/>
      <c r="F451" s="23" t="n"/>
      <c r="G451" s="23" t="n"/>
      <c r="H451" s="23" t="n"/>
      <c r="I451" s="23" t="n"/>
      <c r="J451" s="23" t="n"/>
      <c r="K451" s="23" t="n"/>
      <c r="L451" s="23" t="n"/>
      <c r="M451" s="23" t="n"/>
      <c r="N451" s="23" t="n"/>
      <c r="O451" s="23" t="n"/>
      <c r="P451" s="23" t="n"/>
      <c r="Q451" s="23" t="n"/>
      <c r="R451" s="23" t="n"/>
      <c r="S451" s="23" t="n"/>
      <c r="T451" s="23" t="n"/>
      <c r="U451" s="23" t="n"/>
      <c r="V451" s="23" t="n"/>
      <c r="W451" s="23" t="n"/>
      <c r="X451" s="23" t="n"/>
      <c r="Y451" s="23" t="n"/>
      <c r="Z451" s="23" t="n"/>
    </row>
    <row r="452" ht="15.75" customHeight="1" s="86">
      <c r="A452" s="23" t="n"/>
      <c r="B452" s="23" t="n"/>
      <c r="C452" s="23" t="n"/>
      <c r="D452" s="23" t="n"/>
      <c r="E452" s="23" t="n"/>
      <c r="F452" s="23" t="n"/>
      <c r="G452" s="23" t="n"/>
      <c r="H452" s="23" t="n"/>
      <c r="I452" s="23" t="n"/>
      <c r="J452" s="23" t="n"/>
      <c r="K452" s="23" t="n"/>
      <c r="L452" s="23" t="n"/>
      <c r="M452" s="23" t="n"/>
      <c r="N452" s="23" t="n"/>
      <c r="O452" s="23" t="n"/>
      <c r="P452" s="23" t="n"/>
      <c r="Q452" s="23" t="n"/>
      <c r="R452" s="23" t="n"/>
      <c r="S452" s="23" t="n"/>
      <c r="T452" s="23" t="n"/>
      <c r="U452" s="23" t="n"/>
      <c r="V452" s="23" t="n"/>
      <c r="W452" s="23" t="n"/>
      <c r="X452" s="23" t="n"/>
      <c r="Y452" s="23" t="n"/>
      <c r="Z452" s="23" t="n"/>
    </row>
    <row r="453" ht="15.75" customHeight="1" s="86">
      <c r="A453" s="23" t="n"/>
      <c r="B453" s="23" t="n"/>
      <c r="C453" s="23" t="n"/>
      <c r="D453" s="23" t="n"/>
      <c r="E453" s="23" t="n"/>
      <c r="F453" s="23" t="n"/>
      <c r="G453" s="23" t="n"/>
      <c r="H453" s="23" t="n"/>
      <c r="I453" s="23" t="n"/>
      <c r="J453" s="23" t="n"/>
      <c r="K453" s="23" t="n"/>
      <c r="L453" s="23" t="n"/>
      <c r="M453" s="23" t="n"/>
      <c r="N453" s="23" t="n"/>
      <c r="O453" s="23" t="n"/>
      <c r="P453" s="23" t="n"/>
      <c r="Q453" s="23" t="n"/>
      <c r="R453" s="23" t="n"/>
      <c r="S453" s="23" t="n"/>
      <c r="T453" s="23" t="n"/>
      <c r="U453" s="23" t="n"/>
      <c r="V453" s="23" t="n"/>
      <c r="W453" s="23" t="n"/>
      <c r="X453" s="23" t="n"/>
      <c r="Y453" s="23" t="n"/>
      <c r="Z453" s="23" t="n"/>
    </row>
    <row r="454" ht="15.75" customHeight="1" s="86">
      <c r="A454" s="23" t="n"/>
      <c r="B454" s="23" t="n"/>
      <c r="C454" s="23" t="n"/>
      <c r="D454" s="23" t="n"/>
      <c r="E454" s="23" t="n"/>
      <c r="F454" s="23" t="n"/>
      <c r="G454" s="23" t="n"/>
      <c r="H454" s="23" t="n"/>
      <c r="I454" s="23" t="n"/>
      <c r="J454" s="23" t="n"/>
      <c r="K454" s="23" t="n"/>
      <c r="L454" s="23" t="n"/>
      <c r="M454" s="23" t="n"/>
      <c r="N454" s="23" t="n"/>
      <c r="O454" s="23" t="n"/>
      <c r="P454" s="23" t="n"/>
      <c r="Q454" s="23" t="n"/>
      <c r="R454" s="23" t="n"/>
      <c r="S454" s="23" t="n"/>
      <c r="T454" s="23" t="n"/>
      <c r="U454" s="23" t="n"/>
      <c r="V454" s="23" t="n"/>
      <c r="W454" s="23" t="n"/>
      <c r="X454" s="23" t="n"/>
      <c r="Y454" s="23" t="n"/>
      <c r="Z454" s="23" t="n"/>
    </row>
    <row r="455" ht="15.75" customHeight="1" s="86">
      <c r="A455" s="23" t="n"/>
      <c r="B455" s="23" t="n"/>
      <c r="C455" s="23" t="n"/>
      <c r="D455" s="23" t="n"/>
      <c r="E455" s="23" t="n"/>
      <c r="F455" s="23" t="n"/>
      <c r="G455" s="23" t="n"/>
      <c r="H455" s="23" t="n"/>
      <c r="I455" s="23" t="n"/>
      <c r="J455" s="23" t="n"/>
      <c r="K455" s="23" t="n"/>
      <c r="L455" s="23" t="n"/>
      <c r="M455" s="23" t="n"/>
      <c r="N455" s="23" t="n"/>
      <c r="O455" s="23" t="n"/>
      <c r="P455" s="23" t="n"/>
      <c r="Q455" s="23" t="n"/>
      <c r="R455" s="23" t="n"/>
      <c r="S455" s="23" t="n"/>
      <c r="T455" s="23" t="n"/>
      <c r="U455" s="23" t="n"/>
      <c r="V455" s="23" t="n"/>
      <c r="W455" s="23" t="n"/>
      <c r="X455" s="23" t="n"/>
      <c r="Y455" s="23" t="n"/>
      <c r="Z455" s="23" t="n"/>
    </row>
    <row r="456" ht="15.75" customHeight="1" s="86">
      <c r="A456" s="23" t="n"/>
      <c r="B456" s="23" t="n"/>
      <c r="C456" s="23" t="n"/>
      <c r="D456" s="23" t="n"/>
      <c r="E456" s="23" t="n"/>
      <c r="F456" s="23" t="n"/>
      <c r="G456" s="23" t="n"/>
      <c r="H456" s="23" t="n"/>
      <c r="I456" s="23" t="n"/>
      <c r="J456" s="23" t="n"/>
      <c r="K456" s="23" t="n"/>
      <c r="L456" s="23" t="n"/>
      <c r="M456" s="23" t="n"/>
      <c r="N456" s="23" t="n"/>
      <c r="O456" s="23" t="n"/>
      <c r="P456" s="23" t="n"/>
      <c r="Q456" s="23" t="n"/>
      <c r="R456" s="23" t="n"/>
      <c r="S456" s="23" t="n"/>
      <c r="T456" s="23" t="n"/>
      <c r="U456" s="23" t="n"/>
      <c r="V456" s="23" t="n"/>
      <c r="W456" s="23" t="n"/>
      <c r="X456" s="23" t="n"/>
      <c r="Y456" s="23" t="n"/>
      <c r="Z456" s="23" t="n"/>
    </row>
    <row r="457" ht="15.75" customHeight="1" s="86">
      <c r="A457" s="23" t="n"/>
      <c r="B457" s="23" t="n"/>
      <c r="C457" s="23" t="n"/>
      <c r="D457" s="23" t="n"/>
      <c r="E457" s="23" t="n"/>
      <c r="F457" s="23" t="n"/>
      <c r="G457" s="23" t="n"/>
      <c r="H457" s="23" t="n"/>
      <c r="I457" s="23" t="n"/>
      <c r="J457" s="23" t="n"/>
      <c r="K457" s="23" t="n"/>
      <c r="L457" s="23" t="n"/>
      <c r="M457" s="23" t="n"/>
      <c r="N457" s="23" t="n"/>
      <c r="O457" s="23" t="n"/>
      <c r="P457" s="23" t="n"/>
      <c r="Q457" s="23" t="n"/>
      <c r="R457" s="23" t="n"/>
      <c r="S457" s="23" t="n"/>
      <c r="T457" s="23" t="n"/>
      <c r="U457" s="23" t="n"/>
      <c r="V457" s="23" t="n"/>
      <c r="W457" s="23" t="n"/>
      <c r="X457" s="23" t="n"/>
      <c r="Y457" s="23" t="n"/>
      <c r="Z457" s="23" t="n"/>
    </row>
    <row r="458" ht="15.75" customHeight="1" s="86">
      <c r="A458" s="23" t="n"/>
      <c r="B458" s="23" t="n"/>
      <c r="C458" s="23" t="n"/>
      <c r="D458" s="23" t="n"/>
      <c r="E458" s="23" t="n"/>
      <c r="F458" s="23" t="n"/>
      <c r="G458" s="23" t="n"/>
      <c r="H458" s="23" t="n"/>
      <c r="I458" s="23" t="n"/>
      <c r="J458" s="23" t="n"/>
      <c r="K458" s="23" t="n"/>
      <c r="L458" s="23" t="n"/>
      <c r="M458" s="23" t="n"/>
      <c r="N458" s="23" t="n"/>
      <c r="O458" s="23" t="n"/>
      <c r="P458" s="23" t="n"/>
      <c r="Q458" s="23" t="n"/>
      <c r="R458" s="23" t="n"/>
      <c r="S458" s="23" t="n"/>
      <c r="T458" s="23" t="n"/>
      <c r="U458" s="23" t="n"/>
      <c r="V458" s="23" t="n"/>
      <c r="W458" s="23" t="n"/>
      <c r="X458" s="23" t="n"/>
      <c r="Y458" s="23" t="n"/>
      <c r="Z458" s="23" t="n"/>
    </row>
    <row r="459" ht="15.75" customHeight="1" s="86">
      <c r="A459" s="23" t="n"/>
      <c r="B459" s="23" t="n"/>
      <c r="C459" s="23" t="n"/>
      <c r="D459" s="23" t="n"/>
      <c r="E459" s="23" t="n"/>
      <c r="F459" s="23" t="n"/>
      <c r="G459" s="23" t="n"/>
      <c r="H459" s="23" t="n"/>
      <c r="I459" s="23" t="n"/>
      <c r="J459" s="23" t="n"/>
      <c r="K459" s="23" t="n"/>
      <c r="L459" s="23" t="n"/>
      <c r="M459" s="23" t="n"/>
      <c r="N459" s="23" t="n"/>
      <c r="O459" s="23" t="n"/>
      <c r="P459" s="23" t="n"/>
      <c r="Q459" s="23" t="n"/>
      <c r="R459" s="23" t="n"/>
      <c r="S459" s="23" t="n"/>
      <c r="T459" s="23" t="n"/>
      <c r="U459" s="23" t="n"/>
      <c r="V459" s="23" t="n"/>
      <c r="W459" s="23" t="n"/>
      <c r="X459" s="23" t="n"/>
      <c r="Y459" s="23" t="n"/>
      <c r="Z459" s="23" t="n"/>
    </row>
    <row r="460" ht="15.75" customHeight="1" s="86">
      <c r="A460" s="23" t="n"/>
      <c r="B460" s="23" t="n"/>
      <c r="C460" s="23" t="n"/>
      <c r="D460" s="23" t="n"/>
      <c r="E460" s="23" t="n"/>
      <c r="F460" s="23" t="n"/>
      <c r="G460" s="23" t="n"/>
      <c r="H460" s="23" t="n"/>
      <c r="I460" s="23" t="n"/>
      <c r="J460" s="23" t="n"/>
      <c r="K460" s="23" t="n"/>
      <c r="L460" s="23" t="n"/>
      <c r="M460" s="23" t="n"/>
      <c r="N460" s="23" t="n"/>
      <c r="O460" s="23" t="n"/>
      <c r="P460" s="23" t="n"/>
      <c r="Q460" s="23" t="n"/>
      <c r="R460" s="23" t="n"/>
      <c r="S460" s="23" t="n"/>
      <c r="T460" s="23" t="n"/>
      <c r="U460" s="23" t="n"/>
      <c r="V460" s="23" t="n"/>
      <c r="W460" s="23" t="n"/>
      <c r="X460" s="23" t="n"/>
      <c r="Y460" s="23" t="n"/>
      <c r="Z460" s="23" t="n"/>
    </row>
    <row r="461" ht="15.75" customHeight="1" s="86">
      <c r="A461" s="23" t="n"/>
      <c r="B461" s="23" t="n"/>
      <c r="C461" s="23" t="n"/>
      <c r="D461" s="23" t="n"/>
      <c r="E461" s="23" t="n"/>
      <c r="F461" s="23" t="n"/>
      <c r="G461" s="23" t="n"/>
      <c r="H461" s="23" t="n"/>
      <c r="I461" s="23" t="n"/>
      <c r="J461" s="23" t="n"/>
      <c r="K461" s="23" t="n"/>
      <c r="L461" s="23" t="n"/>
      <c r="M461" s="23" t="n"/>
      <c r="N461" s="23" t="n"/>
      <c r="O461" s="23" t="n"/>
      <c r="P461" s="23" t="n"/>
      <c r="Q461" s="23" t="n"/>
      <c r="R461" s="23" t="n"/>
      <c r="S461" s="23" t="n"/>
      <c r="T461" s="23" t="n"/>
      <c r="U461" s="23" t="n"/>
      <c r="V461" s="23" t="n"/>
      <c r="W461" s="23" t="n"/>
      <c r="X461" s="23" t="n"/>
      <c r="Y461" s="23" t="n"/>
      <c r="Z461" s="23" t="n"/>
    </row>
    <row r="462" ht="15.75" customHeight="1" s="86">
      <c r="A462" s="23" t="n"/>
      <c r="B462" s="23" t="n"/>
      <c r="C462" s="23" t="n"/>
      <c r="D462" s="23" t="n"/>
      <c r="E462" s="23" t="n"/>
      <c r="F462" s="23" t="n"/>
      <c r="G462" s="23" t="n"/>
      <c r="H462" s="23" t="n"/>
      <c r="I462" s="23" t="n"/>
      <c r="J462" s="23" t="n"/>
      <c r="K462" s="23" t="n"/>
      <c r="L462" s="23" t="n"/>
      <c r="M462" s="23" t="n"/>
      <c r="N462" s="23" t="n"/>
      <c r="O462" s="23" t="n"/>
      <c r="P462" s="23" t="n"/>
      <c r="Q462" s="23" t="n"/>
      <c r="R462" s="23" t="n"/>
      <c r="S462" s="23" t="n"/>
      <c r="T462" s="23" t="n"/>
      <c r="U462" s="23" t="n"/>
      <c r="V462" s="23" t="n"/>
      <c r="W462" s="23" t="n"/>
      <c r="X462" s="23" t="n"/>
      <c r="Y462" s="23" t="n"/>
      <c r="Z462" s="23" t="n"/>
    </row>
    <row r="463" ht="15.75" customHeight="1" s="86">
      <c r="A463" s="23" t="n"/>
      <c r="B463" s="23" t="n"/>
      <c r="C463" s="23" t="n"/>
      <c r="D463" s="23" t="n"/>
      <c r="E463" s="23" t="n"/>
      <c r="F463" s="23" t="n"/>
      <c r="G463" s="23" t="n"/>
      <c r="H463" s="23" t="n"/>
      <c r="I463" s="23" t="n"/>
      <c r="J463" s="23" t="n"/>
      <c r="K463" s="23" t="n"/>
      <c r="L463" s="23" t="n"/>
      <c r="M463" s="23" t="n"/>
      <c r="N463" s="23" t="n"/>
      <c r="O463" s="23" t="n"/>
      <c r="P463" s="23" t="n"/>
      <c r="Q463" s="23" t="n"/>
      <c r="R463" s="23" t="n"/>
      <c r="S463" s="23" t="n"/>
      <c r="T463" s="23" t="n"/>
      <c r="U463" s="23" t="n"/>
      <c r="V463" s="23" t="n"/>
      <c r="W463" s="23" t="n"/>
      <c r="X463" s="23" t="n"/>
      <c r="Y463" s="23" t="n"/>
      <c r="Z463" s="23" t="n"/>
    </row>
    <row r="464" ht="15.75" customHeight="1" s="86">
      <c r="A464" s="23" t="n"/>
      <c r="B464" s="23" t="n"/>
      <c r="C464" s="23" t="n"/>
      <c r="D464" s="23" t="n"/>
      <c r="E464" s="23" t="n"/>
      <c r="F464" s="23" t="n"/>
      <c r="G464" s="23" t="n"/>
      <c r="H464" s="23" t="n"/>
      <c r="I464" s="23" t="n"/>
      <c r="J464" s="23" t="n"/>
      <c r="K464" s="23" t="n"/>
      <c r="L464" s="23" t="n"/>
      <c r="M464" s="23" t="n"/>
      <c r="N464" s="23" t="n"/>
      <c r="O464" s="23" t="n"/>
      <c r="P464" s="23" t="n"/>
      <c r="Q464" s="23" t="n"/>
      <c r="R464" s="23" t="n"/>
      <c r="S464" s="23" t="n"/>
      <c r="T464" s="23" t="n"/>
      <c r="U464" s="23" t="n"/>
      <c r="V464" s="23" t="n"/>
      <c r="W464" s="23" t="n"/>
      <c r="X464" s="23" t="n"/>
      <c r="Y464" s="23" t="n"/>
      <c r="Z464" s="23" t="n"/>
    </row>
    <row r="465" ht="15.75" customHeight="1" s="86">
      <c r="A465" s="23" t="n"/>
      <c r="B465" s="23" t="n"/>
      <c r="C465" s="23" t="n"/>
      <c r="D465" s="23" t="n"/>
      <c r="E465" s="23" t="n"/>
      <c r="F465" s="23" t="n"/>
      <c r="G465" s="23" t="n"/>
      <c r="H465" s="23" t="n"/>
      <c r="I465" s="23" t="n"/>
      <c r="J465" s="23" t="n"/>
      <c r="K465" s="23" t="n"/>
      <c r="L465" s="23" t="n"/>
      <c r="M465" s="23" t="n"/>
      <c r="N465" s="23" t="n"/>
      <c r="O465" s="23" t="n"/>
      <c r="P465" s="23" t="n"/>
      <c r="Q465" s="23" t="n"/>
      <c r="R465" s="23" t="n"/>
      <c r="S465" s="23" t="n"/>
      <c r="T465" s="23" t="n"/>
      <c r="U465" s="23" t="n"/>
      <c r="V465" s="23" t="n"/>
      <c r="W465" s="23" t="n"/>
      <c r="X465" s="23" t="n"/>
      <c r="Y465" s="23" t="n"/>
      <c r="Z465" s="23" t="n"/>
    </row>
    <row r="466" ht="15.75" customHeight="1" s="86">
      <c r="A466" s="23" t="n"/>
      <c r="B466" s="23" t="n"/>
      <c r="C466" s="23" t="n"/>
      <c r="D466" s="23" t="n"/>
      <c r="E466" s="23" t="n"/>
      <c r="F466" s="23" t="n"/>
      <c r="G466" s="23" t="n"/>
      <c r="H466" s="23" t="n"/>
      <c r="I466" s="23" t="n"/>
      <c r="J466" s="23" t="n"/>
      <c r="K466" s="23" t="n"/>
      <c r="L466" s="23" t="n"/>
      <c r="M466" s="23" t="n"/>
      <c r="N466" s="23" t="n"/>
      <c r="O466" s="23" t="n"/>
      <c r="P466" s="23" t="n"/>
      <c r="Q466" s="23" t="n"/>
      <c r="R466" s="23" t="n"/>
      <c r="S466" s="23" t="n"/>
      <c r="T466" s="23" t="n"/>
      <c r="U466" s="23" t="n"/>
      <c r="V466" s="23" t="n"/>
      <c r="W466" s="23" t="n"/>
      <c r="X466" s="23" t="n"/>
      <c r="Y466" s="23" t="n"/>
      <c r="Z466" s="23" t="n"/>
    </row>
    <row r="467" ht="15.75" customHeight="1" s="86">
      <c r="A467" s="23" t="n"/>
      <c r="B467" s="23" t="n"/>
      <c r="C467" s="23" t="n"/>
      <c r="D467" s="23" t="n"/>
      <c r="E467" s="23" t="n"/>
      <c r="F467" s="23" t="n"/>
      <c r="G467" s="23" t="n"/>
      <c r="H467" s="23" t="n"/>
      <c r="I467" s="23" t="n"/>
      <c r="J467" s="23" t="n"/>
      <c r="K467" s="23" t="n"/>
      <c r="L467" s="23" t="n"/>
      <c r="M467" s="23" t="n"/>
      <c r="N467" s="23" t="n"/>
      <c r="O467" s="23" t="n"/>
      <c r="P467" s="23" t="n"/>
      <c r="Q467" s="23" t="n"/>
      <c r="R467" s="23" t="n"/>
      <c r="S467" s="23" t="n"/>
      <c r="T467" s="23" t="n"/>
      <c r="U467" s="23" t="n"/>
      <c r="V467" s="23" t="n"/>
      <c r="W467" s="23" t="n"/>
      <c r="X467" s="23" t="n"/>
      <c r="Y467" s="23" t="n"/>
      <c r="Z467" s="23" t="n"/>
    </row>
    <row r="468" ht="15.75" customHeight="1" s="86">
      <c r="A468" s="23" t="n"/>
      <c r="B468" s="23" t="n"/>
      <c r="C468" s="23" t="n"/>
      <c r="D468" s="23" t="n"/>
      <c r="E468" s="23" t="n"/>
      <c r="F468" s="23" t="n"/>
      <c r="G468" s="23" t="n"/>
      <c r="H468" s="23" t="n"/>
      <c r="I468" s="23" t="n"/>
      <c r="J468" s="23" t="n"/>
      <c r="K468" s="23" t="n"/>
      <c r="L468" s="23" t="n"/>
      <c r="M468" s="23" t="n"/>
      <c r="N468" s="23" t="n"/>
      <c r="O468" s="23" t="n"/>
      <c r="P468" s="23" t="n"/>
      <c r="Q468" s="23" t="n"/>
      <c r="R468" s="23" t="n"/>
      <c r="S468" s="23" t="n"/>
      <c r="T468" s="23" t="n"/>
      <c r="U468" s="23" t="n"/>
      <c r="V468" s="23" t="n"/>
      <c r="W468" s="23" t="n"/>
      <c r="X468" s="23" t="n"/>
      <c r="Y468" s="23" t="n"/>
      <c r="Z468" s="23" t="n"/>
    </row>
    <row r="469" ht="15.75" customHeight="1" s="86">
      <c r="A469" s="23" t="n"/>
      <c r="B469" s="23" t="n"/>
      <c r="C469" s="23" t="n"/>
      <c r="D469" s="23" t="n"/>
      <c r="E469" s="23" t="n"/>
      <c r="F469" s="23" t="n"/>
      <c r="G469" s="23" t="n"/>
      <c r="H469" s="23" t="n"/>
      <c r="I469" s="23" t="n"/>
      <c r="J469" s="23" t="n"/>
      <c r="K469" s="23" t="n"/>
      <c r="L469" s="23" t="n"/>
      <c r="M469" s="23" t="n"/>
      <c r="N469" s="23" t="n"/>
      <c r="O469" s="23" t="n"/>
      <c r="P469" s="23" t="n"/>
      <c r="Q469" s="23" t="n"/>
      <c r="R469" s="23" t="n"/>
      <c r="S469" s="23" t="n"/>
      <c r="T469" s="23" t="n"/>
      <c r="U469" s="23" t="n"/>
      <c r="V469" s="23" t="n"/>
      <c r="W469" s="23" t="n"/>
      <c r="X469" s="23" t="n"/>
      <c r="Y469" s="23" t="n"/>
      <c r="Z469" s="23" t="n"/>
    </row>
    <row r="470" ht="15.75" customHeight="1" s="86">
      <c r="A470" s="23" t="n"/>
      <c r="B470" s="23" t="n"/>
      <c r="C470" s="23" t="n"/>
      <c r="D470" s="23" t="n"/>
      <c r="E470" s="23" t="n"/>
      <c r="F470" s="23" t="n"/>
      <c r="G470" s="23" t="n"/>
      <c r="H470" s="23" t="n"/>
      <c r="I470" s="23" t="n"/>
      <c r="J470" s="23" t="n"/>
      <c r="K470" s="23" t="n"/>
      <c r="L470" s="23" t="n"/>
      <c r="M470" s="23" t="n"/>
      <c r="N470" s="23" t="n"/>
      <c r="O470" s="23" t="n"/>
      <c r="P470" s="23" t="n"/>
      <c r="Q470" s="23" t="n"/>
      <c r="R470" s="23" t="n"/>
      <c r="S470" s="23" t="n"/>
      <c r="T470" s="23" t="n"/>
      <c r="U470" s="23" t="n"/>
      <c r="V470" s="23" t="n"/>
      <c r="W470" s="23" t="n"/>
      <c r="X470" s="23" t="n"/>
      <c r="Y470" s="23" t="n"/>
      <c r="Z470" s="23" t="n"/>
    </row>
    <row r="471" ht="15.75" customHeight="1" s="86">
      <c r="A471" s="23" t="n"/>
      <c r="B471" s="23" t="n"/>
      <c r="C471" s="23" t="n"/>
      <c r="D471" s="23" t="n"/>
      <c r="E471" s="23" t="n"/>
      <c r="F471" s="23" t="n"/>
      <c r="G471" s="23" t="n"/>
      <c r="H471" s="23" t="n"/>
      <c r="I471" s="23" t="n"/>
      <c r="J471" s="23" t="n"/>
      <c r="K471" s="23" t="n"/>
      <c r="L471" s="23" t="n"/>
      <c r="M471" s="23" t="n"/>
      <c r="N471" s="23" t="n"/>
      <c r="O471" s="23" t="n"/>
      <c r="P471" s="23" t="n"/>
      <c r="Q471" s="23" t="n"/>
      <c r="R471" s="23" t="n"/>
      <c r="S471" s="23" t="n"/>
      <c r="T471" s="23" t="n"/>
      <c r="U471" s="23" t="n"/>
      <c r="V471" s="23" t="n"/>
      <c r="W471" s="23" t="n"/>
      <c r="X471" s="23" t="n"/>
      <c r="Y471" s="23" t="n"/>
      <c r="Z471" s="23" t="n"/>
    </row>
    <row r="472" ht="15.75" customHeight="1" s="86">
      <c r="A472" s="23" t="n"/>
      <c r="B472" s="23" t="n"/>
      <c r="C472" s="23" t="n"/>
      <c r="D472" s="23" t="n"/>
      <c r="E472" s="23" t="n"/>
      <c r="F472" s="23" t="n"/>
      <c r="G472" s="23" t="n"/>
      <c r="H472" s="23" t="n"/>
      <c r="I472" s="23" t="n"/>
      <c r="J472" s="23" t="n"/>
      <c r="K472" s="23" t="n"/>
      <c r="L472" s="23" t="n"/>
      <c r="M472" s="23" t="n"/>
      <c r="N472" s="23" t="n"/>
      <c r="O472" s="23" t="n"/>
      <c r="P472" s="23" t="n"/>
      <c r="Q472" s="23" t="n"/>
      <c r="R472" s="23" t="n"/>
      <c r="S472" s="23" t="n"/>
      <c r="T472" s="23" t="n"/>
      <c r="U472" s="23" t="n"/>
      <c r="V472" s="23" t="n"/>
      <c r="W472" s="23" t="n"/>
      <c r="X472" s="23" t="n"/>
      <c r="Y472" s="23" t="n"/>
      <c r="Z472" s="23" t="n"/>
    </row>
    <row r="473" ht="15.75" customHeight="1" s="86">
      <c r="A473" s="23" t="n"/>
      <c r="B473" s="23" t="n"/>
      <c r="C473" s="23" t="n"/>
      <c r="D473" s="23" t="n"/>
      <c r="E473" s="23" t="n"/>
      <c r="F473" s="23" t="n"/>
      <c r="G473" s="23" t="n"/>
      <c r="H473" s="23" t="n"/>
      <c r="I473" s="23" t="n"/>
      <c r="J473" s="23" t="n"/>
      <c r="K473" s="23" t="n"/>
      <c r="L473" s="23" t="n"/>
      <c r="M473" s="23" t="n"/>
      <c r="N473" s="23" t="n"/>
      <c r="O473" s="23" t="n"/>
      <c r="P473" s="23" t="n"/>
      <c r="Q473" s="23" t="n"/>
      <c r="R473" s="23" t="n"/>
      <c r="S473" s="23" t="n"/>
      <c r="T473" s="23" t="n"/>
      <c r="U473" s="23" t="n"/>
      <c r="V473" s="23" t="n"/>
      <c r="W473" s="23" t="n"/>
      <c r="X473" s="23" t="n"/>
      <c r="Y473" s="23" t="n"/>
      <c r="Z473" s="23" t="n"/>
    </row>
    <row r="474" ht="15.75" customHeight="1" s="86">
      <c r="A474" s="23" t="n"/>
      <c r="B474" s="23" t="n"/>
      <c r="C474" s="23" t="n"/>
      <c r="D474" s="23" t="n"/>
      <c r="E474" s="23" t="n"/>
      <c r="F474" s="23" t="n"/>
      <c r="G474" s="23" t="n"/>
      <c r="H474" s="23" t="n"/>
      <c r="I474" s="23" t="n"/>
      <c r="J474" s="23" t="n"/>
      <c r="K474" s="23" t="n"/>
      <c r="L474" s="23" t="n"/>
      <c r="M474" s="23" t="n"/>
      <c r="N474" s="23" t="n"/>
      <c r="O474" s="23" t="n"/>
      <c r="P474" s="23" t="n"/>
      <c r="Q474" s="23" t="n"/>
      <c r="R474" s="23" t="n"/>
      <c r="S474" s="23" t="n"/>
      <c r="T474" s="23" t="n"/>
      <c r="U474" s="23" t="n"/>
      <c r="V474" s="23" t="n"/>
      <c r="W474" s="23" t="n"/>
      <c r="X474" s="23" t="n"/>
      <c r="Y474" s="23" t="n"/>
      <c r="Z474" s="23" t="n"/>
    </row>
    <row r="475" ht="15.75" customHeight="1" s="86">
      <c r="A475" s="23" t="n"/>
      <c r="B475" s="23" t="n"/>
      <c r="C475" s="23" t="n"/>
      <c r="D475" s="23" t="n"/>
      <c r="E475" s="23" t="n"/>
      <c r="F475" s="23" t="n"/>
      <c r="G475" s="23" t="n"/>
      <c r="H475" s="23" t="n"/>
      <c r="I475" s="23" t="n"/>
      <c r="J475" s="23" t="n"/>
      <c r="K475" s="23" t="n"/>
      <c r="L475" s="23" t="n"/>
      <c r="M475" s="23" t="n"/>
      <c r="N475" s="23" t="n"/>
      <c r="O475" s="23" t="n"/>
      <c r="P475" s="23" t="n"/>
      <c r="Q475" s="23" t="n"/>
      <c r="R475" s="23" t="n"/>
      <c r="S475" s="23" t="n"/>
      <c r="T475" s="23" t="n"/>
      <c r="U475" s="23" t="n"/>
      <c r="V475" s="23" t="n"/>
      <c r="W475" s="23" t="n"/>
      <c r="X475" s="23" t="n"/>
      <c r="Y475" s="23" t="n"/>
      <c r="Z475" s="23" t="n"/>
    </row>
    <row r="476" ht="15.75" customHeight="1" s="86">
      <c r="A476" s="23" t="n"/>
      <c r="B476" s="23" t="n"/>
      <c r="C476" s="23" t="n"/>
      <c r="D476" s="23" t="n"/>
      <c r="E476" s="23" t="n"/>
      <c r="F476" s="23" t="n"/>
      <c r="G476" s="23" t="n"/>
      <c r="H476" s="23" t="n"/>
      <c r="I476" s="23" t="n"/>
      <c r="J476" s="23" t="n"/>
      <c r="K476" s="23" t="n"/>
      <c r="L476" s="23" t="n"/>
      <c r="M476" s="23" t="n"/>
      <c r="N476" s="23" t="n"/>
      <c r="O476" s="23" t="n"/>
      <c r="P476" s="23" t="n"/>
      <c r="Q476" s="23" t="n"/>
      <c r="R476" s="23" t="n"/>
      <c r="S476" s="23" t="n"/>
      <c r="T476" s="23" t="n"/>
      <c r="U476" s="23" t="n"/>
      <c r="V476" s="23" t="n"/>
      <c r="W476" s="23" t="n"/>
      <c r="X476" s="23" t="n"/>
      <c r="Y476" s="23" t="n"/>
      <c r="Z476" s="23" t="n"/>
    </row>
    <row r="477" ht="15.75" customHeight="1" s="86">
      <c r="A477" s="23" t="n"/>
      <c r="B477" s="23" t="n"/>
      <c r="C477" s="23" t="n"/>
      <c r="D477" s="23" t="n"/>
      <c r="E477" s="23" t="n"/>
      <c r="F477" s="23" t="n"/>
      <c r="G477" s="23" t="n"/>
      <c r="H477" s="23" t="n"/>
      <c r="I477" s="23" t="n"/>
      <c r="J477" s="23" t="n"/>
      <c r="K477" s="23" t="n"/>
      <c r="L477" s="23" t="n"/>
      <c r="M477" s="23" t="n"/>
      <c r="N477" s="23" t="n"/>
      <c r="O477" s="23" t="n"/>
      <c r="P477" s="23" t="n"/>
      <c r="Q477" s="23" t="n"/>
      <c r="R477" s="23" t="n"/>
      <c r="S477" s="23" t="n"/>
      <c r="T477" s="23" t="n"/>
      <c r="U477" s="23" t="n"/>
      <c r="V477" s="23" t="n"/>
      <c r="W477" s="23" t="n"/>
      <c r="X477" s="23" t="n"/>
      <c r="Y477" s="23" t="n"/>
      <c r="Z477" s="23" t="n"/>
    </row>
    <row r="478" ht="15.75" customHeight="1" s="86">
      <c r="A478" s="23" t="n"/>
      <c r="B478" s="23" t="n"/>
      <c r="C478" s="23" t="n"/>
      <c r="D478" s="23" t="n"/>
      <c r="E478" s="23" t="n"/>
      <c r="F478" s="23" t="n"/>
      <c r="G478" s="23" t="n"/>
      <c r="H478" s="23" t="n"/>
      <c r="I478" s="23" t="n"/>
      <c r="J478" s="23" t="n"/>
      <c r="K478" s="23" t="n"/>
      <c r="L478" s="23" t="n"/>
      <c r="M478" s="23" t="n"/>
      <c r="N478" s="23" t="n"/>
      <c r="O478" s="23" t="n"/>
      <c r="P478" s="23" t="n"/>
      <c r="Q478" s="23" t="n"/>
      <c r="R478" s="23" t="n"/>
      <c r="S478" s="23" t="n"/>
      <c r="T478" s="23" t="n"/>
      <c r="U478" s="23" t="n"/>
      <c r="V478" s="23" t="n"/>
      <c r="W478" s="23" t="n"/>
      <c r="X478" s="23" t="n"/>
      <c r="Y478" s="23" t="n"/>
      <c r="Z478" s="23" t="n"/>
    </row>
    <row r="479" ht="15.75" customHeight="1" s="86">
      <c r="A479" s="23" t="n"/>
      <c r="B479" s="23" t="n"/>
      <c r="C479" s="23" t="n"/>
      <c r="D479" s="23" t="n"/>
      <c r="E479" s="23" t="n"/>
      <c r="F479" s="23" t="n"/>
      <c r="G479" s="23" t="n"/>
      <c r="H479" s="23" t="n"/>
      <c r="I479" s="23" t="n"/>
      <c r="J479" s="23" t="n"/>
      <c r="K479" s="23" t="n"/>
      <c r="L479" s="23" t="n"/>
      <c r="M479" s="23" t="n"/>
      <c r="N479" s="23" t="n"/>
      <c r="O479" s="23" t="n"/>
      <c r="P479" s="23" t="n"/>
      <c r="Q479" s="23" t="n"/>
      <c r="R479" s="23" t="n"/>
      <c r="S479" s="23" t="n"/>
      <c r="T479" s="23" t="n"/>
      <c r="U479" s="23" t="n"/>
      <c r="V479" s="23" t="n"/>
      <c r="W479" s="23" t="n"/>
      <c r="X479" s="23" t="n"/>
      <c r="Y479" s="23" t="n"/>
      <c r="Z479" s="23" t="n"/>
    </row>
    <row r="480" ht="15.75" customHeight="1" s="86">
      <c r="A480" s="23" t="n"/>
      <c r="B480" s="23" t="n"/>
      <c r="C480" s="23" t="n"/>
      <c r="D480" s="23" t="n"/>
      <c r="E480" s="23" t="n"/>
      <c r="F480" s="23" t="n"/>
      <c r="G480" s="23" t="n"/>
      <c r="H480" s="23" t="n"/>
      <c r="I480" s="23" t="n"/>
      <c r="J480" s="23" t="n"/>
      <c r="K480" s="23" t="n"/>
      <c r="L480" s="23" t="n"/>
      <c r="M480" s="23" t="n"/>
      <c r="N480" s="23" t="n"/>
      <c r="O480" s="23" t="n"/>
      <c r="P480" s="23" t="n"/>
      <c r="Q480" s="23" t="n"/>
      <c r="R480" s="23" t="n"/>
      <c r="S480" s="23" t="n"/>
      <c r="T480" s="23" t="n"/>
      <c r="U480" s="23" t="n"/>
      <c r="V480" s="23" t="n"/>
      <c r="W480" s="23" t="n"/>
      <c r="X480" s="23" t="n"/>
      <c r="Y480" s="23" t="n"/>
      <c r="Z480" s="23" t="n"/>
    </row>
    <row r="481" ht="15.75" customHeight="1" s="86">
      <c r="A481" s="23" t="n"/>
      <c r="B481" s="23" t="n"/>
      <c r="C481" s="23" t="n"/>
      <c r="D481" s="23" t="n"/>
      <c r="E481" s="23" t="n"/>
      <c r="F481" s="23" t="n"/>
      <c r="G481" s="23" t="n"/>
      <c r="H481" s="23" t="n"/>
      <c r="I481" s="23" t="n"/>
      <c r="J481" s="23" t="n"/>
      <c r="K481" s="23" t="n"/>
      <c r="L481" s="23" t="n"/>
      <c r="M481" s="23" t="n"/>
      <c r="N481" s="23" t="n"/>
      <c r="O481" s="23" t="n"/>
      <c r="P481" s="23" t="n"/>
      <c r="Q481" s="23" t="n"/>
      <c r="R481" s="23" t="n"/>
      <c r="S481" s="23" t="n"/>
      <c r="T481" s="23" t="n"/>
      <c r="U481" s="23" t="n"/>
      <c r="V481" s="23" t="n"/>
      <c r="W481" s="23" t="n"/>
      <c r="X481" s="23" t="n"/>
      <c r="Y481" s="23" t="n"/>
      <c r="Z481" s="23" t="n"/>
    </row>
    <row r="482" ht="15.75" customHeight="1" s="86">
      <c r="A482" s="23" t="n"/>
      <c r="B482" s="23" t="n"/>
      <c r="C482" s="23" t="n"/>
      <c r="D482" s="23" t="n"/>
      <c r="E482" s="23" t="n"/>
      <c r="F482" s="23" t="n"/>
      <c r="G482" s="23" t="n"/>
      <c r="H482" s="23" t="n"/>
      <c r="I482" s="23" t="n"/>
      <c r="J482" s="23" t="n"/>
      <c r="K482" s="23" t="n"/>
      <c r="L482" s="23" t="n"/>
      <c r="M482" s="23" t="n"/>
      <c r="N482" s="23" t="n"/>
      <c r="O482" s="23" t="n"/>
      <c r="P482" s="23" t="n"/>
      <c r="Q482" s="23" t="n"/>
      <c r="R482" s="23" t="n"/>
      <c r="S482" s="23" t="n"/>
      <c r="T482" s="23" t="n"/>
      <c r="U482" s="23" t="n"/>
      <c r="V482" s="23" t="n"/>
      <c r="W482" s="23" t="n"/>
      <c r="X482" s="23" t="n"/>
      <c r="Y482" s="23" t="n"/>
      <c r="Z482" s="23" t="n"/>
    </row>
    <row r="483" ht="15.75" customHeight="1" s="86">
      <c r="A483" s="23" t="n"/>
      <c r="B483" s="23" t="n"/>
      <c r="C483" s="23" t="n"/>
      <c r="D483" s="23" t="n"/>
      <c r="E483" s="23" t="n"/>
      <c r="F483" s="23" t="n"/>
      <c r="G483" s="23" t="n"/>
      <c r="H483" s="23" t="n"/>
      <c r="I483" s="23" t="n"/>
      <c r="J483" s="23" t="n"/>
      <c r="K483" s="23" t="n"/>
      <c r="L483" s="23" t="n"/>
      <c r="M483" s="23" t="n"/>
      <c r="N483" s="23" t="n"/>
      <c r="O483" s="23" t="n"/>
      <c r="P483" s="23" t="n"/>
      <c r="Q483" s="23" t="n"/>
      <c r="R483" s="23" t="n"/>
      <c r="S483" s="23" t="n"/>
      <c r="T483" s="23" t="n"/>
      <c r="U483" s="23" t="n"/>
      <c r="V483" s="23" t="n"/>
      <c r="W483" s="23" t="n"/>
      <c r="X483" s="23" t="n"/>
      <c r="Y483" s="23" t="n"/>
      <c r="Z483" s="23" t="n"/>
    </row>
    <row r="484" ht="15.75" customHeight="1" s="86">
      <c r="A484" s="23" t="n"/>
      <c r="B484" s="23" t="n"/>
      <c r="C484" s="23" t="n"/>
      <c r="D484" s="23" t="n"/>
      <c r="E484" s="23" t="n"/>
      <c r="F484" s="23" t="n"/>
      <c r="G484" s="23" t="n"/>
      <c r="H484" s="23" t="n"/>
      <c r="I484" s="23" t="n"/>
      <c r="J484" s="23" t="n"/>
      <c r="K484" s="23" t="n"/>
      <c r="L484" s="23" t="n"/>
      <c r="M484" s="23" t="n"/>
      <c r="N484" s="23" t="n"/>
      <c r="O484" s="23" t="n"/>
      <c r="P484" s="23" t="n"/>
      <c r="Q484" s="23" t="n"/>
      <c r="R484" s="23" t="n"/>
      <c r="S484" s="23" t="n"/>
      <c r="T484" s="23" t="n"/>
      <c r="U484" s="23" t="n"/>
      <c r="V484" s="23" t="n"/>
      <c r="W484" s="23" t="n"/>
      <c r="X484" s="23" t="n"/>
      <c r="Y484" s="23" t="n"/>
      <c r="Z484" s="23" t="n"/>
    </row>
    <row r="485" ht="15.75" customHeight="1" s="86">
      <c r="A485" s="23" t="n"/>
      <c r="B485" s="23" t="n"/>
      <c r="C485" s="23" t="n"/>
      <c r="D485" s="23" t="n"/>
      <c r="E485" s="23" t="n"/>
      <c r="F485" s="23" t="n"/>
      <c r="G485" s="23" t="n"/>
      <c r="H485" s="23" t="n"/>
      <c r="I485" s="23" t="n"/>
      <c r="J485" s="23" t="n"/>
      <c r="K485" s="23" t="n"/>
      <c r="L485" s="23" t="n"/>
      <c r="M485" s="23" t="n"/>
      <c r="N485" s="23" t="n"/>
      <c r="O485" s="23" t="n"/>
      <c r="P485" s="23" t="n"/>
      <c r="Q485" s="23" t="n"/>
      <c r="R485" s="23" t="n"/>
      <c r="S485" s="23" t="n"/>
      <c r="T485" s="23" t="n"/>
      <c r="U485" s="23" t="n"/>
      <c r="V485" s="23" t="n"/>
      <c r="W485" s="23" t="n"/>
      <c r="X485" s="23" t="n"/>
      <c r="Y485" s="23" t="n"/>
      <c r="Z485" s="23" t="n"/>
    </row>
    <row r="486" ht="15.75" customHeight="1" s="86">
      <c r="A486" s="23" t="n"/>
      <c r="B486" s="23" t="n"/>
      <c r="C486" s="23" t="n"/>
      <c r="D486" s="23" t="n"/>
      <c r="E486" s="23" t="n"/>
      <c r="F486" s="23" t="n"/>
      <c r="G486" s="23" t="n"/>
      <c r="H486" s="23" t="n"/>
      <c r="I486" s="23" t="n"/>
      <c r="J486" s="23" t="n"/>
      <c r="K486" s="23" t="n"/>
      <c r="L486" s="23" t="n"/>
      <c r="M486" s="23" t="n"/>
      <c r="N486" s="23" t="n"/>
      <c r="O486" s="23" t="n"/>
      <c r="P486" s="23" t="n"/>
      <c r="Q486" s="23" t="n"/>
      <c r="R486" s="23" t="n"/>
      <c r="S486" s="23" t="n"/>
      <c r="T486" s="23" t="n"/>
      <c r="U486" s="23" t="n"/>
      <c r="V486" s="23" t="n"/>
      <c r="W486" s="23" t="n"/>
      <c r="X486" s="23" t="n"/>
      <c r="Y486" s="23" t="n"/>
      <c r="Z486" s="23" t="n"/>
    </row>
    <row r="487" ht="15.75" customHeight="1" s="86">
      <c r="A487" s="23" t="n"/>
      <c r="B487" s="23" t="n"/>
      <c r="C487" s="23" t="n"/>
      <c r="D487" s="23" t="n"/>
      <c r="E487" s="23" t="n"/>
      <c r="F487" s="23" t="n"/>
      <c r="G487" s="23" t="n"/>
      <c r="H487" s="23" t="n"/>
      <c r="I487" s="23" t="n"/>
      <c r="J487" s="23" t="n"/>
      <c r="K487" s="23" t="n"/>
      <c r="L487" s="23" t="n"/>
      <c r="M487" s="23" t="n"/>
      <c r="N487" s="23" t="n"/>
      <c r="O487" s="23" t="n"/>
      <c r="P487" s="23" t="n"/>
      <c r="Q487" s="23" t="n"/>
      <c r="R487" s="23" t="n"/>
      <c r="S487" s="23" t="n"/>
      <c r="T487" s="23" t="n"/>
      <c r="U487" s="23" t="n"/>
      <c r="V487" s="23" t="n"/>
      <c r="W487" s="23" t="n"/>
      <c r="X487" s="23" t="n"/>
      <c r="Y487" s="23" t="n"/>
      <c r="Z487" s="23" t="n"/>
    </row>
    <row r="488" ht="15.75" customHeight="1" s="86">
      <c r="A488" s="23" t="n"/>
      <c r="B488" s="23" t="n"/>
      <c r="C488" s="23" t="n"/>
      <c r="D488" s="23" t="n"/>
      <c r="E488" s="23" t="n"/>
      <c r="F488" s="23" t="n"/>
      <c r="G488" s="23" t="n"/>
      <c r="H488" s="23" t="n"/>
      <c r="I488" s="23" t="n"/>
      <c r="J488" s="23" t="n"/>
      <c r="K488" s="23" t="n"/>
      <c r="L488" s="23" t="n"/>
      <c r="M488" s="23" t="n"/>
      <c r="N488" s="23" t="n"/>
      <c r="O488" s="23" t="n"/>
      <c r="P488" s="23" t="n"/>
      <c r="Q488" s="23" t="n"/>
      <c r="R488" s="23" t="n"/>
      <c r="S488" s="23" t="n"/>
      <c r="T488" s="23" t="n"/>
      <c r="U488" s="23" t="n"/>
      <c r="V488" s="23" t="n"/>
      <c r="W488" s="23" t="n"/>
      <c r="X488" s="23" t="n"/>
      <c r="Y488" s="23" t="n"/>
      <c r="Z488" s="23" t="n"/>
    </row>
    <row r="489" ht="15.75" customHeight="1" s="86">
      <c r="A489" s="23" t="n"/>
      <c r="B489" s="23" t="n"/>
      <c r="C489" s="23" t="n"/>
      <c r="D489" s="23" t="n"/>
      <c r="E489" s="23" t="n"/>
      <c r="F489" s="23" t="n"/>
      <c r="G489" s="23" t="n"/>
      <c r="H489" s="23" t="n"/>
      <c r="I489" s="23" t="n"/>
      <c r="J489" s="23" t="n"/>
      <c r="K489" s="23" t="n"/>
      <c r="L489" s="23" t="n"/>
      <c r="M489" s="23" t="n"/>
      <c r="N489" s="23" t="n"/>
      <c r="O489" s="23" t="n"/>
      <c r="P489" s="23" t="n"/>
      <c r="Q489" s="23" t="n"/>
      <c r="R489" s="23" t="n"/>
      <c r="S489" s="23" t="n"/>
      <c r="T489" s="23" t="n"/>
      <c r="U489" s="23" t="n"/>
      <c r="V489" s="23" t="n"/>
      <c r="W489" s="23" t="n"/>
      <c r="X489" s="23" t="n"/>
      <c r="Y489" s="23" t="n"/>
      <c r="Z489" s="23" t="n"/>
    </row>
    <row r="490" ht="15.75" customHeight="1" s="86">
      <c r="A490" s="23" t="n"/>
      <c r="B490" s="23" t="n"/>
      <c r="C490" s="23" t="n"/>
      <c r="D490" s="23" t="n"/>
      <c r="E490" s="23" t="n"/>
      <c r="F490" s="23" t="n"/>
      <c r="G490" s="23" t="n"/>
      <c r="H490" s="23" t="n"/>
      <c r="I490" s="23" t="n"/>
      <c r="J490" s="23" t="n"/>
      <c r="K490" s="23" t="n"/>
      <c r="L490" s="23" t="n"/>
      <c r="M490" s="23" t="n"/>
      <c r="N490" s="23" t="n"/>
      <c r="O490" s="23" t="n"/>
      <c r="P490" s="23" t="n"/>
      <c r="Q490" s="23" t="n"/>
      <c r="R490" s="23" t="n"/>
      <c r="S490" s="23" t="n"/>
      <c r="T490" s="23" t="n"/>
      <c r="U490" s="23" t="n"/>
      <c r="V490" s="23" t="n"/>
      <c r="W490" s="23" t="n"/>
      <c r="X490" s="23" t="n"/>
      <c r="Y490" s="23" t="n"/>
      <c r="Z490" s="23" t="n"/>
    </row>
    <row r="491" ht="15.75" customHeight="1" s="86">
      <c r="A491" s="23" t="n"/>
      <c r="B491" s="23" t="n"/>
      <c r="C491" s="23" t="n"/>
      <c r="D491" s="23" t="n"/>
      <c r="E491" s="23" t="n"/>
      <c r="F491" s="23" t="n"/>
      <c r="G491" s="23" t="n"/>
      <c r="H491" s="23" t="n"/>
      <c r="I491" s="23" t="n"/>
      <c r="J491" s="23" t="n"/>
      <c r="K491" s="23" t="n"/>
      <c r="L491" s="23" t="n"/>
      <c r="M491" s="23" t="n"/>
      <c r="N491" s="23" t="n"/>
      <c r="O491" s="23" t="n"/>
      <c r="P491" s="23" t="n"/>
      <c r="Q491" s="23" t="n"/>
      <c r="R491" s="23" t="n"/>
      <c r="S491" s="23" t="n"/>
      <c r="T491" s="23" t="n"/>
      <c r="U491" s="23" t="n"/>
      <c r="V491" s="23" t="n"/>
      <c r="W491" s="23" t="n"/>
      <c r="X491" s="23" t="n"/>
      <c r="Y491" s="23" t="n"/>
      <c r="Z491" s="23" t="n"/>
    </row>
    <row r="492" ht="15.75" customHeight="1" s="86">
      <c r="A492" s="23" t="n"/>
      <c r="B492" s="23" t="n"/>
      <c r="C492" s="23" t="n"/>
      <c r="D492" s="23" t="n"/>
      <c r="E492" s="23" t="n"/>
      <c r="F492" s="23" t="n"/>
      <c r="G492" s="23" t="n"/>
      <c r="H492" s="23" t="n"/>
      <c r="I492" s="23" t="n"/>
      <c r="J492" s="23" t="n"/>
      <c r="K492" s="23" t="n"/>
      <c r="L492" s="23" t="n"/>
      <c r="M492" s="23" t="n"/>
      <c r="N492" s="23" t="n"/>
      <c r="O492" s="23" t="n"/>
      <c r="P492" s="23" t="n"/>
      <c r="Q492" s="23" t="n"/>
      <c r="R492" s="23" t="n"/>
      <c r="S492" s="23" t="n"/>
      <c r="T492" s="23" t="n"/>
      <c r="U492" s="23" t="n"/>
      <c r="V492" s="23" t="n"/>
      <c r="W492" s="23" t="n"/>
      <c r="X492" s="23" t="n"/>
      <c r="Y492" s="23" t="n"/>
      <c r="Z492" s="23" t="n"/>
    </row>
    <row r="493" ht="15.75" customHeight="1" s="86">
      <c r="A493" s="23" t="n"/>
      <c r="B493" s="23" t="n"/>
      <c r="C493" s="23" t="n"/>
      <c r="D493" s="23" t="n"/>
      <c r="E493" s="23" t="n"/>
      <c r="F493" s="23" t="n"/>
      <c r="G493" s="23" t="n"/>
      <c r="H493" s="23" t="n"/>
      <c r="I493" s="23" t="n"/>
      <c r="J493" s="23" t="n"/>
      <c r="K493" s="23" t="n"/>
      <c r="L493" s="23" t="n"/>
      <c r="M493" s="23" t="n"/>
      <c r="N493" s="23" t="n"/>
      <c r="O493" s="23" t="n"/>
      <c r="P493" s="23" t="n"/>
      <c r="Q493" s="23" t="n"/>
      <c r="R493" s="23" t="n"/>
      <c r="S493" s="23" t="n"/>
      <c r="T493" s="23" t="n"/>
      <c r="U493" s="23" t="n"/>
      <c r="V493" s="23" t="n"/>
      <c r="W493" s="23" t="n"/>
      <c r="X493" s="23" t="n"/>
      <c r="Y493" s="23" t="n"/>
      <c r="Z493" s="23" t="n"/>
    </row>
    <row r="494" ht="15.75" customHeight="1" s="86">
      <c r="A494" s="23" t="n"/>
      <c r="B494" s="23" t="n"/>
      <c r="C494" s="23" t="n"/>
      <c r="D494" s="23" t="n"/>
      <c r="E494" s="23" t="n"/>
      <c r="F494" s="23" t="n"/>
      <c r="G494" s="23" t="n"/>
      <c r="H494" s="23" t="n"/>
      <c r="I494" s="23" t="n"/>
      <c r="J494" s="23" t="n"/>
      <c r="K494" s="23" t="n"/>
      <c r="L494" s="23" t="n"/>
      <c r="M494" s="23" t="n"/>
      <c r="N494" s="23" t="n"/>
      <c r="O494" s="23" t="n"/>
      <c r="P494" s="23" t="n"/>
      <c r="Q494" s="23" t="n"/>
      <c r="R494" s="23" t="n"/>
      <c r="S494" s="23" t="n"/>
      <c r="T494" s="23" t="n"/>
      <c r="U494" s="23" t="n"/>
      <c r="V494" s="23" t="n"/>
      <c r="W494" s="23" t="n"/>
      <c r="X494" s="23" t="n"/>
      <c r="Y494" s="23" t="n"/>
      <c r="Z494" s="23" t="n"/>
    </row>
    <row r="495" ht="15.75" customHeight="1" s="86">
      <c r="A495" s="23" t="n"/>
      <c r="B495" s="23" t="n"/>
      <c r="C495" s="23" t="n"/>
      <c r="D495" s="23" t="n"/>
      <c r="E495" s="23" t="n"/>
      <c r="F495" s="23" t="n"/>
      <c r="G495" s="23" t="n"/>
      <c r="H495" s="23" t="n"/>
      <c r="I495" s="23" t="n"/>
      <c r="J495" s="23" t="n"/>
      <c r="K495" s="23" t="n"/>
      <c r="L495" s="23" t="n"/>
      <c r="M495" s="23" t="n"/>
      <c r="N495" s="23" t="n"/>
      <c r="O495" s="23" t="n"/>
      <c r="P495" s="23" t="n"/>
      <c r="Q495" s="23" t="n"/>
      <c r="R495" s="23" t="n"/>
      <c r="S495" s="23" t="n"/>
      <c r="T495" s="23" t="n"/>
      <c r="U495" s="23" t="n"/>
      <c r="V495" s="23" t="n"/>
      <c r="W495" s="23" t="n"/>
      <c r="X495" s="23" t="n"/>
      <c r="Y495" s="23" t="n"/>
      <c r="Z495" s="23" t="n"/>
    </row>
    <row r="496" ht="15.75" customHeight="1" s="86">
      <c r="A496" s="23" t="n"/>
      <c r="B496" s="23" t="n"/>
      <c r="C496" s="23" t="n"/>
      <c r="D496" s="23" t="n"/>
      <c r="E496" s="23" t="n"/>
      <c r="F496" s="23" t="n"/>
      <c r="G496" s="23" t="n"/>
      <c r="H496" s="23" t="n"/>
      <c r="I496" s="23" t="n"/>
      <c r="J496" s="23" t="n"/>
      <c r="K496" s="23" t="n"/>
      <c r="L496" s="23" t="n"/>
      <c r="M496" s="23" t="n"/>
      <c r="N496" s="23" t="n"/>
      <c r="O496" s="23" t="n"/>
      <c r="P496" s="23" t="n"/>
      <c r="Q496" s="23" t="n"/>
      <c r="R496" s="23" t="n"/>
      <c r="S496" s="23" t="n"/>
      <c r="T496" s="23" t="n"/>
      <c r="U496" s="23" t="n"/>
      <c r="V496" s="23" t="n"/>
      <c r="W496" s="23" t="n"/>
      <c r="X496" s="23" t="n"/>
      <c r="Y496" s="23" t="n"/>
      <c r="Z496" s="23" t="n"/>
    </row>
    <row r="497" ht="15.75" customHeight="1" s="86">
      <c r="A497" s="23" t="n"/>
      <c r="B497" s="23" t="n"/>
      <c r="C497" s="23" t="n"/>
      <c r="D497" s="23" t="n"/>
      <c r="E497" s="23" t="n"/>
      <c r="F497" s="23" t="n"/>
      <c r="G497" s="23" t="n"/>
      <c r="H497" s="23" t="n"/>
      <c r="I497" s="23" t="n"/>
      <c r="J497" s="23" t="n"/>
      <c r="K497" s="23" t="n"/>
      <c r="L497" s="23" t="n"/>
      <c r="M497" s="23" t="n"/>
      <c r="N497" s="23" t="n"/>
      <c r="O497" s="23" t="n"/>
      <c r="P497" s="23" t="n"/>
      <c r="Q497" s="23" t="n"/>
      <c r="R497" s="23" t="n"/>
      <c r="S497" s="23" t="n"/>
      <c r="T497" s="23" t="n"/>
      <c r="U497" s="23" t="n"/>
      <c r="V497" s="23" t="n"/>
      <c r="W497" s="23" t="n"/>
      <c r="X497" s="23" t="n"/>
      <c r="Y497" s="23" t="n"/>
      <c r="Z497" s="23" t="n"/>
    </row>
    <row r="498" ht="15.75" customHeight="1" s="86">
      <c r="A498" s="23" t="n"/>
      <c r="B498" s="23" t="n"/>
      <c r="C498" s="23" t="n"/>
      <c r="D498" s="23" t="n"/>
      <c r="E498" s="23" t="n"/>
      <c r="F498" s="23" t="n"/>
      <c r="G498" s="23" t="n"/>
      <c r="H498" s="23" t="n"/>
      <c r="I498" s="23" t="n"/>
      <c r="J498" s="23" t="n"/>
      <c r="K498" s="23" t="n"/>
      <c r="L498" s="23" t="n"/>
      <c r="M498" s="23" t="n"/>
      <c r="N498" s="23" t="n"/>
      <c r="O498" s="23" t="n"/>
      <c r="P498" s="23" t="n"/>
      <c r="Q498" s="23" t="n"/>
      <c r="R498" s="23" t="n"/>
      <c r="S498" s="23" t="n"/>
      <c r="T498" s="23" t="n"/>
      <c r="U498" s="23" t="n"/>
      <c r="V498" s="23" t="n"/>
      <c r="W498" s="23" t="n"/>
      <c r="X498" s="23" t="n"/>
      <c r="Y498" s="23" t="n"/>
      <c r="Z498" s="23" t="n"/>
    </row>
    <row r="499" ht="15.75" customHeight="1" s="86">
      <c r="A499" s="23" t="n"/>
      <c r="B499" s="23" t="n"/>
      <c r="C499" s="23" t="n"/>
      <c r="D499" s="23" t="n"/>
      <c r="E499" s="23" t="n"/>
      <c r="F499" s="23" t="n"/>
      <c r="G499" s="23" t="n"/>
      <c r="H499" s="23" t="n"/>
      <c r="I499" s="23" t="n"/>
      <c r="J499" s="23" t="n"/>
      <c r="K499" s="23" t="n"/>
      <c r="L499" s="23" t="n"/>
      <c r="M499" s="23" t="n"/>
      <c r="N499" s="23" t="n"/>
      <c r="O499" s="23" t="n"/>
      <c r="P499" s="23" t="n"/>
      <c r="Q499" s="23" t="n"/>
      <c r="R499" s="23" t="n"/>
      <c r="S499" s="23" t="n"/>
      <c r="T499" s="23" t="n"/>
      <c r="U499" s="23" t="n"/>
      <c r="V499" s="23" t="n"/>
      <c r="W499" s="23" t="n"/>
      <c r="X499" s="23" t="n"/>
      <c r="Y499" s="23" t="n"/>
      <c r="Z499" s="23" t="n"/>
    </row>
    <row r="500" ht="15.75" customHeight="1" s="86">
      <c r="A500" s="23" t="n"/>
      <c r="B500" s="23" t="n"/>
      <c r="C500" s="23" t="n"/>
      <c r="D500" s="23" t="n"/>
      <c r="E500" s="23" t="n"/>
      <c r="F500" s="23" t="n"/>
      <c r="G500" s="23" t="n"/>
      <c r="H500" s="23" t="n"/>
      <c r="I500" s="23" t="n"/>
      <c r="J500" s="23" t="n"/>
      <c r="K500" s="23" t="n"/>
      <c r="L500" s="23" t="n"/>
      <c r="M500" s="23" t="n"/>
      <c r="N500" s="23" t="n"/>
      <c r="O500" s="23" t="n"/>
      <c r="P500" s="23" t="n"/>
      <c r="Q500" s="23" t="n"/>
      <c r="R500" s="23" t="n"/>
      <c r="S500" s="23" t="n"/>
      <c r="T500" s="23" t="n"/>
      <c r="U500" s="23" t="n"/>
      <c r="V500" s="23" t="n"/>
      <c r="W500" s="23" t="n"/>
      <c r="X500" s="23" t="n"/>
      <c r="Y500" s="23" t="n"/>
      <c r="Z500" s="23" t="n"/>
    </row>
    <row r="501" ht="15.75" customHeight="1" s="86">
      <c r="A501" s="23" t="n"/>
      <c r="B501" s="23" t="n"/>
      <c r="C501" s="23" t="n"/>
      <c r="D501" s="23" t="n"/>
      <c r="E501" s="23" t="n"/>
      <c r="F501" s="23" t="n"/>
      <c r="G501" s="23" t="n"/>
      <c r="H501" s="23" t="n"/>
      <c r="I501" s="23" t="n"/>
      <c r="J501" s="23" t="n"/>
      <c r="K501" s="23" t="n"/>
      <c r="L501" s="23" t="n"/>
      <c r="M501" s="23" t="n"/>
      <c r="N501" s="23" t="n"/>
      <c r="O501" s="23" t="n"/>
      <c r="P501" s="23" t="n"/>
      <c r="Q501" s="23" t="n"/>
      <c r="R501" s="23" t="n"/>
      <c r="S501" s="23" t="n"/>
      <c r="T501" s="23" t="n"/>
      <c r="U501" s="23" t="n"/>
      <c r="V501" s="23" t="n"/>
      <c r="W501" s="23" t="n"/>
      <c r="X501" s="23" t="n"/>
      <c r="Y501" s="23" t="n"/>
      <c r="Z501" s="23" t="n"/>
    </row>
    <row r="502" ht="15.75" customHeight="1" s="86">
      <c r="A502" s="23" t="n"/>
      <c r="B502" s="23" t="n"/>
      <c r="C502" s="23" t="n"/>
      <c r="D502" s="23" t="n"/>
      <c r="E502" s="23" t="n"/>
      <c r="F502" s="23" t="n"/>
      <c r="G502" s="23" t="n"/>
      <c r="H502" s="23" t="n"/>
      <c r="I502" s="23" t="n"/>
      <c r="J502" s="23" t="n"/>
      <c r="K502" s="23" t="n"/>
      <c r="L502" s="23" t="n"/>
      <c r="M502" s="23" t="n"/>
      <c r="N502" s="23" t="n"/>
      <c r="O502" s="23" t="n"/>
      <c r="P502" s="23" t="n"/>
      <c r="Q502" s="23" t="n"/>
      <c r="R502" s="23" t="n"/>
      <c r="S502" s="23" t="n"/>
      <c r="T502" s="23" t="n"/>
      <c r="U502" s="23" t="n"/>
      <c r="V502" s="23" t="n"/>
      <c r="W502" s="23" t="n"/>
      <c r="X502" s="23" t="n"/>
      <c r="Y502" s="23" t="n"/>
      <c r="Z502" s="23" t="n"/>
    </row>
    <row r="503" ht="15.75" customHeight="1" s="86">
      <c r="A503" s="23" t="n"/>
      <c r="B503" s="23" t="n"/>
      <c r="C503" s="23" t="n"/>
      <c r="D503" s="23" t="n"/>
      <c r="E503" s="23" t="n"/>
      <c r="F503" s="23" t="n"/>
      <c r="G503" s="23" t="n"/>
      <c r="H503" s="23" t="n"/>
      <c r="I503" s="23" t="n"/>
      <c r="J503" s="23" t="n"/>
      <c r="K503" s="23" t="n"/>
      <c r="L503" s="23" t="n"/>
      <c r="M503" s="23" t="n"/>
      <c r="N503" s="23" t="n"/>
      <c r="O503" s="23" t="n"/>
      <c r="P503" s="23" t="n"/>
      <c r="Q503" s="23" t="n"/>
      <c r="R503" s="23" t="n"/>
      <c r="S503" s="23" t="n"/>
      <c r="T503" s="23" t="n"/>
      <c r="U503" s="23" t="n"/>
      <c r="V503" s="23" t="n"/>
      <c r="W503" s="23" t="n"/>
      <c r="X503" s="23" t="n"/>
      <c r="Y503" s="23" t="n"/>
      <c r="Z503" s="23" t="n"/>
    </row>
    <row r="504" ht="15.75" customHeight="1" s="86">
      <c r="A504" s="23" t="n"/>
      <c r="B504" s="23" t="n"/>
      <c r="C504" s="23" t="n"/>
      <c r="D504" s="23" t="n"/>
      <c r="E504" s="23" t="n"/>
      <c r="F504" s="23" t="n"/>
      <c r="G504" s="23" t="n"/>
      <c r="H504" s="23" t="n"/>
      <c r="I504" s="23" t="n"/>
      <c r="J504" s="23" t="n"/>
      <c r="K504" s="23" t="n"/>
      <c r="L504" s="23" t="n"/>
      <c r="M504" s="23" t="n"/>
      <c r="N504" s="23" t="n"/>
      <c r="O504" s="23" t="n"/>
      <c r="P504" s="23" t="n"/>
      <c r="Q504" s="23" t="n"/>
      <c r="R504" s="23" t="n"/>
      <c r="S504" s="23" t="n"/>
      <c r="T504" s="23" t="n"/>
      <c r="U504" s="23" t="n"/>
      <c r="V504" s="23" t="n"/>
      <c r="W504" s="23" t="n"/>
      <c r="X504" s="23" t="n"/>
      <c r="Y504" s="23" t="n"/>
      <c r="Z504" s="23" t="n"/>
    </row>
    <row r="505" ht="15.75" customHeight="1" s="86">
      <c r="A505" s="23" t="n"/>
      <c r="B505" s="23" t="n"/>
      <c r="C505" s="23" t="n"/>
      <c r="D505" s="23" t="n"/>
      <c r="E505" s="23" t="n"/>
      <c r="F505" s="23" t="n"/>
      <c r="G505" s="23" t="n"/>
      <c r="H505" s="23" t="n"/>
      <c r="I505" s="23" t="n"/>
      <c r="J505" s="23" t="n"/>
      <c r="K505" s="23" t="n"/>
      <c r="L505" s="23" t="n"/>
      <c r="M505" s="23" t="n"/>
      <c r="N505" s="23" t="n"/>
      <c r="O505" s="23" t="n"/>
      <c r="P505" s="23" t="n"/>
      <c r="Q505" s="23" t="n"/>
      <c r="R505" s="23" t="n"/>
      <c r="S505" s="23" t="n"/>
      <c r="T505" s="23" t="n"/>
      <c r="U505" s="23" t="n"/>
      <c r="V505" s="23" t="n"/>
      <c r="W505" s="23" t="n"/>
      <c r="X505" s="23" t="n"/>
      <c r="Y505" s="23" t="n"/>
      <c r="Z505" s="23" t="n"/>
    </row>
    <row r="506" ht="15.75" customHeight="1" s="86">
      <c r="A506" s="23" t="n"/>
      <c r="B506" s="23" t="n"/>
      <c r="C506" s="23" t="n"/>
      <c r="D506" s="23" t="n"/>
      <c r="E506" s="23" t="n"/>
      <c r="F506" s="23" t="n"/>
      <c r="G506" s="23" t="n"/>
      <c r="H506" s="23" t="n"/>
      <c r="I506" s="23" t="n"/>
      <c r="J506" s="23" t="n"/>
      <c r="K506" s="23" t="n"/>
      <c r="L506" s="23" t="n"/>
      <c r="M506" s="23" t="n"/>
      <c r="N506" s="23" t="n"/>
      <c r="O506" s="23" t="n"/>
      <c r="P506" s="23" t="n"/>
      <c r="Q506" s="23" t="n"/>
      <c r="R506" s="23" t="n"/>
      <c r="S506" s="23" t="n"/>
      <c r="T506" s="23" t="n"/>
      <c r="U506" s="23" t="n"/>
      <c r="V506" s="23" t="n"/>
      <c r="W506" s="23" t="n"/>
      <c r="X506" s="23" t="n"/>
      <c r="Y506" s="23" t="n"/>
      <c r="Z506" s="23" t="n"/>
    </row>
    <row r="507" ht="15.75" customHeight="1" s="86">
      <c r="A507" s="23" t="n"/>
      <c r="B507" s="23" t="n"/>
      <c r="C507" s="23" t="n"/>
      <c r="D507" s="23" t="n"/>
      <c r="E507" s="23" t="n"/>
      <c r="F507" s="23" t="n"/>
      <c r="G507" s="23" t="n"/>
      <c r="H507" s="23" t="n"/>
      <c r="I507" s="23" t="n"/>
      <c r="J507" s="23" t="n"/>
      <c r="K507" s="23" t="n"/>
      <c r="L507" s="23" t="n"/>
      <c r="M507" s="23" t="n"/>
      <c r="N507" s="23" t="n"/>
      <c r="O507" s="23" t="n"/>
      <c r="P507" s="23" t="n"/>
      <c r="Q507" s="23" t="n"/>
      <c r="R507" s="23" t="n"/>
      <c r="S507" s="23" t="n"/>
      <c r="T507" s="23" t="n"/>
      <c r="U507" s="23" t="n"/>
      <c r="V507" s="23" t="n"/>
      <c r="W507" s="23" t="n"/>
      <c r="X507" s="23" t="n"/>
      <c r="Y507" s="23" t="n"/>
      <c r="Z507" s="23" t="n"/>
    </row>
    <row r="508" ht="15.75" customHeight="1" s="86">
      <c r="A508" s="23" t="n"/>
      <c r="B508" s="23" t="n"/>
      <c r="C508" s="23" t="n"/>
      <c r="D508" s="23" t="n"/>
      <c r="E508" s="23" t="n"/>
      <c r="F508" s="23" t="n"/>
      <c r="G508" s="23" t="n"/>
      <c r="H508" s="23" t="n"/>
      <c r="I508" s="23" t="n"/>
      <c r="J508" s="23" t="n"/>
      <c r="K508" s="23" t="n"/>
      <c r="L508" s="23" t="n"/>
      <c r="M508" s="23" t="n"/>
      <c r="N508" s="23" t="n"/>
      <c r="O508" s="23" t="n"/>
      <c r="P508" s="23" t="n"/>
      <c r="Q508" s="23" t="n"/>
      <c r="R508" s="23" t="n"/>
      <c r="S508" s="23" t="n"/>
      <c r="T508" s="23" t="n"/>
      <c r="U508" s="23" t="n"/>
      <c r="V508" s="23" t="n"/>
      <c r="W508" s="23" t="n"/>
      <c r="X508" s="23" t="n"/>
      <c r="Y508" s="23" t="n"/>
      <c r="Z508" s="23" t="n"/>
    </row>
    <row r="509" ht="15.75" customHeight="1" s="86">
      <c r="A509" s="23" t="n"/>
      <c r="B509" s="23" t="n"/>
      <c r="C509" s="23" t="n"/>
      <c r="D509" s="23" t="n"/>
      <c r="E509" s="23" t="n"/>
      <c r="F509" s="23" t="n"/>
      <c r="G509" s="23" t="n"/>
      <c r="H509" s="23" t="n"/>
      <c r="I509" s="23" t="n"/>
      <c r="J509" s="23" t="n"/>
      <c r="K509" s="23" t="n"/>
      <c r="L509" s="23" t="n"/>
      <c r="M509" s="23" t="n"/>
      <c r="N509" s="23" t="n"/>
      <c r="O509" s="23" t="n"/>
      <c r="P509" s="23" t="n"/>
      <c r="Q509" s="23" t="n"/>
      <c r="R509" s="23" t="n"/>
      <c r="S509" s="23" t="n"/>
      <c r="T509" s="23" t="n"/>
      <c r="U509" s="23" t="n"/>
      <c r="V509" s="23" t="n"/>
      <c r="W509" s="23" t="n"/>
      <c r="X509" s="23" t="n"/>
      <c r="Y509" s="23" t="n"/>
      <c r="Z509" s="23" t="n"/>
    </row>
    <row r="510" ht="15.75" customHeight="1" s="86">
      <c r="A510" s="23" t="n"/>
      <c r="B510" s="23" t="n"/>
      <c r="C510" s="23" t="n"/>
      <c r="D510" s="23" t="n"/>
      <c r="E510" s="23" t="n"/>
      <c r="F510" s="23" t="n"/>
      <c r="G510" s="23" t="n"/>
      <c r="H510" s="23" t="n"/>
      <c r="I510" s="23" t="n"/>
      <c r="J510" s="23" t="n"/>
      <c r="K510" s="23" t="n"/>
      <c r="L510" s="23" t="n"/>
      <c r="M510" s="23" t="n"/>
      <c r="N510" s="23" t="n"/>
      <c r="O510" s="23" t="n"/>
      <c r="P510" s="23" t="n"/>
      <c r="Q510" s="23" t="n"/>
      <c r="R510" s="23" t="n"/>
      <c r="S510" s="23" t="n"/>
      <c r="T510" s="23" t="n"/>
      <c r="U510" s="23" t="n"/>
      <c r="V510" s="23" t="n"/>
      <c r="W510" s="23" t="n"/>
      <c r="X510" s="23" t="n"/>
      <c r="Y510" s="23" t="n"/>
      <c r="Z510" s="23" t="n"/>
    </row>
    <row r="511" ht="15.75" customHeight="1" s="86">
      <c r="A511" s="23" t="n"/>
      <c r="B511" s="23" t="n"/>
      <c r="C511" s="23" t="n"/>
      <c r="D511" s="23" t="n"/>
      <c r="E511" s="23" t="n"/>
      <c r="F511" s="23" t="n"/>
      <c r="G511" s="23" t="n"/>
      <c r="H511" s="23" t="n"/>
      <c r="I511" s="23" t="n"/>
      <c r="J511" s="23" t="n"/>
      <c r="K511" s="23" t="n"/>
      <c r="L511" s="23" t="n"/>
      <c r="M511" s="23" t="n"/>
      <c r="N511" s="23" t="n"/>
      <c r="O511" s="23" t="n"/>
      <c r="P511" s="23" t="n"/>
      <c r="Q511" s="23" t="n"/>
      <c r="R511" s="23" t="n"/>
      <c r="S511" s="23" t="n"/>
      <c r="T511" s="23" t="n"/>
      <c r="U511" s="23" t="n"/>
      <c r="V511" s="23" t="n"/>
      <c r="W511" s="23" t="n"/>
      <c r="X511" s="23" t="n"/>
      <c r="Y511" s="23" t="n"/>
      <c r="Z511" s="23" t="n"/>
    </row>
    <row r="512" ht="15.75" customHeight="1" s="86">
      <c r="A512" s="23" t="n"/>
      <c r="B512" s="23" t="n"/>
      <c r="C512" s="23" t="n"/>
      <c r="D512" s="23" t="n"/>
      <c r="E512" s="23" t="n"/>
      <c r="F512" s="23" t="n"/>
      <c r="G512" s="23" t="n"/>
      <c r="H512" s="23" t="n"/>
      <c r="I512" s="23" t="n"/>
      <c r="J512" s="23" t="n"/>
      <c r="K512" s="23" t="n"/>
      <c r="L512" s="23" t="n"/>
      <c r="M512" s="23" t="n"/>
      <c r="N512" s="23" t="n"/>
      <c r="O512" s="23" t="n"/>
      <c r="P512" s="23" t="n"/>
      <c r="Q512" s="23" t="n"/>
      <c r="R512" s="23" t="n"/>
      <c r="S512" s="23" t="n"/>
      <c r="T512" s="23" t="n"/>
      <c r="U512" s="23" t="n"/>
      <c r="V512" s="23" t="n"/>
      <c r="W512" s="23" t="n"/>
      <c r="X512" s="23" t="n"/>
      <c r="Y512" s="23" t="n"/>
      <c r="Z512" s="23" t="n"/>
    </row>
    <row r="513" ht="15.75" customHeight="1" s="86">
      <c r="A513" s="23" t="n"/>
      <c r="B513" s="23" t="n"/>
      <c r="C513" s="23" t="n"/>
      <c r="D513" s="23" t="n"/>
      <c r="E513" s="23" t="n"/>
      <c r="F513" s="23" t="n"/>
      <c r="G513" s="23" t="n"/>
      <c r="H513" s="23" t="n"/>
      <c r="I513" s="23" t="n"/>
      <c r="J513" s="23" t="n"/>
      <c r="K513" s="23" t="n"/>
      <c r="L513" s="23" t="n"/>
      <c r="M513" s="23" t="n"/>
      <c r="N513" s="23" t="n"/>
      <c r="O513" s="23" t="n"/>
      <c r="P513" s="23" t="n"/>
      <c r="Q513" s="23" t="n"/>
      <c r="R513" s="23" t="n"/>
      <c r="S513" s="23" t="n"/>
      <c r="T513" s="23" t="n"/>
      <c r="U513" s="23" t="n"/>
      <c r="V513" s="23" t="n"/>
      <c r="W513" s="23" t="n"/>
      <c r="X513" s="23" t="n"/>
      <c r="Y513" s="23" t="n"/>
      <c r="Z513" s="23" t="n"/>
    </row>
    <row r="514" ht="15.75" customHeight="1" s="86">
      <c r="A514" s="23" t="n"/>
      <c r="B514" s="23" t="n"/>
      <c r="C514" s="23" t="n"/>
      <c r="D514" s="23" t="n"/>
      <c r="E514" s="23" t="n"/>
      <c r="F514" s="23" t="n"/>
      <c r="G514" s="23" t="n"/>
      <c r="H514" s="23" t="n"/>
      <c r="I514" s="23" t="n"/>
      <c r="J514" s="23" t="n"/>
      <c r="K514" s="23" t="n"/>
      <c r="L514" s="23" t="n"/>
      <c r="M514" s="23" t="n"/>
      <c r="N514" s="23" t="n"/>
      <c r="O514" s="23" t="n"/>
      <c r="P514" s="23" t="n"/>
      <c r="Q514" s="23" t="n"/>
      <c r="R514" s="23" t="n"/>
      <c r="S514" s="23" t="n"/>
      <c r="T514" s="23" t="n"/>
      <c r="U514" s="23" t="n"/>
      <c r="V514" s="23" t="n"/>
      <c r="W514" s="23" t="n"/>
      <c r="X514" s="23" t="n"/>
      <c r="Y514" s="23" t="n"/>
      <c r="Z514" s="23" t="n"/>
    </row>
    <row r="515" ht="15.75" customHeight="1" s="86">
      <c r="A515" s="23" t="n"/>
      <c r="B515" s="23" t="n"/>
      <c r="C515" s="23" t="n"/>
      <c r="D515" s="23" t="n"/>
      <c r="E515" s="23" t="n"/>
      <c r="F515" s="23" t="n"/>
      <c r="G515" s="23" t="n"/>
      <c r="H515" s="23" t="n"/>
      <c r="I515" s="23" t="n"/>
      <c r="J515" s="23" t="n"/>
      <c r="K515" s="23" t="n"/>
      <c r="L515" s="23" t="n"/>
      <c r="M515" s="23" t="n"/>
      <c r="N515" s="23" t="n"/>
      <c r="O515" s="23" t="n"/>
      <c r="P515" s="23" t="n"/>
      <c r="Q515" s="23" t="n"/>
      <c r="R515" s="23" t="n"/>
      <c r="S515" s="23" t="n"/>
      <c r="T515" s="23" t="n"/>
      <c r="U515" s="23" t="n"/>
      <c r="V515" s="23" t="n"/>
      <c r="W515" s="23" t="n"/>
      <c r="X515" s="23" t="n"/>
      <c r="Y515" s="23" t="n"/>
      <c r="Z515" s="23" t="n"/>
    </row>
    <row r="516" ht="15.75" customHeight="1" s="86">
      <c r="A516" s="23" t="n"/>
      <c r="B516" s="23" t="n"/>
      <c r="C516" s="23" t="n"/>
      <c r="D516" s="23" t="n"/>
      <c r="E516" s="23" t="n"/>
      <c r="F516" s="23" t="n"/>
      <c r="G516" s="23" t="n"/>
      <c r="H516" s="23" t="n"/>
      <c r="I516" s="23" t="n"/>
      <c r="J516" s="23" t="n"/>
      <c r="K516" s="23" t="n"/>
      <c r="L516" s="23" t="n"/>
      <c r="M516" s="23" t="n"/>
      <c r="N516" s="23" t="n"/>
      <c r="O516" s="23" t="n"/>
      <c r="P516" s="23" t="n"/>
      <c r="Q516" s="23" t="n"/>
      <c r="R516" s="23" t="n"/>
      <c r="S516" s="23" t="n"/>
      <c r="T516" s="23" t="n"/>
      <c r="U516" s="23" t="n"/>
      <c r="V516" s="23" t="n"/>
      <c r="W516" s="23" t="n"/>
      <c r="X516" s="23" t="n"/>
      <c r="Y516" s="23" t="n"/>
      <c r="Z516" s="23" t="n"/>
    </row>
    <row r="517" ht="15.75" customHeight="1" s="86">
      <c r="A517" s="23" t="n"/>
      <c r="B517" s="23" t="n"/>
      <c r="C517" s="23" t="n"/>
      <c r="D517" s="23" t="n"/>
      <c r="E517" s="23" t="n"/>
      <c r="F517" s="23" t="n"/>
      <c r="G517" s="23" t="n"/>
      <c r="H517" s="23" t="n"/>
      <c r="I517" s="23" t="n"/>
      <c r="J517" s="23" t="n"/>
      <c r="K517" s="23" t="n"/>
      <c r="L517" s="23" t="n"/>
      <c r="M517" s="23" t="n"/>
      <c r="N517" s="23" t="n"/>
      <c r="O517" s="23" t="n"/>
      <c r="P517" s="23" t="n"/>
      <c r="Q517" s="23" t="n"/>
      <c r="R517" s="23" t="n"/>
      <c r="S517" s="23" t="n"/>
      <c r="T517" s="23" t="n"/>
      <c r="U517" s="23" t="n"/>
      <c r="V517" s="23" t="n"/>
      <c r="W517" s="23" t="n"/>
      <c r="X517" s="23" t="n"/>
      <c r="Y517" s="23" t="n"/>
      <c r="Z517" s="23" t="n"/>
    </row>
    <row r="518" ht="15.75" customHeight="1" s="86">
      <c r="A518" s="23" t="n"/>
      <c r="B518" s="23" t="n"/>
      <c r="C518" s="23" t="n"/>
      <c r="D518" s="23" t="n"/>
      <c r="E518" s="23" t="n"/>
      <c r="F518" s="23" t="n"/>
      <c r="G518" s="23" t="n"/>
      <c r="H518" s="23" t="n"/>
      <c r="I518" s="23" t="n"/>
      <c r="J518" s="23" t="n"/>
      <c r="K518" s="23" t="n"/>
      <c r="L518" s="23" t="n"/>
      <c r="M518" s="23" t="n"/>
      <c r="N518" s="23" t="n"/>
      <c r="O518" s="23" t="n"/>
      <c r="P518" s="23" t="n"/>
      <c r="Q518" s="23" t="n"/>
      <c r="R518" s="23" t="n"/>
      <c r="S518" s="23" t="n"/>
      <c r="T518" s="23" t="n"/>
      <c r="U518" s="23" t="n"/>
      <c r="V518" s="23" t="n"/>
      <c r="W518" s="23" t="n"/>
      <c r="X518" s="23" t="n"/>
      <c r="Y518" s="23" t="n"/>
      <c r="Z518" s="23" t="n"/>
    </row>
    <row r="519" ht="15.75" customHeight="1" s="86">
      <c r="A519" s="23" t="n"/>
      <c r="B519" s="23" t="n"/>
      <c r="C519" s="23" t="n"/>
      <c r="D519" s="23" t="n"/>
      <c r="E519" s="23" t="n"/>
      <c r="F519" s="23" t="n"/>
      <c r="G519" s="23" t="n"/>
      <c r="H519" s="23" t="n"/>
      <c r="I519" s="23" t="n"/>
      <c r="J519" s="23" t="n"/>
      <c r="K519" s="23" t="n"/>
      <c r="L519" s="23" t="n"/>
      <c r="M519" s="23" t="n"/>
      <c r="N519" s="23" t="n"/>
      <c r="O519" s="23" t="n"/>
      <c r="P519" s="23" t="n"/>
      <c r="Q519" s="23" t="n"/>
      <c r="R519" s="23" t="n"/>
      <c r="S519" s="23" t="n"/>
      <c r="T519" s="23" t="n"/>
      <c r="U519" s="23" t="n"/>
      <c r="V519" s="23" t="n"/>
      <c r="W519" s="23" t="n"/>
      <c r="X519" s="23" t="n"/>
      <c r="Y519" s="23" t="n"/>
      <c r="Z519" s="23" t="n"/>
    </row>
    <row r="520" ht="15.75" customHeight="1" s="86">
      <c r="A520" s="23" t="n"/>
      <c r="B520" s="23" t="n"/>
      <c r="C520" s="23" t="n"/>
      <c r="D520" s="23" t="n"/>
      <c r="E520" s="23" t="n"/>
      <c r="F520" s="23" t="n"/>
      <c r="G520" s="23" t="n"/>
      <c r="H520" s="23" t="n"/>
      <c r="I520" s="23" t="n"/>
      <c r="J520" s="23" t="n"/>
      <c r="K520" s="23" t="n"/>
      <c r="L520" s="23" t="n"/>
      <c r="M520" s="23" t="n"/>
      <c r="N520" s="23" t="n"/>
      <c r="O520" s="23" t="n"/>
      <c r="P520" s="23" t="n"/>
      <c r="Q520" s="23" t="n"/>
      <c r="R520" s="23" t="n"/>
      <c r="S520" s="23" t="n"/>
      <c r="T520" s="23" t="n"/>
      <c r="U520" s="23" t="n"/>
      <c r="V520" s="23" t="n"/>
      <c r="W520" s="23" t="n"/>
      <c r="X520" s="23" t="n"/>
      <c r="Y520" s="23" t="n"/>
      <c r="Z520" s="23" t="n"/>
    </row>
    <row r="521" ht="15.75" customHeight="1" s="86">
      <c r="A521" s="23" t="n"/>
      <c r="B521" s="23" t="n"/>
      <c r="C521" s="23" t="n"/>
      <c r="D521" s="23" t="n"/>
      <c r="E521" s="23" t="n"/>
      <c r="F521" s="23" t="n"/>
      <c r="G521" s="23" t="n"/>
      <c r="H521" s="23" t="n"/>
      <c r="I521" s="23" t="n"/>
      <c r="J521" s="23" t="n"/>
      <c r="K521" s="23" t="n"/>
      <c r="L521" s="23" t="n"/>
      <c r="M521" s="23" t="n"/>
      <c r="N521" s="23" t="n"/>
      <c r="O521" s="23" t="n"/>
      <c r="P521" s="23" t="n"/>
      <c r="Q521" s="23" t="n"/>
      <c r="R521" s="23" t="n"/>
      <c r="S521" s="23" t="n"/>
      <c r="T521" s="23" t="n"/>
      <c r="U521" s="23" t="n"/>
      <c r="V521" s="23" t="n"/>
      <c r="W521" s="23" t="n"/>
      <c r="X521" s="23" t="n"/>
      <c r="Y521" s="23" t="n"/>
      <c r="Z521" s="23" t="n"/>
    </row>
    <row r="522" ht="15.75" customHeight="1" s="86">
      <c r="A522" s="23" t="n"/>
      <c r="B522" s="23" t="n"/>
      <c r="C522" s="23" t="n"/>
      <c r="D522" s="23" t="n"/>
      <c r="E522" s="23" t="n"/>
      <c r="F522" s="23" t="n"/>
      <c r="G522" s="23" t="n"/>
      <c r="H522" s="23" t="n"/>
      <c r="I522" s="23" t="n"/>
      <c r="J522" s="23" t="n"/>
      <c r="K522" s="23" t="n"/>
      <c r="L522" s="23" t="n"/>
      <c r="M522" s="23" t="n"/>
      <c r="N522" s="23" t="n"/>
      <c r="O522" s="23" t="n"/>
      <c r="P522" s="23" t="n"/>
      <c r="Q522" s="23" t="n"/>
      <c r="R522" s="23" t="n"/>
      <c r="S522" s="23" t="n"/>
      <c r="T522" s="23" t="n"/>
      <c r="U522" s="23" t="n"/>
      <c r="V522" s="23" t="n"/>
      <c r="W522" s="23" t="n"/>
      <c r="X522" s="23" t="n"/>
      <c r="Y522" s="23" t="n"/>
      <c r="Z522" s="23" t="n"/>
    </row>
    <row r="523" ht="15.75" customHeight="1" s="86">
      <c r="A523" s="23" t="n"/>
      <c r="B523" s="23" t="n"/>
      <c r="C523" s="23" t="n"/>
      <c r="D523" s="23" t="n"/>
      <c r="E523" s="23" t="n"/>
      <c r="F523" s="23" t="n"/>
      <c r="G523" s="23" t="n"/>
      <c r="H523" s="23" t="n"/>
      <c r="I523" s="23" t="n"/>
      <c r="J523" s="23" t="n"/>
      <c r="K523" s="23" t="n"/>
      <c r="L523" s="23" t="n"/>
      <c r="M523" s="23" t="n"/>
      <c r="N523" s="23" t="n"/>
      <c r="O523" s="23" t="n"/>
      <c r="P523" s="23" t="n"/>
      <c r="Q523" s="23" t="n"/>
      <c r="R523" s="23" t="n"/>
      <c r="S523" s="23" t="n"/>
      <c r="T523" s="23" t="n"/>
      <c r="U523" s="23" t="n"/>
      <c r="V523" s="23" t="n"/>
      <c r="W523" s="23" t="n"/>
      <c r="X523" s="23" t="n"/>
      <c r="Y523" s="23" t="n"/>
      <c r="Z523" s="23" t="n"/>
    </row>
    <row r="524" ht="15.75" customHeight="1" s="86">
      <c r="A524" s="23" t="n"/>
      <c r="B524" s="23" t="n"/>
      <c r="C524" s="23" t="n"/>
      <c r="D524" s="23" t="n"/>
      <c r="E524" s="23" t="n"/>
      <c r="F524" s="23" t="n"/>
      <c r="G524" s="23" t="n"/>
      <c r="H524" s="23" t="n"/>
      <c r="I524" s="23" t="n"/>
      <c r="J524" s="23" t="n"/>
      <c r="K524" s="23" t="n"/>
      <c r="L524" s="23" t="n"/>
      <c r="M524" s="23" t="n"/>
      <c r="N524" s="23" t="n"/>
      <c r="O524" s="23" t="n"/>
      <c r="P524" s="23" t="n"/>
      <c r="Q524" s="23" t="n"/>
      <c r="R524" s="23" t="n"/>
      <c r="S524" s="23" t="n"/>
      <c r="T524" s="23" t="n"/>
      <c r="U524" s="23" t="n"/>
      <c r="V524" s="23" t="n"/>
      <c r="W524" s="23" t="n"/>
      <c r="X524" s="23" t="n"/>
      <c r="Y524" s="23" t="n"/>
      <c r="Z524" s="23" t="n"/>
    </row>
    <row r="525" ht="15.75" customHeight="1" s="86">
      <c r="A525" s="23" t="n"/>
      <c r="B525" s="23" t="n"/>
      <c r="C525" s="23" t="n"/>
      <c r="D525" s="23" t="n"/>
      <c r="E525" s="23" t="n"/>
      <c r="F525" s="23" t="n"/>
      <c r="G525" s="23" t="n"/>
      <c r="H525" s="23" t="n"/>
      <c r="I525" s="23" t="n"/>
      <c r="J525" s="23" t="n"/>
      <c r="K525" s="23" t="n"/>
      <c r="L525" s="23" t="n"/>
      <c r="M525" s="23" t="n"/>
      <c r="N525" s="23" t="n"/>
      <c r="O525" s="23" t="n"/>
      <c r="P525" s="23" t="n"/>
      <c r="Q525" s="23" t="n"/>
      <c r="R525" s="23" t="n"/>
      <c r="S525" s="23" t="n"/>
      <c r="T525" s="23" t="n"/>
      <c r="U525" s="23" t="n"/>
      <c r="V525" s="23" t="n"/>
      <c r="W525" s="23" t="n"/>
      <c r="X525" s="23" t="n"/>
      <c r="Y525" s="23" t="n"/>
      <c r="Z525" s="23" t="n"/>
    </row>
    <row r="526" ht="15.75" customHeight="1" s="86">
      <c r="A526" s="23" t="n"/>
      <c r="B526" s="23" t="n"/>
      <c r="C526" s="23" t="n"/>
      <c r="D526" s="23" t="n"/>
      <c r="E526" s="23" t="n"/>
      <c r="F526" s="23" t="n"/>
      <c r="G526" s="23" t="n"/>
      <c r="H526" s="23" t="n"/>
      <c r="I526" s="23" t="n"/>
      <c r="J526" s="23" t="n"/>
      <c r="K526" s="23" t="n"/>
      <c r="L526" s="23" t="n"/>
      <c r="M526" s="23" t="n"/>
      <c r="N526" s="23" t="n"/>
      <c r="O526" s="23" t="n"/>
      <c r="P526" s="23" t="n"/>
      <c r="Q526" s="23" t="n"/>
      <c r="R526" s="23" t="n"/>
      <c r="S526" s="23" t="n"/>
      <c r="T526" s="23" t="n"/>
      <c r="U526" s="23" t="n"/>
      <c r="V526" s="23" t="n"/>
      <c r="W526" s="23" t="n"/>
      <c r="X526" s="23" t="n"/>
      <c r="Y526" s="23" t="n"/>
      <c r="Z526" s="23" t="n"/>
    </row>
    <row r="527" ht="15.75" customHeight="1" s="86">
      <c r="A527" s="23" t="n"/>
      <c r="B527" s="23" t="n"/>
      <c r="C527" s="23" t="n"/>
      <c r="D527" s="23" t="n"/>
      <c r="E527" s="23" t="n"/>
      <c r="F527" s="23" t="n"/>
      <c r="G527" s="23" t="n"/>
      <c r="H527" s="23" t="n"/>
      <c r="I527" s="23" t="n"/>
      <c r="J527" s="23" t="n"/>
      <c r="K527" s="23" t="n"/>
      <c r="L527" s="23" t="n"/>
      <c r="M527" s="23" t="n"/>
      <c r="N527" s="23" t="n"/>
      <c r="O527" s="23" t="n"/>
      <c r="P527" s="23" t="n"/>
      <c r="Q527" s="23" t="n"/>
      <c r="R527" s="23" t="n"/>
      <c r="S527" s="23" t="n"/>
      <c r="T527" s="23" t="n"/>
      <c r="U527" s="23" t="n"/>
      <c r="V527" s="23" t="n"/>
      <c r="W527" s="23" t="n"/>
      <c r="X527" s="23" t="n"/>
      <c r="Y527" s="23" t="n"/>
      <c r="Z527" s="23" t="n"/>
    </row>
    <row r="528" ht="15.75" customHeight="1" s="86">
      <c r="A528" s="23" t="n"/>
      <c r="B528" s="23" t="n"/>
      <c r="C528" s="23" t="n"/>
      <c r="D528" s="23" t="n"/>
      <c r="E528" s="23" t="n"/>
      <c r="F528" s="23" t="n"/>
      <c r="G528" s="23" t="n"/>
      <c r="H528" s="23" t="n"/>
      <c r="I528" s="23" t="n"/>
      <c r="J528" s="23" t="n"/>
      <c r="K528" s="23" t="n"/>
      <c r="L528" s="23" t="n"/>
      <c r="M528" s="23" t="n"/>
      <c r="N528" s="23" t="n"/>
      <c r="O528" s="23" t="n"/>
      <c r="P528" s="23" t="n"/>
      <c r="Q528" s="23" t="n"/>
      <c r="R528" s="23" t="n"/>
      <c r="S528" s="23" t="n"/>
      <c r="T528" s="23" t="n"/>
      <c r="U528" s="23" t="n"/>
      <c r="V528" s="23" t="n"/>
      <c r="W528" s="23" t="n"/>
      <c r="X528" s="23" t="n"/>
      <c r="Y528" s="23" t="n"/>
      <c r="Z528" s="23" t="n"/>
    </row>
    <row r="529" ht="15.75" customHeight="1" s="86">
      <c r="A529" s="23" t="n"/>
      <c r="B529" s="23" t="n"/>
      <c r="C529" s="23" t="n"/>
      <c r="D529" s="23" t="n"/>
      <c r="E529" s="23" t="n"/>
      <c r="F529" s="23" t="n"/>
      <c r="G529" s="23" t="n"/>
      <c r="H529" s="23" t="n"/>
      <c r="I529" s="23" t="n"/>
      <c r="J529" s="23" t="n"/>
      <c r="K529" s="23" t="n"/>
      <c r="L529" s="23" t="n"/>
      <c r="M529" s="23" t="n"/>
      <c r="N529" s="23" t="n"/>
      <c r="O529" s="23" t="n"/>
      <c r="P529" s="23" t="n"/>
      <c r="Q529" s="23" t="n"/>
      <c r="R529" s="23" t="n"/>
      <c r="S529" s="23" t="n"/>
      <c r="T529" s="23" t="n"/>
      <c r="U529" s="23" t="n"/>
      <c r="V529" s="23" t="n"/>
      <c r="W529" s="23" t="n"/>
      <c r="X529" s="23" t="n"/>
      <c r="Y529" s="23" t="n"/>
      <c r="Z529" s="23" t="n"/>
    </row>
    <row r="530" ht="15.75" customHeight="1" s="86">
      <c r="A530" s="23" t="n"/>
      <c r="B530" s="23" t="n"/>
      <c r="C530" s="23" t="n"/>
      <c r="D530" s="23" t="n"/>
      <c r="E530" s="23" t="n"/>
      <c r="F530" s="23" t="n"/>
      <c r="G530" s="23" t="n"/>
      <c r="H530" s="23" t="n"/>
      <c r="I530" s="23" t="n"/>
      <c r="J530" s="23" t="n"/>
      <c r="K530" s="23" t="n"/>
      <c r="L530" s="23" t="n"/>
      <c r="M530" s="23" t="n"/>
      <c r="N530" s="23" t="n"/>
      <c r="O530" s="23" t="n"/>
      <c r="P530" s="23" t="n"/>
      <c r="Q530" s="23" t="n"/>
      <c r="R530" s="23" t="n"/>
      <c r="S530" s="23" t="n"/>
      <c r="T530" s="23" t="n"/>
      <c r="U530" s="23" t="n"/>
      <c r="V530" s="23" t="n"/>
      <c r="W530" s="23" t="n"/>
      <c r="X530" s="23" t="n"/>
      <c r="Y530" s="23" t="n"/>
      <c r="Z530" s="23" t="n"/>
    </row>
    <row r="531" ht="15.75" customHeight="1" s="86">
      <c r="A531" s="23" t="n"/>
      <c r="B531" s="23" t="n"/>
      <c r="C531" s="23" t="n"/>
      <c r="D531" s="23" t="n"/>
      <c r="E531" s="23" t="n"/>
      <c r="F531" s="23" t="n"/>
      <c r="G531" s="23" t="n"/>
      <c r="H531" s="23" t="n"/>
      <c r="I531" s="23" t="n"/>
      <c r="J531" s="23" t="n"/>
      <c r="K531" s="23" t="n"/>
      <c r="L531" s="23" t="n"/>
      <c r="M531" s="23" t="n"/>
      <c r="N531" s="23" t="n"/>
      <c r="O531" s="23" t="n"/>
      <c r="P531" s="23" t="n"/>
      <c r="Q531" s="23" t="n"/>
      <c r="R531" s="23" t="n"/>
      <c r="S531" s="23" t="n"/>
      <c r="T531" s="23" t="n"/>
      <c r="U531" s="23" t="n"/>
      <c r="V531" s="23" t="n"/>
      <c r="W531" s="23" t="n"/>
      <c r="X531" s="23" t="n"/>
      <c r="Y531" s="23" t="n"/>
      <c r="Z531" s="23" t="n"/>
    </row>
    <row r="532" ht="15.75" customHeight="1" s="86">
      <c r="A532" s="23" t="n"/>
      <c r="B532" s="23" t="n"/>
      <c r="C532" s="23" t="n"/>
      <c r="D532" s="23" t="n"/>
      <c r="E532" s="23" t="n"/>
      <c r="F532" s="23" t="n"/>
      <c r="G532" s="23" t="n"/>
      <c r="H532" s="23" t="n"/>
      <c r="I532" s="23" t="n"/>
      <c r="J532" s="23" t="n"/>
      <c r="K532" s="23" t="n"/>
      <c r="L532" s="23" t="n"/>
      <c r="M532" s="23" t="n"/>
      <c r="N532" s="23" t="n"/>
      <c r="O532" s="23" t="n"/>
      <c r="P532" s="23" t="n"/>
      <c r="Q532" s="23" t="n"/>
      <c r="R532" s="23" t="n"/>
      <c r="S532" s="23" t="n"/>
      <c r="T532" s="23" t="n"/>
      <c r="U532" s="23" t="n"/>
      <c r="V532" s="23" t="n"/>
      <c r="W532" s="23" t="n"/>
      <c r="X532" s="23" t="n"/>
      <c r="Y532" s="23" t="n"/>
      <c r="Z532" s="23" t="n"/>
    </row>
    <row r="533" ht="15.75" customHeight="1" s="86">
      <c r="A533" s="23" t="n"/>
      <c r="B533" s="23" t="n"/>
      <c r="C533" s="23" t="n"/>
      <c r="D533" s="23" t="n"/>
      <c r="E533" s="23" t="n"/>
      <c r="F533" s="23" t="n"/>
      <c r="G533" s="23" t="n"/>
      <c r="H533" s="23" t="n"/>
      <c r="I533" s="23" t="n"/>
      <c r="J533" s="23" t="n"/>
      <c r="K533" s="23" t="n"/>
      <c r="L533" s="23" t="n"/>
      <c r="M533" s="23" t="n"/>
      <c r="N533" s="23" t="n"/>
      <c r="O533" s="23" t="n"/>
      <c r="P533" s="23" t="n"/>
      <c r="Q533" s="23" t="n"/>
      <c r="R533" s="23" t="n"/>
      <c r="S533" s="23" t="n"/>
      <c r="T533" s="23" t="n"/>
      <c r="U533" s="23" t="n"/>
      <c r="V533" s="23" t="n"/>
      <c r="W533" s="23" t="n"/>
      <c r="X533" s="23" t="n"/>
      <c r="Y533" s="23" t="n"/>
      <c r="Z533" s="23" t="n"/>
    </row>
    <row r="534" ht="15.75" customHeight="1" s="86">
      <c r="A534" s="23" t="n"/>
      <c r="B534" s="23" t="n"/>
      <c r="C534" s="23" t="n"/>
      <c r="D534" s="23" t="n"/>
      <c r="E534" s="23" t="n"/>
      <c r="F534" s="23" t="n"/>
      <c r="G534" s="23" t="n"/>
      <c r="H534" s="23" t="n"/>
      <c r="I534" s="23" t="n"/>
      <c r="J534" s="23" t="n"/>
      <c r="K534" s="23" t="n"/>
      <c r="L534" s="23" t="n"/>
      <c r="M534" s="23" t="n"/>
      <c r="N534" s="23" t="n"/>
      <c r="O534" s="23" t="n"/>
      <c r="P534" s="23" t="n"/>
      <c r="Q534" s="23" t="n"/>
      <c r="R534" s="23" t="n"/>
      <c r="S534" s="23" t="n"/>
      <c r="T534" s="23" t="n"/>
      <c r="U534" s="23" t="n"/>
      <c r="V534" s="23" t="n"/>
      <c r="W534" s="23" t="n"/>
      <c r="X534" s="23" t="n"/>
      <c r="Y534" s="23" t="n"/>
      <c r="Z534" s="23" t="n"/>
    </row>
    <row r="535" ht="15.75" customHeight="1" s="86">
      <c r="A535" s="23" t="n"/>
      <c r="B535" s="23" t="n"/>
      <c r="C535" s="23" t="n"/>
      <c r="D535" s="23" t="n"/>
      <c r="E535" s="23" t="n"/>
      <c r="F535" s="23" t="n"/>
      <c r="G535" s="23" t="n"/>
      <c r="H535" s="23" t="n"/>
      <c r="I535" s="23" t="n"/>
      <c r="J535" s="23" t="n"/>
      <c r="K535" s="23" t="n"/>
      <c r="L535" s="23" t="n"/>
      <c r="M535" s="23" t="n"/>
      <c r="N535" s="23" t="n"/>
      <c r="O535" s="23" t="n"/>
      <c r="P535" s="23" t="n"/>
      <c r="Q535" s="23" t="n"/>
      <c r="R535" s="23" t="n"/>
      <c r="S535" s="23" t="n"/>
      <c r="T535" s="23" t="n"/>
      <c r="U535" s="23" t="n"/>
      <c r="V535" s="23" t="n"/>
      <c r="W535" s="23" t="n"/>
      <c r="X535" s="23" t="n"/>
      <c r="Y535" s="23" t="n"/>
      <c r="Z535" s="23" t="n"/>
    </row>
    <row r="536" ht="15.75" customHeight="1" s="86">
      <c r="A536" s="23" t="n"/>
      <c r="B536" s="23" t="n"/>
      <c r="C536" s="23" t="n"/>
      <c r="D536" s="23" t="n"/>
      <c r="E536" s="23" t="n"/>
      <c r="F536" s="23" t="n"/>
      <c r="G536" s="23" t="n"/>
      <c r="H536" s="23" t="n"/>
      <c r="I536" s="23" t="n"/>
      <c r="J536" s="23" t="n"/>
      <c r="K536" s="23" t="n"/>
      <c r="L536" s="23" t="n"/>
      <c r="M536" s="23" t="n"/>
      <c r="N536" s="23" t="n"/>
      <c r="O536" s="23" t="n"/>
      <c r="P536" s="23" t="n"/>
      <c r="Q536" s="23" t="n"/>
      <c r="R536" s="23" t="n"/>
      <c r="S536" s="23" t="n"/>
      <c r="T536" s="23" t="n"/>
      <c r="U536" s="23" t="n"/>
      <c r="V536" s="23" t="n"/>
      <c r="W536" s="23" t="n"/>
      <c r="X536" s="23" t="n"/>
      <c r="Y536" s="23" t="n"/>
      <c r="Z536" s="23" t="n"/>
    </row>
    <row r="537" ht="15.75" customHeight="1" s="86">
      <c r="A537" s="23" t="n"/>
      <c r="B537" s="23" t="n"/>
      <c r="C537" s="23" t="n"/>
      <c r="D537" s="23" t="n"/>
      <c r="E537" s="23" t="n"/>
      <c r="F537" s="23" t="n"/>
      <c r="G537" s="23" t="n"/>
      <c r="H537" s="23" t="n"/>
      <c r="I537" s="23" t="n"/>
      <c r="J537" s="23" t="n"/>
      <c r="K537" s="23" t="n"/>
      <c r="L537" s="23" t="n"/>
      <c r="M537" s="23" t="n"/>
      <c r="N537" s="23" t="n"/>
      <c r="O537" s="23" t="n"/>
      <c r="P537" s="23" t="n"/>
      <c r="Q537" s="23" t="n"/>
      <c r="R537" s="23" t="n"/>
      <c r="S537" s="23" t="n"/>
      <c r="T537" s="23" t="n"/>
      <c r="U537" s="23" t="n"/>
      <c r="V537" s="23" t="n"/>
      <c r="W537" s="23" t="n"/>
      <c r="X537" s="23" t="n"/>
      <c r="Y537" s="23" t="n"/>
      <c r="Z537" s="23" t="n"/>
    </row>
    <row r="538" ht="15.75" customHeight="1" s="86">
      <c r="A538" s="23" t="n"/>
      <c r="B538" s="23" t="n"/>
      <c r="C538" s="23" t="n"/>
      <c r="D538" s="23" t="n"/>
      <c r="E538" s="23" t="n"/>
      <c r="F538" s="23" t="n"/>
      <c r="G538" s="23" t="n"/>
      <c r="H538" s="23" t="n"/>
      <c r="I538" s="23" t="n"/>
      <c r="J538" s="23" t="n"/>
      <c r="K538" s="23" t="n"/>
      <c r="L538" s="23" t="n"/>
      <c r="M538" s="23" t="n"/>
      <c r="N538" s="23" t="n"/>
      <c r="O538" s="23" t="n"/>
      <c r="P538" s="23" t="n"/>
      <c r="Q538" s="23" t="n"/>
      <c r="R538" s="23" t="n"/>
      <c r="S538" s="23" t="n"/>
      <c r="T538" s="23" t="n"/>
      <c r="U538" s="23" t="n"/>
      <c r="V538" s="23" t="n"/>
      <c r="W538" s="23" t="n"/>
      <c r="X538" s="23" t="n"/>
      <c r="Y538" s="23" t="n"/>
      <c r="Z538" s="23" t="n"/>
    </row>
    <row r="539" ht="15.75" customHeight="1" s="86">
      <c r="A539" s="23" t="n"/>
      <c r="B539" s="23" t="n"/>
      <c r="C539" s="23" t="n"/>
      <c r="D539" s="23" t="n"/>
      <c r="E539" s="23" t="n"/>
      <c r="F539" s="23" t="n"/>
      <c r="G539" s="23" t="n"/>
      <c r="H539" s="23" t="n"/>
      <c r="I539" s="23" t="n"/>
      <c r="J539" s="23" t="n"/>
      <c r="K539" s="23" t="n"/>
      <c r="L539" s="23" t="n"/>
      <c r="M539" s="23" t="n"/>
      <c r="N539" s="23" t="n"/>
      <c r="O539" s="23" t="n"/>
      <c r="P539" s="23" t="n"/>
      <c r="Q539" s="23" t="n"/>
      <c r="R539" s="23" t="n"/>
      <c r="S539" s="23" t="n"/>
      <c r="T539" s="23" t="n"/>
      <c r="U539" s="23" t="n"/>
      <c r="V539" s="23" t="n"/>
      <c r="W539" s="23" t="n"/>
      <c r="X539" s="23" t="n"/>
      <c r="Y539" s="23" t="n"/>
      <c r="Z539" s="23" t="n"/>
    </row>
    <row r="540" ht="15.75" customHeight="1" s="86">
      <c r="A540" s="23" t="n"/>
      <c r="B540" s="23" t="n"/>
      <c r="C540" s="23" t="n"/>
      <c r="D540" s="23" t="n"/>
      <c r="E540" s="23" t="n"/>
      <c r="F540" s="23" t="n"/>
      <c r="G540" s="23" t="n"/>
      <c r="H540" s="23" t="n"/>
      <c r="I540" s="23" t="n"/>
      <c r="J540" s="23" t="n"/>
      <c r="K540" s="23" t="n"/>
      <c r="L540" s="23" t="n"/>
      <c r="M540" s="23" t="n"/>
      <c r="N540" s="23" t="n"/>
      <c r="O540" s="23" t="n"/>
      <c r="P540" s="23" t="n"/>
      <c r="Q540" s="23" t="n"/>
      <c r="R540" s="23" t="n"/>
      <c r="S540" s="23" t="n"/>
      <c r="T540" s="23" t="n"/>
      <c r="U540" s="23" t="n"/>
      <c r="V540" s="23" t="n"/>
      <c r="W540" s="23" t="n"/>
      <c r="X540" s="23" t="n"/>
      <c r="Y540" s="23" t="n"/>
      <c r="Z540" s="23" t="n"/>
    </row>
    <row r="541" ht="15.75" customHeight="1" s="86">
      <c r="A541" s="23" t="n"/>
      <c r="B541" s="23" t="n"/>
      <c r="C541" s="23" t="n"/>
      <c r="D541" s="23" t="n"/>
      <c r="E541" s="23" t="n"/>
      <c r="F541" s="23" t="n"/>
      <c r="G541" s="23" t="n"/>
      <c r="H541" s="23" t="n"/>
      <c r="I541" s="23" t="n"/>
      <c r="J541" s="23" t="n"/>
      <c r="K541" s="23" t="n"/>
      <c r="L541" s="23" t="n"/>
      <c r="M541" s="23" t="n"/>
      <c r="N541" s="23" t="n"/>
      <c r="O541" s="23" t="n"/>
      <c r="P541" s="23" t="n"/>
      <c r="Q541" s="23" t="n"/>
      <c r="R541" s="23" t="n"/>
      <c r="S541" s="23" t="n"/>
      <c r="T541" s="23" t="n"/>
      <c r="U541" s="23" t="n"/>
      <c r="V541" s="23" t="n"/>
      <c r="W541" s="23" t="n"/>
      <c r="X541" s="23" t="n"/>
      <c r="Y541" s="23" t="n"/>
      <c r="Z541" s="23" t="n"/>
    </row>
    <row r="542" ht="15.75" customHeight="1" s="86">
      <c r="A542" s="23" t="n"/>
      <c r="B542" s="23" t="n"/>
      <c r="C542" s="23" t="n"/>
      <c r="D542" s="23" t="n"/>
      <c r="E542" s="23" t="n"/>
      <c r="F542" s="23" t="n"/>
      <c r="G542" s="23" t="n"/>
      <c r="H542" s="23" t="n"/>
      <c r="I542" s="23" t="n"/>
      <c r="J542" s="23" t="n"/>
      <c r="K542" s="23" t="n"/>
      <c r="L542" s="23" t="n"/>
      <c r="M542" s="23" t="n"/>
      <c r="N542" s="23" t="n"/>
      <c r="O542" s="23" t="n"/>
      <c r="P542" s="23" t="n"/>
      <c r="Q542" s="23" t="n"/>
      <c r="R542" s="23" t="n"/>
      <c r="S542" s="23" t="n"/>
      <c r="T542" s="23" t="n"/>
      <c r="U542" s="23" t="n"/>
      <c r="V542" s="23" t="n"/>
      <c r="W542" s="23" t="n"/>
      <c r="X542" s="23" t="n"/>
      <c r="Y542" s="23" t="n"/>
      <c r="Z542" s="23" t="n"/>
    </row>
    <row r="543" ht="15.75" customHeight="1" s="86">
      <c r="A543" s="23" t="n"/>
      <c r="B543" s="23" t="n"/>
      <c r="C543" s="23" t="n"/>
      <c r="D543" s="23" t="n"/>
      <c r="E543" s="23" t="n"/>
      <c r="F543" s="23" t="n"/>
      <c r="G543" s="23" t="n"/>
      <c r="H543" s="23" t="n"/>
      <c r="I543" s="23" t="n"/>
      <c r="J543" s="23" t="n"/>
      <c r="K543" s="23" t="n"/>
      <c r="L543" s="23" t="n"/>
      <c r="M543" s="23" t="n"/>
      <c r="N543" s="23" t="n"/>
      <c r="O543" s="23" t="n"/>
      <c r="P543" s="23" t="n"/>
      <c r="Q543" s="23" t="n"/>
      <c r="R543" s="23" t="n"/>
      <c r="S543" s="23" t="n"/>
      <c r="T543" s="23" t="n"/>
      <c r="U543" s="23" t="n"/>
      <c r="V543" s="23" t="n"/>
      <c r="W543" s="23" t="n"/>
      <c r="X543" s="23" t="n"/>
      <c r="Y543" s="23" t="n"/>
      <c r="Z543" s="23" t="n"/>
    </row>
    <row r="544" ht="15.75" customHeight="1" s="86">
      <c r="A544" s="23" t="n"/>
      <c r="B544" s="23" t="n"/>
      <c r="C544" s="23" t="n"/>
      <c r="D544" s="23" t="n"/>
      <c r="E544" s="23" t="n"/>
      <c r="F544" s="23" t="n"/>
      <c r="G544" s="23" t="n"/>
      <c r="H544" s="23" t="n"/>
      <c r="I544" s="23" t="n"/>
      <c r="J544" s="23" t="n"/>
      <c r="K544" s="23" t="n"/>
      <c r="L544" s="23" t="n"/>
      <c r="M544" s="23" t="n"/>
      <c r="N544" s="23" t="n"/>
      <c r="O544" s="23" t="n"/>
      <c r="P544" s="23" t="n"/>
      <c r="Q544" s="23" t="n"/>
      <c r="R544" s="23" t="n"/>
      <c r="S544" s="23" t="n"/>
      <c r="T544" s="23" t="n"/>
      <c r="U544" s="23" t="n"/>
      <c r="V544" s="23" t="n"/>
      <c r="W544" s="23" t="n"/>
      <c r="X544" s="23" t="n"/>
      <c r="Y544" s="23" t="n"/>
      <c r="Z544" s="23" t="n"/>
    </row>
    <row r="545" ht="15.75" customHeight="1" s="86">
      <c r="A545" s="23" t="n"/>
      <c r="B545" s="23" t="n"/>
      <c r="C545" s="23" t="n"/>
      <c r="D545" s="23" t="n"/>
      <c r="E545" s="23" t="n"/>
      <c r="F545" s="23" t="n"/>
      <c r="G545" s="23" t="n"/>
      <c r="H545" s="23" t="n"/>
      <c r="I545" s="23" t="n"/>
      <c r="J545" s="23" t="n"/>
      <c r="K545" s="23" t="n"/>
      <c r="L545" s="23" t="n"/>
      <c r="M545" s="23" t="n"/>
      <c r="N545" s="23" t="n"/>
      <c r="O545" s="23" t="n"/>
      <c r="P545" s="23" t="n"/>
      <c r="Q545" s="23" t="n"/>
      <c r="R545" s="23" t="n"/>
      <c r="S545" s="23" t="n"/>
      <c r="T545" s="23" t="n"/>
      <c r="U545" s="23" t="n"/>
      <c r="V545" s="23" t="n"/>
      <c r="W545" s="23" t="n"/>
      <c r="X545" s="23" t="n"/>
      <c r="Y545" s="23" t="n"/>
      <c r="Z545" s="23" t="n"/>
    </row>
    <row r="546" ht="15.75" customHeight="1" s="86">
      <c r="A546" s="23" t="n"/>
      <c r="B546" s="23" t="n"/>
      <c r="C546" s="23" t="n"/>
      <c r="D546" s="23" t="n"/>
      <c r="E546" s="23" t="n"/>
      <c r="F546" s="23" t="n"/>
      <c r="G546" s="23" t="n"/>
      <c r="H546" s="23" t="n"/>
      <c r="I546" s="23" t="n"/>
      <c r="J546" s="23" t="n"/>
      <c r="K546" s="23" t="n"/>
      <c r="L546" s="23" t="n"/>
      <c r="M546" s="23" t="n"/>
      <c r="N546" s="23" t="n"/>
      <c r="O546" s="23" t="n"/>
      <c r="P546" s="23" t="n"/>
      <c r="Q546" s="23" t="n"/>
      <c r="R546" s="23" t="n"/>
      <c r="S546" s="23" t="n"/>
      <c r="T546" s="23" t="n"/>
      <c r="U546" s="23" t="n"/>
      <c r="V546" s="23" t="n"/>
      <c r="W546" s="23" t="n"/>
      <c r="X546" s="23" t="n"/>
      <c r="Y546" s="23" t="n"/>
      <c r="Z546" s="23" t="n"/>
    </row>
    <row r="547" ht="15.75" customHeight="1" s="86">
      <c r="A547" s="23" t="n"/>
      <c r="B547" s="23" t="n"/>
      <c r="C547" s="23" t="n"/>
      <c r="D547" s="23" t="n"/>
      <c r="E547" s="23" t="n"/>
      <c r="F547" s="23" t="n"/>
      <c r="G547" s="23" t="n"/>
      <c r="H547" s="23" t="n"/>
      <c r="I547" s="23" t="n"/>
      <c r="J547" s="23" t="n"/>
      <c r="K547" s="23" t="n"/>
      <c r="L547" s="23" t="n"/>
      <c r="M547" s="23" t="n"/>
      <c r="N547" s="23" t="n"/>
      <c r="O547" s="23" t="n"/>
      <c r="P547" s="23" t="n"/>
      <c r="Q547" s="23" t="n"/>
      <c r="R547" s="23" t="n"/>
      <c r="S547" s="23" t="n"/>
      <c r="T547" s="23" t="n"/>
      <c r="U547" s="23" t="n"/>
      <c r="V547" s="23" t="n"/>
      <c r="W547" s="23" t="n"/>
      <c r="X547" s="23" t="n"/>
      <c r="Y547" s="23" t="n"/>
      <c r="Z547" s="23" t="n"/>
    </row>
    <row r="548" ht="15.75" customHeight="1" s="86">
      <c r="A548" s="23" t="n"/>
      <c r="B548" s="23" t="n"/>
      <c r="C548" s="23" t="n"/>
      <c r="D548" s="23" t="n"/>
      <c r="E548" s="23" t="n"/>
      <c r="F548" s="23" t="n"/>
      <c r="G548" s="23" t="n"/>
      <c r="H548" s="23" t="n"/>
      <c r="I548" s="23" t="n"/>
      <c r="J548" s="23" t="n"/>
      <c r="K548" s="23" t="n"/>
      <c r="L548" s="23" t="n"/>
      <c r="M548" s="23" t="n"/>
      <c r="N548" s="23" t="n"/>
      <c r="O548" s="23" t="n"/>
      <c r="P548" s="23" t="n"/>
      <c r="Q548" s="23" t="n"/>
      <c r="R548" s="23" t="n"/>
      <c r="S548" s="23" t="n"/>
      <c r="T548" s="23" t="n"/>
      <c r="U548" s="23" t="n"/>
      <c r="V548" s="23" t="n"/>
      <c r="W548" s="23" t="n"/>
      <c r="X548" s="23" t="n"/>
      <c r="Y548" s="23" t="n"/>
      <c r="Z548" s="23" t="n"/>
    </row>
    <row r="549" ht="15.75" customHeight="1" s="86">
      <c r="A549" s="23" t="n"/>
      <c r="B549" s="23" t="n"/>
      <c r="C549" s="23" t="n"/>
      <c r="D549" s="23" t="n"/>
      <c r="E549" s="23" t="n"/>
      <c r="F549" s="23" t="n"/>
      <c r="G549" s="23" t="n"/>
      <c r="H549" s="23" t="n"/>
      <c r="I549" s="23" t="n"/>
      <c r="J549" s="23" t="n"/>
      <c r="K549" s="23" t="n"/>
      <c r="L549" s="23" t="n"/>
      <c r="M549" s="23" t="n"/>
      <c r="N549" s="23" t="n"/>
      <c r="O549" s="23" t="n"/>
      <c r="P549" s="23" t="n"/>
      <c r="Q549" s="23" t="n"/>
      <c r="R549" s="23" t="n"/>
      <c r="S549" s="23" t="n"/>
      <c r="T549" s="23" t="n"/>
      <c r="U549" s="23" t="n"/>
      <c r="V549" s="23" t="n"/>
      <c r="W549" s="23" t="n"/>
      <c r="X549" s="23" t="n"/>
      <c r="Y549" s="23" t="n"/>
      <c r="Z549" s="23" t="n"/>
    </row>
    <row r="550" ht="15.75" customHeight="1" s="86">
      <c r="A550" s="23" t="n"/>
      <c r="B550" s="23" t="n"/>
      <c r="C550" s="23" t="n"/>
      <c r="D550" s="23" t="n"/>
      <c r="E550" s="23" t="n"/>
      <c r="F550" s="23" t="n"/>
      <c r="G550" s="23" t="n"/>
      <c r="H550" s="23" t="n"/>
      <c r="I550" s="23" t="n"/>
      <c r="J550" s="23" t="n"/>
      <c r="K550" s="23" t="n"/>
      <c r="L550" s="23" t="n"/>
      <c r="M550" s="23" t="n"/>
      <c r="N550" s="23" t="n"/>
      <c r="O550" s="23" t="n"/>
      <c r="P550" s="23" t="n"/>
      <c r="Q550" s="23" t="n"/>
      <c r="R550" s="23" t="n"/>
      <c r="S550" s="23" t="n"/>
      <c r="T550" s="23" t="n"/>
      <c r="U550" s="23" t="n"/>
      <c r="V550" s="23" t="n"/>
      <c r="W550" s="23" t="n"/>
      <c r="X550" s="23" t="n"/>
      <c r="Y550" s="23" t="n"/>
      <c r="Z550" s="23" t="n"/>
    </row>
    <row r="551" ht="15.75" customHeight="1" s="86">
      <c r="A551" s="23" t="n"/>
      <c r="B551" s="23" t="n"/>
      <c r="C551" s="23" t="n"/>
      <c r="D551" s="23" t="n"/>
      <c r="E551" s="23" t="n"/>
      <c r="F551" s="23" t="n"/>
      <c r="G551" s="23" t="n"/>
      <c r="H551" s="23" t="n"/>
      <c r="I551" s="23" t="n"/>
      <c r="J551" s="23" t="n"/>
      <c r="K551" s="23" t="n"/>
      <c r="L551" s="23" t="n"/>
      <c r="M551" s="23" t="n"/>
      <c r="N551" s="23" t="n"/>
      <c r="O551" s="23" t="n"/>
      <c r="P551" s="23" t="n"/>
      <c r="Q551" s="23" t="n"/>
      <c r="R551" s="23" t="n"/>
      <c r="S551" s="23" t="n"/>
      <c r="T551" s="23" t="n"/>
      <c r="U551" s="23" t="n"/>
      <c r="V551" s="23" t="n"/>
      <c r="W551" s="23" t="n"/>
      <c r="X551" s="23" t="n"/>
      <c r="Y551" s="23" t="n"/>
      <c r="Z551" s="23" t="n"/>
    </row>
    <row r="552" ht="15.75" customHeight="1" s="86">
      <c r="A552" s="23" t="n"/>
      <c r="B552" s="23" t="n"/>
      <c r="C552" s="23" t="n"/>
      <c r="D552" s="23" t="n"/>
      <c r="E552" s="23" t="n"/>
      <c r="F552" s="23" t="n"/>
      <c r="G552" s="23" t="n"/>
      <c r="H552" s="23" t="n"/>
      <c r="I552" s="23" t="n"/>
      <c r="J552" s="23" t="n"/>
      <c r="K552" s="23" t="n"/>
      <c r="L552" s="23" t="n"/>
      <c r="M552" s="23" t="n"/>
      <c r="N552" s="23" t="n"/>
      <c r="O552" s="23" t="n"/>
      <c r="P552" s="23" t="n"/>
      <c r="Q552" s="23" t="n"/>
      <c r="R552" s="23" t="n"/>
      <c r="S552" s="23" t="n"/>
      <c r="T552" s="23" t="n"/>
      <c r="U552" s="23" t="n"/>
      <c r="V552" s="23" t="n"/>
      <c r="W552" s="23" t="n"/>
      <c r="X552" s="23" t="n"/>
      <c r="Y552" s="23" t="n"/>
      <c r="Z552" s="23" t="n"/>
    </row>
    <row r="553" ht="15.75" customHeight="1" s="86">
      <c r="A553" s="23" t="n"/>
      <c r="B553" s="23" t="n"/>
      <c r="C553" s="23" t="n"/>
      <c r="D553" s="23" t="n"/>
      <c r="E553" s="23" t="n"/>
      <c r="F553" s="23" t="n"/>
      <c r="G553" s="23" t="n"/>
      <c r="H553" s="23" t="n"/>
      <c r="I553" s="23" t="n"/>
      <c r="J553" s="23" t="n"/>
      <c r="K553" s="23" t="n"/>
      <c r="L553" s="23" t="n"/>
      <c r="M553" s="23" t="n"/>
      <c r="N553" s="23" t="n"/>
      <c r="O553" s="23" t="n"/>
      <c r="P553" s="23" t="n"/>
      <c r="Q553" s="23" t="n"/>
      <c r="R553" s="23" t="n"/>
      <c r="S553" s="23" t="n"/>
      <c r="T553" s="23" t="n"/>
      <c r="U553" s="23" t="n"/>
      <c r="V553" s="23" t="n"/>
      <c r="W553" s="23" t="n"/>
      <c r="X553" s="23" t="n"/>
      <c r="Y553" s="23" t="n"/>
      <c r="Z553" s="23" t="n"/>
    </row>
    <row r="554" ht="15.75" customHeight="1" s="86">
      <c r="A554" s="23" t="n"/>
      <c r="B554" s="23" t="n"/>
      <c r="C554" s="23" t="n"/>
      <c r="D554" s="23" t="n"/>
      <c r="E554" s="23" t="n"/>
      <c r="F554" s="23" t="n"/>
      <c r="G554" s="23" t="n"/>
      <c r="H554" s="23" t="n"/>
      <c r="I554" s="23" t="n"/>
      <c r="J554" s="23" t="n"/>
      <c r="K554" s="23" t="n"/>
      <c r="L554" s="23" t="n"/>
      <c r="M554" s="23" t="n"/>
      <c r="N554" s="23" t="n"/>
      <c r="O554" s="23" t="n"/>
      <c r="P554" s="23" t="n"/>
      <c r="Q554" s="23" t="n"/>
      <c r="R554" s="23" t="n"/>
      <c r="S554" s="23" t="n"/>
      <c r="T554" s="23" t="n"/>
      <c r="U554" s="23" t="n"/>
      <c r="V554" s="23" t="n"/>
      <c r="W554" s="23" t="n"/>
      <c r="X554" s="23" t="n"/>
      <c r="Y554" s="23" t="n"/>
      <c r="Z554" s="23" t="n"/>
    </row>
    <row r="555" ht="15.75" customHeight="1" s="86">
      <c r="A555" s="23" t="n"/>
      <c r="B555" s="23" t="n"/>
      <c r="C555" s="23" t="n"/>
      <c r="D555" s="23" t="n"/>
      <c r="E555" s="23" t="n"/>
      <c r="F555" s="23" t="n"/>
      <c r="G555" s="23" t="n"/>
      <c r="H555" s="23" t="n"/>
      <c r="I555" s="23" t="n"/>
      <c r="J555" s="23" t="n"/>
      <c r="K555" s="23" t="n"/>
      <c r="L555" s="23" t="n"/>
      <c r="M555" s="23" t="n"/>
      <c r="N555" s="23" t="n"/>
      <c r="O555" s="23" t="n"/>
      <c r="P555" s="23" t="n"/>
      <c r="Q555" s="23" t="n"/>
      <c r="R555" s="23" t="n"/>
      <c r="S555" s="23" t="n"/>
      <c r="T555" s="23" t="n"/>
      <c r="U555" s="23" t="n"/>
      <c r="V555" s="23" t="n"/>
      <c r="W555" s="23" t="n"/>
      <c r="X555" s="23" t="n"/>
      <c r="Y555" s="23" t="n"/>
      <c r="Z555" s="23" t="n"/>
    </row>
    <row r="556" ht="15.75" customHeight="1" s="86">
      <c r="A556" s="23" t="n"/>
      <c r="B556" s="23" t="n"/>
      <c r="C556" s="23" t="n"/>
      <c r="D556" s="23" t="n"/>
      <c r="E556" s="23" t="n"/>
      <c r="F556" s="23" t="n"/>
      <c r="G556" s="23" t="n"/>
      <c r="H556" s="23" t="n"/>
      <c r="I556" s="23" t="n"/>
      <c r="J556" s="23" t="n"/>
      <c r="K556" s="23" t="n"/>
      <c r="L556" s="23" t="n"/>
      <c r="M556" s="23" t="n"/>
      <c r="N556" s="23" t="n"/>
      <c r="O556" s="23" t="n"/>
      <c r="P556" s="23" t="n"/>
      <c r="Q556" s="23" t="n"/>
      <c r="R556" s="23" t="n"/>
      <c r="S556" s="23" t="n"/>
      <c r="T556" s="23" t="n"/>
      <c r="U556" s="23" t="n"/>
      <c r="V556" s="23" t="n"/>
      <c r="W556" s="23" t="n"/>
      <c r="X556" s="23" t="n"/>
      <c r="Y556" s="23" t="n"/>
      <c r="Z556" s="23" t="n"/>
    </row>
    <row r="557" ht="15.75" customHeight="1" s="86">
      <c r="A557" s="23" t="n"/>
      <c r="B557" s="23" t="n"/>
      <c r="C557" s="23" t="n"/>
      <c r="D557" s="23" t="n"/>
      <c r="E557" s="23" t="n"/>
      <c r="F557" s="23" t="n"/>
      <c r="G557" s="23" t="n"/>
      <c r="H557" s="23" t="n"/>
      <c r="I557" s="23" t="n"/>
      <c r="J557" s="23" t="n"/>
      <c r="K557" s="23" t="n"/>
      <c r="L557" s="23" t="n"/>
      <c r="M557" s="23" t="n"/>
      <c r="N557" s="23" t="n"/>
      <c r="O557" s="23" t="n"/>
      <c r="P557" s="23" t="n"/>
      <c r="Q557" s="23" t="n"/>
      <c r="R557" s="23" t="n"/>
      <c r="S557" s="23" t="n"/>
      <c r="T557" s="23" t="n"/>
      <c r="U557" s="23" t="n"/>
      <c r="V557" s="23" t="n"/>
      <c r="W557" s="23" t="n"/>
      <c r="X557" s="23" t="n"/>
      <c r="Y557" s="23" t="n"/>
      <c r="Z557" s="23" t="n"/>
    </row>
    <row r="558" ht="15.75" customHeight="1" s="86">
      <c r="A558" s="23" t="n"/>
      <c r="B558" s="23" t="n"/>
      <c r="C558" s="23" t="n"/>
      <c r="D558" s="23" t="n"/>
      <c r="E558" s="23" t="n"/>
      <c r="F558" s="23" t="n"/>
      <c r="G558" s="23" t="n"/>
      <c r="H558" s="23" t="n"/>
      <c r="I558" s="23" t="n"/>
      <c r="J558" s="23" t="n"/>
      <c r="K558" s="23" t="n"/>
      <c r="L558" s="23" t="n"/>
      <c r="M558" s="23" t="n"/>
      <c r="N558" s="23" t="n"/>
      <c r="O558" s="23" t="n"/>
      <c r="P558" s="23" t="n"/>
      <c r="Q558" s="23" t="n"/>
      <c r="R558" s="23" t="n"/>
      <c r="S558" s="23" t="n"/>
      <c r="T558" s="23" t="n"/>
      <c r="U558" s="23" t="n"/>
      <c r="V558" s="23" t="n"/>
      <c r="W558" s="23" t="n"/>
      <c r="X558" s="23" t="n"/>
      <c r="Y558" s="23" t="n"/>
      <c r="Z558" s="23" t="n"/>
    </row>
    <row r="559" ht="15.75" customHeight="1" s="86">
      <c r="A559" s="23" t="n"/>
      <c r="B559" s="23" t="n"/>
      <c r="C559" s="23" t="n"/>
      <c r="D559" s="23" t="n"/>
      <c r="E559" s="23" t="n"/>
      <c r="F559" s="23" t="n"/>
      <c r="G559" s="23" t="n"/>
      <c r="H559" s="23" t="n"/>
      <c r="I559" s="23" t="n"/>
      <c r="J559" s="23" t="n"/>
      <c r="K559" s="23" t="n"/>
      <c r="L559" s="23" t="n"/>
      <c r="M559" s="23" t="n"/>
      <c r="N559" s="23" t="n"/>
      <c r="O559" s="23" t="n"/>
      <c r="P559" s="23" t="n"/>
      <c r="Q559" s="23" t="n"/>
      <c r="R559" s="23" t="n"/>
      <c r="S559" s="23" t="n"/>
      <c r="T559" s="23" t="n"/>
      <c r="U559" s="23" t="n"/>
      <c r="V559" s="23" t="n"/>
      <c r="W559" s="23" t="n"/>
      <c r="X559" s="23" t="n"/>
      <c r="Y559" s="23" t="n"/>
      <c r="Z559" s="23" t="n"/>
    </row>
    <row r="560" ht="15.75" customHeight="1" s="86">
      <c r="A560" s="23" t="n"/>
      <c r="B560" s="23" t="n"/>
      <c r="C560" s="23" t="n"/>
      <c r="D560" s="23" t="n"/>
      <c r="E560" s="23" t="n"/>
      <c r="F560" s="23" t="n"/>
      <c r="G560" s="23" t="n"/>
      <c r="H560" s="23" t="n"/>
      <c r="I560" s="23" t="n"/>
      <c r="J560" s="23" t="n"/>
      <c r="K560" s="23" t="n"/>
      <c r="L560" s="23" t="n"/>
      <c r="M560" s="23" t="n"/>
      <c r="N560" s="23" t="n"/>
      <c r="O560" s="23" t="n"/>
      <c r="P560" s="23" t="n"/>
      <c r="Q560" s="23" t="n"/>
      <c r="R560" s="23" t="n"/>
      <c r="S560" s="23" t="n"/>
      <c r="T560" s="23" t="n"/>
      <c r="U560" s="23" t="n"/>
      <c r="V560" s="23" t="n"/>
      <c r="W560" s="23" t="n"/>
      <c r="X560" s="23" t="n"/>
      <c r="Y560" s="23" t="n"/>
      <c r="Z560" s="23" t="n"/>
    </row>
    <row r="561" ht="15.75" customHeight="1" s="86">
      <c r="A561" s="23" t="n"/>
      <c r="B561" s="23" t="n"/>
      <c r="C561" s="23" t="n"/>
      <c r="D561" s="23" t="n"/>
      <c r="E561" s="23" t="n"/>
      <c r="F561" s="23" t="n"/>
      <c r="G561" s="23" t="n"/>
      <c r="H561" s="23" t="n"/>
      <c r="I561" s="23" t="n"/>
      <c r="J561" s="23" t="n"/>
      <c r="K561" s="23" t="n"/>
      <c r="L561" s="23" t="n"/>
      <c r="M561" s="23" t="n"/>
      <c r="N561" s="23" t="n"/>
      <c r="O561" s="23" t="n"/>
      <c r="P561" s="23" t="n"/>
      <c r="Q561" s="23" t="n"/>
      <c r="R561" s="23" t="n"/>
      <c r="S561" s="23" t="n"/>
      <c r="T561" s="23" t="n"/>
      <c r="U561" s="23" t="n"/>
      <c r="V561" s="23" t="n"/>
      <c r="W561" s="23" t="n"/>
      <c r="X561" s="23" t="n"/>
      <c r="Y561" s="23" t="n"/>
      <c r="Z561" s="23" t="n"/>
    </row>
    <row r="562" ht="15.75" customHeight="1" s="86">
      <c r="A562" s="23" t="n"/>
      <c r="B562" s="23" t="n"/>
      <c r="C562" s="23" t="n"/>
      <c r="D562" s="23" t="n"/>
      <c r="E562" s="23" t="n"/>
      <c r="F562" s="23" t="n"/>
      <c r="G562" s="23" t="n"/>
      <c r="H562" s="23" t="n"/>
      <c r="I562" s="23" t="n"/>
      <c r="J562" s="23" t="n"/>
      <c r="K562" s="23" t="n"/>
      <c r="L562" s="23" t="n"/>
      <c r="M562" s="23" t="n"/>
      <c r="N562" s="23" t="n"/>
      <c r="O562" s="23" t="n"/>
      <c r="P562" s="23" t="n"/>
      <c r="Q562" s="23" t="n"/>
      <c r="R562" s="23" t="n"/>
      <c r="S562" s="23" t="n"/>
      <c r="T562" s="23" t="n"/>
      <c r="U562" s="23" t="n"/>
      <c r="V562" s="23" t="n"/>
      <c r="W562" s="23" t="n"/>
      <c r="X562" s="23" t="n"/>
      <c r="Y562" s="23" t="n"/>
      <c r="Z562" s="23" t="n"/>
    </row>
    <row r="563" ht="15.75" customHeight="1" s="86">
      <c r="A563" s="23" t="n"/>
      <c r="B563" s="23" t="n"/>
      <c r="C563" s="23" t="n"/>
      <c r="D563" s="23" t="n"/>
      <c r="E563" s="23" t="n"/>
      <c r="F563" s="23" t="n"/>
      <c r="G563" s="23" t="n"/>
      <c r="H563" s="23" t="n"/>
      <c r="I563" s="23" t="n"/>
      <c r="J563" s="23" t="n"/>
      <c r="K563" s="23" t="n"/>
      <c r="L563" s="23" t="n"/>
      <c r="M563" s="23" t="n"/>
      <c r="N563" s="23" t="n"/>
      <c r="O563" s="23" t="n"/>
      <c r="P563" s="23" t="n"/>
      <c r="Q563" s="23" t="n"/>
      <c r="R563" s="23" t="n"/>
      <c r="S563" s="23" t="n"/>
      <c r="T563" s="23" t="n"/>
      <c r="U563" s="23" t="n"/>
      <c r="V563" s="23" t="n"/>
      <c r="W563" s="23" t="n"/>
      <c r="X563" s="23" t="n"/>
      <c r="Y563" s="23" t="n"/>
      <c r="Z563" s="23" t="n"/>
    </row>
    <row r="564" ht="15.75" customHeight="1" s="86">
      <c r="A564" s="23" t="n"/>
      <c r="B564" s="23" t="n"/>
      <c r="C564" s="23" t="n"/>
      <c r="D564" s="23" t="n"/>
      <c r="E564" s="23" t="n"/>
      <c r="F564" s="23" t="n"/>
      <c r="G564" s="23" t="n"/>
      <c r="H564" s="23" t="n"/>
      <c r="I564" s="23" t="n"/>
      <c r="J564" s="23" t="n"/>
      <c r="K564" s="23" t="n"/>
      <c r="L564" s="23" t="n"/>
      <c r="M564" s="23" t="n"/>
      <c r="N564" s="23" t="n"/>
      <c r="O564" s="23" t="n"/>
      <c r="P564" s="23" t="n"/>
      <c r="Q564" s="23" t="n"/>
      <c r="R564" s="23" t="n"/>
      <c r="S564" s="23" t="n"/>
      <c r="T564" s="23" t="n"/>
      <c r="U564" s="23" t="n"/>
      <c r="V564" s="23" t="n"/>
      <c r="W564" s="23" t="n"/>
      <c r="X564" s="23" t="n"/>
      <c r="Y564" s="23" t="n"/>
      <c r="Z564" s="23" t="n"/>
    </row>
    <row r="565" ht="15.75" customHeight="1" s="86">
      <c r="A565" s="23" t="n"/>
      <c r="B565" s="23" t="n"/>
      <c r="C565" s="23" t="n"/>
      <c r="D565" s="23" t="n"/>
      <c r="E565" s="23" t="n"/>
      <c r="F565" s="23" t="n"/>
      <c r="G565" s="23" t="n"/>
      <c r="H565" s="23" t="n"/>
      <c r="I565" s="23" t="n"/>
      <c r="J565" s="23" t="n"/>
      <c r="K565" s="23" t="n"/>
      <c r="L565" s="23" t="n"/>
      <c r="M565" s="23" t="n"/>
      <c r="N565" s="23" t="n"/>
      <c r="O565" s="23" t="n"/>
      <c r="P565" s="23" t="n"/>
      <c r="Q565" s="23" t="n"/>
      <c r="R565" s="23" t="n"/>
      <c r="S565" s="23" t="n"/>
      <c r="T565" s="23" t="n"/>
      <c r="U565" s="23" t="n"/>
      <c r="V565" s="23" t="n"/>
      <c r="W565" s="23" t="n"/>
      <c r="X565" s="23" t="n"/>
      <c r="Y565" s="23" t="n"/>
      <c r="Z565" s="23" t="n"/>
    </row>
    <row r="566" ht="15.75" customHeight="1" s="86">
      <c r="A566" s="23" t="n"/>
      <c r="B566" s="23" t="n"/>
      <c r="C566" s="23" t="n"/>
      <c r="D566" s="23" t="n"/>
      <c r="E566" s="23" t="n"/>
      <c r="F566" s="23" t="n"/>
      <c r="G566" s="23" t="n"/>
      <c r="H566" s="23" t="n"/>
      <c r="I566" s="23" t="n"/>
      <c r="J566" s="23" t="n"/>
      <c r="K566" s="23" t="n"/>
      <c r="L566" s="23" t="n"/>
      <c r="M566" s="23" t="n"/>
      <c r="N566" s="23" t="n"/>
      <c r="O566" s="23" t="n"/>
      <c r="P566" s="23" t="n"/>
      <c r="Q566" s="23" t="n"/>
      <c r="R566" s="23" t="n"/>
      <c r="S566" s="23" t="n"/>
      <c r="T566" s="23" t="n"/>
      <c r="U566" s="23" t="n"/>
      <c r="V566" s="23" t="n"/>
      <c r="W566" s="23" t="n"/>
      <c r="X566" s="23" t="n"/>
      <c r="Y566" s="23" t="n"/>
      <c r="Z566" s="23" t="n"/>
    </row>
    <row r="567" ht="15.75" customHeight="1" s="86">
      <c r="A567" s="23" t="n"/>
      <c r="B567" s="23" t="n"/>
      <c r="C567" s="23" t="n"/>
      <c r="D567" s="23" t="n"/>
      <c r="E567" s="23" t="n"/>
      <c r="F567" s="23" t="n"/>
      <c r="G567" s="23" t="n"/>
      <c r="H567" s="23" t="n"/>
      <c r="I567" s="23" t="n"/>
      <c r="J567" s="23" t="n"/>
      <c r="K567" s="23" t="n"/>
      <c r="L567" s="23" t="n"/>
      <c r="M567" s="23" t="n"/>
      <c r="N567" s="23" t="n"/>
      <c r="O567" s="23" t="n"/>
      <c r="P567" s="23" t="n"/>
      <c r="Q567" s="23" t="n"/>
      <c r="R567" s="23" t="n"/>
      <c r="S567" s="23" t="n"/>
      <c r="T567" s="23" t="n"/>
      <c r="U567" s="23" t="n"/>
      <c r="V567" s="23" t="n"/>
      <c r="W567" s="23" t="n"/>
      <c r="X567" s="23" t="n"/>
      <c r="Y567" s="23" t="n"/>
      <c r="Z567" s="23" t="n"/>
    </row>
    <row r="568" ht="15.75" customHeight="1" s="86">
      <c r="A568" s="23" t="n"/>
      <c r="B568" s="23" t="n"/>
      <c r="C568" s="23" t="n"/>
      <c r="D568" s="23" t="n"/>
      <c r="E568" s="23" t="n"/>
      <c r="F568" s="23" t="n"/>
      <c r="G568" s="23" t="n"/>
      <c r="H568" s="23" t="n"/>
      <c r="I568" s="23" t="n"/>
      <c r="J568" s="23" t="n"/>
      <c r="K568" s="23" t="n"/>
      <c r="L568" s="23" t="n"/>
      <c r="M568" s="23" t="n"/>
      <c r="N568" s="23" t="n"/>
      <c r="O568" s="23" t="n"/>
      <c r="P568" s="23" t="n"/>
      <c r="Q568" s="23" t="n"/>
      <c r="R568" s="23" t="n"/>
      <c r="S568" s="23" t="n"/>
      <c r="T568" s="23" t="n"/>
      <c r="U568" s="23" t="n"/>
      <c r="V568" s="23" t="n"/>
      <c r="W568" s="23" t="n"/>
      <c r="X568" s="23" t="n"/>
      <c r="Y568" s="23" t="n"/>
      <c r="Z568" s="23" t="n"/>
    </row>
    <row r="569" ht="15.75" customHeight="1" s="86">
      <c r="A569" s="23" t="n"/>
      <c r="B569" s="23" t="n"/>
      <c r="C569" s="23" t="n"/>
      <c r="D569" s="23" t="n"/>
      <c r="E569" s="23" t="n"/>
      <c r="F569" s="23" t="n"/>
      <c r="G569" s="23" t="n"/>
      <c r="H569" s="23" t="n"/>
      <c r="I569" s="23" t="n"/>
      <c r="J569" s="23" t="n"/>
      <c r="K569" s="23" t="n"/>
      <c r="L569" s="23" t="n"/>
      <c r="M569" s="23" t="n"/>
      <c r="N569" s="23" t="n"/>
      <c r="O569" s="23" t="n"/>
      <c r="P569" s="23" t="n"/>
      <c r="Q569" s="23" t="n"/>
      <c r="R569" s="23" t="n"/>
      <c r="S569" s="23" t="n"/>
      <c r="T569" s="23" t="n"/>
      <c r="U569" s="23" t="n"/>
      <c r="V569" s="23" t="n"/>
      <c r="W569" s="23" t="n"/>
      <c r="X569" s="23" t="n"/>
      <c r="Y569" s="23" t="n"/>
      <c r="Z569" s="23" t="n"/>
    </row>
    <row r="570" ht="15.75" customHeight="1" s="86">
      <c r="A570" s="23" t="n"/>
      <c r="B570" s="23" t="n"/>
      <c r="C570" s="23" t="n"/>
      <c r="D570" s="23" t="n"/>
      <c r="E570" s="23" t="n"/>
      <c r="F570" s="23" t="n"/>
      <c r="G570" s="23" t="n"/>
      <c r="H570" s="23" t="n"/>
      <c r="I570" s="23" t="n"/>
      <c r="J570" s="23" t="n"/>
      <c r="K570" s="23" t="n"/>
      <c r="L570" s="23" t="n"/>
      <c r="M570" s="23" t="n"/>
      <c r="N570" s="23" t="n"/>
      <c r="O570" s="23" t="n"/>
      <c r="P570" s="23" t="n"/>
      <c r="Q570" s="23" t="n"/>
      <c r="R570" s="23" t="n"/>
      <c r="S570" s="23" t="n"/>
      <c r="T570" s="23" t="n"/>
      <c r="U570" s="23" t="n"/>
      <c r="V570" s="23" t="n"/>
      <c r="W570" s="23" t="n"/>
      <c r="X570" s="23" t="n"/>
      <c r="Y570" s="23" t="n"/>
      <c r="Z570" s="23" t="n"/>
    </row>
    <row r="571" ht="15.75" customHeight="1" s="86">
      <c r="A571" s="23" t="n"/>
      <c r="B571" s="23" t="n"/>
      <c r="C571" s="23" t="n"/>
      <c r="D571" s="23" t="n"/>
      <c r="E571" s="23" t="n"/>
      <c r="F571" s="23" t="n"/>
      <c r="G571" s="23" t="n"/>
      <c r="H571" s="23" t="n"/>
      <c r="I571" s="23" t="n"/>
      <c r="J571" s="23" t="n"/>
      <c r="K571" s="23" t="n"/>
      <c r="L571" s="23" t="n"/>
      <c r="M571" s="23" t="n"/>
      <c r="N571" s="23" t="n"/>
      <c r="O571" s="23" t="n"/>
      <c r="P571" s="23" t="n"/>
      <c r="Q571" s="23" t="n"/>
      <c r="R571" s="23" t="n"/>
      <c r="S571" s="23" t="n"/>
      <c r="T571" s="23" t="n"/>
      <c r="U571" s="23" t="n"/>
      <c r="V571" s="23" t="n"/>
      <c r="W571" s="23" t="n"/>
      <c r="X571" s="23" t="n"/>
      <c r="Y571" s="23" t="n"/>
      <c r="Z571" s="23" t="n"/>
    </row>
    <row r="572" ht="15.75" customHeight="1" s="86">
      <c r="A572" s="23" t="n"/>
      <c r="B572" s="23" t="n"/>
      <c r="C572" s="23" t="n"/>
      <c r="D572" s="23" t="n"/>
      <c r="E572" s="23" t="n"/>
      <c r="F572" s="23" t="n"/>
      <c r="G572" s="23" t="n"/>
      <c r="H572" s="23" t="n"/>
      <c r="I572" s="23" t="n"/>
      <c r="J572" s="23" t="n"/>
      <c r="K572" s="23" t="n"/>
      <c r="L572" s="23" t="n"/>
      <c r="M572" s="23" t="n"/>
      <c r="N572" s="23" t="n"/>
      <c r="O572" s="23" t="n"/>
      <c r="P572" s="23" t="n"/>
      <c r="Q572" s="23" t="n"/>
      <c r="R572" s="23" t="n"/>
      <c r="S572" s="23" t="n"/>
      <c r="T572" s="23" t="n"/>
      <c r="U572" s="23" t="n"/>
      <c r="V572" s="23" t="n"/>
      <c r="W572" s="23" t="n"/>
      <c r="X572" s="23" t="n"/>
      <c r="Y572" s="23" t="n"/>
      <c r="Z572" s="23" t="n"/>
    </row>
    <row r="573" ht="15.75" customHeight="1" s="86">
      <c r="A573" s="23" t="n"/>
      <c r="B573" s="23" t="n"/>
      <c r="C573" s="23" t="n"/>
      <c r="D573" s="23" t="n"/>
      <c r="E573" s="23" t="n"/>
      <c r="F573" s="23" t="n"/>
      <c r="G573" s="23" t="n"/>
      <c r="H573" s="23" t="n"/>
      <c r="I573" s="23" t="n"/>
      <c r="J573" s="23" t="n"/>
      <c r="K573" s="23" t="n"/>
      <c r="L573" s="23" t="n"/>
      <c r="M573" s="23" t="n"/>
      <c r="N573" s="23" t="n"/>
      <c r="O573" s="23" t="n"/>
      <c r="P573" s="23" t="n"/>
      <c r="Q573" s="23" t="n"/>
      <c r="R573" s="23" t="n"/>
      <c r="S573" s="23" t="n"/>
      <c r="T573" s="23" t="n"/>
      <c r="U573" s="23" t="n"/>
      <c r="V573" s="23" t="n"/>
      <c r="W573" s="23" t="n"/>
      <c r="X573" s="23" t="n"/>
      <c r="Y573" s="23" t="n"/>
      <c r="Z573" s="23" t="n"/>
    </row>
    <row r="574" ht="15.75" customHeight="1" s="86">
      <c r="A574" s="23" t="n"/>
      <c r="B574" s="23" t="n"/>
      <c r="C574" s="23" t="n"/>
      <c r="D574" s="23" t="n"/>
      <c r="E574" s="23" t="n"/>
      <c r="F574" s="23" t="n"/>
      <c r="G574" s="23" t="n"/>
      <c r="H574" s="23" t="n"/>
      <c r="I574" s="23" t="n"/>
      <c r="J574" s="23" t="n"/>
      <c r="K574" s="23" t="n"/>
      <c r="L574" s="23" t="n"/>
      <c r="M574" s="23" t="n"/>
      <c r="N574" s="23" t="n"/>
      <c r="O574" s="23" t="n"/>
      <c r="P574" s="23" t="n"/>
      <c r="Q574" s="23" t="n"/>
      <c r="R574" s="23" t="n"/>
      <c r="S574" s="23" t="n"/>
      <c r="T574" s="23" t="n"/>
      <c r="U574" s="23" t="n"/>
      <c r="V574" s="23" t="n"/>
      <c r="W574" s="23" t="n"/>
      <c r="X574" s="23" t="n"/>
      <c r="Y574" s="23" t="n"/>
      <c r="Z574" s="23" t="n"/>
    </row>
    <row r="575" ht="15.75" customHeight="1" s="86">
      <c r="A575" s="23" t="n"/>
      <c r="B575" s="23" t="n"/>
      <c r="C575" s="23" t="n"/>
      <c r="D575" s="23" t="n"/>
      <c r="E575" s="23" t="n"/>
      <c r="F575" s="23" t="n"/>
      <c r="G575" s="23" t="n"/>
      <c r="H575" s="23" t="n"/>
      <c r="I575" s="23" t="n"/>
      <c r="J575" s="23" t="n"/>
      <c r="K575" s="23" t="n"/>
      <c r="L575" s="23" t="n"/>
      <c r="M575" s="23" t="n"/>
      <c r="N575" s="23" t="n"/>
      <c r="O575" s="23" t="n"/>
      <c r="P575" s="23" t="n"/>
      <c r="Q575" s="23" t="n"/>
      <c r="R575" s="23" t="n"/>
      <c r="S575" s="23" t="n"/>
      <c r="T575" s="23" t="n"/>
      <c r="U575" s="23" t="n"/>
      <c r="V575" s="23" t="n"/>
      <c r="W575" s="23" t="n"/>
      <c r="X575" s="23" t="n"/>
      <c r="Y575" s="23" t="n"/>
      <c r="Z575" s="23" t="n"/>
    </row>
    <row r="576" ht="15.75" customHeight="1" s="86">
      <c r="A576" s="23" t="n"/>
      <c r="B576" s="23" t="n"/>
      <c r="C576" s="23" t="n"/>
      <c r="D576" s="23" t="n"/>
      <c r="E576" s="23" t="n"/>
      <c r="F576" s="23" t="n"/>
      <c r="G576" s="23" t="n"/>
      <c r="H576" s="23" t="n"/>
      <c r="I576" s="23" t="n"/>
      <c r="J576" s="23" t="n"/>
      <c r="K576" s="23" t="n"/>
      <c r="L576" s="23" t="n"/>
      <c r="M576" s="23" t="n"/>
      <c r="N576" s="23" t="n"/>
      <c r="O576" s="23" t="n"/>
      <c r="P576" s="23" t="n"/>
      <c r="Q576" s="23" t="n"/>
      <c r="R576" s="23" t="n"/>
      <c r="S576" s="23" t="n"/>
      <c r="T576" s="23" t="n"/>
      <c r="U576" s="23" t="n"/>
      <c r="V576" s="23" t="n"/>
      <c r="W576" s="23" t="n"/>
      <c r="X576" s="23" t="n"/>
      <c r="Y576" s="23" t="n"/>
      <c r="Z576" s="23" t="n"/>
    </row>
    <row r="577" ht="15.75" customHeight="1" s="86">
      <c r="A577" s="23" t="n"/>
      <c r="B577" s="23" t="n"/>
      <c r="C577" s="23" t="n"/>
      <c r="D577" s="23" t="n"/>
      <c r="E577" s="23" t="n"/>
      <c r="F577" s="23" t="n"/>
      <c r="G577" s="23" t="n"/>
      <c r="H577" s="23" t="n"/>
      <c r="I577" s="23" t="n"/>
      <c r="J577" s="23" t="n"/>
      <c r="K577" s="23" t="n"/>
      <c r="L577" s="23" t="n"/>
      <c r="M577" s="23" t="n"/>
      <c r="N577" s="23" t="n"/>
      <c r="O577" s="23" t="n"/>
      <c r="P577" s="23" t="n"/>
      <c r="Q577" s="23" t="n"/>
      <c r="R577" s="23" t="n"/>
      <c r="S577" s="23" t="n"/>
      <c r="T577" s="23" t="n"/>
      <c r="U577" s="23" t="n"/>
      <c r="V577" s="23" t="n"/>
      <c r="W577" s="23" t="n"/>
      <c r="X577" s="23" t="n"/>
      <c r="Y577" s="23" t="n"/>
      <c r="Z577" s="23" t="n"/>
    </row>
    <row r="578" ht="15.75" customHeight="1" s="86">
      <c r="A578" s="23" t="n"/>
      <c r="B578" s="23" t="n"/>
      <c r="C578" s="23" t="n"/>
      <c r="D578" s="23" t="n"/>
      <c r="E578" s="23" t="n"/>
      <c r="F578" s="23" t="n"/>
      <c r="G578" s="23" t="n"/>
      <c r="H578" s="23" t="n"/>
      <c r="I578" s="23" t="n"/>
      <c r="J578" s="23" t="n"/>
      <c r="K578" s="23" t="n"/>
      <c r="L578" s="23" t="n"/>
      <c r="M578" s="23" t="n"/>
      <c r="N578" s="23" t="n"/>
      <c r="O578" s="23" t="n"/>
      <c r="P578" s="23" t="n"/>
      <c r="Q578" s="23" t="n"/>
      <c r="R578" s="23" t="n"/>
      <c r="S578" s="23" t="n"/>
      <c r="T578" s="23" t="n"/>
      <c r="U578" s="23" t="n"/>
      <c r="V578" s="23" t="n"/>
      <c r="W578" s="23" t="n"/>
      <c r="X578" s="23" t="n"/>
      <c r="Y578" s="23" t="n"/>
      <c r="Z578" s="23" t="n"/>
    </row>
    <row r="579" ht="15.75" customHeight="1" s="86">
      <c r="A579" s="23" t="n"/>
      <c r="B579" s="23" t="n"/>
      <c r="C579" s="23" t="n"/>
      <c r="D579" s="23" t="n"/>
      <c r="E579" s="23" t="n"/>
      <c r="F579" s="23" t="n"/>
      <c r="G579" s="23" t="n"/>
      <c r="H579" s="23" t="n"/>
      <c r="I579" s="23" t="n"/>
      <c r="J579" s="23" t="n"/>
      <c r="K579" s="23" t="n"/>
      <c r="L579" s="23" t="n"/>
      <c r="M579" s="23" t="n"/>
      <c r="N579" s="23" t="n"/>
      <c r="O579" s="23" t="n"/>
      <c r="P579" s="23" t="n"/>
      <c r="Q579" s="23" t="n"/>
      <c r="R579" s="23" t="n"/>
      <c r="S579" s="23" t="n"/>
      <c r="T579" s="23" t="n"/>
      <c r="U579" s="23" t="n"/>
      <c r="V579" s="23" t="n"/>
      <c r="W579" s="23" t="n"/>
      <c r="X579" s="23" t="n"/>
      <c r="Y579" s="23" t="n"/>
      <c r="Z579" s="23" t="n"/>
    </row>
    <row r="580" ht="15.75" customHeight="1" s="86">
      <c r="A580" s="23" t="n"/>
      <c r="B580" s="23" t="n"/>
      <c r="C580" s="23" t="n"/>
      <c r="D580" s="23" t="n"/>
      <c r="E580" s="23" t="n"/>
      <c r="F580" s="23" t="n"/>
      <c r="G580" s="23" t="n"/>
      <c r="H580" s="23" t="n"/>
      <c r="I580" s="23" t="n"/>
      <c r="J580" s="23" t="n"/>
      <c r="K580" s="23" t="n"/>
      <c r="L580" s="23" t="n"/>
      <c r="M580" s="23" t="n"/>
      <c r="N580" s="23" t="n"/>
      <c r="O580" s="23" t="n"/>
      <c r="P580" s="23" t="n"/>
      <c r="Q580" s="23" t="n"/>
      <c r="R580" s="23" t="n"/>
      <c r="S580" s="23" t="n"/>
      <c r="T580" s="23" t="n"/>
      <c r="U580" s="23" t="n"/>
      <c r="V580" s="23" t="n"/>
      <c r="W580" s="23" t="n"/>
      <c r="X580" s="23" t="n"/>
      <c r="Y580" s="23" t="n"/>
      <c r="Z580" s="23" t="n"/>
    </row>
    <row r="581" ht="15.75" customHeight="1" s="86">
      <c r="A581" s="23" t="n"/>
      <c r="B581" s="23" t="n"/>
      <c r="C581" s="23" t="n"/>
      <c r="D581" s="23" t="n"/>
      <c r="E581" s="23" t="n"/>
      <c r="F581" s="23" t="n"/>
      <c r="G581" s="23" t="n"/>
      <c r="H581" s="23" t="n"/>
      <c r="I581" s="23" t="n"/>
      <c r="J581" s="23" t="n"/>
      <c r="K581" s="23" t="n"/>
      <c r="L581" s="23" t="n"/>
      <c r="M581" s="23" t="n"/>
      <c r="N581" s="23" t="n"/>
      <c r="O581" s="23" t="n"/>
      <c r="P581" s="23" t="n"/>
      <c r="Q581" s="23" t="n"/>
      <c r="R581" s="23" t="n"/>
      <c r="S581" s="23" t="n"/>
      <c r="T581" s="23" t="n"/>
      <c r="U581" s="23" t="n"/>
      <c r="V581" s="23" t="n"/>
      <c r="W581" s="23" t="n"/>
      <c r="X581" s="23" t="n"/>
      <c r="Y581" s="23" t="n"/>
      <c r="Z581" s="23" t="n"/>
    </row>
    <row r="582" ht="15.75" customHeight="1" s="86">
      <c r="A582" s="23" t="n"/>
      <c r="B582" s="23" t="n"/>
      <c r="C582" s="23" t="n"/>
      <c r="D582" s="23" t="n"/>
      <c r="E582" s="23" t="n"/>
      <c r="F582" s="23" t="n"/>
      <c r="G582" s="23" t="n"/>
      <c r="H582" s="23" t="n"/>
      <c r="I582" s="23" t="n"/>
      <c r="J582" s="23" t="n"/>
      <c r="K582" s="23" t="n"/>
      <c r="L582" s="23" t="n"/>
      <c r="M582" s="23" t="n"/>
      <c r="N582" s="23" t="n"/>
      <c r="O582" s="23" t="n"/>
      <c r="P582" s="23" t="n"/>
      <c r="Q582" s="23" t="n"/>
      <c r="R582" s="23" t="n"/>
      <c r="S582" s="23" t="n"/>
      <c r="T582" s="23" t="n"/>
      <c r="U582" s="23" t="n"/>
      <c r="V582" s="23" t="n"/>
      <c r="W582" s="23" t="n"/>
      <c r="X582" s="23" t="n"/>
      <c r="Y582" s="23" t="n"/>
      <c r="Z582" s="23" t="n"/>
    </row>
    <row r="583" ht="15.75" customHeight="1" s="86">
      <c r="A583" s="23" t="n"/>
      <c r="B583" s="23" t="n"/>
      <c r="C583" s="23" t="n"/>
      <c r="D583" s="23" t="n"/>
      <c r="E583" s="23" t="n"/>
      <c r="F583" s="23" t="n"/>
      <c r="G583" s="23" t="n"/>
      <c r="H583" s="23" t="n"/>
      <c r="I583" s="23" t="n"/>
      <c r="J583" s="23" t="n"/>
      <c r="K583" s="23" t="n"/>
      <c r="L583" s="23" t="n"/>
      <c r="M583" s="23" t="n"/>
      <c r="N583" s="23" t="n"/>
      <c r="O583" s="23" t="n"/>
      <c r="P583" s="23" t="n"/>
      <c r="Q583" s="23" t="n"/>
      <c r="R583" s="23" t="n"/>
      <c r="S583" s="23" t="n"/>
      <c r="T583" s="23" t="n"/>
      <c r="U583" s="23" t="n"/>
      <c r="V583" s="23" t="n"/>
      <c r="W583" s="23" t="n"/>
      <c r="X583" s="23" t="n"/>
      <c r="Y583" s="23" t="n"/>
      <c r="Z583" s="23" t="n"/>
    </row>
    <row r="584" ht="15.75" customHeight="1" s="86">
      <c r="A584" s="23" t="n"/>
      <c r="B584" s="23" t="n"/>
      <c r="C584" s="23" t="n"/>
      <c r="D584" s="23" t="n"/>
      <c r="E584" s="23" t="n"/>
      <c r="F584" s="23" t="n"/>
      <c r="G584" s="23" t="n"/>
      <c r="H584" s="23" t="n"/>
      <c r="I584" s="23" t="n"/>
      <c r="J584" s="23" t="n"/>
      <c r="K584" s="23" t="n"/>
      <c r="L584" s="23" t="n"/>
      <c r="M584" s="23" t="n"/>
      <c r="N584" s="23" t="n"/>
      <c r="O584" s="23" t="n"/>
      <c r="P584" s="23" t="n"/>
      <c r="Q584" s="23" t="n"/>
      <c r="R584" s="23" t="n"/>
      <c r="S584" s="23" t="n"/>
      <c r="T584" s="23" t="n"/>
      <c r="U584" s="23" t="n"/>
      <c r="V584" s="23" t="n"/>
      <c r="W584" s="23" t="n"/>
      <c r="X584" s="23" t="n"/>
      <c r="Y584" s="23" t="n"/>
      <c r="Z584" s="23" t="n"/>
    </row>
    <row r="585" ht="15.75" customHeight="1" s="86">
      <c r="A585" s="23" t="n"/>
      <c r="B585" s="23" t="n"/>
      <c r="C585" s="23" t="n"/>
      <c r="D585" s="23" t="n"/>
      <c r="E585" s="23" t="n"/>
      <c r="F585" s="23" t="n"/>
      <c r="G585" s="23" t="n"/>
      <c r="H585" s="23" t="n"/>
      <c r="I585" s="23" t="n"/>
      <c r="J585" s="23" t="n"/>
      <c r="K585" s="23" t="n"/>
      <c r="L585" s="23" t="n"/>
      <c r="M585" s="23" t="n"/>
      <c r="N585" s="23" t="n"/>
      <c r="O585" s="23" t="n"/>
      <c r="P585" s="23" t="n"/>
      <c r="Q585" s="23" t="n"/>
      <c r="R585" s="23" t="n"/>
      <c r="S585" s="23" t="n"/>
      <c r="T585" s="23" t="n"/>
      <c r="U585" s="23" t="n"/>
      <c r="V585" s="23" t="n"/>
      <c r="W585" s="23" t="n"/>
      <c r="X585" s="23" t="n"/>
      <c r="Y585" s="23" t="n"/>
      <c r="Z585" s="23" t="n"/>
    </row>
    <row r="586" ht="15.75" customHeight="1" s="86">
      <c r="A586" s="23" t="n"/>
      <c r="B586" s="23" t="n"/>
      <c r="C586" s="23" t="n"/>
      <c r="D586" s="23" t="n"/>
      <c r="E586" s="23" t="n"/>
      <c r="F586" s="23" t="n"/>
      <c r="G586" s="23" t="n"/>
      <c r="H586" s="23" t="n"/>
      <c r="I586" s="23" t="n"/>
      <c r="J586" s="23" t="n"/>
      <c r="K586" s="23" t="n"/>
      <c r="L586" s="23" t="n"/>
      <c r="M586" s="23" t="n"/>
      <c r="N586" s="23" t="n"/>
      <c r="O586" s="23" t="n"/>
      <c r="P586" s="23" t="n"/>
      <c r="Q586" s="23" t="n"/>
      <c r="R586" s="23" t="n"/>
      <c r="S586" s="23" t="n"/>
      <c r="T586" s="23" t="n"/>
      <c r="U586" s="23" t="n"/>
      <c r="V586" s="23" t="n"/>
      <c r="W586" s="23" t="n"/>
      <c r="X586" s="23" t="n"/>
      <c r="Y586" s="23" t="n"/>
      <c r="Z586" s="23" t="n"/>
    </row>
    <row r="587" ht="15.75" customHeight="1" s="86">
      <c r="A587" s="23" t="n"/>
      <c r="B587" s="23" t="n"/>
      <c r="C587" s="23" t="n"/>
      <c r="D587" s="23" t="n"/>
      <c r="E587" s="23" t="n"/>
      <c r="F587" s="23" t="n"/>
      <c r="G587" s="23" t="n"/>
      <c r="H587" s="23" t="n"/>
      <c r="I587" s="23" t="n"/>
      <c r="J587" s="23" t="n"/>
      <c r="K587" s="23" t="n"/>
      <c r="L587" s="23" t="n"/>
      <c r="M587" s="23" t="n"/>
      <c r="N587" s="23" t="n"/>
      <c r="O587" s="23" t="n"/>
      <c r="P587" s="23" t="n"/>
      <c r="Q587" s="23" t="n"/>
      <c r="R587" s="23" t="n"/>
      <c r="S587" s="23" t="n"/>
      <c r="T587" s="23" t="n"/>
      <c r="U587" s="23" t="n"/>
      <c r="V587" s="23" t="n"/>
      <c r="W587" s="23" t="n"/>
      <c r="X587" s="23" t="n"/>
      <c r="Y587" s="23" t="n"/>
      <c r="Z587" s="23" t="n"/>
    </row>
    <row r="588" ht="15.75" customHeight="1" s="86">
      <c r="A588" s="23" t="n"/>
      <c r="B588" s="23" t="n"/>
      <c r="C588" s="23" t="n"/>
      <c r="D588" s="23" t="n"/>
      <c r="E588" s="23" t="n"/>
      <c r="F588" s="23" t="n"/>
      <c r="G588" s="23" t="n"/>
      <c r="H588" s="23" t="n"/>
      <c r="I588" s="23" t="n"/>
      <c r="J588" s="23" t="n"/>
      <c r="K588" s="23" t="n"/>
      <c r="L588" s="23" t="n"/>
      <c r="M588" s="23" t="n"/>
      <c r="N588" s="23" t="n"/>
      <c r="O588" s="23" t="n"/>
      <c r="P588" s="23" t="n"/>
      <c r="Q588" s="23" t="n"/>
      <c r="R588" s="23" t="n"/>
      <c r="S588" s="23" t="n"/>
      <c r="T588" s="23" t="n"/>
      <c r="U588" s="23" t="n"/>
      <c r="V588" s="23" t="n"/>
      <c r="W588" s="23" t="n"/>
      <c r="X588" s="23" t="n"/>
      <c r="Y588" s="23" t="n"/>
      <c r="Z588" s="23" t="n"/>
    </row>
    <row r="589" ht="15.75" customHeight="1" s="86">
      <c r="A589" s="23" t="n"/>
      <c r="B589" s="23" t="n"/>
      <c r="C589" s="23" t="n"/>
      <c r="D589" s="23" t="n"/>
      <c r="E589" s="23" t="n"/>
      <c r="F589" s="23" t="n"/>
      <c r="G589" s="23" t="n"/>
      <c r="H589" s="23" t="n"/>
      <c r="I589" s="23" t="n"/>
      <c r="J589" s="23" t="n"/>
      <c r="K589" s="23" t="n"/>
      <c r="L589" s="23" t="n"/>
      <c r="M589" s="23" t="n"/>
      <c r="N589" s="23" t="n"/>
      <c r="O589" s="23" t="n"/>
      <c r="P589" s="23" t="n"/>
      <c r="Q589" s="23" t="n"/>
      <c r="R589" s="23" t="n"/>
      <c r="S589" s="23" t="n"/>
      <c r="T589" s="23" t="n"/>
      <c r="U589" s="23" t="n"/>
      <c r="V589" s="23" t="n"/>
      <c r="W589" s="23" t="n"/>
      <c r="X589" s="23" t="n"/>
      <c r="Y589" s="23" t="n"/>
      <c r="Z589" s="23" t="n"/>
    </row>
    <row r="590" ht="15.75" customHeight="1" s="86">
      <c r="A590" s="23" t="n"/>
      <c r="B590" s="23" t="n"/>
      <c r="C590" s="23" t="n"/>
      <c r="D590" s="23" t="n"/>
      <c r="E590" s="23" t="n"/>
      <c r="F590" s="23" t="n"/>
      <c r="G590" s="23" t="n"/>
      <c r="H590" s="23" t="n"/>
      <c r="I590" s="23" t="n"/>
      <c r="J590" s="23" t="n"/>
      <c r="K590" s="23" t="n"/>
      <c r="L590" s="23" t="n"/>
      <c r="M590" s="23" t="n"/>
      <c r="N590" s="23" t="n"/>
      <c r="O590" s="23" t="n"/>
      <c r="P590" s="23" t="n"/>
      <c r="Q590" s="23" t="n"/>
      <c r="R590" s="23" t="n"/>
      <c r="S590" s="23" t="n"/>
      <c r="T590" s="23" t="n"/>
      <c r="U590" s="23" t="n"/>
      <c r="V590" s="23" t="n"/>
      <c r="W590" s="23" t="n"/>
      <c r="X590" s="23" t="n"/>
      <c r="Y590" s="23" t="n"/>
      <c r="Z590" s="23" t="n"/>
    </row>
    <row r="591" ht="15.75" customHeight="1" s="86">
      <c r="A591" s="23" t="n"/>
      <c r="B591" s="23" t="n"/>
      <c r="C591" s="23" t="n"/>
      <c r="D591" s="23" t="n"/>
      <c r="E591" s="23" t="n"/>
      <c r="F591" s="23" t="n"/>
      <c r="G591" s="23" t="n"/>
      <c r="H591" s="23" t="n"/>
      <c r="I591" s="23" t="n"/>
      <c r="J591" s="23" t="n"/>
      <c r="K591" s="23" t="n"/>
      <c r="L591" s="23" t="n"/>
      <c r="M591" s="23" t="n"/>
      <c r="N591" s="23" t="n"/>
      <c r="O591" s="23" t="n"/>
      <c r="P591" s="23" t="n"/>
      <c r="Q591" s="23" t="n"/>
      <c r="R591" s="23" t="n"/>
      <c r="S591" s="23" t="n"/>
      <c r="T591" s="23" t="n"/>
      <c r="U591" s="23" t="n"/>
      <c r="V591" s="23" t="n"/>
      <c r="W591" s="23" t="n"/>
      <c r="X591" s="23" t="n"/>
      <c r="Y591" s="23" t="n"/>
      <c r="Z591" s="23" t="n"/>
    </row>
    <row r="592" ht="15.75" customHeight="1" s="86">
      <c r="A592" s="23" t="n"/>
      <c r="B592" s="23" t="n"/>
      <c r="C592" s="23" t="n"/>
      <c r="D592" s="23" t="n"/>
      <c r="E592" s="23" t="n"/>
      <c r="F592" s="23" t="n"/>
      <c r="G592" s="23" t="n"/>
      <c r="H592" s="23" t="n"/>
      <c r="I592" s="23" t="n"/>
      <c r="J592" s="23" t="n"/>
      <c r="K592" s="23" t="n"/>
      <c r="L592" s="23" t="n"/>
      <c r="M592" s="23" t="n"/>
      <c r="N592" s="23" t="n"/>
      <c r="O592" s="23" t="n"/>
      <c r="P592" s="23" t="n"/>
      <c r="Q592" s="23" t="n"/>
      <c r="R592" s="23" t="n"/>
      <c r="S592" s="23" t="n"/>
      <c r="T592" s="23" t="n"/>
      <c r="U592" s="23" t="n"/>
      <c r="V592" s="23" t="n"/>
      <c r="W592" s="23" t="n"/>
      <c r="X592" s="23" t="n"/>
      <c r="Y592" s="23" t="n"/>
      <c r="Z592" s="23" t="n"/>
    </row>
    <row r="593" ht="15.75" customHeight="1" s="86">
      <c r="A593" s="23" t="n"/>
      <c r="B593" s="23" t="n"/>
      <c r="C593" s="23" t="n"/>
      <c r="D593" s="23" t="n"/>
      <c r="E593" s="23" t="n"/>
      <c r="F593" s="23" t="n"/>
      <c r="G593" s="23" t="n"/>
      <c r="H593" s="23" t="n"/>
      <c r="I593" s="23" t="n"/>
      <c r="J593" s="23" t="n"/>
      <c r="K593" s="23" t="n"/>
      <c r="L593" s="23" t="n"/>
      <c r="M593" s="23" t="n"/>
      <c r="N593" s="23" t="n"/>
      <c r="O593" s="23" t="n"/>
      <c r="P593" s="23" t="n"/>
      <c r="Q593" s="23" t="n"/>
      <c r="R593" s="23" t="n"/>
      <c r="S593" s="23" t="n"/>
      <c r="T593" s="23" t="n"/>
      <c r="U593" s="23" t="n"/>
      <c r="V593" s="23" t="n"/>
      <c r="W593" s="23" t="n"/>
      <c r="X593" s="23" t="n"/>
      <c r="Y593" s="23" t="n"/>
      <c r="Z593" s="23" t="n"/>
    </row>
    <row r="594" ht="15.75" customHeight="1" s="86">
      <c r="A594" s="23" t="n"/>
      <c r="B594" s="23" t="n"/>
      <c r="C594" s="23" t="n"/>
      <c r="D594" s="23" t="n"/>
      <c r="E594" s="23" t="n"/>
      <c r="F594" s="23" t="n"/>
      <c r="G594" s="23" t="n"/>
      <c r="H594" s="23" t="n"/>
      <c r="I594" s="23" t="n"/>
      <c r="J594" s="23" t="n"/>
      <c r="K594" s="23" t="n"/>
      <c r="L594" s="23" t="n"/>
      <c r="M594" s="23" t="n"/>
      <c r="N594" s="23" t="n"/>
      <c r="O594" s="23" t="n"/>
      <c r="P594" s="23" t="n"/>
      <c r="Q594" s="23" t="n"/>
      <c r="R594" s="23" t="n"/>
      <c r="S594" s="23" t="n"/>
      <c r="T594" s="23" t="n"/>
      <c r="U594" s="23" t="n"/>
      <c r="V594" s="23" t="n"/>
      <c r="W594" s="23" t="n"/>
      <c r="X594" s="23" t="n"/>
      <c r="Y594" s="23" t="n"/>
      <c r="Z594" s="23" t="n"/>
    </row>
    <row r="595" ht="15.75" customHeight="1" s="86">
      <c r="A595" s="23" t="n"/>
      <c r="B595" s="23" t="n"/>
      <c r="C595" s="23" t="n"/>
      <c r="D595" s="23" t="n"/>
      <c r="E595" s="23" t="n"/>
      <c r="F595" s="23" t="n"/>
      <c r="G595" s="23" t="n"/>
      <c r="H595" s="23" t="n"/>
      <c r="I595" s="23" t="n"/>
      <c r="J595" s="23" t="n"/>
      <c r="K595" s="23" t="n"/>
      <c r="L595" s="23" t="n"/>
      <c r="M595" s="23" t="n"/>
      <c r="N595" s="23" t="n"/>
      <c r="O595" s="23" t="n"/>
      <c r="P595" s="23" t="n"/>
      <c r="Q595" s="23" t="n"/>
      <c r="R595" s="23" t="n"/>
      <c r="S595" s="23" t="n"/>
      <c r="T595" s="23" t="n"/>
      <c r="U595" s="23" t="n"/>
      <c r="V595" s="23" t="n"/>
      <c r="W595" s="23" t="n"/>
      <c r="X595" s="23" t="n"/>
      <c r="Y595" s="23" t="n"/>
      <c r="Z595" s="23" t="n"/>
    </row>
    <row r="596" ht="15.75" customHeight="1" s="86">
      <c r="A596" s="23" t="n"/>
      <c r="B596" s="23" t="n"/>
      <c r="C596" s="23" t="n"/>
      <c r="D596" s="23" t="n"/>
      <c r="E596" s="23" t="n"/>
      <c r="F596" s="23" t="n"/>
      <c r="G596" s="23" t="n"/>
      <c r="H596" s="23" t="n"/>
      <c r="I596" s="23" t="n"/>
      <c r="J596" s="23" t="n"/>
      <c r="K596" s="23" t="n"/>
      <c r="L596" s="23" t="n"/>
      <c r="M596" s="23" t="n"/>
      <c r="N596" s="23" t="n"/>
      <c r="O596" s="23" t="n"/>
      <c r="P596" s="23" t="n"/>
      <c r="Q596" s="23" t="n"/>
      <c r="R596" s="23" t="n"/>
      <c r="S596" s="23" t="n"/>
      <c r="T596" s="23" t="n"/>
      <c r="U596" s="23" t="n"/>
      <c r="V596" s="23" t="n"/>
      <c r="W596" s="23" t="n"/>
      <c r="X596" s="23" t="n"/>
      <c r="Y596" s="23" t="n"/>
      <c r="Z596" s="23" t="n"/>
    </row>
    <row r="597" ht="15.75" customHeight="1" s="86">
      <c r="A597" s="23" t="n"/>
      <c r="B597" s="23" t="n"/>
      <c r="C597" s="23" t="n"/>
      <c r="D597" s="23" t="n"/>
      <c r="E597" s="23" t="n"/>
      <c r="F597" s="23" t="n"/>
      <c r="G597" s="23" t="n"/>
      <c r="H597" s="23" t="n"/>
      <c r="I597" s="23" t="n"/>
      <c r="J597" s="23" t="n"/>
      <c r="K597" s="23" t="n"/>
      <c r="L597" s="23" t="n"/>
      <c r="M597" s="23" t="n"/>
      <c r="N597" s="23" t="n"/>
      <c r="O597" s="23" t="n"/>
      <c r="P597" s="23" t="n"/>
      <c r="Q597" s="23" t="n"/>
      <c r="R597" s="23" t="n"/>
      <c r="S597" s="23" t="n"/>
      <c r="T597" s="23" t="n"/>
      <c r="U597" s="23" t="n"/>
      <c r="V597" s="23" t="n"/>
      <c r="W597" s="23" t="n"/>
      <c r="X597" s="23" t="n"/>
      <c r="Y597" s="23" t="n"/>
      <c r="Z597" s="23" t="n"/>
    </row>
    <row r="598" ht="15.75" customHeight="1" s="86">
      <c r="A598" s="23" t="n"/>
      <c r="B598" s="23" t="n"/>
      <c r="C598" s="23" t="n"/>
      <c r="D598" s="23" t="n"/>
      <c r="E598" s="23" t="n"/>
      <c r="F598" s="23" t="n"/>
      <c r="G598" s="23" t="n"/>
      <c r="H598" s="23" t="n"/>
      <c r="I598" s="23" t="n"/>
      <c r="J598" s="23" t="n"/>
      <c r="K598" s="23" t="n"/>
      <c r="L598" s="23" t="n"/>
      <c r="M598" s="23" t="n"/>
      <c r="N598" s="23" t="n"/>
      <c r="O598" s="23" t="n"/>
      <c r="P598" s="23" t="n"/>
      <c r="Q598" s="23" t="n"/>
      <c r="R598" s="23" t="n"/>
      <c r="S598" s="23" t="n"/>
      <c r="T598" s="23" t="n"/>
      <c r="U598" s="23" t="n"/>
      <c r="V598" s="23" t="n"/>
      <c r="W598" s="23" t="n"/>
      <c r="X598" s="23" t="n"/>
      <c r="Y598" s="23" t="n"/>
      <c r="Z598" s="23" t="n"/>
    </row>
    <row r="599" ht="15.75" customHeight="1" s="86">
      <c r="A599" s="23" t="n"/>
      <c r="B599" s="23" t="n"/>
      <c r="C599" s="23" t="n"/>
      <c r="D599" s="23" t="n"/>
      <c r="E599" s="23" t="n"/>
      <c r="F599" s="23" t="n"/>
      <c r="G599" s="23" t="n"/>
      <c r="H599" s="23" t="n"/>
      <c r="I599" s="23" t="n"/>
      <c r="J599" s="23" t="n"/>
      <c r="K599" s="23" t="n"/>
      <c r="L599" s="23" t="n"/>
      <c r="M599" s="23" t="n"/>
      <c r="N599" s="23" t="n"/>
      <c r="O599" s="23" t="n"/>
      <c r="P599" s="23" t="n"/>
      <c r="Q599" s="23" t="n"/>
      <c r="R599" s="23" t="n"/>
      <c r="S599" s="23" t="n"/>
      <c r="T599" s="23" t="n"/>
      <c r="U599" s="23" t="n"/>
      <c r="V599" s="23" t="n"/>
      <c r="W599" s="23" t="n"/>
      <c r="X599" s="23" t="n"/>
      <c r="Y599" s="23" t="n"/>
      <c r="Z599" s="23" t="n"/>
    </row>
    <row r="600" ht="15.75" customHeight="1" s="86">
      <c r="A600" s="23" t="n"/>
      <c r="B600" s="23" t="n"/>
      <c r="C600" s="23" t="n"/>
      <c r="D600" s="23" t="n"/>
      <c r="E600" s="23" t="n"/>
      <c r="F600" s="23" t="n"/>
      <c r="G600" s="23" t="n"/>
      <c r="H600" s="23" t="n"/>
      <c r="I600" s="23" t="n"/>
      <c r="J600" s="23" t="n"/>
      <c r="K600" s="23" t="n"/>
      <c r="L600" s="23" t="n"/>
      <c r="M600" s="23" t="n"/>
      <c r="N600" s="23" t="n"/>
      <c r="O600" s="23" t="n"/>
      <c r="P600" s="23" t="n"/>
      <c r="Q600" s="23" t="n"/>
      <c r="R600" s="23" t="n"/>
      <c r="S600" s="23" t="n"/>
      <c r="T600" s="23" t="n"/>
      <c r="U600" s="23" t="n"/>
      <c r="V600" s="23" t="n"/>
      <c r="W600" s="23" t="n"/>
      <c r="X600" s="23" t="n"/>
      <c r="Y600" s="23" t="n"/>
      <c r="Z600" s="23" t="n"/>
    </row>
    <row r="601" ht="15.75" customHeight="1" s="86">
      <c r="A601" s="23" t="n"/>
      <c r="B601" s="23" t="n"/>
      <c r="C601" s="23" t="n"/>
      <c r="D601" s="23" t="n"/>
      <c r="E601" s="23" t="n"/>
      <c r="F601" s="23" t="n"/>
      <c r="G601" s="23" t="n"/>
      <c r="H601" s="23" t="n"/>
      <c r="I601" s="23" t="n"/>
      <c r="J601" s="23" t="n"/>
      <c r="K601" s="23" t="n"/>
      <c r="L601" s="23" t="n"/>
      <c r="M601" s="23" t="n"/>
      <c r="N601" s="23" t="n"/>
      <c r="O601" s="23" t="n"/>
      <c r="P601" s="23" t="n"/>
      <c r="Q601" s="23" t="n"/>
      <c r="R601" s="23" t="n"/>
      <c r="S601" s="23" t="n"/>
      <c r="T601" s="23" t="n"/>
      <c r="U601" s="23" t="n"/>
      <c r="V601" s="23" t="n"/>
      <c r="W601" s="23" t="n"/>
      <c r="X601" s="23" t="n"/>
      <c r="Y601" s="23" t="n"/>
      <c r="Z601" s="23" t="n"/>
    </row>
    <row r="602" ht="15.75" customHeight="1" s="86">
      <c r="A602" s="23" t="n"/>
      <c r="B602" s="23" t="n"/>
      <c r="C602" s="23" t="n"/>
      <c r="D602" s="23" t="n"/>
      <c r="E602" s="23" t="n"/>
      <c r="F602" s="23" t="n"/>
      <c r="G602" s="23" t="n"/>
      <c r="H602" s="23" t="n"/>
      <c r="I602" s="23" t="n"/>
      <c r="J602" s="23" t="n"/>
      <c r="K602" s="23" t="n"/>
      <c r="L602" s="23" t="n"/>
      <c r="M602" s="23" t="n"/>
      <c r="N602" s="23" t="n"/>
      <c r="O602" s="23" t="n"/>
      <c r="P602" s="23" t="n"/>
      <c r="Q602" s="23" t="n"/>
      <c r="R602" s="23" t="n"/>
      <c r="S602" s="23" t="n"/>
      <c r="T602" s="23" t="n"/>
      <c r="U602" s="23" t="n"/>
      <c r="V602" s="23" t="n"/>
      <c r="W602" s="23" t="n"/>
      <c r="X602" s="23" t="n"/>
      <c r="Y602" s="23" t="n"/>
      <c r="Z602" s="23" t="n"/>
    </row>
    <row r="603" ht="15.75" customHeight="1" s="86">
      <c r="A603" s="23" t="n"/>
      <c r="B603" s="23" t="n"/>
      <c r="C603" s="23" t="n"/>
      <c r="D603" s="23" t="n"/>
      <c r="E603" s="23" t="n"/>
      <c r="F603" s="23" t="n"/>
      <c r="G603" s="23" t="n"/>
      <c r="H603" s="23" t="n"/>
      <c r="I603" s="23" t="n"/>
      <c r="J603" s="23" t="n"/>
      <c r="K603" s="23" t="n"/>
      <c r="L603" s="23" t="n"/>
      <c r="M603" s="23" t="n"/>
      <c r="N603" s="23" t="n"/>
      <c r="O603" s="23" t="n"/>
      <c r="P603" s="23" t="n"/>
      <c r="Q603" s="23" t="n"/>
      <c r="R603" s="23" t="n"/>
      <c r="S603" s="23" t="n"/>
      <c r="T603" s="23" t="n"/>
      <c r="U603" s="23" t="n"/>
      <c r="V603" s="23" t="n"/>
      <c r="W603" s="23" t="n"/>
      <c r="X603" s="23" t="n"/>
      <c r="Y603" s="23" t="n"/>
      <c r="Z603" s="23" t="n"/>
    </row>
    <row r="604" ht="15.75" customHeight="1" s="86">
      <c r="A604" s="23" t="n"/>
      <c r="B604" s="23" t="n"/>
      <c r="C604" s="23" t="n"/>
      <c r="D604" s="23" t="n"/>
      <c r="E604" s="23" t="n"/>
      <c r="F604" s="23" t="n"/>
      <c r="G604" s="23" t="n"/>
      <c r="H604" s="23" t="n"/>
      <c r="I604" s="23" t="n"/>
      <c r="J604" s="23" t="n"/>
      <c r="K604" s="23" t="n"/>
      <c r="L604" s="23" t="n"/>
      <c r="M604" s="23" t="n"/>
      <c r="N604" s="23" t="n"/>
      <c r="O604" s="23" t="n"/>
      <c r="P604" s="23" t="n"/>
      <c r="Q604" s="23" t="n"/>
      <c r="R604" s="23" t="n"/>
      <c r="S604" s="23" t="n"/>
      <c r="T604" s="23" t="n"/>
      <c r="U604" s="23" t="n"/>
      <c r="V604" s="23" t="n"/>
      <c r="W604" s="23" t="n"/>
      <c r="X604" s="23" t="n"/>
      <c r="Y604" s="23" t="n"/>
      <c r="Z604" s="23" t="n"/>
    </row>
    <row r="605" ht="15.75" customHeight="1" s="86">
      <c r="A605" s="23" t="n"/>
      <c r="B605" s="23" t="n"/>
      <c r="C605" s="23" t="n"/>
      <c r="D605" s="23" t="n"/>
      <c r="E605" s="23" t="n"/>
      <c r="F605" s="23" t="n"/>
      <c r="G605" s="23" t="n"/>
      <c r="H605" s="23" t="n"/>
      <c r="I605" s="23" t="n"/>
      <c r="J605" s="23" t="n"/>
      <c r="K605" s="23" t="n"/>
      <c r="L605" s="23" t="n"/>
      <c r="M605" s="23" t="n"/>
      <c r="N605" s="23" t="n"/>
      <c r="O605" s="23" t="n"/>
      <c r="P605" s="23" t="n"/>
      <c r="Q605" s="23" t="n"/>
      <c r="R605" s="23" t="n"/>
      <c r="S605" s="23" t="n"/>
      <c r="T605" s="23" t="n"/>
      <c r="U605" s="23" t="n"/>
      <c r="V605" s="23" t="n"/>
      <c r="W605" s="23" t="n"/>
      <c r="X605" s="23" t="n"/>
      <c r="Y605" s="23" t="n"/>
      <c r="Z605" s="23" t="n"/>
    </row>
    <row r="606" ht="15.75" customHeight="1" s="86">
      <c r="A606" s="23" t="n"/>
      <c r="B606" s="23" t="n"/>
      <c r="C606" s="23" t="n"/>
      <c r="D606" s="23" t="n"/>
      <c r="E606" s="23" t="n"/>
      <c r="F606" s="23" t="n"/>
      <c r="G606" s="23" t="n"/>
      <c r="H606" s="23" t="n"/>
      <c r="I606" s="23" t="n"/>
      <c r="J606" s="23" t="n"/>
      <c r="K606" s="23" t="n"/>
      <c r="L606" s="23" t="n"/>
      <c r="M606" s="23" t="n"/>
      <c r="N606" s="23" t="n"/>
      <c r="O606" s="23" t="n"/>
      <c r="P606" s="23" t="n"/>
      <c r="Q606" s="23" t="n"/>
      <c r="R606" s="23" t="n"/>
      <c r="S606" s="23" t="n"/>
      <c r="T606" s="23" t="n"/>
      <c r="U606" s="23" t="n"/>
      <c r="V606" s="23" t="n"/>
      <c r="W606" s="23" t="n"/>
      <c r="X606" s="23" t="n"/>
      <c r="Y606" s="23" t="n"/>
      <c r="Z606" s="23" t="n"/>
    </row>
    <row r="607" ht="15.75" customHeight="1" s="86">
      <c r="A607" s="23" t="n"/>
      <c r="B607" s="23" t="n"/>
      <c r="C607" s="23" t="n"/>
      <c r="D607" s="23" t="n"/>
      <c r="E607" s="23" t="n"/>
      <c r="F607" s="23" t="n"/>
      <c r="G607" s="23" t="n"/>
      <c r="H607" s="23" t="n"/>
      <c r="I607" s="23" t="n"/>
      <c r="J607" s="23" t="n"/>
      <c r="K607" s="23" t="n"/>
      <c r="L607" s="23" t="n"/>
      <c r="M607" s="23" t="n"/>
      <c r="N607" s="23" t="n"/>
      <c r="O607" s="23" t="n"/>
      <c r="P607" s="23" t="n"/>
      <c r="Q607" s="23" t="n"/>
      <c r="R607" s="23" t="n"/>
      <c r="S607" s="23" t="n"/>
      <c r="T607" s="23" t="n"/>
      <c r="U607" s="23" t="n"/>
      <c r="V607" s="23" t="n"/>
      <c r="W607" s="23" t="n"/>
      <c r="X607" s="23" t="n"/>
      <c r="Y607" s="23" t="n"/>
      <c r="Z607" s="23" t="n"/>
    </row>
    <row r="608" ht="15.75" customHeight="1" s="86">
      <c r="A608" s="23" t="n"/>
      <c r="B608" s="23" t="n"/>
      <c r="C608" s="23" t="n"/>
      <c r="D608" s="23" t="n"/>
      <c r="E608" s="23" t="n"/>
      <c r="F608" s="23" t="n"/>
      <c r="G608" s="23" t="n"/>
      <c r="H608" s="23" t="n"/>
      <c r="I608" s="23" t="n"/>
      <c r="J608" s="23" t="n"/>
      <c r="K608" s="23" t="n"/>
      <c r="L608" s="23" t="n"/>
      <c r="M608" s="23" t="n"/>
      <c r="N608" s="23" t="n"/>
      <c r="O608" s="23" t="n"/>
      <c r="P608" s="23" t="n"/>
      <c r="Q608" s="23" t="n"/>
      <c r="R608" s="23" t="n"/>
      <c r="S608" s="23" t="n"/>
      <c r="T608" s="23" t="n"/>
      <c r="U608" s="23" t="n"/>
      <c r="V608" s="23" t="n"/>
      <c r="W608" s="23" t="n"/>
      <c r="X608" s="23" t="n"/>
      <c r="Y608" s="23" t="n"/>
      <c r="Z608" s="23" t="n"/>
    </row>
    <row r="609" ht="15.75" customHeight="1" s="86">
      <c r="A609" s="23" t="n"/>
      <c r="B609" s="23" t="n"/>
      <c r="C609" s="23" t="n"/>
      <c r="D609" s="23" t="n"/>
      <c r="E609" s="23" t="n"/>
      <c r="F609" s="23" t="n"/>
      <c r="G609" s="23" t="n"/>
      <c r="H609" s="23" t="n"/>
      <c r="I609" s="23" t="n"/>
      <c r="J609" s="23" t="n"/>
      <c r="K609" s="23" t="n"/>
      <c r="L609" s="23" t="n"/>
      <c r="M609" s="23" t="n"/>
      <c r="N609" s="23" t="n"/>
      <c r="O609" s="23" t="n"/>
      <c r="P609" s="23" t="n"/>
      <c r="Q609" s="23" t="n"/>
      <c r="R609" s="23" t="n"/>
      <c r="S609" s="23" t="n"/>
      <c r="T609" s="23" t="n"/>
      <c r="U609" s="23" t="n"/>
      <c r="V609" s="23" t="n"/>
      <c r="W609" s="23" t="n"/>
      <c r="X609" s="23" t="n"/>
      <c r="Y609" s="23" t="n"/>
      <c r="Z609" s="23" t="n"/>
    </row>
    <row r="610" ht="15.75" customHeight="1" s="86">
      <c r="A610" s="23" t="n"/>
      <c r="B610" s="23" t="n"/>
      <c r="C610" s="23" t="n"/>
      <c r="D610" s="23" t="n"/>
      <c r="E610" s="23" t="n"/>
      <c r="F610" s="23" t="n"/>
      <c r="G610" s="23" t="n"/>
      <c r="H610" s="23" t="n"/>
      <c r="I610" s="23" t="n"/>
      <c r="J610" s="23" t="n"/>
      <c r="K610" s="23" t="n"/>
      <c r="L610" s="23" t="n"/>
      <c r="M610" s="23" t="n"/>
      <c r="N610" s="23" t="n"/>
      <c r="O610" s="23" t="n"/>
      <c r="P610" s="23" t="n"/>
      <c r="Q610" s="23" t="n"/>
      <c r="R610" s="23" t="n"/>
      <c r="S610" s="23" t="n"/>
      <c r="T610" s="23" t="n"/>
      <c r="U610" s="23" t="n"/>
      <c r="V610" s="23" t="n"/>
      <c r="W610" s="23" t="n"/>
      <c r="X610" s="23" t="n"/>
      <c r="Y610" s="23" t="n"/>
      <c r="Z610" s="23" t="n"/>
    </row>
    <row r="611" ht="15.75" customHeight="1" s="86">
      <c r="A611" s="23" t="n"/>
      <c r="B611" s="23" t="n"/>
      <c r="C611" s="23" t="n"/>
      <c r="D611" s="23" t="n"/>
      <c r="E611" s="23" t="n"/>
      <c r="F611" s="23" t="n"/>
      <c r="G611" s="23" t="n"/>
      <c r="H611" s="23" t="n"/>
      <c r="I611" s="23" t="n"/>
      <c r="J611" s="23" t="n"/>
      <c r="K611" s="23" t="n"/>
      <c r="L611" s="23" t="n"/>
      <c r="M611" s="23" t="n"/>
      <c r="N611" s="23" t="n"/>
      <c r="O611" s="23" t="n"/>
      <c r="P611" s="23" t="n"/>
      <c r="Q611" s="23" t="n"/>
      <c r="R611" s="23" t="n"/>
      <c r="S611" s="23" t="n"/>
      <c r="T611" s="23" t="n"/>
      <c r="U611" s="23" t="n"/>
      <c r="V611" s="23" t="n"/>
      <c r="W611" s="23" t="n"/>
      <c r="X611" s="23" t="n"/>
      <c r="Y611" s="23" t="n"/>
      <c r="Z611" s="23" t="n"/>
    </row>
    <row r="612" ht="15.75" customHeight="1" s="86">
      <c r="A612" s="23" t="n"/>
      <c r="B612" s="23" t="n"/>
      <c r="C612" s="23" t="n"/>
      <c r="D612" s="23" t="n"/>
      <c r="E612" s="23" t="n"/>
      <c r="F612" s="23" t="n"/>
      <c r="G612" s="23" t="n"/>
      <c r="H612" s="23" t="n"/>
      <c r="I612" s="23" t="n"/>
      <c r="J612" s="23" t="n"/>
      <c r="K612" s="23" t="n"/>
      <c r="L612" s="23" t="n"/>
      <c r="M612" s="23" t="n"/>
      <c r="N612" s="23" t="n"/>
      <c r="O612" s="23" t="n"/>
      <c r="P612" s="23" t="n"/>
      <c r="Q612" s="23" t="n"/>
      <c r="R612" s="23" t="n"/>
      <c r="S612" s="23" t="n"/>
      <c r="T612" s="23" t="n"/>
      <c r="U612" s="23" t="n"/>
      <c r="V612" s="23" t="n"/>
      <c r="W612" s="23" t="n"/>
      <c r="X612" s="23" t="n"/>
      <c r="Y612" s="23" t="n"/>
      <c r="Z612" s="23" t="n"/>
    </row>
    <row r="613" ht="15.75" customHeight="1" s="86">
      <c r="A613" s="23" t="n"/>
      <c r="B613" s="23" t="n"/>
      <c r="C613" s="23" t="n"/>
      <c r="D613" s="23" t="n"/>
      <c r="E613" s="23" t="n"/>
      <c r="F613" s="23" t="n"/>
      <c r="G613" s="23" t="n"/>
      <c r="H613" s="23" t="n"/>
      <c r="I613" s="23" t="n"/>
      <c r="J613" s="23" t="n"/>
      <c r="K613" s="23" t="n"/>
      <c r="L613" s="23" t="n"/>
      <c r="M613" s="23" t="n"/>
      <c r="N613" s="23" t="n"/>
      <c r="O613" s="23" t="n"/>
      <c r="P613" s="23" t="n"/>
      <c r="Q613" s="23" t="n"/>
      <c r="R613" s="23" t="n"/>
      <c r="S613" s="23" t="n"/>
      <c r="T613" s="23" t="n"/>
      <c r="U613" s="23" t="n"/>
      <c r="V613" s="23" t="n"/>
      <c r="W613" s="23" t="n"/>
      <c r="X613" s="23" t="n"/>
      <c r="Y613" s="23" t="n"/>
      <c r="Z613" s="23" t="n"/>
    </row>
    <row r="614" ht="15.75" customHeight="1" s="86">
      <c r="A614" s="23" t="n"/>
      <c r="B614" s="23" t="n"/>
      <c r="C614" s="23" t="n"/>
      <c r="D614" s="23" t="n"/>
      <c r="E614" s="23" t="n"/>
      <c r="F614" s="23" t="n"/>
      <c r="G614" s="23" t="n"/>
      <c r="H614" s="23" t="n"/>
      <c r="I614" s="23" t="n"/>
      <c r="J614" s="23" t="n"/>
      <c r="K614" s="23" t="n"/>
      <c r="L614" s="23" t="n"/>
      <c r="M614" s="23" t="n"/>
      <c r="N614" s="23" t="n"/>
      <c r="O614" s="23" t="n"/>
      <c r="P614" s="23" t="n"/>
      <c r="Q614" s="23" t="n"/>
      <c r="R614" s="23" t="n"/>
      <c r="S614" s="23" t="n"/>
      <c r="T614" s="23" t="n"/>
      <c r="U614" s="23" t="n"/>
      <c r="V614" s="23" t="n"/>
      <c r="W614" s="23" t="n"/>
      <c r="X614" s="23" t="n"/>
      <c r="Y614" s="23" t="n"/>
      <c r="Z614" s="23" t="n"/>
    </row>
    <row r="615" ht="15.75" customHeight="1" s="86">
      <c r="A615" s="23" t="n"/>
      <c r="B615" s="23" t="n"/>
      <c r="C615" s="23" t="n"/>
      <c r="D615" s="23" t="n"/>
      <c r="E615" s="23" t="n"/>
      <c r="F615" s="23" t="n"/>
      <c r="G615" s="23" t="n"/>
      <c r="H615" s="23" t="n"/>
      <c r="I615" s="23" t="n"/>
      <c r="J615" s="23" t="n"/>
      <c r="K615" s="23" t="n"/>
      <c r="L615" s="23" t="n"/>
      <c r="M615" s="23" t="n"/>
      <c r="N615" s="23" t="n"/>
      <c r="O615" s="23" t="n"/>
      <c r="P615" s="23" t="n"/>
      <c r="Q615" s="23" t="n"/>
      <c r="R615" s="23" t="n"/>
      <c r="S615" s="23" t="n"/>
      <c r="T615" s="23" t="n"/>
      <c r="U615" s="23" t="n"/>
      <c r="V615" s="23" t="n"/>
      <c r="W615" s="23" t="n"/>
      <c r="X615" s="23" t="n"/>
      <c r="Y615" s="23" t="n"/>
      <c r="Z615" s="23" t="n"/>
    </row>
    <row r="616" ht="15.75" customHeight="1" s="86">
      <c r="A616" s="23" t="n"/>
      <c r="B616" s="23" t="n"/>
      <c r="C616" s="23" t="n"/>
      <c r="D616" s="23" t="n"/>
      <c r="E616" s="23" t="n"/>
      <c r="F616" s="23" t="n"/>
      <c r="G616" s="23" t="n"/>
      <c r="H616" s="23" t="n"/>
      <c r="I616" s="23" t="n"/>
      <c r="J616" s="23" t="n"/>
      <c r="K616" s="23" t="n"/>
      <c r="L616" s="23" t="n"/>
      <c r="M616" s="23" t="n"/>
      <c r="N616" s="23" t="n"/>
      <c r="O616" s="23" t="n"/>
      <c r="P616" s="23" t="n"/>
      <c r="Q616" s="23" t="n"/>
      <c r="R616" s="23" t="n"/>
      <c r="S616" s="23" t="n"/>
      <c r="T616" s="23" t="n"/>
      <c r="U616" s="23" t="n"/>
      <c r="V616" s="23" t="n"/>
      <c r="W616" s="23" t="n"/>
      <c r="X616" s="23" t="n"/>
      <c r="Y616" s="23" t="n"/>
      <c r="Z616" s="23" t="n"/>
    </row>
    <row r="617" ht="15.75" customHeight="1" s="86">
      <c r="A617" s="23" t="n"/>
      <c r="B617" s="23" t="n"/>
      <c r="C617" s="23" t="n"/>
      <c r="D617" s="23" t="n"/>
      <c r="E617" s="23" t="n"/>
      <c r="F617" s="23" t="n"/>
      <c r="G617" s="23" t="n"/>
      <c r="H617" s="23" t="n"/>
      <c r="I617" s="23" t="n"/>
      <c r="J617" s="23" t="n"/>
      <c r="K617" s="23" t="n"/>
      <c r="L617" s="23" t="n"/>
      <c r="M617" s="23" t="n"/>
      <c r="N617" s="23" t="n"/>
      <c r="O617" s="23" t="n"/>
      <c r="P617" s="23" t="n"/>
      <c r="Q617" s="23" t="n"/>
      <c r="R617" s="23" t="n"/>
      <c r="S617" s="23" t="n"/>
      <c r="T617" s="23" t="n"/>
      <c r="U617" s="23" t="n"/>
      <c r="V617" s="23" t="n"/>
      <c r="W617" s="23" t="n"/>
      <c r="X617" s="23" t="n"/>
      <c r="Y617" s="23" t="n"/>
      <c r="Z617" s="23" t="n"/>
    </row>
    <row r="618" ht="15.75" customHeight="1" s="86">
      <c r="A618" s="23" t="n"/>
      <c r="B618" s="23" t="n"/>
      <c r="C618" s="23" t="n"/>
      <c r="D618" s="23" t="n"/>
      <c r="E618" s="23" t="n"/>
      <c r="F618" s="23" t="n"/>
      <c r="G618" s="23" t="n"/>
      <c r="H618" s="23" t="n"/>
      <c r="I618" s="23" t="n"/>
      <c r="J618" s="23" t="n"/>
      <c r="K618" s="23" t="n"/>
      <c r="L618" s="23" t="n"/>
      <c r="M618" s="23" t="n"/>
      <c r="N618" s="23" t="n"/>
      <c r="O618" s="23" t="n"/>
      <c r="P618" s="23" t="n"/>
      <c r="Q618" s="23" t="n"/>
      <c r="R618" s="23" t="n"/>
      <c r="S618" s="23" t="n"/>
      <c r="T618" s="23" t="n"/>
      <c r="U618" s="23" t="n"/>
      <c r="V618" s="23" t="n"/>
      <c r="W618" s="23" t="n"/>
      <c r="X618" s="23" t="n"/>
      <c r="Y618" s="23" t="n"/>
      <c r="Z618" s="23" t="n"/>
    </row>
    <row r="619" ht="15.75" customHeight="1" s="86">
      <c r="A619" s="23" t="n"/>
      <c r="B619" s="23" t="n"/>
      <c r="C619" s="23" t="n"/>
      <c r="D619" s="23" t="n"/>
      <c r="E619" s="23" t="n"/>
      <c r="F619" s="23" t="n"/>
      <c r="G619" s="23" t="n"/>
      <c r="H619" s="23" t="n"/>
      <c r="I619" s="23" t="n"/>
      <c r="J619" s="23" t="n"/>
      <c r="K619" s="23" t="n"/>
      <c r="L619" s="23" t="n"/>
      <c r="M619" s="23" t="n"/>
      <c r="N619" s="23" t="n"/>
      <c r="O619" s="23" t="n"/>
      <c r="P619" s="23" t="n"/>
      <c r="Q619" s="23" t="n"/>
      <c r="R619" s="23" t="n"/>
      <c r="S619" s="23" t="n"/>
      <c r="T619" s="23" t="n"/>
      <c r="U619" s="23" t="n"/>
      <c r="V619" s="23" t="n"/>
      <c r="W619" s="23" t="n"/>
      <c r="X619" s="23" t="n"/>
      <c r="Y619" s="23" t="n"/>
      <c r="Z619" s="23" t="n"/>
    </row>
    <row r="620" ht="15.75" customHeight="1" s="86">
      <c r="A620" s="23" t="n"/>
      <c r="B620" s="23" t="n"/>
      <c r="C620" s="23" t="n"/>
      <c r="D620" s="23" t="n"/>
      <c r="E620" s="23" t="n"/>
      <c r="F620" s="23" t="n"/>
      <c r="G620" s="23" t="n"/>
      <c r="H620" s="23" t="n"/>
      <c r="I620" s="23" t="n"/>
      <c r="J620" s="23" t="n"/>
      <c r="K620" s="23" t="n"/>
      <c r="L620" s="23" t="n"/>
      <c r="M620" s="23" t="n"/>
      <c r="N620" s="23" t="n"/>
      <c r="O620" s="23" t="n"/>
      <c r="P620" s="23" t="n"/>
      <c r="Q620" s="23" t="n"/>
      <c r="R620" s="23" t="n"/>
      <c r="S620" s="23" t="n"/>
      <c r="T620" s="23" t="n"/>
      <c r="U620" s="23" t="n"/>
      <c r="V620" s="23" t="n"/>
      <c r="W620" s="23" t="n"/>
      <c r="X620" s="23" t="n"/>
      <c r="Y620" s="23" t="n"/>
      <c r="Z620" s="23" t="n"/>
    </row>
    <row r="621" ht="15.75" customHeight="1" s="86">
      <c r="A621" s="23" t="n"/>
      <c r="B621" s="23" t="n"/>
      <c r="C621" s="23" t="n"/>
      <c r="D621" s="23" t="n"/>
      <c r="E621" s="23" t="n"/>
      <c r="F621" s="23" t="n"/>
      <c r="G621" s="23" t="n"/>
      <c r="H621" s="23" t="n"/>
      <c r="I621" s="23" t="n"/>
      <c r="J621" s="23" t="n"/>
      <c r="K621" s="23" t="n"/>
      <c r="L621" s="23" t="n"/>
      <c r="M621" s="23" t="n"/>
      <c r="N621" s="23" t="n"/>
      <c r="O621" s="23" t="n"/>
      <c r="P621" s="23" t="n"/>
      <c r="Q621" s="23" t="n"/>
      <c r="R621" s="23" t="n"/>
      <c r="S621" s="23" t="n"/>
      <c r="T621" s="23" t="n"/>
      <c r="U621" s="23" t="n"/>
      <c r="V621" s="23" t="n"/>
      <c r="W621" s="23" t="n"/>
      <c r="X621" s="23" t="n"/>
      <c r="Y621" s="23" t="n"/>
      <c r="Z621" s="23" t="n"/>
    </row>
    <row r="622" ht="15.75" customHeight="1" s="86">
      <c r="A622" s="23" t="n"/>
      <c r="B622" s="23" t="n"/>
      <c r="C622" s="23" t="n"/>
      <c r="D622" s="23" t="n"/>
      <c r="E622" s="23" t="n"/>
      <c r="F622" s="23" t="n"/>
      <c r="G622" s="23" t="n"/>
      <c r="H622" s="23" t="n"/>
      <c r="I622" s="23" t="n"/>
      <c r="J622" s="23" t="n"/>
      <c r="K622" s="23" t="n"/>
      <c r="L622" s="23" t="n"/>
      <c r="M622" s="23" t="n"/>
      <c r="N622" s="23" t="n"/>
      <c r="O622" s="23" t="n"/>
      <c r="P622" s="23" t="n"/>
      <c r="Q622" s="23" t="n"/>
      <c r="R622" s="23" t="n"/>
      <c r="S622" s="23" t="n"/>
      <c r="T622" s="23" t="n"/>
      <c r="U622" s="23" t="n"/>
      <c r="V622" s="23" t="n"/>
      <c r="W622" s="23" t="n"/>
      <c r="X622" s="23" t="n"/>
      <c r="Y622" s="23" t="n"/>
      <c r="Z622" s="23" t="n"/>
    </row>
    <row r="623" ht="15.75" customHeight="1" s="86">
      <c r="A623" s="23" t="n"/>
      <c r="B623" s="23" t="n"/>
      <c r="C623" s="23" t="n"/>
      <c r="D623" s="23" t="n"/>
      <c r="E623" s="23" t="n"/>
      <c r="F623" s="23" t="n"/>
      <c r="G623" s="23" t="n"/>
      <c r="H623" s="23" t="n"/>
      <c r="I623" s="23" t="n"/>
      <c r="J623" s="23" t="n"/>
      <c r="K623" s="23" t="n"/>
      <c r="L623" s="23" t="n"/>
      <c r="M623" s="23" t="n"/>
      <c r="N623" s="23" t="n"/>
      <c r="O623" s="23" t="n"/>
      <c r="P623" s="23" t="n"/>
      <c r="Q623" s="23" t="n"/>
      <c r="R623" s="23" t="n"/>
      <c r="S623" s="23" t="n"/>
      <c r="T623" s="23" t="n"/>
      <c r="U623" s="23" t="n"/>
      <c r="V623" s="23" t="n"/>
      <c r="W623" s="23" t="n"/>
      <c r="X623" s="23" t="n"/>
      <c r="Y623" s="23" t="n"/>
      <c r="Z623" s="23" t="n"/>
    </row>
    <row r="624" ht="15.75" customHeight="1" s="86">
      <c r="A624" s="23" t="n"/>
      <c r="B624" s="23" t="n"/>
      <c r="C624" s="23" t="n"/>
      <c r="D624" s="23" t="n"/>
      <c r="E624" s="23" t="n"/>
      <c r="F624" s="23" t="n"/>
      <c r="G624" s="23" t="n"/>
      <c r="H624" s="23" t="n"/>
      <c r="I624" s="23" t="n"/>
      <c r="J624" s="23" t="n"/>
      <c r="K624" s="23" t="n"/>
      <c r="L624" s="23" t="n"/>
      <c r="M624" s="23" t="n"/>
      <c r="N624" s="23" t="n"/>
      <c r="O624" s="23" t="n"/>
      <c r="P624" s="23" t="n"/>
      <c r="Q624" s="23" t="n"/>
      <c r="R624" s="23" t="n"/>
      <c r="S624" s="23" t="n"/>
      <c r="T624" s="23" t="n"/>
      <c r="U624" s="23" t="n"/>
      <c r="V624" s="23" t="n"/>
      <c r="W624" s="23" t="n"/>
      <c r="X624" s="23" t="n"/>
      <c r="Y624" s="23" t="n"/>
      <c r="Z624" s="23" t="n"/>
    </row>
    <row r="625" ht="15.75" customHeight="1" s="86">
      <c r="A625" s="23" t="n"/>
      <c r="B625" s="23" t="n"/>
      <c r="C625" s="23" t="n"/>
      <c r="D625" s="23" t="n"/>
      <c r="E625" s="23" t="n"/>
      <c r="F625" s="23" t="n"/>
      <c r="G625" s="23" t="n"/>
      <c r="H625" s="23" t="n"/>
      <c r="I625" s="23" t="n"/>
      <c r="J625" s="23" t="n"/>
      <c r="K625" s="23" t="n"/>
      <c r="L625" s="23" t="n"/>
      <c r="M625" s="23" t="n"/>
      <c r="N625" s="23" t="n"/>
      <c r="O625" s="23" t="n"/>
      <c r="P625" s="23" t="n"/>
      <c r="Q625" s="23" t="n"/>
      <c r="R625" s="23" t="n"/>
      <c r="S625" s="23" t="n"/>
      <c r="T625" s="23" t="n"/>
      <c r="U625" s="23" t="n"/>
      <c r="V625" s="23" t="n"/>
      <c r="W625" s="23" t="n"/>
      <c r="X625" s="23" t="n"/>
      <c r="Y625" s="23" t="n"/>
      <c r="Z625" s="23" t="n"/>
    </row>
    <row r="626" ht="15.75" customHeight="1" s="86">
      <c r="A626" s="23" t="n"/>
      <c r="B626" s="23" t="n"/>
      <c r="C626" s="23" t="n"/>
      <c r="D626" s="23" t="n"/>
      <c r="E626" s="23" t="n"/>
      <c r="F626" s="23" t="n"/>
      <c r="G626" s="23" t="n"/>
      <c r="H626" s="23" t="n"/>
      <c r="I626" s="23" t="n"/>
      <c r="J626" s="23" t="n"/>
      <c r="K626" s="23" t="n"/>
      <c r="L626" s="23" t="n"/>
      <c r="M626" s="23" t="n"/>
      <c r="N626" s="23" t="n"/>
      <c r="O626" s="23" t="n"/>
      <c r="P626" s="23" t="n"/>
      <c r="Q626" s="23" t="n"/>
      <c r="R626" s="23" t="n"/>
      <c r="S626" s="23" t="n"/>
      <c r="T626" s="23" t="n"/>
      <c r="U626" s="23" t="n"/>
      <c r="V626" s="23" t="n"/>
      <c r="W626" s="23" t="n"/>
      <c r="X626" s="23" t="n"/>
      <c r="Y626" s="23" t="n"/>
      <c r="Z626" s="23" t="n"/>
    </row>
    <row r="627" ht="15.75" customHeight="1" s="86">
      <c r="A627" s="23" t="n"/>
      <c r="B627" s="23" t="n"/>
      <c r="C627" s="23" t="n"/>
      <c r="D627" s="23" t="n"/>
      <c r="E627" s="23" t="n"/>
      <c r="F627" s="23" t="n"/>
      <c r="G627" s="23" t="n"/>
      <c r="H627" s="23" t="n"/>
      <c r="I627" s="23" t="n"/>
      <c r="J627" s="23" t="n"/>
      <c r="K627" s="23" t="n"/>
      <c r="L627" s="23" t="n"/>
      <c r="M627" s="23" t="n"/>
      <c r="N627" s="23" t="n"/>
      <c r="O627" s="23" t="n"/>
      <c r="P627" s="23" t="n"/>
      <c r="Q627" s="23" t="n"/>
      <c r="R627" s="23" t="n"/>
      <c r="S627" s="23" t="n"/>
      <c r="T627" s="23" t="n"/>
      <c r="U627" s="23" t="n"/>
      <c r="V627" s="23" t="n"/>
      <c r="W627" s="23" t="n"/>
      <c r="X627" s="23" t="n"/>
      <c r="Y627" s="23" t="n"/>
      <c r="Z627" s="23" t="n"/>
    </row>
    <row r="628" ht="15.75" customHeight="1" s="86">
      <c r="A628" s="23" t="n"/>
      <c r="B628" s="23" t="n"/>
      <c r="C628" s="23" t="n"/>
      <c r="D628" s="23" t="n"/>
      <c r="E628" s="23" t="n"/>
      <c r="F628" s="23" t="n"/>
      <c r="G628" s="23" t="n"/>
      <c r="H628" s="23" t="n"/>
      <c r="I628" s="23" t="n"/>
      <c r="J628" s="23" t="n"/>
      <c r="K628" s="23" t="n"/>
      <c r="L628" s="23" t="n"/>
      <c r="M628" s="23" t="n"/>
      <c r="N628" s="23" t="n"/>
      <c r="O628" s="23" t="n"/>
      <c r="P628" s="23" t="n"/>
      <c r="Q628" s="23" t="n"/>
      <c r="R628" s="23" t="n"/>
      <c r="S628" s="23" t="n"/>
      <c r="T628" s="23" t="n"/>
      <c r="U628" s="23" t="n"/>
      <c r="V628" s="23" t="n"/>
      <c r="W628" s="23" t="n"/>
      <c r="X628" s="23" t="n"/>
      <c r="Y628" s="23" t="n"/>
      <c r="Z628" s="23" t="n"/>
    </row>
    <row r="629" ht="15.75" customHeight="1" s="86">
      <c r="A629" s="23" t="n"/>
      <c r="B629" s="23" t="n"/>
      <c r="C629" s="23" t="n"/>
      <c r="D629" s="23" t="n"/>
      <c r="E629" s="23" t="n"/>
      <c r="F629" s="23" t="n"/>
      <c r="G629" s="23" t="n"/>
      <c r="H629" s="23" t="n"/>
      <c r="I629" s="23" t="n"/>
      <c r="J629" s="23" t="n"/>
      <c r="K629" s="23" t="n"/>
      <c r="L629" s="23" t="n"/>
      <c r="M629" s="23" t="n"/>
      <c r="N629" s="23" t="n"/>
      <c r="O629" s="23" t="n"/>
      <c r="P629" s="23" t="n"/>
      <c r="Q629" s="23" t="n"/>
      <c r="R629" s="23" t="n"/>
      <c r="S629" s="23" t="n"/>
      <c r="T629" s="23" t="n"/>
      <c r="U629" s="23" t="n"/>
      <c r="V629" s="23" t="n"/>
      <c r="W629" s="23" t="n"/>
      <c r="X629" s="23" t="n"/>
      <c r="Y629" s="23" t="n"/>
      <c r="Z629" s="23" t="n"/>
    </row>
    <row r="630" ht="15.75" customHeight="1" s="86">
      <c r="A630" s="23" t="n"/>
      <c r="B630" s="23" t="n"/>
      <c r="C630" s="23" t="n"/>
      <c r="D630" s="23" t="n"/>
      <c r="E630" s="23" t="n"/>
      <c r="F630" s="23" t="n"/>
      <c r="G630" s="23" t="n"/>
      <c r="H630" s="23" t="n"/>
      <c r="I630" s="23" t="n"/>
      <c r="J630" s="23" t="n"/>
      <c r="K630" s="23" t="n"/>
      <c r="L630" s="23" t="n"/>
      <c r="M630" s="23" t="n"/>
      <c r="N630" s="23" t="n"/>
      <c r="O630" s="23" t="n"/>
      <c r="P630" s="23" t="n"/>
      <c r="Q630" s="23" t="n"/>
      <c r="R630" s="23" t="n"/>
      <c r="S630" s="23" t="n"/>
      <c r="T630" s="23" t="n"/>
      <c r="U630" s="23" t="n"/>
      <c r="V630" s="23" t="n"/>
      <c r="W630" s="23" t="n"/>
      <c r="X630" s="23" t="n"/>
      <c r="Y630" s="23" t="n"/>
      <c r="Z630" s="23" t="n"/>
    </row>
    <row r="631" ht="15.75" customHeight="1" s="86">
      <c r="A631" s="23" t="n"/>
      <c r="B631" s="23" t="n"/>
      <c r="C631" s="23" t="n"/>
      <c r="D631" s="23" t="n"/>
      <c r="E631" s="23" t="n"/>
      <c r="F631" s="23" t="n"/>
      <c r="G631" s="23" t="n"/>
      <c r="H631" s="23" t="n"/>
      <c r="I631" s="23" t="n"/>
      <c r="J631" s="23" t="n"/>
      <c r="K631" s="23" t="n"/>
      <c r="L631" s="23" t="n"/>
      <c r="M631" s="23" t="n"/>
      <c r="N631" s="23" t="n"/>
      <c r="O631" s="23" t="n"/>
      <c r="P631" s="23" t="n"/>
      <c r="Q631" s="23" t="n"/>
      <c r="R631" s="23" t="n"/>
      <c r="S631" s="23" t="n"/>
      <c r="T631" s="23" t="n"/>
      <c r="U631" s="23" t="n"/>
      <c r="V631" s="23" t="n"/>
      <c r="W631" s="23" t="n"/>
      <c r="X631" s="23" t="n"/>
      <c r="Y631" s="23" t="n"/>
      <c r="Z631" s="23" t="n"/>
    </row>
    <row r="632" ht="15.75" customHeight="1" s="86">
      <c r="A632" s="23" t="n"/>
      <c r="B632" s="23" t="n"/>
      <c r="C632" s="23" t="n"/>
      <c r="D632" s="23" t="n"/>
      <c r="E632" s="23" t="n"/>
      <c r="F632" s="23" t="n"/>
      <c r="G632" s="23" t="n"/>
      <c r="H632" s="23" t="n"/>
      <c r="I632" s="23" t="n"/>
      <c r="J632" s="23" t="n"/>
      <c r="K632" s="23" t="n"/>
      <c r="L632" s="23" t="n"/>
      <c r="M632" s="23" t="n"/>
      <c r="N632" s="23" t="n"/>
      <c r="O632" s="23" t="n"/>
      <c r="P632" s="23" t="n"/>
      <c r="Q632" s="23" t="n"/>
      <c r="R632" s="23" t="n"/>
      <c r="S632" s="23" t="n"/>
      <c r="T632" s="23" t="n"/>
      <c r="U632" s="23" t="n"/>
      <c r="V632" s="23" t="n"/>
      <c r="W632" s="23" t="n"/>
      <c r="X632" s="23" t="n"/>
      <c r="Y632" s="23" t="n"/>
      <c r="Z632" s="23" t="n"/>
    </row>
    <row r="633" ht="15.75" customHeight="1" s="86">
      <c r="A633" s="23" t="n"/>
      <c r="B633" s="23" t="n"/>
      <c r="C633" s="23" t="n"/>
      <c r="D633" s="23" t="n"/>
      <c r="E633" s="23" t="n"/>
      <c r="F633" s="23" t="n"/>
      <c r="G633" s="23" t="n"/>
      <c r="H633" s="23" t="n"/>
      <c r="I633" s="23" t="n"/>
      <c r="J633" s="23" t="n"/>
      <c r="K633" s="23" t="n"/>
      <c r="L633" s="23" t="n"/>
      <c r="M633" s="23" t="n"/>
      <c r="N633" s="23" t="n"/>
      <c r="O633" s="23" t="n"/>
      <c r="P633" s="23" t="n"/>
      <c r="Q633" s="23" t="n"/>
      <c r="R633" s="23" t="n"/>
      <c r="S633" s="23" t="n"/>
      <c r="T633" s="23" t="n"/>
      <c r="U633" s="23" t="n"/>
      <c r="V633" s="23" t="n"/>
      <c r="W633" s="23" t="n"/>
      <c r="X633" s="23" t="n"/>
      <c r="Y633" s="23" t="n"/>
      <c r="Z633" s="23" t="n"/>
    </row>
    <row r="634" ht="15.75" customHeight="1" s="86">
      <c r="A634" s="23" t="n"/>
      <c r="B634" s="23" t="n"/>
      <c r="C634" s="23" t="n"/>
      <c r="D634" s="23" t="n"/>
      <c r="E634" s="23" t="n"/>
      <c r="F634" s="23" t="n"/>
      <c r="G634" s="23" t="n"/>
      <c r="H634" s="23" t="n"/>
      <c r="I634" s="23" t="n"/>
      <c r="J634" s="23" t="n"/>
      <c r="K634" s="23" t="n"/>
      <c r="L634" s="23" t="n"/>
      <c r="M634" s="23" t="n"/>
      <c r="N634" s="23" t="n"/>
      <c r="O634" s="23" t="n"/>
      <c r="P634" s="23" t="n"/>
      <c r="Q634" s="23" t="n"/>
      <c r="R634" s="23" t="n"/>
      <c r="S634" s="23" t="n"/>
      <c r="T634" s="23" t="n"/>
      <c r="U634" s="23" t="n"/>
      <c r="V634" s="23" t="n"/>
      <c r="W634" s="23" t="n"/>
      <c r="X634" s="23" t="n"/>
      <c r="Y634" s="23" t="n"/>
      <c r="Z634" s="23" t="n"/>
    </row>
    <row r="635" ht="15.75" customHeight="1" s="86">
      <c r="A635" s="23" t="n"/>
      <c r="B635" s="23" t="n"/>
      <c r="C635" s="23" t="n"/>
      <c r="D635" s="23" t="n"/>
      <c r="E635" s="23" t="n"/>
      <c r="F635" s="23" t="n"/>
      <c r="G635" s="23" t="n"/>
      <c r="H635" s="23" t="n"/>
      <c r="I635" s="23" t="n"/>
      <c r="J635" s="23" t="n"/>
      <c r="K635" s="23" t="n"/>
      <c r="L635" s="23" t="n"/>
      <c r="M635" s="23" t="n"/>
      <c r="N635" s="23" t="n"/>
      <c r="O635" s="23" t="n"/>
      <c r="P635" s="23" t="n"/>
      <c r="Q635" s="23" t="n"/>
      <c r="R635" s="23" t="n"/>
      <c r="S635" s="23" t="n"/>
      <c r="T635" s="23" t="n"/>
      <c r="U635" s="23" t="n"/>
      <c r="V635" s="23" t="n"/>
      <c r="W635" s="23" t="n"/>
      <c r="X635" s="23" t="n"/>
      <c r="Y635" s="23" t="n"/>
      <c r="Z635" s="23" t="n"/>
    </row>
    <row r="636" ht="15.75" customHeight="1" s="86">
      <c r="A636" s="23" t="n"/>
      <c r="B636" s="23" t="n"/>
      <c r="C636" s="23" t="n"/>
      <c r="D636" s="23" t="n"/>
      <c r="E636" s="23" t="n"/>
      <c r="F636" s="23" t="n"/>
      <c r="G636" s="23" t="n"/>
      <c r="H636" s="23" t="n"/>
      <c r="I636" s="23" t="n"/>
      <c r="J636" s="23" t="n"/>
      <c r="K636" s="23" t="n"/>
      <c r="L636" s="23" t="n"/>
      <c r="M636" s="23" t="n"/>
      <c r="N636" s="23" t="n"/>
      <c r="O636" s="23" t="n"/>
      <c r="P636" s="23" t="n"/>
      <c r="Q636" s="23" t="n"/>
      <c r="R636" s="23" t="n"/>
      <c r="S636" s="23" t="n"/>
      <c r="T636" s="23" t="n"/>
      <c r="U636" s="23" t="n"/>
      <c r="V636" s="23" t="n"/>
      <c r="W636" s="23" t="n"/>
      <c r="X636" s="23" t="n"/>
      <c r="Y636" s="23" t="n"/>
      <c r="Z636" s="23" t="n"/>
    </row>
    <row r="637" ht="15.75" customHeight="1" s="86">
      <c r="A637" s="23" t="n"/>
      <c r="B637" s="23" t="n"/>
      <c r="C637" s="23" t="n"/>
      <c r="D637" s="23" t="n"/>
      <c r="E637" s="23" t="n"/>
      <c r="F637" s="23" t="n"/>
      <c r="G637" s="23" t="n"/>
      <c r="H637" s="23" t="n"/>
      <c r="I637" s="23" t="n"/>
      <c r="J637" s="23" t="n"/>
      <c r="K637" s="23" t="n"/>
      <c r="L637" s="23" t="n"/>
      <c r="M637" s="23" t="n"/>
      <c r="N637" s="23" t="n"/>
      <c r="O637" s="23" t="n"/>
      <c r="P637" s="23" t="n"/>
      <c r="Q637" s="23" t="n"/>
      <c r="R637" s="23" t="n"/>
      <c r="S637" s="23" t="n"/>
      <c r="T637" s="23" t="n"/>
      <c r="U637" s="23" t="n"/>
      <c r="V637" s="23" t="n"/>
      <c r="W637" s="23" t="n"/>
      <c r="X637" s="23" t="n"/>
      <c r="Y637" s="23" t="n"/>
      <c r="Z637" s="23" t="n"/>
    </row>
    <row r="638" ht="15.75" customHeight="1" s="86">
      <c r="A638" s="23" t="n"/>
      <c r="B638" s="23" t="n"/>
      <c r="C638" s="23" t="n"/>
      <c r="D638" s="23" t="n"/>
      <c r="E638" s="23" t="n"/>
      <c r="F638" s="23" t="n"/>
      <c r="G638" s="23" t="n"/>
      <c r="H638" s="23" t="n"/>
      <c r="I638" s="23" t="n"/>
      <c r="J638" s="23" t="n"/>
      <c r="K638" s="23" t="n"/>
      <c r="L638" s="23" t="n"/>
      <c r="M638" s="23" t="n"/>
      <c r="N638" s="23" t="n"/>
      <c r="O638" s="23" t="n"/>
      <c r="P638" s="23" t="n"/>
      <c r="Q638" s="23" t="n"/>
      <c r="R638" s="23" t="n"/>
      <c r="S638" s="23" t="n"/>
      <c r="T638" s="23" t="n"/>
      <c r="U638" s="23" t="n"/>
      <c r="V638" s="23" t="n"/>
      <c r="W638" s="23" t="n"/>
      <c r="X638" s="23" t="n"/>
      <c r="Y638" s="23" t="n"/>
      <c r="Z638" s="23" t="n"/>
    </row>
    <row r="639" ht="15.75" customHeight="1" s="86">
      <c r="A639" s="23" t="n"/>
      <c r="B639" s="23" t="n"/>
      <c r="C639" s="23" t="n"/>
      <c r="D639" s="23" t="n"/>
      <c r="E639" s="23" t="n"/>
      <c r="F639" s="23" t="n"/>
      <c r="G639" s="23" t="n"/>
      <c r="H639" s="23" t="n"/>
      <c r="I639" s="23" t="n"/>
      <c r="J639" s="23" t="n"/>
      <c r="K639" s="23" t="n"/>
      <c r="L639" s="23" t="n"/>
      <c r="M639" s="23" t="n"/>
      <c r="N639" s="23" t="n"/>
      <c r="O639" s="23" t="n"/>
      <c r="P639" s="23" t="n"/>
      <c r="Q639" s="23" t="n"/>
      <c r="R639" s="23" t="n"/>
      <c r="S639" s="23" t="n"/>
      <c r="T639" s="23" t="n"/>
      <c r="U639" s="23" t="n"/>
      <c r="V639" s="23" t="n"/>
      <c r="W639" s="23" t="n"/>
      <c r="X639" s="23" t="n"/>
      <c r="Y639" s="23" t="n"/>
      <c r="Z639" s="23" t="n"/>
    </row>
    <row r="640" ht="15.75" customHeight="1" s="86">
      <c r="A640" s="23" t="n"/>
      <c r="B640" s="23" t="n"/>
      <c r="C640" s="23" t="n"/>
      <c r="D640" s="23" t="n"/>
      <c r="E640" s="23" t="n"/>
      <c r="F640" s="23" t="n"/>
      <c r="G640" s="23" t="n"/>
      <c r="H640" s="23" t="n"/>
      <c r="I640" s="23" t="n"/>
      <c r="J640" s="23" t="n"/>
      <c r="K640" s="23" t="n"/>
      <c r="L640" s="23" t="n"/>
      <c r="M640" s="23" t="n"/>
      <c r="N640" s="23" t="n"/>
      <c r="O640" s="23" t="n"/>
      <c r="P640" s="23" t="n"/>
      <c r="Q640" s="23" t="n"/>
      <c r="R640" s="23" t="n"/>
      <c r="S640" s="23" t="n"/>
      <c r="T640" s="23" t="n"/>
      <c r="U640" s="23" t="n"/>
      <c r="V640" s="23" t="n"/>
      <c r="W640" s="23" t="n"/>
      <c r="X640" s="23" t="n"/>
      <c r="Y640" s="23" t="n"/>
      <c r="Z640" s="23" t="n"/>
    </row>
    <row r="641" ht="15.75" customHeight="1" s="86">
      <c r="A641" s="23" t="n"/>
      <c r="B641" s="23" t="n"/>
      <c r="C641" s="23" t="n"/>
      <c r="D641" s="23" t="n"/>
      <c r="E641" s="23" t="n"/>
      <c r="F641" s="23" t="n"/>
      <c r="G641" s="23" t="n"/>
      <c r="H641" s="23" t="n"/>
      <c r="I641" s="23" t="n"/>
      <c r="J641" s="23" t="n"/>
      <c r="K641" s="23" t="n"/>
      <c r="L641" s="23" t="n"/>
      <c r="M641" s="23" t="n"/>
      <c r="N641" s="23" t="n"/>
      <c r="O641" s="23" t="n"/>
      <c r="P641" s="23" t="n"/>
      <c r="Q641" s="23" t="n"/>
      <c r="R641" s="23" t="n"/>
      <c r="S641" s="23" t="n"/>
      <c r="T641" s="23" t="n"/>
      <c r="U641" s="23" t="n"/>
      <c r="V641" s="23" t="n"/>
      <c r="W641" s="23" t="n"/>
      <c r="X641" s="23" t="n"/>
      <c r="Y641" s="23" t="n"/>
      <c r="Z641" s="23" t="n"/>
    </row>
    <row r="642" ht="15.75" customHeight="1" s="86">
      <c r="A642" s="23" t="n"/>
      <c r="B642" s="23" t="n"/>
      <c r="C642" s="23" t="n"/>
      <c r="D642" s="23" t="n"/>
      <c r="E642" s="23" t="n"/>
      <c r="F642" s="23" t="n"/>
      <c r="G642" s="23" t="n"/>
      <c r="H642" s="23" t="n"/>
      <c r="I642" s="23" t="n"/>
      <c r="J642" s="23" t="n"/>
      <c r="K642" s="23" t="n"/>
      <c r="L642" s="23" t="n"/>
      <c r="M642" s="23" t="n"/>
      <c r="N642" s="23" t="n"/>
      <c r="O642" s="23" t="n"/>
      <c r="P642" s="23" t="n"/>
      <c r="Q642" s="23" t="n"/>
      <c r="R642" s="23" t="n"/>
      <c r="S642" s="23" t="n"/>
      <c r="T642" s="23" t="n"/>
      <c r="U642" s="23" t="n"/>
      <c r="V642" s="23" t="n"/>
      <c r="W642" s="23" t="n"/>
      <c r="X642" s="23" t="n"/>
      <c r="Y642" s="23" t="n"/>
      <c r="Z642" s="23" t="n"/>
    </row>
    <row r="643" ht="15.75" customHeight="1" s="86">
      <c r="A643" s="23" t="n"/>
      <c r="B643" s="23" t="n"/>
      <c r="C643" s="23" t="n"/>
      <c r="D643" s="23" t="n"/>
      <c r="E643" s="23" t="n"/>
      <c r="F643" s="23" t="n"/>
      <c r="G643" s="23" t="n"/>
      <c r="H643" s="23" t="n"/>
      <c r="I643" s="23" t="n"/>
      <c r="J643" s="23" t="n"/>
      <c r="K643" s="23" t="n"/>
      <c r="L643" s="23" t="n"/>
      <c r="M643" s="23" t="n"/>
      <c r="N643" s="23" t="n"/>
      <c r="O643" s="23" t="n"/>
      <c r="P643" s="23" t="n"/>
      <c r="Q643" s="23" t="n"/>
      <c r="R643" s="23" t="n"/>
      <c r="S643" s="23" t="n"/>
      <c r="T643" s="23" t="n"/>
      <c r="U643" s="23" t="n"/>
      <c r="V643" s="23" t="n"/>
      <c r="W643" s="23" t="n"/>
      <c r="X643" s="23" t="n"/>
      <c r="Y643" s="23" t="n"/>
      <c r="Z643" s="23" t="n"/>
    </row>
    <row r="644" ht="15.75" customHeight="1" s="86">
      <c r="A644" s="23" t="n"/>
      <c r="B644" s="23" t="n"/>
      <c r="C644" s="23" t="n"/>
      <c r="D644" s="23" t="n"/>
      <c r="E644" s="23" t="n"/>
      <c r="F644" s="23" t="n"/>
      <c r="G644" s="23" t="n"/>
      <c r="H644" s="23" t="n"/>
      <c r="I644" s="23" t="n"/>
      <c r="J644" s="23" t="n"/>
      <c r="K644" s="23" t="n"/>
      <c r="L644" s="23" t="n"/>
      <c r="M644" s="23" t="n"/>
      <c r="N644" s="23" t="n"/>
      <c r="O644" s="23" t="n"/>
      <c r="P644" s="23" t="n"/>
      <c r="Q644" s="23" t="n"/>
      <c r="R644" s="23" t="n"/>
      <c r="S644" s="23" t="n"/>
      <c r="T644" s="23" t="n"/>
      <c r="U644" s="23" t="n"/>
      <c r="V644" s="23" t="n"/>
      <c r="W644" s="23" t="n"/>
      <c r="X644" s="23" t="n"/>
      <c r="Y644" s="23" t="n"/>
      <c r="Z644" s="23" t="n"/>
    </row>
    <row r="645" ht="15.75" customHeight="1" s="86">
      <c r="A645" s="23" t="n"/>
      <c r="B645" s="23" t="n"/>
      <c r="C645" s="23" t="n"/>
      <c r="D645" s="23" t="n"/>
      <c r="E645" s="23" t="n"/>
      <c r="F645" s="23" t="n"/>
      <c r="G645" s="23" t="n"/>
      <c r="H645" s="23" t="n"/>
      <c r="I645" s="23" t="n"/>
      <c r="J645" s="23" t="n"/>
      <c r="K645" s="23" t="n"/>
      <c r="L645" s="23" t="n"/>
      <c r="M645" s="23" t="n"/>
      <c r="N645" s="23" t="n"/>
      <c r="O645" s="23" t="n"/>
      <c r="P645" s="23" t="n"/>
      <c r="Q645" s="23" t="n"/>
      <c r="R645" s="23" t="n"/>
      <c r="S645" s="23" t="n"/>
      <c r="T645" s="23" t="n"/>
      <c r="U645" s="23" t="n"/>
      <c r="V645" s="23" t="n"/>
      <c r="W645" s="23" t="n"/>
      <c r="X645" s="23" t="n"/>
      <c r="Y645" s="23" t="n"/>
      <c r="Z645" s="23" t="n"/>
    </row>
    <row r="646" ht="15.75" customHeight="1" s="86">
      <c r="A646" s="23" t="n"/>
      <c r="B646" s="23" t="n"/>
      <c r="C646" s="23" t="n"/>
      <c r="D646" s="23" t="n"/>
      <c r="E646" s="23" t="n"/>
      <c r="F646" s="23" t="n"/>
      <c r="G646" s="23" t="n"/>
      <c r="H646" s="23" t="n"/>
      <c r="I646" s="23" t="n"/>
      <c r="J646" s="23" t="n"/>
      <c r="K646" s="23" t="n"/>
      <c r="L646" s="23" t="n"/>
      <c r="M646" s="23" t="n"/>
      <c r="N646" s="23" t="n"/>
      <c r="O646" s="23" t="n"/>
      <c r="P646" s="23" t="n"/>
      <c r="Q646" s="23" t="n"/>
      <c r="R646" s="23" t="n"/>
      <c r="S646" s="23" t="n"/>
      <c r="T646" s="23" t="n"/>
      <c r="U646" s="23" t="n"/>
      <c r="V646" s="23" t="n"/>
      <c r="W646" s="23" t="n"/>
      <c r="X646" s="23" t="n"/>
      <c r="Y646" s="23" t="n"/>
      <c r="Z646" s="23" t="n"/>
    </row>
    <row r="647" ht="15.75" customHeight="1" s="86">
      <c r="A647" s="23" t="n"/>
      <c r="B647" s="23" t="n"/>
      <c r="C647" s="23" t="n"/>
      <c r="D647" s="23" t="n"/>
      <c r="E647" s="23" t="n"/>
      <c r="F647" s="23" t="n"/>
      <c r="G647" s="23" t="n"/>
      <c r="H647" s="23" t="n"/>
      <c r="I647" s="23" t="n"/>
      <c r="J647" s="23" t="n"/>
      <c r="K647" s="23" t="n"/>
      <c r="L647" s="23" t="n"/>
      <c r="M647" s="23" t="n"/>
      <c r="N647" s="23" t="n"/>
      <c r="O647" s="23" t="n"/>
      <c r="P647" s="23" t="n"/>
      <c r="Q647" s="23" t="n"/>
      <c r="R647" s="23" t="n"/>
      <c r="S647" s="23" t="n"/>
      <c r="T647" s="23" t="n"/>
      <c r="U647" s="23" t="n"/>
      <c r="V647" s="23" t="n"/>
      <c r="W647" s="23" t="n"/>
      <c r="X647" s="23" t="n"/>
      <c r="Y647" s="23" t="n"/>
      <c r="Z647" s="23" t="n"/>
    </row>
    <row r="648" ht="15.75" customHeight="1" s="86">
      <c r="A648" s="23" t="n"/>
      <c r="B648" s="23" t="n"/>
      <c r="C648" s="23" t="n"/>
      <c r="D648" s="23" t="n"/>
      <c r="E648" s="23" t="n"/>
      <c r="F648" s="23" t="n"/>
      <c r="G648" s="23" t="n"/>
      <c r="H648" s="23" t="n"/>
      <c r="I648" s="23" t="n"/>
      <c r="J648" s="23" t="n"/>
      <c r="K648" s="23" t="n"/>
      <c r="L648" s="23" t="n"/>
      <c r="M648" s="23" t="n"/>
      <c r="N648" s="23" t="n"/>
      <c r="O648" s="23" t="n"/>
      <c r="P648" s="23" t="n"/>
      <c r="Q648" s="23" t="n"/>
      <c r="R648" s="23" t="n"/>
      <c r="S648" s="23" t="n"/>
      <c r="T648" s="23" t="n"/>
      <c r="U648" s="23" t="n"/>
      <c r="V648" s="23" t="n"/>
      <c r="W648" s="23" t="n"/>
      <c r="X648" s="23" t="n"/>
      <c r="Y648" s="23" t="n"/>
      <c r="Z648" s="23" t="n"/>
    </row>
    <row r="649" ht="15.75" customHeight="1" s="86">
      <c r="A649" s="23" t="n"/>
      <c r="B649" s="23" t="n"/>
      <c r="C649" s="23" t="n"/>
      <c r="D649" s="23" t="n"/>
      <c r="E649" s="23" t="n"/>
      <c r="F649" s="23" t="n"/>
      <c r="G649" s="23" t="n"/>
      <c r="H649" s="23" t="n"/>
      <c r="I649" s="23" t="n"/>
      <c r="J649" s="23" t="n"/>
      <c r="K649" s="23" t="n"/>
      <c r="L649" s="23" t="n"/>
      <c r="M649" s="23" t="n"/>
      <c r="N649" s="23" t="n"/>
      <c r="O649" s="23" t="n"/>
      <c r="P649" s="23" t="n"/>
      <c r="Q649" s="23" t="n"/>
      <c r="R649" s="23" t="n"/>
      <c r="S649" s="23" t="n"/>
      <c r="T649" s="23" t="n"/>
      <c r="U649" s="23" t="n"/>
      <c r="V649" s="23" t="n"/>
      <c r="W649" s="23" t="n"/>
      <c r="X649" s="23" t="n"/>
      <c r="Y649" s="23" t="n"/>
      <c r="Z649" s="23" t="n"/>
    </row>
    <row r="650" ht="15.75" customHeight="1" s="86">
      <c r="A650" s="23" t="n"/>
      <c r="B650" s="23" t="n"/>
      <c r="C650" s="23" t="n"/>
      <c r="D650" s="23" t="n"/>
      <c r="E650" s="23" t="n"/>
      <c r="F650" s="23" t="n"/>
      <c r="G650" s="23" t="n"/>
      <c r="H650" s="23" t="n"/>
      <c r="I650" s="23" t="n"/>
      <c r="J650" s="23" t="n"/>
      <c r="K650" s="23" t="n"/>
      <c r="L650" s="23" t="n"/>
      <c r="M650" s="23" t="n"/>
      <c r="N650" s="23" t="n"/>
      <c r="O650" s="23" t="n"/>
      <c r="P650" s="23" t="n"/>
      <c r="Q650" s="23" t="n"/>
      <c r="R650" s="23" t="n"/>
      <c r="S650" s="23" t="n"/>
      <c r="T650" s="23" t="n"/>
      <c r="U650" s="23" t="n"/>
      <c r="V650" s="23" t="n"/>
      <c r="W650" s="23" t="n"/>
      <c r="X650" s="23" t="n"/>
      <c r="Y650" s="23" t="n"/>
      <c r="Z650" s="23" t="n"/>
    </row>
    <row r="651" ht="15.75" customHeight="1" s="86">
      <c r="A651" s="23" t="n"/>
      <c r="B651" s="23" t="n"/>
      <c r="C651" s="23" t="n"/>
      <c r="D651" s="23" t="n"/>
      <c r="E651" s="23" t="n"/>
      <c r="F651" s="23" t="n"/>
      <c r="G651" s="23" t="n"/>
      <c r="H651" s="23" t="n"/>
      <c r="I651" s="23" t="n"/>
      <c r="J651" s="23" t="n"/>
      <c r="K651" s="23" t="n"/>
      <c r="L651" s="23" t="n"/>
      <c r="M651" s="23" t="n"/>
      <c r="N651" s="23" t="n"/>
      <c r="O651" s="23" t="n"/>
      <c r="P651" s="23" t="n"/>
      <c r="Q651" s="23" t="n"/>
      <c r="R651" s="23" t="n"/>
      <c r="S651" s="23" t="n"/>
      <c r="T651" s="23" t="n"/>
      <c r="U651" s="23" t="n"/>
      <c r="V651" s="23" t="n"/>
      <c r="W651" s="23" t="n"/>
      <c r="X651" s="23" t="n"/>
      <c r="Y651" s="23" t="n"/>
      <c r="Z651" s="23" t="n"/>
    </row>
    <row r="652" ht="15.75" customHeight="1" s="86">
      <c r="A652" s="23" t="n"/>
      <c r="B652" s="23" t="n"/>
      <c r="C652" s="23" t="n"/>
      <c r="D652" s="23" t="n"/>
      <c r="E652" s="23" t="n"/>
      <c r="F652" s="23" t="n"/>
      <c r="G652" s="23" t="n"/>
      <c r="H652" s="23" t="n"/>
      <c r="I652" s="23" t="n"/>
      <c r="J652" s="23" t="n"/>
      <c r="K652" s="23" t="n"/>
      <c r="L652" s="23" t="n"/>
      <c r="M652" s="23" t="n"/>
      <c r="N652" s="23" t="n"/>
      <c r="O652" s="23" t="n"/>
      <c r="P652" s="23" t="n"/>
      <c r="Q652" s="23" t="n"/>
      <c r="R652" s="23" t="n"/>
      <c r="S652" s="23" t="n"/>
      <c r="T652" s="23" t="n"/>
      <c r="U652" s="23" t="n"/>
      <c r="V652" s="23" t="n"/>
      <c r="W652" s="23" t="n"/>
      <c r="X652" s="23" t="n"/>
      <c r="Y652" s="23" t="n"/>
      <c r="Z652" s="23" t="n"/>
    </row>
    <row r="653" ht="15.75" customHeight="1" s="86">
      <c r="A653" s="23" t="n"/>
      <c r="B653" s="23" t="n"/>
      <c r="C653" s="23" t="n"/>
      <c r="D653" s="23" t="n"/>
      <c r="E653" s="23" t="n"/>
      <c r="F653" s="23" t="n"/>
      <c r="G653" s="23" t="n"/>
      <c r="H653" s="23" t="n"/>
      <c r="I653" s="23" t="n"/>
      <c r="J653" s="23" t="n"/>
      <c r="K653" s="23" t="n"/>
      <c r="L653" s="23" t="n"/>
      <c r="M653" s="23" t="n"/>
      <c r="N653" s="23" t="n"/>
      <c r="O653" s="23" t="n"/>
      <c r="P653" s="23" t="n"/>
      <c r="Q653" s="23" t="n"/>
      <c r="R653" s="23" t="n"/>
      <c r="S653" s="23" t="n"/>
      <c r="T653" s="23" t="n"/>
      <c r="U653" s="23" t="n"/>
      <c r="V653" s="23" t="n"/>
      <c r="W653" s="23" t="n"/>
      <c r="X653" s="23" t="n"/>
      <c r="Y653" s="23" t="n"/>
      <c r="Z653" s="23" t="n"/>
    </row>
    <row r="654" ht="15.75" customHeight="1" s="86">
      <c r="A654" s="23" t="n"/>
      <c r="B654" s="23" t="n"/>
      <c r="C654" s="23" t="n"/>
      <c r="D654" s="23" t="n"/>
      <c r="E654" s="23" t="n"/>
      <c r="F654" s="23" t="n"/>
      <c r="G654" s="23" t="n"/>
      <c r="H654" s="23" t="n"/>
      <c r="I654" s="23" t="n"/>
      <c r="J654" s="23" t="n"/>
      <c r="K654" s="23" t="n"/>
      <c r="L654" s="23" t="n"/>
      <c r="M654" s="23" t="n"/>
      <c r="N654" s="23" t="n"/>
      <c r="O654" s="23" t="n"/>
      <c r="P654" s="23" t="n"/>
      <c r="Q654" s="23" t="n"/>
      <c r="R654" s="23" t="n"/>
      <c r="S654" s="23" t="n"/>
      <c r="T654" s="23" t="n"/>
      <c r="U654" s="23" t="n"/>
      <c r="V654" s="23" t="n"/>
      <c r="W654" s="23" t="n"/>
      <c r="X654" s="23" t="n"/>
      <c r="Y654" s="23" t="n"/>
      <c r="Z654" s="23" t="n"/>
    </row>
    <row r="655" ht="15.75" customHeight="1" s="86">
      <c r="A655" s="23" t="n"/>
      <c r="B655" s="23" t="n"/>
      <c r="C655" s="23" t="n"/>
      <c r="D655" s="23" t="n"/>
      <c r="E655" s="23" t="n"/>
      <c r="F655" s="23" t="n"/>
      <c r="G655" s="23" t="n"/>
      <c r="H655" s="23" t="n"/>
      <c r="I655" s="23" t="n"/>
      <c r="J655" s="23" t="n"/>
      <c r="K655" s="23" t="n"/>
      <c r="L655" s="23" t="n"/>
      <c r="M655" s="23" t="n"/>
      <c r="N655" s="23" t="n"/>
      <c r="O655" s="23" t="n"/>
      <c r="P655" s="23" t="n"/>
      <c r="Q655" s="23" t="n"/>
      <c r="R655" s="23" t="n"/>
      <c r="S655" s="23" t="n"/>
      <c r="T655" s="23" t="n"/>
      <c r="U655" s="23" t="n"/>
      <c r="V655" s="23" t="n"/>
      <c r="W655" s="23" t="n"/>
      <c r="X655" s="23" t="n"/>
      <c r="Y655" s="23" t="n"/>
      <c r="Z655" s="23" t="n"/>
    </row>
    <row r="656" ht="15.75" customHeight="1" s="86">
      <c r="A656" s="23" t="n"/>
      <c r="B656" s="23" t="n"/>
      <c r="C656" s="23" t="n"/>
      <c r="D656" s="23" t="n"/>
      <c r="E656" s="23" t="n"/>
      <c r="F656" s="23" t="n"/>
      <c r="G656" s="23" t="n"/>
      <c r="H656" s="23" t="n"/>
      <c r="I656" s="23" t="n"/>
      <c r="J656" s="23" t="n"/>
      <c r="K656" s="23" t="n"/>
      <c r="L656" s="23" t="n"/>
      <c r="M656" s="23" t="n"/>
      <c r="N656" s="23" t="n"/>
      <c r="O656" s="23" t="n"/>
      <c r="P656" s="23" t="n"/>
      <c r="Q656" s="23" t="n"/>
      <c r="R656" s="23" t="n"/>
      <c r="S656" s="23" t="n"/>
      <c r="T656" s="23" t="n"/>
      <c r="U656" s="23" t="n"/>
      <c r="V656" s="23" t="n"/>
      <c r="W656" s="23" t="n"/>
      <c r="X656" s="23" t="n"/>
      <c r="Y656" s="23" t="n"/>
      <c r="Z656" s="23" t="n"/>
    </row>
    <row r="657" ht="15.75" customHeight="1" s="86">
      <c r="A657" s="23" t="n"/>
      <c r="B657" s="23" t="n"/>
      <c r="C657" s="23" t="n"/>
      <c r="D657" s="23" t="n"/>
      <c r="E657" s="23" t="n"/>
      <c r="F657" s="23" t="n"/>
      <c r="G657" s="23" t="n"/>
      <c r="H657" s="23" t="n"/>
      <c r="I657" s="23" t="n"/>
      <c r="J657" s="23" t="n"/>
      <c r="K657" s="23" t="n"/>
      <c r="L657" s="23" t="n"/>
      <c r="M657" s="23" t="n"/>
      <c r="N657" s="23" t="n"/>
      <c r="O657" s="23" t="n"/>
      <c r="P657" s="23" t="n"/>
      <c r="Q657" s="23" t="n"/>
      <c r="R657" s="23" t="n"/>
      <c r="S657" s="23" t="n"/>
      <c r="T657" s="23" t="n"/>
      <c r="U657" s="23" t="n"/>
      <c r="V657" s="23" t="n"/>
      <c r="W657" s="23" t="n"/>
      <c r="X657" s="23" t="n"/>
      <c r="Y657" s="23" t="n"/>
      <c r="Z657" s="23" t="n"/>
    </row>
    <row r="658" ht="15.75" customHeight="1" s="86">
      <c r="A658" s="23" t="n"/>
      <c r="B658" s="23" t="n"/>
      <c r="C658" s="23" t="n"/>
      <c r="D658" s="23" t="n"/>
      <c r="E658" s="23" t="n"/>
      <c r="F658" s="23" t="n"/>
      <c r="G658" s="23" t="n"/>
      <c r="H658" s="23" t="n"/>
      <c r="I658" s="23" t="n"/>
      <c r="J658" s="23" t="n"/>
      <c r="K658" s="23" t="n"/>
      <c r="L658" s="23" t="n"/>
      <c r="M658" s="23" t="n"/>
      <c r="N658" s="23" t="n"/>
      <c r="O658" s="23" t="n"/>
      <c r="P658" s="23" t="n"/>
      <c r="Q658" s="23" t="n"/>
      <c r="R658" s="23" t="n"/>
      <c r="S658" s="23" t="n"/>
      <c r="T658" s="23" t="n"/>
      <c r="U658" s="23" t="n"/>
      <c r="V658" s="23" t="n"/>
      <c r="W658" s="23" t="n"/>
      <c r="X658" s="23" t="n"/>
      <c r="Y658" s="23" t="n"/>
      <c r="Z658" s="23" t="n"/>
    </row>
    <row r="659" ht="15.75" customHeight="1" s="86">
      <c r="A659" s="23" t="n"/>
      <c r="B659" s="23" t="n"/>
      <c r="C659" s="23" t="n"/>
      <c r="D659" s="23" t="n"/>
      <c r="E659" s="23" t="n"/>
      <c r="F659" s="23" t="n"/>
      <c r="G659" s="23" t="n"/>
      <c r="H659" s="23" t="n"/>
      <c r="I659" s="23" t="n"/>
      <c r="J659" s="23" t="n"/>
      <c r="K659" s="23" t="n"/>
      <c r="L659" s="23" t="n"/>
      <c r="M659" s="23" t="n"/>
      <c r="N659" s="23" t="n"/>
      <c r="O659" s="23" t="n"/>
      <c r="P659" s="23" t="n"/>
      <c r="Q659" s="23" t="n"/>
      <c r="R659" s="23" t="n"/>
      <c r="S659" s="23" t="n"/>
      <c r="T659" s="23" t="n"/>
      <c r="U659" s="23" t="n"/>
      <c r="V659" s="23" t="n"/>
      <c r="W659" s="23" t="n"/>
      <c r="X659" s="23" t="n"/>
      <c r="Y659" s="23" t="n"/>
      <c r="Z659" s="23" t="n"/>
    </row>
    <row r="660" ht="15.75" customHeight="1" s="86">
      <c r="A660" s="23" t="n"/>
      <c r="B660" s="23" t="n"/>
      <c r="C660" s="23" t="n"/>
      <c r="D660" s="23" t="n"/>
      <c r="E660" s="23" t="n"/>
      <c r="F660" s="23" t="n"/>
      <c r="G660" s="23" t="n"/>
      <c r="H660" s="23" t="n"/>
      <c r="I660" s="23" t="n"/>
      <c r="J660" s="23" t="n"/>
      <c r="K660" s="23" t="n"/>
      <c r="L660" s="23" t="n"/>
      <c r="M660" s="23" t="n"/>
      <c r="N660" s="23" t="n"/>
      <c r="O660" s="23" t="n"/>
      <c r="P660" s="23" t="n"/>
      <c r="Q660" s="23" t="n"/>
      <c r="R660" s="23" t="n"/>
      <c r="S660" s="23" t="n"/>
      <c r="T660" s="23" t="n"/>
      <c r="U660" s="23" t="n"/>
      <c r="V660" s="23" t="n"/>
      <c r="W660" s="23" t="n"/>
      <c r="X660" s="23" t="n"/>
      <c r="Y660" s="23" t="n"/>
      <c r="Z660" s="23" t="n"/>
    </row>
    <row r="661" ht="15.75" customHeight="1" s="86">
      <c r="A661" s="23" t="n"/>
      <c r="B661" s="23" t="n"/>
      <c r="C661" s="23" t="n"/>
      <c r="D661" s="23" t="n"/>
      <c r="E661" s="23" t="n"/>
      <c r="F661" s="23" t="n"/>
      <c r="G661" s="23" t="n"/>
      <c r="H661" s="23" t="n"/>
      <c r="I661" s="23" t="n"/>
      <c r="J661" s="23" t="n"/>
      <c r="K661" s="23" t="n"/>
      <c r="L661" s="23" t="n"/>
      <c r="M661" s="23" t="n"/>
      <c r="N661" s="23" t="n"/>
      <c r="O661" s="23" t="n"/>
      <c r="P661" s="23" t="n"/>
      <c r="Q661" s="23" t="n"/>
      <c r="R661" s="23" t="n"/>
      <c r="S661" s="23" t="n"/>
      <c r="T661" s="23" t="n"/>
      <c r="U661" s="23" t="n"/>
      <c r="V661" s="23" t="n"/>
      <c r="W661" s="23" t="n"/>
      <c r="X661" s="23" t="n"/>
      <c r="Y661" s="23" t="n"/>
      <c r="Z661" s="23" t="n"/>
    </row>
    <row r="662" ht="15.75" customHeight="1" s="86">
      <c r="A662" s="23" t="n"/>
      <c r="B662" s="23" t="n"/>
      <c r="C662" s="23" t="n"/>
      <c r="D662" s="23" t="n"/>
      <c r="E662" s="23" t="n"/>
      <c r="F662" s="23" t="n"/>
      <c r="G662" s="23" t="n"/>
      <c r="H662" s="23" t="n"/>
      <c r="I662" s="23" t="n"/>
      <c r="J662" s="23" t="n"/>
      <c r="K662" s="23" t="n"/>
      <c r="L662" s="23" t="n"/>
      <c r="M662" s="23" t="n"/>
      <c r="N662" s="23" t="n"/>
      <c r="O662" s="23" t="n"/>
      <c r="P662" s="23" t="n"/>
      <c r="Q662" s="23" t="n"/>
      <c r="R662" s="23" t="n"/>
      <c r="S662" s="23" t="n"/>
      <c r="T662" s="23" t="n"/>
      <c r="U662" s="23" t="n"/>
      <c r="V662" s="23" t="n"/>
      <c r="W662" s="23" t="n"/>
      <c r="X662" s="23" t="n"/>
      <c r="Y662" s="23" t="n"/>
      <c r="Z662" s="23" t="n"/>
    </row>
    <row r="663" ht="15.75" customHeight="1" s="86">
      <c r="A663" s="23" t="n"/>
      <c r="B663" s="23" t="n"/>
      <c r="C663" s="23" t="n"/>
      <c r="D663" s="23" t="n"/>
      <c r="E663" s="23" t="n"/>
      <c r="F663" s="23" t="n"/>
      <c r="G663" s="23" t="n"/>
      <c r="H663" s="23" t="n"/>
      <c r="I663" s="23" t="n"/>
      <c r="J663" s="23" t="n"/>
      <c r="K663" s="23" t="n"/>
      <c r="L663" s="23" t="n"/>
      <c r="M663" s="23" t="n"/>
      <c r="N663" s="23" t="n"/>
      <c r="O663" s="23" t="n"/>
      <c r="P663" s="23" t="n"/>
      <c r="Q663" s="23" t="n"/>
      <c r="R663" s="23" t="n"/>
      <c r="S663" s="23" t="n"/>
      <c r="T663" s="23" t="n"/>
      <c r="U663" s="23" t="n"/>
      <c r="V663" s="23" t="n"/>
      <c r="W663" s="23" t="n"/>
      <c r="X663" s="23" t="n"/>
      <c r="Y663" s="23" t="n"/>
      <c r="Z663" s="23" t="n"/>
    </row>
    <row r="664" ht="15.75" customHeight="1" s="86">
      <c r="A664" s="23" t="n"/>
      <c r="B664" s="23" t="n"/>
      <c r="C664" s="23" t="n"/>
      <c r="D664" s="23" t="n"/>
      <c r="E664" s="23" t="n"/>
      <c r="F664" s="23" t="n"/>
      <c r="G664" s="23" t="n"/>
      <c r="H664" s="23" t="n"/>
      <c r="I664" s="23" t="n"/>
      <c r="J664" s="23" t="n"/>
      <c r="K664" s="23" t="n"/>
      <c r="L664" s="23" t="n"/>
      <c r="M664" s="23" t="n"/>
      <c r="N664" s="23" t="n"/>
      <c r="O664" s="23" t="n"/>
      <c r="P664" s="23" t="n"/>
      <c r="Q664" s="23" t="n"/>
      <c r="R664" s="23" t="n"/>
      <c r="S664" s="23" t="n"/>
      <c r="T664" s="23" t="n"/>
      <c r="U664" s="23" t="n"/>
      <c r="V664" s="23" t="n"/>
      <c r="W664" s="23" t="n"/>
      <c r="X664" s="23" t="n"/>
      <c r="Y664" s="23" t="n"/>
      <c r="Z664" s="23" t="n"/>
    </row>
    <row r="665" ht="15.75" customHeight="1" s="86">
      <c r="A665" s="23" t="n"/>
      <c r="B665" s="23" t="n"/>
      <c r="C665" s="23" t="n"/>
      <c r="D665" s="23" t="n"/>
      <c r="E665" s="23" t="n"/>
      <c r="F665" s="23" t="n"/>
      <c r="G665" s="23" t="n"/>
      <c r="H665" s="23" t="n"/>
      <c r="I665" s="23" t="n"/>
      <c r="J665" s="23" t="n"/>
      <c r="K665" s="23" t="n"/>
      <c r="L665" s="23" t="n"/>
      <c r="M665" s="23" t="n"/>
      <c r="N665" s="23" t="n"/>
      <c r="O665" s="23" t="n"/>
      <c r="P665" s="23" t="n"/>
      <c r="Q665" s="23" t="n"/>
      <c r="R665" s="23" t="n"/>
      <c r="S665" s="23" t="n"/>
      <c r="T665" s="23" t="n"/>
      <c r="U665" s="23" t="n"/>
      <c r="V665" s="23" t="n"/>
      <c r="W665" s="23" t="n"/>
      <c r="X665" s="23" t="n"/>
      <c r="Y665" s="23" t="n"/>
      <c r="Z665" s="23" t="n"/>
    </row>
    <row r="666" ht="15.75" customHeight="1" s="86">
      <c r="A666" s="23" t="n"/>
      <c r="B666" s="23" t="n"/>
      <c r="C666" s="23" t="n"/>
      <c r="D666" s="23" t="n"/>
      <c r="E666" s="23" t="n"/>
      <c r="F666" s="23" t="n"/>
      <c r="G666" s="23" t="n"/>
      <c r="H666" s="23" t="n"/>
      <c r="I666" s="23" t="n"/>
      <c r="J666" s="23" t="n"/>
      <c r="K666" s="23" t="n"/>
      <c r="L666" s="23" t="n"/>
      <c r="M666" s="23" t="n"/>
      <c r="N666" s="23" t="n"/>
      <c r="O666" s="23" t="n"/>
      <c r="P666" s="23" t="n"/>
      <c r="Q666" s="23" t="n"/>
      <c r="R666" s="23" t="n"/>
      <c r="S666" s="23" t="n"/>
      <c r="T666" s="23" t="n"/>
      <c r="U666" s="23" t="n"/>
      <c r="V666" s="23" t="n"/>
      <c r="W666" s="23" t="n"/>
      <c r="X666" s="23" t="n"/>
      <c r="Y666" s="23" t="n"/>
      <c r="Z666" s="23" t="n"/>
    </row>
    <row r="667" ht="15.75" customHeight="1" s="86">
      <c r="A667" s="23" t="n"/>
      <c r="B667" s="23" t="n"/>
      <c r="C667" s="23" t="n"/>
      <c r="D667" s="23" t="n"/>
      <c r="E667" s="23" t="n"/>
      <c r="F667" s="23" t="n"/>
      <c r="G667" s="23" t="n"/>
      <c r="H667" s="23" t="n"/>
      <c r="I667" s="23" t="n"/>
      <c r="J667" s="23" t="n"/>
      <c r="K667" s="23" t="n"/>
      <c r="L667" s="23" t="n"/>
      <c r="M667" s="23" t="n"/>
      <c r="N667" s="23" t="n"/>
      <c r="O667" s="23" t="n"/>
      <c r="P667" s="23" t="n"/>
      <c r="Q667" s="23" t="n"/>
      <c r="R667" s="23" t="n"/>
      <c r="S667" s="23" t="n"/>
      <c r="T667" s="23" t="n"/>
      <c r="U667" s="23" t="n"/>
      <c r="V667" s="23" t="n"/>
      <c r="W667" s="23" t="n"/>
      <c r="X667" s="23" t="n"/>
      <c r="Y667" s="23" t="n"/>
      <c r="Z667" s="23" t="n"/>
    </row>
    <row r="668" ht="15.75" customHeight="1" s="86">
      <c r="A668" s="23" t="n"/>
      <c r="B668" s="23" t="n"/>
      <c r="C668" s="23" t="n"/>
      <c r="D668" s="23" t="n"/>
      <c r="E668" s="23" t="n"/>
      <c r="F668" s="23" t="n"/>
      <c r="G668" s="23" t="n"/>
      <c r="H668" s="23" t="n"/>
      <c r="I668" s="23" t="n"/>
      <c r="J668" s="23" t="n"/>
      <c r="K668" s="23" t="n"/>
      <c r="L668" s="23" t="n"/>
      <c r="M668" s="23" t="n"/>
      <c r="N668" s="23" t="n"/>
      <c r="O668" s="23" t="n"/>
      <c r="P668" s="23" t="n"/>
      <c r="Q668" s="23" t="n"/>
      <c r="R668" s="23" t="n"/>
      <c r="S668" s="23" t="n"/>
      <c r="T668" s="23" t="n"/>
      <c r="U668" s="23" t="n"/>
      <c r="V668" s="23" t="n"/>
      <c r="W668" s="23" t="n"/>
      <c r="X668" s="23" t="n"/>
      <c r="Y668" s="23" t="n"/>
      <c r="Z668" s="23" t="n"/>
    </row>
    <row r="669" ht="15.75" customHeight="1" s="86">
      <c r="A669" s="23" t="n"/>
      <c r="B669" s="23" t="n"/>
      <c r="C669" s="23" t="n"/>
      <c r="D669" s="23" t="n"/>
      <c r="E669" s="23" t="n"/>
      <c r="F669" s="23" t="n"/>
      <c r="G669" s="23" t="n"/>
      <c r="H669" s="23" t="n"/>
      <c r="I669" s="23" t="n"/>
      <c r="J669" s="23" t="n"/>
      <c r="K669" s="23" t="n"/>
      <c r="L669" s="23" t="n"/>
      <c r="M669" s="23" t="n"/>
      <c r="N669" s="23" t="n"/>
      <c r="O669" s="23" t="n"/>
      <c r="P669" s="23" t="n"/>
      <c r="Q669" s="23" t="n"/>
      <c r="R669" s="23" t="n"/>
      <c r="S669" s="23" t="n"/>
      <c r="T669" s="23" t="n"/>
      <c r="U669" s="23" t="n"/>
      <c r="V669" s="23" t="n"/>
      <c r="W669" s="23" t="n"/>
      <c r="X669" s="23" t="n"/>
      <c r="Y669" s="23" t="n"/>
      <c r="Z669" s="23" t="n"/>
    </row>
    <row r="670" ht="15.75" customHeight="1" s="86">
      <c r="A670" s="23" t="n"/>
      <c r="B670" s="23" t="n"/>
      <c r="C670" s="23" t="n"/>
      <c r="D670" s="23" t="n"/>
      <c r="E670" s="23" t="n"/>
      <c r="F670" s="23" t="n"/>
      <c r="G670" s="23" t="n"/>
      <c r="H670" s="23" t="n"/>
      <c r="I670" s="23" t="n"/>
      <c r="J670" s="23" t="n"/>
      <c r="K670" s="23" t="n"/>
      <c r="L670" s="23" t="n"/>
      <c r="M670" s="23" t="n"/>
      <c r="N670" s="23" t="n"/>
      <c r="O670" s="23" t="n"/>
      <c r="P670" s="23" t="n"/>
      <c r="Q670" s="23" t="n"/>
      <c r="R670" s="23" t="n"/>
      <c r="S670" s="23" t="n"/>
      <c r="T670" s="23" t="n"/>
      <c r="U670" s="23" t="n"/>
      <c r="V670" s="23" t="n"/>
      <c r="W670" s="23" t="n"/>
      <c r="X670" s="23" t="n"/>
      <c r="Y670" s="23" t="n"/>
      <c r="Z670" s="23" t="n"/>
    </row>
    <row r="671" ht="15.75" customHeight="1" s="86">
      <c r="A671" s="23" t="n"/>
      <c r="B671" s="23" t="n"/>
      <c r="C671" s="23" t="n"/>
      <c r="D671" s="23" t="n"/>
      <c r="E671" s="23" t="n"/>
      <c r="F671" s="23" t="n"/>
      <c r="G671" s="23" t="n"/>
      <c r="H671" s="23" t="n"/>
      <c r="I671" s="23" t="n"/>
      <c r="J671" s="23" t="n"/>
      <c r="K671" s="23" t="n"/>
      <c r="L671" s="23" t="n"/>
      <c r="M671" s="23" t="n"/>
      <c r="N671" s="23" t="n"/>
      <c r="O671" s="23" t="n"/>
      <c r="P671" s="23" t="n"/>
      <c r="Q671" s="23" t="n"/>
      <c r="R671" s="23" t="n"/>
      <c r="S671" s="23" t="n"/>
      <c r="T671" s="23" t="n"/>
      <c r="U671" s="23" t="n"/>
      <c r="V671" s="23" t="n"/>
      <c r="W671" s="23" t="n"/>
      <c r="X671" s="23" t="n"/>
      <c r="Y671" s="23" t="n"/>
      <c r="Z671" s="23" t="n"/>
    </row>
    <row r="672" ht="15.75" customHeight="1" s="86">
      <c r="A672" s="23" t="n"/>
      <c r="B672" s="23" t="n"/>
      <c r="C672" s="23" t="n"/>
      <c r="D672" s="23" t="n"/>
      <c r="E672" s="23" t="n"/>
      <c r="F672" s="23" t="n"/>
      <c r="G672" s="23" t="n"/>
      <c r="H672" s="23" t="n"/>
      <c r="I672" s="23" t="n"/>
      <c r="J672" s="23" t="n"/>
      <c r="K672" s="23" t="n"/>
      <c r="L672" s="23" t="n"/>
      <c r="M672" s="23" t="n"/>
      <c r="N672" s="23" t="n"/>
      <c r="O672" s="23" t="n"/>
      <c r="P672" s="23" t="n"/>
      <c r="Q672" s="23" t="n"/>
      <c r="R672" s="23" t="n"/>
      <c r="S672" s="23" t="n"/>
      <c r="T672" s="23" t="n"/>
      <c r="U672" s="23" t="n"/>
      <c r="V672" s="23" t="n"/>
      <c r="W672" s="23" t="n"/>
      <c r="X672" s="23" t="n"/>
      <c r="Y672" s="23" t="n"/>
      <c r="Z672" s="23" t="n"/>
    </row>
    <row r="673" ht="15.75" customHeight="1" s="86">
      <c r="A673" s="23" t="n"/>
      <c r="B673" s="23" t="n"/>
      <c r="C673" s="23" t="n"/>
      <c r="D673" s="23" t="n"/>
      <c r="E673" s="23" t="n"/>
      <c r="F673" s="23" t="n"/>
      <c r="G673" s="23" t="n"/>
      <c r="H673" s="23" t="n"/>
      <c r="I673" s="23" t="n"/>
      <c r="J673" s="23" t="n"/>
      <c r="K673" s="23" t="n"/>
      <c r="L673" s="23" t="n"/>
      <c r="M673" s="23" t="n"/>
      <c r="N673" s="23" t="n"/>
      <c r="O673" s="23" t="n"/>
      <c r="P673" s="23" t="n"/>
      <c r="Q673" s="23" t="n"/>
      <c r="R673" s="23" t="n"/>
      <c r="S673" s="23" t="n"/>
      <c r="T673" s="23" t="n"/>
      <c r="U673" s="23" t="n"/>
      <c r="V673" s="23" t="n"/>
      <c r="W673" s="23" t="n"/>
      <c r="X673" s="23" t="n"/>
      <c r="Y673" s="23" t="n"/>
      <c r="Z673" s="23" t="n"/>
    </row>
    <row r="674" ht="15.75" customHeight="1" s="86">
      <c r="A674" s="23" t="n"/>
      <c r="B674" s="23" t="n"/>
      <c r="C674" s="23" t="n"/>
      <c r="D674" s="23" t="n"/>
      <c r="E674" s="23" t="n"/>
      <c r="F674" s="23" t="n"/>
      <c r="G674" s="23" t="n"/>
      <c r="H674" s="23" t="n"/>
      <c r="I674" s="23" t="n"/>
      <c r="J674" s="23" t="n"/>
      <c r="K674" s="23" t="n"/>
      <c r="L674" s="23" t="n"/>
      <c r="M674" s="23" t="n"/>
      <c r="N674" s="23" t="n"/>
      <c r="O674" s="23" t="n"/>
      <c r="P674" s="23" t="n"/>
      <c r="Q674" s="23" t="n"/>
      <c r="R674" s="23" t="n"/>
      <c r="S674" s="23" t="n"/>
      <c r="T674" s="23" t="n"/>
      <c r="U674" s="23" t="n"/>
      <c r="V674" s="23" t="n"/>
      <c r="W674" s="23" t="n"/>
      <c r="X674" s="23" t="n"/>
      <c r="Y674" s="23" t="n"/>
      <c r="Z674" s="23" t="n"/>
    </row>
    <row r="675" ht="15.75" customHeight="1" s="86">
      <c r="A675" s="23" t="n"/>
      <c r="B675" s="23" t="n"/>
      <c r="C675" s="23" t="n"/>
      <c r="D675" s="23" t="n"/>
      <c r="E675" s="23" t="n"/>
      <c r="F675" s="23" t="n"/>
      <c r="G675" s="23" t="n"/>
      <c r="H675" s="23" t="n"/>
      <c r="I675" s="23" t="n"/>
      <c r="J675" s="23" t="n"/>
      <c r="K675" s="23" t="n"/>
      <c r="L675" s="23" t="n"/>
      <c r="M675" s="23" t="n"/>
      <c r="N675" s="23" t="n"/>
      <c r="O675" s="23" t="n"/>
      <c r="P675" s="23" t="n"/>
      <c r="Q675" s="23" t="n"/>
      <c r="R675" s="23" t="n"/>
      <c r="S675" s="23" t="n"/>
      <c r="T675" s="23" t="n"/>
      <c r="U675" s="23" t="n"/>
      <c r="V675" s="23" t="n"/>
      <c r="W675" s="23" t="n"/>
      <c r="X675" s="23" t="n"/>
      <c r="Y675" s="23" t="n"/>
      <c r="Z675" s="23" t="n"/>
    </row>
    <row r="676" ht="15.75" customHeight="1" s="86">
      <c r="A676" s="23" t="n"/>
      <c r="B676" s="23" t="n"/>
      <c r="C676" s="23" t="n"/>
      <c r="D676" s="23" t="n"/>
      <c r="E676" s="23" t="n"/>
      <c r="F676" s="23" t="n"/>
      <c r="G676" s="23" t="n"/>
      <c r="H676" s="23" t="n"/>
      <c r="I676" s="23" t="n"/>
      <c r="J676" s="23" t="n"/>
      <c r="K676" s="23" t="n"/>
      <c r="L676" s="23" t="n"/>
      <c r="M676" s="23" t="n"/>
      <c r="N676" s="23" t="n"/>
      <c r="O676" s="23" t="n"/>
      <c r="P676" s="23" t="n"/>
      <c r="Q676" s="23" t="n"/>
      <c r="R676" s="23" t="n"/>
      <c r="S676" s="23" t="n"/>
      <c r="T676" s="23" t="n"/>
      <c r="U676" s="23" t="n"/>
      <c r="V676" s="23" t="n"/>
      <c r="W676" s="23" t="n"/>
      <c r="X676" s="23" t="n"/>
      <c r="Y676" s="23" t="n"/>
      <c r="Z676" s="23" t="n"/>
    </row>
    <row r="677" ht="15.75" customHeight="1" s="86">
      <c r="A677" s="23" t="n"/>
      <c r="B677" s="23" t="n"/>
      <c r="C677" s="23" t="n"/>
      <c r="D677" s="23" t="n"/>
      <c r="E677" s="23" t="n"/>
      <c r="F677" s="23" t="n"/>
      <c r="G677" s="23" t="n"/>
      <c r="H677" s="23" t="n"/>
      <c r="I677" s="23" t="n"/>
      <c r="J677" s="23" t="n"/>
      <c r="K677" s="23" t="n"/>
      <c r="L677" s="23" t="n"/>
      <c r="M677" s="23" t="n"/>
      <c r="N677" s="23" t="n"/>
      <c r="O677" s="23" t="n"/>
      <c r="P677" s="23" t="n"/>
      <c r="Q677" s="23" t="n"/>
      <c r="R677" s="23" t="n"/>
      <c r="S677" s="23" t="n"/>
      <c r="T677" s="23" t="n"/>
      <c r="U677" s="23" t="n"/>
      <c r="V677" s="23" t="n"/>
      <c r="W677" s="23" t="n"/>
      <c r="X677" s="23" t="n"/>
      <c r="Y677" s="23" t="n"/>
      <c r="Z677" s="23" t="n"/>
    </row>
    <row r="678" ht="15.75" customHeight="1" s="86">
      <c r="A678" s="23" t="n"/>
      <c r="B678" s="23" t="n"/>
      <c r="C678" s="23" t="n"/>
      <c r="D678" s="23" t="n"/>
      <c r="E678" s="23" t="n"/>
      <c r="F678" s="23" t="n"/>
      <c r="G678" s="23" t="n"/>
      <c r="H678" s="23" t="n"/>
      <c r="I678" s="23" t="n"/>
      <c r="J678" s="23" t="n"/>
      <c r="K678" s="23" t="n"/>
      <c r="L678" s="23" t="n"/>
      <c r="M678" s="23" t="n"/>
      <c r="N678" s="23" t="n"/>
      <c r="O678" s="23" t="n"/>
      <c r="P678" s="23" t="n"/>
      <c r="Q678" s="23" t="n"/>
      <c r="R678" s="23" t="n"/>
      <c r="S678" s="23" t="n"/>
      <c r="T678" s="23" t="n"/>
      <c r="U678" s="23" t="n"/>
      <c r="V678" s="23" t="n"/>
      <c r="W678" s="23" t="n"/>
      <c r="X678" s="23" t="n"/>
      <c r="Y678" s="23" t="n"/>
      <c r="Z678" s="23" t="n"/>
    </row>
    <row r="679" ht="15.75" customHeight="1" s="86">
      <c r="A679" s="23" t="n"/>
      <c r="B679" s="23" t="n"/>
      <c r="C679" s="23" t="n"/>
      <c r="D679" s="23" t="n"/>
      <c r="E679" s="23" t="n"/>
      <c r="F679" s="23" t="n"/>
      <c r="G679" s="23" t="n"/>
      <c r="H679" s="23" t="n"/>
      <c r="I679" s="23" t="n"/>
      <c r="J679" s="23" t="n"/>
      <c r="K679" s="23" t="n"/>
      <c r="L679" s="23" t="n"/>
      <c r="M679" s="23" t="n"/>
      <c r="N679" s="23" t="n"/>
      <c r="O679" s="23" t="n"/>
      <c r="P679" s="23" t="n"/>
      <c r="Q679" s="23" t="n"/>
      <c r="R679" s="23" t="n"/>
      <c r="S679" s="23" t="n"/>
      <c r="T679" s="23" t="n"/>
      <c r="U679" s="23" t="n"/>
      <c r="V679" s="23" t="n"/>
      <c r="W679" s="23" t="n"/>
      <c r="X679" s="23" t="n"/>
      <c r="Y679" s="23" t="n"/>
      <c r="Z679" s="23" t="n"/>
    </row>
    <row r="680" ht="15.75" customHeight="1" s="86">
      <c r="A680" s="23" t="n"/>
      <c r="B680" s="23" t="n"/>
      <c r="C680" s="23" t="n"/>
      <c r="D680" s="23" t="n"/>
      <c r="E680" s="23" t="n"/>
      <c r="F680" s="23" t="n"/>
      <c r="G680" s="23" t="n"/>
      <c r="H680" s="23" t="n"/>
      <c r="I680" s="23" t="n"/>
      <c r="J680" s="23" t="n"/>
      <c r="K680" s="23" t="n"/>
      <c r="L680" s="23" t="n"/>
      <c r="M680" s="23" t="n"/>
      <c r="N680" s="23" t="n"/>
      <c r="O680" s="23" t="n"/>
      <c r="P680" s="23" t="n"/>
      <c r="Q680" s="23" t="n"/>
      <c r="R680" s="23" t="n"/>
      <c r="S680" s="23" t="n"/>
      <c r="T680" s="23" t="n"/>
      <c r="U680" s="23" t="n"/>
      <c r="V680" s="23" t="n"/>
      <c r="W680" s="23" t="n"/>
      <c r="X680" s="23" t="n"/>
      <c r="Y680" s="23" t="n"/>
      <c r="Z680" s="23" t="n"/>
    </row>
    <row r="681" ht="15.75" customHeight="1" s="86">
      <c r="A681" s="23" t="n"/>
      <c r="B681" s="23" t="n"/>
      <c r="C681" s="23" t="n"/>
      <c r="D681" s="23" t="n"/>
      <c r="E681" s="23" t="n"/>
      <c r="F681" s="23" t="n"/>
      <c r="G681" s="23" t="n"/>
      <c r="H681" s="23" t="n"/>
      <c r="I681" s="23" t="n"/>
      <c r="J681" s="23" t="n"/>
      <c r="K681" s="23" t="n"/>
      <c r="L681" s="23" t="n"/>
      <c r="M681" s="23" t="n"/>
      <c r="N681" s="23" t="n"/>
      <c r="O681" s="23" t="n"/>
      <c r="P681" s="23" t="n"/>
      <c r="Q681" s="23" t="n"/>
      <c r="R681" s="23" t="n"/>
      <c r="S681" s="23" t="n"/>
      <c r="T681" s="23" t="n"/>
      <c r="U681" s="23" t="n"/>
      <c r="V681" s="23" t="n"/>
      <c r="W681" s="23" t="n"/>
      <c r="X681" s="23" t="n"/>
      <c r="Y681" s="23" t="n"/>
      <c r="Z681" s="23" t="n"/>
    </row>
    <row r="682" ht="15.75" customHeight="1" s="86">
      <c r="A682" s="23" t="n"/>
      <c r="B682" s="23" t="n"/>
      <c r="C682" s="23" t="n"/>
      <c r="D682" s="23" t="n"/>
      <c r="E682" s="23" t="n"/>
      <c r="F682" s="23" t="n"/>
      <c r="G682" s="23" t="n"/>
      <c r="H682" s="23" t="n"/>
      <c r="I682" s="23" t="n"/>
      <c r="J682" s="23" t="n"/>
      <c r="K682" s="23" t="n"/>
      <c r="L682" s="23" t="n"/>
      <c r="M682" s="23" t="n"/>
      <c r="N682" s="23" t="n"/>
      <c r="O682" s="23" t="n"/>
      <c r="P682" s="23" t="n"/>
      <c r="Q682" s="23" t="n"/>
      <c r="R682" s="23" t="n"/>
      <c r="S682" s="23" t="n"/>
      <c r="T682" s="23" t="n"/>
      <c r="U682" s="23" t="n"/>
      <c r="V682" s="23" t="n"/>
      <c r="W682" s="23" t="n"/>
      <c r="X682" s="23" t="n"/>
      <c r="Y682" s="23" t="n"/>
      <c r="Z682" s="23" t="n"/>
    </row>
    <row r="683" ht="15.75" customHeight="1" s="86">
      <c r="A683" s="23" t="n"/>
      <c r="B683" s="23" t="n"/>
      <c r="C683" s="23" t="n"/>
      <c r="D683" s="23" t="n"/>
      <c r="E683" s="23" t="n"/>
      <c r="F683" s="23" t="n"/>
      <c r="G683" s="23" t="n"/>
      <c r="H683" s="23" t="n"/>
      <c r="I683" s="23" t="n"/>
      <c r="J683" s="23" t="n"/>
      <c r="K683" s="23" t="n"/>
      <c r="L683" s="23" t="n"/>
      <c r="M683" s="23" t="n"/>
      <c r="N683" s="23" t="n"/>
      <c r="O683" s="23" t="n"/>
      <c r="P683" s="23" t="n"/>
      <c r="Q683" s="23" t="n"/>
      <c r="R683" s="23" t="n"/>
      <c r="S683" s="23" t="n"/>
      <c r="T683" s="23" t="n"/>
      <c r="U683" s="23" t="n"/>
      <c r="V683" s="23" t="n"/>
      <c r="W683" s="23" t="n"/>
      <c r="X683" s="23" t="n"/>
      <c r="Y683" s="23" t="n"/>
      <c r="Z683" s="23" t="n"/>
    </row>
    <row r="684" ht="15.75" customHeight="1" s="86">
      <c r="A684" s="23" t="n"/>
      <c r="B684" s="23" t="n"/>
      <c r="C684" s="23" t="n"/>
      <c r="D684" s="23" t="n"/>
      <c r="E684" s="23" t="n"/>
      <c r="F684" s="23" t="n"/>
      <c r="G684" s="23" t="n"/>
      <c r="H684" s="23" t="n"/>
      <c r="I684" s="23" t="n"/>
      <c r="J684" s="23" t="n"/>
      <c r="K684" s="23" t="n"/>
      <c r="L684" s="23" t="n"/>
      <c r="M684" s="23" t="n"/>
      <c r="N684" s="23" t="n"/>
      <c r="O684" s="23" t="n"/>
      <c r="P684" s="23" t="n"/>
      <c r="Q684" s="23" t="n"/>
      <c r="R684" s="23" t="n"/>
      <c r="S684" s="23" t="n"/>
      <c r="T684" s="23" t="n"/>
      <c r="U684" s="23" t="n"/>
      <c r="V684" s="23" t="n"/>
      <c r="W684" s="23" t="n"/>
      <c r="X684" s="23" t="n"/>
      <c r="Y684" s="23" t="n"/>
      <c r="Z684" s="23" t="n"/>
    </row>
    <row r="685" ht="15.75" customHeight="1" s="86">
      <c r="A685" s="23" t="n"/>
      <c r="B685" s="23" t="n"/>
      <c r="C685" s="23" t="n"/>
      <c r="D685" s="23" t="n"/>
      <c r="E685" s="23" t="n"/>
      <c r="F685" s="23" t="n"/>
      <c r="G685" s="23" t="n"/>
      <c r="H685" s="23" t="n"/>
      <c r="I685" s="23" t="n"/>
      <c r="J685" s="23" t="n"/>
      <c r="K685" s="23" t="n"/>
      <c r="L685" s="23" t="n"/>
      <c r="M685" s="23" t="n"/>
      <c r="N685" s="23" t="n"/>
      <c r="O685" s="23" t="n"/>
      <c r="P685" s="23" t="n"/>
      <c r="Q685" s="23" t="n"/>
      <c r="R685" s="23" t="n"/>
      <c r="S685" s="23" t="n"/>
      <c r="T685" s="23" t="n"/>
      <c r="U685" s="23" t="n"/>
      <c r="V685" s="23" t="n"/>
      <c r="W685" s="23" t="n"/>
      <c r="X685" s="23" t="n"/>
      <c r="Y685" s="23" t="n"/>
      <c r="Z685" s="23" t="n"/>
    </row>
    <row r="686" ht="15.75" customHeight="1" s="86">
      <c r="A686" s="23" t="n"/>
      <c r="B686" s="23" t="n"/>
      <c r="C686" s="23" t="n"/>
      <c r="D686" s="23" t="n"/>
      <c r="E686" s="23" t="n"/>
      <c r="F686" s="23" t="n"/>
      <c r="G686" s="23" t="n"/>
      <c r="H686" s="23" t="n"/>
      <c r="I686" s="23" t="n"/>
      <c r="J686" s="23" t="n"/>
      <c r="K686" s="23" t="n"/>
      <c r="L686" s="23" t="n"/>
      <c r="M686" s="23" t="n"/>
      <c r="N686" s="23" t="n"/>
      <c r="O686" s="23" t="n"/>
      <c r="P686" s="23" t="n"/>
      <c r="Q686" s="23" t="n"/>
      <c r="R686" s="23" t="n"/>
      <c r="S686" s="23" t="n"/>
      <c r="T686" s="23" t="n"/>
      <c r="U686" s="23" t="n"/>
      <c r="V686" s="23" t="n"/>
      <c r="W686" s="23" t="n"/>
      <c r="X686" s="23" t="n"/>
      <c r="Y686" s="23" t="n"/>
      <c r="Z686" s="23" t="n"/>
    </row>
    <row r="687" ht="15.75" customHeight="1" s="86">
      <c r="A687" s="23" t="n"/>
      <c r="B687" s="23" t="n"/>
      <c r="C687" s="23" t="n"/>
      <c r="D687" s="23" t="n"/>
      <c r="E687" s="23" t="n"/>
      <c r="F687" s="23" t="n"/>
      <c r="G687" s="23" t="n"/>
      <c r="H687" s="23" t="n"/>
      <c r="I687" s="23" t="n"/>
      <c r="J687" s="23" t="n"/>
      <c r="K687" s="23" t="n"/>
      <c r="L687" s="23" t="n"/>
      <c r="M687" s="23" t="n"/>
      <c r="N687" s="23" t="n"/>
      <c r="O687" s="23" t="n"/>
      <c r="P687" s="23" t="n"/>
      <c r="Q687" s="23" t="n"/>
      <c r="R687" s="23" t="n"/>
      <c r="S687" s="23" t="n"/>
      <c r="T687" s="23" t="n"/>
      <c r="U687" s="23" t="n"/>
      <c r="V687" s="23" t="n"/>
      <c r="W687" s="23" t="n"/>
      <c r="X687" s="23" t="n"/>
      <c r="Y687" s="23" t="n"/>
      <c r="Z687" s="23" t="n"/>
    </row>
    <row r="688" ht="15.75" customHeight="1" s="86">
      <c r="A688" s="23" t="n"/>
      <c r="B688" s="23" t="n"/>
      <c r="C688" s="23" t="n"/>
      <c r="D688" s="23" t="n"/>
      <c r="E688" s="23" t="n"/>
      <c r="F688" s="23" t="n"/>
      <c r="G688" s="23" t="n"/>
      <c r="H688" s="23" t="n"/>
      <c r="I688" s="23" t="n"/>
      <c r="J688" s="23" t="n"/>
      <c r="K688" s="23" t="n"/>
      <c r="L688" s="23" t="n"/>
      <c r="M688" s="23" t="n"/>
      <c r="N688" s="23" t="n"/>
      <c r="O688" s="23" t="n"/>
      <c r="P688" s="23" t="n"/>
      <c r="Q688" s="23" t="n"/>
      <c r="R688" s="23" t="n"/>
      <c r="S688" s="23" t="n"/>
      <c r="T688" s="23" t="n"/>
      <c r="U688" s="23" t="n"/>
      <c r="V688" s="23" t="n"/>
      <c r="W688" s="23" t="n"/>
      <c r="X688" s="23" t="n"/>
      <c r="Y688" s="23" t="n"/>
      <c r="Z688" s="23" t="n"/>
    </row>
    <row r="689" ht="15.75" customHeight="1" s="86">
      <c r="A689" s="23" t="n"/>
      <c r="B689" s="23" t="n"/>
      <c r="C689" s="23" t="n"/>
      <c r="D689" s="23" t="n"/>
      <c r="E689" s="23" t="n"/>
      <c r="F689" s="23" t="n"/>
      <c r="G689" s="23" t="n"/>
      <c r="H689" s="23" t="n"/>
      <c r="I689" s="23" t="n"/>
      <c r="J689" s="23" t="n"/>
      <c r="K689" s="23" t="n"/>
      <c r="L689" s="23" t="n"/>
      <c r="M689" s="23" t="n"/>
      <c r="N689" s="23" t="n"/>
      <c r="O689" s="23" t="n"/>
      <c r="P689" s="23" t="n"/>
      <c r="Q689" s="23" t="n"/>
      <c r="R689" s="23" t="n"/>
      <c r="S689" s="23" t="n"/>
      <c r="T689" s="23" t="n"/>
      <c r="U689" s="23" t="n"/>
      <c r="V689" s="23" t="n"/>
      <c r="W689" s="23" t="n"/>
      <c r="X689" s="23" t="n"/>
      <c r="Y689" s="23" t="n"/>
      <c r="Z689" s="23" t="n"/>
    </row>
    <row r="690" ht="15.75" customHeight="1" s="86">
      <c r="A690" s="23" t="n"/>
      <c r="B690" s="23" t="n"/>
      <c r="C690" s="23" t="n"/>
      <c r="D690" s="23" t="n"/>
      <c r="E690" s="23" t="n"/>
      <c r="F690" s="23" t="n"/>
      <c r="G690" s="23" t="n"/>
      <c r="H690" s="23" t="n"/>
      <c r="I690" s="23" t="n"/>
      <c r="J690" s="23" t="n"/>
      <c r="K690" s="23" t="n"/>
      <c r="L690" s="23" t="n"/>
      <c r="M690" s="23" t="n"/>
      <c r="N690" s="23" t="n"/>
      <c r="O690" s="23" t="n"/>
      <c r="P690" s="23" t="n"/>
      <c r="Q690" s="23" t="n"/>
      <c r="R690" s="23" t="n"/>
      <c r="S690" s="23" t="n"/>
      <c r="T690" s="23" t="n"/>
      <c r="U690" s="23" t="n"/>
      <c r="V690" s="23" t="n"/>
      <c r="W690" s="23" t="n"/>
      <c r="X690" s="23" t="n"/>
      <c r="Y690" s="23" t="n"/>
      <c r="Z690" s="23" t="n"/>
    </row>
    <row r="691" ht="15.75" customHeight="1" s="86">
      <c r="A691" s="23" t="n"/>
      <c r="B691" s="23" t="n"/>
      <c r="C691" s="23" t="n"/>
      <c r="D691" s="23" t="n"/>
      <c r="E691" s="23" t="n"/>
      <c r="F691" s="23" t="n"/>
      <c r="G691" s="23" t="n"/>
      <c r="H691" s="23" t="n"/>
      <c r="I691" s="23" t="n"/>
      <c r="J691" s="23" t="n"/>
      <c r="K691" s="23" t="n"/>
      <c r="L691" s="23" t="n"/>
      <c r="M691" s="23" t="n"/>
      <c r="N691" s="23" t="n"/>
      <c r="O691" s="23" t="n"/>
      <c r="P691" s="23" t="n"/>
      <c r="Q691" s="23" t="n"/>
      <c r="R691" s="23" t="n"/>
      <c r="S691" s="23" t="n"/>
      <c r="T691" s="23" t="n"/>
      <c r="U691" s="23" t="n"/>
      <c r="V691" s="23" t="n"/>
      <c r="W691" s="23" t="n"/>
      <c r="X691" s="23" t="n"/>
      <c r="Y691" s="23" t="n"/>
      <c r="Z691" s="23" t="n"/>
    </row>
    <row r="692" ht="15.75" customHeight="1" s="86">
      <c r="A692" s="23" t="n"/>
      <c r="B692" s="23" t="n"/>
      <c r="C692" s="23" t="n"/>
      <c r="D692" s="23" t="n"/>
      <c r="E692" s="23" t="n"/>
      <c r="F692" s="23" t="n"/>
      <c r="G692" s="23" t="n"/>
      <c r="H692" s="23" t="n"/>
      <c r="I692" s="23" t="n"/>
      <c r="J692" s="23" t="n"/>
      <c r="K692" s="23" t="n"/>
      <c r="L692" s="23" t="n"/>
      <c r="M692" s="23" t="n"/>
      <c r="N692" s="23" t="n"/>
      <c r="O692" s="23" t="n"/>
      <c r="P692" s="23" t="n"/>
      <c r="Q692" s="23" t="n"/>
      <c r="R692" s="23" t="n"/>
      <c r="S692" s="23" t="n"/>
      <c r="T692" s="23" t="n"/>
      <c r="U692" s="23" t="n"/>
      <c r="V692" s="23" t="n"/>
      <c r="W692" s="23" t="n"/>
      <c r="X692" s="23" t="n"/>
      <c r="Y692" s="23" t="n"/>
      <c r="Z692" s="23" t="n"/>
    </row>
    <row r="693" ht="15.75" customHeight="1" s="86">
      <c r="A693" s="23" t="n"/>
      <c r="B693" s="23" t="n"/>
      <c r="C693" s="23" t="n"/>
      <c r="D693" s="23" t="n"/>
      <c r="E693" s="23" t="n"/>
      <c r="F693" s="23" t="n"/>
      <c r="G693" s="23" t="n"/>
      <c r="H693" s="23" t="n"/>
      <c r="I693" s="23" t="n"/>
      <c r="J693" s="23" t="n"/>
      <c r="K693" s="23" t="n"/>
      <c r="L693" s="23" t="n"/>
      <c r="M693" s="23" t="n"/>
      <c r="N693" s="23" t="n"/>
      <c r="O693" s="23" t="n"/>
      <c r="P693" s="23" t="n"/>
      <c r="Q693" s="23" t="n"/>
      <c r="R693" s="23" t="n"/>
      <c r="S693" s="23" t="n"/>
      <c r="T693" s="23" t="n"/>
      <c r="U693" s="23" t="n"/>
      <c r="V693" s="23" t="n"/>
      <c r="W693" s="23" t="n"/>
      <c r="X693" s="23" t="n"/>
      <c r="Y693" s="23" t="n"/>
      <c r="Z693" s="23" t="n"/>
    </row>
    <row r="694" ht="15.75" customHeight="1" s="86">
      <c r="A694" s="23" t="n"/>
      <c r="B694" s="23" t="n"/>
      <c r="C694" s="23" t="n"/>
      <c r="D694" s="23" t="n"/>
      <c r="E694" s="23" t="n"/>
      <c r="F694" s="23" t="n"/>
      <c r="G694" s="23" t="n"/>
      <c r="H694" s="23" t="n"/>
      <c r="I694" s="23" t="n"/>
      <c r="J694" s="23" t="n"/>
      <c r="K694" s="23" t="n"/>
      <c r="L694" s="23" t="n"/>
      <c r="M694" s="23" t="n"/>
      <c r="N694" s="23" t="n"/>
      <c r="O694" s="23" t="n"/>
      <c r="P694" s="23" t="n"/>
      <c r="Q694" s="23" t="n"/>
      <c r="R694" s="23" t="n"/>
      <c r="S694" s="23" t="n"/>
      <c r="T694" s="23" t="n"/>
      <c r="U694" s="23" t="n"/>
      <c r="V694" s="23" t="n"/>
      <c r="W694" s="23" t="n"/>
      <c r="X694" s="23" t="n"/>
      <c r="Y694" s="23" t="n"/>
      <c r="Z694" s="23" t="n"/>
    </row>
    <row r="695" ht="15.75" customHeight="1" s="86">
      <c r="A695" s="23" t="n"/>
      <c r="B695" s="23" t="n"/>
      <c r="C695" s="23" t="n"/>
      <c r="D695" s="23" t="n"/>
      <c r="E695" s="23" t="n"/>
      <c r="F695" s="23" t="n"/>
      <c r="G695" s="23" t="n"/>
      <c r="H695" s="23" t="n"/>
      <c r="I695" s="23" t="n"/>
      <c r="J695" s="23" t="n"/>
      <c r="K695" s="23" t="n"/>
      <c r="L695" s="23" t="n"/>
      <c r="M695" s="23" t="n"/>
      <c r="N695" s="23" t="n"/>
      <c r="O695" s="23" t="n"/>
      <c r="P695" s="23" t="n"/>
      <c r="Q695" s="23" t="n"/>
      <c r="R695" s="23" t="n"/>
      <c r="S695" s="23" t="n"/>
      <c r="T695" s="23" t="n"/>
      <c r="U695" s="23" t="n"/>
      <c r="V695" s="23" t="n"/>
      <c r="W695" s="23" t="n"/>
      <c r="X695" s="23" t="n"/>
      <c r="Y695" s="23" t="n"/>
      <c r="Z695" s="23" t="n"/>
    </row>
    <row r="696" ht="15.75" customHeight="1" s="86">
      <c r="A696" s="23" t="n"/>
      <c r="B696" s="23" t="n"/>
      <c r="C696" s="23" t="n"/>
      <c r="D696" s="23" t="n"/>
      <c r="E696" s="23" t="n"/>
      <c r="F696" s="23" t="n"/>
      <c r="G696" s="23" t="n"/>
      <c r="H696" s="23" t="n"/>
      <c r="I696" s="23" t="n"/>
      <c r="J696" s="23" t="n"/>
      <c r="K696" s="23" t="n"/>
      <c r="L696" s="23" t="n"/>
      <c r="M696" s="23" t="n"/>
      <c r="N696" s="23" t="n"/>
      <c r="O696" s="23" t="n"/>
      <c r="P696" s="23" t="n"/>
      <c r="Q696" s="23" t="n"/>
      <c r="R696" s="23" t="n"/>
      <c r="S696" s="23" t="n"/>
      <c r="T696" s="23" t="n"/>
      <c r="U696" s="23" t="n"/>
      <c r="V696" s="23" t="n"/>
      <c r="W696" s="23" t="n"/>
      <c r="X696" s="23" t="n"/>
      <c r="Y696" s="23" t="n"/>
      <c r="Z696" s="23" t="n"/>
    </row>
    <row r="697" ht="15.75" customHeight="1" s="86">
      <c r="A697" s="23" t="n"/>
      <c r="B697" s="23" t="n"/>
      <c r="C697" s="23" t="n"/>
      <c r="D697" s="23" t="n"/>
      <c r="E697" s="23" t="n"/>
      <c r="F697" s="23" t="n"/>
      <c r="G697" s="23" t="n"/>
      <c r="H697" s="23" t="n"/>
      <c r="I697" s="23" t="n"/>
      <c r="J697" s="23" t="n"/>
      <c r="K697" s="23" t="n"/>
      <c r="L697" s="23" t="n"/>
      <c r="M697" s="23" t="n"/>
      <c r="N697" s="23" t="n"/>
      <c r="O697" s="23" t="n"/>
      <c r="P697" s="23" t="n"/>
      <c r="Q697" s="23" t="n"/>
      <c r="R697" s="23" t="n"/>
      <c r="S697" s="23" t="n"/>
      <c r="T697" s="23" t="n"/>
      <c r="U697" s="23" t="n"/>
      <c r="V697" s="23" t="n"/>
      <c r="W697" s="23" t="n"/>
      <c r="X697" s="23" t="n"/>
      <c r="Y697" s="23" t="n"/>
      <c r="Z697" s="23" t="n"/>
    </row>
    <row r="698" ht="15.75" customHeight="1" s="86">
      <c r="A698" s="23" t="n"/>
      <c r="B698" s="23" t="n"/>
      <c r="C698" s="23" t="n"/>
      <c r="D698" s="23" t="n"/>
      <c r="E698" s="23" t="n"/>
      <c r="F698" s="23" t="n"/>
      <c r="G698" s="23" t="n"/>
      <c r="H698" s="23" t="n"/>
      <c r="I698" s="23" t="n"/>
      <c r="J698" s="23" t="n"/>
      <c r="K698" s="23" t="n"/>
      <c r="L698" s="23" t="n"/>
      <c r="M698" s="23" t="n"/>
      <c r="N698" s="23" t="n"/>
      <c r="O698" s="23" t="n"/>
      <c r="P698" s="23" t="n"/>
      <c r="Q698" s="23" t="n"/>
      <c r="R698" s="23" t="n"/>
      <c r="S698" s="23" t="n"/>
      <c r="T698" s="23" t="n"/>
      <c r="U698" s="23" t="n"/>
      <c r="V698" s="23" t="n"/>
      <c r="W698" s="23" t="n"/>
      <c r="X698" s="23" t="n"/>
      <c r="Y698" s="23" t="n"/>
      <c r="Z698" s="23" t="n"/>
    </row>
    <row r="699" ht="15.75" customHeight="1" s="86">
      <c r="A699" s="23" t="n"/>
      <c r="B699" s="23" t="n"/>
      <c r="C699" s="23" t="n"/>
      <c r="D699" s="23" t="n"/>
      <c r="E699" s="23" t="n"/>
      <c r="F699" s="23" t="n"/>
      <c r="G699" s="23" t="n"/>
      <c r="H699" s="23" t="n"/>
      <c r="I699" s="23" t="n"/>
      <c r="J699" s="23" t="n"/>
      <c r="K699" s="23" t="n"/>
      <c r="L699" s="23" t="n"/>
      <c r="M699" s="23" t="n"/>
      <c r="N699" s="23" t="n"/>
      <c r="O699" s="23" t="n"/>
      <c r="P699" s="23" t="n"/>
      <c r="Q699" s="23" t="n"/>
      <c r="R699" s="23" t="n"/>
      <c r="S699" s="23" t="n"/>
      <c r="T699" s="23" t="n"/>
      <c r="U699" s="23" t="n"/>
      <c r="V699" s="23" t="n"/>
      <c r="W699" s="23" t="n"/>
      <c r="X699" s="23" t="n"/>
      <c r="Y699" s="23" t="n"/>
      <c r="Z699" s="23" t="n"/>
    </row>
    <row r="700" ht="15.75" customHeight="1" s="86">
      <c r="A700" s="23" t="n"/>
      <c r="B700" s="23" t="n"/>
      <c r="C700" s="23" t="n"/>
      <c r="D700" s="23" t="n"/>
      <c r="E700" s="23" t="n"/>
      <c r="F700" s="23" t="n"/>
      <c r="G700" s="23" t="n"/>
      <c r="H700" s="23" t="n"/>
      <c r="I700" s="23" t="n"/>
      <c r="J700" s="23" t="n"/>
      <c r="K700" s="23" t="n"/>
      <c r="L700" s="23" t="n"/>
      <c r="M700" s="23" t="n"/>
      <c r="N700" s="23" t="n"/>
      <c r="O700" s="23" t="n"/>
      <c r="P700" s="23" t="n"/>
      <c r="Q700" s="23" t="n"/>
      <c r="R700" s="23" t="n"/>
      <c r="S700" s="23" t="n"/>
      <c r="T700" s="23" t="n"/>
      <c r="U700" s="23" t="n"/>
      <c r="V700" s="23" t="n"/>
      <c r="W700" s="23" t="n"/>
      <c r="X700" s="23" t="n"/>
      <c r="Y700" s="23" t="n"/>
      <c r="Z700" s="23" t="n"/>
    </row>
    <row r="701" ht="15.75" customHeight="1" s="86">
      <c r="A701" s="23" t="n"/>
      <c r="B701" s="23" t="n"/>
      <c r="C701" s="23" t="n"/>
      <c r="D701" s="23" t="n"/>
      <c r="E701" s="23" t="n"/>
      <c r="F701" s="23" t="n"/>
      <c r="G701" s="23" t="n"/>
      <c r="H701" s="23" t="n"/>
      <c r="I701" s="23" t="n"/>
      <c r="J701" s="23" t="n"/>
      <c r="K701" s="23" t="n"/>
      <c r="L701" s="23" t="n"/>
      <c r="M701" s="23" t="n"/>
      <c r="N701" s="23" t="n"/>
      <c r="O701" s="23" t="n"/>
      <c r="P701" s="23" t="n"/>
      <c r="Q701" s="23" t="n"/>
      <c r="R701" s="23" t="n"/>
      <c r="S701" s="23" t="n"/>
      <c r="T701" s="23" t="n"/>
      <c r="U701" s="23" t="n"/>
      <c r="V701" s="23" t="n"/>
      <c r="W701" s="23" t="n"/>
      <c r="X701" s="23" t="n"/>
      <c r="Y701" s="23" t="n"/>
      <c r="Z701" s="23" t="n"/>
    </row>
    <row r="702" ht="15.75" customHeight="1" s="86">
      <c r="A702" s="23" t="n"/>
      <c r="B702" s="23" t="n"/>
      <c r="C702" s="23" t="n"/>
      <c r="D702" s="23" t="n"/>
      <c r="E702" s="23" t="n"/>
      <c r="F702" s="23" t="n"/>
      <c r="G702" s="23" t="n"/>
      <c r="H702" s="23" t="n"/>
      <c r="I702" s="23" t="n"/>
      <c r="J702" s="23" t="n"/>
      <c r="K702" s="23" t="n"/>
      <c r="L702" s="23" t="n"/>
      <c r="M702" s="23" t="n"/>
      <c r="N702" s="23" t="n"/>
      <c r="O702" s="23" t="n"/>
      <c r="P702" s="23" t="n"/>
      <c r="Q702" s="23" t="n"/>
      <c r="R702" s="23" t="n"/>
      <c r="S702" s="23" t="n"/>
      <c r="T702" s="23" t="n"/>
      <c r="U702" s="23" t="n"/>
      <c r="V702" s="23" t="n"/>
      <c r="W702" s="23" t="n"/>
      <c r="X702" s="23" t="n"/>
      <c r="Y702" s="23" t="n"/>
      <c r="Z702" s="23" t="n"/>
    </row>
    <row r="703" ht="15.75" customHeight="1" s="86">
      <c r="A703" s="23" t="n"/>
      <c r="B703" s="23" t="n"/>
      <c r="C703" s="23" t="n"/>
      <c r="D703" s="23" t="n"/>
      <c r="E703" s="23" t="n"/>
      <c r="F703" s="23" t="n"/>
      <c r="G703" s="23" t="n"/>
      <c r="H703" s="23" t="n"/>
      <c r="I703" s="23" t="n"/>
      <c r="J703" s="23" t="n"/>
      <c r="K703" s="23" t="n"/>
      <c r="L703" s="23" t="n"/>
      <c r="M703" s="23" t="n"/>
      <c r="N703" s="23" t="n"/>
      <c r="O703" s="23" t="n"/>
      <c r="P703" s="23" t="n"/>
      <c r="Q703" s="23" t="n"/>
      <c r="R703" s="23" t="n"/>
      <c r="S703" s="23" t="n"/>
      <c r="T703" s="23" t="n"/>
      <c r="U703" s="23" t="n"/>
      <c r="V703" s="23" t="n"/>
      <c r="W703" s="23" t="n"/>
      <c r="X703" s="23" t="n"/>
      <c r="Y703" s="23" t="n"/>
      <c r="Z703" s="23" t="n"/>
    </row>
    <row r="704" ht="15.75" customHeight="1" s="86">
      <c r="A704" s="23" t="n"/>
      <c r="B704" s="23" t="n"/>
      <c r="C704" s="23" t="n"/>
      <c r="D704" s="23" t="n"/>
      <c r="E704" s="23" t="n"/>
      <c r="F704" s="23" t="n"/>
      <c r="G704" s="23" t="n"/>
      <c r="H704" s="23" t="n"/>
      <c r="I704" s="23" t="n"/>
      <c r="J704" s="23" t="n"/>
      <c r="K704" s="23" t="n"/>
      <c r="L704" s="23" t="n"/>
      <c r="M704" s="23" t="n"/>
      <c r="N704" s="23" t="n"/>
      <c r="O704" s="23" t="n"/>
      <c r="P704" s="23" t="n"/>
      <c r="Q704" s="23" t="n"/>
      <c r="R704" s="23" t="n"/>
      <c r="S704" s="23" t="n"/>
      <c r="T704" s="23" t="n"/>
      <c r="U704" s="23" t="n"/>
      <c r="V704" s="23" t="n"/>
      <c r="W704" s="23" t="n"/>
      <c r="X704" s="23" t="n"/>
      <c r="Y704" s="23" t="n"/>
      <c r="Z704" s="23" t="n"/>
    </row>
    <row r="705" ht="15.75" customHeight="1" s="86">
      <c r="A705" s="23" t="n"/>
      <c r="B705" s="23" t="n"/>
      <c r="C705" s="23" t="n"/>
      <c r="D705" s="23" t="n"/>
      <c r="E705" s="23" t="n"/>
      <c r="F705" s="23" t="n"/>
      <c r="G705" s="23" t="n"/>
      <c r="H705" s="23" t="n"/>
      <c r="I705" s="23" t="n"/>
      <c r="J705" s="23" t="n"/>
      <c r="K705" s="23" t="n"/>
      <c r="L705" s="23" t="n"/>
      <c r="M705" s="23" t="n"/>
      <c r="N705" s="23" t="n"/>
      <c r="O705" s="23" t="n"/>
      <c r="P705" s="23" t="n"/>
      <c r="Q705" s="23" t="n"/>
      <c r="R705" s="23" t="n"/>
      <c r="S705" s="23" t="n"/>
      <c r="T705" s="23" t="n"/>
      <c r="U705" s="23" t="n"/>
      <c r="V705" s="23" t="n"/>
      <c r="W705" s="23" t="n"/>
      <c r="X705" s="23" t="n"/>
      <c r="Y705" s="23" t="n"/>
      <c r="Z705" s="23" t="n"/>
    </row>
    <row r="706" ht="15.75" customHeight="1" s="86">
      <c r="A706" s="23" t="n"/>
      <c r="B706" s="23" t="n"/>
      <c r="C706" s="23" t="n"/>
      <c r="D706" s="23" t="n"/>
      <c r="E706" s="23" t="n"/>
      <c r="F706" s="23" t="n"/>
      <c r="G706" s="23" t="n"/>
      <c r="H706" s="23" t="n"/>
      <c r="I706" s="23" t="n"/>
      <c r="J706" s="23" t="n"/>
      <c r="K706" s="23" t="n"/>
      <c r="L706" s="23" t="n"/>
      <c r="M706" s="23" t="n"/>
      <c r="N706" s="23" t="n"/>
      <c r="O706" s="23" t="n"/>
      <c r="P706" s="23" t="n"/>
      <c r="Q706" s="23" t="n"/>
      <c r="R706" s="23" t="n"/>
      <c r="S706" s="23" t="n"/>
      <c r="T706" s="23" t="n"/>
      <c r="U706" s="23" t="n"/>
      <c r="V706" s="23" t="n"/>
      <c r="W706" s="23" t="n"/>
      <c r="X706" s="23" t="n"/>
      <c r="Y706" s="23" t="n"/>
      <c r="Z706" s="23" t="n"/>
    </row>
    <row r="707" ht="15.75" customHeight="1" s="86">
      <c r="A707" s="23" t="n"/>
      <c r="B707" s="23" t="n"/>
      <c r="C707" s="23" t="n"/>
      <c r="D707" s="23" t="n"/>
      <c r="E707" s="23" t="n"/>
      <c r="F707" s="23" t="n"/>
      <c r="G707" s="23" t="n"/>
      <c r="H707" s="23" t="n"/>
      <c r="I707" s="23" t="n"/>
      <c r="J707" s="23" t="n"/>
      <c r="K707" s="23" t="n"/>
      <c r="L707" s="23" t="n"/>
      <c r="M707" s="23" t="n"/>
      <c r="N707" s="23" t="n"/>
      <c r="O707" s="23" t="n"/>
      <c r="P707" s="23" t="n"/>
      <c r="Q707" s="23" t="n"/>
      <c r="R707" s="23" t="n"/>
      <c r="S707" s="23" t="n"/>
      <c r="T707" s="23" t="n"/>
      <c r="U707" s="23" t="n"/>
      <c r="V707" s="23" t="n"/>
      <c r="W707" s="23" t="n"/>
      <c r="X707" s="23" t="n"/>
      <c r="Y707" s="23" t="n"/>
      <c r="Z707" s="23" t="n"/>
    </row>
    <row r="708" ht="15.75" customHeight="1" s="86">
      <c r="A708" s="23" t="n"/>
      <c r="B708" s="23" t="n"/>
      <c r="C708" s="23" t="n"/>
      <c r="D708" s="23" t="n"/>
      <c r="E708" s="23" t="n"/>
      <c r="F708" s="23" t="n"/>
      <c r="G708" s="23" t="n"/>
      <c r="H708" s="23" t="n"/>
      <c r="I708" s="23" t="n"/>
      <c r="J708" s="23" t="n"/>
      <c r="K708" s="23" t="n"/>
      <c r="L708" s="23" t="n"/>
      <c r="M708" s="23" t="n"/>
      <c r="N708" s="23" t="n"/>
      <c r="O708" s="23" t="n"/>
      <c r="P708" s="23" t="n"/>
      <c r="Q708" s="23" t="n"/>
      <c r="R708" s="23" t="n"/>
      <c r="S708" s="23" t="n"/>
      <c r="T708" s="23" t="n"/>
      <c r="U708" s="23" t="n"/>
      <c r="V708" s="23" t="n"/>
      <c r="W708" s="23" t="n"/>
      <c r="X708" s="23" t="n"/>
      <c r="Y708" s="23" t="n"/>
      <c r="Z708" s="23" t="n"/>
    </row>
    <row r="709" ht="15.75" customHeight="1" s="86">
      <c r="A709" s="23" t="n"/>
      <c r="B709" s="23" t="n"/>
      <c r="C709" s="23" t="n"/>
      <c r="D709" s="23" t="n"/>
      <c r="E709" s="23" t="n"/>
      <c r="F709" s="23" t="n"/>
      <c r="G709" s="23" t="n"/>
      <c r="H709" s="23" t="n"/>
      <c r="I709" s="23" t="n"/>
      <c r="J709" s="23" t="n"/>
      <c r="K709" s="23" t="n"/>
      <c r="L709" s="23" t="n"/>
      <c r="M709" s="23" t="n"/>
      <c r="N709" s="23" t="n"/>
      <c r="O709" s="23" t="n"/>
      <c r="P709" s="23" t="n"/>
      <c r="Q709" s="23" t="n"/>
      <c r="R709" s="23" t="n"/>
      <c r="S709" s="23" t="n"/>
      <c r="T709" s="23" t="n"/>
      <c r="U709" s="23" t="n"/>
      <c r="V709" s="23" t="n"/>
      <c r="W709" s="23" t="n"/>
      <c r="X709" s="23" t="n"/>
      <c r="Y709" s="23" t="n"/>
      <c r="Z709" s="23" t="n"/>
    </row>
    <row r="710" ht="15.75" customHeight="1" s="86">
      <c r="A710" s="23" t="n"/>
      <c r="B710" s="23" t="n"/>
      <c r="C710" s="23" t="n"/>
      <c r="D710" s="23" t="n"/>
      <c r="E710" s="23" t="n"/>
      <c r="F710" s="23" t="n"/>
      <c r="G710" s="23" t="n"/>
      <c r="H710" s="23" t="n"/>
      <c r="I710" s="23" t="n"/>
      <c r="J710" s="23" t="n"/>
      <c r="K710" s="23" t="n"/>
      <c r="L710" s="23" t="n"/>
      <c r="M710" s="23" t="n"/>
      <c r="N710" s="23" t="n"/>
      <c r="O710" s="23" t="n"/>
      <c r="P710" s="23" t="n"/>
      <c r="Q710" s="23" t="n"/>
      <c r="R710" s="23" t="n"/>
      <c r="S710" s="23" t="n"/>
      <c r="T710" s="23" t="n"/>
      <c r="U710" s="23" t="n"/>
      <c r="V710" s="23" t="n"/>
      <c r="W710" s="23" t="n"/>
      <c r="X710" s="23" t="n"/>
      <c r="Y710" s="23" t="n"/>
      <c r="Z710" s="23" t="n"/>
    </row>
    <row r="711" ht="15.75" customHeight="1" s="86">
      <c r="A711" s="23" t="n"/>
      <c r="B711" s="23" t="n"/>
      <c r="C711" s="23" t="n"/>
      <c r="D711" s="23" t="n"/>
      <c r="E711" s="23" t="n"/>
      <c r="F711" s="23" t="n"/>
      <c r="G711" s="23" t="n"/>
      <c r="H711" s="23" t="n"/>
      <c r="I711" s="23" t="n"/>
      <c r="J711" s="23" t="n"/>
      <c r="K711" s="23" t="n"/>
      <c r="L711" s="23" t="n"/>
      <c r="M711" s="23" t="n"/>
      <c r="N711" s="23" t="n"/>
      <c r="O711" s="23" t="n"/>
      <c r="P711" s="23" t="n"/>
      <c r="Q711" s="23" t="n"/>
      <c r="R711" s="23" t="n"/>
      <c r="S711" s="23" t="n"/>
      <c r="T711" s="23" t="n"/>
      <c r="U711" s="23" t="n"/>
      <c r="V711" s="23" t="n"/>
      <c r="W711" s="23" t="n"/>
      <c r="X711" s="23" t="n"/>
      <c r="Y711" s="23" t="n"/>
      <c r="Z711" s="23" t="n"/>
    </row>
    <row r="712" ht="15.75" customHeight="1" s="86">
      <c r="A712" s="23" t="n"/>
      <c r="B712" s="23" t="n"/>
      <c r="C712" s="23" t="n"/>
      <c r="D712" s="23" t="n"/>
      <c r="E712" s="23" t="n"/>
      <c r="F712" s="23" t="n"/>
      <c r="G712" s="23" t="n"/>
      <c r="H712" s="23" t="n"/>
      <c r="I712" s="23" t="n"/>
      <c r="J712" s="23" t="n"/>
      <c r="K712" s="23" t="n"/>
      <c r="L712" s="23" t="n"/>
      <c r="M712" s="23" t="n"/>
      <c r="N712" s="23" t="n"/>
      <c r="O712" s="23" t="n"/>
      <c r="P712" s="23" t="n"/>
      <c r="Q712" s="23" t="n"/>
      <c r="R712" s="23" t="n"/>
      <c r="S712" s="23" t="n"/>
      <c r="T712" s="23" t="n"/>
      <c r="U712" s="23" t="n"/>
      <c r="V712" s="23" t="n"/>
      <c r="W712" s="23" t="n"/>
      <c r="X712" s="23" t="n"/>
      <c r="Y712" s="23" t="n"/>
      <c r="Z712" s="23" t="n"/>
    </row>
    <row r="713" ht="15.75" customHeight="1" s="86">
      <c r="A713" s="23" t="n"/>
      <c r="B713" s="23" t="n"/>
      <c r="C713" s="23" t="n"/>
      <c r="D713" s="23" t="n"/>
      <c r="E713" s="23" t="n"/>
      <c r="F713" s="23" t="n"/>
      <c r="G713" s="23" t="n"/>
      <c r="H713" s="23" t="n"/>
      <c r="I713" s="23" t="n"/>
      <c r="J713" s="23" t="n"/>
      <c r="K713" s="23" t="n"/>
      <c r="L713" s="23" t="n"/>
      <c r="M713" s="23" t="n"/>
      <c r="N713" s="23" t="n"/>
      <c r="O713" s="23" t="n"/>
      <c r="P713" s="23" t="n"/>
      <c r="Q713" s="23" t="n"/>
      <c r="R713" s="23" t="n"/>
      <c r="S713" s="23" t="n"/>
      <c r="T713" s="23" t="n"/>
      <c r="U713" s="23" t="n"/>
      <c r="V713" s="23" t="n"/>
      <c r="W713" s="23" t="n"/>
      <c r="X713" s="23" t="n"/>
      <c r="Y713" s="23" t="n"/>
      <c r="Z713" s="23" t="n"/>
    </row>
    <row r="714" ht="15.75" customHeight="1" s="86">
      <c r="A714" s="23" t="n"/>
      <c r="B714" s="23" t="n"/>
      <c r="C714" s="23" t="n"/>
      <c r="D714" s="23" t="n"/>
      <c r="E714" s="23" t="n"/>
      <c r="F714" s="23" t="n"/>
      <c r="G714" s="23" t="n"/>
      <c r="H714" s="23" t="n"/>
      <c r="I714" s="23" t="n"/>
      <c r="J714" s="23" t="n"/>
      <c r="K714" s="23" t="n"/>
      <c r="L714" s="23" t="n"/>
      <c r="M714" s="23" t="n"/>
      <c r="N714" s="23" t="n"/>
      <c r="O714" s="23" t="n"/>
      <c r="P714" s="23" t="n"/>
      <c r="Q714" s="23" t="n"/>
      <c r="R714" s="23" t="n"/>
      <c r="S714" s="23" t="n"/>
      <c r="T714" s="23" t="n"/>
      <c r="U714" s="23" t="n"/>
      <c r="V714" s="23" t="n"/>
      <c r="W714" s="23" t="n"/>
      <c r="X714" s="23" t="n"/>
      <c r="Y714" s="23" t="n"/>
      <c r="Z714" s="23" t="n"/>
    </row>
    <row r="715" ht="15.75" customHeight="1" s="86">
      <c r="A715" s="23" t="n"/>
      <c r="B715" s="23" t="n"/>
      <c r="C715" s="23" t="n"/>
      <c r="D715" s="23" t="n"/>
      <c r="E715" s="23" t="n"/>
      <c r="F715" s="23" t="n"/>
      <c r="G715" s="23" t="n"/>
      <c r="H715" s="23" t="n"/>
      <c r="I715" s="23" t="n"/>
      <c r="J715" s="23" t="n"/>
      <c r="K715" s="23" t="n"/>
      <c r="L715" s="23" t="n"/>
      <c r="M715" s="23" t="n"/>
      <c r="N715" s="23" t="n"/>
      <c r="O715" s="23" t="n"/>
      <c r="P715" s="23" t="n"/>
      <c r="Q715" s="23" t="n"/>
      <c r="R715" s="23" t="n"/>
      <c r="S715" s="23" t="n"/>
      <c r="T715" s="23" t="n"/>
      <c r="U715" s="23" t="n"/>
      <c r="V715" s="23" t="n"/>
      <c r="W715" s="23" t="n"/>
      <c r="X715" s="23" t="n"/>
      <c r="Y715" s="23" t="n"/>
      <c r="Z715" s="23" t="n"/>
    </row>
    <row r="716" ht="15.75" customHeight="1" s="86">
      <c r="A716" s="23" t="n"/>
      <c r="B716" s="23" t="n"/>
      <c r="C716" s="23" t="n"/>
      <c r="D716" s="23" t="n"/>
      <c r="E716" s="23" t="n"/>
      <c r="F716" s="23" t="n"/>
      <c r="G716" s="23" t="n"/>
      <c r="H716" s="23" t="n"/>
      <c r="I716" s="23" t="n"/>
      <c r="J716" s="23" t="n"/>
      <c r="K716" s="23" t="n"/>
      <c r="L716" s="23" t="n"/>
      <c r="M716" s="23" t="n"/>
      <c r="N716" s="23" t="n"/>
      <c r="O716" s="23" t="n"/>
      <c r="P716" s="23" t="n"/>
      <c r="Q716" s="23" t="n"/>
      <c r="R716" s="23" t="n"/>
      <c r="S716" s="23" t="n"/>
      <c r="T716" s="23" t="n"/>
      <c r="U716" s="23" t="n"/>
      <c r="V716" s="23" t="n"/>
      <c r="W716" s="23" t="n"/>
      <c r="X716" s="23" t="n"/>
      <c r="Y716" s="23" t="n"/>
      <c r="Z716" s="23" t="n"/>
    </row>
    <row r="717" ht="15.75" customHeight="1" s="86">
      <c r="A717" s="23" t="n"/>
      <c r="B717" s="23" t="n"/>
      <c r="C717" s="23" t="n"/>
      <c r="D717" s="23" t="n"/>
      <c r="E717" s="23" t="n"/>
      <c r="F717" s="23" t="n"/>
      <c r="G717" s="23" t="n"/>
      <c r="H717" s="23" t="n"/>
      <c r="I717" s="23" t="n"/>
      <c r="J717" s="23" t="n"/>
      <c r="K717" s="23" t="n"/>
      <c r="L717" s="23" t="n"/>
      <c r="M717" s="23" t="n"/>
      <c r="N717" s="23" t="n"/>
      <c r="O717" s="23" t="n"/>
      <c r="P717" s="23" t="n"/>
      <c r="Q717" s="23" t="n"/>
      <c r="R717" s="23" t="n"/>
      <c r="S717" s="23" t="n"/>
      <c r="T717" s="23" t="n"/>
      <c r="U717" s="23" t="n"/>
      <c r="V717" s="23" t="n"/>
      <c r="W717" s="23" t="n"/>
      <c r="X717" s="23" t="n"/>
      <c r="Y717" s="23" t="n"/>
      <c r="Z717" s="23" t="n"/>
    </row>
    <row r="718" ht="15.75" customHeight="1" s="86">
      <c r="A718" s="23" t="n"/>
      <c r="B718" s="23" t="n"/>
      <c r="C718" s="23" t="n"/>
      <c r="D718" s="23" t="n"/>
      <c r="E718" s="23" t="n"/>
      <c r="F718" s="23" t="n"/>
      <c r="G718" s="23" t="n"/>
      <c r="H718" s="23" t="n"/>
      <c r="I718" s="23" t="n"/>
      <c r="J718" s="23" t="n"/>
      <c r="K718" s="23" t="n"/>
      <c r="L718" s="23" t="n"/>
      <c r="M718" s="23" t="n"/>
      <c r="N718" s="23" t="n"/>
      <c r="O718" s="23" t="n"/>
      <c r="P718" s="23" t="n"/>
      <c r="Q718" s="23" t="n"/>
      <c r="R718" s="23" t="n"/>
      <c r="S718" s="23" t="n"/>
      <c r="T718" s="23" t="n"/>
      <c r="U718" s="23" t="n"/>
      <c r="V718" s="23" t="n"/>
      <c r="W718" s="23" t="n"/>
      <c r="X718" s="23" t="n"/>
      <c r="Y718" s="23" t="n"/>
      <c r="Z718" s="23" t="n"/>
    </row>
    <row r="719" ht="15.75" customHeight="1" s="86">
      <c r="A719" s="23" t="n"/>
      <c r="B719" s="23" t="n"/>
      <c r="C719" s="23" t="n"/>
      <c r="D719" s="23" t="n"/>
      <c r="E719" s="23" t="n"/>
      <c r="F719" s="23" t="n"/>
      <c r="G719" s="23" t="n"/>
      <c r="H719" s="23" t="n"/>
      <c r="I719" s="23" t="n"/>
      <c r="J719" s="23" t="n"/>
      <c r="K719" s="23" t="n"/>
      <c r="L719" s="23" t="n"/>
      <c r="M719" s="23" t="n"/>
      <c r="N719" s="23" t="n"/>
      <c r="O719" s="23" t="n"/>
      <c r="P719" s="23" t="n"/>
      <c r="Q719" s="23" t="n"/>
      <c r="R719" s="23" t="n"/>
      <c r="S719" s="23" t="n"/>
      <c r="T719" s="23" t="n"/>
      <c r="U719" s="23" t="n"/>
      <c r="V719" s="23" t="n"/>
      <c r="W719" s="23" t="n"/>
      <c r="X719" s="23" t="n"/>
      <c r="Y719" s="23" t="n"/>
      <c r="Z719" s="23" t="n"/>
    </row>
    <row r="720" ht="15.75" customHeight="1" s="86">
      <c r="A720" s="23" t="n"/>
      <c r="B720" s="23" t="n"/>
      <c r="C720" s="23" t="n"/>
      <c r="D720" s="23" t="n"/>
      <c r="E720" s="23" t="n"/>
      <c r="F720" s="23" t="n"/>
      <c r="G720" s="23" t="n"/>
      <c r="H720" s="23" t="n"/>
      <c r="I720" s="23" t="n"/>
      <c r="J720" s="23" t="n"/>
      <c r="K720" s="23" t="n"/>
      <c r="L720" s="23" t="n"/>
      <c r="M720" s="23" t="n"/>
      <c r="N720" s="23" t="n"/>
      <c r="O720" s="23" t="n"/>
      <c r="P720" s="23" t="n"/>
      <c r="Q720" s="23" t="n"/>
      <c r="R720" s="23" t="n"/>
      <c r="S720" s="23" t="n"/>
      <c r="T720" s="23" t="n"/>
      <c r="U720" s="23" t="n"/>
      <c r="V720" s="23" t="n"/>
      <c r="W720" s="23" t="n"/>
      <c r="X720" s="23" t="n"/>
      <c r="Y720" s="23" t="n"/>
      <c r="Z720" s="23" t="n"/>
    </row>
    <row r="721" ht="15.75" customHeight="1" s="86">
      <c r="A721" s="23" t="n"/>
      <c r="B721" s="23" t="n"/>
      <c r="C721" s="23" t="n"/>
      <c r="D721" s="23" t="n"/>
      <c r="E721" s="23" t="n"/>
      <c r="F721" s="23" t="n"/>
      <c r="G721" s="23" t="n"/>
      <c r="H721" s="23" t="n"/>
      <c r="I721" s="23" t="n"/>
      <c r="J721" s="23" t="n"/>
      <c r="K721" s="23" t="n"/>
      <c r="L721" s="23" t="n"/>
      <c r="M721" s="23" t="n"/>
      <c r="N721" s="23" t="n"/>
      <c r="O721" s="23" t="n"/>
      <c r="P721" s="23" t="n"/>
      <c r="Q721" s="23" t="n"/>
      <c r="R721" s="23" t="n"/>
      <c r="S721" s="23" t="n"/>
      <c r="T721" s="23" t="n"/>
      <c r="U721" s="23" t="n"/>
      <c r="V721" s="23" t="n"/>
      <c r="W721" s="23" t="n"/>
      <c r="X721" s="23" t="n"/>
      <c r="Y721" s="23" t="n"/>
      <c r="Z721" s="23" t="n"/>
    </row>
    <row r="722" ht="15.75" customHeight="1" s="86">
      <c r="A722" s="23" t="n"/>
      <c r="B722" s="23" t="n"/>
      <c r="C722" s="23" t="n"/>
      <c r="D722" s="23" t="n"/>
      <c r="E722" s="23" t="n"/>
      <c r="F722" s="23" t="n"/>
      <c r="G722" s="23" t="n"/>
      <c r="H722" s="23" t="n"/>
      <c r="I722" s="23" t="n"/>
      <c r="J722" s="23" t="n"/>
      <c r="K722" s="23" t="n"/>
      <c r="L722" s="23" t="n"/>
      <c r="M722" s="23" t="n"/>
      <c r="N722" s="23" t="n"/>
      <c r="O722" s="23" t="n"/>
      <c r="P722" s="23" t="n"/>
      <c r="Q722" s="23" t="n"/>
      <c r="R722" s="23" t="n"/>
      <c r="S722" s="23" t="n"/>
      <c r="T722" s="23" t="n"/>
      <c r="U722" s="23" t="n"/>
      <c r="V722" s="23" t="n"/>
      <c r="W722" s="23" t="n"/>
      <c r="X722" s="23" t="n"/>
      <c r="Y722" s="23" t="n"/>
      <c r="Z722" s="23" t="n"/>
    </row>
    <row r="723" ht="15.75" customHeight="1" s="86">
      <c r="A723" s="23" t="n"/>
      <c r="B723" s="23" t="n"/>
      <c r="C723" s="23" t="n"/>
      <c r="D723" s="23" t="n"/>
      <c r="E723" s="23" t="n"/>
      <c r="F723" s="23" t="n"/>
      <c r="G723" s="23" t="n"/>
      <c r="H723" s="23" t="n"/>
      <c r="I723" s="23" t="n"/>
      <c r="J723" s="23" t="n"/>
      <c r="K723" s="23" t="n"/>
      <c r="L723" s="23" t="n"/>
      <c r="M723" s="23" t="n"/>
      <c r="N723" s="23" t="n"/>
      <c r="O723" s="23" t="n"/>
      <c r="P723" s="23" t="n"/>
      <c r="Q723" s="23" t="n"/>
      <c r="R723" s="23" t="n"/>
      <c r="S723" s="23" t="n"/>
      <c r="T723" s="23" t="n"/>
      <c r="U723" s="23" t="n"/>
      <c r="V723" s="23" t="n"/>
      <c r="W723" s="23" t="n"/>
      <c r="X723" s="23" t="n"/>
      <c r="Y723" s="23" t="n"/>
      <c r="Z723" s="23" t="n"/>
    </row>
    <row r="724" ht="15.75" customHeight="1" s="86">
      <c r="A724" s="23" t="n"/>
      <c r="B724" s="23" t="n"/>
      <c r="C724" s="23" t="n"/>
      <c r="D724" s="23" t="n"/>
      <c r="E724" s="23" t="n"/>
      <c r="F724" s="23" t="n"/>
      <c r="G724" s="23" t="n"/>
      <c r="H724" s="23" t="n"/>
      <c r="I724" s="23" t="n"/>
      <c r="J724" s="23" t="n"/>
      <c r="K724" s="23" t="n"/>
      <c r="L724" s="23" t="n"/>
      <c r="M724" s="23" t="n"/>
      <c r="N724" s="23" t="n"/>
      <c r="O724" s="23" t="n"/>
      <c r="P724" s="23" t="n"/>
      <c r="Q724" s="23" t="n"/>
      <c r="R724" s="23" t="n"/>
      <c r="S724" s="23" t="n"/>
      <c r="T724" s="23" t="n"/>
      <c r="U724" s="23" t="n"/>
      <c r="V724" s="23" t="n"/>
      <c r="W724" s="23" t="n"/>
      <c r="X724" s="23" t="n"/>
      <c r="Y724" s="23" t="n"/>
      <c r="Z724" s="23" t="n"/>
    </row>
    <row r="725" ht="15.75" customHeight="1" s="86">
      <c r="A725" s="23" t="n"/>
      <c r="B725" s="23" t="n"/>
      <c r="C725" s="23" t="n"/>
      <c r="D725" s="23" t="n"/>
      <c r="E725" s="23" t="n"/>
      <c r="F725" s="23" t="n"/>
      <c r="G725" s="23" t="n"/>
      <c r="H725" s="23" t="n"/>
      <c r="I725" s="23" t="n"/>
      <c r="J725" s="23" t="n"/>
      <c r="K725" s="23" t="n"/>
      <c r="L725" s="23" t="n"/>
      <c r="M725" s="23" t="n"/>
      <c r="N725" s="23" t="n"/>
      <c r="O725" s="23" t="n"/>
      <c r="P725" s="23" t="n"/>
      <c r="Q725" s="23" t="n"/>
      <c r="R725" s="23" t="n"/>
      <c r="S725" s="23" t="n"/>
      <c r="T725" s="23" t="n"/>
      <c r="U725" s="23" t="n"/>
      <c r="V725" s="23" t="n"/>
      <c r="W725" s="23" t="n"/>
      <c r="X725" s="23" t="n"/>
      <c r="Y725" s="23" t="n"/>
      <c r="Z725" s="23" t="n"/>
    </row>
    <row r="726" ht="15.75" customHeight="1" s="86">
      <c r="A726" s="23" t="n"/>
      <c r="B726" s="23" t="n"/>
      <c r="C726" s="23" t="n"/>
      <c r="D726" s="23" t="n"/>
      <c r="E726" s="23" t="n"/>
      <c r="F726" s="23" t="n"/>
      <c r="G726" s="23" t="n"/>
      <c r="H726" s="23" t="n"/>
      <c r="I726" s="23" t="n"/>
      <c r="J726" s="23" t="n"/>
      <c r="K726" s="23" t="n"/>
      <c r="L726" s="23" t="n"/>
      <c r="M726" s="23" t="n"/>
      <c r="N726" s="23" t="n"/>
      <c r="O726" s="23" t="n"/>
      <c r="P726" s="23" t="n"/>
      <c r="Q726" s="23" t="n"/>
      <c r="R726" s="23" t="n"/>
      <c r="S726" s="23" t="n"/>
      <c r="T726" s="23" t="n"/>
      <c r="U726" s="23" t="n"/>
      <c r="V726" s="23" t="n"/>
      <c r="W726" s="23" t="n"/>
      <c r="X726" s="23" t="n"/>
      <c r="Y726" s="23" t="n"/>
      <c r="Z726" s="23" t="n"/>
    </row>
    <row r="727" ht="15.75" customHeight="1" s="86">
      <c r="A727" s="23" t="n"/>
      <c r="B727" s="23" t="n"/>
      <c r="C727" s="23" t="n"/>
      <c r="D727" s="23" t="n"/>
      <c r="E727" s="23" t="n"/>
      <c r="F727" s="23" t="n"/>
      <c r="G727" s="23" t="n"/>
      <c r="H727" s="23" t="n"/>
      <c r="I727" s="23" t="n"/>
      <c r="J727" s="23" t="n"/>
      <c r="K727" s="23" t="n"/>
      <c r="L727" s="23" t="n"/>
      <c r="M727" s="23" t="n"/>
      <c r="N727" s="23" t="n"/>
      <c r="O727" s="23" t="n"/>
      <c r="P727" s="23" t="n"/>
      <c r="Q727" s="23" t="n"/>
      <c r="R727" s="23" t="n"/>
      <c r="S727" s="23" t="n"/>
      <c r="T727" s="23" t="n"/>
      <c r="U727" s="23" t="n"/>
      <c r="V727" s="23" t="n"/>
      <c r="W727" s="23" t="n"/>
      <c r="X727" s="23" t="n"/>
      <c r="Y727" s="23" t="n"/>
      <c r="Z727" s="23" t="n"/>
    </row>
    <row r="728" ht="15.75" customHeight="1" s="86">
      <c r="A728" s="23" t="n"/>
      <c r="B728" s="23" t="n"/>
      <c r="C728" s="23" t="n"/>
      <c r="D728" s="23" t="n"/>
      <c r="E728" s="23" t="n"/>
      <c r="F728" s="23" t="n"/>
      <c r="G728" s="23" t="n"/>
      <c r="H728" s="23" t="n"/>
      <c r="I728" s="23" t="n"/>
      <c r="J728" s="23" t="n"/>
      <c r="K728" s="23" t="n"/>
      <c r="L728" s="23" t="n"/>
      <c r="M728" s="23" t="n"/>
      <c r="N728" s="23" t="n"/>
      <c r="O728" s="23" t="n"/>
      <c r="P728" s="23" t="n"/>
      <c r="Q728" s="23" t="n"/>
      <c r="R728" s="23" t="n"/>
      <c r="S728" s="23" t="n"/>
      <c r="T728" s="23" t="n"/>
      <c r="U728" s="23" t="n"/>
      <c r="V728" s="23" t="n"/>
      <c r="W728" s="23" t="n"/>
      <c r="X728" s="23" t="n"/>
      <c r="Y728" s="23" t="n"/>
      <c r="Z728" s="23" t="n"/>
    </row>
    <row r="729" ht="15.75" customHeight="1" s="86">
      <c r="A729" s="23" t="n"/>
      <c r="B729" s="23" t="n"/>
      <c r="C729" s="23" t="n"/>
      <c r="D729" s="23" t="n"/>
      <c r="E729" s="23" t="n"/>
      <c r="F729" s="23" t="n"/>
      <c r="G729" s="23" t="n"/>
      <c r="H729" s="23" t="n"/>
      <c r="I729" s="23" t="n"/>
      <c r="J729" s="23" t="n"/>
      <c r="K729" s="23" t="n"/>
      <c r="L729" s="23" t="n"/>
      <c r="M729" s="23" t="n"/>
      <c r="N729" s="23" t="n"/>
      <c r="O729" s="23" t="n"/>
      <c r="P729" s="23" t="n"/>
      <c r="Q729" s="23" t="n"/>
      <c r="R729" s="23" t="n"/>
      <c r="S729" s="23" t="n"/>
      <c r="T729" s="23" t="n"/>
      <c r="U729" s="23" t="n"/>
      <c r="V729" s="23" t="n"/>
      <c r="W729" s="23" t="n"/>
      <c r="X729" s="23" t="n"/>
      <c r="Y729" s="23" t="n"/>
      <c r="Z729" s="23" t="n"/>
    </row>
    <row r="730" ht="15.75" customHeight="1" s="86">
      <c r="A730" s="23" t="n"/>
      <c r="B730" s="23" t="n"/>
      <c r="C730" s="23" t="n"/>
      <c r="D730" s="23" t="n"/>
      <c r="E730" s="23" t="n"/>
      <c r="F730" s="23" t="n"/>
      <c r="G730" s="23" t="n"/>
      <c r="H730" s="23" t="n"/>
      <c r="I730" s="23" t="n"/>
      <c r="J730" s="23" t="n"/>
      <c r="K730" s="23" t="n"/>
      <c r="L730" s="23" t="n"/>
      <c r="M730" s="23" t="n"/>
      <c r="N730" s="23" t="n"/>
      <c r="O730" s="23" t="n"/>
      <c r="P730" s="23" t="n"/>
      <c r="Q730" s="23" t="n"/>
      <c r="R730" s="23" t="n"/>
      <c r="S730" s="23" t="n"/>
      <c r="T730" s="23" t="n"/>
      <c r="U730" s="23" t="n"/>
      <c r="V730" s="23" t="n"/>
      <c r="W730" s="23" t="n"/>
      <c r="X730" s="23" t="n"/>
      <c r="Y730" s="23" t="n"/>
      <c r="Z730" s="23" t="n"/>
    </row>
    <row r="731" ht="15.75" customHeight="1" s="86">
      <c r="A731" s="23" t="n"/>
      <c r="B731" s="23" t="n"/>
      <c r="C731" s="23" t="n"/>
      <c r="D731" s="23" t="n"/>
      <c r="E731" s="23" t="n"/>
      <c r="F731" s="23" t="n"/>
      <c r="G731" s="23" t="n"/>
      <c r="H731" s="23" t="n"/>
      <c r="I731" s="23" t="n"/>
      <c r="J731" s="23" t="n"/>
      <c r="K731" s="23" t="n"/>
      <c r="L731" s="23" t="n"/>
      <c r="M731" s="23" t="n"/>
      <c r="N731" s="23" t="n"/>
      <c r="O731" s="23" t="n"/>
      <c r="P731" s="23" t="n"/>
      <c r="Q731" s="23" t="n"/>
      <c r="R731" s="23" t="n"/>
      <c r="S731" s="23" t="n"/>
      <c r="T731" s="23" t="n"/>
      <c r="U731" s="23" t="n"/>
      <c r="V731" s="23" t="n"/>
      <c r="W731" s="23" t="n"/>
      <c r="X731" s="23" t="n"/>
      <c r="Y731" s="23" t="n"/>
      <c r="Z731" s="23" t="n"/>
    </row>
    <row r="732" ht="15.75" customHeight="1" s="86">
      <c r="A732" s="23" t="n"/>
      <c r="B732" s="23" t="n"/>
      <c r="C732" s="23" t="n"/>
      <c r="D732" s="23" t="n"/>
      <c r="E732" s="23" t="n"/>
      <c r="F732" s="23" t="n"/>
      <c r="G732" s="23" t="n"/>
      <c r="H732" s="23" t="n"/>
      <c r="I732" s="23" t="n"/>
      <c r="J732" s="23" t="n"/>
      <c r="K732" s="23" t="n"/>
      <c r="L732" s="23" t="n"/>
      <c r="M732" s="23" t="n"/>
      <c r="N732" s="23" t="n"/>
      <c r="O732" s="23" t="n"/>
      <c r="P732" s="23" t="n"/>
      <c r="Q732" s="23" t="n"/>
      <c r="R732" s="23" t="n"/>
      <c r="S732" s="23" t="n"/>
      <c r="T732" s="23" t="n"/>
      <c r="U732" s="23" t="n"/>
      <c r="V732" s="23" t="n"/>
      <c r="W732" s="23" t="n"/>
      <c r="X732" s="23" t="n"/>
      <c r="Y732" s="23" t="n"/>
      <c r="Z732" s="23" t="n"/>
    </row>
    <row r="733" ht="15.75" customHeight="1" s="86">
      <c r="A733" s="23" t="n"/>
      <c r="B733" s="23" t="n"/>
      <c r="C733" s="23" t="n"/>
      <c r="D733" s="23" t="n"/>
      <c r="E733" s="23" t="n"/>
      <c r="F733" s="23" t="n"/>
      <c r="G733" s="23" t="n"/>
      <c r="H733" s="23" t="n"/>
      <c r="I733" s="23" t="n"/>
      <c r="J733" s="23" t="n"/>
      <c r="K733" s="23" t="n"/>
      <c r="L733" s="23" t="n"/>
      <c r="M733" s="23" t="n"/>
      <c r="N733" s="23" t="n"/>
      <c r="O733" s="23" t="n"/>
      <c r="P733" s="23" t="n"/>
      <c r="Q733" s="23" t="n"/>
      <c r="R733" s="23" t="n"/>
      <c r="S733" s="23" t="n"/>
      <c r="T733" s="23" t="n"/>
      <c r="U733" s="23" t="n"/>
      <c r="V733" s="23" t="n"/>
      <c r="W733" s="23" t="n"/>
      <c r="X733" s="23" t="n"/>
      <c r="Y733" s="23" t="n"/>
      <c r="Z733" s="23" t="n"/>
    </row>
    <row r="734" ht="15.75" customHeight="1" s="86">
      <c r="A734" s="23" t="n"/>
      <c r="B734" s="23" t="n"/>
      <c r="C734" s="23" t="n"/>
      <c r="D734" s="23" t="n"/>
      <c r="E734" s="23" t="n"/>
      <c r="F734" s="23" t="n"/>
      <c r="G734" s="23" t="n"/>
      <c r="H734" s="23" t="n"/>
      <c r="I734" s="23" t="n"/>
      <c r="J734" s="23" t="n"/>
      <c r="K734" s="23" t="n"/>
      <c r="L734" s="23" t="n"/>
      <c r="M734" s="23" t="n"/>
      <c r="N734" s="23" t="n"/>
      <c r="O734" s="23" t="n"/>
      <c r="P734" s="23" t="n"/>
      <c r="Q734" s="23" t="n"/>
      <c r="R734" s="23" t="n"/>
      <c r="S734" s="23" t="n"/>
      <c r="T734" s="23" t="n"/>
      <c r="U734" s="23" t="n"/>
      <c r="V734" s="23" t="n"/>
      <c r="W734" s="23" t="n"/>
      <c r="X734" s="23" t="n"/>
      <c r="Y734" s="23" t="n"/>
      <c r="Z734" s="23" t="n"/>
    </row>
    <row r="735" ht="15.75" customHeight="1" s="86">
      <c r="A735" s="23" t="n"/>
      <c r="B735" s="23" t="n"/>
      <c r="C735" s="23" t="n"/>
      <c r="D735" s="23" t="n"/>
      <c r="E735" s="23" t="n"/>
      <c r="F735" s="23" t="n"/>
      <c r="G735" s="23" t="n"/>
      <c r="H735" s="23" t="n"/>
      <c r="I735" s="23" t="n"/>
      <c r="J735" s="23" t="n"/>
      <c r="K735" s="23" t="n"/>
      <c r="L735" s="23" t="n"/>
      <c r="M735" s="23" t="n"/>
      <c r="N735" s="23" t="n"/>
      <c r="O735" s="23" t="n"/>
      <c r="P735" s="23" t="n"/>
      <c r="Q735" s="23" t="n"/>
      <c r="R735" s="23" t="n"/>
      <c r="S735" s="23" t="n"/>
      <c r="T735" s="23" t="n"/>
      <c r="U735" s="23" t="n"/>
      <c r="V735" s="23" t="n"/>
      <c r="W735" s="23" t="n"/>
      <c r="X735" s="23" t="n"/>
      <c r="Y735" s="23" t="n"/>
      <c r="Z735" s="23" t="n"/>
    </row>
    <row r="736" ht="15.75" customHeight="1" s="86">
      <c r="A736" s="23" t="n"/>
      <c r="B736" s="23" t="n"/>
      <c r="C736" s="23" t="n"/>
      <c r="D736" s="23" t="n"/>
      <c r="E736" s="23" t="n"/>
      <c r="F736" s="23" t="n"/>
      <c r="G736" s="23" t="n"/>
      <c r="H736" s="23" t="n"/>
      <c r="I736" s="23" t="n"/>
      <c r="J736" s="23" t="n"/>
      <c r="K736" s="23" t="n"/>
      <c r="L736" s="23" t="n"/>
      <c r="M736" s="23" t="n"/>
      <c r="N736" s="23" t="n"/>
      <c r="O736" s="23" t="n"/>
      <c r="P736" s="23" t="n"/>
      <c r="Q736" s="23" t="n"/>
      <c r="R736" s="23" t="n"/>
      <c r="S736" s="23" t="n"/>
      <c r="T736" s="23" t="n"/>
      <c r="U736" s="23" t="n"/>
      <c r="V736" s="23" t="n"/>
      <c r="W736" s="23" t="n"/>
      <c r="X736" s="23" t="n"/>
      <c r="Y736" s="23" t="n"/>
      <c r="Z736" s="23" t="n"/>
    </row>
    <row r="737" ht="15.75" customHeight="1" s="86">
      <c r="A737" s="23" t="n"/>
      <c r="B737" s="23" t="n"/>
      <c r="C737" s="23" t="n"/>
      <c r="D737" s="23" t="n"/>
      <c r="E737" s="23" t="n"/>
      <c r="F737" s="23" t="n"/>
      <c r="G737" s="23" t="n"/>
      <c r="H737" s="23" t="n"/>
      <c r="I737" s="23" t="n"/>
      <c r="J737" s="23" t="n"/>
      <c r="K737" s="23" t="n"/>
      <c r="L737" s="23" t="n"/>
      <c r="M737" s="23" t="n"/>
      <c r="N737" s="23" t="n"/>
      <c r="O737" s="23" t="n"/>
      <c r="P737" s="23" t="n"/>
      <c r="Q737" s="23" t="n"/>
      <c r="R737" s="23" t="n"/>
      <c r="S737" s="23" t="n"/>
      <c r="T737" s="23" t="n"/>
      <c r="U737" s="23" t="n"/>
      <c r="V737" s="23" t="n"/>
      <c r="W737" s="23" t="n"/>
      <c r="X737" s="23" t="n"/>
      <c r="Y737" s="23" t="n"/>
      <c r="Z737" s="23" t="n"/>
    </row>
    <row r="738" ht="15.75" customHeight="1" s="86">
      <c r="A738" s="23" t="n"/>
      <c r="B738" s="23" t="n"/>
      <c r="C738" s="23" t="n"/>
      <c r="D738" s="23" t="n"/>
      <c r="E738" s="23" t="n"/>
      <c r="F738" s="23" t="n"/>
      <c r="G738" s="23" t="n"/>
      <c r="H738" s="23" t="n"/>
      <c r="I738" s="23" t="n"/>
      <c r="J738" s="23" t="n"/>
      <c r="K738" s="23" t="n"/>
      <c r="L738" s="23" t="n"/>
      <c r="M738" s="23" t="n"/>
      <c r="N738" s="23" t="n"/>
      <c r="O738" s="23" t="n"/>
      <c r="P738" s="23" t="n"/>
      <c r="Q738" s="23" t="n"/>
      <c r="R738" s="23" t="n"/>
      <c r="S738" s="23" t="n"/>
      <c r="T738" s="23" t="n"/>
      <c r="U738" s="23" t="n"/>
      <c r="V738" s="23" t="n"/>
      <c r="W738" s="23" t="n"/>
      <c r="X738" s="23" t="n"/>
      <c r="Y738" s="23" t="n"/>
      <c r="Z738" s="23" t="n"/>
    </row>
    <row r="739" ht="15.75" customHeight="1" s="86">
      <c r="A739" s="23" t="n"/>
      <c r="B739" s="23" t="n"/>
      <c r="C739" s="23" t="n"/>
      <c r="D739" s="23" t="n"/>
      <c r="E739" s="23" t="n"/>
      <c r="F739" s="23" t="n"/>
      <c r="G739" s="23" t="n"/>
      <c r="H739" s="23" t="n"/>
      <c r="I739" s="23" t="n"/>
      <c r="J739" s="23" t="n"/>
      <c r="K739" s="23" t="n"/>
      <c r="L739" s="23" t="n"/>
      <c r="M739" s="23" t="n"/>
      <c r="N739" s="23" t="n"/>
      <c r="O739" s="23" t="n"/>
      <c r="P739" s="23" t="n"/>
      <c r="Q739" s="23" t="n"/>
      <c r="R739" s="23" t="n"/>
      <c r="S739" s="23" t="n"/>
      <c r="T739" s="23" t="n"/>
      <c r="U739" s="23" t="n"/>
      <c r="V739" s="23" t="n"/>
      <c r="W739" s="23" t="n"/>
      <c r="X739" s="23" t="n"/>
      <c r="Y739" s="23" t="n"/>
      <c r="Z739" s="23" t="n"/>
    </row>
    <row r="740" ht="15.75" customHeight="1" s="86">
      <c r="A740" s="23" t="n"/>
      <c r="B740" s="23" t="n"/>
      <c r="C740" s="23" t="n"/>
      <c r="D740" s="23" t="n"/>
      <c r="E740" s="23" t="n"/>
      <c r="F740" s="23" t="n"/>
      <c r="G740" s="23" t="n"/>
      <c r="H740" s="23" t="n"/>
      <c r="I740" s="23" t="n"/>
      <c r="J740" s="23" t="n"/>
      <c r="K740" s="23" t="n"/>
      <c r="L740" s="23" t="n"/>
      <c r="M740" s="23" t="n"/>
      <c r="N740" s="23" t="n"/>
      <c r="O740" s="23" t="n"/>
      <c r="P740" s="23" t="n"/>
      <c r="Q740" s="23" t="n"/>
      <c r="R740" s="23" t="n"/>
      <c r="S740" s="23" t="n"/>
      <c r="T740" s="23" t="n"/>
      <c r="U740" s="23" t="n"/>
      <c r="V740" s="23" t="n"/>
      <c r="W740" s="23" t="n"/>
      <c r="X740" s="23" t="n"/>
      <c r="Y740" s="23" t="n"/>
      <c r="Z740" s="23" t="n"/>
    </row>
    <row r="741" ht="15.75" customHeight="1" s="86">
      <c r="A741" s="23" t="n"/>
      <c r="B741" s="23" t="n"/>
      <c r="C741" s="23" t="n"/>
      <c r="D741" s="23" t="n"/>
      <c r="E741" s="23" t="n"/>
      <c r="F741" s="23" t="n"/>
      <c r="G741" s="23" t="n"/>
      <c r="H741" s="23" t="n"/>
      <c r="I741" s="23" t="n"/>
      <c r="J741" s="23" t="n"/>
      <c r="K741" s="23" t="n"/>
      <c r="L741" s="23" t="n"/>
      <c r="M741" s="23" t="n"/>
      <c r="N741" s="23" t="n"/>
      <c r="O741" s="23" t="n"/>
      <c r="P741" s="23" t="n"/>
      <c r="Q741" s="23" t="n"/>
      <c r="R741" s="23" t="n"/>
      <c r="S741" s="23" t="n"/>
      <c r="T741" s="23" t="n"/>
      <c r="U741" s="23" t="n"/>
      <c r="V741" s="23" t="n"/>
      <c r="W741" s="23" t="n"/>
      <c r="X741" s="23" t="n"/>
      <c r="Y741" s="23" t="n"/>
      <c r="Z741" s="23" t="n"/>
    </row>
    <row r="742" ht="15.75" customHeight="1" s="86">
      <c r="A742" s="23" t="n"/>
      <c r="B742" s="23" t="n"/>
      <c r="C742" s="23" t="n"/>
      <c r="D742" s="23" t="n"/>
      <c r="E742" s="23" t="n"/>
      <c r="F742" s="23" t="n"/>
      <c r="G742" s="23" t="n"/>
      <c r="H742" s="23" t="n"/>
      <c r="I742" s="23" t="n"/>
      <c r="J742" s="23" t="n"/>
      <c r="K742" s="23" t="n"/>
      <c r="L742" s="23" t="n"/>
      <c r="M742" s="23" t="n"/>
      <c r="N742" s="23" t="n"/>
      <c r="O742" s="23" t="n"/>
      <c r="P742" s="23" t="n"/>
      <c r="Q742" s="23" t="n"/>
      <c r="R742" s="23" t="n"/>
      <c r="S742" s="23" t="n"/>
      <c r="T742" s="23" t="n"/>
      <c r="U742" s="23" t="n"/>
      <c r="V742" s="23" t="n"/>
      <c r="W742" s="23" t="n"/>
      <c r="X742" s="23" t="n"/>
      <c r="Y742" s="23" t="n"/>
      <c r="Z742" s="23" t="n"/>
    </row>
    <row r="743" ht="15.75" customHeight="1" s="86">
      <c r="A743" s="23" t="n"/>
      <c r="B743" s="23" t="n"/>
      <c r="C743" s="23" t="n"/>
      <c r="D743" s="23" t="n"/>
      <c r="E743" s="23" t="n"/>
      <c r="F743" s="23" t="n"/>
      <c r="G743" s="23" t="n"/>
      <c r="H743" s="23" t="n"/>
      <c r="I743" s="23" t="n"/>
      <c r="J743" s="23" t="n"/>
      <c r="K743" s="23" t="n"/>
      <c r="L743" s="23" t="n"/>
      <c r="M743" s="23" t="n"/>
      <c r="N743" s="23" t="n"/>
      <c r="O743" s="23" t="n"/>
      <c r="P743" s="23" t="n"/>
      <c r="Q743" s="23" t="n"/>
      <c r="R743" s="23" t="n"/>
      <c r="S743" s="23" t="n"/>
      <c r="T743" s="23" t="n"/>
      <c r="U743" s="23" t="n"/>
      <c r="V743" s="23" t="n"/>
      <c r="W743" s="23" t="n"/>
      <c r="X743" s="23" t="n"/>
      <c r="Y743" s="23" t="n"/>
      <c r="Z743" s="23" t="n"/>
    </row>
    <row r="744" ht="15.75" customHeight="1" s="86">
      <c r="A744" s="23" t="n"/>
      <c r="B744" s="23" t="n"/>
      <c r="C744" s="23" t="n"/>
      <c r="D744" s="23" t="n"/>
      <c r="E744" s="23" t="n"/>
      <c r="F744" s="23" t="n"/>
      <c r="G744" s="23" t="n"/>
      <c r="H744" s="23" t="n"/>
      <c r="I744" s="23" t="n"/>
      <c r="J744" s="23" t="n"/>
      <c r="K744" s="23" t="n"/>
      <c r="L744" s="23" t="n"/>
      <c r="M744" s="23" t="n"/>
      <c r="N744" s="23" t="n"/>
      <c r="O744" s="23" t="n"/>
      <c r="P744" s="23" t="n"/>
      <c r="Q744" s="23" t="n"/>
      <c r="R744" s="23" t="n"/>
      <c r="S744" s="23" t="n"/>
      <c r="T744" s="23" t="n"/>
      <c r="U744" s="23" t="n"/>
      <c r="V744" s="23" t="n"/>
      <c r="W744" s="23" t="n"/>
      <c r="X744" s="23" t="n"/>
      <c r="Y744" s="23" t="n"/>
      <c r="Z744" s="23" t="n"/>
    </row>
    <row r="745" ht="15.75" customHeight="1" s="86">
      <c r="A745" s="23" t="n"/>
      <c r="B745" s="23" t="n"/>
      <c r="C745" s="23" t="n"/>
      <c r="D745" s="23" t="n"/>
      <c r="E745" s="23" t="n"/>
      <c r="F745" s="23" t="n"/>
      <c r="G745" s="23" t="n"/>
      <c r="H745" s="23" t="n"/>
      <c r="I745" s="23" t="n"/>
      <c r="J745" s="23" t="n"/>
      <c r="K745" s="23" t="n"/>
      <c r="L745" s="23" t="n"/>
      <c r="M745" s="23" t="n"/>
      <c r="N745" s="23" t="n"/>
      <c r="O745" s="23" t="n"/>
      <c r="P745" s="23" t="n"/>
      <c r="Q745" s="23" t="n"/>
      <c r="R745" s="23" t="n"/>
      <c r="S745" s="23" t="n"/>
      <c r="T745" s="23" t="n"/>
      <c r="U745" s="23" t="n"/>
      <c r="V745" s="23" t="n"/>
      <c r="W745" s="23" t="n"/>
      <c r="X745" s="23" t="n"/>
      <c r="Y745" s="23" t="n"/>
      <c r="Z745" s="23" t="n"/>
    </row>
    <row r="746" ht="15.75" customHeight="1" s="86">
      <c r="A746" s="23" t="n"/>
      <c r="B746" s="23" t="n"/>
      <c r="C746" s="23" t="n"/>
      <c r="D746" s="23" t="n"/>
      <c r="E746" s="23" t="n"/>
      <c r="F746" s="23" t="n"/>
      <c r="G746" s="23" t="n"/>
      <c r="H746" s="23" t="n"/>
      <c r="I746" s="23" t="n"/>
      <c r="J746" s="23" t="n"/>
      <c r="K746" s="23" t="n"/>
      <c r="L746" s="23" t="n"/>
      <c r="M746" s="23" t="n"/>
      <c r="N746" s="23" t="n"/>
      <c r="O746" s="23" t="n"/>
      <c r="P746" s="23" t="n"/>
      <c r="Q746" s="23" t="n"/>
      <c r="R746" s="23" t="n"/>
      <c r="S746" s="23" t="n"/>
      <c r="T746" s="23" t="n"/>
      <c r="U746" s="23" t="n"/>
      <c r="V746" s="23" t="n"/>
      <c r="W746" s="23" t="n"/>
      <c r="X746" s="23" t="n"/>
      <c r="Y746" s="23" t="n"/>
      <c r="Z746" s="23" t="n"/>
    </row>
    <row r="747" ht="15.75" customHeight="1" s="86">
      <c r="A747" s="23" t="n"/>
      <c r="B747" s="23" t="n"/>
      <c r="C747" s="23" t="n"/>
      <c r="D747" s="23" t="n"/>
      <c r="E747" s="23" t="n"/>
      <c r="F747" s="23" t="n"/>
      <c r="G747" s="23" t="n"/>
      <c r="H747" s="23" t="n"/>
      <c r="I747" s="23" t="n"/>
      <c r="J747" s="23" t="n"/>
      <c r="K747" s="23" t="n"/>
      <c r="L747" s="23" t="n"/>
      <c r="M747" s="23" t="n"/>
      <c r="N747" s="23" t="n"/>
      <c r="O747" s="23" t="n"/>
      <c r="P747" s="23" t="n"/>
      <c r="Q747" s="23" t="n"/>
      <c r="R747" s="23" t="n"/>
      <c r="S747" s="23" t="n"/>
      <c r="T747" s="23" t="n"/>
      <c r="U747" s="23" t="n"/>
      <c r="V747" s="23" t="n"/>
      <c r="W747" s="23" t="n"/>
      <c r="X747" s="23" t="n"/>
      <c r="Y747" s="23" t="n"/>
      <c r="Z747" s="23" t="n"/>
    </row>
    <row r="748" ht="15.75" customHeight="1" s="86">
      <c r="A748" s="23" t="n"/>
      <c r="B748" s="23" t="n"/>
      <c r="C748" s="23" t="n"/>
      <c r="D748" s="23" t="n"/>
      <c r="E748" s="23" t="n"/>
      <c r="F748" s="23" t="n"/>
      <c r="G748" s="23" t="n"/>
      <c r="H748" s="23" t="n"/>
      <c r="I748" s="23" t="n"/>
      <c r="J748" s="23" t="n"/>
      <c r="K748" s="23" t="n"/>
      <c r="L748" s="23" t="n"/>
      <c r="M748" s="23" t="n"/>
      <c r="N748" s="23" t="n"/>
      <c r="O748" s="23" t="n"/>
      <c r="P748" s="23" t="n"/>
      <c r="Q748" s="23" t="n"/>
      <c r="R748" s="23" t="n"/>
      <c r="S748" s="23" t="n"/>
      <c r="T748" s="23" t="n"/>
      <c r="U748" s="23" t="n"/>
      <c r="V748" s="23" t="n"/>
      <c r="W748" s="23" t="n"/>
      <c r="X748" s="23" t="n"/>
      <c r="Y748" s="23" t="n"/>
      <c r="Z748" s="23" t="n"/>
    </row>
    <row r="749" ht="15.75" customHeight="1" s="86">
      <c r="A749" s="23" t="n"/>
      <c r="B749" s="23" t="n"/>
      <c r="C749" s="23" t="n"/>
      <c r="D749" s="23" t="n"/>
      <c r="E749" s="23" t="n"/>
      <c r="F749" s="23" t="n"/>
      <c r="G749" s="23" t="n"/>
      <c r="H749" s="23" t="n"/>
      <c r="I749" s="23" t="n"/>
      <c r="J749" s="23" t="n"/>
      <c r="K749" s="23" t="n"/>
      <c r="L749" s="23" t="n"/>
      <c r="M749" s="23" t="n"/>
      <c r="N749" s="23" t="n"/>
      <c r="O749" s="23" t="n"/>
      <c r="P749" s="23" t="n"/>
      <c r="Q749" s="23" t="n"/>
      <c r="R749" s="23" t="n"/>
      <c r="S749" s="23" t="n"/>
      <c r="T749" s="23" t="n"/>
      <c r="U749" s="23" t="n"/>
      <c r="V749" s="23" t="n"/>
      <c r="W749" s="23" t="n"/>
      <c r="X749" s="23" t="n"/>
      <c r="Y749" s="23" t="n"/>
      <c r="Z749" s="23" t="n"/>
    </row>
    <row r="750" ht="15.75" customHeight="1" s="86">
      <c r="A750" s="23" t="n"/>
      <c r="B750" s="23" t="n"/>
      <c r="C750" s="23" t="n"/>
      <c r="D750" s="23" t="n"/>
      <c r="E750" s="23" t="n"/>
      <c r="F750" s="23" t="n"/>
      <c r="G750" s="23" t="n"/>
      <c r="H750" s="23" t="n"/>
      <c r="I750" s="23" t="n"/>
      <c r="J750" s="23" t="n"/>
      <c r="K750" s="23" t="n"/>
      <c r="L750" s="23" t="n"/>
      <c r="M750" s="23" t="n"/>
      <c r="N750" s="23" t="n"/>
      <c r="O750" s="23" t="n"/>
      <c r="P750" s="23" t="n"/>
      <c r="Q750" s="23" t="n"/>
      <c r="R750" s="23" t="n"/>
      <c r="S750" s="23" t="n"/>
      <c r="T750" s="23" t="n"/>
      <c r="U750" s="23" t="n"/>
      <c r="V750" s="23" t="n"/>
      <c r="W750" s="23" t="n"/>
      <c r="X750" s="23" t="n"/>
      <c r="Y750" s="23" t="n"/>
      <c r="Z750" s="23" t="n"/>
    </row>
    <row r="751" ht="15.75" customHeight="1" s="86">
      <c r="A751" s="23" t="n"/>
      <c r="B751" s="23" t="n"/>
      <c r="C751" s="23" t="n"/>
      <c r="D751" s="23" t="n"/>
      <c r="E751" s="23" t="n"/>
      <c r="F751" s="23" t="n"/>
      <c r="G751" s="23" t="n"/>
      <c r="H751" s="23" t="n"/>
      <c r="I751" s="23" t="n"/>
      <c r="J751" s="23" t="n"/>
      <c r="K751" s="23" t="n"/>
      <c r="L751" s="23" t="n"/>
      <c r="M751" s="23" t="n"/>
      <c r="N751" s="23" t="n"/>
      <c r="O751" s="23" t="n"/>
      <c r="P751" s="23" t="n"/>
      <c r="Q751" s="23" t="n"/>
      <c r="R751" s="23" t="n"/>
      <c r="S751" s="23" t="n"/>
      <c r="T751" s="23" t="n"/>
      <c r="U751" s="23" t="n"/>
      <c r="V751" s="23" t="n"/>
      <c r="W751" s="23" t="n"/>
      <c r="X751" s="23" t="n"/>
      <c r="Y751" s="23" t="n"/>
      <c r="Z751" s="23" t="n"/>
    </row>
    <row r="752" ht="15.75" customHeight="1" s="86">
      <c r="A752" s="23" t="n"/>
      <c r="B752" s="23" t="n"/>
      <c r="C752" s="23" t="n"/>
      <c r="D752" s="23" t="n"/>
      <c r="E752" s="23" t="n"/>
      <c r="F752" s="23" t="n"/>
      <c r="G752" s="23" t="n"/>
      <c r="H752" s="23" t="n"/>
      <c r="I752" s="23" t="n"/>
      <c r="J752" s="23" t="n"/>
      <c r="K752" s="23" t="n"/>
      <c r="L752" s="23" t="n"/>
      <c r="M752" s="23" t="n"/>
      <c r="N752" s="23" t="n"/>
      <c r="O752" s="23" t="n"/>
      <c r="P752" s="23" t="n"/>
      <c r="Q752" s="23" t="n"/>
      <c r="R752" s="23" t="n"/>
      <c r="S752" s="23" t="n"/>
      <c r="T752" s="23" t="n"/>
      <c r="U752" s="23" t="n"/>
      <c r="V752" s="23" t="n"/>
      <c r="W752" s="23" t="n"/>
      <c r="X752" s="23" t="n"/>
      <c r="Y752" s="23" t="n"/>
      <c r="Z752" s="23" t="n"/>
    </row>
    <row r="753" ht="15.75" customHeight="1" s="86">
      <c r="A753" s="23" t="n"/>
      <c r="B753" s="23" t="n"/>
      <c r="C753" s="23" t="n"/>
      <c r="D753" s="23" t="n"/>
      <c r="E753" s="23" t="n"/>
      <c r="F753" s="23" t="n"/>
      <c r="G753" s="23" t="n"/>
      <c r="H753" s="23" t="n"/>
      <c r="I753" s="23" t="n"/>
      <c r="J753" s="23" t="n"/>
      <c r="K753" s="23" t="n"/>
      <c r="L753" s="23" t="n"/>
      <c r="M753" s="23" t="n"/>
      <c r="N753" s="23" t="n"/>
      <c r="O753" s="23" t="n"/>
      <c r="P753" s="23" t="n"/>
      <c r="Q753" s="23" t="n"/>
      <c r="R753" s="23" t="n"/>
      <c r="S753" s="23" t="n"/>
      <c r="T753" s="23" t="n"/>
      <c r="U753" s="23" t="n"/>
      <c r="V753" s="23" t="n"/>
      <c r="W753" s="23" t="n"/>
      <c r="X753" s="23" t="n"/>
      <c r="Y753" s="23" t="n"/>
      <c r="Z753" s="23" t="n"/>
    </row>
    <row r="754" ht="15.75" customHeight="1" s="86">
      <c r="A754" s="23" t="n"/>
      <c r="B754" s="23" t="n"/>
      <c r="C754" s="23" t="n"/>
      <c r="D754" s="23" t="n"/>
      <c r="E754" s="23" t="n"/>
      <c r="F754" s="23" t="n"/>
      <c r="G754" s="23" t="n"/>
      <c r="H754" s="23" t="n"/>
      <c r="I754" s="23" t="n"/>
      <c r="J754" s="23" t="n"/>
      <c r="K754" s="23" t="n"/>
      <c r="L754" s="23" t="n"/>
      <c r="M754" s="23" t="n"/>
      <c r="N754" s="23" t="n"/>
      <c r="O754" s="23" t="n"/>
      <c r="P754" s="23" t="n"/>
      <c r="Q754" s="23" t="n"/>
      <c r="R754" s="23" t="n"/>
      <c r="S754" s="23" t="n"/>
      <c r="T754" s="23" t="n"/>
      <c r="U754" s="23" t="n"/>
      <c r="V754" s="23" t="n"/>
      <c r="W754" s="23" t="n"/>
      <c r="X754" s="23" t="n"/>
      <c r="Y754" s="23" t="n"/>
      <c r="Z754" s="23" t="n"/>
    </row>
    <row r="755" ht="15.75" customHeight="1" s="86">
      <c r="A755" s="23" t="n"/>
      <c r="B755" s="23" t="n"/>
      <c r="C755" s="23" t="n"/>
      <c r="D755" s="23" t="n"/>
      <c r="E755" s="23" t="n"/>
      <c r="F755" s="23" t="n"/>
      <c r="G755" s="23" t="n"/>
      <c r="H755" s="23" t="n"/>
      <c r="I755" s="23" t="n"/>
      <c r="J755" s="23" t="n"/>
      <c r="K755" s="23" t="n"/>
      <c r="L755" s="23" t="n"/>
      <c r="M755" s="23" t="n"/>
      <c r="N755" s="23" t="n"/>
      <c r="O755" s="23" t="n"/>
      <c r="P755" s="23" t="n"/>
      <c r="Q755" s="23" t="n"/>
      <c r="R755" s="23" t="n"/>
      <c r="S755" s="23" t="n"/>
      <c r="T755" s="23" t="n"/>
      <c r="U755" s="23" t="n"/>
      <c r="V755" s="23" t="n"/>
      <c r="W755" s="23" t="n"/>
      <c r="X755" s="23" t="n"/>
      <c r="Y755" s="23" t="n"/>
      <c r="Z755" s="23" t="n"/>
    </row>
    <row r="756" ht="15.75" customHeight="1" s="86">
      <c r="A756" s="23" t="n"/>
      <c r="B756" s="23" t="n"/>
      <c r="C756" s="23" t="n"/>
      <c r="D756" s="23" t="n"/>
      <c r="E756" s="23" t="n"/>
      <c r="F756" s="23" t="n"/>
      <c r="G756" s="23" t="n"/>
      <c r="H756" s="23" t="n"/>
      <c r="I756" s="23" t="n"/>
      <c r="J756" s="23" t="n"/>
      <c r="K756" s="23" t="n"/>
      <c r="L756" s="23" t="n"/>
      <c r="M756" s="23" t="n"/>
      <c r="N756" s="23" t="n"/>
      <c r="O756" s="23" t="n"/>
      <c r="P756" s="23" t="n"/>
      <c r="Q756" s="23" t="n"/>
      <c r="R756" s="23" t="n"/>
      <c r="S756" s="23" t="n"/>
      <c r="T756" s="23" t="n"/>
      <c r="U756" s="23" t="n"/>
      <c r="V756" s="23" t="n"/>
      <c r="W756" s="23" t="n"/>
      <c r="X756" s="23" t="n"/>
      <c r="Y756" s="23" t="n"/>
      <c r="Z756" s="23" t="n"/>
    </row>
    <row r="757" ht="15.75" customHeight="1" s="86">
      <c r="A757" s="23" t="n"/>
      <c r="B757" s="23" t="n"/>
      <c r="C757" s="23" t="n"/>
      <c r="D757" s="23" t="n"/>
      <c r="E757" s="23" t="n"/>
      <c r="F757" s="23" t="n"/>
      <c r="G757" s="23" t="n"/>
      <c r="H757" s="23" t="n"/>
      <c r="I757" s="23" t="n"/>
      <c r="J757" s="23" t="n"/>
      <c r="K757" s="23" t="n"/>
      <c r="L757" s="23" t="n"/>
      <c r="M757" s="23" t="n"/>
      <c r="N757" s="23" t="n"/>
      <c r="O757" s="23" t="n"/>
      <c r="P757" s="23" t="n"/>
      <c r="Q757" s="23" t="n"/>
      <c r="R757" s="23" t="n"/>
      <c r="S757" s="23" t="n"/>
      <c r="T757" s="23" t="n"/>
      <c r="U757" s="23" t="n"/>
      <c r="V757" s="23" t="n"/>
      <c r="W757" s="23" t="n"/>
      <c r="X757" s="23" t="n"/>
      <c r="Y757" s="23" t="n"/>
      <c r="Z757" s="23" t="n"/>
    </row>
    <row r="758" ht="15.75" customHeight="1" s="86">
      <c r="A758" s="23" t="n"/>
      <c r="B758" s="23" t="n"/>
      <c r="C758" s="23" t="n"/>
      <c r="D758" s="23" t="n"/>
      <c r="E758" s="23" t="n"/>
      <c r="F758" s="23" t="n"/>
      <c r="G758" s="23" t="n"/>
      <c r="H758" s="23" t="n"/>
      <c r="I758" s="23" t="n"/>
      <c r="J758" s="23" t="n"/>
      <c r="K758" s="23" t="n"/>
      <c r="L758" s="23" t="n"/>
      <c r="M758" s="23" t="n"/>
      <c r="N758" s="23" t="n"/>
      <c r="O758" s="23" t="n"/>
      <c r="P758" s="23" t="n"/>
      <c r="Q758" s="23" t="n"/>
      <c r="R758" s="23" t="n"/>
      <c r="S758" s="23" t="n"/>
      <c r="T758" s="23" t="n"/>
      <c r="U758" s="23" t="n"/>
      <c r="V758" s="23" t="n"/>
      <c r="W758" s="23" t="n"/>
      <c r="X758" s="23" t="n"/>
      <c r="Y758" s="23" t="n"/>
      <c r="Z758" s="23" t="n"/>
    </row>
    <row r="759" ht="15.75" customHeight="1" s="86">
      <c r="A759" s="23" t="n"/>
      <c r="B759" s="23" t="n"/>
      <c r="C759" s="23" t="n"/>
      <c r="D759" s="23" t="n"/>
      <c r="E759" s="23" t="n"/>
      <c r="F759" s="23" t="n"/>
      <c r="G759" s="23" t="n"/>
      <c r="H759" s="23" t="n"/>
      <c r="I759" s="23" t="n"/>
      <c r="J759" s="23" t="n"/>
      <c r="K759" s="23" t="n"/>
      <c r="L759" s="23" t="n"/>
      <c r="M759" s="23" t="n"/>
      <c r="N759" s="23" t="n"/>
      <c r="O759" s="23" t="n"/>
      <c r="P759" s="23" t="n"/>
      <c r="Q759" s="23" t="n"/>
      <c r="R759" s="23" t="n"/>
      <c r="S759" s="23" t="n"/>
      <c r="T759" s="23" t="n"/>
      <c r="U759" s="23" t="n"/>
      <c r="V759" s="23" t="n"/>
      <c r="W759" s="23" t="n"/>
      <c r="X759" s="23" t="n"/>
      <c r="Y759" s="23" t="n"/>
      <c r="Z759" s="23" t="n"/>
    </row>
    <row r="760" ht="15.75" customHeight="1" s="86">
      <c r="A760" s="23" t="n"/>
      <c r="B760" s="23" t="n"/>
      <c r="C760" s="23" t="n"/>
      <c r="D760" s="23" t="n"/>
      <c r="E760" s="23" t="n"/>
      <c r="F760" s="23" t="n"/>
      <c r="G760" s="23" t="n"/>
      <c r="H760" s="23" t="n"/>
      <c r="I760" s="23" t="n"/>
      <c r="J760" s="23" t="n"/>
      <c r="K760" s="23" t="n"/>
      <c r="L760" s="23" t="n"/>
      <c r="M760" s="23" t="n"/>
      <c r="N760" s="23" t="n"/>
      <c r="O760" s="23" t="n"/>
      <c r="P760" s="23" t="n"/>
      <c r="Q760" s="23" t="n"/>
      <c r="R760" s="23" t="n"/>
      <c r="S760" s="23" t="n"/>
      <c r="T760" s="23" t="n"/>
      <c r="U760" s="23" t="n"/>
      <c r="V760" s="23" t="n"/>
      <c r="W760" s="23" t="n"/>
      <c r="X760" s="23" t="n"/>
      <c r="Y760" s="23" t="n"/>
      <c r="Z760" s="23" t="n"/>
    </row>
    <row r="761" ht="15.75" customHeight="1" s="86">
      <c r="A761" s="23" t="n"/>
      <c r="B761" s="23" t="n"/>
      <c r="C761" s="23" t="n"/>
      <c r="D761" s="23" t="n"/>
      <c r="E761" s="23" t="n"/>
      <c r="F761" s="23" t="n"/>
      <c r="G761" s="23" t="n"/>
      <c r="H761" s="23" t="n"/>
      <c r="I761" s="23" t="n"/>
      <c r="J761" s="23" t="n"/>
      <c r="K761" s="23" t="n"/>
      <c r="L761" s="23" t="n"/>
      <c r="M761" s="23" t="n"/>
      <c r="N761" s="23" t="n"/>
      <c r="O761" s="23" t="n"/>
      <c r="P761" s="23" t="n"/>
      <c r="Q761" s="23" t="n"/>
      <c r="R761" s="23" t="n"/>
      <c r="S761" s="23" t="n"/>
      <c r="T761" s="23" t="n"/>
      <c r="U761" s="23" t="n"/>
      <c r="V761" s="23" t="n"/>
      <c r="W761" s="23" t="n"/>
      <c r="X761" s="23" t="n"/>
      <c r="Y761" s="23" t="n"/>
      <c r="Z761" s="23" t="n"/>
    </row>
    <row r="762" ht="15.75" customHeight="1" s="86">
      <c r="A762" s="23" t="n"/>
      <c r="B762" s="23" t="n"/>
      <c r="C762" s="23" t="n"/>
      <c r="D762" s="23" t="n"/>
      <c r="E762" s="23" t="n"/>
      <c r="F762" s="23" t="n"/>
      <c r="G762" s="23" t="n"/>
      <c r="H762" s="23" t="n"/>
      <c r="I762" s="23" t="n"/>
      <c r="J762" s="23" t="n"/>
      <c r="K762" s="23" t="n"/>
      <c r="L762" s="23" t="n"/>
      <c r="M762" s="23" t="n"/>
      <c r="N762" s="23" t="n"/>
      <c r="O762" s="23" t="n"/>
      <c r="P762" s="23" t="n"/>
      <c r="Q762" s="23" t="n"/>
      <c r="R762" s="23" t="n"/>
      <c r="S762" s="23" t="n"/>
      <c r="T762" s="23" t="n"/>
      <c r="U762" s="23" t="n"/>
      <c r="V762" s="23" t="n"/>
      <c r="W762" s="23" t="n"/>
      <c r="X762" s="23" t="n"/>
      <c r="Y762" s="23" t="n"/>
      <c r="Z762" s="23" t="n"/>
    </row>
    <row r="763" ht="15.75" customHeight="1" s="86">
      <c r="A763" s="23" t="n"/>
      <c r="B763" s="23" t="n"/>
      <c r="C763" s="23" t="n"/>
      <c r="D763" s="23" t="n"/>
      <c r="E763" s="23" t="n"/>
      <c r="F763" s="23" t="n"/>
      <c r="G763" s="23" t="n"/>
      <c r="H763" s="23" t="n"/>
      <c r="I763" s="23" t="n"/>
      <c r="J763" s="23" t="n"/>
      <c r="K763" s="23" t="n"/>
      <c r="L763" s="23" t="n"/>
      <c r="M763" s="23" t="n"/>
      <c r="N763" s="23" t="n"/>
      <c r="O763" s="23" t="n"/>
      <c r="P763" s="23" t="n"/>
      <c r="Q763" s="23" t="n"/>
      <c r="R763" s="23" t="n"/>
      <c r="S763" s="23" t="n"/>
      <c r="T763" s="23" t="n"/>
      <c r="U763" s="23" t="n"/>
      <c r="V763" s="23" t="n"/>
      <c r="W763" s="23" t="n"/>
      <c r="X763" s="23" t="n"/>
      <c r="Y763" s="23" t="n"/>
      <c r="Z763" s="23" t="n"/>
    </row>
    <row r="764" ht="15.75" customHeight="1" s="86">
      <c r="A764" s="23" t="n"/>
      <c r="B764" s="23" t="n"/>
      <c r="C764" s="23" t="n"/>
      <c r="D764" s="23" t="n"/>
      <c r="E764" s="23" t="n"/>
      <c r="F764" s="23" t="n"/>
      <c r="G764" s="23" t="n"/>
      <c r="H764" s="23" t="n"/>
      <c r="I764" s="23" t="n"/>
      <c r="J764" s="23" t="n"/>
      <c r="K764" s="23" t="n"/>
      <c r="L764" s="23" t="n"/>
      <c r="M764" s="23" t="n"/>
      <c r="N764" s="23" t="n"/>
      <c r="O764" s="23" t="n"/>
      <c r="P764" s="23" t="n"/>
      <c r="Q764" s="23" t="n"/>
      <c r="R764" s="23" t="n"/>
      <c r="S764" s="23" t="n"/>
      <c r="T764" s="23" t="n"/>
      <c r="U764" s="23" t="n"/>
      <c r="V764" s="23" t="n"/>
      <c r="W764" s="23" t="n"/>
      <c r="X764" s="23" t="n"/>
      <c r="Y764" s="23" t="n"/>
      <c r="Z764" s="23" t="n"/>
    </row>
    <row r="765" ht="15.75" customHeight="1" s="86">
      <c r="A765" s="23" t="n"/>
      <c r="B765" s="23" t="n"/>
      <c r="C765" s="23" t="n"/>
      <c r="D765" s="23" t="n"/>
      <c r="E765" s="23" t="n"/>
      <c r="F765" s="23" t="n"/>
      <c r="G765" s="23" t="n"/>
      <c r="H765" s="23" t="n"/>
      <c r="I765" s="23" t="n"/>
      <c r="J765" s="23" t="n"/>
      <c r="K765" s="23" t="n"/>
      <c r="L765" s="23" t="n"/>
      <c r="M765" s="23" t="n"/>
      <c r="N765" s="23" t="n"/>
      <c r="O765" s="23" t="n"/>
      <c r="P765" s="23" t="n"/>
      <c r="Q765" s="23" t="n"/>
      <c r="R765" s="23" t="n"/>
      <c r="S765" s="23" t="n"/>
      <c r="T765" s="23" t="n"/>
      <c r="U765" s="23" t="n"/>
      <c r="V765" s="23" t="n"/>
      <c r="W765" s="23" t="n"/>
      <c r="X765" s="23" t="n"/>
      <c r="Y765" s="23" t="n"/>
      <c r="Z765" s="23" t="n"/>
    </row>
    <row r="766" ht="15.75" customHeight="1" s="86">
      <c r="A766" s="23" t="n"/>
      <c r="B766" s="23" t="n"/>
      <c r="C766" s="23" t="n"/>
      <c r="D766" s="23" t="n"/>
      <c r="E766" s="23" t="n"/>
      <c r="F766" s="23" t="n"/>
      <c r="G766" s="23" t="n"/>
      <c r="H766" s="23" t="n"/>
      <c r="I766" s="23" t="n"/>
      <c r="J766" s="23" t="n"/>
      <c r="K766" s="23" t="n"/>
      <c r="L766" s="23" t="n"/>
      <c r="M766" s="23" t="n"/>
      <c r="N766" s="23" t="n"/>
      <c r="O766" s="23" t="n"/>
      <c r="P766" s="23" t="n"/>
      <c r="Q766" s="23" t="n"/>
      <c r="R766" s="23" t="n"/>
      <c r="S766" s="23" t="n"/>
      <c r="T766" s="23" t="n"/>
      <c r="U766" s="23" t="n"/>
      <c r="V766" s="23" t="n"/>
      <c r="W766" s="23" t="n"/>
      <c r="X766" s="23" t="n"/>
      <c r="Y766" s="23" t="n"/>
      <c r="Z766" s="23" t="n"/>
    </row>
    <row r="767" ht="15.75" customHeight="1" s="86">
      <c r="A767" s="23" t="n"/>
      <c r="B767" s="23" t="n"/>
      <c r="C767" s="23" t="n"/>
      <c r="D767" s="23" t="n"/>
      <c r="E767" s="23" t="n"/>
      <c r="F767" s="23" t="n"/>
      <c r="G767" s="23" t="n"/>
      <c r="H767" s="23" t="n"/>
      <c r="I767" s="23" t="n"/>
      <c r="J767" s="23" t="n"/>
      <c r="K767" s="23" t="n"/>
      <c r="L767" s="23" t="n"/>
      <c r="M767" s="23" t="n"/>
      <c r="N767" s="23" t="n"/>
      <c r="O767" s="23" t="n"/>
      <c r="P767" s="23" t="n"/>
      <c r="Q767" s="23" t="n"/>
      <c r="R767" s="23" t="n"/>
      <c r="S767" s="23" t="n"/>
      <c r="T767" s="23" t="n"/>
      <c r="U767" s="23" t="n"/>
      <c r="V767" s="23" t="n"/>
      <c r="W767" s="23" t="n"/>
      <c r="X767" s="23" t="n"/>
      <c r="Y767" s="23" t="n"/>
      <c r="Z767" s="23" t="n"/>
    </row>
    <row r="768" ht="15.75" customHeight="1" s="86">
      <c r="A768" s="23" t="n"/>
      <c r="B768" s="23" t="n"/>
      <c r="C768" s="23" t="n"/>
      <c r="D768" s="23" t="n"/>
      <c r="E768" s="23" t="n"/>
      <c r="F768" s="23" t="n"/>
      <c r="G768" s="23" t="n"/>
      <c r="H768" s="23" t="n"/>
      <c r="I768" s="23" t="n"/>
      <c r="J768" s="23" t="n"/>
      <c r="K768" s="23" t="n"/>
      <c r="L768" s="23" t="n"/>
      <c r="M768" s="23" t="n"/>
      <c r="N768" s="23" t="n"/>
      <c r="O768" s="23" t="n"/>
      <c r="P768" s="23" t="n"/>
      <c r="Q768" s="23" t="n"/>
      <c r="R768" s="23" t="n"/>
      <c r="S768" s="23" t="n"/>
      <c r="T768" s="23" t="n"/>
      <c r="U768" s="23" t="n"/>
      <c r="V768" s="23" t="n"/>
      <c r="W768" s="23" t="n"/>
      <c r="X768" s="23" t="n"/>
      <c r="Y768" s="23" t="n"/>
      <c r="Z768" s="23" t="n"/>
    </row>
    <row r="769" ht="15.75" customHeight="1" s="86">
      <c r="A769" s="23" t="n"/>
      <c r="B769" s="23" t="n"/>
      <c r="C769" s="23" t="n"/>
      <c r="D769" s="23" t="n"/>
      <c r="E769" s="23" t="n"/>
      <c r="F769" s="23" t="n"/>
      <c r="G769" s="23" t="n"/>
      <c r="H769" s="23" t="n"/>
      <c r="I769" s="23" t="n"/>
      <c r="J769" s="23" t="n"/>
      <c r="K769" s="23" t="n"/>
      <c r="L769" s="23" t="n"/>
      <c r="M769" s="23" t="n"/>
      <c r="N769" s="23" t="n"/>
      <c r="O769" s="23" t="n"/>
      <c r="P769" s="23" t="n"/>
      <c r="Q769" s="23" t="n"/>
      <c r="R769" s="23" t="n"/>
      <c r="S769" s="23" t="n"/>
      <c r="T769" s="23" t="n"/>
      <c r="U769" s="23" t="n"/>
      <c r="V769" s="23" t="n"/>
      <c r="W769" s="23" t="n"/>
      <c r="X769" s="23" t="n"/>
      <c r="Y769" s="23" t="n"/>
      <c r="Z769" s="23" t="n"/>
    </row>
    <row r="770" ht="15.75" customHeight="1" s="86">
      <c r="A770" s="23" t="n"/>
      <c r="B770" s="23" t="n"/>
      <c r="C770" s="23" t="n"/>
      <c r="D770" s="23" t="n"/>
      <c r="E770" s="23" t="n"/>
      <c r="F770" s="23" t="n"/>
      <c r="G770" s="23" t="n"/>
      <c r="H770" s="23" t="n"/>
      <c r="I770" s="23" t="n"/>
      <c r="J770" s="23" t="n"/>
      <c r="K770" s="23" t="n"/>
      <c r="L770" s="23" t="n"/>
      <c r="M770" s="23" t="n"/>
      <c r="N770" s="23" t="n"/>
      <c r="O770" s="23" t="n"/>
      <c r="P770" s="23" t="n"/>
      <c r="Q770" s="23" t="n"/>
      <c r="R770" s="23" t="n"/>
      <c r="S770" s="23" t="n"/>
      <c r="T770" s="23" t="n"/>
      <c r="U770" s="23" t="n"/>
      <c r="V770" s="23" t="n"/>
      <c r="W770" s="23" t="n"/>
      <c r="X770" s="23" t="n"/>
      <c r="Y770" s="23" t="n"/>
      <c r="Z770" s="23" t="n"/>
    </row>
    <row r="771" ht="15.75" customHeight="1" s="86">
      <c r="A771" s="23" t="n"/>
      <c r="B771" s="23" t="n"/>
      <c r="C771" s="23" t="n"/>
      <c r="D771" s="23" t="n"/>
      <c r="E771" s="23" t="n"/>
      <c r="F771" s="23" t="n"/>
      <c r="G771" s="23" t="n"/>
      <c r="H771" s="23" t="n"/>
      <c r="I771" s="23" t="n"/>
      <c r="J771" s="23" t="n"/>
      <c r="K771" s="23" t="n"/>
      <c r="L771" s="23" t="n"/>
      <c r="M771" s="23" t="n"/>
      <c r="N771" s="23" t="n"/>
      <c r="O771" s="23" t="n"/>
      <c r="P771" s="23" t="n"/>
      <c r="Q771" s="23" t="n"/>
      <c r="R771" s="23" t="n"/>
      <c r="S771" s="23" t="n"/>
      <c r="T771" s="23" t="n"/>
      <c r="U771" s="23" t="n"/>
      <c r="V771" s="23" t="n"/>
      <c r="W771" s="23" t="n"/>
      <c r="X771" s="23" t="n"/>
      <c r="Y771" s="23" t="n"/>
      <c r="Z771" s="23" t="n"/>
    </row>
    <row r="772" ht="15.75" customHeight="1" s="86">
      <c r="A772" s="23" t="n"/>
      <c r="B772" s="23" t="n"/>
      <c r="C772" s="23" t="n"/>
      <c r="D772" s="23" t="n"/>
      <c r="E772" s="23" t="n"/>
      <c r="F772" s="23" t="n"/>
      <c r="G772" s="23" t="n"/>
      <c r="H772" s="23" t="n"/>
      <c r="I772" s="23" t="n"/>
      <c r="J772" s="23" t="n"/>
      <c r="K772" s="23" t="n"/>
      <c r="L772" s="23" t="n"/>
      <c r="M772" s="23" t="n"/>
      <c r="N772" s="23" t="n"/>
      <c r="O772" s="23" t="n"/>
      <c r="P772" s="23" t="n"/>
      <c r="Q772" s="23" t="n"/>
      <c r="R772" s="23" t="n"/>
      <c r="S772" s="23" t="n"/>
      <c r="T772" s="23" t="n"/>
      <c r="U772" s="23" t="n"/>
      <c r="V772" s="23" t="n"/>
      <c r="W772" s="23" t="n"/>
      <c r="X772" s="23" t="n"/>
      <c r="Y772" s="23" t="n"/>
      <c r="Z772" s="23" t="n"/>
    </row>
    <row r="773" ht="15.75" customHeight="1" s="86">
      <c r="A773" s="23" t="n"/>
      <c r="B773" s="23" t="n"/>
      <c r="C773" s="23" t="n"/>
      <c r="D773" s="23" t="n"/>
      <c r="E773" s="23" t="n"/>
      <c r="F773" s="23" t="n"/>
      <c r="G773" s="23" t="n"/>
      <c r="H773" s="23" t="n"/>
      <c r="I773" s="23" t="n"/>
      <c r="J773" s="23" t="n"/>
      <c r="K773" s="23" t="n"/>
      <c r="L773" s="23" t="n"/>
      <c r="M773" s="23" t="n"/>
      <c r="N773" s="23" t="n"/>
      <c r="O773" s="23" t="n"/>
      <c r="P773" s="23" t="n"/>
      <c r="Q773" s="23" t="n"/>
      <c r="R773" s="23" t="n"/>
      <c r="S773" s="23" t="n"/>
      <c r="T773" s="23" t="n"/>
      <c r="U773" s="23" t="n"/>
      <c r="V773" s="23" t="n"/>
      <c r="W773" s="23" t="n"/>
      <c r="X773" s="23" t="n"/>
      <c r="Y773" s="23" t="n"/>
      <c r="Z773" s="23" t="n"/>
    </row>
    <row r="774" ht="15.75" customHeight="1" s="86">
      <c r="A774" s="23" t="n"/>
      <c r="B774" s="23" t="n"/>
      <c r="C774" s="23" t="n"/>
      <c r="D774" s="23" t="n"/>
      <c r="E774" s="23" t="n"/>
      <c r="F774" s="23" t="n"/>
      <c r="G774" s="23" t="n"/>
      <c r="H774" s="23" t="n"/>
      <c r="I774" s="23" t="n"/>
      <c r="J774" s="23" t="n"/>
      <c r="K774" s="23" t="n"/>
      <c r="L774" s="23" t="n"/>
      <c r="M774" s="23" t="n"/>
      <c r="N774" s="23" t="n"/>
      <c r="O774" s="23" t="n"/>
      <c r="P774" s="23" t="n"/>
      <c r="Q774" s="23" t="n"/>
      <c r="R774" s="23" t="n"/>
      <c r="S774" s="23" t="n"/>
      <c r="T774" s="23" t="n"/>
      <c r="U774" s="23" t="n"/>
      <c r="V774" s="23" t="n"/>
      <c r="W774" s="23" t="n"/>
      <c r="X774" s="23" t="n"/>
      <c r="Y774" s="23" t="n"/>
      <c r="Z774" s="23" t="n"/>
    </row>
    <row r="775" ht="15.75" customHeight="1" s="86">
      <c r="A775" s="23" t="n"/>
      <c r="B775" s="23" t="n"/>
      <c r="C775" s="23" t="n"/>
      <c r="D775" s="23" t="n"/>
      <c r="E775" s="23" t="n"/>
      <c r="F775" s="23" t="n"/>
      <c r="G775" s="23" t="n"/>
      <c r="H775" s="23" t="n"/>
      <c r="I775" s="23" t="n"/>
      <c r="J775" s="23" t="n"/>
      <c r="K775" s="23" t="n"/>
      <c r="L775" s="23" t="n"/>
      <c r="M775" s="23" t="n"/>
      <c r="N775" s="23" t="n"/>
      <c r="O775" s="23" t="n"/>
      <c r="P775" s="23" t="n"/>
      <c r="Q775" s="23" t="n"/>
      <c r="R775" s="23" t="n"/>
      <c r="S775" s="23" t="n"/>
      <c r="T775" s="23" t="n"/>
      <c r="U775" s="23" t="n"/>
      <c r="V775" s="23" t="n"/>
      <c r="W775" s="23" t="n"/>
      <c r="X775" s="23" t="n"/>
      <c r="Y775" s="23" t="n"/>
      <c r="Z775" s="23" t="n"/>
    </row>
    <row r="776" ht="15.75" customHeight="1" s="86">
      <c r="A776" s="23" t="n"/>
      <c r="B776" s="23" t="n"/>
      <c r="C776" s="23" t="n"/>
      <c r="D776" s="23" t="n"/>
      <c r="E776" s="23" t="n"/>
      <c r="F776" s="23" t="n"/>
      <c r="G776" s="23" t="n"/>
      <c r="H776" s="23" t="n"/>
      <c r="I776" s="23" t="n"/>
      <c r="J776" s="23" t="n"/>
      <c r="K776" s="23" t="n"/>
      <c r="L776" s="23" t="n"/>
      <c r="M776" s="23" t="n"/>
      <c r="N776" s="23" t="n"/>
      <c r="O776" s="23" t="n"/>
      <c r="P776" s="23" t="n"/>
      <c r="Q776" s="23" t="n"/>
      <c r="R776" s="23" t="n"/>
      <c r="S776" s="23" t="n"/>
      <c r="T776" s="23" t="n"/>
      <c r="U776" s="23" t="n"/>
      <c r="V776" s="23" t="n"/>
      <c r="W776" s="23" t="n"/>
      <c r="X776" s="23" t="n"/>
      <c r="Y776" s="23" t="n"/>
      <c r="Z776" s="23" t="n"/>
    </row>
    <row r="777" ht="15.75" customHeight="1" s="86">
      <c r="A777" s="23" t="n"/>
      <c r="B777" s="23" t="n"/>
      <c r="C777" s="23" t="n"/>
      <c r="D777" s="23" t="n"/>
      <c r="E777" s="23" t="n"/>
      <c r="F777" s="23" t="n"/>
      <c r="G777" s="23" t="n"/>
      <c r="H777" s="23" t="n"/>
      <c r="I777" s="23" t="n"/>
      <c r="J777" s="23" t="n"/>
      <c r="K777" s="23" t="n"/>
      <c r="L777" s="23" t="n"/>
      <c r="M777" s="23" t="n"/>
      <c r="N777" s="23" t="n"/>
      <c r="O777" s="23" t="n"/>
      <c r="P777" s="23" t="n"/>
      <c r="Q777" s="23" t="n"/>
      <c r="R777" s="23" t="n"/>
      <c r="S777" s="23" t="n"/>
      <c r="T777" s="23" t="n"/>
      <c r="U777" s="23" t="n"/>
      <c r="V777" s="23" t="n"/>
      <c r="W777" s="23" t="n"/>
      <c r="X777" s="23" t="n"/>
      <c r="Y777" s="23" t="n"/>
      <c r="Z777" s="23" t="n"/>
    </row>
    <row r="778" ht="15.75" customHeight="1" s="86">
      <c r="A778" s="23" t="n"/>
      <c r="B778" s="23" t="n"/>
      <c r="C778" s="23" t="n"/>
      <c r="D778" s="23" t="n"/>
      <c r="E778" s="23" t="n"/>
      <c r="F778" s="23" t="n"/>
      <c r="G778" s="23" t="n"/>
      <c r="H778" s="23" t="n"/>
      <c r="I778" s="23" t="n"/>
      <c r="J778" s="23" t="n"/>
      <c r="K778" s="23" t="n"/>
      <c r="L778" s="23" t="n"/>
      <c r="M778" s="23" t="n"/>
      <c r="N778" s="23" t="n"/>
      <c r="O778" s="23" t="n"/>
      <c r="P778" s="23" t="n"/>
      <c r="Q778" s="23" t="n"/>
      <c r="R778" s="23" t="n"/>
      <c r="S778" s="23" t="n"/>
      <c r="T778" s="23" t="n"/>
      <c r="U778" s="23" t="n"/>
      <c r="V778" s="23" t="n"/>
      <c r="W778" s="23" t="n"/>
      <c r="X778" s="23" t="n"/>
      <c r="Y778" s="23" t="n"/>
      <c r="Z778" s="23" t="n"/>
    </row>
    <row r="779" ht="15.75" customHeight="1" s="86">
      <c r="A779" s="23" t="n"/>
      <c r="B779" s="23" t="n"/>
      <c r="C779" s="23" t="n"/>
      <c r="D779" s="23" t="n"/>
      <c r="E779" s="23" t="n"/>
      <c r="F779" s="23" t="n"/>
      <c r="G779" s="23" t="n"/>
      <c r="H779" s="23" t="n"/>
      <c r="I779" s="23" t="n"/>
      <c r="J779" s="23" t="n"/>
      <c r="K779" s="23" t="n"/>
      <c r="L779" s="23" t="n"/>
      <c r="M779" s="23" t="n"/>
      <c r="N779" s="23" t="n"/>
      <c r="O779" s="23" t="n"/>
      <c r="P779" s="23" t="n"/>
      <c r="Q779" s="23" t="n"/>
      <c r="R779" s="23" t="n"/>
      <c r="S779" s="23" t="n"/>
      <c r="T779" s="23" t="n"/>
      <c r="U779" s="23" t="n"/>
      <c r="V779" s="23" t="n"/>
      <c r="W779" s="23" t="n"/>
      <c r="X779" s="23" t="n"/>
      <c r="Y779" s="23" t="n"/>
      <c r="Z779" s="23" t="n"/>
    </row>
    <row r="780" ht="15.75" customHeight="1" s="86">
      <c r="A780" s="23" t="n"/>
      <c r="B780" s="23" t="n"/>
      <c r="C780" s="23" t="n"/>
      <c r="D780" s="23" t="n"/>
      <c r="E780" s="23" t="n"/>
      <c r="F780" s="23" t="n"/>
      <c r="G780" s="23" t="n"/>
      <c r="H780" s="23" t="n"/>
      <c r="I780" s="23" t="n"/>
      <c r="J780" s="23" t="n"/>
      <c r="K780" s="23" t="n"/>
      <c r="L780" s="23" t="n"/>
      <c r="M780" s="23" t="n"/>
      <c r="N780" s="23" t="n"/>
      <c r="O780" s="23" t="n"/>
      <c r="P780" s="23" t="n"/>
      <c r="Q780" s="23" t="n"/>
      <c r="R780" s="23" t="n"/>
      <c r="S780" s="23" t="n"/>
      <c r="T780" s="23" t="n"/>
      <c r="U780" s="23" t="n"/>
      <c r="V780" s="23" t="n"/>
      <c r="W780" s="23" t="n"/>
      <c r="X780" s="23" t="n"/>
      <c r="Y780" s="23" t="n"/>
      <c r="Z780" s="23" t="n"/>
    </row>
    <row r="781" ht="15.75" customHeight="1" s="86">
      <c r="A781" s="23" t="n"/>
      <c r="B781" s="23" t="n"/>
      <c r="C781" s="23" t="n"/>
      <c r="D781" s="23" t="n"/>
      <c r="E781" s="23" t="n"/>
      <c r="F781" s="23" t="n"/>
      <c r="G781" s="23" t="n"/>
      <c r="H781" s="23" t="n"/>
      <c r="I781" s="23" t="n"/>
      <c r="J781" s="23" t="n"/>
      <c r="K781" s="23" t="n"/>
      <c r="L781" s="23" t="n"/>
      <c r="M781" s="23" t="n"/>
      <c r="N781" s="23" t="n"/>
      <c r="O781" s="23" t="n"/>
      <c r="P781" s="23" t="n"/>
      <c r="Q781" s="23" t="n"/>
      <c r="R781" s="23" t="n"/>
      <c r="S781" s="23" t="n"/>
      <c r="T781" s="23" t="n"/>
      <c r="U781" s="23" t="n"/>
      <c r="V781" s="23" t="n"/>
      <c r="W781" s="23" t="n"/>
      <c r="X781" s="23" t="n"/>
      <c r="Y781" s="23" t="n"/>
      <c r="Z781" s="23" t="n"/>
    </row>
    <row r="782" ht="15.75" customHeight="1" s="86">
      <c r="A782" s="23" t="n"/>
      <c r="B782" s="23" t="n"/>
      <c r="C782" s="23" t="n"/>
      <c r="D782" s="23" t="n"/>
      <c r="E782" s="23" t="n"/>
      <c r="F782" s="23" t="n"/>
      <c r="G782" s="23" t="n"/>
      <c r="H782" s="23" t="n"/>
      <c r="I782" s="23" t="n"/>
      <c r="J782" s="23" t="n"/>
      <c r="K782" s="23" t="n"/>
      <c r="L782" s="23" t="n"/>
      <c r="M782" s="23" t="n"/>
      <c r="N782" s="23" t="n"/>
      <c r="O782" s="23" t="n"/>
      <c r="P782" s="23" t="n"/>
      <c r="Q782" s="23" t="n"/>
      <c r="R782" s="23" t="n"/>
      <c r="S782" s="23" t="n"/>
      <c r="T782" s="23" t="n"/>
      <c r="U782" s="23" t="n"/>
      <c r="V782" s="23" t="n"/>
      <c r="W782" s="23" t="n"/>
      <c r="X782" s="23" t="n"/>
      <c r="Y782" s="23" t="n"/>
      <c r="Z782" s="23" t="n"/>
    </row>
    <row r="783" ht="15.75" customHeight="1" s="86">
      <c r="A783" s="23" t="n"/>
      <c r="B783" s="23" t="n"/>
      <c r="C783" s="23" t="n"/>
      <c r="D783" s="23" t="n"/>
      <c r="E783" s="23" t="n"/>
      <c r="F783" s="23" t="n"/>
      <c r="G783" s="23" t="n"/>
      <c r="H783" s="23" t="n"/>
      <c r="I783" s="23" t="n"/>
      <c r="J783" s="23" t="n"/>
      <c r="K783" s="23" t="n"/>
      <c r="L783" s="23" t="n"/>
      <c r="M783" s="23" t="n"/>
      <c r="N783" s="23" t="n"/>
      <c r="O783" s="23" t="n"/>
      <c r="P783" s="23" t="n"/>
      <c r="Q783" s="23" t="n"/>
      <c r="R783" s="23" t="n"/>
      <c r="S783" s="23" t="n"/>
      <c r="T783" s="23" t="n"/>
      <c r="U783" s="23" t="n"/>
      <c r="V783" s="23" t="n"/>
      <c r="W783" s="23" t="n"/>
      <c r="X783" s="23" t="n"/>
      <c r="Y783" s="23" t="n"/>
      <c r="Z783" s="23" t="n"/>
    </row>
    <row r="784" ht="15.75" customHeight="1" s="86">
      <c r="A784" s="23" t="n"/>
      <c r="B784" s="23" t="n"/>
      <c r="C784" s="23" t="n"/>
      <c r="D784" s="23" t="n"/>
      <c r="E784" s="23" t="n"/>
      <c r="F784" s="23" t="n"/>
      <c r="G784" s="23" t="n"/>
      <c r="H784" s="23" t="n"/>
      <c r="I784" s="23" t="n"/>
      <c r="J784" s="23" t="n"/>
      <c r="K784" s="23" t="n"/>
      <c r="L784" s="23" t="n"/>
      <c r="M784" s="23" t="n"/>
      <c r="N784" s="23" t="n"/>
      <c r="O784" s="23" t="n"/>
      <c r="P784" s="23" t="n"/>
      <c r="Q784" s="23" t="n"/>
      <c r="R784" s="23" t="n"/>
      <c r="S784" s="23" t="n"/>
      <c r="T784" s="23" t="n"/>
      <c r="U784" s="23" t="n"/>
      <c r="V784" s="23" t="n"/>
      <c r="W784" s="23" t="n"/>
      <c r="X784" s="23" t="n"/>
      <c r="Y784" s="23" t="n"/>
      <c r="Z784" s="23" t="n"/>
    </row>
    <row r="785" ht="15.75" customHeight="1" s="86">
      <c r="A785" s="23" t="n"/>
      <c r="B785" s="23" t="n"/>
      <c r="C785" s="23" t="n"/>
      <c r="D785" s="23" t="n"/>
      <c r="E785" s="23" t="n"/>
      <c r="F785" s="23" t="n"/>
      <c r="G785" s="23" t="n"/>
      <c r="H785" s="23" t="n"/>
      <c r="I785" s="23" t="n"/>
      <c r="J785" s="23" t="n"/>
      <c r="K785" s="23" t="n"/>
      <c r="L785" s="23" t="n"/>
      <c r="M785" s="23" t="n"/>
      <c r="N785" s="23" t="n"/>
      <c r="O785" s="23" t="n"/>
      <c r="P785" s="23" t="n"/>
      <c r="Q785" s="23" t="n"/>
      <c r="R785" s="23" t="n"/>
      <c r="S785" s="23" t="n"/>
      <c r="T785" s="23" t="n"/>
      <c r="U785" s="23" t="n"/>
      <c r="V785" s="23" t="n"/>
      <c r="W785" s="23" t="n"/>
      <c r="X785" s="23" t="n"/>
      <c r="Y785" s="23" t="n"/>
      <c r="Z785" s="23" t="n"/>
    </row>
    <row r="786" ht="15.75" customHeight="1" s="86">
      <c r="A786" s="23" t="n"/>
      <c r="B786" s="23" t="n"/>
      <c r="C786" s="23" t="n"/>
      <c r="D786" s="23" t="n"/>
      <c r="E786" s="23" t="n"/>
      <c r="F786" s="23" t="n"/>
      <c r="G786" s="23" t="n"/>
      <c r="H786" s="23" t="n"/>
      <c r="I786" s="23" t="n"/>
      <c r="J786" s="23" t="n"/>
      <c r="K786" s="23" t="n"/>
      <c r="L786" s="23" t="n"/>
      <c r="M786" s="23" t="n"/>
      <c r="N786" s="23" t="n"/>
      <c r="O786" s="23" t="n"/>
      <c r="P786" s="23" t="n"/>
      <c r="Q786" s="23" t="n"/>
      <c r="R786" s="23" t="n"/>
      <c r="S786" s="23" t="n"/>
      <c r="T786" s="23" t="n"/>
      <c r="U786" s="23" t="n"/>
      <c r="V786" s="23" t="n"/>
      <c r="W786" s="23" t="n"/>
      <c r="X786" s="23" t="n"/>
      <c r="Y786" s="23" t="n"/>
      <c r="Z786" s="23" t="n"/>
    </row>
    <row r="787" ht="15.75" customHeight="1" s="86">
      <c r="A787" s="23" t="n"/>
      <c r="B787" s="23" t="n"/>
      <c r="C787" s="23" t="n"/>
      <c r="D787" s="23" t="n"/>
      <c r="E787" s="23" t="n"/>
      <c r="F787" s="23" t="n"/>
      <c r="G787" s="23" t="n"/>
      <c r="H787" s="23" t="n"/>
      <c r="I787" s="23" t="n"/>
      <c r="J787" s="23" t="n"/>
      <c r="K787" s="23" t="n"/>
      <c r="L787" s="23" t="n"/>
      <c r="M787" s="23" t="n"/>
      <c r="N787" s="23" t="n"/>
      <c r="O787" s="23" t="n"/>
      <c r="P787" s="23" t="n"/>
      <c r="Q787" s="23" t="n"/>
      <c r="R787" s="23" t="n"/>
      <c r="S787" s="23" t="n"/>
      <c r="T787" s="23" t="n"/>
      <c r="U787" s="23" t="n"/>
      <c r="V787" s="23" t="n"/>
      <c r="W787" s="23" t="n"/>
      <c r="X787" s="23" t="n"/>
      <c r="Y787" s="23" t="n"/>
      <c r="Z787" s="23" t="n"/>
    </row>
    <row r="788" ht="15.75" customHeight="1" s="86">
      <c r="A788" s="23" t="n"/>
      <c r="B788" s="23" t="n"/>
      <c r="C788" s="23" t="n"/>
      <c r="D788" s="23" t="n"/>
      <c r="E788" s="23" t="n"/>
      <c r="F788" s="23" t="n"/>
      <c r="G788" s="23" t="n"/>
      <c r="H788" s="23" t="n"/>
      <c r="I788" s="23" t="n"/>
      <c r="J788" s="23" t="n"/>
      <c r="K788" s="23" t="n"/>
      <c r="L788" s="23" t="n"/>
      <c r="M788" s="23" t="n"/>
      <c r="N788" s="23" t="n"/>
      <c r="O788" s="23" t="n"/>
      <c r="P788" s="23" t="n"/>
      <c r="Q788" s="23" t="n"/>
      <c r="R788" s="23" t="n"/>
      <c r="S788" s="23" t="n"/>
      <c r="T788" s="23" t="n"/>
      <c r="U788" s="23" t="n"/>
      <c r="V788" s="23" t="n"/>
      <c r="W788" s="23" t="n"/>
      <c r="X788" s="23" t="n"/>
      <c r="Y788" s="23" t="n"/>
      <c r="Z788" s="23" t="n"/>
    </row>
    <row r="789" ht="15.75" customHeight="1" s="86">
      <c r="A789" s="23" t="n"/>
      <c r="B789" s="23" t="n"/>
      <c r="C789" s="23" t="n"/>
      <c r="D789" s="23" t="n"/>
      <c r="E789" s="23" t="n"/>
      <c r="F789" s="23" t="n"/>
      <c r="G789" s="23" t="n"/>
      <c r="H789" s="23" t="n"/>
      <c r="I789" s="23" t="n"/>
      <c r="J789" s="23" t="n"/>
      <c r="K789" s="23" t="n"/>
      <c r="L789" s="23" t="n"/>
      <c r="M789" s="23" t="n"/>
      <c r="N789" s="23" t="n"/>
      <c r="O789" s="23" t="n"/>
      <c r="P789" s="23" t="n"/>
      <c r="Q789" s="23" t="n"/>
      <c r="R789" s="23" t="n"/>
      <c r="S789" s="23" t="n"/>
      <c r="T789" s="23" t="n"/>
      <c r="U789" s="23" t="n"/>
      <c r="V789" s="23" t="n"/>
      <c r="W789" s="23" t="n"/>
      <c r="X789" s="23" t="n"/>
      <c r="Y789" s="23" t="n"/>
      <c r="Z789" s="23" t="n"/>
    </row>
    <row r="790" ht="15.75" customHeight="1" s="86">
      <c r="A790" s="23" t="n"/>
      <c r="B790" s="23" t="n"/>
      <c r="C790" s="23" t="n"/>
      <c r="D790" s="23" t="n"/>
      <c r="E790" s="23" t="n"/>
      <c r="F790" s="23" t="n"/>
      <c r="G790" s="23" t="n"/>
      <c r="H790" s="23" t="n"/>
      <c r="I790" s="23" t="n"/>
      <c r="J790" s="23" t="n"/>
      <c r="K790" s="23" t="n"/>
      <c r="L790" s="23" t="n"/>
      <c r="M790" s="23" t="n"/>
      <c r="N790" s="23" t="n"/>
      <c r="O790" s="23" t="n"/>
      <c r="P790" s="23" t="n"/>
      <c r="Q790" s="23" t="n"/>
      <c r="R790" s="23" t="n"/>
      <c r="S790" s="23" t="n"/>
      <c r="T790" s="23" t="n"/>
      <c r="U790" s="23" t="n"/>
      <c r="V790" s="23" t="n"/>
      <c r="W790" s="23" t="n"/>
      <c r="X790" s="23" t="n"/>
      <c r="Y790" s="23" t="n"/>
      <c r="Z790" s="23" t="n"/>
    </row>
    <row r="791" ht="15.75" customHeight="1" s="86">
      <c r="A791" s="23" t="n"/>
      <c r="B791" s="23" t="n"/>
      <c r="C791" s="23" t="n"/>
      <c r="D791" s="23" t="n"/>
      <c r="E791" s="23" t="n"/>
      <c r="F791" s="23" t="n"/>
      <c r="G791" s="23" t="n"/>
      <c r="H791" s="23" t="n"/>
      <c r="I791" s="23" t="n"/>
      <c r="J791" s="23" t="n"/>
      <c r="K791" s="23" t="n"/>
      <c r="L791" s="23" t="n"/>
      <c r="M791" s="23" t="n"/>
      <c r="N791" s="23" t="n"/>
      <c r="O791" s="23" t="n"/>
      <c r="P791" s="23" t="n"/>
      <c r="Q791" s="23" t="n"/>
      <c r="R791" s="23" t="n"/>
      <c r="S791" s="23" t="n"/>
      <c r="T791" s="23" t="n"/>
      <c r="U791" s="23" t="n"/>
      <c r="V791" s="23" t="n"/>
      <c r="W791" s="23" t="n"/>
      <c r="X791" s="23" t="n"/>
      <c r="Y791" s="23" t="n"/>
      <c r="Z791" s="23" t="n"/>
    </row>
    <row r="792" ht="15.75" customHeight="1" s="86">
      <c r="A792" s="23" t="n"/>
      <c r="B792" s="23" t="n"/>
      <c r="C792" s="23" t="n"/>
      <c r="D792" s="23" t="n"/>
      <c r="E792" s="23" t="n"/>
      <c r="F792" s="23" t="n"/>
      <c r="G792" s="23" t="n"/>
      <c r="H792" s="23" t="n"/>
      <c r="I792" s="23" t="n"/>
      <c r="J792" s="23" t="n"/>
      <c r="K792" s="23" t="n"/>
      <c r="L792" s="23" t="n"/>
      <c r="M792" s="23" t="n"/>
      <c r="N792" s="23" t="n"/>
      <c r="O792" s="23" t="n"/>
      <c r="P792" s="23" t="n"/>
      <c r="Q792" s="23" t="n"/>
      <c r="R792" s="23" t="n"/>
      <c r="S792" s="23" t="n"/>
      <c r="T792" s="23" t="n"/>
      <c r="U792" s="23" t="n"/>
      <c r="V792" s="23" t="n"/>
      <c r="W792" s="23" t="n"/>
      <c r="X792" s="23" t="n"/>
      <c r="Y792" s="23" t="n"/>
      <c r="Z792" s="23" t="n"/>
    </row>
    <row r="793" ht="15.75" customHeight="1" s="86">
      <c r="A793" s="23" t="n"/>
      <c r="B793" s="23" t="n"/>
      <c r="C793" s="23" t="n"/>
      <c r="D793" s="23" t="n"/>
      <c r="E793" s="23" t="n"/>
      <c r="F793" s="23" t="n"/>
      <c r="G793" s="23" t="n"/>
      <c r="H793" s="23" t="n"/>
      <c r="I793" s="23" t="n"/>
      <c r="J793" s="23" t="n"/>
      <c r="K793" s="23" t="n"/>
      <c r="L793" s="23" t="n"/>
      <c r="M793" s="23" t="n"/>
      <c r="N793" s="23" t="n"/>
      <c r="O793" s="23" t="n"/>
      <c r="P793" s="23" t="n"/>
      <c r="Q793" s="23" t="n"/>
      <c r="R793" s="23" t="n"/>
      <c r="S793" s="23" t="n"/>
      <c r="T793" s="23" t="n"/>
      <c r="U793" s="23" t="n"/>
      <c r="V793" s="23" t="n"/>
      <c r="W793" s="23" t="n"/>
      <c r="X793" s="23" t="n"/>
      <c r="Y793" s="23" t="n"/>
      <c r="Z793" s="23" t="n"/>
    </row>
    <row r="794" ht="15.75" customHeight="1" s="86">
      <c r="A794" s="23" t="n"/>
      <c r="B794" s="23" t="n"/>
      <c r="C794" s="23" t="n"/>
      <c r="D794" s="23" t="n"/>
      <c r="E794" s="23" t="n"/>
      <c r="F794" s="23" t="n"/>
      <c r="G794" s="23" t="n"/>
      <c r="H794" s="23" t="n"/>
      <c r="I794" s="23" t="n"/>
      <c r="J794" s="23" t="n"/>
      <c r="K794" s="23" t="n"/>
      <c r="L794" s="23" t="n"/>
      <c r="M794" s="23" t="n"/>
      <c r="N794" s="23" t="n"/>
      <c r="O794" s="23" t="n"/>
      <c r="P794" s="23" t="n"/>
      <c r="Q794" s="23" t="n"/>
      <c r="R794" s="23" t="n"/>
      <c r="S794" s="23" t="n"/>
      <c r="T794" s="23" t="n"/>
      <c r="U794" s="23" t="n"/>
      <c r="V794" s="23" t="n"/>
      <c r="W794" s="23" t="n"/>
      <c r="X794" s="23" t="n"/>
      <c r="Y794" s="23" t="n"/>
      <c r="Z794" s="23" t="n"/>
    </row>
    <row r="795" ht="15.75" customHeight="1" s="86">
      <c r="A795" s="23" t="n"/>
      <c r="B795" s="23" t="n"/>
      <c r="C795" s="23" t="n"/>
      <c r="D795" s="23" t="n"/>
      <c r="E795" s="23" t="n"/>
      <c r="F795" s="23" t="n"/>
      <c r="G795" s="23" t="n"/>
      <c r="H795" s="23" t="n"/>
      <c r="I795" s="23" t="n"/>
      <c r="J795" s="23" t="n"/>
      <c r="K795" s="23" t="n"/>
      <c r="L795" s="23" t="n"/>
      <c r="M795" s="23" t="n"/>
      <c r="N795" s="23" t="n"/>
      <c r="O795" s="23" t="n"/>
      <c r="P795" s="23" t="n"/>
      <c r="Q795" s="23" t="n"/>
      <c r="R795" s="23" t="n"/>
      <c r="S795" s="23" t="n"/>
      <c r="T795" s="23" t="n"/>
      <c r="U795" s="23" t="n"/>
      <c r="V795" s="23" t="n"/>
      <c r="W795" s="23" t="n"/>
      <c r="X795" s="23" t="n"/>
      <c r="Y795" s="23" t="n"/>
      <c r="Z795" s="23" t="n"/>
    </row>
    <row r="796" ht="15.75" customHeight="1" s="86">
      <c r="A796" s="23" t="n"/>
      <c r="B796" s="23" t="n"/>
      <c r="C796" s="23" t="n"/>
      <c r="D796" s="23" t="n"/>
      <c r="E796" s="23" t="n"/>
      <c r="F796" s="23" t="n"/>
      <c r="G796" s="23" t="n"/>
      <c r="H796" s="23" t="n"/>
      <c r="I796" s="23" t="n"/>
      <c r="J796" s="23" t="n"/>
      <c r="K796" s="23" t="n"/>
      <c r="L796" s="23" t="n"/>
      <c r="M796" s="23" t="n"/>
      <c r="N796" s="23" t="n"/>
      <c r="O796" s="23" t="n"/>
      <c r="P796" s="23" t="n"/>
      <c r="Q796" s="23" t="n"/>
      <c r="R796" s="23" t="n"/>
      <c r="S796" s="23" t="n"/>
      <c r="T796" s="23" t="n"/>
      <c r="U796" s="23" t="n"/>
      <c r="V796" s="23" t="n"/>
      <c r="W796" s="23" t="n"/>
      <c r="X796" s="23" t="n"/>
      <c r="Y796" s="23" t="n"/>
      <c r="Z796" s="23" t="n"/>
    </row>
    <row r="797" ht="15.75" customHeight="1" s="86">
      <c r="A797" s="23" t="n"/>
      <c r="B797" s="23" t="n"/>
      <c r="C797" s="23" t="n"/>
      <c r="D797" s="23" t="n"/>
      <c r="E797" s="23" t="n"/>
      <c r="F797" s="23" t="n"/>
      <c r="G797" s="23" t="n"/>
      <c r="H797" s="23" t="n"/>
      <c r="I797" s="23" t="n"/>
      <c r="J797" s="23" t="n"/>
      <c r="K797" s="23" t="n"/>
      <c r="L797" s="23" t="n"/>
      <c r="M797" s="23" t="n"/>
      <c r="N797" s="23" t="n"/>
      <c r="O797" s="23" t="n"/>
      <c r="P797" s="23" t="n"/>
      <c r="Q797" s="23" t="n"/>
      <c r="R797" s="23" t="n"/>
      <c r="S797" s="23" t="n"/>
      <c r="T797" s="23" t="n"/>
      <c r="U797" s="23" t="n"/>
      <c r="V797" s="23" t="n"/>
      <c r="W797" s="23" t="n"/>
      <c r="X797" s="23" t="n"/>
      <c r="Y797" s="23" t="n"/>
      <c r="Z797" s="23" t="n"/>
    </row>
    <row r="798" ht="15.75" customHeight="1" s="86">
      <c r="A798" s="23" t="n"/>
      <c r="B798" s="23" t="n"/>
      <c r="C798" s="23" t="n"/>
      <c r="D798" s="23" t="n"/>
      <c r="E798" s="23" t="n"/>
      <c r="F798" s="23" t="n"/>
      <c r="G798" s="23" t="n"/>
      <c r="H798" s="23" t="n"/>
      <c r="I798" s="23" t="n"/>
      <c r="J798" s="23" t="n"/>
      <c r="K798" s="23" t="n"/>
      <c r="L798" s="23" t="n"/>
      <c r="M798" s="23" t="n"/>
      <c r="N798" s="23" t="n"/>
      <c r="O798" s="23" t="n"/>
      <c r="P798" s="23" t="n"/>
      <c r="Q798" s="23" t="n"/>
      <c r="R798" s="23" t="n"/>
      <c r="S798" s="23" t="n"/>
      <c r="T798" s="23" t="n"/>
      <c r="U798" s="23" t="n"/>
      <c r="V798" s="23" t="n"/>
      <c r="W798" s="23" t="n"/>
      <c r="X798" s="23" t="n"/>
      <c r="Y798" s="23" t="n"/>
      <c r="Z798" s="23" t="n"/>
    </row>
    <row r="799" ht="15.75" customHeight="1" s="86">
      <c r="A799" s="23" t="n"/>
      <c r="B799" s="23" t="n"/>
      <c r="C799" s="23" t="n"/>
      <c r="D799" s="23" t="n"/>
      <c r="E799" s="23" t="n"/>
      <c r="F799" s="23" t="n"/>
      <c r="G799" s="23" t="n"/>
      <c r="H799" s="23" t="n"/>
      <c r="I799" s="23" t="n"/>
      <c r="J799" s="23" t="n"/>
      <c r="K799" s="23" t="n"/>
      <c r="L799" s="23" t="n"/>
      <c r="M799" s="23" t="n"/>
      <c r="N799" s="23" t="n"/>
      <c r="O799" s="23" t="n"/>
      <c r="P799" s="23" t="n"/>
      <c r="Q799" s="23" t="n"/>
      <c r="R799" s="23" t="n"/>
      <c r="S799" s="23" t="n"/>
      <c r="T799" s="23" t="n"/>
      <c r="U799" s="23" t="n"/>
      <c r="V799" s="23" t="n"/>
      <c r="W799" s="23" t="n"/>
      <c r="X799" s="23" t="n"/>
      <c r="Y799" s="23" t="n"/>
      <c r="Z799" s="23" t="n"/>
    </row>
    <row r="800" ht="15.75" customHeight="1" s="86">
      <c r="A800" s="23" t="n"/>
      <c r="B800" s="23" t="n"/>
      <c r="C800" s="23" t="n"/>
      <c r="D800" s="23" t="n"/>
      <c r="E800" s="23" t="n"/>
      <c r="F800" s="23" t="n"/>
      <c r="G800" s="23" t="n"/>
      <c r="H800" s="23" t="n"/>
      <c r="I800" s="23" t="n"/>
      <c r="J800" s="23" t="n"/>
      <c r="K800" s="23" t="n"/>
      <c r="L800" s="23" t="n"/>
      <c r="M800" s="23" t="n"/>
      <c r="N800" s="23" t="n"/>
      <c r="O800" s="23" t="n"/>
      <c r="P800" s="23" t="n"/>
      <c r="Q800" s="23" t="n"/>
      <c r="R800" s="23" t="n"/>
      <c r="S800" s="23" t="n"/>
      <c r="T800" s="23" t="n"/>
      <c r="U800" s="23" t="n"/>
      <c r="V800" s="23" t="n"/>
      <c r="W800" s="23" t="n"/>
      <c r="X800" s="23" t="n"/>
      <c r="Y800" s="23" t="n"/>
      <c r="Z800" s="23" t="n"/>
    </row>
    <row r="801" ht="15.75" customHeight="1" s="86">
      <c r="A801" s="23" t="n"/>
      <c r="B801" s="23" t="n"/>
      <c r="C801" s="23" t="n"/>
      <c r="D801" s="23" t="n"/>
      <c r="E801" s="23" t="n"/>
      <c r="F801" s="23" t="n"/>
      <c r="G801" s="23" t="n"/>
      <c r="H801" s="23" t="n"/>
      <c r="I801" s="23" t="n"/>
      <c r="J801" s="23" t="n"/>
      <c r="K801" s="23" t="n"/>
      <c r="L801" s="23" t="n"/>
      <c r="M801" s="23" t="n"/>
      <c r="N801" s="23" t="n"/>
      <c r="O801" s="23" t="n"/>
      <c r="P801" s="23" t="n"/>
      <c r="Q801" s="23" t="n"/>
      <c r="R801" s="23" t="n"/>
      <c r="S801" s="23" t="n"/>
      <c r="T801" s="23" t="n"/>
      <c r="U801" s="23" t="n"/>
      <c r="V801" s="23" t="n"/>
      <c r="W801" s="23" t="n"/>
      <c r="X801" s="23" t="n"/>
      <c r="Y801" s="23" t="n"/>
      <c r="Z801" s="23" t="n"/>
    </row>
    <row r="802" ht="15.75" customHeight="1" s="86">
      <c r="A802" s="23" t="n"/>
      <c r="B802" s="23" t="n"/>
      <c r="C802" s="23" t="n"/>
      <c r="D802" s="23" t="n"/>
      <c r="E802" s="23" t="n"/>
      <c r="F802" s="23" t="n"/>
      <c r="G802" s="23" t="n"/>
      <c r="H802" s="23" t="n"/>
      <c r="I802" s="23" t="n"/>
      <c r="J802" s="23" t="n"/>
      <c r="K802" s="23" t="n"/>
      <c r="L802" s="23" t="n"/>
      <c r="M802" s="23" t="n"/>
      <c r="N802" s="23" t="n"/>
      <c r="O802" s="23" t="n"/>
      <c r="P802" s="23" t="n"/>
      <c r="Q802" s="23" t="n"/>
      <c r="R802" s="23" t="n"/>
      <c r="S802" s="23" t="n"/>
      <c r="T802" s="23" t="n"/>
      <c r="U802" s="23" t="n"/>
      <c r="V802" s="23" t="n"/>
      <c r="W802" s="23" t="n"/>
      <c r="X802" s="23" t="n"/>
      <c r="Y802" s="23" t="n"/>
      <c r="Z802" s="23" t="n"/>
    </row>
    <row r="803" ht="15.75" customHeight="1" s="86">
      <c r="A803" s="23" t="n"/>
      <c r="B803" s="23" t="n"/>
      <c r="C803" s="23" t="n"/>
      <c r="D803" s="23" t="n"/>
      <c r="E803" s="23" t="n"/>
      <c r="F803" s="23" t="n"/>
      <c r="G803" s="23" t="n"/>
      <c r="H803" s="23" t="n"/>
      <c r="I803" s="23" t="n"/>
      <c r="J803" s="23" t="n"/>
      <c r="K803" s="23" t="n"/>
      <c r="L803" s="23" t="n"/>
      <c r="M803" s="23" t="n"/>
      <c r="N803" s="23" t="n"/>
      <c r="O803" s="23" t="n"/>
      <c r="P803" s="23" t="n"/>
      <c r="Q803" s="23" t="n"/>
      <c r="R803" s="23" t="n"/>
      <c r="S803" s="23" t="n"/>
      <c r="T803" s="23" t="n"/>
      <c r="U803" s="23" t="n"/>
      <c r="V803" s="23" t="n"/>
      <c r="W803" s="23" t="n"/>
      <c r="X803" s="23" t="n"/>
      <c r="Y803" s="23" t="n"/>
      <c r="Z803" s="23" t="n"/>
    </row>
    <row r="804" ht="15.75" customHeight="1" s="86">
      <c r="A804" s="23" t="n"/>
      <c r="B804" s="23" t="n"/>
      <c r="C804" s="23" t="n"/>
      <c r="D804" s="23" t="n"/>
      <c r="E804" s="23" t="n"/>
      <c r="F804" s="23" t="n"/>
      <c r="G804" s="23" t="n"/>
      <c r="H804" s="23" t="n"/>
      <c r="I804" s="23" t="n"/>
      <c r="J804" s="23" t="n"/>
      <c r="K804" s="23" t="n"/>
      <c r="L804" s="23" t="n"/>
      <c r="M804" s="23" t="n"/>
      <c r="N804" s="23" t="n"/>
      <c r="O804" s="23" t="n"/>
      <c r="P804" s="23" t="n"/>
      <c r="Q804" s="23" t="n"/>
      <c r="R804" s="23" t="n"/>
      <c r="S804" s="23" t="n"/>
      <c r="T804" s="23" t="n"/>
      <c r="U804" s="23" t="n"/>
      <c r="V804" s="23" t="n"/>
      <c r="W804" s="23" t="n"/>
      <c r="X804" s="23" t="n"/>
      <c r="Y804" s="23" t="n"/>
      <c r="Z804" s="23" t="n"/>
    </row>
    <row r="805" ht="15.75" customHeight="1" s="86">
      <c r="A805" s="23" t="n"/>
      <c r="B805" s="23" t="n"/>
      <c r="C805" s="23" t="n"/>
      <c r="D805" s="23" t="n"/>
      <c r="E805" s="23" t="n"/>
      <c r="F805" s="23" t="n"/>
      <c r="G805" s="23" t="n"/>
      <c r="H805" s="23" t="n"/>
      <c r="I805" s="23" t="n"/>
      <c r="J805" s="23" t="n"/>
      <c r="K805" s="23" t="n"/>
      <c r="L805" s="23" t="n"/>
      <c r="M805" s="23" t="n"/>
      <c r="N805" s="23" t="n"/>
      <c r="O805" s="23" t="n"/>
      <c r="P805" s="23" t="n"/>
      <c r="Q805" s="23" t="n"/>
      <c r="R805" s="23" t="n"/>
      <c r="S805" s="23" t="n"/>
      <c r="T805" s="23" t="n"/>
      <c r="U805" s="23" t="n"/>
      <c r="V805" s="23" t="n"/>
      <c r="W805" s="23" t="n"/>
      <c r="X805" s="23" t="n"/>
      <c r="Y805" s="23" t="n"/>
      <c r="Z805" s="23" t="n"/>
    </row>
    <row r="806" ht="15.75" customHeight="1" s="86">
      <c r="A806" s="23" t="n"/>
      <c r="B806" s="23" t="n"/>
      <c r="C806" s="23" t="n"/>
      <c r="D806" s="23" t="n"/>
      <c r="E806" s="23" t="n"/>
      <c r="F806" s="23" t="n"/>
      <c r="G806" s="23" t="n"/>
      <c r="H806" s="23" t="n"/>
      <c r="I806" s="23" t="n"/>
      <c r="J806" s="23" t="n"/>
      <c r="K806" s="23" t="n"/>
      <c r="L806" s="23" t="n"/>
      <c r="M806" s="23" t="n"/>
      <c r="N806" s="23" t="n"/>
      <c r="O806" s="23" t="n"/>
      <c r="P806" s="23" t="n"/>
      <c r="Q806" s="23" t="n"/>
      <c r="R806" s="23" t="n"/>
      <c r="S806" s="23" t="n"/>
      <c r="T806" s="23" t="n"/>
      <c r="U806" s="23" t="n"/>
      <c r="V806" s="23" t="n"/>
      <c r="W806" s="23" t="n"/>
      <c r="X806" s="23" t="n"/>
      <c r="Y806" s="23" t="n"/>
      <c r="Z806" s="23" t="n"/>
    </row>
    <row r="807" ht="15.75" customHeight="1" s="86">
      <c r="A807" s="23" t="n"/>
      <c r="B807" s="23" t="n"/>
      <c r="C807" s="23" t="n"/>
      <c r="D807" s="23" t="n"/>
      <c r="E807" s="23" t="n"/>
      <c r="F807" s="23" t="n"/>
      <c r="G807" s="23" t="n"/>
      <c r="H807" s="23" t="n"/>
      <c r="I807" s="23" t="n"/>
      <c r="J807" s="23" t="n"/>
      <c r="K807" s="23" t="n"/>
      <c r="L807" s="23" t="n"/>
      <c r="M807" s="23" t="n"/>
      <c r="N807" s="23" t="n"/>
      <c r="O807" s="23" t="n"/>
      <c r="P807" s="23" t="n"/>
      <c r="Q807" s="23" t="n"/>
      <c r="R807" s="23" t="n"/>
      <c r="S807" s="23" t="n"/>
      <c r="T807" s="23" t="n"/>
      <c r="U807" s="23" t="n"/>
      <c r="V807" s="23" t="n"/>
      <c r="W807" s="23" t="n"/>
      <c r="X807" s="23" t="n"/>
      <c r="Y807" s="23" t="n"/>
      <c r="Z807" s="23" t="n"/>
    </row>
    <row r="808" ht="15.75" customHeight="1" s="86">
      <c r="A808" s="23" t="n"/>
      <c r="B808" s="23" t="n"/>
      <c r="C808" s="23" t="n"/>
      <c r="D808" s="23" t="n"/>
      <c r="E808" s="23" t="n"/>
      <c r="F808" s="23" t="n"/>
      <c r="G808" s="23" t="n"/>
      <c r="H808" s="23" t="n"/>
      <c r="I808" s="23" t="n"/>
      <c r="J808" s="23" t="n"/>
      <c r="K808" s="23" t="n"/>
      <c r="L808" s="23" t="n"/>
      <c r="M808" s="23" t="n"/>
      <c r="N808" s="23" t="n"/>
      <c r="O808" s="23" t="n"/>
      <c r="P808" s="23" t="n"/>
      <c r="Q808" s="23" t="n"/>
      <c r="R808" s="23" t="n"/>
      <c r="S808" s="23" t="n"/>
      <c r="T808" s="23" t="n"/>
      <c r="U808" s="23" t="n"/>
      <c r="V808" s="23" t="n"/>
      <c r="W808" s="23" t="n"/>
      <c r="X808" s="23" t="n"/>
      <c r="Y808" s="23" t="n"/>
      <c r="Z808" s="23" t="n"/>
    </row>
    <row r="809" ht="15.75" customHeight="1" s="86">
      <c r="A809" s="23" t="n"/>
      <c r="B809" s="23" t="n"/>
      <c r="C809" s="23" t="n"/>
      <c r="D809" s="23" t="n"/>
      <c r="E809" s="23" t="n"/>
      <c r="F809" s="23" t="n"/>
      <c r="G809" s="23" t="n"/>
      <c r="H809" s="23" t="n"/>
      <c r="I809" s="23" t="n"/>
      <c r="J809" s="23" t="n"/>
      <c r="K809" s="23" t="n"/>
      <c r="L809" s="23" t="n"/>
      <c r="M809" s="23" t="n"/>
      <c r="N809" s="23" t="n"/>
      <c r="O809" s="23" t="n"/>
      <c r="P809" s="23" t="n"/>
      <c r="Q809" s="23" t="n"/>
      <c r="R809" s="23" t="n"/>
      <c r="S809" s="23" t="n"/>
      <c r="T809" s="23" t="n"/>
      <c r="U809" s="23" t="n"/>
      <c r="V809" s="23" t="n"/>
      <c r="W809" s="23" t="n"/>
      <c r="X809" s="23" t="n"/>
      <c r="Y809" s="23" t="n"/>
      <c r="Z809" s="23" t="n"/>
    </row>
    <row r="810" ht="15.75" customHeight="1" s="86">
      <c r="A810" s="23" t="n"/>
      <c r="B810" s="23" t="n"/>
      <c r="C810" s="23" t="n"/>
      <c r="D810" s="23" t="n"/>
      <c r="E810" s="23" t="n"/>
      <c r="F810" s="23" t="n"/>
      <c r="G810" s="23" t="n"/>
      <c r="H810" s="23" t="n"/>
      <c r="I810" s="23" t="n"/>
      <c r="J810" s="23" t="n"/>
      <c r="K810" s="23" t="n"/>
      <c r="L810" s="23" t="n"/>
      <c r="M810" s="23" t="n"/>
      <c r="N810" s="23" t="n"/>
      <c r="O810" s="23" t="n"/>
      <c r="P810" s="23" t="n"/>
      <c r="Q810" s="23" t="n"/>
      <c r="R810" s="23" t="n"/>
      <c r="S810" s="23" t="n"/>
      <c r="T810" s="23" t="n"/>
      <c r="U810" s="23" t="n"/>
      <c r="V810" s="23" t="n"/>
      <c r="W810" s="23" t="n"/>
      <c r="X810" s="23" t="n"/>
      <c r="Y810" s="23" t="n"/>
      <c r="Z810" s="23" t="n"/>
    </row>
    <row r="811" ht="15.75" customHeight="1" s="86">
      <c r="A811" s="23" t="n"/>
      <c r="B811" s="23" t="n"/>
      <c r="C811" s="23" t="n"/>
      <c r="D811" s="23" t="n"/>
      <c r="E811" s="23" t="n"/>
      <c r="F811" s="23" t="n"/>
      <c r="G811" s="23" t="n"/>
      <c r="H811" s="23" t="n"/>
      <c r="I811" s="23" t="n"/>
      <c r="J811" s="23" t="n"/>
      <c r="K811" s="23" t="n"/>
      <c r="L811" s="23" t="n"/>
      <c r="M811" s="23" t="n"/>
      <c r="N811" s="23" t="n"/>
      <c r="O811" s="23" t="n"/>
      <c r="P811" s="23" t="n"/>
      <c r="Q811" s="23" t="n"/>
      <c r="R811" s="23" t="n"/>
      <c r="S811" s="23" t="n"/>
      <c r="T811" s="23" t="n"/>
      <c r="U811" s="23" t="n"/>
      <c r="V811" s="23" t="n"/>
      <c r="W811" s="23" t="n"/>
      <c r="X811" s="23" t="n"/>
      <c r="Y811" s="23" t="n"/>
      <c r="Z811" s="23" t="n"/>
    </row>
    <row r="812" ht="15.75" customHeight="1" s="86">
      <c r="A812" s="23" t="n"/>
      <c r="B812" s="23" t="n"/>
      <c r="C812" s="23" t="n"/>
      <c r="D812" s="23" t="n"/>
      <c r="E812" s="23" t="n"/>
      <c r="F812" s="23" t="n"/>
      <c r="G812" s="23" t="n"/>
      <c r="H812" s="23" t="n"/>
      <c r="I812" s="23" t="n"/>
      <c r="J812" s="23" t="n"/>
      <c r="K812" s="23" t="n"/>
      <c r="L812" s="23" t="n"/>
      <c r="M812" s="23" t="n"/>
      <c r="N812" s="23" t="n"/>
      <c r="O812" s="23" t="n"/>
      <c r="P812" s="23" t="n"/>
      <c r="Q812" s="23" t="n"/>
      <c r="R812" s="23" t="n"/>
      <c r="S812" s="23" t="n"/>
      <c r="T812" s="23" t="n"/>
      <c r="U812" s="23" t="n"/>
      <c r="V812" s="23" t="n"/>
      <c r="W812" s="23" t="n"/>
      <c r="X812" s="23" t="n"/>
      <c r="Y812" s="23" t="n"/>
      <c r="Z812" s="23" t="n"/>
    </row>
    <row r="813" ht="15.75" customHeight="1" s="86">
      <c r="A813" s="23" t="n"/>
      <c r="B813" s="23" t="n"/>
      <c r="C813" s="23" t="n"/>
      <c r="D813" s="23" t="n"/>
      <c r="E813" s="23" t="n"/>
      <c r="F813" s="23" t="n"/>
      <c r="G813" s="23" t="n"/>
      <c r="H813" s="23" t="n"/>
      <c r="I813" s="23" t="n"/>
      <c r="J813" s="23" t="n"/>
      <c r="K813" s="23" t="n"/>
      <c r="L813" s="23" t="n"/>
      <c r="M813" s="23" t="n"/>
      <c r="N813" s="23" t="n"/>
      <c r="O813" s="23" t="n"/>
      <c r="P813" s="23" t="n"/>
      <c r="Q813" s="23" t="n"/>
      <c r="R813" s="23" t="n"/>
      <c r="S813" s="23" t="n"/>
      <c r="T813" s="23" t="n"/>
      <c r="U813" s="23" t="n"/>
      <c r="V813" s="23" t="n"/>
      <c r="W813" s="23" t="n"/>
      <c r="X813" s="23" t="n"/>
      <c r="Y813" s="23" t="n"/>
      <c r="Z813" s="23" t="n"/>
    </row>
    <row r="814" ht="15.75" customHeight="1" s="86">
      <c r="A814" s="23" t="n"/>
      <c r="B814" s="23" t="n"/>
      <c r="C814" s="23" t="n"/>
      <c r="D814" s="23" t="n"/>
      <c r="E814" s="23" t="n"/>
      <c r="F814" s="23" t="n"/>
      <c r="G814" s="23" t="n"/>
      <c r="H814" s="23" t="n"/>
      <c r="I814" s="23" t="n"/>
      <c r="J814" s="23" t="n"/>
      <c r="K814" s="23" t="n"/>
      <c r="L814" s="23" t="n"/>
      <c r="M814" s="23" t="n"/>
      <c r="N814" s="23" t="n"/>
      <c r="O814" s="23" t="n"/>
      <c r="P814" s="23" t="n"/>
      <c r="Q814" s="23" t="n"/>
      <c r="R814" s="23" t="n"/>
      <c r="S814" s="23" t="n"/>
      <c r="T814" s="23" t="n"/>
      <c r="U814" s="23" t="n"/>
      <c r="V814" s="23" t="n"/>
      <c r="W814" s="23" t="n"/>
      <c r="X814" s="23" t="n"/>
      <c r="Y814" s="23" t="n"/>
      <c r="Z814" s="23" t="n"/>
    </row>
    <row r="815" ht="15.75" customHeight="1" s="86">
      <c r="A815" s="23" t="n"/>
      <c r="B815" s="23" t="n"/>
      <c r="C815" s="23" t="n"/>
      <c r="D815" s="23" t="n"/>
      <c r="E815" s="23" t="n"/>
      <c r="F815" s="23" t="n"/>
      <c r="G815" s="23" t="n"/>
      <c r="H815" s="23" t="n"/>
      <c r="I815" s="23" t="n"/>
      <c r="J815" s="23" t="n"/>
      <c r="K815" s="23" t="n"/>
      <c r="L815" s="23" t="n"/>
      <c r="M815" s="23" t="n"/>
      <c r="N815" s="23" t="n"/>
      <c r="O815" s="23" t="n"/>
      <c r="P815" s="23" t="n"/>
      <c r="Q815" s="23" t="n"/>
      <c r="R815" s="23" t="n"/>
      <c r="S815" s="23" t="n"/>
      <c r="T815" s="23" t="n"/>
      <c r="U815" s="23" t="n"/>
      <c r="V815" s="23" t="n"/>
      <c r="W815" s="23" t="n"/>
      <c r="X815" s="23" t="n"/>
      <c r="Y815" s="23" t="n"/>
      <c r="Z815" s="23" t="n"/>
    </row>
    <row r="816" ht="15.75" customHeight="1" s="86">
      <c r="A816" s="23" t="n"/>
      <c r="B816" s="23" t="n"/>
      <c r="C816" s="23" t="n"/>
      <c r="D816" s="23" t="n"/>
      <c r="E816" s="23" t="n"/>
      <c r="F816" s="23" t="n"/>
      <c r="G816" s="23" t="n"/>
      <c r="H816" s="23" t="n"/>
      <c r="I816" s="23" t="n"/>
      <c r="J816" s="23" t="n"/>
      <c r="K816" s="23" t="n"/>
      <c r="L816" s="23" t="n"/>
      <c r="M816" s="23" t="n"/>
      <c r="N816" s="23" t="n"/>
      <c r="O816" s="23" t="n"/>
      <c r="P816" s="23" t="n"/>
      <c r="Q816" s="23" t="n"/>
      <c r="R816" s="23" t="n"/>
      <c r="S816" s="23" t="n"/>
      <c r="T816" s="23" t="n"/>
      <c r="U816" s="23" t="n"/>
      <c r="V816" s="23" t="n"/>
      <c r="W816" s="23" t="n"/>
      <c r="X816" s="23" t="n"/>
      <c r="Y816" s="23" t="n"/>
      <c r="Z816" s="23" t="n"/>
    </row>
    <row r="817" ht="15.75" customHeight="1" s="86">
      <c r="A817" s="23" t="n"/>
      <c r="B817" s="23" t="n"/>
      <c r="C817" s="23" t="n"/>
      <c r="D817" s="23" t="n"/>
      <c r="E817" s="23" t="n"/>
      <c r="F817" s="23" t="n"/>
      <c r="G817" s="23" t="n"/>
      <c r="H817" s="23" t="n"/>
      <c r="I817" s="23" t="n"/>
      <c r="J817" s="23" t="n"/>
      <c r="K817" s="23" t="n"/>
      <c r="L817" s="23" t="n"/>
      <c r="M817" s="23" t="n"/>
      <c r="N817" s="23" t="n"/>
      <c r="O817" s="23" t="n"/>
      <c r="P817" s="23" t="n"/>
      <c r="Q817" s="23" t="n"/>
      <c r="R817" s="23" t="n"/>
      <c r="S817" s="23" t="n"/>
      <c r="T817" s="23" t="n"/>
      <c r="U817" s="23" t="n"/>
      <c r="V817" s="23" t="n"/>
      <c r="W817" s="23" t="n"/>
      <c r="X817" s="23" t="n"/>
      <c r="Y817" s="23" t="n"/>
      <c r="Z817" s="23" t="n"/>
    </row>
    <row r="818" ht="15.75" customHeight="1" s="86">
      <c r="A818" s="23" t="n"/>
      <c r="B818" s="23" t="n"/>
      <c r="C818" s="23" t="n"/>
      <c r="D818" s="23" t="n"/>
      <c r="E818" s="23" t="n"/>
      <c r="F818" s="23" t="n"/>
      <c r="G818" s="23" t="n"/>
      <c r="H818" s="23" t="n"/>
      <c r="I818" s="23" t="n"/>
      <c r="J818" s="23" t="n"/>
      <c r="K818" s="23" t="n"/>
      <c r="L818" s="23" t="n"/>
      <c r="M818" s="23" t="n"/>
      <c r="N818" s="23" t="n"/>
      <c r="O818" s="23" t="n"/>
      <c r="P818" s="23" t="n"/>
      <c r="Q818" s="23" t="n"/>
      <c r="R818" s="23" t="n"/>
      <c r="S818" s="23" t="n"/>
      <c r="T818" s="23" t="n"/>
      <c r="U818" s="23" t="n"/>
      <c r="V818" s="23" t="n"/>
      <c r="W818" s="23" t="n"/>
      <c r="X818" s="23" t="n"/>
      <c r="Y818" s="23" t="n"/>
      <c r="Z818" s="23" t="n"/>
    </row>
    <row r="819" ht="15.75" customHeight="1" s="86">
      <c r="A819" s="23" t="n"/>
      <c r="B819" s="23" t="n"/>
      <c r="C819" s="23" t="n"/>
      <c r="D819" s="23" t="n"/>
      <c r="E819" s="23" t="n"/>
      <c r="F819" s="23" t="n"/>
      <c r="G819" s="23" t="n"/>
      <c r="H819" s="23" t="n"/>
      <c r="I819" s="23" t="n"/>
      <c r="J819" s="23" t="n"/>
      <c r="K819" s="23" t="n"/>
      <c r="L819" s="23" t="n"/>
      <c r="M819" s="23" t="n"/>
      <c r="N819" s="23" t="n"/>
      <c r="O819" s="23" t="n"/>
      <c r="P819" s="23" t="n"/>
      <c r="Q819" s="23" t="n"/>
      <c r="R819" s="23" t="n"/>
      <c r="S819" s="23" t="n"/>
      <c r="T819" s="23" t="n"/>
      <c r="U819" s="23" t="n"/>
      <c r="V819" s="23" t="n"/>
      <c r="W819" s="23" t="n"/>
      <c r="X819" s="23" t="n"/>
      <c r="Y819" s="23" t="n"/>
      <c r="Z819" s="23" t="n"/>
    </row>
    <row r="820" ht="15.75" customHeight="1" s="86">
      <c r="A820" s="23" t="n"/>
      <c r="B820" s="23" t="n"/>
      <c r="C820" s="23" t="n"/>
      <c r="D820" s="23" t="n"/>
      <c r="E820" s="23" t="n"/>
      <c r="F820" s="23" t="n"/>
      <c r="G820" s="23" t="n"/>
      <c r="H820" s="23" t="n"/>
      <c r="I820" s="23" t="n"/>
      <c r="J820" s="23" t="n"/>
      <c r="K820" s="23" t="n"/>
      <c r="L820" s="23" t="n"/>
      <c r="M820" s="23" t="n"/>
      <c r="N820" s="23" t="n"/>
      <c r="O820" s="23" t="n"/>
      <c r="P820" s="23" t="n"/>
      <c r="Q820" s="23" t="n"/>
      <c r="R820" s="23" t="n"/>
      <c r="S820" s="23" t="n"/>
      <c r="T820" s="23" t="n"/>
      <c r="U820" s="23" t="n"/>
      <c r="V820" s="23" t="n"/>
      <c r="W820" s="23" t="n"/>
      <c r="X820" s="23" t="n"/>
      <c r="Y820" s="23" t="n"/>
      <c r="Z820" s="23" t="n"/>
    </row>
    <row r="821" ht="15.75" customHeight="1" s="86">
      <c r="A821" s="23" t="n"/>
      <c r="B821" s="23" t="n"/>
      <c r="C821" s="23" t="n"/>
      <c r="D821" s="23" t="n"/>
      <c r="E821" s="23" t="n"/>
      <c r="F821" s="23" t="n"/>
      <c r="G821" s="23" t="n"/>
      <c r="H821" s="23" t="n"/>
      <c r="I821" s="23" t="n"/>
      <c r="J821" s="23" t="n"/>
      <c r="K821" s="23" t="n"/>
      <c r="L821" s="23" t="n"/>
      <c r="M821" s="23" t="n"/>
      <c r="N821" s="23" t="n"/>
      <c r="O821" s="23" t="n"/>
      <c r="P821" s="23" t="n"/>
      <c r="Q821" s="23" t="n"/>
      <c r="R821" s="23" t="n"/>
      <c r="S821" s="23" t="n"/>
      <c r="T821" s="23" t="n"/>
      <c r="U821" s="23" t="n"/>
      <c r="V821" s="23" t="n"/>
      <c r="W821" s="23" t="n"/>
      <c r="X821" s="23" t="n"/>
      <c r="Y821" s="23" t="n"/>
      <c r="Z821" s="23" t="n"/>
    </row>
    <row r="822" ht="15.75" customHeight="1" s="86">
      <c r="A822" s="23" t="n"/>
      <c r="B822" s="23" t="n"/>
      <c r="C822" s="23" t="n"/>
      <c r="D822" s="23" t="n"/>
      <c r="E822" s="23" t="n"/>
      <c r="F822" s="23" t="n"/>
      <c r="G822" s="23" t="n"/>
      <c r="H822" s="23" t="n"/>
      <c r="I822" s="23" t="n"/>
      <c r="J822" s="23" t="n"/>
      <c r="K822" s="23" t="n"/>
      <c r="L822" s="23" t="n"/>
      <c r="M822" s="23" t="n"/>
      <c r="N822" s="23" t="n"/>
      <c r="O822" s="23" t="n"/>
      <c r="P822" s="23" t="n"/>
      <c r="Q822" s="23" t="n"/>
      <c r="R822" s="23" t="n"/>
      <c r="S822" s="23" t="n"/>
      <c r="T822" s="23" t="n"/>
      <c r="U822" s="23" t="n"/>
      <c r="V822" s="23" t="n"/>
      <c r="W822" s="23" t="n"/>
      <c r="X822" s="23" t="n"/>
      <c r="Y822" s="23" t="n"/>
      <c r="Z822" s="23" t="n"/>
    </row>
    <row r="823" ht="15.75" customHeight="1" s="86">
      <c r="A823" s="23" t="n"/>
      <c r="B823" s="23" t="n"/>
      <c r="C823" s="23" t="n"/>
      <c r="D823" s="23" t="n"/>
      <c r="E823" s="23" t="n"/>
      <c r="F823" s="23" t="n"/>
      <c r="G823" s="23" t="n"/>
      <c r="H823" s="23" t="n"/>
      <c r="I823" s="23" t="n"/>
      <c r="J823" s="23" t="n"/>
      <c r="K823" s="23" t="n"/>
      <c r="L823" s="23" t="n"/>
      <c r="M823" s="23" t="n"/>
      <c r="N823" s="23" t="n"/>
      <c r="O823" s="23" t="n"/>
      <c r="P823" s="23" t="n"/>
      <c r="Q823" s="23" t="n"/>
      <c r="R823" s="23" t="n"/>
      <c r="S823" s="23" t="n"/>
      <c r="T823" s="23" t="n"/>
      <c r="U823" s="23" t="n"/>
      <c r="V823" s="23" t="n"/>
      <c r="W823" s="23" t="n"/>
      <c r="X823" s="23" t="n"/>
      <c r="Y823" s="23" t="n"/>
      <c r="Z823" s="23" t="n"/>
    </row>
    <row r="824" ht="15.75" customHeight="1" s="86">
      <c r="A824" s="23" t="n"/>
      <c r="B824" s="23" t="n"/>
      <c r="C824" s="23" t="n"/>
      <c r="D824" s="23" t="n"/>
      <c r="E824" s="23" t="n"/>
      <c r="F824" s="23" t="n"/>
      <c r="G824" s="23" t="n"/>
      <c r="H824" s="23" t="n"/>
      <c r="I824" s="23" t="n"/>
      <c r="J824" s="23" t="n"/>
      <c r="K824" s="23" t="n"/>
      <c r="L824" s="23" t="n"/>
      <c r="M824" s="23" t="n"/>
      <c r="N824" s="23" t="n"/>
      <c r="O824" s="23" t="n"/>
      <c r="P824" s="23" t="n"/>
      <c r="Q824" s="23" t="n"/>
      <c r="R824" s="23" t="n"/>
      <c r="S824" s="23" t="n"/>
      <c r="T824" s="23" t="n"/>
      <c r="U824" s="23" t="n"/>
      <c r="V824" s="23" t="n"/>
      <c r="W824" s="23" t="n"/>
      <c r="X824" s="23" t="n"/>
      <c r="Y824" s="23" t="n"/>
      <c r="Z824" s="23" t="n"/>
    </row>
    <row r="825" ht="15.75" customHeight="1" s="86">
      <c r="A825" s="23" t="n"/>
      <c r="B825" s="23" t="n"/>
      <c r="C825" s="23" t="n"/>
      <c r="D825" s="23" t="n"/>
      <c r="E825" s="23" t="n"/>
      <c r="F825" s="23" t="n"/>
      <c r="G825" s="23" t="n"/>
      <c r="H825" s="23" t="n"/>
      <c r="I825" s="23" t="n"/>
      <c r="J825" s="23" t="n"/>
      <c r="K825" s="23" t="n"/>
      <c r="L825" s="23" t="n"/>
      <c r="M825" s="23" t="n"/>
      <c r="N825" s="23" t="n"/>
      <c r="O825" s="23" t="n"/>
      <c r="P825" s="23" t="n"/>
      <c r="Q825" s="23" t="n"/>
      <c r="R825" s="23" t="n"/>
      <c r="S825" s="23" t="n"/>
      <c r="T825" s="23" t="n"/>
      <c r="U825" s="23" t="n"/>
      <c r="V825" s="23" t="n"/>
      <c r="W825" s="23" t="n"/>
      <c r="X825" s="23" t="n"/>
      <c r="Y825" s="23" t="n"/>
      <c r="Z825" s="23" t="n"/>
    </row>
    <row r="826" ht="15.75" customHeight="1" s="86">
      <c r="A826" s="23" t="n"/>
      <c r="B826" s="23" t="n"/>
      <c r="C826" s="23" t="n"/>
      <c r="D826" s="23" t="n"/>
      <c r="E826" s="23" t="n"/>
      <c r="F826" s="23" t="n"/>
      <c r="G826" s="23" t="n"/>
      <c r="H826" s="23" t="n"/>
      <c r="I826" s="23" t="n"/>
      <c r="J826" s="23" t="n"/>
      <c r="K826" s="23" t="n"/>
      <c r="L826" s="23" t="n"/>
      <c r="M826" s="23" t="n"/>
      <c r="N826" s="23" t="n"/>
      <c r="O826" s="23" t="n"/>
      <c r="P826" s="23" t="n"/>
      <c r="Q826" s="23" t="n"/>
      <c r="R826" s="23" t="n"/>
      <c r="S826" s="23" t="n"/>
      <c r="T826" s="23" t="n"/>
      <c r="U826" s="23" t="n"/>
      <c r="V826" s="23" t="n"/>
      <c r="W826" s="23" t="n"/>
      <c r="X826" s="23" t="n"/>
      <c r="Y826" s="23" t="n"/>
      <c r="Z826" s="23" t="n"/>
    </row>
    <row r="827" ht="15.75" customHeight="1" s="86">
      <c r="A827" s="23" t="n"/>
      <c r="B827" s="23" t="n"/>
      <c r="C827" s="23" t="n"/>
      <c r="D827" s="23" t="n"/>
      <c r="E827" s="23" t="n"/>
      <c r="F827" s="23" t="n"/>
      <c r="G827" s="23" t="n"/>
      <c r="H827" s="23" t="n"/>
      <c r="I827" s="23" t="n"/>
      <c r="J827" s="23" t="n"/>
      <c r="K827" s="23" t="n"/>
      <c r="L827" s="23" t="n"/>
      <c r="M827" s="23" t="n"/>
      <c r="N827" s="23" t="n"/>
      <c r="O827" s="23" t="n"/>
      <c r="P827" s="23" t="n"/>
      <c r="Q827" s="23" t="n"/>
      <c r="R827" s="23" t="n"/>
      <c r="S827" s="23" t="n"/>
      <c r="T827" s="23" t="n"/>
      <c r="U827" s="23" t="n"/>
      <c r="V827" s="23" t="n"/>
      <c r="W827" s="23" t="n"/>
      <c r="X827" s="23" t="n"/>
      <c r="Y827" s="23" t="n"/>
      <c r="Z827" s="23" t="n"/>
    </row>
    <row r="828" ht="15.75" customHeight="1" s="86">
      <c r="A828" s="23" t="n"/>
      <c r="B828" s="23" t="n"/>
      <c r="C828" s="23" t="n"/>
      <c r="D828" s="23" t="n"/>
      <c r="E828" s="23" t="n"/>
      <c r="F828" s="23" t="n"/>
      <c r="G828" s="23" t="n"/>
      <c r="H828" s="23" t="n"/>
      <c r="I828" s="23" t="n"/>
      <c r="J828" s="23" t="n"/>
      <c r="K828" s="23" t="n"/>
      <c r="L828" s="23" t="n"/>
      <c r="M828" s="23" t="n"/>
      <c r="N828" s="23" t="n"/>
      <c r="O828" s="23" t="n"/>
      <c r="P828" s="23" t="n"/>
      <c r="Q828" s="23" t="n"/>
      <c r="R828" s="23" t="n"/>
      <c r="S828" s="23" t="n"/>
      <c r="T828" s="23" t="n"/>
      <c r="U828" s="23" t="n"/>
      <c r="V828" s="23" t="n"/>
      <c r="W828" s="23" t="n"/>
      <c r="X828" s="23" t="n"/>
      <c r="Y828" s="23" t="n"/>
      <c r="Z828" s="23" t="n"/>
    </row>
    <row r="829" ht="15.75" customHeight="1" s="86">
      <c r="A829" s="23" t="n"/>
      <c r="B829" s="23" t="n"/>
      <c r="C829" s="23" t="n"/>
      <c r="D829" s="23" t="n"/>
      <c r="E829" s="23" t="n"/>
      <c r="F829" s="23" t="n"/>
      <c r="G829" s="23" t="n"/>
      <c r="H829" s="23" t="n"/>
      <c r="I829" s="23" t="n"/>
      <c r="J829" s="23" t="n"/>
      <c r="K829" s="23" t="n"/>
      <c r="L829" s="23" t="n"/>
      <c r="M829" s="23" t="n"/>
      <c r="N829" s="23" t="n"/>
      <c r="O829" s="23" t="n"/>
      <c r="P829" s="23" t="n"/>
      <c r="Q829" s="23" t="n"/>
      <c r="R829" s="23" t="n"/>
      <c r="S829" s="23" t="n"/>
      <c r="T829" s="23" t="n"/>
      <c r="U829" s="23" t="n"/>
      <c r="V829" s="23" t="n"/>
      <c r="W829" s="23" t="n"/>
      <c r="X829" s="23" t="n"/>
      <c r="Y829" s="23" t="n"/>
      <c r="Z829" s="23" t="n"/>
    </row>
    <row r="830" ht="15.75" customHeight="1" s="86">
      <c r="A830" s="23" t="n"/>
      <c r="B830" s="23" t="n"/>
      <c r="C830" s="23" t="n"/>
      <c r="D830" s="23" t="n"/>
      <c r="E830" s="23" t="n"/>
      <c r="F830" s="23" t="n"/>
      <c r="G830" s="23" t="n"/>
      <c r="H830" s="23" t="n"/>
      <c r="I830" s="23" t="n"/>
      <c r="J830" s="23" t="n"/>
      <c r="K830" s="23" t="n"/>
      <c r="L830" s="23" t="n"/>
      <c r="M830" s="23" t="n"/>
      <c r="N830" s="23" t="n"/>
      <c r="O830" s="23" t="n"/>
      <c r="P830" s="23" t="n"/>
      <c r="Q830" s="23" t="n"/>
      <c r="R830" s="23" t="n"/>
      <c r="S830" s="23" t="n"/>
      <c r="T830" s="23" t="n"/>
      <c r="U830" s="23" t="n"/>
      <c r="V830" s="23" t="n"/>
      <c r="W830" s="23" t="n"/>
      <c r="X830" s="23" t="n"/>
      <c r="Y830" s="23" t="n"/>
      <c r="Z830" s="23" t="n"/>
    </row>
    <row r="831" ht="15.75" customHeight="1" s="86">
      <c r="A831" s="23" t="n"/>
      <c r="B831" s="23" t="n"/>
      <c r="C831" s="23" t="n"/>
      <c r="D831" s="23" t="n"/>
      <c r="E831" s="23" t="n"/>
      <c r="F831" s="23" t="n"/>
      <c r="G831" s="23" t="n"/>
      <c r="H831" s="23" t="n"/>
      <c r="I831" s="23" t="n"/>
      <c r="J831" s="23" t="n"/>
      <c r="K831" s="23" t="n"/>
      <c r="L831" s="23" t="n"/>
      <c r="M831" s="23" t="n"/>
      <c r="N831" s="23" t="n"/>
      <c r="O831" s="23" t="n"/>
      <c r="P831" s="23" t="n"/>
      <c r="Q831" s="23" t="n"/>
      <c r="R831" s="23" t="n"/>
      <c r="S831" s="23" t="n"/>
      <c r="T831" s="23" t="n"/>
      <c r="U831" s="23" t="n"/>
      <c r="V831" s="23" t="n"/>
      <c r="W831" s="23" t="n"/>
      <c r="X831" s="23" t="n"/>
      <c r="Y831" s="23" t="n"/>
      <c r="Z831" s="23" t="n"/>
    </row>
    <row r="832" ht="15.75" customHeight="1" s="86">
      <c r="A832" s="23" t="n"/>
      <c r="B832" s="23" t="n"/>
      <c r="C832" s="23" t="n"/>
      <c r="D832" s="23" t="n"/>
      <c r="E832" s="23" t="n"/>
      <c r="F832" s="23" t="n"/>
      <c r="G832" s="23" t="n"/>
      <c r="H832" s="23" t="n"/>
      <c r="I832" s="23" t="n"/>
      <c r="J832" s="23" t="n"/>
      <c r="K832" s="23" t="n"/>
      <c r="L832" s="23" t="n"/>
      <c r="M832" s="23" t="n"/>
      <c r="N832" s="23" t="n"/>
      <c r="O832" s="23" t="n"/>
      <c r="P832" s="23" t="n"/>
      <c r="Q832" s="23" t="n"/>
      <c r="R832" s="23" t="n"/>
      <c r="S832" s="23" t="n"/>
      <c r="T832" s="23" t="n"/>
      <c r="U832" s="23" t="n"/>
      <c r="V832" s="23" t="n"/>
      <c r="W832" s="23" t="n"/>
      <c r="X832" s="23" t="n"/>
      <c r="Y832" s="23" t="n"/>
      <c r="Z832" s="23" t="n"/>
    </row>
    <row r="833" ht="15.75" customHeight="1" s="86">
      <c r="A833" s="23" t="n"/>
      <c r="B833" s="23" t="n"/>
      <c r="C833" s="23" t="n"/>
      <c r="D833" s="23" t="n"/>
      <c r="E833" s="23" t="n"/>
      <c r="F833" s="23" t="n"/>
      <c r="G833" s="23" t="n"/>
      <c r="H833" s="23" t="n"/>
      <c r="I833" s="23" t="n"/>
      <c r="J833" s="23" t="n"/>
      <c r="K833" s="23" t="n"/>
      <c r="L833" s="23" t="n"/>
      <c r="M833" s="23" t="n"/>
      <c r="N833" s="23" t="n"/>
      <c r="O833" s="23" t="n"/>
      <c r="P833" s="23" t="n"/>
      <c r="Q833" s="23" t="n"/>
      <c r="R833" s="23" t="n"/>
      <c r="S833" s="23" t="n"/>
      <c r="T833" s="23" t="n"/>
      <c r="U833" s="23" t="n"/>
      <c r="V833" s="23" t="n"/>
      <c r="W833" s="23" t="n"/>
      <c r="X833" s="23" t="n"/>
      <c r="Y833" s="23" t="n"/>
      <c r="Z833" s="23" t="n"/>
    </row>
    <row r="834" ht="15.75" customHeight="1" s="86">
      <c r="A834" s="23" t="n"/>
      <c r="B834" s="23" t="n"/>
      <c r="C834" s="23" t="n"/>
      <c r="D834" s="23" t="n"/>
      <c r="E834" s="23" t="n"/>
      <c r="F834" s="23" t="n"/>
      <c r="G834" s="23" t="n"/>
      <c r="H834" s="23" t="n"/>
      <c r="I834" s="23" t="n"/>
      <c r="J834" s="23" t="n"/>
      <c r="K834" s="23" t="n"/>
      <c r="L834" s="23" t="n"/>
      <c r="M834" s="23" t="n"/>
      <c r="N834" s="23" t="n"/>
      <c r="O834" s="23" t="n"/>
      <c r="P834" s="23" t="n"/>
      <c r="Q834" s="23" t="n"/>
      <c r="R834" s="23" t="n"/>
      <c r="S834" s="23" t="n"/>
      <c r="T834" s="23" t="n"/>
      <c r="U834" s="23" t="n"/>
      <c r="V834" s="23" t="n"/>
      <c r="W834" s="23" t="n"/>
      <c r="X834" s="23" t="n"/>
      <c r="Y834" s="23" t="n"/>
      <c r="Z834" s="23" t="n"/>
    </row>
    <row r="835" ht="15.75" customHeight="1" s="86">
      <c r="A835" s="23" t="n"/>
      <c r="B835" s="23" t="n"/>
      <c r="C835" s="23" t="n"/>
      <c r="D835" s="23" t="n"/>
      <c r="E835" s="23" t="n"/>
      <c r="F835" s="23" t="n"/>
      <c r="G835" s="23" t="n"/>
      <c r="H835" s="23" t="n"/>
      <c r="I835" s="23" t="n"/>
      <c r="J835" s="23" t="n"/>
      <c r="K835" s="23" t="n"/>
      <c r="L835" s="23" t="n"/>
      <c r="M835" s="23" t="n"/>
      <c r="N835" s="23" t="n"/>
      <c r="O835" s="23" t="n"/>
      <c r="P835" s="23" t="n"/>
      <c r="Q835" s="23" t="n"/>
      <c r="R835" s="23" t="n"/>
      <c r="S835" s="23" t="n"/>
      <c r="T835" s="23" t="n"/>
      <c r="U835" s="23" t="n"/>
      <c r="V835" s="23" t="n"/>
      <c r="W835" s="23" t="n"/>
      <c r="X835" s="23" t="n"/>
      <c r="Y835" s="23" t="n"/>
      <c r="Z835" s="23" t="n"/>
    </row>
    <row r="836" ht="15.75" customHeight="1" s="86">
      <c r="A836" s="23" t="n"/>
      <c r="B836" s="23" t="n"/>
      <c r="C836" s="23" t="n"/>
      <c r="D836" s="23" t="n"/>
      <c r="E836" s="23" t="n"/>
      <c r="F836" s="23" t="n"/>
      <c r="G836" s="23" t="n"/>
      <c r="H836" s="23" t="n"/>
      <c r="I836" s="23" t="n"/>
      <c r="J836" s="23" t="n"/>
      <c r="K836" s="23" t="n"/>
      <c r="L836" s="23" t="n"/>
      <c r="M836" s="23" t="n"/>
      <c r="N836" s="23" t="n"/>
      <c r="O836" s="23" t="n"/>
      <c r="P836" s="23" t="n"/>
      <c r="Q836" s="23" t="n"/>
      <c r="R836" s="23" t="n"/>
      <c r="S836" s="23" t="n"/>
      <c r="T836" s="23" t="n"/>
      <c r="U836" s="23" t="n"/>
      <c r="V836" s="23" t="n"/>
      <c r="W836" s="23" t="n"/>
      <c r="X836" s="23" t="n"/>
      <c r="Y836" s="23" t="n"/>
      <c r="Z836" s="23" t="n"/>
    </row>
    <row r="837" ht="15.75" customHeight="1" s="86">
      <c r="A837" s="23" t="n"/>
      <c r="B837" s="23" t="n"/>
      <c r="C837" s="23" t="n"/>
      <c r="D837" s="23" t="n"/>
      <c r="E837" s="23" t="n"/>
      <c r="F837" s="23" t="n"/>
      <c r="G837" s="23" t="n"/>
      <c r="H837" s="23" t="n"/>
      <c r="I837" s="23" t="n"/>
      <c r="J837" s="23" t="n"/>
      <c r="K837" s="23" t="n"/>
      <c r="L837" s="23" t="n"/>
      <c r="M837" s="23" t="n"/>
      <c r="N837" s="23" t="n"/>
      <c r="O837" s="23" t="n"/>
      <c r="P837" s="23" t="n"/>
      <c r="Q837" s="23" t="n"/>
      <c r="R837" s="23" t="n"/>
      <c r="S837" s="23" t="n"/>
      <c r="T837" s="23" t="n"/>
      <c r="U837" s="23" t="n"/>
      <c r="V837" s="23" t="n"/>
      <c r="W837" s="23" t="n"/>
      <c r="X837" s="23" t="n"/>
      <c r="Y837" s="23" t="n"/>
      <c r="Z837" s="23" t="n"/>
    </row>
    <row r="838" ht="15.75" customHeight="1" s="86">
      <c r="A838" s="23" t="n"/>
      <c r="B838" s="23" t="n"/>
      <c r="C838" s="23" t="n"/>
      <c r="D838" s="23" t="n"/>
      <c r="E838" s="23" t="n"/>
      <c r="F838" s="23" t="n"/>
      <c r="G838" s="23" t="n"/>
      <c r="H838" s="23" t="n"/>
      <c r="I838" s="23" t="n"/>
      <c r="J838" s="23" t="n"/>
      <c r="K838" s="23" t="n"/>
      <c r="L838" s="23" t="n"/>
      <c r="M838" s="23" t="n"/>
      <c r="N838" s="23" t="n"/>
      <c r="O838" s="23" t="n"/>
      <c r="P838" s="23" t="n"/>
      <c r="Q838" s="23" t="n"/>
      <c r="R838" s="23" t="n"/>
      <c r="S838" s="23" t="n"/>
      <c r="T838" s="23" t="n"/>
      <c r="U838" s="23" t="n"/>
      <c r="V838" s="23" t="n"/>
      <c r="W838" s="23" t="n"/>
      <c r="X838" s="23" t="n"/>
      <c r="Y838" s="23" t="n"/>
      <c r="Z838" s="23" t="n"/>
    </row>
    <row r="839" ht="15.75" customHeight="1" s="86">
      <c r="A839" s="23" t="n"/>
      <c r="B839" s="23" t="n"/>
      <c r="C839" s="23" t="n"/>
      <c r="D839" s="23" t="n"/>
      <c r="E839" s="23" t="n"/>
      <c r="F839" s="23" t="n"/>
      <c r="G839" s="23" t="n"/>
      <c r="H839" s="23" t="n"/>
      <c r="I839" s="23" t="n"/>
      <c r="J839" s="23" t="n"/>
      <c r="K839" s="23" t="n"/>
      <c r="L839" s="23" t="n"/>
      <c r="M839" s="23" t="n"/>
      <c r="N839" s="23" t="n"/>
      <c r="O839" s="23" t="n"/>
      <c r="P839" s="23" t="n"/>
      <c r="Q839" s="23" t="n"/>
      <c r="R839" s="23" t="n"/>
      <c r="S839" s="23" t="n"/>
      <c r="T839" s="23" t="n"/>
      <c r="U839" s="23" t="n"/>
      <c r="V839" s="23" t="n"/>
      <c r="W839" s="23" t="n"/>
      <c r="X839" s="23" t="n"/>
      <c r="Y839" s="23" t="n"/>
      <c r="Z839" s="23" t="n"/>
    </row>
    <row r="840" ht="15.75" customHeight="1" s="86">
      <c r="A840" s="23" t="n"/>
      <c r="B840" s="23" t="n"/>
      <c r="C840" s="23" t="n"/>
      <c r="D840" s="23" t="n"/>
      <c r="E840" s="23" t="n"/>
      <c r="F840" s="23" t="n"/>
      <c r="G840" s="23" t="n"/>
      <c r="H840" s="23" t="n"/>
      <c r="I840" s="23" t="n"/>
      <c r="J840" s="23" t="n"/>
      <c r="K840" s="23" t="n"/>
      <c r="L840" s="23" t="n"/>
      <c r="M840" s="23" t="n"/>
      <c r="N840" s="23" t="n"/>
      <c r="O840" s="23" t="n"/>
      <c r="P840" s="23" t="n"/>
      <c r="Q840" s="23" t="n"/>
      <c r="R840" s="23" t="n"/>
      <c r="S840" s="23" t="n"/>
      <c r="T840" s="23" t="n"/>
      <c r="U840" s="23" t="n"/>
      <c r="V840" s="23" t="n"/>
      <c r="W840" s="23" t="n"/>
      <c r="X840" s="23" t="n"/>
      <c r="Y840" s="23" t="n"/>
      <c r="Z840" s="23" t="n"/>
    </row>
    <row r="841" ht="15.75" customHeight="1" s="86">
      <c r="A841" s="23" t="n"/>
      <c r="B841" s="23" t="n"/>
      <c r="C841" s="23" t="n"/>
      <c r="D841" s="23" t="n"/>
      <c r="E841" s="23" t="n"/>
      <c r="F841" s="23" t="n"/>
      <c r="G841" s="23" t="n"/>
      <c r="H841" s="23" t="n"/>
      <c r="I841" s="23" t="n"/>
      <c r="J841" s="23" t="n"/>
      <c r="K841" s="23" t="n"/>
      <c r="L841" s="23" t="n"/>
      <c r="M841" s="23" t="n"/>
      <c r="N841" s="23" t="n"/>
      <c r="O841" s="23" t="n"/>
      <c r="P841" s="23" t="n"/>
      <c r="Q841" s="23" t="n"/>
      <c r="R841" s="23" t="n"/>
      <c r="S841" s="23" t="n"/>
      <c r="T841" s="23" t="n"/>
      <c r="U841" s="23" t="n"/>
      <c r="V841" s="23" t="n"/>
      <c r="W841" s="23" t="n"/>
      <c r="X841" s="23" t="n"/>
      <c r="Y841" s="23" t="n"/>
      <c r="Z841" s="23" t="n"/>
    </row>
    <row r="842" ht="15.75" customHeight="1" s="86">
      <c r="A842" s="23" t="n"/>
      <c r="B842" s="23" t="n"/>
      <c r="C842" s="23" t="n"/>
      <c r="D842" s="23" t="n"/>
      <c r="E842" s="23" t="n"/>
      <c r="F842" s="23" t="n"/>
      <c r="G842" s="23" t="n"/>
      <c r="H842" s="23" t="n"/>
      <c r="I842" s="23" t="n"/>
      <c r="J842" s="23" t="n"/>
      <c r="K842" s="23" t="n"/>
      <c r="L842" s="23" t="n"/>
      <c r="M842" s="23" t="n"/>
      <c r="N842" s="23" t="n"/>
      <c r="O842" s="23" t="n"/>
      <c r="P842" s="23" t="n"/>
      <c r="Q842" s="23" t="n"/>
      <c r="R842" s="23" t="n"/>
      <c r="S842" s="23" t="n"/>
      <c r="T842" s="23" t="n"/>
      <c r="U842" s="23" t="n"/>
      <c r="V842" s="23" t="n"/>
      <c r="W842" s="23" t="n"/>
      <c r="X842" s="23" t="n"/>
      <c r="Y842" s="23" t="n"/>
      <c r="Z842" s="23" t="n"/>
    </row>
    <row r="843" ht="15.75" customHeight="1" s="86">
      <c r="A843" s="23" t="n"/>
      <c r="B843" s="23" t="n"/>
      <c r="C843" s="23" t="n"/>
      <c r="D843" s="23" t="n"/>
      <c r="E843" s="23" t="n"/>
      <c r="F843" s="23" t="n"/>
      <c r="G843" s="23" t="n"/>
      <c r="H843" s="23" t="n"/>
      <c r="I843" s="23" t="n"/>
      <c r="J843" s="23" t="n"/>
      <c r="K843" s="23" t="n"/>
      <c r="L843" s="23" t="n"/>
      <c r="M843" s="23" t="n"/>
      <c r="N843" s="23" t="n"/>
      <c r="O843" s="23" t="n"/>
      <c r="P843" s="23" t="n"/>
      <c r="Q843" s="23" t="n"/>
      <c r="R843" s="23" t="n"/>
      <c r="S843" s="23" t="n"/>
      <c r="T843" s="23" t="n"/>
      <c r="U843" s="23" t="n"/>
      <c r="V843" s="23" t="n"/>
      <c r="W843" s="23" t="n"/>
      <c r="X843" s="23" t="n"/>
      <c r="Y843" s="23" t="n"/>
      <c r="Z843" s="23" t="n"/>
    </row>
    <row r="844" ht="15.75" customHeight="1" s="86">
      <c r="A844" s="23" t="n"/>
      <c r="B844" s="23" t="n"/>
      <c r="C844" s="23" t="n"/>
      <c r="D844" s="23" t="n"/>
      <c r="E844" s="23" t="n"/>
      <c r="F844" s="23" t="n"/>
      <c r="G844" s="23" t="n"/>
      <c r="H844" s="23" t="n"/>
      <c r="I844" s="23" t="n"/>
      <c r="J844" s="23" t="n"/>
      <c r="K844" s="23" t="n"/>
      <c r="L844" s="23" t="n"/>
      <c r="M844" s="23" t="n"/>
      <c r="N844" s="23" t="n"/>
      <c r="O844" s="23" t="n"/>
      <c r="P844" s="23" t="n"/>
      <c r="Q844" s="23" t="n"/>
      <c r="R844" s="23" t="n"/>
      <c r="S844" s="23" t="n"/>
      <c r="T844" s="23" t="n"/>
      <c r="U844" s="23" t="n"/>
      <c r="V844" s="23" t="n"/>
      <c r="W844" s="23" t="n"/>
      <c r="X844" s="23" t="n"/>
      <c r="Y844" s="23" t="n"/>
      <c r="Z844" s="23" t="n"/>
    </row>
    <row r="845" ht="15.75" customHeight="1" s="86">
      <c r="A845" s="23" t="n"/>
      <c r="B845" s="23" t="n"/>
      <c r="C845" s="23" t="n"/>
      <c r="D845" s="23" t="n"/>
      <c r="E845" s="23" t="n"/>
      <c r="F845" s="23" t="n"/>
      <c r="G845" s="23" t="n"/>
      <c r="H845" s="23" t="n"/>
      <c r="I845" s="23" t="n"/>
      <c r="J845" s="23" t="n"/>
      <c r="K845" s="23" t="n"/>
      <c r="L845" s="23" t="n"/>
      <c r="M845" s="23" t="n"/>
      <c r="N845" s="23" t="n"/>
      <c r="O845" s="23" t="n"/>
      <c r="P845" s="23" t="n"/>
      <c r="Q845" s="23" t="n"/>
      <c r="R845" s="23" t="n"/>
      <c r="S845" s="23" t="n"/>
      <c r="T845" s="23" t="n"/>
      <c r="U845" s="23" t="n"/>
      <c r="V845" s="23" t="n"/>
      <c r="W845" s="23" t="n"/>
      <c r="X845" s="23" t="n"/>
      <c r="Y845" s="23" t="n"/>
      <c r="Z845" s="23" t="n"/>
    </row>
    <row r="846" ht="15.75" customHeight="1" s="86">
      <c r="A846" s="23" t="n"/>
      <c r="B846" s="23" t="n"/>
      <c r="C846" s="23" t="n"/>
      <c r="D846" s="23" t="n"/>
      <c r="E846" s="23" t="n"/>
      <c r="F846" s="23" t="n"/>
      <c r="G846" s="23" t="n"/>
      <c r="H846" s="23" t="n"/>
      <c r="I846" s="23" t="n"/>
      <c r="J846" s="23" t="n"/>
      <c r="K846" s="23" t="n"/>
      <c r="L846" s="23" t="n"/>
      <c r="M846" s="23" t="n"/>
      <c r="N846" s="23" t="n"/>
      <c r="O846" s="23" t="n"/>
      <c r="P846" s="23" t="n"/>
      <c r="Q846" s="23" t="n"/>
      <c r="R846" s="23" t="n"/>
      <c r="S846" s="23" t="n"/>
      <c r="T846" s="23" t="n"/>
      <c r="U846" s="23" t="n"/>
      <c r="V846" s="23" t="n"/>
      <c r="W846" s="23" t="n"/>
      <c r="X846" s="23" t="n"/>
      <c r="Y846" s="23" t="n"/>
      <c r="Z846" s="23" t="n"/>
    </row>
    <row r="847" ht="15.75" customHeight="1" s="86">
      <c r="A847" s="23" t="n"/>
      <c r="B847" s="23" t="n"/>
      <c r="C847" s="23" t="n"/>
      <c r="D847" s="23" t="n"/>
      <c r="E847" s="23" t="n"/>
      <c r="F847" s="23" t="n"/>
      <c r="G847" s="23" t="n"/>
      <c r="H847" s="23" t="n"/>
      <c r="I847" s="23" t="n"/>
      <c r="J847" s="23" t="n"/>
      <c r="K847" s="23" t="n"/>
      <c r="L847" s="23" t="n"/>
      <c r="M847" s="23" t="n"/>
      <c r="N847" s="23" t="n"/>
      <c r="O847" s="23" t="n"/>
      <c r="P847" s="23" t="n"/>
      <c r="Q847" s="23" t="n"/>
      <c r="R847" s="23" t="n"/>
      <c r="S847" s="23" t="n"/>
      <c r="T847" s="23" t="n"/>
      <c r="U847" s="23" t="n"/>
      <c r="V847" s="23" t="n"/>
      <c r="W847" s="23" t="n"/>
      <c r="X847" s="23" t="n"/>
      <c r="Y847" s="23" t="n"/>
      <c r="Z847" s="23" t="n"/>
    </row>
    <row r="848" ht="15.75" customHeight="1" s="86">
      <c r="A848" s="23" t="n"/>
      <c r="B848" s="23" t="n"/>
      <c r="C848" s="23" t="n"/>
      <c r="D848" s="23" t="n"/>
      <c r="E848" s="23" t="n"/>
      <c r="F848" s="23" t="n"/>
      <c r="G848" s="23" t="n"/>
      <c r="H848" s="23" t="n"/>
      <c r="I848" s="23" t="n"/>
      <c r="J848" s="23" t="n"/>
      <c r="K848" s="23" t="n"/>
      <c r="L848" s="23" t="n"/>
      <c r="M848" s="23" t="n"/>
      <c r="N848" s="23" t="n"/>
      <c r="O848" s="23" t="n"/>
      <c r="P848" s="23" t="n"/>
      <c r="Q848" s="23" t="n"/>
      <c r="R848" s="23" t="n"/>
      <c r="S848" s="23" t="n"/>
      <c r="T848" s="23" t="n"/>
      <c r="U848" s="23" t="n"/>
      <c r="V848" s="23" t="n"/>
      <c r="W848" s="23" t="n"/>
      <c r="X848" s="23" t="n"/>
      <c r="Y848" s="23" t="n"/>
      <c r="Z848" s="23" t="n"/>
    </row>
    <row r="849" ht="15.75" customHeight="1" s="86">
      <c r="A849" s="23" t="n"/>
      <c r="B849" s="23" t="n"/>
      <c r="C849" s="23" t="n"/>
      <c r="D849" s="23" t="n"/>
      <c r="E849" s="23" t="n"/>
      <c r="F849" s="23" t="n"/>
      <c r="G849" s="23" t="n"/>
      <c r="H849" s="23" t="n"/>
      <c r="I849" s="23" t="n"/>
      <c r="J849" s="23" t="n"/>
      <c r="K849" s="23" t="n"/>
      <c r="L849" s="23" t="n"/>
      <c r="M849" s="23" t="n"/>
      <c r="N849" s="23" t="n"/>
      <c r="O849" s="23" t="n"/>
      <c r="P849" s="23" t="n"/>
      <c r="Q849" s="23" t="n"/>
      <c r="R849" s="23" t="n"/>
      <c r="S849" s="23" t="n"/>
      <c r="T849" s="23" t="n"/>
      <c r="U849" s="23" t="n"/>
      <c r="V849" s="23" t="n"/>
      <c r="W849" s="23" t="n"/>
      <c r="X849" s="23" t="n"/>
      <c r="Y849" s="23" t="n"/>
      <c r="Z849" s="23" t="n"/>
    </row>
    <row r="850" ht="15.75" customHeight="1" s="86">
      <c r="A850" s="23" t="n"/>
      <c r="B850" s="23" t="n"/>
      <c r="C850" s="23" t="n"/>
      <c r="D850" s="23" t="n"/>
      <c r="E850" s="23" t="n"/>
      <c r="F850" s="23" t="n"/>
      <c r="G850" s="23" t="n"/>
      <c r="H850" s="23" t="n"/>
      <c r="I850" s="23" t="n"/>
      <c r="J850" s="23" t="n"/>
      <c r="K850" s="23" t="n"/>
      <c r="L850" s="23" t="n"/>
      <c r="M850" s="23" t="n"/>
      <c r="N850" s="23" t="n"/>
      <c r="O850" s="23" t="n"/>
      <c r="P850" s="23" t="n"/>
      <c r="Q850" s="23" t="n"/>
      <c r="R850" s="23" t="n"/>
      <c r="S850" s="23" t="n"/>
      <c r="T850" s="23" t="n"/>
      <c r="U850" s="23" t="n"/>
      <c r="V850" s="23" t="n"/>
      <c r="W850" s="23" t="n"/>
      <c r="X850" s="23" t="n"/>
      <c r="Y850" s="23" t="n"/>
      <c r="Z850" s="23" t="n"/>
    </row>
    <row r="851" ht="15.75" customHeight="1" s="86">
      <c r="A851" s="23" t="n"/>
      <c r="B851" s="23" t="n"/>
      <c r="C851" s="23" t="n"/>
      <c r="D851" s="23" t="n"/>
      <c r="E851" s="23" t="n"/>
      <c r="F851" s="23" t="n"/>
      <c r="G851" s="23" t="n"/>
      <c r="H851" s="23" t="n"/>
      <c r="I851" s="23" t="n"/>
      <c r="J851" s="23" t="n"/>
      <c r="K851" s="23" t="n"/>
      <c r="L851" s="23" t="n"/>
      <c r="M851" s="23" t="n"/>
      <c r="N851" s="23" t="n"/>
      <c r="O851" s="23" t="n"/>
      <c r="P851" s="23" t="n"/>
      <c r="Q851" s="23" t="n"/>
      <c r="R851" s="23" t="n"/>
      <c r="S851" s="23" t="n"/>
      <c r="T851" s="23" t="n"/>
      <c r="U851" s="23" t="n"/>
      <c r="V851" s="23" t="n"/>
      <c r="W851" s="23" t="n"/>
      <c r="X851" s="23" t="n"/>
      <c r="Y851" s="23" t="n"/>
      <c r="Z851" s="23" t="n"/>
    </row>
    <row r="852" ht="15.75" customHeight="1" s="86">
      <c r="A852" s="23" t="n"/>
      <c r="B852" s="23" t="n"/>
      <c r="C852" s="23" t="n"/>
      <c r="D852" s="23" t="n"/>
      <c r="E852" s="23" t="n"/>
      <c r="F852" s="23" t="n"/>
      <c r="G852" s="23" t="n"/>
      <c r="H852" s="23" t="n"/>
      <c r="I852" s="23" t="n"/>
      <c r="J852" s="23" t="n"/>
      <c r="K852" s="23" t="n"/>
      <c r="L852" s="23" t="n"/>
      <c r="M852" s="23" t="n"/>
      <c r="N852" s="23" t="n"/>
      <c r="O852" s="23" t="n"/>
      <c r="P852" s="23" t="n"/>
      <c r="Q852" s="23" t="n"/>
      <c r="R852" s="23" t="n"/>
      <c r="S852" s="23" t="n"/>
      <c r="T852" s="23" t="n"/>
      <c r="U852" s="23" t="n"/>
      <c r="V852" s="23" t="n"/>
      <c r="W852" s="23" t="n"/>
      <c r="X852" s="23" t="n"/>
      <c r="Y852" s="23" t="n"/>
      <c r="Z852" s="23" t="n"/>
    </row>
    <row r="853" ht="15.75" customHeight="1" s="86">
      <c r="A853" s="23" t="n"/>
      <c r="B853" s="23" t="n"/>
      <c r="C853" s="23" t="n"/>
      <c r="D853" s="23" t="n"/>
      <c r="E853" s="23" t="n"/>
      <c r="F853" s="23" t="n"/>
      <c r="G853" s="23" t="n"/>
      <c r="H853" s="23" t="n"/>
      <c r="I853" s="23" t="n"/>
      <c r="J853" s="23" t="n"/>
      <c r="K853" s="23" t="n"/>
      <c r="L853" s="23" t="n"/>
      <c r="M853" s="23" t="n"/>
      <c r="N853" s="23" t="n"/>
      <c r="O853" s="23" t="n"/>
      <c r="P853" s="23" t="n"/>
      <c r="Q853" s="23" t="n"/>
      <c r="R853" s="23" t="n"/>
      <c r="S853" s="23" t="n"/>
      <c r="T853" s="23" t="n"/>
      <c r="U853" s="23" t="n"/>
      <c r="V853" s="23" t="n"/>
      <c r="W853" s="23" t="n"/>
      <c r="X853" s="23" t="n"/>
      <c r="Y853" s="23" t="n"/>
      <c r="Z853" s="23" t="n"/>
    </row>
    <row r="854" ht="15.75" customHeight="1" s="86">
      <c r="A854" s="23" t="n"/>
      <c r="B854" s="23" t="n"/>
      <c r="C854" s="23" t="n"/>
      <c r="D854" s="23" t="n"/>
      <c r="E854" s="23" t="n"/>
      <c r="F854" s="23" t="n"/>
      <c r="G854" s="23" t="n"/>
      <c r="H854" s="23" t="n"/>
      <c r="I854" s="23" t="n"/>
      <c r="J854" s="23" t="n"/>
      <c r="K854" s="23" t="n"/>
      <c r="L854" s="23" t="n"/>
      <c r="M854" s="23" t="n"/>
      <c r="N854" s="23" t="n"/>
      <c r="O854" s="23" t="n"/>
      <c r="P854" s="23" t="n"/>
      <c r="Q854" s="23" t="n"/>
      <c r="R854" s="23" t="n"/>
      <c r="S854" s="23" t="n"/>
      <c r="T854" s="23" t="n"/>
      <c r="U854" s="23" t="n"/>
      <c r="V854" s="23" t="n"/>
      <c r="W854" s="23" t="n"/>
      <c r="X854" s="23" t="n"/>
      <c r="Y854" s="23" t="n"/>
      <c r="Z854" s="23" t="n"/>
    </row>
    <row r="855" ht="15.75" customHeight="1" s="86">
      <c r="A855" s="23" t="n"/>
      <c r="B855" s="23" t="n"/>
      <c r="C855" s="23" t="n"/>
      <c r="D855" s="23" t="n"/>
      <c r="E855" s="23" t="n"/>
      <c r="F855" s="23" t="n"/>
      <c r="G855" s="23" t="n"/>
      <c r="H855" s="23" t="n"/>
      <c r="I855" s="23" t="n"/>
      <c r="J855" s="23" t="n"/>
      <c r="K855" s="23" t="n"/>
      <c r="L855" s="23" t="n"/>
      <c r="M855" s="23" t="n"/>
      <c r="N855" s="23" t="n"/>
      <c r="O855" s="23" t="n"/>
      <c r="P855" s="23" t="n"/>
      <c r="Q855" s="23" t="n"/>
      <c r="R855" s="23" t="n"/>
      <c r="S855" s="23" t="n"/>
      <c r="T855" s="23" t="n"/>
      <c r="U855" s="23" t="n"/>
      <c r="V855" s="23" t="n"/>
      <c r="W855" s="23" t="n"/>
      <c r="X855" s="23" t="n"/>
      <c r="Y855" s="23" t="n"/>
      <c r="Z855" s="23" t="n"/>
    </row>
    <row r="856" ht="15.75" customHeight="1" s="86">
      <c r="A856" s="23" t="n"/>
      <c r="B856" s="23" t="n"/>
      <c r="C856" s="23" t="n"/>
      <c r="D856" s="23" t="n"/>
      <c r="E856" s="23" t="n"/>
      <c r="F856" s="23" t="n"/>
      <c r="G856" s="23" t="n"/>
      <c r="H856" s="23" t="n"/>
      <c r="I856" s="23" t="n"/>
      <c r="J856" s="23" t="n"/>
      <c r="K856" s="23" t="n"/>
      <c r="L856" s="23" t="n"/>
      <c r="M856" s="23" t="n"/>
      <c r="N856" s="23" t="n"/>
      <c r="O856" s="23" t="n"/>
      <c r="P856" s="23" t="n"/>
      <c r="Q856" s="23" t="n"/>
      <c r="R856" s="23" t="n"/>
      <c r="S856" s="23" t="n"/>
      <c r="T856" s="23" t="n"/>
      <c r="U856" s="23" t="n"/>
      <c r="V856" s="23" t="n"/>
      <c r="W856" s="23" t="n"/>
      <c r="X856" s="23" t="n"/>
      <c r="Y856" s="23" t="n"/>
      <c r="Z856" s="23" t="n"/>
    </row>
    <row r="857" ht="15.75" customHeight="1" s="86">
      <c r="A857" s="23" t="n"/>
      <c r="B857" s="23" t="n"/>
      <c r="C857" s="23" t="n"/>
      <c r="D857" s="23" t="n"/>
      <c r="E857" s="23" t="n"/>
      <c r="F857" s="23" t="n"/>
      <c r="G857" s="23" t="n"/>
      <c r="H857" s="23" t="n"/>
      <c r="I857" s="23" t="n"/>
      <c r="J857" s="23" t="n"/>
      <c r="K857" s="23" t="n"/>
      <c r="L857" s="23" t="n"/>
      <c r="M857" s="23" t="n"/>
      <c r="N857" s="23" t="n"/>
      <c r="O857" s="23" t="n"/>
      <c r="P857" s="23" t="n"/>
      <c r="Q857" s="23" t="n"/>
      <c r="R857" s="23" t="n"/>
      <c r="S857" s="23" t="n"/>
      <c r="T857" s="23" t="n"/>
      <c r="U857" s="23" t="n"/>
      <c r="V857" s="23" t="n"/>
      <c r="W857" s="23" t="n"/>
      <c r="X857" s="23" t="n"/>
      <c r="Y857" s="23" t="n"/>
      <c r="Z857" s="23" t="n"/>
    </row>
    <row r="858" ht="15.75" customHeight="1" s="86">
      <c r="A858" s="23" t="n"/>
      <c r="B858" s="23" t="n"/>
      <c r="C858" s="23" t="n"/>
      <c r="D858" s="23" t="n"/>
      <c r="E858" s="23" t="n"/>
      <c r="F858" s="23" t="n"/>
      <c r="G858" s="23" t="n"/>
      <c r="H858" s="23" t="n"/>
      <c r="I858" s="23" t="n"/>
      <c r="J858" s="23" t="n"/>
      <c r="K858" s="23" t="n"/>
      <c r="L858" s="23" t="n"/>
      <c r="M858" s="23" t="n"/>
      <c r="N858" s="23" t="n"/>
      <c r="O858" s="23" t="n"/>
      <c r="P858" s="23" t="n"/>
      <c r="Q858" s="23" t="n"/>
      <c r="R858" s="23" t="n"/>
      <c r="S858" s="23" t="n"/>
      <c r="T858" s="23" t="n"/>
      <c r="U858" s="23" t="n"/>
      <c r="V858" s="23" t="n"/>
      <c r="W858" s="23" t="n"/>
      <c r="X858" s="23" t="n"/>
      <c r="Y858" s="23" t="n"/>
      <c r="Z858" s="23" t="n"/>
    </row>
    <row r="859" ht="15.75" customHeight="1" s="86">
      <c r="A859" s="23" t="n"/>
      <c r="B859" s="23" t="n"/>
      <c r="C859" s="23" t="n"/>
      <c r="D859" s="23" t="n"/>
      <c r="E859" s="23" t="n"/>
      <c r="F859" s="23" t="n"/>
      <c r="G859" s="23" t="n"/>
      <c r="H859" s="23" t="n"/>
      <c r="I859" s="23" t="n"/>
      <c r="J859" s="23" t="n"/>
      <c r="K859" s="23" t="n"/>
      <c r="L859" s="23" t="n"/>
      <c r="M859" s="23" t="n"/>
      <c r="N859" s="23" t="n"/>
      <c r="O859" s="23" t="n"/>
      <c r="P859" s="23" t="n"/>
      <c r="Q859" s="23" t="n"/>
      <c r="R859" s="23" t="n"/>
      <c r="S859" s="23" t="n"/>
      <c r="T859" s="23" t="n"/>
      <c r="U859" s="23" t="n"/>
      <c r="V859" s="23" t="n"/>
      <c r="W859" s="23" t="n"/>
      <c r="X859" s="23" t="n"/>
      <c r="Y859" s="23" t="n"/>
      <c r="Z859" s="23" t="n"/>
    </row>
    <row r="860" ht="15.75" customHeight="1" s="86">
      <c r="A860" s="23" t="n"/>
      <c r="B860" s="23" t="n"/>
      <c r="C860" s="23" t="n"/>
      <c r="D860" s="23" t="n"/>
      <c r="E860" s="23" t="n"/>
      <c r="F860" s="23" t="n"/>
      <c r="G860" s="23" t="n"/>
      <c r="H860" s="23" t="n"/>
      <c r="I860" s="23" t="n"/>
      <c r="J860" s="23" t="n"/>
      <c r="K860" s="23" t="n"/>
      <c r="L860" s="23" t="n"/>
      <c r="M860" s="23" t="n"/>
      <c r="N860" s="23" t="n"/>
      <c r="O860" s="23" t="n"/>
      <c r="P860" s="23" t="n"/>
      <c r="Q860" s="23" t="n"/>
      <c r="R860" s="23" t="n"/>
      <c r="S860" s="23" t="n"/>
      <c r="T860" s="23" t="n"/>
      <c r="U860" s="23" t="n"/>
      <c r="V860" s="23" t="n"/>
      <c r="W860" s="23" t="n"/>
      <c r="X860" s="23" t="n"/>
      <c r="Y860" s="23" t="n"/>
      <c r="Z860" s="23" t="n"/>
    </row>
    <row r="861" ht="15.75" customHeight="1" s="86">
      <c r="A861" s="23" t="n"/>
      <c r="B861" s="23" t="n"/>
      <c r="C861" s="23" t="n"/>
      <c r="D861" s="23" t="n"/>
      <c r="E861" s="23" t="n"/>
      <c r="F861" s="23" t="n"/>
      <c r="G861" s="23" t="n"/>
      <c r="H861" s="23" t="n"/>
      <c r="I861" s="23" t="n"/>
      <c r="J861" s="23" t="n"/>
      <c r="K861" s="23" t="n"/>
      <c r="L861" s="23" t="n"/>
      <c r="M861" s="23" t="n"/>
      <c r="N861" s="23" t="n"/>
      <c r="O861" s="23" t="n"/>
      <c r="P861" s="23" t="n"/>
      <c r="Q861" s="23" t="n"/>
      <c r="R861" s="23" t="n"/>
      <c r="S861" s="23" t="n"/>
      <c r="T861" s="23" t="n"/>
      <c r="U861" s="23" t="n"/>
      <c r="V861" s="23" t="n"/>
      <c r="W861" s="23" t="n"/>
      <c r="X861" s="23" t="n"/>
      <c r="Y861" s="23" t="n"/>
      <c r="Z861" s="23" t="n"/>
    </row>
    <row r="862" ht="15.75" customHeight="1" s="86">
      <c r="A862" s="23" t="n"/>
      <c r="B862" s="23" t="n"/>
      <c r="C862" s="23" t="n"/>
      <c r="D862" s="23" t="n"/>
      <c r="E862" s="23" t="n"/>
      <c r="F862" s="23" t="n"/>
      <c r="G862" s="23" t="n"/>
      <c r="H862" s="23" t="n"/>
      <c r="I862" s="23" t="n"/>
      <c r="J862" s="23" t="n"/>
      <c r="K862" s="23" t="n"/>
      <c r="L862" s="23" t="n"/>
      <c r="M862" s="23" t="n"/>
      <c r="N862" s="23" t="n"/>
      <c r="O862" s="23" t="n"/>
      <c r="P862" s="23" t="n"/>
      <c r="Q862" s="23" t="n"/>
      <c r="R862" s="23" t="n"/>
      <c r="S862" s="23" t="n"/>
      <c r="T862" s="23" t="n"/>
      <c r="U862" s="23" t="n"/>
      <c r="V862" s="23" t="n"/>
      <c r="W862" s="23" t="n"/>
      <c r="X862" s="23" t="n"/>
      <c r="Y862" s="23" t="n"/>
      <c r="Z862" s="23" t="n"/>
    </row>
    <row r="863" ht="15.75" customHeight="1" s="86">
      <c r="A863" s="23" t="n"/>
      <c r="B863" s="23" t="n"/>
      <c r="C863" s="23" t="n"/>
      <c r="D863" s="23" t="n"/>
      <c r="E863" s="23" t="n"/>
      <c r="F863" s="23" t="n"/>
      <c r="G863" s="23" t="n"/>
      <c r="H863" s="23" t="n"/>
      <c r="I863" s="23" t="n"/>
      <c r="J863" s="23" t="n"/>
      <c r="K863" s="23" t="n"/>
      <c r="L863" s="23" t="n"/>
      <c r="M863" s="23" t="n"/>
      <c r="N863" s="23" t="n"/>
      <c r="O863" s="23" t="n"/>
      <c r="P863" s="23" t="n"/>
      <c r="Q863" s="23" t="n"/>
      <c r="R863" s="23" t="n"/>
      <c r="S863" s="23" t="n"/>
      <c r="T863" s="23" t="n"/>
      <c r="U863" s="23" t="n"/>
      <c r="V863" s="23" t="n"/>
      <c r="W863" s="23" t="n"/>
      <c r="X863" s="23" t="n"/>
      <c r="Y863" s="23" t="n"/>
      <c r="Z863" s="23" t="n"/>
    </row>
    <row r="864" ht="15.75" customHeight="1" s="86">
      <c r="A864" s="23" t="n"/>
      <c r="B864" s="23" t="n"/>
      <c r="C864" s="23" t="n"/>
      <c r="D864" s="23" t="n"/>
      <c r="E864" s="23" t="n"/>
      <c r="F864" s="23" t="n"/>
      <c r="G864" s="23" t="n"/>
      <c r="H864" s="23" t="n"/>
      <c r="I864" s="23" t="n"/>
      <c r="J864" s="23" t="n"/>
      <c r="K864" s="23" t="n"/>
      <c r="L864" s="23" t="n"/>
      <c r="M864" s="23" t="n"/>
      <c r="N864" s="23" t="n"/>
      <c r="O864" s="23" t="n"/>
      <c r="P864" s="23" t="n"/>
      <c r="Q864" s="23" t="n"/>
      <c r="R864" s="23" t="n"/>
      <c r="S864" s="23" t="n"/>
      <c r="T864" s="23" t="n"/>
      <c r="U864" s="23" t="n"/>
      <c r="V864" s="23" t="n"/>
      <c r="W864" s="23" t="n"/>
      <c r="X864" s="23" t="n"/>
      <c r="Y864" s="23" t="n"/>
      <c r="Z864" s="23" t="n"/>
    </row>
    <row r="865" ht="15.75" customHeight="1" s="86">
      <c r="A865" s="23" t="n"/>
      <c r="B865" s="23" t="n"/>
      <c r="C865" s="23" t="n"/>
      <c r="D865" s="23" t="n"/>
      <c r="E865" s="23" t="n"/>
      <c r="F865" s="23" t="n"/>
      <c r="G865" s="23" t="n"/>
      <c r="H865" s="23" t="n"/>
      <c r="I865" s="23" t="n"/>
      <c r="J865" s="23" t="n"/>
      <c r="K865" s="23" t="n"/>
      <c r="L865" s="23" t="n"/>
      <c r="M865" s="23" t="n"/>
      <c r="N865" s="23" t="n"/>
      <c r="O865" s="23" t="n"/>
      <c r="P865" s="23" t="n"/>
      <c r="Q865" s="23" t="n"/>
      <c r="R865" s="23" t="n"/>
      <c r="S865" s="23" t="n"/>
      <c r="T865" s="23" t="n"/>
      <c r="U865" s="23" t="n"/>
      <c r="V865" s="23" t="n"/>
      <c r="W865" s="23" t="n"/>
      <c r="X865" s="23" t="n"/>
      <c r="Y865" s="23" t="n"/>
      <c r="Z865" s="23" t="n"/>
    </row>
    <row r="866" ht="15.75" customHeight="1" s="86">
      <c r="A866" s="23" t="n"/>
      <c r="B866" s="23" t="n"/>
      <c r="C866" s="23" t="n"/>
      <c r="D866" s="23" t="n"/>
      <c r="E866" s="23" t="n"/>
      <c r="F866" s="23" t="n"/>
      <c r="G866" s="23" t="n"/>
      <c r="H866" s="23" t="n"/>
      <c r="I866" s="23" t="n"/>
      <c r="J866" s="23" t="n"/>
      <c r="K866" s="23" t="n"/>
      <c r="L866" s="23" t="n"/>
      <c r="M866" s="23" t="n"/>
      <c r="N866" s="23" t="n"/>
      <c r="O866" s="23" t="n"/>
      <c r="P866" s="23" t="n"/>
      <c r="Q866" s="23" t="n"/>
      <c r="R866" s="23" t="n"/>
      <c r="S866" s="23" t="n"/>
      <c r="T866" s="23" t="n"/>
      <c r="U866" s="23" t="n"/>
      <c r="V866" s="23" t="n"/>
      <c r="W866" s="23" t="n"/>
      <c r="X866" s="23" t="n"/>
      <c r="Y866" s="23" t="n"/>
      <c r="Z866" s="23" t="n"/>
    </row>
    <row r="867" ht="15.75" customHeight="1" s="86">
      <c r="A867" s="23" t="n"/>
      <c r="B867" s="23" t="n"/>
      <c r="C867" s="23" t="n"/>
      <c r="D867" s="23" t="n"/>
      <c r="E867" s="23" t="n"/>
      <c r="F867" s="23" t="n"/>
      <c r="G867" s="23" t="n"/>
      <c r="H867" s="23" t="n"/>
      <c r="I867" s="23" t="n"/>
      <c r="J867" s="23" t="n"/>
      <c r="K867" s="23" t="n"/>
      <c r="L867" s="23" t="n"/>
      <c r="M867" s="23" t="n"/>
      <c r="N867" s="23" t="n"/>
      <c r="O867" s="23" t="n"/>
      <c r="P867" s="23" t="n"/>
      <c r="Q867" s="23" t="n"/>
      <c r="R867" s="23" t="n"/>
      <c r="S867" s="23" t="n"/>
      <c r="T867" s="23" t="n"/>
      <c r="U867" s="23" t="n"/>
      <c r="V867" s="23" t="n"/>
      <c r="W867" s="23" t="n"/>
      <c r="X867" s="23" t="n"/>
      <c r="Y867" s="23" t="n"/>
      <c r="Z867" s="23" t="n"/>
    </row>
    <row r="868" ht="15.75" customHeight="1" s="86">
      <c r="A868" s="23" t="n"/>
      <c r="B868" s="23" t="n"/>
      <c r="C868" s="23" t="n"/>
      <c r="D868" s="23" t="n"/>
      <c r="E868" s="23" t="n"/>
      <c r="F868" s="23" t="n"/>
      <c r="G868" s="23" t="n"/>
      <c r="H868" s="23" t="n"/>
      <c r="I868" s="23" t="n"/>
      <c r="J868" s="23" t="n"/>
      <c r="K868" s="23" t="n"/>
      <c r="L868" s="23" t="n"/>
      <c r="M868" s="23" t="n"/>
      <c r="N868" s="23" t="n"/>
      <c r="O868" s="23" t="n"/>
      <c r="P868" s="23" t="n"/>
      <c r="Q868" s="23" t="n"/>
      <c r="R868" s="23" t="n"/>
      <c r="S868" s="23" t="n"/>
      <c r="T868" s="23" t="n"/>
      <c r="U868" s="23" t="n"/>
      <c r="V868" s="23" t="n"/>
      <c r="W868" s="23" t="n"/>
      <c r="X868" s="23" t="n"/>
      <c r="Y868" s="23" t="n"/>
      <c r="Z868" s="23" t="n"/>
    </row>
    <row r="869" ht="15.75" customHeight="1" s="86">
      <c r="A869" s="23" t="n"/>
      <c r="B869" s="23" t="n"/>
      <c r="C869" s="23" t="n"/>
      <c r="D869" s="23" t="n"/>
      <c r="E869" s="23" t="n"/>
      <c r="F869" s="23" t="n"/>
      <c r="G869" s="23" t="n"/>
      <c r="H869" s="23" t="n"/>
      <c r="I869" s="23" t="n"/>
      <c r="J869" s="23" t="n"/>
      <c r="K869" s="23" t="n"/>
      <c r="L869" s="23" t="n"/>
      <c r="M869" s="23" t="n"/>
      <c r="N869" s="23" t="n"/>
      <c r="O869" s="23" t="n"/>
      <c r="P869" s="23" t="n"/>
      <c r="Q869" s="23" t="n"/>
      <c r="R869" s="23" t="n"/>
      <c r="S869" s="23" t="n"/>
      <c r="T869" s="23" t="n"/>
      <c r="U869" s="23" t="n"/>
      <c r="V869" s="23" t="n"/>
      <c r="W869" s="23" t="n"/>
      <c r="X869" s="23" t="n"/>
      <c r="Y869" s="23" t="n"/>
      <c r="Z869" s="23" t="n"/>
    </row>
    <row r="870" ht="15.75" customHeight="1" s="86">
      <c r="A870" s="23" t="n"/>
      <c r="B870" s="23" t="n"/>
      <c r="C870" s="23" t="n"/>
      <c r="D870" s="23" t="n"/>
      <c r="E870" s="23" t="n"/>
      <c r="F870" s="23" t="n"/>
      <c r="G870" s="23" t="n"/>
      <c r="H870" s="23" t="n"/>
      <c r="I870" s="23" t="n"/>
      <c r="J870" s="23" t="n"/>
      <c r="K870" s="23" t="n"/>
      <c r="L870" s="23" t="n"/>
      <c r="M870" s="23" t="n"/>
      <c r="N870" s="23" t="n"/>
      <c r="O870" s="23" t="n"/>
      <c r="P870" s="23" t="n"/>
      <c r="Q870" s="23" t="n"/>
      <c r="R870" s="23" t="n"/>
      <c r="S870" s="23" t="n"/>
      <c r="T870" s="23" t="n"/>
      <c r="U870" s="23" t="n"/>
      <c r="V870" s="23" t="n"/>
      <c r="W870" s="23" t="n"/>
      <c r="X870" s="23" t="n"/>
      <c r="Y870" s="23" t="n"/>
      <c r="Z870" s="23" t="n"/>
    </row>
    <row r="871" ht="15.75" customHeight="1" s="86">
      <c r="A871" s="23" t="n"/>
      <c r="B871" s="23" t="n"/>
      <c r="C871" s="23" t="n"/>
      <c r="D871" s="23" t="n"/>
      <c r="E871" s="23" t="n"/>
      <c r="F871" s="23" t="n"/>
      <c r="G871" s="23" t="n"/>
      <c r="H871" s="23" t="n"/>
      <c r="I871" s="23" t="n"/>
      <c r="J871" s="23" t="n"/>
      <c r="K871" s="23" t="n"/>
      <c r="L871" s="23" t="n"/>
      <c r="M871" s="23" t="n"/>
      <c r="N871" s="23" t="n"/>
      <c r="O871" s="23" t="n"/>
      <c r="P871" s="23" t="n"/>
      <c r="Q871" s="23" t="n"/>
      <c r="R871" s="23" t="n"/>
      <c r="S871" s="23" t="n"/>
      <c r="T871" s="23" t="n"/>
      <c r="U871" s="23" t="n"/>
      <c r="V871" s="23" t="n"/>
      <c r="W871" s="23" t="n"/>
      <c r="X871" s="23" t="n"/>
      <c r="Y871" s="23" t="n"/>
      <c r="Z871" s="23" t="n"/>
    </row>
    <row r="872" ht="15.75" customHeight="1" s="86">
      <c r="A872" s="23" t="n"/>
      <c r="B872" s="23" t="n"/>
      <c r="C872" s="23" t="n"/>
      <c r="D872" s="23" t="n"/>
      <c r="E872" s="23" t="n"/>
      <c r="F872" s="23" t="n"/>
      <c r="G872" s="23" t="n"/>
      <c r="H872" s="23" t="n"/>
      <c r="I872" s="23" t="n"/>
      <c r="J872" s="23" t="n"/>
      <c r="K872" s="23" t="n"/>
      <c r="L872" s="23" t="n"/>
      <c r="M872" s="23" t="n"/>
      <c r="N872" s="23" t="n"/>
      <c r="O872" s="23" t="n"/>
      <c r="P872" s="23" t="n"/>
      <c r="Q872" s="23" t="n"/>
      <c r="R872" s="23" t="n"/>
      <c r="S872" s="23" t="n"/>
      <c r="T872" s="23" t="n"/>
      <c r="U872" s="23" t="n"/>
      <c r="V872" s="23" t="n"/>
      <c r="W872" s="23" t="n"/>
      <c r="X872" s="23" t="n"/>
      <c r="Y872" s="23" t="n"/>
      <c r="Z872" s="23" t="n"/>
    </row>
    <row r="873" ht="15.75" customHeight="1" s="86">
      <c r="A873" s="23" t="n"/>
      <c r="B873" s="23" t="n"/>
      <c r="C873" s="23" t="n"/>
      <c r="D873" s="23" t="n"/>
      <c r="E873" s="23" t="n"/>
      <c r="F873" s="23" t="n"/>
      <c r="G873" s="23" t="n"/>
      <c r="H873" s="23" t="n"/>
      <c r="I873" s="23" t="n"/>
      <c r="J873" s="23" t="n"/>
      <c r="K873" s="23" t="n"/>
      <c r="L873" s="23" t="n"/>
      <c r="M873" s="23" t="n"/>
      <c r="N873" s="23" t="n"/>
      <c r="O873" s="23" t="n"/>
      <c r="P873" s="23" t="n"/>
      <c r="Q873" s="23" t="n"/>
      <c r="R873" s="23" t="n"/>
      <c r="S873" s="23" t="n"/>
      <c r="T873" s="23" t="n"/>
      <c r="U873" s="23" t="n"/>
      <c r="V873" s="23" t="n"/>
      <c r="W873" s="23" t="n"/>
      <c r="X873" s="23" t="n"/>
      <c r="Y873" s="23" t="n"/>
      <c r="Z873" s="23" t="n"/>
    </row>
    <row r="874" ht="15.75" customHeight="1" s="86">
      <c r="A874" s="23" t="n"/>
      <c r="B874" s="23" t="n"/>
      <c r="C874" s="23" t="n"/>
      <c r="D874" s="23" t="n"/>
      <c r="E874" s="23" t="n"/>
      <c r="F874" s="23" t="n"/>
      <c r="G874" s="23" t="n"/>
      <c r="H874" s="23" t="n"/>
      <c r="I874" s="23" t="n"/>
      <c r="J874" s="23" t="n"/>
      <c r="K874" s="23" t="n"/>
      <c r="L874" s="23" t="n"/>
      <c r="M874" s="23" t="n"/>
      <c r="N874" s="23" t="n"/>
      <c r="O874" s="23" t="n"/>
      <c r="P874" s="23" t="n"/>
      <c r="Q874" s="23" t="n"/>
      <c r="R874" s="23" t="n"/>
      <c r="S874" s="23" t="n"/>
      <c r="T874" s="23" t="n"/>
      <c r="U874" s="23" t="n"/>
      <c r="V874" s="23" t="n"/>
      <c r="W874" s="23" t="n"/>
      <c r="X874" s="23" t="n"/>
      <c r="Y874" s="23" t="n"/>
      <c r="Z874" s="23" t="n"/>
    </row>
    <row r="875" ht="15.75" customHeight="1" s="86">
      <c r="A875" s="23" t="n"/>
      <c r="B875" s="23" t="n"/>
      <c r="C875" s="23" t="n"/>
      <c r="D875" s="23" t="n"/>
      <c r="E875" s="23" t="n"/>
      <c r="F875" s="23" t="n"/>
      <c r="G875" s="23" t="n"/>
      <c r="H875" s="23" t="n"/>
      <c r="I875" s="23" t="n"/>
      <c r="J875" s="23" t="n"/>
      <c r="K875" s="23" t="n"/>
      <c r="L875" s="23" t="n"/>
      <c r="M875" s="23" t="n"/>
      <c r="N875" s="23" t="n"/>
      <c r="O875" s="23" t="n"/>
      <c r="P875" s="23" t="n"/>
      <c r="Q875" s="23" t="n"/>
      <c r="R875" s="23" t="n"/>
      <c r="S875" s="23" t="n"/>
      <c r="T875" s="23" t="n"/>
      <c r="U875" s="23" t="n"/>
      <c r="V875" s="23" t="n"/>
      <c r="W875" s="23" t="n"/>
      <c r="X875" s="23" t="n"/>
      <c r="Y875" s="23" t="n"/>
      <c r="Z875" s="23" t="n"/>
    </row>
    <row r="876" ht="15.75" customHeight="1" s="86">
      <c r="A876" s="23" t="n"/>
      <c r="B876" s="23" t="n"/>
      <c r="C876" s="23" t="n"/>
      <c r="D876" s="23" t="n"/>
      <c r="E876" s="23" t="n"/>
      <c r="F876" s="23" t="n"/>
      <c r="G876" s="23" t="n"/>
      <c r="H876" s="23" t="n"/>
      <c r="I876" s="23" t="n"/>
      <c r="J876" s="23" t="n"/>
      <c r="K876" s="23" t="n"/>
      <c r="L876" s="23" t="n"/>
      <c r="M876" s="23" t="n"/>
      <c r="N876" s="23" t="n"/>
      <c r="O876" s="23" t="n"/>
      <c r="P876" s="23" t="n"/>
      <c r="Q876" s="23" t="n"/>
      <c r="R876" s="23" t="n"/>
      <c r="S876" s="23" t="n"/>
      <c r="T876" s="23" t="n"/>
      <c r="U876" s="23" t="n"/>
      <c r="V876" s="23" t="n"/>
      <c r="W876" s="23" t="n"/>
      <c r="X876" s="23" t="n"/>
      <c r="Y876" s="23" t="n"/>
      <c r="Z876" s="23" t="n"/>
    </row>
    <row r="877" ht="15.75" customHeight="1" s="86">
      <c r="A877" s="23" t="n"/>
      <c r="B877" s="23" t="n"/>
      <c r="C877" s="23" t="n"/>
      <c r="D877" s="23" t="n"/>
      <c r="E877" s="23" t="n"/>
      <c r="F877" s="23" t="n"/>
      <c r="G877" s="23" t="n"/>
      <c r="H877" s="23" t="n"/>
      <c r="I877" s="23" t="n"/>
      <c r="J877" s="23" t="n"/>
      <c r="K877" s="23" t="n"/>
      <c r="L877" s="23" t="n"/>
      <c r="M877" s="23" t="n"/>
      <c r="N877" s="23" t="n"/>
      <c r="O877" s="23" t="n"/>
      <c r="P877" s="23" t="n"/>
      <c r="Q877" s="23" t="n"/>
      <c r="R877" s="23" t="n"/>
      <c r="S877" s="23" t="n"/>
      <c r="T877" s="23" t="n"/>
      <c r="U877" s="23" t="n"/>
      <c r="V877" s="23" t="n"/>
      <c r="W877" s="23" t="n"/>
      <c r="X877" s="23" t="n"/>
      <c r="Y877" s="23" t="n"/>
      <c r="Z877" s="23" t="n"/>
    </row>
    <row r="878" ht="15.75" customHeight="1" s="86">
      <c r="A878" s="23" t="n"/>
      <c r="B878" s="23" t="n"/>
      <c r="C878" s="23" t="n"/>
      <c r="D878" s="23" t="n"/>
      <c r="E878" s="23" t="n"/>
      <c r="F878" s="23" t="n"/>
      <c r="G878" s="23" t="n"/>
      <c r="H878" s="23" t="n"/>
      <c r="I878" s="23" t="n"/>
      <c r="J878" s="23" t="n"/>
      <c r="K878" s="23" t="n"/>
      <c r="L878" s="23" t="n"/>
      <c r="M878" s="23" t="n"/>
      <c r="N878" s="23" t="n"/>
      <c r="O878" s="23" t="n"/>
      <c r="P878" s="23" t="n"/>
      <c r="Q878" s="23" t="n"/>
      <c r="R878" s="23" t="n"/>
      <c r="S878" s="23" t="n"/>
      <c r="T878" s="23" t="n"/>
      <c r="U878" s="23" t="n"/>
      <c r="V878" s="23" t="n"/>
      <c r="W878" s="23" t="n"/>
      <c r="X878" s="23" t="n"/>
      <c r="Y878" s="23" t="n"/>
      <c r="Z878" s="23" t="n"/>
    </row>
    <row r="879" ht="15.75" customHeight="1" s="86">
      <c r="A879" s="23" t="n"/>
      <c r="B879" s="23" t="n"/>
      <c r="C879" s="23" t="n"/>
      <c r="D879" s="23" t="n"/>
      <c r="E879" s="23" t="n"/>
      <c r="F879" s="23" t="n"/>
      <c r="G879" s="23" t="n"/>
      <c r="H879" s="23" t="n"/>
      <c r="I879" s="23" t="n"/>
      <c r="J879" s="23" t="n"/>
      <c r="K879" s="23" t="n"/>
      <c r="L879" s="23" t="n"/>
      <c r="M879" s="23" t="n"/>
      <c r="N879" s="23" t="n"/>
      <c r="O879" s="23" t="n"/>
      <c r="P879" s="23" t="n"/>
      <c r="Q879" s="23" t="n"/>
      <c r="R879" s="23" t="n"/>
      <c r="S879" s="23" t="n"/>
      <c r="T879" s="23" t="n"/>
      <c r="U879" s="23" t="n"/>
      <c r="V879" s="23" t="n"/>
      <c r="W879" s="23" t="n"/>
      <c r="X879" s="23" t="n"/>
      <c r="Y879" s="23" t="n"/>
      <c r="Z879" s="23" t="n"/>
    </row>
    <row r="880" ht="15.75" customHeight="1" s="86">
      <c r="A880" s="23" t="n"/>
      <c r="B880" s="23" t="n"/>
      <c r="C880" s="23" t="n"/>
      <c r="D880" s="23" t="n"/>
      <c r="E880" s="23" t="n"/>
      <c r="F880" s="23" t="n"/>
      <c r="G880" s="23" t="n"/>
      <c r="H880" s="23" t="n"/>
      <c r="I880" s="23" t="n"/>
      <c r="J880" s="23" t="n"/>
      <c r="K880" s="23" t="n"/>
      <c r="L880" s="23" t="n"/>
      <c r="M880" s="23" t="n"/>
      <c r="N880" s="23" t="n"/>
      <c r="O880" s="23" t="n"/>
      <c r="P880" s="23" t="n"/>
      <c r="Q880" s="23" t="n"/>
      <c r="R880" s="23" t="n"/>
      <c r="S880" s="23" t="n"/>
      <c r="T880" s="23" t="n"/>
      <c r="U880" s="23" t="n"/>
      <c r="V880" s="23" t="n"/>
      <c r="W880" s="23" t="n"/>
      <c r="X880" s="23" t="n"/>
      <c r="Y880" s="23" t="n"/>
      <c r="Z880" s="23" t="n"/>
    </row>
    <row r="881" ht="15.75" customHeight="1" s="86">
      <c r="A881" s="23" t="n"/>
      <c r="B881" s="23" t="n"/>
      <c r="C881" s="23" t="n"/>
      <c r="D881" s="23" t="n"/>
      <c r="E881" s="23" t="n"/>
      <c r="F881" s="23" t="n"/>
      <c r="G881" s="23" t="n"/>
      <c r="H881" s="23" t="n"/>
      <c r="I881" s="23" t="n"/>
      <c r="J881" s="23" t="n"/>
      <c r="K881" s="23" t="n"/>
      <c r="L881" s="23" t="n"/>
      <c r="M881" s="23" t="n"/>
      <c r="N881" s="23" t="n"/>
      <c r="O881" s="23" t="n"/>
      <c r="P881" s="23" t="n"/>
      <c r="Q881" s="23" t="n"/>
      <c r="R881" s="23" t="n"/>
      <c r="S881" s="23" t="n"/>
      <c r="T881" s="23" t="n"/>
      <c r="U881" s="23" t="n"/>
      <c r="V881" s="23" t="n"/>
      <c r="W881" s="23" t="n"/>
      <c r="X881" s="23" t="n"/>
      <c r="Y881" s="23" t="n"/>
      <c r="Z881" s="23" t="n"/>
    </row>
    <row r="882" ht="15.75" customHeight="1" s="86">
      <c r="A882" s="23" t="n"/>
      <c r="B882" s="23" t="n"/>
      <c r="C882" s="23" t="n"/>
      <c r="D882" s="23" t="n"/>
      <c r="E882" s="23" t="n"/>
      <c r="F882" s="23" t="n"/>
      <c r="G882" s="23" t="n"/>
      <c r="H882" s="23" t="n"/>
      <c r="I882" s="23" t="n"/>
      <c r="J882" s="23" t="n"/>
      <c r="K882" s="23" t="n"/>
      <c r="L882" s="23" t="n"/>
      <c r="M882" s="23" t="n"/>
      <c r="N882" s="23" t="n"/>
      <c r="O882" s="23" t="n"/>
      <c r="P882" s="23" t="n"/>
      <c r="Q882" s="23" t="n"/>
      <c r="R882" s="23" t="n"/>
      <c r="S882" s="23" t="n"/>
      <c r="T882" s="23" t="n"/>
      <c r="U882" s="23" t="n"/>
      <c r="V882" s="23" t="n"/>
      <c r="W882" s="23" t="n"/>
      <c r="X882" s="23" t="n"/>
      <c r="Y882" s="23" t="n"/>
      <c r="Z882" s="23" t="n"/>
    </row>
    <row r="883" ht="15.75" customHeight="1" s="86">
      <c r="A883" s="23" t="n"/>
      <c r="B883" s="23" t="n"/>
      <c r="C883" s="23" t="n"/>
      <c r="D883" s="23" t="n"/>
      <c r="E883" s="23" t="n"/>
      <c r="F883" s="23" t="n"/>
      <c r="G883" s="23" t="n"/>
      <c r="H883" s="23" t="n"/>
      <c r="I883" s="23" t="n"/>
      <c r="J883" s="23" t="n"/>
      <c r="K883" s="23" t="n"/>
      <c r="L883" s="23" t="n"/>
      <c r="M883" s="23" t="n"/>
      <c r="N883" s="23" t="n"/>
      <c r="O883" s="23" t="n"/>
      <c r="P883" s="23" t="n"/>
      <c r="Q883" s="23" t="n"/>
      <c r="R883" s="23" t="n"/>
      <c r="S883" s="23" t="n"/>
      <c r="T883" s="23" t="n"/>
      <c r="U883" s="23" t="n"/>
      <c r="V883" s="23" t="n"/>
      <c r="W883" s="23" t="n"/>
      <c r="X883" s="23" t="n"/>
      <c r="Y883" s="23" t="n"/>
      <c r="Z883" s="23" t="n"/>
    </row>
    <row r="884" ht="15.75" customHeight="1" s="86">
      <c r="A884" s="23" t="n"/>
      <c r="B884" s="23" t="n"/>
      <c r="C884" s="23" t="n"/>
      <c r="D884" s="23" t="n"/>
      <c r="E884" s="23" t="n"/>
      <c r="F884" s="23" t="n"/>
      <c r="G884" s="23" t="n"/>
      <c r="H884" s="23" t="n"/>
      <c r="I884" s="23" t="n"/>
      <c r="J884" s="23" t="n"/>
      <c r="K884" s="23" t="n"/>
      <c r="L884" s="23" t="n"/>
      <c r="M884" s="23" t="n"/>
      <c r="N884" s="23" t="n"/>
      <c r="O884" s="23" t="n"/>
      <c r="P884" s="23" t="n"/>
      <c r="Q884" s="23" t="n"/>
      <c r="R884" s="23" t="n"/>
      <c r="S884" s="23" t="n"/>
      <c r="T884" s="23" t="n"/>
      <c r="U884" s="23" t="n"/>
      <c r="V884" s="23" t="n"/>
      <c r="W884" s="23" t="n"/>
      <c r="X884" s="23" t="n"/>
      <c r="Y884" s="23" t="n"/>
      <c r="Z884" s="23" t="n"/>
    </row>
    <row r="885" ht="15.75" customHeight="1" s="86">
      <c r="A885" s="23" t="n"/>
      <c r="B885" s="23" t="n"/>
      <c r="C885" s="23" t="n"/>
      <c r="D885" s="23" t="n"/>
      <c r="E885" s="23" t="n"/>
      <c r="F885" s="23" t="n"/>
      <c r="G885" s="23" t="n"/>
      <c r="H885" s="23" t="n"/>
      <c r="I885" s="23" t="n"/>
      <c r="J885" s="23" t="n"/>
      <c r="K885" s="23" t="n"/>
      <c r="L885" s="23" t="n"/>
      <c r="M885" s="23" t="n"/>
      <c r="N885" s="23" t="n"/>
      <c r="O885" s="23" t="n"/>
      <c r="P885" s="23" t="n"/>
      <c r="Q885" s="23" t="n"/>
      <c r="R885" s="23" t="n"/>
      <c r="S885" s="23" t="n"/>
      <c r="T885" s="23" t="n"/>
      <c r="U885" s="23" t="n"/>
      <c r="V885" s="23" t="n"/>
      <c r="W885" s="23" t="n"/>
      <c r="X885" s="23" t="n"/>
      <c r="Y885" s="23" t="n"/>
      <c r="Z885" s="23" t="n"/>
    </row>
    <row r="886" ht="15.75" customHeight="1" s="86">
      <c r="A886" s="23" t="n"/>
      <c r="B886" s="23" t="n"/>
      <c r="C886" s="23" t="n"/>
      <c r="D886" s="23" t="n"/>
      <c r="E886" s="23" t="n"/>
      <c r="F886" s="23" t="n"/>
      <c r="G886" s="23" t="n"/>
      <c r="H886" s="23" t="n"/>
      <c r="I886" s="23" t="n"/>
      <c r="J886" s="23" t="n"/>
      <c r="K886" s="23" t="n"/>
      <c r="L886" s="23" t="n"/>
      <c r="M886" s="23" t="n"/>
      <c r="N886" s="23" t="n"/>
      <c r="O886" s="23" t="n"/>
      <c r="P886" s="23" t="n"/>
      <c r="Q886" s="23" t="n"/>
      <c r="R886" s="23" t="n"/>
      <c r="S886" s="23" t="n"/>
      <c r="T886" s="23" t="n"/>
      <c r="U886" s="23" t="n"/>
      <c r="V886" s="23" t="n"/>
      <c r="W886" s="23" t="n"/>
      <c r="X886" s="23" t="n"/>
      <c r="Y886" s="23" t="n"/>
      <c r="Z886" s="23" t="n"/>
    </row>
    <row r="887" ht="15.75" customHeight="1" s="86">
      <c r="A887" s="23" t="n"/>
      <c r="B887" s="23" t="n"/>
      <c r="C887" s="23" t="n"/>
      <c r="D887" s="23" t="n"/>
      <c r="E887" s="23" t="n"/>
      <c r="F887" s="23" t="n"/>
      <c r="G887" s="23" t="n"/>
      <c r="H887" s="23" t="n"/>
      <c r="I887" s="23" t="n"/>
      <c r="J887" s="23" t="n"/>
      <c r="K887" s="23" t="n"/>
      <c r="L887" s="23" t="n"/>
      <c r="M887" s="23" t="n"/>
      <c r="N887" s="23" t="n"/>
      <c r="O887" s="23" t="n"/>
      <c r="P887" s="23" t="n"/>
      <c r="Q887" s="23" t="n"/>
      <c r="R887" s="23" t="n"/>
      <c r="S887" s="23" t="n"/>
      <c r="T887" s="23" t="n"/>
      <c r="U887" s="23" t="n"/>
      <c r="V887" s="23" t="n"/>
      <c r="W887" s="23" t="n"/>
      <c r="X887" s="23" t="n"/>
      <c r="Y887" s="23" t="n"/>
      <c r="Z887" s="23" t="n"/>
    </row>
    <row r="888" ht="15.75" customHeight="1" s="86">
      <c r="A888" s="23" t="n"/>
      <c r="B888" s="23" t="n"/>
      <c r="C888" s="23" t="n"/>
      <c r="D888" s="23" t="n"/>
      <c r="E888" s="23" t="n"/>
      <c r="F888" s="23" t="n"/>
      <c r="G888" s="23" t="n"/>
      <c r="H888" s="23" t="n"/>
      <c r="I888" s="23" t="n"/>
      <c r="J888" s="23" t="n"/>
      <c r="K888" s="23" t="n"/>
      <c r="L888" s="23" t="n"/>
      <c r="M888" s="23" t="n"/>
      <c r="N888" s="23" t="n"/>
      <c r="O888" s="23" t="n"/>
      <c r="P888" s="23" t="n"/>
      <c r="Q888" s="23" t="n"/>
      <c r="R888" s="23" t="n"/>
      <c r="S888" s="23" t="n"/>
      <c r="T888" s="23" t="n"/>
      <c r="U888" s="23" t="n"/>
      <c r="V888" s="23" t="n"/>
      <c r="W888" s="23" t="n"/>
      <c r="X888" s="23" t="n"/>
      <c r="Y888" s="23" t="n"/>
      <c r="Z888" s="23" t="n"/>
    </row>
    <row r="889" ht="15.75" customHeight="1" s="86">
      <c r="A889" s="23" t="n"/>
      <c r="B889" s="23" t="n"/>
      <c r="C889" s="23" t="n"/>
      <c r="D889" s="23" t="n"/>
      <c r="E889" s="23" t="n"/>
      <c r="F889" s="23" t="n"/>
      <c r="G889" s="23" t="n"/>
      <c r="H889" s="23" t="n"/>
      <c r="I889" s="23" t="n"/>
      <c r="J889" s="23" t="n"/>
      <c r="K889" s="23" t="n"/>
      <c r="L889" s="23" t="n"/>
      <c r="M889" s="23" t="n"/>
      <c r="N889" s="23" t="n"/>
      <c r="O889" s="23" t="n"/>
      <c r="P889" s="23" t="n"/>
      <c r="Q889" s="23" t="n"/>
      <c r="R889" s="23" t="n"/>
      <c r="S889" s="23" t="n"/>
      <c r="T889" s="23" t="n"/>
      <c r="U889" s="23" t="n"/>
      <c r="V889" s="23" t="n"/>
      <c r="W889" s="23" t="n"/>
      <c r="X889" s="23" t="n"/>
      <c r="Y889" s="23" t="n"/>
      <c r="Z889" s="23" t="n"/>
    </row>
    <row r="890" ht="15.75" customHeight="1" s="86">
      <c r="A890" s="23" t="n"/>
      <c r="B890" s="23" t="n"/>
      <c r="C890" s="23" t="n"/>
      <c r="D890" s="23" t="n"/>
      <c r="E890" s="23" t="n"/>
      <c r="F890" s="23" t="n"/>
      <c r="G890" s="23" t="n"/>
      <c r="H890" s="23" t="n"/>
      <c r="I890" s="23" t="n"/>
      <c r="J890" s="23" t="n"/>
      <c r="K890" s="23" t="n"/>
      <c r="L890" s="23" t="n"/>
      <c r="M890" s="23" t="n"/>
      <c r="N890" s="23" t="n"/>
      <c r="O890" s="23" t="n"/>
      <c r="P890" s="23" t="n"/>
      <c r="Q890" s="23" t="n"/>
      <c r="R890" s="23" t="n"/>
      <c r="S890" s="23" t="n"/>
      <c r="T890" s="23" t="n"/>
      <c r="U890" s="23" t="n"/>
      <c r="V890" s="23" t="n"/>
      <c r="W890" s="23" t="n"/>
      <c r="X890" s="23" t="n"/>
      <c r="Y890" s="23" t="n"/>
      <c r="Z890" s="23" t="n"/>
    </row>
    <row r="891" ht="15.75" customHeight="1" s="86">
      <c r="A891" s="23" t="n"/>
      <c r="B891" s="23" t="n"/>
      <c r="C891" s="23" t="n"/>
      <c r="D891" s="23" t="n"/>
      <c r="E891" s="23" t="n"/>
      <c r="F891" s="23" t="n"/>
      <c r="G891" s="23" t="n"/>
      <c r="H891" s="23" t="n"/>
      <c r="I891" s="23" t="n"/>
      <c r="J891" s="23" t="n"/>
      <c r="K891" s="23" t="n"/>
      <c r="L891" s="23" t="n"/>
      <c r="M891" s="23" t="n"/>
      <c r="N891" s="23" t="n"/>
      <c r="O891" s="23" t="n"/>
      <c r="P891" s="23" t="n"/>
      <c r="Q891" s="23" t="n"/>
      <c r="R891" s="23" t="n"/>
      <c r="S891" s="23" t="n"/>
      <c r="T891" s="23" t="n"/>
      <c r="U891" s="23" t="n"/>
      <c r="V891" s="23" t="n"/>
      <c r="W891" s="23" t="n"/>
      <c r="X891" s="23" t="n"/>
      <c r="Y891" s="23" t="n"/>
      <c r="Z891" s="23" t="n"/>
    </row>
    <row r="892" ht="15.75" customHeight="1" s="86">
      <c r="A892" s="23" t="n"/>
      <c r="B892" s="23" t="n"/>
      <c r="C892" s="23" t="n"/>
      <c r="D892" s="23" t="n"/>
      <c r="E892" s="23" t="n"/>
      <c r="F892" s="23" t="n"/>
      <c r="G892" s="23" t="n"/>
      <c r="H892" s="23" t="n"/>
      <c r="I892" s="23" t="n"/>
      <c r="J892" s="23" t="n"/>
      <c r="K892" s="23" t="n"/>
      <c r="L892" s="23" t="n"/>
      <c r="M892" s="23" t="n"/>
      <c r="N892" s="23" t="n"/>
      <c r="O892" s="23" t="n"/>
      <c r="P892" s="23" t="n"/>
      <c r="Q892" s="23" t="n"/>
      <c r="R892" s="23" t="n"/>
      <c r="S892" s="23" t="n"/>
      <c r="T892" s="23" t="n"/>
      <c r="U892" s="23" t="n"/>
      <c r="V892" s="23" t="n"/>
      <c r="W892" s="23" t="n"/>
      <c r="X892" s="23" t="n"/>
      <c r="Y892" s="23" t="n"/>
      <c r="Z892" s="23" t="n"/>
    </row>
    <row r="893" ht="15.75" customHeight="1" s="86">
      <c r="A893" s="23" t="n"/>
      <c r="B893" s="23" t="n"/>
      <c r="C893" s="23" t="n"/>
      <c r="D893" s="23" t="n"/>
      <c r="E893" s="23" t="n"/>
      <c r="F893" s="23" t="n"/>
      <c r="G893" s="23" t="n"/>
      <c r="H893" s="23" t="n"/>
      <c r="I893" s="23" t="n"/>
      <c r="J893" s="23" t="n"/>
      <c r="K893" s="23" t="n"/>
      <c r="L893" s="23" t="n"/>
      <c r="M893" s="23" t="n"/>
      <c r="N893" s="23" t="n"/>
      <c r="O893" s="23" t="n"/>
      <c r="P893" s="23" t="n"/>
      <c r="Q893" s="23" t="n"/>
      <c r="R893" s="23" t="n"/>
      <c r="S893" s="23" t="n"/>
      <c r="T893" s="23" t="n"/>
      <c r="U893" s="23" t="n"/>
      <c r="V893" s="23" t="n"/>
      <c r="W893" s="23" t="n"/>
      <c r="X893" s="23" t="n"/>
      <c r="Y893" s="23" t="n"/>
      <c r="Z893" s="23" t="n"/>
    </row>
    <row r="894" ht="15.75" customHeight="1" s="86">
      <c r="A894" s="23" t="n"/>
      <c r="B894" s="23" t="n"/>
      <c r="C894" s="23" t="n"/>
      <c r="D894" s="23" t="n"/>
      <c r="E894" s="23" t="n"/>
      <c r="F894" s="23" t="n"/>
      <c r="G894" s="23" t="n"/>
      <c r="H894" s="23" t="n"/>
      <c r="I894" s="23" t="n"/>
      <c r="J894" s="23" t="n"/>
      <c r="K894" s="23" t="n"/>
      <c r="L894" s="23" t="n"/>
      <c r="M894" s="23" t="n"/>
      <c r="N894" s="23" t="n"/>
      <c r="O894" s="23" t="n"/>
      <c r="P894" s="23" t="n"/>
      <c r="Q894" s="23" t="n"/>
      <c r="R894" s="23" t="n"/>
      <c r="S894" s="23" t="n"/>
      <c r="T894" s="23" t="n"/>
      <c r="U894" s="23" t="n"/>
      <c r="V894" s="23" t="n"/>
      <c r="W894" s="23" t="n"/>
      <c r="X894" s="23" t="n"/>
      <c r="Y894" s="23" t="n"/>
      <c r="Z894" s="23" t="n"/>
    </row>
    <row r="895" ht="15.75" customHeight="1" s="86">
      <c r="A895" s="23" t="n"/>
      <c r="B895" s="23" t="n"/>
      <c r="C895" s="23" t="n"/>
      <c r="D895" s="23" t="n"/>
      <c r="E895" s="23" t="n"/>
      <c r="F895" s="23" t="n"/>
      <c r="G895" s="23" t="n"/>
      <c r="H895" s="23" t="n"/>
      <c r="I895" s="23" t="n"/>
      <c r="J895" s="23" t="n"/>
      <c r="K895" s="23" t="n"/>
      <c r="L895" s="23" t="n"/>
      <c r="M895" s="23" t="n"/>
      <c r="N895" s="23" t="n"/>
      <c r="O895" s="23" t="n"/>
      <c r="P895" s="23" t="n"/>
      <c r="Q895" s="23" t="n"/>
      <c r="R895" s="23" t="n"/>
      <c r="S895" s="23" t="n"/>
      <c r="T895" s="23" t="n"/>
      <c r="U895" s="23" t="n"/>
      <c r="V895" s="23" t="n"/>
      <c r="W895" s="23" t="n"/>
      <c r="X895" s="23" t="n"/>
      <c r="Y895" s="23" t="n"/>
      <c r="Z895" s="23" t="n"/>
    </row>
    <row r="896" ht="15.75" customHeight="1" s="86">
      <c r="A896" s="23" t="n"/>
      <c r="B896" s="23" t="n"/>
      <c r="C896" s="23" t="n"/>
      <c r="D896" s="23" t="n"/>
      <c r="E896" s="23" t="n"/>
      <c r="F896" s="23" t="n"/>
      <c r="G896" s="23" t="n"/>
      <c r="H896" s="23" t="n"/>
      <c r="I896" s="23" t="n"/>
      <c r="J896" s="23" t="n"/>
      <c r="K896" s="23" t="n"/>
      <c r="L896" s="23" t="n"/>
      <c r="M896" s="23" t="n"/>
      <c r="N896" s="23" t="n"/>
      <c r="O896" s="23" t="n"/>
      <c r="P896" s="23" t="n"/>
      <c r="Q896" s="23" t="n"/>
      <c r="R896" s="23" t="n"/>
      <c r="S896" s="23" t="n"/>
      <c r="T896" s="23" t="n"/>
      <c r="U896" s="23" t="n"/>
      <c r="V896" s="23" t="n"/>
      <c r="W896" s="23" t="n"/>
      <c r="X896" s="23" t="n"/>
      <c r="Y896" s="23" t="n"/>
      <c r="Z896" s="23" t="n"/>
    </row>
    <row r="897" ht="15.75" customHeight="1" s="86">
      <c r="A897" s="23" t="n"/>
      <c r="B897" s="23" t="n"/>
      <c r="C897" s="23" t="n"/>
      <c r="D897" s="23" t="n"/>
      <c r="E897" s="23" t="n"/>
      <c r="F897" s="23" t="n"/>
      <c r="G897" s="23" t="n"/>
      <c r="H897" s="23" t="n"/>
      <c r="I897" s="23" t="n"/>
      <c r="J897" s="23" t="n"/>
      <c r="K897" s="23" t="n"/>
      <c r="L897" s="23" t="n"/>
      <c r="M897" s="23" t="n"/>
      <c r="N897" s="23" t="n"/>
      <c r="O897" s="23" t="n"/>
      <c r="P897" s="23" t="n"/>
      <c r="Q897" s="23" t="n"/>
      <c r="R897" s="23" t="n"/>
      <c r="S897" s="23" t="n"/>
      <c r="T897" s="23" t="n"/>
      <c r="U897" s="23" t="n"/>
      <c r="V897" s="23" t="n"/>
      <c r="W897" s="23" t="n"/>
      <c r="X897" s="23" t="n"/>
      <c r="Y897" s="23" t="n"/>
      <c r="Z897" s="23" t="n"/>
    </row>
    <row r="898" ht="15.75" customHeight="1" s="86">
      <c r="A898" s="23" t="n"/>
      <c r="B898" s="23" t="n"/>
      <c r="C898" s="23" t="n"/>
      <c r="D898" s="23" t="n"/>
      <c r="E898" s="23" t="n"/>
      <c r="F898" s="23" t="n"/>
      <c r="G898" s="23" t="n"/>
      <c r="H898" s="23" t="n"/>
      <c r="I898" s="23" t="n"/>
      <c r="J898" s="23" t="n"/>
      <c r="K898" s="23" t="n"/>
      <c r="L898" s="23" t="n"/>
      <c r="M898" s="23" t="n"/>
      <c r="N898" s="23" t="n"/>
      <c r="O898" s="23" t="n"/>
      <c r="P898" s="23" t="n"/>
      <c r="Q898" s="23" t="n"/>
      <c r="R898" s="23" t="n"/>
      <c r="S898" s="23" t="n"/>
      <c r="T898" s="23" t="n"/>
      <c r="U898" s="23" t="n"/>
      <c r="V898" s="23" t="n"/>
      <c r="W898" s="23" t="n"/>
      <c r="X898" s="23" t="n"/>
      <c r="Y898" s="23" t="n"/>
      <c r="Z898" s="23" t="n"/>
    </row>
    <row r="899" ht="15.75" customHeight="1" s="86">
      <c r="A899" s="23" t="n"/>
      <c r="B899" s="23" t="n"/>
      <c r="C899" s="23" t="n"/>
      <c r="D899" s="23" t="n"/>
      <c r="E899" s="23" t="n"/>
      <c r="F899" s="23" t="n"/>
      <c r="G899" s="23" t="n"/>
      <c r="H899" s="23" t="n"/>
      <c r="I899" s="23" t="n"/>
      <c r="J899" s="23" t="n"/>
      <c r="K899" s="23" t="n"/>
      <c r="L899" s="23" t="n"/>
      <c r="M899" s="23" t="n"/>
      <c r="N899" s="23" t="n"/>
      <c r="O899" s="23" t="n"/>
      <c r="P899" s="23" t="n"/>
      <c r="Q899" s="23" t="n"/>
      <c r="R899" s="23" t="n"/>
      <c r="S899" s="23" t="n"/>
      <c r="T899" s="23" t="n"/>
      <c r="U899" s="23" t="n"/>
      <c r="V899" s="23" t="n"/>
      <c r="W899" s="23" t="n"/>
      <c r="X899" s="23" t="n"/>
      <c r="Y899" s="23" t="n"/>
      <c r="Z899" s="23" t="n"/>
    </row>
    <row r="900" ht="15.75" customHeight="1" s="86">
      <c r="A900" s="23" t="n"/>
      <c r="B900" s="23" t="n"/>
      <c r="C900" s="23" t="n"/>
      <c r="D900" s="23" t="n"/>
      <c r="E900" s="23" t="n"/>
      <c r="F900" s="23" t="n"/>
      <c r="G900" s="23" t="n"/>
      <c r="H900" s="23" t="n"/>
      <c r="I900" s="23" t="n"/>
      <c r="J900" s="23" t="n"/>
      <c r="K900" s="23" t="n"/>
      <c r="L900" s="23" t="n"/>
      <c r="M900" s="23" t="n"/>
      <c r="N900" s="23" t="n"/>
      <c r="O900" s="23" t="n"/>
      <c r="P900" s="23" t="n"/>
      <c r="Q900" s="23" t="n"/>
      <c r="R900" s="23" t="n"/>
      <c r="S900" s="23" t="n"/>
      <c r="T900" s="23" t="n"/>
      <c r="U900" s="23" t="n"/>
      <c r="V900" s="23" t="n"/>
      <c r="W900" s="23" t="n"/>
      <c r="X900" s="23" t="n"/>
      <c r="Y900" s="23" t="n"/>
      <c r="Z900" s="23" t="n"/>
    </row>
    <row r="901" ht="15.75" customHeight="1" s="86">
      <c r="A901" s="23" t="n"/>
      <c r="B901" s="23" t="n"/>
      <c r="C901" s="23" t="n"/>
      <c r="D901" s="23" t="n"/>
      <c r="E901" s="23" t="n"/>
      <c r="F901" s="23" t="n"/>
      <c r="G901" s="23" t="n"/>
      <c r="H901" s="23" t="n"/>
      <c r="I901" s="23" t="n"/>
      <c r="J901" s="23" t="n"/>
      <c r="K901" s="23" t="n"/>
      <c r="L901" s="23" t="n"/>
      <c r="M901" s="23" t="n"/>
      <c r="N901" s="23" t="n"/>
      <c r="O901" s="23" t="n"/>
      <c r="P901" s="23" t="n"/>
      <c r="Q901" s="23" t="n"/>
      <c r="R901" s="23" t="n"/>
      <c r="S901" s="23" t="n"/>
      <c r="T901" s="23" t="n"/>
      <c r="U901" s="23" t="n"/>
      <c r="V901" s="23" t="n"/>
      <c r="W901" s="23" t="n"/>
      <c r="X901" s="23" t="n"/>
      <c r="Y901" s="23" t="n"/>
      <c r="Z901" s="23" t="n"/>
    </row>
    <row r="902" ht="15.75" customHeight="1" s="86">
      <c r="A902" s="23" t="n"/>
      <c r="B902" s="23" t="n"/>
      <c r="C902" s="23" t="n"/>
      <c r="D902" s="23" t="n"/>
      <c r="E902" s="23" t="n"/>
      <c r="F902" s="23" t="n"/>
      <c r="G902" s="23" t="n"/>
      <c r="H902" s="23" t="n"/>
      <c r="I902" s="23" t="n"/>
      <c r="J902" s="23" t="n"/>
      <c r="K902" s="23" t="n"/>
      <c r="L902" s="23" t="n"/>
      <c r="M902" s="23" t="n"/>
      <c r="N902" s="23" t="n"/>
      <c r="O902" s="23" t="n"/>
      <c r="P902" s="23" t="n"/>
      <c r="Q902" s="23" t="n"/>
      <c r="R902" s="23" t="n"/>
      <c r="S902" s="23" t="n"/>
      <c r="T902" s="23" t="n"/>
      <c r="U902" s="23" t="n"/>
      <c r="V902" s="23" t="n"/>
      <c r="W902" s="23" t="n"/>
      <c r="X902" s="23" t="n"/>
      <c r="Y902" s="23" t="n"/>
      <c r="Z902" s="23" t="n"/>
    </row>
    <row r="903" ht="15.75" customHeight="1" s="86">
      <c r="A903" s="23" t="n"/>
      <c r="B903" s="23" t="n"/>
      <c r="C903" s="23" t="n"/>
      <c r="D903" s="23" t="n"/>
      <c r="E903" s="23" t="n"/>
      <c r="F903" s="23" t="n"/>
      <c r="G903" s="23" t="n"/>
      <c r="H903" s="23" t="n"/>
      <c r="I903" s="23" t="n"/>
      <c r="J903" s="23" t="n"/>
      <c r="K903" s="23" t="n"/>
      <c r="L903" s="23" t="n"/>
      <c r="M903" s="23" t="n"/>
      <c r="N903" s="23" t="n"/>
      <c r="O903" s="23" t="n"/>
      <c r="P903" s="23" t="n"/>
      <c r="Q903" s="23" t="n"/>
      <c r="R903" s="23" t="n"/>
      <c r="S903" s="23" t="n"/>
      <c r="T903" s="23" t="n"/>
      <c r="U903" s="23" t="n"/>
      <c r="V903" s="23" t="n"/>
      <c r="W903" s="23" t="n"/>
      <c r="X903" s="23" t="n"/>
      <c r="Y903" s="23" t="n"/>
      <c r="Z903" s="23" t="n"/>
    </row>
    <row r="904" ht="15.75" customHeight="1" s="86">
      <c r="A904" s="23" t="n"/>
      <c r="B904" s="23" t="n"/>
      <c r="C904" s="23" t="n"/>
      <c r="D904" s="23" t="n"/>
      <c r="E904" s="23" t="n"/>
      <c r="F904" s="23" t="n"/>
      <c r="G904" s="23" t="n"/>
      <c r="H904" s="23" t="n"/>
      <c r="I904" s="23" t="n"/>
      <c r="J904" s="23" t="n"/>
      <c r="K904" s="23" t="n"/>
      <c r="L904" s="23" t="n"/>
      <c r="M904" s="23" t="n"/>
      <c r="N904" s="23" t="n"/>
      <c r="O904" s="23" t="n"/>
      <c r="P904" s="23" t="n"/>
      <c r="Q904" s="23" t="n"/>
      <c r="R904" s="23" t="n"/>
      <c r="S904" s="23" t="n"/>
      <c r="T904" s="23" t="n"/>
      <c r="U904" s="23" t="n"/>
      <c r="V904" s="23" t="n"/>
      <c r="W904" s="23" t="n"/>
      <c r="X904" s="23" t="n"/>
      <c r="Y904" s="23" t="n"/>
      <c r="Z904" s="23" t="n"/>
    </row>
    <row r="905" ht="15.75" customHeight="1" s="86">
      <c r="A905" s="23" t="n"/>
      <c r="B905" s="23" t="n"/>
      <c r="C905" s="23" t="n"/>
      <c r="D905" s="23" t="n"/>
      <c r="E905" s="23" t="n"/>
      <c r="F905" s="23" t="n"/>
      <c r="G905" s="23" t="n"/>
      <c r="H905" s="23" t="n"/>
      <c r="I905" s="23" t="n"/>
      <c r="J905" s="23" t="n"/>
      <c r="K905" s="23" t="n"/>
      <c r="L905" s="23" t="n"/>
      <c r="M905" s="23" t="n"/>
      <c r="N905" s="23" t="n"/>
      <c r="O905" s="23" t="n"/>
      <c r="P905" s="23" t="n"/>
      <c r="Q905" s="23" t="n"/>
      <c r="R905" s="23" t="n"/>
      <c r="S905" s="23" t="n"/>
      <c r="T905" s="23" t="n"/>
      <c r="U905" s="23" t="n"/>
      <c r="V905" s="23" t="n"/>
      <c r="W905" s="23" t="n"/>
      <c r="X905" s="23" t="n"/>
      <c r="Y905" s="23" t="n"/>
      <c r="Z905" s="23" t="n"/>
    </row>
    <row r="906" ht="15.75" customHeight="1" s="86">
      <c r="A906" s="23" t="n"/>
      <c r="B906" s="23" t="n"/>
      <c r="C906" s="23" t="n"/>
      <c r="D906" s="23" t="n"/>
      <c r="E906" s="23" t="n"/>
      <c r="F906" s="23" t="n"/>
      <c r="G906" s="23" t="n"/>
      <c r="H906" s="23" t="n"/>
      <c r="I906" s="23" t="n"/>
      <c r="J906" s="23" t="n"/>
      <c r="K906" s="23" t="n"/>
      <c r="L906" s="23" t="n"/>
      <c r="M906" s="23" t="n"/>
      <c r="N906" s="23" t="n"/>
      <c r="O906" s="23" t="n"/>
      <c r="P906" s="23" t="n"/>
      <c r="Q906" s="23" t="n"/>
      <c r="R906" s="23" t="n"/>
      <c r="S906" s="23" t="n"/>
      <c r="T906" s="23" t="n"/>
      <c r="U906" s="23" t="n"/>
      <c r="V906" s="23" t="n"/>
      <c r="W906" s="23" t="n"/>
      <c r="X906" s="23" t="n"/>
      <c r="Y906" s="23" t="n"/>
      <c r="Z906" s="23" t="n"/>
    </row>
    <row r="907" ht="15.75" customHeight="1" s="86">
      <c r="A907" s="23" t="n"/>
      <c r="B907" s="23" t="n"/>
      <c r="C907" s="23" t="n"/>
      <c r="D907" s="23" t="n"/>
      <c r="E907" s="23" t="n"/>
      <c r="F907" s="23" t="n"/>
      <c r="G907" s="23" t="n"/>
      <c r="H907" s="23" t="n"/>
      <c r="I907" s="23" t="n"/>
      <c r="J907" s="23" t="n"/>
      <c r="K907" s="23" t="n"/>
      <c r="L907" s="23" t="n"/>
      <c r="M907" s="23" t="n"/>
      <c r="N907" s="23" t="n"/>
      <c r="O907" s="23" t="n"/>
      <c r="P907" s="23" t="n"/>
      <c r="Q907" s="23" t="n"/>
      <c r="R907" s="23" t="n"/>
      <c r="S907" s="23" t="n"/>
      <c r="T907" s="23" t="n"/>
      <c r="U907" s="23" t="n"/>
      <c r="V907" s="23" t="n"/>
      <c r="W907" s="23" t="n"/>
      <c r="X907" s="23" t="n"/>
      <c r="Y907" s="23" t="n"/>
      <c r="Z907" s="23" t="n"/>
    </row>
    <row r="908" ht="15.75" customHeight="1" s="86">
      <c r="A908" s="23" t="n"/>
      <c r="B908" s="23" t="n"/>
      <c r="C908" s="23" t="n"/>
      <c r="D908" s="23" t="n"/>
      <c r="E908" s="23" t="n"/>
      <c r="F908" s="23" t="n"/>
      <c r="G908" s="23" t="n"/>
      <c r="H908" s="23" t="n"/>
      <c r="I908" s="23" t="n"/>
      <c r="J908" s="23" t="n"/>
      <c r="K908" s="23" t="n"/>
      <c r="L908" s="23" t="n"/>
      <c r="M908" s="23" t="n"/>
      <c r="N908" s="23" t="n"/>
      <c r="O908" s="23" t="n"/>
      <c r="P908" s="23" t="n"/>
      <c r="Q908" s="23" t="n"/>
      <c r="R908" s="23" t="n"/>
      <c r="S908" s="23" t="n"/>
      <c r="T908" s="23" t="n"/>
      <c r="U908" s="23" t="n"/>
      <c r="V908" s="23" t="n"/>
      <c r="W908" s="23" t="n"/>
      <c r="X908" s="23" t="n"/>
      <c r="Y908" s="23" t="n"/>
      <c r="Z908" s="23" t="n"/>
    </row>
    <row r="909" ht="15.75" customHeight="1" s="86">
      <c r="A909" s="23" t="n"/>
      <c r="B909" s="23" t="n"/>
      <c r="C909" s="23" t="n"/>
      <c r="D909" s="23" t="n"/>
      <c r="E909" s="23" t="n"/>
      <c r="F909" s="23" t="n"/>
      <c r="G909" s="23" t="n"/>
      <c r="H909" s="23" t="n"/>
      <c r="I909" s="23" t="n"/>
      <c r="J909" s="23" t="n"/>
      <c r="K909" s="23" t="n"/>
      <c r="L909" s="23" t="n"/>
      <c r="M909" s="23" t="n"/>
      <c r="N909" s="23" t="n"/>
      <c r="O909" s="23" t="n"/>
      <c r="P909" s="23" t="n"/>
      <c r="Q909" s="23" t="n"/>
      <c r="R909" s="23" t="n"/>
      <c r="S909" s="23" t="n"/>
      <c r="T909" s="23" t="n"/>
      <c r="U909" s="23" t="n"/>
      <c r="V909" s="23" t="n"/>
      <c r="W909" s="23" t="n"/>
      <c r="X909" s="23" t="n"/>
      <c r="Y909" s="23" t="n"/>
      <c r="Z909" s="23" t="n"/>
    </row>
    <row r="910" ht="15.75" customHeight="1" s="86">
      <c r="A910" s="23" t="n"/>
      <c r="B910" s="23" t="n"/>
      <c r="C910" s="23" t="n"/>
      <c r="D910" s="23" t="n"/>
      <c r="E910" s="23" t="n"/>
      <c r="F910" s="23" t="n"/>
      <c r="G910" s="23" t="n"/>
      <c r="H910" s="23" t="n"/>
      <c r="I910" s="23" t="n"/>
      <c r="J910" s="23" t="n"/>
      <c r="K910" s="23" t="n"/>
      <c r="L910" s="23" t="n"/>
      <c r="M910" s="23" t="n"/>
      <c r="N910" s="23" t="n"/>
      <c r="O910" s="23" t="n"/>
      <c r="P910" s="23" t="n"/>
      <c r="Q910" s="23" t="n"/>
      <c r="R910" s="23" t="n"/>
      <c r="S910" s="23" t="n"/>
      <c r="T910" s="23" t="n"/>
      <c r="U910" s="23" t="n"/>
      <c r="V910" s="23" t="n"/>
      <c r="W910" s="23" t="n"/>
      <c r="X910" s="23" t="n"/>
      <c r="Y910" s="23" t="n"/>
      <c r="Z910" s="23" t="n"/>
    </row>
    <row r="911" ht="15.75" customHeight="1" s="86">
      <c r="A911" s="23" t="n"/>
      <c r="B911" s="23" t="n"/>
      <c r="C911" s="23" t="n"/>
      <c r="D911" s="23" t="n"/>
      <c r="E911" s="23" t="n"/>
      <c r="F911" s="23" t="n"/>
      <c r="G911" s="23" t="n"/>
      <c r="H911" s="23" t="n"/>
      <c r="I911" s="23" t="n"/>
      <c r="J911" s="23" t="n"/>
      <c r="K911" s="23" t="n"/>
      <c r="L911" s="23" t="n"/>
      <c r="M911" s="23" t="n"/>
      <c r="N911" s="23" t="n"/>
      <c r="O911" s="23" t="n"/>
      <c r="P911" s="23" t="n"/>
      <c r="Q911" s="23" t="n"/>
      <c r="R911" s="23" t="n"/>
      <c r="S911" s="23" t="n"/>
      <c r="T911" s="23" t="n"/>
      <c r="U911" s="23" t="n"/>
      <c r="V911" s="23" t="n"/>
      <c r="W911" s="23" t="n"/>
      <c r="X911" s="23" t="n"/>
      <c r="Y911" s="23" t="n"/>
      <c r="Z911" s="23" t="n"/>
    </row>
    <row r="912" ht="15.75" customHeight="1" s="86">
      <c r="A912" s="23" t="n"/>
      <c r="B912" s="23" t="n"/>
      <c r="C912" s="23" t="n"/>
      <c r="D912" s="23" t="n"/>
      <c r="E912" s="23" t="n"/>
      <c r="F912" s="23" t="n"/>
      <c r="G912" s="23" t="n"/>
      <c r="H912" s="23" t="n"/>
      <c r="I912" s="23" t="n"/>
      <c r="J912" s="23" t="n"/>
      <c r="K912" s="23" t="n"/>
      <c r="L912" s="23" t="n"/>
      <c r="M912" s="23" t="n"/>
      <c r="N912" s="23" t="n"/>
      <c r="O912" s="23" t="n"/>
      <c r="P912" s="23" t="n"/>
      <c r="Q912" s="23" t="n"/>
      <c r="R912" s="23" t="n"/>
      <c r="S912" s="23" t="n"/>
      <c r="T912" s="23" t="n"/>
      <c r="U912" s="23" t="n"/>
      <c r="V912" s="23" t="n"/>
      <c r="W912" s="23" t="n"/>
      <c r="X912" s="23" t="n"/>
      <c r="Y912" s="23" t="n"/>
      <c r="Z912" s="23" t="n"/>
    </row>
    <row r="913" ht="15.75" customHeight="1" s="86">
      <c r="A913" s="23" t="n"/>
      <c r="B913" s="23" t="n"/>
      <c r="C913" s="23" t="n"/>
      <c r="D913" s="23" t="n"/>
      <c r="E913" s="23" t="n"/>
      <c r="F913" s="23" t="n"/>
      <c r="G913" s="23" t="n"/>
      <c r="H913" s="23" t="n"/>
      <c r="I913" s="23" t="n"/>
      <c r="J913" s="23" t="n"/>
      <c r="K913" s="23" t="n"/>
      <c r="L913" s="23" t="n"/>
      <c r="M913" s="23" t="n"/>
      <c r="N913" s="23" t="n"/>
      <c r="O913" s="23" t="n"/>
      <c r="P913" s="23" t="n"/>
      <c r="Q913" s="23" t="n"/>
      <c r="R913" s="23" t="n"/>
      <c r="S913" s="23" t="n"/>
      <c r="T913" s="23" t="n"/>
      <c r="U913" s="23" t="n"/>
      <c r="V913" s="23" t="n"/>
      <c r="W913" s="23" t="n"/>
      <c r="X913" s="23" t="n"/>
      <c r="Y913" s="23" t="n"/>
      <c r="Z913" s="23" t="n"/>
    </row>
    <row r="914" ht="15.75" customHeight="1" s="86">
      <c r="A914" s="23" t="n"/>
      <c r="B914" s="23" t="n"/>
      <c r="C914" s="23" t="n"/>
      <c r="D914" s="23" t="n"/>
      <c r="E914" s="23" t="n"/>
      <c r="F914" s="23" t="n"/>
      <c r="G914" s="23" t="n"/>
      <c r="H914" s="23" t="n"/>
      <c r="I914" s="23" t="n"/>
      <c r="J914" s="23" t="n"/>
      <c r="K914" s="23" t="n"/>
      <c r="L914" s="23" t="n"/>
      <c r="M914" s="23" t="n"/>
      <c r="N914" s="23" t="n"/>
      <c r="O914" s="23" t="n"/>
      <c r="P914" s="23" t="n"/>
      <c r="Q914" s="23" t="n"/>
      <c r="R914" s="23" t="n"/>
      <c r="S914" s="23" t="n"/>
      <c r="T914" s="23" t="n"/>
      <c r="U914" s="23" t="n"/>
      <c r="V914" s="23" t="n"/>
      <c r="W914" s="23" t="n"/>
      <c r="X914" s="23" t="n"/>
      <c r="Y914" s="23" t="n"/>
      <c r="Z914" s="23" t="n"/>
    </row>
    <row r="915" ht="15.75" customHeight="1" s="86">
      <c r="A915" s="23" t="n"/>
      <c r="B915" s="23" t="n"/>
      <c r="C915" s="23" t="n"/>
      <c r="D915" s="23" t="n"/>
      <c r="E915" s="23" t="n"/>
      <c r="F915" s="23" t="n"/>
      <c r="G915" s="23" t="n"/>
      <c r="H915" s="23" t="n"/>
      <c r="I915" s="23" t="n"/>
      <c r="J915" s="23" t="n"/>
      <c r="K915" s="23" t="n"/>
      <c r="L915" s="23" t="n"/>
      <c r="M915" s="23" t="n"/>
      <c r="N915" s="23" t="n"/>
      <c r="O915" s="23" t="n"/>
      <c r="P915" s="23" t="n"/>
      <c r="Q915" s="23" t="n"/>
      <c r="R915" s="23" t="n"/>
      <c r="S915" s="23" t="n"/>
      <c r="T915" s="23" t="n"/>
      <c r="U915" s="23" t="n"/>
      <c r="V915" s="23" t="n"/>
      <c r="W915" s="23" t="n"/>
      <c r="X915" s="23" t="n"/>
      <c r="Y915" s="23" t="n"/>
      <c r="Z915" s="23" t="n"/>
    </row>
    <row r="916" ht="15.75" customHeight="1" s="86">
      <c r="A916" s="23" t="n"/>
      <c r="B916" s="23" t="n"/>
      <c r="C916" s="23" t="n"/>
      <c r="D916" s="23" t="n"/>
      <c r="E916" s="23" t="n"/>
      <c r="F916" s="23" t="n"/>
      <c r="G916" s="23" t="n"/>
      <c r="H916" s="23" t="n"/>
      <c r="I916" s="23" t="n"/>
      <c r="J916" s="23" t="n"/>
      <c r="K916" s="23" t="n"/>
      <c r="L916" s="23" t="n"/>
      <c r="M916" s="23" t="n"/>
      <c r="N916" s="23" t="n"/>
      <c r="O916" s="23" t="n"/>
      <c r="P916" s="23" t="n"/>
      <c r="Q916" s="23" t="n"/>
      <c r="R916" s="23" t="n"/>
      <c r="S916" s="23" t="n"/>
      <c r="T916" s="23" t="n"/>
      <c r="U916" s="23" t="n"/>
      <c r="V916" s="23" t="n"/>
      <c r="W916" s="23" t="n"/>
      <c r="X916" s="23" t="n"/>
      <c r="Y916" s="23" t="n"/>
      <c r="Z916" s="23" t="n"/>
    </row>
    <row r="917" ht="15.75" customHeight="1" s="86">
      <c r="A917" s="23" t="n"/>
      <c r="B917" s="23" t="n"/>
      <c r="C917" s="23" t="n"/>
      <c r="D917" s="23" t="n"/>
      <c r="E917" s="23" t="n"/>
      <c r="F917" s="23" t="n"/>
      <c r="G917" s="23" t="n"/>
      <c r="H917" s="23" t="n"/>
      <c r="I917" s="23" t="n"/>
      <c r="J917" s="23" t="n"/>
      <c r="K917" s="23" t="n"/>
      <c r="L917" s="23" t="n"/>
      <c r="M917" s="23" t="n"/>
      <c r="N917" s="23" t="n"/>
      <c r="O917" s="23" t="n"/>
      <c r="P917" s="23" t="n"/>
      <c r="Q917" s="23" t="n"/>
      <c r="R917" s="23" t="n"/>
      <c r="S917" s="23" t="n"/>
      <c r="T917" s="23" t="n"/>
      <c r="U917" s="23" t="n"/>
      <c r="V917" s="23" t="n"/>
      <c r="W917" s="23" t="n"/>
      <c r="X917" s="23" t="n"/>
      <c r="Y917" s="23" t="n"/>
      <c r="Z917" s="23" t="n"/>
    </row>
    <row r="918" ht="15.75" customHeight="1" s="86">
      <c r="A918" s="23" t="n"/>
      <c r="B918" s="23" t="n"/>
      <c r="C918" s="23" t="n"/>
      <c r="D918" s="23" t="n"/>
      <c r="E918" s="23" t="n"/>
      <c r="F918" s="23" t="n"/>
      <c r="G918" s="23" t="n"/>
      <c r="H918" s="23" t="n"/>
      <c r="I918" s="23" t="n"/>
      <c r="J918" s="23" t="n"/>
      <c r="K918" s="23" t="n"/>
      <c r="L918" s="23" t="n"/>
      <c r="M918" s="23" t="n"/>
      <c r="N918" s="23" t="n"/>
      <c r="O918" s="23" t="n"/>
      <c r="P918" s="23" t="n"/>
      <c r="Q918" s="23" t="n"/>
      <c r="R918" s="23" t="n"/>
      <c r="S918" s="23" t="n"/>
      <c r="T918" s="23" t="n"/>
      <c r="U918" s="23" t="n"/>
      <c r="V918" s="23" t="n"/>
      <c r="W918" s="23" t="n"/>
      <c r="X918" s="23" t="n"/>
      <c r="Y918" s="23" t="n"/>
      <c r="Z918" s="23" t="n"/>
    </row>
    <row r="919" ht="15.75" customHeight="1" s="86">
      <c r="A919" s="23" t="n"/>
      <c r="B919" s="23" t="n"/>
      <c r="C919" s="23" t="n"/>
      <c r="D919" s="23" t="n"/>
      <c r="E919" s="23" t="n"/>
      <c r="F919" s="23" t="n"/>
      <c r="G919" s="23" t="n"/>
      <c r="H919" s="23" t="n"/>
      <c r="I919" s="23" t="n"/>
      <c r="J919" s="23" t="n"/>
      <c r="K919" s="23" t="n"/>
      <c r="L919" s="23" t="n"/>
      <c r="M919" s="23" t="n"/>
      <c r="N919" s="23" t="n"/>
      <c r="O919" s="23" t="n"/>
      <c r="P919" s="23" t="n"/>
      <c r="Q919" s="23" t="n"/>
      <c r="R919" s="23" t="n"/>
      <c r="S919" s="23" t="n"/>
      <c r="T919" s="23" t="n"/>
      <c r="U919" s="23" t="n"/>
      <c r="V919" s="23" t="n"/>
      <c r="W919" s="23" t="n"/>
      <c r="X919" s="23" t="n"/>
      <c r="Y919" s="23" t="n"/>
      <c r="Z919" s="23" t="n"/>
    </row>
    <row r="920" ht="15.75" customHeight="1" s="86">
      <c r="A920" s="23" t="n"/>
      <c r="B920" s="23" t="n"/>
      <c r="C920" s="23" t="n"/>
      <c r="D920" s="23" t="n"/>
      <c r="E920" s="23" t="n"/>
      <c r="F920" s="23" t="n"/>
      <c r="G920" s="23" t="n"/>
      <c r="H920" s="23" t="n"/>
      <c r="I920" s="23" t="n"/>
      <c r="J920" s="23" t="n"/>
      <c r="K920" s="23" t="n"/>
      <c r="L920" s="23" t="n"/>
      <c r="M920" s="23" t="n"/>
      <c r="N920" s="23" t="n"/>
      <c r="O920" s="23" t="n"/>
      <c r="P920" s="23" t="n"/>
      <c r="Q920" s="23" t="n"/>
      <c r="R920" s="23" t="n"/>
      <c r="S920" s="23" t="n"/>
      <c r="T920" s="23" t="n"/>
      <c r="U920" s="23" t="n"/>
      <c r="V920" s="23" t="n"/>
      <c r="W920" s="23" t="n"/>
      <c r="X920" s="23" t="n"/>
      <c r="Y920" s="23" t="n"/>
      <c r="Z920" s="23" t="n"/>
    </row>
    <row r="921" ht="15.75" customHeight="1" s="86">
      <c r="A921" s="23" t="n"/>
      <c r="B921" s="23" t="n"/>
      <c r="C921" s="23" t="n"/>
      <c r="D921" s="23" t="n"/>
      <c r="E921" s="23" t="n"/>
      <c r="F921" s="23" t="n"/>
      <c r="G921" s="23" t="n"/>
      <c r="H921" s="23" t="n"/>
      <c r="I921" s="23" t="n"/>
      <c r="J921" s="23" t="n"/>
      <c r="K921" s="23" t="n"/>
      <c r="L921" s="23" t="n"/>
      <c r="M921" s="23" t="n"/>
      <c r="N921" s="23" t="n"/>
      <c r="O921" s="23" t="n"/>
      <c r="P921" s="23" t="n"/>
      <c r="Q921" s="23" t="n"/>
      <c r="R921" s="23" t="n"/>
      <c r="S921" s="23" t="n"/>
      <c r="T921" s="23" t="n"/>
      <c r="U921" s="23" t="n"/>
      <c r="V921" s="23" t="n"/>
      <c r="W921" s="23" t="n"/>
      <c r="X921" s="23" t="n"/>
      <c r="Y921" s="23" t="n"/>
      <c r="Z921" s="23" t="n"/>
    </row>
    <row r="922" ht="15.75" customHeight="1" s="86">
      <c r="A922" s="23" t="n"/>
      <c r="B922" s="23" t="n"/>
      <c r="C922" s="23" t="n"/>
      <c r="D922" s="23" t="n"/>
      <c r="E922" s="23" t="n"/>
      <c r="F922" s="23" t="n"/>
      <c r="G922" s="23" t="n"/>
      <c r="H922" s="23" t="n"/>
      <c r="I922" s="23" t="n"/>
      <c r="J922" s="23" t="n"/>
      <c r="K922" s="23" t="n"/>
      <c r="L922" s="23" t="n"/>
      <c r="M922" s="23" t="n"/>
      <c r="N922" s="23" t="n"/>
      <c r="O922" s="23" t="n"/>
      <c r="P922" s="23" t="n"/>
      <c r="Q922" s="23" t="n"/>
      <c r="R922" s="23" t="n"/>
      <c r="S922" s="23" t="n"/>
      <c r="T922" s="23" t="n"/>
      <c r="U922" s="23" t="n"/>
      <c r="V922" s="23" t="n"/>
      <c r="W922" s="23" t="n"/>
      <c r="X922" s="23" t="n"/>
      <c r="Y922" s="23" t="n"/>
      <c r="Z922" s="23" t="n"/>
    </row>
    <row r="923" ht="15.75" customHeight="1" s="86">
      <c r="A923" s="23" t="n"/>
      <c r="B923" s="23" t="n"/>
      <c r="C923" s="23" t="n"/>
      <c r="D923" s="23" t="n"/>
      <c r="E923" s="23" t="n"/>
      <c r="F923" s="23" t="n"/>
      <c r="G923" s="23" t="n"/>
      <c r="H923" s="23" t="n"/>
      <c r="I923" s="23" t="n"/>
      <c r="J923" s="23" t="n"/>
      <c r="K923" s="23" t="n"/>
      <c r="L923" s="23" t="n"/>
      <c r="M923" s="23" t="n"/>
      <c r="N923" s="23" t="n"/>
      <c r="O923" s="23" t="n"/>
      <c r="P923" s="23" t="n"/>
      <c r="Q923" s="23" t="n"/>
      <c r="R923" s="23" t="n"/>
      <c r="S923" s="23" t="n"/>
      <c r="T923" s="23" t="n"/>
      <c r="U923" s="23" t="n"/>
      <c r="V923" s="23" t="n"/>
      <c r="W923" s="23" t="n"/>
      <c r="X923" s="23" t="n"/>
      <c r="Y923" s="23" t="n"/>
      <c r="Z923" s="23" t="n"/>
    </row>
    <row r="924" ht="15.75" customHeight="1" s="86">
      <c r="A924" s="23" t="n"/>
      <c r="B924" s="23" t="n"/>
      <c r="C924" s="23" t="n"/>
      <c r="D924" s="23" t="n"/>
      <c r="E924" s="23" t="n"/>
      <c r="F924" s="23" t="n"/>
      <c r="G924" s="23" t="n"/>
      <c r="H924" s="23" t="n"/>
      <c r="I924" s="23" t="n"/>
      <c r="J924" s="23" t="n"/>
      <c r="K924" s="23" t="n"/>
      <c r="L924" s="23" t="n"/>
      <c r="M924" s="23" t="n"/>
      <c r="N924" s="23" t="n"/>
      <c r="O924" s="23" t="n"/>
      <c r="P924" s="23" t="n"/>
      <c r="Q924" s="23" t="n"/>
      <c r="R924" s="23" t="n"/>
      <c r="S924" s="23" t="n"/>
      <c r="T924" s="23" t="n"/>
      <c r="U924" s="23" t="n"/>
      <c r="V924" s="23" t="n"/>
      <c r="W924" s="23" t="n"/>
      <c r="X924" s="23" t="n"/>
      <c r="Y924" s="23" t="n"/>
      <c r="Z924" s="23" t="n"/>
    </row>
    <row r="925" ht="15.75" customHeight="1" s="86">
      <c r="A925" s="23" t="n"/>
      <c r="B925" s="23" t="n"/>
      <c r="C925" s="23" t="n"/>
      <c r="D925" s="23" t="n"/>
      <c r="E925" s="23" t="n"/>
      <c r="F925" s="23" t="n"/>
      <c r="G925" s="23" t="n"/>
      <c r="H925" s="23" t="n"/>
      <c r="I925" s="23" t="n"/>
      <c r="J925" s="23" t="n"/>
      <c r="K925" s="23" t="n"/>
      <c r="L925" s="23" t="n"/>
      <c r="M925" s="23" t="n"/>
      <c r="N925" s="23" t="n"/>
      <c r="O925" s="23" t="n"/>
      <c r="P925" s="23" t="n"/>
      <c r="Q925" s="23" t="n"/>
      <c r="R925" s="23" t="n"/>
      <c r="S925" s="23" t="n"/>
      <c r="T925" s="23" t="n"/>
      <c r="U925" s="23" t="n"/>
      <c r="V925" s="23" t="n"/>
      <c r="W925" s="23" t="n"/>
      <c r="X925" s="23" t="n"/>
      <c r="Y925" s="23" t="n"/>
      <c r="Z925" s="23" t="n"/>
    </row>
    <row r="926" ht="15.75" customHeight="1" s="86">
      <c r="A926" s="23" t="n"/>
      <c r="B926" s="23" t="n"/>
      <c r="C926" s="23" t="n"/>
      <c r="D926" s="23" t="n"/>
      <c r="E926" s="23" t="n"/>
      <c r="F926" s="23" t="n"/>
      <c r="G926" s="23" t="n"/>
      <c r="H926" s="23" t="n"/>
      <c r="I926" s="23" t="n"/>
      <c r="J926" s="23" t="n"/>
      <c r="K926" s="23" t="n"/>
      <c r="L926" s="23" t="n"/>
      <c r="M926" s="23" t="n"/>
      <c r="N926" s="23" t="n"/>
      <c r="O926" s="23" t="n"/>
      <c r="P926" s="23" t="n"/>
      <c r="Q926" s="23" t="n"/>
      <c r="R926" s="23" t="n"/>
      <c r="S926" s="23" t="n"/>
      <c r="T926" s="23" t="n"/>
      <c r="U926" s="23" t="n"/>
      <c r="V926" s="23" t="n"/>
      <c r="W926" s="23" t="n"/>
      <c r="X926" s="23" t="n"/>
      <c r="Y926" s="23" t="n"/>
      <c r="Z926" s="23" t="n"/>
    </row>
    <row r="927" ht="15.75" customHeight="1" s="86">
      <c r="A927" s="23" t="n"/>
      <c r="B927" s="23" t="n"/>
      <c r="C927" s="23" t="n"/>
      <c r="D927" s="23" t="n"/>
      <c r="E927" s="23" t="n"/>
      <c r="F927" s="23" t="n"/>
      <c r="G927" s="23" t="n"/>
      <c r="H927" s="23" t="n"/>
      <c r="I927" s="23" t="n"/>
      <c r="J927" s="23" t="n"/>
      <c r="K927" s="23" t="n"/>
      <c r="L927" s="23" t="n"/>
      <c r="M927" s="23" t="n"/>
      <c r="N927" s="23" t="n"/>
      <c r="O927" s="23" t="n"/>
      <c r="P927" s="23" t="n"/>
      <c r="Q927" s="23" t="n"/>
      <c r="R927" s="23" t="n"/>
      <c r="S927" s="23" t="n"/>
      <c r="T927" s="23" t="n"/>
      <c r="U927" s="23" t="n"/>
      <c r="V927" s="23" t="n"/>
      <c r="W927" s="23" t="n"/>
      <c r="X927" s="23" t="n"/>
      <c r="Y927" s="23" t="n"/>
      <c r="Z927" s="23" t="n"/>
    </row>
    <row r="928" ht="15.75" customHeight="1" s="86">
      <c r="A928" s="23" t="n"/>
      <c r="B928" s="23" t="n"/>
      <c r="C928" s="23" t="n"/>
      <c r="D928" s="23" t="n"/>
      <c r="E928" s="23" t="n"/>
      <c r="F928" s="23" t="n"/>
      <c r="G928" s="23" t="n"/>
      <c r="H928" s="23" t="n"/>
      <c r="I928" s="23" t="n"/>
      <c r="J928" s="23" t="n"/>
      <c r="K928" s="23" t="n"/>
      <c r="L928" s="23" t="n"/>
      <c r="M928" s="23" t="n"/>
      <c r="N928" s="23" t="n"/>
      <c r="O928" s="23" t="n"/>
      <c r="P928" s="23" t="n"/>
      <c r="Q928" s="23" t="n"/>
      <c r="R928" s="23" t="n"/>
      <c r="S928" s="23" t="n"/>
      <c r="T928" s="23" t="n"/>
      <c r="U928" s="23" t="n"/>
      <c r="V928" s="23" t="n"/>
      <c r="W928" s="23" t="n"/>
      <c r="X928" s="23" t="n"/>
      <c r="Y928" s="23" t="n"/>
      <c r="Z928" s="23" t="n"/>
    </row>
    <row r="929" ht="15.75" customHeight="1" s="86">
      <c r="A929" s="23" t="n"/>
      <c r="B929" s="23" t="n"/>
      <c r="C929" s="23" t="n"/>
      <c r="D929" s="23" t="n"/>
      <c r="E929" s="23" t="n"/>
      <c r="F929" s="23" t="n"/>
      <c r="G929" s="23" t="n"/>
      <c r="H929" s="23" t="n"/>
      <c r="I929" s="23" t="n"/>
      <c r="J929" s="23" t="n"/>
      <c r="K929" s="23" t="n"/>
      <c r="L929" s="23" t="n"/>
      <c r="M929" s="23" t="n"/>
      <c r="N929" s="23" t="n"/>
      <c r="O929" s="23" t="n"/>
      <c r="P929" s="23" t="n"/>
      <c r="Q929" s="23" t="n"/>
      <c r="R929" s="23" t="n"/>
      <c r="S929" s="23" t="n"/>
      <c r="T929" s="23" t="n"/>
      <c r="U929" s="23" t="n"/>
      <c r="V929" s="23" t="n"/>
      <c r="W929" s="23" t="n"/>
      <c r="X929" s="23" t="n"/>
      <c r="Y929" s="23" t="n"/>
      <c r="Z929" s="23" t="n"/>
    </row>
    <row r="930" ht="15.75" customHeight="1" s="86">
      <c r="A930" s="23" t="n"/>
      <c r="B930" s="23" t="n"/>
      <c r="C930" s="23" t="n"/>
      <c r="D930" s="23" t="n"/>
      <c r="E930" s="23" t="n"/>
      <c r="F930" s="23" t="n"/>
      <c r="G930" s="23" t="n"/>
      <c r="H930" s="23" t="n"/>
      <c r="I930" s="23" t="n"/>
      <c r="J930" s="23" t="n"/>
      <c r="K930" s="23" t="n"/>
      <c r="L930" s="23" t="n"/>
      <c r="M930" s="23" t="n"/>
      <c r="N930" s="23" t="n"/>
      <c r="O930" s="23" t="n"/>
      <c r="P930" s="23" t="n"/>
      <c r="Q930" s="23" t="n"/>
      <c r="R930" s="23" t="n"/>
      <c r="S930" s="23" t="n"/>
      <c r="T930" s="23" t="n"/>
      <c r="U930" s="23" t="n"/>
      <c r="V930" s="23" t="n"/>
      <c r="W930" s="23" t="n"/>
      <c r="X930" s="23" t="n"/>
      <c r="Y930" s="23" t="n"/>
      <c r="Z930" s="23" t="n"/>
    </row>
    <row r="931" ht="15.75" customHeight="1" s="86">
      <c r="A931" s="23" t="n"/>
      <c r="B931" s="23" t="n"/>
      <c r="C931" s="23" t="n"/>
      <c r="D931" s="23" t="n"/>
      <c r="E931" s="23" t="n"/>
      <c r="F931" s="23" t="n"/>
      <c r="G931" s="23" t="n"/>
      <c r="H931" s="23" t="n"/>
      <c r="I931" s="23" t="n"/>
      <c r="J931" s="23" t="n"/>
      <c r="K931" s="23" t="n"/>
      <c r="L931" s="23" t="n"/>
      <c r="M931" s="23" t="n"/>
      <c r="N931" s="23" t="n"/>
      <c r="O931" s="23" t="n"/>
      <c r="P931" s="23" t="n"/>
      <c r="Q931" s="23" t="n"/>
      <c r="R931" s="23" t="n"/>
      <c r="S931" s="23" t="n"/>
      <c r="T931" s="23" t="n"/>
      <c r="U931" s="23" t="n"/>
      <c r="V931" s="23" t="n"/>
      <c r="W931" s="23" t="n"/>
      <c r="X931" s="23" t="n"/>
      <c r="Y931" s="23" t="n"/>
      <c r="Z931" s="23" t="n"/>
    </row>
    <row r="932" ht="15.75" customHeight="1" s="86">
      <c r="A932" s="23" t="n"/>
      <c r="B932" s="23" t="n"/>
      <c r="C932" s="23" t="n"/>
      <c r="D932" s="23" t="n"/>
      <c r="E932" s="23" t="n"/>
      <c r="F932" s="23" t="n"/>
      <c r="G932" s="23" t="n"/>
      <c r="H932" s="23" t="n"/>
      <c r="I932" s="23" t="n"/>
      <c r="J932" s="23" t="n"/>
      <c r="K932" s="23" t="n"/>
      <c r="L932" s="23" t="n"/>
      <c r="M932" s="23" t="n"/>
      <c r="N932" s="23" t="n"/>
      <c r="O932" s="23" t="n"/>
      <c r="P932" s="23" t="n"/>
      <c r="Q932" s="23" t="n"/>
      <c r="R932" s="23" t="n"/>
      <c r="S932" s="23" t="n"/>
      <c r="T932" s="23" t="n"/>
      <c r="U932" s="23" t="n"/>
      <c r="V932" s="23" t="n"/>
      <c r="W932" s="23" t="n"/>
      <c r="X932" s="23" t="n"/>
      <c r="Y932" s="23" t="n"/>
      <c r="Z932" s="23" t="n"/>
    </row>
    <row r="933" ht="15.75" customHeight="1" s="86">
      <c r="A933" s="23" t="n"/>
      <c r="B933" s="23" t="n"/>
      <c r="C933" s="23" t="n"/>
      <c r="D933" s="23" t="n"/>
      <c r="E933" s="23" t="n"/>
      <c r="F933" s="23" t="n"/>
      <c r="G933" s="23" t="n"/>
      <c r="H933" s="23" t="n"/>
      <c r="I933" s="23" t="n"/>
      <c r="J933" s="23" t="n"/>
      <c r="K933" s="23" t="n"/>
      <c r="L933" s="23" t="n"/>
      <c r="M933" s="23" t="n"/>
      <c r="N933" s="23" t="n"/>
      <c r="O933" s="23" t="n"/>
      <c r="P933" s="23" t="n"/>
      <c r="Q933" s="23" t="n"/>
      <c r="R933" s="23" t="n"/>
      <c r="S933" s="23" t="n"/>
      <c r="T933" s="23" t="n"/>
      <c r="U933" s="23" t="n"/>
      <c r="V933" s="23" t="n"/>
      <c r="W933" s="23" t="n"/>
      <c r="X933" s="23" t="n"/>
      <c r="Y933" s="23" t="n"/>
      <c r="Z933" s="23" t="n"/>
    </row>
    <row r="934" ht="15.75" customHeight="1" s="86">
      <c r="A934" s="23" t="n"/>
      <c r="B934" s="23" t="n"/>
      <c r="C934" s="23" t="n"/>
      <c r="D934" s="23" t="n"/>
      <c r="E934" s="23" t="n"/>
      <c r="F934" s="23" t="n"/>
      <c r="G934" s="23" t="n"/>
      <c r="H934" s="23" t="n"/>
      <c r="I934" s="23" t="n"/>
      <c r="J934" s="23" t="n"/>
      <c r="K934" s="23" t="n"/>
      <c r="L934" s="23" t="n"/>
      <c r="M934" s="23" t="n"/>
      <c r="N934" s="23" t="n"/>
      <c r="O934" s="23" t="n"/>
      <c r="P934" s="23" t="n"/>
      <c r="Q934" s="23" t="n"/>
      <c r="R934" s="23" t="n"/>
      <c r="S934" s="23" t="n"/>
      <c r="T934" s="23" t="n"/>
      <c r="U934" s="23" t="n"/>
      <c r="V934" s="23" t="n"/>
      <c r="W934" s="23" t="n"/>
      <c r="X934" s="23" t="n"/>
      <c r="Y934" s="23" t="n"/>
      <c r="Z934" s="23" t="n"/>
    </row>
    <row r="935" ht="15.75" customHeight="1" s="86">
      <c r="A935" s="23" t="n"/>
      <c r="B935" s="23" t="n"/>
      <c r="C935" s="23" t="n"/>
      <c r="D935" s="23" t="n"/>
      <c r="E935" s="23" t="n"/>
      <c r="F935" s="23" t="n"/>
      <c r="G935" s="23" t="n"/>
      <c r="H935" s="23" t="n"/>
      <c r="I935" s="23" t="n"/>
      <c r="J935" s="23" t="n"/>
      <c r="K935" s="23" t="n"/>
      <c r="L935" s="23" t="n"/>
      <c r="M935" s="23" t="n"/>
      <c r="N935" s="23" t="n"/>
      <c r="O935" s="23" t="n"/>
      <c r="P935" s="23" t="n"/>
      <c r="Q935" s="23" t="n"/>
      <c r="R935" s="23" t="n"/>
      <c r="S935" s="23" t="n"/>
      <c r="T935" s="23" t="n"/>
      <c r="U935" s="23" t="n"/>
      <c r="V935" s="23" t="n"/>
      <c r="W935" s="23" t="n"/>
      <c r="X935" s="23" t="n"/>
      <c r="Y935" s="23" t="n"/>
      <c r="Z935" s="23" t="n"/>
    </row>
    <row r="936" ht="15.75" customHeight="1" s="86">
      <c r="A936" s="23" t="n"/>
      <c r="B936" s="23" t="n"/>
      <c r="C936" s="23" t="n"/>
      <c r="D936" s="23" t="n"/>
      <c r="E936" s="23" t="n"/>
      <c r="F936" s="23" t="n"/>
      <c r="G936" s="23" t="n"/>
      <c r="H936" s="23" t="n"/>
      <c r="I936" s="23" t="n"/>
      <c r="J936" s="23" t="n"/>
      <c r="K936" s="23" t="n"/>
      <c r="L936" s="23" t="n"/>
      <c r="M936" s="23" t="n"/>
      <c r="N936" s="23" t="n"/>
      <c r="O936" s="23" t="n"/>
      <c r="P936" s="23" t="n"/>
      <c r="Q936" s="23" t="n"/>
      <c r="R936" s="23" t="n"/>
      <c r="S936" s="23" t="n"/>
      <c r="T936" s="23" t="n"/>
      <c r="U936" s="23" t="n"/>
      <c r="V936" s="23" t="n"/>
      <c r="W936" s="23" t="n"/>
      <c r="X936" s="23" t="n"/>
      <c r="Y936" s="23" t="n"/>
      <c r="Z936" s="23" t="n"/>
    </row>
    <row r="937" ht="15.75" customHeight="1" s="86">
      <c r="A937" s="23" t="n"/>
      <c r="B937" s="23" t="n"/>
      <c r="C937" s="23" t="n"/>
      <c r="D937" s="23" t="n"/>
      <c r="E937" s="23" t="n"/>
      <c r="F937" s="23" t="n"/>
      <c r="G937" s="23" t="n"/>
      <c r="H937" s="23" t="n"/>
      <c r="I937" s="23" t="n"/>
      <c r="J937" s="23" t="n"/>
      <c r="K937" s="23" t="n"/>
      <c r="L937" s="23" t="n"/>
      <c r="M937" s="23" t="n"/>
      <c r="N937" s="23" t="n"/>
      <c r="O937" s="23" t="n"/>
      <c r="P937" s="23" t="n"/>
      <c r="Q937" s="23" t="n"/>
      <c r="R937" s="23" t="n"/>
      <c r="S937" s="23" t="n"/>
      <c r="T937" s="23" t="n"/>
      <c r="U937" s="23" t="n"/>
      <c r="V937" s="23" t="n"/>
      <c r="W937" s="23" t="n"/>
      <c r="X937" s="23" t="n"/>
      <c r="Y937" s="23" t="n"/>
      <c r="Z937" s="23" t="n"/>
    </row>
    <row r="938" ht="15.75" customHeight="1" s="86">
      <c r="A938" s="23" t="n"/>
      <c r="B938" s="23" t="n"/>
      <c r="C938" s="23" t="n"/>
      <c r="D938" s="23" t="n"/>
      <c r="E938" s="23" t="n"/>
      <c r="F938" s="23" t="n"/>
      <c r="G938" s="23" t="n"/>
      <c r="H938" s="23" t="n"/>
      <c r="I938" s="23" t="n"/>
      <c r="J938" s="23" t="n"/>
      <c r="K938" s="23" t="n"/>
      <c r="L938" s="23" t="n"/>
      <c r="M938" s="23" t="n"/>
      <c r="N938" s="23" t="n"/>
      <c r="O938" s="23" t="n"/>
      <c r="P938" s="23" t="n"/>
      <c r="Q938" s="23" t="n"/>
      <c r="R938" s="23" t="n"/>
      <c r="S938" s="23" t="n"/>
      <c r="T938" s="23" t="n"/>
      <c r="U938" s="23" t="n"/>
      <c r="V938" s="23" t="n"/>
      <c r="W938" s="23" t="n"/>
      <c r="X938" s="23" t="n"/>
      <c r="Y938" s="23" t="n"/>
      <c r="Z938" s="23" t="n"/>
    </row>
    <row r="939" ht="15.75" customHeight="1" s="86">
      <c r="A939" s="23" t="n"/>
      <c r="B939" s="23" t="n"/>
      <c r="C939" s="23" t="n"/>
      <c r="D939" s="23" t="n"/>
      <c r="E939" s="23" t="n"/>
      <c r="F939" s="23" t="n"/>
      <c r="G939" s="23" t="n"/>
      <c r="H939" s="23" t="n"/>
      <c r="I939" s="23" t="n"/>
      <c r="J939" s="23" t="n"/>
      <c r="K939" s="23" t="n"/>
      <c r="L939" s="23" t="n"/>
      <c r="M939" s="23" t="n"/>
      <c r="N939" s="23" t="n"/>
      <c r="O939" s="23" t="n"/>
      <c r="P939" s="23" t="n"/>
      <c r="Q939" s="23" t="n"/>
      <c r="R939" s="23" t="n"/>
      <c r="S939" s="23" t="n"/>
      <c r="T939" s="23" t="n"/>
      <c r="U939" s="23" t="n"/>
      <c r="V939" s="23" t="n"/>
      <c r="W939" s="23" t="n"/>
      <c r="X939" s="23" t="n"/>
      <c r="Y939" s="23" t="n"/>
      <c r="Z939" s="23" t="n"/>
    </row>
    <row r="940" ht="15.75" customHeight="1" s="86">
      <c r="A940" s="23" t="n"/>
      <c r="B940" s="23" t="n"/>
      <c r="C940" s="23" t="n"/>
      <c r="D940" s="23" t="n"/>
      <c r="E940" s="23" t="n"/>
      <c r="F940" s="23" t="n"/>
      <c r="G940" s="23" t="n"/>
      <c r="H940" s="23" t="n"/>
      <c r="I940" s="23" t="n"/>
      <c r="J940" s="23" t="n"/>
      <c r="K940" s="23" t="n"/>
      <c r="L940" s="23" t="n"/>
      <c r="M940" s="23" t="n"/>
      <c r="N940" s="23" t="n"/>
      <c r="O940" s="23" t="n"/>
      <c r="P940" s="23" t="n"/>
      <c r="Q940" s="23" t="n"/>
      <c r="R940" s="23" t="n"/>
      <c r="S940" s="23" t="n"/>
      <c r="T940" s="23" t="n"/>
      <c r="U940" s="23" t="n"/>
      <c r="V940" s="23" t="n"/>
      <c r="W940" s="23" t="n"/>
      <c r="X940" s="23" t="n"/>
      <c r="Y940" s="23" t="n"/>
      <c r="Z940" s="23" t="n"/>
    </row>
    <row r="941" ht="15.75" customHeight="1" s="86">
      <c r="A941" s="23" t="n"/>
      <c r="B941" s="23" t="n"/>
      <c r="C941" s="23" t="n"/>
      <c r="D941" s="23" t="n"/>
      <c r="E941" s="23" t="n"/>
      <c r="F941" s="23" t="n"/>
      <c r="G941" s="23" t="n"/>
      <c r="H941" s="23" t="n"/>
      <c r="I941" s="23" t="n"/>
      <c r="J941" s="23" t="n"/>
      <c r="K941" s="23" t="n"/>
      <c r="L941" s="23" t="n"/>
      <c r="M941" s="23" t="n"/>
      <c r="N941" s="23" t="n"/>
      <c r="O941" s="23" t="n"/>
      <c r="P941" s="23" t="n"/>
      <c r="Q941" s="23" t="n"/>
      <c r="R941" s="23" t="n"/>
      <c r="S941" s="23" t="n"/>
      <c r="T941" s="23" t="n"/>
      <c r="U941" s="23" t="n"/>
      <c r="V941" s="23" t="n"/>
      <c r="W941" s="23" t="n"/>
      <c r="X941" s="23" t="n"/>
      <c r="Y941" s="23" t="n"/>
      <c r="Z941" s="23" t="n"/>
    </row>
    <row r="942" ht="15.75" customHeight="1" s="86">
      <c r="A942" s="23" t="n"/>
      <c r="B942" s="23" t="n"/>
      <c r="C942" s="23" t="n"/>
      <c r="D942" s="23" t="n"/>
      <c r="E942" s="23" t="n"/>
      <c r="F942" s="23" t="n"/>
      <c r="G942" s="23" t="n"/>
      <c r="H942" s="23" t="n"/>
      <c r="I942" s="23" t="n"/>
      <c r="J942" s="23" t="n"/>
      <c r="K942" s="23" t="n"/>
      <c r="L942" s="23" t="n"/>
      <c r="M942" s="23" t="n"/>
      <c r="N942" s="23" t="n"/>
      <c r="O942" s="23" t="n"/>
      <c r="P942" s="23" t="n"/>
      <c r="Q942" s="23" t="n"/>
      <c r="R942" s="23" t="n"/>
      <c r="S942" s="23" t="n"/>
      <c r="T942" s="23" t="n"/>
      <c r="U942" s="23" t="n"/>
      <c r="V942" s="23" t="n"/>
      <c r="W942" s="23" t="n"/>
      <c r="X942" s="23" t="n"/>
      <c r="Y942" s="23" t="n"/>
      <c r="Z942" s="23" t="n"/>
    </row>
    <row r="943" ht="15.75" customHeight="1" s="86">
      <c r="A943" s="23" t="n"/>
      <c r="B943" s="23" t="n"/>
      <c r="C943" s="23" t="n"/>
      <c r="D943" s="23" t="n"/>
      <c r="E943" s="23" t="n"/>
      <c r="F943" s="23" t="n"/>
      <c r="G943" s="23" t="n"/>
      <c r="H943" s="23" t="n"/>
      <c r="I943" s="23" t="n"/>
      <c r="J943" s="23" t="n"/>
      <c r="K943" s="23" t="n"/>
      <c r="L943" s="23" t="n"/>
      <c r="M943" s="23" t="n"/>
      <c r="N943" s="23" t="n"/>
      <c r="O943" s="23" t="n"/>
      <c r="P943" s="23" t="n"/>
      <c r="Q943" s="23" t="n"/>
      <c r="R943" s="23" t="n"/>
      <c r="S943" s="23" t="n"/>
      <c r="T943" s="23" t="n"/>
      <c r="U943" s="23" t="n"/>
      <c r="V943" s="23" t="n"/>
      <c r="W943" s="23" t="n"/>
      <c r="X943" s="23" t="n"/>
      <c r="Y943" s="23" t="n"/>
      <c r="Z943" s="23" t="n"/>
    </row>
    <row r="944" ht="15.75" customHeight="1" s="86">
      <c r="A944" s="23" t="n"/>
      <c r="B944" s="23" t="n"/>
      <c r="C944" s="23" t="n"/>
      <c r="D944" s="23" t="n"/>
      <c r="E944" s="23" t="n"/>
      <c r="F944" s="23" t="n"/>
      <c r="G944" s="23" t="n"/>
      <c r="H944" s="23" t="n"/>
      <c r="I944" s="23" t="n"/>
      <c r="J944" s="23" t="n"/>
      <c r="K944" s="23" t="n"/>
      <c r="L944" s="23" t="n"/>
      <c r="M944" s="23" t="n"/>
      <c r="N944" s="23" t="n"/>
      <c r="O944" s="23" t="n"/>
      <c r="P944" s="23" t="n"/>
      <c r="Q944" s="23" t="n"/>
      <c r="R944" s="23" t="n"/>
      <c r="S944" s="23" t="n"/>
      <c r="T944" s="23" t="n"/>
      <c r="U944" s="23" t="n"/>
      <c r="V944" s="23" t="n"/>
      <c r="W944" s="23" t="n"/>
      <c r="X944" s="23" t="n"/>
      <c r="Y944" s="23" t="n"/>
      <c r="Z944" s="23" t="n"/>
    </row>
    <row r="945" ht="15.75" customHeight="1" s="86">
      <c r="A945" s="23" t="n"/>
      <c r="B945" s="23" t="n"/>
      <c r="C945" s="23" t="n"/>
      <c r="D945" s="23" t="n"/>
      <c r="E945" s="23" t="n"/>
      <c r="F945" s="23" t="n"/>
      <c r="G945" s="23" t="n"/>
      <c r="H945" s="23" t="n"/>
      <c r="I945" s="23" t="n"/>
      <c r="J945" s="23" t="n"/>
      <c r="K945" s="23" t="n"/>
      <c r="L945" s="23" t="n"/>
      <c r="M945" s="23" t="n"/>
      <c r="N945" s="23" t="n"/>
      <c r="O945" s="23" t="n"/>
      <c r="P945" s="23" t="n"/>
      <c r="Q945" s="23" t="n"/>
      <c r="R945" s="23" t="n"/>
      <c r="S945" s="23" t="n"/>
      <c r="T945" s="23" t="n"/>
      <c r="U945" s="23" t="n"/>
      <c r="V945" s="23" t="n"/>
      <c r="W945" s="23" t="n"/>
      <c r="X945" s="23" t="n"/>
      <c r="Y945" s="23" t="n"/>
      <c r="Z945" s="23" t="n"/>
    </row>
    <row r="946" ht="15.75" customHeight="1" s="86">
      <c r="A946" s="23" t="n"/>
      <c r="B946" s="23" t="n"/>
      <c r="C946" s="23" t="n"/>
      <c r="D946" s="23" t="n"/>
      <c r="E946" s="23" t="n"/>
      <c r="F946" s="23" t="n"/>
      <c r="G946" s="23" t="n"/>
      <c r="H946" s="23" t="n"/>
      <c r="I946" s="23" t="n"/>
      <c r="J946" s="23" t="n"/>
      <c r="K946" s="23" t="n"/>
      <c r="L946" s="23" t="n"/>
      <c r="M946" s="23" t="n"/>
      <c r="N946" s="23" t="n"/>
      <c r="O946" s="23" t="n"/>
      <c r="P946" s="23" t="n"/>
      <c r="Q946" s="23" t="n"/>
      <c r="R946" s="23" t="n"/>
      <c r="S946" s="23" t="n"/>
      <c r="T946" s="23" t="n"/>
      <c r="U946" s="23" t="n"/>
      <c r="V946" s="23" t="n"/>
      <c r="W946" s="23" t="n"/>
      <c r="X946" s="23" t="n"/>
      <c r="Y946" s="23" t="n"/>
      <c r="Z946" s="23" t="n"/>
    </row>
    <row r="947" ht="15.75" customHeight="1" s="86">
      <c r="A947" s="23" t="n"/>
      <c r="B947" s="23" t="n"/>
      <c r="C947" s="23" t="n"/>
      <c r="D947" s="23" t="n"/>
      <c r="E947" s="23" t="n"/>
      <c r="F947" s="23" t="n"/>
      <c r="G947" s="23" t="n"/>
      <c r="H947" s="23" t="n"/>
      <c r="I947" s="23" t="n"/>
      <c r="J947" s="23" t="n"/>
      <c r="K947" s="23" t="n"/>
      <c r="L947" s="23" t="n"/>
      <c r="M947" s="23" t="n"/>
      <c r="N947" s="23" t="n"/>
      <c r="O947" s="23" t="n"/>
      <c r="P947" s="23" t="n"/>
      <c r="Q947" s="23" t="n"/>
      <c r="R947" s="23" t="n"/>
      <c r="S947" s="23" t="n"/>
      <c r="T947" s="23" t="n"/>
      <c r="U947" s="23" t="n"/>
      <c r="V947" s="23" t="n"/>
      <c r="W947" s="23" t="n"/>
      <c r="X947" s="23" t="n"/>
      <c r="Y947" s="23" t="n"/>
      <c r="Z947" s="23" t="n"/>
    </row>
    <row r="948" ht="15.75" customHeight="1" s="86">
      <c r="A948" s="23" t="n"/>
      <c r="B948" s="23" t="n"/>
      <c r="C948" s="23" t="n"/>
      <c r="D948" s="23" t="n"/>
      <c r="E948" s="23" t="n"/>
      <c r="F948" s="23" t="n"/>
      <c r="G948" s="23" t="n"/>
      <c r="H948" s="23" t="n"/>
      <c r="I948" s="23" t="n"/>
      <c r="J948" s="23" t="n"/>
      <c r="K948" s="23" t="n"/>
      <c r="L948" s="23" t="n"/>
      <c r="M948" s="23" t="n"/>
      <c r="N948" s="23" t="n"/>
      <c r="O948" s="23" t="n"/>
      <c r="P948" s="23" t="n"/>
      <c r="Q948" s="23" t="n"/>
      <c r="R948" s="23" t="n"/>
      <c r="S948" s="23" t="n"/>
      <c r="T948" s="23" t="n"/>
      <c r="U948" s="23" t="n"/>
      <c r="V948" s="23" t="n"/>
      <c r="W948" s="23" t="n"/>
      <c r="X948" s="23" t="n"/>
      <c r="Y948" s="23" t="n"/>
      <c r="Z948" s="23" t="n"/>
    </row>
    <row r="949" ht="15.75" customHeight="1" s="86">
      <c r="A949" s="23" t="n"/>
      <c r="B949" s="23" t="n"/>
      <c r="C949" s="23" t="n"/>
      <c r="D949" s="23" t="n"/>
      <c r="E949" s="23" t="n"/>
      <c r="F949" s="23" t="n"/>
      <c r="G949" s="23" t="n"/>
      <c r="H949" s="23" t="n"/>
      <c r="I949" s="23" t="n"/>
      <c r="J949" s="23" t="n"/>
      <c r="K949" s="23" t="n"/>
      <c r="L949" s="23" t="n"/>
      <c r="M949" s="23" t="n"/>
      <c r="N949" s="23" t="n"/>
      <c r="O949" s="23" t="n"/>
      <c r="P949" s="23" t="n"/>
      <c r="Q949" s="23" t="n"/>
      <c r="R949" s="23" t="n"/>
      <c r="S949" s="23" t="n"/>
      <c r="T949" s="23" t="n"/>
      <c r="U949" s="23" t="n"/>
      <c r="V949" s="23" t="n"/>
      <c r="W949" s="23" t="n"/>
      <c r="X949" s="23" t="n"/>
      <c r="Y949" s="23" t="n"/>
      <c r="Z949" s="23" t="n"/>
    </row>
    <row r="950" ht="15.75" customHeight="1" s="86">
      <c r="A950" s="23" t="n"/>
      <c r="B950" s="23" t="n"/>
      <c r="C950" s="23" t="n"/>
      <c r="D950" s="23" t="n"/>
      <c r="E950" s="23" t="n"/>
      <c r="F950" s="23" t="n"/>
      <c r="G950" s="23" t="n"/>
      <c r="H950" s="23" t="n"/>
      <c r="I950" s="23" t="n"/>
      <c r="J950" s="23" t="n"/>
      <c r="K950" s="23" t="n"/>
      <c r="L950" s="23" t="n"/>
      <c r="M950" s="23" t="n"/>
      <c r="N950" s="23" t="n"/>
      <c r="O950" s="23" t="n"/>
      <c r="P950" s="23" t="n"/>
      <c r="Q950" s="23" t="n"/>
      <c r="R950" s="23" t="n"/>
      <c r="S950" s="23" t="n"/>
      <c r="T950" s="23" t="n"/>
      <c r="U950" s="23" t="n"/>
      <c r="V950" s="23" t="n"/>
      <c r="W950" s="23" t="n"/>
      <c r="X950" s="23" t="n"/>
      <c r="Y950" s="23" t="n"/>
      <c r="Z950" s="23" t="n"/>
    </row>
    <row r="951" ht="15.75" customHeight="1" s="86">
      <c r="A951" s="23" t="n"/>
      <c r="B951" s="23" t="n"/>
      <c r="C951" s="23" t="n"/>
      <c r="D951" s="23" t="n"/>
      <c r="E951" s="23" t="n"/>
      <c r="F951" s="23" t="n"/>
      <c r="G951" s="23" t="n"/>
      <c r="H951" s="23" t="n"/>
      <c r="I951" s="23" t="n"/>
      <c r="J951" s="23" t="n"/>
      <c r="K951" s="23" t="n"/>
      <c r="L951" s="23" t="n"/>
      <c r="M951" s="23" t="n"/>
      <c r="N951" s="23" t="n"/>
      <c r="O951" s="23" t="n"/>
      <c r="P951" s="23" t="n"/>
      <c r="Q951" s="23" t="n"/>
      <c r="R951" s="23" t="n"/>
      <c r="S951" s="23" t="n"/>
      <c r="T951" s="23" t="n"/>
      <c r="U951" s="23" t="n"/>
      <c r="V951" s="23" t="n"/>
      <c r="W951" s="23" t="n"/>
      <c r="X951" s="23" t="n"/>
      <c r="Y951" s="23" t="n"/>
      <c r="Z951" s="23" t="n"/>
    </row>
    <row r="952" ht="15.75" customHeight="1" s="86">
      <c r="A952" s="23" t="n"/>
      <c r="B952" s="23" t="n"/>
      <c r="C952" s="23" t="n"/>
      <c r="D952" s="23" t="n"/>
      <c r="E952" s="23" t="n"/>
      <c r="F952" s="23" t="n"/>
      <c r="G952" s="23" t="n"/>
      <c r="H952" s="23" t="n"/>
      <c r="I952" s="23" t="n"/>
      <c r="J952" s="23" t="n"/>
      <c r="K952" s="23" t="n"/>
      <c r="L952" s="23" t="n"/>
      <c r="M952" s="23" t="n"/>
      <c r="N952" s="23" t="n"/>
      <c r="O952" s="23" t="n"/>
      <c r="P952" s="23" t="n"/>
      <c r="Q952" s="23" t="n"/>
      <c r="R952" s="23" t="n"/>
      <c r="S952" s="23" t="n"/>
      <c r="T952" s="23" t="n"/>
      <c r="U952" s="23" t="n"/>
      <c r="V952" s="23" t="n"/>
      <c r="W952" s="23" t="n"/>
      <c r="X952" s="23" t="n"/>
      <c r="Y952" s="23" t="n"/>
      <c r="Z952" s="23" t="n"/>
    </row>
    <row r="953" ht="15.75" customHeight="1" s="86">
      <c r="A953" s="23" t="n"/>
      <c r="B953" s="23" t="n"/>
      <c r="C953" s="23" t="n"/>
      <c r="D953" s="23" t="n"/>
      <c r="E953" s="23" t="n"/>
      <c r="F953" s="23" t="n"/>
      <c r="G953" s="23" t="n"/>
      <c r="H953" s="23" t="n"/>
      <c r="I953" s="23" t="n"/>
      <c r="J953" s="23" t="n"/>
      <c r="K953" s="23" t="n"/>
      <c r="L953" s="23" t="n"/>
      <c r="M953" s="23" t="n"/>
      <c r="N953" s="23" t="n"/>
      <c r="O953" s="23" t="n"/>
      <c r="P953" s="23" t="n"/>
      <c r="Q953" s="23" t="n"/>
      <c r="R953" s="23" t="n"/>
      <c r="S953" s="23" t="n"/>
      <c r="T953" s="23" t="n"/>
      <c r="U953" s="23" t="n"/>
      <c r="V953" s="23" t="n"/>
      <c r="W953" s="23" t="n"/>
      <c r="X953" s="23" t="n"/>
      <c r="Y953" s="23" t="n"/>
      <c r="Z953" s="23" t="n"/>
    </row>
    <row r="954" ht="15.75" customHeight="1" s="86">
      <c r="A954" s="23" t="n"/>
      <c r="B954" s="23" t="n"/>
      <c r="C954" s="23" t="n"/>
      <c r="D954" s="23" t="n"/>
      <c r="E954" s="23" t="n"/>
      <c r="F954" s="23" t="n"/>
      <c r="G954" s="23" t="n"/>
      <c r="H954" s="23" t="n"/>
      <c r="I954" s="23" t="n"/>
      <c r="J954" s="23" t="n"/>
      <c r="K954" s="23" t="n"/>
      <c r="L954" s="23" t="n"/>
      <c r="M954" s="23" t="n"/>
      <c r="N954" s="23" t="n"/>
      <c r="O954" s="23" t="n"/>
      <c r="P954" s="23" t="n"/>
      <c r="Q954" s="23" t="n"/>
      <c r="R954" s="23" t="n"/>
      <c r="S954" s="23" t="n"/>
      <c r="T954" s="23" t="n"/>
      <c r="U954" s="23" t="n"/>
      <c r="V954" s="23" t="n"/>
      <c r="W954" s="23" t="n"/>
      <c r="X954" s="23" t="n"/>
      <c r="Y954" s="23" t="n"/>
      <c r="Z954" s="23" t="n"/>
    </row>
    <row r="955" ht="15.75" customHeight="1" s="86">
      <c r="A955" s="23" t="n"/>
      <c r="B955" s="23" t="n"/>
      <c r="C955" s="23" t="n"/>
      <c r="D955" s="23" t="n"/>
      <c r="E955" s="23" t="n"/>
      <c r="F955" s="23" t="n"/>
      <c r="G955" s="23" t="n"/>
      <c r="H955" s="23" t="n"/>
      <c r="I955" s="23" t="n"/>
      <c r="J955" s="23" t="n"/>
      <c r="K955" s="23" t="n"/>
      <c r="L955" s="23" t="n"/>
      <c r="M955" s="23" t="n"/>
      <c r="N955" s="23" t="n"/>
      <c r="O955" s="23" t="n"/>
      <c r="P955" s="23" t="n"/>
      <c r="Q955" s="23" t="n"/>
      <c r="R955" s="23" t="n"/>
      <c r="S955" s="23" t="n"/>
      <c r="T955" s="23" t="n"/>
      <c r="U955" s="23" t="n"/>
      <c r="V955" s="23" t="n"/>
      <c r="W955" s="23" t="n"/>
      <c r="X955" s="23" t="n"/>
      <c r="Y955" s="23" t="n"/>
      <c r="Z955" s="23" t="n"/>
    </row>
    <row r="956" ht="15.75" customHeight="1" s="86">
      <c r="A956" s="23" t="n"/>
      <c r="B956" s="23" t="n"/>
      <c r="C956" s="23" t="n"/>
      <c r="D956" s="23" t="n"/>
      <c r="E956" s="23" t="n"/>
      <c r="F956" s="23" t="n"/>
      <c r="G956" s="23" t="n"/>
      <c r="H956" s="23" t="n"/>
      <c r="I956" s="23" t="n"/>
      <c r="J956" s="23" t="n"/>
      <c r="K956" s="23" t="n"/>
      <c r="L956" s="23" t="n"/>
      <c r="M956" s="23" t="n"/>
      <c r="N956" s="23" t="n"/>
      <c r="O956" s="23" t="n"/>
      <c r="P956" s="23" t="n"/>
      <c r="Q956" s="23" t="n"/>
      <c r="R956" s="23" t="n"/>
      <c r="S956" s="23" t="n"/>
      <c r="T956" s="23" t="n"/>
      <c r="U956" s="23" t="n"/>
      <c r="V956" s="23" t="n"/>
      <c r="W956" s="23" t="n"/>
      <c r="X956" s="23" t="n"/>
      <c r="Y956" s="23" t="n"/>
      <c r="Z956" s="23" t="n"/>
    </row>
    <row r="957" ht="15.75" customHeight="1" s="86">
      <c r="A957" s="23" t="n"/>
      <c r="B957" s="23" t="n"/>
      <c r="C957" s="23" t="n"/>
      <c r="D957" s="23" t="n"/>
      <c r="E957" s="23" t="n"/>
      <c r="F957" s="23" t="n"/>
      <c r="G957" s="23" t="n"/>
      <c r="H957" s="23" t="n"/>
      <c r="I957" s="23" t="n"/>
      <c r="J957" s="23" t="n"/>
      <c r="K957" s="23" t="n"/>
      <c r="L957" s="23" t="n"/>
      <c r="M957" s="23" t="n"/>
      <c r="N957" s="23" t="n"/>
      <c r="O957" s="23" t="n"/>
      <c r="P957" s="23" t="n"/>
      <c r="Q957" s="23" t="n"/>
      <c r="R957" s="23" t="n"/>
      <c r="S957" s="23" t="n"/>
      <c r="T957" s="23" t="n"/>
      <c r="U957" s="23" t="n"/>
      <c r="V957" s="23" t="n"/>
      <c r="W957" s="23" t="n"/>
      <c r="X957" s="23" t="n"/>
      <c r="Y957" s="23" t="n"/>
      <c r="Z957" s="23" t="n"/>
    </row>
    <row r="958" ht="15.75" customHeight="1" s="86">
      <c r="A958" s="23" t="n"/>
      <c r="B958" s="23" t="n"/>
      <c r="C958" s="23" t="n"/>
      <c r="D958" s="23" t="n"/>
      <c r="E958" s="23" t="n"/>
      <c r="F958" s="23" t="n"/>
      <c r="G958" s="23" t="n"/>
      <c r="H958" s="23" t="n"/>
      <c r="I958" s="23" t="n"/>
      <c r="J958" s="23" t="n"/>
      <c r="K958" s="23" t="n"/>
      <c r="L958" s="23" t="n"/>
      <c r="M958" s="23" t="n"/>
      <c r="N958" s="23" t="n"/>
      <c r="O958" s="23" t="n"/>
      <c r="P958" s="23" t="n"/>
      <c r="Q958" s="23" t="n"/>
      <c r="R958" s="23" t="n"/>
      <c r="S958" s="23" t="n"/>
      <c r="T958" s="23" t="n"/>
      <c r="U958" s="23" t="n"/>
      <c r="V958" s="23" t="n"/>
      <c r="W958" s="23" t="n"/>
      <c r="X958" s="23" t="n"/>
      <c r="Y958" s="23" t="n"/>
      <c r="Z958" s="23" t="n"/>
    </row>
    <row r="959" ht="15.75" customHeight="1" s="86">
      <c r="A959" s="23" t="n"/>
      <c r="B959" s="23" t="n"/>
      <c r="C959" s="23" t="n"/>
      <c r="D959" s="23" t="n"/>
      <c r="E959" s="23" t="n"/>
      <c r="F959" s="23" t="n"/>
      <c r="G959" s="23" t="n"/>
      <c r="H959" s="23" t="n"/>
      <c r="I959" s="23" t="n"/>
      <c r="J959" s="23" t="n"/>
      <c r="K959" s="23" t="n"/>
      <c r="L959" s="23" t="n"/>
      <c r="M959" s="23" t="n"/>
      <c r="N959" s="23" t="n"/>
      <c r="O959" s="23" t="n"/>
      <c r="P959" s="23" t="n"/>
      <c r="Q959" s="23" t="n"/>
      <c r="R959" s="23" t="n"/>
      <c r="S959" s="23" t="n"/>
      <c r="T959" s="23" t="n"/>
      <c r="U959" s="23" t="n"/>
      <c r="V959" s="23" t="n"/>
      <c r="W959" s="23" t="n"/>
      <c r="X959" s="23" t="n"/>
      <c r="Y959" s="23" t="n"/>
      <c r="Z959" s="23" t="n"/>
    </row>
    <row r="960" ht="15.75" customHeight="1" s="86">
      <c r="A960" s="23" t="n"/>
      <c r="B960" s="23" t="n"/>
      <c r="C960" s="23" t="n"/>
      <c r="D960" s="23" t="n"/>
      <c r="E960" s="23" t="n"/>
      <c r="F960" s="23" t="n"/>
      <c r="G960" s="23" t="n"/>
      <c r="H960" s="23" t="n"/>
      <c r="I960" s="23" t="n"/>
      <c r="J960" s="23" t="n"/>
      <c r="K960" s="23" t="n"/>
      <c r="L960" s="23" t="n"/>
      <c r="M960" s="23" t="n"/>
      <c r="N960" s="23" t="n"/>
      <c r="O960" s="23" t="n"/>
      <c r="P960" s="23" t="n"/>
      <c r="Q960" s="23" t="n"/>
      <c r="R960" s="23" t="n"/>
      <c r="S960" s="23" t="n"/>
      <c r="T960" s="23" t="n"/>
      <c r="U960" s="23" t="n"/>
      <c r="V960" s="23" t="n"/>
      <c r="W960" s="23" t="n"/>
      <c r="X960" s="23" t="n"/>
      <c r="Y960" s="23" t="n"/>
      <c r="Z960" s="23" t="n"/>
    </row>
    <row r="961" ht="15.75" customHeight="1" s="86">
      <c r="A961" s="23" t="n"/>
      <c r="B961" s="23" t="n"/>
      <c r="C961" s="23" t="n"/>
      <c r="D961" s="23" t="n"/>
      <c r="E961" s="23" t="n"/>
      <c r="F961" s="23" t="n"/>
      <c r="G961" s="23" t="n"/>
      <c r="H961" s="23" t="n"/>
      <c r="I961" s="23" t="n"/>
      <c r="J961" s="23" t="n"/>
      <c r="K961" s="23" t="n"/>
      <c r="L961" s="23" t="n"/>
      <c r="M961" s="23" t="n"/>
      <c r="N961" s="23" t="n"/>
      <c r="O961" s="23" t="n"/>
      <c r="P961" s="23" t="n"/>
      <c r="Q961" s="23" t="n"/>
      <c r="R961" s="23" t="n"/>
      <c r="S961" s="23" t="n"/>
      <c r="T961" s="23" t="n"/>
      <c r="U961" s="23" t="n"/>
      <c r="V961" s="23" t="n"/>
      <c r="W961" s="23" t="n"/>
      <c r="X961" s="23" t="n"/>
      <c r="Y961" s="23" t="n"/>
      <c r="Z961" s="23" t="n"/>
    </row>
    <row r="962" ht="15.75" customHeight="1" s="86">
      <c r="A962" s="23" t="n"/>
      <c r="B962" s="23" t="n"/>
      <c r="C962" s="23" t="n"/>
      <c r="D962" s="23" t="n"/>
      <c r="E962" s="23" t="n"/>
      <c r="F962" s="23" t="n"/>
      <c r="G962" s="23" t="n"/>
      <c r="H962" s="23" t="n"/>
      <c r="I962" s="23" t="n"/>
      <c r="J962" s="23" t="n"/>
      <c r="K962" s="23" t="n"/>
      <c r="L962" s="23" t="n"/>
      <c r="M962" s="23" t="n"/>
      <c r="N962" s="23" t="n"/>
      <c r="O962" s="23" t="n"/>
      <c r="P962" s="23" t="n"/>
      <c r="Q962" s="23" t="n"/>
      <c r="R962" s="23" t="n"/>
      <c r="S962" s="23" t="n"/>
      <c r="T962" s="23" t="n"/>
      <c r="U962" s="23" t="n"/>
      <c r="V962" s="23" t="n"/>
      <c r="W962" s="23" t="n"/>
      <c r="X962" s="23" t="n"/>
      <c r="Y962" s="23" t="n"/>
      <c r="Z962" s="23" t="n"/>
    </row>
    <row r="963" ht="15.75" customHeight="1" s="86">
      <c r="A963" s="23" t="n"/>
      <c r="B963" s="23" t="n"/>
      <c r="C963" s="23" t="n"/>
      <c r="D963" s="23" t="n"/>
      <c r="E963" s="23" t="n"/>
      <c r="F963" s="23" t="n"/>
      <c r="G963" s="23" t="n"/>
      <c r="H963" s="23" t="n"/>
      <c r="I963" s="23" t="n"/>
      <c r="J963" s="23" t="n"/>
      <c r="K963" s="23" t="n"/>
      <c r="L963" s="23" t="n"/>
      <c r="M963" s="23" t="n"/>
      <c r="N963" s="23" t="n"/>
      <c r="O963" s="23" t="n"/>
      <c r="P963" s="23" t="n"/>
      <c r="Q963" s="23" t="n"/>
      <c r="R963" s="23" t="n"/>
      <c r="S963" s="23" t="n"/>
      <c r="T963" s="23" t="n"/>
      <c r="U963" s="23" t="n"/>
      <c r="V963" s="23" t="n"/>
      <c r="W963" s="23" t="n"/>
      <c r="X963" s="23" t="n"/>
      <c r="Y963" s="23" t="n"/>
      <c r="Z963" s="23" t="n"/>
    </row>
    <row r="964" ht="15.75" customHeight="1" s="86">
      <c r="A964" s="23" t="n"/>
      <c r="B964" s="23" t="n"/>
      <c r="C964" s="23" t="n"/>
      <c r="D964" s="23" t="n"/>
      <c r="E964" s="23" t="n"/>
      <c r="F964" s="23" t="n"/>
      <c r="G964" s="23" t="n"/>
      <c r="H964" s="23" t="n"/>
      <c r="I964" s="23" t="n"/>
      <c r="J964" s="23" t="n"/>
      <c r="K964" s="23" t="n"/>
      <c r="L964" s="23" t="n"/>
      <c r="M964" s="23" t="n"/>
      <c r="N964" s="23" t="n"/>
      <c r="O964" s="23" t="n"/>
      <c r="P964" s="23" t="n"/>
      <c r="Q964" s="23" t="n"/>
      <c r="R964" s="23" t="n"/>
      <c r="S964" s="23" t="n"/>
      <c r="T964" s="23" t="n"/>
      <c r="U964" s="23" t="n"/>
      <c r="V964" s="23" t="n"/>
      <c r="W964" s="23" t="n"/>
      <c r="X964" s="23" t="n"/>
      <c r="Y964" s="23" t="n"/>
      <c r="Z964" s="23" t="n"/>
    </row>
    <row r="965" ht="15.75" customHeight="1" s="86">
      <c r="A965" s="23" t="n"/>
      <c r="B965" s="23" t="n"/>
      <c r="C965" s="23" t="n"/>
      <c r="D965" s="23" t="n"/>
      <c r="E965" s="23" t="n"/>
      <c r="F965" s="23" t="n"/>
      <c r="G965" s="23" t="n"/>
      <c r="H965" s="23" t="n"/>
      <c r="I965" s="23" t="n"/>
      <c r="J965" s="23" t="n"/>
      <c r="K965" s="23" t="n"/>
      <c r="L965" s="23" t="n"/>
      <c r="M965" s="23" t="n"/>
      <c r="N965" s="23" t="n"/>
      <c r="O965" s="23" t="n"/>
      <c r="P965" s="23" t="n"/>
      <c r="Q965" s="23" t="n"/>
      <c r="R965" s="23" t="n"/>
      <c r="S965" s="23" t="n"/>
      <c r="T965" s="23" t="n"/>
      <c r="U965" s="23" t="n"/>
      <c r="V965" s="23" t="n"/>
      <c r="W965" s="23" t="n"/>
      <c r="X965" s="23" t="n"/>
      <c r="Y965" s="23" t="n"/>
      <c r="Z965" s="23" t="n"/>
    </row>
    <row r="966" ht="15.75" customHeight="1" s="86">
      <c r="A966" s="23" t="n"/>
      <c r="B966" s="23" t="n"/>
      <c r="C966" s="23" t="n"/>
      <c r="D966" s="23" t="n"/>
      <c r="E966" s="23" t="n"/>
      <c r="F966" s="23" t="n"/>
      <c r="G966" s="23" t="n"/>
      <c r="H966" s="23" t="n"/>
      <c r="I966" s="23" t="n"/>
      <c r="J966" s="23" t="n"/>
      <c r="K966" s="23" t="n"/>
      <c r="L966" s="23" t="n"/>
      <c r="M966" s="23" t="n"/>
      <c r="N966" s="23" t="n"/>
      <c r="O966" s="23" t="n"/>
      <c r="P966" s="23" t="n"/>
      <c r="Q966" s="23" t="n"/>
      <c r="R966" s="23" t="n"/>
      <c r="S966" s="23" t="n"/>
      <c r="T966" s="23" t="n"/>
      <c r="U966" s="23" t="n"/>
      <c r="V966" s="23" t="n"/>
      <c r="W966" s="23" t="n"/>
      <c r="X966" s="23" t="n"/>
      <c r="Y966" s="23" t="n"/>
      <c r="Z966" s="23" t="n"/>
    </row>
    <row r="967" ht="15.75" customHeight="1" s="86">
      <c r="A967" s="23" t="n"/>
      <c r="B967" s="23" t="n"/>
      <c r="C967" s="23" t="n"/>
      <c r="D967" s="23" t="n"/>
      <c r="E967" s="23" t="n"/>
      <c r="F967" s="23" t="n"/>
      <c r="G967" s="23" t="n"/>
      <c r="H967" s="23" t="n"/>
      <c r="I967" s="23" t="n"/>
      <c r="J967" s="23" t="n"/>
      <c r="K967" s="23" t="n"/>
      <c r="L967" s="23" t="n"/>
      <c r="M967" s="23" t="n"/>
      <c r="N967" s="23" t="n"/>
      <c r="O967" s="23" t="n"/>
      <c r="P967" s="23" t="n"/>
      <c r="Q967" s="23" t="n"/>
      <c r="R967" s="23" t="n"/>
      <c r="S967" s="23" t="n"/>
      <c r="T967" s="23" t="n"/>
      <c r="U967" s="23" t="n"/>
      <c r="V967" s="23" t="n"/>
      <c r="W967" s="23" t="n"/>
      <c r="X967" s="23" t="n"/>
      <c r="Y967" s="23" t="n"/>
      <c r="Z967" s="23" t="n"/>
    </row>
    <row r="968" ht="15.75" customHeight="1" s="86">
      <c r="A968" s="23" t="n"/>
      <c r="B968" s="23" t="n"/>
      <c r="C968" s="23" t="n"/>
      <c r="D968" s="23" t="n"/>
      <c r="E968" s="23" t="n"/>
      <c r="F968" s="23" t="n"/>
      <c r="G968" s="23" t="n"/>
      <c r="H968" s="23" t="n"/>
      <c r="I968" s="23" t="n"/>
      <c r="J968" s="23" t="n"/>
      <c r="K968" s="23" t="n"/>
      <c r="L968" s="23" t="n"/>
      <c r="M968" s="23" t="n"/>
      <c r="N968" s="23" t="n"/>
      <c r="O968" s="23" t="n"/>
      <c r="P968" s="23" t="n"/>
      <c r="Q968" s="23" t="n"/>
      <c r="R968" s="23" t="n"/>
      <c r="S968" s="23" t="n"/>
      <c r="T968" s="23" t="n"/>
      <c r="U968" s="23" t="n"/>
      <c r="V968" s="23" t="n"/>
      <c r="W968" s="23" t="n"/>
      <c r="X968" s="23" t="n"/>
      <c r="Y968" s="23" t="n"/>
      <c r="Z968" s="23" t="n"/>
    </row>
    <row r="969" ht="15.75" customHeight="1" s="86">
      <c r="A969" s="23" t="n"/>
      <c r="B969" s="23" t="n"/>
      <c r="C969" s="23" t="n"/>
      <c r="D969" s="23" t="n"/>
      <c r="E969" s="23" t="n"/>
      <c r="F969" s="23" t="n"/>
      <c r="G969" s="23" t="n"/>
      <c r="H969" s="23" t="n"/>
      <c r="I969" s="23" t="n"/>
      <c r="J969" s="23" t="n"/>
      <c r="K969" s="23" t="n"/>
      <c r="L969" s="23" t="n"/>
      <c r="M969" s="23" t="n"/>
      <c r="N969" s="23" t="n"/>
      <c r="O969" s="23" t="n"/>
      <c r="P969" s="23" t="n"/>
      <c r="Q969" s="23" t="n"/>
      <c r="R969" s="23" t="n"/>
      <c r="S969" s="23" t="n"/>
      <c r="T969" s="23" t="n"/>
      <c r="U969" s="23" t="n"/>
      <c r="V969" s="23" t="n"/>
      <c r="W969" s="23" t="n"/>
      <c r="X969" s="23" t="n"/>
      <c r="Y969" s="23" t="n"/>
      <c r="Z969" s="23" t="n"/>
    </row>
    <row r="970" ht="15.75" customHeight="1" s="86">
      <c r="A970" s="23" t="n"/>
      <c r="B970" s="23" t="n"/>
      <c r="C970" s="23" t="n"/>
      <c r="D970" s="23" t="n"/>
      <c r="E970" s="23" t="n"/>
      <c r="F970" s="23" t="n"/>
      <c r="G970" s="23" t="n"/>
      <c r="H970" s="23" t="n"/>
      <c r="I970" s="23" t="n"/>
      <c r="J970" s="23" t="n"/>
      <c r="K970" s="23" t="n"/>
      <c r="L970" s="23" t="n"/>
      <c r="M970" s="23" t="n"/>
      <c r="N970" s="23" t="n"/>
      <c r="O970" s="23" t="n"/>
      <c r="P970" s="23" t="n"/>
      <c r="Q970" s="23" t="n"/>
      <c r="R970" s="23" t="n"/>
      <c r="S970" s="23" t="n"/>
      <c r="T970" s="23" t="n"/>
      <c r="U970" s="23" t="n"/>
      <c r="V970" s="23" t="n"/>
      <c r="W970" s="23" t="n"/>
      <c r="X970" s="23" t="n"/>
      <c r="Y970" s="23" t="n"/>
      <c r="Z970" s="23" t="n"/>
    </row>
    <row r="971" ht="15.75" customHeight="1" s="86">
      <c r="A971" s="23" t="n"/>
      <c r="B971" s="23" t="n"/>
      <c r="C971" s="23" t="n"/>
      <c r="D971" s="23" t="n"/>
      <c r="E971" s="23" t="n"/>
      <c r="F971" s="23" t="n"/>
      <c r="G971" s="23" t="n"/>
      <c r="H971" s="23" t="n"/>
      <c r="I971" s="23" t="n"/>
      <c r="J971" s="23" t="n"/>
      <c r="K971" s="23" t="n"/>
      <c r="L971" s="23" t="n"/>
      <c r="M971" s="23" t="n"/>
      <c r="N971" s="23" t="n"/>
      <c r="O971" s="23" t="n"/>
      <c r="P971" s="23" t="n"/>
      <c r="Q971" s="23" t="n"/>
      <c r="R971" s="23" t="n"/>
      <c r="S971" s="23" t="n"/>
      <c r="T971" s="23" t="n"/>
      <c r="U971" s="23" t="n"/>
      <c r="V971" s="23" t="n"/>
      <c r="W971" s="23" t="n"/>
      <c r="X971" s="23" t="n"/>
      <c r="Y971" s="23" t="n"/>
      <c r="Z971" s="23" t="n"/>
    </row>
    <row r="972" ht="15.75" customHeight="1" s="86">
      <c r="A972" s="23" t="n"/>
      <c r="B972" s="23" t="n"/>
      <c r="C972" s="23" t="n"/>
      <c r="D972" s="23" t="n"/>
      <c r="E972" s="23" t="n"/>
      <c r="F972" s="23" t="n"/>
      <c r="G972" s="23" t="n"/>
      <c r="H972" s="23" t="n"/>
      <c r="I972" s="23" t="n"/>
      <c r="J972" s="23" t="n"/>
      <c r="K972" s="23" t="n"/>
      <c r="L972" s="23" t="n"/>
      <c r="M972" s="23" t="n"/>
      <c r="N972" s="23" t="n"/>
      <c r="O972" s="23" t="n"/>
      <c r="P972" s="23" t="n"/>
      <c r="Q972" s="23" t="n"/>
      <c r="R972" s="23" t="n"/>
      <c r="S972" s="23" t="n"/>
      <c r="T972" s="23" t="n"/>
      <c r="U972" s="23" t="n"/>
      <c r="V972" s="23" t="n"/>
      <c r="W972" s="23" t="n"/>
      <c r="X972" s="23" t="n"/>
      <c r="Y972" s="23" t="n"/>
      <c r="Z972" s="23" t="n"/>
    </row>
    <row r="973" ht="15.75" customHeight="1" s="86">
      <c r="A973" s="23" t="n"/>
      <c r="B973" s="23" t="n"/>
      <c r="C973" s="23" t="n"/>
      <c r="D973" s="23" t="n"/>
      <c r="E973" s="23" t="n"/>
      <c r="F973" s="23" t="n"/>
      <c r="G973" s="23" t="n"/>
      <c r="H973" s="23" t="n"/>
      <c r="I973" s="23" t="n"/>
      <c r="J973" s="23" t="n"/>
      <c r="K973" s="23" t="n"/>
      <c r="L973" s="23" t="n"/>
      <c r="M973" s="23" t="n"/>
      <c r="N973" s="23" t="n"/>
      <c r="O973" s="23" t="n"/>
      <c r="P973" s="23" t="n"/>
      <c r="Q973" s="23" t="n"/>
      <c r="R973" s="23" t="n"/>
      <c r="S973" s="23" t="n"/>
      <c r="T973" s="23" t="n"/>
      <c r="U973" s="23" t="n"/>
      <c r="V973" s="23" t="n"/>
      <c r="W973" s="23" t="n"/>
      <c r="X973" s="23" t="n"/>
      <c r="Y973" s="23" t="n"/>
      <c r="Z973" s="23" t="n"/>
    </row>
    <row r="974" ht="15.75" customHeight="1" s="86">
      <c r="A974" s="23" t="n"/>
      <c r="B974" s="23" t="n"/>
      <c r="C974" s="23" t="n"/>
      <c r="D974" s="23" t="n"/>
      <c r="E974" s="23" t="n"/>
      <c r="F974" s="23" t="n"/>
      <c r="G974" s="23" t="n"/>
      <c r="H974" s="23" t="n"/>
      <c r="I974" s="23" t="n"/>
      <c r="J974" s="23" t="n"/>
      <c r="K974" s="23" t="n"/>
      <c r="L974" s="23" t="n"/>
      <c r="M974" s="23" t="n"/>
      <c r="N974" s="23" t="n"/>
      <c r="O974" s="23" t="n"/>
      <c r="P974" s="23" t="n"/>
      <c r="Q974" s="23" t="n"/>
      <c r="R974" s="23" t="n"/>
      <c r="S974" s="23" t="n"/>
      <c r="T974" s="23" t="n"/>
      <c r="U974" s="23" t="n"/>
      <c r="V974" s="23" t="n"/>
      <c r="W974" s="23" t="n"/>
      <c r="X974" s="23" t="n"/>
      <c r="Y974" s="23" t="n"/>
      <c r="Z974" s="23" t="n"/>
    </row>
    <row r="975" ht="15.75" customHeight="1" s="86">
      <c r="A975" s="23" t="n"/>
      <c r="B975" s="23" t="n"/>
      <c r="C975" s="23" t="n"/>
      <c r="D975" s="23" t="n"/>
      <c r="E975" s="23" t="n"/>
      <c r="F975" s="23" t="n"/>
      <c r="G975" s="23" t="n"/>
      <c r="H975" s="23" t="n"/>
      <c r="I975" s="23" t="n"/>
      <c r="J975" s="23" t="n"/>
      <c r="K975" s="23" t="n"/>
      <c r="L975" s="23" t="n"/>
      <c r="M975" s="23" t="n"/>
      <c r="N975" s="23" t="n"/>
      <c r="O975" s="23" t="n"/>
      <c r="P975" s="23" t="n"/>
      <c r="Q975" s="23" t="n"/>
      <c r="R975" s="23" t="n"/>
      <c r="S975" s="23" t="n"/>
      <c r="T975" s="23" t="n"/>
      <c r="U975" s="23" t="n"/>
      <c r="V975" s="23" t="n"/>
      <c r="W975" s="23" t="n"/>
      <c r="X975" s="23" t="n"/>
      <c r="Y975" s="23" t="n"/>
      <c r="Z975" s="23" t="n"/>
    </row>
    <row r="976" ht="15.75" customHeight="1" s="86">
      <c r="A976" s="23" t="n"/>
      <c r="B976" s="23" t="n"/>
      <c r="C976" s="23" t="n"/>
      <c r="D976" s="23" t="n"/>
      <c r="E976" s="23" t="n"/>
      <c r="F976" s="23" t="n"/>
      <c r="G976" s="23" t="n"/>
      <c r="H976" s="23" t="n"/>
      <c r="I976" s="23" t="n"/>
      <c r="J976" s="23" t="n"/>
      <c r="K976" s="23" t="n"/>
      <c r="L976" s="23" t="n"/>
      <c r="M976" s="23" t="n"/>
      <c r="N976" s="23" t="n"/>
      <c r="O976" s="23" t="n"/>
      <c r="P976" s="23" t="n"/>
      <c r="Q976" s="23" t="n"/>
      <c r="R976" s="23" t="n"/>
      <c r="S976" s="23" t="n"/>
      <c r="T976" s="23" t="n"/>
      <c r="U976" s="23" t="n"/>
      <c r="V976" s="23" t="n"/>
      <c r="W976" s="23" t="n"/>
      <c r="X976" s="23" t="n"/>
      <c r="Y976" s="23" t="n"/>
      <c r="Z976" s="23" t="n"/>
    </row>
    <row r="977" ht="15.75" customHeight="1" s="86">
      <c r="A977" s="23" t="n"/>
      <c r="B977" s="23" t="n"/>
      <c r="C977" s="23" t="n"/>
      <c r="D977" s="23" t="n"/>
      <c r="E977" s="23" t="n"/>
      <c r="F977" s="23" t="n"/>
      <c r="G977" s="23" t="n"/>
      <c r="H977" s="23" t="n"/>
      <c r="I977" s="23" t="n"/>
      <c r="J977" s="23" t="n"/>
      <c r="K977" s="23" t="n"/>
      <c r="L977" s="23" t="n"/>
      <c r="M977" s="23" t="n"/>
      <c r="N977" s="23" t="n"/>
      <c r="O977" s="23" t="n"/>
      <c r="P977" s="23" t="n"/>
      <c r="Q977" s="23" t="n"/>
      <c r="R977" s="23" t="n"/>
      <c r="S977" s="23" t="n"/>
      <c r="T977" s="23" t="n"/>
      <c r="U977" s="23" t="n"/>
      <c r="V977" s="23" t="n"/>
      <c r="W977" s="23" t="n"/>
      <c r="X977" s="23" t="n"/>
      <c r="Y977" s="23" t="n"/>
      <c r="Z977" s="23" t="n"/>
    </row>
    <row r="978" ht="15.75" customHeight="1" s="86">
      <c r="A978" s="23" t="n"/>
      <c r="B978" s="23" t="n"/>
      <c r="C978" s="23" t="n"/>
      <c r="D978" s="23" t="n"/>
      <c r="E978" s="23" t="n"/>
      <c r="F978" s="23" t="n"/>
      <c r="G978" s="23" t="n"/>
      <c r="H978" s="23" t="n"/>
      <c r="I978" s="23" t="n"/>
      <c r="J978" s="23" t="n"/>
      <c r="K978" s="23" t="n"/>
      <c r="L978" s="23" t="n"/>
      <c r="M978" s="23" t="n"/>
      <c r="N978" s="23" t="n"/>
      <c r="O978" s="23" t="n"/>
      <c r="P978" s="23" t="n"/>
      <c r="Q978" s="23" t="n"/>
      <c r="R978" s="23" t="n"/>
      <c r="S978" s="23" t="n"/>
      <c r="T978" s="23" t="n"/>
      <c r="U978" s="23" t="n"/>
      <c r="V978" s="23" t="n"/>
      <c r="W978" s="23" t="n"/>
      <c r="X978" s="23" t="n"/>
      <c r="Y978" s="23" t="n"/>
      <c r="Z978" s="23" t="n"/>
    </row>
    <row r="979" ht="15.75" customHeight="1" s="86">
      <c r="A979" s="23" t="n"/>
      <c r="B979" s="23" t="n"/>
      <c r="C979" s="23" t="n"/>
      <c r="D979" s="23" t="n"/>
      <c r="E979" s="23" t="n"/>
      <c r="F979" s="23" t="n"/>
      <c r="G979" s="23" t="n"/>
      <c r="H979" s="23" t="n"/>
      <c r="I979" s="23" t="n"/>
      <c r="J979" s="23" t="n"/>
      <c r="K979" s="23" t="n"/>
      <c r="L979" s="23" t="n"/>
      <c r="M979" s="23" t="n"/>
      <c r="N979" s="23" t="n"/>
      <c r="O979" s="23" t="n"/>
      <c r="P979" s="23" t="n"/>
      <c r="Q979" s="23" t="n"/>
      <c r="R979" s="23" t="n"/>
      <c r="S979" s="23" t="n"/>
      <c r="T979" s="23" t="n"/>
      <c r="U979" s="23" t="n"/>
      <c r="V979" s="23" t="n"/>
      <c r="W979" s="23" t="n"/>
      <c r="X979" s="23" t="n"/>
      <c r="Y979" s="23" t="n"/>
      <c r="Z979" s="23" t="n"/>
    </row>
    <row r="980" ht="15.75" customHeight="1" s="86">
      <c r="A980" s="23" t="n"/>
      <c r="B980" s="23" t="n"/>
      <c r="C980" s="23" t="n"/>
      <c r="D980" s="23" t="n"/>
      <c r="E980" s="23" t="n"/>
      <c r="F980" s="23" t="n"/>
      <c r="G980" s="23" t="n"/>
      <c r="H980" s="23" t="n"/>
      <c r="I980" s="23" t="n"/>
      <c r="J980" s="23" t="n"/>
      <c r="K980" s="23" t="n"/>
      <c r="L980" s="23" t="n"/>
      <c r="M980" s="23" t="n"/>
      <c r="N980" s="23" t="n"/>
      <c r="O980" s="23" t="n"/>
      <c r="P980" s="23" t="n"/>
      <c r="Q980" s="23" t="n"/>
      <c r="R980" s="23" t="n"/>
      <c r="S980" s="23" t="n"/>
      <c r="T980" s="23" t="n"/>
      <c r="U980" s="23" t="n"/>
      <c r="V980" s="23" t="n"/>
      <c r="W980" s="23" t="n"/>
      <c r="X980" s="23" t="n"/>
      <c r="Y980" s="23" t="n"/>
      <c r="Z980" s="23" t="n"/>
    </row>
    <row r="981" ht="15.75" customHeight="1" s="86">
      <c r="A981" s="23" t="n"/>
      <c r="B981" s="23" t="n"/>
      <c r="C981" s="23" t="n"/>
      <c r="D981" s="23" t="n"/>
      <c r="E981" s="23" t="n"/>
      <c r="F981" s="23" t="n"/>
      <c r="G981" s="23" t="n"/>
      <c r="H981" s="23" t="n"/>
      <c r="I981" s="23" t="n"/>
      <c r="J981" s="23" t="n"/>
      <c r="K981" s="23" t="n"/>
      <c r="L981" s="23" t="n"/>
      <c r="M981" s="23" t="n"/>
      <c r="N981" s="23" t="n"/>
      <c r="O981" s="23" t="n"/>
      <c r="P981" s="23" t="n"/>
      <c r="Q981" s="23" t="n"/>
      <c r="R981" s="23" t="n"/>
      <c r="S981" s="23" t="n"/>
      <c r="T981" s="23" t="n"/>
      <c r="U981" s="23" t="n"/>
      <c r="V981" s="23" t="n"/>
      <c r="W981" s="23" t="n"/>
      <c r="X981" s="23" t="n"/>
      <c r="Y981" s="23" t="n"/>
      <c r="Z981" s="23" t="n"/>
    </row>
    <row r="982" ht="15.75" customHeight="1" s="86">
      <c r="A982" s="23" t="n"/>
      <c r="B982" s="23" t="n"/>
      <c r="C982" s="23" t="n"/>
      <c r="D982" s="23" t="n"/>
      <c r="E982" s="23" t="n"/>
      <c r="F982" s="23" t="n"/>
      <c r="G982" s="23" t="n"/>
      <c r="H982" s="23" t="n"/>
      <c r="I982" s="23" t="n"/>
      <c r="J982" s="23" t="n"/>
      <c r="K982" s="23" t="n"/>
      <c r="L982" s="23" t="n"/>
      <c r="M982" s="23" t="n"/>
      <c r="N982" s="23" t="n"/>
      <c r="O982" s="23" t="n"/>
      <c r="P982" s="23" t="n"/>
      <c r="Q982" s="23" t="n"/>
      <c r="R982" s="23" t="n"/>
      <c r="S982" s="23" t="n"/>
      <c r="T982" s="23" t="n"/>
      <c r="U982" s="23" t="n"/>
      <c r="V982" s="23" t="n"/>
      <c r="W982" s="23" t="n"/>
      <c r="X982" s="23" t="n"/>
      <c r="Y982" s="23" t="n"/>
      <c r="Z982" s="23" t="n"/>
    </row>
    <row r="983" ht="15.75" customHeight="1" s="86">
      <c r="A983" s="23" t="n"/>
      <c r="B983" s="23" t="n"/>
      <c r="C983" s="23" t="n"/>
      <c r="D983" s="23" t="n"/>
      <c r="E983" s="23" t="n"/>
      <c r="F983" s="23" t="n"/>
      <c r="G983" s="23" t="n"/>
      <c r="H983" s="23" t="n"/>
      <c r="I983" s="23" t="n"/>
      <c r="J983" s="23" t="n"/>
      <c r="K983" s="23" t="n"/>
      <c r="L983" s="23" t="n"/>
      <c r="M983" s="23" t="n"/>
      <c r="N983" s="23" t="n"/>
      <c r="O983" s="23" t="n"/>
      <c r="P983" s="23" t="n"/>
      <c r="Q983" s="23" t="n"/>
      <c r="R983" s="23" t="n"/>
      <c r="S983" s="23" t="n"/>
      <c r="T983" s="23" t="n"/>
      <c r="U983" s="23" t="n"/>
      <c r="V983" s="23" t="n"/>
      <c r="W983" s="23" t="n"/>
      <c r="X983" s="23" t="n"/>
      <c r="Y983" s="23" t="n"/>
      <c r="Z983" s="23" t="n"/>
    </row>
    <row r="984" ht="15.75" customHeight="1" s="86">
      <c r="A984" s="23" t="n"/>
      <c r="B984" s="23" t="n"/>
      <c r="C984" s="23" t="n"/>
      <c r="D984" s="23" t="n"/>
      <c r="E984" s="23" t="n"/>
      <c r="F984" s="23" t="n"/>
      <c r="G984" s="23" t="n"/>
      <c r="H984" s="23" t="n"/>
      <c r="I984" s="23" t="n"/>
      <c r="J984" s="23" t="n"/>
      <c r="K984" s="23" t="n"/>
      <c r="L984" s="23" t="n"/>
      <c r="M984" s="23" t="n"/>
      <c r="N984" s="23" t="n"/>
      <c r="O984" s="23" t="n"/>
      <c r="P984" s="23" t="n"/>
      <c r="Q984" s="23" t="n"/>
      <c r="R984" s="23" t="n"/>
      <c r="S984" s="23" t="n"/>
      <c r="T984" s="23" t="n"/>
      <c r="U984" s="23" t="n"/>
      <c r="V984" s="23" t="n"/>
      <c r="W984" s="23" t="n"/>
      <c r="X984" s="23" t="n"/>
      <c r="Y984" s="23" t="n"/>
      <c r="Z984" s="23" t="n"/>
    </row>
    <row r="985" ht="15.75" customHeight="1" s="86">
      <c r="A985" s="23" t="n"/>
      <c r="B985" s="23" t="n"/>
      <c r="C985" s="23" t="n"/>
      <c r="D985" s="23" t="n"/>
      <c r="E985" s="23" t="n"/>
      <c r="F985" s="23" t="n"/>
      <c r="G985" s="23" t="n"/>
      <c r="H985" s="23" t="n"/>
      <c r="I985" s="23" t="n"/>
      <c r="J985" s="23" t="n"/>
      <c r="K985" s="23" t="n"/>
      <c r="L985" s="23" t="n"/>
      <c r="M985" s="23" t="n"/>
      <c r="N985" s="23" t="n"/>
      <c r="O985" s="23" t="n"/>
      <c r="P985" s="23" t="n"/>
      <c r="Q985" s="23" t="n"/>
      <c r="R985" s="23" t="n"/>
      <c r="S985" s="23" t="n"/>
      <c r="T985" s="23" t="n"/>
      <c r="U985" s="23" t="n"/>
      <c r="V985" s="23" t="n"/>
      <c r="W985" s="23" t="n"/>
      <c r="X985" s="23" t="n"/>
      <c r="Y985" s="23" t="n"/>
      <c r="Z985" s="23" t="n"/>
    </row>
    <row r="986" ht="15.75" customHeight="1" s="86">
      <c r="A986" s="23" t="n"/>
      <c r="B986" s="23" t="n"/>
      <c r="C986" s="23" t="n"/>
      <c r="D986" s="23" t="n"/>
      <c r="E986" s="23" t="n"/>
      <c r="F986" s="23" t="n"/>
      <c r="G986" s="23" t="n"/>
      <c r="H986" s="23" t="n"/>
      <c r="I986" s="23" t="n"/>
      <c r="J986" s="23" t="n"/>
      <c r="K986" s="23" t="n"/>
      <c r="L986" s="23" t="n"/>
      <c r="M986" s="23" t="n"/>
      <c r="N986" s="23" t="n"/>
      <c r="O986" s="23" t="n"/>
      <c r="P986" s="23" t="n"/>
      <c r="Q986" s="23" t="n"/>
      <c r="R986" s="23" t="n"/>
      <c r="S986" s="23" t="n"/>
      <c r="T986" s="23" t="n"/>
      <c r="U986" s="23" t="n"/>
      <c r="V986" s="23" t="n"/>
      <c r="W986" s="23" t="n"/>
      <c r="X986" s="23" t="n"/>
      <c r="Y986" s="23" t="n"/>
      <c r="Z986" s="23" t="n"/>
    </row>
    <row r="987" ht="15.75" customHeight="1" s="86">
      <c r="A987" s="23" t="n"/>
      <c r="B987" s="23" t="n"/>
      <c r="C987" s="23" t="n"/>
      <c r="D987" s="23" t="n"/>
      <c r="E987" s="23" t="n"/>
      <c r="F987" s="23" t="n"/>
      <c r="G987" s="23" t="n"/>
      <c r="H987" s="23" t="n"/>
      <c r="I987" s="23" t="n"/>
      <c r="J987" s="23" t="n"/>
      <c r="K987" s="23" t="n"/>
      <c r="L987" s="23" t="n"/>
      <c r="M987" s="23" t="n"/>
      <c r="N987" s="23" t="n"/>
      <c r="O987" s="23" t="n"/>
      <c r="P987" s="23" t="n"/>
      <c r="Q987" s="23" t="n"/>
      <c r="R987" s="23" t="n"/>
      <c r="S987" s="23" t="n"/>
      <c r="T987" s="23" t="n"/>
      <c r="U987" s="23" t="n"/>
      <c r="V987" s="23" t="n"/>
      <c r="W987" s="23" t="n"/>
      <c r="X987" s="23" t="n"/>
      <c r="Y987" s="23" t="n"/>
      <c r="Z987" s="23" t="n"/>
    </row>
    <row r="988" ht="15.75" customHeight="1" s="86">
      <c r="A988" s="23" t="n"/>
      <c r="B988" s="23" t="n"/>
      <c r="C988" s="23" t="n"/>
      <c r="D988" s="23" t="n"/>
      <c r="E988" s="23" t="n"/>
      <c r="F988" s="23" t="n"/>
      <c r="G988" s="23" t="n"/>
      <c r="H988" s="23" t="n"/>
      <c r="I988" s="23" t="n"/>
      <c r="J988" s="23" t="n"/>
      <c r="K988" s="23" t="n"/>
      <c r="L988" s="23" t="n"/>
      <c r="M988" s="23" t="n"/>
      <c r="N988" s="23" t="n"/>
      <c r="O988" s="23" t="n"/>
      <c r="P988" s="23" t="n"/>
      <c r="Q988" s="23" t="n"/>
      <c r="R988" s="23" t="n"/>
      <c r="S988" s="23" t="n"/>
      <c r="T988" s="23" t="n"/>
      <c r="U988" s="23" t="n"/>
      <c r="V988" s="23" t="n"/>
      <c r="W988" s="23" t="n"/>
      <c r="X988" s="23" t="n"/>
      <c r="Y988" s="23" t="n"/>
      <c r="Z988" s="23" t="n"/>
    </row>
    <row r="989" ht="15.75" customHeight="1" s="86">
      <c r="A989" s="23" t="n"/>
      <c r="B989" s="23" t="n"/>
      <c r="C989" s="23" t="n"/>
      <c r="D989" s="23" t="n"/>
      <c r="E989" s="23" t="n"/>
      <c r="F989" s="23" t="n"/>
      <c r="G989" s="23" t="n"/>
      <c r="H989" s="23" t="n"/>
      <c r="I989" s="23" t="n"/>
      <c r="J989" s="23" t="n"/>
      <c r="K989" s="23" t="n"/>
      <c r="L989" s="23" t="n"/>
      <c r="M989" s="23" t="n"/>
      <c r="N989" s="23" t="n"/>
      <c r="O989" s="23" t="n"/>
      <c r="P989" s="23" t="n"/>
      <c r="Q989" s="23" t="n"/>
      <c r="R989" s="23" t="n"/>
      <c r="S989" s="23" t="n"/>
      <c r="T989" s="23" t="n"/>
      <c r="U989" s="23" t="n"/>
      <c r="V989" s="23" t="n"/>
      <c r="W989" s="23" t="n"/>
      <c r="X989" s="23" t="n"/>
      <c r="Y989" s="23" t="n"/>
      <c r="Z989" s="23" t="n"/>
    </row>
    <row r="990" ht="15.75" customHeight="1" s="86">
      <c r="A990" s="23" t="n"/>
      <c r="B990" s="23" t="n"/>
      <c r="C990" s="23" t="n"/>
      <c r="D990" s="23" t="n"/>
      <c r="E990" s="23" t="n"/>
      <c r="F990" s="23" t="n"/>
      <c r="G990" s="23" t="n"/>
      <c r="H990" s="23" t="n"/>
      <c r="I990" s="23" t="n"/>
      <c r="J990" s="23" t="n"/>
      <c r="K990" s="23" t="n"/>
      <c r="L990" s="23" t="n"/>
      <c r="M990" s="23" t="n"/>
      <c r="N990" s="23" t="n"/>
      <c r="O990" s="23" t="n"/>
      <c r="P990" s="23" t="n"/>
      <c r="Q990" s="23" t="n"/>
      <c r="R990" s="23" t="n"/>
      <c r="S990" s="23" t="n"/>
      <c r="T990" s="23" t="n"/>
      <c r="U990" s="23" t="n"/>
      <c r="V990" s="23" t="n"/>
      <c r="W990" s="23" t="n"/>
      <c r="X990" s="23" t="n"/>
      <c r="Y990" s="23" t="n"/>
      <c r="Z990" s="23" t="n"/>
    </row>
    <row r="991" ht="15.75" customHeight="1" s="86">
      <c r="A991" s="23" t="n"/>
      <c r="B991" s="23" t="n"/>
      <c r="C991" s="23" t="n"/>
      <c r="D991" s="23" t="n"/>
      <c r="E991" s="23" t="n"/>
      <c r="F991" s="23" t="n"/>
      <c r="G991" s="23" t="n"/>
      <c r="H991" s="23" t="n"/>
      <c r="I991" s="23" t="n"/>
      <c r="J991" s="23" t="n"/>
      <c r="K991" s="23" t="n"/>
      <c r="L991" s="23" t="n"/>
      <c r="M991" s="23" t="n"/>
      <c r="N991" s="23" t="n"/>
      <c r="O991" s="23" t="n"/>
      <c r="P991" s="23" t="n"/>
      <c r="Q991" s="23" t="n"/>
      <c r="R991" s="23" t="n"/>
      <c r="S991" s="23" t="n"/>
      <c r="T991" s="23" t="n"/>
      <c r="U991" s="23" t="n"/>
      <c r="V991" s="23" t="n"/>
      <c r="W991" s="23" t="n"/>
      <c r="X991" s="23" t="n"/>
      <c r="Y991" s="23" t="n"/>
      <c r="Z991" s="23" t="n"/>
    </row>
    <row r="992" ht="15.75" customHeight="1" s="86">
      <c r="A992" s="23" t="n"/>
      <c r="B992" s="23" t="n"/>
      <c r="C992" s="23" t="n"/>
      <c r="D992" s="23" t="n"/>
      <c r="E992" s="23" t="n"/>
      <c r="F992" s="23" t="n"/>
      <c r="G992" s="23" t="n"/>
      <c r="H992" s="23" t="n"/>
      <c r="I992" s="23" t="n"/>
      <c r="J992" s="23" t="n"/>
      <c r="K992" s="23" t="n"/>
      <c r="L992" s="23" t="n"/>
      <c r="M992" s="23" t="n"/>
      <c r="N992" s="23" t="n"/>
      <c r="O992" s="23" t="n"/>
      <c r="P992" s="23" t="n"/>
      <c r="Q992" s="23" t="n"/>
      <c r="R992" s="23" t="n"/>
      <c r="S992" s="23" t="n"/>
      <c r="T992" s="23" t="n"/>
      <c r="U992" s="23" t="n"/>
      <c r="V992" s="23" t="n"/>
      <c r="W992" s="23" t="n"/>
      <c r="X992" s="23" t="n"/>
      <c r="Y992" s="23" t="n"/>
      <c r="Z992" s="23" t="n"/>
    </row>
    <row r="993" ht="15.75" customHeight="1" s="86">
      <c r="A993" s="23" t="n"/>
      <c r="B993" s="23" t="n"/>
      <c r="C993" s="23" t="n"/>
      <c r="D993" s="23" t="n"/>
      <c r="E993" s="23" t="n"/>
      <c r="F993" s="23" t="n"/>
      <c r="G993" s="23" t="n"/>
      <c r="H993" s="23" t="n"/>
      <c r="I993" s="23" t="n"/>
      <c r="J993" s="23" t="n"/>
      <c r="K993" s="23" t="n"/>
      <c r="L993" s="23" t="n"/>
      <c r="M993" s="23" t="n"/>
      <c r="N993" s="23" t="n"/>
      <c r="O993" s="23" t="n"/>
      <c r="P993" s="23" t="n"/>
      <c r="Q993" s="23" t="n"/>
      <c r="R993" s="23" t="n"/>
      <c r="S993" s="23" t="n"/>
      <c r="T993" s="23" t="n"/>
      <c r="U993" s="23" t="n"/>
      <c r="V993" s="23" t="n"/>
      <c r="W993" s="23" t="n"/>
      <c r="X993" s="23" t="n"/>
      <c r="Y993" s="23" t="n"/>
      <c r="Z993" s="23" t="n"/>
    </row>
    <row r="994" ht="15.75" customHeight="1" s="86">
      <c r="A994" s="23" t="n"/>
      <c r="B994" s="23" t="n"/>
      <c r="C994" s="23" t="n"/>
      <c r="D994" s="23" t="n"/>
      <c r="E994" s="23" t="n"/>
      <c r="F994" s="23" t="n"/>
      <c r="G994" s="23" t="n"/>
      <c r="H994" s="23" t="n"/>
      <c r="I994" s="23" t="n"/>
      <c r="J994" s="23" t="n"/>
      <c r="K994" s="23" t="n"/>
      <c r="L994" s="23" t="n"/>
      <c r="M994" s="23" t="n"/>
      <c r="N994" s="23" t="n"/>
      <c r="O994" s="23" t="n"/>
      <c r="P994" s="23" t="n"/>
      <c r="Q994" s="23" t="n"/>
      <c r="R994" s="23" t="n"/>
      <c r="S994" s="23" t="n"/>
      <c r="T994" s="23" t="n"/>
      <c r="U994" s="23" t="n"/>
      <c r="V994" s="23" t="n"/>
      <c r="W994" s="23" t="n"/>
      <c r="X994" s="23" t="n"/>
      <c r="Y994" s="23" t="n"/>
      <c r="Z994" s="23" t="n"/>
    </row>
    <row r="995" ht="15.75" customHeight="1" s="86">
      <c r="A995" s="23" t="n"/>
      <c r="B995" s="23" t="n"/>
      <c r="C995" s="23" t="n"/>
      <c r="D995" s="23" t="n"/>
      <c r="E995" s="23" t="n"/>
      <c r="F995" s="23" t="n"/>
      <c r="G995" s="23" t="n"/>
      <c r="H995" s="23" t="n"/>
      <c r="I995" s="23" t="n"/>
      <c r="J995" s="23" t="n"/>
      <c r="K995" s="23" t="n"/>
      <c r="L995" s="23" t="n"/>
      <c r="M995" s="23" t="n"/>
      <c r="N995" s="23" t="n"/>
      <c r="O995" s="23" t="n"/>
      <c r="P995" s="23" t="n"/>
      <c r="Q995" s="23" t="n"/>
      <c r="R995" s="23" t="n"/>
      <c r="S995" s="23" t="n"/>
      <c r="T995" s="23" t="n"/>
      <c r="U995" s="23" t="n"/>
      <c r="V995" s="23" t="n"/>
      <c r="W995" s="23" t="n"/>
      <c r="X995" s="23" t="n"/>
      <c r="Y995" s="23" t="n"/>
      <c r="Z995" s="23" t="n"/>
    </row>
    <row r="996" ht="15.75" customHeight="1" s="86">
      <c r="A996" s="23" t="n"/>
      <c r="B996" s="23" t="n"/>
      <c r="C996" s="23" t="n"/>
      <c r="D996" s="23" t="n"/>
      <c r="E996" s="23" t="n"/>
      <c r="F996" s="23" t="n"/>
      <c r="G996" s="23" t="n"/>
      <c r="H996" s="23" t="n"/>
      <c r="I996" s="23" t="n"/>
      <c r="J996" s="23" t="n"/>
      <c r="K996" s="23" t="n"/>
      <c r="L996" s="23" t="n"/>
      <c r="M996" s="23" t="n"/>
      <c r="N996" s="23" t="n"/>
      <c r="O996" s="23" t="n"/>
      <c r="P996" s="23" t="n"/>
      <c r="Q996" s="23" t="n"/>
      <c r="R996" s="23" t="n"/>
      <c r="S996" s="23" t="n"/>
      <c r="T996" s="23" t="n"/>
      <c r="U996" s="23" t="n"/>
      <c r="V996" s="23" t="n"/>
      <c r="W996" s="23" t="n"/>
      <c r="X996" s="23" t="n"/>
      <c r="Y996" s="23" t="n"/>
      <c r="Z996" s="23" t="n"/>
    </row>
    <row r="997" ht="15.75" customHeight="1" s="86">
      <c r="A997" s="23" t="n"/>
      <c r="B997" s="23" t="n"/>
      <c r="C997" s="23" t="n"/>
      <c r="D997" s="23" t="n"/>
      <c r="E997" s="23" t="n"/>
      <c r="F997" s="23" t="n"/>
      <c r="G997" s="23" t="n"/>
      <c r="H997" s="23" t="n"/>
      <c r="I997" s="23" t="n"/>
      <c r="J997" s="23" t="n"/>
      <c r="K997" s="23" t="n"/>
      <c r="L997" s="23" t="n"/>
      <c r="M997" s="23" t="n"/>
      <c r="N997" s="23" t="n"/>
      <c r="O997" s="23" t="n"/>
      <c r="P997" s="23" t="n"/>
      <c r="Q997" s="23" t="n"/>
      <c r="R997" s="23" t="n"/>
      <c r="S997" s="23" t="n"/>
      <c r="T997" s="23" t="n"/>
      <c r="U997" s="23" t="n"/>
      <c r="V997" s="23" t="n"/>
      <c r="W997" s="23" t="n"/>
      <c r="X997" s="23" t="n"/>
      <c r="Y997" s="23" t="n"/>
      <c r="Z997" s="23" t="n"/>
    </row>
    <row r="998" ht="15.75" customHeight="1" s="86">
      <c r="A998" s="23" t="n"/>
      <c r="B998" s="23" t="n"/>
      <c r="C998" s="23" t="n"/>
      <c r="D998" s="23" t="n"/>
      <c r="E998" s="23" t="n"/>
      <c r="F998" s="23" t="n"/>
      <c r="G998" s="23" t="n"/>
      <c r="H998" s="23" t="n"/>
      <c r="I998" s="23" t="n"/>
      <c r="J998" s="23" t="n"/>
      <c r="K998" s="23" t="n"/>
      <c r="L998" s="23" t="n"/>
      <c r="M998" s="23" t="n"/>
      <c r="N998" s="23" t="n"/>
      <c r="O998" s="23" t="n"/>
      <c r="P998" s="23" t="n"/>
      <c r="Q998" s="23" t="n"/>
      <c r="R998" s="23" t="n"/>
      <c r="S998" s="23" t="n"/>
      <c r="T998" s="23" t="n"/>
      <c r="U998" s="23" t="n"/>
      <c r="V998" s="23" t="n"/>
      <c r="W998" s="23" t="n"/>
      <c r="X998" s="23" t="n"/>
      <c r="Y998" s="23" t="n"/>
      <c r="Z998" s="23" t="n"/>
    </row>
    <row r="999" ht="15.75" customHeight="1" s="86">
      <c r="A999" s="23" t="n"/>
      <c r="B999" s="23" t="n"/>
      <c r="C999" s="23" t="n"/>
      <c r="D999" s="23" t="n"/>
      <c r="E999" s="23" t="n"/>
      <c r="F999" s="23" t="n"/>
      <c r="G999" s="23" t="n"/>
      <c r="H999" s="23" t="n"/>
      <c r="I999" s="23" t="n"/>
      <c r="J999" s="23" t="n"/>
      <c r="K999" s="23" t="n"/>
      <c r="L999" s="23" t="n"/>
      <c r="M999" s="23" t="n"/>
      <c r="N999" s="23" t="n"/>
      <c r="O999" s="23" t="n"/>
      <c r="P999" s="23" t="n"/>
      <c r="Q999" s="23" t="n"/>
      <c r="R999" s="23" t="n"/>
      <c r="S999" s="23" t="n"/>
      <c r="T999" s="23" t="n"/>
      <c r="U999" s="23" t="n"/>
      <c r="V999" s="23" t="n"/>
      <c r="W999" s="23" t="n"/>
      <c r="X999" s="23" t="n"/>
      <c r="Y999" s="23" t="n"/>
      <c r="Z999" s="23" t="n"/>
    </row>
    <row r="1000" ht="15.75" customHeight="1" s="86">
      <c r="A1000" s="23" t="n"/>
      <c r="B1000" s="23" t="n"/>
      <c r="C1000" s="23" t="n"/>
      <c r="D1000" s="23" t="n"/>
      <c r="E1000" s="23" t="n"/>
      <c r="F1000" s="23" t="n"/>
      <c r="G1000" s="23" t="n"/>
      <c r="H1000" s="23" t="n"/>
      <c r="I1000" s="23" t="n"/>
      <c r="J1000" s="23" t="n"/>
      <c r="K1000" s="23" t="n"/>
      <c r="L1000" s="23" t="n"/>
      <c r="M1000" s="23" t="n"/>
      <c r="N1000" s="23" t="n"/>
      <c r="O1000" s="23" t="n"/>
      <c r="P1000" s="23" t="n"/>
      <c r="Q1000" s="23" t="n"/>
      <c r="R1000" s="23" t="n"/>
      <c r="S1000" s="23" t="n"/>
      <c r="T1000" s="23" t="n"/>
      <c r="U1000" s="23" t="n"/>
      <c r="V1000" s="23" t="n"/>
      <c r="W1000" s="23" t="n"/>
      <c r="X1000" s="23" t="n"/>
      <c r="Y1000" s="23" t="n"/>
      <c r="Z1000" s="23" t="n"/>
    </row>
  </sheetData>
  <mergeCells count="1">
    <mergeCell ref="A71:C71"/>
  </mergeCells>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Suresh Bisht</dc:creator>
  <dcterms:created xmlns:dcterms="http://purl.org/dc/terms/" xmlns:xsi="http://www.w3.org/2001/XMLSchema-instance" xsi:type="dcterms:W3CDTF">2015-02-27T11:15:04Z</dcterms:created>
  <dcterms:modified xmlns:dcterms="http://purl.org/dc/terms/" xmlns:xsi="http://www.w3.org/2001/XMLSchema-instance" xsi:type="dcterms:W3CDTF">2026-02-22T07:48:09Z</dcterms:modified>
</cp:coreProperties>
</file>