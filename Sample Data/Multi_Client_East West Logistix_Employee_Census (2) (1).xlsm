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xmlns:xr="http://schemas.microsoft.com/office/spreadsheetml/2014/revision" xmlns:xr10="http://schemas.microsoft.com/office/spreadsheetml/2016/revision10" xmlns:xr2="http://schemas.microsoft.com/office/spreadsheetml/2015/revision2" xmlns:xr6="http://schemas.microsoft.com/office/spreadsheetml/2016/revision6" mc:Ignorable="x15 xr xr6 xr10 xr2">
  <fileVersion appName="xl" codeName="{DD97A8EA-9A9A-E61F-A557-7D5A7D7259CE}" lastEdited="7" lowestEdited="7" rupBuild="29426"/>
  <workbookPr autoCompressPictures="0" codeName="ThisWorkbook"/>
  <mc:AlternateContent>
    <mc:Choice Requires="x15">
      <x15ac:absPath xmlns:x15ac="http://schemas.microsoft.com/office/spreadsheetml/2010/11/ac" url="C:\devel\svn\trunk_code_PG\config\employer\template\"/>
    </mc:Choice>
  </mc:AlternateContent>
  <xr:revisionPtr documentId="13_ncr:1_{745FF154-7395-4BFC-AD58-542331772667}" revIDLastSave="0" xr10:uidLastSave="{00000000-0000-0000-0000-000000000000}" xr6:coauthVersionLast="47" xr6:coauthVersionMax="47"/>
  <bookViews>
    <workbookView activeTab="1" tabRatio="500" windowHeight="10300" windowWidth="19420" xWindow="-110" xr2:uid="{00000000-000D-0000-FFFF-FFFF00000000}" yWindow="-110"/>
  </bookViews>
  <sheets>
    <sheet name="Instructions" r:id="rId1" sheetId="12"/>
    <sheet name="Employee Details" r:id="rId2" sheetId="11"/>
    <sheet name="Setting" r:id="rId3" sheetId="3" state="hidden"/>
    <sheet name="Data specs" r:id="rId4" sheetId="2" state="hidden"/>
  </sheets>
  <functionGroups builtInGroupCount="19"/>
  <definedNames>
    <definedName hidden="1" localSheetId="1" name="_xlnm._FilterDatabase">'Employee Details'!$A$4:$AQ$4</definedName>
    <definedName hidden="1" localSheetId="2" name="_xlnm._FilterDatabase">Setting!$E$1:$F$10000</definedName>
    <definedName name="aci">'Employee Details'!#REF!</definedName>
    <definedName name="City_Unique">Setting!$N$2:$N$5</definedName>
    <definedName name="City_Unique_Val">Setting!$N$2</definedName>
    <definedName name="Col_Heading">Setting!$AU$3</definedName>
    <definedName name="Col_No_Insert">Setting!$AU$1</definedName>
    <definedName name="Conversion_Range">OFFSET(Setting!$CA$2,0,0,COUNTA(Setting!$CA$2:$CA$200),6)</definedName>
    <definedName localSheetId="2" name="_xlnm.Criteria">Setting!$K$1:$K$2</definedName>
    <definedName name="Custom_Add_Row">Setting!$AU$4</definedName>
    <definedName name="Custom_CopyPaste">Setting!$BU$1</definedName>
    <definedName name="Custom_CopyPaste_Validation">Setting!$BU$2</definedName>
    <definedName name="Data_Starts">Setting!$AU$2</definedName>
    <definedName name="Dep_FirstCol_Search">Setting!$AU$18</definedName>
    <definedName name="Depen_Conversion_Range">Setting!$CK$1:$CM$1</definedName>
    <definedName name="Depen_FirstPrefixColNo">Setting!$CL$3</definedName>
    <definedName name="Dependent_Format">Setting!$AF$1:$AO$2</definedName>
    <definedName name="Dependent_Format_Alter">Setting!$AF$2:$AO$2</definedName>
    <definedName name="Dependent_Val">Setting!$AF$3:$AO$3</definedName>
    <definedName name="employee">'Employee Details'!$O$5</definedName>
    <definedName name="Employee_SSN">Setting!$AU$19</definedName>
    <definedName name="Employment_Status_ColNo">Setting!$AU$10</definedName>
    <definedName name="Employment_Type">Setting!$AU$7</definedName>
    <definedName name="Error_Sheet_Format_Copy">Setting!$X$1:$Y$10407</definedName>
    <definedName comment="${employee.terminationType}" name="ett">'Employee Details'!$O$5</definedName>
    <definedName localSheetId="2" name="_xlnm.Extract">Setting!$N$1</definedName>
    <definedName name="Format_Heading_Copy_Paste">Setting!$AY$1</definedName>
    <definedName name="HourlyPayRate">Setting!$AU$20</definedName>
    <definedName name="Oth_Employement_Type">Setting!$AU$9</definedName>
    <definedName name="Pay_Frequency_ColNo">Setting!$AU$17</definedName>
    <definedName name="Pay_Type_ColNo">Setting!$AU$16</definedName>
    <definedName name="State_City_Data">Setting!$E$1:$F$10000</definedName>
    <definedName name="State_Codes">OFFSET(Setting!$A$1,0,0,COUNTA(Setting!$A$1:$A$10000),1)</definedName>
    <definedName name="State_County">Setting!$AU$15</definedName>
    <definedName name="State_Criteria">Setting!$K$1:$K$2</definedName>
    <definedName name="State_Val_Col_Num">Setting!$AU$5</definedName>
    <definedName name="SystemCustomFields">Setting!$AU$21</definedName>
    <definedName name="Termination_Date_Col_No">Setting!$AU$11</definedName>
    <definedName name="Termination_Reason">Setting!$AU$13</definedName>
    <definedName name="Termination_Type_Col_No">Setting!$AU$12</definedName>
    <definedName name="Unique_County_Copy">Setting!$N$1</definedName>
    <definedName name="Validation_Fill_Range">Setting!$AU$8</definedName>
    <definedName name="VBA_SH_Password">Setting!$DE$2</definedName>
    <definedName name="Working_Hours_per_Week">Setting!$AU$14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i="3" l="1" r="AU20"/>
  <c i="3" r="AU14"/>
  <c i="3" l="1" r="AU19"/>
  <c i="3" r="AU17"/>
  <c i="3" r="AU16"/>
  <c i="3" r="AU15"/>
  <c i="3" r="AU13"/>
  <c i="3" r="AU11"/>
  <c i="3" r="AU10"/>
  <c i="3" r="AU9"/>
  <c i="3" r="AU7"/>
  <c i="3" r="AU5"/>
  <c i="3" r="AU1"/>
  <c i="3" l="1" r="CL3"/>
  <c i="3" r="CL1"/>
  <c i="3" r="CB8"/>
  <c i="3" r="CB7"/>
  <c i="3" r="CB6"/>
  <c i="3" r="CB4"/>
  <c i="3" r="CB3"/>
  <c i="3" r="CB2"/>
  <c i="3" r="AU2"/>
  <c i="3" r="AU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Anurag Tomar</author>
  </authors>
  <commentList>
    <comment authorId="0" ref="A1" shapeId="0" xr:uid="{00000000-0006-0000-0100-000001000000}">
      <text>
        <r>
          <rPr>
            <sz val="11"/>
            <color indexed="8"/>
            <rFont val="Calibri"/>
            <family val="2"/>
          </rPr>
          <t>This is the template version.</t>
        </r>
      </text>
    </comment>
    <comment ref="AX4" authorId="0">
      <text>
        <t xml:space="preserve">Acceptable Values:
1. Armed Forces Service Medal Veteran
2. Disabled Veteran
3. Active Duty Wartime or Campaign Badge Veteran
4. Recently Separated Veteran
5. Decline To Answer
6. Not a Protected Veteran
</t>
      </text>
    </comment>
    <comment ref="AY4" authorId="0">
      <text>
        <t xml:space="preserve">Acceptable Values:
1. Yes
2. No
3. Decline To Answer
</t>
      </text>
    </comment>
    <comment ref="AZ4" authorId="0">
      <text>
        <t xml:space="preserve">Acceptable Values:
1. ExecutiveSenior Level Officials and Managers
2. FirstMid-Level Officials and Managers
3. Professionals
4. Technicians
5. Sales Workers
6. Administrative Support Workers
7. Craft Workers
8. Operatives
9. Laborers and Helpers
10. Service Workers
</t>
      </text>
    </comment>
    <comment ref="BA4" authorId="0">
      <text>
        <t xml:space="preserve">Acceptable Values:
1. Hispanic or Latino
2. White
3. Black or African American
4. Native Hawaiian or Other Pacific Islander
5. American Indian or Alaska Native
6. Asian
7. Two or more races
</t>
      </text>
    </comment>
    <comment ref="BE4" authorId="0">
      <text>
        <t>Acceptable Values: Single Line text up to 256 chars</t>
      </text>
    </comment>
    <comment ref="BF4" authorId="0">
      <text>
        <t>Acceptable Values: Single Line text up to 256 chars</t>
      </text>
    </comment>
    <comment ref="BG4" authorId="0">
      <text>
        <t xml:space="preserve">Acceptable Values:
1. AK
2. AL
3. AR
4. AZ
5. CA
6. CO
7. CT
8. DC
9. DE
10. FL
11. GA
12. HI
13. IA
14. ID
15. IL
16. IN
17. KS
18. KY
19. LA
20. MA
21. MD
22. ME
23. MI
24. MN
25. MO
26. MS
27. MT
28. NC
29. ND
30. NE
31. NH
32. NJ
33. NM
34. NV
35. NY
36. OH
37. OK
38. OR
39. PA
40. RI
41. SC
42. SD
43. TN
44. TX
45. UT
46. VA
47. VT
48. WA
49. WI
50. WV
51. WY
</t>
      </text>
    </comment>
    <comment ref="BH4" authorId="0">
      <text>
        <t>Acceptable values: Date with format MM/DD/YYYY</t>
      </text>
    </comment>
    <comment ref="BI4" authorId="0">
      <text>
        <t>Acceptable values: Date with format MM/DD/YYYY</t>
      </text>
    </comment>
  </commentList>
</comments>
</file>

<file path=xl/sharedStrings.xml><?xml version="1.0" encoding="utf-8"?>
<sst xmlns="http://schemas.openxmlformats.org/spreadsheetml/2006/main" count="150121" uniqueCount="8384">
  <si>
    <t>Employee FirstName</t>
  </si>
  <si>
    <t>Employee Middle Initial</t>
  </si>
  <si>
    <t>Employee LastName</t>
  </si>
  <si>
    <t>Employee Suffix</t>
  </si>
  <si>
    <t>Employee DOB(mm/dd/yyyy)</t>
  </si>
  <si>
    <t>Employee Gender(Male/Female)</t>
  </si>
  <si>
    <t>Employee SSN(XXX-XX-XXXX)</t>
  </si>
  <si>
    <t>Employee ID</t>
  </si>
  <si>
    <t>Status</t>
  </si>
  <si>
    <t>Date of Hire(mm/dd/yyyy)</t>
  </si>
  <si>
    <t>Re-Hired Employee</t>
  </si>
  <si>
    <t>Employment Type</t>
  </si>
  <si>
    <t>Others(Employement-Type)</t>
  </si>
  <si>
    <t>Annual Salary(Digits)</t>
  </si>
  <si>
    <t>Employee Class</t>
  </si>
  <si>
    <t>Preferred Communication Mode</t>
  </si>
  <si>
    <t>Pay Frequency</t>
  </si>
  <si>
    <t>Pay Type</t>
  </si>
  <si>
    <t>Designation</t>
  </si>
  <si>
    <t>Department</t>
  </si>
  <si>
    <t>Personal Email</t>
  </si>
  <si>
    <t>Official Email</t>
  </si>
  <si>
    <t>Phone Number(Digits)</t>
  </si>
  <si>
    <t>Employee Address Line 1</t>
  </si>
  <si>
    <t>Employee Address Line 2</t>
  </si>
  <si>
    <t>City</t>
  </si>
  <si>
    <t>ZIPCODE</t>
  </si>
  <si>
    <t>State(Abbreviation)</t>
  </si>
  <si>
    <t>COUNTY</t>
  </si>
  <si>
    <t>Dependent 1 Prefix</t>
  </si>
  <si>
    <t>Dependent 1 First Name</t>
  </si>
  <si>
    <t>Dependent 1 Middle Initial</t>
  </si>
  <si>
    <t>Dependent 1 Last Name</t>
  </si>
  <si>
    <t>Dependent 1 Suffix</t>
  </si>
  <si>
    <t>Dependent 1 DOB</t>
  </si>
  <si>
    <t>Dependent 1 Gender</t>
  </si>
  <si>
    <t>Dependent 1 tobacco_usage in last 12 months (Y/N)</t>
  </si>
  <si>
    <t>Dependent 1 Relationship</t>
  </si>
  <si>
    <t>Dependent 1 isDisabled (Y/N)</t>
  </si>
  <si>
    <t>Dependent 1 IsMarried(Y/N)</t>
  </si>
  <si>
    <t>Dependent 2 Prefix</t>
  </si>
  <si>
    <t>Dependent 2 First Name</t>
  </si>
  <si>
    <t>Dependent 2 Middle Initial</t>
  </si>
  <si>
    <t>Dependent 2 Last Name</t>
  </si>
  <si>
    <t>Dependent 2 Suffix</t>
  </si>
  <si>
    <t>Dependent 2 DOB</t>
  </si>
  <si>
    <t>Dependent 2 Gender</t>
  </si>
  <si>
    <t>Dependent 2 tobacco_usage in last 12 months (Y/N)</t>
  </si>
  <si>
    <t>Dependent 2 Relationship</t>
  </si>
  <si>
    <t>Dependent 2 isDisabled (Y/N)</t>
  </si>
  <si>
    <t>Dependent 2 IsMarried(Y/N)</t>
  </si>
  <si>
    <t>Dependent 3 Prefix</t>
  </si>
  <si>
    <t>Dependent 3 First Name</t>
  </si>
  <si>
    <t>Dependent 3 Middle Initial</t>
  </si>
  <si>
    <t>Dependent 3 Last Name</t>
  </si>
  <si>
    <t>Dependent 3 Suffix</t>
  </si>
  <si>
    <t>Dependent 3 DOB</t>
  </si>
  <si>
    <t>Dependent 3 Gender</t>
  </si>
  <si>
    <t>Dependent 3 tobacco_usage in last 12 months (Y/N)</t>
  </si>
  <si>
    <t>Dependent 3 Relationship</t>
  </si>
  <si>
    <t>Dependent 3 isDisabled (Y/N)</t>
  </si>
  <si>
    <t>Dependent 3 IsMarried(Y/N)</t>
  </si>
  <si>
    <t>Custom Field</t>
  </si>
  <si>
    <t>Prefix</t>
  </si>
  <si>
    <t>O</t>
  </si>
  <si>
    <t>Drop down</t>
  </si>
  <si>
    <t>Mr., Miss, Mrs., Ms., Dr.</t>
  </si>
  <si>
    <t>NA</t>
  </si>
  <si>
    <t>Field Name</t>
  </si>
  <si>
    <t>Mandatory/ Optional</t>
  </si>
  <si>
    <t>Field Type</t>
  </si>
  <si>
    <t>Data Type</t>
  </si>
  <si>
    <t>Business Rules</t>
  </si>
  <si>
    <t>Minimum Length</t>
  </si>
  <si>
    <t>Maximum Length</t>
  </si>
  <si>
    <t>Messages</t>
  </si>
  <si>
    <t>M</t>
  </si>
  <si>
    <t>Should be mandatory during registration and e-app</t>
  </si>
  <si>
    <t>Please enter your First Name upto 35 characters</t>
  </si>
  <si>
    <t>Text box</t>
  </si>
  <si>
    <t>Should be a single charecter in capital letters. Eg. M</t>
  </si>
  <si>
    <t>Should be non-mandatory at all places</t>
  </si>
  <si>
    <t>Free text including special characters</t>
  </si>
  <si>
    <t>Please enter your Last Name upto 60 characters</t>
  </si>
  <si>
    <t>Jr., Sr., I, II, III</t>
  </si>
  <si>
    <t>Calender</t>
  </si>
  <si>
    <t>Upto 120 years of age (MM-DD-YYYY)</t>
  </si>
  <si>
    <t>Please enter a valid Date of Birth</t>
  </si>
  <si>
    <t>Radio button</t>
  </si>
  <si>
    <t>M/ F</t>
  </si>
  <si>
    <t>Please select a Gender</t>
  </si>
  <si>
    <t>NNN-NN-NNNN</t>
  </si>
  <si>
    <t>Please enter a valid 9 digit SSN</t>
  </si>
  <si>
    <t>Yes/ No</t>
  </si>
  <si>
    <t>Please Select a valid Option</t>
  </si>
  <si>
    <t>Please Enter a valid Employee ID</t>
  </si>
  <si>
    <t>Active/ Terminated</t>
  </si>
  <si>
    <t>Please Select a valid Employee Status</t>
  </si>
  <si>
    <t>MM-DD-YYYY</t>
  </si>
  <si>
    <t>Date of Hire cannot be prior to Employer's year of Incorporation.</t>
  </si>
  <si>
    <t>Please Select a valid Date</t>
  </si>
  <si>
    <t>Radio Button</t>
  </si>
  <si>
    <t>Indicates if an employee is a new hire.</t>
  </si>
  <si>
    <t>Full Time/ Part Time/ Others</t>
  </si>
  <si>
    <t>C</t>
  </si>
  <si>
    <t>Numeric</t>
  </si>
  <si>
    <t>M and appears if Paytype is hourly. Value between 0.25 and 40.</t>
  </si>
  <si>
    <t>Please Enter valid Working hours per week</t>
  </si>
  <si>
    <t>M and appears if Employment Type is Others.</t>
  </si>
  <si>
    <t>Please Enter a valid Employment Type</t>
  </si>
  <si>
    <t>M and appears if Paytype Type is Salaried.</t>
  </si>
  <si>
    <t>Please Enter a valid Annual Salary</t>
  </si>
  <si>
    <t>Values appear based on the created classes by the employer. In no value is selected, default class is assigned.</t>
  </si>
  <si>
    <t>Weekly/ Monthly/ Bi-Weekly/ Semi-Weekly</t>
  </si>
  <si>
    <t>Dropdown with Multiple selection allowed. Atleast one criteria is required.</t>
  </si>
  <si>
    <t>Please select all applicable Pay Schedule</t>
  </si>
  <si>
    <t>Salaried/ Hourly</t>
  </si>
  <si>
    <t>Please select all applicable Pay Type</t>
  </si>
  <si>
    <t>Values appear based on the Designation values in the existing roster. At least one value is required.</t>
  </si>
  <si>
    <t>Please select all applicable Designations</t>
  </si>
  <si>
    <t>Email ID should contain "@" and "."</t>
  </si>
  <si>
    <t>Please Enter a Valid email</t>
  </si>
  <si>
    <t>Please enter Phone number in 10 digits</t>
  </si>
  <si>
    <t>Please enter Address 1 upto 55 characters</t>
  </si>
  <si>
    <t>Should not be similar to Address Line 1</t>
  </si>
  <si>
    <t>Please enter Address 2 upto 55 characters and should be different from Address 1</t>
  </si>
  <si>
    <t>Please provide City</t>
  </si>
  <si>
    <t>5-digits only, leading zeros is allowed</t>
  </si>
  <si>
    <t>Please provide 5-digits valid ZipCode</t>
  </si>
  <si>
    <t>Should be populated as per ZipCode selection by user</t>
  </si>
  <si>
    <t>Should be populated as per ZipCode entered by user</t>
  </si>
  <si>
    <t>Please provide County</t>
  </si>
  <si>
    <t>M and appears if Paytype is hourly.</t>
  </si>
  <si>
    <t>Any custom field that can be added/ deleted</t>
  </si>
  <si>
    <t>Spouse
Child
Domestic Partner 
Other dependent</t>
  </si>
  <si>
    <t>Note: 1. User can add more than one custom fields/ delete those custom fields.
2. User can add more than one complete set of dependents/ delete those.</t>
  </si>
  <si>
    <t>Middle Initial</t>
  </si>
  <si>
    <t>Suffix</t>
  </si>
  <si>
    <t>Dependent_Format</t>
  </si>
  <si>
    <t>Dependent_Val</t>
  </si>
  <si>
    <r>
      <t>Pay Type</t>
    </r>
    <r>
      <rPr>
        <b/>
        <sz val="10"/>
        <color rgb="FFFF0000"/>
        <rFont val="Calibri"/>
        <family val="2"/>
      </rPr>
      <t>*</t>
    </r>
  </si>
  <si>
    <r>
      <t>Official Email</t>
    </r>
    <r>
      <rPr>
        <b/>
        <sz val="10"/>
        <color rgb="FFFF0000"/>
        <rFont val="Calibri"/>
        <family val="2"/>
      </rPr>
      <t>*</t>
    </r>
  </si>
  <si>
    <r>
      <t>City</t>
    </r>
    <r>
      <rPr>
        <b/>
        <sz val="10"/>
        <color rgb="FFFF0000"/>
        <rFont val="Calibri"/>
        <family val="2"/>
      </rPr>
      <t>*</t>
    </r>
  </si>
  <si>
    <r>
      <t>State(Abbreviation)</t>
    </r>
    <r>
      <rPr>
        <b/>
        <sz val="10"/>
        <color rgb="FFFF0000"/>
        <rFont val="Calibri"/>
        <family val="2"/>
      </rPr>
      <t>*</t>
    </r>
  </si>
  <si>
    <t>Data Starts From</t>
  </si>
  <si>
    <t>Column Heading Row No.</t>
  </si>
  <si>
    <t>Insert Custom Column From Column No.</t>
  </si>
  <si>
    <t>Col_No_Insert</t>
  </si>
  <si>
    <t>Data_Starts</t>
  </si>
  <si>
    <t>Col_Heading</t>
  </si>
  <si>
    <t>Custom_Add_Row</t>
  </si>
  <si>
    <t>Custom Benefits Add Row No.</t>
  </si>
  <si>
    <t>hcentivephix</t>
  </si>
  <si>
    <t>Protection Password</t>
  </si>
  <si>
    <t>Format_Heading_Copy_Paste</t>
  </si>
  <si>
    <r>
      <t>Date of Hire</t>
    </r>
    <r>
      <rPr>
        <b/>
        <sz val="10"/>
        <color rgb="FFFF0000"/>
        <rFont val="Calibri"/>
        <family val="2"/>
      </rPr>
      <t>*</t>
    </r>
  </si>
  <si>
    <r>
      <t>First Name</t>
    </r>
    <r>
      <rPr>
        <b/>
        <sz val="10"/>
        <color rgb="FFFF0000"/>
        <rFont val="Calibri"/>
        <family val="2"/>
      </rPr>
      <t>*</t>
    </r>
  </si>
  <si>
    <r>
      <t>Last Name</t>
    </r>
    <r>
      <rPr>
        <b/>
        <sz val="10"/>
        <color rgb="FFFF0000"/>
        <rFont val="Calibri"/>
        <family val="2"/>
      </rPr>
      <t>*</t>
    </r>
  </si>
  <si>
    <r>
      <t>DOB</t>
    </r>
    <r>
      <rPr>
        <b/>
        <sz val="10"/>
        <color rgb="FFFF0000"/>
        <rFont val="Calibri"/>
        <family val="2"/>
      </rPr>
      <t>*</t>
    </r>
  </si>
  <si>
    <r>
      <t>Gender</t>
    </r>
    <r>
      <rPr>
        <b/>
        <sz val="10"/>
        <color rgb="FFFF0000"/>
        <rFont val="Calibri"/>
        <family val="2"/>
      </rPr>
      <t>*</t>
    </r>
  </si>
  <si>
    <r>
      <t>Relationship</t>
    </r>
    <r>
      <rPr>
        <b/>
        <sz val="10"/>
        <color rgb="FFFF0000"/>
        <rFont val="Calibri"/>
        <family val="2"/>
      </rPr>
      <t>*</t>
    </r>
  </si>
  <si>
    <t>Is Disabled</t>
  </si>
  <si>
    <t>State_Codes</t>
  </si>
  <si>
    <t>State</t>
  </si>
  <si>
    <t>County</t>
  </si>
  <si>
    <t>State_City_Data</t>
  </si>
  <si>
    <t>State_Criteria</t>
  </si>
  <si>
    <t>City_Unique</t>
  </si>
  <si>
    <t>Cell Address</t>
  </si>
  <si>
    <t>Error Description</t>
  </si>
  <si>
    <t>Error_Sheet_Format_Copy</t>
  </si>
  <si>
    <t>AK</t>
  </si>
  <si>
    <t>City_Unique_Val</t>
  </si>
  <si>
    <t>AL</t>
  </si>
  <si>
    <t>Unique_County_Copy</t>
  </si>
  <si>
    <t>AR</t>
  </si>
  <si>
    <t>lrow_lcol_search_range</t>
  </si>
  <si>
    <t>AZ</t>
  </si>
  <si>
    <t>CA</t>
  </si>
  <si>
    <t>CO</t>
  </si>
  <si>
    <t>CT</t>
  </si>
  <si>
    <t>DC</t>
  </si>
  <si>
    <t>DE</t>
  </si>
  <si>
    <t>FL</t>
  </si>
  <si>
    <t>GA</t>
  </si>
  <si>
    <t>HI</t>
  </si>
  <si>
    <t>IA</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</si>
  <si>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</si>
  <si>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</si>
  <si>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</si>
  <si>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</si>
  <si>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</si>
  <si>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</si>
  <si>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</si>
  <si>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</si>
  <si>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</si>
  <si>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</si>
  <si>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</si>
  <si>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</si>
  <si>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</si>
  <si>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</si>
  <si>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</si>
  <si>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</si>
  <si>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</si>
  <si>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</si>
  <si>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</si>
  <si>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</si>
  <si>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</si>
  <si>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</si>
  <si>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</si>
  <si>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</si>
  <si>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</si>
  <si>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</si>
  <si>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</si>
  <si>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</si>
  <si>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</si>
  <si>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</si>
  <si>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</si>
  <si>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</si>
  <si>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</si>
  <si>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</si>
  <si>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</si>
  <si>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</si>
  <si>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</si>
  <si>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</si>
  <si>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State Validation Column Number</t>
  </si>
  <si>
    <t>State_Val_Col_Num</t>
  </si>
  <si>
    <t>L_Row and L_Col Search Range</t>
  </si>
  <si>
    <r>
      <t xml:space="preserve"> Employee ID</t>
    </r>
    <r>
      <rPr>
        <b/>
        <sz val="10"/>
        <color rgb="FFFF0000"/>
        <rFont val="Calibri"/>
        <family val="2"/>
      </rPr>
      <t>*</t>
    </r>
  </si>
  <si>
    <r>
      <t>Zipcode</t>
    </r>
    <r>
      <rPr>
        <b/>
        <sz val="10"/>
        <color rgb="FFFF0000"/>
        <rFont val="Calibri"/>
        <family val="2"/>
      </rPr>
      <t>*</t>
    </r>
  </si>
  <si>
    <t>Employee Prefix</t>
  </si>
  <si>
    <t>Is Married</t>
  </si>
  <si>
    <r>
      <t>Employment
Status</t>
    </r>
    <r>
      <rPr>
        <b/>
        <sz val="10"/>
        <color rgb="FFFF0000"/>
        <rFont val="Calibri"/>
        <family val="2"/>
      </rPr>
      <t>*</t>
    </r>
  </si>
  <si>
    <t>Employment_Type</t>
  </si>
  <si>
    <t>Employment Type Column Number</t>
  </si>
  <si>
    <t>Validation Fill Range</t>
  </si>
  <si>
    <t>Validation_Fill_Range</t>
  </si>
  <si>
    <t>Dependent_3</t>
  </si>
  <si>
    <t>Others (Employement-Type)* (Col No.)</t>
  </si>
  <si>
    <t>Oth_Employement_Type</t>
  </si>
  <si>
    <t>Termination Date</t>
  </si>
  <si>
    <t>Termination Reason</t>
  </si>
  <si>
    <t>Employment Status* Col No</t>
  </si>
  <si>
    <t>Termination Date Col No</t>
  </si>
  <si>
    <t>Termination Type Col No</t>
  </si>
  <si>
    <t>Employment_Status_ColNo</t>
  </si>
  <si>
    <t>Termination_Date_Col_No</t>
  </si>
  <si>
    <t>Termination_Type_Col_No</t>
  </si>
  <si>
    <t>Termination_Reason</t>
  </si>
  <si>
    <t>Working_Hours_per_Week</t>
  </si>
  <si>
    <t>COUNTY* Col No</t>
  </si>
  <si>
    <t>State_County</t>
  </si>
  <si>
    <t>How to use this template.</t>
  </si>
  <si>
    <t>Pay Type* Column Number</t>
  </si>
  <si>
    <t>Pay Frequency* Column Number</t>
  </si>
  <si>
    <t>Pay_Frequency_ColNo</t>
  </si>
  <si>
    <t>Pay_Type_ColNo</t>
  </si>
  <si>
    <t>Dependent_5</t>
  </si>
  <si>
    <t>Dependent_Format_Alter</t>
  </si>
  <si>
    <t>Job Title</t>
  </si>
  <si>
    <t>Dependent*Prefix</t>
  </si>
  <si>
    <t>Search Column</t>
  </si>
  <si>
    <t>Dep_FirstCol_Search</t>
  </si>
  <si>
    <t>Instructions</t>
  </si>
  <si>
    <r>
      <t>Employee Last Name</t>
    </r>
    <r>
      <rPr>
        <b/>
        <sz val="10"/>
        <color rgb="FFFF0000"/>
        <rFont val="Calibri"/>
        <family val="2"/>
      </rPr>
      <t>*</t>
    </r>
  </si>
  <si>
    <r>
      <t>Employee First Name</t>
    </r>
    <r>
      <rPr>
        <b/>
        <sz val="10"/>
        <color rgb="FFFF0000"/>
        <rFont val="Calibri"/>
        <family val="2"/>
      </rPr>
      <t>*</t>
    </r>
  </si>
  <si>
    <r>
      <t>Employee Date of Birth</t>
    </r>
    <r>
      <rPr>
        <b/>
        <sz val="10"/>
        <color rgb="FFFF0000"/>
        <rFont val="Calibri"/>
        <family val="2"/>
      </rPr>
      <t>*</t>
    </r>
  </si>
  <si>
    <t>Employee SSN</t>
  </si>
  <si>
    <t xml:space="preserve"> Employee Gender</t>
  </si>
  <si>
    <t xml:space="preserve"> =MATCH("Termination Type",'Employee Details'!$A$4:$AG$4,0)</t>
  </si>
  <si>
    <t>Custom_CopyPaste</t>
  </si>
  <si>
    <t>Custom_CopyPaste_Validation</t>
  </si>
  <si>
    <t>Column Name</t>
  </si>
  <si>
    <t>Column Number</t>
  </si>
  <si>
    <t>Custom Formatting</t>
  </si>
  <si>
    <t>Check Formula</t>
  </si>
  <si>
    <t>Condition Symbel</t>
  </si>
  <si>
    <t>Condition Value</t>
  </si>
  <si>
    <t>Conversion_Range</t>
  </si>
  <si>
    <t>Employee Date of Birth*</t>
  </si>
  <si>
    <t>mm\/dd\/yyyy</t>
  </si>
  <si>
    <t>Isdate</t>
  </si>
  <si>
    <t>Date of Hire*</t>
  </si>
  <si>
    <t>0.00</t>
  </si>
  <si>
    <t>Isnumber</t>
  </si>
  <si>
    <t>&lt;=</t>
  </si>
  <si>
    <t>General</t>
  </si>
  <si>
    <t>Dependent*DOB*</t>
  </si>
  <si>
    <t>Depen_Conversion_Range</t>
  </si>
  <si>
    <t>Employee SSN (Col No)</t>
  </si>
  <si>
    <t>Employee_SSN</t>
  </si>
  <si>
    <t>HourlyPayRate</t>
  </si>
  <si>
    <t>Depen_FirstPrefixColNo</t>
  </si>
  <si>
    <t>AS</t>
  </si>
  <si>
    <t>FM</t>
  </si>
  <si>
    <t>GU</t>
  </si>
  <si>
    <t>MH</t>
  </si>
  <si>
    <t>MP</t>
  </si>
  <si>
    <t>PR</t>
  </si>
  <si>
    <t>PW</t>
  </si>
  <si>
    <t>VI</t>
  </si>
  <si>
    <t>ALEUTIANS EAST</t>
  </si>
  <si>
    <t>ALEUTIANS WEST</t>
  </si>
  <si>
    <t>ANCHORAGE</t>
  </si>
  <si>
    <t>BETHEL</t>
  </si>
  <si>
    <t>BRISTOL BAY</t>
  </si>
  <si>
    <t>DENALI</t>
  </si>
  <si>
    <t>DILLINGHAM</t>
  </si>
  <si>
    <t>FAIRBANKS NORTH STAR</t>
  </si>
  <si>
    <t>HAINES</t>
  </si>
  <si>
    <t>HOONAH ANGOON</t>
  </si>
  <si>
    <t>JUNEAU</t>
  </si>
  <si>
    <t>KENAI PENINSULA</t>
  </si>
  <si>
    <t>KETCHIKAN GATEWAY</t>
  </si>
  <si>
    <t>KODIAK ISLAND</t>
  </si>
  <si>
    <t>LAKE AND PENINSULA</t>
  </si>
  <si>
    <t>MATANUSKA SUSITNA</t>
  </si>
  <si>
    <t>NOME</t>
  </si>
  <si>
    <t>NORTH SLOPE</t>
  </si>
  <si>
    <t>NORTHWEST ARCTIC</t>
  </si>
  <si>
    <t>PETERSBURG</t>
  </si>
  <si>
    <t>PRINCE OF WALES HYDER</t>
  </si>
  <si>
    <t>SITKA</t>
  </si>
  <si>
    <t>SKAGWAY</t>
  </si>
  <si>
    <t>SOUTHEAST FAIRBANKS</t>
  </si>
  <si>
    <t>VALDEZ CORDOVA</t>
  </si>
  <si>
    <t>WADE HAMPTON</t>
  </si>
  <si>
    <t>WRANGELL</t>
  </si>
  <si>
    <t>YAKUTAT</t>
  </si>
  <si>
    <t>YUKON KOYUKUK</t>
  </si>
  <si>
    <t>AUTAUGA</t>
  </si>
  <si>
    <t>BALDWIN</t>
  </si>
  <si>
    <t>BARBOUR</t>
  </si>
  <si>
    <t>BIBB</t>
  </si>
  <si>
    <t>BLOUNT</t>
  </si>
  <si>
    <t>BULLOCK</t>
  </si>
  <si>
    <t>BUTLER</t>
  </si>
  <si>
    <t>CALHOUN</t>
  </si>
  <si>
    <t>CHAMBERS</t>
  </si>
  <si>
    <t>CHEROKEE</t>
  </si>
  <si>
    <t>CHILTON</t>
  </si>
  <si>
    <t>CHOCTAW</t>
  </si>
  <si>
    <t>CLARKE</t>
  </si>
  <si>
    <t>CLAY</t>
  </si>
  <si>
    <t>CLEBURNE</t>
  </si>
  <si>
    <t>COFFEE</t>
  </si>
  <si>
    <t>COLBERT</t>
  </si>
  <si>
    <t>CONECUH</t>
  </si>
  <si>
    <t>COOSA</t>
  </si>
  <si>
    <t>COVINGTON</t>
  </si>
  <si>
    <t>CRENSHAW</t>
  </si>
  <si>
    <t>CULLMAN</t>
  </si>
  <si>
    <t>DALE</t>
  </si>
  <si>
    <t>DALLAS</t>
  </si>
  <si>
    <t>DE KALB</t>
  </si>
  <si>
    <t>ELMORE</t>
  </si>
  <si>
    <t>ESCAMBIA</t>
  </si>
  <si>
    <t>ETOWAH</t>
  </si>
  <si>
    <t>FAYETTE</t>
  </si>
  <si>
    <t>FRANKLIN</t>
  </si>
  <si>
    <t>GENEVA</t>
  </si>
  <si>
    <t>GREENE</t>
  </si>
  <si>
    <t>HALE</t>
  </si>
  <si>
    <t>HENRY</t>
  </si>
  <si>
    <t>HOUSTON</t>
  </si>
  <si>
    <t>JACKSON</t>
  </si>
  <si>
    <t>JEFFERSON</t>
  </si>
  <si>
    <t>LAMAR</t>
  </si>
  <si>
    <t>LAUDERDALE</t>
  </si>
  <si>
    <t>LAWRENCE</t>
  </si>
  <si>
    <t>LEE</t>
  </si>
  <si>
    <t>LIMESTONE</t>
  </si>
  <si>
    <t>LOWNDES</t>
  </si>
  <si>
    <t>MACON</t>
  </si>
  <si>
    <t>MADISON</t>
  </si>
  <si>
    <t>MARENGO</t>
  </si>
  <si>
    <t>MARION</t>
  </si>
  <si>
    <t>MARSHALL</t>
  </si>
  <si>
    <t>MOBILE</t>
  </si>
  <si>
    <t>MONROE</t>
  </si>
  <si>
    <t>MONTGOMERY</t>
  </si>
  <si>
    <t>MORGAN</t>
  </si>
  <si>
    <t>PERRY</t>
  </si>
  <si>
    <t>PICKENS</t>
  </si>
  <si>
    <t>PIKE</t>
  </si>
  <si>
    <t>RANDOLPH</t>
  </si>
  <si>
    <t>RUSSELL</t>
  </si>
  <si>
    <t>SAINT CLAIR</t>
  </si>
  <si>
    <t>SHELBY</t>
  </si>
  <si>
    <t>SUMTER</t>
  </si>
  <si>
    <t>TALLADEGA</t>
  </si>
  <si>
    <t>TALLAPOOSA</t>
  </si>
  <si>
    <t>TUSCALOOSA</t>
  </si>
  <si>
    <t>WALKER</t>
  </si>
  <si>
    <t>WASHINGTON</t>
  </si>
  <si>
    <t>WILCOX</t>
  </si>
  <si>
    <t>WINSTON</t>
  </si>
  <si>
    <t>ARKANSAS</t>
  </si>
  <si>
    <t>ASHLEY</t>
  </si>
  <si>
    <t>BAXTER</t>
  </si>
  <si>
    <t>BENTON</t>
  </si>
  <si>
    <t>BOONE</t>
  </si>
  <si>
    <t>BRADLEY</t>
  </si>
  <si>
    <t>CARROLL</t>
  </si>
  <si>
    <t>CHICOT</t>
  </si>
  <si>
    <t>CLARK</t>
  </si>
  <si>
    <t>CLEVELAND</t>
  </si>
  <si>
    <t>COLUMBIA</t>
  </si>
  <si>
    <t>CONWAY</t>
  </si>
  <si>
    <t>CRAIGHEAD</t>
  </si>
  <si>
    <t>CRAWFORD</t>
  </si>
  <si>
    <t>CRITTENDEN</t>
  </si>
  <si>
    <t>CROSS</t>
  </si>
  <si>
    <t>DESHA</t>
  </si>
  <si>
    <t>DREW</t>
  </si>
  <si>
    <t>FAULKNER</t>
  </si>
  <si>
    <t>FULTON</t>
  </si>
  <si>
    <t>GARLAND</t>
  </si>
  <si>
    <t>GRANT</t>
  </si>
  <si>
    <t>HEMPSTEAD</t>
  </si>
  <si>
    <t>HOT SPRING</t>
  </si>
  <si>
    <t>HOWARD</t>
  </si>
  <si>
    <t>INDEPENDENCE</t>
  </si>
  <si>
    <t>IZARD</t>
  </si>
  <si>
    <t>JOHNSON</t>
  </si>
  <si>
    <t>LAFAYETTE</t>
  </si>
  <si>
    <t>LINCOLN</t>
  </si>
  <si>
    <t>LITTLE RIVER</t>
  </si>
  <si>
    <t>LOGAN</t>
  </si>
  <si>
    <t>LONOKE</t>
  </si>
  <si>
    <t>MILLER</t>
  </si>
  <si>
    <t>MISSISSIPPI</t>
  </si>
  <si>
    <t>NEVADA</t>
  </si>
  <si>
    <t>NEWTON</t>
  </si>
  <si>
    <t>OUACHITA</t>
  </si>
  <si>
    <t>PHILLIPS</t>
  </si>
  <si>
    <t>POINSETT</t>
  </si>
  <si>
    <t>POLK</t>
  </si>
  <si>
    <t>POPE</t>
  </si>
  <si>
    <t>PRAIRIE</t>
  </si>
  <si>
    <t>PULASKI</t>
  </si>
  <si>
    <t>SAINT FRANCIS</t>
  </si>
  <si>
    <t>SALINE</t>
  </si>
  <si>
    <t>SCOTT</t>
  </si>
  <si>
    <t>SEARCY</t>
  </si>
  <si>
    <t>SEBASTIAN</t>
  </si>
  <si>
    <t>SEVIER</t>
  </si>
  <si>
    <t>SHARP</t>
  </si>
  <si>
    <t>STONE</t>
  </si>
  <si>
    <t>UNION</t>
  </si>
  <si>
    <t>VAN BUREN</t>
  </si>
  <si>
    <t>WHITE</t>
  </si>
  <si>
    <t>WOODRUFF</t>
  </si>
  <si>
    <t>YELL</t>
  </si>
  <si>
    <t>HAWAII</t>
  </si>
  <si>
    <t>APACHE</t>
  </si>
  <si>
    <t>COCHISE</t>
  </si>
  <si>
    <t>COCONINO</t>
  </si>
  <si>
    <t>GILA</t>
  </si>
  <si>
    <t>GRAHAM</t>
  </si>
  <si>
    <t>GREENLEE</t>
  </si>
  <si>
    <t>LA PAZ</t>
  </si>
  <si>
    <t>MARICOPA</t>
  </si>
  <si>
    <t>MOHAVE</t>
  </si>
  <si>
    <t>NAVAJO</t>
  </si>
  <si>
    <t>PIMA</t>
  </si>
  <si>
    <t>PINAL</t>
  </si>
  <si>
    <t>SANTA CRUZ</t>
  </si>
  <si>
    <t>YAVAPAI</t>
  </si>
  <si>
    <t>YUMA</t>
  </si>
  <si>
    <t>ALAMEDA</t>
  </si>
  <si>
    <t>ALPINE</t>
  </si>
  <si>
    <t>AMADOR</t>
  </si>
  <si>
    <t>BUTTE</t>
  </si>
  <si>
    <t>CALAVERAS</t>
  </si>
  <si>
    <t>COLUSA</t>
  </si>
  <si>
    <t>CONTRA COSTA</t>
  </si>
  <si>
    <t>DEL NORTE</t>
  </si>
  <si>
    <t>EL DORADO</t>
  </si>
  <si>
    <t>FRESNO</t>
  </si>
  <si>
    <t>GLENN</t>
  </si>
  <si>
    <t>HUMBOLDT</t>
  </si>
  <si>
    <t>IMPERIAL</t>
  </si>
  <si>
    <t>INYO</t>
  </si>
  <si>
    <t>KERN</t>
  </si>
  <si>
    <t>KINGS</t>
  </si>
  <si>
    <t>LAKE</t>
  </si>
  <si>
    <t>LASSEN</t>
  </si>
  <si>
    <t>LOS ANGELES</t>
  </si>
  <si>
    <t>MADERA</t>
  </si>
  <si>
    <t>MARIN</t>
  </si>
  <si>
    <t>MARIPOSA</t>
  </si>
  <si>
    <t>MENDOCINO</t>
  </si>
  <si>
    <t>MERCED</t>
  </si>
  <si>
    <t>MODOC</t>
  </si>
  <si>
    <t>MONO</t>
  </si>
  <si>
    <t>MONTEREY</t>
  </si>
  <si>
    <t>NAPA</t>
  </si>
  <si>
    <t>ORANGE</t>
  </si>
  <si>
    <t>PLACER</t>
  </si>
  <si>
    <t>PLUMAS</t>
  </si>
  <si>
    <t>RIVERSIDE</t>
  </si>
  <si>
    <t>SACRAMENTO</t>
  </si>
  <si>
    <t>SAN BENITO</t>
  </si>
  <si>
    <t>SAN BERNARDINO</t>
  </si>
  <si>
    <t>SAN DIEGO</t>
  </si>
  <si>
    <t>SAN FRANCISCO</t>
  </si>
  <si>
    <t>SAN JOAQUIN</t>
  </si>
  <si>
    <t>SAN LUIS OBISPO</t>
  </si>
  <si>
    <t>SAN MATEO</t>
  </si>
  <si>
    <t>SANTA BARBARA</t>
  </si>
  <si>
    <t>SANTA CLARA</t>
  </si>
  <si>
    <t>SHASTA</t>
  </si>
  <si>
    <t>SIERRA</t>
  </si>
  <si>
    <t>SISKIYOU</t>
  </si>
  <si>
    <t>SOLANO</t>
  </si>
  <si>
    <t>SONOMA</t>
  </si>
  <si>
    <t>STANISLAUS</t>
  </si>
  <si>
    <t>SUTTER</t>
  </si>
  <si>
    <t>TEHAMA</t>
  </si>
  <si>
    <t>TRINITY</t>
  </si>
  <si>
    <t>TULARE</t>
  </si>
  <si>
    <t>TUOLUMNE</t>
  </si>
  <si>
    <t>VENTURA</t>
  </si>
  <si>
    <t>YOLO</t>
  </si>
  <si>
    <t>YUBA</t>
  </si>
  <si>
    <t>ADAMS</t>
  </si>
  <si>
    <t>ALAMOSA</t>
  </si>
  <si>
    <t>ARAPAHOE</t>
  </si>
  <si>
    <t>ARCHULETA</t>
  </si>
  <si>
    <t>BACA</t>
  </si>
  <si>
    <t>BENT</t>
  </si>
  <si>
    <t>BOULDER</t>
  </si>
  <si>
    <t>BROOMFIELD</t>
  </si>
  <si>
    <t>CHAFFEE</t>
  </si>
  <si>
    <t>CHEYENNE</t>
  </si>
  <si>
    <t>CLEAR CREEK</t>
  </si>
  <si>
    <t>CONEJOS</t>
  </si>
  <si>
    <t>COSTILLA</t>
  </si>
  <si>
    <t>CROWLEY</t>
  </si>
  <si>
    <t>CUSTER</t>
  </si>
  <si>
    <t>DELTA</t>
  </si>
  <si>
    <t>DENVER</t>
  </si>
  <si>
    <t>DOLORES</t>
  </si>
  <si>
    <t>DOUGLAS</t>
  </si>
  <si>
    <t>EAGLE</t>
  </si>
  <si>
    <t>EL PASO</t>
  </si>
  <si>
    <t>ELBERT</t>
  </si>
  <si>
    <t>FREMONT</t>
  </si>
  <si>
    <t>GARFIELD</t>
  </si>
  <si>
    <t>GILPIN</t>
  </si>
  <si>
    <t>GRAND</t>
  </si>
  <si>
    <t>GUNNISON</t>
  </si>
  <si>
    <t>HINSDALE</t>
  </si>
  <si>
    <t>HUERFANO</t>
  </si>
  <si>
    <t>KIOWA</t>
  </si>
  <si>
    <t>KIT CARSON</t>
  </si>
  <si>
    <t>LA PLATA</t>
  </si>
  <si>
    <t>LARIMER</t>
  </si>
  <si>
    <t>LAS ANIMAS</t>
  </si>
  <si>
    <t>MESA</t>
  </si>
  <si>
    <t>MINERAL</t>
  </si>
  <si>
    <t>MOFFAT</t>
  </si>
  <si>
    <t>MONTEZUMA</t>
  </si>
  <si>
    <t>MONTROSE</t>
  </si>
  <si>
    <t>OTERO</t>
  </si>
  <si>
    <t>OURAY</t>
  </si>
  <si>
    <t>PARK</t>
  </si>
  <si>
    <t>PITKIN</t>
  </si>
  <si>
    <t>PROWERS</t>
  </si>
  <si>
    <t>PUEBLO</t>
  </si>
  <si>
    <t>RIO BLANCO</t>
  </si>
  <si>
    <t>RIO GRANDE</t>
  </si>
  <si>
    <t>ROUTT</t>
  </si>
  <si>
    <t>SAGUACHE</t>
  </si>
  <si>
    <t>SAN JUAN</t>
  </si>
  <si>
    <t>SAN MIGUEL</t>
  </si>
  <si>
    <t>SEDGWICK</t>
  </si>
  <si>
    <t>SUMMIT</t>
  </si>
  <si>
    <t>TELLER</t>
  </si>
  <si>
    <t>WELD</t>
  </si>
  <si>
    <t>FAIRFIELD</t>
  </si>
  <si>
    <t>HARTFORD</t>
  </si>
  <si>
    <t>LITCHFIELD</t>
  </si>
  <si>
    <t>MIDDLESEX</t>
  </si>
  <si>
    <t>NEW HAVEN</t>
  </si>
  <si>
    <t>NEW LONDON</t>
  </si>
  <si>
    <t>TOLLAND</t>
  </si>
  <si>
    <t>WINDHAM</t>
  </si>
  <si>
    <t>DISTRICT OF COLUMBIA</t>
  </si>
  <si>
    <t>KENT</t>
  </si>
  <si>
    <t>NEW CASTLE</t>
  </si>
  <si>
    <t>SUSSEX</t>
  </si>
  <si>
    <t>ALACHUA</t>
  </si>
  <si>
    <t>BAKER</t>
  </si>
  <si>
    <t>BAY</t>
  </si>
  <si>
    <t>BRADFORD</t>
  </si>
  <si>
    <t>BREVARD</t>
  </si>
  <si>
    <t>BROWARD</t>
  </si>
  <si>
    <t>CHARLOTTE</t>
  </si>
  <si>
    <t>CITRUS</t>
  </si>
  <si>
    <t>COLLIER</t>
  </si>
  <si>
    <t>DE SOTO</t>
  </si>
  <si>
    <t>DIXIE</t>
  </si>
  <si>
    <t>DUVAL</t>
  </si>
  <si>
    <t>FLAGLER</t>
  </si>
  <si>
    <t>GADSDEN</t>
  </si>
  <si>
    <t>GILCHRIST</t>
  </si>
  <si>
    <t>GLADES</t>
  </si>
  <si>
    <t>GULF</t>
  </si>
  <si>
    <t>HAMILTON</t>
  </si>
  <si>
    <t>HARDEE</t>
  </si>
  <si>
    <t>HENDRY</t>
  </si>
  <si>
    <t>HERNANDO</t>
  </si>
  <si>
    <t>HIGHLANDS</t>
  </si>
  <si>
    <t>HILLSBOROUGH</t>
  </si>
  <si>
    <t>HOLMES</t>
  </si>
  <si>
    <t>INDIAN RIVER</t>
  </si>
  <si>
    <t>LEON</t>
  </si>
  <si>
    <t>LEVY</t>
  </si>
  <si>
    <t>LIBERTY</t>
  </si>
  <si>
    <t>MANATEE</t>
  </si>
  <si>
    <t>MARTIN</t>
  </si>
  <si>
    <t>MIAMI-DADE</t>
  </si>
  <si>
    <t>NASSAU</t>
  </si>
  <si>
    <t>OKALOOSA</t>
  </si>
  <si>
    <t>OKEECHOBEE</t>
  </si>
  <si>
    <t>OSCEOLA</t>
  </si>
  <si>
    <t>PALM BEACH</t>
  </si>
  <si>
    <t>PASCO</t>
  </si>
  <si>
    <t>PINELLAS</t>
  </si>
  <si>
    <t>PUTNAM</t>
  </si>
  <si>
    <t>SAINT JOHNS</t>
  </si>
  <si>
    <t>SAINT LUCIE</t>
  </si>
  <si>
    <t>SANTA ROSA</t>
  </si>
  <si>
    <t>SARASOTA</t>
  </si>
  <si>
    <t>SEMINOLE</t>
  </si>
  <si>
    <t>SUWANNEE</t>
  </si>
  <si>
    <t>TAYLOR</t>
  </si>
  <si>
    <t>VOLUSIA</t>
  </si>
  <si>
    <t>WAKULLA</t>
  </si>
  <si>
    <t>WALTON</t>
  </si>
  <si>
    <t>FEDERATED STATES OF MICRO</t>
  </si>
  <si>
    <t>APPLING</t>
  </si>
  <si>
    <t>ATKINSON</t>
  </si>
  <si>
    <t>BACON</t>
  </si>
  <si>
    <t>BANKS</t>
  </si>
  <si>
    <t>BARROW</t>
  </si>
  <si>
    <t>BARTOW</t>
  </si>
  <si>
    <t>BEN HILL</t>
  </si>
  <si>
    <t>BERRIEN</t>
  </si>
  <si>
    <t>BLECKLEY</t>
  </si>
  <si>
    <t>BRANTLEY</t>
  </si>
  <si>
    <t>BROOKS</t>
  </si>
  <si>
    <t>BRYAN</t>
  </si>
  <si>
    <t>BULLOCH</t>
  </si>
  <si>
    <t>BURKE</t>
  </si>
  <si>
    <t>BUTTS</t>
  </si>
  <si>
    <t>CAMDEN</t>
  </si>
  <si>
    <t>CANDLER</t>
  </si>
  <si>
    <t>CATOOSA</t>
  </si>
  <si>
    <t>CHARLTON</t>
  </si>
  <si>
    <t>CHATHAM</t>
  </si>
  <si>
    <t>CHATTAHOOCHEE</t>
  </si>
  <si>
    <t>CHATTOOGA</t>
  </si>
  <si>
    <t>CLAYTON</t>
  </si>
  <si>
    <t>CLINCH</t>
  </si>
  <si>
    <t>COBB</t>
  </si>
  <si>
    <t>COLQUITT</t>
  </si>
  <si>
    <t>COOK</t>
  </si>
  <si>
    <t>COWETA</t>
  </si>
  <si>
    <t>CRISP</t>
  </si>
  <si>
    <t>DADE</t>
  </si>
  <si>
    <t>DAWSON</t>
  </si>
  <si>
    <t>DECATUR</t>
  </si>
  <si>
    <t>DEKALB</t>
  </si>
  <si>
    <t>DODGE</t>
  </si>
  <si>
    <t>DOOLY</t>
  </si>
  <si>
    <t>DOUGHERTY</t>
  </si>
  <si>
    <t>EARLY</t>
  </si>
  <si>
    <t>ECHOLS</t>
  </si>
  <si>
    <t>EFFINGHAM</t>
  </si>
  <si>
    <t>EMANUEL</t>
  </si>
  <si>
    <t>EVANS</t>
  </si>
  <si>
    <t>FANNIN</t>
  </si>
  <si>
    <t>FLOYD</t>
  </si>
  <si>
    <t>FORSYTH</t>
  </si>
  <si>
    <t>GILMER</t>
  </si>
  <si>
    <t>GLASCOCK</t>
  </si>
  <si>
    <t>GLYNN</t>
  </si>
  <si>
    <t>GORDON</t>
  </si>
  <si>
    <t>GRADY</t>
  </si>
  <si>
    <t>GWINNETT</t>
  </si>
  <si>
    <t>HABERSHAM</t>
  </si>
  <si>
    <t>HALL</t>
  </si>
  <si>
    <t>HANCOCK</t>
  </si>
  <si>
    <t>HARALSON</t>
  </si>
  <si>
    <t>HARRIS</t>
  </si>
  <si>
    <t>HART</t>
  </si>
  <si>
    <t>HEARD</t>
  </si>
  <si>
    <t>IRWIN</t>
  </si>
  <si>
    <t>JASPER</t>
  </si>
  <si>
    <t>JEFF DAVIS</t>
  </si>
  <si>
    <t>JENKINS</t>
  </si>
  <si>
    <t>JONES</t>
  </si>
  <si>
    <t>LANIER</t>
  </si>
  <si>
    <t>LAURENS</t>
  </si>
  <si>
    <t>LONG</t>
  </si>
  <si>
    <t>LUMPKIN</t>
  </si>
  <si>
    <t>MCDUFFIE</t>
  </si>
  <si>
    <t>MCINTOSH</t>
  </si>
  <si>
    <t>MERIWETHER</t>
  </si>
  <si>
    <t>MITCHELL</t>
  </si>
  <si>
    <t>MURRAY</t>
  </si>
  <si>
    <t>MUSCOGEE</t>
  </si>
  <si>
    <t>OCONEE</t>
  </si>
  <si>
    <t>OGLETHORPE</t>
  </si>
  <si>
    <t>PAULDING</t>
  </si>
  <si>
    <t>PEACH</t>
  </si>
  <si>
    <t>PIERCE</t>
  </si>
  <si>
    <t>QUITMAN</t>
  </si>
  <si>
    <t>RABUN</t>
  </si>
  <si>
    <t>RICHMOND</t>
  </si>
  <si>
    <t>ROCKDALE</t>
  </si>
  <si>
    <t>SCHLEY</t>
  </si>
  <si>
    <t>SCREVEN</t>
  </si>
  <si>
    <t>SPALDING</t>
  </si>
  <si>
    <t>STEPHENS</t>
  </si>
  <si>
    <t>STEWART</t>
  </si>
  <si>
    <t>TALBOT</t>
  </si>
  <si>
    <t>TALIAFERRO</t>
  </si>
  <si>
    <t>TATTNALL</t>
  </si>
  <si>
    <t>TELFAIR</t>
  </si>
  <si>
    <t>TERRELL</t>
  </si>
  <si>
    <t>THOMAS</t>
  </si>
  <si>
    <t>TIFT</t>
  </si>
  <si>
    <t>TOOMBS</t>
  </si>
  <si>
    <t>TOWNS</t>
  </si>
  <si>
    <t>TREUTLEN</t>
  </si>
  <si>
    <t>TROUP</t>
  </si>
  <si>
    <t>TURNER</t>
  </si>
  <si>
    <t>TWIGGS</t>
  </si>
  <si>
    <t>UPSON</t>
  </si>
  <si>
    <t>WARE</t>
  </si>
  <si>
    <t>WARREN</t>
  </si>
  <si>
    <t>WAYNE</t>
  </si>
  <si>
    <t>WEBSTER</t>
  </si>
  <si>
    <t>WHEELER</t>
  </si>
  <si>
    <t>WHITFIELD</t>
  </si>
  <si>
    <t>WILKES</t>
  </si>
  <si>
    <t>WILKINSON</t>
  </si>
  <si>
    <t>WORTH</t>
  </si>
  <si>
    <t>GUAM</t>
  </si>
  <si>
    <t>HONOLULU</t>
  </si>
  <si>
    <t>KALAWAO</t>
  </si>
  <si>
    <t>KAUAI</t>
  </si>
  <si>
    <t>MAUI</t>
  </si>
  <si>
    <t>ADAIR</t>
  </si>
  <si>
    <t>ALLAMAKEE</t>
  </si>
  <si>
    <t>APPANOOSE</t>
  </si>
  <si>
    <t>AUDUBON</t>
  </si>
  <si>
    <t>BLACK HAWK</t>
  </si>
  <si>
    <t>BREMER</t>
  </si>
  <si>
    <t>BUCHANAN</t>
  </si>
  <si>
    <t>BUENA VISTA</t>
  </si>
  <si>
    <t>CASS</t>
  </si>
  <si>
    <t>CEDAR</t>
  </si>
  <si>
    <t>CERRO GORDO</t>
  </si>
  <si>
    <t>CHICKASAW</t>
  </si>
  <si>
    <t>CLINTON</t>
  </si>
  <si>
    <t>DAVIS</t>
  </si>
  <si>
    <t>DELAWARE</t>
  </si>
  <si>
    <t>DES MOINES</t>
  </si>
  <si>
    <t>DICKINSON</t>
  </si>
  <si>
    <t>DUBUQUE</t>
  </si>
  <si>
    <t>EMMET</t>
  </si>
  <si>
    <t>GRUNDY</t>
  </si>
  <si>
    <t>GUTHRIE</t>
  </si>
  <si>
    <t>HARDIN</t>
  </si>
  <si>
    <t>HARRISON</t>
  </si>
  <si>
    <t>IDA</t>
  </si>
  <si>
    <t>IOWA</t>
  </si>
  <si>
    <t>KEOKUK</t>
  </si>
  <si>
    <t>KOSSUTH</t>
  </si>
  <si>
    <t>LINN</t>
  </si>
  <si>
    <t>LOUISA</t>
  </si>
  <si>
    <t>LUCAS</t>
  </si>
  <si>
    <t>LYON</t>
  </si>
  <si>
    <t>MAHASKA</t>
  </si>
  <si>
    <t>MILLS</t>
  </si>
  <si>
    <t>MONONA</t>
  </si>
  <si>
    <t>MUSCATINE</t>
  </si>
  <si>
    <t>OBRIEN</t>
  </si>
  <si>
    <t>PAGE</t>
  </si>
  <si>
    <t>PALO ALTO</t>
  </si>
  <si>
    <t>PLYMOUTH</t>
  </si>
  <si>
    <t>POCAHONTAS</t>
  </si>
  <si>
    <t>POTTAWATTAMIE</t>
  </si>
  <si>
    <t>POWESHIEK</t>
  </si>
  <si>
    <t>RINGGOLD</t>
  </si>
  <si>
    <t>SAC</t>
  </si>
  <si>
    <t>SIOUX</t>
  </si>
  <si>
    <t>STORY</t>
  </si>
  <si>
    <t>TAMA</t>
  </si>
  <si>
    <t>WAPELLO</t>
  </si>
  <si>
    <t>WINNEBAGO</t>
  </si>
  <si>
    <t>WINNESHIEK</t>
  </si>
  <si>
    <t>WOODBURY</t>
  </si>
  <si>
    <t>WRIGHT</t>
  </si>
  <si>
    <t>ADA</t>
  </si>
  <si>
    <t>BANNOCK</t>
  </si>
  <si>
    <t>BEAR LAKE</t>
  </si>
  <si>
    <t>BENEWAH</t>
  </si>
  <si>
    <t>BINGHAM</t>
  </si>
  <si>
    <t>BLAINE</t>
  </si>
  <si>
    <t>BOISE</t>
  </si>
  <si>
    <t>BONNER</t>
  </si>
  <si>
    <t>BONNEVILLE</t>
  </si>
  <si>
    <t>BOUNDARY</t>
  </si>
  <si>
    <t>CAMAS</t>
  </si>
  <si>
    <t>CANYON</t>
  </si>
  <si>
    <t>CARIBOU</t>
  </si>
  <si>
    <t>CASSIA</t>
  </si>
  <si>
    <t>CLEARWATER</t>
  </si>
  <si>
    <t>GEM</t>
  </si>
  <si>
    <t>GOODING</t>
  </si>
  <si>
    <t>IDAHO</t>
  </si>
  <si>
    <t>JEROME</t>
  </si>
  <si>
    <t>KOOTENAI</t>
  </si>
  <si>
    <t>LATAH</t>
  </si>
  <si>
    <t>LEMHI</t>
  </si>
  <si>
    <t>LEWIS</t>
  </si>
  <si>
    <t>MINIDOKA</t>
  </si>
  <si>
    <t>NEZ PERCE</t>
  </si>
  <si>
    <t>ONEIDA</t>
  </si>
  <si>
    <t>OWYHEE</t>
  </si>
  <si>
    <t>PAYETTE</t>
  </si>
  <si>
    <t>POWER</t>
  </si>
  <si>
    <t>SHOSHONE</t>
  </si>
  <si>
    <t>TETON</t>
  </si>
  <si>
    <t>TWIN FALLS</t>
  </si>
  <si>
    <t>VALLEY</t>
  </si>
  <si>
    <t>ALEXANDER</t>
  </si>
  <si>
    <t>BOND</t>
  </si>
  <si>
    <t>BROWN</t>
  </si>
  <si>
    <t>BUREAU</t>
  </si>
  <si>
    <t>CHAMPAIGN</t>
  </si>
  <si>
    <t>CHRISTIAN</t>
  </si>
  <si>
    <t>COLES</t>
  </si>
  <si>
    <t>CUMBERLAND</t>
  </si>
  <si>
    <t>DEWITT</t>
  </si>
  <si>
    <t>DUPAGE</t>
  </si>
  <si>
    <t>EDGAR</t>
  </si>
  <si>
    <t>EDWARDS</t>
  </si>
  <si>
    <t>FORD</t>
  </si>
  <si>
    <t>GALLATIN</t>
  </si>
  <si>
    <t>HENDERSON</t>
  </si>
  <si>
    <t>IROQUOIS</t>
  </si>
  <si>
    <t>JERSEY</t>
  </si>
  <si>
    <t>JO DAVIESS</t>
  </si>
  <si>
    <t>KANE</t>
  </si>
  <si>
    <t>KANKAKEE</t>
  </si>
  <si>
    <t>KENDALL</t>
  </si>
  <si>
    <t>KNOX</t>
  </si>
  <si>
    <t>LA SALLE</t>
  </si>
  <si>
    <t>LIVINGSTON</t>
  </si>
  <si>
    <t>MACOUPIN</t>
  </si>
  <si>
    <t>MASON</t>
  </si>
  <si>
    <t>MASSAC</t>
  </si>
  <si>
    <t>MCDONOUGH</t>
  </si>
  <si>
    <t>MCHENRY</t>
  </si>
  <si>
    <t>MCLEAN</t>
  </si>
  <si>
    <t>MENARD</t>
  </si>
  <si>
    <t>MERCER</t>
  </si>
  <si>
    <t>MOULTRIE</t>
  </si>
  <si>
    <t>OGLE</t>
  </si>
  <si>
    <t>PEORIA</t>
  </si>
  <si>
    <t>PIATT</t>
  </si>
  <si>
    <t>RICHLAND</t>
  </si>
  <si>
    <t>ROCK ISLAND</t>
  </si>
  <si>
    <t>SANGAMON</t>
  </si>
  <si>
    <t>SCHUYLER</t>
  </si>
  <si>
    <t>STARK</t>
  </si>
  <si>
    <t>STEPHENSON</t>
  </si>
  <si>
    <t>TAZEWELL</t>
  </si>
  <si>
    <t>VERMILION</t>
  </si>
  <si>
    <t>WABASH</t>
  </si>
  <si>
    <t>WHITESIDE</t>
  </si>
  <si>
    <t>WILL</t>
  </si>
  <si>
    <t>WILLIAMSON</t>
  </si>
  <si>
    <t>WOODFORD</t>
  </si>
  <si>
    <t>ALLEN</t>
  </si>
  <si>
    <t>BARTHOLOMEW</t>
  </si>
  <si>
    <t>BLACKFORD</t>
  </si>
  <si>
    <t>DAVIESS</t>
  </si>
  <si>
    <t>DEARBORN</t>
  </si>
  <si>
    <t>DUBOIS</t>
  </si>
  <si>
    <t>ELKHART</t>
  </si>
  <si>
    <t>FOUNTAIN</t>
  </si>
  <si>
    <t>GIBSON</t>
  </si>
  <si>
    <t>HENDRICKS</t>
  </si>
  <si>
    <t>HUNTINGTON</t>
  </si>
  <si>
    <t>JAY</t>
  </si>
  <si>
    <t>JENNINGS</t>
  </si>
  <si>
    <t>KOSCIUSKO</t>
  </si>
  <si>
    <t>LA PORTE</t>
  </si>
  <si>
    <t>LAGRANGE</t>
  </si>
  <si>
    <t>MIAMI</t>
  </si>
  <si>
    <t>NOBLE</t>
  </si>
  <si>
    <t>OHIO</t>
  </si>
  <si>
    <t>OWEN</t>
  </si>
  <si>
    <t>PARKE</t>
  </si>
  <si>
    <t>PORTER</t>
  </si>
  <si>
    <t>POSEY</t>
  </si>
  <si>
    <t>RIPLEY</t>
  </si>
  <si>
    <t>RUSH</t>
  </si>
  <si>
    <t>SPENCER</t>
  </si>
  <si>
    <t>ST JOSEPH</t>
  </si>
  <si>
    <t>STARKE</t>
  </si>
  <si>
    <t>STEUBEN</t>
  </si>
  <si>
    <t>SULLIVAN</t>
  </si>
  <si>
    <t>SWITZERLAND</t>
  </si>
  <si>
    <t>TIPPECANOE</t>
  </si>
  <si>
    <t>TIPTON</t>
  </si>
  <si>
    <t>VANDERBURGH</t>
  </si>
  <si>
    <t>VERMILLION</t>
  </si>
  <si>
    <t>VIGO</t>
  </si>
  <si>
    <t>WARRICK</t>
  </si>
  <si>
    <t>WELLS</t>
  </si>
  <si>
    <t>WHITLEY</t>
  </si>
  <si>
    <t>ANDERSON</t>
  </si>
  <si>
    <t>ATCHISON</t>
  </si>
  <si>
    <t>BARBER</t>
  </si>
  <si>
    <t>BARTON</t>
  </si>
  <si>
    <t>BOURBON</t>
  </si>
  <si>
    <t>CHASE</t>
  </si>
  <si>
    <t>CHAUTAUQUA</t>
  </si>
  <si>
    <t>CLOUD</t>
  </si>
  <si>
    <t>COFFEY</t>
  </si>
  <si>
    <t>COMANCHE</t>
  </si>
  <si>
    <t>COWLEY</t>
  </si>
  <si>
    <t>DONIPHAN</t>
  </si>
  <si>
    <t>ELK</t>
  </si>
  <si>
    <t>ELLIS</t>
  </si>
  <si>
    <t>ELLSWORTH</t>
  </si>
  <si>
    <t>FINNEY</t>
  </si>
  <si>
    <t>GEARY</t>
  </si>
  <si>
    <t>GOVE</t>
  </si>
  <si>
    <t>GRAY</t>
  </si>
  <si>
    <t>GREELEY</t>
  </si>
  <si>
    <t>GREENWOOD</t>
  </si>
  <si>
    <t>HARPER</t>
  </si>
  <si>
    <t>HARVEY</t>
  </si>
  <si>
    <t>HASKELL</t>
  </si>
  <si>
    <t>HODGEMAN</t>
  </si>
  <si>
    <t>JEWELL</t>
  </si>
  <si>
    <t>KEARNY</t>
  </si>
  <si>
    <t>KINGMAN</t>
  </si>
  <si>
    <t>LABETTE</t>
  </si>
  <si>
    <t>LANE</t>
  </si>
  <si>
    <t>LEAVENWORTH</t>
  </si>
  <si>
    <t>MCPHERSON</t>
  </si>
  <si>
    <t>MEADE</t>
  </si>
  <si>
    <t>MORRIS</t>
  </si>
  <si>
    <t>MORTON</t>
  </si>
  <si>
    <t>NEMAHA</t>
  </si>
  <si>
    <t>NEOSHO</t>
  </si>
  <si>
    <t>NESS</t>
  </si>
  <si>
    <t>NORTON</t>
  </si>
  <si>
    <t>OSAGE</t>
  </si>
  <si>
    <t>OSBORNE</t>
  </si>
  <si>
    <t>OTTAWA</t>
  </si>
  <si>
    <t>PAWNEE</t>
  </si>
  <si>
    <t>POTTAWATOMIE</t>
  </si>
  <si>
    <t>PRATT</t>
  </si>
  <si>
    <t>RAWLINS</t>
  </si>
  <si>
    <t>RENO</t>
  </si>
  <si>
    <t>REPUBLIC</t>
  </si>
  <si>
    <t>RICE</t>
  </si>
  <si>
    <t>RILEY</t>
  </si>
  <si>
    <t>ROOKS</t>
  </si>
  <si>
    <t>SEWARD</t>
  </si>
  <si>
    <t>SHAWNEE</t>
  </si>
  <si>
    <t>SHERIDAN</t>
  </si>
  <si>
    <t>SHERMAN</t>
  </si>
  <si>
    <t>SMITH</t>
  </si>
  <si>
    <t>STAFFORD</t>
  </si>
  <si>
    <t>STANTON</t>
  </si>
  <si>
    <t>STEVENS</t>
  </si>
  <si>
    <t>SUMNER</t>
  </si>
  <si>
    <t>TREGO</t>
  </si>
  <si>
    <t>WABAUNSEE</t>
  </si>
  <si>
    <t>WALLACE</t>
  </si>
  <si>
    <t>WICHITA</t>
  </si>
  <si>
    <t>WILSON</t>
  </si>
  <si>
    <t>WOODSON</t>
  </si>
  <si>
    <t>WYANDOTTE</t>
  </si>
  <si>
    <t>BALLARD</t>
  </si>
  <si>
    <t>BARREN</t>
  </si>
  <si>
    <t>BATH</t>
  </si>
  <si>
    <t>BELL</t>
  </si>
  <si>
    <t>BOYD</t>
  </si>
  <si>
    <t>BOYLE</t>
  </si>
  <si>
    <t>BRACKEN</t>
  </si>
  <si>
    <t>BREATHITT</t>
  </si>
  <si>
    <t>BRECKINRIDGE</t>
  </si>
  <si>
    <t>BULLITT</t>
  </si>
  <si>
    <t>CALDWELL</t>
  </si>
  <si>
    <t>CALLOWAY</t>
  </si>
  <si>
    <t>CAMPBELL</t>
  </si>
  <si>
    <t>CARLISLE</t>
  </si>
  <si>
    <t>CARTER</t>
  </si>
  <si>
    <t>CASEY</t>
  </si>
  <si>
    <t>EDMONSON</t>
  </si>
  <si>
    <t>ELLIOTT</t>
  </si>
  <si>
    <t>ESTILL</t>
  </si>
  <si>
    <t>FLEMING</t>
  </si>
  <si>
    <t>GARRARD</t>
  </si>
  <si>
    <t>GRAVES</t>
  </si>
  <si>
    <t>GRAYSON</t>
  </si>
  <si>
    <t>GREEN</t>
  </si>
  <si>
    <t>GREENUP</t>
  </si>
  <si>
    <t>HARLAN</t>
  </si>
  <si>
    <t>HICKMAN</t>
  </si>
  <si>
    <t>HOPKINS</t>
  </si>
  <si>
    <t>JESSAMINE</t>
  </si>
  <si>
    <t>KENTON</t>
  </si>
  <si>
    <t>KNOTT</t>
  </si>
  <si>
    <t>LARUE</t>
  </si>
  <si>
    <t>LAUREL</t>
  </si>
  <si>
    <t>LESLIE</t>
  </si>
  <si>
    <t>LETCHER</t>
  </si>
  <si>
    <t>MAGOFFIN</t>
  </si>
  <si>
    <t>MCCRACKEN</t>
  </si>
  <si>
    <t>MCCREARY</t>
  </si>
  <si>
    <t>MENIFEE</t>
  </si>
  <si>
    <t>METCALFE</t>
  </si>
  <si>
    <t>MUHLENBERG</t>
  </si>
  <si>
    <t>NELSON</t>
  </si>
  <si>
    <t>NICHOLAS</t>
  </si>
  <si>
    <t>OLDHAM</t>
  </si>
  <si>
    <t>OWSLEY</t>
  </si>
  <si>
    <t>PENDLETON</t>
  </si>
  <si>
    <t>POWELL</t>
  </si>
  <si>
    <t>ROBERTSON</t>
  </si>
  <si>
    <t>ROCKCASTLE</t>
  </si>
  <si>
    <t>ROWAN</t>
  </si>
  <si>
    <t>SIMPSON</t>
  </si>
  <si>
    <t>TODD</t>
  </si>
  <si>
    <t>TRIGG</t>
  </si>
  <si>
    <t>TRIMBLE</t>
  </si>
  <si>
    <t>WOLFE</t>
  </si>
  <si>
    <t>ACADIA</t>
  </si>
  <si>
    <t>ASCENSION</t>
  </si>
  <si>
    <t>ASSUMPTION</t>
  </si>
  <si>
    <t>AVOYELLES</t>
  </si>
  <si>
    <t>BEAUREGARD</t>
  </si>
  <si>
    <t>BIENVILLE</t>
  </si>
  <si>
    <t>BOSSIER</t>
  </si>
  <si>
    <t>CADDO</t>
  </si>
  <si>
    <t>CALCASIEU</t>
  </si>
  <si>
    <t>CAMERON</t>
  </si>
  <si>
    <t>CATAHOULA</t>
  </si>
  <si>
    <t>CLAIBORNE</t>
  </si>
  <si>
    <t>CONCORDIA</t>
  </si>
  <si>
    <t>EAST BATON ROUGE</t>
  </si>
  <si>
    <t>EAST CARROLL</t>
  </si>
  <si>
    <t>EAST FELICIANA</t>
  </si>
  <si>
    <t>EVANGELINE</t>
  </si>
  <si>
    <t>IBERIA</t>
  </si>
  <si>
    <t>IBERVILLE</t>
  </si>
  <si>
    <t>JEFFERSON DAVIS</t>
  </si>
  <si>
    <t>LAFOURCHE</t>
  </si>
  <si>
    <t>MOREHOUSE</t>
  </si>
  <si>
    <t>NATCHITOCHES</t>
  </si>
  <si>
    <t>ORLEANS</t>
  </si>
  <si>
    <t>PLAQUEMINES</t>
  </si>
  <si>
    <t>POINTE COUPEE</t>
  </si>
  <si>
    <t>RAPIDES</t>
  </si>
  <si>
    <t>RED RIVER</t>
  </si>
  <si>
    <t>SABINE</t>
  </si>
  <si>
    <t>SAINT BERNARD</t>
  </si>
  <si>
    <t>SAINT CHARLES</t>
  </si>
  <si>
    <t>SAINT HELENA</t>
  </si>
  <si>
    <t>SAINT JAMES</t>
  </si>
  <si>
    <t>SAINT LANDRY</t>
  </si>
  <si>
    <t>SAINT MARTIN</t>
  </si>
  <si>
    <t>SAINT MARY</t>
  </si>
  <si>
    <t>SAINT TAMMANY</t>
  </si>
  <si>
    <t>ST JOHN THE BAPTIST</t>
  </si>
  <si>
    <t>TANGIPAHOA</t>
  </si>
  <si>
    <t>TENSAS</t>
  </si>
  <si>
    <t>TERREBONNE</t>
  </si>
  <si>
    <t>VERNON</t>
  </si>
  <si>
    <t>WEST BATON ROUGE</t>
  </si>
  <si>
    <t>WEST CARROLL</t>
  </si>
  <si>
    <t>WEST FELICIANA</t>
  </si>
  <si>
    <t>WINN</t>
  </si>
  <si>
    <t>BARNSTABLE</t>
  </si>
  <si>
    <t>BERKSHIRE</t>
  </si>
  <si>
    <t>BRISTOL</t>
  </si>
  <si>
    <t>DUKES</t>
  </si>
  <si>
    <t>ESSEX</t>
  </si>
  <si>
    <t>HAMPDEN</t>
  </si>
  <si>
    <t>HAMPSHIRE</t>
  </si>
  <si>
    <t>NANTUCKET</t>
  </si>
  <si>
    <t>NORFOLK</t>
  </si>
  <si>
    <t>SUFFOLK</t>
  </si>
  <si>
    <t>WORCESTER</t>
  </si>
  <si>
    <t>ALLEGANY</t>
  </si>
  <si>
    <t>ANNE ARUNDEL</t>
  </si>
  <si>
    <t>BALTIMORE</t>
  </si>
  <si>
    <t>BALTIMORE CITY</t>
  </si>
  <si>
    <t>CALVERT</t>
  </si>
  <si>
    <t>CAROLINE</t>
  </si>
  <si>
    <t>CECIL</t>
  </si>
  <si>
    <t>CHARLES</t>
  </si>
  <si>
    <t>DORCHESTER</t>
  </si>
  <si>
    <t>FREDERICK</t>
  </si>
  <si>
    <t>GARRETT</t>
  </si>
  <si>
    <t>HARFORD</t>
  </si>
  <si>
    <t>PRINCE GEORGES</t>
  </si>
  <si>
    <t>QUEEN ANNES</t>
  </si>
  <si>
    <t>SAINT MARYS</t>
  </si>
  <si>
    <t>SOMERSET</t>
  </si>
  <si>
    <t>WICOMICO</t>
  </si>
  <si>
    <t>ANDROSCOGGIN</t>
  </si>
  <si>
    <t>AROOSTOOK</t>
  </si>
  <si>
    <t>KENNEBEC</t>
  </si>
  <si>
    <t>OXFORD</t>
  </si>
  <si>
    <t>PENOBSCOT</t>
  </si>
  <si>
    <t>PISCATAQUIS</t>
  </si>
  <si>
    <t>SAGADAHOC</t>
  </si>
  <si>
    <t>WALDO</t>
  </si>
  <si>
    <t>YORK</t>
  </si>
  <si>
    <t>MARSHALL ISLANDS</t>
  </si>
  <si>
    <t>ALCONA</t>
  </si>
  <si>
    <t>ALGER</t>
  </si>
  <si>
    <t>ALLEGAN</t>
  </si>
  <si>
    <t>ALPENA</t>
  </si>
  <si>
    <t>ANTRIM</t>
  </si>
  <si>
    <t>ARENAC</t>
  </si>
  <si>
    <t>BARAGA</t>
  </si>
  <si>
    <t>BARRY</t>
  </si>
  <si>
    <t>BENZIE</t>
  </si>
  <si>
    <t>BRANCH</t>
  </si>
  <si>
    <t>CHARLEVOIX</t>
  </si>
  <si>
    <t>CHEBOYGAN</t>
  </si>
  <si>
    <t>CHIPPEWA</t>
  </si>
  <si>
    <t>CLARE</t>
  </si>
  <si>
    <t>EATON</t>
  </si>
  <si>
    <t>GENESEE</t>
  </si>
  <si>
    <t>GLADWIN</t>
  </si>
  <si>
    <t>GOGEBIC</t>
  </si>
  <si>
    <t>GRAND TRAVERSE</t>
  </si>
  <si>
    <t>GRATIOT</t>
  </si>
  <si>
    <t>HILLSDALE</t>
  </si>
  <si>
    <t>HOUGHTON</t>
  </si>
  <si>
    <t>HURON</t>
  </si>
  <si>
    <t>INGHAM</t>
  </si>
  <si>
    <t>IONIA</t>
  </si>
  <si>
    <t>IOSCO</t>
  </si>
  <si>
    <t>IRON</t>
  </si>
  <si>
    <t>ISABELLA</t>
  </si>
  <si>
    <t>KALAMAZOO</t>
  </si>
  <si>
    <t>KALKASKA</t>
  </si>
  <si>
    <t>KEWEENAW</t>
  </si>
  <si>
    <t>LAPEER</t>
  </si>
  <si>
    <t>LEELANAU</t>
  </si>
  <si>
    <t>LENAWEE</t>
  </si>
  <si>
    <t>LUCE</t>
  </si>
  <si>
    <t>MACKINAC</t>
  </si>
  <si>
    <t>MACOMB</t>
  </si>
  <si>
    <t>MANISTEE</t>
  </si>
  <si>
    <t>MARQUETTE</t>
  </si>
  <si>
    <t>MECOSTA</t>
  </si>
  <si>
    <t>MENOMINEE</t>
  </si>
  <si>
    <t>MIDLAND</t>
  </si>
  <si>
    <t>MISSAUKEE</t>
  </si>
  <si>
    <t>MONTCALM</t>
  </si>
  <si>
    <t>MONTMORENCY</t>
  </si>
  <si>
    <t>MUSKEGON</t>
  </si>
  <si>
    <t>NEWAYGO</t>
  </si>
  <si>
    <t>OAKLAND</t>
  </si>
  <si>
    <t>OCEANA</t>
  </si>
  <si>
    <t>OGEMAW</t>
  </si>
  <si>
    <t>ONTONAGON</t>
  </si>
  <si>
    <t>OSCODA</t>
  </si>
  <si>
    <t>OTSEGO</t>
  </si>
  <si>
    <t>PRESQUE ISLE</t>
  </si>
  <si>
    <t>ROSCOMMON</t>
  </si>
  <si>
    <t>SAGINAW</t>
  </si>
  <si>
    <t>SAINT JOSEPH</t>
  </si>
  <si>
    <t>SANILAC</t>
  </si>
  <si>
    <t>SCHOOLCRAFT</t>
  </si>
  <si>
    <t>SHIAWASSEE</t>
  </si>
  <si>
    <t>TUSCOLA</t>
  </si>
  <si>
    <t>WASHTENAW</t>
  </si>
  <si>
    <t>WEXFORD</t>
  </si>
  <si>
    <t>AITKIN</t>
  </si>
  <si>
    <t>ANOKA</t>
  </si>
  <si>
    <t>BECKER</t>
  </si>
  <si>
    <t>BELTRAMI</t>
  </si>
  <si>
    <t>BIG STONE</t>
  </si>
  <si>
    <t>BLUE EARTH</t>
  </si>
  <si>
    <t>CARLTON</t>
  </si>
  <si>
    <t>CARVER</t>
  </si>
  <si>
    <t>CHISAGO</t>
  </si>
  <si>
    <t>COTTONWOOD</t>
  </si>
  <si>
    <t>CROW WING</t>
  </si>
  <si>
    <t>DAKOTA</t>
  </si>
  <si>
    <t>FARIBAULT</t>
  </si>
  <si>
    <t>FILLMORE</t>
  </si>
  <si>
    <t>FREEBORN</t>
  </si>
  <si>
    <t>GOODHUE</t>
  </si>
  <si>
    <t>HENNEPIN</t>
  </si>
  <si>
    <t>HUBBARD</t>
  </si>
  <si>
    <t>ISANTI</t>
  </si>
  <si>
    <t>ITASCA</t>
  </si>
  <si>
    <t>KANABEC</t>
  </si>
  <si>
    <t>KANDIYOHI</t>
  </si>
  <si>
    <t>KITTSON</t>
  </si>
  <si>
    <t>KOOCHICHING</t>
  </si>
  <si>
    <t>LAC QUI PARLE</t>
  </si>
  <si>
    <t>LAKE OF THE WOODS</t>
  </si>
  <si>
    <t>LE SUEUR</t>
  </si>
  <si>
    <t>MAHNOMEN</t>
  </si>
  <si>
    <t>MCLEOD</t>
  </si>
  <si>
    <t>MEEKER</t>
  </si>
  <si>
    <t>MILLE LACS</t>
  </si>
  <si>
    <t>MORRISON</t>
  </si>
  <si>
    <t>MOWER</t>
  </si>
  <si>
    <t>NICOLLET</t>
  </si>
  <si>
    <t>NOBLES</t>
  </si>
  <si>
    <t>NORMAN</t>
  </si>
  <si>
    <t>OLMSTED</t>
  </si>
  <si>
    <t>OTTER TAIL</t>
  </si>
  <si>
    <t>PENNINGTON</t>
  </si>
  <si>
    <t>PINE</t>
  </si>
  <si>
    <t>PIPESTONE</t>
  </si>
  <si>
    <t>RAMSEY</t>
  </si>
  <si>
    <t>RED LAKE</t>
  </si>
  <si>
    <t>REDWOOD</t>
  </si>
  <si>
    <t>RENVILLE</t>
  </si>
  <si>
    <t>ROCK</t>
  </si>
  <si>
    <t>ROSEAU</t>
  </si>
  <si>
    <t>SAINT LOUIS</t>
  </si>
  <si>
    <t>SHERBURNE</t>
  </si>
  <si>
    <t>SIBLEY</t>
  </si>
  <si>
    <t>STEARNS</t>
  </si>
  <si>
    <t>STEELE</t>
  </si>
  <si>
    <t>SWIFT</t>
  </si>
  <si>
    <t>TRAVERSE</t>
  </si>
  <si>
    <t>WABASHA</t>
  </si>
  <si>
    <t>WADENA</t>
  </si>
  <si>
    <t>WASECA</t>
  </si>
  <si>
    <t>WATONWAN</t>
  </si>
  <si>
    <t>WILKIN</t>
  </si>
  <si>
    <t>WINONA</t>
  </si>
  <si>
    <t>YELLOW MEDICINE</t>
  </si>
  <si>
    <t>ANDREW</t>
  </si>
  <si>
    <t>AUDRAIN</t>
  </si>
  <si>
    <t>BATES</t>
  </si>
  <si>
    <t>BOLLINGER</t>
  </si>
  <si>
    <t>CALLAWAY</t>
  </si>
  <si>
    <t>CAPE GIRARDEAU</t>
  </si>
  <si>
    <t>CHARITON</t>
  </si>
  <si>
    <t>COLE</t>
  </si>
  <si>
    <t>COOPER</t>
  </si>
  <si>
    <t>DENT</t>
  </si>
  <si>
    <t>DUNKLIN</t>
  </si>
  <si>
    <t>GASCONADE</t>
  </si>
  <si>
    <t>GENTRY</t>
  </si>
  <si>
    <t>HICKORY</t>
  </si>
  <si>
    <t>HOLT</t>
  </si>
  <si>
    <t>HOWELL</t>
  </si>
  <si>
    <t>LACLEDE</t>
  </si>
  <si>
    <t>MARIES</t>
  </si>
  <si>
    <t>MCDONALD</t>
  </si>
  <si>
    <t>MONITEAU</t>
  </si>
  <si>
    <t>NEW MADRID</t>
  </si>
  <si>
    <t>NODAWAY</t>
  </si>
  <si>
    <t>OREGON</t>
  </si>
  <si>
    <t>OZARK</t>
  </si>
  <si>
    <t>PEMISCOT</t>
  </si>
  <si>
    <t>PETTIS</t>
  </si>
  <si>
    <t>PHELPS</t>
  </si>
  <si>
    <t>PLATTE</t>
  </si>
  <si>
    <t>RALLS</t>
  </si>
  <si>
    <t>RAY</t>
  </si>
  <si>
    <t>REYNOLDS</t>
  </si>
  <si>
    <t>SAINT FRANCOIS</t>
  </si>
  <si>
    <t>SAINT LOUIS CITY</t>
  </si>
  <si>
    <t>SAINTE GENEVIEVE</t>
  </si>
  <si>
    <t>SCOTLAND</t>
  </si>
  <si>
    <t>SHANNON</t>
  </si>
  <si>
    <t>STODDARD</t>
  </si>
  <si>
    <t>TANEY</t>
  </si>
  <si>
    <t>TEXAS</t>
  </si>
  <si>
    <t>NORTHERN MARIANA ISLANDS</t>
  </si>
  <si>
    <t>ALCORN</t>
  </si>
  <si>
    <t>AMITE</t>
  </si>
  <si>
    <t>ATTALA</t>
  </si>
  <si>
    <t>BOLIVAR</t>
  </si>
  <si>
    <t>COAHOMA</t>
  </si>
  <si>
    <t>COPIAH</t>
  </si>
  <si>
    <t>DESOTO</t>
  </si>
  <si>
    <t>FORREST</t>
  </si>
  <si>
    <t>GEORGE</t>
  </si>
  <si>
    <t>GRENADA</t>
  </si>
  <si>
    <t>HINDS</t>
  </si>
  <si>
    <t>HUMPHREYS</t>
  </si>
  <si>
    <t>ISSAQUENA</t>
  </si>
  <si>
    <t>ITAWAMBA</t>
  </si>
  <si>
    <t>KEMPER</t>
  </si>
  <si>
    <t>LEAKE</t>
  </si>
  <si>
    <t>LEFLORE</t>
  </si>
  <si>
    <t>NESHOBA</t>
  </si>
  <si>
    <t>NOXUBEE</t>
  </si>
  <si>
    <t>OKTIBBEHA</t>
  </si>
  <si>
    <t>PANOLA</t>
  </si>
  <si>
    <t>PEARL RIVER</t>
  </si>
  <si>
    <t>PONTOTOC</t>
  </si>
  <si>
    <t>PRENTISS</t>
  </si>
  <si>
    <t>RANKIN</t>
  </si>
  <si>
    <t>SHARKEY</t>
  </si>
  <si>
    <t>SUNFLOWER</t>
  </si>
  <si>
    <t>TALLAHATCHIE</t>
  </si>
  <si>
    <t>TATE</t>
  </si>
  <si>
    <t>TIPPAH</t>
  </si>
  <si>
    <t>TISHOMINGO</t>
  </si>
  <si>
    <t>TUNICA</t>
  </si>
  <si>
    <t>WALTHALL</t>
  </si>
  <si>
    <t>YALOBUSHA</t>
  </si>
  <si>
    <t>YAZOO</t>
  </si>
  <si>
    <t>BEAVERHEAD</t>
  </si>
  <si>
    <t>BIG HORN</t>
  </si>
  <si>
    <t>BROADWATER</t>
  </si>
  <si>
    <t>CARBON</t>
  </si>
  <si>
    <t>CASCADE</t>
  </si>
  <si>
    <t>CHOUTEAU</t>
  </si>
  <si>
    <t>DANIELS</t>
  </si>
  <si>
    <t>DEER LODGE</t>
  </si>
  <si>
    <t>FALLON</t>
  </si>
  <si>
    <t>FERGUS</t>
  </si>
  <si>
    <t>FLATHEAD</t>
  </si>
  <si>
    <t>GLACIER</t>
  </si>
  <si>
    <t>GOLDEN VALLEY</t>
  </si>
  <si>
    <t>GRANITE</t>
  </si>
  <si>
    <t>HILL</t>
  </si>
  <si>
    <t>JUDITH BASIN</t>
  </si>
  <si>
    <t>LEWIS AND CLARK</t>
  </si>
  <si>
    <t>MCCONE</t>
  </si>
  <si>
    <t>MEAGHER</t>
  </si>
  <si>
    <t>MISSOULA</t>
  </si>
  <si>
    <t>MUSSELSHELL</t>
  </si>
  <si>
    <t>PETROLEUM</t>
  </si>
  <si>
    <t>PONDERA</t>
  </si>
  <si>
    <t>POWDER RIVER</t>
  </si>
  <si>
    <t>RAVALLI</t>
  </si>
  <si>
    <t>ROOSEVELT</t>
  </si>
  <si>
    <t>ROSEBUD</t>
  </si>
  <si>
    <t>SANDERS</t>
  </si>
  <si>
    <t>SILVER BOW</t>
  </si>
  <si>
    <t>STILLWATER</t>
  </si>
  <si>
    <t>SWEET GRASS</t>
  </si>
  <si>
    <t>TOOLE</t>
  </si>
  <si>
    <t>TREASURE</t>
  </si>
  <si>
    <t>WHEATLAND</t>
  </si>
  <si>
    <t>WIBAUX</t>
  </si>
  <si>
    <t>YELLOWSTONE</t>
  </si>
  <si>
    <t>ALAMANCE</t>
  </si>
  <si>
    <t>ALLEGHANY</t>
  </si>
  <si>
    <t>ANSON</t>
  </si>
  <si>
    <t>ASHE</t>
  </si>
  <si>
    <t>AVERY</t>
  </si>
  <si>
    <t>BEAUFORT</t>
  </si>
  <si>
    <t>BERTIE</t>
  </si>
  <si>
    <t>BLADEN</t>
  </si>
  <si>
    <t>BRUNSWICK</t>
  </si>
  <si>
    <t>BUNCOMBE</t>
  </si>
  <si>
    <t>CABARRUS</t>
  </si>
  <si>
    <t>CARTERET</t>
  </si>
  <si>
    <t>CASWELL</t>
  </si>
  <si>
    <t>CATAWBA</t>
  </si>
  <si>
    <t>CHOWAN</t>
  </si>
  <si>
    <t>COLUMBUS</t>
  </si>
  <si>
    <t>CRAVEN</t>
  </si>
  <si>
    <t>CURRITUCK</t>
  </si>
  <si>
    <t>DARE</t>
  </si>
  <si>
    <t>DAVIDSON</t>
  </si>
  <si>
    <t>DAVIE</t>
  </si>
  <si>
    <t>DUPLIN</t>
  </si>
  <si>
    <t>DURHAM</t>
  </si>
  <si>
    <t>EDGECOMBE</t>
  </si>
  <si>
    <t>GASTON</t>
  </si>
  <si>
    <t>GATES</t>
  </si>
  <si>
    <t>GRANVILLE</t>
  </si>
  <si>
    <t>GUILFORD</t>
  </si>
  <si>
    <t>HALIFAX</t>
  </si>
  <si>
    <t>HARNETT</t>
  </si>
  <si>
    <t>HAYWOOD</t>
  </si>
  <si>
    <t>HERTFORD</t>
  </si>
  <si>
    <t>HOKE</t>
  </si>
  <si>
    <t>HYDE</t>
  </si>
  <si>
    <t>IREDELL</t>
  </si>
  <si>
    <t>JOHNSTON</t>
  </si>
  <si>
    <t>LENOIR</t>
  </si>
  <si>
    <t>MCDOWELL</t>
  </si>
  <si>
    <t>MECKLENBURG</t>
  </si>
  <si>
    <t>MOORE</t>
  </si>
  <si>
    <t>NASH</t>
  </si>
  <si>
    <t>NEW HANOVER</t>
  </si>
  <si>
    <t>NORTHAMPTON</t>
  </si>
  <si>
    <t>ONSLOW</t>
  </si>
  <si>
    <t>PAMLICO</t>
  </si>
  <si>
    <t>PASQUOTANK</t>
  </si>
  <si>
    <t>PENDER</t>
  </si>
  <si>
    <t>PERQUIMANS</t>
  </si>
  <si>
    <t>PERSON</t>
  </si>
  <si>
    <t>PITT</t>
  </si>
  <si>
    <t>ROBESON</t>
  </si>
  <si>
    <t>ROCKINGHAM</t>
  </si>
  <si>
    <t>RUTHERFORD</t>
  </si>
  <si>
    <t>SAMPSON</t>
  </si>
  <si>
    <t>STANLY</t>
  </si>
  <si>
    <t>STOKES</t>
  </si>
  <si>
    <t>SURRY</t>
  </si>
  <si>
    <t>SWAIN</t>
  </si>
  <si>
    <t>TRANSYLVANIA</t>
  </si>
  <si>
    <t>TYRRELL</t>
  </si>
  <si>
    <t>VANCE</t>
  </si>
  <si>
    <t>WAKE</t>
  </si>
  <si>
    <t>WATAUGA</t>
  </si>
  <si>
    <t>YADKIN</t>
  </si>
  <si>
    <t>YANCEY</t>
  </si>
  <si>
    <t>BARNES</t>
  </si>
  <si>
    <t>BENSON</t>
  </si>
  <si>
    <t>BILLINGS</t>
  </si>
  <si>
    <t>BOTTINEAU</t>
  </si>
  <si>
    <t>BOWMAN</t>
  </si>
  <si>
    <t>BURLEIGH</t>
  </si>
  <si>
    <t>CAVALIER</t>
  </si>
  <si>
    <t>DICKEY</t>
  </si>
  <si>
    <t>DIVIDE</t>
  </si>
  <si>
    <t>DUNN</t>
  </si>
  <si>
    <t>EDDY</t>
  </si>
  <si>
    <t>EMMONS</t>
  </si>
  <si>
    <t>FOSTER</t>
  </si>
  <si>
    <t>GRAND FORKS</t>
  </si>
  <si>
    <t>GRIGGS</t>
  </si>
  <si>
    <t>HETTINGER</t>
  </si>
  <si>
    <t>KIDDER</t>
  </si>
  <si>
    <t>LAMOURE</t>
  </si>
  <si>
    <t>MCKENZIE</t>
  </si>
  <si>
    <t>MOUNTRAIL</t>
  </si>
  <si>
    <t>OLIVER</t>
  </si>
  <si>
    <t>PEMBINA</t>
  </si>
  <si>
    <t>RANSOM</t>
  </si>
  <si>
    <t>ROLETTE</t>
  </si>
  <si>
    <t>SARGENT</t>
  </si>
  <si>
    <t>SLOPE</t>
  </si>
  <si>
    <t>STUTSMAN</t>
  </si>
  <si>
    <t>TOWNER</t>
  </si>
  <si>
    <t>TRAILL</t>
  </si>
  <si>
    <t>WALSH</t>
  </si>
  <si>
    <t>WARD</t>
  </si>
  <si>
    <t>WILLIAMS</t>
  </si>
  <si>
    <t>ANTELOPE</t>
  </si>
  <si>
    <t>ARTHUR</t>
  </si>
  <si>
    <t>BANNER</t>
  </si>
  <si>
    <t>BOX BUTTE</t>
  </si>
  <si>
    <t>BUFFALO</t>
  </si>
  <si>
    <t>BURT</t>
  </si>
  <si>
    <t>CHERRY</t>
  </si>
  <si>
    <t>COLFAX</t>
  </si>
  <si>
    <t>CUMING</t>
  </si>
  <si>
    <t>DAWES</t>
  </si>
  <si>
    <t>DEUEL</t>
  </si>
  <si>
    <t>DIXON</t>
  </si>
  <si>
    <t>DUNDY</t>
  </si>
  <si>
    <t>FRONTIER</t>
  </si>
  <si>
    <t>FURNAS</t>
  </si>
  <si>
    <t>GAGE</t>
  </si>
  <si>
    <t>GARDEN</t>
  </si>
  <si>
    <t>GOSPER</t>
  </si>
  <si>
    <t>HAYES</t>
  </si>
  <si>
    <t>HITCHCOCK</t>
  </si>
  <si>
    <t>HOOKER</t>
  </si>
  <si>
    <t>KEARNEY</t>
  </si>
  <si>
    <t>KEITH</t>
  </si>
  <si>
    <t>KEYA PAHA</t>
  </si>
  <si>
    <t>KIMBALL</t>
  </si>
  <si>
    <t>LANCASTER</t>
  </si>
  <si>
    <t>LOUP</t>
  </si>
  <si>
    <t>MERRICK</t>
  </si>
  <si>
    <t>MORRILL</t>
  </si>
  <si>
    <t>NANCE</t>
  </si>
  <si>
    <t>NUCKOLLS</t>
  </si>
  <si>
    <t>OTOE</t>
  </si>
  <si>
    <t>PERKINS</t>
  </si>
  <si>
    <t>RED WILLOW</t>
  </si>
  <si>
    <t>RICHARDSON</t>
  </si>
  <si>
    <t>SARPY</t>
  </si>
  <si>
    <t>SAUNDERS</t>
  </si>
  <si>
    <t>SCOTTS BLUFF</t>
  </si>
  <si>
    <t>THAYER</t>
  </si>
  <si>
    <t>THURSTON</t>
  </si>
  <si>
    <t>BELKNAP</t>
  </si>
  <si>
    <t>CHESHIRE</t>
  </si>
  <si>
    <t>COOS</t>
  </si>
  <si>
    <t>GRAFTON</t>
  </si>
  <si>
    <t>MERRIMACK</t>
  </si>
  <si>
    <t>STRAFFORD</t>
  </si>
  <si>
    <t>ATLANTIC</t>
  </si>
  <si>
    <t>BERGEN</t>
  </si>
  <si>
    <t>BURLINGTON</t>
  </si>
  <si>
    <t>CAPE MAY</t>
  </si>
  <si>
    <t>GLOUCESTER</t>
  </si>
  <si>
    <t>HUDSON</t>
  </si>
  <si>
    <t>HUNTERDON</t>
  </si>
  <si>
    <t>MONMOUTH</t>
  </si>
  <si>
    <t>OCEAN</t>
  </si>
  <si>
    <t>PASSAIC</t>
  </si>
  <si>
    <t>SALEM</t>
  </si>
  <si>
    <t>BERNALILLO</t>
  </si>
  <si>
    <t>CATRON</t>
  </si>
  <si>
    <t>CHAVES</t>
  </si>
  <si>
    <t>CIBOLA</t>
  </si>
  <si>
    <t>CURRY</t>
  </si>
  <si>
    <t>DE BACA</t>
  </si>
  <si>
    <t>DONA ANA</t>
  </si>
  <si>
    <t>GUADALUPE</t>
  </si>
  <si>
    <t>HARDING</t>
  </si>
  <si>
    <t>HIDALGO</t>
  </si>
  <si>
    <t>LEA</t>
  </si>
  <si>
    <t>LOS ALAMOS</t>
  </si>
  <si>
    <t>LUNA</t>
  </si>
  <si>
    <t>MCKINLEY</t>
  </si>
  <si>
    <t>MORA</t>
  </si>
  <si>
    <t>QUAY</t>
  </si>
  <si>
    <t>RIO ARRIBA</t>
  </si>
  <si>
    <t>SANDOVAL</t>
  </si>
  <si>
    <t>SANTA FE</t>
  </si>
  <si>
    <t>SOCORRO</t>
  </si>
  <si>
    <t>TAOS</t>
  </si>
  <si>
    <t>TORRANCE</t>
  </si>
  <si>
    <t>VALENCIA</t>
  </si>
  <si>
    <t>CARSON CITY</t>
  </si>
  <si>
    <t>CHURCHILL</t>
  </si>
  <si>
    <t>ELKO</t>
  </si>
  <si>
    <t>ESMERALDA</t>
  </si>
  <si>
    <t>EUREKA</t>
  </si>
  <si>
    <t>LANDER</t>
  </si>
  <si>
    <t>NYE</t>
  </si>
  <si>
    <t>PERSHING</t>
  </si>
  <si>
    <t>STOREY</t>
  </si>
  <si>
    <t>WASHOE</t>
  </si>
  <si>
    <t>WHITE PINE</t>
  </si>
  <si>
    <t>ALBANY</t>
  </si>
  <si>
    <t>BRONX</t>
  </si>
  <si>
    <t>BROOME</t>
  </si>
  <si>
    <t>CATTARAUGUS</t>
  </si>
  <si>
    <t>CAYUGA</t>
  </si>
  <si>
    <t>CHEMUNG</t>
  </si>
  <si>
    <t>CHENANGO</t>
  </si>
  <si>
    <t>CORTLAND</t>
  </si>
  <si>
    <t>DUTCHESS</t>
  </si>
  <si>
    <t>ERIE</t>
  </si>
  <si>
    <t>HERKIMER</t>
  </si>
  <si>
    <t>NEW YORK</t>
  </si>
  <si>
    <t>NIAGARA</t>
  </si>
  <si>
    <t>ONONDAGA</t>
  </si>
  <si>
    <t>ONTARIO</t>
  </si>
  <si>
    <t>OSWEGO</t>
  </si>
  <si>
    <t>QUEENS</t>
  </si>
  <si>
    <t>RENSSELAER</t>
  </si>
  <si>
    <t>ROCKLAND</t>
  </si>
  <si>
    <t>SAINT LAWRENCE</t>
  </si>
  <si>
    <t>SARATOGA</t>
  </si>
  <si>
    <t>SCHENECTADY</t>
  </si>
  <si>
    <t>SCHOHARIE</t>
  </si>
  <si>
    <t>SENECA</t>
  </si>
  <si>
    <t>TIOGA</t>
  </si>
  <si>
    <t>TOMPKINS</t>
  </si>
  <si>
    <t>ULSTER</t>
  </si>
  <si>
    <t>WESTCHESTER</t>
  </si>
  <si>
    <t>WYOMING</t>
  </si>
  <si>
    <t>YATES</t>
  </si>
  <si>
    <t>ASHLAND</t>
  </si>
  <si>
    <t>ASHTABULA</t>
  </si>
  <si>
    <t>ATHENS</t>
  </si>
  <si>
    <t>AUGLAIZE</t>
  </si>
  <si>
    <t>BELMONT</t>
  </si>
  <si>
    <t>CLERMONT</t>
  </si>
  <si>
    <t>COLUMBIANA</t>
  </si>
  <si>
    <t>COSHOCTON</t>
  </si>
  <si>
    <t>CUYAHOGA</t>
  </si>
  <si>
    <t>DARKE</t>
  </si>
  <si>
    <t>DEFIANCE</t>
  </si>
  <si>
    <t>GALLIA</t>
  </si>
  <si>
    <t>GEAUGA</t>
  </si>
  <si>
    <t>GUERNSEY</t>
  </si>
  <si>
    <t>HIGHLAND</t>
  </si>
  <si>
    <t>HOCKING</t>
  </si>
  <si>
    <t>LICKING</t>
  </si>
  <si>
    <t>LORAIN</t>
  </si>
  <si>
    <t>MAHONING</t>
  </si>
  <si>
    <t>MEDINA</t>
  </si>
  <si>
    <t>MEIGS</t>
  </si>
  <si>
    <t>MORROW</t>
  </si>
  <si>
    <t>MUSKINGUM</t>
  </si>
  <si>
    <t>PICKAWAY</t>
  </si>
  <si>
    <t>PORTAGE</t>
  </si>
  <si>
    <t>PREBLE</t>
  </si>
  <si>
    <t>ROSS</t>
  </si>
  <si>
    <t>SANDUSKY</t>
  </si>
  <si>
    <t>SCIOTO</t>
  </si>
  <si>
    <t>TRUMBULL</t>
  </si>
  <si>
    <t>TUSCARAWAS</t>
  </si>
  <si>
    <t>VAN WERT</t>
  </si>
  <si>
    <t>VINTON</t>
  </si>
  <si>
    <t>WOOD</t>
  </si>
  <si>
    <t>WYANDOT</t>
  </si>
  <si>
    <t>ALFALFA</t>
  </si>
  <si>
    <t>ATOKA</t>
  </si>
  <si>
    <t>BEAVER</t>
  </si>
  <si>
    <t>BECKHAM</t>
  </si>
  <si>
    <t>CANADIAN</t>
  </si>
  <si>
    <t>CIMARRON</t>
  </si>
  <si>
    <t>COAL</t>
  </si>
  <si>
    <t>COTTON</t>
  </si>
  <si>
    <t>CRAIG</t>
  </si>
  <si>
    <t>CREEK</t>
  </si>
  <si>
    <t>DEWEY</t>
  </si>
  <si>
    <t>GARVIN</t>
  </si>
  <si>
    <t>GREER</t>
  </si>
  <si>
    <t>HARMON</t>
  </si>
  <si>
    <t>HUGHES</t>
  </si>
  <si>
    <t>KAY</t>
  </si>
  <si>
    <t>KINGFISHER</t>
  </si>
  <si>
    <t>LATIMER</t>
  </si>
  <si>
    <t>LE FLORE</t>
  </si>
  <si>
    <t>LOVE</t>
  </si>
  <si>
    <t>MAJOR</t>
  </si>
  <si>
    <t>MAYES</t>
  </si>
  <si>
    <t>MCCLAIN</t>
  </si>
  <si>
    <t>MCCURTAIN</t>
  </si>
  <si>
    <t>MUSKOGEE</t>
  </si>
  <si>
    <t>NOWATA</t>
  </si>
  <si>
    <t>OKFUSKEE</t>
  </si>
  <si>
    <t>OKLAHOMA</t>
  </si>
  <si>
    <t>OKMULGEE</t>
  </si>
  <si>
    <t>PAYNE</t>
  </si>
  <si>
    <t>PITTSBURG</t>
  </si>
  <si>
    <t>PUSHMATAHA</t>
  </si>
  <si>
    <t>ROGER MILLS</t>
  </si>
  <si>
    <t>ROGERS</t>
  </si>
  <si>
    <t>SEQUOYAH</t>
  </si>
  <si>
    <t>TILLMAN</t>
  </si>
  <si>
    <t>TULSA</t>
  </si>
  <si>
    <t>WAGONER</t>
  </si>
  <si>
    <t>WASHITA</t>
  </si>
  <si>
    <t>WOODS</t>
  </si>
  <si>
    <t>WOODWARD</t>
  </si>
  <si>
    <t>CLACKAMAS</t>
  </si>
  <si>
    <t>CLATSOP</t>
  </si>
  <si>
    <t>CROOK</t>
  </si>
  <si>
    <t>DESCHUTES</t>
  </si>
  <si>
    <t>GILLIAM</t>
  </si>
  <si>
    <t>HARNEY</t>
  </si>
  <si>
    <t>HOOD RIVER</t>
  </si>
  <si>
    <t>JOSEPHINE</t>
  </si>
  <si>
    <t>KLAMATH</t>
  </si>
  <si>
    <t>MALHEUR</t>
  </si>
  <si>
    <t>MULTNOMAH</t>
  </si>
  <si>
    <t>TILLAMOOK</t>
  </si>
  <si>
    <t>UMATILLA</t>
  </si>
  <si>
    <t>WALLOWA</t>
  </si>
  <si>
    <t>WASCO</t>
  </si>
  <si>
    <t>YAMHILL</t>
  </si>
  <si>
    <t>ALLEGHENY</t>
  </si>
  <si>
    <t>ARMSTRONG</t>
  </si>
  <si>
    <t>BEDFORD</t>
  </si>
  <si>
    <t>BERKS</t>
  </si>
  <si>
    <t>BLAIR</t>
  </si>
  <si>
    <t>BUCKS</t>
  </si>
  <si>
    <t>CAMBRIA</t>
  </si>
  <si>
    <t>CENTRE</t>
  </si>
  <si>
    <t>CHESTER</t>
  </si>
  <si>
    <t>CLARION</t>
  </si>
  <si>
    <t>CLEARFIELD</t>
  </si>
  <si>
    <t>DAUPHIN</t>
  </si>
  <si>
    <t>FOREST</t>
  </si>
  <si>
    <t>HUNTINGDON</t>
  </si>
  <si>
    <t>INDIANA</t>
  </si>
  <si>
    <t>JUNIATA</t>
  </si>
  <si>
    <t>LACKAWANNA</t>
  </si>
  <si>
    <t>LEBANON</t>
  </si>
  <si>
    <t>LEHIGH</t>
  </si>
  <si>
    <t>LUZERNE</t>
  </si>
  <si>
    <t>LYCOMING</t>
  </si>
  <si>
    <t>MCKEAN</t>
  </si>
  <si>
    <t>MIFFLIN</t>
  </si>
  <si>
    <t>MONTOUR</t>
  </si>
  <si>
    <t>NORTHUMBERLAND</t>
  </si>
  <si>
    <t>PHILADELPHIA</t>
  </si>
  <si>
    <t>POTTER</t>
  </si>
  <si>
    <t>SCHUYLKILL</t>
  </si>
  <si>
    <t>SNYDER</t>
  </si>
  <si>
    <t>SUSQUEHANNA</t>
  </si>
  <si>
    <t>VENANGO</t>
  </si>
  <si>
    <t>WESTMORELAND</t>
  </si>
  <si>
    <t>ADJUNTAS</t>
  </si>
  <si>
    <t>AGUADA</t>
  </si>
  <si>
    <t>AGUADILLA</t>
  </si>
  <si>
    <t>AGUAS BUENAS</t>
  </si>
  <si>
    <t>AIBONITO</t>
  </si>
  <si>
    <t>ANASCO</t>
  </si>
  <si>
    <t>ARECIBO</t>
  </si>
  <si>
    <t>ARROYO</t>
  </si>
  <si>
    <t>BARCELONETA</t>
  </si>
  <si>
    <t>BARRANQUITAS</t>
  </si>
  <si>
    <t>BAYAMON</t>
  </si>
  <si>
    <t>CABO ROJO</t>
  </si>
  <si>
    <t>CAGUAS</t>
  </si>
  <si>
    <t>CAMUY</t>
  </si>
  <si>
    <t>CANOVANAS</t>
  </si>
  <si>
    <t>CAROLINA</t>
  </si>
  <si>
    <t>CATANO</t>
  </si>
  <si>
    <t>CAYEY</t>
  </si>
  <si>
    <t>CEIBA</t>
  </si>
  <si>
    <t>CIALES</t>
  </si>
  <si>
    <t>CIDRA</t>
  </si>
  <si>
    <t>COAMO</t>
  </si>
  <si>
    <t>COMERIO</t>
  </si>
  <si>
    <t>COROZAL</t>
  </si>
  <si>
    <t>CULEBRA</t>
  </si>
  <si>
    <t>DORADO</t>
  </si>
  <si>
    <t>FAJARDO</t>
  </si>
  <si>
    <t>FLORIDA</t>
  </si>
  <si>
    <t>GUANICA</t>
  </si>
  <si>
    <t>GUAYAMA</t>
  </si>
  <si>
    <t>GUAYANILLA</t>
  </si>
  <si>
    <t>GUAYNABO</t>
  </si>
  <si>
    <t>GURABO</t>
  </si>
  <si>
    <t>HATILLO</t>
  </si>
  <si>
    <t>HORMIGUEROS</t>
  </si>
  <si>
    <t>HUMACAO</t>
  </si>
  <si>
    <t>ISABELA</t>
  </si>
  <si>
    <t>JAYUYA</t>
  </si>
  <si>
    <t>JUANA DIAZ</t>
  </si>
  <si>
    <t>JUNCOS</t>
  </si>
  <si>
    <t>LAJAS</t>
  </si>
  <si>
    <t>LARES</t>
  </si>
  <si>
    <t>LAS MARIAS</t>
  </si>
  <si>
    <t>LAS PIEDRAS</t>
  </si>
  <si>
    <t>LOIZA</t>
  </si>
  <si>
    <t>LUQUILLO</t>
  </si>
  <si>
    <t>MANATI</t>
  </si>
  <si>
    <t>MARICAO</t>
  </si>
  <si>
    <t>MAUNABO</t>
  </si>
  <si>
    <t>MAYAGUEZ</t>
  </si>
  <si>
    <t>MOCA</t>
  </si>
  <si>
    <t>MOROVIS</t>
  </si>
  <si>
    <t>NAGUABO</t>
  </si>
  <si>
    <t>NARANJITO</t>
  </si>
  <si>
    <t>OROCOVIS</t>
  </si>
  <si>
    <t>PATILLAS</t>
  </si>
  <si>
    <t>PENUELAS</t>
  </si>
  <si>
    <t>PONCE</t>
  </si>
  <si>
    <t>QUEBRADILLAS</t>
  </si>
  <si>
    <t>RINCON</t>
  </si>
  <si>
    <t>SABANA GRANDE</t>
  </si>
  <si>
    <t>SALINAS</t>
  </si>
  <si>
    <t>SAN GERMAN</t>
  </si>
  <si>
    <t>SAN LORENZO</t>
  </si>
  <si>
    <t>SAN SEBASTIAN</t>
  </si>
  <si>
    <t>SANTA ISABEL</t>
  </si>
  <si>
    <t>TOA ALTA</t>
  </si>
  <si>
    <t>TOA BAJA</t>
  </si>
  <si>
    <t>TRUJILLO ALTO</t>
  </si>
  <si>
    <t>UTUADO</t>
  </si>
  <si>
    <t>VEGA ALTA</t>
  </si>
  <si>
    <t>VEGA BAJA</t>
  </si>
  <si>
    <t>VIEQUES</t>
  </si>
  <si>
    <t>VILLALBA</t>
  </si>
  <si>
    <t>YABUCOA</t>
  </si>
  <si>
    <t>YAUCO</t>
  </si>
  <si>
    <t>PALAU</t>
  </si>
  <si>
    <t>NEWPORT</t>
  </si>
  <si>
    <t>PROVIDENCE</t>
  </si>
  <si>
    <t>ABBEVILLE</t>
  </si>
  <si>
    <t>AIKEN</t>
  </si>
  <si>
    <t>ALLENDALE</t>
  </si>
  <si>
    <t>BAMBERG</t>
  </si>
  <si>
    <t>BARNWELL</t>
  </si>
  <si>
    <t>BERKELEY</t>
  </si>
  <si>
    <t>CHARLESTON</t>
  </si>
  <si>
    <t>CHESTERFIELD</t>
  </si>
  <si>
    <t>CLARENDON</t>
  </si>
  <si>
    <t>COLLETON</t>
  </si>
  <si>
    <t>DARLINGTON</t>
  </si>
  <si>
    <t>DILLON</t>
  </si>
  <si>
    <t>EDGEFIELD</t>
  </si>
  <si>
    <t>FLORENCE</t>
  </si>
  <si>
    <t>GEORGETOWN</t>
  </si>
  <si>
    <t>GREENVILLE</t>
  </si>
  <si>
    <t>HAMPTON</t>
  </si>
  <si>
    <t>HORRY</t>
  </si>
  <si>
    <t>KERSHAW</t>
  </si>
  <si>
    <t>LEXINGTON</t>
  </si>
  <si>
    <t>MARLBORO</t>
  </si>
  <si>
    <t>MCCORMICK</t>
  </si>
  <si>
    <t>NEWBERRY</t>
  </si>
  <si>
    <t>ORANGEBURG</t>
  </si>
  <si>
    <t>SALUDA</t>
  </si>
  <si>
    <t>SPARTANBURG</t>
  </si>
  <si>
    <t>WILLIAMSBURG</t>
  </si>
  <si>
    <t>AURORA</t>
  </si>
  <si>
    <t>BEADLE</t>
  </si>
  <si>
    <t>BENNETT</t>
  </si>
  <si>
    <t>BON HOMME</t>
  </si>
  <si>
    <t>BROOKINGS</t>
  </si>
  <si>
    <t>BRULE</t>
  </si>
  <si>
    <t>CHARLES MIX</t>
  </si>
  <si>
    <t>CODINGTON</t>
  </si>
  <si>
    <t>CORSON</t>
  </si>
  <si>
    <t>DAVISON</t>
  </si>
  <si>
    <t>DAY</t>
  </si>
  <si>
    <t>EDMUNDS</t>
  </si>
  <si>
    <t>FALL RIVER</t>
  </si>
  <si>
    <t>FAULK</t>
  </si>
  <si>
    <t>GREGORY</t>
  </si>
  <si>
    <t>HAAKON</t>
  </si>
  <si>
    <t>HAMLIN</t>
  </si>
  <si>
    <t>HAND</t>
  </si>
  <si>
    <t>HANSON</t>
  </si>
  <si>
    <t>HUTCHINSON</t>
  </si>
  <si>
    <t>JERAULD</t>
  </si>
  <si>
    <t>KINGSBURY</t>
  </si>
  <si>
    <t>LYMAN</t>
  </si>
  <si>
    <t>MCCOOK</t>
  </si>
  <si>
    <t>MELLETTE</t>
  </si>
  <si>
    <t>MINER</t>
  </si>
  <si>
    <t>MINNEHAHA</t>
  </si>
  <si>
    <t>MOODY</t>
  </si>
  <si>
    <t>OGLALA LAKOTA</t>
  </si>
  <si>
    <t>ROBERTS</t>
  </si>
  <si>
    <t>SANBORN</t>
  </si>
  <si>
    <t>SPINK</t>
  </si>
  <si>
    <t>STANLEY</t>
  </si>
  <si>
    <t>SULLY</t>
  </si>
  <si>
    <t>TRIPP</t>
  </si>
  <si>
    <t>WALWORTH</t>
  </si>
  <si>
    <t>YANKTON</t>
  </si>
  <si>
    <t>ZIEBACH</t>
  </si>
  <si>
    <t>BLEDSOE</t>
  </si>
  <si>
    <t>CANNON</t>
  </si>
  <si>
    <t>CHEATHAM</t>
  </si>
  <si>
    <t>COCKE</t>
  </si>
  <si>
    <t>CROCKETT</t>
  </si>
  <si>
    <t>DICKSON</t>
  </si>
  <si>
    <t>DYER</t>
  </si>
  <si>
    <t>FENTRESS</t>
  </si>
  <si>
    <t>GILES</t>
  </si>
  <si>
    <t>GRAINGER</t>
  </si>
  <si>
    <t>HAMBLEN</t>
  </si>
  <si>
    <t>HARDEMAN</t>
  </si>
  <si>
    <t>HAWKINS</t>
  </si>
  <si>
    <t>LOUDON</t>
  </si>
  <si>
    <t>MAURY</t>
  </si>
  <si>
    <t>MCMINN</t>
  </si>
  <si>
    <t>MCNAIRY</t>
  </si>
  <si>
    <t>OBION</t>
  </si>
  <si>
    <t>OVERTON</t>
  </si>
  <si>
    <t>PICKETT</t>
  </si>
  <si>
    <t>RHEA</t>
  </si>
  <si>
    <t>ROANE</t>
  </si>
  <si>
    <t>SEQUATCHIE</t>
  </si>
  <si>
    <t>TROUSDALE</t>
  </si>
  <si>
    <t>UNICOI</t>
  </si>
  <si>
    <t>WEAKLEY</t>
  </si>
  <si>
    <t>ANDREWS</t>
  </si>
  <si>
    <t>ANGELINA</t>
  </si>
  <si>
    <t>ARANSAS</t>
  </si>
  <si>
    <t>ARCHER</t>
  </si>
  <si>
    <t>ATASCOSA</t>
  </si>
  <si>
    <t>AUSTIN</t>
  </si>
  <si>
    <t>BAILEY</t>
  </si>
  <si>
    <t>BANDERA</t>
  </si>
  <si>
    <t>BASTROP</t>
  </si>
  <si>
    <t>BAYLOR</t>
  </si>
  <si>
    <t>BEE</t>
  </si>
  <si>
    <t>BEXAR</t>
  </si>
  <si>
    <t>BLANCO</t>
  </si>
  <si>
    <t>BORDEN</t>
  </si>
  <si>
    <t>BOSQUE</t>
  </si>
  <si>
    <t>BOWIE</t>
  </si>
  <si>
    <t>BRAZORIA</t>
  </si>
  <si>
    <t>BRAZOS</t>
  </si>
  <si>
    <t>BREWSTER</t>
  </si>
  <si>
    <t>BRISCOE</t>
  </si>
  <si>
    <t>BURLESON</t>
  </si>
  <si>
    <t>BURNET</t>
  </si>
  <si>
    <t>CALLAHAN</t>
  </si>
  <si>
    <t>CAMP</t>
  </si>
  <si>
    <t>CARSON</t>
  </si>
  <si>
    <t>CASTRO</t>
  </si>
  <si>
    <t>CHILDRESS</t>
  </si>
  <si>
    <t>COCHRAN</t>
  </si>
  <si>
    <t>COKE</t>
  </si>
  <si>
    <t>COLEMAN</t>
  </si>
  <si>
    <t>COLLIN</t>
  </si>
  <si>
    <t>COLLINGSWORTH</t>
  </si>
  <si>
    <t>COLORADO</t>
  </si>
  <si>
    <t>COMAL</t>
  </si>
  <si>
    <t>CONCHO</t>
  </si>
  <si>
    <t>COOKE</t>
  </si>
  <si>
    <t>CORYELL</t>
  </si>
  <si>
    <t>COTTLE</t>
  </si>
  <si>
    <t>CRANE</t>
  </si>
  <si>
    <t>CROSBY</t>
  </si>
  <si>
    <t>CULBERSON</t>
  </si>
  <si>
    <t>DALLAM</t>
  </si>
  <si>
    <t>DE WITT</t>
  </si>
  <si>
    <t>DEAF SMITH</t>
  </si>
  <si>
    <t>DENTON</t>
  </si>
  <si>
    <t>DICKENS</t>
  </si>
  <si>
    <t>DIMMIT</t>
  </si>
  <si>
    <t>DONLEY</t>
  </si>
  <si>
    <t>EASTLAND</t>
  </si>
  <si>
    <t>ECTOR</t>
  </si>
  <si>
    <t>ERATH</t>
  </si>
  <si>
    <t>FALLS</t>
  </si>
  <si>
    <t>FISHER</t>
  </si>
  <si>
    <t>FOARD</t>
  </si>
  <si>
    <t>FORT BEND</t>
  </si>
  <si>
    <t>FREESTONE</t>
  </si>
  <si>
    <t>FRIO</t>
  </si>
  <si>
    <t>GAINES</t>
  </si>
  <si>
    <t>GALVESTON</t>
  </si>
  <si>
    <t>GARZA</t>
  </si>
  <si>
    <t>GILLESPIE</t>
  </si>
  <si>
    <t>GLASSCOCK</t>
  </si>
  <si>
    <t>GOLIAD</t>
  </si>
  <si>
    <t>GONZALES</t>
  </si>
  <si>
    <t>GREGG</t>
  </si>
  <si>
    <t>GRIMES</t>
  </si>
  <si>
    <t>HANSFORD</t>
  </si>
  <si>
    <t>HARTLEY</t>
  </si>
  <si>
    <t>HAYS</t>
  </si>
  <si>
    <t>HEMPHILL</t>
  </si>
  <si>
    <t>HOCKLEY</t>
  </si>
  <si>
    <t>HOOD</t>
  </si>
  <si>
    <t>HUDSPETH</t>
  </si>
  <si>
    <t>HUNT</t>
  </si>
  <si>
    <t>IRION</t>
  </si>
  <si>
    <t>JACK</t>
  </si>
  <si>
    <t>JIM HOGG</t>
  </si>
  <si>
    <t>JIM WELLS</t>
  </si>
  <si>
    <t>KARNES</t>
  </si>
  <si>
    <t>KAUFMAN</t>
  </si>
  <si>
    <t>KENEDY</t>
  </si>
  <si>
    <t>KERR</t>
  </si>
  <si>
    <t>KIMBLE</t>
  </si>
  <si>
    <t>KING</t>
  </si>
  <si>
    <t>KINNEY</t>
  </si>
  <si>
    <t>KLEBERG</t>
  </si>
  <si>
    <t>LAMB</t>
  </si>
  <si>
    <t>LAMPASAS</t>
  </si>
  <si>
    <t>LAVACA</t>
  </si>
  <si>
    <t>LIPSCOMB</t>
  </si>
  <si>
    <t>LIVE OAK</t>
  </si>
  <si>
    <t>LLANO</t>
  </si>
  <si>
    <t>LOVING</t>
  </si>
  <si>
    <t>LUBBOCK</t>
  </si>
  <si>
    <t>LYNN</t>
  </si>
  <si>
    <t>MATAGORDA</t>
  </si>
  <si>
    <t>MAVERICK</t>
  </si>
  <si>
    <t>MCCULLOCH</t>
  </si>
  <si>
    <t>MCLENNAN</t>
  </si>
  <si>
    <t>MCMULLEN</t>
  </si>
  <si>
    <t>MILAM</t>
  </si>
  <si>
    <t>MONTAGUE</t>
  </si>
  <si>
    <t>MOTLEY</t>
  </si>
  <si>
    <t>NACOGDOCHES</t>
  </si>
  <si>
    <t>NAVARRO</t>
  </si>
  <si>
    <t>NOLAN</t>
  </si>
  <si>
    <t>NUECES</t>
  </si>
  <si>
    <t>OCHILTREE</t>
  </si>
  <si>
    <t>PALO PINTO</t>
  </si>
  <si>
    <t>PARKER</t>
  </si>
  <si>
    <t>PARMER</t>
  </si>
  <si>
    <t>PECOS</t>
  </si>
  <si>
    <t>PRESIDIO</t>
  </si>
  <si>
    <t>RAINS</t>
  </si>
  <si>
    <t>RANDALL</t>
  </si>
  <si>
    <t>REAGAN</t>
  </si>
  <si>
    <t>REAL</t>
  </si>
  <si>
    <t>REEVES</t>
  </si>
  <si>
    <t>REFUGIO</t>
  </si>
  <si>
    <t>ROCKWALL</t>
  </si>
  <si>
    <t>RUNNELS</t>
  </si>
  <si>
    <t>RUSK</t>
  </si>
  <si>
    <t>SAN AUGUSTINE</t>
  </si>
  <si>
    <t>SAN JACINTO</t>
  </si>
  <si>
    <t>SAN PATRICIO</t>
  </si>
  <si>
    <t>SAN SABA</t>
  </si>
  <si>
    <t>SCHLEICHER</t>
  </si>
  <si>
    <t>SCURRY</t>
  </si>
  <si>
    <t>SHACKELFORD</t>
  </si>
  <si>
    <t>SOMERVELL</t>
  </si>
  <si>
    <t>STARR</t>
  </si>
  <si>
    <t>STERLING</t>
  </si>
  <si>
    <t>STONEWALL</t>
  </si>
  <si>
    <t>SUTTON</t>
  </si>
  <si>
    <t>SWISHER</t>
  </si>
  <si>
    <t>TARRANT</t>
  </si>
  <si>
    <t>TERRY</t>
  </si>
  <si>
    <t>THROCKMORTON</t>
  </si>
  <si>
    <t>TITUS</t>
  </si>
  <si>
    <t>TOM GREEN</t>
  </si>
  <si>
    <t>TRAVIS</t>
  </si>
  <si>
    <t>TYLER</t>
  </si>
  <si>
    <t>UPSHUR</t>
  </si>
  <si>
    <t>UPTON</t>
  </si>
  <si>
    <t>UVALDE</t>
  </si>
  <si>
    <t>VAL VERDE</t>
  </si>
  <si>
    <t>VAN ZANDT</t>
  </si>
  <si>
    <t>VICTORIA</t>
  </si>
  <si>
    <t>WALLER</t>
  </si>
  <si>
    <t>WEBB</t>
  </si>
  <si>
    <t>WHARTON</t>
  </si>
  <si>
    <t>WILBARGER</t>
  </si>
  <si>
    <t>WILLACY</t>
  </si>
  <si>
    <t>WINKLER</t>
  </si>
  <si>
    <t>WISE</t>
  </si>
  <si>
    <t>YOAKUM</t>
  </si>
  <si>
    <t>YOUNG</t>
  </si>
  <si>
    <t>ZAPATA</t>
  </si>
  <si>
    <t>ZAVALA</t>
  </si>
  <si>
    <t>BOX ELDER</t>
  </si>
  <si>
    <t>CACHE</t>
  </si>
  <si>
    <t>DAGGETT</t>
  </si>
  <si>
    <t>DUCHESNE</t>
  </si>
  <si>
    <t>EMERY</t>
  </si>
  <si>
    <t>JUAB</t>
  </si>
  <si>
    <t>MILLARD</t>
  </si>
  <si>
    <t>PIUTE</t>
  </si>
  <si>
    <t>RICH</t>
  </si>
  <si>
    <t>SALT LAKE</t>
  </si>
  <si>
    <t>SANPETE</t>
  </si>
  <si>
    <t>TOOELE</t>
  </si>
  <si>
    <t>UINTAH</t>
  </si>
  <si>
    <t>UTAH</t>
  </si>
  <si>
    <t>WASATCH</t>
  </si>
  <si>
    <t>WEBER</t>
  </si>
  <si>
    <t>ACCOMACK</t>
  </si>
  <si>
    <t>ALBEMARLE</t>
  </si>
  <si>
    <t>ALEXANDRIA CITY</t>
  </si>
  <si>
    <t>AMELIA</t>
  </si>
  <si>
    <t>AMHERST</t>
  </si>
  <si>
    <t>APPOMATTOX</t>
  </si>
  <si>
    <t>ARLINGTON</t>
  </si>
  <si>
    <t>AUGUSTA</t>
  </si>
  <si>
    <t>BEDFORD CITY</t>
  </si>
  <si>
    <t>BLAND</t>
  </si>
  <si>
    <t>BOTETOURT</t>
  </si>
  <si>
    <t>BRISTOL CITY</t>
  </si>
  <si>
    <t>BUCKINGHAM</t>
  </si>
  <si>
    <t>BUENA VISTA CITY</t>
  </si>
  <si>
    <t>CHARLES CITY</t>
  </si>
  <si>
    <t>CHARLOTTESVILLE CITY</t>
  </si>
  <si>
    <t>CHESAPEAKE CITY</t>
  </si>
  <si>
    <t>COLONIAL HEIGHTS CITY</t>
  </si>
  <si>
    <t>COVINGTON CITY</t>
  </si>
  <si>
    <t>CULPEPER</t>
  </si>
  <si>
    <t>DANVILLE CITY</t>
  </si>
  <si>
    <t>DICKENSON</t>
  </si>
  <si>
    <t>DINWIDDIE</t>
  </si>
  <si>
    <t>EMPORIA CITY</t>
  </si>
  <si>
    <t>FAIRFAX</t>
  </si>
  <si>
    <t>FAIRFAX CITY</t>
  </si>
  <si>
    <t>FALLS CHURCH CITY</t>
  </si>
  <si>
    <t>FAUQUIER</t>
  </si>
  <si>
    <t>FLUVANNA</t>
  </si>
  <si>
    <t>FRANKLIN CITY</t>
  </si>
  <si>
    <t>FREDERICKSBURG CITY</t>
  </si>
  <si>
    <t>GALAX CITY</t>
  </si>
  <si>
    <t>GOOCHLAND</t>
  </si>
  <si>
    <t>GREENSVILLE</t>
  </si>
  <si>
    <t>HAMPTON CITY</t>
  </si>
  <si>
    <t>HANOVER</t>
  </si>
  <si>
    <t>HARRISONBURG CITY</t>
  </si>
  <si>
    <t>HENRICO</t>
  </si>
  <si>
    <t>HOPEWELL CITY</t>
  </si>
  <si>
    <t>ISLE OF WIGHT</t>
  </si>
  <si>
    <t>JAMES CITY</t>
  </si>
  <si>
    <t>KING AND QUEEN</t>
  </si>
  <si>
    <t>KING GEORGE</t>
  </si>
  <si>
    <t>KING WILLIAM</t>
  </si>
  <si>
    <t>LEXINGTON CITY</t>
  </si>
  <si>
    <t>LOUDOUN</t>
  </si>
  <si>
    <t>LUNENBURG</t>
  </si>
  <si>
    <t>LYNCHBURG CITY</t>
  </si>
  <si>
    <t>MANASSAS CITY</t>
  </si>
  <si>
    <t>MANASSAS PARK CITY</t>
  </si>
  <si>
    <t>MARTINSVILLE CITY</t>
  </si>
  <si>
    <t>MATHEWS</t>
  </si>
  <si>
    <t>NEW KENT</t>
  </si>
  <si>
    <t>NEWPORT NEWS CITY</t>
  </si>
  <si>
    <t>NORFOLK CITY</t>
  </si>
  <si>
    <t>NORTON CITY</t>
  </si>
  <si>
    <t>NOTTOWAY</t>
  </si>
  <si>
    <t>PATRICK</t>
  </si>
  <si>
    <t>PETERSBURG CITY</t>
  </si>
  <si>
    <t>PITTSYLVANIA</t>
  </si>
  <si>
    <t>POQUOSON CITY</t>
  </si>
  <si>
    <t>PORTSMOUTH CITY</t>
  </si>
  <si>
    <t>POWHATAN</t>
  </si>
  <si>
    <t>PRINCE EDWARD</t>
  </si>
  <si>
    <t>PRINCE GEORGE</t>
  </si>
  <si>
    <t>PRINCE WILLIAM</t>
  </si>
  <si>
    <t>RADFORD</t>
  </si>
  <si>
    <t>RAPPAHANNOCK</t>
  </si>
  <si>
    <t>RICHMOND CITY</t>
  </si>
  <si>
    <t>ROANOKE</t>
  </si>
  <si>
    <t>ROANOKE CITY</t>
  </si>
  <si>
    <t>ROCKBRIDGE</t>
  </si>
  <si>
    <t>SHENANDOAH</t>
  </si>
  <si>
    <t>SMYTH</t>
  </si>
  <si>
    <t>SOUTHAMPTON</t>
  </si>
  <si>
    <t>SPOTSYLVANIA</t>
  </si>
  <si>
    <t>STAUNTON CITY</t>
  </si>
  <si>
    <t>SUFFOLK CITY</t>
  </si>
  <si>
    <t>VIRGINIA BEACH CITY</t>
  </si>
  <si>
    <t>WAYNESBORO CITY</t>
  </si>
  <si>
    <t>WILLIAMSBURG CITY</t>
  </si>
  <si>
    <t>WINCHESTER CITY</t>
  </si>
  <si>
    <t>WYTHE</t>
  </si>
  <si>
    <t>SAINT CROIX</t>
  </si>
  <si>
    <t>SAINT JOHN</t>
  </si>
  <si>
    <t>SAINT THOMAS</t>
  </si>
  <si>
    <t>ADDISON</t>
  </si>
  <si>
    <t>BENNINGTON</t>
  </si>
  <si>
    <t>CALEDONIA</t>
  </si>
  <si>
    <t>CHITTENDEN</t>
  </si>
  <si>
    <t>GRAND ISLE</t>
  </si>
  <si>
    <t>LAMOILLE</t>
  </si>
  <si>
    <t>RUTLAND</t>
  </si>
  <si>
    <t>WINDSOR</t>
  </si>
  <si>
    <t>ASOTIN</t>
  </si>
  <si>
    <t>CHELAN</t>
  </si>
  <si>
    <t>CLALLAM</t>
  </si>
  <si>
    <t>COWLITZ</t>
  </si>
  <si>
    <t>FERRY</t>
  </si>
  <si>
    <t>GRAYS HARBOR</t>
  </si>
  <si>
    <t>ISLAND</t>
  </si>
  <si>
    <t>KITSAP</t>
  </si>
  <si>
    <t>KITTITAS</t>
  </si>
  <si>
    <t>KLICKITAT</t>
  </si>
  <si>
    <t>OKANOGAN</t>
  </si>
  <si>
    <t>PACIFIC</t>
  </si>
  <si>
    <t>PEND OREILLE</t>
  </si>
  <si>
    <t>SKAGIT</t>
  </si>
  <si>
    <t>SKAMANIA</t>
  </si>
  <si>
    <t>SNOHOMISH</t>
  </si>
  <si>
    <t>SPOKANE</t>
  </si>
  <si>
    <t>WAHKIAKUM</t>
  </si>
  <si>
    <t>WALLA WALLA</t>
  </si>
  <si>
    <t>WHATCOM</t>
  </si>
  <si>
    <t>WHITMAN</t>
  </si>
  <si>
    <t>YAKIMA</t>
  </si>
  <si>
    <t>BARRON</t>
  </si>
  <si>
    <t>BAYFIELD</t>
  </si>
  <si>
    <t>BURNETT</t>
  </si>
  <si>
    <t>CALUMET</t>
  </si>
  <si>
    <t>DANE</t>
  </si>
  <si>
    <t>DOOR</t>
  </si>
  <si>
    <t>EAU CLAIRE</t>
  </si>
  <si>
    <t>FOND DU LAC</t>
  </si>
  <si>
    <t>GREEN LAKE</t>
  </si>
  <si>
    <t>KENOSHA</t>
  </si>
  <si>
    <t>KEWAUNEE</t>
  </si>
  <si>
    <t>LA CROSSE</t>
  </si>
  <si>
    <t>LANGLADE</t>
  </si>
  <si>
    <t>MANITOWOC</t>
  </si>
  <si>
    <t>MARATHON</t>
  </si>
  <si>
    <t>MARINETTE</t>
  </si>
  <si>
    <t>MILWAUKEE</t>
  </si>
  <si>
    <t>OCONTO</t>
  </si>
  <si>
    <t>OUTAGAMIE</t>
  </si>
  <si>
    <t>OZAUKEE</t>
  </si>
  <si>
    <t>PEPIN</t>
  </si>
  <si>
    <t>PRICE</t>
  </si>
  <si>
    <t>RACINE</t>
  </si>
  <si>
    <t>SAUK</t>
  </si>
  <si>
    <t>SAWYER</t>
  </si>
  <si>
    <t>SHAWANO</t>
  </si>
  <si>
    <t>SHEBOYGAN</t>
  </si>
  <si>
    <t>TREMPEALEAU</t>
  </si>
  <si>
    <t>VILAS</t>
  </si>
  <si>
    <t>WASHBURN</t>
  </si>
  <si>
    <t>WAUKESHA</t>
  </si>
  <si>
    <t>WAUPACA</t>
  </si>
  <si>
    <t>WAUSHARA</t>
  </si>
  <si>
    <t>BRAXTON</t>
  </si>
  <si>
    <t>BROOKE</t>
  </si>
  <si>
    <t>CABELL</t>
  </si>
  <si>
    <t>DODDRIDGE</t>
  </si>
  <si>
    <t>GREENBRIER</t>
  </si>
  <si>
    <t>HARDY</t>
  </si>
  <si>
    <t>KANAWHA</t>
  </si>
  <si>
    <t>MINGO</t>
  </si>
  <si>
    <t>MONONGALIA</t>
  </si>
  <si>
    <t>PLEASANTS</t>
  </si>
  <si>
    <t>PRESTON</t>
  </si>
  <si>
    <t>RALEIGH</t>
  </si>
  <si>
    <t>RITCHIE</t>
  </si>
  <si>
    <t>SUMMERS</t>
  </si>
  <si>
    <t>TUCKER</t>
  </si>
  <si>
    <t>WETZEL</t>
  </si>
  <si>
    <t>WIRT</t>
  </si>
  <si>
    <t>CONVERSE</t>
  </si>
  <si>
    <t>GOSHEN</t>
  </si>
  <si>
    <t>HOT SPRINGS</t>
  </si>
  <si>
    <t>LARAMIE</t>
  </si>
  <si>
    <t>NATRONA</t>
  </si>
  <si>
    <t>NIOBRARA</t>
  </si>
  <si>
    <t>SUBLETTE</t>
  </si>
  <si>
    <t>SWEETWATER</t>
  </si>
  <si>
    <t>UINTA</t>
  </si>
  <si>
    <t>WASHAKIE</t>
  </si>
  <si>
    <t>WESTON</t>
  </si>
  <si>
    <t>Work Location</t>
  </si>
  <si>
    <t>Division</t>
  </si>
  <si>
    <t>Employment Type II</t>
  </si>
  <si>
    <t>Employment Classification II</t>
  </si>
  <si>
    <t>Employment Classification I</t>
  </si>
  <si>
    <t>Salary Effective Date</t>
  </si>
  <si>
    <t>Employment
Status*</t>
  </si>
  <si>
    <t>Employment Type I*</t>
  </si>
  <si>
    <t>Pay Type*</t>
  </si>
  <si>
    <t>Pay Frequency*</t>
  </si>
  <si>
    <t>Dep Rrelation</t>
  </si>
  <si>
    <t>Dep Disable</t>
  </si>
  <si>
    <t>Male</t>
  </si>
  <si>
    <t>Yes</t>
  </si>
  <si>
    <t>Active</t>
  </si>
  <si>
    <t>Death</t>
  </si>
  <si>
    <t>Full Time</t>
  </si>
  <si>
    <t>Salaried</t>
  </si>
  <si>
    <t>Monthly</t>
  </si>
  <si>
    <t>Permanent</t>
  </si>
  <si>
    <t>Union</t>
  </si>
  <si>
    <t>Exempt</t>
  </si>
  <si>
    <t>Spouse</t>
  </si>
  <si>
    <t>Female</t>
  </si>
  <si>
    <t>NO</t>
  </si>
  <si>
    <t>Terminated</t>
  </si>
  <si>
    <t>Retirement</t>
  </si>
  <si>
    <t>Part Time</t>
  </si>
  <si>
    <t>Hourly</t>
  </si>
  <si>
    <t>Semi-Monthly</t>
  </si>
  <si>
    <t>Temporary</t>
  </si>
  <si>
    <t>Non-Union</t>
  </si>
  <si>
    <t>Non-Exempt</t>
  </si>
  <si>
    <t>Child</t>
  </si>
  <si>
    <t>No</t>
  </si>
  <si>
    <t>I</t>
  </si>
  <si>
    <t>Voluntary Termination of Employment</t>
  </si>
  <si>
    <t>Other</t>
  </si>
  <si>
    <t>Bi-Weekly</t>
  </si>
  <si>
    <t>Domestic Partner</t>
  </si>
  <si>
    <t>II</t>
  </si>
  <si>
    <t>Involuntary Termination of Employment</t>
  </si>
  <si>
    <t>Weekly</t>
  </si>
  <si>
    <t>Other dependent</t>
  </si>
  <si>
    <t>III</t>
  </si>
  <si>
    <t>Permanent Disability</t>
  </si>
  <si>
    <r>
      <t>Mandatory (</t>
    </r>
    <r>
      <rPr>
        <sz val="11"/>
        <color rgb="FFFF0000"/>
        <rFont val="Calibri"/>
        <family val="2"/>
      </rPr>
      <t>*</t>
    </r>
    <r>
      <rPr>
        <sz val="11"/>
        <color indexed="8"/>
        <rFont val="Calibri"/>
        <family val="2"/>
      </rPr>
      <t>)</t>
    </r>
  </si>
  <si>
    <t>Optional</t>
  </si>
  <si>
    <t xml:space="preserve">Legend
</t>
  </si>
  <si>
    <t>IV</t>
  </si>
  <si>
    <r>
      <t>Dependent 1 First Name</t>
    </r>
    <r>
      <rPr>
        <b/>
        <sz val="10"/>
        <color rgb="FFFF0000"/>
        <rFont val="Calibri"/>
        <family val="2"/>
      </rPr>
      <t>*</t>
    </r>
  </si>
  <si>
    <r>
      <t>Dependent 1 Last Name</t>
    </r>
    <r>
      <rPr>
        <b/>
        <sz val="10"/>
        <color rgb="FFFF0000"/>
        <rFont val="Calibri"/>
        <family val="2"/>
      </rPr>
      <t>*</t>
    </r>
  </si>
  <si>
    <r>
      <t>Dependent 1 DOB</t>
    </r>
    <r>
      <rPr>
        <b/>
        <sz val="10"/>
        <color rgb="FFFF0000"/>
        <rFont val="Calibri"/>
        <family val="2"/>
      </rPr>
      <t>*</t>
    </r>
  </si>
  <si>
    <r>
      <t>Dependent 1 Relationship</t>
    </r>
    <r>
      <rPr>
        <b/>
        <sz val="10"/>
        <color rgb="FFFF0000"/>
        <rFont val="Calibri"/>
        <family val="2"/>
      </rPr>
      <t>*</t>
    </r>
  </si>
  <si>
    <t>Dependent 1 is Disabled</t>
  </si>
  <si>
    <t>${customClassCol}</t>
  </si>
  <si>
    <t>&lt;jx:forEach items="${customClassCols}" var="customClassCol"&gt;</t>
  </si>
  <si>
    <t>&lt;/jx:forEach&gt;</t>
  </si>
  <si>
    <t>&lt;jx:forEach items="${dependentCols}" var="dependentCol"&gt;</t>
  </si>
  <si>
    <t>Dependent ${dependentCol} Prefix</t>
  </si>
  <si>
    <t>Dependent ${dependentCol} First Name*</t>
  </si>
  <si>
    <t>Dependent ${dependentCol} Middle Initial</t>
  </si>
  <si>
    <t>Dependent ${dependentCol} Last Name*</t>
  </si>
  <si>
    <t>Dependent ${dependentCol} Suffix</t>
  </si>
  <si>
    <t>Dependent ${dependentCol} DOB*</t>
  </si>
  <si>
    <t>Dependent ${dependentCol} Relationship*</t>
  </si>
  <si>
    <t>Dependent ${dependentCol} is Disabled</t>
  </si>
  <si>
    <t>${employee.firstName}</t>
  </si>
  <si>
    <t>${employee.middleInitial}</t>
  </si>
  <si>
    <t>${employee.lastName}</t>
  </si>
  <si>
    <t>${employee.dob}</t>
  </si>
  <si>
    <t>${employee.ssn}</t>
  </si>
  <si>
    <t>${employee.employeeID}</t>
  </si>
  <si>
    <t>${employee.dateOfHire}</t>
  </si>
  <si>
    <t>${employee.terminationDate}</t>
  </si>
  <si>
    <t>${employee.annualSalary}</t>
  </si>
  <si>
    <t>${employee.salaryEffectiveDate}</t>
  </si>
  <si>
    <t>${employee.hourlyPayRate}</t>
  </si>
  <si>
    <t>${employee.segment}</t>
  </si>
  <si>
    <t>${employee.designation}</t>
  </si>
  <si>
    <t>${employee.employmentclassification2}</t>
  </si>
  <si>
    <t>${employee.worklocation}</t>
  </si>
  <si>
    <t>${employee.division}</t>
  </si>
  <si>
    <t>${employee.personalEmail}</t>
  </si>
  <si>
    <t>${employee.officialEmail}</t>
  </si>
  <si>
    <t>${employee.phoneNumber}</t>
  </si>
  <si>
    <t>${employee.addressLine1}</t>
  </si>
  <si>
    <t>${employee.addressLine2}</t>
  </si>
  <si>
    <t>${employee.city}</t>
  </si>
  <si>
    <t>${employee.zipCode}</t>
  </si>
  <si>
    <t>&lt;jx:forEach items="${employee.customClassFieldList}" var="customClassField"&gt;</t>
  </si>
  <si>
    <t>${customClassField.value}</t>
  </si>
  <si>
    <t>&lt;jx:forEach items="${employee.dependentList}" var="dependent"&gt;</t>
  </si>
  <si>
    <t>${dependent.prefix}</t>
  </si>
  <si>
    <t>${dependent.firstName}</t>
  </si>
  <si>
    <t>${dependent.middleInitial}</t>
  </si>
  <si>
    <t>${dependent.lastName}</t>
  </si>
  <si>
    <t>${dependent.suffix}</t>
  </si>
  <si>
    <t>${dependent.dob}</t>
  </si>
  <si>
    <t>${dependent.gender}</t>
  </si>
  <si>
    <t>${dependent.tobaccoUsage}</t>
  </si>
  <si>
    <t>${dependent.relationship}</t>
  </si>
  <si>
    <t>${dependent.isDisabled}</t>
  </si>
  <si>
    <t>&lt;jx:forEach items="${employees}" var="employee"&gt;</t>
  </si>
  <si>
    <t>${employee.fein}</t>
  </si>
  <si>
    <t>Employer Identification Number</t>
  </si>
  <si>
    <r>
      <t xml:space="preserve"> Employee Gender</t>
    </r>
    <r>
      <rPr>
        <b/>
        <sz val="10"/>
        <color rgb="FFFF0000"/>
        <rFont val="Calibri"/>
        <family val="2"/>
      </rPr>
      <t>*</t>
    </r>
  </si>
  <si>
    <t>custom</t>
  </si>
  <si>
    <t>Employee Tobacco usage in last 12 months</t>
  </si>
  <si>
    <t>Employee tobacco_usage in last 12 months (Yes/No)</t>
  </si>
  <si>
    <t>Dependent 1 Tobacco usage in last 12 months</t>
  </si>
  <si>
    <t>Tobacco usage in last 12 months</t>
  </si>
  <si>
    <t>Dependent ${dependentCol} Tobacco usage in last 12 months</t>
  </si>
  <si>
    <r>
      <t>Conditional(</t>
    </r>
    <r>
      <rPr>
        <sz val="11"/>
        <color rgb="FFFF0000"/>
        <rFont val="Calibri"/>
        <family val="2"/>
      </rPr>
      <t>**</t>
    </r>
    <r>
      <rPr>
        <sz val="11"/>
        <color indexed="8"/>
        <rFont val="Calibri"/>
        <family val="2"/>
      </rPr>
      <t>)</t>
    </r>
  </si>
  <si>
    <t>Hourly Pay Rate**</t>
  </si>
  <si>
    <t>Working Hours per Week(Digits)**</t>
  </si>
  <si>
    <r>
      <t>Annual Salary(Digits)</t>
    </r>
    <r>
      <rPr>
        <b/>
        <sz val="10"/>
        <color rgb="FFFF0000"/>
        <rFont val="Calibri"/>
        <family val="2"/>
      </rPr>
      <t>**</t>
    </r>
  </si>
  <si>
    <r>
      <t>Working Hours per Week(Digits)</t>
    </r>
    <r>
      <rPr>
        <b/>
        <sz val="10"/>
        <color rgb="FFFF0000"/>
        <rFont val="Calibri"/>
        <family val="2"/>
      </rPr>
      <t>**</t>
    </r>
  </si>
  <si>
    <r>
      <t>Hourly Pay Rate</t>
    </r>
    <r>
      <rPr>
        <b/>
        <sz val="10"/>
        <color rgb="FFFF0000"/>
        <rFont val="Calibri"/>
        <family val="2"/>
      </rPr>
      <t>**</t>
    </r>
  </si>
  <si>
    <r>
      <t>Dependent 1 Gender</t>
    </r>
    <r>
      <rPr>
        <b/>
        <sz val="10"/>
        <color rgb="FFFF0000"/>
        <rFont val="Calibri"/>
        <family val="2"/>
      </rPr>
      <t>*</t>
    </r>
  </si>
  <si>
    <t>Dependent ${dependentCol} Gender*</t>
  </si>
  <si>
    <r>
      <t>1. Each row will represent one employee in the organization.
2. Mandatory fields are marked by a red asterisk '</t>
    </r>
    <r>
      <rPr>
        <sz val="11"/>
        <color rgb="FFFF0000"/>
        <rFont val="Calibri"/>
        <family val="2"/>
      </rPr>
      <t>*</t>
    </r>
    <r>
      <rPr>
        <sz val="11"/>
        <color indexed="8"/>
        <rFont val="Calibri"/>
        <family val="2"/>
      </rPr>
      <t xml:space="preserve">', however there may be some non-marked fields that are still mandatory on your exchange.                                                                                                                        3. Conditional fields are marked by a double red asterisk '**'.
4. Please do not change the contents of cell </t>
    </r>
    <r>
      <rPr>
        <b/>
        <sz val="11"/>
        <color indexed="8"/>
        <rFont val="Calibri"/>
        <family val="2"/>
      </rPr>
      <t>A1</t>
    </r>
    <r>
      <rPr>
        <sz val="11"/>
        <color indexed="8"/>
        <rFont val="Calibri"/>
        <family val="2"/>
      </rPr>
      <t xml:space="preserve">.
5. Please do not change the position and content of the column headers.
6. Dependent information will only be added for new employees. Dependent information for each employee can be manually updated within the employee section.
7. If Ancillary products are available on your exchange, please add 'Gender' and 'Annual Salary' information against each employee to enable system to calculate premium value for these products. 
8. You can use the </t>
    </r>
    <r>
      <rPr>
        <b/>
        <sz val="11"/>
        <color indexed="8"/>
        <rFont val="Calibri"/>
        <family val="2"/>
      </rPr>
      <t>Add/Remove Custom Column</t>
    </r>
    <r>
      <rPr>
        <sz val="11"/>
        <color indexed="8"/>
        <rFont val="Calibri"/>
        <family val="2"/>
      </rPr>
      <t xml:space="preserve"> button to add/remove custom field column(s) that are used in the organization but are not present in the template.
9. Use the </t>
    </r>
    <r>
      <rPr>
        <b/>
        <sz val="11"/>
        <color indexed="8"/>
        <rFont val="Calibri"/>
        <family val="2"/>
      </rPr>
      <t>Add/Remove Dependent Column</t>
    </r>
    <r>
      <rPr>
        <sz val="11"/>
        <color indexed="8"/>
        <rFont val="Calibri"/>
        <family val="2"/>
      </rPr>
      <t xml:space="preserve"> button to add/remove column(s) for employee's dependent specific data.
10. The </t>
    </r>
    <r>
      <rPr>
        <b/>
        <sz val="11"/>
        <color indexed="8"/>
        <rFont val="Calibri"/>
        <family val="2"/>
      </rPr>
      <t>Validate</t>
    </r>
    <r>
      <rPr>
        <sz val="11"/>
        <color indexed="8"/>
        <rFont val="Calibri"/>
        <family val="2"/>
      </rPr>
      <t xml:space="preserve"> button will help you identify errors prior to the actual upload.
11. Each input field carries a tooltip with help text suggesting a valid input.
12. Once you upload a completed template, you can download existing employees census from the portal as well. This download census feature is available on the Employee Listing page.
13. </t>
    </r>
    <r>
      <rPr>
        <b/>
        <sz val="11"/>
        <color indexed="8"/>
        <rFont val="Calibri"/>
        <family val="2"/>
      </rPr>
      <t xml:space="preserve">NOTE: </t>
    </r>
    <r>
      <rPr>
        <sz val="11"/>
        <color indexed="8"/>
        <rFont val="Calibri"/>
        <family val="2"/>
      </rPr>
      <t>While copying data from a different source and pasting on this template, please ensure to copy &amp; paste all employees details first, then custom fields and dependent data separately (if required). Pasting data for the entire employee row at once might lead to erroneous conditions.
14.</t>
    </r>
    <r>
      <rPr>
        <b/>
        <sz val="11"/>
        <color indexed="8"/>
        <rFont val="Calibri"/>
        <family val="2"/>
      </rPr>
      <t xml:space="preserve"> IMPORTANT</t>
    </r>
    <r>
      <rPr>
        <sz val="11"/>
        <color indexed="8"/>
        <rFont val="Calibri"/>
        <family val="2"/>
      </rPr>
      <t>: Only following characters are allowed to be used in the template while adding 'Custom Field' details: 
A-Z a-z 0-9 , ` ' ! # &amp; ( ) . : ; = ? @ [ ^ _ { | } ~ - ] / space                                                                                                    15. You must enter a valid Employer Identification Number for each employee when uploading the employee census for one or more employers from the Manage Employers page. When uploading the employee census for a particular employer from the respective client's Manage Employees page, you are not required to enter their Employer Identification Number for their employees.</t>
    </r>
  </si>
  <si>
    <t>Mr.</t>
  </si>
  <si>
    <t>Mrs.</t>
  </si>
  <si>
    <t>Ms.</t>
  </si>
  <si>
    <t>Miss.</t>
  </si>
  <si>
    <t>Dr.</t>
  </si>
  <si>
    <t>Jr.</t>
  </si>
  <si>
    <t>Sr.</t>
  </si>
  <si>
    <t>${employee.prefix}</t>
  </si>
  <si>
    <t>${employee.suffix}</t>
  </si>
  <si>
    <t>${employee.gender}</t>
  </si>
  <si>
    <t>${employee.tobaccoUsage}</t>
  </si>
  <si>
    <t>${employee.status}</t>
  </si>
  <si>
    <t>${employee.employmentType}</t>
  </si>
  <si>
    <t>${EMPLOYEE.ZIPCODE}</t>
  </si>
  <si>
    <t>${employee.terminationType}</t>
  </si>
  <si>
    <t>${employee.department}</t>
  </si>
  <si>
    <t>${employee.employmentclassification1}</t>
  </si>
  <si>
    <t>${employee.state}</t>
  </si>
  <si>
    <t>${employee.county}</t>
  </si>
  <si>
    <t>${employee.workingHoursPerWeek}</t>
  </si>
  <si>
    <t>${employee.OthersEmployementType}</t>
  </si>
  <si>
    <t>F</t>
  </si>
  <si>
    <t>Bonus</t>
  </si>
  <si>
    <t>${employee.bonus}</t>
  </si>
  <si>
    <t>${employee.commission}</t>
  </si>
  <si>
    <t>System Defined Custom Fields</t>
  </si>
  <si>
    <t>Protected Veteran Status,Race/Ethnicity,EEO Job Category,Disability Status</t>
  </si>
  <si>
    <t>SystemCustomFields</t>
  </si>
  <si>
    <t>Salary Commissions</t>
  </si>
  <si>
    <t>${employee.employmenttype2}</t>
  </si>
  <si>
    <t>${employee.payGroupName}</t>
  </si>
  <si>
    <r>
      <t>Pay Group</t>
    </r>
    <r>
      <rPr>
        <b/>
        <sz val="10"/>
        <color rgb="FFFF0000"/>
        <rFont val="Calibri"/>
        <family val="2"/>
      </rPr>
      <t>*</t>
    </r>
  </si>
  <si>
    <t>${employee.payType}</t>
  </si>
  <si>
    <t>FLSA Classification</t>
  </si>
  <si>
    <t>Union Classification</t>
  </si>
  <si>
    <t>Employee Type</t>
  </si>
  <si>
    <r>
      <t>Employment Type</t>
    </r>
    <r>
      <rPr>
        <b/>
        <sz val="10"/>
        <color rgb="FFFF0000"/>
        <rFont val="Calibri"/>
        <family val="2"/>
      </rPr>
      <t>*</t>
    </r>
  </si>
  <si>
    <r>
      <t>Others (Employment Type)</t>
    </r>
    <r>
      <rPr>
        <b/>
        <sz val="10"/>
        <color rgb="FFFF0000"/>
        <rFont val="Calibri"/>
        <family val="2"/>
      </rPr>
      <t>*</t>
    </r>
  </si>
  <si>
    <t>Benefits Class</t>
  </si>
  <si>
    <t>${employee.workWeekScheduleName}</t>
  </si>
  <si>
    <t>HCX_Employee_Census_V1.12</t>
  </si>
  <si>
    <t>Work Schedule</t>
  </si>
  <si>
    <t>Mailing Address Line 1</t>
  </si>
  <si>
    <t>Mailing Address Line 2</t>
  </si>
  <si>
    <t>Mailing City</t>
  </si>
  <si>
    <t>Mailing Zipcode</t>
  </si>
  <si>
    <t>Mailing State(Abbreviation)</t>
  </si>
  <si>
    <t>Mailing County</t>
  </si>
  <si>
    <t>Protected Veteran Status</t>
  </si>
  <si>
    <t>Disability Status</t>
  </si>
  <si>
    <t>EEO Job Category</t>
  </si>
  <si>
    <t>Race/Ethnicity</t>
  </si>
  <si>
    <t>Original DOH</t>
  </si>
  <si>
    <t>Adjusted Service Date</t>
  </si>
  <si>
    <t>Reporting Manager ID</t>
  </si>
  <si>
    <t>License Number</t>
  </si>
  <si>
    <t>License Type</t>
  </si>
  <si>
    <t>License State</t>
  </si>
  <si>
    <t>License Expiration Date</t>
  </si>
  <si>
    <t>On Leave</t>
  </si>
  <si>
    <t>Dependent 1 First Name*</t>
  </si>
  <si>
    <t>Dependent 1 Last Name*</t>
  </si>
  <si>
    <t>Dependent 1 DOB*</t>
  </si>
  <si>
    <t>Dependent 1 Gender*</t>
  </si>
  <si>
    <t>Dependent 1 Relationship*</t>
  </si>
  <si>
    <t>Dependent 2 First Name*</t>
  </si>
  <si>
    <t>Dependent 2 Last Name*</t>
  </si>
  <si>
    <t>Dependent 2 DOB*</t>
  </si>
  <si>
    <t>Dependent 2 Gender*</t>
  </si>
  <si>
    <t>Dependent 2 Tobacco usage in last 12 months</t>
  </si>
  <si>
    <t>Dependent 2 Relationship*</t>
  </si>
  <si>
    <t>Dependent 2 is Disabled</t>
  </si>
  <si>
    <t>Dependent 3 First Name*</t>
  </si>
  <si>
    <t>Dependent 3 Last Name*</t>
  </si>
  <si>
    <t>Dependent 3 DOB*</t>
  </si>
  <si>
    <t>Dependent 3 Gender*</t>
  </si>
  <si>
    <t>Dependent 3 Tobacco usage in last 12 months</t>
  </si>
  <si>
    <t>Dependent 3 Relationship*</t>
  </si>
  <si>
    <t>Dependent 3 is Disabled</t>
  </si>
  <si>
    <t>Dependent 4 Prefix</t>
  </si>
  <si>
    <t>Dependent 4 First Name*</t>
  </si>
  <si>
    <t>Dependent 4 Middle Initial</t>
  </si>
  <si>
    <t>Dependent 4 Last Name*</t>
  </si>
  <si>
    <t>Dependent 4 Suffix</t>
  </si>
  <si>
    <t>Dependent 4 DOB*</t>
  </si>
  <si>
    <t>Dependent 4 Gender*</t>
  </si>
  <si>
    <t>Dependent 4 Tobacco usage in last 12 months</t>
  </si>
  <si>
    <t>Dependent 4 Relationship*</t>
  </si>
  <si>
    <t>Dependent 4 is Disabled</t>
  </si>
  <si>
    <t/>
  </si>
  <si>
    <t>PJ0IPFRJM</t>
  </si>
  <si>
    <t>872098931</t>
  </si>
  <si>
    <t>Kevin</t>
  </si>
  <si>
    <t>Feritas Ingram</t>
  </si>
  <si>
    <t>01/07/2001</t>
  </si>
  <si>
    <t>080947315</t>
  </si>
  <si>
    <t>007V6T9M4</t>
  </si>
  <si>
    <t>TERMINATED</t>
  </si>
  <si>
    <t>01/02/2025</t>
  </si>
  <si>
    <t>02/03/2026</t>
  </si>
  <si>
    <t>0.0</t>
  </si>
  <si>
    <t>20.75</t>
  </si>
  <si>
    <t>Default</t>
  </si>
  <si>
    <t>Driver</t>
  </si>
  <si>
    <t>DLV3</t>
  </si>
  <si>
    <t>kevinfreitas.ew@gmail.com</t>
  </si>
  <si>
    <t>805 Kuenzli Street</t>
  </si>
  <si>
    <t>Apt 323 Box 138</t>
  </si>
  <si>
    <t>Reno</t>
  </si>
  <si>
    <t>89502</t>
  </si>
  <si>
    <t>Ethan</t>
  </si>
  <si>
    <t>Wright</t>
  </si>
  <si>
    <t>08/12/2003</t>
  </si>
  <si>
    <t>646725264</t>
  </si>
  <si>
    <t>01BX7VBOI</t>
  </si>
  <si>
    <t>09/18/2025</t>
  </si>
  <si>
    <t>11/22/2025</t>
  </si>
  <si>
    <t>21.75</t>
  </si>
  <si>
    <t>ethanwright1.ew@gmail.com</t>
  </si>
  <si>
    <t>9200 Double R Boulevard</t>
  </si>
  <si>
    <t>Unit 1038</t>
  </si>
  <si>
    <t>89521</t>
  </si>
  <si>
    <t>Kandeh</t>
  </si>
  <si>
    <t>Jones</t>
  </si>
  <si>
    <t>01/09/1994</t>
  </si>
  <si>
    <t>530793466</t>
  </si>
  <si>
    <t>01ETTUWPG</t>
  </si>
  <si>
    <t>ACTIVE</t>
  </si>
  <si>
    <t>01/13/2026</t>
  </si>
  <si>
    <t>000004</t>
  </si>
  <si>
    <t>kandehjones.ew@gmail.com</t>
  </si>
  <si>
    <t>9661 Desert Sunrise Court</t>
  </si>
  <si>
    <t>89506</t>
  </si>
  <si>
    <t>Brandon</t>
  </si>
  <si>
    <t>Love</t>
  </si>
  <si>
    <t>07/26/1986</t>
  </si>
  <si>
    <t>295847649</t>
  </si>
  <si>
    <t>03VLGEXTF</t>
  </si>
  <si>
    <t>10/15/2025</t>
  </si>
  <si>
    <t>11/08/2025</t>
  </si>
  <si>
    <t>brandonlove.ew@gmail.com</t>
  </si>
  <si>
    <t>239 West 2nd Street</t>
  </si>
  <si>
    <t>Apt 301</t>
  </si>
  <si>
    <t>89501</t>
  </si>
  <si>
    <t>Kaci</t>
  </si>
  <si>
    <t>Saindon</t>
  </si>
  <si>
    <t>04/08/1999</t>
  </si>
  <si>
    <t>680146481</t>
  </si>
  <si>
    <t>05LZFJGSY</t>
  </si>
  <si>
    <t>09/23/2024</t>
  </si>
  <si>
    <t>01/14/2025</t>
  </si>
  <si>
    <t>kacisaindon.ew@gmail.com</t>
  </si>
  <si>
    <t>1360 Nannette Circle Apt 18</t>
  </si>
  <si>
    <t>Spencer</t>
  </si>
  <si>
    <t>Curtis</t>
  </si>
  <si>
    <t>01/31/1993</t>
  </si>
  <si>
    <t>338882512</t>
  </si>
  <si>
    <t>062WVILUO</t>
  </si>
  <si>
    <t>08/11/2025</t>
  </si>
  <si>
    <t>09/21/2025</t>
  </si>
  <si>
    <t>spencercurtis.ew@gmail.com</t>
  </si>
  <si>
    <t>1970 East 2nd Street</t>
  </si>
  <si>
    <t>Brianci</t>
  </si>
  <si>
    <t>Imarinas</t>
  </si>
  <si>
    <t>03/02/2002</t>
  </si>
  <si>
    <t>575937657</t>
  </si>
  <si>
    <t>08ONBG5Q1</t>
  </si>
  <si>
    <t>01/15/2026</t>
  </si>
  <si>
    <t>brianciimarinas.ew@gmail.com</t>
  </si>
  <si>
    <t>8200 Offenhauser Drive</t>
  </si>
  <si>
    <t>Apt G118</t>
  </si>
  <si>
    <t>89511</t>
  </si>
  <si>
    <t>Cameron</t>
  </si>
  <si>
    <t>Radli</t>
  </si>
  <si>
    <t>09/16/2004</t>
  </si>
  <si>
    <t>680622590</t>
  </si>
  <si>
    <t>08US50PFE</t>
  </si>
  <si>
    <t>01/19/2026</t>
  </si>
  <si>
    <t>cameronradli.ew@gmail.com</t>
  </si>
  <si>
    <t>1550 Evans Avenue</t>
  </si>
  <si>
    <t>Apt 2212</t>
  </si>
  <si>
    <t>89512</t>
  </si>
  <si>
    <t>Elijah</t>
  </si>
  <si>
    <t>Mendoza</t>
  </si>
  <si>
    <t>08/03/2002</t>
  </si>
  <si>
    <t>680440008</t>
  </si>
  <si>
    <t>0ART8OX5T</t>
  </si>
  <si>
    <t>10/07/2025</t>
  </si>
  <si>
    <t>elijahmend.ew@gmail.com</t>
  </si>
  <si>
    <t>695 West 3rd Street</t>
  </si>
  <si>
    <t>Apt 292</t>
  </si>
  <si>
    <t>89503</t>
  </si>
  <si>
    <t>Rachel</t>
  </si>
  <si>
    <t>Weltz</t>
  </si>
  <si>
    <t>05/10/1997</t>
  </si>
  <si>
    <t>600693639</t>
  </si>
  <si>
    <t>0JL7CLEGZ</t>
  </si>
  <si>
    <t>12/27/2025</t>
  </si>
  <si>
    <t>rachelweltz.ew@gmail.com</t>
  </si>
  <si>
    <t>4975 Newport Court</t>
  </si>
  <si>
    <t>Jaden</t>
  </si>
  <si>
    <t>Cash</t>
  </si>
  <si>
    <t>10/04/2001</t>
  </si>
  <si>
    <t>603311566</t>
  </si>
  <si>
    <t>0K09PJTL8</t>
  </si>
  <si>
    <t>12/02/2024</t>
  </si>
  <si>
    <t>05/08/2025</t>
  </si>
  <si>
    <t>jadencash.ew@gmail.com</t>
  </si>
  <si>
    <t>2800 Enterprise Road</t>
  </si>
  <si>
    <t>2-24C</t>
  </si>
  <si>
    <t>Julia</t>
  </si>
  <si>
    <t>Salas</t>
  </si>
  <si>
    <t>06/24/1982</t>
  </si>
  <si>
    <t>530314394</t>
  </si>
  <si>
    <t>0LE9N09WB</t>
  </si>
  <si>
    <t>12/09/2025</t>
  </si>
  <si>
    <t>12/11/2025</t>
  </si>
  <si>
    <t>40.0</t>
  </si>
  <si>
    <t>juliasalas.ew@gmail.com</t>
  </si>
  <si>
    <t>5760 Parker Place</t>
  </si>
  <si>
    <t>Sun Valley</t>
  </si>
  <si>
    <t>89433</t>
  </si>
  <si>
    <t>Tyler</t>
  </si>
  <si>
    <t>Hill</t>
  </si>
  <si>
    <t>01/31/2002</t>
  </si>
  <si>
    <t>680385475</t>
  </si>
  <si>
    <t>0OU3L2TC8</t>
  </si>
  <si>
    <t>07/16/2025</t>
  </si>
  <si>
    <t>07/21/2025</t>
  </si>
  <si>
    <t>tylerrhill.ew@gmail.com</t>
  </si>
  <si>
    <t>1735 Byrd Drive</t>
  </si>
  <si>
    <t>Sparks</t>
  </si>
  <si>
    <t>89431</t>
  </si>
  <si>
    <t>Trevor</t>
  </si>
  <si>
    <t>Leslie</t>
  </si>
  <si>
    <t>11/13/1992</t>
  </si>
  <si>
    <t>600272123</t>
  </si>
  <si>
    <t>0XDMMZB4J</t>
  </si>
  <si>
    <t>10/20/2025</t>
  </si>
  <si>
    <t>10/31/2025</t>
  </si>
  <si>
    <t>trevorleslie.ew@gmail.com</t>
  </si>
  <si>
    <t>9101 Sky Vista Parkway</t>
  </si>
  <si>
    <t>Apt 7104</t>
  </si>
  <si>
    <t>Tabitha</t>
  </si>
  <si>
    <t>Oliver</t>
  </si>
  <si>
    <t>09/06/1996</t>
  </si>
  <si>
    <t>613920497</t>
  </si>
  <si>
    <t>0XH0T09R6</t>
  </si>
  <si>
    <t>07/08/2024</t>
  </si>
  <si>
    <t>01/27/2026</t>
  </si>
  <si>
    <t>tabithaoliver.ew@gmail.com</t>
  </si>
  <si>
    <t>605 Sawyer Way</t>
  </si>
  <si>
    <t>Forrest</t>
  </si>
  <si>
    <t>MIller</t>
  </si>
  <si>
    <t>10/15/1993</t>
  </si>
  <si>
    <t>617683577</t>
  </si>
  <si>
    <t>0XYKDMUHZ</t>
  </si>
  <si>
    <t>02/19/2025</t>
  </si>
  <si>
    <t>02/28/2025</t>
  </si>
  <si>
    <t>forrestmiller.ew@gmail.com</t>
  </si>
  <si>
    <t>1350 Grand Summit Drive</t>
  </si>
  <si>
    <t>89523</t>
  </si>
  <si>
    <t>Sergio</t>
  </si>
  <si>
    <t>Rangel</t>
  </si>
  <si>
    <t>01/25/1997</t>
  </si>
  <si>
    <t>604968710</t>
  </si>
  <si>
    <t>100025</t>
  </si>
  <si>
    <t>sergiorangel.ew@yahoo.com</t>
  </si>
  <si>
    <t>7753608692</t>
  </si>
  <si>
    <t>5300 Los Altos Parkway</t>
  </si>
  <si>
    <t>Apt 133</t>
  </si>
  <si>
    <t>89436</t>
  </si>
  <si>
    <t>Adriana</t>
  </si>
  <si>
    <t>Cruz Ramos</t>
  </si>
  <si>
    <t>01/16/1992</t>
  </si>
  <si>
    <t>530655276</t>
  </si>
  <si>
    <t>100027</t>
  </si>
  <si>
    <t>adrianacruz.ew@gmail.com</t>
  </si>
  <si>
    <t>3 Tuck Circle</t>
  </si>
  <si>
    <t>Jason</t>
  </si>
  <si>
    <t>Alvarez</t>
  </si>
  <si>
    <t>02/12/1979</t>
  </si>
  <si>
    <t>593344569</t>
  </si>
  <si>
    <t>100028</t>
  </si>
  <si>
    <t>01/28/2026</t>
  </si>
  <si>
    <t>jasonalvarez.ew@gmail.com</t>
  </si>
  <si>
    <t>11900 South Virginia Street</t>
  </si>
  <si>
    <t>Madison</t>
  </si>
  <si>
    <t>Pitt</t>
  </si>
  <si>
    <t>11/04/2002</t>
  </si>
  <si>
    <t>533517058</t>
  </si>
  <si>
    <t>100032</t>
  </si>
  <si>
    <t>madisonpitt.ew@gmail.com</t>
  </si>
  <si>
    <t>5207 Carol Drive</t>
  </si>
  <si>
    <t>William</t>
  </si>
  <si>
    <t>Mansfield</t>
  </si>
  <si>
    <t>05/02/1982</t>
  </si>
  <si>
    <t>224370395</t>
  </si>
  <si>
    <t>100033</t>
  </si>
  <si>
    <t>williammansfield.ew@gmail.com</t>
  </si>
  <si>
    <t>7026307605</t>
  </si>
  <si>
    <t>Apt 270</t>
  </si>
  <si>
    <t>Thomas</t>
  </si>
  <si>
    <t>Reyes</t>
  </si>
  <si>
    <t>01/09/1962</t>
  </si>
  <si>
    <t>560458373</t>
  </si>
  <si>
    <t>100034</t>
  </si>
  <si>
    <t>thomasreyes.ew@gmail.com</t>
  </si>
  <si>
    <t>1352 Granary Park Avenue</t>
  </si>
  <si>
    <t>Christian</t>
  </si>
  <si>
    <t>Grimaldo Salazar</t>
  </si>
  <si>
    <t>06/24/1999</t>
  </si>
  <si>
    <t>680165032</t>
  </si>
  <si>
    <t>100035</t>
  </si>
  <si>
    <t>christiangrimaldo.ew@gmail.com</t>
  </si>
  <si>
    <t>17570 Thrush Lane</t>
  </si>
  <si>
    <t>89508</t>
  </si>
  <si>
    <t>Juan</t>
  </si>
  <si>
    <t>Corona</t>
  </si>
  <si>
    <t>02/22/1993</t>
  </si>
  <si>
    <t>680286045</t>
  </si>
  <si>
    <t>10DEE9O3N</t>
  </si>
  <si>
    <t>07/28/2025</t>
  </si>
  <si>
    <t>juancorona.ew@gmail.com</t>
  </si>
  <si>
    <t>2325 Clear Acre Lane</t>
  </si>
  <si>
    <t>Apt 243</t>
  </si>
  <si>
    <t>Ajay</t>
  </si>
  <si>
    <t>Horton</t>
  </si>
  <si>
    <t>03/29/2003</t>
  </si>
  <si>
    <t>680485162</t>
  </si>
  <si>
    <t>10ZDNS25L</t>
  </si>
  <si>
    <t>10/09/2025</t>
  </si>
  <si>
    <t>10/10/2025</t>
  </si>
  <si>
    <t>ajayhorton.ew@gmail.com</t>
  </si>
  <si>
    <t>1632 Locust Street</t>
  </si>
  <si>
    <t>Ashley</t>
  </si>
  <si>
    <t>Bell</t>
  </si>
  <si>
    <t>11/24/2001</t>
  </si>
  <si>
    <t>680365541</t>
  </si>
  <si>
    <t>1181YWG5L</t>
  </si>
  <si>
    <t>10/14/2024</t>
  </si>
  <si>
    <t>01/28/2025</t>
  </si>
  <si>
    <t>ashleybell1.ew@gmail.com</t>
  </si>
  <si>
    <t>206 Uxbridge Drive</t>
  </si>
  <si>
    <t>Spanish Springs</t>
  </si>
  <si>
    <t>89441</t>
  </si>
  <si>
    <t>Chasity</t>
  </si>
  <si>
    <t>Curry</t>
  </si>
  <si>
    <t>07/21/1999</t>
  </si>
  <si>
    <t>604155998</t>
  </si>
  <si>
    <t>11K3J2KMP</t>
  </si>
  <si>
    <t>01/02/2026</t>
  </si>
  <si>
    <t>01/09/2026</t>
  </si>
  <si>
    <t>chasitycurry.ew@gmail.com</t>
  </si>
  <si>
    <t>4320 San Gabriel Drive</t>
  </si>
  <si>
    <t>Wade</t>
  </si>
  <si>
    <t>Ward</t>
  </si>
  <si>
    <t>10/01/2001</t>
  </si>
  <si>
    <t>765128805</t>
  </si>
  <si>
    <t>16WY1LG7O</t>
  </si>
  <si>
    <t>02/17/2025</t>
  </si>
  <si>
    <t>08/30/2025</t>
  </si>
  <si>
    <t>waderward@gmail.com</t>
  </si>
  <si>
    <t>1455 West 4th Street</t>
  </si>
  <si>
    <t>103</t>
  </si>
  <si>
    <t>Dominic</t>
  </si>
  <si>
    <t>Miller</t>
  </si>
  <si>
    <t>06/18/2003</t>
  </si>
  <si>
    <t>680504291</t>
  </si>
  <si>
    <t>1BSWSZGZN</t>
  </si>
  <si>
    <t>12/07/2025</t>
  </si>
  <si>
    <t>dommiller.ew@gmail.com</t>
  </si>
  <si>
    <t>5718 Yukon Drive</t>
  </si>
  <si>
    <t>Adam</t>
  </si>
  <si>
    <t>Bennett</t>
  </si>
  <si>
    <t>04/14/2000</t>
  </si>
  <si>
    <t>610195253</t>
  </si>
  <si>
    <t>1EU1ADFVH</t>
  </si>
  <si>
    <t>09/25/2025</t>
  </si>
  <si>
    <t>11/24/2025</t>
  </si>
  <si>
    <t>adambenn.ew@gmail.com</t>
  </si>
  <si>
    <t>890 Jamaica Avenue</t>
  </si>
  <si>
    <t>Apt 2</t>
  </si>
  <si>
    <t>Dylan</t>
  </si>
  <si>
    <t>Cline</t>
  </si>
  <si>
    <t>08/25/1998</t>
  </si>
  <si>
    <t>176781165</t>
  </si>
  <si>
    <t>1FHQULH9T</t>
  </si>
  <si>
    <t>05/28/2024</t>
  </si>
  <si>
    <t>dylancline.ew@gmail.com</t>
  </si>
  <si>
    <t>Heavenly View Trail</t>
  </si>
  <si>
    <t>Alexa</t>
  </si>
  <si>
    <t>Gomez</t>
  </si>
  <si>
    <t>12/11/2000</t>
  </si>
  <si>
    <t>680282639</t>
  </si>
  <si>
    <t>1IDAHQG04</t>
  </si>
  <si>
    <t>08/25/2025</t>
  </si>
  <si>
    <t>09/10/2025</t>
  </si>
  <si>
    <t>alexagomez.ew@gmail.com</t>
  </si>
  <si>
    <t>7000 Mae Anne Avenue</t>
  </si>
  <si>
    <t>2914</t>
  </si>
  <si>
    <t>Britan</t>
  </si>
  <si>
    <t>Fowler</t>
  </si>
  <si>
    <t>03/16/2001</t>
  </si>
  <si>
    <t>608255556</t>
  </si>
  <si>
    <t>1IDLK5YXU</t>
  </si>
  <si>
    <t>12/15/2025</t>
  </si>
  <si>
    <t>12/17/2025</t>
  </si>
  <si>
    <t>britanfowler.ew@gmail.com</t>
  </si>
  <si>
    <t>17231 Desert Lake Drive</t>
  </si>
  <si>
    <t>BREVEN</t>
  </si>
  <si>
    <t>01/23/2000</t>
  </si>
  <si>
    <t>680209063</t>
  </si>
  <si>
    <t>1JOM1W3AV</t>
  </si>
  <si>
    <t>09/04/2022</t>
  </si>
  <si>
    <t>01/22/2026</t>
  </si>
  <si>
    <t>brevenduval.ew@gmail.com</t>
  </si>
  <si>
    <t>1678 N Virginia St</t>
  </si>
  <si>
    <t>Himayu</t>
  </si>
  <si>
    <t>Patel</t>
  </si>
  <si>
    <t>10/30/1983</t>
  </si>
  <si>
    <t>813327309</t>
  </si>
  <si>
    <t>1LC3QCCSQ</t>
  </si>
  <si>
    <t>09/11/2025</t>
  </si>
  <si>
    <t>himayupatel.ew@gmail.com</t>
  </si>
  <si>
    <t>Las vegas</t>
  </si>
  <si>
    <t>Las Vegas</t>
  </si>
  <si>
    <t>89180</t>
  </si>
  <si>
    <t>Aliya</t>
  </si>
  <si>
    <t>Ynes</t>
  </si>
  <si>
    <t>06/29/2001</t>
  </si>
  <si>
    <t>615353717</t>
  </si>
  <si>
    <t>1LI1QANGG</t>
  </si>
  <si>
    <t>10/16/2025</t>
  </si>
  <si>
    <t>aliyaynes.ew@gmail.com</t>
  </si>
  <si>
    <t>950 Nutmeg Place</t>
  </si>
  <si>
    <t>Apt H28</t>
  </si>
  <si>
    <t>Roberto</t>
  </si>
  <si>
    <t>Fuentes</t>
  </si>
  <si>
    <t>08/17/2002</t>
  </si>
  <si>
    <t>680429946</t>
  </si>
  <si>
    <t>1OTJTY17W</t>
  </si>
  <si>
    <t>02/10/2025</t>
  </si>
  <si>
    <t>02/14/2025</t>
  </si>
  <si>
    <t>rfuentes.ew@gmail.com</t>
  </si>
  <si>
    <t>5790 Pumpkin Ridge Drive</t>
  </si>
  <si>
    <t>Bouma</t>
  </si>
  <si>
    <t>09/03/1990</t>
  </si>
  <si>
    <t>429791744</t>
  </si>
  <si>
    <t>1P40FXUX6</t>
  </si>
  <si>
    <t>09/19/2025</t>
  </si>
  <si>
    <t>adambouma.ew@gmail.com</t>
  </si>
  <si>
    <t>Apt 122H</t>
  </si>
  <si>
    <t>Hudson</t>
  </si>
  <si>
    <t>Brama</t>
  </si>
  <si>
    <t>06/04/2001</t>
  </si>
  <si>
    <t>475394875</t>
  </si>
  <si>
    <t>1U9R249WL</t>
  </si>
  <si>
    <t>11/11/2024</t>
  </si>
  <si>
    <t>03/01/2025</t>
  </si>
  <si>
    <t>hudsonbrama.ew@gmail.com</t>
  </si>
  <si>
    <t>3300 Skyline Boulevard</t>
  </si>
  <si>
    <t>Unit 279</t>
  </si>
  <si>
    <t>89509</t>
  </si>
  <si>
    <t>Derek</t>
  </si>
  <si>
    <t>Levan</t>
  </si>
  <si>
    <t>10/12/1980</t>
  </si>
  <si>
    <t>242339507</t>
  </si>
  <si>
    <t>1X6O1EM0M</t>
  </si>
  <si>
    <t>dereklevan.ew@gmail.com</t>
  </si>
  <si>
    <t>3340 Drayer Lane</t>
  </si>
  <si>
    <t>Fernley</t>
  </si>
  <si>
    <t>89408</t>
  </si>
  <si>
    <t>Fernando</t>
  </si>
  <si>
    <t>Robles Guzman</t>
  </si>
  <si>
    <t>04/12/2004</t>
  </si>
  <si>
    <t>680580965</t>
  </si>
  <si>
    <t>1YHGFA3I3</t>
  </si>
  <si>
    <t>12/12/2025</t>
  </si>
  <si>
    <t>fernandorobles.ew@gmail.com</t>
  </si>
  <si>
    <t>3865 Loon Court</t>
  </si>
  <si>
    <t>Jose</t>
  </si>
  <si>
    <t>Cipolla</t>
  </si>
  <si>
    <t>05/09/1993</t>
  </si>
  <si>
    <t>622642738</t>
  </si>
  <si>
    <t>202UL1QGB</t>
  </si>
  <si>
    <t>04/28/2025</t>
  </si>
  <si>
    <t>jcipolla.ew@gmail.com</t>
  </si>
  <si>
    <t>415 W 7th</t>
  </si>
  <si>
    <t>Medina</t>
  </si>
  <si>
    <t>11/17/1992</t>
  </si>
  <si>
    <t>530713820</t>
  </si>
  <si>
    <t>24MLF65UN</t>
  </si>
  <si>
    <t>04/01/2025</t>
  </si>
  <si>
    <t>cjmedina.ew@yahoo.com</t>
  </si>
  <si>
    <t>6306 Bucking Horse Drive</t>
  </si>
  <si>
    <t>Dawnte</t>
  </si>
  <si>
    <t>Yawman</t>
  </si>
  <si>
    <t>12/25/1999</t>
  </si>
  <si>
    <t>680205317</t>
  </si>
  <si>
    <t>25QS0EFLA</t>
  </si>
  <si>
    <t>06/02/2025</t>
  </si>
  <si>
    <t>06/11/2025</t>
  </si>
  <si>
    <t>dawnteyawman.ew@gmail.com</t>
  </si>
  <si>
    <t>17240 Waxwing Street</t>
  </si>
  <si>
    <t>Bryce</t>
  </si>
  <si>
    <t>Willis</t>
  </si>
  <si>
    <t>09/26/1999</t>
  </si>
  <si>
    <t>544559440</t>
  </si>
  <si>
    <t>2729BT9XS</t>
  </si>
  <si>
    <t>10/08/2024</t>
  </si>
  <si>
    <t>06/30/2025</t>
  </si>
  <si>
    <t>brycewillis.ew@gmail.com</t>
  </si>
  <si>
    <t>17735 Sapphire Canyon Court</t>
  </si>
  <si>
    <t>Torre</t>
  </si>
  <si>
    <t>Simmons</t>
  </si>
  <si>
    <t>10/04/2003</t>
  </si>
  <si>
    <t>618410475</t>
  </si>
  <si>
    <t>2FW6ZBPI9</t>
  </si>
  <si>
    <t>torresimmons.ew@gmail.com</t>
  </si>
  <si>
    <t>1475 North Virginia Street</t>
  </si>
  <si>
    <t>Salomon</t>
  </si>
  <si>
    <t>Martinez</t>
  </si>
  <si>
    <t>12/04/2001</t>
  </si>
  <si>
    <t>680366636</t>
  </si>
  <si>
    <t>2H5CVAL31</t>
  </si>
  <si>
    <t>04/30/2025</t>
  </si>
  <si>
    <t>salmartinez.ew@gmail.com</t>
  </si>
  <si>
    <t>1413 n Virginia st</t>
  </si>
  <si>
    <t>Apt E</t>
  </si>
  <si>
    <t>Jacob</t>
  </si>
  <si>
    <t>Roberts</t>
  </si>
  <si>
    <t>05/13/1996</t>
  </si>
  <si>
    <t>612901964</t>
  </si>
  <si>
    <t>2HMCZDJK3</t>
  </si>
  <si>
    <t>jacobroberts.ew@gmail.com</t>
  </si>
  <si>
    <t>1001 South Meadows Parkway</t>
  </si>
  <si>
    <t>Apt 1833</t>
  </si>
  <si>
    <t>Rausch</t>
  </si>
  <si>
    <t>02/01/1995</t>
  </si>
  <si>
    <t>530855052</t>
  </si>
  <si>
    <t>2JLP5BA65</t>
  </si>
  <si>
    <t>04/15/2025</t>
  </si>
  <si>
    <t>05/07/2025</t>
  </si>
  <si>
    <t>jacobrausch.ew@gmail.com</t>
  </si>
  <si>
    <t>8561 Silver Shores Drive</t>
  </si>
  <si>
    <t>Patrick</t>
  </si>
  <si>
    <t>Dibenedetto</t>
  </si>
  <si>
    <t>01/22/1995</t>
  </si>
  <si>
    <t>616800052</t>
  </si>
  <si>
    <t>2KC5097P6</t>
  </si>
  <si>
    <t>04/16/2025</t>
  </si>
  <si>
    <t>pdibenedetto.ew@gmail.com</t>
  </si>
  <si>
    <t>1132 La Via Way</t>
  </si>
  <si>
    <t>89434</t>
  </si>
  <si>
    <t>Reece</t>
  </si>
  <si>
    <t>Helseth</t>
  </si>
  <si>
    <t>08/18/2000</t>
  </si>
  <si>
    <t>485294839</t>
  </si>
  <si>
    <t>2LK2R8ZX4</t>
  </si>
  <si>
    <t>09/09/2025</t>
  </si>
  <si>
    <t>10/25/2025</t>
  </si>
  <si>
    <t>reecehelseth.ew@gmail.com</t>
  </si>
  <si>
    <t>9900 Bridge View Drive</t>
  </si>
  <si>
    <t>Diane</t>
  </si>
  <si>
    <t>Sullivan</t>
  </si>
  <si>
    <t>01/19/1975</t>
  </si>
  <si>
    <t>291606144</t>
  </si>
  <si>
    <t>2MSGCVKD0</t>
  </si>
  <si>
    <t>11/26/2024</t>
  </si>
  <si>
    <t>01/13/2025</t>
  </si>
  <si>
    <t>dianesullivan.ew@yahoo.com</t>
  </si>
  <si>
    <t>9870 Double R Boulevard</t>
  </si>
  <si>
    <t>Unit 726</t>
  </si>
  <si>
    <t>Clifford</t>
  </si>
  <si>
    <t>Hicks</t>
  </si>
  <si>
    <t>06/13/1973</t>
  </si>
  <si>
    <t>405139452</t>
  </si>
  <si>
    <t>2PCWSD7A4</t>
  </si>
  <si>
    <t>11/05/2025</t>
  </si>
  <si>
    <t>12/30/2025</t>
  </si>
  <si>
    <t>cliffordhicks40@yahoo.com</t>
  </si>
  <si>
    <t>3973 Antinori Drive</t>
  </si>
  <si>
    <t>Montanez</t>
  </si>
  <si>
    <t>12/19/1992</t>
  </si>
  <si>
    <t>081828465</t>
  </si>
  <si>
    <t>2R9MT2VII</t>
  </si>
  <si>
    <t>07/24/2025</t>
  </si>
  <si>
    <t>09/29/2025</t>
  </si>
  <si>
    <t>jmontanez.ew@gmail.com</t>
  </si>
  <si>
    <t>7548 Editor Drive</t>
  </si>
  <si>
    <t>Nicholas</t>
  </si>
  <si>
    <t>Costa</t>
  </si>
  <si>
    <t>01/09/1982</t>
  </si>
  <si>
    <t>530414148</t>
  </si>
  <si>
    <t>2RJVJKHUL</t>
  </si>
  <si>
    <t>01/04/2026</t>
  </si>
  <si>
    <t>nicholascota.ew@gmail.com</t>
  </si>
  <si>
    <t>2305 Titleist Court</t>
  </si>
  <si>
    <t>Shelby</t>
  </si>
  <si>
    <t>09/23/1991</t>
  </si>
  <si>
    <t>424370497</t>
  </si>
  <si>
    <t>2RUOCNHAD</t>
  </si>
  <si>
    <t>08/06/2025</t>
  </si>
  <si>
    <t>08/22/2025</t>
  </si>
  <si>
    <t>shelbyjones.ew@gmail.com</t>
  </si>
  <si>
    <t>760 Singingwood Drive</t>
  </si>
  <si>
    <t>Armando</t>
  </si>
  <si>
    <t>08/08/1995</t>
  </si>
  <si>
    <t>607849857</t>
  </si>
  <si>
    <t>2W0N06DLA</t>
  </si>
  <si>
    <t>11/04/2025</t>
  </si>
  <si>
    <t>armandomendoza.ew@gmail.com</t>
  </si>
  <si>
    <t>9483 Mustang Trail Drive</t>
  </si>
  <si>
    <t>Sapphire</t>
  </si>
  <si>
    <t>Dailey</t>
  </si>
  <si>
    <t>05/11/1997</t>
  </si>
  <si>
    <t>680015868</t>
  </si>
  <si>
    <t>2WXBCN0TW</t>
  </si>
  <si>
    <t>11/06/2025</t>
  </si>
  <si>
    <t>sapphiredailey.ew@gmail.com</t>
  </si>
  <si>
    <t>4300 Neil Road</t>
  </si>
  <si>
    <t>Apt 20</t>
  </si>
  <si>
    <t>Giovanni</t>
  </si>
  <si>
    <t>Palma</t>
  </si>
  <si>
    <t>04/17/1996</t>
  </si>
  <si>
    <t>617909625</t>
  </si>
  <si>
    <t>2X3DKMUIU</t>
  </si>
  <si>
    <t>11/20/2025</t>
  </si>
  <si>
    <t>giovannipalma5300@gmail.com</t>
  </si>
  <si>
    <t>1165 Manhattan Street</t>
  </si>
  <si>
    <t>James</t>
  </si>
  <si>
    <t>Ellis-Moyer</t>
  </si>
  <si>
    <t>05/17/1998</t>
  </si>
  <si>
    <t>680092391</t>
  </si>
  <si>
    <t>2YH63ANIK</t>
  </si>
  <si>
    <t>01/17/2025</t>
  </si>
  <si>
    <t>jamesmoyer.ew@gmail.com</t>
  </si>
  <si>
    <t>12240 Jean Way</t>
  </si>
  <si>
    <t>Moses</t>
  </si>
  <si>
    <t>Shem</t>
  </si>
  <si>
    <t>08/16/2002</t>
  </si>
  <si>
    <t>680440626</t>
  </si>
  <si>
    <t>2YJTIIXAY</t>
  </si>
  <si>
    <t>12/20/2025</t>
  </si>
  <si>
    <t>mosesshem.ew@gmail.com</t>
  </si>
  <si>
    <t>205 Silver Lake Road</t>
  </si>
  <si>
    <t>Unit 337</t>
  </si>
  <si>
    <t>Dennis</t>
  </si>
  <si>
    <t>Gattone</t>
  </si>
  <si>
    <t>03/07/1997</t>
  </si>
  <si>
    <t>610966829</t>
  </si>
  <si>
    <t>32BXC8DE0</t>
  </si>
  <si>
    <t>05/05/2025</t>
  </si>
  <si>
    <t>05/17/2025</t>
  </si>
  <si>
    <t>dennisgattone.ew@gmail.com</t>
  </si>
  <si>
    <t>345 Magnolia Way</t>
  </si>
  <si>
    <t>Garcia</t>
  </si>
  <si>
    <t>02/04/2003</t>
  </si>
  <si>
    <t>680482126</t>
  </si>
  <si>
    <t>37O4ST5M8</t>
  </si>
  <si>
    <t>05/20/2025</t>
  </si>
  <si>
    <t>08/15/2025</t>
  </si>
  <si>
    <t>jogarcia.ew@gmail.com</t>
  </si>
  <si>
    <t>2725 Kietzke Lane</t>
  </si>
  <si>
    <t>TRLR 20</t>
  </si>
  <si>
    <t>Augustin</t>
  </si>
  <si>
    <t>08/11/1982</t>
  </si>
  <si>
    <t>572717764</t>
  </si>
  <si>
    <t>38ZRCW0KI</t>
  </si>
  <si>
    <t>07/02/2025</t>
  </si>
  <si>
    <t>augustingarcia.ew@gmail.com</t>
  </si>
  <si>
    <t>777 Silver Oak Drive</t>
  </si>
  <si>
    <t>Apt D116</t>
  </si>
  <si>
    <t>Carson City</t>
  </si>
  <si>
    <t>89706</t>
  </si>
  <si>
    <t>Crawford</t>
  </si>
  <si>
    <t>06/16/1981</t>
  </si>
  <si>
    <t>558678339</t>
  </si>
  <si>
    <t>3D07Q5QQE</t>
  </si>
  <si>
    <t>10/23/2025</t>
  </si>
  <si>
    <t>crawfordleslie339@gmail.com</t>
  </si>
  <si>
    <t>2065 Cannan Street</t>
  </si>
  <si>
    <t>Apt D</t>
  </si>
  <si>
    <t>Navjot</t>
  </si>
  <si>
    <t>Singh</t>
  </si>
  <si>
    <t>03/06/2000</t>
  </si>
  <si>
    <t>888610918</t>
  </si>
  <si>
    <t>3GNA4I3X7</t>
  </si>
  <si>
    <t>01/27/2025</t>
  </si>
  <si>
    <t>04/07/2025</t>
  </si>
  <si>
    <t>navjotsingh.ew@gmail.com</t>
  </si>
  <si>
    <t>344 West 2nd Street</t>
  </si>
  <si>
    <t>Unit-302</t>
  </si>
  <si>
    <t>Olivia</t>
  </si>
  <si>
    <t>Kramer</t>
  </si>
  <si>
    <t>03/05/1994</t>
  </si>
  <si>
    <t>530837711</t>
  </si>
  <si>
    <t>3H8D1DWDS</t>
  </si>
  <si>
    <t>08/27/2025</t>
  </si>
  <si>
    <t>10/06/2025</t>
  </si>
  <si>
    <t>oliviakram.ew@gmail.com</t>
  </si>
  <si>
    <t>1306 Bon Rea Way</t>
  </si>
  <si>
    <t>Daniel</t>
  </si>
  <si>
    <t>Simon</t>
  </si>
  <si>
    <t>06/07/2001</t>
  </si>
  <si>
    <t>602274099</t>
  </si>
  <si>
    <t>3HJIWVBDW</t>
  </si>
  <si>
    <t>07/08/2025</t>
  </si>
  <si>
    <t>07/27/2025</t>
  </si>
  <si>
    <t>danielsimon1.ew@gmail.com</t>
  </si>
  <si>
    <t>3850 Doreen Court</t>
  </si>
  <si>
    <t>Alyssa</t>
  </si>
  <si>
    <t>Soleta</t>
  </si>
  <si>
    <t>02/02/1989</t>
  </si>
  <si>
    <t>619823864</t>
  </si>
  <si>
    <t>3HZM3C1UX</t>
  </si>
  <si>
    <t>06/10/2025</t>
  </si>
  <si>
    <t>asoleta.ew@gmail.com</t>
  </si>
  <si>
    <t>10505 Red Pine Road</t>
  </si>
  <si>
    <t>Xander</t>
  </si>
  <si>
    <t>Wilson</t>
  </si>
  <si>
    <t>06/30/2003</t>
  </si>
  <si>
    <t>680507606</t>
  </si>
  <si>
    <t>3KHLVGTAB</t>
  </si>
  <si>
    <t>09/08/2025</t>
  </si>
  <si>
    <t>10/30/2025</t>
  </si>
  <si>
    <t>xanderwilson.ew@gmail.com</t>
  </si>
  <si>
    <t>2780 Enterprise Road</t>
  </si>
  <si>
    <t>Apt 2214</t>
  </si>
  <si>
    <t>Jahner</t>
  </si>
  <si>
    <t>11/10/1999</t>
  </si>
  <si>
    <t>470376334</t>
  </si>
  <si>
    <t>3P78AXRWJ</t>
  </si>
  <si>
    <t>09/30/2025</t>
  </si>
  <si>
    <t>10/01/2025</t>
  </si>
  <si>
    <t>jamesjahner.ew@gmail.com</t>
  </si>
  <si>
    <t>7711 Sky Vista Pkwy</t>
  </si>
  <si>
    <t>Unit 1724</t>
  </si>
  <si>
    <t>Grimm</t>
  </si>
  <si>
    <t>08/06/1999</t>
  </si>
  <si>
    <t>607159254</t>
  </si>
  <si>
    <t>3PVBEVVT4</t>
  </si>
  <si>
    <t>04/25/2025</t>
  </si>
  <si>
    <t>rgrimm.ew@gmail.com</t>
  </si>
  <si>
    <t>6415 West Empey Drive</t>
  </si>
  <si>
    <t>Stagecoach</t>
  </si>
  <si>
    <t>89429</t>
  </si>
  <si>
    <t>Dallas</t>
  </si>
  <si>
    <t>Clark</t>
  </si>
  <si>
    <t>02/18/1998</t>
  </si>
  <si>
    <t>680073549</t>
  </si>
  <si>
    <t>3TPOYEPPO</t>
  </si>
  <si>
    <t>06/18/2025</t>
  </si>
  <si>
    <t>dallasclark.ew@gmail.com</t>
  </si>
  <si>
    <t>12192 Rocky Mountain Street</t>
  </si>
  <si>
    <t>Trinidee</t>
  </si>
  <si>
    <t>Hess</t>
  </si>
  <si>
    <t>09/06/2004</t>
  </si>
  <si>
    <t>680624957</t>
  </si>
  <si>
    <t>3WIYC6BA9</t>
  </si>
  <si>
    <t>09/24/2025</t>
  </si>
  <si>
    <t>11/21/2025</t>
  </si>
  <si>
    <t>trinideehess.ew@gmail.com</t>
  </si>
  <si>
    <t>2691 Vicky Lane</t>
  </si>
  <si>
    <t>Minden</t>
  </si>
  <si>
    <t>89423</t>
  </si>
  <si>
    <t>Kelly</t>
  </si>
  <si>
    <t>Moore</t>
  </si>
  <si>
    <t>04/14/1998</t>
  </si>
  <si>
    <t>519538414</t>
  </si>
  <si>
    <t>3WWH52QJJ</t>
  </si>
  <si>
    <t>malmoore.ew@gmail.com</t>
  </si>
  <si>
    <t>3976 Neil Road</t>
  </si>
  <si>
    <t>Michael</t>
  </si>
  <si>
    <t>Snedden</t>
  </si>
  <si>
    <t>680623443</t>
  </si>
  <si>
    <t>3YQX7L2KH</t>
  </si>
  <si>
    <t>michaelsnedden.ew@gmail.com</t>
  </si>
  <si>
    <t>15018 Malachite Court</t>
  </si>
  <si>
    <t>Alejandro</t>
  </si>
  <si>
    <t>Salinas</t>
  </si>
  <si>
    <t>01/12/1995</t>
  </si>
  <si>
    <t>624782379</t>
  </si>
  <si>
    <t>40VCHVNCB</t>
  </si>
  <si>
    <t>02/05/2025</t>
  </si>
  <si>
    <t>03/29/2025</t>
  </si>
  <si>
    <t>asalinas.ew@gmail.com</t>
  </si>
  <si>
    <t>3275 Reno Vista Drive</t>
  </si>
  <si>
    <t>Ivan</t>
  </si>
  <si>
    <t>Soto</t>
  </si>
  <si>
    <t>02/20/2002</t>
  </si>
  <si>
    <t>680385117</t>
  </si>
  <si>
    <t>47R57JDKQ</t>
  </si>
  <si>
    <t>05/06/2025</t>
  </si>
  <si>
    <t>05/23/2025</t>
  </si>
  <si>
    <t>ivansoto.ew@gmail.com</t>
  </si>
  <si>
    <t>4405 Matich Drive</t>
  </si>
  <si>
    <t>Estep</t>
  </si>
  <si>
    <t>12/01/1993</t>
  </si>
  <si>
    <t>601373386</t>
  </si>
  <si>
    <t>48JZKPDS3</t>
  </si>
  <si>
    <t>04/11/2025</t>
  </si>
  <si>
    <t>tylerestep.ew@gmail.com</t>
  </si>
  <si>
    <t>1180 Antelope Road</t>
  </si>
  <si>
    <t>Shubh</t>
  </si>
  <si>
    <t>Verma</t>
  </si>
  <si>
    <t>08/19/2002</t>
  </si>
  <si>
    <t>672357592</t>
  </si>
  <si>
    <t>4AWE8YGI8</t>
  </si>
  <si>
    <t>07/14/2025</t>
  </si>
  <si>
    <t>08/08/2025</t>
  </si>
  <si>
    <t>shubhverma.ew@gmail.com</t>
  </si>
  <si>
    <t>8816 Silverkist Drive</t>
  </si>
  <si>
    <t>Francis</t>
  </si>
  <si>
    <t>01/23/2002</t>
  </si>
  <si>
    <t>680383241</t>
  </si>
  <si>
    <t>4CSD07IAF</t>
  </si>
  <si>
    <t>01/21/2026</t>
  </si>
  <si>
    <t>elijahfrancis.ew@gmail.com</t>
  </si>
  <si>
    <t>3239425658</t>
  </si>
  <si>
    <t>2308 Mediterranean Sea Avenue</t>
  </si>
  <si>
    <t>North Las Vegas</t>
  </si>
  <si>
    <t>89031</t>
  </si>
  <si>
    <t>Craig</t>
  </si>
  <si>
    <t>Reeves</t>
  </si>
  <si>
    <t>03/22/2001</t>
  </si>
  <si>
    <t>680305531</t>
  </si>
  <si>
    <t>4DDJD8V5C</t>
  </si>
  <si>
    <t>11/12/2025</t>
  </si>
  <si>
    <t>craigreeves.ew@gmail.com</t>
  </si>
  <si>
    <t>925 Country Ridge Drive</t>
  </si>
  <si>
    <t>Ashton</t>
  </si>
  <si>
    <t>Morales</t>
  </si>
  <si>
    <t>06/26/2003</t>
  </si>
  <si>
    <t>680506154</t>
  </si>
  <si>
    <t>4DOTQK2BY</t>
  </si>
  <si>
    <t>12/10/2024</t>
  </si>
  <si>
    <t>03/24/2025</t>
  </si>
  <si>
    <t>ashton.morales.ew@gmail.com</t>
  </si>
  <si>
    <t>3485 Zion Lane</t>
  </si>
  <si>
    <t>Geordan</t>
  </si>
  <si>
    <t>Youngberg</t>
  </si>
  <si>
    <t>07/08/1996</t>
  </si>
  <si>
    <t>530979906</t>
  </si>
  <si>
    <t>4E4DU8ZF6</t>
  </si>
  <si>
    <t>04/24/2025</t>
  </si>
  <si>
    <t>gyoungberg.ew@gmail.com</t>
  </si>
  <si>
    <t>7625 Plott Circle</t>
  </si>
  <si>
    <t>Brett</t>
  </si>
  <si>
    <t>Walls</t>
  </si>
  <si>
    <t>11/10/2003</t>
  </si>
  <si>
    <t>626413713</t>
  </si>
  <si>
    <t>4GTXN6ASM</t>
  </si>
  <si>
    <t>brettwalls.ew@gmail.com</t>
  </si>
  <si>
    <t>14001 Summit Sierra Boulevard</t>
  </si>
  <si>
    <t>#2122</t>
  </si>
  <si>
    <t>Pineda</t>
  </si>
  <si>
    <t>10/05/1991</t>
  </si>
  <si>
    <t>530632106</t>
  </si>
  <si>
    <t>4HENQF295</t>
  </si>
  <si>
    <t>lesliepineda.ew@gmail.com</t>
  </si>
  <si>
    <t>1040 Beldon Way</t>
  </si>
  <si>
    <t>Mendez</t>
  </si>
  <si>
    <t>06/28/1997</t>
  </si>
  <si>
    <t>618980730</t>
  </si>
  <si>
    <t>4HT4Q50B6</t>
  </si>
  <si>
    <t>05/01/2025</t>
  </si>
  <si>
    <t>juanfmendez.ew@gmail.com</t>
  </si>
  <si>
    <t>7711 Sky Vista Parkway</t>
  </si>
  <si>
    <t>1524</t>
  </si>
  <si>
    <t>Angel</t>
  </si>
  <si>
    <t>Lopez Rios</t>
  </si>
  <si>
    <t>05/18/2003</t>
  </si>
  <si>
    <t>680501908</t>
  </si>
  <si>
    <t>4HU4ANXAO</t>
  </si>
  <si>
    <t>10/24/2024</t>
  </si>
  <si>
    <t>angellopezrios.ew@gmail.com</t>
  </si>
  <si>
    <t>11967 Kernite Street</t>
  </si>
  <si>
    <t>Ramirez</t>
  </si>
  <si>
    <t>06/06/1995</t>
  </si>
  <si>
    <t>621864650</t>
  </si>
  <si>
    <t>4K9Y7YB7M</t>
  </si>
  <si>
    <t>12/02/2025</t>
  </si>
  <si>
    <t>jasonramirez.ew@gmail.com</t>
  </si>
  <si>
    <t>3150 Leadership Parkway</t>
  </si>
  <si>
    <t>Apt 1077</t>
  </si>
  <si>
    <t>Colten</t>
  </si>
  <si>
    <t>Morris</t>
  </si>
  <si>
    <t>08/04/1998</t>
  </si>
  <si>
    <t>489157215</t>
  </si>
  <si>
    <t>4KC9DLFP3</t>
  </si>
  <si>
    <t>04/23/2025</t>
  </si>
  <si>
    <t>coltenmorris.ew@gmail.com</t>
  </si>
  <si>
    <t>81247 California 70</t>
  </si>
  <si>
    <t>Beckwourth</t>
  </si>
  <si>
    <t>96129</t>
  </si>
  <si>
    <t>Ulises</t>
  </si>
  <si>
    <t>02/17/1999</t>
  </si>
  <si>
    <t>324963783</t>
  </si>
  <si>
    <t>4KP23RC1P</t>
  </si>
  <si>
    <t>09/02/2025</t>
  </si>
  <si>
    <t>09/12/2025</t>
  </si>
  <si>
    <t>umartinez.ew@gmail.com</t>
  </si>
  <si>
    <t>1826 Bonita Vista Drive</t>
  </si>
  <si>
    <t>Alina</t>
  </si>
  <si>
    <t>Winap</t>
  </si>
  <si>
    <t>08/26/1998</t>
  </si>
  <si>
    <t>680123031</t>
  </si>
  <si>
    <t>4LUF4HNON</t>
  </si>
  <si>
    <t>12/31/2025</t>
  </si>
  <si>
    <t>alinawinap.ew@gmail.com</t>
  </si>
  <si>
    <t>5601 Osprey Court</t>
  </si>
  <si>
    <t>10/23/2001</t>
  </si>
  <si>
    <t>541619949</t>
  </si>
  <si>
    <t>4ORZAEVLS</t>
  </si>
  <si>
    <t>cameronkelly.ew@gmail.com</t>
  </si>
  <si>
    <t>7440 West 4th Street</t>
  </si>
  <si>
    <t>Trlr 41</t>
  </si>
  <si>
    <t>Isaac</t>
  </si>
  <si>
    <t>Ortega-Real</t>
  </si>
  <si>
    <t>04/26/2001</t>
  </si>
  <si>
    <t>617258640</t>
  </si>
  <si>
    <t>4TTHQAX6T</t>
  </si>
  <si>
    <t>04/08/2025</t>
  </si>
  <si>
    <t>isaacortega.ew@gmail.com</t>
  </si>
  <si>
    <t>690 Robinhood Drive</t>
  </si>
  <si>
    <t>Adams</t>
  </si>
  <si>
    <t>04/03/2003</t>
  </si>
  <si>
    <t>680485485</t>
  </si>
  <si>
    <t>4U6QNL8QN</t>
  </si>
  <si>
    <t>03/27/2025</t>
  </si>
  <si>
    <t>08/24/2025</t>
  </si>
  <si>
    <t>jdadams.ew@gmail.com</t>
  </si>
  <si>
    <t>522 Spring Meadows Drive</t>
  </si>
  <si>
    <t>Apt  F</t>
  </si>
  <si>
    <t>Monica</t>
  </si>
  <si>
    <t>Rubio</t>
  </si>
  <si>
    <t>12/16/2023</t>
  </si>
  <si>
    <t>680548443</t>
  </si>
  <si>
    <t>4UTC64X2X</t>
  </si>
  <si>
    <t>06/22/2025</t>
  </si>
  <si>
    <t>monicarobles.ew@gmail.com</t>
  </si>
  <si>
    <t>9574 Canyon Meadows Drive</t>
  </si>
  <si>
    <t>Coley</t>
  </si>
  <si>
    <t>Long</t>
  </si>
  <si>
    <t>12/29/1983</t>
  </si>
  <si>
    <t>543313950</t>
  </si>
  <si>
    <t>4W0703KOE</t>
  </si>
  <si>
    <t>10/13/2025</t>
  </si>
  <si>
    <t>coleylong.ew@gmail.com</t>
  </si>
  <si>
    <t>1160 Damonte Ranch Parkway</t>
  </si>
  <si>
    <t>Unit 2124</t>
  </si>
  <si>
    <t>ALEXIS</t>
  </si>
  <si>
    <t>GIL</t>
  </si>
  <si>
    <t>07/02/1995</t>
  </si>
  <si>
    <t>618866000</t>
  </si>
  <si>
    <t>4YCHC5Q8K</t>
  </si>
  <si>
    <t>06/27/2024</t>
  </si>
  <si>
    <t>02/26/2025</t>
  </si>
  <si>
    <t>alexisggil.ew@gmail.com</t>
  </si>
  <si>
    <t>127 Granada Drive</t>
  </si>
  <si>
    <t>Robert</t>
  </si>
  <si>
    <t>Kaina</t>
  </si>
  <si>
    <t>02/25/2002</t>
  </si>
  <si>
    <t>575936469</t>
  </si>
  <si>
    <t>4YY4ILZK6</t>
  </si>
  <si>
    <t>07/09/2025</t>
  </si>
  <si>
    <t>08/07/2025</t>
  </si>
  <si>
    <t>robertkaina.ew@gmail.com</t>
  </si>
  <si>
    <t>139 Plover Place</t>
  </si>
  <si>
    <t>Matthew</t>
  </si>
  <si>
    <t>Fury</t>
  </si>
  <si>
    <t>12/21/2004</t>
  </si>
  <si>
    <t>680643635</t>
  </si>
  <si>
    <t>530GEJH9F</t>
  </si>
  <si>
    <t>01/08/2026</t>
  </si>
  <si>
    <t>matthewfury.ew@gmail.com</t>
  </si>
  <si>
    <t>7053 Rhapsody Court</t>
  </si>
  <si>
    <t>Corey</t>
  </si>
  <si>
    <t>Michaels</t>
  </si>
  <si>
    <t>05/23/2004</t>
  </si>
  <si>
    <t>621459748</t>
  </si>
  <si>
    <t>53DT0DI8H</t>
  </si>
  <si>
    <t>07/01/2025</t>
  </si>
  <si>
    <t>coreymichaels.ew@yahoo.com</t>
  </si>
  <si>
    <t>350 Harbour Cove Drive</t>
  </si>
  <si>
    <t>Apt 141</t>
  </si>
  <si>
    <t>Nazanin</t>
  </si>
  <si>
    <t>Shahmardan</t>
  </si>
  <si>
    <t>04/24/2004</t>
  </si>
  <si>
    <t>719170058</t>
  </si>
  <si>
    <t>53FDHLDNQ</t>
  </si>
  <si>
    <t>12/22/2025</t>
  </si>
  <si>
    <t>nazshahmardan.ew@gmail.com</t>
  </si>
  <si>
    <t>Apt 1422</t>
  </si>
  <si>
    <t>Jessica</t>
  </si>
  <si>
    <t>Bailey</t>
  </si>
  <si>
    <t>06/22/1994</t>
  </si>
  <si>
    <t>530814127</t>
  </si>
  <si>
    <t>558PP6B46</t>
  </si>
  <si>
    <t>12/13/2024</t>
  </si>
  <si>
    <t>02/18/2025</t>
  </si>
  <si>
    <t>jessicabailey.ew@gmail.com</t>
  </si>
  <si>
    <t>6045 Smokey Canyon Drive</t>
  </si>
  <si>
    <t>Mar'Tavuis</t>
  </si>
  <si>
    <t>Harding-Wells</t>
  </si>
  <si>
    <t>574376148</t>
  </si>
  <si>
    <t>56RRGEPW8</t>
  </si>
  <si>
    <t>08/04/2025</t>
  </si>
  <si>
    <t>12/29/2025</t>
  </si>
  <si>
    <t>marwells.ew@yahoo.com</t>
  </si>
  <si>
    <t>9640 Silver Desert Way</t>
  </si>
  <si>
    <t>DERRICK</t>
  </si>
  <si>
    <t>MWENDWA</t>
  </si>
  <si>
    <t>03/15/1999</t>
  </si>
  <si>
    <t>680185379</t>
  </si>
  <si>
    <t>56S8TC5OS</t>
  </si>
  <si>
    <t>09/13/2023</t>
  </si>
  <si>
    <t>05/30/2025</t>
  </si>
  <si>
    <t>derrick.mwendwa.ew@gmail.com</t>
  </si>
  <si>
    <t>3069 Leadership Parkway</t>
  </si>
  <si>
    <t>Jaylen</t>
  </si>
  <si>
    <t>07/20/2002</t>
  </si>
  <si>
    <t>680425436</t>
  </si>
  <si>
    <t>5812Z1PBD</t>
  </si>
  <si>
    <t>08/22/2024</t>
  </si>
  <si>
    <t>02/22/2025</t>
  </si>
  <si>
    <t>jaylenwilson.ew@gmail.com</t>
  </si>
  <si>
    <t>661 University Way</t>
  </si>
  <si>
    <t>Ricardo</t>
  </si>
  <si>
    <t>Fonseca Cruz</t>
  </si>
  <si>
    <t>07/03/1992</t>
  </si>
  <si>
    <t>538250847</t>
  </si>
  <si>
    <t>59QLU454Y</t>
  </si>
  <si>
    <t>ricardofonsecagsmooth1@gmail.com</t>
  </si>
  <si>
    <t>6900 Sharlands Avenue</t>
  </si>
  <si>
    <t>Apt 1122</t>
  </si>
  <si>
    <t>Grantley</t>
  </si>
  <si>
    <t>Vaughn</t>
  </si>
  <si>
    <t>12/29/2000</t>
  </si>
  <si>
    <t>680284185</t>
  </si>
  <si>
    <t>5A66YDGTA</t>
  </si>
  <si>
    <t>05/30/2024</t>
  </si>
  <si>
    <t>harpervaughn.ew@gmail.com</t>
  </si>
  <si>
    <t>1385 W 7th St</t>
  </si>
  <si>
    <t>Apt G</t>
  </si>
  <si>
    <t>Joseph</t>
  </si>
  <si>
    <t>Haak</t>
  </si>
  <si>
    <t>01/21/2004</t>
  </si>
  <si>
    <t>680546036</t>
  </si>
  <si>
    <t>5A6KPVDXG</t>
  </si>
  <si>
    <t>06/23/2025</t>
  </si>
  <si>
    <t>08/02/2025</t>
  </si>
  <si>
    <t>josephhaak.ew@gmail.com</t>
  </si>
  <si>
    <t>Apt 315 C</t>
  </si>
  <si>
    <t>Temprestt</t>
  </si>
  <si>
    <t>Fabian</t>
  </si>
  <si>
    <t>10/21/1995</t>
  </si>
  <si>
    <t>589577509</t>
  </si>
  <si>
    <t>5BC0ODK1X</t>
  </si>
  <si>
    <t>10/14/2025</t>
  </si>
  <si>
    <t>tempresttfabian.ew@gmail.com</t>
  </si>
  <si>
    <t>395 East Grove Street</t>
  </si>
  <si>
    <t>Marc</t>
  </si>
  <si>
    <t>Dalia</t>
  </si>
  <si>
    <t>02/28/1991</t>
  </si>
  <si>
    <t>612548429</t>
  </si>
  <si>
    <t>5BTQWVQPE</t>
  </si>
  <si>
    <t>06/03/2025</t>
  </si>
  <si>
    <t>marcdalia.ew@gmail.com</t>
  </si>
  <si>
    <t>1435 Coupler Way</t>
  </si>
  <si>
    <t>Apt 10</t>
  </si>
  <si>
    <t>Catelynn</t>
  </si>
  <si>
    <t>Groller</t>
  </si>
  <si>
    <t>02/10/2000</t>
  </si>
  <si>
    <t>680207733</t>
  </si>
  <si>
    <t>5CHJWV5X5</t>
  </si>
  <si>
    <t>catelynngroller.ew@gmail.com</t>
  </si>
  <si>
    <t>Unit 233</t>
  </si>
  <si>
    <t>Addison</t>
  </si>
  <si>
    <t>Fredeen</t>
  </si>
  <si>
    <t>12/14/2003</t>
  </si>
  <si>
    <t>680548435</t>
  </si>
  <si>
    <t>5EJSMFX5Z</t>
  </si>
  <si>
    <t>01/29/2025</t>
  </si>
  <si>
    <t>afredeen.ew@gmail.com</t>
  </si>
  <si>
    <t>955 Washoe Drive</t>
  </si>
  <si>
    <t>New Washoe City</t>
  </si>
  <si>
    <t>89704</t>
  </si>
  <si>
    <t>Lisa</t>
  </si>
  <si>
    <t>Anthony</t>
  </si>
  <si>
    <t>03/13/1999</t>
  </si>
  <si>
    <t>612132068</t>
  </si>
  <si>
    <t>5G1XOJ06C</t>
  </si>
  <si>
    <t>01/26/2026</t>
  </si>
  <si>
    <t>silasanthony.ew@yahoo.com</t>
  </si>
  <si>
    <t>8599 Turtle Creek Court</t>
  </si>
  <si>
    <t>Clayton</t>
  </si>
  <si>
    <t>10/28/1980</t>
  </si>
  <si>
    <t>603077499</t>
  </si>
  <si>
    <t>5GCG6XWEX</t>
  </si>
  <si>
    <t>03/15/2025</t>
  </si>
  <si>
    <t>michaelclayton.ew@yahoo.com</t>
  </si>
  <si>
    <t>2500 Dickerson Rd Apt 51</t>
  </si>
  <si>
    <t>Kayden</t>
  </si>
  <si>
    <t>Engkraf</t>
  </si>
  <si>
    <t>01/07/2000</t>
  </si>
  <si>
    <t>519578703</t>
  </si>
  <si>
    <t>5H8N9QK71</t>
  </si>
  <si>
    <t>kaydeneng.ew@gmail.com</t>
  </si>
  <si>
    <t>5381 Ladybug Court</t>
  </si>
  <si>
    <t>Jharmon</t>
  </si>
  <si>
    <t>Morrison</t>
  </si>
  <si>
    <t>01/12/1987</t>
  </si>
  <si>
    <t>570959465</t>
  </si>
  <si>
    <t>5JMFLD2NL</t>
  </si>
  <si>
    <t>04/22/2025</t>
  </si>
  <si>
    <t>05/26/2025</t>
  </si>
  <si>
    <t>jaymorrison.ew@gmail.com</t>
  </si>
  <si>
    <t>4050 Gardella Avenue</t>
  </si>
  <si>
    <t>Apt 118</t>
  </si>
  <si>
    <t>Tony</t>
  </si>
  <si>
    <t>Promise</t>
  </si>
  <si>
    <t>05/24/2000</t>
  </si>
  <si>
    <t>680241514</t>
  </si>
  <si>
    <t>5K9YR4DAC</t>
  </si>
  <si>
    <t>08/21/2025</t>
  </si>
  <si>
    <t>tonypromise.ew@gmail.com</t>
  </si>
  <si>
    <t>520 Split Rail Court</t>
  </si>
  <si>
    <t>Lee</t>
  </si>
  <si>
    <t>02/22/1973</t>
  </si>
  <si>
    <t>612386240</t>
  </si>
  <si>
    <t>5MH1HWJAN</t>
  </si>
  <si>
    <t>daniellee.ew@outlook.com</t>
  </si>
  <si>
    <t>2090 District Street</t>
  </si>
  <si>
    <t>Unit 503</t>
  </si>
  <si>
    <t>Harley</t>
  </si>
  <si>
    <t>Stinson</t>
  </si>
  <si>
    <t>02/23/2003</t>
  </si>
  <si>
    <t>627869680</t>
  </si>
  <si>
    <t>5P9OBTQIS</t>
  </si>
  <si>
    <t>01/31/2025</t>
  </si>
  <si>
    <t>03/07/2025</t>
  </si>
  <si>
    <t>harleys.ew@gmail.com</t>
  </si>
  <si>
    <t>2435 Adriann Avenue</t>
  </si>
  <si>
    <t>Silver Springs</t>
  </si>
  <si>
    <t>Alec</t>
  </si>
  <si>
    <t>Weibell</t>
  </si>
  <si>
    <t>04/27/2002</t>
  </si>
  <si>
    <t>765187478</t>
  </si>
  <si>
    <t>5SFM33TQ6</t>
  </si>
  <si>
    <t>alecweibell.ew@yahoo.com</t>
  </si>
  <si>
    <t>1674 Shadow Wood Road</t>
  </si>
  <si>
    <t>Raymond</t>
  </si>
  <si>
    <t>Davidson</t>
  </si>
  <si>
    <t>04/27/1996</t>
  </si>
  <si>
    <t>530938214</t>
  </si>
  <si>
    <t>5UX0JVU78</t>
  </si>
  <si>
    <t>03/13/2025</t>
  </si>
  <si>
    <t>04/03/2025</t>
  </si>
  <si>
    <t>raydavidson.ew@gmail.com</t>
  </si>
  <si>
    <t>705 Winchester drive</t>
  </si>
  <si>
    <t>Tyrell</t>
  </si>
  <si>
    <t>Cruz</t>
  </si>
  <si>
    <t>04/25/1986</t>
  </si>
  <si>
    <t>530334992</t>
  </si>
  <si>
    <t>6066S4IJH</t>
  </si>
  <si>
    <t>12/12/2024</t>
  </si>
  <si>
    <t>01/12/2025</t>
  </si>
  <si>
    <t>tyrellcruz.ew@gmail.com</t>
  </si>
  <si>
    <t>Unit 511</t>
  </si>
  <si>
    <t>Jesus</t>
  </si>
  <si>
    <t>Lujan</t>
  </si>
  <si>
    <t>04/17/2002</t>
  </si>
  <si>
    <t>615334158</t>
  </si>
  <si>
    <t>64ANECT88</t>
  </si>
  <si>
    <t>07/14/2024</t>
  </si>
  <si>
    <t>21</t>
  </si>
  <si>
    <t>jesuslujan.ew@gmail.com</t>
  </si>
  <si>
    <t>530 East Patriot Blvd K228</t>
  </si>
  <si>
    <t>Christopher</t>
  </si>
  <si>
    <t>Wadsworth</t>
  </si>
  <si>
    <t>07/14/2002</t>
  </si>
  <si>
    <t>680426364</t>
  </si>
  <si>
    <t>664VHAEUF</t>
  </si>
  <si>
    <t>11/03/2025</t>
  </si>
  <si>
    <t>11/30/2025</t>
  </si>
  <si>
    <t>chriswadsworth.ew@gmail.com</t>
  </si>
  <si>
    <t>22 Reservation Road</t>
  </si>
  <si>
    <t>Victor</t>
  </si>
  <si>
    <t>Navarro</t>
  </si>
  <si>
    <t>05/17/1995</t>
  </si>
  <si>
    <t>530875951</t>
  </si>
  <si>
    <t>66N9PYXPA</t>
  </si>
  <si>
    <t>01/20/2026</t>
  </si>
  <si>
    <t>victornavarrloew@gmail.com</t>
  </si>
  <si>
    <t>8810 Sky Wind Road</t>
  </si>
  <si>
    <t>Ian</t>
  </si>
  <si>
    <t>Simpson</t>
  </si>
  <si>
    <t>06/20/1972</t>
  </si>
  <si>
    <t>574645330</t>
  </si>
  <si>
    <t>672RTE825</t>
  </si>
  <si>
    <t>02/24/2025</t>
  </si>
  <si>
    <t>isimpson.ew@gmail.com</t>
  </si>
  <si>
    <t>1405 South Rock Boulevard</t>
  </si>
  <si>
    <t>SPC 72</t>
  </si>
  <si>
    <t>Julio</t>
  </si>
  <si>
    <t>Guzman</t>
  </si>
  <si>
    <t>02/20/2003</t>
  </si>
  <si>
    <t>619379780</t>
  </si>
  <si>
    <t>675V81P86</t>
  </si>
  <si>
    <t>08/28/2025</t>
  </si>
  <si>
    <t>julioguzman.ew@gmail.com</t>
  </si>
  <si>
    <t>964 Villa Street</t>
  </si>
  <si>
    <t>89701</t>
  </si>
  <si>
    <t>Raphael</t>
  </si>
  <si>
    <t>Rodriguez</t>
  </si>
  <si>
    <t>618458629</t>
  </si>
  <si>
    <t>69VHM6S2U</t>
  </si>
  <si>
    <t>raffyrodriguez.ew@gmail.com</t>
  </si>
  <si>
    <t>3214 Danville Drive</t>
  </si>
  <si>
    <t>Koumrian</t>
  </si>
  <si>
    <t>03/30/1993</t>
  </si>
  <si>
    <t>609645169</t>
  </si>
  <si>
    <t>69WY0N4N2</t>
  </si>
  <si>
    <t>wkoumrian.ew@gmail.com</t>
  </si>
  <si>
    <t>7755 Tierra Del Sol Parkway</t>
  </si>
  <si>
    <t>Unit 1108</t>
  </si>
  <si>
    <t>Eddie</t>
  </si>
  <si>
    <t>05/18/1999</t>
  </si>
  <si>
    <t>623156541</t>
  </si>
  <si>
    <t>6A7E46P2Z</t>
  </si>
  <si>
    <t>02/04/2025</t>
  </si>
  <si>
    <t>03/21/2025</t>
  </si>
  <si>
    <t>eddiemartinez.ew@gmail.com</t>
  </si>
  <si>
    <t>2450 Valley Road</t>
  </si>
  <si>
    <t>#250</t>
  </si>
  <si>
    <t>Jaime</t>
  </si>
  <si>
    <t>Landa Madera Jr</t>
  </si>
  <si>
    <t>02/18/1997</t>
  </si>
  <si>
    <t>530999008</t>
  </si>
  <si>
    <t>6D5O0UBRN</t>
  </si>
  <si>
    <t>06/30/2024</t>
  </si>
  <si>
    <t>09/01/2025</t>
  </si>
  <si>
    <t>jaimelanda.ew@gmail.com</t>
  </si>
  <si>
    <t>190 Staci Way</t>
  </si>
  <si>
    <t>Noah</t>
  </si>
  <si>
    <t>Leduc</t>
  </si>
  <si>
    <t>05/03/2000</t>
  </si>
  <si>
    <t>680229910</t>
  </si>
  <si>
    <t>6GJH3JVDL</t>
  </si>
  <si>
    <t>09/27/2025</t>
  </si>
  <si>
    <t>noahleduc.ew@gmail.com</t>
  </si>
  <si>
    <t>2117 Blossom View Drive</t>
  </si>
  <si>
    <t>Torres Gonzalez</t>
  </si>
  <si>
    <t>09/05/1998</t>
  </si>
  <si>
    <t>612085888</t>
  </si>
  <si>
    <t>6GU7PF5DF</t>
  </si>
  <si>
    <t>06/04/2025</t>
  </si>
  <si>
    <t>aletorres.ew@gmail.com</t>
  </si>
  <si>
    <t>1740 Chaska Place</t>
  </si>
  <si>
    <t>07/17/1994</t>
  </si>
  <si>
    <t>617782801</t>
  </si>
  <si>
    <t>6HH2NOPRR</t>
  </si>
  <si>
    <t>10/30/2024</t>
  </si>
  <si>
    <t>01/09/2025</t>
  </si>
  <si>
    <t>thomasadams22.ew@gmail.com</t>
  </si>
  <si>
    <t>8855 Wolf Moon Drive</t>
  </si>
  <si>
    <t>Emery</t>
  </si>
  <si>
    <t>Mann</t>
  </si>
  <si>
    <t>02/27/1996</t>
  </si>
  <si>
    <t>615883789</t>
  </si>
  <si>
    <t>6KUCTXRPD</t>
  </si>
  <si>
    <t>10/08/2025</t>
  </si>
  <si>
    <t>emerymann.ew@yahoo.com</t>
  </si>
  <si>
    <t>1855 Baring Boulevard</t>
  </si>
  <si>
    <t>Apt 1803</t>
  </si>
  <si>
    <t>03/30/1991</t>
  </si>
  <si>
    <t>270943860</t>
  </si>
  <si>
    <t>6LYBDTX0Q</t>
  </si>
  <si>
    <t>elijahgrimm.ew@gmail.com</t>
  </si>
  <si>
    <t>4797 Reno View Court</t>
  </si>
  <si>
    <t>Naomi</t>
  </si>
  <si>
    <t>Johnson</t>
  </si>
  <si>
    <t>08/05/2003</t>
  </si>
  <si>
    <t>482335133</t>
  </si>
  <si>
    <t>6MMBRK4ZY</t>
  </si>
  <si>
    <t>naomijohnson.ew@gmail.com</t>
  </si>
  <si>
    <t>940 West Humboldt Street</t>
  </si>
  <si>
    <t>Apt 50</t>
  </si>
  <si>
    <t>Battle Mountain</t>
  </si>
  <si>
    <t>89820</t>
  </si>
  <si>
    <t>Sage</t>
  </si>
  <si>
    <t>Stewart</t>
  </si>
  <si>
    <t>646623621</t>
  </si>
  <si>
    <t>6NEEUTRJB</t>
  </si>
  <si>
    <t>01/18/2026</t>
  </si>
  <si>
    <t>sagestewart.ew@gmail.com</t>
  </si>
  <si>
    <t>3030 Leadership Parkway</t>
  </si>
  <si>
    <t>Unit 3205</t>
  </si>
  <si>
    <t>Hunter</t>
  </si>
  <si>
    <t>Schultz</t>
  </si>
  <si>
    <t>626042930</t>
  </si>
  <si>
    <t>6QTF2UT82</t>
  </si>
  <si>
    <t>11/25/2025</t>
  </si>
  <si>
    <t>11/26/2025</t>
  </si>
  <si>
    <t>hunterschultz.ew@gmail.com</t>
  </si>
  <si>
    <t>1850 Country View Court</t>
  </si>
  <si>
    <t>Ryan</t>
  </si>
  <si>
    <t>Murray</t>
  </si>
  <si>
    <t>09/25/1992</t>
  </si>
  <si>
    <t>530697627</t>
  </si>
  <si>
    <t>6TWNQW76I</t>
  </si>
  <si>
    <t>10/12/2025</t>
  </si>
  <si>
    <t>ryanmurray.ew@gmail.com</t>
  </si>
  <si>
    <t>5020 Paul Street</t>
  </si>
  <si>
    <t>Rece</t>
  </si>
  <si>
    <t>Huggins</t>
  </si>
  <si>
    <t>02/21/2002</t>
  </si>
  <si>
    <t>680388161</t>
  </si>
  <si>
    <t>6UIZ74WNC</t>
  </si>
  <si>
    <t>05/29/2024</t>
  </si>
  <si>
    <t>recehuggins.ew@gmail.com</t>
  </si>
  <si>
    <t>331 Desert Chukar Drive</t>
  </si>
  <si>
    <t>Angelina</t>
  </si>
  <si>
    <t>Arenas Hagler</t>
  </si>
  <si>
    <t>04/23/2004</t>
  </si>
  <si>
    <t>680583928</t>
  </si>
  <si>
    <t>6ZV8YKDNS</t>
  </si>
  <si>
    <t>angelinaarenash.ew@gmail.com</t>
  </si>
  <si>
    <t>5559 Junction Peak Drive</t>
  </si>
  <si>
    <t>Laguna</t>
  </si>
  <si>
    <t>07/08/1989</t>
  </si>
  <si>
    <t>619269672</t>
  </si>
  <si>
    <t>74UDN0SND</t>
  </si>
  <si>
    <t>05/13/2025</t>
  </si>
  <si>
    <t>jalaguna.ew@gmail.com</t>
  </si>
  <si>
    <t>10095 Ignacio Circle</t>
  </si>
  <si>
    <t>DHON RAY</t>
  </si>
  <si>
    <t>FERNANDEZ</t>
  </si>
  <si>
    <t>02/02/2001</t>
  </si>
  <si>
    <t>680026071</t>
  </si>
  <si>
    <t>77ZZ1JG78</t>
  </si>
  <si>
    <t>12/06/2023</t>
  </si>
  <si>
    <t>dhonfernandez.ew@gmail.com</t>
  </si>
  <si>
    <t>2050 Longley Lane</t>
  </si>
  <si>
    <t>205</t>
  </si>
  <si>
    <t>Hazel</t>
  </si>
  <si>
    <t>Carpenter</t>
  </si>
  <si>
    <t>12/05/1998</t>
  </si>
  <si>
    <t>647441506</t>
  </si>
  <si>
    <t>78Q493Y3T</t>
  </si>
  <si>
    <t>08/14/2025</t>
  </si>
  <si>
    <t>hazelcarpenter.ew@gmail.com</t>
  </si>
  <si>
    <t>695 East Patriot Boulevard</t>
  </si>
  <si>
    <t>85</t>
  </si>
  <si>
    <t>Erin</t>
  </si>
  <si>
    <t>Myers</t>
  </si>
  <si>
    <t>10/30/1994</t>
  </si>
  <si>
    <t>621767114</t>
  </si>
  <si>
    <t>79Z3359XN</t>
  </si>
  <si>
    <t>erinmyers.ew@gmail.com</t>
  </si>
  <si>
    <t>Unit 12309</t>
  </si>
  <si>
    <t>JORGE</t>
  </si>
  <si>
    <t>AVELAR</t>
  </si>
  <si>
    <t>04/29/1997</t>
  </si>
  <si>
    <t>519516073</t>
  </si>
  <si>
    <t>79Z3ECEMD</t>
  </si>
  <si>
    <t>12/22/2022</t>
  </si>
  <si>
    <t>estjunior77@icloud.com</t>
  </si>
  <si>
    <t>501 El Rancho Dr #28</t>
  </si>
  <si>
    <t>Izrael</t>
  </si>
  <si>
    <t>Tuli</t>
  </si>
  <si>
    <t>03/24/1993</t>
  </si>
  <si>
    <t>617644769</t>
  </si>
  <si>
    <t>7ATW26Y13</t>
  </si>
  <si>
    <t>06/13/2025</t>
  </si>
  <si>
    <t>izraeltuli.ew@gmail.com</t>
  </si>
  <si>
    <t>2280 Oddie Boulevard</t>
  </si>
  <si>
    <t>Apt 5106</t>
  </si>
  <si>
    <t>Agnew</t>
  </si>
  <si>
    <t>03/20/1999</t>
  </si>
  <si>
    <t>680144066</t>
  </si>
  <si>
    <t>7BOCYEQGG</t>
  </si>
  <si>
    <t>11/13/2025</t>
  </si>
  <si>
    <t>12/03/2025</t>
  </si>
  <si>
    <t>agnewtyler99@gmail.com</t>
  </si>
  <si>
    <t>1675 Sky Mountain Drive</t>
  </si>
  <si>
    <t>Apt 1331</t>
  </si>
  <si>
    <t>Hispanic or Latino</t>
  </si>
  <si>
    <t>Paola</t>
  </si>
  <si>
    <t>Cruickshank</t>
  </si>
  <si>
    <t>05/08/1989</t>
  </si>
  <si>
    <t>639625318</t>
  </si>
  <si>
    <t>7E2WWK7IN</t>
  </si>
  <si>
    <t>12/21/2025</t>
  </si>
  <si>
    <t>paolacruickshank.ew@gmail.com</t>
  </si>
  <si>
    <t>6198 Sweet Cherry Drive</t>
  </si>
  <si>
    <t>Steven</t>
  </si>
  <si>
    <t>Beaver</t>
  </si>
  <si>
    <t>12/03/1997</t>
  </si>
  <si>
    <t>621029577</t>
  </si>
  <si>
    <t>7ET76F08C</t>
  </si>
  <si>
    <t>07/30/2025</t>
  </si>
  <si>
    <t>sdbeaver.ew@gmail.com</t>
  </si>
  <si>
    <t>2915 Nicole Circle</t>
  </si>
  <si>
    <t>Fallon</t>
  </si>
  <si>
    <t>89406</t>
  </si>
  <si>
    <t>Justin</t>
  </si>
  <si>
    <t>Stryker</t>
  </si>
  <si>
    <t>08/06/2003</t>
  </si>
  <si>
    <t>489211049</t>
  </si>
  <si>
    <t>7KS3Z72FC</t>
  </si>
  <si>
    <t>05/12/2025</t>
  </si>
  <si>
    <t>05/29/2025</t>
  </si>
  <si>
    <t>juststryker.ew@gmail.com</t>
  </si>
  <si>
    <t>9495 Cordoba Boulevard</t>
  </si>
  <si>
    <t>Katelyn</t>
  </si>
  <si>
    <t>Becker-smith</t>
  </si>
  <si>
    <t>04/09/2000</t>
  </si>
  <si>
    <t>608197985</t>
  </si>
  <si>
    <t>7L3V6EL1K</t>
  </si>
  <si>
    <t>05/27/2025</t>
  </si>
  <si>
    <t>kbeckersmith.ew@gmail.com</t>
  </si>
  <si>
    <t>800 Nichols Boulevard</t>
  </si>
  <si>
    <t>Apt 170</t>
  </si>
  <si>
    <t>PILAT</t>
  </si>
  <si>
    <t>05/23/1980</t>
  </si>
  <si>
    <t>538258314</t>
  </si>
  <si>
    <t>7NMFUVZ6G</t>
  </si>
  <si>
    <t>08/25/2023</t>
  </si>
  <si>
    <t>16.600000000000001</t>
  </si>
  <si>
    <t>Admin</t>
  </si>
  <si>
    <t>lina.pilat.ew@gmail.com</t>
  </si>
  <si>
    <t>2706 Powder Drive</t>
  </si>
  <si>
    <t>Tiffany</t>
  </si>
  <si>
    <t>Liayers</t>
  </si>
  <si>
    <t>03/04/1989</t>
  </si>
  <si>
    <t>437855974</t>
  </si>
  <si>
    <t>7QUVGDXBG</t>
  </si>
  <si>
    <t>04/18/2025</t>
  </si>
  <si>
    <t>tliayers.ew@gmail.com</t>
  </si>
  <si>
    <t>5228 Echo Avenue</t>
  </si>
  <si>
    <t>Nathaniel</t>
  </si>
  <si>
    <t>Slaughter</t>
  </si>
  <si>
    <t>09/06/1994</t>
  </si>
  <si>
    <t>229717023</t>
  </si>
  <si>
    <t>7RGQ88QGW</t>
  </si>
  <si>
    <t>03/18/2025</t>
  </si>
  <si>
    <t>nslaughter.ew@gmail.com</t>
  </si>
  <si>
    <t>8431 Piper Place</t>
  </si>
  <si>
    <t>Summer</t>
  </si>
  <si>
    <t>Ortiz</t>
  </si>
  <si>
    <t>12/13/2002</t>
  </si>
  <si>
    <t>646688021</t>
  </si>
  <si>
    <t>7RVHLO73W</t>
  </si>
  <si>
    <t>summerortiz.ew@yahoo.com</t>
  </si>
  <si>
    <t>3466 Brassie Drive</t>
  </si>
  <si>
    <t>Mikayla</t>
  </si>
  <si>
    <t>Keen</t>
  </si>
  <si>
    <t>07/26/1994</t>
  </si>
  <si>
    <t>621749693</t>
  </si>
  <si>
    <t>7UJ0W7ZEJ</t>
  </si>
  <si>
    <t>maklkeen.ew@gmail.com</t>
  </si>
  <si>
    <t>4800 Kietzke Lane</t>
  </si>
  <si>
    <t>Romero</t>
  </si>
  <si>
    <t>08/04/2004</t>
  </si>
  <si>
    <t>604474464</t>
  </si>
  <si>
    <t>7UUD6AGD3</t>
  </si>
  <si>
    <t>12/08/2025</t>
  </si>
  <si>
    <t>12/23/2025</t>
  </si>
  <si>
    <t>daybe777@icloud.com</t>
  </si>
  <si>
    <t>8000 Offenhauser Drive</t>
  </si>
  <si>
    <t>Apt 21D</t>
  </si>
  <si>
    <t>Maximo</t>
  </si>
  <si>
    <t>Blanco</t>
  </si>
  <si>
    <t>09/01/1993</t>
  </si>
  <si>
    <t>633380738</t>
  </si>
  <si>
    <t>80J4F0MJ4</t>
  </si>
  <si>
    <t>10/28/2025</t>
  </si>
  <si>
    <t>maximoblanco.ew@gmail.com</t>
  </si>
  <si>
    <t>3291 Gypsum Road</t>
  </si>
  <si>
    <t>Markwell</t>
  </si>
  <si>
    <t>05/19/1970</t>
  </si>
  <si>
    <t>535982471</t>
  </si>
  <si>
    <t>80V2K0LS7</t>
  </si>
  <si>
    <t>01/29/2026</t>
  </si>
  <si>
    <t>stevemarkwell.ew@gmail.com</t>
  </si>
  <si>
    <t>200 Aristocrat Way</t>
  </si>
  <si>
    <t>Luke Arlen</t>
  </si>
  <si>
    <t>La Vine</t>
  </si>
  <si>
    <t>04/06/1995</t>
  </si>
  <si>
    <t>544459214</t>
  </si>
  <si>
    <t>847JJAFK4</t>
  </si>
  <si>
    <t>09/23/2025</t>
  </si>
  <si>
    <t>lalavine.ew@gmail.com</t>
  </si>
  <si>
    <t>1601 Bonita Vista Drive</t>
  </si>
  <si>
    <t>TSERENE</t>
  </si>
  <si>
    <t>TUAIFAIVA</t>
  </si>
  <si>
    <t>01/12/2001</t>
  </si>
  <si>
    <t>576891077</t>
  </si>
  <si>
    <t>85FK8AAJY</t>
  </si>
  <si>
    <t>05/29/2023</t>
  </si>
  <si>
    <t>08/29/2025</t>
  </si>
  <si>
    <t>45760.00</t>
  </si>
  <si>
    <t>Performance Manager</t>
  </si>
  <si>
    <t>tserene.t.ew@gmail.com</t>
  </si>
  <si>
    <t>1100 15th Street</t>
  </si>
  <si>
    <t>Apt 86A</t>
  </si>
  <si>
    <t>Jeffrey</t>
  </si>
  <si>
    <t>Kersey</t>
  </si>
  <si>
    <t>05/02/1991</t>
  </si>
  <si>
    <t>240712566</t>
  </si>
  <si>
    <t>86C5C8E0G</t>
  </si>
  <si>
    <t>jeff164399@gmail.com</t>
  </si>
  <si>
    <t>P.O. Box 19444</t>
  </si>
  <si>
    <t>89132</t>
  </si>
  <si>
    <t>Richard</t>
  </si>
  <si>
    <t>11/05/1995</t>
  </si>
  <si>
    <t>619869725</t>
  </si>
  <si>
    <t>8736DFDF8</t>
  </si>
  <si>
    <t>02/06/2025</t>
  </si>
  <si>
    <t>04/17/2025</t>
  </si>
  <si>
    <t>richardmartinez.ew@gmail.com</t>
  </si>
  <si>
    <t>442 Smithridge Park</t>
  </si>
  <si>
    <t>Zul</t>
  </si>
  <si>
    <t>Rosito</t>
  </si>
  <si>
    <t>10/17/2000</t>
  </si>
  <si>
    <t>626218464</t>
  </si>
  <si>
    <t>87DVKHWNG</t>
  </si>
  <si>
    <t>05/19/2025</t>
  </si>
  <si>
    <t>zulrosito.ew@gmail.com</t>
  </si>
  <si>
    <t>725 Moran Street</t>
  </si>
  <si>
    <t>Apt 11</t>
  </si>
  <si>
    <t>Faye</t>
  </si>
  <si>
    <t>Lafaele</t>
  </si>
  <si>
    <t>10/14/1999</t>
  </si>
  <si>
    <t>576855118</t>
  </si>
  <si>
    <t>87IG4GG7E</t>
  </si>
  <si>
    <t>03/25/2025</t>
  </si>
  <si>
    <t>flafaele.ew@gmail.com</t>
  </si>
  <si>
    <t>3404 Imperial Way</t>
  </si>
  <si>
    <t>David</t>
  </si>
  <si>
    <t>Trujillo</t>
  </si>
  <si>
    <t>680166308</t>
  </si>
  <si>
    <t>88QQCX7NX</t>
  </si>
  <si>
    <t>10/23/2024</t>
  </si>
  <si>
    <t>01/03/2025</t>
  </si>
  <si>
    <t>davidtrujillo2.ew@gmail.com</t>
  </si>
  <si>
    <t>196 Peridot Way</t>
  </si>
  <si>
    <t>Whittley</t>
  </si>
  <si>
    <t>Walker</t>
  </si>
  <si>
    <t>01/11/1989</t>
  </si>
  <si>
    <t>349826264</t>
  </si>
  <si>
    <t>8B1I91K8N</t>
  </si>
  <si>
    <t>11/17/2025</t>
  </si>
  <si>
    <t>11/18/2025</t>
  </si>
  <si>
    <t>whittleywalker.ew@gmail.com</t>
  </si>
  <si>
    <t>17000 Wedge Parkway</t>
  </si>
  <si>
    <t>Apt 2323</t>
  </si>
  <si>
    <t>Eric</t>
  </si>
  <si>
    <t>Lundy</t>
  </si>
  <si>
    <t>608080124</t>
  </si>
  <si>
    <t>8CM4Z50HE</t>
  </si>
  <si>
    <t>ericlundy.ew@gmail.com</t>
  </si>
  <si>
    <t>290 Disc Drive</t>
  </si>
  <si>
    <t>Unit 1221</t>
  </si>
  <si>
    <t>Joshua</t>
  </si>
  <si>
    <t>Castillo</t>
  </si>
  <si>
    <t>680582730</t>
  </si>
  <si>
    <t>8D68TCY1P</t>
  </si>
  <si>
    <t>joshuacastillo1.ew@gmail.com</t>
  </si>
  <si>
    <t>938 Virbel Lane</t>
  </si>
  <si>
    <t>Casagrande</t>
  </si>
  <si>
    <t>01/19/1994</t>
  </si>
  <si>
    <t>530794186</t>
  </si>
  <si>
    <t>8ETWORUEX</t>
  </si>
  <si>
    <t>07/15/2025</t>
  </si>
  <si>
    <t>ccasagrande.ew@gmail.com</t>
  </si>
  <si>
    <t>1405 Sky Mountain Drive</t>
  </si>
  <si>
    <t>Unit 1138</t>
  </si>
  <si>
    <t>Angela</t>
  </si>
  <si>
    <t>Dillon</t>
  </si>
  <si>
    <t>08/10/1978</t>
  </si>
  <si>
    <t>530258278</t>
  </si>
  <si>
    <t>8LLHDH2G0</t>
  </si>
  <si>
    <t>angeladillon.ew@gmail.com</t>
  </si>
  <si>
    <t>1680 Sky Mountain Drive</t>
  </si>
  <si>
    <t>Apt L155</t>
  </si>
  <si>
    <t>Elizabeth</t>
  </si>
  <si>
    <t>Gonzales</t>
  </si>
  <si>
    <t>12/09/1982</t>
  </si>
  <si>
    <t>559735553</t>
  </si>
  <si>
    <t>8LO4UV0S1</t>
  </si>
  <si>
    <t>lizgonzales.ew@yahoo.com</t>
  </si>
  <si>
    <t>13561 Mount Shasta Street</t>
  </si>
  <si>
    <t>Burch</t>
  </si>
  <si>
    <t>11/24/1998</t>
  </si>
  <si>
    <t>625086752</t>
  </si>
  <si>
    <t>8O6HRMXFQ</t>
  </si>
  <si>
    <t>06/05/2025</t>
  </si>
  <si>
    <t>spencerburch.ew@gmail.com</t>
  </si>
  <si>
    <t>18755 Mesquite Avenue</t>
  </si>
  <si>
    <t>Lindsay</t>
  </si>
  <si>
    <t>Schwartz</t>
  </si>
  <si>
    <t>07/18/2001</t>
  </si>
  <si>
    <t>614276210</t>
  </si>
  <si>
    <t>8PV2PPQ4O</t>
  </si>
  <si>
    <t>10/02/2025</t>
  </si>
  <si>
    <t>lindsayschwartz.ew@gmail.com</t>
  </si>
  <si>
    <t>107 Tamarack Street</t>
  </si>
  <si>
    <t>Herlong</t>
  </si>
  <si>
    <t>96113</t>
  </si>
  <si>
    <t>Desmond</t>
  </si>
  <si>
    <t>Agundez</t>
  </si>
  <si>
    <t>04/30/1992</t>
  </si>
  <si>
    <t>610567067</t>
  </si>
  <si>
    <t>8Q4P5NU4P</t>
  </si>
  <si>
    <t>01/10/2026</t>
  </si>
  <si>
    <t>desmondagundez.ew@gmail.com</t>
  </si>
  <si>
    <t>412 Sierra Street</t>
  </si>
  <si>
    <t>Cody</t>
  </si>
  <si>
    <t>Rinkor</t>
  </si>
  <si>
    <t>02/16/1996</t>
  </si>
  <si>
    <t>530930937</t>
  </si>
  <si>
    <t>8RPB6EK8G</t>
  </si>
  <si>
    <t>codyrinkor.ew@gmail.com</t>
  </si>
  <si>
    <t>18504 Silverbell Court</t>
  </si>
  <si>
    <t>Arah</t>
  </si>
  <si>
    <t>Westfall</t>
  </si>
  <si>
    <t>07/26/2001</t>
  </si>
  <si>
    <t>680341618</t>
  </si>
  <si>
    <t>8XREXC7JO</t>
  </si>
  <si>
    <t>02/20/2025</t>
  </si>
  <si>
    <t>acewestfall.ew@gmail.com</t>
  </si>
  <si>
    <t>2536 Michelangelo Court</t>
  </si>
  <si>
    <t>Dwayne</t>
  </si>
  <si>
    <t>Hendricks</t>
  </si>
  <si>
    <t>01/20/1985</t>
  </si>
  <si>
    <t>556839864</t>
  </si>
  <si>
    <t>8Y0C83TX4</t>
  </si>
  <si>
    <t>06/17/2025</t>
  </si>
  <si>
    <t>dhendricks.ew@gmail.com</t>
  </si>
  <si>
    <t>975 Seven Hills Drive</t>
  </si>
  <si>
    <t>1226</t>
  </si>
  <si>
    <t>Henderson</t>
  </si>
  <si>
    <t>89052</t>
  </si>
  <si>
    <t>Alexis</t>
  </si>
  <si>
    <t>Mariscal</t>
  </si>
  <si>
    <t>06/14/1994</t>
  </si>
  <si>
    <t>624742118</t>
  </si>
  <si>
    <t>923XBJGLZ</t>
  </si>
  <si>
    <t>11/23/2025</t>
  </si>
  <si>
    <t>alexismariscal.ew@gmail.com</t>
  </si>
  <si>
    <t>845 Nevada Street</t>
  </si>
  <si>
    <t>Apt 6</t>
  </si>
  <si>
    <t>Zachary</t>
  </si>
  <si>
    <t>Altizer</t>
  </si>
  <si>
    <t>12/15/1989</t>
  </si>
  <si>
    <t>530619625</t>
  </si>
  <si>
    <t>96RPWBTG5</t>
  </si>
  <si>
    <t>zackaltizer.ew@gmail.com</t>
  </si>
  <si>
    <t>9950 Brightridge Drive</t>
  </si>
  <si>
    <t>Andres</t>
  </si>
  <si>
    <t>Araya</t>
  </si>
  <si>
    <t>11/01/1995</t>
  </si>
  <si>
    <t>608860557</t>
  </si>
  <si>
    <t>98FCZVJQ1</t>
  </si>
  <si>
    <t>andresaraya.ew@gmail.com</t>
  </si>
  <si>
    <t>373 Dayton Valley Road</t>
  </si>
  <si>
    <t>Apt 121</t>
  </si>
  <si>
    <t>Dayton</t>
  </si>
  <si>
    <t>89403</t>
  </si>
  <si>
    <t>Audric</t>
  </si>
  <si>
    <t>Raveneau</t>
  </si>
  <si>
    <t>08/25/2004</t>
  </si>
  <si>
    <t>093069925</t>
  </si>
  <si>
    <t>98M1WRAMR</t>
  </si>
  <si>
    <t>10/21/2025</t>
  </si>
  <si>
    <t>01/17/2026</t>
  </si>
  <si>
    <t>audricraveneau.ew@gmail.com</t>
  </si>
  <si>
    <t>275 Orrcrest Drive</t>
  </si>
  <si>
    <t>Miguel</t>
  </si>
  <si>
    <t>Mercado</t>
  </si>
  <si>
    <t>06/18/2004</t>
  </si>
  <si>
    <t>680600589</t>
  </si>
  <si>
    <t>98W71DHXN</t>
  </si>
  <si>
    <t>zoemiguelmercado7@gmail.com</t>
  </si>
  <si>
    <t>1410 Loma Verde Drive</t>
  </si>
  <si>
    <t>Elera</t>
  </si>
  <si>
    <t>06/02/1991</t>
  </si>
  <si>
    <t>156902879</t>
  </si>
  <si>
    <t>98YRAHAW6</t>
  </si>
  <si>
    <t>chriselera.ew@gmail.com</t>
  </si>
  <si>
    <t>1135 Jones Street</t>
  </si>
  <si>
    <t>Apt A</t>
  </si>
  <si>
    <t>Odalis</t>
  </si>
  <si>
    <t>12/18/1998</t>
  </si>
  <si>
    <t>680124145</t>
  </si>
  <si>
    <t>99FBJQKLC</t>
  </si>
  <si>
    <t>odalismartinez.ew@yahoo.com</t>
  </si>
  <si>
    <t>8001 Military Road</t>
  </si>
  <si>
    <t>Apt 2204</t>
  </si>
  <si>
    <t>Kimbro</t>
  </si>
  <si>
    <t>11/02/1998</t>
  </si>
  <si>
    <t>623085239</t>
  </si>
  <si>
    <t>99GHZLNNJ</t>
  </si>
  <si>
    <t>07/13/2025</t>
  </si>
  <si>
    <t>michaelkimbro.ew@gmail.com</t>
  </si>
  <si>
    <t>210 South O Street</t>
  </si>
  <si>
    <t>Virginia City</t>
  </si>
  <si>
    <t>89440</t>
  </si>
  <si>
    <t>Laird</t>
  </si>
  <si>
    <t>06/05/1996</t>
  </si>
  <si>
    <t>612906445</t>
  </si>
  <si>
    <t>9BE3J98YN</t>
  </si>
  <si>
    <t>zacharylaird.ew@gmail.com</t>
  </si>
  <si>
    <t>11610 Tupelo Street</t>
  </si>
  <si>
    <t>Jimenez</t>
  </si>
  <si>
    <t>10/26/1994</t>
  </si>
  <si>
    <t>605786568</t>
  </si>
  <si>
    <t>9C9159X6G</t>
  </si>
  <si>
    <t>05/28/2025</t>
  </si>
  <si>
    <t>michaeljimenez.ew@gmail.com</t>
  </si>
  <si>
    <t>Apt 143B</t>
  </si>
  <si>
    <t>06/06/1998</t>
  </si>
  <si>
    <t>613060778</t>
  </si>
  <si>
    <t>9DHQORFCC</t>
  </si>
  <si>
    <t>brandoncruz.ew@gmail.com</t>
  </si>
  <si>
    <t>13198 West Palm Lane</t>
  </si>
  <si>
    <t>Goodyear</t>
  </si>
  <si>
    <t>85395</t>
  </si>
  <si>
    <t>Schnase</t>
  </si>
  <si>
    <t>06/22/1988</t>
  </si>
  <si>
    <t>606301277</t>
  </si>
  <si>
    <t>9IAL6P6RV</t>
  </si>
  <si>
    <t>02/27/2025</t>
  </si>
  <si>
    <t>05/24/2025</t>
  </si>
  <si>
    <t>kellymschnase.ew@gmail.com</t>
  </si>
  <si>
    <t>4310 Nathan Stephen Court</t>
  </si>
  <si>
    <t>Nadan</t>
  </si>
  <si>
    <t>02/07/2003</t>
  </si>
  <si>
    <t>618371859</t>
  </si>
  <si>
    <t>9KFH3G5IO</t>
  </si>
  <si>
    <t>07/22/2025</t>
  </si>
  <si>
    <t>kevinnadan.ew@gmail.com</t>
  </si>
  <si>
    <t>875 Damonte Ranch Parkway</t>
  </si>
  <si>
    <t>Apt 376</t>
  </si>
  <si>
    <t>Ismael</t>
  </si>
  <si>
    <t>Tamesis</t>
  </si>
  <si>
    <t>08/05/2001</t>
  </si>
  <si>
    <t>680275709</t>
  </si>
  <si>
    <t>9NDPVQMNF</t>
  </si>
  <si>
    <t>tamesisismael5@gmail.com</t>
  </si>
  <si>
    <t>2527 Janelle Drive</t>
  </si>
  <si>
    <t>Evasovic</t>
  </si>
  <si>
    <t>08/04/1986</t>
  </si>
  <si>
    <t>530475682</t>
  </si>
  <si>
    <t>9UA13I0UJ</t>
  </si>
  <si>
    <t>09/05/2024</t>
  </si>
  <si>
    <t>01/08/2025</t>
  </si>
  <si>
    <t>mattevasovic.ew@gmail.com</t>
  </si>
  <si>
    <t>7711 Sky Vista Pkwy unit 5721</t>
  </si>
  <si>
    <t>Bolden</t>
  </si>
  <si>
    <t>08/26/1979</t>
  </si>
  <si>
    <t>565572943</t>
  </si>
  <si>
    <t>9VZ9TQEVS</t>
  </si>
  <si>
    <t>lisabolden.ew@gmail.com</t>
  </si>
  <si>
    <t>605 Cliff View Drive</t>
  </si>
  <si>
    <t>Jeffery</t>
  </si>
  <si>
    <t>Chambers</t>
  </si>
  <si>
    <t>06/01/1979</t>
  </si>
  <si>
    <t>541962219</t>
  </si>
  <si>
    <t>9XJUOKK6J</t>
  </si>
  <si>
    <t>jefferychambers.ew@gmail.com</t>
  </si>
  <si>
    <t>1777 London Circle</t>
  </si>
  <si>
    <t>Silas</t>
  </si>
  <si>
    <t>Wheeler</t>
  </si>
  <si>
    <t>12/23/2003</t>
  </si>
  <si>
    <t>680547586</t>
  </si>
  <si>
    <t>9XMV3Q0C0</t>
  </si>
  <si>
    <t>06/19/2025</t>
  </si>
  <si>
    <t>silaswheeler.ew@gmail.com</t>
  </si>
  <si>
    <t>3574 Haystack Drive</t>
  </si>
  <si>
    <t>89705</t>
  </si>
  <si>
    <t>Jenea</t>
  </si>
  <si>
    <t>Wessman</t>
  </si>
  <si>
    <t>06/30/1982</t>
  </si>
  <si>
    <t>530312156</t>
  </si>
  <si>
    <t>9XQGYQUNO</t>
  </si>
  <si>
    <t>jeneawessman.ew@gmail.com</t>
  </si>
  <si>
    <t>2771 Alpine Creek Road</t>
  </si>
  <si>
    <t>89519</t>
  </si>
  <si>
    <t>09/18/2001</t>
  </si>
  <si>
    <t>772058770</t>
  </si>
  <si>
    <t>9YJIKAEDQ</t>
  </si>
  <si>
    <t>brandonwilson24.ew@gmail.com</t>
  </si>
  <si>
    <t>Apt 20H</t>
  </si>
  <si>
    <t>Stephany</t>
  </si>
  <si>
    <t>Vasquez-Perez</t>
  </si>
  <si>
    <t>11/19/1990</t>
  </si>
  <si>
    <t>Amarelya</t>
  </si>
  <si>
    <t>Martinez-Vasquez</t>
  </si>
  <si>
    <t>02/15/2024</t>
  </si>
  <si>
    <t>Valerya</t>
  </si>
  <si>
    <t>06/12/2022</t>
  </si>
  <si>
    <t>Roselya</t>
  </si>
  <si>
    <t>10/04/2018</t>
  </si>
  <si>
    <t>Malta</t>
  </si>
  <si>
    <t>08/11/1989</t>
  </si>
  <si>
    <t>100650818</t>
  </si>
  <si>
    <t>A05SQ7CFN</t>
  </si>
  <si>
    <t>robertomalta.ew@gmail.com</t>
  </si>
  <si>
    <t>1582 Woodhaven ln</t>
  </si>
  <si>
    <t>Alexander</t>
  </si>
  <si>
    <t>Peterson Taylor</t>
  </si>
  <si>
    <t>10/15/1996</t>
  </si>
  <si>
    <t>530972860</t>
  </si>
  <si>
    <t>A13HL9T9ZPK8BU</t>
  </si>
  <si>
    <t>alexpeterson.ew@gmail.com</t>
  </si>
  <si>
    <t>1260 West Newlands Drive</t>
  </si>
  <si>
    <t>Apt 8</t>
  </si>
  <si>
    <t>Audra</t>
  </si>
  <si>
    <t>Layton</t>
  </si>
  <si>
    <t>08/06/1989</t>
  </si>
  <si>
    <t>636103086</t>
  </si>
  <si>
    <t>A1660078WW1YUN</t>
  </si>
  <si>
    <t>02/09/2026</t>
  </si>
  <si>
    <t>audralayton.ew@gmail.com</t>
  </si>
  <si>
    <t>200 West 2nd Street</t>
  </si>
  <si>
    <t>Apt 801</t>
  </si>
  <si>
    <t>Isaiah</t>
  </si>
  <si>
    <t>Franklin</t>
  </si>
  <si>
    <t>03/24/2000</t>
  </si>
  <si>
    <t>604193437</t>
  </si>
  <si>
    <t>A1DZE84M5WR85E</t>
  </si>
  <si>
    <t>isaiahfranklin123ew@gmail.com</t>
  </si>
  <si>
    <t>8948 Blue Twilight Drive</t>
  </si>
  <si>
    <t>Josef</t>
  </si>
  <si>
    <t>Dickinson</t>
  </si>
  <si>
    <t>09/13/1992</t>
  </si>
  <si>
    <t>530697487</t>
  </si>
  <si>
    <t>A1K25X1PM86IN4</t>
  </si>
  <si>
    <t>josefdickinson.ew@gmail.com</t>
  </si>
  <si>
    <t>1270 Sharon Way</t>
  </si>
  <si>
    <t>Wilkin</t>
  </si>
  <si>
    <t>05/20/1991</t>
  </si>
  <si>
    <t>530594914</t>
  </si>
  <si>
    <t>A1SRXIXXSAVTQR</t>
  </si>
  <si>
    <t>justinwilkin.ew@gmail.com</t>
  </si>
  <si>
    <t>110 Heindel Road</t>
  </si>
  <si>
    <t>Luis</t>
  </si>
  <si>
    <t>Juarez</t>
  </si>
  <si>
    <t>10/23/1994</t>
  </si>
  <si>
    <t>617848796</t>
  </si>
  <si>
    <t>A1X1GHB6RN3PZJ</t>
  </si>
  <si>
    <t>02/04/2026</t>
  </si>
  <si>
    <t>luisjuarez.ew@gmail.com</t>
  </si>
  <si>
    <t>Apt 202b</t>
  </si>
  <si>
    <t>Caleb</t>
  </si>
  <si>
    <t>Aiyuk</t>
  </si>
  <si>
    <t>06/12/1991</t>
  </si>
  <si>
    <t>680205562</t>
  </si>
  <si>
    <t>A2015QPBCRH1PA</t>
  </si>
  <si>
    <t>calebaiyuk.ew@gmail.com</t>
  </si>
  <si>
    <t>5940 Roxbury Court</t>
  </si>
  <si>
    <t>Belicia</t>
  </si>
  <si>
    <t>Meza</t>
  </si>
  <si>
    <t>02/14/1997</t>
  </si>
  <si>
    <t>530998462</t>
  </si>
  <si>
    <t>A23G9O6KNUS1SF</t>
  </si>
  <si>
    <t>02/02/2026</t>
  </si>
  <si>
    <t>beliciameza.ew@gmail.com</t>
  </si>
  <si>
    <t>3515 Carlos Lane</t>
  </si>
  <si>
    <t>Vanessa</t>
  </si>
  <si>
    <t>Villanueva</t>
  </si>
  <si>
    <t>10/09/1999</t>
  </si>
  <si>
    <t>680187048</t>
  </si>
  <si>
    <t>A2M4GQDPMLQ0S7</t>
  </si>
  <si>
    <t>02/10/2026</t>
  </si>
  <si>
    <t>vanessavillanueva.ew@gmail.com</t>
  </si>
  <si>
    <t>2260 Tripp Drive</t>
  </si>
  <si>
    <t>Tajarayne</t>
  </si>
  <si>
    <t>Carter</t>
  </si>
  <si>
    <t>04/28/2004</t>
  </si>
  <si>
    <t>680585814</t>
  </si>
  <si>
    <t>A2ND4KW9IRRARS</t>
  </si>
  <si>
    <t>02/05/2026</t>
  </si>
  <si>
    <t>tajaraynecarter.ew@gmail.com</t>
  </si>
  <si>
    <t>7603 Crystal Shores Drive</t>
  </si>
  <si>
    <t>Macario</t>
  </si>
  <si>
    <t>03/16/1997</t>
  </si>
  <si>
    <t>725532196</t>
  </si>
  <si>
    <t>A2T78511XEHDXQ</t>
  </si>
  <si>
    <t>macariomendoza.ew@gmail.com</t>
  </si>
  <si>
    <t>8605 Red Baron Boulevard</t>
  </si>
  <si>
    <t>Nathan</t>
  </si>
  <si>
    <t>Taylor</t>
  </si>
  <si>
    <t>04/14/2002</t>
  </si>
  <si>
    <t>680404124</t>
  </si>
  <si>
    <t>A2W3RRWBLY9VY6</t>
  </si>
  <si>
    <t>02/11/2026</t>
  </si>
  <si>
    <t>nathantaylor.ew@gmail.com</t>
  </si>
  <si>
    <t>2071 Wabash Circle</t>
  </si>
  <si>
    <t>Colby</t>
  </si>
  <si>
    <t>Keller</t>
  </si>
  <si>
    <t>10/24/2002</t>
  </si>
  <si>
    <t>623350568</t>
  </si>
  <si>
    <t>A2XZSE4O3SXLYO</t>
  </si>
  <si>
    <t>colbykeller.ew@gmail.com</t>
  </si>
  <si>
    <t>1311 Carolyn Avenue</t>
  </si>
  <si>
    <t>Escalon</t>
  </si>
  <si>
    <t>95320</t>
  </si>
  <si>
    <t>John</t>
  </si>
  <si>
    <t>Arellano</t>
  </si>
  <si>
    <t>07/18/1982</t>
  </si>
  <si>
    <t>559995001</t>
  </si>
  <si>
    <t>A30R6T035DROXG</t>
  </si>
  <si>
    <t>johnarellano603@gmail.com</t>
  </si>
  <si>
    <t>1685 Southview Drive</t>
  </si>
  <si>
    <t>Allison</t>
  </si>
  <si>
    <t>Matthews</t>
  </si>
  <si>
    <t>04/12/2003</t>
  </si>
  <si>
    <t>610390230</t>
  </si>
  <si>
    <t>A34BUH22XRQM7G</t>
  </si>
  <si>
    <t>allisonmatthews.ew@gmail.com</t>
  </si>
  <si>
    <t>8947 Wolf River Drive</t>
  </si>
  <si>
    <t>05/09/1994</t>
  </si>
  <si>
    <t>530811295</t>
  </si>
  <si>
    <t>A35D2J4M3TAB57</t>
  </si>
  <si>
    <t>josegarcia94.ew@gmail.com</t>
  </si>
  <si>
    <t>4999 U.S. 50</t>
  </si>
  <si>
    <t>Spc #40</t>
  </si>
  <si>
    <t>Kolar</t>
  </si>
  <si>
    <t>Lucero</t>
  </si>
  <si>
    <t>12/03/2000</t>
  </si>
  <si>
    <t>646565467</t>
  </si>
  <si>
    <t>A35XEX2FTQF6DR</t>
  </si>
  <si>
    <t>kolarlucero.ew@gmail.com</t>
  </si>
  <si>
    <t>365 North 300 West</t>
  </si>
  <si>
    <t>Richfield</t>
  </si>
  <si>
    <t>84701</t>
  </si>
  <si>
    <t>Jerod</t>
  </si>
  <si>
    <t>Balderrama</t>
  </si>
  <si>
    <t>02/04/1998</t>
  </si>
  <si>
    <t>613043148</t>
  </si>
  <si>
    <t>A39YSSZAT</t>
  </si>
  <si>
    <t>08/18/2025</t>
  </si>
  <si>
    <t>jbalderrama.ew@gmail.com</t>
  </si>
  <si>
    <t>289 Sawyer Way</t>
  </si>
  <si>
    <t>Duvall Jr</t>
  </si>
  <si>
    <t>680588990</t>
  </si>
  <si>
    <t>A3HUS7B9MPPBMV</t>
  </si>
  <si>
    <t>danielduvall.ew@gmail.com</t>
  </si>
  <si>
    <t>764 Bale mountain Dr</t>
  </si>
  <si>
    <t>Diaz</t>
  </si>
  <si>
    <t>06/08/1999</t>
  </si>
  <si>
    <t>612602682</t>
  </si>
  <si>
    <t>A3JKMSH4Q2O1TU</t>
  </si>
  <si>
    <t>12</t>
  </si>
  <si>
    <t>9</t>
  </si>
  <si>
    <t>jesusdiaz.ew@gmail.com</t>
  </si>
  <si>
    <t>9040 Rising Sun Drive</t>
  </si>
  <si>
    <t>Gabriella</t>
  </si>
  <si>
    <t>La Gunas-Anthony</t>
  </si>
  <si>
    <t>05/21/2004</t>
  </si>
  <si>
    <t>541671535</t>
  </si>
  <si>
    <t>A3MZ4JT46PGMO9</t>
  </si>
  <si>
    <t>gabriellalagunasanthony.ew@gmail.com</t>
  </si>
  <si>
    <t>1927 Marian Avenue</t>
  </si>
  <si>
    <t>Chase</t>
  </si>
  <si>
    <t>Mata</t>
  </si>
  <si>
    <t>06/13/1994</t>
  </si>
  <si>
    <t>607766346</t>
  </si>
  <si>
    <t>A3V94FU1DU282I</t>
  </si>
  <si>
    <t>chasemata.ew@gmail.com</t>
  </si>
  <si>
    <t>357 Emigrant Way</t>
  </si>
  <si>
    <t>Nicolas</t>
  </si>
  <si>
    <t>York</t>
  </si>
  <si>
    <t>11/20/1997</t>
  </si>
  <si>
    <t>680059737</t>
  </si>
  <si>
    <t>A3ZZ0LXT8</t>
  </si>
  <si>
    <t>nicolasya.ew@gmail.com</t>
  </si>
  <si>
    <t>9957 Autumn Sage Drive</t>
  </si>
  <si>
    <t>Williams</t>
  </si>
  <si>
    <t>10/06/2000</t>
  </si>
  <si>
    <t>603255881</t>
  </si>
  <si>
    <t>A6K0BNFCTD4HT</t>
  </si>
  <si>
    <t>kevinwilliams00.ew@gmail.com</t>
  </si>
  <si>
    <t>13001 Mount Anderson Street</t>
  </si>
  <si>
    <t>Antonio</t>
  </si>
  <si>
    <t>Salazar</t>
  </si>
  <si>
    <t>12/26/1997</t>
  </si>
  <si>
    <t>680057273</t>
  </si>
  <si>
    <t>A8N7LTVRL</t>
  </si>
  <si>
    <t>12/04/2024</t>
  </si>
  <si>
    <t>antoniosalazar.ew@gmail.com</t>
  </si>
  <si>
    <t>975 Broadway Boulevard</t>
  </si>
  <si>
    <t>Mateo</t>
  </si>
  <si>
    <t>Lemus</t>
  </si>
  <si>
    <t>10/07/1998</t>
  </si>
  <si>
    <t>680108624</t>
  </si>
  <si>
    <t>A9Z6XOYQ7</t>
  </si>
  <si>
    <t>04/29/2025</t>
  </si>
  <si>
    <t>mateo.lemus.ew@gmail.com</t>
  </si>
  <si>
    <t>1440 Darby Lane</t>
  </si>
  <si>
    <t>Myisha</t>
  </si>
  <si>
    <t>Butts</t>
  </si>
  <si>
    <t>065909637</t>
  </si>
  <si>
    <t>AA2EB97EQ</t>
  </si>
  <si>
    <t>10/29/2025</t>
  </si>
  <si>
    <t>myishabutts.ew@gmail.com</t>
  </si>
  <si>
    <t>18673 Village Center Drive</t>
  </si>
  <si>
    <t>AMALTHEA</t>
  </si>
  <si>
    <t>08/21/1991</t>
  </si>
  <si>
    <t>530594477</t>
  </si>
  <si>
    <t>AAXMGKHY3</t>
  </si>
  <si>
    <t>01/02/2023</t>
  </si>
  <si>
    <t>22</t>
  </si>
  <si>
    <t>morgana22.ew@gmail.com</t>
  </si>
  <si>
    <t>3950 Baker Lane Apt D</t>
  </si>
  <si>
    <t>Dakota</t>
  </si>
  <si>
    <t>Fisher</t>
  </si>
  <si>
    <t>01/12/2003</t>
  </si>
  <si>
    <t>680468029</t>
  </si>
  <si>
    <t>ACLR3WJS7</t>
  </si>
  <si>
    <t>03/10/2025</t>
  </si>
  <si>
    <t>dfisher.ew@gmail.com</t>
  </si>
  <si>
    <t>8705 Borzoi Court</t>
  </si>
  <si>
    <t>Sandy</t>
  </si>
  <si>
    <t>Blauvelt</t>
  </si>
  <si>
    <t>08/04/1990</t>
  </si>
  <si>
    <t>530571758</t>
  </si>
  <si>
    <t>AEHAKI9OA</t>
  </si>
  <si>
    <t>01/24/2026</t>
  </si>
  <si>
    <t>sandyblauvelt.ew@gmail.com</t>
  </si>
  <si>
    <t>8044 Moss Creek Drive</t>
  </si>
  <si>
    <t>Kelley</t>
  </si>
  <si>
    <t>09/19/2003</t>
  </si>
  <si>
    <t>616417027</t>
  </si>
  <si>
    <t>AES8YFFEH</t>
  </si>
  <si>
    <t>jakekelley.ew@gmail.com</t>
  </si>
  <si>
    <t>6202 Mesa Road</t>
  </si>
  <si>
    <t>Gage</t>
  </si>
  <si>
    <t>02/04/2000</t>
  </si>
  <si>
    <t>680221483</t>
  </si>
  <si>
    <t>AESZKWW41ZRIS</t>
  </si>
  <si>
    <t>gagebennett.ew@gmail.com</t>
  </si>
  <si>
    <t>1038 Berrum Lane</t>
  </si>
  <si>
    <t>Erik</t>
  </si>
  <si>
    <t>12/23/1980</t>
  </si>
  <si>
    <t>528575905</t>
  </si>
  <si>
    <t>AF95IWSRW</t>
  </si>
  <si>
    <t>11/16/2025</t>
  </si>
  <si>
    <t>erikadams.ew@gmail.com</t>
  </si>
  <si>
    <t>930 19th Street</t>
  </si>
  <si>
    <t>Walmsley</t>
  </si>
  <si>
    <t>07/31/1994</t>
  </si>
  <si>
    <t>603761174</t>
  </si>
  <si>
    <t>AH5X9Z2OJF1K5</t>
  </si>
  <si>
    <t>ryanwalmsley.ew@gmail.com</t>
  </si>
  <si>
    <t>3068 Plumas Street</t>
  </si>
  <si>
    <t>Austin</t>
  </si>
  <si>
    <t>Gutzler</t>
  </si>
  <si>
    <t>360942980</t>
  </si>
  <si>
    <t>AHNVPNTD8</t>
  </si>
  <si>
    <t>07/25/2025</t>
  </si>
  <si>
    <t>austingutzler.ew@gmail.com</t>
  </si>
  <si>
    <t>233</t>
  </si>
  <si>
    <t>Wence</t>
  </si>
  <si>
    <t>03/12/2003</t>
  </si>
  <si>
    <t>680483829</t>
  </si>
  <si>
    <t>AJEEF1SCM</t>
  </si>
  <si>
    <t>angelwence.ew@gmail.com</t>
  </si>
  <si>
    <t>9165 Rising Sun Drive</t>
  </si>
  <si>
    <t>10/12/2001</t>
  </si>
  <si>
    <t>716484941</t>
  </si>
  <si>
    <t>ANDTBIS69WCKB</t>
  </si>
  <si>
    <t>joseromero.ew@gmail.com</t>
  </si>
  <si>
    <t>5185 Oetting Lane</t>
  </si>
  <si>
    <t>Molly</t>
  </si>
  <si>
    <t>05/04/2004</t>
  </si>
  <si>
    <t>611450561</t>
  </si>
  <si>
    <t>ANPJW35EH</t>
  </si>
  <si>
    <t>mollymartinez.ew@gmail.com</t>
  </si>
  <si>
    <t>5522 Mulberry Court</t>
  </si>
  <si>
    <t>03/27/1978</t>
  </si>
  <si>
    <t>516156148</t>
  </si>
  <si>
    <t>AP1S2DQAV</t>
  </si>
  <si>
    <t>02/12/2025</t>
  </si>
  <si>
    <t>kellkev78@gmail.com</t>
  </si>
  <si>
    <t>2977 Murrelet Way</t>
  </si>
  <si>
    <t>Shane</t>
  </si>
  <si>
    <t>Standridge</t>
  </si>
  <si>
    <t>05/16/1987</t>
  </si>
  <si>
    <t>558956332</t>
  </si>
  <si>
    <t>APW793WBW</t>
  </si>
  <si>
    <t>01/20/2025</t>
  </si>
  <si>
    <t>sstandridge87ew@gmail.com</t>
  </si>
  <si>
    <t>5855 Apache Drive</t>
  </si>
  <si>
    <t>Thurber</t>
  </si>
  <si>
    <t>08/23/1982</t>
  </si>
  <si>
    <t>568751106</t>
  </si>
  <si>
    <t>AQJI7TS31</t>
  </si>
  <si>
    <t>05/22/2025</t>
  </si>
  <si>
    <t>mikethurber.ew@gmail.com</t>
  </si>
  <si>
    <t>777 East 4th Street</t>
  </si>
  <si>
    <t>Jordan</t>
  </si>
  <si>
    <t>Swain</t>
  </si>
  <si>
    <t>07/30/1995</t>
  </si>
  <si>
    <t>610848243</t>
  </si>
  <si>
    <t>ATSG6PTGI</t>
  </si>
  <si>
    <t>01/12/2026</t>
  </si>
  <si>
    <t>jaysway73125@gmail.com</t>
  </si>
  <si>
    <t>1650 6th Street</t>
  </si>
  <si>
    <t>Sarikakis</t>
  </si>
  <si>
    <t>01/19/2000</t>
  </si>
  <si>
    <t>619173699</t>
  </si>
  <si>
    <t>ATV2V52OV460U</t>
  </si>
  <si>
    <t>jessicasarikakis.ew@gmail.com</t>
  </si>
  <si>
    <t>1465 East Peckham Lane</t>
  </si>
  <si>
    <t>Apt 66</t>
  </si>
  <si>
    <t>Nestor</t>
  </si>
  <si>
    <t>Lopez</t>
  </si>
  <si>
    <t>11/16/1995</t>
  </si>
  <si>
    <t>607862184</t>
  </si>
  <si>
    <t>AVLQL413W1RL3</t>
  </si>
  <si>
    <t>nestorlopez.ew@gmail.com</t>
  </si>
  <si>
    <t>858 La Linda Vista Drive</t>
  </si>
  <si>
    <t>Luke</t>
  </si>
  <si>
    <t>Schiermeyer</t>
  </si>
  <si>
    <t>03/14/2004</t>
  </si>
  <si>
    <t>541816283</t>
  </si>
  <si>
    <t>AXG9YO2HC</t>
  </si>
  <si>
    <t>lukeschiermeyer.ew@gmail.com</t>
  </si>
  <si>
    <t>888 Willow Street</t>
  </si>
  <si>
    <t>Tyson</t>
  </si>
  <si>
    <t>06/22/2001</t>
  </si>
  <si>
    <t>607276592</t>
  </si>
  <si>
    <t>AY62S1TMOKL11</t>
  </si>
  <si>
    <t>codytyson.ew@gmail.com</t>
  </si>
  <si>
    <t>7650 Highlands View Road</t>
  </si>
  <si>
    <t>Apt A 210</t>
  </si>
  <si>
    <t>Truckee</t>
  </si>
  <si>
    <t>96161</t>
  </si>
  <si>
    <t>Jeremiah</t>
  </si>
  <si>
    <t>Coleman</t>
  </si>
  <si>
    <t>10/16/2002</t>
  </si>
  <si>
    <t>661072199</t>
  </si>
  <si>
    <t>AZC5DP1OR</t>
  </si>
  <si>
    <t>jeremiahcoleman.ew@gmail.com</t>
  </si>
  <si>
    <t>830 Whitaker Drive</t>
  </si>
  <si>
    <t>Jonnie</t>
  </si>
  <si>
    <t>Redensek</t>
  </si>
  <si>
    <t>01/24/2005</t>
  </si>
  <si>
    <t>680647716</t>
  </si>
  <si>
    <t>AZLENQXWYTYBN</t>
  </si>
  <si>
    <t>jonnieredensek.ew@gmail.com</t>
  </si>
  <si>
    <t>Unit 3214E</t>
  </si>
  <si>
    <t>De La Luz</t>
  </si>
  <si>
    <t>11/15/2003</t>
  </si>
  <si>
    <t>680526009</t>
  </si>
  <si>
    <t>B0NY7U7ZR</t>
  </si>
  <si>
    <t>delaluzkevin.ew@yahoo.com</t>
  </si>
  <si>
    <t>819 Tradewinds Court</t>
  </si>
  <si>
    <t>Brian</t>
  </si>
  <si>
    <t>Tripicchio</t>
  </si>
  <si>
    <t>02/14/1973</t>
  </si>
  <si>
    <t>083541647</t>
  </si>
  <si>
    <t>B3I0ZOJ0R</t>
  </si>
  <si>
    <t>briantripicchio.ew@yahoo.com</t>
  </si>
  <si>
    <t>209 Simone Avenue</t>
  </si>
  <si>
    <t>Frank</t>
  </si>
  <si>
    <t>07/08/1998</t>
  </si>
  <si>
    <t>621069425</t>
  </si>
  <si>
    <t>B4Q4HR9QF</t>
  </si>
  <si>
    <t>12/04/2025</t>
  </si>
  <si>
    <t>12/16/2025</t>
  </si>
  <si>
    <t>frankmartinez.ew@gmail.com</t>
  </si>
  <si>
    <t>10 East I Street</t>
  </si>
  <si>
    <t>Tristan</t>
  </si>
  <si>
    <t>Cheathon</t>
  </si>
  <si>
    <t>03/29/1971</t>
  </si>
  <si>
    <t>530199759</t>
  </si>
  <si>
    <t>B6W7EYJT5</t>
  </si>
  <si>
    <t>01/07/2026</t>
  </si>
  <si>
    <t>tristancheathon.ew@gmail.com</t>
  </si>
  <si>
    <t>700 Strauss Court</t>
  </si>
  <si>
    <t>Kilian</t>
  </si>
  <si>
    <t>Gorman</t>
  </si>
  <si>
    <t>12/24/2002</t>
  </si>
  <si>
    <t>228950271</t>
  </si>
  <si>
    <t>B98IHT301</t>
  </si>
  <si>
    <t>02/02/2025</t>
  </si>
  <si>
    <t>kiliangorman.ew@gmail.com</t>
  </si>
  <si>
    <t>565 Sparks Boulevard</t>
  </si>
  <si>
    <t>Mejia</t>
  </si>
  <si>
    <t>11/24/2000</t>
  </si>
  <si>
    <t>680282223</t>
  </si>
  <si>
    <t>B9NQ5CKLH</t>
  </si>
  <si>
    <t>jcmejia.ew@gmail.com</t>
  </si>
  <si>
    <t>8892 Mahon Drive</t>
  </si>
  <si>
    <t>Corbin</t>
  </si>
  <si>
    <t>Deadwiley</t>
  </si>
  <si>
    <t>02/13/2003</t>
  </si>
  <si>
    <t>619370266</t>
  </si>
  <si>
    <t>BBS1SA37K</t>
  </si>
  <si>
    <t>corbindeadwiley.ew@gmail.com</t>
  </si>
  <si>
    <t>1555 Ridgeview Drive</t>
  </si>
  <si>
    <t>Unit 65</t>
  </si>
  <si>
    <t>Elvenda</t>
  </si>
  <si>
    <t>Norman</t>
  </si>
  <si>
    <t>11/21/1981</t>
  </si>
  <si>
    <t>863974137</t>
  </si>
  <si>
    <t>BC28NTTK0</t>
  </si>
  <si>
    <t>04/09/2025</t>
  </si>
  <si>
    <t>elnorman.ew@gmail.com</t>
  </si>
  <si>
    <t>4055 Gardella Avenue</t>
  </si>
  <si>
    <t>JAMES</t>
  </si>
  <si>
    <t>11/24/1993</t>
  </si>
  <si>
    <t>610705732</t>
  </si>
  <si>
    <t>BC82PDDFY</t>
  </si>
  <si>
    <t>02/06/2023</t>
  </si>
  <si>
    <t>03/22/2025</t>
  </si>
  <si>
    <t>mitchell.james.ew@gmail.com</t>
  </si>
  <si>
    <t>7093 Sacred Circle</t>
  </si>
  <si>
    <t>Weston</t>
  </si>
  <si>
    <t>Holm</t>
  </si>
  <si>
    <t>06/09/2003</t>
  </si>
  <si>
    <t>619399000</t>
  </si>
  <si>
    <t>BDAVXWAFL</t>
  </si>
  <si>
    <t>03/11/2025</t>
  </si>
  <si>
    <t>06/24/2025</t>
  </si>
  <si>
    <t>westonholm.ew@gmail.com</t>
  </si>
  <si>
    <t>625 University Terrace</t>
  </si>
  <si>
    <t>Tracy</t>
  </si>
  <si>
    <t>Shelton</t>
  </si>
  <si>
    <t>09/10/1989</t>
  </si>
  <si>
    <t>603421943</t>
  </si>
  <si>
    <t>BILSEIVYW</t>
  </si>
  <si>
    <t>tshelton.ew@gmail.com</t>
  </si>
  <si>
    <t>1855 Selmi Drive</t>
  </si>
  <si>
    <t>Apt J272</t>
  </si>
  <si>
    <t>Quentin</t>
  </si>
  <si>
    <t>09/30/1993</t>
  </si>
  <si>
    <t>191743163</t>
  </si>
  <si>
    <t>BK0JXLJR9</t>
  </si>
  <si>
    <t>quentinbrandon.ew@gmail.com</t>
  </si>
  <si>
    <t>1225 Victorian Avenue</t>
  </si>
  <si>
    <t>Apt 596</t>
  </si>
  <si>
    <t>Lyster</t>
  </si>
  <si>
    <t>05/15/1998</t>
  </si>
  <si>
    <t>618089134</t>
  </si>
  <si>
    <t>BK9WGYNI8</t>
  </si>
  <si>
    <t>alyster.ew@gmail.com</t>
  </si>
  <si>
    <t>940 Rhode Island Drive</t>
  </si>
  <si>
    <t>Smith</t>
  </si>
  <si>
    <t>05/12/2003</t>
  </si>
  <si>
    <t>540657238</t>
  </si>
  <si>
    <t>BLHKFCA71</t>
  </si>
  <si>
    <t>11/19/2025</t>
  </si>
  <si>
    <t>jacobsmith.ew@gmail.com</t>
  </si>
  <si>
    <t>2731 Admiral Court</t>
  </si>
  <si>
    <t>Draco</t>
  </si>
  <si>
    <t>07/03/2002</t>
  </si>
  <si>
    <t>680426228</t>
  </si>
  <si>
    <t>BNJ08K20C</t>
  </si>
  <si>
    <t>08/20/2025</t>
  </si>
  <si>
    <t>10/17/2025</t>
  </si>
  <si>
    <t>dracogomez.ew@gmail.com</t>
  </si>
  <si>
    <t>491 Compton Street</t>
  </si>
  <si>
    <t>Saw</t>
  </si>
  <si>
    <t>03/28/2003</t>
  </si>
  <si>
    <t>603396925</t>
  </si>
  <si>
    <t>BO1LC7NPB</t>
  </si>
  <si>
    <t>tylersaw.ew@gmail.com</t>
  </si>
  <si>
    <t>Apt 922</t>
  </si>
  <si>
    <t>Fleming</t>
  </si>
  <si>
    <t>02/11/1982</t>
  </si>
  <si>
    <t>622097880</t>
  </si>
  <si>
    <t>BO89WIWFO</t>
  </si>
  <si>
    <t>10/17/2024</t>
  </si>
  <si>
    <t>07/10/2025</t>
  </si>
  <si>
    <t>kevinfleming.ew@gmail.com</t>
  </si>
  <si>
    <t>7375 Windswept Loop</t>
  </si>
  <si>
    <t>Maritsu</t>
  </si>
  <si>
    <t>Stearne</t>
  </si>
  <si>
    <t>01/01/1998</t>
  </si>
  <si>
    <t>616043910</t>
  </si>
  <si>
    <t>BOH7455OX</t>
  </si>
  <si>
    <t>maritsu.stearne.ew@gmail.com</t>
  </si>
  <si>
    <t>Apt 727</t>
  </si>
  <si>
    <t>Sean</t>
  </si>
  <si>
    <t>Hardge</t>
  </si>
  <si>
    <t>07/17/1984</t>
  </si>
  <si>
    <t>020680864</t>
  </si>
  <si>
    <t>BU93OBXS6</t>
  </si>
  <si>
    <t>seanhardge.ew@yahoo.com</t>
  </si>
  <si>
    <t>2790 Severn Drive</t>
  </si>
  <si>
    <t>Lowenstein</t>
  </si>
  <si>
    <t>09/26/1986</t>
  </si>
  <si>
    <t>524739774</t>
  </si>
  <si>
    <t>C0QLWECGT</t>
  </si>
  <si>
    <t>07/07/2025</t>
  </si>
  <si>
    <t>daniellowenstein.ew@gmail.com</t>
  </si>
  <si>
    <t>9290 Lost Valley Road</t>
  </si>
  <si>
    <t>Houser</t>
  </si>
  <si>
    <t>12/05/1992</t>
  </si>
  <si>
    <t>644340599</t>
  </si>
  <si>
    <t>C1200GOKT</t>
  </si>
  <si>
    <t>09/26/2025</t>
  </si>
  <si>
    <t>tracyhouser.ew@gmail.com</t>
  </si>
  <si>
    <t>329 Cheney Street</t>
  </si>
  <si>
    <t>Ayala</t>
  </si>
  <si>
    <t>05/23/2001</t>
  </si>
  <si>
    <t>625251472</t>
  </si>
  <si>
    <t>C2GBJHUXR</t>
  </si>
  <si>
    <t>robertoayala.ew@gmail.com</t>
  </si>
  <si>
    <t>6220 Dutch Flat Road</t>
  </si>
  <si>
    <t>Frankie</t>
  </si>
  <si>
    <t>01/29/2002</t>
  </si>
  <si>
    <t>608310261</t>
  </si>
  <si>
    <t>C2LQP52AF</t>
  </si>
  <si>
    <t>08/11/2024</t>
  </si>
  <si>
    <t>11/02/2025</t>
  </si>
  <si>
    <t>frankiemiller.ew@gmail.com</t>
  </si>
  <si>
    <t>Antelope Creek Drive</t>
  </si>
  <si>
    <t>APOLLO</t>
  </si>
  <si>
    <t>READ</t>
  </si>
  <si>
    <t>07/10/2000</t>
  </si>
  <si>
    <t>672097075</t>
  </si>
  <si>
    <t>C3C1BW9C5</t>
  </si>
  <si>
    <t>02/01/2024</t>
  </si>
  <si>
    <t>44200.00</t>
  </si>
  <si>
    <t>apolloread.ew@gmail.com</t>
  </si>
  <si>
    <t>9629 Desert Sunrise Ct</t>
  </si>
  <si>
    <t>Caitlynn</t>
  </si>
  <si>
    <t>Landay</t>
  </si>
  <si>
    <t>01/17/2003</t>
  </si>
  <si>
    <t>616373374</t>
  </si>
  <si>
    <t>C3KRMAX0Q</t>
  </si>
  <si>
    <t>caitlynnlanday.ew@gmail.com</t>
  </si>
  <si>
    <t>Unit 2507</t>
  </si>
  <si>
    <t>Denaya</t>
  </si>
  <si>
    <t>Evans-Nichols</t>
  </si>
  <si>
    <t>05/10/2004</t>
  </si>
  <si>
    <t>321048098</t>
  </si>
  <si>
    <t>C464OI3JD</t>
  </si>
  <si>
    <t>denayanichols.ew@gmail.com</t>
  </si>
  <si>
    <t>888 willow st</t>
  </si>
  <si>
    <t>Apt 306</t>
  </si>
  <si>
    <t>Devon</t>
  </si>
  <si>
    <t>Davis</t>
  </si>
  <si>
    <t>03/30/2001</t>
  </si>
  <si>
    <t>680306234</t>
  </si>
  <si>
    <t>C4P54ESY3</t>
  </si>
  <si>
    <t>devondavis.ew@gmail.com</t>
  </si>
  <si>
    <t>220 McClellan Drive</t>
  </si>
  <si>
    <t>L68CGQUGB</t>
  </si>
  <si>
    <t>Citlali</t>
  </si>
  <si>
    <t>Quezada</t>
  </si>
  <si>
    <t>09/10/2003</t>
  </si>
  <si>
    <t>680527671</t>
  </si>
  <si>
    <t>C675Z7A4Y</t>
  </si>
  <si>
    <t>04/14/2025</t>
  </si>
  <si>
    <t>10/11/2025</t>
  </si>
  <si>
    <t>cquezada.ew@gmail.com</t>
  </si>
  <si>
    <t>1946 Greenbrae Drive</t>
  </si>
  <si>
    <t>ZACH</t>
  </si>
  <si>
    <t>06/09/1999</t>
  </si>
  <si>
    <t>646480600</t>
  </si>
  <si>
    <t>C7LGUXNRB</t>
  </si>
  <si>
    <t>03/26/2022</t>
  </si>
  <si>
    <t>07/12/2025</t>
  </si>
  <si>
    <t>zachn2099@gmail.com</t>
  </si>
  <si>
    <t>4650 Sierra Madre Dr. Apt. 500</t>
  </si>
  <si>
    <t>Ameka</t>
  </si>
  <si>
    <t>Scott</t>
  </si>
  <si>
    <t>04/24/1993</t>
  </si>
  <si>
    <t>624645670</t>
  </si>
  <si>
    <t>C7WB6W135</t>
  </si>
  <si>
    <t>mekscott.ew@gmail.com</t>
  </si>
  <si>
    <t>9455 Sky Vista Parkway</t>
  </si>
  <si>
    <t>Sebastian</t>
  </si>
  <si>
    <t>09/01/1997</t>
  </si>
  <si>
    <t>603020771</t>
  </si>
  <si>
    <t>CAZE2I1LL</t>
  </si>
  <si>
    <t>01/05/2026</t>
  </si>
  <si>
    <t>sebastianmyers.ew@gmail.com</t>
  </si>
  <si>
    <t>1802 11th Street</t>
  </si>
  <si>
    <t>Kyrsten</t>
  </si>
  <si>
    <t>Whiteside</t>
  </si>
  <si>
    <t>02/07/1991</t>
  </si>
  <si>
    <t>530573914</t>
  </si>
  <si>
    <t>CBBPYNWV9</t>
  </si>
  <si>
    <t>kyrstenwhiteside.ew@gmail.com</t>
  </si>
  <si>
    <t>7640 Deep Bay Drive</t>
  </si>
  <si>
    <t>Azraella</t>
  </si>
  <si>
    <t>Gravelle</t>
  </si>
  <si>
    <t>11/19/1988</t>
  </si>
  <si>
    <t>678683021</t>
  </si>
  <si>
    <t>CBC2MGKNC</t>
  </si>
  <si>
    <t>azraellagravelle.ew@gmail.com</t>
  </si>
  <si>
    <t>1111 South Roop Street</t>
  </si>
  <si>
    <t>Unit 2743</t>
  </si>
  <si>
    <t>Rashad</t>
  </si>
  <si>
    <t>Rayford</t>
  </si>
  <si>
    <t>07/12/1991</t>
  </si>
  <si>
    <t>407416171</t>
  </si>
  <si>
    <t>CBOMONQGF</t>
  </si>
  <si>
    <t>rashadrayford.ew@yahoo.com</t>
  </si>
  <si>
    <t>9701 Southeast Johnson Creek B</t>
  </si>
  <si>
    <t>Apt B106</t>
  </si>
  <si>
    <t>Happy Valley</t>
  </si>
  <si>
    <t>97086</t>
  </si>
  <si>
    <t>Kerlick</t>
  </si>
  <si>
    <t>616241889</t>
  </si>
  <si>
    <t>CBUTKE42O</t>
  </si>
  <si>
    <t>anthonyker.ew@gmail.com</t>
  </si>
  <si>
    <t>Unit 1912</t>
  </si>
  <si>
    <t>Santiago</t>
  </si>
  <si>
    <t>Gonzalez</t>
  </si>
  <si>
    <t>04/05/2004</t>
  </si>
  <si>
    <t>680580437</t>
  </si>
  <si>
    <t>CGMOFMCUT</t>
  </si>
  <si>
    <t>sgonzalez.ew@gmail.com</t>
  </si>
  <si>
    <t>8522 Moth Circle</t>
  </si>
  <si>
    <t>Mesui</t>
  </si>
  <si>
    <t>Taufaao</t>
  </si>
  <si>
    <t>10/22/2003</t>
  </si>
  <si>
    <t>680541215</t>
  </si>
  <si>
    <t>CHRE33JMI</t>
  </si>
  <si>
    <t>mesuitaufaao.ew@gmail.com</t>
  </si>
  <si>
    <t>3835 Patricia Lane</t>
  </si>
  <si>
    <t>Bradley</t>
  </si>
  <si>
    <t>ONeal</t>
  </si>
  <si>
    <t>05/27/1990</t>
  </si>
  <si>
    <t>618385793</t>
  </si>
  <si>
    <t>CIWI96LYE</t>
  </si>
  <si>
    <t>onealbrad84@gmail.com</t>
  </si>
  <si>
    <t>2500 Dickerson Road</t>
  </si>
  <si>
    <t>Apt 189</t>
  </si>
  <si>
    <t>Mia</t>
  </si>
  <si>
    <t>Vargas</t>
  </si>
  <si>
    <t>07/13/2003</t>
  </si>
  <si>
    <t>680508318</t>
  </si>
  <si>
    <t>CJICU28MH</t>
  </si>
  <si>
    <t>12/14/2025</t>
  </si>
  <si>
    <t>12/19/2025</t>
  </si>
  <si>
    <t>miavargas.ew@gmail.com</t>
  </si>
  <si>
    <t>499 North Sand Crane Circle</t>
  </si>
  <si>
    <t>Fahim</t>
  </si>
  <si>
    <t>Rahman</t>
  </si>
  <si>
    <t>10/08/2003</t>
  </si>
  <si>
    <t>680529068</t>
  </si>
  <si>
    <t>COMTOMT40</t>
  </si>
  <si>
    <t>fahimrahman.ew@gmail.com</t>
  </si>
  <si>
    <t>7065 Sterling Point Court</t>
  </si>
  <si>
    <t>Rasmussen</t>
  </si>
  <si>
    <t>09/18/1991</t>
  </si>
  <si>
    <t>609500982</t>
  </si>
  <si>
    <t>CQ72KGGT7</t>
  </si>
  <si>
    <t>mjras69@gmail.com</t>
  </si>
  <si>
    <t>micahelrasmussen2525.ew@gmail.com</t>
  </si>
  <si>
    <t>2525 Meraki Place</t>
  </si>
  <si>
    <t>Jeremy</t>
  </si>
  <si>
    <t>Low Jr</t>
  </si>
  <si>
    <t>08/11/2004</t>
  </si>
  <si>
    <t>607472705</t>
  </si>
  <si>
    <t>CTC4FYYP0</t>
  </si>
  <si>
    <t>jeremylow.ew@gmail.com</t>
  </si>
  <si>
    <t>900 South Meadows Parkway</t>
  </si>
  <si>
    <t>Apt 3024</t>
  </si>
  <si>
    <t>JAROD</t>
  </si>
  <si>
    <t>08/20/1990</t>
  </si>
  <si>
    <t>575537697</t>
  </si>
  <si>
    <t>D1B9JWGQX</t>
  </si>
  <si>
    <t>10/17/2023</t>
  </si>
  <si>
    <t>02/21/2025</t>
  </si>
  <si>
    <t>jarod.stephens.ew@gmail.com</t>
  </si>
  <si>
    <t>145 Sagecrest Dr</t>
  </si>
  <si>
    <t>Verdi</t>
  </si>
  <si>
    <t>89439</t>
  </si>
  <si>
    <t>Cluryce</t>
  </si>
  <si>
    <t>Fuller</t>
  </si>
  <si>
    <t>10/25/1999</t>
  </si>
  <si>
    <t>680203642</t>
  </si>
  <si>
    <t>D1KXUWNJH</t>
  </si>
  <si>
    <t>10/22/2025</t>
  </si>
  <si>
    <t>clurycefuller.ew@gmail.com</t>
  </si>
  <si>
    <t>1457 West 4th Street</t>
  </si>
  <si>
    <t>Trlr 38</t>
  </si>
  <si>
    <t>Wendy</t>
  </si>
  <si>
    <t>McLemore</t>
  </si>
  <si>
    <t>11/28/1982</t>
  </si>
  <si>
    <t>433494126</t>
  </si>
  <si>
    <t>D4949JA6A</t>
  </si>
  <si>
    <t>08/19/2025</t>
  </si>
  <si>
    <t>wmclemore.ew@gmail.com</t>
  </si>
  <si>
    <t>201 Evans Avenue</t>
  </si>
  <si>
    <t>Gabriel</t>
  </si>
  <si>
    <t>06/06/1983</t>
  </si>
  <si>
    <t>319746765</t>
  </si>
  <si>
    <t>D4MA1PE25</t>
  </si>
  <si>
    <t>gabrielhill.ew@gmail.com</t>
  </si>
  <si>
    <t>Apt 224</t>
  </si>
  <si>
    <t>Bryant-Larson</t>
  </si>
  <si>
    <t>04/21/2004</t>
  </si>
  <si>
    <t>574399876</t>
  </si>
  <si>
    <t>DCUQ9WL89</t>
  </si>
  <si>
    <t>tylerbryantlarson.ew@gmail.com</t>
  </si>
  <si>
    <t>1340 North Sierra Street</t>
  </si>
  <si>
    <t>Unit 2</t>
  </si>
  <si>
    <t>Wilson-Castillo</t>
  </si>
  <si>
    <t>04/21/1984</t>
  </si>
  <si>
    <t>373941743</t>
  </si>
  <si>
    <t>DE5S54HJQ</t>
  </si>
  <si>
    <t>jamesfwilson84.ew@gmail.com</t>
  </si>
  <si>
    <t>5275 West 7th Street</t>
  </si>
  <si>
    <t>Terry</t>
  </si>
  <si>
    <t>Bessey</t>
  </si>
  <si>
    <t>09/26/1996</t>
  </si>
  <si>
    <t>530971950</t>
  </si>
  <si>
    <t>DHC4D3YME</t>
  </si>
  <si>
    <t>01/10/2025</t>
  </si>
  <si>
    <t>terrybessey.ew@gmail.com</t>
  </si>
  <si>
    <t>1080 12th Street Apt A</t>
  </si>
  <si>
    <t>Power</t>
  </si>
  <si>
    <t>07/25/1995</t>
  </si>
  <si>
    <t>530892972</t>
  </si>
  <si>
    <t>DIMP84UV0</t>
  </si>
  <si>
    <t>12/18/2024</t>
  </si>
  <si>
    <t>000009</t>
  </si>
  <si>
    <t>codypower1.ew@gmail.com</t>
  </si>
  <si>
    <t>1301 Tonopah Street #203</t>
  </si>
  <si>
    <t>Rebeca</t>
  </si>
  <si>
    <t>Castillo Diaz</t>
  </si>
  <si>
    <t>04/01/2002</t>
  </si>
  <si>
    <t>680403694</t>
  </si>
  <si>
    <t>DJWFT3GPV</t>
  </si>
  <si>
    <t>01/14/2026</t>
  </si>
  <si>
    <t>rebecadiaz.ew@gmail.com</t>
  </si>
  <si>
    <t>2490 Eastshore Place</t>
  </si>
  <si>
    <t>Apt A206</t>
  </si>
  <si>
    <t>Francisco</t>
  </si>
  <si>
    <t>Cabrera</t>
  </si>
  <si>
    <t>08/12/1991</t>
  </si>
  <si>
    <t>126789239</t>
  </si>
  <si>
    <t>DL62P8J1Y</t>
  </si>
  <si>
    <t>franciscocabrera.ew@gmail.com</t>
  </si>
  <si>
    <t>3458 Mashie Drive</t>
  </si>
  <si>
    <t>12/03/1989</t>
  </si>
  <si>
    <t>614448341</t>
  </si>
  <si>
    <t>DMRNWC284</t>
  </si>
  <si>
    <t>justinmorris.ew@gmail.com</t>
  </si>
  <si>
    <t>2506 Sunny Slope Drive</t>
  </si>
  <si>
    <t>Nugent</t>
  </si>
  <si>
    <t>05/02/2000</t>
  </si>
  <si>
    <t>626239802</t>
  </si>
  <si>
    <t>DMWA9UKZZ</t>
  </si>
  <si>
    <t>06/25/2025</t>
  </si>
  <si>
    <t>devonnugent.ew@gmail.com</t>
  </si>
  <si>
    <t>14337 Durham Drive</t>
  </si>
  <si>
    <t>Cassidy</t>
  </si>
  <si>
    <t>Plechner</t>
  </si>
  <si>
    <t>02/11/2000</t>
  </si>
  <si>
    <t>613197324</t>
  </si>
  <si>
    <t>DNL1IKSP9</t>
  </si>
  <si>
    <t>cassidyplechner@gmail.com</t>
  </si>
  <si>
    <t>4500 Mira Loma Drive</t>
  </si>
  <si>
    <t>Apt 217</t>
  </si>
  <si>
    <t>Braden</t>
  </si>
  <si>
    <t>Cole</t>
  </si>
  <si>
    <t>12/02/2003</t>
  </si>
  <si>
    <t>605436834</t>
  </si>
  <si>
    <t>DP5BD2HO4</t>
  </si>
  <si>
    <t>01/24/2025</t>
  </si>
  <si>
    <t>bradencole.ew@gmail.com</t>
  </si>
  <si>
    <t>9401 Lemmon Drive</t>
  </si>
  <si>
    <t>Apt 302</t>
  </si>
  <si>
    <t>Ronique</t>
  </si>
  <si>
    <t>05/24/1991</t>
  </si>
  <si>
    <t>154475840</t>
  </si>
  <si>
    <t>DP80QRZDF</t>
  </si>
  <si>
    <t>09/17/2025</t>
  </si>
  <si>
    <t>roniqueashley.ew@gmail.com</t>
  </si>
  <si>
    <t>Apt  D227</t>
  </si>
  <si>
    <t>Tamara</t>
  </si>
  <si>
    <t>Fritz</t>
  </si>
  <si>
    <t>530596025</t>
  </si>
  <si>
    <t>DPL5IVVPI</t>
  </si>
  <si>
    <t>tamifritz.ew@gmail.com</t>
  </si>
  <si>
    <t>12330 Rocky Mountain Street</t>
  </si>
  <si>
    <t>Melinda</t>
  </si>
  <si>
    <t>Haflich</t>
  </si>
  <si>
    <t>10/21/1983</t>
  </si>
  <si>
    <t>560771363</t>
  </si>
  <si>
    <t>DUWADNSOF</t>
  </si>
  <si>
    <t>melindahaflich.ew@yahoo.com</t>
  </si>
  <si>
    <t>2075 Patton Drive</t>
  </si>
  <si>
    <t>Albert</t>
  </si>
  <si>
    <t>Estrella</t>
  </si>
  <si>
    <t>07/11/1971</t>
  </si>
  <si>
    <t>150669957</t>
  </si>
  <si>
    <t>DUXY0C2HC</t>
  </si>
  <si>
    <t>09/22/2025</t>
  </si>
  <si>
    <t>albertestrella.ew@gmail.com</t>
  </si>
  <si>
    <t>5150 Mae Anne Avenue</t>
  </si>
  <si>
    <t>Suite 405 PMB 208</t>
  </si>
  <si>
    <t>Cotter</t>
  </si>
  <si>
    <t>06/24/1998</t>
  </si>
  <si>
    <t>642621949</t>
  </si>
  <si>
    <t>DVDLVHG53</t>
  </si>
  <si>
    <t>iancotter.ew@gmail.com</t>
  </si>
  <si>
    <t>921 Mallard Place</t>
  </si>
  <si>
    <t>Noll</t>
  </si>
  <si>
    <t>04/03/1966</t>
  </si>
  <si>
    <t>573391892</t>
  </si>
  <si>
    <t>DVJRNU6PF</t>
  </si>
  <si>
    <t>davenoll.ew@gmail.com</t>
  </si>
  <si>
    <t>3605 El Rancho Drive</t>
  </si>
  <si>
    <t>Jerry</t>
  </si>
  <si>
    <t>Byrne</t>
  </si>
  <si>
    <t>05/25/1995</t>
  </si>
  <si>
    <t>622822798</t>
  </si>
  <si>
    <t>DVTMGVCU0</t>
  </si>
  <si>
    <t>jerrybyrnejr7499@gmail.com</t>
  </si>
  <si>
    <t>7350 Silver Lake Road</t>
  </si>
  <si>
    <t>Apt 28C</t>
  </si>
  <si>
    <t>Preston</t>
  </si>
  <si>
    <t>Helu</t>
  </si>
  <si>
    <t>08/22/2000</t>
  </si>
  <si>
    <t>680260836</t>
  </si>
  <si>
    <t>DYBT40CBP</t>
  </si>
  <si>
    <t>06/16/2025</t>
  </si>
  <si>
    <t>prestonhelu.ew@gmail.com</t>
  </si>
  <si>
    <t>1070 Carvin Court</t>
  </si>
  <si>
    <t>Oranges</t>
  </si>
  <si>
    <t>01/15/2003</t>
  </si>
  <si>
    <t>611377531</t>
  </si>
  <si>
    <t>DYPSL7OSS</t>
  </si>
  <si>
    <t>joshuaoranges.ew@gmail.com</t>
  </si>
  <si>
    <t>2615 Firenze Drive</t>
  </si>
  <si>
    <t>Manley</t>
  </si>
  <si>
    <t>01/27/1981</t>
  </si>
  <si>
    <t>530570102</t>
  </si>
  <si>
    <t>DZ0LN3YJO</t>
  </si>
  <si>
    <t>eric1manley.ew@gmail.com</t>
  </si>
  <si>
    <t>360 Blue Skies Drive</t>
  </si>
  <si>
    <t>Silva</t>
  </si>
  <si>
    <t>01/31/2003</t>
  </si>
  <si>
    <t>680469102</t>
  </si>
  <si>
    <t>E0JPB7OAL</t>
  </si>
  <si>
    <t>miguelsil.ew@yahoo.com</t>
  </si>
  <si>
    <t>2850 Waterfield Drive</t>
  </si>
  <si>
    <t>Colton</t>
  </si>
  <si>
    <t>Rhodes-Baskett</t>
  </si>
  <si>
    <t>01/17/1994</t>
  </si>
  <si>
    <t>607725671</t>
  </si>
  <si>
    <t>E15U9I0R7</t>
  </si>
  <si>
    <t>01/23/2025</t>
  </si>
  <si>
    <t>coltonrbaskett.ew@gmail.com</t>
  </si>
  <si>
    <t>1289 Deerlodge Road</t>
  </si>
  <si>
    <t>Kenneth</t>
  </si>
  <si>
    <t>Katz</t>
  </si>
  <si>
    <t>11/10/1987</t>
  </si>
  <si>
    <t>602037013</t>
  </si>
  <si>
    <t>E1YVFDQ2B</t>
  </si>
  <si>
    <t>09/16/2024</t>
  </si>
  <si>
    <t>kennethkatz.ew@gmail.com</t>
  </si>
  <si>
    <t>3800 53rd Street</t>
  </si>
  <si>
    <t>Sacramento</t>
  </si>
  <si>
    <t>95820</t>
  </si>
  <si>
    <t>Alex</t>
  </si>
  <si>
    <t>Hanson</t>
  </si>
  <si>
    <t>01/06/2000</t>
  </si>
  <si>
    <t>680206819</t>
  </si>
  <si>
    <t>E4590RCFZ</t>
  </si>
  <si>
    <t>08/10/2025</t>
  </si>
  <si>
    <t>alexhanson.ew@gmail.com</t>
  </si>
  <si>
    <t>3190 Coronado Way</t>
  </si>
  <si>
    <t>Unit B</t>
  </si>
  <si>
    <t>Nieto</t>
  </si>
  <si>
    <t>11/29/1999</t>
  </si>
  <si>
    <t>680200259</t>
  </si>
  <si>
    <t>E5P8NF444</t>
  </si>
  <si>
    <t>anthonynieto.ew@gmail.com</t>
  </si>
  <si>
    <t>9350 Double R Blvd Apt 3812</t>
  </si>
  <si>
    <t>McGillick</t>
  </si>
  <si>
    <t>02/16/2000</t>
  </si>
  <si>
    <t>473378549</t>
  </si>
  <si>
    <t>E727I6AG9</t>
  </si>
  <si>
    <t>jacobmcgillick.ew@gmail.com</t>
  </si>
  <si>
    <t>Hannah</t>
  </si>
  <si>
    <t>Mccarey</t>
  </si>
  <si>
    <t>07/14/2000</t>
  </si>
  <si>
    <t>680266115</t>
  </si>
  <si>
    <t>E8ANLAMRB</t>
  </si>
  <si>
    <t>hannahmccarey.ew@gmail.com</t>
  </si>
  <si>
    <t>12100 Himalaya Street</t>
  </si>
  <si>
    <t>Kane</t>
  </si>
  <si>
    <t>Kaiman</t>
  </si>
  <si>
    <t>09/13/1993</t>
  </si>
  <si>
    <t>399113155</t>
  </si>
  <si>
    <t>E9WB1KHIP</t>
  </si>
  <si>
    <t>kanekaiman.ew@gmail.com</t>
  </si>
  <si>
    <t>11785 Desert Grass Court</t>
  </si>
  <si>
    <t>Amy</t>
  </si>
  <si>
    <t>Soliz</t>
  </si>
  <si>
    <t>08/18/1998</t>
  </si>
  <si>
    <t>535417136</t>
  </si>
  <si>
    <t>EA8JHPOKR</t>
  </si>
  <si>
    <t>amysoliz.ew@gmail.com</t>
  </si>
  <si>
    <t>Zackery</t>
  </si>
  <si>
    <t>Hinnergardt</t>
  </si>
  <si>
    <t>07/06/1993</t>
  </si>
  <si>
    <t>515086768</t>
  </si>
  <si>
    <t>EAA9GOMUM</t>
  </si>
  <si>
    <t>zackeryh.ew@gmail.com</t>
  </si>
  <si>
    <t>708 East Telegraph Street</t>
  </si>
  <si>
    <t>Adrian</t>
  </si>
  <si>
    <t>Luna</t>
  </si>
  <si>
    <t>10/19/1996</t>
  </si>
  <si>
    <t>530977159</t>
  </si>
  <si>
    <t>EBKI5GAP0</t>
  </si>
  <si>
    <t>adrianluna.ew@gmail.com</t>
  </si>
  <si>
    <t>9826 Suncrest Drive</t>
  </si>
  <si>
    <t>Johnathon</t>
  </si>
  <si>
    <t>Wages</t>
  </si>
  <si>
    <t>05/06/1998</t>
  </si>
  <si>
    <t>601791948</t>
  </si>
  <si>
    <t>ECR8RATPY</t>
  </si>
  <si>
    <t>03/06/2025</t>
  </si>
  <si>
    <t>jwages.ew@gmail.com</t>
  </si>
  <si>
    <t>1305 Pyramid Way</t>
  </si>
  <si>
    <t>Apt 11F</t>
  </si>
  <si>
    <t>Cardoza</t>
  </si>
  <si>
    <t>10/26/1997</t>
  </si>
  <si>
    <t>614025009</t>
  </si>
  <si>
    <t>ED793D0FK</t>
  </si>
  <si>
    <t>danielcardoza.ew@gmail.com</t>
  </si>
  <si>
    <t>3679 Hollywood Park Drive</t>
  </si>
  <si>
    <t>Sanchez</t>
  </si>
  <si>
    <t>09/20/2000</t>
  </si>
  <si>
    <t>680264341</t>
  </si>
  <si>
    <t>EDCJCM7FT</t>
  </si>
  <si>
    <t>joshsanchez.ew@gmail.com</t>
  </si>
  <si>
    <t>750 Jamaica Avenue</t>
  </si>
  <si>
    <t># 4</t>
  </si>
  <si>
    <t>Andrew</t>
  </si>
  <si>
    <t>Casey</t>
  </si>
  <si>
    <t>09/12/2003</t>
  </si>
  <si>
    <t>680527674</t>
  </si>
  <si>
    <t>EF8P0M3AE</t>
  </si>
  <si>
    <t>andrewcasey.ew@gmail.com</t>
  </si>
  <si>
    <t>3597 Skyline View Drive</t>
  </si>
  <si>
    <t>Castro</t>
  </si>
  <si>
    <t>01/17/1996</t>
  </si>
  <si>
    <t>615880955</t>
  </si>
  <si>
    <t>EFZYAI8VR</t>
  </si>
  <si>
    <t>06/12/2025</t>
  </si>
  <si>
    <t>justincastro.ew@gmail.com</t>
  </si>
  <si>
    <t>9560 Brightridge Drive</t>
  </si>
  <si>
    <t>602334466</t>
  </si>
  <si>
    <t>EJEM5UA9Y</t>
  </si>
  <si>
    <t>danielcraig1.ew@gmail.com</t>
  </si>
  <si>
    <t>2700 Plumas Street</t>
  </si>
  <si>
    <t>Apt 313</t>
  </si>
  <si>
    <t>Aidan</t>
  </si>
  <si>
    <t>Foos</t>
  </si>
  <si>
    <t>07/11/2001</t>
  </si>
  <si>
    <t>621297581</t>
  </si>
  <si>
    <t>EK6G4HQYH</t>
  </si>
  <si>
    <t>aidenfoos.ew@gmail.com</t>
  </si>
  <si>
    <t>201 Plumas Street</t>
  </si>
  <si>
    <t>Chester</t>
  </si>
  <si>
    <t>96020</t>
  </si>
  <si>
    <t>Max</t>
  </si>
  <si>
    <t>Peters</t>
  </si>
  <si>
    <t>08/07/2002</t>
  </si>
  <si>
    <t>609436354</t>
  </si>
  <si>
    <t>EMPERHHRS</t>
  </si>
  <si>
    <t>maxpeters.ew@gmail.com</t>
  </si>
  <si>
    <t>6415 Moon Ridge Terrace</t>
  </si>
  <si>
    <t>Andrea</t>
  </si>
  <si>
    <t>Rayburn</t>
  </si>
  <si>
    <t>04/30/1987</t>
  </si>
  <si>
    <t>530591795</t>
  </si>
  <si>
    <t>ENXYB816Z</t>
  </si>
  <si>
    <t>andrearayburn.ew@gmail.com</t>
  </si>
  <si>
    <t>8541 Red Baron Boulevard</t>
  </si>
  <si>
    <t>Leroy</t>
  </si>
  <si>
    <t>Pritchard</t>
  </si>
  <si>
    <t>11/22/2002</t>
  </si>
  <si>
    <t>603373315</t>
  </si>
  <si>
    <t>EO07KNUQX</t>
  </si>
  <si>
    <t>lpritchard.ew@gmail.com</t>
  </si>
  <si>
    <t>701 Lake Street</t>
  </si>
  <si>
    <t>Moreno Hernandez</t>
  </si>
  <si>
    <t>08/19/2003</t>
  </si>
  <si>
    <t>606419601</t>
  </si>
  <si>
    <t>EO1V63XWJ</t>
  </si>
  <si>
    <t>christophermorenohernandez.ew@gmail.com</t>
  </si>
  <si>
    <t>2445 Marjay Court</t>
  </si>
  <si>
    <t>Kristina</t>
  </si>
  <si>
    <t>Rumph</t>
  </si>
  <si>
    <t>05/06/1989</t>
  </si>
  <si>
    <t>608681919</t>
  </si>
  <si>
    <t>ESGC7OCOU</t>
  </si>
  <si>
    <t>04/21/2025</t>
  </si>
  <si>
    <t>krumph.ew@gmail.com</t>
  </si>
  <si>
    <t>160 Sinclair Street</t>
  </si>
  <si>
    <t>Kaylee</t>
  </si>
  <si>
    <t>Rogers</t>
  </si>
  <si>
    <t>04/02/2001</t>
  </si>
  <si>
    <t>611256792</t>
  </si>
  <si>
    <t>EWGA2ESLT</t>
  </si>
  <si>
    <t>12/05/2025</t>
  </si>
  <si>
    <t>kayleerogers.ew@gmail.com</t>
  </si>
  <si>
    <t>3230 Probasco Way</t>
  </si>
  <si>
    <t>Destiny</t>
  </si>
  <si>
    <t>Huerta</t>
  </si>
  <si>
    <t>09/24/1999</t>
  </si>
  <si>
    <t>680188848</t>
  </si>
  <si>
    <t>F0Z0JRUSX</t>
  </si>
  <si>
    <t>huerta.destiny99@icloud.com</t>
  </si>
  <si>
    <t>800 Gentry Way</t>
  </si>
  <si>
    <t>Trlr 11</t>
  </si>
  <si>
    <t>Randal</t>
  </si>
  <si>
    <t>Roggatz</t>
  </si>
  <si>
    <t>07/09/1998</t>
  </si>
  <si>
    <t>608083089</t>
  </si>
  <si>
    <t>F1IZAIC58</t>
  </si>
  <si>
    <t>randalrog.ew@gmail.com</t>
  </si>
  <si>
    <t>49 Park Street</t>
  </si>
  <si>
    <t>#38</t>
  </si>
  <si>
    <t>Stewart-Morales</t>
  </si>
  <si>
    <t>07/04/1996</t>
  </si>
  <si>
    <t>530954610</t>
  </si>
  <si>
    <t>F9HMIFYWC</t>
  </si>
  <si>
    <t>12/28/2025</t>
  </si>
  <si>
    <t>seanmorales.ew@gmail.com</t>
  </si>
  <si>
    <t>12053 Rocky Mountain Street</t>
  </si>
  <si>
    <t>Abarca</t>
  </si>
  <si>
    <t>05/02/2003</t>
  </si>
  <si>
    <t>609398130</t>
  </si>
  <si>
    <t>FBTHGRZ7S</t>
  </si>
  <si>
    <t>joseabarcaarias.ew@gmail.com</t>
  </si>
  <si>
    <t>9528 Nautical Mile Road</t>
  </si>
  <si>
    <t>Shawn</t>
  </si>
  <si>
    <t>Reul</t>
  </si>
  <si>
    <t>02/02/2003</t>
  </si>
  <si>
    <t>616372011</t>
  </si>
  <si>
    <t>FC7H83G51</t>
  </si>
  <si>
    <t>shawnreul.ew@gmail.com</t>
  </si>
  <si>
    <t>345 Imperial Road</t>
  </si>
  <si>
    <t>Pierczyk</t>
  </si>
  <si>
    <t>02/07/1998</t>
  </si>
  <si>
    <t>680070914</t>
  </si>
  <si>
    <t>FG6X6S677</t>
  </si>
  <si>
    <t>03/26/2025</t>
  </si>
  <si>
    <t>michaelpierczyk.ew@gmail.com</t>
  </si>
  <si>
    <t>1435 Plumas Street</t>
  </si>
  <si>
    <t>Colin</t>
  </si>
  <si>
    <t>Cusick</t>
  </si>
  <si>
    <t>02/01/2004</t>
  </si>
  <si>
    <t>680563701</t>
  </si>
  <si>
    <t>FPFH33VS3</t>
  </si>
  <si>
    <t>06/27/2025</t>
  </si>
  <si>
    <t>colincusick.ew@gmail.com</t>
  </si>
  <si>
    <t>Bowman</t>
  </si>
  <si>
    <t>06/02/2002</t>
  </si>
  <si>
    <t>611331525</t>
  </si>
  <si>
    <t>FPGRES4CK</t>
  </si>
  <si>
    <t>lizbowman.ew@gmail.com</t>
  </si>
  <si>
    <t>Building 4 Unit D</t>
  </si>
  <si>
    <t>Boston</t>
  </si>
  <si>
    <t>Allen</t>
  </si>
  <si>
    <t>01/13/2001</t>
  </si>
  <si>
    <t>096900881</t>
  </si>
  <si>
    <t>FRU6UE2JD</t>
  </si>
  <si>
    <t>11/05/2024</t>
  </si>
  <si>
    <t>bostonallen.ew@gmail.com</t>
  </si>
  <si>
    <t>8920 Rising Moon Drive</t>
  </si>
  <si>
    <t>Jalen</t>
  </si>
  <si>
    <t>Kennedy</t>
  </si>
  <si>
    <t>07/05/1994</t>
  </si>
  <si>
    <t>603980341</t>
  </si>
  <si>
    <t>FUEE715M8</t>
  </si>
  <si>
    <t>jalenkennedy.ew@gmail.com</t>
  </si>
  <si>
    <t>1955 Crutchfield Lane</t>
  </si>
  <si>
    <t>Manteca</t>
  </si>
  <si>
    <t>95336</t>
  </si>
  <si>
    <t>Emme</t>
  </si>
  <si>
    <t>Bradford</t>
  </si>
  <si>
    <t>06/01/1997</t>
  </si>
  <si>
    <t>603986577</t>
  </si>
  <si>
    <t>FVEHPYY8J</t>
  </si>
  <si>
    <t>emmebradford.ew@gmail.com</t>
  </si>
  <si>
    <t>9000 Lemmon Drive</t>
  </si>
  <si>
    <t>Space 12</t>
  </si>
  <si>
    <t>Caudle</t>
  </si>
  <si>
    <t>11/27/2003</t>
  </si>
  <si>
    <t>685037166</t>
  </si>
  <si>
    <t>FW239DS6A</t>
  </si>
  <si>
    <t>rcaudle.ew@gmail.com</t>
  </si>
  <si>
    <t>5380 Tenaya Creek Lane</t>
  </si>
  <si>
    <t>Ronie</t>
  </si>
  <si>
    <t>Calunod</t>
  </si>
  <si>
    <t>04/14/1982</t>
  </si>
  <si>
    <t>680363611</t>
  </si>
  <si>
    <t>FWATBBO24</t>
  </si>
  <si>
    <t>06/26/2025</t>
  </si>
  <si>
    <t>roniecalunod.ew@gmail.com</t>
  </si>
  <si>
    <t>491 Astraea Trail</t>
  </si>
  <si>
    <t>Dontay</t>
  </si>
  <si>
    <t>Charles</t>
  </si>
  <si>
    <t>08/22/2002</t>
  </si>
  <si>
    <t>680440662</t>
  </si>
  <si>
    <t>G0GS34GU7</t>
  </si>
  <si>
    <t>11/01/2025</t>
  </si>
  <si>
    <t>dontaycharles.ew@gmail.com</t>
  </si>
  <si>
    <t>715 19th Street</t>
  </si>
  <si>
    <t>DeFosse</t>
  </si>
  <si>
    <t>09/03/1998</t>
  </si>
  <si>
    <t>006980168</t>
  </si>
  <si>
    <t>G4QY043D9</t>
  </si>
  <si>
    <t>09/24/2024</t>
  </si>
  <si>
    <t>01/15/2025</t>
  </si>
  <si>
    <t>zachdefosse.ew@gmail.com</t>
  </si>
  <si>
    <t>903 West 7th Street</t>
  </si>
  <si>
    <t>Woods</t>
  </si>
  <si>
    <t>10/31/1997</t>
  </si>
  <si>
    <t>680053267</t>
  </si>
  <si>
    <t>G8M10J5HO</t>
  </si>
  <si>
    <t>11/11/2025</t>
  </si>
  <si>
    <t>tristanwoods67.ew@gmail.com</t>
  </si>
  <si>
    <t>1416 East 9th Street</t>
  </si>
  <si>
    <t>Unit 9</t>
  </si>
  <si>
    <t>Gsell</t>
  </si>
  <si>
    <t>11/26/1986</t>
  </si>
  <si>
    <t>530175255</t>
  </si>
  <si>
    <t>GAC9WGMDF</t>
  </si>
  <si>
    <t>chrisgsell69@gmail.com</t>
  </si>
  <si>
    <t>380 Loster Way</t>
  </si>
  <si>
    <t>Haskins</t>
  </si>
  <si>
    <t>06/14/1982</t>
  </si>
  <si>
    <t>560712025</t>
  </si>
  <si>
    <t>GAYL2VND5</t>
  </si>
  <si>
    <t>01/25/2026</t>
  </si>
  <si>
    <t>chrishaskins.ew@gmail.com</t>
  </si>
  <si>
    <t>1770 West 12th Street</t>
  </si>
  <si>
    <t>Amber</t>
  </si>
  <si>
    <t>Wood</t>
  </si>
  <si>
    <t>03/29/1989</t>
  </si>
  <si>
    <t>605469481</t>
  </si>
  <si>
    <t>GEP3CRPDO</t>
  </si>
  <si>
    <t>amberwoodamazon123@gmail.com</t>
  </si>
  <si>
    <t>413 Pasillo Court</t>
  </si>
  <si>
    <t>Lindsey</t>
  </si>
  <si>
    <t>Wuepper</t>
  </si>
  <si>
    <t>07/25/1986</t>
  </si>
  <si>
    <t>616301128</t>
  </si>
  <si>
    <t>GFUBOVWXS</t>
  </si>
  <si>
    <t>01/05/2025</t>
  </si>
  <si>
    <t>lindseywuepper.ew@yahoo.com</t>
  </si>
  <si>
    <t>8717 Sunset Breeze Drive</t>
  </si>
  <si>
    <t>Jenna</t>
  </si>
  <si>
    <t>Crutcher</t>
  </si>
  <si>
    <t>11/24/2003</t>
  </si>
  <si>
    <t>680563152</t>
  </si>
  <si>
    <t>GGMO234JD</t>
  </si>
  <si>
    <t>jennacrutcher.ew@gmail.com</t>
  </si>
  <si>
    <t>1570 Sky Valley Drive</t>
  </si>
  <si>
    <t>Apt E105</t>
  </si>
  <si>
    <t>Samantha</t>
  </si>
  <si>
    <t>Bacigalupi</t>
  </si>
  <si>
    <t>07/13/1993</t>
  </si>
  <si>
    <t>612668909</t>
  </si>
  <si>
    <t>GICTVIINO</t>
  </si>
  <si>
    <t>03/17/2025</t>
  </si>
  <si>
    <t>sbacigalupi.ew@gmail.com</t>
  </si>
  <si>
    <t>Apt 5</t>
  </si>
  <si>
    <t>Ava</t>
  </si>
  <si>
    <t>Weiser</t>
  </si>
  <si>
    <t>07/19/2004</t>
  </si>
  <si>
    <t>445197783</t>
  </si>
  <si>
    <t>GJD8JVKYS</t>
  </si>
  <si>
    <t>avaweiser.ew@gmail.com</t>
  </si>
  <si>
    <t>17760 Wood Leaf Court</t>
  </si>
  <si>
    <t>Victoria</t>
  </si>
  <si>
    <t>Astorga</t>
  </si>
  <si>
    <t>11/24/1989</t>
  </si>
  <si>
    <t>605345554</t>
  </si>
  <si>
    <t>GKOXUK8M7</t>
  </si>
  <si>
    <t>victoriaastorga.ew@gmail.com</t>
  </si>
  <si>
    <t>Apt 3A</t>
  </si>
  <si>
    <t>06/11/1992</t>
  </si>
  <si>
    <t>359866850</t>
  </si>
  <si>
    <t>GN2537TEQ</t>
  </si>
  <si>
    <t>11/10/2025</t>
  </si>
  <si>
    <t>11/29/2025</t>
  </si>
  <si>
    <t>jeffreymclemore.ew@gmail.com</t>
  </si>
  <si>
    <t>7885 Key Largo Drive</t>
  </si>
  <si>
    <t>Brendan</t>
  </si>
  <si>
    <t>Lorenzen</t>
  </si>
  <si>
    <t>03/21/2001</t>
  </si>
  <si>
    <t>680307129</t>
  </si>
  <si>
    <t>GOCV0CJMZ</t>
  </si>
  <si>
    <t>11/18/2024</t>
  </si>
  <si>
    <t>05/25/2025</t>
  </si>
  <si>
    <t>brendanlorenzen.ew@gmail.com</t>
  </si>
  <si>
    <t>1150 S University Park Loop</t>
  </si>
  <si>
    <t>Sweeney</t>
  </si>
  <si>
    <t>05/20/1982</t>
  </si>
  <si>
    <t>033723843</t>
  </si>
  <si>
    <t>GODELV0AL</t>
  </si>
  <si>
    <t>colinsweeney.ew@gmail.com</t>
  </si>
  <si>
    <t>9755 Silver Sky Parkway</t>
  </si>
  <si>
    <t>Apt 2604</t>
  </si>
  <si>
    <t>COLIN</t>
  </si>
  <si>
    <t>VAN HOOSE</t>
  </si>
  <si>
    <t>03/31/1976</t>
  </si>
  <si>
    <t>543987048</t>
  </si>
  <si>
    <t>GPGBYDK8V</t>
  </si>
  <si>
    <t>10/01/2023</t>
  </si>
  <si>
    <t>03/14/2025</t>
  </si>
  <si>
    <t>colin.vanhoose.ew23@gmail.com</t>
  </si>
  <si>
    <t>2145 Bears Ranch Dr</t>
  </si>
  <si>
    <t>680429941</t>
  </si>
  <si>
    <t>GPL8WXM0L</t>
  </si>
  <si>
    <t>06/04/2024</t>
  </si>
  <si>
    <t>antoniolanda.ew@gmail.com</t>
  </si>
  <si>
    <t>45 Buttercup Circle</t>
  </si>
  <si>
    <t>Roman</t>
  </si>
  <si>
    <t>07/07/1998</t>
  </si>
  <si>
    <t>621068657</t>
  </si>
  <si>
    <t>GQ4QZETKT</t>
  </si>
  <si>
    <t>jordanroman.ew@gmail.com</t>
  </si>
  <si>
    <t>11815 Tupelo Street</t>
  </si>
  <si>
    <t>Harriman</t>
  </si>
  <si>
    <t>770182586</t>
  </si>
  <si>
    <t>GQOYLK6D1</t>
  </si>
  <si>
    <t>bryceharriman.ew@yahoo.com</t>
  </si>
  <si>
    <t>1381 Silver View Circle</t>
  </si>
  <si>
    <t>Jonathin</t>
  </si>
  <si>
    <t>MacDonald</t>
  </si>
  <si>
    <t>621175123</t>
  </si>
  <si>
    <t>GQXQJ35OD</t>
  </si>
  <si>
    <t>jonathinmacdonald.ew@gmail.com</t>
  </si>
  <si>
    <t>Guerrero</t>
  </si>
  <si>
    <t>11/18/2000</t>
  </si>
  <si>
    <t>764052809</t>
  </si>
  <si>
    <t>GR715VAKT</t>
  </si>
  <si>
    <t>alexisguerrero.ew@gmail.com</t>
  </si>
  <si>
    <t>716 Hamilton Park Court</t>
  </si>
  <si>
    <t>John Patrick</t>
  </si>
  <si>
    <t>10/29/2000</t>
  </si>
  <si>
    <t>811400186</t>
  </si>
  <si>
    <t>GRIZSR7RW</t>
  </si>
  <si>
    <t>jpsantiago.ew@gmail.com</t>
  </si>
  <si>
    <t>8401 Seal Beach Drive</t>
  </si>
  <si>
    <t>Jovel</t>
  </si>
  <si>
    <t>02/27/1985</t>
  </si>
  <si>
    <t>530190234</t>
  </si>
  <si>
    <t>GX0SW14TN</t>
  </si>
  <si>
    <t>richardjovel.ew@gmail.com</t>
  </si>
  <si>
    <t>2300 Wedekind Road</t>
  </si>
  <si>
    <t>Apt 3</t>
  </si>
  <si>
    <t>Baker</t>
  </si>
  <si>
    <t>11/10/1990</t>
  </si>
  <si>
    <t>625603445</t>
  </si>
  <si>
    <t>GY26ZBE9R</t>
  </si>
  <si>
    <t>josephbaker.ew@yahoo.com</t>
  </si>
  <si>
    <t>3910 Hazy Swale Way</t>
  </si>
  <si>
    <t>09/09/1959</t>
  </si>
  <si>
    <t>530768569</t>
  </si>
  <si>
    <t>GZ98SVE5D</t>
  </si>
  <si>
    <t>11/07/2025</t>
  </si>
  <si>
    <t>michaelallen1.ew@gmail.com</t>
  </si>
  <si>
    <t>Apt 354</t>
  </si>
  <si>
    <t>Haley</t>
  </si>
  <si>
    <t>Duffy-Willette</t>
  </si>
  <si>
    <t>07/16/1997</t>
  </si>
  <si>
    <t>616986839</t>
  </si>
  <si>
    <t>H1BCZRO5R</t>
  </si>
  <si>
    <t>haleyduffy.ew@gmail.com</t>
  </si>
  <si>
    <t>9605 Marble Creek Court</t>
  </si>
  <si>
    <t>Jeramiah</t>
  </si>
  <si>
    <t>680489694</t>
  </si>
  <si>
    <t>H42B8F81Q</t>
  </si>
  <si>
    <t>jeramiahcabrera.ew@gmail.com</t>
  </si>
  <si>
    <t>7499 Tallgrass Drive</t>
  </si>
  <si>
    <t>Tashnique</t>
  </si>
  <si>
    <t>Hazelwood</t>
  </si>
  <si>
    <t>12/20/1994</t>
  </si>
  <si>
    <t>616781185</t>
  </si>
  <si>
    <t>H45O8MGH7</t>
  </si>
  <si>
    <t>05/14/2025</t>
  </si>
  <si>
    <t>thazelwood.ew@gmail.com</t>
  </si>
  <si>
    <t>128 Shady Lane</t>
  </si>
  <si>
    <t>Antioch</t>
  </si>
  <si>
    <t>94509</t>
  </si>
  <si>
    <t>Campbell</t>
  </si>
  <si>
    <t>10/12/2003</t>
  </si>
  <si>
    <t>602436899</t>
  </si>
  <si>
    <t>H840HDYPC</t>
  </si>
  <si>
    <t>03/19/2025</t>
  </si>
  <si>
    <t>tcampbell.ew@gmail.com</t>
  </si>
  <si>
    <t>1800 Sullivan Lane</t>
  </si>
  <si>
    <t>Apt 221</t>
  </si>
  <si>
    <t>Gavin</t>
  </si>
  <si>
    <t>Lang</t>
  </si>
  <si>
    <t>06/26/2000</t>
  </si>
  <si>
    <t>623191631</t>
  </si>
  <si>
    <t>H8P3X92LD</t>
  </si>
  <si>
    <t>08/23/2025</t>
  </si>
  <si>
    <t>gavinlang.ew@gmail.com</t>
  </si>
  <si>
    <t>Apt 906</t>
  </si>
  <si>
    <t>Boyer</t>
  </si>
  <si>
    <t>621880317</t>
  </si>
  <si>
    <t>HAXNTL4FG</t>
  </si>
  <si>
    <t>katelynboyer.ew@gmail.com</t>
  </si>
  <si>
    <t>6060 Silver Lake Road</t>
  </si>
  <si>
    <t>Apt 16J</t>
  </si>
  <si>
    <t>Pena</t>
  </si>
  <si>
    <t>03/04/2004</t>
  </si>
  <si>
    <t>518691743</t>
  </si>
  <si>
    <t>HCTPN3PBF</t>
  </si>
  <si>
    <t>03/31/2025</t>
  </si>
  <si>
    <t>ianpena.ew@gmail.com</t>
  </si>
  <si>
    <t>111 Mar Mac Way</t>
  </si>
  <si>
    <t>Lydi</t>
  </si>
  <si>
    <t>04/16/1988</t>
  </si>
  <si>
    <t>680526918</t>
  </si>
  <si>
    <t>HEBT68826</t>
  </si>
  <si>
    <t>davislydi79@gmail.com</t>
  </si>
  <si>
    <t>10613 Vista Bonita Lane</t>
  </si>
  <si>
    <t>Thierry</t>
  </si>
  <si>
    <t>10/12/1990</t>
  </si>
  <si>
    <t>636185520</t>
  </si>
  <si>
    <t>HF79BIOGB</t>
  </si>
  <si>
    <t>ericdthierry.ew@gmail.com</t>
  </si>
  <si>
    <t>3125 South Virginia Street</t>
  </si>
  <si>
    <t>Apt 103</t>
  </si>
  <si>
    <t>Lucas</t>
  </si>
  <si>
    <t>Higginbotham</t>
  </si>
  <si>
    <t>10/11/1989</t>
  </si>
  <si>
    <t>300905158</t>
  </si>
  <si>
    <t>HH428R9X7</t>
  </si>
  <si>
    <t>lhigginbotham.ew@gmail.com</t>
  </si>
  <si>
    <t>2485 Range View Court</t>
  </si>
  <si>
    <t>Jared</t>
  </si>
  <si>
    <t>Sosa</t>
  </si>
  <si>
    <t>07/27/2002</t>
  </si>
  <si>
    <t>072910220</t>
  </si>
  <si>
    <t>HH5LM0YK0</t>
  </si>
  <si>
    <t>jaredortega.ew@gmail.com</t>
  </si>
  <si>
    <t>4783 Wood Thrush Lane</t>
  </si>
  <si>
    <t>Claypool</t>
  </si>
  <si>
    <t>05/04/2001</t>
  </si>
  <si>
    <t>680306312</t>
  </si>
  <si>
    <t>HN60KWYAR</t>
  </si>
  <si>
    <t>04/02/2025</t>
  </si>
  <si>
    <t>lukeclaypool.ew@gmail.com</t>
  </si>
  <si>
    <t>1880 Van Ness Avenue</t>
  </si>
  <si>
    <t>Darnell</t>
  </si>
  <si>
    <t>Gray</t>
  </si>
  <si>
    <t>10/14/1987</t>
  </si>
  <si>
    <t>605072109</t>
  </si>
  <si>
    <t>HPEFUHKDR</t>
  </si>
  <si>
    <t>darnellgray.ew@gmail.com</t>
  </si>
  <si>
    <t>Apt 312</t>
  </si>
  <si>
    <t>Murillo</t>
  </si>
  <si>
    <t>01/20/2001</t>
  </si>
  <si>
    <t>680300540</t>
  </si>
  <si>
    <t>HR56X3WTB</t>
  </si>
  <si>
    <t>07/29/2025</t>
  </si>
  <si>
    <t>08/13/2025</t>
  </si>
  <si>
    <t>miguelmurillo.ew@gmail.com</t>
  </si>
  <si>
    <t>1168 H Street</t>
  </si>
  <si>
    <t>Kayleigh</t>
  </si>
  <si>
    <t>Sides</t>
  </si>
  <si>
    <t>09/17/1997</t>
  </si>
  <si>
    <t>602025358</t>
  </si>
  <si>
    <t>HRYD3DJEO</t>
  </si>
  <si>
    <t>kayleighsides.ew@yahoo.com</t>
  </si>
  <si>
    <t>459 Astraea Trail</t>
  </si>
  <si>
    <t>Jareth</t>
  </si>
  <si>
    <t>Bernardino</t>
  </si>
  <si>
    <t>08/11/2000</t>
  </si>
  <si>
    <t>680260810</t>
  </si>
  <si>
    <t>HTV970Z8I</t>
  </si>
  <si>
    <t>jarethbernardino.ew@gmail.com</t>
  </si>
  <si>
    <t>7480 Creekland Drive</t>
  </si>
  <si>
    <t>Waddell-Upton</t>
  </si>
  <si>
    <t>12/08/2001</t>
  </si>
  <si>
    <t>680364331</t>
  </si>
  <si>
    <t>HUX8T606O</t>
  </si>
  <si>
    <t>alexisupton.ew@gmail.com</t>
  </si>
  <si>
    <t>Lippincott</t>
  </si>
  <si>
    <t>05/20/1998</t>
  </si>
  <si>
    <t>680093080</t>
  </si>
  <si>
    <t>HY4N7TBH2</t>
  </si>
  <si>
    <t>01/16/2025</t>
  </si>
  <si>
    <t>chrislippincott.ew@gmail.com</t>
  </si>
  <si>
    <t>5168 Komatite Court</t>
  </si>
  <si>
    <t>Guerra</t>
  </si>
  <si>
    <t>06/19/1989</t>
  </si>
  <si>
    <t>615281383</t>
  </si>
  <si>
    <t>HY9L5IXCI</t>
  </si>
  <si>
    <t>02/11/2025</t>
  </si>
  <si>
    <t>vguerra.ew@gmail.com</t>
  </si>
  <si>
    <t>4611 Skybolt Street</t>
  </si>
  <si>
    <t>89115</t>
  </si>
  <si>
    <t>Scalese</t>
  </si>
  <si>
    <t>03/14/2000</t>
  </si>
  <si>
    <t>604190940</t>
  </si>
  <si>
    <t>I23W9VP6B</t>
  </si>
  <si>
    <t>09/30/2024</t>
  </si>
  <si>
    <t>cameronscalese.ew@gmail.com</t>
  </si>
  <si>
    <t>Norma</t>
  </si>
  <si>
    <t>Castaneda</t>
  </si>
  <si>
    <t>08/12/2002</t>
  </si>
  <si>
    <t>680426846</t>
  </si>
  <si>
    <t>I69VU93AW</t>
  </si>
  <si>
    <t>normacastaneda.ew@gmail.com</t>
  </si>
  <si>
    <t>405 Burge Road</t>
  </si>
  <si>
    <t>Henson</t>
  </si>
  <si>
    <t>03/26/1992</t>
  </si>
  <si>
    <t>623545602</t>
  </si>
  <si>
    <t>I7LTCPJAN</t>
  </si>
  <si>
    <t>andrew1henson.ew@gmail.com</t>
  </si>
  <si>
    <t>SYLVIA</t>
  </si>
  <si>
    <t>POWERS</t>
  </si>
  <si>
    <t>07/11/1994</t>
  </si>
  <si>
    <t>530814943</t>
  </si>
  <si>
    <t>I8MQ22MAO</t>
  </si>
  <si>
    <t>01/15/2024</t>
  </si>
  <si>
    <t>sylviapowers.ew@gmail.com</t>
  </si>
  <si>
    <t>Po Box 3691</t>
  </si>
  <si>
    <t>89432</t>
  </si>
  <si>
    <t>Gillian</t>
  </si>
  <si>
    <t>01/17/2000</t>
  </si>
  <si>
    <t>614175490</t>
  </si>
  <si>
    <t>I9YOCMTRJ</t>
  </si>
  <si>
    <t>11/14/2025</t>
  </si>
  <si>
    <t>gillianluna.ew@gmail.com</t>
  </si>
  <si>
    <t>825 Delucchi Lane</t>
  </si>
  <si>
    <t>Apt 33</t>
  </si>
  <si>
    <t>Finn</t>
  </si>
  <si>
    <t>Fable</t>
  </si>
  <si>
    <t>05/08/1997</t>
  </si>
  <si>
    <t>680017055</t>
  </si>
  <si>
    <t>IBJVZ3H6H</t>
  </si>
  <si>
    <t>finnfable@gmail.com</t>
  </si>
  <si>
    <t>3515 Parque Verde Lane</t>
  </si>
  <si>
    <t>04/04/2004</t>
  </si>
  <si>
    <t>680580353</t>
  </si>
  <si>
    <t>IBOULJ4H8</t>
  </si>
  <si>
    <t>alexmedina.ew@gmail.com</t>
  </si>
  <si>
    <t>15 Branbury Way</t>
  </si>
  <si>
    <t>Ruvalcaba</t>
  </si>
  <si>
    <t>03/15/2003</t>
  </si>
  <si>
    <t>680487138</t>
  </si>
  <si>
    <t>IDLUJ7G8W</t>
  </si>
  <si>
    <t>08/06/2024</t>
  </si>
  <si>
    <t>ulisesruvalcaba.ew@gmail.com</t>
  </si>
  <si>
    <t>10984 Bloomsburg Drive</t>
  </si>
  <si>
    <t>680229543</t>
  </si>
  <si>
    <t>IF68005FK</t>
  </si>
  <si>
    <t>joshuaswain.ew@gmail.com</t>
  </si>
  <si>
    <t>521 Tarn Way</t>
  </si>
  <si>
    <t>11/10/2001</t>
  </si>
  <si>
    <t>616298086</t>
  </si>
  <si>
    <t>II4SEMWD1</t>
  </si>
  <si>
    <t>09/16/2025</t>
  </si>
  <si>
    <t>10/03/2025</t>
  </si>
  <si>
    <t>prestonlee.ew@gmail.com</t>
  </si>
  <si>
    <t>815 North Thunder Butte Court</t>
  </si>
  <si>
    <t>Aiden</t>
  </si>
  <si>
    <t>Laughlin</t>
  </si>
  <si>
    <t>08/26/2003</t>
  </si>
  <si>
    <t>680522743</t>
  </si>
  <si>
    <t>IIJIMCGJ5</t>
  </si>
  <si>
    <t>alaughlin.ew@gmail.com</t>
  </si>
  <si>
    <t>430 Ruffian Court</t>
  </si>
  <si>
    <t>10/21/1991</t>
  </si>
  <si>
    <t>534250679</t>
  </si>
  <si>
    <t>IMWBYRJ74</t>
  </si>
  <si>
    <t>02/09/2025</t>
  </si>
  <si>
    <t>jeffdevon.ew@gmail.com</t>
  </si>
  <si>
    <t>8965 Chipshot Trail</t>
  </si>
  <si>
    <t>Emily</t>
  </si>
  <si>
    <t>Outland</t>
  </si>
  <si>
    <t>08/22/2001</t>
  </si>
  <si>
    <t>680345600</t>
  </si>
  <si>
    <t>IP190ETUL</t>
  </si>
  <si>
    <t>07/31/2025</t>
  </si>
  <si>
    <t>emilyoutland.ew@gmail.com</t>
  </si>
  <si>
    <t>Apt 890</t>
  </si>
  <si>
    <t>Metilys Bena</t>
  </si>
  <si>
    <t>10/15/1991</t>
  </si>
  <si>
    <t>827807260</t>
  </si>
  <si>
    <t>IQLDK0JPL</t>
  </si>
  <si>
    <t>jerrymetilysbena.ew@gmail.com</t>
  </si>
  <si>
    <t>4959 Talbot Lane</t>
  </si>
  <si>
    <t>Apt 180</t>
  </si>
  <si>
    <t>Goldin</t>
  </si>
  <si>
    <t>12/03/1994</t>
  </si>
  <si>
    <t>602805005</t>
  </si>
  <si>
    <t>IRXDZIW4M</t>
  </si>
  <si>
    <t>danielgoldin.ew@gmail.com</t>
  </si>
  <si>
    <t>Unit C Apt 301</t>
  </si>
  <si>
    <t>Danniele</t>
  </si>
  <si>
    <t>12/08/1997</t>
  </si>
  <si>
    <t>602042111</t>
  </si>
  <si>
    <t>ISTOG4SGA</t>
  </si>
  <si>
    <t>elerogers.ew@gmail.com</t>
  </si>
  <si>
    <t>300 Holcomb Avenue</t>
  </si>
  <si>
    <t>Bianca</t>
  </si>
  <si>
    <t>Pavlicek</t>
  </si>
  <si>
    <t>11/08/2001</t>
  </si>
  <si>
    <t>641787286</t>
  </si>
  <si>
    <t>IUYYKG2RP</t>
  </si>
  <si>
    <t>biancapavlicek1.ew@gmail.com</t>
  </si>
  <si>
    <t>260 East Parr Boulevard</t>
  </si>
  <si>
    <t>Martinez Medina</t>
  </si>
  <si>
    <t>03/19/1987</t>
  </si>
  <si>
    <t>680187350</t>
  </si>
  <si>
    <t>IZ06NKQ8R</t>
  </si>
  <si>
    <t>05/21/2025</t>
  </si>
  <si>
    <t>franciscomedina.ew@gmail.com</t>
  </si>
  <si>
    <t>844 East York Way</t>
  </si>
  <si>
    <t>Khury Brown</t>
  </si>
  <si>
    <t>03/10/2003</t>
  </si>
  <si>
    <t>772187998</t>
  </si>
  <si>
    <t>J0JY519O4</t>
  </si>
  <si>
    <t>gabrielkhury.ew@gmail.com</t>
  </si>
  <si>
    <t>13826 Lear Boulevard</t>
  </si>
  <si>
    <t>12/12/1975</t>
  </si>
  <si>
    <t>530256191</t>
  </si>
  <si>
    <t>J0X7SV975</t>
  </si>
  <si>
    <t>08/21/2024</t>
  </si>
  <si>
    <t>briandjones.ew@yahoo.com</t>
  </si>
  <si>
    <t>3503 Willowdale Drive</t>
  </si>
  <si>
    <t>Faiusoaliiasovaleoleolaga</t>
  </si>
  <si>
    <t>Tevaseu</t>
  </si>
  <si>
    <t>12/01/2003</t>
  </si>
  <si>
    <t>607430740</t>
  </si>
  <si>
    <t>J21ZYFWFB</t>
  </si>
  <si>
    <t>usotev.ew@gmail.com</t>
  </si>
  <si>
    <t>Apt 9A</t>
  </si>
  <si>
    <t>Manuel</t>
  </si>
  <si>
    <t>Casillas</t>
  </si>
  <si>
    <t>09/11/2001</t>
  </si>
  <si>
    <t>605292154</t>
  </si>
  <si>
    <t>J2BOH06EW</t>
  </si>
  <si>
    <t>01/06/2025</t>
  </si>
  <si>
    <t>manuelcasillas.ew@gmail.com</t>
  </si>
  <si>
    <t>4525 Almond Drive</t>
  </si>
  <si>
    <t>Carlos</t>
  </si>
  <si>
    <t>Mendez Jimenez</t>
  </si>
  <si>
    <t>12/16/1997</t>
  </si>
  <si>
    <t>625021828</t>
  </si>
  <si>
    <t>J5TEAMZSD</t>
  </si>
  <si>
    <t>09/14/2025</t>
  </si>
  <si>
    <t>carlosjimenez.ew@gmail.com</t>
  </si>
  <si>
    <t>2300 Carville Drive</t>
  </si>
  <si>
    <t>Apt 2E</t>
  </si>
  <si>
    <t>Meroth</t>
  </si>
  <si>
    <t>12/17/1995</t>
  </si>
  <si>
    <t>530919436</t>
  </si>
  <si>
    <t>J6YXQMJ0X</t>
  </si>
  <si>
    <t>tiffanymeroth.ew@yahoo.com</t>
  </si>
  <si>
    <t>5060 Bobolink Circle</t>
  </si>
  <si>
    <t>MICHAEL</t>
  </si>
  <si>
    <t>10/27/1999</t>
  </si>
  <si>
    <t>680188826</t>
  </si>
  <si>
    <t>J75U6A6PV</t>
  </si>
  <si>
    <t>03/27/2023</t>
  </si>
  <si>
    <t>michaelyoung23.ew@gmail.com</t>
  </si>
  <si>
    <t>10640 N Mccarran Blvd Apt 331</t>
  </si>
  <si>
    <t>03/10/1994</t>
  </si>
  <si>
    <t>590411775</t>
  </si>
  <si>
    <t>JBEKUAI0G</t>
  </si>
  <si>
    <t>gabrielguerrero.ew@gmail.com</t>
  </si>
  <si>
    <t>280 Elquist Lane</t>
  </si>
  <si>
    <t>Kamalpreet</t>
  </si>
  <si>
    <t>Birring</t>
  </si>
  <si>
    <t>02/27/1998</t>
  </si>
  <si>
    <t>616048999</t>
  </si>
  <si>
    <t>JBIVVEX7E</t>
  </si>
  <si>
    <t>kbirring.ew@gmail.com</t>
  </si>
  <si>
    <t>444 East 7th Street</t>
  </si>
  <si>
    <t>Unit F</t>
  </si>
  <si>
    <t>Brayden</t>
  </si>
  <si>
    <t>Wagner</t>
  </si>
  <si>
    <t>10/13/2003</t>
  </si>
  <si>
    <t>680542089</t>
  </si>
  <si>
    <t>JBQ64UWQF</t>
  </si>
  <si>
    <t>braydenw.ew@gmail.com</t>
  </si>
  <si>
    <t>6078 Plumas Street</t>
  </si>
  <si>
    <t>10/01/1999</t>
  </si>
  <si>
    <t>680185541</t>
  </si>
  <si>
    <t>JCXBONCAI</t>
  </si>
  <si>
    <t>crodriguez.ew@gmail.com</t>
  </si>
  <si>
    <t>Apt 430</t>
  </si>
  <si>
    <t>Genevieve</t>
  </si>
  <si>
    <t>Lantz</t>
  </si>
  <si>
    <t>07/06/1989</t>
  </si>
  <si>
    <t>523714728</t>
  </si>
  <si>
    <t>JE7CNKQGQ</t>
  </si>
  <si>
    <t>genevievelantz.ew@gmail.com</t>
  </si>
  <si>
    <t>6105 Shetland Street</t>
  </si>
  <si>
    <t>Susan</t>
  </si>
  <si>
    <t>Nelson</t>
  </si>
  <si>
    <t>12/26/2002</t>
  </si>
  <si>
    <t>772168473</t>
  </si>
  <si>
    <t>JGOWP98MJ</t>
  </si>
  <si>
    <t>susannelson.ew@gmail.com</t>
  </si>
  <si>
    <t>2363 Garnet Star Way</t>
  </si>
  <si>
    <t>Daniela</t>
  </si>
  <si>
    <t>Carpio</t>
  </si>
  <si>
    <t>05/24/2004</t>
  </si>
  <si>
    <t>680110778</t>
  </si>
  <si>
    <t>JH1HTB1OP</t>
  </si>
  <si>
    <t>danielacarpio.ew@gmail.com</t>
  </si>
  <si>
    <t>9199 Rising Moon Drive</t>
  </si>
  <si>
    <t>Heathcote</t>
  </si>
  <si>
    <t>03/03/2004</t>
  </si>
  <si>
    <t>624432009</t>
  </si>
  <si>
    <t>JH75ZMRHJ</t>
  </si>
  <si>
    <t>danielheathcote.ew@gmail.com</t>
  </si>
  <si>
    <t>Apt 2320</t>
  </si>
  <si>
    <t>Chavez</t>
  </si>
  <si>
    <t>06/01/2001</t>
  </si>
  <si>
    <t>680328009</t>
  </si>
  <si>
    <t>JHP0YR0PX</t>
  </si>
  <si>
    <t>echavez.ew@gmail.com</t>
  </si>
  <si>
    <t>6026 Golden Triangle Way</t>
  </si>
  <si>
    <t>Apt 3117</t>
  </si>
  <si>
    <t>Travis</t>
  </si>
  <si>
    <t>01/01/1981</t>
  </si>
  <si>
    <t>545650543</t>
  </si>
  <si>
    <t>JIL3KWZ0O</t>
  </si>
  <si>
    <t>45240.00</t>
  </si>
  <si>
    <t>traviscole.ew@gmail.com</t>
  </si>
  <si>
    <t>15600 Ory Valley Rd.</t>
  </si>
  <si>
    <t>CONTRERAS</t>
  </si>
  <si>
    <t>01/20/1996</t>
  </si>
  <si>
    <t>530918473</t>
  </si>
  <si>
    <t>JM88LN63N</t>
  </si>
  <si>
    <t>09/19/2021</t>
  </si>
  <si>
    <t>22.25</t>
  </si>
  <si>
    <t>alexandercontreras.ew@gmail.com</t>
  </si>
  <si>
    <t>1205 South Meadows Pkwy A3003</t>
  </si>
  <si>
    <t>Brady</t>
  </si>
  <si>
    <t>Cartwright</t>
  </si>
  <si>
    <t>02/15/1985</t>
  </si>
  <si>
    <t>530497960</t>
  </si>
  <si>
    <t>JN9IHVBDZ</t>
  </si>
  <si>
    <t>bradycartwright.ew@gmail.com</t>
  </si>
  <si>
    <t>11280 Messina Way</t>
  </si>
  <si>
    <t>Ponce</t>
  </si>
  <si>
    <t>07/03/1996</t>
  </si>
  <si>
    <t>530954602</t>
  </si>
  <si>
    <t>JPC3MKLAJ</t>
  </si>
  <si>
    <t>12/01/2025</t>
  </si>
  <si>
    <t>01/03/2026</t>
  </si>
  <si>
    <t>anthonyponce.ew@gmail.com</t>
  </si>
  <si>
    <t>290 I Street</t>
  </si>
  <si>
    <t>Martinez-Avila</t>
  </si>
  <si>
    <t>06/30/2004</t>
  </si>
  <si>
    <t>680603003</t>
  </si>
  <si>
    <t>JRRE4RK26</t>
  </si>
  <si>
    <t>angelmartinezavila.ew@gmail.com</t>
  </si>
  <si>
    <t>1747 Howard Ct</t>
  </si>
  <si>
    <t>Trishala</t>
  </si>
  <si>
    <t>Prasad</t>
  </si>
  <si>
    <t>09/20/1994</t>
  </si>
  <si>
    <t>063676577</t>
  </si>
  <si>
    <t>JRU6KJJOJ</t>
  </si>
  <si>
    <t>trishprasad.ew@gmail.com</t>
  </si>
  <si>
    <t>140001 Summit Sierra Boulevard</t>
  </si>
  <si>
    <t>Kaylea</t>
  </si>
  <si>
    <t>Baisch</t>
  </si>
  <si>
    <t>02/26/1996</t>
  </si>
  <si>
    <t>608889787</t>
  </si>
  <si>
    <t>JWH94F40E</t>
  </si>
  <si>
    <t>09/04/2025</t>
  </si>
  <si>
    <t>kayleabaisch.ew@gmail.com</t>
  </si>
  <si>
    <t>Apt J-10</t>
  </si>
  <si>
    <t>Trinity</t>
  </si>
  <si>
    <t>10/02/1997</t>
  </si>
  <si>
    <t>680037968</t>
  </si>
  <si>
    <t>JXD6BDVE6</t>
  </si>
  <si>
    <t>trinitytaylor.ew@gmail.com</t>
  </si>
  <si>
    <t>590 Lake Street</t>
  </si>
  <si>
    <t>Unit 908</t>
  </si>
  <si>
    <t>Elsa</t>
  </si>
  <si>
    <t>05/18/2001</t>
  </si>
  <si>
    <t>680110651</t>
  </si>
  <si>
    <t>JYQ8NGKJO</t>
  </si>
  <si>
    <t>elsacarpio.ew@gmail.com</t>
  </si>
  <si>
    <t>Alijah</t>
  </si>
  <si>
    <t>Fullmer</t>
  </si>
  <si>
    <t>04/16/2004</t>
  </si>
  <si>
    <t>680580399</t>
  </si>
  <si>
    <t>K1AHI8IMY</t>
  </si>
  <si>
    <t>05/16/2025</t>
  </si>
  <si>
    <t>alijahfullmer.ew@gmail.com</t>
  </si>
  <si>
    <t>220 Regier Springs Drive</t>
  </si>
  <si>
    <t>Edward</t>
  </si>
  <si>
    <t>Godinez</t>
  </si>
  <si>
    <t>624115625</t>
  </si>
  <si>
    <t>K3Z3HY7IA</t>
  </si>
  <si>
    <t>06/19/2024</t>
  </si>
  <si>
    <t>edwardgodinez.ew@gmail.com</t>
  </si>
  <si>
    <t>1877 El Rancho Dr Apt 223</t>
  </si>
  <si>
    <t>01/18/1995</t>
  </si>
  <si>
    <t>604801886</t>
  </si>
  <si>
    <t>K56B2MIWN</t>
  </si>
  <si>
    <t>thomasdj23.ew@gmail.com</t>
  </si>
  <si>
    <t>1215 Wagon Wheel Circle</t>
  </si>
  <si>
    <t>Hollingsworth</t>
  </si>
  <si>
    <t>12/11/1985</t>
  </si>
  <si>
    <t>569890247</t>
  </si>
  <si>
    <t>K6IHPO52W</t>
  </si>
  <si>
    <t>johnathonhollingsworth.ew@gmail.com</t>
  </si>
  <si>
    <t>366 Maine Street</t>
  </si>
  <si>
    <t>04/13/1994</t>
  </si>
  <si>
    <t>530797714</t>
  </si>
  <si>
    <t>K8OPPAKNR</t>
  </si>
  <si>
    <t>alexawalker.ew@gmail.com</t>
  </si>
  <si>
    <t>5380 Desertstone Drive</t>
  </si>
  <si>
    <t>MATTHEW</t>
  </si>
  <si>
    <t>KELLETT</t>
  </si>
  <si>
    <t>05/01/1988</t>
  </si>
  <si>
    <t>610384347</t>
  </si>
  <si>
    <t>K8OXA70VV</t>
  </si>
  <si>
    <t>10/03/2023</t>
  </si>
  <si>
    <t>matthewkellett.ew@gmail.com</t>
  </si>
  <si>
    <t>8000 offenhauser dr</t>
  </si>
  <si>
    <t>37c</t>
  </si>
  <si>
    <t>Escar</t>
  </si>
  <si>
    <t>12/13/1995</t>
  </si>
  <si>
    <t>614865951</t>
  </si>
  <si>
    <t>K8SFQYI23</t>
  </si>
  <si>
    <t>escargonzalez.ew@gmail.com</t>
  </si>
  <si>
    <t>475 Isbell Road</t>
  </si>
  <si>
    <t>Martin</t>
  </si>
  <si>
    <t>Luna Alvarez</t>
  </si>
  <si>
    <t>680467844</t>
  </si>
  <si>
    <t>K96DA2REB</t>
  </si>
  <si>
    <t>martinalvarez.ew@gmail.com</t>
  </si>
  <si>
    <t>3350 Glacier Court</t>
  </si>
  <si>
    <t>Hieatt</t>
  </si>
  <si>
    <t>01/28/1985</t>
  </si>
  <si>
    <t>601922744</t>
  </si>
  <si>
    <t>K9LSOVCGX</t>
  </si>
  <si>
    <t>12/10/2025</t>
  </si>
  <si>
    <t>james.hieatt.ew@gmail.com</t>
  </si>
  <si>
    <t>4360 Baker Lane</t>
  </si>
  <si>
    <t>Jesse</t>
  </si>
  <si>
    <t>Carthagena-Class</t>
  </si>
  <si>
    <t>07/17/1997</t>
  </si>
  <si>
    <t>620982974</t>
  </si>
  <si>
    <t>KAK5KCPN3</t>
  </si>
  <si>
    <t>jessecarthagena.ew@gmail.com</t>
  </si>
  <si>
    <t>7730 Enclave Key Road</t>
  </si>
  <si>
    <t>Megan</t>
  </si>
  <si>
    <t>Gore</t>
  </si>
  <si>
    <t>03/24/1981</t>
  </si>
  <si>
    <t>622389006</t>
  </si>
  <si>
    <t>KAS67GU89</t>
  </si>
  <si>
    <t>megangore.ew@yahoo.com</t>
  </si>
  <si>
    <t>11380 South Virginia Street</t>
  </si>
  <si>
    <t>Apt 1521</t>
  </si>
  <si>
    <t>Salvador</t>
  </si>
  <si>
    <t>Fajardo-Mendez</t>
  </si>
  <si>
    <t>04/29/1990</t>
  </si>
  <si>
    <t>733204078</t>
  </si>
  <si>
    <t>KC3OU35KK</t>
  </si>
  <si>
    <t>salvadormend.ew@gmail.com</t>
  </si>
  <si>
    <t>476 Perseids Place</t>
  </si>
  <si>
    <t>Rodney</t>
  </si>
  <si>
    <t>Aguirre</t>
  </si>
  <si>
    <t>08/16/1995</t>
  </si>
  <si>
    <t>607888709</t>
  </si>
  <si>
    <t>KD6JIK7HI</t>
  </si>
  <si>
    <t>06/09/2025</t>
  </si>
  <si>
    <t>rodneyaguirre.ew@yahoo.com</t>
  </si>
  <si>
    <t>1035 South University Park Loo</t>
  </si>
  <si>
    <t>Taylissa</t>
  </si>
  <si>
    <t>Marriott</t>
  </si>
  <si>
    <t>01/14/2003</t>
  </si>
  <si>
    <t>680466772</t>
  </si>
  <si>
    <t>KDGIPOQPP</t>
  </si>
  <si>
    <t>08/12/2024</t>
  </si>
  <si>
    <t>taylissamarriott.ew@gmail.com</t>
  </si>
  <si>
    <t>53 Manha Lane</t>
  </si>
  <si>
    <t>Yerington</t>
  </si>
  <si>
    <t>89447</t>
  </si>
  <si>
    <t>Gebel</t>
  </si>
  <si>
    <t>12/23/1995</t>
  </si>
  <si>
    <t>530930167</t>
  </si>
  <si>
    <t>KFV5E6FV6</t>
  </si>
  <si>
    <t>dakotagebel.ew@gmail.com</t>
  </si>
  <si>
    <t>9950 Moonwalk Court</t>
  </si>
  <si>
    <t>Chance</t>
  </si>
  <si>
    <t>01/16/1998</t>
  </si>
  <si>
    <t>611041000</t>
  </si>
  <si>
    <t>KIETB9M33</t>
  </si>
  <si>
    <t>chancegabriel.ew@gmail.com</t>
  </si>
  <si>
    <t>701 East 7th Street</t>
  </si>
  <si>
    <t>apt 208</t>
  </si>
  <si>
    <t>Kranz</t>
  </si>
  <si>
    <t>08/28/2003</t>
  </si>
  <si>
    <t>608417963</t>
  </si>
  <si>
    <t>KL0X0MXR8</t>
  </si>
  <si>
    <t>andrewrkranz.ew@gmail.com</t>
  </si>
  <si>
    <t>1635 Black Oak Road</t>
  </si>
  <si>
    <t>KASEY</t>
  </si>
  <si>
    <t>L</t>
  </si>
  <si>
    <t>GAZAREK</t>
  </si>
  <si>
    <t>04/19/1994</t>
  </si>
  <si>
    <t>390134869</t>
  </si>
  <si>
    <t>KLKZ25FUA</t>
  </si>
  <si>
    <t>12/07/2023</t>
  </si>
  <si>
    <t>kaseygazarek.ew@gmail.com</t>
  </si>
  <si>
    <t>325 East 7Th Street</t>
  </si>
  <si>
    <t>102</t>
  </si>
  <si>
    <t>08/17/1988</t>
  </si>
  <si>
    <t>603380395</t>
  </si>
  <si>
    <t>KNT6G79GT</t>
  </si>
  <si>
    <t>mikenicholas.ew@gmail.com</t>
  </si>
  <si>
    <t>2050 Market Street</t>
  </si>
  <si>
    <t>Apt 316</t>
  </si>
  <si>
    <t>06/21/1990</t>
  </si>
  <si>
    <t>593987860</t>
  </si>
  <si>
    <t>KO1JEVAYZ</t>
  </si>
  <si>
    <t>aleksxandaman@gmail.com</t>
  </si>
  <si>
    <t>3156 Montezuma Way</t>
  </si>
  <si>
    <t>Skyler</t>
  </si>
  <si>
    <t>Curwen</t>
  </si>
  <si>
    <t>09/18/2002</t>
  </si>
  <si>
    <t>680441356</t>
  </si>
  <si>
    <t>KS7FN3YCV</t>
  </si>
  <si>
    <t>11/21/2024</t>
  </si>
  <si>
    <t>skylercurwen.ew@gmail.com</t>
  </si>
  <si>
    <t>7875 Monterey Shores Drive</t>
  </si>
  <si>
    <t>Stone</t>
  </si>
  <si>
    <t>08/19/1995</t>
  </si>
  <si>
    <t>617841963</t>
  </si>
  <si>
    <t>KUH3H2SNZ</t>
  </si>
  <si>
    <t>joshstone.ew@gmail.com</t>
  </si>
  <si>
    <t>16210 Rhyolite Circle</t>
  </si>
  <si>
    <t>DeJesus</t>
  </si>
  <si>
    <t>09/03/1995</t>
  </si>
  <si>
    <t>530892779</t>
  </si>
  <si>
    <t>KUXLVR5SW</t>
  </si>
  <si>
    <t>harleydj.ew@gmail.com</t>
  </si>
  <si>
    <t>1841 Burnside Drive</t>
  </si>
  <si>
    <t>Dayanara</t>
  </si>
  <si>
    <t>Vazquez</t>
  </si>
  <si>
    <t>680423254</t>
  </si>
  <si>
    <t>KVLRZXA91</t>
  </si>
  <si>
    <t>dayavazquez.ew@gmail.com</t>
  </si>
  <si>
    <t>5267 Slope Drive</t>
  </si>
  <si>
    <t>Foster-Steph</t>
  </si>
  <si>
    <t>03/18/2004</t>
  </si>
  <si>
    <t>623495709</t>
  </si>
  <si>
    <t>KW8GXF8BB</t>
  </si>
  <si>
    <t>zacharyfostersteph.ew@gmail.com</t>
  </si>
  <si>
    <t>1815 Montelena Court</t>
  </si>
  <si>
    <t>Jayden</t>
  </si>
  <si>
    <t>Milton</t>
  </si>
  <si>
    <t>11/16/1998</t>
  </si>
  <si>
    <t>680121901</t>
  </si>
  <si>
    <t>KWSKU0K7Z</t>
  </si>
  <si>
    <t>jaydenmilton.ew@gmail.com</t>
  </si>
  <si>
    <t>6788 Flower Street</t>
  </si>
  <si>
    <t>Cassia</t>
  </si>
  <si>
    <t>McRoberts</t>
  </si>
  <si>
    <t>01/27/1996</t>
  </si>
  <si>
    <t>626863316</t>
  </si>
  <si>
    <t>KY0WFGQ0L</t>
  </si>
  <si>
    <t>cassiamcroberts.ew@gmail.com</t>
  </si>
  <si>
    <t>375 Harbour Cove Drive</t>
  </si>
  <si>
    <t>Apt 236</t>
  </si>
  <si>
    <t>Pinto</t>
  </si>
  <si>
    <t>06/20/1987</t>
  </si>
  <si>
    <t>626343067</t>
  </si>
  <si>
    <t>KYED018TJ</t>
  </si>
  <si>
    <t>nickpinto.ew@gmail.com</t>
  </si>
  <si>
    <t>3715 Warren Way</t>
  </si>
  <si>
    <t>Thompson</t>
  </si>
  <si>
    <t>01/06/2001</t>
  </si>
  <si>
    <t>680287664</t>
  </si>
  <si>
    <t>KZKWQEPEH</t>
  </si>
  <si>
    <t>andrewthompson.ew@gmail.com</t>
  </si>
  <si>
    <t>Apt 150B</t>
  </si>
  <si>
    <t>Axel</t>
  </si>
  <si>
    <t>Munoz</t>
  </si>
  <si>
    <t>07/17/2004</t>
  </si>
  <si>
    <t>680604446</t>
  </si>
  <si>
    <t>L0QD4RAHI</t>
  </si>
  <si>
    <t>axelmunoz.ew@gmail.com</t>
  </si>
  <si>
    <t>332 Smithridge Park</t>
  </si>
  <si>
    <t>Cristian</t>
  </si>
  <si>
    <t>12/09/1999</t>
  </si>
  <si>
    <t>680200813</t>
  </si>
  <si>
    <t>L0VDV0KQI</t>
  </si>
  <si>
    <t>chrischavez.ew@gmail.com</t>
  </si>
  <si>
    <t>3201 Downey Avenue</t>
  </si>
  <si>
    <t>Sirorine</t>
  </si>
  <si>
    <t>05/09/1989</t>
  </si>
  <si>
    <t>530417399</t>
  </si>
  <si>
    <t>L2EHW2S99</t>
  </si>
  <si>
    <t>martinsirorine89.ew@gmail.com</t>
  </si>
  <si>
    <t>200 Talus Way</t>
  </si>
  <si>
    <t>Apt 432</t>
  </si>
  <si>
    <t>Rios Camacho</t>
  </si>
  <si>
    <t>08/22/2003</t>
  </si>
  <si>
    <t>608410133</t>
  </si>
  <si>
    <t>L42JRRAW3</t>
  </si>
  <si>
    <t>09/27/2024</t>
  </si>
  <si>
    <t>armando.rios.ew@gmail.com</t>
  </si>
  <si>
    <t>3307 Montecito Drive</t>
  </si>
  <si>
    <t>McDonald</t>
  </si>
  <si>
    <t>08/30/1974</t>
  </si>
  <si>
    <t>530903932</t>
  </si>
  <si>
    <t>L4T25NWXA</t>
  </si>
  <si>
    <t>10/07/2024</t>
  </si>
  <si>
    <t>kevinmcdonald.ew@gmail.com</t>
  </si>
  <si>
    <t>1720 Byrd Drive</t>
  </si>
  <si>
    <t>Tillotson</t>
  </si>
  <si>
    <t>06/04/1999</t>
  </si>
  <si>
    <t>680164424</t>
  </si>
  <si>
    <t>L53TYSR4G</t>
  </si>
  <si>
    <t>ztillotson.ew@gmail.com</t>
  </si>
  <si>
    <t>2880 Wrondel Way</t>
  </si>
  <si>
    <t>Trailer 9</t>
  </si>
  <si>
    <t>Lilyanne</t>
  </si>
  <si>
    <t>Bickmore</t>
  </si>
  <si>
    <t>09/17/2000</t>
  </si>
  <si>
    <t>606319175</t>
  </si>
  <si>
    <t>L58FM2ZML</t>
  </si>
  <si>
    <t>llbickmore.ew@gmail.com</t>
  </si>
  <si>
    <t>1157 Jones St</t>
  </si>
  <si>
    <t>Souza-Canady</t>
  </si>
  <si>
    <t>07/03/2003</t>
  </si>
  <si>
    <t>606410594</t>
  </si>
  <si>
    <t>L5M4LWWCN</t>
  </si>
  <si>
    <t>anthonycanady.ew@gmail.com</t>
  </si>
  <si>
    <t>6611 Barn Stall Way</t>
  </si>
  <si>
    <t>SIMS</t>
  </si>
  <si>
    <t>03/25/1996</t>
  </si>
  <si>
    <t>622889300</t>
  </si>
  <si>
    <t>08/04/2023</t>
  </si>
  <si>
    <t>72079.80</t>
  </si>
  <si>
    <t>Operations Manager</t>
  </si>
  <si>
    <t>000001</t>
  </si>
  <si>
    <t>stone.sims.ew@gmail.com</t>
  </si>
  <si>
    <t>6400 Sharlands Ave</t>
  </si>
  <si>
    <t>Apt L1077</t>
  </si>
  <si>
    <t>Heitzman</t>
  </si>
  <si>
    <t>10/27/2003</t>
  </si>
  <si>
    <t>680529801</t>
  </si>
  <si>
    <t>L6A0QL7J5</t>
  </si>
  <si>
    <t>jheitzman.ew@gmail.com</t>
  </si>
  <si>
    <t>119 University Terrace</t>
  </si>
  <si>
    <t>Stuart</t>
  </si>
  <si>
    <t>Robinson</t>
  </si>
  <si>
    <t>07/29/1991</t>
  </si>
  <si>
    <t>530595093</t>
  </si>
  <si>
    <t>LAWWL9BMR</t>
  </si>
  <si>
    <t>stuartrobinson.ew@gmail.com</t>
  </si>
  <si>
    <t>145 West Surge Street</t>
  </si>
  <si>
    <t>Space 49</t>
  </si>
  <si>
    <t>McCarroll</t>
  </si>
  <si>
    <t>03/09/2004</t>
  </si>
  <si>
    <t>680568369</t>
  </si>
  <si>
    <t>LC3LSE7H5</t>
  </si>
  <si>
    <t>robertmccarroll.ew@gmail.com</t>
  </si>
  <si>
    <t>550 Howard Drive</t>
  </si>
  <si>
    <t>Sowers</t>
  </si>
  <si>
    <t>611727473</t>
  </si>
  <si>
    <t>LCF0KFQLG</t>
  </si>
  <si>
    <t>tylersowers.ew@gmail.com</t>
  </si>
  <si>
    <t>1890 Keystone Avenue</t>
  </si>
  <si>
    <t>Jocelyn</t>
  </si>
  <si>
    <t>Sanchez Esquivel</t>
  </si>
  <si>
    <t>10/28/1995</t>
  </si>
  <si>
    <t>607411444</t>
  </si>
  <si>
    <t>LE42HZ8RG</t>
  </si>
  <si>
    <t>jocelynsanchezesquivel.ew@gmail.com</t>
  </si>
  <si>
    <t>1837 C Street</t>
  </si>
  <si>
    <t>Mack</t>
  </si>
  <si>
    <t>01/19/1997</t>
  </si>
  <si>
    <t>540510010</t>
  </si>
  <si>
    <t>LE4K8XAOF</t>
  </si>
  <si>
    <t>matthewmack.ew@gmail.com</t>
  </si>
  <si>
    <t>685 James Lane</t>
  </si>
  <si>
    <t>Maltezo</t>
  </si>
  <si>
    <t>07/14/2004</t>
  </si>
  <si>
    <t>680604419</t>
  </si>
  <si>
    <t>LE6ZNB0IZ</t>
  </si>
  <si>
    <t>nicholasmaltezo.ew@gmail.com</t>
  </si>
  <si>
    <t>9065 Turbine Way</t>
  </si>
  <si>
    <t>Frederick</t>
  </si>
  <si>
    <t>Hughes</t>
  </si>
  <si>
    <t>07/23/1968</t>
  </si>
  <si>
    <t>555670466</t>
  </si>
  <si>
    <t>LENJL5CPX</t>
  </si>
  <si>
    <t>03/03/2025</t>
  </si>
  <si>
    <t>frederickhughes.ew@gmail.com</t>
  </si>
  <si>
    <t>2777 Northtowne Lane</t>
  </si>
  <si>
    <t>L-1050</t>
  </si>
  <si>
    <t>Holli</t>
  </si>
  <si>
    <t>Echols</t>
  </si>
  <si>
    <t>06/06/1988</t>
  </si>
  <si>
    <t>530352131</t>
  </si>
  <si>
    <t>LG7ISI754</t>
  </si>
  <si>
    <t>holliechols.ew@gmail.com</t>
  </si>
  <si>
    <t>1555 Radcliffe Drive</t>
  </si>
  <si>
    <t>Wilderman</t>
  </si>
  <si>
    <t>10/10/1965</t>
  </si>
  <si>
    <t>357669382</t>
  </si>
  <si>
    <t>LI6D91GGE</t>
  </si>
  <si>
    <t>12/05/2024</t>
  </si>
  <si>
    <t>02/01/2025</t>
  </si>
  <si>
    <t>bowilderman.ew@gmail.com</t>
  </si>
  <si>
    <t>7545 Robert Banks Boulevard</t>
  </si>
  <si>
    <t>Jean</t>
  </si>
  <si>
    <t>Cardona</t>
  </si>
  <si>
    <t>10/21/1999</t>
  </si>
  <si>
    <t>597625081</t>
  </si>
  <si>
    <t>LIEFJUQOW</t>
  </si>
  <si>
    <t>jeancardona.ew@gmail.com</t>
  </si>
  <si>
    <t>1400 avenue of the oaks</t>
  </si>
  <si>
    <t>Unit 1011</t>
  </si>
  <si>
    <t>Cailey</t>
  </si>
  <si>
    <t>Basinger</t>
  </si>
  <si>
    <t>680221867</t>
  </si>
  <si>
    <t>LM7L3G2BO</t>
  </si>
  <si>
    <t>dakotabasinger.ew@gmail.com</t>
  </si>
  <si>
    <t>1205 South Meadows Parkway</t>
  </si>
  <si>
    <t>Apt M2093</t>
  </si>
  <si>
    <t>Garret</t>
  </si>
  <si>
    <t>Camp</t>
  </si>
  <si>
    <t>05/02/2001</t>
  </si>
  <si>
    <t>680322506</t>
  </si>
  <si>
    <t>LMVTE9KXJ</t>
  </si>
  <si>
    <t>garretcamp.ew@gmail.com</t>
  </si>
  <si>
    <t>2310 Albatross Way</t>
  </si>
  <si>
    <t>Troy</t>
  </si>
  <si>
    <t>Parker</t>
  </si>
  <si>
    <t>12/14/1985</t>
  </si>
  <si>
    <t>561899001</t>
  </si>
  <si>
    <t>LNINKU2FK</t>
  </si>
  <si>
    <t>troyparker.ew@yahoo.com</t>
  </si>
  <si>
    <t>7900 North Virginia Street</t>
  </si>
  <si>
    <t>285</t>
  </si>
  <si>
    <t>Manger</t>
  </si>
  <si>
    <t>08/26/1986</t>
  </si>
  <si>
    <t>022705910</t>
  </si>
  <si>
    <t>LOE25CI04</t>
  </si>
  <si>
    <t>alexmanger.ew@gmail.com</t>
  </si>
  <si>
    <t>6525 Fern st</t>
  </si>
  <si>
    <t>Hayes</t>
  </si>
  <si>
    <t>06/18/1988</t>
  </si>
  <si>
    <t>652508100</t>
  </si>
  <si>
    <t>LORCRFUH6</t>
  </si>
  <si>
    <t>rachelhayes.ew@gmail.com</t>
  </si>
  <si>
    <t>5047 Saguaro Drive</t>
  </si>
  <si>
    <t>Myrick</t>
  </si>
  <si>
    <t>11/25/1989</t>
  </si>
  <si>
    <t>613365305</t>
  </si>
  <si>
    <t>LTBOZ8MCM</t>
  </si>
  <si>
    <t>ryanmyrick.ew@gmail.com</t>
  </si>
  <si>
    <t>410 Randon Court</t>
  </si>
  <si>
    <t>Hernandez</t>
  </si>
  <si>
    <t>08/09/1978</t>
  </si>
  <si>
    <t>095647731</t>
  </si>
  <si>
    <t>LX8VSW84W</t>
  </si>
  <si>
    <t>arhernandez.ew@gmail.com</t>
  </si>
  <si>
    <t>930 I Street</t>
  </si>
  <si>
    <t>Heisol</t>
  </si>
  <si>
    <t>Velasquez Figueroa</t>
  </si>
  <si>
    <t>11/21/2004</t>
  </si>
  <si>
    <t>680629060</t>
  </si>
  <si>
    <t>LYV4NMU4H</t>
  </si>
  <si>
    <t>01/23/2026</t>
  </si>
  <si>
    <t>heisolvelasquezfigueroa.ew@gmail.com</t>
  </si>
  <si>
    <t>6385 Mohegan Court</t>
  </si>
  <si>
    <t>Andrews</t>
  </si>
  <si>
    <t>06/12/2001</t>
  </si>
  <si>
    <t>445158077</t>
  </si>
  <si>
    <t>M32Y0L038</t>
  </si>
  <si>
    <t>ethanandrews.ew@gmail.com</t>
  </si>
  <si>
    <t>1125 Robin Drive</t>
  </si>
  <si>
    <t>Lisandra</t>
  </si>
  <si>
    <t>Cardenas</t>
  </si>
  <si>
    <t>02/01/1999</t>
  </si>
  <si>
    <t>680140126</t>
  </si>
  <si>
    <t>M4MI6GLDJ</t>
  </si>
  <si>
    <t>08/26/2025</t>
  </si>
  <si>
    <t>lisandracardenas.ew@gmail.com</t>
  </si>
  <si>
    <t>Apt G160</t>
  </si>
  <si>
    <t>Julian</t>
  </si>
  <si>
    <t>05/27/2003</t>
  </si>
  <si>
    <t>680505901</t>
  </si>
  <si>
    <t>M6439A2R0</t>
  </si>
  <si>
    <t>julianmendez.ew@gmail.com</t>
  </si>
  <si>
    <t>511 East Long Street</t>
  </si>
  <si>
    <t>Blanca</t>
  </si>
  <si>
    <t>09/25/1996</t>
  </si>
  <si>
    <t>530971953</t>
  </si>
  <si>
    <t>M7J2219YP</t>
  </si>
  <si>
    <t>biancasal25.ew@gmail.com</t>
  </si>
  <si>
    <t>F350</t>
  </si>
  <si>
    <t>07/02/1980</t>
  </si>
  <si>
    <t>561633151</t>
  </si>
  <si>
    <t>M7SGAZYXJ</t>
  </si>
  <si>
    <t>sal.salas.ew@gmail.com</t>
  </si>
  <si>
    <t>5177 Aspen View Drive</t>
  </si>
  <si>
    <t>Teeples</t>
  </si>
  <si>
    <t>08/22/1996</t>
  </si>
  <si>
    <t>613920177</t>
  </si>
  <si>
    <t>M947JSPVQ</t>
  </si>
  <si>
    <t>danielteeples.ew@gmail.com</t>
  </si>
  <si>
    <t>4695 Sarah Beth Lane</t>
  </si>
  <si>
    <t>Lance</t>
  </si>
  <si>
    <t>Adams Jr.</t>
  </si>
  <si>
    <t>02/05/1998</t>
  </si>
  <si>
    <t>614043955</t>
  </si>
  <si>
    <t>M9NMU4MC7</t>
  </si>
  <si>
    <t>lanceadamsjr.ew@gmail.com</t>
  </si>
  <si>
    <t>583 Venturacci Lane</t>
  </si>
  <si>
    <t>Naranjo Lopez</t>
  </si>
  <si>
    <t>09/12/1999</t>
  </si>
  <si>
    <t>166935415</t>
  </si>
  <si>
    <t>MBX6YTJRE</t>
  </si>
  <si>
    <t>naranjolopezjesus83@gmail.com</t>
  </si>
  <si>
    <t>1301 Tonopah Street</t>
  </si>
  <si>
    <t>Apt 104</t>
  </si>
  <si>
    <t>Malievave</t>
  </si>
  <si>
    <t>Sipai</t>
  </si>
  <si>
    <t>10/23/1995</t>
  </si>
  <si>
    <t>626848473</t>
  </si>
  <si>
    <t>MDKCT1YYG</t>
  </si>
  <si>
    <t>malisipaiew@gmail.com</t>
  </si>
  <si>
    <t>2565 Hiko Avenue</t>
  </si>
  <si>
    <t>AARON</t>
  </si>
  <si>
    <t>MCKISSACK</t>
  </si>
  <si>
    <t>04/28/1995</t>
  </si>
  <si>
    <t>609829132</t>
  </si>
  <si>
    <t>MG53Z943Z</t>
  </si>
  <si>
    <t>11/17/2021</t>
  </si>
  <si>
    <t>aaronmckissack.ew@gmail.com</t>
  </si>
  <si>
    <t>23 Carrington Way</t>
  </si>
  <si>
    <t>Tiah</t>
  </si>
  <si>
    <t>12/31/2002</t>
  </si>
  <si>
    <t>614373052</t>
  </si>
  <si>
    <t>MGMVVN23R</t>
  </si>
  <si>
    <t>03/28/2025</t>
  </si>
  <si>
    <t>tiahd360@gmail.com</t>
  </si>
  <si>
    <t>Apt 316 Bldg D</t>
  </si>
  <si>
    <t>Miranda Rivera</t>
  </si>
  <si>
    <t>04/11/1995</t>
  </si>
  <si>
    <t>530873598</t>
  </si>
  <si>
    <t>MI3FS3PHJ</t>
  </si>
  <si>
    <t>joserivera.ew@gmail.com</t>
  </si>
  <si>
    <t>1655 Crown Drive</t>
  </si>
  <si>
    <t>Rosalba</t>
  </si>
  <si>
    <t>Madrigal Rincon</t>
  </si>
  <si>
    <t>09/19/2001</t>
  </si>
  <si>
    <t>680347610</t>
  </si>
  <si>
    <t>MI3MQKVWT</t>
  </si>
  <si>
    <t>rosmadrigal.ew@gmail.com</t>
  </si>
  <si>
    <t>825 East Patriot Boulevard</t>
  </si>
  <si>
    <t>1095</t>
  </si>
  <si>
    <t>Zarkos</t>
  </si>
  <si>
    <t>11/07/2000</t>
  </si>
  <si>
    <t>680269771</t>
  </si>
  <si>
    <t>MIWT87FFH</t>
  </si>
  <si>
    <t>hunterzarkos.ew@gmail.com</t>
  </si>
  <si>
    <t>3229 Heights Drive</t>
  </si>
  <si>
    <t>03/07/2003</t>
  </si>
  <si>
    <t>680485499</t>
  </si>
  <si>
    <t>MJ5UGVV7C</t>
  </si>
  <si>
    <t>mikerodriguez.ew@gmail.com</t>
  </si>
  <si>
    <t>3211 Platte River Drive</t>
  </si>
  <si>
    <t>Rosil</t>
  </si>
  <si>
    <t>03/10/2004</t>
  </si>
  <si>
    <t>680568383</t>
  </si>
  <si>
    <t>MJTIE5GPT</t>
  </si>
  <si>
    <t>anthonyrosil.ew@gmail.com</t>
  </si>
  <si>
    <t>3660 Sienna Pointe Court</t>
  </si>
  <si>
    <t>Benjamin</t>
  </si>
  <si>
    <t>Ray</t>
  </si>
  <si>
    <t>05/13/1975</t>
  </si>
  <si>
    <t>498806506</t>
  </si>
  <si>
    <t>MKNW79KRH</t>
  </si>
  <si>
    <t>benjaminray.ew@gmail.com</t>
  </si>
  <si>
    <t>610 Line Drive</t>
  </si>
  <si>
    <t>Anika</t>
  </si>
  <si>
    <t>Souza</t>
  </si>
  <si>
    <t>05/20/1983</t>
  </si>
  <si>
    <t>576215542</t>
  </si>
  <si>
    <t>ML8PJ8WO1</t>
  </si>
  <si>
    <t>anikasouza.ew@gmail.com</t>
  </si>
  <si>
    <t>5700 Microwave Road</t>
  </si>
  <si>
    <t>89510</t>
  </si>
  <si>
    <t>Valdez Walker</t>
  </si>
  <si>
    <t>680521246</t>
  </si>
  <si>
    <t>MN8IHCY72</t>
  </si>
  <si>
    <t>caseyvaldezwalker.ew@gmail.com</t>
  </si>
  <si>
    <t>4132 Neil Road</t>
  </si>
  <si>
    <t>Apt C</t>
  </si>
  <si>
    <t>05/24/2001</t>
  </si>
  <si>
    <t>635769588</t>
  </si>
  <si>
    <t>MNQ4AY592</t>
  </si>
  <si>
    <t>10/21/2024</t>
  </si>
  <si>
    <t>noemail2@email.com</t>
  </si>
  <si>
    <t>2300 Harvard Way Apt C110</t>
  </si>
  <si>
    <t>Jefferson</t>
  </si>
  <si>
    <t>09/11/1989</t>
  </si>
  <si>
    <t>606386017</t>
  </si>
  <si>
    <t>MO1D8MX6S</t>
  </si>
  <si>
    <t>05/09/2025</t>
  </si>
  <si>
    <t>jefferyjefferson1.ew@gmail.com</t>
  </si>
  <si>
    <t>Holmes</t>
  </si>
  <si>
    <t>11/12/2002</t>
  </si>
  <si>
    <t>764260140</t>
  </si>
  <si>
    <t>MO5P1TDW2</t>
  </si>
  <si>
    <t>jholmes.ew@gmail.com</t>
  </si>
  <si>
    <t>3341 South Carson Street</t>
  </si>
  <si>
    <t>Antoine</t>
  </si>
  <si>
    <t>Green</t>
  </si>
  <si>
    <t>10/27/1997</t>
  </si>
  <si>
    <t>613025812</t>
  </si>
  <si>
    <t>MPFBT36X9</t>
  </si>
  <si>
    <t>10/27/2025</t>
  </si>
  <si>
    <t>antoinegreen.ew@gmail.com</t>
  </si>
  <si>
    <t>West 1st Avenue</t>
  </si>
  <si>
    <t>Apt 209b</t>
  </si>
  <si>
    <t>Hugo</t>
  </si>
  <si>
    <t>Vivero</t>
  </si>
  <si>
    <t>09/02/2002</t>
  </si>
  <si>
    <t>607355319</t>
  </si>
  <si>
    <t>MRGPWLGUU</t>
  </si>
  <si>
    <t>02/03/2025</t>
  </si>
  <si>
    <t>hugocvivero.ew@yahoo.com</t>
  </si>
  <si>
    <t>7151 Coldwater Street</t>
  </si>
  <si>
    <t>09/22/2001</t>
  </si>
  <si>
    <t>652201218</t>
  </si>
  <si>
    <t>MUUHSAF19</t>
  </si>
  <si>
    <t>meganwilliams.ew@gmail.com</t>
  </si>
  <si>
    <t>4275 West 4th Street</t>
  </si>
  <si>
    <t>Apt 319</t>
  </si>
  <si>
    <t>Darien</t>
  </si>
  <si>
    <t>Wilburn</t>
  </si>
  <si>
    <t>04/12/1994</t>
  </si>
  <si>
    <t>627428281</t>
  </si>
  <si>
    <t>MVZBBM40G</t>
  </si>
  <si>
    <t>darienwilburn.ew@gmail.com</t>
  </si>
  <si>
    <t>Apt M2094</t>
  </si>
  <si>
    <t>Princesse</t>
  </si>
  <si>
    <t>Muisha-Kubuya</t>
  </si>
  <si>
    <t>09/14/2003</t>
  </si>
  <si>
    <t>121874145</t>
  </si>
  <si>
    <t>N0D2CIZQJ</t>
  </si>
  <si>
    <t>000018</t>
  </si>
  <si>
    <t>princessekubuya.ew@gmail.com</t>
  </si>
  <si>
    <t>2655 Yori Avenue</t>
  </si>
  <si>
    <t>Apt E17</t>
  </si>
  <si>
    <t>Makeyla</t>
  </si>
  <si>
    <t>02/24/2002</t>
  </si>
  <si>
    <t>680401702</t>
  </si>
  <si>
    <t>N0SS9QP2M</t>
  </si>
  <si>
    <t>12/18/2025</t>
  </si>
  <si>
    <t>mendozamakeyla663@gmail.com</t>
  </si>
  <si>
    <t>1525 Shannon Way</t>
  </si>
  <si>
    <t>06/24/2004</t>
  </si>
  <si>
    <t>623456253</t>
  </si>
  <si>
    <t>N21XAKTHK</t>
  </si>
  <si>
    <t>09/03/2025</t>
  </si>
  <si>
    <t>01/31/2026</t>
  </si>
  <si>
    <t>isaiahsalazar.ew@gmail.com</t>
  </si>
  <si>
    <t>1726 Boundary Peak Street</t>
  </si>
  <si>
    <t>11/19/1982</t>
  </si>
  <si>
    <t>623030190</t>
  </si>
  <si>
    <t>N2IMF5YKT</t>
  </si>
  <si>
    <t>ryan.moore.ew@gmail.com</t>
  </si>
  <si>
    <t>1290 19th Street</t>
  </si>
  <si>
    <t>Rutledge</t>
  </si>
  <si>
    <t>12/04/1997</t>
  </si>
  <si>
    <t>622027738</t>
  </si>
  <si>
    <t>N5BUHOQ34</t>
  </si>
  <si>
    <t>jrutledge.ew@gmail.com</t>
  </si>
  <si>
    <t>3395 Erin Drive</t>
  </si>
  <si>
    <t>Proctor</t>
  </si>
  <si>
    <t>08/10/1995</t>
  </si>
  <si>
    <t>530894727</t>
  </si>
  <si>
    <t>N6TQIC610</t>
  </si>
  <si>
    <t>christproctor.ew@gmail.com</t>
  </si>
  <si>
    <t>2050 Longley Lane #2801</t>
  </si>
  <si>
    <t>07/30/2001</t>
  </si>
  <si>
    <t>680341193</t>
  </si>
  <si>
    <t>N78X62EOV</t>
  </si>
  <si>
    <t>ashleytaylor.ew@gmail.com</t>
  </si>
  <si>
    <t>3297 Quail Landing Ct</t>
  </si>
  <si>
    <t>Gaudette</t>
  </si>
  <si>
    <t>03/11/1972</t>
  </si>
  <si>
    <t>019642060</t>
  </si>
  <si>
    <t>N9Q0WK34D</t>
  </si>
  <si>
    <t>dgaudette.ew@gmail.com</t>
  </si>
  <si>
    <t>182 East Greenbrae Drive</t>
  </si>
  <si>
    <t>Rhea</t>
  </si>
  <si>
    <t>11/10/2004</t>
  </si>
  <si>
    <t>680626290</t>
  </si>
  <si>
    <t>NDKVT9598</t>
  </si>
  <si>
    <t>calebrhea.ew@gmail.com</t>
  </si>
  <si>
    <t>1450 Mill Street</t>
  </si>
  <si>
    <t>Apt 214</t>
  </si>
  <si>
    <t>Chacon</t>
  </si>
  <si>
    <t>09/16/1996</t>
  </si>
  <si>
    <t>530971728</t>
  </si>
  <si>
    <t>NFRKZHHI9</t>
  </si>
  <si>
    <t>08/03/2025</t>
  </si>
  <si>
    <t>danielchacon.ew@gmail.com</t>
  </si>
  <si>
    <t>1550 Steven Court</t>
  </si>
  <si>
    <t>08/03/1997</t>
  </si>
  <si>
    <t>618982026</t>
  </si>
  <si>
    <t>NG9VTBCPE</t>
  </si>
  <si>
    <t>12/13/2021</t>
  </si>
  <si>
    <t>caseylamb.ew@gmail.com</t>
  </si>
  <si>
    <t>7760 Corso St</t>
  </si>
  <si>
    <t>Blair-Garcia</t>
  </si>
  <si>
    <t>12/27/1995</t>
  </si>
  <si>
    <t>606904156</t>
  </si>
  <si>
    <t>NGKLT2XR2</t>
  </si>
  <si>
    <t>christopherblairgarcia.ew@gmail.com</t>
  </si>
  <si>
    <t>1400 East 9th Street</t>
  </si>
  <si>
    <t>Unit 13</t>
  </si>
  <si>
    <t>Kailey</t>
  </si>
  <si>
    <t>Holz</t>
  </si>
  <si>
    <t>02/10/1988</t>
  </si>
  <si>
    <t>610103742</t>
  </si>
  <si>
    <t>NGUK9THQ5</t>
  </si>
  <si>
    <t>kaileyholz.ew@gmail.com</t>
  </si>
  <si>
    <t>11620 Overland Road</t>
  </si>
  <si>
    <t>Bloodworth</t>
  </si>
  <si>
    <t>04/23/1990</t>
  </si>
  <si>
    <t>334849012</t>
  </si>
  <si>
    <t>NHBJ3HXD9</t>
  </si>
  <si>
    <t>04/06/2025</t>
  </si>
  <si>
    <t>quentinb.ew@gmail.com</t>
  </si>
  <si>
    <t>244 Smithridge Park</t>
  </si>
  <si>
    <t>Escareno</t>
  </si>
  <si>
    <t>07/08/2003</t>
  </si>
  <si>
    <t>307271739</t>
  </si>
  <si>
    <t>NHFMGCHNZ</t>
  </si>
  <si>
    <t>emilyescareno.ew@gmail.com</t>
  </si>
  <si>
    <t>1295 Grand Summit Drive</t>
  </si>
  <si>
    <t>Apt n299</t>
  </si>
  <si>
    <t>Timothy</t>
  </si>
  <si>
    <t>Feltman</t>
  </si>
  <si>
    <t>04/15/1982</t>
  </si>
  <si>
    <t>585736755</t>
  </si>
  <si>
    <t>NHGP53XOZ</t>
  </si>
  <si>
    <t>timfeltman.ew@gmail.com</t>
  </si>
  <si>
    <t>1000 Wolcott Drive</t>
  </si>
  <si>
    <t>Leander</t>
  </si>
  <si>
    <t>78641</t>
  </si>
  <si>
    <t>Danielle</t>
  </si>
  <si>
    <t>Parker-Holland</t>
  </si>
  <si>
    <t>05/07/1991</t>
  </si>
  <si>
    <t>531235552</t>
  </si>
  <si>
    <t>NKABHZQJS</t>
  </si>
  <si>
    <t>07/23/2025</t>
  </si>
  <si>
    <t>danielleholland.ew@gmail.com</t>
  </si>
  <si>
    <t>133 North Virginia Street</t>
  </si>
  <si>
    <t>Apt 507</t>
  </si>
  <si>
    <t>Darr</t>
  </si>
  <si>
    <t>02/15/1986</t>
  </si>
  <si>
    <t>530454762</t>
  </si>
  <si>
    <t>NLNATHSG9</t>
  </si>
  <si>
    <t>scottdarr.ew@gmail.com</t>
  </si>
  <si>
    <t>505 Mason Road</t>
  </si>
  <si>
    <t>Emmanuel</t>
  </si>
  <si>
    <t>06/16/1984</t>
  </si>
  <si>
    <t>559977654</t>
  </si>
  <si>
    <t>NLSINSVUW</t>
  </si>
  <si>
    <t>emmanuelgonzalez.ew@gmail.com</t>
  </si>
  <si>
    <t>1900 Burnside Drive</t>
  </si>
  <si>
    <t>680604418</t>
  </si>
  <si>
    <t>NMF7ZSSCB</t>
  </si>
  <si>
    <t>williammaltezo.ew@gmail.com</t>
  </si>
  <si>
    <t>Jones-Thornton</t>
  </si>
  <si>
    <t>641584166</t>
  </si>
  <si>
    <t>NMGMHTAIO</t>
  </si>
  <si>
    <t>bjones.ew@hotmail.com</t>
  </si>
  <si>
    <t>520 Holcomb Avenue</t>
  </si>
  <si>
    <t>Forinash</t>
  </si>
  <si>
    <t>02/13/2004</t>
  </si>
  <si>
    <t>647742586</t>
  </si>
  <si>
    <t>NMXS1ALCP</t>
  </si>
  <si>
    <t>jaydenrose213@icloud.com</t>
  </si>
  <si>
    <t>Suite 219</t>
  </si>
  <si>
    <t>Garcia-Castro</t>
  </si>
  <si>
    <t>05/08/1996</t>
  </si>
  <si>
    <t>620902618</t>
  </si>
  <si>
    <t>NOXZDD3C1</t>
  </si>
  <si>
    <t>elijahcastro.ew@gmail.com</t>
  </si>
  <si>
    <t>2094830283</t>
  </si>
  <si>
    <t>9670 Desert Sunrise Court</t>
  </si>
  <si>
    <t>Rachael</t>
  </si>
  <si>
    <t>623213762</t>
  </si>
  <si>
    <t>NSI36OOHY</t>
  </si>
  <si>
    <t>rachaeljohnson.ew@gmail.com</t>
  </si>
  <si>
    <t>3750 Amador Way</t>
  </si>
  <si>
    <t>Kinkade</t>
  </si>
  <si>
    <t>680014802</t>
  </si>
  <si>
    <t>NURDZPALJ</t>
  </si>
  <si>
    <t>benkinkade101@gmail.com</t>
  </si>
  <si>
    <t>697 Southlake Road</t>
  </si>
  <si>
    <t>Lake of the Woods</t>
  </si>
  <si>
    <t>85929</t>
  </si>
  <si>
    <t>Tamiano</t>
  </si>
  <si>
    <t>Toki</t>
  </si>
  <si>
    <t>08/12/1984</t>
  </si>
  <si>
    <t>603141565</t>
  </si>
  <si>
    <t>NXK52ORJ1</t>
  </si>
  <si>
    <t>10/28/2024</t>
  </si>
  <si>
    <t>tamianotoki2.ew@gmail.com</t>
  </si>
  <si>
    <t>3054 Grand Island Court</t>
  </si>
  <si>
    <t>Lidia</t>
  </si>
  <si>
    <t>Deppey</t>
  </si>
  <si>
    <t>11/22/1985</t>
  </si>
  <si>
    <t>561915256</t>
  </si>
  <si>
    <t>O0JRXL7Z1</t>
  </si>
  <si>
    <t>lydiadeppey.ew@gmail.com</t>
  </si>
  <si>
    <t>1850 Watt Street</t>
  </si>
  <si>
    <t>McDaniel</t>
  </si>
  <si>
    <t>06/03/1996</t>
  </si>
  <si>
    <t>619909992</t>
  </si>
  <si>
    <t>O23EA6YVQ</t>
  </si>
  <si>
    <t>davidmcdaniel.ew@gmail.com</t>
  </si>
  <si>
    <t>Archer</t>
  </si>
  <si>
    <t>01/24/1995</t>
  </si>
  <si>
    <t>610805427</t>
  </si>
  <si>
    <t>O4539JHJ9</t>
  </si>
  <si>
    <t>jacobarcher421@gmail.com</t>
  </si>
  <si>
    <t>2239 Cloud Berry Drive</t>
  </si>
  <si>
    <t>Meadow</t>
  </si>
  <si>
    <t>Latham</t>
  </si>
  <si>
    <t>06/05/1999</t>
  </si>
  <si>
    <t>680161739</t>
  </si>
  <si>
    <t>O5IY4WLHX</t>
  </si>
  <si>
    <t>meadlatham.ew@gmail.com</t>
  </si>
  <si>
    <t>5200 Los Altos Parkway</t>
  </si>
  <si>
    <t>Apt 225</t>
  </si>
  <si>
    <t>Tuitama</t>
  </si>
  <si>
    <t>Harrington</t>
  </si>
  <si>
    <t>03/18/1997</t>
  </si>
  <si>
    <t>680010238</t>
  </si>
  <si>
    <t>O5P1KG0AX</t>
  </si>
  <si>
    <t>tuitamah.ew@gmail.com</t>
  </si>
  <si>
    <t>Apt 3005</t>
  </si>
  <si>
    <t>Kimberly</t>
  </si>
  <si>
    <t>Giddings</t>
  </si>
  <si>
    <t>04/15/1987</t>
  </si>
  <si>
    <t>547953838</t>
  </si>
  <si>
    <t>O83HMI8QI</t>
  </si>
  <si>
    <t>kimberlygiddings.ew@gmail.com</t>
  </si>
  <si>
    <t>4050 Gardella Ave Apt 212</t>
  </si>
  <si>
    <t>Sellers</t>
  </si>
  <si>
    <t>10/09/2003</t>
  </si>
  <si>
    <t>680528379</t>
  </si>
  <si>
    <t>O95IMNSX2</t>
  </si>
  <si>
    <t>jacobsellers.ew@gmail.com</t>
  </si>
  <si>
    <t>2366 Rockdale Drive</t>
  </si>
  <si>
    <t>Micah</t>
  </si>
  <si>
    <t>Simmons-Smalls</t>
  </si>
  <si>
    <t>02/15/1996</t>
  </si>
  <si>
    <t>131842782</t>
  </si>
  <si>
    <t>OC5YJ3A9G</t>
  </si>
  <si>
    <t>10/24/2025</t>
  </si>
  <si>
    <t>micah.simmonssmalls.ew@gmail.com</t>
  </si>
  <si>
    <t>11700 South Hills Drive</t>
  </si>
  <si>
    <t>Apt 2099</t>
  </si>
  <si>
    <t>Felicia</t>
  </si>
  <si>
    <t>04/15/1985</t>
  </si>
  <si>
    <t>556953398</t>
  </si>
  <si>
    <t>OCMLODZV5</t>
  </si>
  <si>
    <t>08/17/2025</t>
  </si>
  <si>
    <t>felramirez.ew@gmail.com</t>
  </si>
  <si>
    <t>80 Sutton Way</t>
  </si>
  <si>
    <t>Mykal</t>
  </si>
  <si>
    <t>Yanke</t>
  </si>
  <si>
    <t>08/31/2002</t>
  </si>
  <si>
    <t>680428966</t>
  </si>
  <si>
    <t>OGMM3DT1R</t>
  </si>
  <si>
    <t>mykalyanke.ew@gmail.com</t>
  </si>
  <si>
    <t>#3</t>
  </si>
  <si>
    <t>Emerson</t>
  </si>
  <si>
    <t>Brodrick</t>
  </si>
  <si>
    <t>10/31/1995</t>
  </si>
  <si>
    <t>609865894</t>
  </si>
  <si>
    <t>OHRQUJ3C0</t>
  </si>
  <si>
    <t>ebrodrick.ew@gmail.com</t>
  </si>
  <si>
    <t>10785 Santa Fe Road</t>
  </si>
  <si>
    <t>Paul</t>
  </si>
  <si>
    <t>Searles</t>
  </si>
  <si>
    <t>08/06/1994</t>
  </si>
  <si>
    <t>268987301</t>
  </si>
  <si>
    <t>OL05AJOZX</t>
  </si>
  <si>
    <t>paulsheldon1994@gmail.com</t>
  </si>
  <si>
    <t>4370 Bridle Way</t>
  </si>
  <si>
    <t>Sumpter III</t>
  </si>
  <si>
    <t>04/08/2000</t>
  </si>
  <si>
    <t>680226768</t>
  </si>
  <si>
    <t>OM54C1A5A</t>
  </si>
  <si>
    <t>davidsumpter.ew@gmail.com</t>
  </si>
  <si>
    <t>350 Boomtown Garson Road</t>
  </si>
  <si>
    <t>Apt 10-303</t>
  </si>
  <si>
    <t>11/08/2003</t>
  </si>
  <si>
    <t>680544854</t>
  </si>
  <si>
    <t>OM5HSE4RW</t>
  </si>
  <si>
    <t>tracyjwillis.ew@gmail.com</t>
  </si>
  <si>
    <t>4998 Earmark Court</t>
  </si>
  <si>
    <t>Luna-Cazares</t>
  </si>
  <si>
    <t>07/10/1997</t>
  </si>
  <si>
    <t>680031272</t>
  </si>
  <si>
    <t>OPW1ZGDF7</t>
  </si>
  <si>
    <t>scazares.ew@gmail.com</t>
  </si>
  <si>
    <t>115 West 5th Avenue</t>
  </si>
  <si>
    <t>SPC 7</t>
  </si>
  <si>
    <t>Lafranchi</t>
  </si>
  <si>
    <t>10/29/1993</t>
  </si>
  <si>
    <t>530792365</t>
  </si>
  <si>
    <t>OTPC0YD2F</t>
  </si>
  <si>
    <t>03/04/2025</t>
  </si>
  <si>
    <t>allenlaf.ew@gmail.com</t>
  </si>
  <si>
    <t>1150 Vassar Street</t>
  </si>
  <si>
    <t>Mark</t>
  </si>
  <si>
    <t>Nichols</t>
  </si>
  <si>
    <t>05/01/1995</t>
  </si>
  <si>
    <t>530873637</t>
  </si>
  <si>
    <t>OWLHKXC07</t>
  </si>
  <si>
    <t>mnichols.ew@gmail.com</t>
  </si>
  <si>
    <t>3708 Cypress st</t>
  </si>
  <si>
    <t>Afakasi</t>
  </si>
  <si>
    <t>05/18/1996</t>
  </si>
  <si>
    <t>610909339</t>
  </si>
  <si>
    <t>OWV0DA3SK</t>
  </si>
  <si>
    <t>elizabethafakasi.ew@gmail.com</t>
  </si>
  <si>
    <t>1025 Brinkby Avenue</t>
  </si>
  <si>
    <t>Iveth</t>
  </si>
  <si>
    <t>Fernandez-Garcia</t>
  </si>
  <si>
    <t>01/05/2004</t>
  </si>
  <si>
    <t>680560405</t>
  </si>
  <si>
    <t>OX4DR9GI8</t>
  </si>
  <si>
    <t>ivethfern.ew@gmail.com</t>
  </si>
  <si>
    <t>654 Oakwood Drive</t>
  </si>
  <si>
    <t>SEIBERT</t>
  </si>
  <si>
    <t>02/04/1965</t>
  </si>
  <si>
    <t>530849026</t>
  </si>
  <si>
    <t>OX4SQ792B</t>
  </si>
  <si>
    <t>10/11/2023</t>
  </si>
  <si>
    <t>scottydosntknow@att.net</t>
  </si>
  <si>
    <t>2955 Lakeside Dr</t>
  </si>
  <si>
    <t>207</t>
  </si>
  <si>
    <t>Tucker</t>
  </si>
  <si>
    <t>Deines</t>
  </si>
  <si>
    <t>680540371</t>
  </si>
  <si>
    <t>OZPJSS7TE</t>
  </si>
  <si>
    <t>tuckerdeines.ew@gmail.com</t>
  </si>
  <si>
    <t>1481 Southgate Drive</t>
  </si>
  <si>
    <t>Gardnerville</t>
  </si>
  <si>
    <t>89410</t>
  </si>
  <si>
    <t>Gisner</t>
  </si>
  <si>
    <t>Belony</t>
  </si>
  <si>
    <t>03/31/1990</t>
  </si>
  <si>
    <t>031992246</t>
  </si>
  <si>
    <t>P140X09R1</t>
  </si>
  <si>
    <t>gisnerbelony0@gmail.com</t>
  </si>
  <si>
    <t>Apt 160</t>
  </si>
  <si>
    <t>06/18/1992</t>
  </si>
  <si>
    <t>530757843</t>
  </si>
  <si>
    <t>P1H5XNJZE</t>
  </si>
  <si>
    <t>joseguerrero.ew@gmail.com</t>
  </si>
  <si>
    <t>4650 Sierra Madre Drive</t>
  </si>
  <si>
    <t>Apt 879</t>
  </si>
  <si>
    <t>Fidel</t>
  </si>
  <si>
    <t>Holguin</t>
  </si>
  <si>
    <t>06/19/1992</t>
  </si>
  <si>
    <t>608586002</t>
  </si>
  <si>
    <t>P254LCSK9</t>
  </si>
  <si>
    <t>11/20/2024</t>
  </si>
  <si>
    <t>02/07/2025</t>
  </si>
  <si>
    <t>fideholguin.ew@yahoo.com</t>
  </si>
  <si>
    <t>6600 Rolling Meadows Drive</t>
  </si>
  <si>
    <t>Unit 914</t>
  </si>
  <si>
    <t>Eldin</t>
  </si>
  <si>
    <t>Dugumovic</t>
  </si>
  <si>
    <t>11/20/1984</t>
  </si>
  <si>
    <t>633488012</t>
  </si>
  <si>
    <t>P4UIF9OQS</t>
  </si>
  <si>
    <t>dugumoviceldin5@gmail.com</t>
  </si>
  <si>
    <t>9440 Navajo Ridge Drive</t>
  </si>
  <si>
    <t>Cavender</t>
  </si>
  <si>
    <t>01/22/2004</t>
  </si>
  <si>
    <t>617438276</t>
  </si>
  <si>
    <t>P5F0M13UR</t>
  </si>
  <si>
    <t>brycecavender.ew@gmail.com</t>
  </si>
  <si>
    <t>617 Union Road</t>
  </si>
  <si>
    <t>Lara</t>
  </si>
  <si>
    <t>10/26/1995</t>
  </si>
  <si>
    <t>530913787</t>
  </si>
  <si>
    <t>P956N269E</t>
  </si>
  <si>
    <t>09/15/2025</t>
  </si>
  <si>
    <t>kimberlylara.ew@yahoo.com</t>
  </si>
  <si>
    <t>845 Borite Circle</t>
  </si>
  <si>
    <t>07/09/1990</t>
  </si>
  <si>
    <t>532212666</t>
  </si>
  <si>
    <t>PCIQR79EP</t>
  </si>
  <si>
    <t>michaelwalker.ew@gmail.com</t>
  </si>
  <si>
    <t>300 South Pratt Avenue</t>
  </si>
  <si>
    <t>Badru</t>
  </si>
  <si>
    <t>Hare-McNack</t>
  </si>
  <si>
    <t>04/04/2002</t>
  </si>
  <si>
    <t>680402678</t>
  </si>
  <si>
    <t>PIOP9F2WH</t>
  </si>
  <si>
    <t>badrumcnack.ew@gmail.com</t>
  </si>
  <si>
    <t>7718 Enclave Key Road</t>
  </si>
  <si>
    <t>JENNIFER</t>
  </si>
  <si>
    <t>MAY</t>
  </si>
  <si>
    <t>09/23/1981</t>
  </si>
  <si>
    <t>210646027</t>
  </si>
  <si>
    <t>11/26/2021</t>
  </si>
  <si>
    <t>58344.00</t>
  </si>
  <si>
    <t>jennifer.may0518@gmail.com</t>
  </si>
  <si>
    <t>13402 Mt Hood St</t>
  </si>
  <si>
    <t>Mary</t>
  </si>
  <si>
    <t>Shumaker</t>
  </si>
  <si>
    <t>603152431</t>
  </si>
  <si>
    <t>PKXI6JOXK</t>
  </si>
  <si>
    <t>maryshumaker.ew@gmail.com</t>
  </si>
  <si>
    <t>1132 Alta Vista Court</t>
  </si>
  <si>
    <t>Cortney</t>
  </si>
  <si>
    <t>Strawther</t>
  </si>
  <si>
    <t>09/24/1991</t>
  </si>
  <si>
    <t>619703764</t>
  </si>
  <si>
    <t>PLLU9F771</t>
  </si>
  <si>
    <t>cortneystrawther.ew@gmail.com</t>
  </si>
  <si>
    <t>1055 Oak Street</t>
  </si>
  <si>
    <t>Kyla</t>
  </si>
  <si>
    <t>Hauck</t>
  </si>
  <si>
    <t>08/27/1994</t>
  </si>
  <si>
    <t>603780481</t>
  </si>
  <si>
    <t>PMMF9K7VY</t>
  </si>
  <si>
    <t>01/25/2025</t>
  </si>
  <si>
    <t>kyhauck.ew@gmail.com</t>
  </si>
  <si>
    <t>2561 Range View Lane</t>
  </si>
  <si>
    <t>Consuelo</t>
  </si>
  <si>
    <t>Moran</t>
  </si>
  <si>
    <t>530894831</t>
  </si>
  <si>
    <t>PN8MSQ7ZK</t>
  </si>
  <si>
    <t>consuelomoran.ew@gmail.com</t>
  </si>
  <si>
    <t>1716 Noreen Drive</t>
  </si>
  <si>
    <t>Reanna</t>
  </si>
  <si>
    <t>10/16/2001</t>
  </si>
  <si>
    <t>680360744</t>
  </si>
  <si>
    <t>PNP57RLK0</t>
  </si>
  <si>
    <t>reannasilva.ew@gmail.com</t>
  </si>
  <si>
    <t>515 Wonder Street</t>
  </si>
  <si>
    <t>05/23/1989</t>
  </si>
  <si>
    <t>614648255</t>
  </si>
  <si>
    <t>PS7T8LA3R</t>
  </si>
  <si>
    <t>patrickhughes.ew@gmail.com</t>
  </si>
  <si>
    <t>408 Tacoma Ave</t>
  </si>
  <si>
    <t>89703</t>
  </si>
  <si>
    <t>Santos</t>
  </si>
  <si>
    <t>09/16/2003</t>
  </si>
  <si>
    <t>612416487</t>
  </si>
  <si>
    <t>PUOFUQ3U8</t>
  </si>
  <si>
    <t>anthonysantos.ew@gmail.com</t>
  </si>
  <si>
    <t>18631 Jutewood Court</t>
  </si>
  <si>
    <t>680605947</t>
  </si>
  <si>
    <t>PUR0WSC8F</t>
  </si>
  <si>
    <t>danielhernandez3.ew@gmail.com</t>
  </si>
  <si>
    <t>215 Palace Drive</t>
  </si>
  <si>
    <t>Kamil</t>
  </si>
  <si>
    <t>Sielczak</t>
  </si>
  <si>
    <t>05/06/2004</t>
  </si>
  <si>
    <t>063941956</t>
  </si>
  <si>
    <t>PUWCAF26H</t>
  </si>
  <si>
    <t>10/19/2025</t>
  </si>
  <si>
    <t>ksielczak.ew@gmail.com</t>
  </si>
  <si>
    <t>1850 Scott Valley Road</t>
  </si>
  <si>
    <t>Carrillo</t>
  </si>
  <si>
    <t>01/14/1998</t>
  </si>
  <si>
    <t>648146431</t>
  </si>
  <si>
    <t>PWJGXOTGE</t>
  </si>
  <si>
    <t>gavincarrillo.ew@gmail.com</t>
  </si>
  <si>
    <t>176 Tully Lane</t>
  </si>
  <si>
    <t>Glencoe</t>
  </si>
  <si>
    <t>88324</t>
  </si>
  <si>
    <t>Minton</t>
  </si>
  <si>
    <t>08/03/1989</t>
  </si>
  <si>
    <t>607304352</t>
  </si>
  <si>
    <t>PWK9XVFUH</t>
  </si>
  <si>
    <t>justinminton.ew@gmail.com</t>
  </si>
  <si>
    <t>Apt 3102</t>
  </si>
  <si>
    <t>Darrius</t>
  </si>
  <si>
    <t>Vaughan Gilbert</t>
  </si>
  <si>
    <t>11/15/1998</t>
  </si>
  <si>
    <t>626082655</t>
  </si>
  <si>
    <t>PWNQZIY1T</t>
  </si>
  <si>
    <t>darriusvaughangilbert.ew@gmail.com</t>
  </si>
  <si>
    <t>3545 Gull Street</t>
  </si>
  <si>
    <t>Stotts</t>
  </si>
  <si>
    <t>05/07/1998</t>
  </si>
  <si>
    <t>Kyrie</t>
  </si>
  <si>
    <t>Marchi</t>
  </si>
  <si>
    <t>02/27/2024</t>
  </si>
  <si>
    <t>Damon</t>
  </si>
  <si>
    <t>10/04/2021</t>
  </si>
  <si>
    <t>02/18/1999</t>
  </si>
  <si>
    <t>618118250</t>
  </si>
  <si>
    <t>PY3VYGNQB</t>
  </si>
  <si>
    <t>07/12/2024</t>
  </si>
  <si>
    <t>ryanmarchi.ew@gmail.com</t>
  </si>
  <si>
    <t>1355 Cordone Avenue</t>
  </si>
  <si>
    <t>Luedke</t>
  </si>
  <si>
    <t>04/29/1995</t>
  </si>
  <si>
    <t>475296303</t>
  </si>
  <si>
    <t>PZ5EZREOI</t>
  </si>
  <si>
    <t>dluedke.ew@gmail.com</t>
  </si>
  <si>
    <t>Apt 3807</t>
  </si>
  <si>
    <t>Bolanos</t>
  </si>
  <si>
    <t>09/12/1984</t>
  </si>
  <si>
    <t>624746148</t>
  </si>
  <si>
    <t>Q0X5M2VLH</t>
  </si>
  <si>
    <t>carlosbolanos.ew@gmail.com</t>
  </si>
  <si>
    <t>3566 Penn National Drive</t>
  </si>
  <si>
    <t>Kincaid</t>
  </si>
  <si>
    <t>06/26/2004</t>
  </si>
  <si>
    <t>680601963</t>
  </si>
  <si>
    <t>Q3KI47U3O</t>
  </si>
  <si>
    <t>cameronkincaid.ew@gmail.com</t>
  </si>
  <si>
    <t>45 North Gobi Circle</t>
  </si>
  <si>
    <t>Yahola</t>
  </si>
  <si>
    <t>12/14/2002</t>
  </si>
  <si>
    <t>680463446</t>
  </si>
  <si>
    <t>Q761VY5GD</t>
  </si>
  <si>
    <t>rodneyyahola.ew@gmail.com</t>
  </si>
  <si>
    <t>1022 Numaga Lane</t>
  </si>
  <si>
    <t>Miles</t>
  </si>
  <si>
    <t>10/17/2003</t>
  </si>
  <si>
    <t>620417000</t>
  </si>
  <si>
    <t>QB70OL011</t>
  </si>
  <si>
    <t>10/18/2025</t>
  </si>
  <si>
    <t>mileswilliams.ew@gmail.com</t>
  </si>
  <si>
    <t>Cox-Elander</t>
  </si>
  <si>
    <t>01/06/1999</t>
  </si>
  <si>
    <t>574275326</t>
  </si>
  <si>
    <t>QDQ5D6X27</t>
  </si>
  <si>
    <t>c.elander.ew@gmail.com</t>
  </si>
  <si>
    <t>2475 Robb Drive</t>
  </si>
  <si>
    <t>Apt 625</t>
  </si>
  <si>
    <t>Kendall</t>
  </si>
  <si>
    <t>Masuko</t>
  </si>
  <si>
    <t>06/21/1974</t>
  </si>
  <si>
    <t>576062292</t>
  </si>
  <si>
    <t>QEFNZCOFG</t>
  </si>
  <si>
    <t>kendallmasuko.ew@gmail.com</t>
  </si>
  <si>
    <t>Unit 623</t>
  </si>
  <si>
    <t>Fernandez</t>
  </si>
  <si>
    <t>02/19/2000</t>
  </si>
  <si>
    <t>623170331</t>
  </si>
  <si>
    <t>QF6BW6YTQ</t>
  </si>
  <si>
    <t>nfernandez.ew@gmail.com</t>
  </si>
  <si>
    <t>4775 Summit Ridge Drive</t>
  </si>
  <si>
    <t>Apt 1015</t>
  </si>
  <si>
    <t>Alexandria</t>
  </si>
  <si>
    <t>Rice</t>
  </si>
  <si>
    <t>03/19/1992</t>
  </si>
  <si>
    <t>601193110</t>
  </si>
  <si>
    <t>QFVPUW80L</t>
  </si>
  <si>
    <t>alexandriarice.ew@gmail.com</t>
  </si>
  <si>
    <t>8801 Sky Wind Road</t>
  </si>
  <si>
    <t>Aaron</t>
  </si>
  <si>
    <t>Cummings</t>
  </si>
  <si>
    <t>01/19/1996</t>
  </si>
  <si>
    <t>576738555</t>
  </si>
  <si>
    <t>QKMAXLKV4</t>
  </si>
  <si>
    <t>aaroncummings.ew@gmail.com</t>
  </si>
  <si>
    <t>1890 Prior Road</t>
  </si>
  <si>
    <t>Kyle</t>
  </si>
  <si>
    <t>Fillis</t>
  </si>
  <si>
    <t>03/30/1994</t>
  </si>
  <si>
    <t>530795875</t>
  </si>
  <si>
    <t>QM40M6SYK</t>
  </si>
  <si>
    <t>10/11/2024</t>
  </si>
  <si>
    <t>kylefillis.ew@gmail.com</t>
  </si>
  <si>
    <t>14001 Summit Sierra Blvd #2184</t>
  </si>
  <si>
    <t>Hickman</t>
  </si>
  <si>
    <t>08/01/2004</t>
  </si>
  <si>
    <t>680605162</t>
  </si>
  <si>
    <t>QNJKV5HCK</t>
  </si>
  <si>
    <t>jasonhickman.ew@gmail.com</t>
  </si>
  <si>
    <t>18185 us hwy 395 N</t>
  </si>
  <si>
    <t>Rios</t>
  </si>
  <si>
    <t>05/30/1989</t>
  </si>
  <si>
    <t>530458422</t>
  </si>
  <si>
    <t>QO66DYEQ2</t>
  </si>
  <si>
    <t>amyrios.ew@yahoo.com</t>
  </si>
  <si>
    <t>2518 E Street</t>
  </si>
  <si>
    <t>Kristopher</t>
  </si>
  <si>
    <t>Handschuh</t>
  </si>
  <si>
    <t>05/14/2001</t>
  </si>
  <si>
    <t>680323112</t>
  </si>
  <si>
    <t>QP6E9PWM5</t>
  </si>
  <si>
    <t>handschuhkristopher@gmail.com</t>
  </si>
  <si>
    <t>kristopherhand.ew@gmail.com</t>
  </si>
  <si>
    <t>356 Royal Troon Drive</t>
  </si>
  <si>
    <t>680384518</t>
  </si>
  <si>
    <t>QPDJ6OZAQ</t>
  </si>
  <si>
    <t>tylerjones.ew@gmail.com</t>
  </si>
  <si>
    <t>2045 La Fond Drive</t>
  </si>
  <si>
    <t>Tory</t>
  </si>
  <si>
    <t>Chissus</t>
  </si>
  <si>
    <t>05/19/1998</t>
  </si>
  <si>
    <t>531412036</t>
  </si>
  <si>
    <t>QPPZKRTI6</t>
  </si>
  <si>
    <t>12/24/2025</t>
  </si>
  <si>
    <t>torychissus.ew@gmail.com</t>
  </si>
  <si>
    <t>1727 Blue Oak Court</t>
  </si>
  <si>
    <t>Joe</t>
  </si>
  <si>
    <t>01/24/2001</t>
  </si>
  <si>
    <t>680300571</t>
  </si>
  <si>
    <t>QRRS9NZYA</t>
  </si>
  <si>
    <t>jhernandez.ew@gmail.com</t>
  </si>
  <si>
    <t>47 Bob White Way</t>
  </si>
  <si>
    <t>Ezequiel</t>
  </si>
  <si>
    <t>Avalos</t>
  </si>
  <si>
    <t>01/17/1986</t>
  </si>
  <si>
    <t>623186394</t>
  </si>
  <si>
    <t>QS7A95JI1</t>
  </si>
  <si>
    <t>01/30/2026</t>
  </si>
  <si>
    <t>ezequielavalos.ew@gmail.com</t>
  </si>
  <si>
    <t>7790 Key Largo Drive</t>
  </si>
  <si>
    <t>Kalli</t>
  </si>
  <si>
    <t>Gardiner</t>
  </si>
  <si>
    <t>04/20/2004</t>
  </si>
  <si>
    <t>680583872</t>
  </si>
  <si>
    <t>QUS4ILTK7</t>
  </si>
  <si>
    <t>kalligardiner.ew@gmail.com</t>
  </si>
  <si>
    <t>1605 Beech Street</t>
  </si>
  <si>
    <t>06/12/1995</t>
  </si>
  <si>
    <t>619828680</t>
  </si>
  <si>
    <t>QWB6SPIKH</t>
  </si>
  <si>
    <t>scottjohnson.ew@yahoo.com</t>
  </si>
  <si>
    <t>Apt 3511</t>
  </si>
  <si>
    <t>Lynch</t>
  </si>
  <si>
    <t>10/19/2000</t>
  </si>
  <si>
    <t>667105853</t>
  </si>
  <si>
    <t>R07Z2PZPZ</t>
  </si>
  <si>
    <t>cameronlynch.ew@gmail.com</t>
  </si>
  <si>
    <t>11240 White Sage Drive</t>
  </si>
  <si>
    <t>Deric</t>
  </si>
  <si>
    <t>Dubois</t>
  </si>
  <si>
    <t>06/14/1991</t>
  </si>
  <si>
    <t>277940593</t>
  </si>
  <si>
    <t>R1A6FYH7E</t>
  </si>
  <si>
    <t>dericdubois.ew@gmail.com</t>
  </si>
  <si>
    <t>311 East Taylor Street</t>
  </si>
  <si>
    <t>Fransham</t>
  </si>
  <si>
    <t>03/09/2003</t>
  </si>
  <si>
    <t>603394998</t>
  </si>
  <si>
    <t>R1ZMVAPGQ</t>
  </si>
  <si>
    <t>cfransham.ew@gmail.com</t>
  </si>
  <si>
    <t>115 North Sierra Street</t>
  </si>
  <si>
    <t>Unit 7</t>
  </si>
  <si>
    <t>Hamdi</t>
  </si>
  <si>
    <t>Abduljalil</t>
  </si>
  <si>
    <t>08/03/2004</t>
  </si>
  <si>
    <t>680607037</t>
  </si>
  <si>
    <t>R2EXOKB5G</t>
  </si>
  <si>
    <t>hamdiabduljalil.ew@gmail.com</t>
  </si>
  <si>
    <t>305 Orrcrest Drive</t>
  </si>
  <si>
    <t>Jamison</t>
  </si>
  <si>
    <t>06/12/2002</t>
  </si>
  <si>
    <t>680422580</t>
  </si>
  <si>
    <t>R3AGU5UKC</t>
  </si>
  <si>
    <t>09/09/2024</t>
  </si>
  <si>
    <t>jamisongray.ew@gmail.com</t>
  </si>
  <si>
    <t>147 Ralston Street</t>
  </si>
  <si>
    <t>Vasega</t>
  </si>
  <si>
    <t>Masina</t>
  </si>
  <si>
    <t>680448155</t>
  </si>
  <si>
    <t>R4UY5JXEB</t>
  </si>
  <si>
    <t>vasegamasina.ew@gmail.com</t>
  </si>
  <si>
    <t>17425 Whippoorwill Lane</t>
  </si>
  <si>
    <t>11/19/1998</t>
  </si>
  <si>
    <t>603116264</t>
  </si>
  <si>
    <t>R6ETBHCV9</t>
  </si>
  <si>
    <t>frankiefernandez.ew@gmail.com</t>
  </si>
  <si>
    <t>1095 Iron King Drive</t>
  </si>
  <si>
    <t>Hatfield-Moore</t>
  </si>
  <si>
    <t>05/31/1996</t>
  </si>
  <si>
    <t>614903622</t>
  </si>
  <si>
    <t>RCGU5E657</t>
  </si>
  <si>
    <t>shawnmoore.ew@gmail.com</t>
  </si>
  <si>
    <t>Apt 505</t>
  </si>
  <si>
    <t>Maegan</t>
  </si>
  <si>
    <t>Doremus</t>
  </si>
  <si>
    <t>12/04/2000</t>
  </si>
  <si>
    <t>680280881</t>
  </si>
  <si>
    <t>RDJOKDEWP</t>
  </si>
  <si>
    <t>maegandoremus.ew@gmail.com</t>
  </si>
  <si>
    <t>7323 Aquene Court</t>
  </si>
  <si>
    <t>DAVID</t>
  </si>
  <si>
    <t>AUERNHEIMER</t>
  </si>
  <si>
    <t>01/14/1994</t>
  </si>
  <si>
    <t>612763872</t>
  </si>
  <si>
    <t>RFCU2517M</t>
  </si>
  <si>
    <t>07/11/2022</t>
  </si>
  <si>
    <t>davidauernheimer2.ew@gmail.com</t>
  </si>
  <si>
    <t>216 Lemmon Dr</t>
  </si>
  <si>
    <t>Ticen</t>
  </si>
  <si>
    <t>07/15/1998</t>
  </si>
  <si>
    <t>680098092</t>
  </si>
  <si>
    <t>RL3VUVIC7</t>
  </si>
  <si>
    <t>ticendavis.ew@gmail.com</t>
  </si>
  <si>
    <t>6187 Ingleston Drive</t>
  </si>
  <si>
    <t>McMahon</t>
  </si>
  <si>
    <t>03/01/2004</t>
  </si>
  <si>
    <t>680564678</t>
  </si>
  <si>
    <t>RMQL2B499</t>
  </si>
  <si>
    <t>adammcmahon.ew@gmail.com</t>
  </si>
  <si>
    <t>3248 Saltern Way</t>
  </si>
  <si>
    <t>Garrett</t>
  </si>
  <si>
    <t>Pane</t>
  </si>
  <si>
    <t>07/15/2000</t>
  </si>
  <si>
    <t>680265773</t>
  </si>
  <si>
    <t>RO4Y7900F</t>
  </si>
  <si>
    <t>panelessgrp@att.net</t>
  </si>
  <si>
    <t>2790 Bonfire Lane</t>
  </si>
  <si>
    <t>Colt</t>
  </si>
  <si>
    <t>Sedgwick</t>
  </si>
  <si>
    <t>10/13/2001</t>
  </si>
  <si>
    <t>680362624</t>
  </si>
  <si>
    <t>RRW3SH0R5</t>
  </si>
  <si>
    <t>csedgwick.ew@gmail.com</t>
  </si>
  <si>
    <t>5200 Summit Ridge Drive</t>
  </si>
  <si>
    <t>Apt 4711</t>
  </si>
  <si>
    <t>Senaca</t>
  </si>
  <si>
    <t>Hampton</t>
  </si>
  <si>
    <t>612361495</t>
  </si>
  <si>
    <t>RSOEY6T7S</t>
  </si>
  <si>
    <t>05/01/2022</t>
  </si>
  <si>
    <t>94298.88</t>
  </si>
  <si>
    <t>DSP Owner</t>
  </si>
  <si>
    <t>lilcadet101@mac.com</t>
  </si>
  <si>
    <t>2020 Red Dr Unit 564</t>
  </si>
  <si>
    <t>Star</t>
  </si>
  <si>
    <t>Garino-Pulizzi</t>
  </si>
  <si>
    <t>11/06/1979</t>
  </si>
  <si>
    <t>530294017</t>
  </si>
  <si>
    <t>RU7GSM3ZD</t>
  </si>
  <si>
    <t>000022</t>
  </si>
  <si>
    <t>stargarinopulizzi.ew@gmail.com</t>
  </si>
  <si>
    <t>13870 Mount Babcock Street</t>
  </si>
  <si>
    <t>Rosario</t>
  </si>
  <si>
    <t>Restivo</t>
  </si>
  <si>
    <t>04/02/1994</t>
  </si>
  <si>
    <t>619726207</t>
  </si>
  <si>
    <t>RVNMKIXM0</t>
  </si>
  <si>
    <t>Dispatch</t>
  </si>
  <si>
    <t>rrestivo.ew@gmail.com</t>
  </si>
  <si>
    <t>5314 Tappan Court</t>
  </si>
  <si>
    <t>Francl</t>
  </si>
  <si>
    <t>05/16/1999</t>
  </si>
  <si>
    <t>680160430</t>
  </si>
  <si>
    <t>RW8VA0A25</t>
  </si>
  <si>
    <t>marklfrancl.ew@gmail.com</t>
  </si>
  <si>
    <t>5485 Ebbetts Pass Drive</t>
  </si>
  <si>
    <t>Banning</t>
  </si>
  <si>
    <t>530712195</t>
  </si>
  <si>
    <t>RWY4U89ET</t>
  </si>
  <si>
    <t>banninglisa.ew@yahoo.com</t>
  </si>
  <si>
    <t>5238 Sidehill Drive</t>
  </si>
  <si>
    <t>08/23/1992</t>
  </si>
  <si>
    <t>623588160</t>
  </si>
  <si>
    <t>RYA1VYFK1</t>
  </si>
  <si>
    <t>joshuataylor1.ew@gmail.com</t>
  </si>
  <si>
    <t>10640 North McCarran Boulevard</t>
  </si>
  <si>
    <t>Parent</t>
  </si>
  <si>
    <t>11/03/2004</t>
  </si>
  <si>
    <t>680643101</t>
  </si>
  <si>
    <t>RZLLCH6MF</t>
  </si>
  <si>
    <t>parentjustin6@gmail.com</t>
  </si>
  <si>
    <t>8820 Silverkist Drive</t>
  </si>
  <si>
    <t>Schroeder</t>
  </si>
  <si>
    <t>01/18/1990</t>
  </si>
  <si>
    <t>530699348</t>
  </si>
  <si>
    <t>S01Q8A54F</t>
  </si>
  <si>
    <t>08/31/2025</t>
  </si>
  <si>
    <t>nschroeder.ew@gmail.com</t>
  </si>
  <si>
    <t>3862 Cashill Boulevard</t>
  </si>
  <si>
    <t>01/12/1993</t>
  </si>
  <si>
    <t>530719622</t>
  </si>
  <si>
    <t>S0NMU1GXA</t>
  </si>
  <si>
    <t>brimartinez.ew@gmail.com</t>
  </si>
  <si>
    <t>5577 Sidehill Drive</t>
  </si>
  <si>
    <t>Amador</t>
  </si>
  <si>
    <t>07/22/1997</t>
  </si>
  <si>
    <t>617985785</t>
  </si>
  <si>
    <t>S1S8Z8Y7G</t>
  </si>
  <si>
    <t>devonnamador.ew@gmail.com</t>
  </si>
  <si>
    <t>13740 Cochise Drive</t>
  </si>
  <si>
    <t>Sophia</t>
  </si>
  <si>
    <t>Azevedo</t>
  </si>
  <si>
    <t>12/15/2003</t>
  </si>
  <si>
    <t>680548331</t>
  </si>
  <si>
    <t>S1ZIFP7FN</t>
  </si>
  <si>
    <t>sophiaazevedo.ew@gmail.com</t>
  </si>
  <si>
    <t>Renio-Bermudez</t>
  </si>
  <si>
    <t>10/24/1997</t>
  </si>
  <si>
    <t>614020641</t>
  </si>
  <si>
    <t>S2GGIV3G3</t>
  </si>
  <si>
    <t>lisaber.ew@gmail.com</t>
  </si>
  <si>
    <t>Unit 1824</t>
  </si>
  <si>
    <t>12/26/1990</t>
  </si>
  <si>
    <t>620523149</t>
  </si>
  <si>
    <t>S2W0TJ039</t>
  </si>
  <si>
    <t>justinstewart.ew@gmail.com</t>
  </si>
  <si>
    <t>3245 Reno Vista Drive</t>
  </si>
  <si>
    <t>Mariah</t>
  </si>
  <si>
    <t>Racine</t>
  </si>
  <si>
    <t>10/19/2002</t>
  </si>
  <si>
    <t>680446006</t>
  </si>
  <si>
    <t>SDIH7AGH1</t>
  </si>
  <si>
    <t>mariahracine.ew@gmail.com</t>
  </si>
  <si>
    <t>4821 Currant Ridge Avenue</t>
  </si>
  <si>
    <t>89141</t>
  </si>
  <si>
    <t>07/29/1993</t>
  </si>
  <si>
    <t>616666223</t>
  </si>
  <si>
    <t>SDZXO1P9F</t>
  </si>
  <si>
    <t>jmariscal.ew@gmail.com</t>
  </si>
  <si>
    <t>Unit 523</t>
  </si>
  <si>
    <t>JASON</t>
  </si>
  <si>
    <t>ADKINS</t>
  </si>
  <si>
    <t>625159533</t>
  </si>
  <si>
    <t>SES4IT8MZ</t>
  </si>
  <si>
    <t>02/21/2024</t>
  </si>
  <si>
    <t>jasonadkins.ew@gmail.com</t>
  </si>
  <si>
    <t>8880 Dixon Ln</t>
  </si>
  <si>
    <t>Nathen</t>
  </si>
  <si>
    <t>Easley</t>
  </si>
  <si>
    <t>10/29/1995</t>
  </si>
  <si>
    <t>606865412</t>
  </si>
  <si>
    <t>SHVAI1KB6</t>
  </si>
  <si>
    <t>natheneasley.ew@yahoo.com</t>
  </si>
  <si>
    <t>145 East Prater Way</t>
  </si>
  <si>
    <t>Apt H</t>
  </si>
  <si>
    <t>Devaun</t>
  </si>
  <si>
    <t>Crittle</t>
  </si>
  <si>
    <t>08/05/1998</t>
  </si>
  <si>
    <t>607085677</t>
  </si>
  <si>
    <t>SNR8CSIP5</t>
  </si>
  <si>
    <t>devauncrittle.ew@gmail.com</t>
  </si>
  <si>
    <t>Unit 3038</t>
  </si>
  <si>
    <t>Mason</t>
  </si>
  <si>
    <t>Watkins</t>
  </si>
  <si>
    <t>01/08/1999</t>
  </si>
  <si>
    <t>680140042</t>
  </si>
  <si>
    <t>SOHJ0AVGD</t>
  </si>
  <si>
    <t>masonwatkins.ew@gmail.com</t>
  </si>
  <si>
    <t>Apt 257</t>
  </si>
  <si>
    <t>Schriner</t>
  </si>
  <si>
    <t>02/14/1994</t>
  </si>
  <si>
    <t>530794914</t>
  </si>
  <si>
    <t>SP31I1AZZ</t>
  </si>
  <si>
    <t>jacobschriner.ew@gmail.com</t>
  </si>
  <si>
    <t>25 North Rainbow Drive</t>
  </si>
  <si>
    <t>Abass</t>
  </si>
  <si>
    <t>Samba</t>
  </si>
  <si>
    <t>06/05/1995</t>
  </si>
  <si>
    <t>123599759</t>
  </si>
  <si>
    <t>SPDOXOSQT</t>
  </si>
  <si>
    <t>01/06/2026</t>
  </si>
  <si>
    <t>abasssamba@yahoo.com</t>
  </si>
  <si>
    <t>1800 Purdue Drive</t>
  </si>
  <si>
    <t>Apt 134</t>
  </si>
  <si>
    <t>Batres</t>
  </si>
  <si>
    <t>04/23/1993</t>
  </si>
  <si>
    <t>530736845</t>
  </si>
  <si>
    <t>SPM7U9YHU</t>
  </si>
  <si>
    <t>ericbatres.ew@gmail.com</t>
  </si>
  <si>
    <t>18258 Sky Crest Court</t>
  </si>
  <si>
    <t>Clifton</t>
  </si>
  <si>
    <t>10/03/1995</t>
  </si>
  <si>
    <t>680054901</t>
  </si>
  <si>
    <t>SPZONJ1X6</t>
  </si>
  <si>
    <t>11/27/2024</t>
  </si>
  <si>
    <t>danielclifton.ew@gmail.com</t>
  </si>
  <si>
    <t>Unit A108</t>
  </si>
  <si>
    <t>Figir</t>
  </si>
  <si>
    <t>12/18/1989</t>
  </si>
  <si>
    <t>077069658</t>
  </si>
  <si>
    <t>SRBVTS6FO</t>
  </si>
  <si>
    <t>williamfigir.ew@gmail.com</t>
  </si>
  <si>
    <t>13950 Mount Babcock Street</t>
  </si>
  <si>
    <t>White</t>
  </si>
  <si>
    <t>06/25/1987</t>
  </si>
  <si>
    <t>525835507</t>
  </si>
  <si>
    <t>SSPFQ9ZAC</t>
  </si>
  <si>
    <t>frederickwhite.ew@gmail.com</t>
  </si>
  <si>
    <t>1658 Idlewild Drive</t>
  </si>
  <si>
    <t>11/25/1998</t>
  </si>
  <si>
    <t>604115009</t>
  </si>
  <si>
    <t>STK7K3Q67</t>
  </si>
  <si>
    <t>02/25/2025</t>
  </si>
  <si>
    <t>nathangarcia.ew@gmail.com</t>
  </si>
  <si>
    <t>1000 Harvard Way</t>
  </si>
  <si>
    <t>Apt 193</t>
  </si>
  <si>
    <t>Jamie</t>
  </si>
  <si>
    <t>07/27/1979</t>
  </si>
  <si>
    <t>530275052</t>
  </si>
  <si>
    <t>SVJWL85AP</t>
  </si>
  <si>
    <t>jamielee27.ew@gmail.com</t>
  </si>
  <si>
    <t>5627 Chocolate Drive</t>
  </si>
  <si>
    <t>Yefry</t>
  </si>
  <si>
    <t>680219569</t>
  </si>
  <si>
    <t>SWK4S9V15</t>
  </si>
  <si>
    <t>yefrymartinez.ew@gmail.com</t>
  </si>
  <si>
    <t>260 Smithridge Park</t>
  </si>
  <si>
    <t>Guillen</t>
  </si>
  <si>
    <t>08/26/2000</t>
  </si>
  <si>
    <t>680263079</t>
  </si>
  <si>
    <t>SXFXW7IKI</t>
  </si>
  <si>
    <t>aguillen.ew@gmail.com</t>
  </si>
  <si>
    <t>Apt 1004</t>
  </si>
  <si>
    <t>Ruby</t>
  </si>
  <si>
    <t>680423726</t>
  </si>
  <si>
    <t>SZS6U54ZJ</t>
  </si>
  <si>
    <t>rubyhern.ew@gmail.com</t>
  </si>
  <si>
    <t>5051 N Virginia st</t>
  </si>
  <si>
    <t>SPC 26</t>
  </si>
  <si>
    <t>reno</t>
  </si>
  <si>
    <t>Ayush</t>
  </si>
  <si>
    <t>11/17/2000</t>
  </si>
  <si>
    <t>077656201</t>
  </si>
  <si>
    <t>T0NQQ5RUE</t>
  </si>
  <si>
    <t>07/11/2025</t>
  </si>
  <si>
    <t>ayushkamboja.ew@gmail.com</t>
  </si>
  <si>
    <t>36H</t>
  </si>
  <si>
    <t>Mario</t>
  </si>
  <si>
    <t>Vidrio</t>
  </si>
  <si>
    <t>08/08/1987</t>
  </si>
  <si>
    <t>611013493</t>
  </si>
  <si>
    <t>T10A321GO</t>
  </si>
  <si>
    <t>mariovidrio.ew@gmail.com</t>
  </si>
  <si>
    <t>3005 Scottsdale Road</t>
  </si>
  <si>
    <t>Ifeanyi</t>
  </si>
  <si>
    <t>Obukwu</t>
  </si>
  <si>
    <t>895600134</t>
  </si>
  <si>
    <t>T2U1TXA7K</t>
  </si>
  <si>
    <t>ifeanyiobukwu.ew@gmail.com</t>
  </si>
  <si>
    <t>1100 Solitude Trail</t>
  </si>
  <si>
    <t>Unit 2039</t>
  </si>
  <si>
    <t>Bobby</t>
  </si>
  <si>
    <t>Devoll</t>
  </si>
  <si>
    <t>11/14/1991</t>
  </si>
  <si>
    <t>611520361</t>
  </si>
  <si>
    <t>T3ARKD24H</t>
  </si>
  <si>
    <t>09/06/2025</t>
  </si>
  <si>
    <t>bobbydevoll.ew@gmail.com</t>
  </si>
  <si>
    <t>545 Aurora View DR</t>
  </si>
  <si>
    <t>West</t>
  </si>
  <si>
    <t>12/18/1995</t>
  </si>
  <si>
    <t>530910992</t>
  </si>
  <si>
    <t>T4OA05NLZ</t>
  </si>
  <si>
    <t>austinwest.ew@gmail.com</t>
  </si>
  <si>
    <t>Apt H104</t>
  </si>
  <si>
    <t>Bassi</t>
  </si>
  <si>
    <t>03/17/1995</t>
  </si>
  <si>
    <t>530859812</t>
  </si>
  <si>
    <t>T56OT3KG4</t>
  </si>
  <si>
    <t>austinbassi.ew@gmail.com</t>
  </si>
  <si>
    <t>1223 Colusa Drive</t>
  </si>
  <si>
    <t>Arnold</t>
  </si>
  <si>
    <t>Benitez</t>
  </si>
  <si>
    <t>11/04/2001</t>
  </si>
  <si>
    <t>680364586</t>
  </si>
  <si>
    <t>T6BN9SPYH</t>
  </si>
  <si>
    <t>arnoldbenitez.ew@gmail.com</t>
  </si>
  <si>
    <t>1865 Greenbrae Drive</t>
  </si>
  <si>
    <t>07/08/2004</t>
  </si>
  <si>
    <t>680604326</t>
  </si>
  <si>
    <t>T6U7QYTEV</t>
  </si>
  <si>
    <t>antoniorubio.ew@gmail.com</t>
  </si>
  <si>
    <t>205 Quartz Lane</t>
  </si>
  <si>
    <t>Krogg</t>
  </si>
  <si>
    <t>12/10/1998</t>
  </si>
  <si>
    <t>680124433</t>
  </si>
  <si>
    <t>T7NWI5JBA</t>
  </si>
  <si>
    <t>shanekrogg.ew@gmail.com</t>
  </si>
  <si>
    <t>750 East Stillwater Avenue</t>
  </si>
  <si>
    <t>Johnathan</t>
  </si>
  <si>
    <t>Stevenson</t>
  </si>
  <si>
    <t>615230515</t>
  </si>
  <si>
    <t>T8CO89I42</t>
  </si>
  <si>
    <t>09/02/2024</t>
  </si>
  <si>
    <t>johnathanstevenson.ew@gmail.com</t>
  </si>
  <si>
    <t>650 Winston Drive</t>
  </si>
  <si>
    <t>Phrakonekham</t>
  </si>
  <si>
    <t>07/26/2003</t>
  </si>
  <si>
    <t>472436865</t>
  </si>
  <si>
    <t>T8O2RIEW9</t>
  </si>
  <si>
    <t>austinphrakonekham.ew@gmail.com</t>
  </si>
  <si>
    <t>Apt 3201</t>
  </si>
  <si>
    <t>Thurman</t>
  </si>
  <si>
    <t>12/17/2003</t>
  </si>
  <si>
    <t>680545356</t>
  </si>
  <si>
    <t>TBTGCRYES</t>
  </si>
  <si>
    <t>dthurman.ew@gmail.com</t>
  </si>
  <si>
    <t>Apt 3508</t>
  </si>
  <si>
    <t>Gaoat</t>
  </si>
  <si>
    <t>12/01/1978</t>
  </si>
  <si>
    <t>575390389</t>
  </si>
  <si>
    <t>TCZL8MPEF</t>
  </si>
  <si>
    <t>egaoat.ew@gmail.com</t>
  </si>
  <si>
    <t>3250 Plumas Street</t>
  </si>
  <si>
    <t>Apt 220</t>
  </si>
  <si>
    <t>Jay</t>
  </si>
  <si>
    <t>Coltrin</t>
  </si>
  <si>
    <t>08/28/2001</t>
  </si>
  <si>
    <t>680347241</t>
  </si>
  <si>
    <t>TGF76PARA</t>
  </si>
  <si>
    <t>jcoltrin.ew@gmail.com</t>
  </si>
  <si>
    <t>1180 York Way</t>
  </si>
  <si>
    <t>Torres</t>
  </si>
  <si>
    <t>08/30/1976</t>
  </si>
  <si>
    <t>530155467</t>
  </si>
  <si>
    <t>TGG08XHSH</t>
  </si>
  <si>
    <t>12/06/2025</t>
  </si>
  <si>
    <t>juantorres1.ew@gmail.com</t>
  </si>
  <si>
    <t>216 East Adams Street</t>
  </si>
  <si>
    <t>Roger</t>
  </si>
  <si>
    <t>05/27/1979</t>
  </si>
  <si>
    <t>530907598</t>
  </si>
  <si>
    <t>THKO7WQYF</t>
  </si>
  <si>
    <t>rogermartin.ew@gmail.com</t>
  </si>
  <si>
    <t>18190 Almondleaf Court</t>
  </si>
  <si>
    <t>Cocoletzi Gomez</t>
  </si>
  <si>
    <t>06/02/2003</t>
  </si>
  <si>
    <t>680504072</t>
  </si>
  <si>
    <t>TI8QQO8LB</t>
  </si>
  <si>
    <t>jessicacocoletzi.ew@gmail.com</t>
  </si>
  <si>
    <t>2153 Sutro Street</t>
  </si>
  <si>
    <t>51D</t>
  </si>
  <si>
    <t>Brennan</t>
  </si>
  <si>
    <t>07/01/1982</t>
  </si>
  <si>
    <t>626249934</t>
  </si>
  <si>
    <t>TKD9X50IH</t>
  </si>
  <si>
    <t>ibrennan.ew@gmail.com</t>
  </si>
  <si>
    <t>1893 San Jose Court</t>
  </si>
  <si>
    <t>Leo</t>
  </si>
  <si>
    <t>Rocco</t>
  </si>
  <si>
    <t>04/28/1998</t>
  </si>
  <si>
    <t>624130407</t>
  </si>
  <si>
    <t>TLAM6Q3PW</t>
  </si>
  <si>
    <t>leorocco.ew@gmail.com</t>
  </si>
  <si>
    <t>Orellana Magana</t>
  </si>
  <si>
    <t>05/25/2003</t>
  </si>
  <si>
    <t>680502805</t>
  </si>
  <si>
    <t>TM0GC1NJY</t>
  </si>
  <si>
    <t>alexorellanamagana.ew@gmail.com</t>
  </si>
  <si>
    <t>3720 Mythical Court</t>
  </si>
  <si>
    <t>Vincent</t>
  </si>
  <si>
    <t>Geroe</t>
  </si>
  <si>
    <t>12/18/1990</t>
  </si>
  <si>
    <t>530710889</t>
  </si>
  <si>
    <t>TM7QQZK0E</t>
  </si>
  <si>
    <t>vincentgeroe.ew@gmail.com</t>
  </si>
  <si>
    <t>945 Joshua Drive</t>
  </si>
  <si>
    <t>Baxter</t>
  </si>
  <si>
    <t>08/05/1985</t>
  </si>
  <si>
    <t>335847466</t>
  </si>
  <si>
    <t>TMY96UK4U</t>
  </si>
  <si>
    <t>williambaxter.ew@gmail.com</t>
  </si>
  <si>
    <t>2410 Grizzley Road</t>
  </si>
  <si>
    <t>Basso</t>
  </si>
  <si>
    <t>12/24/1998</t>
  </si>
  <si>
    <t>680125520</t>
  </si>
  <si>
    <t>TNIDMNPSU</t>
  </si>
  <si>
    <t>gbasso.ew@gmail.com</t>
  </si>
  <si>
    <t>17704 Georgetown Drive</t>
  </si>
  <si>
    <t>Henry</t>
  </si>
  <si>
    <t>Ying</t>
  </si>
  <si>
    <t>09/20/1971</t>
  </si>
  <si>
    <t>550352193</t>
  </si>
  <si>
    <t>TO2K8RC3G</t>
  </si>
  <si>
    <t>henryying.ew@gmail.com</t>
  </si>
  <si>
    <t>2485 Blue Heron Circle</t>
  </si>
  <si>
    <t>Alfredo</t>
  </si>
  <si>
    <t>Santoyo</t>
  </si>
  <si>
    <t>08/25/1994</t>
  </si>
  <si>
    <t>606767830</t>
  </si>
  <si>
    <t>TOWCUVIEY</t>
  </si>
  <si>
    <t>03/23/2024</t>
  </si>
  <si>
    <t>noemail@email.com</t>
  </si>
  <si>
    <t>7000 Mae Ann Ave</t>
  </si>
  <si>
    <t>Apt 2612</t>
  </si>
  <si>
    <t>Jacobjames</t>
  </si>
  <si>
    <t>Anderson</t>
  </si>
  <si>
    <t>12/21/1979</t>
  </si>
  <si>
    <t>576114277</t>
  </si>
  <si>
    <t>TQ3S2JNRZ</t>
  </si>
  <si>
    <t>jjanderson.ew@gmail.com</t>
  </si>
  <si>
    <t>1552 D St</t>
  </si>
  <si>
    <t>Cobb</t>
  </si>
  <si>
    <t>09/25/2003</t>
  </si>
  <si>
    <t>680529637</t>
  </si>
  <si>
    <t>TQHL0F2ER</t>
  </si>
  <si>
    <t>charlescobb.ew@gmail.com</t>
  </si>
  <si>
    <t>Apt 3722</t>
  </si>
  <si>
    <t>A</t>
  </si>
  <si>
    <t>PEFLEY</t>
  </si>
  <si>
    <t>01/10/2001</t>
  </si>
  <si>
    <t>619235043</t>
  </si>
  <si>
    <t>TTPWI1T26</t>
  </si>
  <si>
    <t>01/12/2024</t>
  </si>
  <si>
    <t>cpefley.ew@gmail.com</t>
  </si>
  <si>
    <t>3392 Lagomarsino Ct</t>
  </si>
  <si>
    <t>Dalton</t>
  </si>
  <si>
    <t>02/28/2002</t>
  </si>
  <si>
    <t>226932386</t>
  </si>
  <si>
    <t>TU08VOBQ3</t>
  </si>
  <si>
    <t>daltonlb.ew@gmail.com</t>
  </si>
  <si>
    <t>7504 Editor Drive</t>
  </si>
  <si>
    <t>Harris</t>
  </si>
  <si>
    <t>616177461</t>
  </si>
  <si>
    <t>U1S8O7YOR</t>
  </si>
  <si>
    <t>zacharyharris.ew@yahoo.com</t>
  </si>
  <si>
    <t>1616 Greenbrae Drive</t>
  </si>
  <si>
    <t>JOSEPH</t>
  </si>
  <si>
    <t>SHRINE</t>
  </si>
  <si>
    <t>07/09/2002</t>
  </si>
  <si>
    <t>772129287</t>
  </si>
  <si>
    <t>U3ZQQOTLU</t>
  </si>
  <si>
    <t>12/13/2023</t>
  </si>
  <si>
    <t>joeshrine.ew@gmail.com</t>
  </si>
  <si>
    <t>500 E Grove Street</t>
  </si>
  <si>
    <t>Costa-Taveira</t>
  </si>
  <si>
    <t>08/30/1995</t>
  </si>
  <si>
    <t>530894949</t>
  </si>
  <si>
    <t>U490FR7WF</t>
  </si>
  <si>
    <t>mikaylacosta.ew@gmail.com</t>
  </si>
  <si>
    <t>2756 Dome Court</t>
  </si>
  <si>
    <t>10/01/1985</t>
  </si>
  <si>
    <t>555897185</t>
  </si>
  <si>
    <t>U665XTPCI</t>
  </si>
  <si>
    <t>11/28/2025</t>
  </si>
  <si>
    <t>dc8343018@gmail.com</t>
  </si>
  <si>
    <t>3586 Carlos Lane</t>
  </si>
  <si>
    <t>Apt F</t>
  </si>
  <si>
    <t>Brown</t>
  </si>
  <si>
    <t>07/19/1982</t>
  </si>
  <si>
    <t>604220646</t>
  </si>
  <si>
    <t>U8X68ZINC</t>
  </si>
  <si>
    <t>andrewbrown.ew@gmail.com</t>
  </si>
  <si>
    <t>6422 Miwok Court</t>
  </si>
  <si>
    <t>Zakie</t>
  </si>
  <si>
    <t>Tobin</t>
  </si>
  <si>
    <t>680360805</t>
  </si>
  <si>
    <t>U9ARBXPXU</t>
  </si>
  <si>
    <t>10/09/2024</t>
  </si>
  <si>
    <t>zakie.tobin.ew@gmail.com</t>
  </si>
  <si>
    <t>apt 2611</t>
  </si>
  <si>
    <t>02/14/1998</t>
  </si>
  <si>
    <t>613047199</t>
  </si>
  <si>
    <t>U9GKJF3EJ</t>
  </si>
  <si>
    <t>megjohnson.ew@gmail.com</t>
  </si>
  <si>
    <t>742-270 Cowboy Joe Road</t>
  </si>
  <si>
    <t>Doyle</t>
  </si>
  <si>
    <t>96109</t>
  </si>
  <si>
    <t>Keenan</t>
  </si>
  <si>
    <t>Dyson</t>
  </si>
  <si>
    <t>03/27/1994</t>
  </si>
  <si>
    <t>530778931</t>
  </si>
  <si>
    <t>UAR1FBRIL</t>
  </si>
  <si>
    <t>kennandyson.ew@gmail.com</t>
  </si>
  <si>
    <t>3865 Sandstone Drive</t>
  </si>
  <si>
    <t>Topaz Ranch Estates</t>
  </si>
  <si>
    <t>89444</t>
  </si>
  <si>
    <t>Chilcott</t>
  </si>
  <si>
    <t>03/02/1978</t>
  </si>
  <si>
    <t>606106901</t>
  </si>
  <si>
    <t>UASLBET1Y</t>
  </si>
  <si>
    <t>williamchilcottew@gmail.com</t>
  </si>
  <si>
    <t>6200 Meadowood Mall Circle</t>
  </si>
  <si>
    <t>Apt 412</t>
  </si>
  <si>
    <t>03/11/1994</t>
  </si>
  <si>
    <t>530774623</t>
  </si>
  <si>
    <t>UCCHMTWNZ</t>
  </si>
  <si>
    <t>cliftonbradley.ew@gmail.com</t>
  </si>
  <si>
    <t>Apt D128</t>
  </si>
  <si>
    <t>Evan</t>
  </si>
  <si>
    <t>Gonzalez-Kerns</t>
  </si>
  <si>
    <t>11/02/1995</t>
  </si>
  <si>
    <t>530911161</t>
  </si>
  <si>
    <t>UCV1MIAZX</t>
  </si>
  <si>
    <t>07/17/2025</t>
  </si>
  <si>
    <t>evankerns.ew@gmail.com</t>
  </si>
  <si>
    <t>5350 Siltstone Way</t>
  </si>
  <si>
    <t>Angelo</t>
  </si>
  <si>
    <t>Rivera</t>
  </si>
  <si>
    <t>08/15/1983</t>
  </si>
  <si>
    <t>008579493</t>
  </si>
  <si>
    <t>UEDD3LZZ8</t>
  </si>
  <si>
    <t>angelorivera.ew@gmail.com</t>
  </si>
  <si>
    <t>1225 North McCarran Boulevard</t>
  </si>
  <si>
    <t>Apt 2D</t>
  </si>
  <si>
    <t>Lassalle</t>
  </si>
  <si>
    <t>06/18/2002</t>
  </si>
  <si>
    <t>615332420</t>
  </si>
  <si>
    <t>UFU5RXW0K</t>
  </si>
  <si>
    <t>11/19/2024</t>
  </si>
  <si>
    <t>ericlassalle.ew@gmail.com</t>
  </si>
  <si>
    <t>600 Geiger Grade Road</t>
  </si>
  <si>
    <t>Apt 1025</t>
  </si>
  <si>
    <t>Corbiere</t>
  </si>
  <si>
    <t>607415014</t>
  </si>
  <si>
    <t>UHEXD0JBU</t>
  </si>
  <si>
    <t>joshuacorbiere.ew@yahoo.com</t>
  </si>
  <si>
    <t>1470 Rainbow Ridge Road</t>
  </si>
  <si>
    <t>Lloyd</t>
  </si>
  <si>
    <t>07/19/1995</t>
  </si>
  <si>
    <t>536334155</t>
  </si>
  <si>
    <t>UI56FP5CL</t>
  </si>
  <si>
    <t>brandonlloyd.ew@gmail.com</t>
  </si>
  <si>
    <t>10/01/2004</t>
  </si>
  <si>
    <t>680626635</t>
  </si>
  <si>
    <t>UITKQEDQH</t>
  </si>
  <si>
    <t>williamfisher.ew@gmail.com</t>
  </si>
  <si>
    <t>673 James Lane</t>
  </si>
  <si>
    <t>Cassara</t>
  </si>
  <si>
    <t>611377970</t>
  </si>
  <si>
    <t>UIV916ZTZ</t>
  </si>
  <si>
    <t>cassarar1.ew@yahoo.com</t>
  </si>
  <si>
    <t>Apt 328</t>
  </si>
  <si>
    <t>Hays</t>
  </si>
  <si>
    <t>02/29/1992</t>
  </si>
  <si>
    <t>595215585</t>
  </si>
  <si>
    <t>UJ5XG7P5S</t>
  </si>
  <si>
    <t>michaelhays.ew@gmail.com</t>
  </si>
  <si>
    <t>2000 Silverada Boulevard</t>
  </si>
  <si>
    <t>Unit 514</t>
  </si>
  <si>
    <t>Odell</t>
  </si>
  <si>
    <t>07/11/1997</t>
  </si>
  <si>
    <t>616986907</t>
  </si>
  <si>
    <t>UJKV7ZJTU</t>
  </si>
  <si>
    <t>michaelodell.ew@yahoo.com</t>
  </si>
  <si>
    <t>1470 Jennys Lane</t>
  </si>
  <si>
    <t>Shaylee</t>
  </si>
  <si>
    <t>Dee</t>
  </si>
  <si>
    <t>07/29/2004</t>
  </si>
  <si>
    <t>680605180</t>
  </si>
  <si>
    <t>UK9LZIYEU</t>
  </si>
  <si>
    <t>shayleedee.ew@gmail.com</t>
  </si>
  <si>
    <t>3286 Reno Vista Drive</t>
  </si>
  <si>
    <t>Mapes</t>
  </si>
  <si>
    <t>12/29/1998</t>
  </si>
  <si>
    <t>613111178</t>
  </si>
  <si>
    <t>ULU3Y0S5I</t>
  </si>
  <si>
    <t>charlesmapes.ew@gmail.com</t>
  </si>
  <si>
    <t>2164 Rosemary Drive</t>
  </si>
  <si>
    <t>Aultman</t>
  </si>
  <si>
    <t>11/17/1998</t>
  </si>
  <si>
    <t>433998275</t>
  </si>
  <si>
    <t>UMRNCRUL3</t>
  </si>
  <si>
    <t>isaiahaultman.ew@gmail.com</t>
  </si>
  <si>
    <t>Apt N31</t>
  </si>
  <si>
    <t>Butler</t>
  </si>
  <si>
    <t>04/28/1999</t>
  </si>
  <si>
    <t>099883374</t>
  </si>
  <si>
    <t>UO44LCWJF</t>
  </si>
  <si>
    <t>noahbutler.ew@gmail.com</t>
  </si>
  <si>
    <t>920 University Green Court</t>
  </si>
  <si>
    <t>Dezarae</t>
  </si>
  <si>
    <t>08/16/1986</t>
  </si>
  <si>
    <t>551913724</t>
  </si>
  <si>
    <t>UOMSF42IG</t>
  </si>
  <si>
    <t>dezgarcia.ew@gmail.com</t>
  </si>
  <si>
    <t>3645 Peregrine Circle</t>
  </si>
  <si>
    <t>Elisha</t>
  </si>
  <si>
    <t>Washington</t>
  </si>
  <si>
    <t>11/23/1997</t>
  </si>
  <si>
    <t>619020374</t>
  </si>
  <si>
    <t>UPBA3Q6SL</t>
  </si>
  <si>
    <t>washingtonelisha26@gmail.com</t>
  </si>
  <si>
    <t>Zemke</t>
  </si>
  <si>
    <t>471370923</t>
  </si>
  <si>
    <t>UR7SVBWJL</t>
  </si>
  <si>
    <t>josephzemke.ew@gmail.com</t>
  </si>
  <si>
    <t>451 Alysheba Court</t>
  </si>
  <si>
    <t>02/05/1991</t>
  </si>
  <si>
    <t>602528607</t>
  </si>
  <si>
    <t>UWN9Y8QLY</t>
  </si>
  <si>
    <t>chasebailey.ew@gmail.com</t>
  </si>
  <si>
    <t>1555 Sky Valley Drive</t>
  </si>
  <si>
    <t>APT EE203</t>
  </si>
  <si>
    <t>07/14/2003</t>
  </si>
  <si>
    <t>680507581</t>
  </si>
  <si>
    <t>UWPLIY090</t>
  </si>
  <si>
    <t>vicromero.ew@gmail.com</t>
  </si>
  <si>
    <t>5656 Cathedral Peak Drive</t>
  </si>
  <si>
    <t>Payson</t>
  </si>
  <si>
    <t>03/27/2002</t>
  </si>
  <si>
    <t>680402335</t>
  </si>
  <si>
    <t>UXRF0VSDZ</t>
  </si>
  <si>
    <t>10/31/2024</t>
  </si>
  <si>
    <t>paysonthompson1.ew@gmail.com</t>
  </si>
  <si>
    <t>1430 Riley Avenue</t>
  </si>
  <si>
    <t>Jonah</t>
  </si>
  <si>
    <t>Mitchell</t>
  </si>
  <si>
    <t>03/05/2001</t>
  </si>
  <si>
    <t>662037988</t>
  </si>
  <si>
    <t>UZ8HVLP47</t>
  </si>
  <si>
    <t>jmitchell.ew@gmail.com</t>
  </si>
  <si>
    <t>Jackson</t>
  </si>
  <si>
    <t>09/12/1987</t>
  </si>
  <si>
    <t>237731939</t>
  </si>
  <si>
    <t>UZI99IQLK</t>
  </si>
  <si>
    <t>allisondjackson.ew@gmail.com</t>
  </si>
  <si>
    <t>12050 Rocky Mountain St</t>
  </si>
  <si>
    <t>THEODORE</t>
  </si>
  <si>
    <t>HERRERA</t>
  </si>
  <si>
    <t>02/01/1993</t>
  </si>
  <si>
    <t>530731543</t>
  </si>
  <si>
    <t>V1Q8YJVJG</t>
  </si>
  <si>
    <t>11/12/2023</t>
  </si>
  <si>
    <t>tedherrera.ew@gmail.com</t>
  </si>
  <si>
    <t>10559 Crystal Bay Dr</t>
  </si>
  <si>
    <t>07/09/1994</t>
  </si>
  <si>
    <t>622749542</t>
  </si>
  <si>
    <t>V26M5GG21</t>
  </si>
  <si>
    <t>chrismartinez.ew@gmail.com</t>
  </si>
  <si>
    <t>1005 Autumn Hills Drive</t>
  </si>
  <si>
    <t>Julius</t>
  </si>
  <si>
    <t>Malagar</t>
  </si>
  <si>
    <t>05/20/2003</t>
  </si>
  <si>
    <t>680082665</t>
  </si>
  <si>
    <t>V2WXUKEKE</t>
  </si>
  <si>
    <t>05/02/2025</t>
  </si>
  <si>
    <t>juliusmalagar.ew@gmail.com</t>
  </si>
  <si>
    <t>973 6th Street</t>
  </si>
  <si>
    <t>01/21/1985</t>
  </si>
  <si>
    <t>621232780</t>
  </si>
  <si>
    <t>V47UNXDLL</t>
  </si>
  <si>
    <t>davidvazquez.ew@gmail.com</t>
  </si>
  <si>
    <t>3395 Barbara Circle</t>
  </si>
  <si>
    <t>Norris</t>
  </si>
  <si>
    <t>Dagdagan</t>
  </si>
  <si>
    <t>06/06/1991</t>
  </si>
  <si>
    <t>680743648</t>
  </si>
  <si>
    <t>V8H3Y5IY7</t>
  </si>
  <si>
    <t>08/04/2024</t>
  </si>
  <si>
    <t>norrisdagdagan.ew@gmail.com</t>
  </si>
  <si>
    <t>9840 Tiberias Court</t>
  </si>
  <si>
    <t>10/30/2003</t>
  </si>
  <si>
    <t>673203812</t>
  </si>
  <si>
    <t>VAFBZCQ98</t>
  </si>
  <si>
    <t>caseylong.ew@gmail.com</t>
  </si>
  <si>
    <t>738 Kit Court</t>
  </si>
  <si>
    <t>Jacqulyn</t>
  </si>
  <si>
    <t>Riley</t>
  </si>
  <si>
    <t>01/03/1991</t>
  </si>
  <si>
    <t>605561082</t>
  </si>
  <si>
    <t>VAGJHX5S3</t>
  </si>
  <si>
    <t>000014</t>
  </si>
  <si>
    <t>jacqulynriley.ew@gmail.com</t>
  </si>
  <si>
    <t>451 4th Street</t>
  </si>
  <si>
    <t>Gerlach</t>
  </si>
  <si>
    <t>89412</t>
  </si>
  <si>
    <t>KEIFER</t>
  </si>
  <si>
    <t>DUNCAN</t>
  </si>
  <si>
    <t>11/03/1997</t>
  </si>
  <si>
    <t>616027243</t>
  </si>
  <si>
    <t>VASDQ5JTN</t>
  </si>
  <si>
    <t>kduncan.ew@gmail.com</t>
  </si>
  <si>
    <t>1100, 15 Street</t>
  </si>
  <si>
    <t>186C</t>
  </si>
  <si>
    <t>Aramus</t>
  </si>
  <si>
    <t>05/09/2003</t>
  </si>
  <si>
    <t>680560056</t>
  </si>
  <si>
    <t>VCGDC9AS3</t>
  </si>
  <si>
    <t>araanderson.ew@gmail.com</t>
  </si>
  <si>
    <t>36 Chablis Drive</t>
  </si>
  <si>
    <t>Ortega</t>
  </si>
  <si>
    <t>11/19/1997</t>
  </si>
  <si>
    <t>680054265</t>
  </si>
  <si>
    <t>VCHL1G4MN</t>
  </si>
  <si>
    <t>brandonsanchez19@outlook.com</t>
  </si>
  <si>
    <t>6505 Ernie Lane</t>
  </si>
  <si>
    <t>Ornelas</t>
  </si>
  <si>
    <t>12/05/2000</t>
  </si>
  <si>
    <t>328982400</t>
  </si>
  <si>
    <t>VCRCKGW2K</t>
  </si>
  <si>
    <t>christopher.ornelas.ew@gmail.com</t>
  </si>
  <si>
    <t>Apt D119</t>
  </si>
  <si>
    <t>Stinemetz</t>
  </si>
  <si>
    <t>12/31/1986</t>
  </si>
  <si>
    <t>301840099</t>
  </si>
  <si>
    <t>VFI7O65LL</t>
  </si>
  <si>
    <t>jerrystinemetz.ew@gmail.com</t>
  </si>
  <si>
    <t>4255 Wedekind Road</t>
  </si>
  <si>
    <t>Apt 227</t>
  </si>
  <si>
    <t>Winn</t>
  </si>
  <si>
    <t>10/25/1995</t>
  </si>
  <si>
    <t>602869748</t>
  </si>
  <si>
    <t>VIGJ7552E</t>
  </si>
  <si>
    <t>tylerwinn2025@gmail.com</t>
  </si>
  <si>
    <t>735 West Street</t>
  </si>
  <si>
    <t>Orlando</t>
  </si>
  <si>
    <t>03/03/2003</t>
  </si>
  <si>
    <t>680483779</t>
  </si>
  <si>
    <t>VJTTI9F7I</t>
  </si>
  <si>
    <t>08/03/2024</t>
  </si>
  <si>
    <t>dominicorlando.ew@gmail.com</t>
  </si>
  <si>
    <t>4385 El Gato Way</t>
  </si>
  <si>
    <t>Pennington</t>
  </si>
  <si>
    <t>11/04/1998</t>
  </si>
  <si>
    <t>680121151</t>
  </si>
  <si>
    <t>VN724FGDH</t>
  </si>
  <si>
    <t>seanpennington.ew@gmail.com</t>
  </si>
  <si>
    <t>6272 10 Mile Court</t>
  </si>
  <si>
    <t>Oscar</t>
  </si>
  <si>
    <t>Madera Falcon</t>
  </si>
  <si>
    <t>01/07/2003</t>
  </si>
  <si>
    <t>680466330</t>
  </si>
  <si>
    <t>VP38XX36Q</t>
  </si>
  <si>
    <t>oscarmadera.ew@gmail.com</t>
  </si>
  <si>
    <t>5180 Northern Lights Drive</t>
  </si>
  <si>
    <t>Myndi</t>
  </si>
  <si>
    <t>Werner</t>
  </si>
  <si>
    <t>05/17/1988</t>
  </si>
  <si>
    <t>530415195</t>
  </si>
  <si>
    <t>VQLEWY8AY</t>
  </si>
  <si>
    <t>myndiwerner.ew@gmail.com</t>
  </si>
  <si>
    <t>850 Liberty Ave</t>
  </si>
  <si>
    <t>Ryker</t>
  </si>
  <si>
    <t>Marcyes</t>
  </si>
  <si>
    <t>07/21/2004</t>
  </si>
  <si>
    <t>680604723</t>
  </si>
  <si>
    <t>VSW6ZUXYX</t>
  </si>
  <si>
    <t>rykermarcyes.ew@gmail.com</t>
  </si>
  <si>
    <t>Higley</t>
  </si>
  <si>
    <t>01/18/2004</t>
  </si>
  <si>
    <t>680561028</t>
  </si>
  <si>
    <t>VVX54ZB01</t>
  </si>
  <si>
    <t>04/10/2025</t>
  </si>
  <si>
    <t>thigley.ew@gmail.com</t>
  </si>
  <si>
    <t>2945 Shady Creek Court</t>
  </si>
  <si>
    <t>Posey</t>
  </si>
  <si>
    <t>12/08/1998</t>
  </si>
  <si>
    <t>680123820</t>
  </si>
  <si>
    <t>VXDTO9SJY</t>
  </si>
  <si>
    <t>trentposey70@gmail.com</t>
  </si>
  <si>
    <t>1795 US-40</t>
  </si>
  <si>
    <t>Young</t>
  </si>
  <si>
    <t>06/05/1981</t>
  </si>
  <si>
    <t>554674443</t>
  </si>
  <si>
    <t>W2RQSB37T</t>
  </si>
  <si>
    <t>joshyoung.ew@gmail.com</t>
  </si>
  <si>
    <t>Boyett</t>
  </si>
  <si>
    <t>10/14/2002</t>
  </si>
  <si>
    <t>629849567</t>
  </si>
  <si>
    <t>W36H1UBG8</t>
  </si>
  <si>
    <t>cboyett.ew@gmail.com</t>
  </si>
  <si>
    <t>3029 Leadership Parkway</t>
  </si>
  <si>
    <t>Addland</t>
  </si>
  <si>
    <t>Kingon</t>
  </si>
  <si>
    <t>08/29/2004</t>
  </si>
  <si>
    <t>680606338</t>
  </si>
  <si>
    <t>W4W4WWKB0</t>
  </si>
  <si>
    <t>addlandkingon.ew@gmail.com</t>
  </si>
  <si>
    <t>Apt 2333</t>
  </si>
  <si>
    <t>Makayla</t>
  </si>
  <si>
    <t>Meyers</t>
  </si>
  <si>
    <t>10/22/2002</t>
  </si>
  <si>
    <t>542635828</t>
  </si>
  <si>
    <t>W5721RTD9</t>
  </si>
  <si>
    <t>makaylameyers.ew@gmail.com</t>
  </si>
  <si>
    <t>Apt 21 D</t>
  </si>
  <si>
    <t>Rigo</t>
  </si>
  <si>
    <t>Barajas</t>
  </si>
  <si>
    <t>08/13/1997</t>
  </si>
  <si>
    <t>680056613</t>
  </si>
  <si>
    <t>WAACML7TW</t>
  </si>
  <si>
    <t>rigobarajas.ew@gmail.com</t>
  </si>
  <si>
    <t>3510 4th Street</t>
  </si>
  <si>
    <t>Nadia</t>
  </si>
  <si>
    <t>Blakemore</t>
  </si>
  <si>
    <t>09/11/2003</t>
  </si>
  <si>
    <t>611419700</t>
  </si>
  <si>
    <t>WABAUNXDN</t>
  </si>
  <si>
    <t>nblakemore.ew@gmail.com</t>
  </si>
  <si>
    <t>768 Wagon Drive</t>
  </si>
  <si>
    <t>89460</t>
  </si>
  <si>
    <t>Erica</t>
  </si>
  <si>
    <t>09/17/2003</t>
  </si>
  <si>
    <t>680527415</t>
  </si>
  <si>
    <t>WDI52CXTL</t>
  </si>
  <si>
    <t>ericanichols.ew@gmail.com</t>
  </si>
  <si>
    <t>Apt 2514</t>
  </si>
  <si>
    <t>Milley</t>
  </si>
  <si>
    <t>06/28/2001</t>
  </si>
  <si>
    <t>680329636</t>
  </si>
  <si>
    <t>WDMD5GIN4</t>
  </si>
  <si>
    <t>ryanmilley.ew@gmail.com</t>
  </si>
  <si>
    <t>9555 Stoney Creek Way</t>
  </si>
  <si>
    <t>Abhilash</t>
  </si>
  <si>
    <t>Putta</t>
  </si>
  <si>
    <t>12/18/1982</t>
  </si>
  <si>
    <t>428955208</t>
  </si>
  <si>
    <t>WG9FKE54L</t>
  </si>
  <si>
    <t>07/06/2025</t>
  </si>
  <si>
    <t>abhiputta.ew@gmail.com</t>
  </si>
  <si>
    <t>501 Martingale Court</t>
  </si>
  <si>
    <t>Dexter</t>
  </si>
  <si>
    <t>06/09/1994</t>
  </si>
  <si>
    <t>615869542</t>
  </si>
  <si>
    <t>WGBTOKERB</t>
  </si>
  <si>
    <t>skydexter.ew@gmail.com</t>
  </si>
  <si>
    <t>682 Pine Meadows Drive</t>
  </si>
  <si>
    <t>Apt 1</t>
  </si>
  <si>
    <t>Chan</t>
  </si>
  <si>
    <t>03/24/1967</t>
  </si>
  <si>
    <t>455552971</t>
  </si>
  <si>
    <t>WHQJ5KO97</t>
  </si>
  <si>
    <t>01/30/2025</t>
  </si>
  <si>
    <t>richardchan.ew@gmail.com</t>
  </si>
  <si>
    <t>unit h301</t>
  </si>
  <si>
    <t>Samata</t>
  </si>
  <si>
    <t>Schmidt</t>
  </si>
  <si>
    <t>04/16/2003</t>
  </si>
  <si>
    <t>151374271</t>
  </si>
  <si>
    <t>WJY5B0INT</t>
  </si>
  <si>
    <t>samataschmidt.ew@gmail.com</t>
  </si>
  <si>
    <t>6245 172nd Lane Northwest</t>
  </si>
  <si>
    <t>Ramsey</t>
  </si>
  <si>
    <t>55303</t>
  </si>
  <si>
    <t>Carpio Valladares</t>
  </si>
  <si>
    <t>09/28/2004</t>
  </si>
  <si>
    <t>340451955</t>
  </si>
  <si>
    <t>WK64B4BDO</t>
  </si>
  <si>
    <t>williamcarpio.ew@gmail.com</t>
  </si>
  <si>
    <t>1937 Cielo Falls Drive</t>
  </si>
  <si>
    <t>Alan</t>
  </si>
  <si>
    <t>Escobedo</t>
  </si>
  <si>
    <t>680544070</t>
  </si>
  <si>
    <t>WMVK3F44A</t>
  </si>
  <si>
    <t>alanescobedo.ew@gmail.com</t>
  </si>
  <si>
    <t>3201 Hiko Court</t>
  </si>
  <si>
    <t>Gregory</t>
  </si>
  <si>
    <t>07/22/1993</t>
  </si>
  <si>
    <t>607729425</t>
  </si>
  <si>
    <t>WN2WD41QD</t>
  </si>
  <si>
    <t>gregorystewart.ew@gmail.com</t>
  </si>
  <si>
    <t>Apt 25B</t>
  </si>
  <si>
    <t>Delarue</t>
  </si>
  <si>
    <t>12/18/1999</t>
  </si>
  <si>
    <t>680203981</t>
  </si>
  <si>
    <t>WNKM5UN3B</t>
  </si>
  <si>
    <t>adelarue.ew@gmail.com</t>
  </si>
  <si>
    <t>Unit 3025</t>
  </si>
  <si>
    <t>Darius</t>
  </si>
  <si>
    <t>04/24/1985</t>
  </si>
  <si>
    <t>245458119</t>
  </si>
  <si>
    <t>WOCRP3RXK</t>
  </si>
  <si>
    <t>dariussmith110.ew@outlook.com</t>
  </si>
  <si>
    <t>339 West 1st Street</t>
  </si>
  <si>
    <t>Unit 207</t>
  </si>
  <si>
    <t>12/11/1994</t>
  </si>
  <si>
    <t>614785954</t>
  </si>
  <si>
    <t>WOFRJWWM0</t>
  </si>
  <si>
    <t>miguelsilva.ew@gmail.com</t>
  </si>
  <si>
    <t>1855 El Rancho Drive</t>
  </si>
  <si>
    <t>#403</t>
  </si>
  <si>
    <t>JACOB</t>
  </si>
  <si>
    <t>WALTMAN</t>
  </si>
  <si>
    <t>08/13/2000</t>
  </si>
  <si>
    <t>680247555</t>
  </si>
  <si>
    <t>WOJKXH5VW</t>
  </si>
  <si>
    <t>11/05/2023</t>
  </si>
  <si>
    <t>jakewaltman2000@gmail.com</t>
  </si>
  <si>
    <t>9681 Canyon Meadows Dr</t>
  </si>
  <si>
    <t>614392169</t>
  </si>
  <si>
    <t>WOR0ES3HS</t>
  </si>
  <si>
    <t>vincenthernandez.ew@gmail.com</t>
  </si>
  <si>
    <t>8141 Highland Flume Circle</t>
  </si>
  <si>
    <t>Barr</t>
  </si>
  <si>
    <t>01/08/2003</t>
  </si>
  <si>
    <t>610370928</t>
  </si>
  <si>
    <t>WPLP6T1X2</t>
  </si>
  <si>
    <t>dillonbarr.ew@gmail.com</t>
  </si>
  <si>
    <t>2780 Enterprise Rd Apt 2307</t>
  </si>
  <si>
    <t>Abraham</t>
  </si>
  <si>
    <t>680090895</t>
  </si>
  <si>
    <t>WUSVGC986</t>
  </si>
  <si>
    <t>abrahamsalazar.ew@gmail.com</t>
  </si>
  <si>
    <t>1170 Manhattan Street</t>
  </si>
  <si>
    <t>Polacek</t>
  </si>
  <si>
    <t>06/26/1997</t>
  </si>
  <si>
    <t>680017935</t>
  </si>
  <si>
    <t>WV442ZI3L</t>
  </si>
  <si>
    <t>cpolacek.ew@gmail.com</t>
  </si>
  <si>
    <t>675 Marina Gateway Drive</t>
  </si>
  <si>
    <t>Logan</t>
  </si>
  <si>
    <t>Swistowicz</t>
  </si>
  <si>
    <t>625989367</t>
  </si>
  <si>
    <t>WXISO3PR8</t>
  </si>
  <si>
    <t>logan.swistowicz1.ew@gmail.com</t>
  </si>
  <si>
    <t>12C</t>
  </si>
  <si>
    <t>Perez-Martinez</t>
  </si>
  <si>
    <t>02/06/1997</t>
  </si>
  <si>
    <t>530996996</t>
  </si>
  <si>
    <t>WZKNN9KNU</t>
  </si>
  <si>
    <t>japerez7.ew@gmail.com</t>
  </si>
  <si>
    <t>4115 Parque Verde Lane</t>
  </si>
  <si>
    <t>Marissa</t>
  </si>
  <si>
    <t>02/26/2003</t>
  </si>
  <si>
    <t>680483862</t>
  </si>
  <si>
    <t>WZY6IOJEV</t>
  </si>
  <si>
    <t>marissagonzales.ew@gmail.com</t>
  </si>
  <si>
    <t>Apt 2022</t>
  </si>
  <si>
    <t>Goodwin</t>
  </si>
  <si>
    <t>04/21/1977</t>
  </si>
  <si>
    <t>567637900</t>
  </si>
  <si>
    <t>X1YPTIBU6</t>
  </si>
  <si>
    <t>briangoodwin.ew@yahoo.com</t>
  </si>
  <si>
    <t>323 Saint Lawrence Avenue</t>
  </si>
  <si>
    <t>Devin</t>
  </si>
  <si>
    <t>Dinius</t>
  </si>
  <si>
    <t>11/20/2000</t>
  </si>
  <si>
    <t>680280854</t>
  </si>
  <si>
    <t>X33E4YQ2G</t>
  </si>
  <si>
    <t>04/04/2025</t>
  </si>
  <si>
    <t>devindinius.ew@gmail.com</t>
  </si>
  <si>
    <t>Apt 7C</t>
  </si>
  <si>
    <t>Haylee</t>
  </si>
  <si>
    <t>Sellman</t>
  </si>
  <si>
    <t>02/16/2002</t>
  </si>
  <si>
    <t>772093728</t>
  </si>
  <si>
    <t>X3H25629K</t>
  </si>
  <si>
    <t>hayleesellman.ew@gmail.com</t>
  </si>
  <si>
    <t>3359 West Plumb Lane</t>
  </si>
  <si>
    <t>Gilbert</t>
  </si>
  <si>
    <t>03/14/1992</t>
  </si>
  <si>
    <t>530670004</t>
  </si>
  <si>
    <t>X4JDSTIIV</t>
  </si>
  <si>
    <t>degilbert.ew@gmail.com</t>
  </si>
  <si>
    <t>2415 Mandan Way</t>
  </si>
  <si>
    <t>Annie</t>
  </si>
  <si>
    <t>Narog</t>
  </si>
  <si>
    <t>04/19/1979</t>
  </si>
  <si>
    <t>555650351</t>
  </si>
  <si>
    <t>X4MQM759D</t>
  </si>
  <si>
    <t>annienarog.ew@gmail.com</t>
  </si>
  <si>
    <t>1591 Saturno Heights Drive</t>
  </si>
  <si>
    <t>Frias Jr</t>
  </si>
  <si>
    <t>602909089</t>
  </si>
  <si>
    <t>X5UF4RHU3</t>
  </si>
  <si>
    <t>josephfrias.ew@gmail.com</t>
  </si>
  <si>
    <t>8901 Finnsech Drive</t>
  </si>
  <si>
    <t>Kynen</t>
  </si>
  <si>
    <t>Cauthron</t>
  </si>
  <si>
    <t>05/29/1996</t>
  </si>
  <si>
    <t>620906629</t>
  </si>
  <si>
    <t>XB22ISFC2</t>
  </si>
  <si>
    <t>kynencauthron.ew@gmail.com</t>
  </si>
  <si>
    <t>11880 Paradise Hills Court</t>
  </si>
  <si>
    <t>Ariel</t>
  </si>
  <si>
    <t>Puente</t>
  </si>
  <si>
    <t>04/19/1999</t>
  </si>
  <si>
    <t>717856391</t>
  </si>
  <si>
    <t>XEH1J0XOJ</t>
  </si>
  <si>
    <t>06/08/2025</t>
  </si>
  <si>
    <t>apunete.ew@gmail.com</t>
  </si>
  <si>
    <t>1745 Radcliffe Drive</t>
  </si>
  <si>
    <t>Teslah</t>
  </si>
  <si>
    <t>Graves</t>
  </si>
  <si>
    <t>03/01/1992</t>
  </si>
  <si>
    <t>530659509</t>
  </si>
  <si>
    <t>XF8FEHR0K</t>
  </si>
  <si>
    <t>teslahgraves@gmail.com</t>
  </si>
  <si>
    <t>1644 Fieldcrest Drive</t>
  </si>
  <si>
    <t>Perez-Ramirez</t>
  </si>
  <si>
    <t>07/24/1993</t>
  </si>
  <si>
    <t>530759936</t>
  </si>
  <si>
    <t>XG90LGKR5</t>
  </si>
  <si>
    <t>juanramirez.ew@gmail.com</t>
  </si>
  <si>
    <t>G252</t>
  </si>
  <si>
    <t>Mueller</t>
  </si>
  <si>
    <t>03/28/1982</t>
  </si>
  <si>
    <t>562711426</t>
  </si>
  <si>
    <t>XH6RCPIRH</t>
  </si>
  <si>
    <t>normanmueller.ew@gmail.com</t>
  </si>
  <si>
    <t>790 Brinkby Ave</t>
  </si>
  <si>
    <t>Uriel</t>
  </si>
  <si>
    <t>05/05/1992</t>
  </si>
  <si>
    <t>621919899</t>
  </si>
  <si>
    <t>XINX33PDG</t>
  </si>
  <si>
    <t>urielroman.ew@gmail.com</t>
  </si>
  <si>
    <t>Apt 17G</t>
  </si>
  <si>
    <t>Saumell</t>
  </si>
  <si>
    <t>02/12/2002</t>
  </si>
  <si>
    <t>766104016</t>
  </si>
  <si>
    <t>XJ0NPLKKO</t>
  </si>
  <si>
    <t>11/06/2024</t>
  </si>
  <si>
    <t>alexsaumell.ew@gmail.com</t>
  </si>
  <si>
    <t>446 Michele Way</t>
  </si>
  <si>
    <t>Rosie</t>
  </si>
  <si>
    <t>Morones</t>
  </si>
  <si>
    <t>04/28/1981</t>
  </si>
  <si>
    <t>569651776</t>
  </si>
  <si>
    <t>XK8Q6Q5Z3</t>
  </si>
  <si>
    <t>jng2rm@hotmail.com</t>
  </si>
  <si>
    <t>1910 Quail Run Road</t>
  </si>
  <si>
    <t>Spence</t>
  </si>
  <si>
    <t>616375493</t>
  </si>
  <si>
    <t>XKXSQ1ZRI</t>
  </si>
  <si>
    <t>jamesspence.ew@gmail.com</t>
  </si>
  <si>
    <t>9265 Running Dog Circle</t>
  </si>
  <si>
    <t>Parton</t>
  </si>
  <si>
    <t>07/20/2004</t>
  </si>
  <si>
    <t>576999116</t>
  </si>
  <si>
    <t>XLAZ1V98W</t>
  </si>
  <si>
    <t>tristanparton.ew@gmail.com</t>
  </si>
  <si>
    <t>365 Carlene Drive</t>
  </si>
  <si>
    <t>Indolfo</t>
  </si>
  <si>
    <t>Herrera</t>
  </si>
  <si>
    <t>12/09/2003</t>
  </si>
  <si>
    <t>680547304</t>
  </si>
  <si>
    <t>XNZ7XS68P</t>
  </si>
  <si>
    <t>juniorherrera120903@gmail.com</t>
  </si>
  <si>
    <t>1565 17th Street</t>
  </si>
  <si>
    <t>Muniz</t>
  </si>
  <si>
    <t>08/03/1981</t>
  </si>
  <si>
    <t>530274508</t>
  </si>
  <si>
    <t>XRAD8Q8Q1</t>
  </si>
  <si>
    <t>matthewmuniz.ew@gmail.com</t>
  </si>
  <si>
    <t>67 Prada Verde ln</t>
  </si>
  <si>
    <t>06/17/2002</t>
  </si>
  <si>
    <t>613331041</t>
  </si>
  <si>
    <t>XS4PWF3BX</t>
  </si>
  <si>
    <t>alejandroortiz.ew@gmail.com</t>
  </si>
  <si>
    <t>Apt U2100</t>
  </si>
  <si>
    <t>Dunn</t>
  </si>
  <si>
    <t>04/01/1978</t>
  </si>
  <si>
    <t>530292369</t>
  </si>
  <si>
    <t>XSIUX8XTV</t>
  </si>
  <si>
    <t>jeffreydunn.ew@gmail.com</t>
  </si>
  <si>
    <t>2269 Evans Creek Terrace</t>
  </si>
  <si>
    <t>02/02/1991</t>
  </si>
  <si>
    <t>606447299</t>
  </si>
  <si>
    <t>XSYIPX0NM</t>
  </si>
  <si>
    <t>angeljohnson.ew@yahoo.com</t>
  </si>
  <si>
    <t>5100 West 1st Avenue</t>
  </si>
  <si>
    <t>Apt 201</t>
  </si>
  <si>
    <t>Salim-Carrillo</t>
  </si>
  <si>
    <t>03/27/2004</t>
  </si>
  <si>
    <t>680568259</t>
  </si>
  <si>
    <t>XYKI4F23V</t>
  </si>
  <si>
    <t>c14shr0y4l75391@gmail.com</t>
  </si>
  <si>
    <t>5840 Nebula Court</t>
  </si>
  <si>
    <t>Cavallucci</t>
  </si>
  <si>
    <t>06/27/2002</t>
  </si>
  <si>
    <t>680424532</t>
  </si>
  <si>
    <t>Y1SHQKRAO</t>
  </si>
  <si>
    <t>08/01/2025</t>
  </si>
  <si>
    <t>jcavallucci.ew@gmail.com</t>
  </si>
  <si>
    <t>990 Yellowhammer Court</t>
  </si>
  <si>
    <t>Yoniel</t>
  </si>
  <si>
    <t>Vega</t>
  </si>
  <si>
    <t>10/05/1998</t>
  </si>
  <si>
    <t>616082570</t>
  </si>
  <si>
    <t>Y1XDVP8NI</t>
  </si>
  <si>
    <t>yonielvega.ew@gmail.com</t>
  </si>
  <si>
    <t>1536 Prospect Avenue</t>
  </si>
  <si>
    <t>WILLIAM</t>
  </si>
  <si>
    <t>D</t>
  </si>
  <si>
    <t>GERSHEL</t>
  </si>
  <si>
    <t>01/21/1998</t>
  </si>
  <si>
    <t>085880952</t>
  </si>
  <si>
    <t>Y2OETDJPM</t>
  </si>
  <si>
    <t>03/05/2025</t>
  </si>
  <si>
    <t>wgershel.ew@gmail.com</t>
  </si>
  <si>
    <t>3229 Elliot Drive</t>
  </si>
  <si>
    <t>Pacheco-Murillo</t>
  </si>
  <si>
    <t>09/18/1997</t>
  </si>
  <si>
    <t>680038827</t>
  </si>
  <si>
    <t>Y5ZWNPYZA</t>
  </si>
  <si>
    <t>manuelpacheco2697@yahoo.com</t>
  </si>
  <si>
    <t>Unit G 205</t>
  </si>
  <si>
    <t>Evelyn</t>
  </si>
  <si>
    <t>Watson</t>
  </si>
  <si>
    <t>02/15/2001</t>
  </si>
  <si>
    <t>602251953</t>
  </si>
  <si>
    <t>Y68BRA9O2</t>
  </si>
  <si>
    <t>evelynwatson2.ew@gmail.com</t>
  </si>
  <si>
    <t>Jonathan</t>
  </si>
  <si>
    <t>07/20/1998</t>
  </si>
  <si>
    <t>470352417</t>
  </si>
  <si>
    <t>Y92WG9DNF</t>
  </si>
  <si>
    <t>jobaker.ew@gmail.com</t>
  </si>
  <si>
    <t>1067 University Terrace</t>
  </si>
  <si>
    <t>Abran</t>
  </si>
  <si>
    <t>09/15/1996</t>
  </si>
  <si>
    <t>430919451</t>
  </si>
  <si>
    <t>Y9O6SRCFX</t>
  </si>
  <si>
    <t>abranmartinez.ew@gmail.com</t>
  </si>
  <si>
    <t>1231 East 7th Street</t>
  </si>
  <si>
    <t>Cummins</t>
  </si>
  <si>
    <t>03/03/1995</t>
  </si>
  <si>
    <t>315157270</t>
  </si>
  <si>
    <t>YA909PQVG</t>
  </si>
  <si>
    <t>richardcummins.ew@gmail.com</t>
  </si>
  <si>
    <t>9728 Belville Drive</t>
  </si>
  <si>
    <t>03/28/2002</t>
  </si>
  <si>
    <t>059924293</t>
  </si>
  <si>
    <t>YE9NET09A</t>
  </si>
  <si>
    <t>09/19/2024</t>
  </si>
  <si>
    <t>01/18/2025</t>
  </si>
  <si>
    <t>josephtmartinez.ew@gmail.com</t>
  </si>
  <si>
    <t>17730 Smoketree Court</t>
  </si>
  <si>
    <t>Dimas</t>
  </si>
  <si>
    <t>Murguia</t>
  </si>
  <si>
    <t>606043806</t>
  </si>
  <si>
    <t>YG6A64QC1</t>
  </si>
  <si>
    <t>dmurguia.ew@gmail.com</t>
  </si>
  <si>
    <t>17536 Bear Lake Drive</t>
  </si>
  <si>
    <t>Phillip</t>
  </si>
  <si>
    <t>624277408</t>
  </si>
  <si>
    <t>YK2R5PHVG</t>
  </si>
  <si>
    <t>12/09/2024</t>
  </si>
  <si>
    <t>01/26/2025</t>
  </si>
  <si>
    <t>phillipsmith.ew@gmail.com</t>
  </si>
  <si>
    <t>4175 Neil Road</t>
  </si>
  <si>
    <t>Cesar</t>
  </si>
  <si>
    <t>12/15/1993</t>
  </si>
  <si>
    <t>605701279</t>
  </si>
  <si>
    <t>YKBW66K1J</t>
  </si>
  <si>
    <t>cesarchavez1.ew@gmail.com</t>
  </si>
  <si>
    <t>1006 Sbragia Way</t>
  </si>
  <si>
    <t>05/02/1995</t>
  </si>
  <si>
    <t>530872660</t>
  </si>
  <si>
    <t>YTKDLQ0PU</t>
  </si>
  <si>
    <t>nelsonmartinez1.ew@gmail.com</t>
  </si>
  <si>
    <t>1740 A Street</t>
  </si>
  <si>
    <t>Knapek</t>
  </si>
  <si>
    <t>11/17/1981</t>
  </si>
  <si>
    <t>454716960</t>
  </si>
  <si>
    <t>YUW8SULGN</t>
  </si>
  <si>
    <t>mknapek.ew@gmail.com</t>
  </si>
  <si>
    <t>144 Mary Street</t>
  </si>
  <si>
    <t>Terkelsen</t>
  </si>
  <si>
    <t>11/03/1984</t>
  </si>
  <si>
    <t>571815931</t>
  </si>
  <si>
    <t>YVTPSPHEY</t>
  </si>
  <si>
    <t>jterkelsen.ew@gmail.com</t>
  </si>
  <si>
    <t>1230 Colusa Drive</t>
  </si>
  <si>
    <t>Uriah</t>
  </si>
  <si>
    <t>05/05/2000</t>
  </si>
  <si>
    <t>614194981</t>
  </si>
  <si>
    <t>Z223AZ40N</t>
  </si>
  <si>
    <t>uriahjones.ew@gmail.com</t>
  </si>
  <si>
    <t>324 Victorian Avenue</t>
  </si>
  <si>
    <t>Maylaya</t>
  </si>
  <si>
    <t>Apilado</t>
  </si>
  <si>
    <t>11/05/2004</t>
  </si>
  <si>
    <t>623478934</t>
  </si>
  <si>
    <t>Z361JV4YM</t>
  </si>
  <si>
    <t>maylayaapilado1.ew@yahoo.com</t>
  </si>
  <si>
    <t>Apt 3103</t>
  </si>
  <si>
    <t>Wirth</t>
  </si>
  <si>
    <t>09/26/1974</t>
  </si>
  <si>
    <t>546357105</t>
  </si>
  <si>
    <t>Z3S28LKTD</t>
  </si>
  <si>
    <t>stevenwirth.ew@gmail.com</t>
  </si>
  <si>
    <t>998 Rook Way</t>
  </si>
  <si>
    <t>Foster</t>
  </si>
  <si>
    <t>02/09/1990</t>
  </si>
  <si>
    <t>530752230</t>
  </si>
  <si>
    <t>Z3UDACHW7</t>
  </si>
  <si>
    <t>mikefoster.ew@gmail.com</t>
  </si>
  <si>
    <t>5261 Coit Drive</t>
  </si>
  <si>
    <t>Shumway</t>
  </si>
  <si>
    <t>Mau</t>
  </si>
  <si>
    <t>530913328</t>
  </si>
  <si>
    <t>Z9WDVQ1T3</t>
  </si>
  <si>
    <t>shumwaymau.ew@gmail.com</t>
  </si>
  <si>
    <t>1720 Sterling Way</t>
  </si>
  <si>
    <t>Lyla</t>
  </si>
  <si>
    <t>04/27/2022</t>
  </si>
  <si>
    <t>Brittany</t>
  </si>
  <si>
    <t>05/07/1996</t>
  </si>
  <si>
    <t>619903682</t>
  </si>
  <si>
    <t>ZAF2MG9VM</t>
  </si>
  <si>
    <t>08/20/2024</t>
  </si>
  <si>
    <t>brittanythompson.ew@gmail.com</t>
  </si>
  <si>
    <t>10070 Vine Creek Court</t>
  </si>
  <si>
    <t>Mathews</t>
  </si>
  <si>
    <t>07/31/2004</t>
  </si>
  <si>
    <t>680600356</t>
  </si>
  <si>
    <t>ZD78PMT1E</t>
  </si>
  <si>
    <t>madisonmathews.ew@gmail.com</t>
  </si>
  <si>
    <t>2204 Ellice Way</t>
  </si>
  <si>
    <t>Rago</t>
  </si>
  <si>
    <t>07/02/1999</t>
  </si>
  <si>
    <t>611153830</t>
  </si>
  <si>
    <t>ZFS23JPXU</t>
  </si>
  <si>
    <t>jrago.ew@gmail.com</t>
  </si>
  <si>
    <t>6210 Fieldstone Place</t>
  </si>
  <si>
    <t>Jan</t>
  </si>
  <si>
    <t>Sindac</t>
  </si>
  <si>
    <t>01/31/2001</t>
  </si>
  <si>
    <t>739543282</t>
  </si>
  <si>
    <t>ZFZCP2ON7</t>
  </si>
  <si>
    <t>jsindac.ew@gmail.com</t>
  </si>
  <si>
    <t>Unit J210</t>
  </si>
  <si>
    <t>07/24/2001</t>
  </si>
  <si>
    <t>680344760</t>
  </si>
  <si>
    <t>ZI7AH5HD8</t>
  </si>
  <si>
    <t>kristinanichols.ew@gmail.com</t>
  </si>
  <si>
    <t>2650 4th Street</t>
  </si>
  <si>
    <t>680564684</t>
  </si>
  <si>
    <t>ZIGELC62W</t>
  </si>
  <si>
    <t>jamorris.ew@gmail.com</t>
  </si>
  <si>
    <t>17800 Fairfax Court</t>
  </si>
  <si>
    <t>Jeshua</t>
  </si>
  <si>
    <t>Palomar</t>
  </si>
  <si>
    <t>04/18/2004</t>
  </si>
  <si>
    <t>680580939</t>
  </si>
  <si>
    <t>ZKIZLFDK2</t>
  </si>
  <si>
    <t>jpalomar.ew@gmail.com</t>
  </si>
  <si>
    <t>7130 Beacon Drive</t>
  </si>
  <si>
    <t>Serquina</t>
  </si>
  <si>
    <t>12/09/1962</t>
  </si>
  <si>
    <t>576728065</t>
  </si>
  <si>
    <t>ZKLDMUVE3</t>
  </si>
  <si>
    <t>07/26/2025</t>
  </si>
  <si>
    <t>andrewserquina.ew@gmail.com</t>
  </si>
  <si>
    <t>7490 Hebrides Court</t>
  </si>
  <si>
    <t>Burke</t>
  </si>
  <si>
    <t>03/05/2004</t>
  </si>
  <si>
    <t>680562548</t>
  </si>
  <si>
    <t>ZLMMFV4I2</t>
  </si>
  <si>
    <t>kyleburke.ew@gmail.com</t>
  </si>
  <si>
    <t>2103 Pinewood Drive</t>
  </si>
  <si>
    <t>Rose</t>
  </si>
  <si>
    <t>02/29/2000</t>
  </si>
  <si>
    <t>574299125</t>
  </si>
  <si>
    <t>ZN2MVRLI6</t>
  </si>
  <si>
    <t>rosemiller.ew@gmail.com</t>
  </si>
  <si>
    <t>B217</t>
  </si>
  <si>
    <t>Gabryelle</t>
  </si>
  <si>
    <t>09/03/2000</t>
  </si>
  <si>
    <t>647543108</t>
  </si>
  <si>
    <t>ZNB200L5F</t>
  </si>
  <si>
    <t>gabjohnson1.ew@gmail.com</t>
  </si>
  <si>
    <t>1125 Avenue of the Oaks</t>
  </si>
  <si>
    <t>Unit 421</t>
  </si>
  <si>
    <t>Marcus</t>
  </si>
  <si>
    <t>09/13/2002</t>
  </si>
  <si>
    <t>611359618</t>
  </si>
  <si>
    <t>ZQQKODF9C</t>
  </si>
  <si>
    <t>02/16/2025</t>
  </si>
  <si>
    <t>nathanmarcus.ew@gmail.com</t>
  </si>
  <si>
    <t>6276 Bryant Avenue</t>
  </si>
  <si>
    <t>Klamath Falls</t>
  </si>
  <si>
    <t>97603</t>
  </si>
  <si>
    <t>08/14/1978</t>
  </si>
  <si>
    <t>569537811</t>
  </si>
  <si>
    <t>ZR8LL38E0</t>
  </si>
  <si>
    <t>nicolaslgarcia.ew@yahoo.com</t>
  </si>
  <si>
    <t>Unit 123</t>
  </si>
  <si>
    <t>Malachi</t>
  </si>
  <si>
    <t>05/11/2004</t>
  </si>
  <si>
    <t>680585749</t>
  </si>
  <si>
    <t>ZRRY2B11G</t>
  </si>
  <si>
    <t>malachithomas.ew@outlook.com</t>
  </si>
  <si>
    <t>2300 Harvard Way</t>
  </si>
  <si>
    <t>Apt 119H</t>
  </si>
  <si>
    <t>Anshuman</t>
  </si>
  <si>
    <t>Kumar</t>
  </si>
  <si>
    <t>02/12/2000</t>
  </si>
  <si>
    <t>604577414</t>
  </si>
  <si>
    <t>ZSS7YFNOH</t>
  </si>
  <si>
    <t>anshumankumar.ew@gmail.com</t>
  </si>
  <si>
    <t>944 Opalite Drive</t>
  </si>
  <si>
    <t>Breanna</t>
  </si>
  <si>
    <t>Hughett</t>
  </si>
  <si>
    <t>530891907</t>
  </si>
  <si>
    <t>ZSVJR7TLW</t>
  </si>
  <si>
    <t>47840.00</t>
  </si>
  <si>
    <t>breannahughett.ew@gmail.com</t>
  </si>
  <si>
    <t>11585 Tupelo Street</t>
  </si>
  <si>
    <t>Erick</t>
  </si>
  <si>
    <t>Bandala Sanchez</t>
  </si>
  <si>
    <t>06/01/1999</t>
  </si>
  <si>
    <t>833923560</t>
  </si>
  <si>
    <t>ZTNP9EGHN</t>
  </si>
  <si>
    <t>ericksanchez.ew@gmail.com</t>
  </si>
  <si>
    <t>1410 Ralston Street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</si>
</sst>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yy"/>
  </numFmts>
  <fonts count="30" x14ac:knownFonts="1">
    <font>
      <sz val="11"/>
      <color indexed="8"/>
      <name val="Calibri"/>
      <family val="2"/>
    </font>
    <font>
      <sz val="11"/>
      <name val="Calibri"/>
      <family val="2"/>
    </font>
    <font>
      <sz val="11"/>
      <color indexed="8"/>
      <name val="Calibri"/>
      <family val="2"/>
    </font>
    <font>
      <sz val="11"/>
      <color indexed="8"/>
      <name val="Calibri"/>
      <family val="2"/>
      <scheme val="minor"/>
    </font>
    <font>
      <b/>
      <i/>
      <sz val="11"/>
      <color rgb="FF000000"/>
      <name val="Calibri"/>
      <family val="2"/>
      <scheme val="minor"/>
    </font>
    <font>
      <b/>
      <sz val="11"/>
      <color rgb="FF000000"/>
      <name val="Calibri"/>
      <family val="2"/>
      <scheme val="minor"/>
    </font>
    <font>
      <sz val="11"/>
      <color rgb="FF000000"/>
      <name val="Calibri"/>
      <family val="2"/>
      <scheme val="minor"/>
    </font>
    <font>
      <sz val="11"/>
      <color indexed="10"/>
      <name val="Calibri"/>
      <family val="2"/>
      <scheme val="minor"/>
    </font>
    <font>
      <sz val="11"/>
      <color rgb="FFCC3333"/>
      <name val="Calibri"/>
      <family val="2"/>
      <scheme val="minor"/>
    </font>
    <font>
      <sz val="11"/>
      <name val="Calibri"/>
      <family val="2"/>
      <scheme val="minor"/>
    </font>
    <font>
      <sz val="11"/>
      <color indexed="12"/>
      <name val="Calibri"/>
      <family val="2"/>
      <scheme val="minor"/>
    </font>
    <font>
      <b/>
      <sz val="10"/>
      <color indexed="8"/>
      <name val="Calibri"/>
      <family val="2"/>
    </font>
    <font>
      <b/>
      <sz val="10"/>
      <name val="Calibri"/>
      <family val="2"/>
    </font>
    <font>
      <b/>
      <sz val="10"/>
      <color rgb="FFFF0000"/>
      <name val="Calibri"/>
      <family val="2"/>
    </font>
    <font>
      <b/>
      <sz val="11"/>
      <color indexed="8"/>
      <name val="Calibri"/>
      <family val="2"/>
    </font>
    <font>
      <u/>
      <sz val="11"/>
      <color theme="10"/>
      <name val="Calibri"/>
      <family val="2"/>
    </font>
    <font>
      <b/>
      <sz val="11"/>
      <color theme="1"/>
      <name val="Calibri"/>
      <family val="2"/>
      <scheme val="minor"/>
    </font>
    <font>
      <b/>
      <sz val="9"/>
      <color indexed="8"/>
      <name val="Calibri"/>
      <family val="2"/>
    </font>
    <font>
      <sz val="9"/>
      <color indexed="8"/>
      <name val="Calibri"/>
      <family val="2"/>
    </font>
    <font>
      <sz val="9"/>
      <name val="Calibri"/>
      <family val="2"/>
      <scheme val="minor"/>
    </font>
    <font>
      <b/>
      <sz val="11"/>
      <color rgb="FF000000"/>
      <name val="Calibri"/>
      <family val="2"/>
    </font>
    <font>
      <b/>
      <sz val="10"/>
      <color rgb="FF000000"/>
      <name val="Calibri"/>
      <family val="2"/>
    </font>
    <font>
      <b/>
      <sz val="16"/>
      <name val="Calibri"/>
      <family val="2"/>
    </font>
    <font>
      <b/>
      <sz val="11"/>
      <color rgb="FFFF0000"/>
      <name val="Arial"/>
      <family val="2"/>
    </font>
    <font>
      <b/>
      <sz val="14"/>
      <name val="Arial"/>
      <family val="2"/>
    </font>
    <font>
      <b/>
      <sz val="11"/>
      <name val="Calibri"/>
      <family val="2"/>
    </font>
    <font>
      <sz val="11"/>
      <color rgb="FFFF0000"/>
      <name val="Calibri"/>
      <family val="2"/>
    </font>
    <font>
      <b/>
      <sz val="12"/>
      <color theme="3" tint="0.39997558519241921"/>
      <name val="Arial"/>
      <family val="2"/>
    </font>
    <font>
      <u/>
      <sz val="11"/>
      <color theme="11"/>
      <name val="Calibri"/>
      <family val="2"/>
    </font>
    <font>
      <b/>
      <u/>
      <sz val="12"/>
      <color theme="3" tint="0.39997558519241921"/>
      <name val="Arial"/>
      <family val="2"/>
    </font>
  </fonts>
  <fills count="9">
    <fill>
      <patternFill patternType="none"/>
    </fill>
    <fill>
      <patternFill patternType="gray125"/>
    </fill>
    <fill>
      <patternFill patternType="solid">
        <fgColor rgb="FF92D050"/>
        <bgColor indexed="64"/>
      </patternFill>
    </fill>
    <fill>
      <patternFill patternType="solid">
        <fgColor theme="6" tint="0.39997558519241921"/>
        <bgColor indexed="64"/>
      </patternFill>
    </fill>
    <fill>
      <patternFill patternType="solid">
        <fgColor rgb="FFFF0000"/>
        <bgColor indexed="64"/>
      </patternFill>
    </fill>
    <fill>
      <patternFill patternType="solid">
        <fgColor rgb="FFFFFF00"/>
        <bgColor indexed="64"/>
      </patternFill>
    </fill>
    <fill>
      <patternFill patternType="solid">
        <fgColor theme="0"/>
        <bgColor indexed="64"/>
      </patternFill>
    </fill>
    <fill>
      <patternFill patternType="solid">
        <fgColor theme="3" tint="0.79998168889431442"/>
        <bgColor indexed="64"/>
      </patternFill>
    </fill>
    <fill>
      <patternFill patternType="solid">
        <fgColor theme="9" tint="0.79998168889431442"/>
        <bgColor indexed="64"/>
      </patternFill>
    </fill>
  </fills>
  <borders count="20">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style="thin">
        <color auto="1"/>
      </bottom>
      <diagonal/>
    </border>
    <border>
      <left style="thin">
        <color auto="1"/>
      </left>
      <right style="medium">
        <color auto="1"/>
      </right>
      <top style="medium">
        <color auto="1"/>
      </top>
      <bottom/>
      <diagonal/>
    </border>
    <border>
      <left style="medium">
        <color auto="1"/>
      </left>
      <right style="thin">
        <color auto="1"/>
      </right>
      <top style="medium">
        <color auto="1"/>
      </top>
      <bottom/>
      <diagonal/>
    </border>
  </borders>
  <cellStyleXfs count="10">
    <xf borderId="0" fillId="0" fontId="0" numFmtId="0"/>
    <xf borderId="0" fillId="0" fontId="2" numFmtId="0"/>
    <xf borderId="0" fillId="0" fontId="2" numFmtId="0"/>
    <xf applyAlignment="0" applyBorder="0" applyFill="0" applyNumberFormat="0" applyProtection="0" borderId="0" fillId="0" fontId="15" numFmtId="0"/>
    <xf borderId="0" fillId="0" fontId="2" numFmtId="0"/>
    <xf borderId="0" fillId="0" fontId="2" numFmtId="0"/>
    <xf applyAlignment="0" applyBorder="0" applyFill="0" applyNumberFormat="0" applyProtection="0" borderId="0" fillId="0" fontId="28" numFmtId="0"/>
    <xf applyAlignment="0" applyBorder="0" applyFill="0" applyNumberFormat="0" applyProtection="0" borderId="0" fillId="0" fontId="28" numFmtId="0"/>
    <xf applyAlignment="0" applyBorder="0" applyFill="0" applyNumberFormat="0" applyProtection="0" borderId="0" fillId="0" fontId="28" numFmtId="0"/>
    <xf applyAlignment="0" applyBorder="0" applyFill="0" applyNumberFormat="0" applyProtection="0" borderId="0" fillId="0" fontId="28" numFmtId="0"/>
  </cellStyleXfs>
  <cellXfs count="115">
    <xf borderId="0" fillId="0" fontId="0" numFmtId="0" xfId="0"/>
    <xf applyFont="1" borderId="0" fillId="0" fontId="3" numFmtId="0" xfId="0"/>
    <xf applyFont="1" applyNumberFormat="1" borderId="0" fillId="0" fontId="3" numFmtId="49" xfId="0"/>
    <xf applyAlignment="1" applyBorder="1" applyFill="1" applyFont="1" borderId="1" fillId="2" fontId="4" numFmtId="0" xfId="0">
      <alignment horizontal="center" vertical="top" wrapText="1"/>
    </xf>
    <xf applyAlignment="1" applyBorder="1" applyFont="1" borderId="1" fillId="0" fontId="5" numFmtId="0" xfId="0">
      <alignment wrapText="1"/>
    </xf>
    <xf applyAlignment="1" applyBorder="1" applyFont="1" borderId="1" fillId="0" fontId="6" numFmtId="0" xfId="0">
      <alignment horizontal="center" wrapText="1"/>
    </xf>
    <xf applyAlignment="1" applyBorder="1" applyFont="1" borderId="1" fillId="0" fontId="6" numFmtId="0" xfId="0">
      <alignment wrapText="1"/>
    </xf>
    <xf applyAlignment="1" applyBorder="1" applyFont="1" borderId="1" fillId="0" fontId="3" numFmtId="0" xfId="0">
      <alignment wrapText="1"/>
    </xf>
    <xf applyBorder="1" applyFont="1" applyNumberFormat="1" borderId="1" fillId="0" fontId="7" numFmtId="49" xfId="0"/>
    <xf applyAlignment="1" applyBorder="1" applyFont="1" borderId="1" fillId="0" fontId="8" numFmtId="0" xfId="0">
      <alignment wrapText="1"/>
    </xf>
    <xf applyBorder="1" applyFont="1" applyNumberFormat="1" borderId="1" fillId="0" fontId="3" numFmtId="49" xfId="0"/>
    <xf applyBorder="1" applyFont="1" borderId="1" fillId="0" fontId="3" numFmtId="0" xfId="0"/>
    <xf applyAlignment="1" applyBorder="1" applyFont="1" borderId="1" fillId="0" fontId="3" numFmtId="0" xfId="0">
      <alignment horizontal="center" wrapText="1"/>
    </xf>
    <xf applyAlignment="1" applyBorder="1" applyFont="1" borderId="1" fillId="0" fontId="6" numFmtId="0" xfId="0">
      <alignment horizontal="left" wrapText="1"/>
    </xf>
    <xf applyBorder="1" applyFont="1" borderId="1" fillId="0" fontId="7" numFmtId="0" xfId="0"/>
    <xf applyAlignment="1" applyBorder="1" applyFont="1" borderId="1" fillId="0" fontId="5" numFmtId="0" xfId="0">
      <alignment horizontal="center" wrapText="1"/>
    </xf>
    <xf applyAlignment="1" applyBorder="1" applyFont="1" borderId="1" fillId="0" fontId="8" numFmtId="0" xfId="0">
      <alignment horizontal="left" wrapText="1"/>
    </xf>
    <xf applyAlignment="1" applyBorder="1" applyFont="1" borderId="1" fillId="0" fontId="3" numFmtId="0" xfId="0">
      <alignment horizontal="left" wrapText="1"/>
    </xf>
    <xf applyAlignment="1" applyBorder="1" applyFont="1" applyNumberFormat="1" borderId="1" fillId="0" fontId="9" numFmtId="1" xfId="0">
      <alignment wrapText="1"/>
    </xf>
    <xf applyBorder="1" applyFont="1" borderId="1" fillId="0" fontId="10" numFmtId="0" xfId="0"/>
    <xf applyFill="1" applyFont="1" borderId="0" fillId="4" fontId="1" numFmtId="0" xfId="0"/>
    <xf applyFill="1" borderId="0" fillId="4" fontId="0" numFmtId="0" xfId="0"/>
    <xf applyAlignment="1" applyBorder="1" applyFill="1" applyFont="1" applyNumberFormat="1" borderId="1" fillId="3" fontId="12" numFmtId="1" xfId="0">
      <alignment horizontal="center" vertical="center" wrapText="1"/>
    </xf>
    <xf applyBorder="1" applyFont="1" borderId="1" fillId="0" fontId="14" numFmtId="0" xfId="0"/>
    <xf applyBorder="1" applyFill="1" applyFont="1" borderId="1" fillId="5" fontId="14" numFmtId="0" xfId="0"/>
    <xf applyAlignment="1" applyBorder="1" applyFill="1" applyFont="1" applyNumberFormat="1" borderId="1" fillId="3" fontId="12" numFmtId="49" xfId="0">
      <alignment horizontal="center" vertical="center" wrapText="1"/>
    </xf>
    <xf applyFont="1" borderId="0" fillId="0" fontId="14" numFmtId="0" xfId="0"/>
    <xf applyFont="1" borderId="0" fillId="0" fontId="17" numFmtId="0" xfId="4"/>
    <xf applyAlignment="1" applyFont="1" borderId="0" fillId="0" fontId="18" numFmtId="0" xfId="2">
      <alignment horizontal="left" wrapText="1"/>
    </xf>
    <xf applyBorder="1" applyFill="1" applyFont="1" borderId="2" fillId="5" fontId="17" numFmtId="0" xfId="4"/>
    <xf applyFont="1" borderId="0" fillId="0" fontId="17" numFmtId="0" xfId="2"/>
    <xf applyFont="1" borderId="0" fillId="0" fontId="17" numFmtId="0" xfId="5"/>
    <xf applyFont="1" borderId="0" fillId="0" fontId="18" numFmtId="0" xfId="4"/>
    <xf applyProtection="1" borderId="0" fillId="0" fontId="0" numFmtId="0" xfId="0">
      <protection locked="0"/>
    </xf>
    <xf applyAlignment="1" applyProtection="1" borderId="0" fillId="0" fontId="0" numFmtId="0" xfId="0">
      <alignment horizontal="left" vertical="center"/>
      <protection locked="0"/>
    </xf>
    <xf applyAlignment="1" applyBorder="1" applyFill="1" applyFont="1" borderId="3" fillId="3" fontId="11" numFmtId="0" xfId="0">
      <alignment horizontal="center" vertical="center"/>
    </xf>
    <xf applyAlignment="1" applyBorder="1" applyFill="1" applyFont="1" borderId="4" fillId="3" fontId="11" numFmtId="0" xfId="0">
      <alignment horizontal="center" vertical="center"/>
    </xf>
    <xf applyAlignment="1" applyBorder="1" applyFill="1" applyFont="1" borderId="4" fillId="3" fontId="11" numFmtId="0" xfId="0">
      <alignment horizontal="center" vertical="center" wrapText="1"/>
    </xf>
    <xf applyAlignment="1" applyBorder="1" applyFill="1" applyFont="1" borderId="5" fillId="3" fontId="11" numFmtId="0" xfId="0">
      <alignment horizontal="center" vertical="center"/>
    </xf>
    <xf applyBorder="1" applyFill="1" applyFont="1" borderId="1" fillId="3" fontId="16" numFmtId="0" xfId="0"/>
    <xf applyBorder="1" applyFont="1" borderId="1" fillId="0" fontId="19" numFmtId="0" xfId="0"/>
    <xf applyFont="1" borderId="0" fillId="0" fontId="25" numFmtId="0" xfId="0"/>
    <xf applyFont="1" borderId="0" fillId="0" fontId="1" numFmtId="0" xfId="0"/>
    <xf applyAlignment="1" applyBorder="1" applyFill="1" applyFont="1" borderId="1" fillId="3" fontId="11" numFmtId="0" xfId="0">
      <alignment horizontal="center" vertical="center" wrapText="1"/>
    </xf>
    <xf applyAlignment="1" applyNumberFormat="1" applyProtection="1" borderId="0" fillId="0" fontId="0" numFmtId="164" xfId="0">
      <alignment horizontal="left" vertical="center"/>
      <protection locked="0"/>
    </xf>
    <xf applyFill="1" borderId="0" fillId="5" fontId="0" numFmtId="0" xfId="0"/>
    <xf applyAlignment="1" applyFont="1" applyNumberFormat="1" borderId="0" fillId="0" fontId="12" numFmtId="49" xfId="0">
      <alignment horizontal="center" vertical="center" wrapText="1"/>
    </xf>
    <xf applyBorder="1" applyFill="1" applyFont="1" borderId="2" fillId="3" fontId="14" numFmtId="0" xfId="0"/>
    <xf applyFill="1" applyFont="1" borderId="0" fillId="4" fontId="14" numFmtId="0" xfId="0"/>
    <xf applyNumberFormat="1" borderId="0" fillId="0" fontId="0" numFmtId="49" xfId="0"/>
    <xf applyAlignment="1" borderId="0" fillId="0" fontId="0" numFmtId="0" xfId="0">
      <alignment horizontal="left"/>
    </xf>
    <xf applyNumberFormat="1" applyProtection="1" borderId="0" fillId="0" fontId="0" numFmtId="49" xfId="0">
      <protection locked="0"/>
    </xf>
    <xf applyAlignment="1" applyFill="1" applyFont="1" applyProtection="1" borderId="0" fillId="0" fontId="1" numFmtId="0" xfId="3">
      <alignment horizontal="left" vertical="center"/>
      <protection locked="0"/>
    </xf>
    <xf applyAlignment="1" applyFont="1" applyNumberFormat="1" applyProtection="1" borderId="0" fillId="0" fontId="11" numFmtId="49" xfId="0">
      <alignment shrinkToFit="1" vertical="center"/>
      <protection locked="0"/>
    </xf>
    <xf applyAlignment="1" applyNumberFormat="1" applyProtection="1" borderId="0" fillId="0" fontId="0" numFmtId="49" xfId="0">
      <alignment horizontal="left" vertical="center"/>
      <protection locked="0"/>
    </xf>
    <xf applyNumberFormat="1" applyProtection="1" borderId="0" fillId="0" fontId="0" numFmtId="164" xfId="0">
      <protection locked="0"/>
    </xf>
    <xf applyNumberFormat="1" applyProtection="1" borderId="0" fillId="0" fontId="0" numFmtId="2" xfId="0">
      <protection locked="0"/>
    </xf>
    <xf applyAlignment="1" applyNumberFormat="1" applyProtection="1" borderId="0" fillId="0" fontId="0" numFmtId="2" xfId="0">
      <alignment horizontal="left" vertical="center"/>
      <protection locked="0"/>
    </xf>
    <xf applyAlignment="1" applyBorder="1" applyNumberFormat="1" applyProtection="1" borderId="18" fillId="0" fontId="0" numFmtId="1" xfId="0">
      <alignment horizontal="center" vertical="center"/>
      <protection locked="0"/>
    </xf>
    <xf applyAlignment="1" applyBorder="1" applyNumberFormat="1" applyProtection="1" borderId="5" fillId="0" fontId="0" numFmtId="1" xfId="0">
      <alignment horizontal="center" vertical="center"/>
      <protection locked="0"/>
    </xf>
    <xf applyAlignment="1" applyBorder="1" applyNumberFormat="1" applyProtection="1" borderId="2" fillId="0" fontId="0" numFmtId="1" xfId="0">
      <alignment horizontal="center" vertical="center"/>
      <protection locked="0"/>
    </xf>
    <xf applyAlignment="1" applyBorder="1" applyFill="1" applyFont="1" borderId="19" fillId="7" fontId="12" numFmtId="0" xfId="0">
      <alignment horizontal="center" vertical="center" wrapText="1"/>
    </xf>
    <xf applyAlignment="1" applyBorder="1" applyFill="1" applyFont="1" applyNumberFormat="1" applyProtection="1" borderId="3" fillId="3" fontId="12" numFmtId="1" xfId="0">
      <alignment horizontal="center" vertical="center" wrapText="1"/>
      <protection locked="0"/>
    </xf>
    <xf applyAlignment="1" applyBorder="1" applyFill="1" applyFont="1" borderId="2" fillId="8" fontId="12" numFmtId="0" xfId="0">
      <alignment horizontal="center" vertical="center" wrapText="1"/>
    </xf>
    <xf applyAlignment="1" applyBorder="1" applyFill="1" applyFont="1" borderId="9" fillId="6" fontId="24" numFmtId="0" xfId="0">
      <alignment horizontal="center" vertical="center"/>
    </xf>
    <xf applyAlignment="1" applyBorder="1" applyFill="1" applyFont="1" borderId="10" fillId="6" fontId="24" numFmtId="0" xfId="0">
      <alignment horizontal="center" vertical="center"/>
    </xf>
    <xf applyAlignment="1" applyBorder="1" applyFill="1" applyFont="1" borderId="11" fillId="6" fontId="24" numFmtId="0" xfId="0">
      <alignment horizontal="center" vertical="center"/>
    </xf>
    <xf applyAlignment="1" applyBorder="1" applyFill="1" applyFont="1" borderId="12" fillId="6" fontId="24" numFmtId="0" xfId="0">
      <alignment horizontal="center" vertical="center"/>
    </xf>
    <xf applyAlignment="1" applyFill="1" applyFont="1" borderId="0" fillId="6" fontId="24" numFmtId="0" xfId="0">
      <alignment horizontal="center" vertical="center"/>
    </xf>
    <xf applyAlignment="1" applyBorder="1" applyFill="1" applyFont="1" borderId="13" fillId="6" fontId="24" numFmtId="0" xfId="0">
      <alignment horizontal="center" vertical="center"/>
    </xf>
    <xf applyAlignment="1" applyBorder="1" applyFill="1" applyFont="1" borderId="14" fillId="6" fontId="24" numFmtId="0" xfId="0">
      <alignment horizontal="center" vertical="center"/>
    </xf>
    <xf applyAlignment="1" applyBorder="1" applyFill="1" applyFont="1" borderId="15" fillId="6" fontId="24" numFmtId="0" xfId="0">
      <alignment horizontal="center" vertical="center"/>
    </xf>
    <xf applyAlignment="1" applyBorder="1" applyFill="1" applyFont="1" borderId="16" fillId="6" fontId="24" numFmtId="0" xfId="0">
      <alignment horizontal="center" vertical="center"/>
    </xf>
    <xf applyAlignment="1" applyBorder="1" applyFill="1" applyFont="1" borderId="6" fillId="6" fontId="27" numFmtId="0" xfId="0">
      <alignment horizontal="center" vertical="center"/>
    </xf>
    <xf applyAlignment="1" applyBorder="1" applyFill="1" applyFont="1" borderId="7" fillId="6" fontId="27" numFmtId="0" xfId="0">
      <alignment horizontal="center" vertical="center"/>
    </xf>
    <xf applyAlignment="1" applyBorder="1" applyFill="1" applyFont="1" borderId="8" fillId="6" fontId="27" numFmtId="0" xfId="0">
      <alignment horizontal="center" vertical="center"/>
    </xf>
    <xf applyAlignment="1" applyBorder="1" applyFill="1" borderId="9" fillId="6" fontId="0" numFmtId="0" xfId="0">
      <alignment horizontal="left" vertical="top" wrapText="1"/>
    </xf>
    <xf applyAlignment="1" applyBorder="1" applyFill="1" borderId="10" fillId="6" fontId="0" numFmtId="0" xfId="0">
      <alignment horizontal="left" vertical="top" wrapText="1"/>
    </xf>
    <xf applyAlignment="1" applyBorder="1" applyFill="1" borderId="11" fillId="6" fontId="0" numFmtId="0" xfId="0">
      <alignment horizontal="left" vertical="top" wrapText="1"/>
    </xf>
    <xf applyAlignment="1" applyBorder="1" applyFill="1" borderId="12" fillId="6" fontId="0" numFmtId="0" xfId="0">
      <alignment horizontal="left" vertical="top" wrapText="1"/>
    </xf>
    <xf applyAlignment="1" applyFill="1" borderId="0" fillId="6" fontId="0" numFmtId="0" xfId="0">
      <alignment horizontal="left" vertical="top" wrapText="1"/>
    </xf>
    <xf applyAlignment="1" applyBorder="1" applyFill="1" borderId="13" fillId="6" fontId="0" numFmtId="0" xfId="0">
      <alignment horizontal="left" vertical="top" wrapText="1"/>
    </xf>
    <xf applyAlignment="1" applyBorder="1" applyFill="1" borderId="14" fillId="6" fontId="0" numFmtId="0" xfId="0">
      <alignment horizontal="left" vertical="top" wrapText="1"/>
    </xf>
    <xf applyAlignment="1" applyBorder="1" applyFill="1" borderId="15" fillId="6" fontId="0" numFmtId="0" xfId="0">
      <alignment horizontal="left" vertical="top" wrapText="1"/>
    </xf>
    <xf applyAlignment="1" applyBorder="1" applyFill="1" borderId="16" fillId="6" fontId="0" numFmtId="0" xfId="0">
      <alignment horizontal="left" vertical="top" wrapText="1"/>
    </xf>
    <xf applyAlignment="1" applyBorder="1" applyFill="1" applyFont="1" borderId="9" fillId="6" fontId="29" numFmtId="0" xfId="0">
      <alignment horizontal="center" vertical="top" wrapText="1"/>
    </xf>
    <xf applyAlignment="1" applyBorder="1" applyFill="1" applyFont="1" borderId="11" fillId="6" fontId="29" numFmtId="0" xfId="0">
      <alignment horizontal="center" vertical="top" wrapText="1"/>
    </xf>
    <xf applyAlignment="1" applyBorder="1" applyFill="1" applyFont="1" borderId="9" fillId="3" fontId="22" numFmtId="0" xfId="0">
      <alignment horizontal="center" vertical="center"/>
    </xf>
    <xf applyAlignment="1" applyBorder="1" applyFill="1" applyFont="1" borderId="10" fillId="3" fontId="22" numFmtId="0" xfId="0">
      <alignment horizontal="center" vertical="center"/>
    </xf>
    <xf applyAlignment="1" applyBorder="1" applyFill="1" applyFont="1" borderId="11" fillId="3" fontId="22" numFmtId="0" xfId="0">
      <alignment horizontal="center" vertical="center"/>
    </xf>
    <xf applyAlignment="1" applyBorder="1" applyFill="1" applyFont="1" borderId="6" fillId="3" fontId="22" numFmtId="0" xfId="0">
      <alignment horizontal="center" vertical="center"/>
    </xf>
    <xf applyAlignment="1" applyBorder="1" applyFill="1" applyFont="1" borderId="7" fillId="3" fontId="22" numFmtId="0" xfId="0">
      <alignment horizontal="center" vertical="center"/>
    </xf>
    <xf applyAlignment="1" applyBorder="1" applyFill="1" applyFont="1" borderId="8" fillId="3" fontId="22" numFmtId="0" xfId="0">
      <alignment horizontal="center" vertical="center"/>
    </xf>
    <xf applyAlignment="1" applyFont="1" applyNumberFormat="1" borderId="0" fillId="0" fontId="3" numFmtId="49" xfId="0">
      <alignment horizontal="left" wrapText="1"/>
    </xf>
    <xf applyNumberFormat="1" applyProtection="1" borderId="0" fillId="0" fontId="0" numFmtId="0" xfId="0">
      <protection locked="0"/>
    </xf>
    <xf applyAlignment="1" applyNumberFormat="1" applyProtection="1" borderId="0" fillId="0" fontId="0" numFmtId="0" xfId="0">
      <alignment horizontal="left" vertical="center"/>
      <protection locked="0"/>
    </xf>
    <xf applyFont="1" applyNumberFormat="1" applyProtection="1" borderId="0" fillId="0" fontId="23" numFmtId="49" xfId="0"/>
    <xf applyAlignment="1" applyBorder="1" applyFill="1" applyFont="1" applyNumberFormat="1" applyProtection="1" borderId="1" fillId="3" fontId="11" numFmtId="49" xfId="0">
      <alignment horizontal="center" vertical="center" wrapText="1"/>
    </xf>
    <xf applyAlignment="1" applyBorder="1" applyFill="1" applyFont="1" applyNumberFormat="1" applyProtection="1" borderId="1" fillId="7" fontId="12" numFmtId="49" xfId="0">
      <alignment horizontal="center" vertical="center" wrapText="1"/>
    </xf>
    <xf applyAlignment="1" applyBorder="1" applyFill="1" applyFont="1" applyNumberFormat="1" applyProtection="1" borderId="1" fillId="7" fontId="12" numFmtId="164" xfId="0">
      <alignment horizontal="center" vertical="center" wrapText="1"/>
    </xf>
    <xf applyAlignment="1" applyBorder="1" applyFill="1" applyFont="1" applyNumberFormat="1" applyProtection="1" borderId="1" fillId="3" fontId="12" numFmtId="49" xfId="0">
      <alignment horizontal="center" vertical="center" wrapText="1"/>
    </xf>
    <xf applyAlignment="1" applyBorder="1" applyFill="1" applyFont="1" applyNumberFormat="1" applyProtection="1" borderId="1" fillId="3" fontId="11" numFmtId="164" xfId="0">
      <alignment horizontal="center" vertical="center" wrapText="1"/>
    </xf>
    <xf applyAlignment="1" applyBorder="1" applyFill="1" applyFont="1" applyNumberFormat="1" applyProtection="1" borderId="1" fillId="3" fontId="11" numFmtId="2" xfId="0">
      <alignment horizontal="center" vertical="center" wrapText="1"/>
    </xf>
    <xf applyAlignment="1" applyBorder="1" applyFill="1" applyFont="1" applyNumberFormat="1" applyProtection="1" borderId="17" fillId="7" fontId="12" numFmtId="2" xfId="0">
      <alignment horizontal="center" vertical="center" wrapText="1"/>
    </xf>
    <xf applyAlignment="1" applyBorder="1" applyFill="1" applyFont="1" applyNumberFormat="1" applyProtection="1" borderId="1" fillId="8" fontId="12" numFmtId="2" xfId="0">
      <alignment horizontal="center" vertical="center" wrapText="1"/>
    </xf>
    <xf applyAlignment="1" applyBorder="1" applyFill="1" applyFont="1" applyProtection="1" borderId="17" fillId="3" fontId="12" numFmtId="0" xfId="0">
      <alignment horizontal="center" vertical="center" wrapText="1"/>
    </xf>
    <xf applyAlignment="1" applyBorder="1" applyFill="1" applyFont="1" applyNumberFormat="1" applyProtection="1" borderId="1" fillId="8" fontId="12" numFmtId="0" xfId="0">
      <alignment horizontal="center" vertical="center" wrapText="1"/>
    </xf>
    <xf applyAlignment="1" applyBorder="1" applyFill="1" applyFont="1" applyNumberFormat="1" applyProtection="1" borderId="1" fillId="3" fontId="12" numFmtId="0" xfId="0">
      <alignment horizontal="center" vertical="center" wrapText="1"/>
    </xf>
    <xf applyNumberFormat="1" applyProtection="1" borderId="0" fillId="0" fontId="0" numFmtId="49" xfId="0"/>
    <xf applyAlignment="1" applyBorder="1" applyFill="1" applyFont="1" applyNumberFormat="1" applyProtection="1" borderId="1" fillId="3" fontId="12" numFmtId="1" xfId="0">
      <alignment horizontal="center" vertical="center" wrapText="1"/>
    </xf>
    <xf applyAlignment="1" applyBorder="1" applyFill="1" applyFont="1" applyProtection="1" borderId="1" fillId="3" fontId="11" numFmtId="0" xfId="0">
      <alignment horizontal="center" vertical="center" wrapText="1"/>
    </xf>
    <xf applyProtection="1" borderId="0" fillId="0" fontId="0" numFmtId="0" xfId="0"/>
    <xf applyNumberFormat="1" applyProtection="1" borderId="0" fillId="0" fontId="0" numFmtId="164" xfId="0"/>
    <xf applyNumberFormat="1" applyProtection="1" borderId="0" fillId="0" fontId="0" numFmtId="2" xfId="0"/>
    <xf applyNumberFormat="1" applyProtection="1" borderId="0" fillId="0" fontId="0" numFmtId="0" xfId="0"/>
  </cellXfs>
  <cellStyles count="10">
    <cellStyle builtinId="9" hidden="1" name="Followed Hyperlink" xfId="6"/>
    <cellStyle builtinId="9" hidden="1" name="Followed Hyperlink" xfId="7"/>
    <cellStyle builtinId="9" hidden="1" name="Followed Hyperlink" xfId="8"/>
    <cellStyle builtinId="9" hidden="1" name="Followed Hyperlink" xfId="9"/>
    <cellStyle builtinId="8" name="Hyperlink" xfId="3"/>
    <cellStyle builtinId="0" name="Normal" xfId="0"/>
    <cellStyle name="Normal 2" xfId="1" xr:uid="{00000000-0005-0000-0000-000006000000}"/>
    <cellStyle name="Normal 2 2" xfId="4" xr:uid="{00000000-0005-0000-0000-000007000000}"/>
    <cellStyle name="Normal 3" xfId="2" xr:uid="{00000000-0005-0000-0000-000008000000}"/>
    <cellStyle name="Normal 4 2" xfId="5" xr:uid="{00000000-0005-0000-0000-000009000000}"/>
  </cellStyles>
  <dxfs count="0"/>
  <tableStyles count="0" defaultPivotStyle="PivotStyleLight16" defaultTableStyle="TableStyleMedium2"/>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2A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1</xdr:col>
          <xdr:colOff>1536700</xdr:colOff>
          <xdr:row>0</xdr:row>
          <xdr:rowOff>57150</xdr:rowOff>
        </xdr:from>
        <xdr:to>
          <xdr:col>3</xdr:col>
          <xdr:colOff>0</xdr:colOff>
          <xdr:row>2</xdr:row>
          <xdr:rowOff>19050</xdr:rowOff>
        </xdr:to>
        <xdr:sp macro="" textlink="">
          <xdr:nvSpPr>
            <xdr:cNvPr hidden="1" id="5121" name="Button 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anchor="ctr" bIns="32004" lIns="36576" rIns="36576" tIns="32004" upright="1" vertOverflow="clip" wrap="square"/>
            <a:lstStyle/>
            <a:p>
              <a:pPr algn="ctr" rtl="0">
                <a:defRPr sz="1000"/>
              </a:pPr>
              <a:r>
                <a:rPr b="1" baseline="0" i="0" lang="en-US" strike="noStrike" sz="1000" u="none">
                  <a:solidFill>
                    <a:srgbClr val="000000"/>
                  </a:solidFill>
                  <a:latin typeface="Calibri"/>
                  <a:ea typeface="Calibri"/>
                  <a:cs typeface="Calibri"/>
                </a:rPr>
                <a:t>Add/Remove Custom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1581150</xdr:colOff>
          <xdr:row>0</xdr:row>
          <xdr:rowOff>57150</xdr:rowOff>
        </xdr:from>
        <xdr:to>
          <xdr:col>4</xdr:col>
          <xdr:colOff>742950</xdr:colOff>
          <xdr:row>2</xdr:row>
          <xdr:rowOff>31750</xdr:rowOff>
        </xdr:to>
        <xdr:sp macro="" textlink="">
          <xdr:nvSpPr>
            <xdr:cNvPr hidden="1" id="5122" name="Button 2">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anchor="ctr" bIns="36576" lIns="36576" rIns="36576" tIns="36576" upright="1" vertOverflow="clip" wrap="square"/>
            <a:lstStyle/>
            <a:p>
              <a:pPr algn="ctr" rtl="0">
                <a:defRPr sz="1000"/>
              </a:pPr>
              <a:r>
                <a:rPr b="1" baseline="0" i="0" lang="en-US" strike="noStrike" sz="1100" u="none">
                  <a:solidFill>
                    <a:srgbClr val="000000"/>
                  </a:solidFill>
                  <a:latin typeface="Calibri"/>
                  <a:ea typeface="Calibri"/>
                  <a:cs typeface="Calibri"/>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127000</xdr:colOff>
          <xdr:row>0</xdr:row>
          <xdr:rowOff>38100</xdr:rowOff>
        </xdr:from>
        <xdr:to>
          <xdr:col>3</xdr:col>
          <xdr:colOff>1428750</xdr:colOff>
          <xdr:row>2</xdr:row>
          <xdr:rowOff>31750</xdr:rowOff>
        </xdr:to>
        <xdr:sp macro="" textlink="">
          <xdr:nvSpPr>
            <xdr:cNvPr hidden="1" id="5130" name="Button 10">
              <a:extLst>
                <a:ext uri="{63B3BB69-23CF-44E3-9099-C40C66FF867C}">
                  <a14:compatExt spid="_x0000_s5130"/>
                </a:ext>
                <a:ext uri="{FF2B5EF4-FFF2-40B4-BE49-F238E27FC236}">
                  <a16:creationId xmlns:a16="http://schemas.microsoft.com/office/drawing/2014/main" id="{00000000-0008-0000-0100-00000A140000}"/>
                </a:ext>
              </a:extLst>
            </xdr:cNvPr>
            <xdr:cNvSpPr/>
          </xdr:nvSpPr>
          <xdr:spPr bwMode="auto">
            <a:xfrm>
              <a:off x="0" y="0"/>
              <a:ext cx="0" cy="0"/>
            </a:xfrm>
            <a:prstGeom prst="rect">
              <a:avLst/>
            </a:prstGeom>
            <a:noFill/>
            <a:ln w="9525">
              <a:miter lim="800000"/>
              <a:headEnd/>
              <a:tailEnd/>
            </a:ln>
          </xdr:spPr>
          <xdr:txBody>
            <a:bodyPr anchor="ctr" bIns="32004" lIns="36576" rIns="36576" tIns="32004" upright="1" vertOverflow="clip" wrap="square"/>
            <a:lstStyle/>
            <a:p>
              <a:pPr algn="ctr" rtl="0">
                <a:defRPr sz="1000"/>
              </a:pPr>
              <a:r>
                <a:rPr b="1" baseline="0" i="0" lang="en-US" strike="noStrike" sz="1000" u="none">
                  <a:solidFill>
                    <a:srgbClr val="000000"/>
                  </a:solidFill>
                  <a:latin typeface="Calibri"/>
                  <a:ea typeface="Calibri"/>
                  <a:cs typeface="Calibri"/>
                </a:rPr>
                <a:t>Add/Remove Dependent Column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spDef>
      <a:spPr bwMode="auto">
        <a:xfrm>
          <a:off x="0" y="0"/>
          <a:ext cx="1" cy="1"/>
        </a:xfrm>
        <a:custGeom>
          <a:avLst/>
          <a:gdLst/>
          <a:ahLst/>
          <a:cxnLst/>
          <a:rect b="0" l="0" r="0" t="0"/>
          <a:pathLst/>
        </a:custGeom>
        <a:solidFill>
          <a:srgbClr xmlns:a14="http://schemas.microsoft.com/office/drawing/2010/main" xmlns:mc="http://schemas.openxmlformats.org/markup-compatibility/2006" a14:legacySpreadsheetColorIndex="9" mc:Ignorable="a14" val="090000"/>
        </a:solidFill>
        <a:ln algn="ctr" cap="flat" cmpd="sng" w="9525">
          <a:solidFill>
            <a:srgbClr xmlns:a14="http://schemas.microsoft.com/office/drawing/2010/main" xmlns:mc="http://schemas.openxmlformats.org/markup-compatibility/2006" a14:legacySpreadsheetColorIndex="64" mc:Ignorable="a14" val="400000"/>
          </a:solidFill>
          <a:prstDash val="solid"/>
          <a:round/>
          <a:headEnd len="med" type="none" w="med"/>
          <a:tailEnd len="med" type="none" w="med"/>
        </a:ln>
        <a:effectLst/>
        <a:extLst>
          <a:ext uri="{AF507438-7753-43E0-B8FC-AC1667EBCBE1}">
            <a14:hiddenEffects xmlns:a14="http://schemas.microsoft.com/office/drawing/2010/main">
              <a:effectLst>
                <a:outerShdw algn="ctr" dir="2700000" dist="35921" rotWithShape="0">
                  <a:srgbClr val="808080"/>
                </a:outerShdw>
              </a:effectLst>
            </a14:hiddenEffects>
          </a:ext>
        </a:extLst>
      </a:spPr>
      <a:bodyPr bIns="0" lIns="18288" rIns="0" tIns="0" upright="1" vertOverflow="clip" wrap="square"/>
      <a:lstStyle/>
    </a:spDef>
    <a:lnDef>
      <a:spPr bwMode="auto">
        <a:xfrm>
          <a:off x="0" y="0"/>
          <a:ext cx="1" cy="1"/>
        </a:xfrm>
        <a:custGeom>
          <a:avLst/>
          <a:gdLst/>
          <a:ahLst/>
          <a:cxnLst/>
          <a:rect b="0" l="0" r="0" t="0"/>
          <a:pathLst/>
        </a:custGeom>
        <a:solidFill>
          <a:srgbClr xmlns:a14="http://schemas.microsoft.com/office/drawing/2010/main" xmlns:mc="http://schemas.openxmlformats.org/markup-compatibility/2006" a14:legacySpreadsheetColorIndex="9" mc:Ignorable="a14" val="090000"/>
        </a:solidFill>
        <a:ln algn="ctr" cap="flat" cmpd="sng" w="9525">
          <a:solidFill>
            <a:srgbClr xmlns:a14="http://schemas.microsoft.com/office/drawing/2010/main" xmlns:mc="http://schemas.openxmlformats.org/markup-compatibility/2006" a14:legacySpreadsheetColorIndex="64" mc:Ignorable="a14" val="400000"/>
          </a:solidFill>
          <a:prstDash val="solid"/>
          <a:round/>
          <a:headEnd len="med" type="none" w="med"/>
          <a:tailEnd len="med" type="none" w="med"/>
        </a:ln>
        <a:effectLst/>
        <a:extLst>
          <a:ext uri="{AF507438-7753-43E0-B8FC-AC1667EBCBE1}">
            <a14:hiddenEffects xmlns:a14="http://schemas.microsoft.com/office/drawing/2010/main">
              <a:effectLst>
                <a:outerShdw algn="ctr" dir="2700000" dist="35921" rotWithShape="0">
                  <a:srgbClr val="808080"/>
                </a:outerShdw>
              </a:effectLst>
            </a14:hiddenEffects>
          </a:ext>
        </a:extLst>
      </a:spPr>
      <a:bodyPr bIns="0" lIns="18288" rIns="0" tIns="0" upright="1" vertOverflow="clip" wrap="square"/>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 Id="rId6" Target="../ctrlProps/ctrlProp3.xml" Type="http://schemas.openxmlformats.org/officeDocument/2006/relationships/ctrlProp"/>
<Relationship Id="rId7" Target="../comments1.xml" Type="http://schemas.openxmlformats.org/officeDocument/2006/relationships/comment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J27"/>
  <sheetViews>
    <sheetView workbookViewId="0">
      <selection sqref="A1:F3"/>
    </sheetView>
  </sheetViews>
  <sheetFormatPr defaultColWidth="8.81640625" defaultRowHeight="14.5" x14ac:dyDescent="0.35"/>
  <cols>
    <col min="1" max="1" customWidth="true" width="14.7265625" collapsed="false"/>
    <col min="2" max="2" customWidth="true" width="15.0" collapsed="false"/>
    <col min="3" max="3" customWidth="true" width="14.1796875" collapsed="false"/>
    <col min="4" max="5" customWidth="true" width="14.453125" collapsed="false"/>
    <col min="6" max="6" customWidth="true" width="17.453125" collapsed="false"/>
    <col min="9" max="9" customWidth="true" width="17.1796875" collapsed="false"/>
  </cols>
  <sheetData>
    <row r="1" spans="1:9" x14ac:dyDescent="0.35">
      <c r="A1" s="64" t="s">
        <v>252</v>
      </c>
      <c r="B1" s="65"/>
      <c r="C1" s="65"/>
      <c r="D1" s="65"/>
      <c r="E1" s="65"/>
      <c r="F1" s="66"/>
    </row>
    <row r="2" spans="1:9" x14ac:dyDescent="0.35">
      <c r="A2" s="67"/>
      <c r="B2" s="68"/>
      <c r="C2" s="68"/>
      <c r="D2" s="68"/>
      <c r="E2" s="68"/>
      <c r="F2" s="69"/>
    </row>
    <row ht="15" r="3" spans="1:9" thickBot="1" x14ac:dyDescent="0.4">
      <c r="A3" s="70"/>
      <c r="B3" s="71"/>
      <c r="C3" s="71"/>
      <c r="D3" s="71"/>
      <c r="E3" s="71"/>
      <c r="F3" s="72"/>
    </row>
    <row customHeight="1" ht="16.5" r="4" spans="1:9" thickBot="1" x14ac:dyDescent="0.4">
      <c r="A4" s="73" t="s">
        <v>263</v>
      </c>
      <c r="B4" s="74"/>
      <c r="C4" s="74"/>
      <c r="D4" s="74"/>
      <c r="E4" s="74"/>
      <c r="F4" s="75"/>
      <c r="H4" s="85" t="s">
        <v>2283</v>
      </c>
      <c r="I4" s="86"/>
    </row>
    <row customHeight="1" ht="15" r="5" spans="1:9" thickBot="1" x14ac:dyDescent="0.4">
      <c r="A5" s="76" t="s">
        <v>2356</v>
      </c>
      <c r="B5" s="77"/>
      <c r="C5" s="77"/>
      <c r="D5" s="77"/>
      <c r="E5" s="77"/>
      <c r="F5" s="78"/>
      <c r="H5" s="61"/>
      <c r="I5" s="58" t="s">
        <v>2281</v>
      </c>
    </row>
    <row ht="15" r="6" spans="1:9" thickBot="1" x14ac:dyDescent="0.4">
      <c r="A6" s="79"/>
      <c r="B6" s="80"/>
      <c r="C6" s="80"/>
      <c r="D6" s="80"/>
      <c r="E6" s="80"/>
      <c r="F6" s="81"/>
      <c r="H6" s="63"/>
      <c r="I6" s="60" t="s">
        <v>2348</v>
      </c>
    </row>
    <row ht="15" r="7" spans="1:9" thickBot="1" x14ac:dyDescent="0.4">
      <c r="A7" s="79"/>
      <c r="B7" s="80"/>
      <c r="C7" s="80"/>
      <c r="D7" s="80"/>
      <c r="E7" s="80"/>
      <c r="F7" s="81"/>
      <c r="H7" s="62"/>
      <c r="I7" s="59" t="s">
        <v>2282</v>
      </c>
    </row>
    <row r="8" spans="1:9" x14ac:dyDescent="0.35">
      <c r="A8" s="79"/>
      <c r="B8" s="80"/>
      <c r="C8" s="80"/>
      <c r="D8" s="80"/>
      <c r="E8" s="80"/>
      <c r="F8" s="81"/>
    </row>
    <row r="9" spans="1:9" x14ac:dyDescent="0.35">
      <c r="A9" s="79"/>
      <c r="B9" s="80"/>
      <c r="C9" s="80"/>
      <c r="D9" s="80"/>
      <c r="E9" s="80"/>
      <c r="F9" s="81"/>
    </row>
    <row r="10" spans="1:9" x14ac:dyDescent="0.35">
      <c r="A10" s="79"/>
      <c r="B10" s="80"/>
      <c r="C10" s="80"/>
      <c r="D10" s="80"/>
      <c r="E10" s="80"/>
      <c r="F10" s="81"/>
    </row>
    <row r="11" spans="1:9" x14ac:dyDescent="0.35">
      <c r="A11" s="79"/>
      <c r="B11" s="80"/>
      <c r="C11" s="80"/>
      <c r="D11" s="80"/>
      <c r="E11" s="80"/>
      <c r="F11" s="81"/>
    </row>
    <row r="12" spans="1:9" x14ac:dyDescent="0.35">
      <c r="A12" s="79"/>
      <c r="B12" s="80"/>
      <c r="C12" s="80"/>
      <c r="D12" s="80"/>
      <c r="E12" s="80"/>
      <c r="F12" s="81"/>
    </row>
    <row r="13" spans="1:9" x14ac:dyDescent="0.35">
      <c r="A13" s="79"/>
      <c r="B13" s="80"/>
      <c r="C13" s="80"/>
      <c r="D13" s="80"/>
      <c r="E13" s="80"/>
      <c r="F13" s="81"/>
    </row>
    <row r="14" spans="1:9" x14ac:dyDescent="0.35">
      <c r="A14" s="79"/>
      <c r="B14" s="80"/>
      <c r="C14" s="80"/>
      <c r="D14" s="80"/>
      <c r="E14" s="80"/>
      <c r="F14" s="81"/>
    </row>
    <row r="15" spans="1:9" x14ac:dyDescent="0.35">
      <c r="A15" s="79"/>
      <c r="B15" s="80"/>
      <c r="C15" s="80"/>
      <c r="D15" s="80"/>
      <c r="E15" s="80"/>
      <c r="F15" s="81"/>
    </row>
    <row r="16" spans="1:9" x14ac:dyDescent="0.35">
      <c r="A16" s="79"/>
      <c r="B16" s="80"/>
      <c r="C16" s="80"/>
      <c r="D16" s="80"/>
      <c r="E16" s="80"/>
      <c r="F16" s="81"/>
    </row>
    <row r="17" spans="1:6" x14ac:dyDescent="0.35">
      <c r="A17" s="79"/>
      <c r="B17" s="80"/>
      <c r="C17" s="80"/>
      <c r="D17" s="80"/>
      <c r="E17" s="80"/>
      <c r="F17" s="81"/>
    </row>
    <row r="18" spans="1:6" x14ac:dyDescent="0.35">
      <c r="A18" s="79"/>
      <c r="B18" s="80"/>
      <c r="C18" s="80"/>
      <c r="D18" s="80"/>
      <c r="E18" s="80"/>
      <c r="F18" s="81"/>
    </row>
    <row r="19" spans="1:6" x14ac:dyDescent="0.35">
      <c r="A19" s="79"/>
      <c r="B19" s="80"/>
      <c r="C19" s="80"/>
      <c r="D19" s="80"/>
      <c r="E19" s="80"/>
      <c r="F19" s="81"/>
    </row>
    <row r="20" spans="1:6" x14ac:dyDescent="0.35">
      <c r="A20" s="79"/>
      <c r="B20" s="80"/>
      <c r="C20" s="80"/>
      <c r="D20" s="80"/>
      <c r="E20" s="80"/>
      <c r="F20" s="81"/>
    </row>
    <row r="21" spans="1:6" x14ac:dyDescent="0.35">
      <c r="A21" s="79"/>
      <c r="B21" s="80"/>
      <c r="C21" s="80"/>
      <c r="D21" s="80"/>
      <c r="E21" s="80"/>
      <c r="F21" s="81"/>
    </row>
    <row r="22" spans="1:6" x14ac:dyDescent="0.35">
      <c r="A22" s="79"/>
      <c r="B22" s="80"/>
      <c r="C22" s="80"/>
      <c r="D22" s="80"/>
      <c r="E22" s="80"/>
      <c r="F22" s="81"/>
    </row>
    <row r="23" spans="1:6" x14ac:dyDescent="0.35">
      <c r="A23" s="79"/>
      <c r="B23" s="80"/>
      <c r="C23" s="80"/>
      <c r="D23" s="80"/>
      <c r="E23" s="80"/>
      <c r="F23" s="81"/>
    </row>
    <row r="24" spans="1:6" x14ac:dyDescent="0.35">
      <c r="A24" s="79"/>
      <c r="B24" s="80"/>
      <c r="C24" s="80"/>
      <c r="D24" s="80"/>
      <c r="E24" s="80"/>
      <c r="F24" s="81"/>
    </row>
    <row r="25" spans="1:6" x14ac:dyDescent="0.35">
      <c r="A25" s="79"/>
      <c r="B25" s="80"/>
      <c r="C25" s="80"/>
      <c r="D25" s="80"/>
      <c r="E25" s="80"/>
      <c r="F25" s="81"/>
    </row>
    <row customHeight="1" ht="93.75" r="26" spans="1:6" thickBot="1" x14ac:dyDescent="0.4">
      <c r="A26" s="82"/>
      <c r="B26" s="83"/>
      <c r="C26" s="83"/>
      <c r="D26" s="83"/>
      <c r="E26" s="83"/>
      <c r="F26" s="84"/>
    </row>
    <row customHeight="1" ht="15" r="27" spans="1:6" x14ac:dyDescent="0.35"/>
  </sheetData>
  <mergeCells count="4">
    <mergeCell ref="A1:F3"/>
    <mergeCell ref="A4:F4"/>
    <mergeCell ref="A5:F26"/>
    <mergeCell ref="H4:I4"/>
  </mergeCells>
  <pageMargins bottom="0.75" footer="0.3" header="0.3" left="0.7" right="0.7" top="0.75"/>
  <pageSetup orientation="portrait" paperSize="9" r:id="rId1"/>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DH2017"/>
  <sheetViews>
    <sheetView tabSelected="1" workbookViewId="0">
      <pane activePane="bottomRight" state="frozen" topLeftCell="R5" xSplit="3" ySplit="4"/>
      <selection activeCell="D1" pane="topRight" sqref="D1"/>
      <selection activeCell="A5" pane="bottomLeft" sqref="A5"/>
      <selection activeCell="T4" pane="bottomRight" sqref="T4"/>
    </sheetView>
  </sheetViews>
  <sheetFormatPr defaultColWidth="9.1796875" defaultRowHeight="14.5" x14ac:dyDescent="0.35"/>
  <cols>
    <col min="102" max="446" style="33" width="9.1796875" collapsed="true"/>
    <col min="101" max="101" style="33" width="9.1796875" collapsed="true" customWidth="true"/>
    <col min="100" max="100" style="33" width="9.1796875" collapsed="true" customWidth="true"/>
    <col min="99" max="99" style="33" width="9.1796875" collapsed="true" customWidth="true"/>
    <col min="98" max="98" style="33" width="9.1796875" collapsed="true" customWidth="true"/>
    <col min="97" max="97" style="33" width="9.1796875" collapsed="true" customWidth="true"/>
    <col min="96" max="96" style="33" width="9.1796875" collapsed="true" customWidth="true"/>
    <col min="95" max="95" style="33" width="9.1796875" collapsed="true" customWidth="true"/>
    <col min="94" max="94" style="33" width="9.1796875" collapsed="true" customWidth="true"/>
    <col min="93" max="93" style="33" width="9.1796875" collapsed="true" customWidth="true"/>
    <col min="92" max="92" style="33" width="9.1796875" collapsed="true" customWidth="true"/>
    <col min="91" max="91" style="33" width="9.1796875" collapsed="true" customWidth="true"/>
    <col min="90" max="90" style="33" width="9.1796875" collapsed="true" customWidth="true"/>
    <col min="89" max="89" style="33" width="9.1796875" collapsed="true" customWidth="true"/>
    <col min="88" max="88" style="33" width="9.1796875" collapsed="true" customWidth="true"/>
    <col min="87" max="87" style="33" width="9.1796875" collapsed="true" customWidth="true"/>
    <col min="86" max="86" style="33" width="9.1796875" collapsed="true" customWidth="true"/>
    <col min="85" max="85" style="33" width="9.1796875" collapsed="true" customWidth="true"/>
    <col min="84" max="84" style="33" width="9.1796875" collapsed="true" customWidth="true"/>
    <col min="83" max="83" style="33" width="9.1796875" collapsed="true" customWidth="true"/>
    <col min="82" max="82" style="33" width="9.1796875" collapsed="true" customWidth="true"/>
    <col min="81" max="81" style="33" width="9.1796875" collapsed="true" customWidth="true"/>
    <col min="80" max="80" style="33" width="9.1796875" collapsed="true" customWidth="true"/>
    <col min="79" max="79" style="33" width="9.1796875" collapsed="true" customWidth="true"/>
    <col min="78" max="78" style="33" width="9.1796875" collapsed="true" customWidth="true"/>
    <col min="77" max="77" style="33" width="9.1796875" collapsed="true" customWidth="true"/>
    <col min="76" max="76" style="33" width="9.1796875" collapsed="true" customWidth="true"/>
    <col min="75" max="75" style="33" width="9.1796875" collapsed="true" customWidth="true"/>
    <col min="74" max="74" style="33" width="9.1796875" collapsed="true" customWidth="true"/>
    <col min="73" max="73" style="33" width="9.1796875" collapsed="true" customWidth="true"/>
    <col min="72" max="72" style="33" width="9.1796875" collapsed="true" customWidth="true"/>
    <col min="71" max="71" style="33" width="9.1796875" collapsed="true" customWidth="true"/>
    <col min="70" max="70" style="33" width="9.1796875" collapsed="true" customWidth="true"/>
    <col min="69" max="69" style="33" width="9.1796875" collapsed="true" customWidth="true"/>
    <col min="68" max="68" style="33" width="9.1796875" collapsed="true" customWidth="true"/>
    <col min="67" max="67" style="33" width="9.1796875" collapsed="true" customWidth="true"/>
    <col min="66" max="66" style="33" width="9.1796875" collapsed="true" customWidth="true"/>
    <col min="65" max="65" style="33" width="9.1796875" collapsed="true" customWidth="true"/>
    <col min="64" max="64" style="33" width="9.1796875" collapsed="true" customWidth="true"/>
    <col min="63" max="63" style="33" width="9.1796875" collapsed="true" customWidth="true"/>
    <col min="62" max="62" style="33" width="9.1796875" collapsed="true" customWidth="true"/>
    <col min="61" max="61" style="33" width="17.26953125" collapsed="true" customWidth="true"/>
    <col min="60" max="60" style="33" width="17.26953125" collapsed="true" customWidth="true"/>
    <col min="59" max="59" style="33" width="17.26953125" collapsed="true" customWidth="true"/>
    <col min="58" max="58" style="33" width="17.26953125" collapsed="true" customWidth="true"/>
    <col min="46" max="46" customWidth="true" style="33" width="17.26953125" collapsed="true"/>
    <col min="45" max="45" customWidth="true" style="33" width="17.26953125" collapsed="true"/>
    <col min="43" max="43" customWidth="true" style="33" width="17.26953125" collapsed="true"/>
    <col min="1" max="1" customWidth="true" style="33" width="30.26953125" collapsed="false"/>
    <col min="2" max="2" customWidth="true" style="33" width="20.26953125" collapsed="false"/>
    <col min="3" max="3" customWidth="true" style="33" width="20.54296875" collapsed="false"/>
    <col min="4" max="4" customWidth="true" style="33" width="26.453125" collapsed="false"/>
    <col min="5" max="5" customWidth="true" style="33" width="19.7265625" collapsed="false"/>
    <col min="6" max="6" customWidth="true" style="55" width="14.81640625" collapsed="false"/>
    <col min="7" max="7" customWidth="true" style="55" width="16.54296875" collapsed="false"/>
    <col min="8" max="8" customWidth="true" style="51" width="17.453125" collapsed="false"/>
    <col min="9" max="9" customWidth="true" style="33" width="15.453125" collapsed="false"/>
    <col min="10" max="10" customWidth="true" style="51" width="15.0" collapsed="false"/>
    <col min="11" max="11" customWidth="true" style="33" width="14.0" collapsed="false"/>
    <col min="12" max="12" customWidth="true" style="55" width="15.1796875" collapsed="false"/>
    <col min="13" max="13" customWidth="true" style="55" width="12.81640625" collapsed="false"/>
    <col min="14" max="14" customWidth="true" style="55" width="13.26953125" collapsed="false"/>
    <col min="15" max="15" customWidth="true" style="33" width="11.453125" collapsed="false"/>
    <col min="16" max="16" customWidth="true" style="33" width="16.7265625" collapsed="false"/>
    <col min="17" max="17" customWidth="true" style="33" width="21.0" collapsed="false"/>
    <col min="18" max="18" customWidth="true" style="33" width="13.453125" collapsed="false"/>
    <col min="19" max="20" customWidth="true" style="56" width="15.0" collapsed="false"/>
    <col min="21" max="21" customWidth="true" style="57" width="15.0" collapsed="false"/>
    <col min="22" max="22" customWidth="true" style="33" width="15.26953125" collapsed="false"/>
    <col min="23" max="23" customWidth="true" style="94" width="17.81640625" collapsed="false"/>
    <col min="24" max="24" customWidth="true" style="94" width="11.453125" collapsed="false"/>
    <col min="25" max="26" customWidth="true" style="33" width="11.453125" collapsed="false"/>
    <col min="27" max="27" customWidth="true" style="33" width="20.0" collapsed="false"/>
    <col min="28" max="28" bestFit="true" customWidth="true" style="33" width="10.7265625" collapsed="false"/>
    <col min="29" max="29" customWidth="true" style="33" width="13.0" collapsed="false"/>
    <col min="30" max="30" customWidth="true" style="33" width="12.1796875" collapsed="false"/>
    <col min="31" max="31" customWidth="true" style="33" width="13.0" collapsed="false"/>
    <col min="32" max="32" customWidth="true" style="33" width="23.0" collapsed="false"/>
    <col min="33" max="33" customWidth="true" style="33" width="15.1796875" collapsed="false"/>
    <col min="34" max="34" customWidth="true" style="33" width="29.81640625" collapsed="false"/>
    <col min="35" max="35" customWidth="true" style="33" width="32.26953125" collapsed="false"/>
    <col min="36" max="36" customWidth="true" style="33" width="17.453125" collapsed="false"/>
    <col min="37" max="37" customWidth="true" style="94" width="37.7265625" collapsed="false"/>
    <col min="38" max="38" customWidth="true" style="33" width="36.26953125" collapsed="false"/>
    <col min="39" max="39" customWidth="true" style="33" width="20.7265625" collapsed="false"/>
    <col min="40" max="40" customWidth="true" style="51" width="13.26953125" collapsed="false"/>
    <col min="41" max="41" customWidth="true" style="33" width="17.453125" collapsed="false"/>
    <col min="42" max="42" customWidth="true" style="33" width="17.26953125" collapsed="true"/>
    <col min="44" max="44" customWidth="true" style="33" width="17.26953125" collapsed="false"/>
    <col min="47" max="47" customWidth="true" style="33" width="17.26953125" collapsed="true"/>
    <col min="48" max="48" customWidth="true" style="33" width="17.26953125" collapsed="true"/>
    <col min="49" max="49" customWidth="true" style="33" width="17.26953125" collapsed="true"/>
    <col min="50" max="50" customWidth="true" style="33" width="17.26953125" collapsed="true"/>
    <col min="51" max="51" customWidth="true" style="33" width="17.26953125" collapsed="true"/>
    <col min="52" max="52" customWidth="true" style="55" width="17.26953125" collapsed="true"/>
    <col min="53" max="53" customWidth="true" style="55" width="17.26953125" collapsed="true"/>
    <col min="54" max="54" customWidth="true" style="33" width="17.26953125" collapsed="true"/>
    <col min="55" max="55" customWidth="true" style="33" width="17.26953125" collapsed="true"/>
    <col min="56" max="56" customWidth="true" style="33" width="17.26953125" collapsed="true"/>
    <col min="57" max="57" style="33" width="17.26953125" collapsed="true" customWidth="true"/>
    <col min="447" max="497" style="33" width="9.1796875" collapsed="false"/>
    <col min="498" max="16384" style="33" width="9.1796875" collapsed="true"/>
  </cols>
  <sheetData>
    <row r="1" spans="1:58" x14ac:dyDescent="0.35">
      <c r="A1" s="96" t="s">
        <v>2397</v>
      </c>
      <c r="B1" s="51"/>
      <c r="AN1" s="33"/>
    </row>
    <row customHeight="1" ht="17.149999999999999" r="2" spans="1:58" x14ac:dyDescent="0.35">
      <c r="A2" s="51"/>
      <c r="B2" s="51"/>
      <c r="C2" s="53"/>
      <c r="D2" s="53"/>
      <c r="E2" s="51"/>
      <c r="K2" s="51"/>
      <c r="O2" s="51"/>
      <c r="P2" s="51"/>
      <c r="Q2" s="51"/>
      <c r="R2" s="51"/>
      <c r="U2" s="56"/>
      <c r="AA2" s="51"/>
      <c r="AB2" s="51"/>
      <c r="AC2" s="51"/>
      <c r="AD2" s="51"/>
      <c r="AE2" s="51"/>
      <c r="AF2" s="51"/>
      <c r="AG2" s="51"/>
      <c r="AH2" s="51"/>
      <c r="AI2" s="51"/>
      <c r="AL2" s="51"/>
      <c r="AM2" s="51"/>
      <c r="AO2" s="51"/>
      <c r="AP2" s="51"/>
      <c r="AQ2" s="51"/>
      <c r="AR2" s="51"/>
      <c r="AS2" s="51"/>
      <c r="AT2" s="51"/>
    </row>
    <row customFormat="1" r="3" s="111" spans="1:58" x14ac:dyDescent="0.35">
      <c r="A3" s="108"/>
      <c r="B3" s="108"/>
      <c r="C3" s="108"/>
      <c r="D3" s="108"/>
      <c r="E3" s="108"/>
      <c r="F3" s="112"/>
      <c r="G3" s="112"/>
      <c r="H3" s="108"/>
      <c r="I3" s="108"/>
      <c r="J3" s="108"/>
      <c r="K3" s="108"/>
      <c r="L3" s="112"/>
      <c r="M3" s="112"/>
      <c r="N3" s="112"/>
      <c r="O3" s="108"/>
      <c r="P3" s="108"/>
      <c r="Q3" s="108"/>
      <c r="R3" s="108"/>
      <c r="S3" s="113"/>
      <c r="T3" s="113"/>
      <c r="U3" s="113"/>
      <c r="W3" s="114"/>
      <c r="X3" s="114"/>
      <c r="AA3" s="108"/>
      <c r="AB3" s="108"/>
      <c r="AC3" s="108"/>
      <c r="AD3" s="108"/>
      <c r="AE3" s="108"/>
      <c r="AF3" s="108"/>
      <c r="AG3" s="108"/>
      <c r="AH3" s="108"/>
      <c r="AI3" s="108"/>
      <c r="AK3" s="114"/>
      <c r="AL3" s="108"/>
      <c r="AM3" s="108"/>
      <c r="AN3" s="108"/>
      <c r="AO3" s="108"/>
      <c r="AP3" s="108"/>
      <c r="AQ3" s="108"/>
      <c r="AR3" s="108"/>
      <c r="AS3" s="108"/>
      <c r="AT3" s="108"/>
      <c r="AZ3" s="112"/>
      <c r="BA3" s="112"/>
    </row>
    <row customFormat="1" customHeight="1" ht="63.75" r="4" s="111" spans="1:58" x14ac:dyDescent="0.35">
      <c r="A4" s="97" t="s">
        <v>2340</v>
      </c>
      <c r="B4" s="97" t="s">
        <v>230</v>
      </c>
      <c r="C4" s="98" t="s">
        <v>265</v>
      </c>
      <c r="D4" s="97" t="s">
        <v>1</v>
      </c>
      <c r="E4" s="98" t="s">
        <v>264</v>
      </c>
      <c r="F4" s="97" t="s">
        <v>3</v>
      </c>
      <c r="G4" s="99" t="s">
        <v>266</v>
      </c>
      <c r="H4" s="98" t="s">
        <v>2341</v>
      </c>
      <c r="I4" s="100" t="s">
        <v>267</v>
      </c>
      <c r="J4" s="100" t="s">
        <v>2343</v>
      </c>
      <c r="K4" s="98" t="s">
        <v>228</v>
      </c>
      <c r="L4" s="98" t="s">
        <v>232</v>
      </c>
      <c r="M4" s="99" t="s">
        <v>155</v>
      </c>
      <c r="N4" s="101" t="s">
        <v>240</v>
      </c>
      <c r="O4" s="102" t="s">
        <v>241</v>
      </c>
      <c r="P4" s="98" t="s">
        <v>2393</v>
      </c>
      <c r="Q4" s="98" t="s">
        <v>2394</v>
      </c>
      <c r="R4" s="98" t="s">
        <v>140</v>
      </c>
      <c r="S4" s="103" t="s">
        <v>2388</v>
      </c>
      <c r="T4" s="103" t="s">
        <v>2398</v>
      </c>
      <c r="U4" s="104" t="s">
        <v>2351</v>
      </c>
      <c r="V4" s="105" t="s">
        <v>2240</v>
      </c>
      <c r="W4" s="106" t="s">
        <v>2352</v>
      </c>
      <c r="X4" s="106" t="s">
        <v>2353</v>
      </c>
      <c r="Y4" s="97" t="s">
        <v>2379</v>
      </c>
      <c r="Z4" s="97" t="s">
        <v>2385</v>
      </c>
      <c r="AA4" s="97" t="s">
        <v>2395</v>
      </c>
      <c r="AB4" s="97" t="s">
        <v>259</v>
      </c>
      <c r="AC4" s="97" t="s">
        <v>19</v>
      </c>
      <c r="AD4" s="97" t="s">
        <v>2392</v>
      </c>
      <c r="AE4" s="97" t="s">
        <v>2391</v>
      </c>
      <c r="AF4" s="97" t="s">
        <v>2390</v>
      </c>
      <c r="AG4" s="97" t="s">
        <v>2235</v>
      </c>
      <c r="AH4" s="97" t="s">
        <v>2236</v>
      </c>
      <c r="AI4" s="100" t="s">
        <v>20</v>
      </c>
      <c r="AJ4" s="98" t="s">
        <v>141</v>
      </c>
      <c r="AK4" s="107" t="s">
        <v>22</v>
      </c>
      <c r="AL4" s="100" t="s">
        <v>23</v>
      </c>
      <c r="AM4" s="97" t="s">
        <v>24</v>
      </c>
      <c r="AN4" s="98" t="s">
        <v>142</v>
      </c>
      <c r="AO4" s="98" t="s">
        <v>229</v>
      </c>
      <c r="AP4" s="98" t="s">
        <v>143</v>
      </c>
      <c r="AQ4" s="100" t="s">
        <v>28</v>
      </c>
      <c r="AR4" s="109" t="s">
        <v>2399</v>
      </c>
      <c r="AS4" s="109" t="s">
        <v>2400</v>
      </c>
      <c r="AT4" s="109" t="s">
        <v>2401</v>
      </c>
      <c r="AU4" s="109" t="s">
        <v>2402</v>
      </c>
      <c r="AV4" s="109" t="s">
        <v>2403</v>
      </c>
      <c r="AW4" s="109" t="s">
        <v>2404</v>
      </c>
      <c r="AX4" s="109" t="s">
        <v>2405</v>
      </c>
      <c r="AY4" s="109" t="s">
        <v>2406</v>
      </c>
      <c r="AZ4" s="109" t="s">
        <v>2407</v>
      </c>
      <c r="BA4" s="109" t="s">
        <v>2408</v>
      </c>
      <c r="BB4" s="109" t="s">
        <v>2409</v>
      </c>
      <c r="BC4" s="109" t="s">
        <v>2410</v>
      </c>
      <c r="BD4" s="109" t="s">
        <v>2411</v>
      </c>
      <c r="BE4" s="109" t="s">
        <v>2412</v>
      </c>
      <c r="BF4" s="109" t="s">
        <v>2413</v>
      </c>
      <c r="BG4" s="109" t="s">
        <v>2414</v>
      </c>
      <c r="BH4" s="109" t="s">
        <v>2415</v>
      </c>
      <c r="BI4" s="109" t="s">
        <v>2416</v>
      </c>
      <c r="BJ4" s="110" t="s">
        <v>29</v>
      </c>
      <c r="BK4" s="110" t="s">
        <v>2417</v>
      </c>
      <c r="BL4" s="110" t="s">
        <v>31</v>
      </c>
      <c r="BM4" s="110" t="s">
        <v>2418</v>
      </c>
      <c r="BN4" s="110" t="s">
        <v>33</v>
      </c>
      <c r="BO4" s="101" t="s">
        <v>2419</v>
      </c>
      <c r="BP4" s="101" t="s">
        <v>2420</v>
      </c>
      <c r="BQ4" s="110" t="s">
        <v>2345</v>
      </c>
      <c r="BR4" s="110" t="s">
        <v>2421</v>
      </c>
      <c r="BS4" s="110" t="s">
        <v>2289</v>
      </c>
      <c r="BT4" s="110" t="s">
        <v>40</v>
      </c>
      <c r="BU4" s="110" t="s">
        <v>2422</v>
      </c>
      <c r="BV4" s="110" t="s">
        <v>42</v>
      </c>
      <c r="BW4" s="110" t="s">
        <v>2423</v>
      </c>
      <c r="BX4" s="110" t="s">
        <v>44</v>
      </c>
      <c r="BY4" s="101" t="s">
        <v>2424</v>
      </c>
      <c r="BZ4" s="101" t="s">
        <v>2425</v>
      </c>
      <c r="CA4" s="110" t="s">
        <v>2426</v>
      </c>
      <c r="CB4" s="110" t="s">
        <v>2427</v>
      </c>
      <c r="CC4" s="110" t="s">
        <v>2428</v>
      </c>
      <c r="CD4" s="110" t="s">
        <v>51</v>
      </c>
      <c r="CE4" s="110" t="s">
        <v>2429</v>
      </c>
      <c r="CF4" s="110" t="s">
        <v>53</v>
      </c>
      <c r="CG4" s="110" t="s">
        <v>2430</v>
      </c>
      <c r="CH4" s="110" t="s">
        <v>55</v>
      </c>
      <c r="CI4" s="101" t="s">
        <v>2431</v>
      </c>
      <c r="CJ4" s="101" t="s">
        <v>2432</v>
      </c>
      <c r="CK4" s="110" t="s">
        <v>2433</v>
      </c>
      <c r="CL4" s="110" t="s">
        <v>2434</v>
      </c>
      <c r="CM4" s="110" t="s">
        <v>2435</v>
      </c>
      <c r="CN4" s="110" t="s">
        <v>2436</v>
      </c>
      <c r="CO4" s="110" t="s">
        <v>2437</v>
      </c>
      <c r="CP4" s="110" t="s">
        <v>2438</v>
      </c>
      <c r="CQ4" s="110" t="s">
        <v>2439</v>
      </c>
      <c r="CR4" s="110" t="s">
        <v>2440</v>
      </c>
      <c r="CS4" s="101" t="s">
        <v>2441</v>
      </c>
      <c r="CT4" s="101" t="s">
        <v>2442</v>
      </c>
      <c r="CU4" s="110" t="s">
        <v>2443</v>
      </c>
      <c r="CV4" s="110" t="s">
        <v>2444</v>
      </c>
      <c r="CW4" s="110" t="s">
        <v>2445</v>
      </c>
      <c r="CX4" s="0"/>
      <c r="CY4" s="0"/>
      <c r="CZ4" s="0"/>
      <c r="DA4" s="0"/>
      <c r="DB4" s="0"/>
      <c r="DC4" s="0"/>
      <c r="DD4" s="0"/>
      <c r="DE4" s="0"/>
      <c r="DF4" s="0"/>
      <c r="DG4" s="0"/>
    </row>
    <row r="5" spans="1:58" x14ac:dyDescent="0.35" ht="15.0" customHeight="true">
      <c r="A5" s="51" t="s">
        <v>2448</v>
      </c>
      <c r="B5" s="33"/>
      <c r="C5" s="33" t="s">
        <v>2449</v>
      </c>
      <c r="D5" s="33"/>
      <c r="E5" s="33" t="s">
        <v>2450</v>
      </c>
      <c r="F5" s="33"/>
      <c r="G5" s="55" t="s">
        <v>2451</v>
      </c>
      <c r="H5" s="33"/>
      <c r="I5" s="51" t="s">
        <v>2452</v>
      </c>
      <c r="J5" s="33"/>
      <c r="K5" s="51" t="s">
        <v>2453</v>
      </c>
      <c r="L5" s="33" t="s">
        <v>2454</v>
      </c>
      <c r="M5" s="55" t="s">
        <v>2455</v>
      </c>
      <c r="N5" s="55" t="s">
        <v>2455</v>
      </c>
      <c r="O5" s="33" t="s">
        <v>2272</v>
      </c>
      <c r="P5" s="33" t="s">
        <v>2251</v>
      </c>
      <c r="Q5" s="33"/>
      <c r="R5" s="33" t="s">
        <v>2263</v>
      </c>
      <c r="S5" s="56" t="s">
        <v>2277</v>
      </c>
      <c r="T5" s="56"/>
      <c r="U5" s="56"/>
      <c r="V5" s="33" t="s">
        <v>2456</v>
      </c>
      <c r="W5" s="94" t="s">
        <v>2457</v>
      </c>
      <c r="X5" s="94" t="s">
        <v>2458</v>
      </c>
      <c r="Y5" s="51"/>
      <c r="Z5" s="51"/>
      <c r="AA5" s="33" t="s">
        <v>2459</v>
      </c>
      <c r="AB5" s="33" t="s">
        <v>2460</v>
      </c>
      <c r="AC5" s="33"/>
      <c r="AD5" s="33" t="s">
        <v>2254</v>
      </c>
      <c r="AE5" s="33"/>
      <c r="AF5" s="33" t="s">
        <v>2267</v>
      </c>
      <c r="AG5" s="33" t="s">
        <v>2461</v>
      </c>
      <c r="AH5" s="33"/>
      <c r="AI5" s="33"/>
      <c r="AJ5" s="33" t="s">
        <v>2462</v>
      </c>
      <c r="AK5" s="94"/>
      <c r="AL5" s="33" t="s">
        <v>2463</v>
      </c>
      <c r="AM5" s="33" t="s">
        <v>2464</v>
      </c>
      <c r="AN5" s="33" t="s">
        <v>2465</v>
      </c>
      <c r="AO5" s="51" t="s">
        <v>2466</v>
      </c>
      <c r="AP5" s="51" t="s">
        <v>207</v>
      </c>
      <c r="AQ5" s="33"/>
      <c r="AR5" s="54"/>
      <c r="AS5" s="54"/>
      <c r="AT5" s="54"/>
      <c r="AU5" s="54"/>
      <c r="AV5" s="54"/>
      <c r="AW5" s="54"/>
      <c r="AX5" s="54"/>
      <c r="AY5" s="54"/>
      <c r="AZ5" s="54"/>
      <c r="BA5" s="54"/>
      <c r="BB5" s="54"/>
      <c r="BC5" s="54"/>
      <c r="BD5" s="54" t="s">
        <v>2447</v>
      </c>
      <c r="BE5" s="54"/>
      <c r="BF5" s="54"/>
      <c r="BG5" s="54"/>
      <c r="BH5" s="54"/>
      <c r="BI5" s="54"/>
      <c r="BJ5" s="0"/>
      <c r="BK5" s="0"/>
      <c r="BL5" s="0"/>
      <c r="BM5" s="0"/>
      <c r="BN5" s="0"/>
      <c r="BO5" s="0"/>
      <c r="BP5"/>
      <c r="BQ5"/>
      <c r="BR5"/>
      <c r="BS5"/>
      <c r="BT5"/>
      <c r="BU5"/>
      <c r="BV5"/>
      <c r="BW5"/>
      <c r="BX5"/>
      <c r="BY5"/>
      <c r="BZ5"/>
      <c r="CA5"/>
      <c r="CB5"/>
    </row>
    <row r="6" ht="15.0" customHeight="true">
      <c r="A6" s="51" t="s">
        <v>2448</v>
      </c>
      <c r="B6" s="33"/>
      <c r="C6" s="33" t="s">
        <v>2467</v>
      </c>
      <c r="D6" s="33"/>
      <c r="E6" s="33" t="s">
        <v>2468</v>
      </c>
      <c r="F6" s="33"/>
      <c r="G6" s="55" t="s">
        <v>2469</v>
      </c>
      <c r="H6" s="33"/>
      <c r="I6" s="51" t="s">
        <v>2470</v>
      </c>
      <c r="J6" s="33"/>
      <c r="K6" s="51" t="s">
        <v>2471</v>
      </c>
      <c r="L6" s="33" t="s">
        <v>2454</v>
      </c>
      <c r="M6" s="55" t="s">
        <v>2472</v>
      </c>
      <c r="N6" s="55" t="s">
        <v>2473</v>
      </c>
      <c r="O6" s="33" t="s">
        <v>2272</v>
      </c>
      <c r="P6" s="33" t="s">
        <v>2251</v>
      </c>
      <c r="Q6" s="33"/>
      <c r="R6" s="33" t="s">
        <v>2263</v>
      </c>
      <c r="S6" s="56" t="s">
        <v>2277</v>
      </c>
      <c r="T6" s="56"/>
      <c r="U6" s="56"/>
      <c r="V6" s="33" t="s">
        <v>2456</v>
      </c>
      <c r="W6" s="94" t="s">
        <v>2457</v>
      </c>
      <c r="X6" s="94" t="s">
        <v>2474</v>
      </c>
      <c r="Y6" s="51"/>
      <c r="Z6" s="51"/>
      <c r="AA6" s="33" t="s">
        <v>2459</v>
      </c>
      <c r="AB6" s="33" t="s">
        <v>2460</v>
      </c>
      <c r="AC6" s="33"/>
      <c r="AD6" s="33" t="s">
        <v>2254</v>
      </c>
      <c r="AE6" s="33"/>
      <c r="AF6" s="33" t="s">
        <v>2267</v>
      </c>
      <c r="AG6" s="33" t="s">
        <v>2461</v>
      </c>
      <c r="AH6" s="33"/>
      <c r="AI6" s="33"/>
      <c r="AJ6" s="33" t="s">
        <v>2475</v>
      </c>
      <c r="AK6" s="94"/>
      <c r="AL6" s="33" t="s">
        <v>2476</v>
      </c>
      <c r="AM6" s="33" t="s">
        <v>2477</v>
      </c>
      <c r="AN6" s="33" t="s">
        <v>2465</v>
      </c>
      <c r="AO6" s="51" t="s">
        <v>2478</v>
      </c>
      <c r="AP6" s="51" t="s">
        <v>207</v>
      </c>
      <c r="AQ6" s="33"/>
      <c r="AR6" s="54"/>
      <c r="AS6" s="54"/>
      <c r="AT6" s="54"/>
      <c r="AU6" s="54"/>
      <c r="AV6" s="54"/>
      <c r="AW6" s="54"/>
      <c r="AX6" s="54"/>
      <c r="AY6" s="54"/>
      <c r="AZ6" s="54"/>
      <c r="BA6" s="54"/>
      <c r="BB6" s="54"/>
      <c r="BC6" s="54"/>
      <c r="BD6" s="54" t="s">
        <v>2447</v>
      </c>
      <c r="BE6" s="54"/>
      <c r="BF6" s="54"/>
      <c r="BG6" s="54"/>
      <c r="BH6" s="54"/>
      <c r="BI6" s="54"/>
      <c r="BJ6" s="0"/>
      <c r="BK6" s="0"/>
      <c r="BL6" s="0"/>
      <c r="BM6" s="0"/>
      <c r="BN6" s="0"/>
      <c r="BO6" s="0"/>
      <c r="BP6"/>
      <c r="BQ6"/>
      <c r="BR6"/>
      <c r="BS6"/>
      <c r="BT6"/>
      <c r="BU6"/>
      <c r="BV6"/>
      <c r="BW6"/>
      <c r="BX6"/>
      <c r="BY6"/>
      <c r="BZ6"/>
      <c r="CA6"/>
      <c r="CB6"/>
    </row>
    <row r="7" ht="15.0" customHeight="true">
      <c r="A7" s="51" t="s">
        <v>2448</v>
      </c>
      <c r="B7" s="33"/>
      <c r="C7" s="33" t="s">
        <v>2479</v>
      </c>
      <c r="D7" s="33"/>
      <c r="E7" s="33" t="s">
        <v>2480</v>
      </c>
      <c r="F7" s="33"/>
      <c r="G7" s="55" t="s">
        <v>2481</v>
      </c>
      <c r="H7" s="33"/>
      <c r="I7" s="51" t="s">
        <v>2482</v>
      </c>
      <c r="J7" s="33"/>
      <c r="K7" s="51" t="s">
        <v>2483</v>
      </c>
      <c r="L7" s="33" t="s">
        <v>2484</v>
      </c>
      <c r="M7" s="55" t="s">
        <v>2485</v>
      </c>
      <c r="N7" s="55"/>
      <c r="O7" s="33"/>
      <c r="P7" s="33" t="s">
        <v>2251</v>
      </c>
      <c r="Q7" s="33"/>
      <c r="R7" s="33" t="s">
        <v>2263</v>
      </c>
      <c r="S7" s="56" t="s">
        <v>2277</v>
      </c>
      <c r="T7" s="56"/>
      <c r="U7" s="56"/>
      <c r="V7" s="33" t="s">
        <v>2456</v>
      </c>
      <c r="W7" s="94" t="s">
        <v>2457</v>
      </c>
      <c r="X7" s="94" t="s">
        <v>2474</v>
      </c>
      <c r="Y7" s="51"/>
      <c r="Z7" s="51"/>
      <c r="AA7" s="33" t="s">
        <v>2459</v>
      </c>
      <c r="AB7" s="33" t="s">
        <v>2460</v>
      </c>
      <c r="AC7" s="33" t="s">
        <v>2486</v>
      </c>
      <c r="AD7" s="33" t="s">
        <v>2254</v>
      </c>
      <c r="AE7" s="33"/>
      <c r="AF7" s="33" t="s">
        <v>2267</v>
      </c>
      <c r="AG7" s="33" t="s">
        <v>2461</v>
      </c>
      <c r="AH7" s="33"/>
      <c r="AI7" s="33"/>
      <c r="AJ7" s="33" t="s">
        <v>2487</v>
      </c>
      <c r="AK7" s="94"/>
      <c r="AL7" s="33" t="s">
        <v>2488</v>
      </c>
      <c r="AM7" s="33"/>
      <c r="AN7" s="33" t="s">
        <v>2465</v>
      </c>
      <c r="AO7" s="51" t="s">
        <v>2489</v>
      </c>
      <c r="AP7" s="51" t="s">
        <v>207</v>
      </c>
      <c r="AQ7" s="33"/>
      <c r="AR7" s="54"/>
      <c r="AS7" s="54"/>
      <c r="AT7" s="54"/>
      <c r="AU7" s="54"/>
      <c r="AV7" s="54"/>
      <c r="AW7" s="54"/>
      <c r="AX7" s="54"/>
      <c r="AY7" s="54"/>
      <c r="AZ7" s="54"/>
      <c r="BA7" s="54"/>
      <c r="BB7" s="54"/>
      <c r="BC7" s="54"/>
      <c r="BD7" s="54" t="s">
        <v>2447</v>
      </c>
      <c r="BE7" s="54"/>
      <c r="BF7" s="54"/>
      <c r="BG7" s="54"/>
      <c r="BH7" s="54"/>
      <c r="BI7" s="54"/>
      <c r="BJ7" s="0"/>
      <c r="BK7" s="0"/>
      <c r="BL7" s="0"/>
      <c r="BM7" s="0"/>
      <c r="BN7" s="0"/>
      <c r="BO7" s="0"/>
      <c r="BP7"/>
      <c r="BQ7"/>
      <c r="BR7"/>
      <c r="BS7"/>
      <c r="BT7"/>
      <c r="BU7"/>
      <c r="BV7"/>
      <c r="BW7"/>
      <c r="BX7"/>
      <c r="BY7"/>
      <c r="BZ7"/>
      <c r="CA7"/>
      <c r="CB7"/>
    </row>
    <row r="8" ht="15.0" customHeight="true">
      <c r="A8" s="51" t="s">
        <v>2448</v>
      </c>
      <c r="B8" s="33"/>
      <c r="C8" s="33" t="s">
        <v>2490</v>
      </c>
      <c r="D8" s="33"/>
      <c r="E8" s="33" t="s">
        <v>2491</v>
      </c>
      <c r="F8" s="33"/>
      <c r="G8" s="55" t="s">
        <v>2492</v>
      </c>
      <c r="H8" s="33"/>
      <c r="I8" s="51" t="s">
        <v>2493</v>
      </c>
      <c r="J8" s="33"/>
      <c r="K8" s="51" t="s">
        <v>2494</v>
      </c>
      <c r="L8" s="33" t="s">
        <v>2454</v>
      </c>
      <c r="M8" s="55" t="s">
        <v>2495</v>
      </c>
      <c r="N8" s="55" t="s">
        <v>2496</v>
      </c>
      <c r="O8" s="33" t="s">
        <v>2272</v>
      </c>
      <c r="P8" s="33" t="s">
        <v>2251</v>
      </c>
      <c r="Q8" s="33"/>
      <c r="R8" s="33" t="s">
        <v>2263</v>
      </c>
      <c r="S8" s="56" t="s">
        <v>2277</v>
      </c>
      <c r="T8" s="56"/>
      <c r="U8" s="56"/>
      <c r="V8" s="33" t="s">
        <v>2456</v>
      </c>
      <c r="W8" s="94" t="s">
        <v>2457</v>
      </c>
      <c r="X8" s="94" t="s">
        <v>2474</v>
      </c>
      <c r="Y8" s="51"/>
      <c r="Z8" s="51"/>
      <c r="AA8" s="33" t="s">
        <v>2459</v>
      </c>
      <c r="AB8" s="33" t="s">
        <v>2460</v>
      </c>
      <c r="AC8" s="33"/>
      <c r="AD8" s="33" t="s">
        <v>2254</v>
      </c>
      <c r="AE8" s="33"/>
      <c r="AF8" s="33" t="s">
        <v>2267</v>
      </c>
      <c r="AG8" s="33" t="s">
        <v>2461</v>
      </c>
      <c r="AH8" s="33"/>
      <c r="AI8" s="33"/>
      <c r="AJ8" s="33" t="s">
        <v>2497</v>
      </c>
      <c r="AK8" s="94"/>
      <c r="AL8" s="33" t="s">
        <v>2498</v>
      </c>
      <c r="AM8" s="33" t="s">
        <v>2499</v>
      </c>
      <c r="AN8" s="33" t="s">
        <v>2465</v>
      </c>
      <c r="AO8" s="51" t="s">
        <v>2500</v>
      </c>
      <c r="AP8" s="51" t="s">
        <v>207</v>
      </c>
      <c r="AQ8" s="33"/>
      <c r="AR8" s="54"/>
      <c r="AS8" s="54"/>
      <c r="AT8" s="54"/>
      <c r="AU8" s="54"/>
      <c r="AV8" s="54"/>
      <c r="AW8" s="54"/>
      <c r="AX8" s="54"/>
      <c r="AY8" s="54"/>
      <c r="AZ8" s="54"/>
      <c r="BA8" s="54"/>
      <c r="BB8" s="54"/>
      <c r="BC8" s="54"/>
      <c r="BD8" s="54" t="s">
        <v>2447</v>
      </c>
      <c r="BE8" s="54"/>
      <c r="BF8" s="54"/>
      <c r="BG8" s="54"/>
      <c r="BH8" s="54"/>
      <c r="BI8" s="54"/>
      <c r="BJ8" s="0"/>
      <c r="BK8" s="0"/>
      <c r="BL8" s="0"/>
      <c r="BM8" s="0"/>
      <c r="BN8" s="0"/>
      <c r="BO8" s="0"/>
      <c r="BP8"/>
      <c r="BQ8"/>
      <c r="BR8"/>
      <c r="BS8"/>
      <c r="BT8"/>
      <c r="BU8"/>
      <c r="BV8"/>
      <c r="BW8"/>
      <c r="BX8"/>
      <c r="BY8"/>
      <c r="BZ8"/>
      <c r="CA8"/>
      <c r="CB8"/>
    </row>
    <row r="9" ht="15.0" customHeight="true">
      <c r="A9" s="51" t="s">
        <v>2448</v>
      </c>
      <c r="B9" s="33"/>
      <c r="C9" s="33" t="s">
        <v>2501</v>
      </c>
      <c r="D9" s="33"/>
      <c r="E9" s="33" t="s">
        <v>2502</v>
      </c>
      <c r="F9" s="33"/>
      <c r="G9" s="55" t="s">
        <v>2503</v>
      </c>
      <c r="H9" s="33"/>
      <c r="I9" s="51" t="s">
        <v>2504</v>
      </c>
      <c r="J9" s="33"/>
      <c r="K9" s="51" t="s">
        <v>2505</v>
      </c>
      <c r="L9" s="33" t="s">
        <v>2454</v>
      </c>
      <c r="M9" s="55" t="s">
        <v>2506</v>
      </c>
      <c r="N9" s="55" t="s">
        <v>2507</v>
      </c>
      <c r="O9" s="33" t="s">
        <v>2272</v>
      </c>
      <c r="P9" s="33" t="s">
        <v>2251</v>
      </c>
      <c r="Q9" s="33"/>
      <c r="R9" s="33" t="s">
        <v>2263</v>
      </c>
      <c r="S9" s="56" t="s">
        <v>2277</v>
      </c>
      <c r="T9" s="56"/>
      <c r="U9" s="56"/>
      <c r="V9" s="33" t="s">
        <v>2456</v>
      </c>
      <c r="W9" s="94" t="s">
        <v>2457</v>
      </c>
      <c r="X9" s="94" t="s">
        <v>2458</v>
      </c>
      <c r="Y9" s="51"/>
      <c r="Z9" s="51"/>
      <c r="AA9" s="33" t="s">
        <v>2459</v>
      </c>
      <c r="AB9" s="33" t="s">
        <v>2460</v>
      </c>
      <c r="AC9" s="33"/>
      <c r="AD9" s="33" t="s">
        <v>2254</v>
      </c>
      <c r="AE9" s="33"/>
      <c r="AF9" s="33" t="s">
        <v>2267</v>
      </c>
      <c r="AG9" s="33" t="s">
        <v>2461</v>
      </c>
      <c r="AH9" s="33"/>
      <c r="AI9" s="33"/>
      <c r="AJ9" s="33" t="s">
        <v>2508</v>
      </c>
      <c r="AK9" s="94"/>
      <c r="AL9" s="33" t="s">
        <v>2509</v>
      </c>
      <c r="AM9" s="33"/>
      <c r="AN9" s="33" t="s">
        <v>2465</v>
      </c>
      <c r="AO9" s="51" t="s">
        <v>2466</v>
      </c>
      <c r="AP9" s="51" t="s">
        <v>207</v>
      </c>
      <c r="AQ9" s="33"/>
      <c r="AR9" s="54"/>
      <c r="AS9" s="54"/>
      <c r="AT9" s="54"/>
      <c r="AU9" s="54"/>
      <c r="AV9" s="54"/>
      <c r="AW9" s="54"/>
      <c r="AX9" s="54"/>
      <c r="AY9" s="54"/>
      <c r="AZ9" s="54"/>
      <c r="BA9" s="54"/>
      <c r="BB9" s="54"/>
      <c r="BC9" s="54"/>
      <c r="BD9" s="54" t="s">
        <v>2447</v>
      </c>
      <c r="BE9" s="54"/>
      <c r="BF9" s="54"/>
      <c r="BG9" s="54"/>
      <c r="BH9" s="54"/>
      <c r="BI9" s="54"/>
      <c r="BJ9" s="0"/>
      <c r="BK9" s="0"/>
      <c r="BL9" s="0"/>
      <c r="BM9" s="0"/>
      <c r="BN9" s="0"/>
      <c r="BO9" s="0"/>
      <c r="BP9"/>
      <c r="BQ9"/>
      <c r="BR9"/>
      <c r="BS9"/>
      <c r="BT9"/>
      <c r="BU9"/>
      <c r="BV9"/>
      <c r="BW9"/>
      <c r="BX9"/>
      <c r="BY9"/>
      <c r="BZ9"/>
      <c r="CA9"/>
      <c r="CB9"/>
    </row>
    <row r="10" ht="15.0" customHeight="true">
      <c r="A10" s="51" t="s">
        <v>2448</v>
      </c>
      <c r="B10" s="33"/>
      <c r="C10" s="33" t="s">
        <v>2510</v>
      </c>
      <c r="D10" s="33"/>
      <c r="E10" s="33" t="s">
        <v>2511</v>
      </c>
      <c r="F10" s="33"/>
      <c r="G10" s="55" t="s">
        <v>2512</v>
      </c>
      <c r="H10" s="33"/>
      <c r="I10" s="51" t="s">
        <v>2513</v>
      </c>
      <c r="J10" s="33"/>
      <c r="K10" s="51" t="s">
        <v>2514</v>
      </c>
      <c r="L10" s="33" t="s">
        <v>2454</v>
      </c>
      <c r="M10" s="55" t="s">
        <v>2515</v>
      </c>
      <c r="N10" s="55" t="s">
        <v>2516</v>
      </c>
      <c r="O10" s="33" t="s">
        <v>2272</v>
      </c>
      <c r="P10" s="33" t="s">
        <v>2251</v>
      </c>
      <c r="Q10" s="33"/>
      <c r="R10" s="33" t="s">
        <v>2263</v>
      </c>
      <c r="S10" s="56" t="s">
        <v>2277</v>
      </c>
      <c r="T10" s="56"/>
      <c r="U10" s="56"/>
      <c r="V10" s="33" t="s">
        <v>2456</v>
      </c>
      <c r="W10" s="94" t="s">
        <v>2457</v>
      </c>
      <c r="X10" s="94" t="s">
        <v>2458</v>
      </c>
      <c r="Y10" s="51"/>
      <c r="Z10" s="51"/>
      <c r="AA10" s="33" t="s">
        <v>2459</v>
      </c>
      <c r="AB10" s="33" t="s">
        <v>2460</v>
      </c>
      <c r="AC10" s="33"/>
      <c r="AD10" s="33" t="s">
        <v>2254</v>
      </c>
      <c r="AE10" s="33"/>
      <c r="AF10" s="33" t="s">
        <v>2267</v>
      </c>
      <c r="AG10" s="33" t="s">
        <v>2461</v>
      </c>
      <c r="AH10" s="33"/>
      <c r="AI10" s="33"/>
      <c r="AJ10" s="33" t="s">
        <v>2517</v>
      </c>
      <c r="AK10" s="94"/>
      <c r="AL10" s="33" t="s">
        <v>2518</v>
      </c>
      <c r="AM10" s="33"/>
      <c r="AN10" s="33" t="s">
        <v>2465</v>
      </c>
      <c r="AO10" s="51" t="s">
        <v>2466</v>
      </c>
      <c r="AP10" s="51" t="s">
        <v>207</v>
      </c>
      <c r="AQ10" s="33"/>
      <c r="AR10" s="54"/>
      <c r="AS10" s="54"/>
      <c r="AT10" s="54"/>
      <c r="AU10" s="54"/>
      <c r="AV10" s="54"/>
      <c r="AW10" s="54"/>
      <c r="AX10" s="54"/>
      <c r="AY10" s="54"/>
      <c r="AZ10" s="54"/>
      <c r="BA10" s="54"/>
      <c r="BB10" s="54"/>
      <c r="BC10" s="54"/>
      <c r="BD10" s="54" t="s">
        <v>2447</v>
      </c>
      <c r="BE10" s="54"/>
      <c r="BF10" s="54"/>
      <c r="BG10" s="54"/>
      <c r="BH10" s="54"/>
      <c r="BI10" s="54"/>
      <c r="BJ10" s="0"/>
      <c r="BK10" s="0"/>
      <c r="BL10" s="0"/>
      <c r="BM10" s="0"/>
      <c r="BN10" s="0"/>
      <c r="BO10" s="0"/>
      <c r="BP10"/>
      <c r="BQ10"/>
      <c r="BR10"/>
      <c r="BS10"/>
      <c r="BT10"/>
      <c r="BU10"/>
      <c r="BV10"/>
      <c r="BW10"/>
      <c r="BX10"/>
      <c r="BY10"/>
      <c r="BZ10"/>
      <c r="CA10"/>
      <c r="CB10"/>
    </row>
    <row r="11" ht="15.0" customHeight="true">
      <c r="A11" s="51" t="s">
        <v>2448</v>
      </c>
      <c r="B11" s="33"/>
      <c r="C11" s="33" t="s">
        <v>2519</v>
      </c>
      <c r="D11" s="33"/>
      <c r="E11" s="33" t="s">
        <v>2520</v>
      </c>
      <c r="F11" s="33"/>
      <c r="G11" s="55" t="s">
        <v>2521</v>
      </c>
      <c r="H11" s="33"/>
      <c r="I11" s="51" t="s">
        <v>2522</v>
      </c>
      <c r="J11" s="33"/>
      <c r="K11" s="51" t="s">
        <v>2523</v>
      </c>
      <c r="L11" s="33" t="s">
        <v>2484</v>
      </c>
      <c r="M11" s="55" t="s">
        <v>2524</v>
      </c>
      <c r="N11" s="55"/>
      <c r="O11" s="33"/>
      <c r="P11" s="33" t="s">
        <v>2251</v>
      </c>
      <c r="Q11" s="33"/>
      <c r="R11" s="33" t="s">
        <v>2263</v>
      </c>
      <c r="S11" s="56" t="s">
        <v>2277</v>
      </c>
      <c r="T11" s="56"/>
      <c r="U11" s="56"/>
      <c r="V11" s="33" t="s">
        <v>2456</v>
      </c>
      <c r="W11" s="94" t="s">
        <v>2457</v>
      </c>
      <c r="X11" s="94" t="s">
        <v>2474</v>
      </c>
      <c r="Y11" s="51"/>
      <c r="Z11" s="51"/>
      <c r="AA11" s="33" t="s">
        <v>2459</v>
      </c>
      <c r="AB11" s="33" t="s">
        <v>2460</v>
      </c>
      <c r="AC11" s="33" t="s">
        <v>2486</v>
      </c>
      <c r="AD11" s="33" t="s">
        <v>2254</v>
      </c>
      <c r="AE11" s="33"/>
      <c r="AF11" s="33" t="s">
        <v>2267</v>
      </c>
      <c r="AG11" s="33" t="s">
        <v>2461</v>
      </c>
      <c r="AH11" s="33"/>
      <c r="AI11" s="33"/>
      <c r="AJ11" s="33" t="s">
        <v>2525</v>
      </c>
      <c r="AK11" s="94"/>
      <c r="AL11" s="33" t="s">
        <v>2526</v>
      </c>
      <c r="AM11" s="33" t="s">
        <v>2527</v>
      </c>
      <c r="AN11" s="33" t="s">
        <v>2465</v>
      </c>
      <c r="AO11" s="51" t="s">
        <v>2528</v>
      </c>
      <c r="AP11" s="51" t="s">
        <v>207</v>
      </c>
      <c r="AQ11" s="33"/>
      <c r="AR11" s="54"/>
      <c r="AS11" s="54"/>
      <c r="AT11" s="54"/>
      <c r="AU11" s="54"/>
      <c r="AV11" s="54"/>
      <c r="AW11" s="54"/>
      <c r="AX11" s="54"/>
      <c r="AY11" s="54"/>
      <c r="AZ11" s="54"/>
      <c r="BA11" s="54"/>
      <c r="BB11" s="54"/>
      <c r="BC11" s="54"/>
      <c r="BD11" s="54" t="s">
        <v>2447</v>
      </c>
      <c r="BE11" s="54"/>
      <c r="BF11" s="54"/>
      <c r="BG11" s="54"/>
      <c r="BH11" s="54"/>
      <c r="BI11" s="54"/>
      <c r="BJ11" s="0"/>
      <c r="BK11" s="0"/>
      <c r="BL11" s="0"/>
      <c r="BM11" s="0"/>
      <c r="BN11" s="0"/>
      <c r="BO11" s="0"/>
      <c r="BP11"/>
      <c r="BQ11"/>
      <c r="BR11"/>
      <c r="BS11"/>
      <c r="BT11"/>
      <c r="BU11"/>
      <c r="BV11"/>
      <c r="BW11"/>
      <c r="BX11"/>
      <c r="BY11"/>
      <c r="BZ11"/>
      <c r="CA11"/>
      <c r="CB11"/>
    </row>
    <row r="12" ht="15.0" customHeight="true">
      <c r="A12" s="51" t="s">
        <v>2448</v>
      </c>
      <c r="B12" s="33"/>
      <c r="C12" s="33" t="s">
        <v>2529</v>
      </c>
      <c r="D12" s="33"/>
      <c r="E12" s="33" t="s">
        <v>2530</v>
      </c>
      <c r="F12" s="33"/>
      <c r="G12" s="55" t="s">
        <v>2531</v>
      </c>
      <c r="H12" s="33"/>
      <c r="I12" s="51" t="s">
        <v>2532</v>
      </c>
      <c r="J12" s="33"/>
      <c r="K12" s="51" t="s">
        <v>2533</v>
      </c>
      <c r="L12" s="33" t="s">
        <v>2484</v>
      </c>
      <c r="M12" s="55" t="s">
        <v>2534</v>
      </c>
      <c r="N12" s="55"/>
      <c r="O12" s="33"/>
      <c r="P12" s="33" t="s">
        <v>2251</v>
      </c>
      <c r="Q12" s="33"/>
      <c r="R12" s="33" t="s">
        <v>2263</v>
      </c>
      <c r="S12" s="56" t="s">
        <v>2277</v>
      </c>
      <c r="T12" s="56"/>
      <c r="U12" s="56"/>
      <c r="V12" s="33" t="s">
        <v>2456</v>
      </c>
      <c r="W12" s="94" t="s">
        <v>2457</v>
      </c>
      <c r="X12" s="94" t="s">
        <v>2474</v>
      </c>
      <c r="Y12" s="51"/>
      <c r="Z12" s="51"/>
      <c r="AA12" s="33" t="s">
        <v>2459</v>
      </c>
      <c r="AB12" s="33" t="s">
        <v>2460</v>
      </c>
      <c r="AC12" s="33" t="s">
        <v>2486</v>
      </c>
      <c r="AD12" s="33" t="s">
        <v>2254</v>
      </c>
      <c r="AE12" s="33"/>
      <c r="AF12" s="33" t="s">
        <v>2267</v>
      </c>
      <c r="AG12" s="33" t="s">
        <v>2461</v>
      </c>
      <c r="AH12" s="33"/>
      <c r="AI12" s="33"/>
      <c r="AJ12" s="33" t="s">
        <v>2535</v>
      </c>
      <c r="AK12" s="94"/>
      <c r="AL12" s="33" t="s">
        <v>2536</v>
      </c>
      <c r="AM12" s="33" t="s">
        <v>2537</v>
      </c>
      <c r="AN12" s="33" t="s">
        <v>2465</v>
      </c>
      <c r="AO12" s="51" t="s">
        <v>2538</v>
      </c>
      <c r="AP12" s="51" t="s">
        <v>207</v>
      </c>
      <c r="AQ12" s="33"/>
      <c r="AR12" s="54"/>
      <c r="AS12" s="54"/>
      <c r="AT12" s="54"/>
      <c r="AU12" s="54"/>
      <c r="AV12" s="54"/>
      <c r="AW12" s="54"/>
      <c r="AX12" s="54"/>
      <c r="AY12" s="54"/>
      <c r="AZ12" s="54"/>
      <c r="BA12" s="54"/>
      <c r="BB12" s="54"/>
      <c r="BC12" s="54"/>
      <c r="BD12" s="54" t="s">
        <v>2447</v>
      </c>
      <c r="BE12" s="54"/>
      <c r="BF12" s="54"/>
      <c r="BG12" s="54"/>
      <c r="BH12" s="54"/>
      <c r="BI12" s="54"/>
      <c r="BJ12" s="0"/>
      <c r="BK12" s="0"/>
      <c r="BL12" s="0"/>
      <c r="BM12" s="0"/>
      <c r="BN12" s="0"/>
      <c r="BO12" s="0"/>
      <c r="BP12"/>
      <c r="BQ12"/>
      <c r="BR12"/>
      <c r="BS12"/>
      <c r="BT12"/>
      <c r="BU12"/>
      <c r="BV12"/>
      <c r="BW12"/>
      <c r="BX12"/>
      <c r="BY12"/>
      <c r="BZ12"/>
      <c r="CA12"/>
      <c r="CB12"/>
    </row>
    <row r="13" ht="15.0" customHeight="true">
      <c r="A13" s="51" t="s">
        <v>2448</v>
      </c>
      <c r="B13" s="33"/>
      <c r="C13" s="33" t="s">
        <v>2539</v>
      </c>
      <c r="D13" s="33"/>
      <c r="E13" s="33" t="s">
        <v>2540</v>
      </c>
      <c r="F13" s="33"/>
      <c r="G13" s="55" t="s">
        <v>2541</v>
      </c>
      <c r="H13" s="33"/>
      <c r="I13" s="51" t="s">
        <v>2542</v>
      </c>
      <c r="J13" s="33"/>
      <c r="K13" s="51" t="s">
        <v>2543</v>
      </c>
      <c r="L13" s="33" t="s">
        <v>2484</v>
      </c>
      <c r="M13" s="55" t="s">
        <v>2544</v>
      </c>
      <c r="N13" s="55"/>
      <c r="O13" s="33"/>
      <c r="P13" s="33" t="s">
        <v>2251</v>
      </c>
      <c r="Q13" s="33"/>
      <c r="R13" s="33" t="s">
        <v>2263</v>
      </c>
      <c r="S13" s="56" t="s">
        <v>2277</v>
      </c>
      <c r="T13" s="56"/>
      <c r="U13" s="56"/>
      <c r="V13" s="33" t="s">
        <v>2456</v>
      </c>
      <c r="W13" s="94" t="s">
        <v>2457</v>
      </c>
      <c r="X13" s="94" t="s">
        <v>2474</v>
      </c>
      <c r="Y13" s="51"/>
      <c r="Z13" s="51"/>
      <c r="AA13" s="33" t="s">
        <v>2459</v>
      </c>
      <c r="AB13" s="33" t="s">
        <v>2460</v>
      </c>
      <c r="AC13" s="33" t="s">
        <v>2486</v>
      </c>
      <c r="AD13" s="33" t="s">
        <v>2254</v>
      </c>
      <c r="AE13" s="33"/>
      <c r="AF13" s="33" t="s">
        <v>2267</v>
      </c>
      <c r="AG13" s="33" t="s">
        <v>2461</v>
      </c>
      <c r="AH13" s="33"/>
      <c r="AI13" s="33"/>
      <c r="AJ13" s="33" t="s">
        <v>2545</v>
      </c>
      <c r="AK13" s="94"/>
      <c r="AL13" s="33" t="s">
        <v>2546</v>
      </c>
      <c r="AM13" s="33" t="s">
        <v>2547</v>
      </c>
      <c r="AN13" s="33" t="s">
        <v>2465</v>
      </c>
      <c r="AO13" s="51" t="s">
        <v>2548</v>
      </c>
      <c r="AP13" s="51" t="s">
        <v>207</v>
      </c>
      <c r="AQ13" s="33"/>
      <c r="AR13" s="54"/>
      <c r="AS13" s="54"/>
      <c r="AT13" s="54"/>
      <c r="AU13" s="54"/>
      <c r="AV13" s="54"/>
      <c r="AW13" s="54"/>
      <c r="AX13" s="54"/>
      <c r="AY13" s="54"/>
      <c r="AZ13" s="54"/>
      <c r="BA13" s="54"/>
      <c r="BB13" s="54"/>
      <c r="BC13" s="54"/>
      <c r="BD13" s="54" t="s">
        <v>2447</v>
      </c>
      <c r="BE13" s="54"/>
      <c r="BF13" s="54"/>
      <c r="BG13" s="54"/>
      <c r="BH13" s="54"/>
      <c r="BI13" s="54"/>
      <c r="BJ13" s="0"/>
      <c r="BK13" s="0"/>
      <c r="BL13" s="0"/>
      <c r="BM13" s="0"/>
      <c r="BN13" s="0"/>
      <c r="BO13" s="0"/>
      <c r="BP13"/>
      <c r="BQ13"/>
      <c r="BR13"/>
      <c r="BS13"/>
      <c r="BT13"/>
      <c r="BU13"/>
      <c r="BV13"/>
      <c r="BW13"/>
      <c r="BX13"/>
      <c r="BY13"/>
      <c r="BZ13"/>
      <c r="CA13"/>
      <c r="CB13"/>
    </row>
    <row r="14" ht="15.0" customHeight="true">
      <c r="A14" s="51" t="s">
        <v>2448</v>
      </c>
      <c r="B14" s="33"/>
      <c r="C14" s="33" t="s">
        <v>2549</v>
      </c>
      <c r="D14" s="33"/>
      <c r="E14" s="33" t="s">
        <v>2550</v>
      </c>
      <c r="F14" s="33"/>
      <c r="G14" s="55" t="s">
        <v>2551</v>
      </c>
      <c r="H14" s="33"/>
      <c r="I14" s="51" t="s">
        <v>2552</v>
      </c>
      <c r="J14" s="33"/>
      <c r="K14" s="51" t="s">
        <v>2553</v>
      </c>
      <c r="L14" s="33" t="s">
        <v>2484</v>
      </c>
      <c r="M14" s="55" t="s">
        <v>2554</v>
      </c>
      <c r="N14" s="55"/>
      <c r="O14" s="33"/>
      <c r="P14" s="33" t="s">
        <v>2251</v>
      </c>
      <c r="Q14" s="33"/>
      <c r="R14" s="33" t="s">
        <v>2263</v>
      </c>
      <c r="S14" s="56" t="s">
        <v>2277</v>
      </c>
      <c r="T14" s="56"/>
      <c r="U14" s="56"/>
      <c r="V14" s="33" t="s">
        <v>2456</v>
      </c>
      <c r="W14" s="94" t="s">
        <v>2457</v>
      </c>
      <c r="X14" s="94" t="s">
        <v>2474</v>
      </c>
      <c r="Y14" s="51"/>
      <c r="Z14" s="51"/>
      <c r="AA14" s="33" t="s">
        <v>2459</v>
      </c>
      <c r="AB14" s="33" t="s">
        <v>2460</v>
      </c>
      <c r="AC14" s="33" t="s">
        <v>2486</v>
      </c>
      <c r="AD14" s="33" t="s">
        <v>2254</v>
      </c>
      <c r="AE14" s="33"/>
      <c r="AF14" s="33" t="s">
        <v>2267</v>
      </c>
      <c r="AG14" s="33" t="s">
        <v>2461</v>
      </c>
      <c r="AH14" s="33"/>
      <c r="AI14" s="33"/>
      <c r="AJ14" s="33" t="s">
        <v>2555</v>
      </c>
      <c r="AK14" s="94"/>
      <c r="AL14" s="33" t="s">
        <v>2556</v>
      </c>
      <c r="AM14" s="33"/>
      <c r="AN14" s="33" t="s">
        <v>2465</v>
      </c>
      <c r="AO14" s="51" t="s">
        <v>2489</v>
      </c>
      <c r="AP14" s="51" t="s">
        <v>207</v>
      </c>
      <c r="AQ14" s="33"/>
      <c r="AR14" s="54"/>
      <c r="AS14" s="54"/>
      <c r="AT14" s="54"/>
      <c r="AU14" s="54"/>
      <c r="AV14" s="54"/>
      <c r="AW14" s="54"/>
      <c r="AX14" s="54"/>
      <c r="AY14" s="54"/>
      <c r="AZ14" s="54"/>
      <c r="BA14" s="54"/>
      <c r="BB14" s="54"/>
      <c r="BC14" s="54"/>
      <c r="BD14" s="54" t="s">
        <v>2447</v>
      </c>
      <c r="BE14" s="54"/>
      <c r="BF14" s="54"/>
      <c r="BG14" s="54"/>
      <c r="BH14" s="54"/>
      <c r="BI14" s="54"/>
      <c r="BJ14" s="0"/>
      <c r="BK14" s="0"/>
      <c r="BL14" s="0"/>
      <c r="BM14" s="0"/>
      <c r="BN14" s="0"/>
      <c r="BO14" s="0"/>
      <c r="BP14"/>
      <c r="BQ14"/>
      <c r="BR14"/>
      <c r="BS14"/>
      <c r="BT14"/>
      <c r="BU14"/>
      <c r="BV14"/>
      <c r="BW14"/>
      <c r="BX14"/>
      <c r="BY14"/>
      <c r="BZ14"/>
      <c r="CA14"/>
      <c r="CB14"/>
    </row>
    <row r="15" ht="15.0" customHeight="true">
      <c r="A15" s="51" t="s">
        <v>2448</v>
      </c>
      <c r="B15" s="33"/>
      <c r="C15" s="33" t="s">
        <v>2557</v>
      </c>
      <c r="D15" s="33"/>
      <c r="E15" s="33" t="s">
        <v>2558</v>
      </c>
      <c r="F15" s="33"/>
      <c r="G15" s="55" t="s">
        <v>2559</v>
      </c>
      <c r="H15" s="33"/>
      <c r="I15" s="51" t="s">
        <v>2560</v>
      </c>
      <c r="J15" s="33"/>
      <c r="K15" s="51" t="s">
        <v>2561</v>
      </c>
      <c r="L15" s="33" t="s">
        <v>2454</v>
      </c>
      <c r="M15" s="55" t="s">
        <v>2562</v>
      </c>
      <c r="N15" s="55" t="s">
        <v>2563</v>
      </c>
      <c r="O15" s="33" t="s">
        <v>2272</v>
      </c>
      <c r="P15" s="33" t="s">
        <v>2251</v>
      </c>
      <c r="Q15" s="33"/>
      <c r="R15" s="33" t="s">
        <v>2263</v>
      </c>
      <c r="S15" s="56" t="s">
        <v>2277</v>
      </c>
      <c r="T15" s="56"/>
      <c r="U15" s="56"/>
      <c r="V15" s="33" t="s">
        <v>2456</v>
      </c>
      <c r="W15" s="94" t="s">
        <v>2457</v>
      </c>
      <c r="X15" s="94" t="s">
        <v>2458</v>
      </c>
      <c r="Y15" s="51"/>
      <c r="Z15" s="51"/>
      <c r="AA15" s="33" t="s">
        <v>2459</v>
      </c>
      <c r="AB15" s="33" t="s">
        <v>2460</v>
      </c>
      <c r="AC15" s="33"/>
      <c r="AD15" s="33" t="s">
        <v>2254</v>
      </c>
      <c r="AE15" s="33"/>
      <c r="AF15" s="33" t="s">
        <v>2267</v>
      </c>
      <c r="AG15" s="33" t="s">
        <v>2461</v>
      </c>
      <c r="AH15" s="33"/>
      <c r="AI15" s="33"/>
      <c r="AJ15" s="33" t="s">
        <v>2564</v>
      </c>
      <c r="AK15" s="94"/>
      <c r="AL15" s="33" t="s">
        <v>2565</v>
      </c>
      <c r="AM15" s="33" t="s">
        <v>2566</v>
      </c>
      <c r="AN15" s="33" t="s">
        <v>2465</v>
      </c>
      <c r="AO15" s="51" t="s">
        <v>2538</v>
      </c>
      <c r="AP15" s="51" t="s">
        <v>207</v>
      </c>
      <c r="AQ15" s="33"/>
      <c r="AR15" s="54"/>
      <c r="AS15" s="54"/>
      <c r="AT15" s="54"/>
      <c r="AU15" s="54"/>
      <c r="AV15" s="54"/>
      <c r="AW15" s="54"/>
      <c r="AX15" s="54"/>
      <c r="AY15" s="54"/>
      <c r="AZ15" s="54"/>
      <c r="BA15" s="54"/>
      <c r="BB15" s="54"/>
      <c r="BC15" s="54"/>
      <c r="BD15" s="54" t="s">
        <v>2447</v>
      </c>
      <c r="BE15" s="54"/>
      <c r="BF15" s="54"/>
      <c r="BG15" s="54"/>
      <c r="BH15" s="54"/>
      <c r="BI15" s="54"/>
      <c r="BJ15" s="0"/>
      <c r="BK15" s="0"/>
      <c r="BL15" s="0"/>
      <c r="BM15" s="0"/>
      <c r="BN15" s="0"/>
      <c r="BO15" s="0"/>
      <c r="BP15"/>
      <c r="BQ15"/>
      <c r="BR15"/>
      <c r="BS15"/>
      <c r="BT15"/>
      <c r="BU15"/>
      <c r="BV15"/>
      <c r="BW15"/>
      <c r="BX15"/>
      <c r="BY15"/>
      <c r="BZ15"/>
      <c r="CA15"/>
      <c r="CB15"/>
    </row>
    <row r="16" ht="15.0" customHeight="true">
      <c r="A16" s="51" t="s">
        <v>2448</v>
      </c>
      <c r="B16" s="33"/>
      <c r="C16" s="33" t="s">
        <v>2567</v>
      </c>
      <c r="D16" s="33"/>
      <c r="E16" s="33" t="s">
        <v>2568</v>
      </c>
      <c r="F16" s="33"/>
      <c r="G16" s="55" t="s">
        <v>2569</v>
      </c>
      <c r="H16" s="33"/>
      <c r="I16" s="51" t="s">
        <v>2570</v>
      </c>
      <c r="J16" s="33"/>
      <c r="K16" s="51" t="s">
        <v>2571</v>
      </c>
      <c r="L16" s="33" t="s">
        <v>2454</v>
      </c>
      <c r="M16" s="55" t="s">
        <v>2572</v>
      </c>
      <c r="N16" s="55" t="s">
        <v>2573</v>
      </c>
      <c r="O16" s="33" t="s">
        <v>2276</v>
      </c>
      <c r="P16" s="33" t="s">
        <v>2251</v>
      </c>
      <c r="Q16" s="33"/>
      <c r="R16" s="33" t="s">
        <v>2263</v>
      </c>
      <c r="S16" s="56" t="s">
        <v>2277</v>
      </c>
      <c r="T16" s="56"/>
      <c r="U16" s="56"/>
      <c r="V16" s="33" t="s">
        <v>2572</v>
      </c>
      <c r="W16" s="94" t="s">
        <v>2574</v>
      </c>
      <c r="X16" s="94" t="s">
        <v>2474</v>
      </c>
      <c r="Y16" s="51"/>
      <c r="Z16" s="51"/>
      <c r="AA16" s="33" t="s">
        <v>2459</v>
      </c>
      <c r="AB16" s="33" t="s">
        <v>2460</v>
      </c>
      <c r="AC16" s="33" t="s">
        <v>2486</v>
      </c>
      <c r="AD16" s="33" t="s">
        <v>2254</v>
      </c>
      <c r="AE16" s="33"/>
      <c r="AF16" s="33" t="s">
        <v>2267</v>
      </c>
      <c r="AG16" s="33" t="s">
        <v>2461</v>
      </c>
      <c r="AH16" s="33"/>
      <c r="AI16" s="33"/>
      <c r="AJ16" s="33" t="s">
        <v>2575</v>
      </c>
      <c r="AK16" s="94"/>
      <c r="AL16" s="33" t="s">
        <v>2576</v>
      </c>
      <c r="AM16" s="33"/>
      <c r="AN16" s="33" t="s">
        <v>2577</v>
      </c>
      <c r="AO16" s="51" t="s">
        <v>2578</v>
      </c>
      <c r="AP16" s="51" t="s">
        <v>207</v>
      </c>
      <c r="AQ16" s="33"/>
      <c r="AR16" s="54"/>
      <c r="AS16" s="54"/>
      <c r="AT16" s="54"/>
      <c r="AU16" s="54"/>
      <c r="AV16" s="54"/>
      <c r="AW16" s="54"/>
      <c r="AX16" s="54"/>
      <c r="AY16" s="54" t="s">
        <v>2269</v>
      </c>
      <c r="AZ16" s="54"/>
      <c r="BA16" s="54"/>
      <c r="BB16" s="54"/>
      <c r="BC16" s="54"/>
      <c r="BD16" s="54" t="s">
        <v>2447</v>
      </c>
      <c r="BE16" s="54"/>
      <c r="BF16" s="54"/>
      <c r="BG16" s="54"/>
      <c r="BH16" s="54"/>
      <c r="BI16" s="54"/>
      <c r="BJ16" s="0"/>
      <c r="BK16" s="0"/>
      <c r="BL16" s="0"/>
      <c r="BM16" s="0"/>
      <c r="BN16" s="0"/>
      <c r="BO16" s="0"/>
      <c r="BP16"/>
      <c r="BQ16"/>
      <c r="BR16"/>
      <c r="BS16"/>
      <c r="BT16"/>
      <c r="BU16"/>
      <c r="BV16"/>
      <c r="BW16"/>
      <c r="BX16"/>
      <c r="BY16"/>
      <c r="BZ16"/>
      <c r="CA16"/>
      <c r="CB16"/>
    </row>
    <row r="17" ht="15.0" customHeight="true">
      <c r="A17" s="51" t="s">
        <v>2448</v>
      </c>
      <c r="B17" s="33"/>
      <c r="C17" s="33" t="s">
        <v>2579</v>
      </c>
      <c r="D17" s="33"/>
      <c r="E17" s="33" t="s">
        <v>2580</v>
      </c>
      <c r="F17" s="33"/>
      <c r="G17" s="55" t="s">
        <v>2581</v>
      </c>
      <c r="H17" s="33"/>
      <c r="I17" s="51" t="s">
        <v>2582</v>
      </c>
      <c r="J17" s="33"/>
      <c r="K17" s="51" t="s">
        <v>2583</v>
      </c>
      <c r="L17" s="33" t="s">
        <v>2454</v>
      </c>
      <c r="M17" s="55" t="s">
        <v>2584</v>
      </c>
      <c r="N17" s="55" t="s">
        <v>2585</v>
      </c>
      <c r="O17" s="33" t="s">
        <v>2272</v>
      </c>
      <c r="P17" s="33" t="s">
        <v>2251</v>
      </c>
      <c r="Q17" s="33"/>
      <c r="R17" s="33" t="s">
        <v>2263</v>
      </c>
      <c r="S17" s="56" t="s">
        <v>2277</v>
      </c>
      <c r="T17" s="56"/>
      <c r="U17" s="56"/>
      <c r="V17" s="33" t="s">
        <v>2456</v>
      </c>
      <c r="W17" s="94" t="s">
        <v>2457</v>
      </c>
      <c r="X17" s="94" t="s">
        <v>2458</v>
      </c>
      <c r="Y17" s="51"/>
      <c r="Z17" s="51"/>
      <c r="AA17" s="33" t="s">
        <v>2459</v>
      </c>
      <c r="AB17" s="33" t="s">
        <v>2460</v>
      </c>
      <c r="AC17" s="33"/>
      <c r="AD17" s="33" t="s">
        <v>2254</v>
      </c>
      <c r="AE17" s="33"/>
      <c r="AF17" s="33" t="s">
        <v>2267</v>
      </c>
      <c r="AG17" s="33" t="s">
        <v>2461</v>
      </c>
      <c r="AH17" s="33"/>
      <c r="AI17" s="33"/>
      <c r="AJ17" s="33" t="s">
        <v>2586</v>
      </c>
      <c r="AK17" s="94"/>
      <c r="AL17" s="33" t="s">
        <v>2587</v>
      </c>
      <c r="AM17" s="33"/>
      <c r="AN17" s="33" t="s">
        <v>2588</v>
      </c>
      <c r="AO17" s="51" t="s">
        <v>2589</v>
      </c>
      <c r="AP17" s="51" t="s">
        <v>207</v>
      </c>
      <c r="AQ17" s="33"/>
      <c r="AR17" s="54"/>
      <c r="AS17" s="54"/>
      <c r="AT17" s="54"/>
      <c r="AU17" s="54"/>
      <c r="AV17" s="54"/>
      <c r="AW17" s="54"/>
      <c r="AX17" s="54"/>
      <c r="AY17" s="54"/>
      <c r="AZ17" s="54"/>
      <c r="BA17" s="54"/>
      <c r="BB17" s="54"/>
      <c r="BC17" s="54"/>
      <c r="BD17" s="54" t="s">
        <v>2447</v>
      </c>
      <c r="BE17" s="54"/>
      <c r="BF17" s="54"/>
      <c r="BG17" s="54"/>
      <c r="BH17" s="54"/>
      <c r="BI17" s="54"/>
      <c r="BJ17" s="0"/>
      <c r="BK17" s="0"/>
      <c r="BL17" s="0"/>
      <c r="BM17" s="0"/>
      <c r="BN17" s="0"/>
      <c r="BO17" s="0"/>
      <c r="BP17"/>
      <c r="BQ17"/>
      <c r="BR17"/>
      <c r="BS17"/>
      <c r="BT17"/>
      <c r="BU17"/>
      <c r="BV17"/>
      <c r="BW17"/>
      <c r="BX17"/>
      <c r="BY17"/>
      <c r="BZ17"/>
      <c r="CA17"/>
      <c r="CB17"/>
    </row>
    <row r="18" ht="15.0" customHeight="true">
      <c r="A18" s="51" t="s">
        <v>2448</v>
      </c>
      <c r="B18" s="33"/>
      <c r="C18" s="33" t="s">
        <v>2590</v>
      </c>
      <c r="D18" s="33"/>
      <c r="E18" s="33" t="s">
        <v>2591</v>
      </c>
      <c r="F18" s="33"/>
      <c r="G18" s="55" t="s">
        <v>2592</v>
      </c>
      <c r="H18" s="33"/>
      <c r="I18" s="51" t="s">
        <v>2593</v>
      </c>
      <c r="J18" s="33"/>
      <c r="K18" s="51" t="s">
        <v>2594</v>
      </c>
      <c r="L18" s="33" t="s">
        <v>2454</v>
      </c>
      <c r="M18" s="55" t="s">
        <v>2595</v>
      </c>
      <c r="N18" s="55" t="s">
        <v>2596</v>
      </c>
      <c r="O18" s="33" t="s">
        <v>2272</v>
      </c>
      <c r="P18" s="33" t="s">
        <v>2251</v>
      </c>
      <c r="Q18" s="33"/>
      <c r="R18" s="33" t="s">
        <v>2263</v>
      </c>
      <c r="S18" s="56" t="s">
        <v>2277</v>
      </c>
      <c r="T18" s="56"/>
      <c r="U18" s="56"/>
      <c r="V18" s="33" t="s">
        <v>2456</v>
      </c>
      <c r="W18" s="94" t="s">
        <v>2457</v>
      </c>
      <c r="X18" s="94" t="s">
        <v>2474</v>
      </c>
      <c r="Y18" s="51"/>
      <c r="Z18" s="51"/>
      <c r="AA18" s="33" t="s">
        <v>2459</v>
      </c>
      <c r="AB18" s="33" t="s">
        <v>2460</v>
      </c>
      <c r="AC18" s="33"/>
      <c r="AD18" s="33" t="s">
        <v>2254</v>
      </c>
      <c r="AE18" s="33"/>
      <c r="AF18" s="33" t="s">
        <v>2267</v>
      </c>
      <c r="AG18" s="33" t="s">
        <v>2461</v>
      </c>
      <c r="AH18" s="33"/>
      <c r="AI18" s="33"/>
      <c r="AJ18" s="33" t="s">
        <v>2597</v>
      </c>
      <c r="AK18" s="94"/>
      <c r="AL18" s="33" t="s">
        <v>2598</v>
      </c>
      <c r="AM18" s="33" t="s">
        <v>2599</v>
      </c>
      <c r="AN18" s="33" t="s">
        <v>2465</v>
      </c>
      <c r="AO18" s="51" t="s">
        <v>2489</v>
      </c>
      <c r="AP18" s="51" t="s">
        <v>207</v>
      </c>
      <c r="AQ18" s="33"/>
      <c r="AR18" s="54"/>
      <c r="AS18" s="54"/>
      <c r="AT18" s="54"/>
      <c r="AU18" s="54"/>
      <c r="AV18" s="54"/>
      <c r="AW18" s="54"/>
      <c r="AX18" s="54"/>
      <c r="AY18" s="54"/>
      <c r="AZ18" s="54"/>
      <c r="BA18" s="54"/>
      <c r="BB18" s="54"/>
      <c r="BC18" s="54"/>
      <c r="BD18" s="54" t="s">
        <v>2447</v>
      </c>
      <c r="BE18" s="54"/>
      <c r="BF18" s="54"/>
      <c r="BG18" s="54"/>
      <c r="BH18" s="54"/>
      <c r="BI18" s="54"/>
      <c r="BJ18" s="0"/>
      <c r="BK18" s="0"/>
      <c r="BL18" s="0"/>
      <c r="BM18" s="0"/>
      <c r="BN18" s="0"/>
      <c r="BO18" s="0"/>
      <c r="BP18"/>
      <c r="BQ18"/>
      <c r="BR18"/>
      <c r="BS18"/>
      <c r="BT18"/>
      <c r="BU18"/>
      <c r="BV18"/>
      <c r="BW18"/>
      <c r="BX18"/>
      <c r="BY18"/>
      <c r="BZ18"/>
      <c r="CA18"/>
      <c r="CB18"/>
    </row>
    <row r="19" ht="15.0" customHeight="true">
      <c r="A19" s="51" t="s">
        <v>2448</v>
      </c>
      <c r="B19" s="33"/>
      <c r="C19" s="33" t="s">
        <v>2600</v>
      </c>
      <c r="D19" s="33"/>
      <c r="E19" s="33" t="s">
        <v>2601</v>
      </c>
      <c r="F19" s="33"/>
      <c r="G19" s="55" t="s">
        <v>2602</v>
      </c>
      <c r="H19" s="33"/>
      <c r="I19" s="51" t="s">
        <v>2603</v>
      </c>
      <c r="J19" s="33"/>
      <c r="K19" s="51" t="s">
        <v>2604</v>
      </c>
      <c r="L19" s="33" t="s">
        <v>2454</v>
      </c>
      <c r="M19" s="55" t="s">
        <v>2605</v>
      </c>
      <c r="N19" s="55" t="s">
        <v>2606</v>
      </c>
      <c r="O19" s="33" t="s">
        <v>2271</v>
      </c>
      <c r="P19" s="33" t="s">
        <v>2251</v>
      </c>
      <c r="Q19" s="33"/>
      <c r="R19" s="33" t="s">
        <v>2263</v>
      </c>
      <c r="S19" s="56" t="s">
        <v>2277</v>
      </c>
      <c r="T19" s="56"/>
      <c r="U19" s="56"/>
      <c r="V19" s="33" t="s">
        <v>2605</v>
      </c>
      <c r="W19" s="94" t="s">
        <v>2574</v>
      </c>
      <c r="X19" s="94" t="s">
        <v>2458</v>
      </c>
      <c r="Y19" s="51"/>
      <c r="Z19" s="51"/>
      <c r="AA19" s="33" t="s">
        <v>2459</v>
      </c>
      <c r="AB19" s="33" t="s">
        <v>2460</v>
      </c>
      <c r="AC19" s="33" t="s">
        <v>2486</v>
      </c>
      <c r="AD19" s="33" t="s">
        <v>2254</v>
      </c>
      <c r="AE19" s="33"/>
      <c r="AF19" s="33" t="s">
        <v>2267</v>
      </c>
      <c r="AG19" s="33" t="s">
        <v>2461</v>
      </c>
      <c r="AH19" s="33"/>
      <c r="AI19" s="33"/>
      <c r="AJ19" s="33" t="s">
        <v>2607</v>
      </c>
      <c r="AK19" s="94"/>
      <c r="AL19" s="33" t="s">
        <v>2608</v>
      </c>
      <c r="AM19" s="33"/>
      <c r="AN19" s="33" t="s">
        <v>2588</v>
      </c>
      <c r="AO19" s="51" t="s">
        <v>2589</v>
      </c>
      <c r="AP19" s="51" t="s">
        <v>207</v>
      </c>
      <c r="AQ19" s="33"/>
      <c r="AR19" s="54"/>
      <c r="AS19" s="54"/>
      <c r="AT19" s="54"/>
      <c r="AU19" s="54"/>
      <c r="AV19" s="54"/>
      <c r="AW19" s="54"/>
      <c r="AX19" s="54"/>
      <c r="AY19" s="54" t="s">
        <v>2269</v>
      </c>
      <c r="AZ19" s="54"/>
      <c r="BA19" s="54"/>
      <c r="BB19" s="54"/>
      <c r="BC19" s="54"/>
      <c r="BD19" s="54" t="s">
        <v>2447</v>
      </c>
      <c r="BE19" s="54"/>
      <c r="BF19" s="54"/>
      <c r="BG19" s="54"/>
      <c r="BH19" s="54"/>
      <c r="BI19" s="54"/>
      <c r="BJ19" s="0"/>
      <c r="BK19" s="0"/>
      <c r="BL19" s="0"/>
      <c r="BM19" s="0"/>
      <c r="BN19" s="0"/>
      <c r="BO19" s="0"/>
      <c r="BP19"/>
      <c r="BQ19"/>
      <c r="BR19"/>
      <c r="BS19"/>
      <c r="BT19"/>
      <c r="BU19"/>
      <c r="BV19"/>
      <c r="BW19"/>
      <c r="BX19"/>
      <c r="BY19"/>
      <c r="BZ19"/>
      <c r="CA19"/>
      <c r="CB19"/>
    </row>
    <row r="20" ht="15.0" customHeight="true">
      <c r="A20" s="51" t="s">
        <v>2448</v>
      </c>
      <c r="B20" s="33"/>
      <c r="C20" s="33" t="s">
        <v>2609</v>
      </c>
      <c r="D20" s="33"/>
      <c r="E20" s="33" t="s">
        <v>2610</v>
      </c>
      <c r="F20" s="33"/>
      <c r="G20" s="55" t="s">
        <v>2611</v>
      </c>
      <c r="H20" s="33"/>
      <c r="I20" s="51" t="s">
        <v>2612</v>
      </c>
      <c r="J20" s="33"/>
      <c r="K20" s="51" t="s">
        <v>2613</v>
      </c>
      <c r="L20" s="33" t="s">
        <v>2454</v>
      </c>
      <c r="M20" s="55" t="s">
        <v>2614</v>
      </c>
      <c r="N20" s="55" t="s">
        <v>2615</v>
      </c>
      <c r="O20" s="33" t="s">
        <v>2272</v>
      </c>
      <c r="P20" s="33" t="s">
        <v>2251</v>
      </c>
      <c r="Q20" s="33"/>
      <c r="R20" s="33" t="s">
        <v>2263</v>
      </c>
      <c r="S20" s="56" t="s">
        <v>2277</v>
      </c>
      <c r="T20" s="56"/>
      <c r="U20" s="56"/>
      <c r="V20" s="33" t="s">
        <v>2456</v>
      </c>
      <c r="W20" s="94" t="s">
        <v>2457</v>
      </c>
      <c r="X20" s="94" t="s">
        <v>2458</v>
      </c>
      <c r="Y20" s="51"/>
      <c r="Z20" s="51"/>
      <c r="AA20" s="33" t="s">
        <v>2459</v>
      </c>
      <c r="AB20" s="33" t="s">
        <v>2460</v>
      </c>
      <c r="AC20" s="33"/>
      <c r="AD20" s="33" t="s">
        <v>2254</v>
      </c>
      <c r="AE20" s="33"/>
      <c r="AF20" s="33" t="s">
        <v>2267</v>
      </c>
      <c r="AG20" s="33" t="s">
        <v>2461</v>
      </c>
      <c r="AH20" s="33"/>
      <c r="AI20" s="33"/>
      <c r="AJ20" s="33" t="s">
        <v>2616</v>
      </c>
      <c r="AK20" s="94"/>
      <c r="AL20" s="33" t="s">
        <v>2617</v>
      </c>
      <c r="AM20" s="33"/>
      <c r="AN20" s="33" t="s">
        <v>2465</v>
      </c>
      <c r="AO20" s="51" t="s">
        <v>2618</v>
      </c>
      <c r="AP20" s="51" t="s">
        <v>207</v>
      </c>
      <c r="AQ20" s="33"/>
      <c r="AR20" s="54"/>
      <c r="AS20" s="54"/>
      <c r="AT20" s="54"/>
      <c r="AU20" s="54"/>
      <c r="AV20" s="54"/>
      <c r="AW20" s="54"/>
      <c r="AX20" s="54"/>
      <c r="AY20" s="54"/>
      <c r="AZ20" s="54"/>
      <c r="BA20" s="54"/>
      <c r="BB20" s="54"/>
      <c r="BC20" s="54"/>
      <c r="BD20" s="54" t="s">
        <v>2447</v>
      </c>
      <c r="BE20" s="54"/>
      <c r="BF20" s="54"/>
      <c r="BG20" s="54"/>
      <c r="BH20" s="54"/>
      <c r="BI20" s="54"/>
      <c r="BJ20" s="0"/>
      <c r="BK20" s="0"/>
      <c r="BL20" s="0"/>
      <c r="BM20" s="0"/>
      <c r="BN20" s="0"/>
      <c r="BO20" s="0"/>
      <c r="BP20"/>
      <c r="BQ20"/>
      <c r="BR20"/>
      <c r="BS20"/>
      <c r="BT20"/>
      <c r="BU20"/>
      <c r="BV20"/>
      <c r="BW20"/>
      <c r="BX20"/>
      <c r="BY20"/>
      <c r="BZ20"/>
      <c r="CA20"/>
      <c r="CB20"/>
    </row>
    <row r="21" ht="15.0" customHeight="true">
      <c r="A21" s="51" t="s">
        <v>2448</v>
      </c>
      <c r="B21" s="33"/>
      <c r="C21" s="33" t="s">
        <v>2619</v>
      </c>
      <c r="D21" s="33"/>
      <c r="E21" s="33" t="s">
        <v>2620</v>
      </c>
      <c r="F21" s="33"/>
      <c r="G21" s="55" t="s">
        <v>2621</v>
      </c>
      <c r="H21" s="33" t="s">
        <v>2247</v>
      </c>
      <c r="I21" s="51" t="s">
        <v>2622</v>
      </c>
      <c r="J21" s="33"/>
      <c r="K21" s="51" t="s">
        <v>2623</v>
      </c>
      <c r="L21" s="33" t="s">
        <v>2484</v>
      </c>
      <c r="M21" s="55" t="s">
        <v>2606</v>
      </c>
      <c r="N21" s="55"/>
      <c r="O21" s="33"/>
      <c r="P21" s="33" t="s">
        <v>2251</v>
      </c>
      <c r="Q21" s="33"/>
      <c r="R21" s="33" t="s">
        <v>2263</v>
      </c>
      <c r="S21" s="56" t="s">
        <v>2277</v>
      </c>
      <c r="T21" s="56"/>
      <c r="U21" s="56"/>
      <c r="V21" s="33" t="s">
        <v>2606</v>
      </c>
      <c r="W21" s="94" t="s">
        <v>2457</v>
      </c>
      <c r="X21" s="94" t="s">
        <v>2474</v>
      </c>
      <c r="Y21" s="51"/>
      <c r="Z21" s="51"/>
      <c r="AA21" s="33" t="s">
        <v>2459</v>
      </c>
      <c r="AB21" s="33" t="s">
        <v>2460</v>
      </c>
      <c r="AC21" s="33" t="s">
        <v>2486</v>
      </c>
      <c r="AD21" s="33" t="s">
        <v>2254</v>
      </c>
      <c r="AE21" s="33"/>
      <c r="AF21" s="33" t="s">
        <v>2267</v>
      </c>
      <c r="AG21" s="33" t="s">
        <v>2461</v>
      </c>
      <c r="AH21" s="33"/>
      <c r="AI21" s="33" t="s">
        <v>2624</v>
      </c>
      <c r="AJ21" s="33" t="s">
        <v>2624</v>
      </c>
      <c r="AK21" s="94" t="s">
        <v>2625</v>
      </c>
      <c r="AL21" s="33" t="s">
        <v>2626</v>
      </c>
      <c r="AM21" s="33" t="s">
        <v>2627</v>
      </c>
      <c r="AN21" s="33" t="s">
        <v>2588</v>
      </c>
      <c r="AO21" s="51" t="s">
        <v>2628</v>
      </c>
      <c r="AP21" s="51" t="s">
        <v>207</v>
      </c>
      <c r="AQ21" s="33" t="s">
        <v>1557</v>
      </c>
      <c r="AR21" s="54"/>
      <c r="AS21" s="54"/>
      <c r="AT21" s="54"/>
      <c r="AU21" s="54"/>
      <c r="AV21" s="54"/>
      <c r="AW21" s="54"/>
      <c r="AX21" s="54"/>
      <c r="AY21" s="54" t="s">
        <v>2269</v>
      </c>
      <c r="AZ21" s="54"/>
      <c r="BA21" s="54"/>
      <c r="BB21" s="54"/>
      <c r="BC21" s="54"/>
      <c r="BD21" s="54" t="s">
        <v>2447</v>
      </c>
      <c r="BE21" s="54"/>
      <c r="BF21" s="54"/>
      <c r="BG21" s="54"/>
      <c r="BH21" s="54"/>
      <c r="BI21" s="54"/>
      <c r="BJ21" s="0"/>
      <c r="BK21" s="0"/>
      <c r="BL21" s="0"/>
      <c r="BM21" s="0"/>
      <c r="BN21" s="0"/>
      <c r="BO21" s="0"/>
      <c r="BP21"/>
      <c r="BQ21"/>
      <c r="BR21"/>
      <c r="BS21"/>
      <c r="BT21"/>
      <c r="BU21"/>
      <c r="BV21"/>
      <c r="BW21"/>
      <c r="BX21"/>
      <c r="BY21"/>
      <c r="BZ21"/>
      <c r="CA21"/>
      <c r="CB21"/>
    </row>
    <row r="22" ht="15.0" customHeight="true">
      <c r="A22" s="51" t="s">
        <v>2448</v>
      </c>
      <c r="B22" s="33"/>
      <c r="C22" s="33" t="s">
        <v>2629</v>
      </c>
      <c r="D22" s="33"/>
      <c r="E22" s="33" t="s">
        <v>2630</v>
      </c>
      <c r="F22" s="33"/>
      <c r="G22" s="55" t="s">
        <v>2631</v>
      </c>
      <c r="H22" s="33" t="s">
        <v>2258</v>
      </c>
      <c r="I22" s="51" t="s">
        <v>2632</v>
      </c>
      <c r="J22" s="33"/>
      <c r="K22" s="51" t="s">
        <v>2633</v>
      </c>
      <c r="L22" s="33" t="s">
        <v>2484</v>
      </c>
      <c r="M22" s="55" t="s">
        <v>2606</v>
      </c>
      <c r="N22" s="55"/>
      <c r="O22" s="33"/>
      <c r="P22" s="33" t="s">
        <v>2251</v>
      </c>
      <c r="Q22" s="33"/>
      <c r="R22" s="33" t="s">
        <v>2263</v>
      </c>
      <c r="S22" s="56" t="s">
        <v>2277</v>
      </c>
      <c r="T22" s="56"/>
      <c r="U22" s="56"/>
      <c r="V22" s="33" t="s">
        <v>2606</v>
      </c>
      <c r="W22" s="94" t="s">
        <v>2574</v>
      </c>
      <c r="X22" s="94" t="s">
        <v>2474</v>
      </c>
      <c r="Y22" s="51"/>
      <c r="Z22" s="51"/>
      <c r="AA22" s="33" t="s">
        <v>2459</v>
      </c>
      <c r="AB22" s="33" t="s">
        <v>2460</v>
      </c>
      <c r="AC22" s="33" t="s">
        <v>2486</v>
      </c>
      <c r="AD22" s="33" t="s">
        <v>2254</v>
      </c>
      <c r="AE22" s="33"/>
      <c r="AF22" s="33" t="s">
        <v>2267</v>
      </c>
      <c r="AG22" s="33" t="s">
        <v>2461</v>
      </c>
      <c r="AH22" s="33"/>
      <c r="AI22" s="33"/>
      <c r="AJ22" s="33" t="s">
        <v>2634</v>
      </c>
      <c r="AK22" s="94"/>
      <c r="AL22" s="33" t="s">
        <v>2635</v>
      </c>
      <c r="AM22" s="33"/>
      <c r="AN22" s="33" t="s">
        <v>2465</v>
      </c>
      <c r="AO22" s="51" t="s">
        <v>2489</v>
      </c>
      <c r="AP22" s="51" t="s">
        <v>207</v>
      </c>
      <c r="AQ22" s="33"/>
      <c r="AR22" s="54"/>
      <c r="AS22" s="54"/>
      <c r="AT22" s="54"/>
      <c r="AU22" s="54"/>
      <c r="AV22" s="54"/>
      <c r="AW22" s="54"/>
      <c r="AX22" s="54"/>
      <c r="AY22" s="54" t="s">
        <v>2269</v>
      </c>
      <c r="AZ22" s="54"/>
      <c r="BA22" s="54"/>
      <c r="BB22" s="54"/>
      <c r="BC22" s="54"/>
      <c r="BD22" s="54" t="s">
        <v>2447</v>
      </c>
      <c r="BE22" s="54"/>
      <c r="BF22" s="54"/>
      <c r="BG22" s="54"/>
      <c r="BH22" s="54"/>
      <c r="BI22" s="54"/>
      <c r="BJ22" s="0"/>
      <c r="BK22" s="0"/>
      <c r="BL22" s="0"/>
      <c r="BM22" s="0"/>
      <c r="BN22" s="0"/>
      <c r="BO22" s="0"/>
      <c r="BP22"/>
      <c r="BQ22"/>
      <c r="BR22"/>
      <c r="BS22"/>
      <c r="BT22"/>
      <c r="BU22"/>
      <c r="BV22"/>
      <c r="BW22"/>
      <c r="BX22"/>
      <c r="BY22"/>
      <c r="BZ22"/>
      <c r="CA22"/>
      <c r="CB22"/>
    </row>
    <row r="23" ht="15.0" customHeight="true">
      <c r="A23" s="51" t="s">
        <v>2448</v>
      </c>
      <c r="B23" s="33"/>
      <c r="C23" s="33" t="s">
        <v>2636</v>
      </c>
      <c r="D23" s="33"/>
      <c r="E23" s="33" t="s">
        <v>2637</v>
      </c>
      <c r="F23" s="33"/>
      <c r="G23" s="55" t="s">
        <v>2638</v>
      </c>
      <c r="H23" s="33" t="s">
        <v>2247</v>
      </c>
      <c r="I23" s="51" t="s">
        <v>2639</v>
      </c>
      <c r="J23" s="33"/>
      <c r="K23" s="51" t="s">
        <v>2640</v>
      </c>
      <c r="L23" s="33" t="s">
        <v>2454</v>
      </c>
      <c r="M23" s="55" t="s">
        <v>2606</v>
      </c>
      <c r="N23" s="55" t="s">
        <v>2641</v>
      </c>
      <c r="O23" s="33" t="s">
        <v>2276</v>
      </c>
      <c r="P23" s="33" t="s">
        <v>2251</v>
      </c>
      <c r="Q23" s="33"/>
      <c r="R23" s="33" t="s">
        <v>2263</v>
      </c>
      <c r="S23" s="56" t="s">
        <v>2277</v>
      </c>
      <c r="T23" s="56"/>
      <c r="U23" s="56"/>
      <c r="V23" s="33" t="s">
        <v>2606</v>
      </c>
      <c r="W23" s="94" t="s">
        <v>2574</v>
      </c>
      <c r="X23" s="94" t="s">
        <v>2474</v>
      </c>
      <c r="Y23" s="51"/>
      <c r="Z23" s="51"/>
      <c r="AA23" s="33" t="s">
        <v>2459</v>
      </c>
      <c r="AB23" s="33" t="s">
        <v>2460</v>
      </c>
      <c r="AC23" s="33" t="s">
        <v>2486</v>
      </c>
      <c r="AD23" s="33" t="s">
        <v>2254</v>
      </c>
      <c r="AE23" s="33"/>
      <c r="AF23" s="33" t="s">
        <v>2267</v>
      </c>
      <c r="AG23" s="33" t="s">
        <v>2461</v>
      </c>
      <c r="AH23" s="33"/>
      <c r="AI23" s="33"/>
      <c r="AJ23" s="33" t="s">
        <v>2642</v>
      </c>
      <c r="AK23" s="94"/>
      <c r="AL23" s="33" t="s">
        <v>2643</v>
      </c>
      <c r="AM23" s="33"/>
      <c r="AN23" s="33" t="s">
        <v>2465</v>
      </c>
      <c r="AO23" s="51" t="s">
        <v>2528</v>
      </c>
      <c r="AP23" s="51" t="s">
        <v>207</v>
      </c>
      <c r="AQ23" s="33"/>
      <c r="AR23" s="54"/>
      <c r="AS23" s="54"/>
      <c r="AT23" s="54"/>
      <c r="AU23" s="54"/>
      <c r="AV23" s="54"/>
      <c r="AW23" s="54"/>
      <c r="AX23" s="54"/>
      <c r="AY23" s="54" t="s">
        <v>2269</v>
      </c>
      <c r="AZ23" s="54"/>
      <c r="BA23" s="54"/>
      <c r="BB23" s="54"/>
      <c r="BC23" s="54"/>
      <c r="BD23" s="54" t="s">
        <v>2447</v>
      </c>
      <c r="BE23" s="54"/>
      <c r="BF23" s="54"/>
      <c r="BG23" s="54"/>
      <c r="BH23" s="54"/>
      <c r="BI23" s="54"/>
      <c r="BJ23" s="0"/>
      <c r="BK23" s="0"/>
      <c r="BL23" s="0"/>
      <c r="BM23" s="0"/>
      <c r="BN23" s="0"/>
      <c r="BO23" s="0"/>
      <c r="BP23"/>
      <c r="BQ23"/>
      <c r="BR23"/>
      <c r="BS23"/>
      <c r="BT23"/>
      <c r="BU23"/>
      <c r="BV23"/>
      <c r="BW23"/>
      <c r="BX23"/>
      <c r="BY23"/>
      <c r="BZ23"/>
      <c r="CA23"/>
      <c r="CB23"/>
    </row>
    <row r="24" ht="15.0" customHeight="true">
      <c r="A24" s="51" t="s">
        <v>2448</v>
      </c>
      <c r="B24" s="33"/>
      <c r="C24" s="33" t="s">
        <v>2644</v>
      </c>
      <c r="D24" s="33"/>
      <c r="E24" s="33" t="s">
        <v>2645</v>
      </c>
      <c r="F24" s="33"/>
      <c r="G24" s="55" t="s">
        <v>2646</v>
      </c>
      <c r="H24" s="33" t="s">
        <v>2258</v>
      </c>
      <c r="I24" s="51" t="s">
        <v>2647</v>
      </c>
      <c r="J24" s="33"/>
      <c r="K24" s="51" t="s">
        <v>2648</v>
      </c>
      <c r="L24" s="33" t="s">
        <v>2484</v>
      </c>
      <c r="M24" s="55" t="s">
        <v>2606</v>
      </c>
      <c r="N24" s="55"/>
      <c r="O24" s="33"/>
      <c r="P24" s="33" t="s">
        <v>2251</v>
      </c>
      <c r="Q24" s="33"/>
      <c r="R24" s="33" t="s">
        <v>2263</v>
      </c>
      <c r="S24" s="56" t="s">
        <v>2277</v>
      </c>
      <c r="T24" s="56"/>
      <c r="U24" s="56"/>
      <c r="V24" s="33" t="s">
        <v>2606</v>
      </c>
      <c r="W24" s="94" t="s">
        <v>2457</v>
      </c>
      <c r="X24" s="94" t="s">
        <v>2474</v>
      </c>
      <c r="Y24" s="51"/>
      <c r="Z24" s="51"/>
      <c r="AA24" s="33" t="s">
        <v>2459</v>
      </c>
      <c r="AB24" s="33" t="s">
        <v>2460</v>
      </c>
      <c r="AC24" s="33" t="s">
        <v>2486</v>
      </c>
      <c r="AD24" s="33" t="s">
        <v>2254</v>
      </c>
      <c r="AE24" s="33"/>
      <c r="AF24" s="33" t="s">
        <v>2267</v>
      </c>
      <c r="AG24" s="33" t="s">
        <v>2461</v>
      </c>
      <c r="AH24" s="33"/>
      <c r="AI24" s="33"/>
      <c r="AJ24" s="33" t="s">
        <v>2649</v>
      </c>
      <c r="AK24" s="94"/>
      <c r="AL24" s="33" t="s">
        <v>2650</v>
      </c>
      <c r="AM24" s="33"/>
      <c r="AN24" s="33" t="s">
        <v>2577</v>
      </c>
      <c r="AO24" s="51" t="s">
        <v>2578</v>
      </c>
      <c r="AP24" s="51" t="s">
        <v>207</v>
      </c>
      <c r="AQ24" s="33"/>
      <c r="AR24" s="54"/>
      <c r="AS24" s="54"/>
      <c r="AT24" s="54"/>
      <c r="AU24" s="54"/>
      <c r="AV24" s="54"/>
      <c r="AW24" s="54"/>
      <c r="AX24" s="54"/>
      <c r="AY24" s="54" t="s">
        <v>2269</v>
      </c>
      <c r="AZ24" s="54"/>
      <c r="BA24" s="54"/>
      <c r="BB24" s="54"/>
      <c r="BC24" s="54"/>
      <c r="BD24" s="54" t="s">
        <v>2447</v>
      </c>
      <c r="BE24" s="54"/>
      <c r="BF24" s="54"/>
      <c r="BG24" s="54"/>
      <c r="BH24" s="54"/>
      <c r="BI24" s="54"/>
      <c r="BJ24" s="0"/>
      <c r="BK24" s="0"/>
      <c r="BL24" s="0"/>
      <c r="BM24" s="0"/>
      <c r="BN24" s="0"/>
      <c r="BO24" s="0"/>
      <c r="BP24"/>
      <c r="BQ24"/>
      <c r="BR24"/>
      <c r="BS24"/>
      <c r="BT24"/>
      <c r="BU24"/>
      <c r="BV24"/>
      <c r="BW24"/>
      <c r="BX24"/>
      <c r="BY24"/>
      <c r="BZ24"/>
      <c r="CA24"/>
      <c r="CB24"/>
    </row>
    <row r="25" ht="15.0" customHeight="true">
      <c r="A25" s="51" t="s">
        <v>2448</v>
      </c>
      <c r="B25" s="33"/>
      <c r="C25" s="33" t="s">
        <v>2651</v>
      </c>
      <c r="D25" s="33"/>
      <c r="E25" s="33" t="s">
        <v>2652</v>
      </c>
      <c r="F25" s="33"/>
      <c r="G25" s="55" t="s">
        <v>2653</v>
      </c>
      <c r="H25" s="33" t="s">
        <v>2247</v>
      </c>
      <c r="I25" s="51" t="s">
        <v>2654</v>
      </c>
      <c r="J25" s="33"/>
      <c r="K25" s="51" t="s">
        <v>2655</v>
      </c>
      <c r="L25" s="33" t="s">
        <v>2484</v>
      </c>
      <c r="M25" s="55" t="s">
        <v>2641</v>
      </c>
      <c r="N25" s="55"/>
      <c r="O25" s="33"/>
      <c r="P25" s="33" t="s">
        <v>2251</v>
      </c>
      <c r="Q25" s="33"/>
      <c r="R25" s="33" t="s">
        <v>2263</v>
      </c>
      <c r="S25" s="56" t="s">
        <v>2277</v>
      </c>
      <c r="T25" s="56"/>
      <c r="U25" s="56"/>
      <c r="V25" s="33" t="s">
        <v>2641</v>
      </c>
      <c r="W25" s="94" t="s">
        <v>2457</v>
      </c>
      <c r="X25" s="94" t="s">
        <v>2474</v>
      </c>
      <c r="Y25" s="51"/>
      <c r="Z25" s="51"/>
      <c r="AA25" s="33" t="s">
        <v>2459</v>
      </c>
      <c r="AB25" s="33" t="s">
        <v>2460</v>
      </c>
      <c r="AC25" s="33" t="s">
        <v>2486</v>
      </c>
      <c r="AD25" s="33" t="s">
        <v>2254</v>
      </c>
      <c r="AE25" s="33"/>
      <c r="AF25" s="33" t="s">
        <v>2267</v>
      </c>
      <c r="AG25" s="33" t="s">
        <v>2461</v>
      </c>
      <c r="AH25" s="33"/>
      <c r="AI25" s="33" t="s">
        <v>2656</v>
      </c>
      <c r="AJ25" s="33" t="s">
        <v>2656</v>
      </c>
      <c r="AK25" s="94" t="s">
        <v>2657</v>
      </c>
      <c r="AL25" s="33" t="s">
        <v>2617</v>
      </c>
      <c r="AM25" s="33" t="s">
        <v>2658</v>
      </c>
      <c r="AN25" s="33" t="s">
        <v>2465</v>
      </c>
      <c r="AO25" s="51" t="s">
        <v>2618</v>
      </c>
      <c r="AP25" s="51" t="s">
        <v>207</v>
      </c>
      <c r="AQ25" s="33"/>
      <c r="AR25" s="54"/>
      <c r="AS25" s="54"/>
      <c r="AT25" s="54"/>
      <c r="AU25" s="54"/>
      <c r="AV25" s="54"/>
      <c r="AW25" s="54"/>
      <c r="AX25" s="54"/>
      <c r="AY25" s="54" t="s">
        <v>2269</v>
      </c>
      <c r="AZ25" s="54"/>
      <c r="BA25" s="54"/>
      <c r="BB25" s="54"/>
      <c r="BC25" s="54"/>
      <c r="BD25" s="54" t="s">
        <v>2447</v>
      </c>
      <c r="BE25" s="54"/>
      <c r="BF25" s="54"/>
      <c r="BG25" s="54"/>
      <c r="BH25" s="54"/>
      <c r="BI25" s="54"/>
      <c r="BJ25" s="0"/>
      <c r="BK25" s="0"/>
      <c r="BL25" s="0"/>
      <c r="BM25" s="0"/>
      <c r="BN25" s="0"/>
      <c r="BO25" s="0"/>
      <c r="BP25"/>
      <c r="BQ25"/>
      <c r="BR25"/>
      <c r="BS25"/>
      <c r="BT25"/>
      <c r="BU25"/>
      <c r="BV25"/>
      <c r="BW25"/>
      <c r="BX25"/>
      <c r="BY25"/>
      <c r="BZ25"/>
      <c r="CA25"/>
      <c r="CB25"/>
    </row>
    <row r="26" ht="15.0" customHeight="true">
      <c r="A26" s="51" t="s">
        <v>2448</v>
      </c>
      <c r="B26" s="33"/>
      <c r="C26" s="33" t="s">
        <v>2659</v>
      </c>
      <c r="D26" s="33"/>
      <c r="E26" s="33" t="s">
        <v>2660</v>
      </c>
      <c r="F26" s="33"/>
      <c r="G26" s="55" t="s">
        <v>2661</v>
      </c>
      <c r="H26" s="33" t="s">
        <v>2247</v>
      </c>
      <c r="I26" s="51" t="s">
        <v>2662</v>
      </c>
      <c r="J26" s="33"/>
      <c r="K26" s="51" t="s">
        <v>2663</v>
      </c>
      <c r="L26" s="33" t="s">
        <v>2484</v>
      </c>
      <c r="M26" s="55" t="s">
        <v>2641</v>
      </c>
      <c r="N26" s="55"/>
      <c r="O26" s="33"/>
      <c r="P26" s="33" t="s">
        <v>2251</v>
      </c>
      <c r="Q26" s="33"/>
      <c r="R26" s="33" t="s">
        <v>2263</v>
      </c>
      <c r="S26" s="56" t="s">
        <v>2277</v>
      </c>
      <c r="T26" s="56"/>
      <c r="U26" s="56"/>
      <c r="V26" s="33" t="s">
        <v>2641</v>
      </c>
      <c r="W26" s="94" t="s">
        <v>2457</v>
      </c>
      <c r="X26" s="94" t="s">
        <v>2474</v>
      </c>
      <c r="Y26" s="51"/>
      <c r="Z26" s="51"/>
      <c r="AA26" s="33" t="s">
        <v>2459</v>
      </c>
      <c r="AB26" s="33" t="s">
        <v>2460</v>
      </c>
      <c r="AC26" s="33" t="s">
        <v>2486</v>
      </c>
      <c r="AD26" s="33" t="s">
        <v>2254</v>
      </c>
      <c r="AE26" s="33"/>
      <c r="AF26" s="33" t="s">
        <v>2267</v>
      </c>
      <c r="AG26" s="33" t="s">
        <v>2461</v>
      </c>
      <c r="AH26" s="33"/>
      <c r="AI26" s="33"/>
      <c r="AJ26" s="33" t="s">
        <v>2664</v>
      </c>
      <c r="AK26" s="94"/>
      <c r="AL26" s="33" t="s">
        <v>2665</v>
      </c>
      <c r="AM26" s="33"/>
      <c r="AN26" s="33" t="s">
        <v>2588</v>
      </c>
      <c r="AO26" s="51" t="s">
        <v>2628</v>
      </c>
      <c r="AP26" s="51" t="s">
        <v>207</v>
      </c>
      <c r="AQ26" s="33"/>
      <c r="AR26" s="54"/>
      <c r="AS26" s="54"/>
      <c r="AT26" s="54"/>
      <c r="AU26" s="54"/>
      <c r="AV26" s="54"/>
      <c r="AW26" s="54"/>
      <c r="AX26" s="54"/>
      <c r="AY26" s="54" t="s">
        <v>2269</v>
      </c>
      <c r="AZ26" s="54"/>
      <c r="BA26" s="54"/>
      <c r="BB26" s="54"/>
      <c r="BC26" s="54"/>
      <c r="BD26" s="54" t="s">
        <v>2447</v>
      </c>
      <c r="BE26" s="54"/>
      <c r="BF26" s="54"/>
      <c r="BG26" s="54"/>
      <c r="BH26" s="54"/>
      <c r="BI26" s="54"/>
      <c r="BJ26" s="0"/>
      <c r="BK26" s="0"/>
      <c r="BL26" s="0"/>
      <c r="BM26" s="0"/>
      <c r="BN26" s="0"/>
      <c r="BO26" s="0"/>
      <c r="BP26"/>
      <c r="BQ26"/>
      <c r="BR26"/>
      <c r="BS26"/>
      <c r="BT26"/>
      <c r="BU26"/>
      <c r="BV26"/>
      <c r="BW26"/>
      <c r="BX26"/>
      <c r="BY26"/>
      <c r="BZ26"/>
      <c r="CA26"/>
      <c r="CB26"/>
    </row>
    <row r="27" ht="15.0" customHeight="true">
      <c r="A27" s="51" t="s">
        <v>2448</v>
      </c>
      <c r="B27" s="33"/>
      <c r="C27" s="33" t="s">
        <v>2666</v>
      </c>
      <c r="D27" s="33"/>
      <c r="E27" s="33" t="s">
        <v>2667</v>
      </c>
      <c r="F27" s="33"/>
      <c r="G27" s="55" t="s">
        <v>2668</v>
      </c>
      <c r="H27" s="33" t="s">
        <v>2247</v>
      </c>
      <c r="I27" s="51" t="s">
        <v>2669</v>
      </c>
      <c r="J27" s="33"/>
      <c r="K27" s="51" t="s">
        <v>2670</v>
      </c>
      <c r="L27" s="33" t="s">
        <v>2484</v>
      </c>
      <c r="M27" s="55" t="s">
        <v>2641</v>
      </c>
      <c r="N27" s="55"/>
      <c r="O27" s="33"/>
      <c r="P27" s="33" t="s">
        <v>2251</v>
      </c>
      <c r="Q27" s="33"/>
      <c r="R27" s="33" t="s">
        <v>2263</v>
      </c>
      <c r="S27" s="56" t="s">
        <v>2277</v>
      </c>
      <c r="T27" s="56"/>
      <c r="U27" s="56"/>
      <c r="V27" s="33" t="s">
        <v>2641</v>
      </c>
      <c r="W27" s="94" t="s">
        <v>2574</v>
      </c>
      <c r="X27" s="94" t="s">
        <v>2474</v>
      </c>
      <c r="Y27" s="51"/>
      <c r="Z27" s="51"/>
      <c r="AA27" s="33" t="s">
        <v>2459</v>
      </c>
      <c r="AB27" s="33" t="s">
        <v>2460</v>
      </c>
      <c r="AC27" s="33" t="s">
        <v>2486</v>
      </c>
      <c r="AD27" s="33" t="s">
        <v>2254</v>
      </c>
      <c r="AE27" s="33"/>
      <c r="AF27" s="33" t="s">
        <v>2267</v>
      </c>
      <c r="AG27" s="33" t="s">
        <v>2461</v>
      </c>
      <c r="AH27" s="33"/>
      <c r="AI27" s="33"/>
      <c r="AJ27" s="33" t="s">
        <v>2671</v>
      </c>
      <c r="AK27" s="94"/>
      <c r="AL27" s="33" t="s">
        <v>2672</v>
      </c>
      <c r="AM27" s="33"/>
      <c r="AN27" s="33" t="s">
        <v>2465</v>
      </c>
      <c r="AO27" s="51" t="s">
        <v>2673</v>
      </c>
      <c r="AP27" s="51" t="s">
        <v>207</v>
      </c>
      <c r="AQ27" s="33"/>
      <c r="AR27" s="54"/>
      <c r="AS27" s="54"/>
      <c r="AT27" s="54"/>
      <c r="AU27" s="54"/>
      <c r="AV27" s="54"/>
      <c r="AW27" s="54"/>
      <c r="AX27" s="54"/>
      <c r="AY27" s="54" t="s">
        <v>2269</v>
      </c>
      <c r="AZ27" s="54"/>
      <c r="BA27" s="54"/>
      <c r="BB27" s="54"/>
      <c r="BC27" s="54"/>
      <c r="BD27" s="54" t="s">
        <v>2447</v>
      </c>
      <c r="BE27" s="54"/>
      <c r="BF27" s="54"/>
      <c r="BG27" s="54"/>
      <c r="BH27" s="54"/>
      <c r="BI27" s="54"/>
      <c r="BJ27" s="0"/>
      <c r="BK27" s="0"/>
      <c r="BL27" s="0"/>
      <c r="BM27" s="0"/>
      <c r="BN27" s="0"/>
      <c r="BO27" s="0"/>
      <c r="BP27"/>
      <c r="BQ27"/>
      <c r="BR27"/>
      <c r="BS27"/>
      <c r="BT27"/>
      <c r="BU27"/>
      <c r="BV27"/>
      <c r="BW27"/>
      <c r="BX27"/>
      <c r="BY27"/>
      <c r="BZ27"/>
      <c r="CA27"/>
      <c r="CB27"/>
    </row>
    <row r="28" ht="15.0" customHeight="true">
      <c r="A28" s="51" t="s">
        <v>2448</v>
      </c>
      <c r="B28" s="33"/>
      <c r="C28" s="33" t="s">
        <v>2674</v>
      </c>
      <c r="D28" s="33"/>
      <c r="E28" s="33" t="s">
        <v>2675</v>
      </c>
      <c r="F28" s="33"/>
      <c r="G28" s="55" t="s">
        <v>2676</v>
      </c>
      <c r="H28" s="33"/>
      <c r="I28" s="51" t="s">
        <v>2677</v>
      </c>
      <c r="J28" s="33"/>
      <c r="K28" s="51" t="s">
        <v>2678</v>
      </c>
      <c r="L28" s="33" t="s">
        <v>2454</v>
      </c>
      <c r="M28" s="55" t="s">
        <v>2679</v>
      </c>
      <c r="N28" s="55" t="s">
        <v>2679</v>
      </c>
      <c r="O28" s="33" t="s">
        <v>2272</v>
      </c>
      <c r="P28" s="33" t="s">
        <v>2251</v>
      </c>
      <c r="Q28" s="33"/>
      <c r="R28" s="33" t="s">
        <v>2263</v>
      </c>
      <c r="S28" s="56" t="s">
        <v>2277</v>
      </c>
      <c r="T28" s="56"/>
      <c r="U28" s="56"/>
      <c r="V28" s="33" t="s">
        <v>2456</v>
      </c>
      <c r="W28" s="94" t="s">
        <v>2457</v>
      </c>
      <c r="X28" s="94" t="s">
        <v>2458</v>
      </c>
      <c r="Y28" s="51"/>
      <c r="Z28" s="51"/>
      <c r="AA28" s="33" t="s">
        <v>2459</v>
      </c>
      <c r="AB28" s="33" t="s">
        <v>2460</v>
      </c>
      <c r="AC28" s="33"/>
      <c r="AD28" s="33" t="s">
        <v>2254</v>
      </c>
      <c r="AE28" s="33"/>
      <c r="AF28" s="33" t="s">
        <v>2267</v>
      </c>
      <c r="AG28" s="33" t="s">
        <v>2461</v>
      </c>
      <c r="AH28" s="33"/>
      <c r="AI28" s="33"/>
      <c r="AJ28" s="33" t="s">
        <v>2680</v>
      </c>
      <c r="AK28" s="94"/>
      <c r="AL28" s="33" t="s">
        <v>2681</v>
      </c>
      <c r="AM28" s="33" t="s">
        <v>2682</v>
      </c>
      <c r="AN28" s="33" t="s">
        <v>2465</v>
      </c>
      <c r="AO28" s="51" t="s">
        <v>2538</v>
      </c>
      <c r="AP28" s="51" t="s">
        <v>207</v>
      </c>
      <c r="AQ28" s="33"/>
      <c r="AR28" s="54"/>
      <c r="AS28" s="54"/>
      <c r="AT28" s="54"/>
      <c r="AU28" s="54"/>
      <c r="AV28" s="54"/>
      <c r="AW28" s="54"/>
      <c r="AX28" s="54"/>
      <c r="AY28" s="54"/>
      <c r="AZ28" s="54"/>
      <c r="BA28" s="54"/>
      <c r="BB28" s="54"/>
      <c r="BC28" s="54"/>
      <c r="BD28" s="54" t="s">
        <v>2447</v>
      </c>
      <c r="BE28" s="54"/>
      <c r="BF28" s="54"/>
      <c r="BG28" s="54"/>
      <c r="BH28" s="54"/>
      <c r="BI28" s="54"/>
      <c r="BJ28" s="0"/>
      <c r="BK28" s="0"/>
      <c r="BL28" s="0"/>
      <c r="BM28" s="0"/>
      <c r="BN28" s="0"/>
      <c r="BO28" s="0"/>
      <c r="BP28"/>
      <c r="BQ28"/>
      <c r="BR28"/>
      <c r="BS28"/>
      <c r="BT28"/>
      <c r="BU28"/>
      <c r="BV28"/>
      <c r="BW28"/>
      <c r="BX28"/>
      <c r="BY28"/>
      <c r="BZ28"/>
      <c r="CA28"/>
      <c r="CB28"/>
    </row>
    <row r="29" ht="15.0" customHeight="true">
      <c r="A29" s="51" t="s">
        <v>2448</v>
      </c>
      <c r="B29" s="33"/>
      <c r="C29" s="33" t="s">
        <v>2683</v>
      </c>
      <c r="D29" s="33"/>
      <c r="E29" s="33" t="s">
        <v>2684</v>
      </c>
      <c r="F29" s="33"/>
      <c r="G29" s="55" t="s">
        <v>2685</v>
      </c>
      <c r="H29" s="33"/>
      <c r="I29" s="51" t="s">
        <v>2686</v>
      </c>
      <c r="J29" s="33"/>
      <c r="K29" s="51" t="s">
        <v>2687</v>
      </c>
      <c r="L29" s="33" t="s">
        <v>2454</v>
      </c>
      <c r="M29" s="55" t="s">
        <v>2688</v>
      </c>
      <c r="N29" s="55" t="s">
        <v>2689</v>
      </c>
      <c r="O29" s="33" t="s">
        <v>2272</v>
      </c>
      <c r="P29" s="33" t="s">
        <v>2251</v>
      </c>
      <c r="Q29" s="33"/>
      <c r="R29" s="33" t="s">
        <v>2263</v>
      </c>
      <c r="S29" s="56" t="s">
        <v>2277</v>
      </c>
      <c r="T29" s="56"/>
      <c r="U29" s="56"/>
      <c r="V29" s="33" t="s">
        <v>2456</v>
      </c>
      <c r="W29" s="94" t="s">
        <v>2457</v>
      </c>
      <c r="X29" s="94" t="s">
        <v>2474</v>
      </c>
      <c r="Y29" s="51"/>
      <c r="Z29" s="51"/>
      <c r="AA29" s="33" t="s">
        <v>2459</v>
      </c>
      <c r="AB29" s="33" t="s">
        <v>2460</v>
      </c>
      <c r="AC29" s="33"/>
      <c r="AD29" s="33" t="s">
        <v>2254</v>
      </c>
      <c r="AE29" s="33"/>
      <c r="AF29" s="33" t="s">
        <v>2267</v>
      </c>
      <c r="AG29" s="33" t="s">
        <v>2461</v>
      </c>
      <c r="AH29" s="33"/>
      <c r="AI29" s="33"/>
      <c r="AJ29" s="33" t="s">
        <v>2690</v>
      </c>
      <c r="AK29" s="94"/>
      <c r="AL29" s="33" t="s">
        <v>2691</v>
      </c>
      <c r="AM29" s="33"/>
      <c r="AN29" s="33" t="s">
        <v>2465</v>
      </c>
      <c r="AO29" s="51" t="s">
        <v>2466</v>
      </c>
      <c r="AP29" s="51" t="s">
        <v>207</v>
      </c>
      <c r="AQ29" s="33"/>
      <c r="AR29" s="54"/>
      <c r="AS29" s="54"/>
      <c r="AT29" s="54"/>
      <c r="AU29" s="54"/>
      <c r="AV29" s="54"/>
      <c r="AW29" s="54"/>
      <c r="AX29" s="54"/>
      <c r="AY29" s="54"/>
      <c r="AZ29" s="54"/>
      <c r="BA29" s="54"/>
      <c r="BB29" s="54"/>
      <c r="BC29" s="54"/>
      <c r="BD29" s="54" t="s">
        <v>2447</v>
      </c>
      <c r="BE29" s="54"/>
      <c r="BF29" s="54"/>
      <c r="BG29" s="54"/>
      <c r="BH29" s="54"/>
      <c r="BI29" s="54"/>
      <c r="BJ29" s="0"/>
      <c r="BK29" s="0"/>
      <c r="BL29" s="0"/>
      <c r="BM29" s="0"/>
      <c r="BN29" s="0"/>
      <c r="BO29" s="0"/>
      <c r="BP29"/>
      <c r="BQ29"/>
      <c r="BR29"/>
      <c r="BS29"/>
      <c r="BT29"/>
      <c r="BU29"/>
      <c r="BV29"/>
      <c r="BW29"/>
      <c r="BX29"/>
      <c r="BY29"/>
      <c r="BZ29"/>
      <c r="CA29"/>
      <c r="CB29"/>
    </row>
    <row r="30" ht="15.0" customHeight="true">
      <c r="A30" s="51" t="s">
        <v>2448</v>
      </c>
      <c r="B30" s="33"/>
      <c r="C30" s="33" t="s">
        <v>2692</v>
      </c>
      <c r="D30" s="33"/>
      <c r="E30" s="33" t="s">
        <v>2693</v>
      </c>
      <c r="F30" s="33"/>
      <c r="G30" s="55" t="s">
        <v>2694</v>
      </c>
      <c r="H30" s="33"/>
      <c r="I30" s="51" t="s">
        <v>2695</v>
      </c>
      <c r="J30" s="33"/>
      <c r="K30" s="51" t="s">
        <v>2696</v>
      </c>
      <c r="L30" s="33" t="s">
        <v>2454</v>
      </c>
      <c r="M30" s="55" t="s">
        <v>2697</v>
      </c>
      <c r="N30" s="55" t="s">
        <v>2698</v>
      </c>
      <c r="O30" s="33" t="s">
        <v>2272</v>
      </c>
      <c r="P30" s="33" t="s">
        <v>2251</v>
      </c>
      <c r="Q30" s="33"/>
      <c r="R30" s="33" t="s">
        <v>2263</v>
      </c>
      <c r="S30" s="56" t="s">
        <v>2277</v>
      </c>
      <c r="T30" s="56"/>
      <c r="U30" s="56"/>
      <c r="V30" s="33" t="s">
        <v>2456</v>
      </c>
      <c r="W30" s="94" t="s">
        <v>2457</v>
      </c>
      <c r="X30" s="94" t="s">
        <v>2458</v>
      </c>
      <c r="Y30" s="51"/>
      <c r="Z30" s="51"/>
      <c r="AA30" s="33" t="s">
        <v>2459</v>
      </c>
      <c r="AB30" s="33" t="s">
        <v>2460</v>
      </c>
      <c r="AC30" s="33"/>
      <c r="AD30" s="33" t="s">
        <v>2254</v>
      </c>
      <c r="AE30" s="33"/>
      <c r="AF30" s="33" t="s">
        <v>2267</v>
      </c>
      <c r="AG30" s="33" t="s">
        <v>2461</v>
      </c>
      <c r="AH30" s="33"/>
      <c r="AI30" s="33"/>
      <c r="AJ30" s="33" t="s">
        <v>2699</v>
      </c>
      <c r="AK30" s="94"/>
      <c r="AL30" s="33" t="s">
        <v>2700</v>
      </c>
      <c r="AM30" s="33"/>
      <c r="AN30" s="33" t="s">
        <v>2701</v>
      </c>
      <c r="AO30" s="51" t="s">
        <v>2702</v>
      </c>
      <c r="AP30" s="51" t="s">
        <v>207</v>
      </c>
      <c r="AQ30" s="33"/>
      <c r="AR30" s="54"/>
      <c r="AS30" s="54"/>
      <c r="AT30" s="54"/>
      <c r="AU30" s="54"/>
      <c r="AV30" s="54"/>
      <c r="AW30" s="54"/>
      <c r="AX30" s="54"/>
      <c r="AY30" s="54"/>
      <c r="AZ30" s="54"/>
      <c r="BA30" s="54"/>
      <c r="BB30" s="54"/>
      <c r="BC30" s="54"/>
      <c r="BD30" s="54" t="s">
        <v>2447</v>
      </c>
      <c r="BE30" s="54"/>
      <c r="BF30" s="54"/>
      <c r="BG30" s="54"/>
      <c r="BH30" s="54"/>
      <c r="BI30" s="54"/>
      <c r="BJ30" s="0"/>
      <c r="BK30" s="0"/>
      <c r="BL30" s="0"/>
      <c r="BM30" s="0"/>
      <c r="BN30" s="0"/>
      <c r="BO30" s="0"/>
      <c r="BP30"/>
      <c r="BQ30"/>
      <c r="BR30"/>
      <c r="BS30"/>
      <c r="BT30"/>
      <c r="BU30"/>
      <c r="BV30"/>
      <c r="BW30"/>
      <c r="BX30"/>
      <c r="BY30"/>
      <c r="BZ30"/>
      <c r="CA30"/>
      <c r="CB30"/>
    </row>
    <row r="31" ht="15.0" customHeight="true">
      <c r="A31" s="51" t="s">
        <v>2448</v>
      </c>
      <c r="B31" s="33"/>
      <c r="C31" s="33" t="s">
        <v>2703</v>
      </c>
      <c r="D31" s="33"/>
      <c r="E31" s="33" t="s">
        <v>2704</v>
      </c>
      <c r="F31" s="33"/>
      <c r="G31" s="55" t="s">
        <v>2705</v>
      </c>
      <c r="H31" s="33"/>
      <c r="I31" s="51" t="s">
        <v>2706</v>
      </c>
      <c r="J31" s="33"/>
      <c r="K31" s="51" t="s">
        <v>2707</v>
      </c>
      <c r="L31" s="33" t="s">
        <v>2454</v>
      </c>
      <c r="M31" s="55" t="s">
        <v>2708</v>
      </c>
      <c r="N31" s="55" t="s">
        <v>2709</v>
      </c>
      <c r="O31" s="33" t="s">
        <v>2272</v>
      </c>
      <c r="P31" s="33" t="s">
        <v>2251</v>
      </c>
      <c r="Q31" s="33"/>
      <c r="R31" s="33" t="s">
        <v>2263</v>
      </c>
      <c r="S31" s="56" t="s">
        <v>2277</v>
      </c>
      <c r="T31" s="56"/>
      <c r="U31" s="56"/>
      <c r="V31" s="33" t="s">
        <v>2456</v>
      </c>
      <c r="W31" s="94" t="s">
        <v>2457</v>
      </c>
      <c r="X31" s="94" t="s">
        <v>2474</v>
      </c>
      <c r="Y31" s="51"/>
      <c r="Z31" s="51"/>
      <c r="AA31" s="33" t="s">
        <v>2459</v>
      </c>
      <c r="AB31" s="33" t="s">
        <v>2460</v>
      </c>
      <c r="AC31" s="33"/>
      <c r="AD31" s="33" t="s">
        <v>2254</v>
      </c>
      <c r="AE31" s="33"/>
      <c r="AF31" s="33" t="s">
        <v>2267</v>
      </c>
      <c r="AG31" s="33" t="s">
        <v>2461</v>
      </c>
      <c r="AH31" s="33"/>
      <c r="AI31" s="33"/>
      <c r="AJ31" s="33" t="s">
        <v>2710</v>
      </c>
      <c r="AK31" s="94"/>
      <c r="AL31" s="33" t="s">
        <v>2711</v>
      </c>
      <c r="AM31" s="33"/>
      <c r="AN31" s="33" t="s">
        <v>2465</v>
      </c>
      <c r="AO31" s="51" t="s">
        <v>2466</v>
      </c>
      <c r="AP31" s="51" t="s">
        <v>207</v>
      </c>
      <c r="AQ31" s="33"/>
      <c r="AR31" s="54"/>
      <c r="AS31" s="54"/>
      <c r="AT31" s="54"/>
      <c r="AU31" s="54"/>
      <c r="AV31" s="54"/>
      <c r="AW31" s="54"/>
      <c r="AX31" s="54"/>
      <c r="AY31" s="54"/>
      <c r="AZ31" s="54"/>
      <c r="BA31" s="54"/>
      <c r="BB31" s="54"/>
      <c r="BC31" s="54"/>
      <c r="BD31" s="54" t="s">
        <v>2447</v>
      </c>
      <c r="BE31" s="54"/>
      <c r="BF31" s="54"/>
      <c r="BG31" s="54"/>
      <c r="BH31" s="54"/>
      <c r="BI31" s="54"/>
      <c r="BJ31" s="0"/>
      <c r="BK31" s="0"/>
      <c r="BL31" s="0"/>
      <c r="BM31" s="0"/>
      <c r="BN31" s="0"/>
      <c r="BO31" s="0"/>
      <c r="BP31"/>
      <c r="BQ31"/>
      <c r="BR31"/>
      <c r="BS31"/>
      <c r="BT31"/>
      <c r="BU31"/>
      <c r="BV31"/>
      <c r="BW31"/>
      <c r="BX31"/>
      <c r="BY31"/>
      <c r="BZ31"/>
      <c r="CA31"/>
      <c r="CB31"/>
    </row>
    <row r="32" ht="15.0" customHeight="true">
      <c r="A32" s="51" t="s">
        <v>2448</v>
      </c>
      <c r="B32" s="33"/>
      <c r="C32" s="33" t="s">
        <v>2712</v>
      </c>
      <c r="D32" s="33"/>
      <c r="E32" s="33" t="s">
        <v>2713</v>
      </c>
      <c r="F32" s="33"/>
      <c r="G32" s="55" t="s">
        <v>2714</v>
      </c>
      <c r="H32" s="33"/>
      <c r="I32" s="51" t="s">
        <v>2715</v>
      </c>
      <c r="J32" s="33"/>
      <c r="K32" s="51" t="s">
        <v>2716</v>
      </c>
      <c r="L32" s="33" t="s">
        <v>2454</v>
      </c>
      <c r="M32" s="55" t="s">
        <v>2717</v>
      </c>
      <c r="N32" s="55" t="s">
        <v>2718</v>
      </c>
      <c r="O32" s="33" t="s">
        <v>2272</v>
      </c>
      <c r="P32" s="33" t="s">
        <v>2251</v>
      </c>
      <c r="Q32" s="33"/>
      <c r="R32" s="33" t="s">
        <v>2263</v>
      </c>
      <c r="S32" s="56" t="s">
        <v>2277</v>
      </c>
      <c r="T32" s="56"/>
      <c r="U32" s="56"/>
      <c r="V32" s="33" t="s">
        <v>2456</v>
      </c>
      <c r="W32" s="94" t="s">
        <v>2457</v>
      </c>
      <c r="X32" s="94" t="s">
        <v>2458</v>
      </c>
      <c r="Y32" s="51"/>
      <c r="Z32" s="51"/>
      <c r="AA32" s="33" t="s">
        <v>2459</v>
      </c>
      <c r="AB32" s="33" t="s">
        <v>2460</v>
      </c>
      <c r="AC32" s="33"/>
      <c r="AD32" s="33" t="s">
        <v>2254</v>
      </c>
      <c r="AE32" s="33"/>
      <c r="AF32" s="33" t="s">
        <v>2267</v>
      </c>
      <c r="AG32" s="33" t="s">
        <v>2461</v>
      </c>
      <c r="AH32" s="33"/>
      <c r="AI32" s="33"/>
      <c r="AJ32" s="33" t="s">
        <v>2719</v>
      </c>
      <c r="AK32" s="94"/>
      <c r="AL32" s="33" t="s">
        <v>2720</v>
      </c>
      <c r="AM32" s="33" t="s">
        <v>2721</v>
      </c>
      <c r="AN32" s="33" t="s">
        <v>2465</v>
      </c>
      <c r="AO32" s="51" t="s">
        <v>2548</v>
      </c>
      <c r="AP32" s="51" t="s">
        <v>207</v>
      </c>
      <c r="AQ32" s="33"/>
      <c r="AR32" s="54"/>
      <c r="AS32" s="54"/>
      <c r="AT32" s="54"/>
      <c r="AU32" s="54"/>
      <c r="AV32" s="54"/>
      <c r="AW32" s="54"/>
      <c r="AX32" s="54"/>
      <c r="AY32" s="54"/>
      <c r="AZ32" s="54"/>
      <c r="BA32" s="54"/>
      <c r="BB32" s="54"/>
      <c r="BC32" s="54"/>
      <c r="BD32" s="54" t="s">
        <v>2447</v>
      </c>
      <c r="BE32" s="54"/>
      <c r="BF32" s="54"/>
      <c r="BG32" s="54"/>
      <c r="BH32" s="54"/>
      <c r="BI32" s="54"/>
      <c r="BJ32" s="0"/>
      <c r="BK32" s="0"/>
      <c r="BL32" s="0"/>
      <c r="BM32" s="0"/>
      <c r="BN32" s="0"/>
      <c r="BO32" s="0"/>
      <c r="BP32"/>
      <c r="BQ32"/>
      <c r="BR32"/>
      <c r="BS32"/>
      <c r="BT32"/>
      <c r="BU32"/>
      <c r="BV32"/>
      <c r="BW32"/>
      <c r="BX32"/>
      <c r="BY32"/>
      <c r="BZ32"/>
      <c r="CA32"/>
      <c r="CB32"/>
    </row>
    <row r="33" ht="15.0" customHeight="true">
      <c r="A33" s="51" t="s">
        <v>2448</v>
      </c>
      <c r="B33" s="33"/>
      <c r="C33" s="33" t="s">
        <v>2722</v>
      </c>
      <c r="D33" s="33"/>
      <c r="E33" s="33" t="s">
        <v>2723</v>
      </c>
      <c r="F33" s="33"/>
      <c r="G33" s="55" t="s">
        <v>2724</v>
      </c>
      <c r="H33" s="33"/>
      <c r="I33" s="51" t="s">
        <v>2725</v>
      </c>
      <c r="J33" s="33"/>
      <c r="K33" s="51" t="s">
        <v>2726</v>
      </c>
      <c r="L33" s="33" t="s">
        <v>2454</v>
      </c>
      <c r="M33" s="55" t="s">
        <v>2544</v>
      </c>
      <c r="N33" s="55" t="s">
        <v>2727</v>
      </c>
      <c r="O33" s="33" t="s">
        <v>2272</v>
      </c>
      <c r="P33" s="33" t="s">
        <v>2251</v>
      </c>
      <c r="Q33" s="33"/>
      <c r="R33" s="33" t="s">
        <v>2263</v>
      </c>
      <c r="S33" s="56" t="s">
        <v>2277</v>
      </c>
      <c r="T33" s="56"/>
      <c r="U33" s="56"/>
      <c r="V33" s="33" t="s">
        <v>2456</v>
      </c>
      <c r="W33" s="94" t="s">
        <v>2457</v>
      </c>
      <c r="X33" s="94" t="s">
        <v>2474</v>
      </c>
      <c r="Y33" s="51"/>
      <c r="Z33" s="51"/>
      <c r="AA33" s="33" t="s">
        <v>2459</v>
      </c>
      <c r="AB33" s="33" t="s">
        <v>2460</v>
      </c>
      <c r="AC33" s="33"/>
      <c r="AD33" s="33" t="s">
        <v>2254</v>
      </c>
      <c r="AE33" s="33"/>
      <c r="AF33" s="33" t="s">
        <v>2267</v>
      </c>
      <c r="AG33" s="33" t="s">
        <v>2461</v>
      </c>
      <c r="AH33" s="33"/>
      <c r="AI33" s="33"/>
      <c r="AJ33" s="33" t="s">
        <v>2728</v>
      </c>
      <c r="AK33" s="94"/>
      <c r="AL33" s="33" t="s">
        <v>2729</v>
      </c>
      <c r="AM33" s="33"/>
      <c r="AN33" s="33" t="s">
        <v>2577</v>
      </c>
      <c r="AO33" s="51" t="s">
        <v>2578</v>
      </c>
      <c r="AP33" s="51" t="s">
        <v>207</v>
      </c>
      <c r="AQ33" s="33"/>
      <c r="AR33" s="54"/>
      <c r="AS33" s="54"/>
      <c r="AT33" s="54"/>
      <c r="AU33" s="54"/>
      <c r="AV33" s="54"/>
      <c r="AW33" s="54"/>
      <c r="AX33" s="54"/>
      <c r="AY33" s="54"/>
      <c r="AZ33" s="54"/>
      <c r="BA33" s="54"/>
      <c r="BB33" s="54"/>
      <c r="BC33" s="54"/>
      <c r="BD33" s="54" t="s">
        <v>2447</v>
      </c>
      <c r="BE33" s="54"/>
      <c r="BF33" s="54"/>
      <c r="BG33" s="54"/>
      <c r="BH33" s="54"/>
      <c r="BI33" s="54"/>
      <c r="BJ33" s="0"/>
      <c r="BK33" s="0"/>
      <c r="BL33" s="0"/>
      <c r="BM33" s="0"/>
      <c r="BN33" s="0"/>
      <c r="BO33" s="0"/>
      <c r="BP33"/>
      <c r="BQ33"/>
      <c r="BR33"/>
      <c r="BS33"/>
      <c r="BT33"/>
      <c r="BU33"/>
      <c r="BV33"/>
      <c r="BW33"/>
      <c r="BX33"/>
      <c r="BY33"/>
      <c r="BZ33"/>
      <c r="CA33"/>
      <c r="CB33"/>
    </row>
    <row r="34" ht="15.0" customHeight="true">
      <c r="A34" s="51" t="s">
        <v>2448</v>
      </c>
      <c r="B34" s="33"/>
      <c r="C34" s="33" t="s">
        <v>2730</v>
      </c>
      <c r="D34" s="33"/>
      <c r="E34" s="33" t="s">
        <v>2731</v>
      </c>
      <c r="F34" s="33"/>
      <c r="G34" s="55" t="s">
        <v>2732</v>
      </c>
      <c r="H34" s="33"/>
      <c r="I34" s="51" t="s">
        <v>2733</v>
      </c>
      <c r="J34" s="33"/>
      <c r="K34" s="51" t="s">
        <v>2734</v>
      </c>
      <c r="L34" s="33" t="s">
        <v>2454</v>
      </c>
      <c r="M34" s="55" t="s">
        <v>2735</v>
      </c>
      <c r="N34" s="55" t="s">
        <v>2736</v>
      </c>
      <c r="O34" s="33" t="s">
        <v>2272</v>
      </c>
      <c r="P34" s="33" t="s">
        <v>2251</v>
      </c>
      <c r="Q34" s="33"/>
      <c r="R34" s="33" t="s">
        <v>2263</v>
      </c>
      <c r="S34" s="56" t="s">
        <v>2277</v>
      </c>
      <c r="T34" s="56"/>
      <c r="U34" s="56"/>
      <c r="V34" s="33" t="s">
        <v>2456</v>
      </c>
      <c r="W34" s="94" t="s">
        <v>2457</v>
      </c>
      <c r="X34" s="94" t="s">
        <v>2474</v>
      </c>
      <c r="Y34" s="51"/>
      <c r="Z34" s="51"/>
      <c r="AA34" s="33" t="s">
        <v>2459</v>
      </c>
      <c r="AB34" s="33" t="s">
        <v>2460</v>
      </c>
      <c r="AC34" s="33"/>
      <c r="AD34" s="33" t="s">
        <v>2254</v>
      </c>
      <c r="AE34" s="33"/>
      <c r="AF34" s="33" t="s">
        <v>2267</v>
      </c>
      <c r="AG34" s="33" t="s">
        <v>2461</v>
      </c>
      <c r="AH34" s="33"/>
      <c r="AI34" s="33"/>
      <c r="AJ34" s="33" t="s">
        <v>2737</v>
      </c>
      <c r="AK34" s="94"/>
      <c r="AL34" s="33" t="s">
        <v>2738</v>
      </c>
      <c r="AM34" s="33" t="s">
        <v>2739</v>
      </c>
      <c r="AN34" s="33" t="s">
        <v>2465</v>
      </c>
      <c r="AO34" s="51" t="s">
        <v>2466</v>
      </c>
      <c r="AP34" s="51" t="s">
        <v>207</v>
      </c>
      <c r="AQ34" s="33"/>
      <c r="AR34" s="54"/>
      <c r="AS34" s="54"/>
      <c r="AT34" s="54"/>
      <c r="AU34" s="54"/>
      <c r="AV34" s="54"/>
      <c r="AW34" s="54"/>
      <c r="AX34" s="54"/>
      <c r="AY34" s="54"/>
      <c r="AZ34" s="54"/>
      <c r="BA34" s="54"/>
      <c r="BB34" s="54"/>
      <c r="BC34" s="54"/>
      <c r="BD34" s="54" t="s">
        <v>2447</v>
      </c>
      <c r="BE34" s="54"/>
      <c r="BF34" s="54"/>
      <c r="BG34" s="54"/>
      <c r="BH34" s="54"/>
      <c r="BI34" s="54"/>
      <c r="BJ34" s="0"/>
      <c r="BK34" s="0"/>
      <c r="BL34" s="0"/>
      <c r="BM34" s="0"/>
      <c r="BN34" s="0"/>
      <c r="BO34" s="0"/>
      <c r="BP34"/>
      <c r="BQ34"/>
      <c r="BR34"/>
      <c r="BS34"/>
      <c r="BT34"/>
      <c r="BU34"/>
      <c r="BV34"/>
      <c r="BW34"/>
      <c r="BX34"/>
      <c r="BY34"/>
      <c r="BZ34"/>
      <c r="CA34"/>
      <c r="CB34"/>
    </row>
    <row r="35" ht="15.0" customHeight="true">
      <c r="A35" s="51" t="s">
        <v>2448</v>
      </c>
      <c r="B35" s="33"/>
      <c r="C35" s="33" t="s">
        <v>2740</v>
      </c>
      <c r="D35" s="33"/>
      <c r="E35" s="33" t="s">
        <v>2741</v>
      </c>
      <c r="F35" s="33"/>
      <c r="G35" s="55" t="s">
        <v>2742</v>
      </c>
      <c r="H35" s="33"/>
      <c r="I35" s="51" t="s">
        <v>2743</v>
      </c>
      <c r="J35" s="33"/>
      <c r="K35" s="51" t="s">
        <v>2744</v>
      </c>
      <c r="L35" s="33" t="s">
        <v>2484</v>
      </c>
      <c r="M35" s="55" t="s">
        <v>2745</v>
      </c>
      <c r="N35" s="55"/>
      <c r="O35" s="33"/>
      <c r="P35" s="33" t="s">
        <v>2251</v>
      </c>
      <c r="Q35" s="33"/>
      <c r="R35" s="33" t="s">
        <v>2263</v>
      </c>
      <c r="S35" s="56" t="s">
        <v>2277</v>
      </c>
      <c r="T35" s="56"/>
      <c r="U35" s="56"/>
      <c r="V35" s="33" t="s">
        <v>2456</v>
      </c>
      <c r="W35" s="94" t="s">
        <v>2457</v>
      </c>
      <c r="X35" s="94" t="s">
        <v>2474</v>
      </c>
      <c r="Y35" s="51"/>
      <c r="Z35" s="51"/>
      <c r="AA35" s="33" t="s">
        <v>2459</v>
      </c>
      <c r="AB35" s="33" t="s">
        <v>2460</v>
      </c>
      <c r="AC35" s="33" t="s">
        <v>2486</v>
      </c>
      <c r="AD35" s="33" t="s">
        <v>2254</v>
      </c>
      <c r="AE35" s="33"/>
      <c r="AF35" s="33" t="s">
        <v>2267</v>
      </c>
      <c r="AG35" s="33" t="s">
        <v>2461</v>
      </c>
      <c r="AH35" s="33"/>
      <c r="AI35" s="33"/>
      <c r="AJ35" s="33" t="s">
        <v>2746</v>
      </c>
      <c r="AK35" s="94"/>
      <c r="AL35" s="33" t="s">
        <v>2747</v>
      </c>
      <c r="AM35" s="33"/>
      <c r="AN35" s="33" t="s">
        <v>2465</v>
      </c>
      <c r="AO35" s="51" t="s">
        <v>2618</v>
      </c>
      <c r="AP35" s="51" t="s">
        <v>207</v>
      </c>
      <c r="AQ35" s="33"/>
      <c r="AR35" s="54"/>
      <c r="AS35" s="54"/>
      <c r="AT35" s="54"/>
      <c r="AU35" s="54"/>
      <c r="AV35" s="54"/>
      <c r="AW35" s="54"/>
      <c r="AX35" s="54"/>
      <c r="AY35" s="54"/>
      <c r="AZ35" s="54"/>
      <c r="BA35" s="54"/>
      <c r="BB35" s="54"/>
      <c r="BC35" s="54"/>
      <c r="BD35" s="54" t="s">
        <v>2447</v>
      </c>
      <c r="BE35" s="54"/>
      <c r="BF35" s="54"/>
      <c r="BG35" s="54"/>
      <c r="BH35" s="54"/>
      <c r="BI35" s="54"/>
      <c r="BJ35" s="0"/>
      <c r="BK35" s="0"/>
      <c r="BL35" s="0"/>
      <c r="BM35" s="0"/>
      <c r="BN35" s="0"/>
      <c r="BO35" s="0"/>
      <c r="BP35"/>
      <c r="BQ35"/>
      <c r="BR35"/>
      <c r="BS35"/>
      <c r="BT35"/>
      <c r="BU35"/>
      <c r="BV35"/>
      <c r="BW35"/>
      <c r="BX35"/>
      <c r="BY35"/>
      <c r="BZ35"/>
      <c r="CA35"/>
      <c r="CB35"/>
    </row>
    <row r="36" ht="15.0" customHeight="true">
      <c r="A36" s="51" t="s">
        <v>2448</v>
      </c>
      <c r="B36" s="33"/>
      <c r="C36" s="33" t="s">
        <v>2748</v>
      </c>
      <c r="D36" s="33"/>
      <c r="E36" s="33" t="s">
        <v>2749</v>
      </c>
      <c r="F36" s="33"/>
      <c r="G36" s="55" t="s">
        <v>2750</v>
      </c>
      <c r="H36" s="33"/>
      <c r="I36" s="51" t="s">
        <v>2751</v>
      </c>
      <c r="J36" s="33"/>
      <c r="K36" s="51" t="s">
        <v>2752</v>
      </c>
      <c r="L36" s="33" t="s">
        <v>2454</v>
      </c>
      <c r="M36" s="55" t="s">
        <v>2753</v>
      </c>
      <c r="N36" s="55" t="s">
        <v>2754</v>
      </c>
      <c r="O36" s="33" t="s">
        <v>2272</v>
      </c>
      <c r="P36" s="33" t="s">
        <v>2251</v>
      </c>
      <c r="Q36" s="33"/>
      <c r="R36" s="33" t="s">
        <v>2263</v>
      </c>
      <c r="S36" s="56" t="s">
        <v>2277</v>
      </c>
      <c r="T36" s="56"/>
      <c r="U36" s="56"/>
      <c r="V36" s="33" t="s">
        <v>2456</v>
      </c>
      <c r="W36" s="94" t="s">
        <v>2457</v>
      </c>
      <c r="X36" s="94" t="s">
        <v>2474</v>
      </c>
      <c r="Y36" s="51"/>
      <c r="Z36" s="51"/>
      <c r="AA36" s="33" t="s">
        <v>2459</v>
      </c>
      <c r="AB36" s="33" t="s">
        <v>2460</v>
      </c>
      <c r="AC36" s="33"/>
      <c r="AD36" s="33" t="s">
        <v>2254</v>
      </c>
      <c r="AE36" s="33"/>
      <c r="AF36" s="33" t="s">
        <v>2267</v>
      </c>
      <c r="AG36" s="33" t="s">
        <v>2461</v>
      </c>
      <c r="AH36" s="33"/>
      <c r="AI36" s="33"/>
      <c r="AJ36" s="33" t="s">
        <v>2755</v>
      </c>
      <c r="AK36" s="94"/>
      <c r="AL36" s="33" t="s">
        <v>2756</v>
      </c>
      <c r="AM36" s="33" t="s">
        <v>2757</v>
      </c>
      <c r="AN36" s="33" t="s">
        <v>2465</v>
      </c>
      <c r="AO36" s="51" t="s">
        <v>2618</v>
      </c>
      <c r="AP36" s="51" t="s">
        <v>207</v>
      </c>
      <c r="AQ36" s="33"/>
      <c r="AR36" s="54"/>
      <c r="AS36" s="54"/>
      <c r="AT36" s="54"/>
      <c r="AU36" s="54"/>
      <c r="AV36" s="54"/>
      <c r="AW36" s="54"/>
      <c r="AX36" s="54"/>
      <c r="AY36" s="54"/>
      <c r="AZ36" s="54"/>
      <c r="BA36" s="54"/>
      <c r="BB36" s="54"/>
      <c r="BC36" s="54"/>
      <c r="BD36" s="54" t="s">
        <v>2447</v>
      </c>
      <c r="BE36" s="54"/>
      <c r="BF36" s="54"/>
      <c r="BG36" s="54"/>
      <c r="BH36" s="54"/>
      <c r="BI36" s="54"/>
      <c r="BJ36" s="0"/>
      <c r="BK36" s="0"/>
      <c r="BL36" s="0"/>
      <c r="BM36" s="0"/>
      <c r="BN36" s="0"/>
      <c r="BO36" s="0"/>
      <c r="BP36"/>
      <c r="BQ36"/>
      <c r="BR36"/>
      <c r="BS36"/>
      <c r="BT36"/>
      <c r="BU36"/>
      <c r="BV36"/>
      <c r="BW36"/>
      <c r="BX36"/>
      <c r="BY36"/>
      <c r="BZ36"/>
      <c r="CA36"/>
      <c r="CB36"/>
    </row>
    <row r="37" ht="15.0" customHeight="true">
      <c r="A37" s="51" t="s">
        <v>2448</v>
      </c>
      <c r="B37" s="33"/>
      <c r="C37" s="33" t="s">
        <v>2758</v>
      </c>
      <c r="D37" s="33"/>
      <c r="E37" s="33" t="s">
        <v>2759</v>
      </c>
      <c r="F37" s="33"/>
      <c r="G37" s="55" t="s">
        <v>2760</v>
      </c>
      <c r="H37" s="33"/>
      <c r="I37" s="51" t="s">
        <v>2761</v>
      </c>
      <c r="J37" s="33"/>
      <c r="K37" s="51" t="s">
        <v>2762</v>
      </c>
      <c r="L37" s="33" t="s">
        <v>2454</v>
      </c>
      <c r="M37" s="55" t="s">
        <v>2763</v>
      </c>
      <c r="N37" s="55" t="s">
        <v>2764</v>
      </c>
      <c r="O37" s="33" t="s">
        <v>2272</v>
      </c>
      <c r="P37" s="33" t="s">
        <v>2251</v>
      </c>
      <c r="Q37" s="33"/>
      <c r="R37" s="33" t="s">
        <v>2263</v>
      </c>
      <c r="S37" s="56" t="s">
        <v>2277</v>
      </c>
      <c r="T37" s="56"/>
      <c r="U37" s="56"/>
      <c r="V37" s="33" t="s">
        <v>2456</v>
      </c>
      <c r="W37" s="94" t="s">
        <v>2457</v>
      </c>
      <c r="X37" s="94" t="s">
        <v>2474</v>
      </c>
      <c r="Y37" s="51"/>
      <c r="Z37" s="51"/>
      <c r="AA37" s="33" t="s">
        <v>2459</v>
      </c>
      <c r="AB37" s="33" t="s">
        <v>2460</v>
      </c>
      <c r="AC37" s="33"/>
      <c r="AD37" s="33" t="s">
        <v>2254</v>
      </c>
      <c r="AE37" s="33"/>
      <c r="AF37" s="33" t="s">
        <v>2267</v>
      </c>
      <c r="AG37" s="33" t="s">
        <v>2461</v>
      </c>
      <c r="AH37" s="33"/>
      <c r="AI37" s="33"/>
      <c r="AJ37" s="33" t="s">
        <v>2765</v>
      </c>
      <c r="AK37" s="94"/>
      <c r="AL37" s="33" t="s">
        <v>2766</v>
      </c>
      <c r="AM37" s="33"/>
      <c r="AN37" s="33" t="s">
        <v>2465</v>
      </c>
      <c r="AO37" s="51" t="s">
        <v>2673</v>
      </c>
      <c r="AP37" s="51" t="s">
        <v>207</v>
      </c>
      <c r="AQ37" s="33"/>
      <c r="AR37" s="54"/>
      <c r="AS37" s="54"/>
      <c r="AT37" s="54"/>
      <c r="AU37" s="54"/>
      <c r="AV37" s="54"/>
      <c r="AW37" s="54"/>
      <c r="AX37" s="54"/>
      <c r="AY37" s="54"/>
      <c r="AZ37" s="54"/>
      <c r="BA37" s="54"/>
      <c r="BB37" s="54"/>
      <c r="BC37" s="54"/>
      <c r="BD37" s="54" t="s">
        <v>2447</v>
      </c>
      <c r="BE37" s="54"/>
      <c r="BF37" s="54"/>
      <c r="BG37" s="54"/>
      <c r="BH37" s="54"/>
      <c r="BI37" s="54"/>
      <c r="BJ37" s="0"/>
      <c r="BK37" s="0"/>
      <c r="BL37" s="0"/>
      <c r="BM37" s="0"/>
      <c r="BN37" s="0"/>
      <c r="BO37" s="0"/>
      <c r="BP37"/>
      <c r="BQ37"/>
      <c r="BR37"/>
      <c r="BS37"/>
      <c r="BT37"/>
      <c r="BU37"/>
      <c r="BV37"/>
      <c r="BW37"/>
      <c r="BX37"/>
      <c r="BY37"/>
      <c r="BZ37"/>
      <c r="CA37"/>
      <c r="CB37"/>
    </row>
    <row r="38" ht="15.0" customHeight="true">
      <c r="A38" s="51" t="s">
        <v>2448</v>
      </c>
      <c r="B38" s="33"/>
      <c r="C38" s="33" t="s">
        <v>2767</v>
      </c>
      <c r="D38" s="33"/>
      <c r="E38" s="33" t="s">
        <v>604</v>
      </c>
      <c r="F38" s="33"/>
      <c r="G38" s="55" t="s">
        <v>2768</v>
      </c>
      <c r="H38" s="33"/>
      <c r="I38" s="51" t="s">
        <v>2769</v>
      </c>
      <c r="J38" s="33"/>
      <c r="K38" s="51" t="s">
        <v>2770</v>
      </c>
      <c r="L38" s="33" t="s">
        <v>2454</v>
      </c>
      <c r="M38" s="55" t="s">
        <v>2771</v>
      </c>
      <c r="N38" s="55" t="s">
        <v>2772</v>
      </c>
      <c r="O38" s="33" t="s">
        <v>2272</v>
      </c>
      <c r="P38" s="33" t="s">
        <v>2251</v>
      </c>
      <c r="Q38" s="33"/>
      <c r="R38" s="33" t="s">
        <v>2263</v>
      </c>
      <c r="S38" s="56" t="s">
        <v>2277</v>
      </c>
      <c r="T38" s="56"/>
      <c r="U38" s="56"/>
      <c r="V38" s="33" t="s">
        <v>2456</v>
      </c>
      <c r="W38" s="94" t="s">
        <v>2457</v>
      </c>
      <c r="X38" s="94" t="s">
        <v>2474</v>
      </c>
      <c r="Y38" s="51"/>
      <c r="Z38" s="51"/>
      <c r="AA38" s="33" t="s">
        <v>2459</v>
      </c>
      <c r="AB38" s="33" t="s">
        <v>2460</v>
      </c>
      <c r="AC38" s="33"/>
      <c r="AD38" s="33" t="s">
        <v>2254</v>
      </c>
      <c r="AE38" s="33"/>
      <c r="AF38" s="33" t="s">
        <v>2267</v>
      </c>
      <c r="AG38" s="33" t="s">
        <v>2461</v>
      </c>
      <c r="AH38" s="33"/>
      <c r="AI38" s="33"/>
      <c r="AJ38" s="33" t="s">
        <v>2773</v>
      </c>
      <c r="AK38" s="94"/>
      <c r="AL38" s="33" t="s">
        <v>2774</v>
      </c>
      <c r="AM38" s="33"/>
      <c r="AN38" s="33" t="s">
        <v>2465</v>
      </c>
      <c r="AO38" s="51" t="s">
        <v>2466</v>
      </c>
      <c r="AP38" s="51" t="s">
        <v>207</v>
      </c>
      <c r="AQ38" s="33"/>
      <c r="AR38" s="54"/>
      <c r="AS38" s="54"/>
      <c r="AT38" s="54"/>
      <c r="AU38" s="54"/>
      <c r="AV38" s="54"/>
      <c r="AW38" s="54"/>
      <c r="AX38" s="54"/>
      <c r="AY38" s="54"/>
      <c r="AZ38" s="54"/>
      <c r="BA38" s="54"/>
      <c r="BB38" s="54"/>
      <c r="BC38" s="54"/>
      <c r="BD38" s="54"/>
      <c r="BE38" s="54"/>
      <c r="BF38" s="54"/>
      <c r="BG38" s="54"/>
      <c r="BH38" s="54"/>
      <c r="BI38" s="54"/>
      <c r="BJ38" s="0"/>
      <c r="BK38" s="0"/>
      <c r="BL38" s="0"/>
      <c r="BM38" s="0"/>
      <c r="BN38" s="0"/>
      <c r="BO38" s="0"/>
      <c r="BP38"/>
      <c r="BQ38"/>
      <c r="BR38"/>
      <c r="BS38"/>
      <c r="BT38"/>
      <c r="BU38"/>
      <c r="BV38"/>
      <c r="BW38"/>
      <c r="BX38"/>
      <c r="BY38"/>
      <c r="BZ38"/>
      <c r="CA38"/>
      <c r="CB38"/>
    </row>
    <row r="39" ht="15.0" customHeight="true">
      <c r="A39" s="51" t="s">
        <v>2448</v>
      </c>
      <c r="B39" s="33"/>
      <c r="C39" s="33" t="s">
        <v>2775</v>
      </c>
      <c r="D39" s="33"/>
      <c r="E39" s="33" t="s">
        <v>2776</v>
      </c>
      <c r="F39" s="33"/>
      <c r="G39" s="55" t="s">
        <v>2777</v>
      </c>
      <c r="H39" s="33"/>
      <c r="I39" s="51" t="s">
        <v>2778</v>
      </c>
      <c r="J39" s="33"/>
      <c r="K39" s="51" t="s">
        <v>2779</v>
      </c>
      <c r="L39" s="33" t="s">
        <v>2454</v>
      </c>
      <c r="M39" s="55" t="s">
        <v>2780</v>
      </c>
      <c r="N39" s="55" t="s">
        <v>2780</v>
      </c>
      <c r="O39" s="33" t="s">
        <v>2272</v>
      </c>
      <c r="P39" s="33" t="s">
        <v>2251</v>
      </c>
      <c r="Q39" s="33"/>
      <c r="R39" s="33" t="s">
        <v>2263</v>
      </c>
      <c r="S39" s="56" t="s">
        <v>2277</v>
      </c>
      <c r="T39" s="56"/>
      <c r="U39" s="56"/>
      <c r="V39" s="33" t="s">
        <v>2456</v>
      </c>
      <c r="W39" s="94" t="s">
        <v>2457</v>
      </c>
      <c r="X39" s="94" t="s">
        <v>2474</v>
      </c>
      <c r="Y39" s="51"/>
      <c r="Z39" s="51"/>
      <c r="AA39" s="33" t="s">
        <v>2459</v>
      </c>
      <c r="AB39" s="33" t="s">
        <v>2460</v>
      </c>
      <c r="AC39" s="33"/>
      <c r="AD39" s="33" t="s">
        <v>2254</v>
      </c>
      <c r="AE39" s="33"/>
      <c r="AF39" s="33" t="s">
        <v>2267</v>
      </c>
      <c r="AG39" s="33" t="s">
        <v>2461</v>
      </c>
      <c r="AH39" s="33"/>
      <c r="AI39" s="33"/>
      <c r="AJ39" s="33" t="s">
        <v>2781</v>
      </c>
      <c r="AK39" s="94"/>
      <c r="AL39" s="33" t="s">
        <v>2782</v>
      </c>
      <c r="AM39" s="33"/>
      <c r="AN39" s="33" t="s">
        <v>2783</v>
      </c>
      <c r="AO39" s="51" t="s">
        <v>2784</v>
      </c>
      <c r="AP39" s="51" t="s">
        <v>207</v>
      </c>
      <c r="AQ39" s="33"/>
      <c r="AR39" s="54"/>
      <c r="AS39" s="54"/>
      <c r="AT39" s="54"/>
      <c r="AU39" s="54"/>
      <c r="AV39" s="54"/>
      <c r="AW39" s="54"/>
      <c r="AX39" s="54"/>
      <c r="AY39" s="54"/>
      <c r="AZ39" s="54"/>
      <c r="BA39" s="54"/>
      <c r="BB39" s="54"/>
      <c r="BC39" s="54"/>
      <c r="BD39" s="54" t="s">
        <v>2447</v>
      </c>
      <c r="BE39" s="54"/>
      <c r="BF39" s="54"/>
      <c r="BG39" s="54"/>
      <c r="BH39" s="54"/>
      <c r="BI39" s="54"/>
      <c r="BJ39" s="0"/>
      <c r="BK39" s="0"/>
      <c r="BL39" s="0"/>
      <c r="BM39" s="0"/>
      <c r="BN39" s="0"/>
      <c r="BO39" s="0"/>
      <c r="BP39"/>
      <c r="BQ39"/>
      <c r="BR39"/>
      <c r="BS39"/>
      <c r="BT39"/>
      <c r="BU39"/>
      <c r="BV39"/>
      <c r="BW39"/>
      <c r="BX39"/>
      <c r="BY39"/>
      <c r="BZ39"/>
      <c r="CA39"/>
      <c r="CB39"/>
    </row>
    <row r="40" ht="15.0" customHeight="true">
      <c r="A40" s="51" t="s">
        <v>2448</v>
      </c>
      <c r="B40" s="33"/>
      <c r="C40" s="33" t="s">
        <v>2785</v>
      </c>
      <c r="D40" s="33"/>
      <c r="E40" s="33" t="s">
        <v>2786</v>
      </c>
      <c r="F40" s="33"/>
      <c r="G40" s="55" t="s">
        <v>2787</v>
      </c>
      <c r="H40" s="33"/>
      <c r="I40" s="51" t="s">
        <v>2788</v>
      </c>
      <c r="J40" s="33"/>
      <c r="K40" s="51" t="s">
        <v>2789</v>
      </c>
      <c r="L40" s="33" t="s">
        <v>2454</v>
      </c>
      <c r="M40" s="55" t="s">
        <v>2495</v>
      </c>
      <c r="N40" s="55" t="s">
        <v>2790</v>
      </c>
      <c r="O40" s="33" t="s">
        <v>2272</v>
      </c>
      <c r="P40" s="33" t="s">
        <v>2251</v>
      </c>
      <c r="Q40" s="33"/>
      <c r="R40" s="33" t="s">
        <v>2263</v>
      </c>
      <c r="S40" s="56" t="s">
        <v>2277</v>
      </c>
      <c r="T40" s="56"/>
      <c r="U40" s="56"/>
      <c r="V40" s="33" t="s">
        <v>2456</v>
      </c>
      <c r="W40" s="94" t="s">
        <v>2457</v>
      </c>
      <c r="X40" s="94" t="s">
        <v>2474</v>
      </c>
      <c r="Y40" s="51"/>
      <c r="Z40" s="51"/>
      <c r="AA40" s="33" t="s">
        <v>2459</v>
      </c>
      <c r="AB40" s="33" t="s">
        <v>2460</v>
      </c>
      <c r="AC40" s="33"/>
      <c r="AD40" s="33" t="s">
        <v>2254</v>
      </c>
      <c r="AE40" s="33"/>
      <c r="AF40" s="33" t="s">
        <v>2267</v>
      </c>
      <c r="AG40" s="33" t="s">
        <v>2461</v>
      </c>
      <c r="AH40" s="33"/>
      <c r="AI40" s="33"/>
      <c r="AJ40" s="33" t="s">
        <v>2791</v>
      </c>
      <c r="AK40" s="94"/>
      <c r="AL40" s="33" t="s">
        <v>2792</v>
      </c>
      <c r="AM40" s="33" t="s">
        <v>2793</v>
      </c>
      <c r="AN40" s="33" t="s">
        <v>2465</v>
      </c>
      <c r="AO40" s="51" t="s">
        <v>2466</v>
      </c>
      <c r="AP40" s="51" t="s">
        <v>207</v>
      </c>
      <c r="AQ40" s="33"/>
      <c r="AR40" s="54"/>
      <c r="AS40" s="54"/>
      <c r="AT40" s="54"/>
      <c r="AU40" s="54"/>
      <c r="AV40" s="54"/>
      <c r="AW40" s="54"/>
      <c r="AX40" s="54"/>
      <c r="AY40" s="54"/>
      <c r="AZ40" s="54"/>
      <c r="BA40" s="54"/>
      <c r="BB40" s="54"/>
      <c r="BC40" s="54"/>
      <c r="BD40" s="54" t="s">
        <v>2447</v>
      </c>
      <c r="BE40" s="54"/>
      <c r="BF40" s="54"/>
      <c r="BG40" s="54"/>
      <c r="BH40" s="54"/>
      <c r="BI40" s="54"/>
      <c r="BJ40" s="0"/>
      <c r="BK40" s="0"/>
      <c r="BL40" s="0"/>
      <c r="BM40" s="0"/>
      <c r="BN40" s="0"/>
      <c r="BO40" s="0"/>
      <c r="BP40"/>
      <c r="BQ40"/>
      <c r="BR40"/>
      <c r="BS40"/>
      <c r="BT40"/>
      <c r="BU40"/>
      <c r="BV40"/>
      <c r="BW40"/>
      <c r="BX40"/>
      <c r="BY40"/>
      <c r="BZ40"/>
      <c r="CA40"/>
      <c r="CB40"/>
    </row>
    <row r="41" ht="15.0" customHeight="true">
      <c r="A41" s="51" t="s">
        <v>2448</v>
      </c>
      <c r="B41" s="33"/>
      <c r="C41" s="33" t="s">
        <v>2794</v>
      </c>
      <c r="D41" s="33"/>
      <c r="E41" s="33" t="s">
        <v>2795</v>
      </c>
      <c r="F41" s="33"/>
      <c r="G41" s="55" t="s">
        <v>2796</v>
      </c>
      <c r="H41" s="33"/>
      <c r="I41" s="51" t="s">
        <v>2797</v>
      </c>
      <c r="J41" s="33"/>
      <c r="K41" s="51" t="s">
        <v>2798</v>
      </c>
      <c r="L41" s="33" t="s">
        <v>2454</v>
      </c>
      <c r="M41" s="55" t="s">
        <v>2799</v>
      </c>
      <c r="N41" s="55" t="s">
        <v>2800</v>
      </c>
      <c r="O41" s="33" t="s">
        <v>2272</v>
      </c>
      <c r="P41" s="33" t="s">
        <v>2251</v>
      </c>
      <c r="Q41" s="33"/>
      <c r="R41" s="33" t="s">
        <v>2263</v>
      </c>
      <c r="S41" s="56" t="s">
        <v>2277</v>
      </c>
      <c r="T41" s="56"/>
      <c r="U41" s="56"/>
      <c r="V41" s="33" t="s">
        <v>2456</v>
      </c>
      <c r="W41" s="94" t="s">
        <v>2457</v>
      </c>
      <c r="X41" s="94" t="s">
        <v>2458</v>
      </c>
      <c r="Y41" s="51"/>
      <c r="Z41" s="51"/>
      <c r="AA41" s="33" t="s">
        <v>2459</v>
      </c>
      <c r="AB41" s="33" t="s">
        <v>2460</v>
      </c>
      <c r="AC41" s="33"/>
      <c r="AD41" s="33" t="s">
        <v>2254</v>
      </c>
      <c r="AE41" s="33"/>
      <c r="AF41" s="33" t="s">
        <v>2267</v>
      </c>
      <c r="AG41" s="33" t="s">
        <v>2461</v>
      </c>
      <c r="AH41" s="33"/>
      <c r="AI41" s="33"/>
      <c r="AJ41" s="33" t="s">
        <v>2801</v>
      </c>
      <c r="AK41" s="94"/>
      <c r="AL41" s="33" t="s">
        <v>2802</v>
      </c>
      <c r="AM41" s="33"/>
      <c r="AN41" s="33" t="s">
        <v>2588</v>
      </c>
      <c r="AO41" s="51" t="s">
        <v>2628</v>
      </c>
      <c r="AP41" s="51" t="s">
        <v>207</v>
      </c>
      <c r="AQ41" s="33"/>
      <c r="AR41" s="54"/>
      <c r="AS41" s="54"/>
      <c r="AT41" s="54"/>
      <c r="AU41" s="54"/>
      <c r="AV41" s="54"/>
      <c r="AW41" s="54"/>
      <c r="AX41" s="54"/>
      <c r="AY41" s="54"/>
      <c r="AZ41" s="54"/>
      <c r="BA41" s="54"/>
      <c r="BB41" s="54"/>
      <c r="BC41" s="54"/>
      <c r="BD41" s="54" t="s">
        <v>2447</v>
      </c>
      <c r="BE41" s="54"/>
      <c r="BF41" s="54"/>
      <c r="BG41" s="54"/>
      <c r="BH41" s="54"/>
      <c r="BI41" s="54"/>
      <c r="BJ41" s="0"/>
      <c r="BK41" s="0"/>
      <c r="BL41" s="0"/>
      <c r="BM41" s="0"/>
      <c r="BN41" s="0"/>
      <c r="BO41" s="0"/>
      <c r="BP41"/>
      <c r="BQ41"/>
      <c r="BR41"/>
      <c r="BS41"/>
      <c r="BT41"/>
      <c r="BU41"/>
      <c r="BV41"/>
      <c r="BW41"/>
      <c r="BX41"/>
      <c r="BY41"/>
      <c r="BZ41"/>
      <c r="CA41"/>
      <c r="CB41"/>
    </row>
    <row r="42" ht="15.0" customHeight="true">
      <c r="A42" s="51" t="s">
        <v>2448</v>
      </c>
      <c r="B42" s="33"/>
      <c r="C42" s="33" t="s">
        <v>2730</v>
      </c>
      <c r="D42" s="33"/>
      <c r="E42" s="33" t="s">
        <v>2803</v>
      </c>
      <c r="F42" s="33"/>
      <c r="G42" s="55" t="s">
        <v>2804</v>
      </c>
      <c r="H42" s="33"/>
      <c r="I42" s="51" t="s">
        <v>2805</v>
      </c>
      <c r="J42" s="33"/>
      <c r="K42" s="51" t="s">
        <v>2806</v>
      </c>
      <c r="L42" s="33" t="s">
        <v>2454</v>
      </c>
      <c r="M42" s="55" t="s">
        <v>2472</v>
      </c>
      <c r="N42" s="55" t="s">
        <v>2807</v>
      </c>
      <c r="O42" s="33" t="s">
        <v>2272</v>
      </c>
      <c r="P42" s="33" t="s">
        <v>2251</v>
      </c>
      <c r="Q42" s="33"/>
      <c r="R42" s="33" t="s">
        <v>2263</v>
      </c>
      <c r="S42" s="56" t="s">
        <v>2277</v>
      </c>
      <c r="T42" s="56"/>
      <c r="U42" s="56"/>
      <c r="V42" s="33" t="s">
        <v>2456</v>
      </c>
      <c r="W42" s="94" t="s">
        <v>2457</v>
      </c>
      <c r="X42" s="94" t="s">
        <v>2474</v>
      </c>
      <c r="Y42" s="51"/>
      <c r="Z42" s="51"/>
      <c r="AA42" s="33" t="s">
        <v>2459</v>
      </c>
      <c r="AB42" s="33" t="s">
        <v>2460</v>
      </c>
      <c r="AC42" s="33"/>
      <c r="AD42" s="33" t="s">
        <v>2254</v>
      </c>
      <c r="AE42" s="33"/>
      <c r="AF42" s="33" t="s">
        <v>2267</v>
      </c>
      <c r="AG42" s="33" t="s">
        <v>2461</v>
      </c>
      <c r="AH42" s="33"/>
      <c r="AI42" s="33"/>
      <c r="AJ42" s="33" t="s">
        <v>2808</v>
      </c>
      <c r="AK42" s="94"/>
      <c r="AL42" s="33" t="s">
        <v>2526</v>
      </c>
      <c r="AM42" s="33" t="s">
        <v>2809</v>
      </c>
      <c r="AN42" s="33" t="s">
        <v>2465</v>
      </c>
      <c r="AO42" s="51" t="s">
        <v>2528</v>
      </c>
      <c r="AP42" s="51" t="s">
        <v>207</v>
      </c>
      <c r="AQ42" s="33"/>
      <c r="AR42" s="54"/>
      <c r="AS42" s="54"/>
      <c r="AT42" s="54"/>
      <c r="AU42" s="54"/>
      <c r="AV42" s="54"/>
      <c r="AW42" s="54"/>
      <c r="AX42" s="54"/>
      <c r="AY42" s="54"/>
      <c r="AZ42" s="54"/>
      <c r="BA42" s="54"/>
      <c r="BB42" s="54"/>
      <c r="BC42" s="54"/>
      <c r="BD42" s="54" t="s">
        <v>2447</v>
      </c>
      <c r="BE42" s="54"/>
      <c r="BF42" s="54"/>
      <c r="BG42" s="54"/>
      <c r="BH42" s="54"/>
      <c r="BI42" s="54"/>
      <c r="BJ42" s="0"/>
      <c r="BK42" s="0"/>
      <c r="BL42" s="0"/>
      <c r="BM42" s="0"/>
      <c r="BN42" s="0"/>
      <c r="BO42" s="0"/>
      <c r="BP42"/>
      <c r="BQ42"/>
      <c r="BR42"/>
      <c r="BS42"/>
      <c r="BT42"/>
      <c r="BU42"/>
      <c r="BV42"/>
      <c r="BW42"/>
      <c r="BX42"/>
      <c r="BY42"/>
      <c r="BZ42"/>
      <c r="CA42"/>
      <c r="CB42"/>
    </row>
    <row r="43" ht="15.0" customHeight="true">
      <c r="A43" s="51" t="s">
        <v>2448</v>
      </c>
      <c r="B43" s="33"/>
      <c r="C43" s="33" t="s">
        <v>2810</v>
      </c>
      <c r="D43" s="33"/>
      <c r="E43" s="33" t="s">
        <v>2811</v>
      </c>
      <c r="F43" s="33"/>
      <c r="G43" s="55" t="s">
        <v>2812</v>
      </c>
      <c r="H43" s="33"/>
      <c r="I43" s="51" t="s">
        <v>2813</v>
      </c>
      <c r="J43" s="33"/>
      <c r="K43" s="51" t="s">
        <v>2814</v>
      </c>
      <c r="L43" s="33" t="s">
        <v>2454</v>
      </c>
      <c r="M43" s="55" t="s">
        <v>2815</v>
      </c>
      <c r="N43" s="55" t="s">
        <v>2816</v>
      </c>
      <c r="O43" s="33" t="s">
        <v>2272</v>
      </c>
      <c r="P43" s="33" t="s">
        <v>2251</v>
      </c>
      <c r="Q43" s="33"/>
      <c r="R43" s="33" t="s">
        <v>2263</v>
      </c>
      <c r="S43" s="56" t="s">
        <v>2277</v>
      </c>
      <c r="T43" s="56"/>
      <c r="U43" s="56"/>
      <c r="V43" s="33" t="s">
        <v>2456</v>
      </c>
      <c r="W43" s="94" t="s">
        <v>2457</v>
      </c>
      <c r="X43" s="94" t="s">
        <v>2458</v>
      </c>
      <c r="Y43" s="51"/>
      <c r="Z43" s="51"/>
      <c r="AA43" s="33" t="s">
        <v>2459</v>
      </c>
      <c r="AB43" s="33" t="s">
        <v>2460</v>
      </c>
      <c r="AC43" s="33"/>
      <c r="AD43" s="33" t="s">
        <v>2254</v>
      </c>
      <c r="AE43" s="33"/>
      <c r="AF43" s="33" t="s">
        <v>2267</v>
      </c>
      <c r="AG43" s="33" t="s">
        <v>2461</v>
      </c>
      <c r="AH43" s="33"/>
      <c r="AI43" s="33"/>
      <c r="AJ43" s="33" t="s">
        <v>2817</v>
      </c>
      <c r="AK43" s="94"/>
      <c r="AL43" s="33" t="s">
        <v>2818</v>
      </c>
      <c r="AM43" s="33" t="s">
        <v>2819</v>
      </c>
      <c r="AN43" s="33" t="s">
        <v>2465</v>
      </c>
      <c r="AO43" s="51" t="s">
        <v>2820</v>
      </c>
      <c r="AP43" s="51" t="s">
        <v>207</v>
      </c>
      <c r="AQ43" s="33"/>
      <c r="AR43" s="54"/>
      <c r="AS43" s="54"/>
      <c r="AT43" s="54"/>
      <c r="AU43" s="54"/>
      <c r="AV43" s="54"/>
      <c r="AW43" s="54"/>
      <c r="AX43" s="54"/>
      <c r="AY43" s="54"/>
      <c r="AZ43" s="54"/>
      <c r="BA43" s="54"/>
      <c r="BB43" s="54"/>
      <c r="BC43" s="54"/>
      <c r="BD43" s="54" t="s">
        <v>2447</v>
      </c>
      <c r="BE43" s="54"/>
      <c r="BF43" s="54"/>
      <c r="BG43" s="54"/>
      <c r="BH43" s="54"/>
      <c r="BI43" s="54"/>
      <c r="BJ43" s="0"/>
      <c r="BK43" s="0"/>
      <c r="BL43" s="0"/>
      <c r="BM43" s="0"/>
      <c r="BN43" s="0"/>
      <c r="BO43" s="0"/>
      <c r="BP43"/>
      <c r="BQ43"/>
      <c r="BR43"/>
      <c r="BS43"/>
      <c r="BT43"/>
      <c r="BU43"/>
      <c r="BV43"/>
      <c r="BW43"/>
      <c r="BX43"/>
      <c r="BY43"/>
      <c r="BZ43"/>
      <c r="CA43"/>
      <c r="CB43"/>
    </row>
    <row r="44" ht="15.0" customHeight="true">
      <c r="A44" s="51" t="s">
        <v>2448</v>
      </c>
      <c r="B44" s="33"/>
      <c r="C44" s="33" t="s">
        <v>2821</v>
      </c>
      <c r="D44" s="33"/>
      <c r="E44" s="33" t="s">
        <v>2822</v>
      </c>
      <c r="F44" s="33"/>
      <c r="G44" s="55" t="s">
        <v>2823</v>
      </c>
      <c r="H44" s="33"/>
      <c r="I44" s="51" t="s">
        <v>2824</v>
      </c>
      <c r="J44" s="33"/>
      <c r="K44" s="51" t="s">
        <v>2825</v>
      </c>
      <c r="L44" s="33" t="s">
        <v>2454</v>
      </c>
      <c r="M44" s="55" t="s">
        <v>2799</v>
      </c>
      <c r="N44" s="55" t="s">
        <v>2799</v>
      </c>
      <c r="O44" s="33" t="s">
        <v>2272</v>
      </c>
      <c r="P44" s="33" t="s">
        <v>2251</v>
      </c>
      <c r="Q44" s="33"/>
      <c r="R44" s="33" t="s">
        <v>2263</v>
      </c>
      <c r="S44" s="56" t="s">
        <v>2277</v>
      </c>
      <c r="T44" s="56"/>
      <c r="U44" s="56"/>
      <c r="V44" s="33" t="s">
        <v>2456</v>
      </c>
      <c r="W44" s="94" t="s">
        <v>2457</v>
      </c>
      <c r="X44" s="94" t="s">
        <v>2458</v>
      </c>
      <c r="Y44" s="51"/>
      <c r="Z44" s="51"/>
      <c r="AA44" s="33" t="s">
        <v>2459</v>
      </c>
      <c r="AB44" s="33" t="s">
        <v>2460</v>
      </c>
      <c r="AC44" s="33"/>
      <c r="AD44" s="33" t="s">
        <v>2254</v>
      </c>
      <c r="AE44" s="33"/>
      <c r="AF44" s="33" t="s">
        <v>2267</v>
      </c>
      <c r="AG44" s="33" t="s">
        <v>2461</v>
      </c>
      <c r="AH44" s="33"/>
      <c r="AI44" s="33"/>
      <c r="AJ44" s="33" t="s">
        <v>2826</v>
      </c>
      <c r="AK44" s="94"/>
      <c r="AL44" s="33" t="s">
        <v>2827</v>
      </c>
      <c r="AM44" s="33"/>
      <c r="AN44" s="33" t="s">
        <v>2828</v>
      </c>
      <c r="AO44" s="51" t="s">
        <v>2829</v>
      </c>
      <c r="AP44" s="51" t="s">
        <v>207</v>
      </c>
      <c r="AQ44" s="33"/>
      <c r="AR44" s="54"/>
      <c r="AS44" s="54"/>
      <c r="AT44" s="54"/>
      <c r="AU44" s="54"/>
      <c r="AV44" s="54"/>
      <c r="AW44" s="54"/>
      <c r="AX44" s="54"/>
      <c r="AY44" s="54"/>
      <c r="AZ44" s="54"/>
      <c r="BA44" s="54"/>
      <c r="BB44" s="54"/>
      <c r="BC44" s="54"/>
      <c r="BD44" s="54" t="s">
        <v>2447</v>
      </c>
      <c r="BE44" s="54"/>
      <c r="BF44" s="54"/>
      <c r="BG44" s="54"/>
      <c r="BH44" s="54"/>
      <c r="BI44" s="54"/>
      <c r="BJ44" s="0"/>
      <c r="BK44" s="0"/>
      <c r="BL44" s="0"/>
      <c r="BM44" s="0"/>
      <c r="BN44" s="0"/>
      <c r="BO44" s="0"/>
      <c r="BP44"/>
      <c r="BQ44"/>
      <c r="BR44"/>
      <c r="BS44"/>
      <c r="BT44"/>
      <c r="BU44"/>
      <c r="BV44"/>
      <c r="BW44"/>
      <c r="BX44"/>
      <c r="BY44"/>
      <c r="BZ44"/>
      <c r="CA44"/>
      <c r="CB44"/>
    </row>
    <row r="45" ht="15.0" customHeight="true">
      <c r="A45" s="51" t="s">
        <v>2448</v>
      </c>
      <c r="B45" s="33"/>
      <c r="C45" s="33" t="s">
        <v>2830</v>
      </c>
      <c r="D45" s="33"/>
      <c r="E45" s="33" t="s">
        <v>2831</v>
      </c>
      <c r="F45" s="33"/>
      <c r="G45" s="55" t="s">
        <v>2832</v>
      </c>
      <c r="H45" s="33"/>
      <c r="I45" s="51" t="s">
        <v>2833</v>
      </c>
      <c r="J45" s="33"/>
      <c r="K45" s="51" t="s">
        <v>2834</v>
      </c>
      <c r="L45" s="33" t="s">
        <v>2484</v>
      </c>
      <c r="M45" s="55" t="s">
        <v>2835</v>
      </c>
      <c r="N45" s="55"/>
      <c r="O45" s="33"/>
      <c r="P45" s="33" t="s">
        <v>2251</v>
      </c>
      <c r="Q45" s="33"/>
      <c r="R45" s="33" t="s">
        <v>2263</v>
      </c>
      <c r="S45" s="56" t="s">
        <v>2277</v>
      </c>
      <c r="T45" s="56"/>
      <c r="U45" s="56"/>
      <c r="V45" s="33" t="s">
        <v>2456</v>
      </c>
      <c r="W45" s="94" t="s">
        <v>2457</v>
      </c>
      <c r="X45" s="94" t="s">
        <v>2474</v>
      </c>
      <c r="Y45" s="51"/>
      <c r="Z45" s="51"/>
      <c r="AA45" s="33" t="s">
        <v>2459</v>
      </c>
      <c r="AB45" s="33" t="s">
        <v>2460</v>
      </c>
      <c r="AC45" s="33" t="s">
        <v>2486</v>
      </c>
      <c r="AD45" s="33" t="s">
        <v>2254</v>
      </c>
      <c r="AE45" s="33"/>
      <c r="AF45" s="33" t="s">
        <v>2267</v>
      </c>
      <c r="AG45" s="33" t="s">
        <v>2461</v>
      </c>
      <c r="AH45" s="33"/>
      <c r="AI45" s="33"/>
      <c r="AJ45" s="33" t="s">
        <v>2836</v>
      </c>
      <c r="AK45" s="94"/>
      <c r="AL45" s="33" t="s">
        <v>2837</v>
      </c>
      <c r="AM45" s="33"/>
      <c r="AN45" s="33" t="s">
        <v>2465</v>
      </c>
      <c r="AO45" s="51" t="s">
        <v>2673</v>
      </c>
      <c r="AP45" s="51" t="s">
        <v>207</v>
      </c>
      <c r="AQ45" s="33"/>
      <c r="AR45" s="54"/>
      <c r="AS45" s="54"/>
      <c r="AT45" s="54"/>
      <c r="AU45" s="54"/>
      <c r="AV45" s="54"/>
      <c r="AW45" s="54"/>
      <c r="AX45" s="54"/>
      <c r="AY45" s="54"/>
      <c r="AZ45" s="54"/>
      <c r="BA45" s="54"/>
      <c r="BB45" s="54"/>
      <c r="BC45" s="54"/>
      <c r="BD45" s="54" t="s">
        <v>2447</v>
      </c>
      <c r="BE45" s="54"/>
      <c r="BF45" s="54"/>
      <c r="BG45" s="54"/>
      <c r="BH45" s="54"/>
      <c r="BI45" s="54"/>
      <c r="BJ45" s="0"/>
      <c r="BK45" s="0"/>
      <c r="BL45" s="0"/>
      <c r="BM45" s="0"/>
      <c r="BN45" s="0"/>
      <c r="BO45" s="0"/>
      <c r="BP45"/>
      <c r="BQ45"/>
      <c r="BR45"/>
      <c r="BS45"/>
      <c r="BT45"/>
      <c r="BU45"/>
      <c r="BV45"/>
      <c r="BW45"/>
      <c r="BX45"/>
      <c r="BY45"/>
      <c r="BZ45"/>
      <c r="CA45"/>
      <c r="CB45"/>
    </row>
    <row r="46" ht="15.0" customHeight="true">
      <c r="A46" s="51" t="s">
        <v>2448</v>
      </c>
      <c r="B46" s="33"/>
      <c r="C46" s="33" t="s">
        <v>2838</v>
      </c>
      <c r="D46" s="33"/>
      <c r="E46" s="33" t="s">
        <v>2839</v>
      </c>
      <c r="F46" s="33"/>
      <c r="G46" s="55" t="s">
        <v>2840</v>
      </c>
      <c r="H46" s="33"/>
      <c r="I46" s="51" t="s">
        <v>2841</v>
      </c>
      <c r="J46" s="33"/>
      <c r="K46" s="51" t="s">
        <v>2842</v>
      </c>
      <c r="L46" s="33" t="s">
        <v>2484</v>
      </c>
      <c r="M46" s="55" t="s">
        <v>2843</v>
      </c>
      <c r="N46" s="55"/>
      <c r="O46" s="33"/>
      <c r="P46" s="33" t="s">
        <v>2251</v>
      </c>
      <c r="Q46" s="33"/>
      <c r="R46" s="33" t="s">
        <v>2263</v>
      </c>
      <c r="S46" s="56" t="s">
        <v>2277</v>
      </c>
      <c r="T46" s="56"/>
      <c r="U46" s="56"/>
      <c r="V46" s="33" t="s">
        <v>2456</v>
      </c>
      <c r="W46" s="94" t="s">
        <v>2457</v>
      </c>
      <c r="X46" s="94" t="s">
        <v>2474</v>
      </c>
      <c r="Y46" s="51"/>
      <c r="Z46" s="51"/>
      <c r="AA46" s="33" t="s">
        <v>2459</v>
      </c>
      <c r="AB46" s="33" t="s">
        <v>2460</v>
      </c>
      <c r="AC46" s="33" t="s">
        <v>2486</v>
      </c>
      <c r="AD46" s="33" t="s">
        <v>2254</v>
      </c>
      <c r="AE46" s="33"/>
      <c r="AF46" s="33" t="s">
        <v>2267</v>
      </c>
      <c r="AG46" s="33" t="s">
        <v>2461</v>
      </c>
      <c r="AH46" s="33"/>
      <c r="AI46" s="33"/>
      <c r="AJ46" s="33" t="s">
        <v>2844</v>
      </c>
      <c r="AK46" s="94"/>
      <c r="AL46" s="33" t="s">
        <v>2845</v>
      </c>
      <c r="AM46" s="33"/>
      <c r="AN46" s="33" t="s">
        <v>2465</v>
      </c>
      <c r="AO46" s="51" t="s">
        <v>2578</v>
      </c>
      <c r="AP46" s="51" t="s">
        <v>207</v>
      </c>
      <c r="AQ46" s="33"/>
      <c r="AR46" s="54"/>
      <c r="AS46" s="54"/>
      <c r="AT46" s="54"/>
      <c r="AU46" s="54"/>
      <c r="AV46" s="54"/>
      <c r="AW46" s="54"/>
      <c r="AX46" s="54"/>
      <c r="AY46" s="54"/>
      <c r="AZ46" s="54"/>
      <c r="BA46" s="54"/>
      <c r="BB46" s="54"/>
      <c r="BC46" s="54"/>
      <c r="BD46" s="54" t="s">
        <v>2447</v>
      </c>
      <c r="BE46" s="54"/>
      <c r="BF46" s="54"/>
      <c r="BG46" s="54"/>
      <c r="BH46" s="54"/>
      <c r="BI46" s="54"/>
      <c r="BJ46" s="0"/>
      <c r="BK46" s="0"/>
      <c r="BL46" s="0"/>
      <c r="BM46" s="0"/>
      <c r="BN46" s="0"/>
      <c r="BO46" s="0"/>
      <c r="BP46"/>
      <c r="BQ46"/>
      <c r="BR46"/>
      <c r="BS46"/>
      <c r="BT46"/>
      <c r="BU46"/>
      <c r="BV46"/>
      <c r="BW46"/>
      <c r="BX46"/>
      <c r="BY46"/>
      <c r="BZ46"/>
      <c r="CA46"/>
      <c r="CB46"/>
    </row>
    <row r="47" ht="15.0" customHeight="true">
      <c r="A47" s="51" t="s">
        <v>2448</v>
      </c>
      <c r="B47" s="33"/>
      <c r="C47" s="33" t="s">
        <v>2666</v>
      </c>
      <c r="D47" s="33"/>
      <c r="E47" s="33" t="s">
        <v>2846</v>
      </c>
      <c r="F47" s="33"/>
      <c r="G47" s="55" t="s">
        <v>2847</v>
      </c>
      <c r="H47" s="33"/>
      <c r="I47" s="51" t="s">
        <v>2848</v>
      </c>
      <c r="J47" s="33"/>
      <c r="K47" s="51" t="s">
        <v>2849</v>
      </c>
      <c r="L47" s="33" t="s">
        <v>2454</v>
      </c>
      <c r="M47" s="55" t="s">
        <v>2850</v>
      </c>
      <c r="N47" s="55" t="s">
        <v>2850</v>
      </c>
      <c r="O47" s="33" t="s">
        <v>2272</v>
      </c>
      <c r="P47" s="33" t="s">
        <v>2251</v>
      </c>
      <c r="Q47" s="33"/>
      <c r="R47" s="33" t="s">
        <v>2263</v>
      </c>
      <c r="S47" s="56" t="s">
        <v>2277</v>
      </c>
      <c r="T47" s="56"/>
      <c r="U47" s="56"/>
      <c r="V47" s="33" t="s">
        <v>2456</v>
      </c>
      <c r="W47" s="94" t="s">
        <v>2457</v>
      </c>
      <c r="X47" s="94" t="s">
        <v>2458</v>
      </c>
      <c r="Y47" s="51"/>
      <c r="Z47" s="51"/>
      <c r="AA47" s="33" t="s">
        <v>2459</v>
      </c>
      <c r="AB47" s="33" t="s">
        <v>2460</v>
      </c>
      <c r="AC47" s="33"/>
      <c r="AD47" s="33" t="s">
        <v>2254</v>
      </c>
      <c r="AE47" s="33"/>
      <c r="AF47" s="33" t="s">
        <v>2267</v>
      </c>
      <c r="AG47" s="33" t="s">
        <v>2461</v>
      </c>
      <c r="AH47" s="33"/>
      <c r="AI47" s="33"/>
      <c r="AJ47" s="33" t="s">
        <v>2851</v>
      </c>
      <c r="AK47" s="94"/>
      <c r="AL47" s="33" t="s">
        <v>2852</v>
      </c>
      <c r="AM47" s="33"/>
      <c r="AN47" s="33" t="s">
        <v>2588</v>
      </c>
      <c r="AO47" s="51" t="s">
        <v>2628</v>
      </c>
      <c r="AP47" s="51" t="s">
        <v>207</v>
      </c>
      <c r="AQ47" s="33"/>
      <c r="AR47" s="54"/>
      <c r="AS47" s="54"/>
      <c r="AT47" s="54"/>
      <c r="AU47" s="54"/>
      <c r="AV47" s="54"/>
      <c r="AW47" s="54"/>
      <c r="AX47" s="54"/>
      <c r="AY47" s="54"/>
      <c r="AZ47" s="54"/>
      <c r="BA47" s="54"/>
      <c r="BB47" s="54"/>
      <c r="BC47" s="54"/>
      <c r="BD47" s="54" t="s">
        <v>2447</v>
      </c>
      <c r="BE47" s="54"/>
      <c r="BF47" s="54"/>
      <c r="BG47" s="54"/>
      <c r="BH47" s="54"/>
      <c r="BI47" s="54"/>
      <c r="BJ47" s="0"/>
      <c r="BK47" s="0"/>
      <c r="BL47" s="0"/>
      <c r="BM47" s="0"/>
      <c r="BN47" s="0"/>
      <c r="BO47" s="0"/>
      <c r="BP47"/>
      <c r="BQ47"/>
      <c r="BR47"/>
      <c r="BS47"/>
      <c r="BT47"/>
      <c r="BU47"/>
      <c r="BV47"/>
      <c r="BW47"/>
      <c r="BX47"/>
      <c r="BY47"/>
      <c r="BZ47"/>
      <c r="CA47"/>
      <c r="CB47"/>
    </row>
    <row r="48" ht="15.0" customHeight="true">
      <c r="A48" s="51" t="s">
        <v>2448</v>
      </c>
      <c r="B48" s="33"/>
      <c r="C48" s="33" t="s">
        <v>2853</v>
      </c>
      <c r="D48" s="33"/>
      <c r="E48" s="33" t="s">
        <v>2854</v>
      </c>
      <c r="F48" s="33"/>
      <c r="G48" s="55" t="s">
        <v>2855</v>
      </c>
      <c r="H48" s="33"/>
      <c r="I48" s="51" t="s">
        <v>2856</v>
      </c>
      <c r="J48" s="33"/>
      <c r="K48" s="51" t="s">
        <v>2857</v>
      </c>
      <c r="L48" s="33" t="s">
        <v>2454</v>
      </c>
      <c r="M48" s="55" t="s">
        <v>2858</v>
      </c>
      <c r="N48" s="55" t="s">
        <v>2859</v>
      </c>
      <c r="O48" s="33" t="s">
        <v>2272</v>
      </c>
      <c r="P48" s="33" t="s">
        <v>2251</v>
      </c>
      <c r="Q48" s="33"/>
      <c r="R48" s="33" t="s">
        <v>2263</v>
      </c>
      <c r="S48" s="56" t="s">
        <v>2277</v>
      </c>
      <c r="T48" s="56"/>
      <c r="U48" s="56"/>
      <c r="V48" s="33" t="s">
        <v>2456</v>
      </c>
      <c r="W48" s="94" t="s">
        <v>2457</v>
      </c>
      <c r="X48" s="94" t="s">
        <v>2458</v>
      </c>
      <c r="Y48" s="51"/>
      <c r="Z48" s="51"/>
      <c r="AA48" s="33" t="s">
        <v>2459</v>
      </c>
      <c r="AB48" s="33" t="s">
        <v>2460</v>
      </c>
      <c r="AC48" s="33"/>
      <c r="AD48" s="33" t="s">
        <v>2254</v>
      </c>
      <c r="AE48" s="33"/>
      <c r="AF48" s="33" t="s">
        <v>2267</v>
      </c>
      <c r="AG48" s="33" t="s">
        <v>2461</v>
      </c>
      <c r="AH48" s="33"/>
      <c r="AI48" s="33"/>
      <c r="AJ48" s="33" t="s">
        <v>2860</v>
      </c>
      <c r="AK48" s="94"/>
      <c r="AL48" s="33" t="s">
        <v>2861</v>
      </c>
      <c r="AM48" s="33"/>
      <c r="AN48" s="33" t="s">
        <v>2465</v>
      </c>
      <c r="AO48" s="51" t="s">
        <v>2673</v>
      </c>
      <c r="AP48" s="51" t="s">
        <v>207</v>
      </c>
      <c r="AQ48" s="33"/>
      <c r="AR48" s="54"/>
      <c r="AS48" s="54"/>
      <c r="AT48" s="54"/>
      <c r="AU48" s="54"/>
      <c r="AV48" s="54"/>
      <c r="AW48" s="54"/>
      <c r="AX48" s="54"/>
      <c r="AY48" s="54"/>
      <c r="AZ48" s="54"/>
      <c r="BA48" s="54"/>
      <c r="BB48" s="54"/>
      <c r="BC48" s="54"/>
      <c r="BD48" s="54" t="s">
        <v>2447</v>
      </c>
      <c r="BE48" s="54"/>
      <c r="BF48" s="54"/>
      <c r="BG48" s="54"/>
      <c r="BH48" s="54"/>
      <c r="BI48" s="54"/>
      <c r="BJ48" s="0"/>
      <c r="BK48" s="0"/>
      <c r="BL48" s="0"/>
      <c r="BM48" s="0"/>
      <c r="BN48" s="0"/>
      <c r="BO48" s="0"/>
      <c r="BP48"/>
      <c r="BQ48"/>
      <c r="BR48"/>
      <c r="BS48"/>
      <c r="BT48"/>
      <c r="BU48"/>
      <c r="BV48"/>
      <c r="BW48"/>
      <c r="BX48"/>
      <c r="BY48"/>
      <c r="BZ48"/>
      <c r="CA48"/>
      <c r="CB48"/>
    </row>
    <row r="49" ht="15.0" customHeight="true">
      <c r="A49" s="51" t="s">
        <v>2448</v>
      </c>
      <c r="B49" s="33"/>
      <c r="C49" s="33" t="s">
        <v>2862</v>
      </c>
      <c r="D49" s="33"/>
      <c r="E49" s="33" t="s">
        <v>2863</v>
      </c>
      <c r="F49" s="33"/>
      <c r="G49" s="55" t="s">
        <v>2864</v>
      </c>
      <c r="H49" s="33"/>
      <c r="I49" s="51" t="s">
        <v>2865</v>
      </c>
      <c r="J49" s="33"/>
      <c r="K49" s="51" t="s">
        <v>2866</v>
      </c>
      <c r="L49" s="33" t="s">
        <v>2454</v>
      </c>
      <c r="M49" s="55" t="s">
        <v>2867</v>
      </c>
      <c r="N49" s="55" t="s">
        <v>2868</v>
      </c>
      <c r="O49" s="33" t="s">
        <v>2272</v>
      </c>
      <c r="P49" s="33" t="s">
        <v>2251</v>
      </c>
      <c r="Q49" s="33"/>
      <c r="R49" s="33" t="s">
        <v>2263</v>
      </c>
      <c r="S49" s="56" t="s">
        <v>2277</v>
      </c>
      <c r="T49" s="56"/>
      <c r="U49" s="56"/>
      <c r="V49" s="33" t="s">
        <v>2456</v>
      </c>
      <c r="W49" s="94" t="s">
        <v>2457</v>
      </c>
      <c r="X49" s="94" t="s">
        <v>2458</v>
      </c>
      <c r="Y49" s="51"/>
      <c r="Z49" s="51"/>
      <c r="AA49" s="33" t="s">
        <v>2459</v>
      </c>
      <c r="AB49" s="33" t="s">
        <v>2460</v>
      </c>
      <c r="AC49" s="33"/>
      <c r="AD49" s="33" t="s">
        <v>2254</v>
      </c>
      <c r="AE49" s="33"/>
      <c r="AF49" s="33" t="s">
        <v>2267</v>
      </c>
      <c r="AG49" s="33" t="s">
        <v>2461</v>
      </c>
      <c r="AH49" s="33"/>
      <c r="AI49" s="33"/>
      <c r="AJ49" s="33" t="s">
        <v>2869</v>
      </c>
      <c r="AK49" s="94"/>
      <c r="AL49" s="33" t="s">
        <v>2870</v>
      </c>
      <c r="AM49" s="33"/>
      <c r="AN49" s="33" t="s">
        <v>2465</v>
      </c>
      <c r="AO49" s="51" t="s">
        <v>2673</v>
      </c>
      <c r="AP49" s="51" t="s">
        <v>207</v>
      </c>
      <c r="AQ49" s="33"/>
      <c r="AR49" s="54"/>
      <c r="AS49" s="54"/>
      <c r="AT49" s="54"/>
      <c r="AU49" s="54"/>
      <c r="AV49" s="54"/>
      <c r="AW49" s="54"/>
      <c r="AX49" s="54"/>
      <c r="AY49" s="54"/>
      <c r="AZ49" s="54"/>
      <c r="BA49" s="54"/>
      <c r="BB49" s="54"/>
      <c r="BC49" s="54"/>
      <c r="BD49" s="54" t="s">
        <v>2447</v>
      </c>
      <c r="BE49" s="54"/>
      <c r="BF49" s="54"/>
      <c r="BG49" s="54"/>
      <c r="BH49" s="54"/>
      <c r="BI49" s="54"/>
      <c r="BJ49" s="0"/>
      <c r="BK49" s="0"/>
      <c r="BL49" s="0"/>
      <c r="BM49" s="0"/>
      <c r="BN49" s="0"/>
      <c r="BO49" s="0"/>
      <c r="BP49"/>
      <c r="BQ49"/>
      <c r="BR49"/>
      <c r="BS49"/>
      <c r="BT49"/>
      <c r="BU49"/>
      <c r="BV49"/>
      <c r="BW49"/>
      <c r="BX49"/>
      <c r="BY49"/>
      <c r="BZ49"/>
      <c r="CA49"/>
      <c r="CB49"/>
    </row>
    <row r="50" ht="15.0" customHeight="true">
      <c r="A50" s="51" t="s">
        <v>2448</v>
      </c>
      <c r="B50" s="33"/>
      <c r="C50" s="33" t="s">
        <v>2871</v>
      </c>
      <c r="D50" s="33"/>
      <c r="E50" s="33" t="s">
        <v>2872</v>
      </c>
      <c r="F50" s="33"/>
      <c r="G50" s="55" t="s">
        <v>2873</v>
      </c>
      <c r="H50" s="33"/>
      <c r="I50" s="51" t="s">
        <v>2874</v>
      </c>
      <c r="J50" s="33"/>
      <c r="K50" s="51" t="s">
        <v>2875</v>
      </c>
      <c r="L50" s="33" t="s">
        <v>2484</v>
      </c>
      <c r="M50" s="55" t="s">
        <v>2554</v>
      </c>
      <c r="N50" s="55"/>
      <c r="O50" s="33"/>
      <c r="P50" s="33" t="s">
        <v>2251</v>
      </c>
      <c r="Q50" s="33"/>
      <c r="R50" s="33" t="s">
        <v>2263</v>
      </c>
      <c r="S50" s="56" t="s">
        <v>2277</v>
      </c>
      <c r="T50" s="56"/>
      <c r="U50" s="56"/>
      <c r="V50" s="33" t="s">
        <v>2456</v>
      </c>
      <c r="W50" s="94" t="s">
        <v>2457</v>
      </c>
      <c r="X50" s="94" t="s">
        <v>2474</v>
      </c>
      <c r="Y50" s="51"/>
      <c r="Z50" s="51"/>
      <c r="AA50" s="33" t="s">
        <v>2459</v>
      </c>
      <c r="AB50" s="33" t="s">
        <v>2460</v>
      </c>
      <c r="AC50" s="33" t="s">
        <v>2486</v>
      </c>
      <c r="AD50" s="33" t="s">
        <v>2254</v>
      </c>
      <c r="AE50" s="33"/>
      <c r="AF50" s="33" t="s">
        <v>2267</v>
      </c>
      <c r="AG50" s="33" t="s">
        <v>2461</v>
      </c>
      <c r="AH50" s="33"/>
      <c r="AI50" s="33"/>
      <c r="AJ50" s="33" t="s">
        <v>2876</v>
      </c>
      <c r="AK50" s="94"/>
      <c r="AL50" s="33" t="s">
        <v>2877</v>
      </c>
      <c r="AM50" s="33"/>
      <c r="AN50" s="33" t="s">
        <v>2465</v>
      </c>
      <c r="AO50" s="51" t="s">
        <v>2548</v>
      </c>
      <c r="AP50" s="51" t="s">
        <v>207</v>
      </c>
      <c r="AQ50" s="33"/>
      <c r="AR50" s="54"/>
      <c r="AS50" s="54"/>
      <c r="AT50" s="54"/>
      <c r="AU50" s="54"/>
      <c r="AV50" s="54"/>
      <c r="AW50" s="54"/>
      <c r="AX50" s="54"/>
      <c r="AY50" s="54"/>
      <c r="AZ50" s="54"/>
      <c r="BA50" s="54"/>
      <c r="BB50" s="54"/>
      <c r="BC50" s="54"/>
      <c r="BD50" s="54" t="s">
        <v>2447</v>
      </c>
      <c r="BE50" s="54"/>
      <c r="BF50" s="54"/>
      <c r="BG50" s="54"/>
      <c r="BH50" s="54"/>
      <c r="BI50" s="54"/>
      <c r="BJ50" s="0"/>
      <c r="BK50" s="0"/>
      <c r="BL50" s="0"/>
      <c r="BM50" s="0"/>
      <c r="BN50" s="0"/>
      <c r="BO50" s="0"/>
      <c r="BP50"/>
      <c r="BQ50"/>
      <c r="BR50"/>
      <c r="BS50"/>
      <c r="BT50"/>
      <c r="BU50"/>
      <c r="BV50"/>
      <c r="BW50"/>
      <c r="BX50"/>
      <c r="BY50"/>
      <c r="BZ50"/>
      <c r="CA50"/>
      <c r="CB50"/>
    </row>
    <row r="51" ht="15.0" customHeight="true">
      <c r="A51" s="51" t="s">
        <v>2448</v>
      </c>
      <c r="B51" s="33"/>
      <c r="C51" s="33" t="s">
        <v>2878</v>
      </c>
      <c r="D51" s="33"/>
      <c r="E51" s="33" t="s">
        <v>2879</v>
      </c>
      <c r="F51" s="33"/>
      <c r="G51" s="55" t="s">
        <v>2880</v>
      </c>
      <c r="H51" s="33"/>
      <c r="I51" s="51" t="s">
        <v>2881</v>
      </c>
      <c r="J51" s="33"/>
      <c r="K51" s="51" t="s">
        <v>2882</v>
      </c>
      <c r="L51" s="33" t="s">
        <v>2454</v>
      </c>
      <c r="M51" s="55" t="s">
        <v>2883</v>
      </c>
      <c r="N51" s="55" t="s">
        <v>2563</v>
      </c>
      <c r="O51" s="33" t="s">
        <v>2272</v>
      </c>
      <c r="P51" s="33" t="s">
        <v>2251</v>
      </c>
      <c r="Q51" s="33"/>
      <c r="R51" s="33" t="s">
        <v>2263</v>
      </c>
      <c r="S51" s="56" t="s">
        <v>2277</v>
      </c>
      <c r="T51" s="56"/>
      <c r="U51" s="56"/>
      <c r="V51" s="33" t="s">
        <v>2456</v>
      </c>
      <c r="W51" s="94" t="s">
        <v>2457</v>
      </c>
      <c r="X51" s="94" t="s">
        <v>2458</v>
      </c>
      <c r="Y51" s="51"/>
      <c r="Z51" s="51"/>
      <c r="AA51" s="33" t="s">
        <v>2459</v>
      </c>
      <c r="AB51" s="33" t="s">
        <v>2460</v>
      </c>
      <c r="AC51" s="33"/>
      <c r="AD51" s="33" t="s">
        <v>2254</v>
      </c>
      <c r="AE51" s="33"/>
      <c r="AF51" s="33" t="s">
        <v>2267</v>
      </c>
      <c r="AG51" s="33" t="s">
        <v>2461</v>
      </c>
      <c r="AH51" s="33"/>
      <c r="AI51" s="33"/>
      <c r="AJ51" s="33" t="s">
        <v>2884</v>
      </c>
      <c r="AK51" s="94"/>
      <c r="AL51" s="33" t="s">
        <v>2885</v>
      </c>
      <c r="AM51" s="33" t="s">
        <v>2886</v>
      </c>
      <c r="AN51" s="33" t="s">
        <v>2465</v>
      </c>
      <c r="AO51" s="51" t="s">
        <v>2548</v>
      </c>
      <c r="AP51" s="51" t="s">
        <v>207</v>
      </c>
      <c r="AQ51" s="33"/>
      <c r="AR51" s="54"/>
      <c r="AS51" s="54"/>
      <c r="AT51" s="54"/>
      <c r="AU51" s="54"/>
      <c r="AV51" s="54"/>
      <c r="AW51" s="54"/>
      <c r="AX51" s="54"/>
      <c r="AY51" s="54"/>
      <c r="AZ51" s="54"/>
      <c r="BA51" s="54"/>
      <c r="BB51" s="54"/>
      <c r="BC51" s="54"/>
      <c r="BD51" s="54" t="s">
        <v>2447</v>
      </c>
      <c r="BE51" s="54"/>
      <c r="BF51" s="54"/>
      <c r="BG51" s="54"/>
      <c r="BH51" s="54"/>
      <c r="BI51" s="54"/>
      <c r="BJ51" s="0"/>
      <c r="BK51" s="0"/>
      <c r="BL51" s="0"/>
      <c r="BM51" s="0"/>
      <c r="BN51" s="0"/>
      <c r="BO51" s="0"/>
      <c r="BP51"/>
      <c r="BQ51"/>
      <c r="BR51"/>
      <c r="BS51"/>
      <c r="BT51"/>
      <c r="BU51"/>
      <c r="BV51"/>
      <c r="BW51"/>
      <c r="BX51"/>
      <c r="BY51"/>
      <c r="BZ51"/>
      <c r="CA51"/>
      <c r="CB51"/>
    </row>
    <row r="52" ht="15.0" customHeight="true">
      <c r="A52" s="51" t="s">
        <v>2448</v>
      </c>
      <c r="B52" s="33"/>
      <c r="C52" s="33" t="s">
        <v>2887</v>
      </c>
      <c r="D52" s="33"/>
      <c r="E52" s="33" t="s">
        <v>2888</v>
      </c>
      <c r="F52" s="33"/>
      <c r="G52" s="55" t="s">
        <v>2889</v>
      </c>
      <c r="H52" s="33"/>
      <c r="I52" s="51" t="s">
        <v>2890</v>
      </c>
      <c r="J52" s="33"/>
      <c r="K52" s="51" t="s">
        <v>2891</v>
      </c>
      <c r="L52" s="33" t="s">
        <v>2454</v>
      </c>
      <c r="M52" s="55" t="s">
        <v>2584</v>
      </c>
      <c r="N52" s="55" t="s">
        <v>2718</v>
      </c>
      <c r="O52" s="33" t="s">
        <v>2272</v>
      </c>
      <c r="P52" s="33" t="s">
        <v>2251</v>
      </c>
      <c r="Q52" s="33"/>
      <c r="R52" s="33" t="s">
        <v>2263</v>
      </c>
      <c r="S52" s="56" t="s">
        <v>2277</v>
      </c>
      <c r="T52" s="56"/>
      <c r="U52" s="56"/>
      <c r="V52" s="33" t="s">
        <v>2456</v>
      </c>
      <c r="W52" s="94" t="s">
        <v>2457</v>
      </c>
      <c r="X52" s="94" t="s">
        <v>2458</v>
      </c>
      <c r="Y52" s="51"/>
      <c r="Z52" s="51"/>
      <c r="AA52" s="33" t="s">
        <v>2459</v>
      </c>
      <c r="AB52" s="33" t="s">
        <v>2460</v>
      </c>
      <c r="AC52" s="33"/>
      <c r="AD52" s="33" t="s">
        <v>2254</v>
      </c>
      <c r="AE52" s="33"/>
      <c r="AF52" s="33" t="s">
        <v>2267</v>
      </c>
      <c r="AG52" s="33" t="s">
        <v>2461</v>
      </c>
      <c r="AH52" s="33"/>
      <c r="AI52" s="33"/>
      <c r="AJ52" s="33" t="s">
        <v>2892</v>
      </c>
      <c r="AK52" s="94"/>
      <c r="AL52" s="33" t="s">
        <v>2893</v>
      </c>
      <c r="AM52" s="33" t="s">
        <v>2894</v>
      </c>
      <c r="AN52" s="33" t="s">
        <v>2465</v>
      </c>
      <c r="AO52" s="51" t="s">
        <v>2478</v>
      </c>
      <c r="AP52" s="51" t="s">
        <v>207</v>
      </c>
      <c r="AQ52" s="33"/>
      <c r="AR52" s="54"/>
      <c r="AS52" s="54"/>
      <c r="AT52" s="54"/>
      <c r="AU52" s="54"/>
      <c r="AV52" s="54"/>
      <c r="AW52" s="54"/>
      <c r="AX52" s="54"/>
      <c r="AY52" s="54"/>
      <c r="AZ52" s="54"/>
      <c r="BA52" s="54"/>
      <c r="BB52" s="54"/>
      <c r="BC52" s="54"/>
      <c r="BD52" s="54" t="s">
        <v>2447</v>
      </c>
      <c r="BE52" s="54"/>
      <c r="BF52" s="54"/>
      <c r="BG52" s="54"/>
      <c r="BH52" s="54"/>
      <c r="BI52" s="54"/>
      <c r="BJ52" s="0"/>
      <c r="BK52" s="0"/>
      <c r="BL52" s="0"/>
      <c r="BM52" s="0"/>
      <c r="BN52" s="0"/>
      <c r="BO52" s="0"/>
      <c r="BP52"/>
      <c r="BQ52"/>
      <c r="BR52"/>
      <c r="BS52"/>
      <c r="BT52"/>
      <c r="BU52"/>
      <c r="BV52"/>
      <c r="BW52"/>
      <c r="BX52"/>
      <c r="BY52"/>
      <c r="BZ52"/>
      <c r="CA52"/>
      <c r="CB52"/>
    </row>
    <row r="53" ht="15.0" customHeight="true">
      <c r="A53" s="51" t="s">
        <v>2448</v>
      </c>
      <c r="B53" s="33"/>
      <c r="C53" s="33" t="s">
        <v>2887</v>
      </c>
      <c r="D53" s="33"/>
      <c r="E53" s="33" t="s">
        <v>2895</v>
      </c>
      <c r="F53" s="33"/>
      <c r="G53" s="55" t="s">
        <v>2896</v>
      </c>
      <c r="H53" s="33"/>
      <c r="I53" s="51" t="s">
        <v>2897</v>
      </c>
      <c r="J53" s="33"/>
      <c r="K53" s="51" t="s">
        <v>2898</v>
      </c>
      <c r="L53" s="33" t="s">
        <v>2454</v>
      </c>
      <c r="M53" s="55" t="s">
        <v>2899</v>
      </c>
      <c r="N53" s="55" t="s">
        <v>2900</v>
      </c>
      <c r="O53" s="33" t="s">
        <v>2272</v>
      </c>
      <c r="P53" s="33" t="s">
        <v>2251</v>
      </c>
      <c r="Q53" s="33"/>
      <c r="R53" s="33" t="s">
        <v>2263</v>
      </c>
      <c r="S53" s="56" t="s">
        <v>2277</v>
      </c>
      <c r="T53" s="56"/>
      <c r="U53" s="56"/>
      <c r="V53" s="33" t="s">
        <v>2456</v>
      </c>
      <c r="W53" s="94" t="s">
        <v>2457</v>
      </c>
      <c r="X53" s="94" t="s">
        <v>2458</v>
      </c>
      <c r="Y53" s="51"/>
      <c r="Z53" s="51"/>
      <c r="AA53" s="33" t="s">
        <v>2459</v>
      </c>
      <c r="AB53" s="33" t="s">
        <v>2460</v>
      </c>
      <c r="AC53" s="33"/>
      <c r="AD53" s="33" t="s">
        <v>2254</v>
      </c>
      <c r="AE53" s="33"/>
      <c r="AF53" s="33" t="s">
        <v>2267</v>
      </c>
      <c r="AG53" s="33" t="s">
        <v>2461</v>
      </c>
      <c r="AH53" s="33"/>
      <c r="AI53" s="33"/>
      <c r="AJ53" s="33" t="s">
        <v>2901</v>
      </c>
      <c r="AK53" s="94"/>
      <c r="AL53" s="33" t="s">
        <v>2902</v>
      </c>
      <c r="AM53" s="33"/>
      <c r="AN53" s="33" t="s">
        <v>2465</v>
      </c>
      <c r="AO53" s="51" t="s">
        <v>2489</v>
      </c>
      <c r="AP53" s="51" t="s">
        <v>207</v>
      </c>
      <c r="AQ53" s="33"/>
      <c r="AR53" s="54"/>
      <c r="AS53" s="54"/>
      <c r="AT53" s="54"/>
      <c r="AU53" s="54"/>
      <c r="AV53" s="54"/>
      <c r="AW53" s="54"/>
      <c r="AX53" s="54"/>
      <c r="AY53" s="54"/>
      <c r="AZ53" s="54"/>
      <c r="BA53" s="54"/>
      <c r="BB53" s="54"/>
      <c r="BC53" s="54"/>
      <c r="BD53" s="54" t="s">
        <v>2447</v>
      </c>
      <c r="BE53" s="54"/>
      <c r="BF53" s="54"/>
      <c r="BG53" s="54"/>
      <c r="BH53" s="54"/>
      <c r="BI53" s="54"/>
      <c r="BJ53" s="0"/>
      <c r="BK53" s="0"/>
      <c r="BL53" s="0"/>
      <c r="BM53" s="0"/>
      <c r="BN53" s="0"/>
      <c r="BO53" s="0"/>
      <c r="BP53"/>
      <c r="BQ53"/>
      <c r="BR53"/>
      <c r="BS53"/>
      <c r="BT53"/>
      <c r="BU53"/>
      <c r="BV53"/>
      <c r="BW53"/>
      <c r="BX53"/>
      <c r="BY53"/>
      <c r="BZ53"/>
      <c r="CA53"/>
      <c r="CB53"/>
    </row>
    <row r="54" ht="15.0" customHeight="true">
      <c r="A54" s="51" t="s">
        <v>2448</v>
      </c>
      <c r="B54" s="33"/>
      <c r="C54" s="33" t="s">
        <v>2903</v>
      </c>
      <c r="D54" s="33"/>
      <c r="E54" s="33" t="s">
        <v>2904</v>
      </c>
      <c r="F54" s="33"/>
      <c r="G54" s="55" t="s">
        <v>2905</v>
      </c>
      <c r="H54" s="33"/>
      <c r="I54" s="51" t="s">
        <v>2906</v>
      </c>
      <c r="J54" s="33"/>
      <c r="K54" s="51" t="s">
        <v>2907</v>
      </c>
      <c r="L54" s="33" t="s">
        <v>2454</v>
      </c>
      <c r="M54" s="55" t="s">
        <v>2850</v>
      </c>
      <c r="N54" s="55" t="s">
        <v>2908</v>
      </c>
      <c r="O54" s="33" t="s">
        <v>2272</v>
      </c>
      <c r="P54" s="33" t="s">
        <v>2251</v>
      </c>
      <c r="Q54" s="33"/>
      <c r="R54" s="33" t="s">
        <v>2263</v>
      </c>
      <c r="S54" s="56" t="s">
        <v>2277</v>
      </c>
      <c r="T54" s="56"/>
      <c r="U54" s="56"/>
      <c r="V54" s="33" t="s">
        <v>2456</v>
      </c>
      <c r="W54" s="94" t="s">
        <v>2457</v>
      </c>
      <c r="X54" s="94" t="s">
        <v>2458</v>
      </c>
      <c r="Y54" s="51"/>
      <c r="Z54" s="51"/>
      <c r="AA54" s="33" t="s">
        <v>2459</v>
      </c>
      <c r="AB54" s="33" t="s">
        <v>2460</v>
      </c>
      <c r="AC54" s="33"/>
      <c r="AD54" s="33" t="s">
        <v>2254</v>
      </c>
      <c r="AE54" s="33"/>
      <c r="AF54" s="33" t="s">
        <v>2267</v>
      </c>
      <c r="AG54" s="33" t="s">
        <v>2461</v>
      </c>
      <c r="AH54" s="33"/>
      <c r="AI54" s="33"/>
      <c r="AJ54" s="33" t="s">
        <v>2909</v>
      </c>
      <c r="AK54" s="94"/>
      <c r="AL54" s="33" t="s">
        <v>2910</v>
      </c>
      <c r="AM54" s="33"/>
      <c r="AN54" s="33" t="s">
        <v>2588</v>
      </c>
      <c r="AO54" s="51" t="s">
        <v>2911</v>
      </c>
      <c r="AP54" s="51" t="s">
        <v>207</v>
      </c>
      <c r="AQ54" s="33"/>
      <c r="AR54" s="54"/>
      <c r="AS54" s="54"/>
      <c r="AT54" s="54"/>
      <c r="AU54" s="54"/>
      <c r="AV54" s="54"/>
      <c r="AW54" s="54"/>
      <c r="AX54" s="54"/>
      <c r="AY54" s="54"/>
      <c r="AZ54" s="54"/>
      <c r="BA54" s="54"/>
      <c r="BB54" s="54"/>
      <c r="BC54" s="54"/>
      <c r="BD54" s="54" t="s">
        <v>2447</v>
      </c>
      <c r="BE54" s="54"/>
      <c r="BF54" s="54"/>
      <c r="BG54" s="54"/>
      <c r="BH54" s="54"/>
      <c r="BI54" s="54"/>
      <c r="BJ54" s="0"/>
      <c r="BK54" s="0"/>
      <c r="BL54" s="0"/>
      <c r="BM54" s="0"/>
      <c r="BN54" s="0"/>
      <c r="BO54" s="0"/>
      <c r="BP54"/>
      <c r="BQ54"/>
      <c r="BR54"/>
      <c r="BS54"/>
      <c r="BT54"/>
      <c r="BU54"/>
      <c r="BV54"/>
      <c r="BW54"/>
      <c r="BX54"/>
      <c r="BY54"/>
      <c r="BZ54"/>
      <c r="CA54"/>
      <c r="CB54"/>
    </row>
    <row r="55" ht="15.0" customHeight="true">
      <c r="A55" s="51" t="s">
        <v>2448</v>
      </c>
      <c r="B55" s="33"/>
      <c r="C55" s="33" t="s">
        <v>2912</v>
      </c>
      <c r="D55" s="33"/>
      <c r="E55" s="33" t="s">
        <v>2913</v>
      </c>
      <c r="F55" s="33"/>
      <c r="G55" s="55" t="s">
        <v>2914</v>
      </c>
      <c r="H55" s="33"/>
      <c r="I55" s="51" t="s">
        <v>2915</v>
      </c>
      <c r="J55" s="33"/>
      <c r="K55" s="51" t="s">
        <v>2916</v>
      </c>
      <c r="L55" s="33" t="s">
        <v>2454</v>
      </c>
      <c r="M55" s="55" t="s">
        <v>2917</v>
      </c>
      <c r="N55" s="55" t="s">
        <v>2918</v>
      </c>
      <c r="O55" s="33" t="s">
        <v>2272</v>
      </c>
      <c r="P55" s="33" t="s">
        <v>2251</v>
      </c>
      <c r="Q55" s="33"/>
      <c r="R55" s="33" t="s">
        <v>2263</v>
      </c>
      <c r="S55" s="56" t="s">
        <v>2277</v>
      </c>
      <c r="T55" s="56"/>
      <c r="U55" s="56"/>
      <c r="V55" s="33" t="s">
        <v>2456</v>
      </c>
      <c r="W55" s="94" t="s">
        <v>2457</v>
      </c>
      <c r="X55" s="94" t="s">
        <v>2474</v>
      </c>
      <c r="Y55" s="51"/>
      <c r="Z55" s="51"/>
      <c r="AA55" s="33" t="s">
        <v>2459</v>
      </c>
      <c r="AB55" s="33" t="s">
        <v>2460</v>
      </c>
      <c r="AC55" s="33"/>
      <c r="AD55" s="33" t="s">
        <v>2254</v>
      </c>
      <c r="AE55" s="33"/>
      <c r="AF55" s="33" t="s">
        <v>2267</v>
      </c>
      <c r="AG55" s="33" t="s">
        <v>2461</v>
      </c>
      <c r="AH55" s="33"/>
      <c r="AI55" s="33"/>
      <c r="AJ55" s="33" t="s">
        <v>2919</v>
      </c>
      <c r="AK55" s="94"/>
      <c r="AL55" s="33" t="s">
        <v>2920</v>
      </c>
      <c r="AM55" s="33"/>
      <c r="AN55" s="33" t="s">
        <v>2465</v>
      </c>
      <c r="AO55" s="51" t="s">
        <v>2478</v>
      </c>
      <c r="AP55" s="51" t="s">
        <v>207</v>
      </c>
      <c r="AQ55" s="33"/>
      <c r="AR55" s="54"/>
      <c r="AS55" s="54"/>
      <c r="AT55" s="54"/>
      <c r="AU55" s="54"/>
      <c r="AV55" s="54"/>
      <c r="AW55" s="54"/>
      <c r="AX55" s="54"/>
      <c r="AY55" s="54"/>
      <c r="AZ55" s="54"/>
      <c r="BA55" s="54"/>
      <c r="BB55" s="54"/>
      <c r="BC55" s="54"/>
      <c r="BD55" s="54" t="s">
        <v>2447</v>
      </c>
      <c r="BE55" s="54"/>
      <c r="BF55" s="54"/>
      <c r="BG55" s="54"/>
      <c r="BH55" s="54"/>
      <c r="BI55" s="54"/>
      <c r="BJ55" s="0"/>
      <c r="BK55" s="0"/>
      <c r="BL55" s="0"/>
      <c r="BM55" s="0"/>
      <c r="BN55" s="0"/>
      <c r="BO55" s="0"/>
      <c r="BP55"/>
      <c r="BQ55"/>
      <c r="BR55"/>
      <c r="BS55"/>
      <c r="BT55"/>
      <c r="BU55"/>
      <c r="BV55"/>
      <c r="BW55"/>
      <c r="BX55"/>
      <c r="BY55"/>
      <c r="BZ55"/>
      <c r="CA55"/>
      <c r="CB55"/>
    </row>
    <row r="56" ht="15.0" customHeight="true">
      <c r="A56" s="51" t="s">
        <v>2448</v>
      </c>
      <c r="B56" s="33"/>
      <c r="C56" s="33" t="s">
        <v>2921</v>
      </c>
      <c r="D56" s="33"/>
      <c r="E56" s="33" t="s">
        <v>2922</v>
      </c>
      <c r="F56" s="33"/>
      <c r="G56" s="55" t="s">
        <v>2923</v>
      </c>
      <c r="H56" s="33"/>
      <c r="I56" s="51" t="s">
        <v>2924</v>
      </c>
      <c r="J56" s="33"/>
      <c r="K56" s="51" t="s">
        <v>2925</v>
      </c>
      <c r="L56" s="33" t="s">
        <v>2454</v>
      </c>
      <c r="M56" s="55" t="s">
        <v>2926</v>
      </c>
      <c r="N56" s="55" t="s">
        <v>2927</v>
      </c>
      <c r="O56" s="33" t="s">
        <v>2272</v>
      </c>
      <c r="P56" s="33" t="s">
        <v>2251</v>
      </c>
      <c r="Q56" s="33"/>
      <c r="R56" s="33" t="s">
        <v>2263</v>
      </c>
      <c r="S56" s="56" t="s">
        <v>2277</v>
      </c>
      <c r="T56" s="56"/>
      <c r="U56" s="56"/>
      <c r="V56" s="33" t="s">
        <v>2456</v>
      </c>
      <c r="W56" s="94" t="s">
        <v>2457</v>
      </c>
      <c r="X56" s="94" t="s">
        <v>2458</v>
      </c>
      <c r="Y56" s="51"/>
      <c r="Z56" s="51"/>
      <c r="AA56" s="33" t="s">
        <v>2459</v>
      </c>
      <c r="AB56" s="33" t="s">
        <v>2460</v>
      </c>
      <c r="AC56" s="33"/>
      <c r="AD56" s="33" t="s">
        <v>2254</v>
      </c>
      <c r="AE56" s="33"/>
      <c r="AF56" s="33" t="s">
        <v>2267</v>
      </c>
      <c r="AG56" s="33" t="s">
        <v>2461</v>
      </c>
      <c r="AH56" s="33"/>
      <c r="AI56" s="33"/>
      <c r="AJ56" s="33" t="s">
        <v>2928</v>
      </c>
      <c r="AK56" s="94"/>
      <c r="AL56" s="33" t="s">
        <v>2929</v>
      </c>
      <c r="AM56" s="33" t="s">
        <v>2930</v>
      </c>
      <c r="AN56" s="33" t="s">
        <v>2465</v>
      </c>
      <c r="AO56" s="51" t="s">
        <v>2478</v>
      </c>
      <c r="AP56" s="51" t="s">
        <v>207</v>
      </c>
      <c r="AQ56" s="33"/>
      <c r="AR56" s="54"/>
      <c r="AS56" s="54"/>
      <c r="AT56" s="54"/>
      <c r="AU56" s="54"/>
      <c r="AV56" s="54"/>
      <c r="AW56" s="54"/>
      <c r="AX56" s="54"/>
      <c r="AY56" s="54"/>
      <c r="AZ56" s="54"/>
      <c r="BA56" s="54"/>
      <c r="BB56" s="54"/>
      <c r="BC56" s="54"/>
      <c r="BD56" s="54" t="s">
        <v>2447</v>
      </c>
      <c r="BE56" s="54"/>
      <c r="BF56" s="54"/>
      <c r="BG56" s="54"/>
      <c r="BH56" s="54"/>
      <c r="BI56" s="54"/>
      <c r="BJ56" s="0"/>
      <c r="BK56" s="0"/>
      <c r="BL56" s="0"/>
      <c r="BM56" s="0"/>
      <c r="BN56" s="0"/>
      <c r="BO56" s="0"/>
      <c r="BP56"/>
      <c r="BQ56"/>
      <c r="BR56"/>
      <c r="BS56"/>
      <c r="BT56"/>
      <c r="BU56"/>
      <c r="BV56"/>
      <c r="BW56"/>
      <c r="BX56"/>
      <c r="BY56"/>
      <c r="BZ56"/>
      <c r="CA56"/>
      <c r="CB56"/>
    </row>
    <row r="57" ht="15.0" customHeight="true">
      <c r="A57" s="51" t="s">
        <v>2448</v>
      </c>
      <c r="B57" s="33"/>
      <c r="C57" s="33" t="s">
        <v>2931</v>
      </c>
      <c r="D57" s="33"/>
      <c r="E57" s="33" t="s">
        <v>2932</v>
      </c>
      <c r="F57" s="33"/>
      <c r="G57" s="55" t="s">
        <v>2933</v>
      </c>
      <c r="H57" s="33"/>
      <c r="I57" s="51" t="s">
        <v>2934</v>
      </c>
      <c r="J57" s="33"/>
      <c r="K57" s="51" t="s">
        <v>2935</v>
      </c>
      <c r="L57" s="33" t="s">
        <v>2454</v>
      </c>
      <c r="M57" s="55" t="s">
        <v>2936</v>
      </c>
      <c r="N57" s="55" t="s">
        <v>2937</v>
      </c>
      <c r="O57" s="33" t="s">
        <v>2272</v>
      </c>
      <c r="P57" s="33" t="s">
        <v>2251</v>
      </c>
      <c r="Q57" s="33"/>
      <c r="R57" s="33" t="s">
        <v>2263</v>
      </c>
      <c r="S57" s="56" t="s">
        <v>2277</v>
      </c>
      <c r="T57" s="56"/>
      <c r="U57" s="56"/>
      <c r="V57" s="33" t="s">
        <v>2456</v>
      </c>
      <c r="W57" s="94" t="s">
        <v>2457</v>
      </c>
      <c r="X57" s="94" t="s">
        <v>2474</v>
      </c>
      <c r="Y57" s="51"/>
      <c r="Z57" s="51"/>
      <c r="AA57" s="33" t="s">
        <v>2459</v>
      </c>
      <c r="AB57" s="33" t="s">
        <v>2460</v>
      </c>
      <c r="AC57" s="33"/>
      <c r="AD57" s="33" t="s">
        <v>2254</v>
      </c>
      <c r="AE57" s="33"/>
      <c r="AF57" s="33" t="s">
        <v>2267</v>
      </c>
      <c r="AG57" s="33" t="s">
        <v>2461</v>
      </c>
      <c r="AH57" s="33"/>
      <c r="AI57" s="33"/>
      <c r="AJ57" s="33" t="s">
        <v>2938</v>
      </c>
      <c r="AK57" s="94"/>
      <c r="AL57" s="33" t="s">
        <v>2939</v>
      </c>
      <c r="AM57" s="33"/>
      <c r="AN57" s="33" t="s">
        <v>2588</v>
      </c>
      <c r="AO57" s="51" t="s">
        <v>2628</v>
      </c>
      <c r="AP57" s="51" t="s">
        <v>207</v>
      </c>
      <c r="AQ57" s="33"/>
      <c r="AR57" s="54"/>
      <c r="AS57" s="54"/>
      <c r="AT57" s="54"/>
      <c r="AU57" s="54"/>
      <c r="AV57" s="54"/>
      <c r="AW57" s="54"/>
      <c r="AX57" s="54"/>
      <c r="AY57" s="54"/>
      <c r="AZ57" s="54"/>
      <c r="BA57" s="54"/>
      <c r="BB57" s="54"/>
      <c r="BC57" s="54"/>
      <c r="BD57" s="54" t="s">
        <v>2447</v>
      </c>
      <c r="BE57" s="54"/>
      <c r="BF57" s="54"/>
      <c r="BG57" s="54"/>
      <c r="BH57" s="54"/>
      <c r="BI57" s="54"/>
      <c r="BJ57" s="0"/>
      <c r="BK57" s="0"/>
      <c r="BL57" s="0"/>
      <c r="BM57" s="0"/>
      <c r="BN57" s="0"/>
      <c r="BO57" s="0"/>
      <c r="BP57"/>
      <c r="BQ57"/>
      <c r="BR57"/>
      <c r="BS57"/>
      <c r="BT57"/>
      <c r="BU57"/>
      <c r="BV57"/>
      <c r="BW57"/>
      <c r="BX57"/>
      <c r="BY57"/>
      <c r="BZ57"/>
      <c r="CA57"/>
      <c r="CB57"/>
    </row>
    <row r="58" ht="15.0" customHeight="true">
      <c r="A58" s="51" t="s">
        <v>2448</v>
      </c>
      <c r="B58" s="33"/>
      <c r="C58" s="33" t="s">
        <v>2838</v>
      </c>
      <c r="D58" s="33"/>
      <c r="E58" s="33" t="s">
        <v>2940</v>
      </c>
      <c r="F58" s="33"/>
      <c r="G58" s="55" t="s">
        <v>2941</v>
      </c>
      <c r="H58" s="33"/>
      <c r="I58" s="51" t="s">
        <v>2942</v>
      </c>
      <c r="J58" s="33"/>
      <c r="K58" s="51" t="s">
        <v>2943</v>
      </c>
      <c r="L58" s="33" t="s">
        <v>2454</v>
      </c>
      <c r="M58" s="55" t="s">
        <v>2944</v>
      </c>
      <c r="N58" s="55" t="s">
        <v>2945</v>
      </c>
      <c r="O58" s="33" t="s">
        <v>2272</v>
      </c>
      <c r="P58" s="33" t="s">
        <v>2251</v>
      </c>
      <c r="Q58" s="33"/>
      <c r="R58" s="33" t="s">
        <v>2263</v>
      </c>
      <c r="S58" s="56" t="s">
        <v>2277</v>
      </c>
      <c r="T58" s="56"/>
      <c r="U58" s="56"/>
      <c r="V58" s="33" t="s">
        <v>2456</v>
      </c>
      <c r="W58" s="94" t="s">
        <v>2457</v>
      </c>
      <c r="X58" s="94" t="s">
        <v>2474</v>
      </c>
      <c r="Y58" s="51"/>
      <c r="Z58" s="51"/>
      <c r="AA58" s="33" t="s">
        <v>2459</v>
      </c>
      <c r="AB58" s="33" t="s">
        <v>2460</v>
      </c>
      <c r="AC58" s="33"/>
      <c r="AD58" s="33" t="s">
        <v>2254</v>
      </c>
      <c r="AE58" s="33"/>
      <c r="AF58" s="33" t="s">
        <v>2267</v>
      </c>
      <c r="AG58" s="33" t="s">
        <v>2461</v>
      </c>
      <c r="AH58" s="33"/>
      <c r="AI58" s="33"/>
      <c r="AJ58" s="33" t="s">
        <v>2946</v>
      </c>
      <c r="AK58" s="94"/>
      <c r="AL58" s="33" t="s">
        <v>2947</v>
      </c>
      <c r="AM58" s="33"/>
      <c r="AN58" s="33" t="s">
        <v>2465</v>
      </c>
      <c r="AO58" s="51" t="s">
        <v>2489</v>
      </c>
      <c r="AP58" s="51" t="s">
        <v>207</v>
      </c>
      <c r="AQ58" s="33"/>
      <c r="AR58" s="54"/>
      <c r="AS58" s="54"/>
      <c r="AT58" s="54"/>
      <c r="AU58" s="54"/>
      <c r="AV58" s="54"/>
      <c r="AW58" s="54"/>
      <c r="AX58" s="54"/>
      <c r="AY58" s="54"/>
      <c r="AZ58" s="54"/>
      <c r="BA58" s="54"/>
      <c r="BB58" s="54"/>
      <c r="BC58" s="54"/>
      <c r="BD58" s="54" t="s">
        <v>2447</v>
      </c>
      <c r="BE58" s="54"/>
      <c r="BF58" s="54"/>
      <c r="BG58" s="54"/>
      <c r="BH58" s="54"/>
      <c r="BI58" s="54"/>
      <c r="BJ58" s="0"/>
      <c r="BK58" s="0"/>
      <c r="BL58" s="0"/>
      <c r="BM58" s="0"/>
      <c r="BN58" s="0"/>
      <c r="BO58" s="0"/>
      <c r="BP58"/>
      <c r="BQ58"/>
      <c r="BR58"/>
      <c r="BS58"/>
      <c r="BT58"/>
      <c r="BU58"/>
      <c r="BV58"/>
      <c r="BW58"/>
      <c r="BX58"/>
      <c r="BY58"/>
      <c r="BZ58"/>
      <c r="CA58"/>
      <c r="CB58"/>
    </row>
    <row r="59" ht="15.0" customHeight="true">
      <c r="A59" s="51" t="s">
        <v>2448</v>
      </c>
      <c r="B59" s="33"/>
      <c r="C59" s="33" t="s">
        <v>2948</v>
      </c>
      <c r="D59" s="33"/>
      <c r="E59" s="33" t="s">
        <v>2949</v>
      </c>
      <c r="F59" s="33"/>
      <c r="G59" s="55" t="s">
        <v>2950</v>
      </c>
      <c r="H59" s="33"/>
      <c r="I59" s="51" t="s">
        <v>2951</v>
      </c>
      <c r="J59" s="33"/>
      <c r="K59" s="51" t="s">
        <v>2952</v>
      </c>
      <c r="L59" s="33" t="s">
        <v>2454</v>
      </c>
      <c r="M59" s="55" t="s">
        <v>2945</v>
      </c>
      <c r="N59" s="55" t="s">
        <v>2953</v>
      </c>
      <c r="O59" s="33" t="s">
        <v>2272</v>
      </c>
      <c r="P59" s="33" t="s">
        <v>2251</v>
      </c>
      <c r="Q59" s="33"/>
      <c r="R59" s="33" t="s">
        <v>2263</v>
      </c>
      <c r="S59" s="56" t="s">
        <v>2277</v>
      </c>
      <c r="T59" s="56"/>
      <c r="U59" s="56"/>
      <c r="V59" s="33" t="s">
        <v>2456</v>
      </c>
      <c r="W59" s="94" t="s">
        <v>2457</v>
      </c>
      <c r="X59" s="94" t="s">
        <v>2474</v>
      </c>
      <c r="Y59" s="51"/>
      <c r="Z59" s="51"/>
      <c r="AA59" s="33" t="s">
        <v>2459</v>
      </c>
      <c r="AB59" s="33" t="s">
        <v>2460</v>
      </c>
      <c r="AC59" s="33"/>
      <c r="AD59" s="33" t="s">
        <v>2254</v>
      </c>
      <c r="AE59" s="33"/>
      <c r="AF59" s="33" t="s">
        <v>2267</v>
      </c>
      <c r="AG59" s="33" t="s">
        <v>2461</v>
      </c>
      <c r="AH59" s="33"/>
      <c r="AI59" s="33"/>
      <c r="AJ59" s="33" t="s">
        <v>2954</v>
      </c>
      <c r="AK59" s="94"/>
      <c r="AL59" s="33" t="s">
        <v>2955</v>
      </c>
      <c r="AM59" s="33"/>
      <c r="AN59" s="33" t="s">
        <v>2465</v>
      </c>
      <c r="AO59" s="51" t="s">
        <v>2618</v>
      </c>
      <c r="AP59" s="51" t="s">
        <v>207</v>
      </c>
      <c r="AQ59" s="33"/>
      <c r="AR59" s="54"/>
      <c r="AS59" s="54"/>
      <c r="AT59" s="54"/>
      <c r="AU59" s="54"/>
      <c r="AV59" s="54"/>
      <c r="AW59" s="54"/>
      <c r="AX59" s="54"/>
      <c r="AY59" s="54"/>
      <c r="AZ59" s="54"/>
      <c r="BA59" s="54"/>
      <c r="BB59" s="54"/>
      <c r="BC59" s="54"/>
      <c r="BD59" s="54" t="s">
        <v>2447</v>
      </c>
      <c r="BE59" s="54"/>
      <c r="BF59" s="54"/>
      <c r="BG59" s="54"/>
      <c r="BH59" s="54"/>
      <c r="BI59" s="54"/>
      <c r="BJ59" s="0"/>
      <c r="BK59" s="0"/>
      <c r="BL59" s="0"/>
      <c r="BM59" s="0"/>
      <c r="BN59" s="0"/>
      <c r="BO59" s="0"/>
      <c r="BP59"/>
      <c r="BQ59"/>
      <c r="BR59"/>
      <c r="BS59"/>
      <c r="BT59"/>
      <c r="BU59"/>
      <c r="BV59"/>
      <c r="BW59"/>
      <c r="BX59"/>
      <c r="BY59"/>
      <c r="BZ59"/>
      <c r="CA59"/>
      <c r="CB59"/>
    </row>
    <row r="60" ht="15.0" customHeight="true">
      <c r="A60" s="51" t="s">
        <v>2448</v>
      </c>
      <c r="B60" s="33"/>
      <c r="C60" s="33" t="s">
        <v>2956</v>
      </c>
      <c r="D60" s="33"/>
      <c r="E60" s="33" t="s">
        <v>2480</v>
      </c>
      <c r="F60" s="33"/>
      <c r="G60" s="55" t="s">
        <v>2957</v>
      </c>
      <c r="H60" s="33"/>
      <c r="I60" s="51" t="s">
        <v>2958</v>
      </c>
      <c r="J60" s="33"/>
      <c r="K60" s="51" t="s">
        <v>2959</v>
      </c>
      <c r="L60" s="33" t="s">
        <v>2454</v>
      </c>
      <c r="M60" s="55" t="s">
        <v>2960</v>
      </c>
      <c r="N60" s="55" t="s">
        <v>2961</v>
      </c>
      <c r="O60" s="33" t="s">
        <v>2272</v>
      </c>
      <c r="P60" s="33" t="s">
        <v>2251</v>
      </c>
      <c r="Q60" s="33"/>
      <c r="R60" s="33" t="s">
        <v>2263</v>
      </c>
      <c r="S60" s="56" t="s">
        <v>2277</v>
      </c>
      <c r="T60" s="56"/>
      <c r="U60" s="56"/>
      <c r="V60" s="33" t="s">
        <v>2456</v>
      </c>
      <c r="W60" s="94" t="s">
        <v>2457</v>
      </c>
      <c r="X60" s="94" t="s">
        <v>2458</v>
      </c>
      <c r="Y60" s="51"/>
      <c r="Z60" s="51"/>
      <c r="AA60" s="33" t="s">
        <v>2459</v>
      </c>
      <c r="AB60" s="33" t="s">
        <v>2460</v>
      </c>
      <c r="AC60" s="33"/>
      <c r="AD60" s="33" t="s">
        <v>2254</v>
      </c>
      <c r="AE60" s="33"/>
      <c r="AF60" s="33" t="s">
        <v>2267</v>
      </c>
      <c r="AG60" s="33" t="s">
        <v>2461</v>
      </c>
      <c r="AH60" s="33"/>
      <c r="AI60" s="33"/>
      <c r="AJ60" s="33" t="s">
        <v>2962</v>
      </c>
      <c r="AK60" s="94"/>
      <c r="AL60" s="33" t="s">
        <v>2963</v>
      </c>
      <c r="AM60" s="33"/>
      <c r="AN60" s="33" t="s">
        <v>2465</v>
      </c>
      <c r="AO60" s="51" t="s">
        <v>2820</v>
      </c>
      <c r="AP60" s="51" t="s">
        <v>207</v>
      </c>
      <c r="AQ60" s="33"/>
      <c r="AR60" s="54"/>
      <c r="AS60" s="54"/>
      <c r="AT60" s="54"/>
      <c r="AU60" s="54"/>
      <c r="AV60" s="54"/>
      <c r="AW60" s="54"/>
      <c r="AX60" s="54"/>
      <c r="AY60" s="54"/>
      <c r="AZ60" s="54"/>
      <c r="BA60" s="54"/>
      <c r="BB60" s="54"/>
      <c r="BC60" s="54"/>
      <c r="BD60" s="54" t="s">
        <v>2447</v>
      </c>
      <c r="BE60" s="54"/>
      <c r="BF60" s="54"/>
      <c r="BG60" s="54"/>
      <c r="BH60" s="54"/>
      <c r="BI60" s="54"/>
      <c r="BJ60" s="0"/>
      <c r="BK60" s="0"/>
      <c r="BL60" s="0"/>
      <c r="BM60" s="0"/>
      <c r="BN60" s="0"/>
      <c r="BO60" s="0"/>
      <c r="BP60"/>
      <c r="BQ60"/>
      <c r="BR60"/>
      <c r="BS60"/>
      <c r="BT60"/>
      <c r="BU60"/>
      <c r="BV60"/>
      <c r="BW60"/>
      <c r="BX60"/>
      <c r="BY60"/>
      <c r="BZ60"/>
      <c r="CA60"/>
      <c r="CB60"/>
    </row>
    <row r="61" ht="15.0" customHeight="true">
      <c r="A61" s="51" t="s">
        <v>2448</v>
      </c>
      <c r="B61" s="33"/>
      <c r="C61" s="33" t="s">
        <v>2964</v>
      </c>
      <c r="D61" s="33"/>
      <c r="E61" s="33" t="s">
        <v>2540</v>
      </c>
      <c r="F61" s="33"/>
      <c r="G61" s="55" t="s">
        <v>2965</v>
      </c>
      <c r="H61" s="33"/>
      <c r="I61" s="51" t="s">
        <v>2966</v>
      </c>
      <c r="J61" s="33"/>
      <c r="K61" s="51" t="s">
        <v>2967</v>
      </c>
      <c r="L61" s="33" t="s">
        <v>2454</v>
      </c>
      <c r="M61" s="55" t="s">
        <v>2595</v>
      </c>
      <c r="N61" s="55" t="s">
        <v>2968</v>
      </c>
      <c r="O61" s="33" t="s">
        <v>2272</v>
      </c>
      <c r="P61" s="33" t="s">
        <v>2251</v>
      </c>
      <c r="Q61" s="33"/>
      <c r="R61" s="33" t="s">
        <v>2263</v>
      </c>
      <c r="S61" s="56" t="s">
        <v>2277</v>
      </c>
      <c r="T61" s="56"/>
      <c r="U61" s="56"/>
      <c r="V61" s="33" t="s">
        <v>2456</v>
      </c>
      <c r="W61" s="94" t="s">
        <v>2457</v>
      </c>
      <c r="X61" s="94" t="s">
        <v>2474</v>
      </c>
      <c r="Y61" s="51"/>
      <c r="Z61" s="51"/>
      <c r="AA61" s="33" t="s">
        <v>2459</v>
      </c>
      <c r="AB61" s="33" t="s">
        <v>2460</v>
      </c>
      <c r="AC61" s="33"/>
      <c r="AD61" s="33" t="s">
        <v>2254</v>
      </c>
      <c r="AE61" s="33"/>
      <c r="AF61" s="33" t="s">
        <v>2267</v>
      </c>
      <c r="AG61" s="33" t="s">
        <v>2461</v>
      </c>
      <c r="AH61" s="33"/>
      <c r="AI61" s="33"/>
      <c r="AJ61" s="33" t="s">
        <v>2969</v>
      </c>
      <c r="AK61" s="94"/>
      <c r="AL61" s="33" t="s">
        <v>2970</v>
      </c>
      <c r="AM61" s="33"/>
      <c r="AN61" s="33" t="s">
        <v>2465</v>
      </c>
      <c r="AO61" s="51" t="s">
        <v>2489</v>
      </c>
      <c r="AP61" s="51" t="s">
        <v>207</v>
      </c>
      <c r="AQ61" s="33"/>
      <c r="AR61" s="54"/>
      <c r="AS61" s="54"/>
      <c r="AT61" s="54"/>
      <c r="AU61" s="54"/>
      <c r="AV61" s="54"/>
      <c r="AW61" s="54"/>
      <c r="AX61" s="54"/>
      <c r="AY61" s="54"/>
      <c r="AZ61" s="54"/>
      <c r="BA61" s="54"/>
      <c r="BB61" s="54"/>
      <c r="BC61" s="54"/>
      <c r="BD61" s="54" t="s">
        <v>2447</v>
      </c>
      <c r="BE61" s="54"/>
      <c r="BF61" s="54"/>
      <c r="BG61" s="54"/>
      <c r="BH61" s="54"/>
      <c r="BI61" s="54"/>
      <c r="BJ61" s="0"/>
      <c r="BK61" s="0"/>
      <c r="BL61" s="0"/>
      <c r="BM61" s="0"/>
      <c r="BN61" s="0"/>
      <c r="BO61" s="0"/>
      <c r="BP61"/>
      <c r="BQ61"/>
      <c r="BR61"/>
      <c r="BS61"/>
      <c r="BT61"/>
      <c r="BU61"/>
      <c r="BV61"/>
      <c r="BW61"/>
      <c r="BX61"/>
      <c r="BY61"/>
      <c r="BZ61"/>
      <c r="CA61"/>
      <c r="CB61"/>
    </row>
    <row r="62" ht="15.0" customHeight="true">
      <c r="A62" s="51" t="s">
        <v>2448</v>
      </c>
      <c r="B62" s="33"/>
      <c r="C62" s="33" t="s">
        <v>2971</v>
      </c>
      <c r="D62" s="33"/>
      <c r="E62" s="33" t="s">
        <v>2972</v>
      </c>
      <c r="F62" s="33"/>
      <c r="G62" s="55" t="s">
        <v>2973</v>
      </c>
      <c r="H62" s="33"/>
      <c r="I62" s="51" t="s">
        <v>2974</v>
      </c>
      <c r="J62" s="33"/>
      <c r="K62" s="51" t="s">
        <v>2975</v>
      </c>
      <c r="L62" s="33" t="s">
        <v>2454</v>
      </c>
      <c r="M62" s="55" t="s">
        <v>2976</v>
      </c>
      <c r="N62" s="55" t="s">
        <v>2708</v>
      </c>
      <c r="O62" s="33" t="s">
        <v>2272</v>
      </c>
      <c r="P62" s="33" t="s">
        <v>2251</v>
      </c>
      <c r="Q62" s="33"/>
      <c r="R62" s="33" t="s">
        <v>2263</v>
      </c>
      <c r="S62" s="56" t="s">
        <v>2277</v>
      </c>
      <c r="T62" s="56"/>
      <c r="U62" s="56"/>
      <c r="V62" s="33" t="s">
        <v>2456</v>
      </c>
      <c r="W62" s="94" t="s">
        <v>2457</v>
      </c>
      <c r="X62" s="94" t="s">
        <v>2474</v>
      </c>
      <c r="Y62" s="51"/>
      <c r="Z62" s="51"/>
      <c r="AA62" s="33" t="s">
        <v>2459</v>
      </c>
      <c r="AB62" s="33" t="s">
        <v>2460</v>
      </c>
      <c r="AC62" s="33"/>
      <c r="AD62" s="33" t="s">
        <v>2254</v>
      </c>
      <c r="AE62" s="33"/>
      <c r="AF62" s="33" t="s">
        <v>2267</v>
      </c>
      <c r="AG62" s="33" t="s">
        <v>2461</v>
      </c>
      <c r="AH62" s="33"/>
      <c r="AI62" s="33"/>
      <c r="AJ62" s="33" t="s">
        <v>2977</v>
      </c>
      <c r="AK62" s="94"/>
      <c r="AL62" s="33" t="s">
        <v>2978</v>
      </c>
      <c r="AM62" s="33" t="s">
        <v>2979</v>
      </c>
      <c r="AN62" s="33" t="s">
        <v>2465</v>
      </c>
      <c r="AO62" s="51" t="s">
        <v>2466</v>
      </c>
      <c r="AP62" s="51" t="s">
        <v>207</v>
      </c>
      <c r="AQ62" s="33"/>
      <c r="AR62" s="54"/>
      <c r="AS62" s="54"/>
      <c r="AT62" s="54"/>
      <c r="AU62" s="54"/>
      <c r="AV62" s="54"/>
      <c r="AW62" s="54"/>
      <c r="AX62" s="54"/>
      <c r="AY62" s="54"/>
      <c r="AZ62" s="54"/>
      <c r="BA62" s="54"/>
      <c r="BB62" s="54"/>
      <c r="BC62" s="54"/>
      <c r="BD62" s="54" t="s">
        <v>2447</v>
      </c>
      <c r="BE62" s="54"/>
      <c r="BF62" s="54"/>
      <c r="BG62" s="54"/>
      <c r="BH62" s="54"/>
      <c r="BI62" s="54"/>
      <c r="BJ62" s="0"/>
      <c r="BK62" s="0"/>
      <c r="BL62" s="0"/>
      <c r="BM62" s="0"/>
      <c r="BN62" s="0"/>
      <c r="BO62" s="0"/>
      <c r="BP62"/>
      <c r="BQ62"/>
      <c r="BR62"/>
      <c r="BS62"/>
      <c r="BT62"/>
      <c r="BU62"/>
      <c r="BV62"/>
      <c r="BW62"/>
      <c r="BX62"/>
      <c r="BY62"/>
      <c r="BZ62"/>
      <c r="CA62"/>
      <c r="CB62"/>
    </row>
    <row r="63" ht="15.0" customHeight="true">
      <c r="A63" s="51" t="s">
        <v>2448</v>
      </c>
      <c r="B63" s="33"/>
      <c r="C63" s="33" t="s">
        <v>2980</v>
      </c>
      <c r="D63" s="33"/>
      <c r="E63" s="33" t="s">
        <v>2981</v>
      </c>
      <c r="F63" s="33"/>
      <c r="G63" s="55" t="s">
        <v>2982</v>
      </c>
      <c r="H63" s="33"/>
      <c r="I63" s="51" t="s">
        <v>2983</v>
      </c>
      <c r="J63" s="33"/>
      <c r="K63" s="51" t="s">
        <v>2984</v>
      </c>
      <c r="L63" s="33" t="s">
        <v>2454</v>
      </c>
      <c r="M63" s="55" t="s">
        <v>2985</v>
      </c>
      <c r="N63" s="55" t="s">
        <v>2985</v>
      </c>
      <c r="O63" s="33" t="s">
        <v>2272</v>
      </c>
      <c r="P63" s="33" t="s">
        <v>2251</v>
      </c>
      <c r="Q63" s="33"/>
      <c r="R63" s="33" t="s">
        <v>2263</v>
      </c>
      <c r="S63" s="56" t="s">
        <v>2277</v>
      </c>
      <c r="T63" s="56"/>
      <c r="U63" s="56"/>
      <c r="V63" s="33" t="s">
        <v>2456</v>
      </c>
      <c r="W63" s="94" t="s">
        <v>2457</v>
      </c>
      <c r="X63" s="94" t="s">
        <v>2474</v>
      </c>
      <c r="Y63" s="51"/>
      <c r="Z63" s="51"/>
      <c r="AA63" s="33" t="s">
        <v>2459</v>
      </c>
      <c r="AB63" s="33" t="s">
        <v>2460</v>
      </c>
      <c r="AC63" s="33"/>
      <c r="AD63" s="33" t="s">
        <v>2254</v>
      </c>
      <c r="AE63" s="33"/>
      <c r="AF63" s="33" t="s">
        <v>2267</v>
      </c>
      <c r="AG63" s="33" t="s">
        <v>2461</v>
      </c>
      <c r="AH63" s="33"/>
      <c r="AI63" s="33"/>
      <c r="AJ63" s="33" t="s">
        <v>2986</v>
      </c>
      <c r="AK63" s="94"/>
      <c r="AL63" s="33" t="s">
        <v>2987</v>
      </c>
      <c r="AM63" s="33"/>
      <c r="AN63" s="33" t="s">
        <v>2465</v>
      </c>
      <c r="AO63" s="51" t="s">
        <v>2538</v>
      </c>
      <c r="AP63" s="51" t="s">
        <v>207</v>
      </c>
      <c r="AQ63" s="33"/>
      <c r="AR63" s="54"/>
      <c r="AS63" s="54"/>
      <c r="AT63" s="54"/>
      <c r="AU63" s="54"/>
      <c r="AV63" s="54"/>
      <c r="AW63" s="54"/>
      <c r="AX63" s="54"/>
      <c r="AY63" s="54"/>
      <c r="AZ63" s="54"/>
      <c r="BA63" s="54"/>
      <c r="BB63" s="54"/>
      <c r="BC63" s="54"/>
      <c r="BD63" s="54" t="s">
        <v>2447</v>
      </c>
      <c r="BE63" s="54"/>
      <c r="BF63" s="54"/>
      <c r="BG63" s="54"/>
      <c r="BH63" s="54"/>
      <c r="BI63" s="54"/>
      <c r="BJ63" s="0"/>
      <c r="BK63" s="0"/>
      <c r="BL63" s="0"/>
      <c r="BM63" s="0"/>
      <c r="BN63" s="0"/>
      <c r="BO63" s="0"/>
      <c r="BP63"/>
      <c r="BQ63"/>
      <c r="BR63"/>
      <c r="BS63"/>
      <c r="BT63"/>
      <c r="BU63"/>
      <c r="BV63"/>
      <c r="BW63"/>
      <c r="BX63"/>
      <c r="BY63"/>
      <c r="BZ63"/>
      <c r="CA63"/>
      <c r="CB63"/>
    </row>
    <row r="64" ht="15.0" customHeight="true">
      <c r="A64" s="51" t="s">
        <v>2448</v>
      </c>
      <c r="B64" s="33"/>
      <c r="C64" s="33" t="s">
        <v>2988</v>
      </c>
      <c r="D64" s="33"/>
      <c r="E64" s="33" t="s">
        <v>2989</v>
      </c>
      <c r="F64" s="33"/>
      <c r="G64" s="55" t="s">
        <v>2990</v>
      </c>
      <c r="H64" s="33"/>
      <c r="I64" s="51" t="s">
        <v>2991</v>
      </c>
      <c r="J64" s="33"/>
      <c r="K64" s="51" t="s">
        <v>2992</v>
      </c>
      <c r="L64" s="33" t="s">
        <v>2454</v>
      </c>
      <c r="M64" s="55" t="s">
        <v>2815</v>
      </c>
      <c r="N64" s="55" t="s">
        <v>2993</v>
      </c>
      <c r="O64" s="33" t="s">
        <v>2272</v>
      </c>
      <c r="P64" s="33" t="s">
        <v>2251</v>
      </c>
      <c r="Q64" s="33"/>
      <c r="R64" s="33" t="s">
        <v>2263</v>
      </c>
      <c r="S64" s="56" t="s">
        <v>2277</v>
      </c>
      <c r="T64" s="56"/>
      <c r="U64" s="56"/>
      <c r="V64" s="33" t="s">
        <v>2456</v>
      </c>
      <c r="W64" s="94" t="s">
        <v>2457</v>
      </c>
      <c r="X64" s="94" t="s">
        <v>2458</v>
      </c>
      <c r="Y64" s="51"/>
      <c r="Z64" s="51"/>
      <c r="AA64" s="33" t="s">
        <v>2459</v>
      </c>
      <c r="AB64" s="33" t="s">
        <v>2460</v>
      </c>
      <c r="AC64" s="33"/>
      <c r="AD64" s="33" t="s">
        <v>2254</v>
      </c>
      <c r="AE64" s="33"/>
      <c r="AF64" s="33" t="s">
        <v>2267</v>
      </c>
      <c r="AG64" s="33" t="s">
        <v>2461</v>
      </c>
      <c r="AH64" s="33"/>
      <c r="AI64" s="33"/>
      <c r="AJ64" s="33" t="s">
        <v>2994</v>
      </c>
      <c r="AK64" s="94"/>
      <c r="AL64" s="33" t="s">
        <v>2995</v>
      </c>
      <c r="AM64" s="33"/>
      <c r="AN64" s="33" t="s">
        <v>2465</v>
      </c>
      <c r="AO64" s="51" t="s">
        <v>2489</v>
      </c>
      <c r="AP64" s="51" t="s">
        <v>207</v>
      </c>
      <c r="AQ64" s="33"/>
      <c r="AR64" s="54"/>
      <c r="AS64" s="54"/>
      <c r="AT64" s="54"/>
      <c r="AU64" s="54"/>
      <c r="AV64" s="54"/>
      <c r="AW64" s="54"/>
      <c r="AX64" s="54"/>
      <c r="AY64" s="54"/>
      <c r="AZ64" s="54"/>
      <c r="BA64" s="54"/>
      <c r="BB64" s="54"/>
      <c r="BC64" s="54"/>
      <c r="BD64" s="54" t="s">
        <v>2447</v>
      </c>
      <c r="BE64" s="54"/>
      <c r="BF64" s="54"/>
      <c r="BG64" s="54"/>
      <c r="BH64" s="54"/>
      <c r="BI64" s="54"/>
      <c r="BJ64" s="0"/>
      <c r="BK64" s="0"/>
      <c r="BL64" s="0"/>
      <c r="BM64" s="0"/>
      <c r="BN64" s="0"/>
      <c r="BO64" s="0"/>
      <c r="BP64"/>
      <c r="BQ64"/>
      <c r="BR64"/>
      <c r="BS64"/>
      <c r="BT64"/>
      <c r="BU64"/>
      <c r="BV64"/>
      <c r="BW64"/>
      <c r="BX64"/>
      <c r="BY64"/>
      <c r="BZ64"/>
      <c r="CA64"/>
      <c r="CB64"/>
    </row>
    <row r="65" ht="15.0" customHeight="true">
      <c r="A65" s="51" t="s">
        <v>2448</v>
      </c>
      <c r="B65" s="33"/>
      <c r="C65" s="33" t="s">
        <v>2996</v>
      </c>
      <c r="D65" s="33"/>
      <c r="E65" s="33" t="s">
        <v>2997</v>
      </c>
      <c r="F65" s="33"/>
      <c r="G65" s="55" t="s">
        <v>2998</v>
      </c>
      <c r="H65" s="33"/>
      <c r="I65" s="51" t="s">
        <v>2999</v>
      </c>
      <c r="J65" s="33"/>
      <c r="K65" s="51" t="s">
        <v>3000</v>
      </c>
      <c r="L65" s="33" t="s">
        <v>2454</v>
      </c>
      <c r="M65" s="55" t="s">
        <v>2976</v>
      </c>
      <c r="N65" s="55" t="s">
        <v>3001</v>
      </c>
      <c r="O65" s="33" t="s">
        <v>2272</v>
      </c>
      <c r="P65" s="33" t="s">
        <v>2251</v>
      </c>
      <c r="Q65" s="33"/>
      <c r="R65" s="33" t="s">
        <v>2263</v>
      </c>
      <c r="S65" s="56" t="s">
        <v>2277</v>
      </c>
      <c r="T65" s="56"/>
      <c r="U65" s="56"/>
      <c r="V65" s="33" t="s">
        <v>2456</v>
      </c>
      <c r="W65" s="94" t="s">
        <v>2457</v>
      </c>
      <c r="X65" s="94" t="s">
        <v>2474</v>
      </c>
      <c r="Y65" s="51"/>
      <c r="Z65" s="51"/>
      <c r="AA65" s="33" t="s">
        <v>2459</v>
      </c>
      <c r="AB65" s="33" t="s">
        <v>2460</v>
      </c>
      <c r="AC65" s="33"/>
      <c r="AD65" s="33" t="s">
        <v>2254</v>
      </c>
      <c r="AE65" s="33"/>
      <c r="AF65" s="33" t="s">
        <v>2267</v>
      </c>
      <c r="AG65" s="33" t="s">
        <v>2461</v>
      </c>
      <c r="AH65" s="33"/>
      <c r="AI65" s="33"/>
      <c r="AJ65" s="33" t="s">
        <v>3002</v>
      </c>
      <c r="AK65" s="94"/>
      <c r="AL65" s="33" t="s">
        <v>3003</v>
      </c>
      <c r="AM65" s="33" t="s">
        <v>3004</v>
      </c>
      <c r="AN65" s="33" t="s">
        <v>2465</v>
      </c>
      <c r="AO65" s="51" t="s">
        <v>2673</v>
      </c>
      <c r="AP65" s="51" t="s">
        <v>207</v>
      </c>
      <c r="AQ65" s="33"/>
      <c r="AR65" s="54"/>
      <c r="AS65" s="54"/>
      <c r="AT65" s="54"/>
      <c r="AU65" s="54"/>
      <c r="AV65" s="54"/>
      <c r="AW65" s="54"/>
      <c r="AX65" s="54"/>
      <c r="AY65" s="54"/>
      <c r="AZ65" s="54"/>
      <c r="BA65" s="54"/>
      <c r="BB65" s="54"/>
      <c r="BC65" s="54"/>
      <c r="BD65" s="54" t="s">
        <v>2447</v>
      </c>
      <c r="BE65" s="54"/>
      <c r="BF65" s="54"/>
      <c r="BG65" s="54"/>
      <c r="BH65" s="54"/>
      <c r="BI65" s="54"/>
      <c r="BJ65" s="0"/>
      <c r="BK65" s="0"/>
      <c r="BL65" s="0"/>
      <c r="BM65" s="0"/>
      <c r="BN65" s="0"/>
      <c r="BO65" s="0"/>
      <c r="BP65"/>
      <c r="BQ65"/>
      <c r="BR65"/>
      <c r="BS65"/>
      <c r="BT65"/>
      <c r="BU65"/>
      <c r="BV65"/>
      <c r="BW65"/>
      <c r="BX65"/>
      <c r="BY65"/>
      <c r="BZ65"/>
      <c r="CA65"/>
      <c r="CB65"/>
    </row>
    <row r="66" ht="15.0" customHeight="true">
      <c r="A66" s="51" t="s">
        <v>2448</v>
      </c>
      <c r="B66" s="33"/>
      <c r="C66" s="33" t="s">
        <v>3005</v>
      </c>
      <c r="D66" s="33"/>
      <c r="E66" s="33" t="s">
        <v>3006</v>
      </c>
      <c r="F66" s="33"/>
      <c r="G66" s="55" t="s">
        <v>3007</v>
      </c>
      <c r="H66" s="33"/>
      <c r="I66" s="51" t="s">
        <v>3008</v>
      </c>
      <c r="J66" s="33"/>
      <c r="K66" s="51" t="s">
        <v>3009</v>
      </c>
      <c r="L66" s="33" t="s">
        <v>2454</v>
      </c>
      <c r="M66" s="55" t="s">
        <v>3010</v>
      </c>
      <c r="N66" s="55" t="s">
        <v>3011</v>
      </c>
      <c r="O66" s="33" t="s">
        <v>2272</v>
      </c>
      <c r="P66" s="33" t="s">
        <v>2251</v>
      </c>
      <c r="Q66" s="33"/>
      <c r="R66" s="33" t="s">
        <v>2263</v>
      </c>
      <c r="S66" s="56" t="s">
        <v>2277</v>
      </c>
      <c r="T66" s="56"/>
      <c r="U66" s="56"/>
      <c r="V66" s="33" t="s">
        <v>2456</v>
      </c>
      <c r="W66" s="94" t="s">
        <v>2457</v>
      </c>
      <c r="X66" s="94" t="s">
        <v>2458</v>
      </c>
      <c r="Y66" s="51"/>
      <c r="Z66" s="51"/>
      <c r="AA66" s="33" t="s">
        <v>2459</v>
      </c>
      <c r="AB66" s="33" t="s">
        <v>2460</v>
      </c>
      <c r="AC66" s="33"/>
      <c r="AD66" s="33" t="s">
        <v>2254</v>
      </c>
      <c r="AE66" s="33"/>
      <c r="AF66" s="33" t="s">
        <v>2267</v>
      </c>
      <c r="AG66" s="33" t="s">
        <v>2461</v>
      </c>
      <c r="AH66" s="33"/>
      <c r="AI66" s="33"/>
      <c r="AJ66" s="33" t="s">
        <v>3012</v>
      </c>
      <c r="AK66" s="94"/>
      <c r="AL66" s="33" t="s">
        <v>3013</v>
      </c>
      <c r="AM66" s="33"/>
      <c r="AN66" s="33" t="s">
        <v>2465</v>
      </c>
      <c r="AO66" s="51" t="s">
        <v>2489</v>
      </c>
      <c r="AP66" s="51" t="s">
        <v>207</v>
      </c>
      <c r="AQ66" s="33"/>
      <c r="AR66" s="54"/>
      <c r="AS66" s="54"/>
      <c r="AT66" s="54"/>
      <c r="AU66" s="54"/>
      <c r="AV66" s="54"/>
      <c r="AW66" s="54"/>
      <c r="AX66" s="54"/>
      <c r="AY66" s="54"/>
      <c r="AZ66" s="54"/>
      <c r="BA66" s="54"/>
      <c r="BB66" s="54"/>
      <c r="BC66" s="54"/>
      <c r="BD66" s="54" t="s">
        <v>2447</v>
      </c>
      <c r="BE66" s="54"/>
      <c r="BF66" s="54"/>
      <c r="BG66" s="54"/>
      <c r="BH66" s="54"/>
      <c r="BI66" s="54"/>
      <c r="BJ66" s="0"/>
      <c r="BK66" s="0"/>
      <c r="BL66" s="0"/>
      <c r="BM66" s="0"/>
      <c r="BN66" s="0"/>
      <c r="BO66" s="0"/>
      <c r="BP66"/>
      <c r="BQ66"/>
      <c r="BR66"/>
      <c r="BS66"/>
      <c r="BT66"/>
      <c r="BU66"/>
      <c r="BV66"/>
      <c r="BW66"/>
      <c r="BX66"/>
      <c r="BY66"/>
      <c r="BZ66"/>
      <c r="CA66"/>
      <c r="CB66"/>
    </row>
    <row r="67" ht="15.0" customHeight="true">
      <c r="A67" s="51" t="s">
        <v>2448</v>
      </c>
      <c r="B67" s="33"/>
      <c r="C67" s="33" t="s">
        <v>2838</v>
      </c>
      <c r="D67" s="33"/>
      <c r="E67" s="33" t="s">
        <v>3014</v>
      </c>
      <c r="F67" s="33"/>
      <c r="G67" s="55" t="s">
        <v>3015</v>
      </c>
      <c r="H67" s="33"/>
      <c r="I67" s="51" t="s">
        <v>3016</v>
      </c>
      <c r="J67" s="33"/>
      <c r="K67" s="51" t="s">
        <v>3017</v>
      </c>
      <c r="L67" s="33" t="s">
        <v>2454</v>
      </c>
      <c r="M67" s="55" t="s">
        <v>3018</v>
      </c>
      <c r="N67" s="55" t="s">
        <v>3019</v>
      </c>
      <c r="O67" s="33" t="s">
        <v>2272</v>
      </c>
      <c r="P67" s="33" t="s">
        <v>2251</v>
      </c>
      <c r="Q67" s="33"/>
      <c r="R67" s="33" t="s">
        <v>2263</v>
      </c>
      <c r="S67" s="56" t="s">
        <v>2277</v>
      </c>
      <c r="T67" s="56"/>
      <c r="U67" s="56"/>
      <c r="V67" s="33" t="s">
        <v>2456</v>
      </c>
      <c r="W67" s="94" t="s">
        <v>2457</v>
      </c>
      <c r="X67" s="94" t="s">
        <v>2458</v>
      </c>
      <c r="Y67" s="51"/>
      <c r="Z67" s="51"/>
      <c r="AA67" s="33" t="s">
        <v>2459</v>
      </c>
      <c r="AB67" s="33" t="s">
        <v>2460</v>
      </c>
      <c r="AC67" s="33"/>
      <c r="AD67" s="33" t="s">
        <v>2254</v>
      </c>
      <c r="AE67" s="33"/>
      <c r="AF67" s="33" t="s">
        <v>2267</v>
      </c>
      <c r="AG67" s="33" t="s">
        <v>2461</v>
      </c>
      <c r="AH67" s="33"/>
      <c r="AI67" s="33"/>
      <c r="AJ67" s="33" t="s">
        <v>3020</v>
      </c>
      <c r="AK67" s="94"/>
      <c r="AL67" s="33" t="s">
        <v>3021</v>
      </c>
      <c r="AM67" s="33" t="s">
        <v>3022</v>
      </c>
      <c r="AN67" s="33" t="s">
        <v>2465</v>
      </c>
      <c r="AO67" s="51" t="s">
        <v>2466</v>
      </c>
      <c r="AP67" s="51" t="s">
        <v>207</v>
      </c>
      <c r="AQ67" s="33"/>
      <c r="AR67" s="54"/>
      <c r="AS67" s="54"/>
      <c r="AT67" s="54"/>
      <c r="AU67" s="54"/>
      <c r="AV67" s="54"/>
      <c r="AW67" s="54"/>
      <c r="AX67" s="54"/>
      <c r="AY67" s="54"/>
      <c r="AZ67" s="54"/>
      <c r="BA67" s="54"/>
      <c r="BB67" s="54"/>
      <c r="BC67" s="54"/>
      <c r="BD67" s="54" t="s">
        <v>2447</v>
      </c>
      <c r="BE67" s="54"/>
      <c r="BF67" s="54"/>
      <c r="BG67" s="54"/>
      <c r="BH67" s="54"/>
      <c r="BI67" s="54"/>
      <c r="BJ67" s="0"/>
      <c r="BK67" s="0"/>
      <c r="BL67" s="0"/>
      <c r="BM67" s="0"/>
      <c r="BN67" s="0"/>
      <c r="BO67" s="0"/>
      <c r="BP67"/>
      <c r="BQ67"/>
      <c r="BR67"/>
      <c r="BS67"/>
      <c r="BT67"/>
      <c r="BU67"/>
      <c r="BV67"/>
      <c r="BW67"/>
      <c r="BX67"/>
      <c r="BY67"/>
      <c r="BZ67"/>
      <c r="CA67"/>
      <c r="CB67"/>
    </row>
    <row r="68" ht="15.0" customHeight="true">
      <c r="A68" s="51" t="s">
        <v>2448</v>
      </c>
      <c r="B68" s="33"/>
      <c r="C68" s="33" t="s">
        <v>3023</v>
      </c>
      <c r="D68" s="33"/>
      <c r="E68" s="33" t="s">
        <v>3014</v>
      </c>
      <c r="F68" s="33"/>
      <c r="G68" s="55" t="s">
        <v>3024</v>
      </c>
      <c r="H68" s="33"/>
      <c r="I68" s="51" t="s">
        <v>3025</v>
      </c>
      <c r="J68" s="33"/>
      <c r="K68" s="51" t="s">
        <v>3026</v>
      </c>
      <c r="L68" s="33" t="s">
        <v>2454</v>
      </c>
      <c r="M68" s="55" t="s">
        <v>3027</v>
      </c>
      <c r="N68" s="55" t="s">
        <v>3027</v>
      </c>
      <c r="O68" s="33" t="s">
        <v>2272</v>
      </c>
      <c r="P68" s="33" t="s">
        <v>2251</v>
      </c>
      <c r="Q68" s="33"/>
      <c r="R68" s="33" t="s">
        <v>2263</v>
      </c>
      <c r="S68" s="56" t="s">
        <v>2277</v>
      </c>
      <c r="T68" s="56"/>
      <c r="U68" s="56"/>
      <c r="V68" s="33" t="s">
        <v>2456</v>
      </c>
      <c r="W68" s="94" t="s">
        <v>2457</v>
      </c>
      <c r="X68" s="94" t="s">
        <v>2458</v>
      </c>
      <c r="Y68" s="51"/>
      <c r="Z68" s="51"/>
      <c r="AA68" s="33" t="s">
        <v>2459</v>
      </c>
      <c r="AB68" s="33" t="s">
        <v>2460</v>
      </c>
      <c r="AC68" s="33"/>
      <c r="AD68" s="33" t="s">
        <v>2254</v>
      </c>
      <c r="AE68" s="33"/>
      <c r="AF68" s="33" t="s">
        <v>2267</v>
      </c>
      <c r="AG68" s="33" t="s">
        <v>2461</v>
      </c>
      <c r="AH68" s="33"/>
      <c r="AI68" s="33"/>
      <c r="AJ68" s="33" t="s">
        <v>3028</v>
      </c>
      <c r="AK68" s="94"/>
      <c r="AL68" s="33" t="s">
        <v>3029</v>
      </c>
      <c r="AM68" s="33" t="s">
        <v>3030</v>
      </c>
      <c r="AN68" s="33" t="s">
        <v>3031</v>
      </c>
      <c r="AO68" s="51" t="s">
        <v>3032</v>
      </c>
      <c r="AP68" s="51" t="s">
        <v>207</v>
      </c>
      <c r="AQ68" s="33"/>
      <c r="AR68" s="54"/>
      <c r="AS68" s="54"/>
      <c r="AT68" s="54"/>
      <c r="AU68" s="54"/>
      <c r="AV68" s="54"/>
      <c r="AW68" s="54"/>
      <c r="AX68" s="54"/>
      <c r="AY68" s="54"/>
      <c r="AZ68" s="54"/>
      <c r="BA68" s="54"/>
      <c r="BB68" s="54"/>
      <c r="BC68" s="54"/>
      <c r="BD68" s="54" t="s">
        <v>2447</v>
      </c>
      <c r="BE68" s="54"/>
      <c r="BF68" s="54"/>
      <c r="BG68" s="54"/>
      <c r="BH68" s="54"/>
      <c r="BI68" s="54"/>
      <c r="BJ68" s="0"/>
      <c r="BK68" s="0"/>
      <c r="BL68" s="0"/>
      <c r="BM68" s="0"/>
      <c r="BN68" s="0"/>
      <c r="BO68" s="0"/>
      <c r="BP68"/>
      <c r="BQ68"/>
      <c r="BR68"/>
      <c r="BS68"/>
      <c r="BT68"/>
      <c r="BU68"/>
      <c r="BV68"/>
      <c r="BW68"/>
      <c r="BX68"/>
      <c r="BY68"/>
      <c r="BZ68"/>
      <c r="CA68"/>
      <c r="CB68"/>
    </row>
    <row r="69" ht="15.0" customHeight="true">
      <c r="A69" s="51" t="s">
        <v>2448</v>
      </c>
      <c r="B69" s="33"/>
      <c r="C69" s="33" t="s">
        <v>2591</v>
      </c>
      <c r="D69" s="33"/>
      <c r="E69" s="33" t="s">
        <v>3033</v>
      </c>
      <c r="F69" s="33"/>
      <c r="G69" s="55" t="s">
        <v>3034</v>
      </c>
      <c r="H69" s="33"/>
      <c r="I69" s="51" t="s">
        <v>3035</v>
      </c>
      <c r="J69" s="33"/>
      <c r="K69" s="51" t="s">
        <v>3036</v>
      </c>
      <c r="L69" s="33" t="s">
        <v>2454</v>
      </c>
      <c r="M69" s="55" t="s">
        <v>3037</v>
      </c>
      <c r="N69" s="55" t="s">
        <v>2937</v>
      </c>
      <c r="O69" s="33" t="s">
        <v>2271</v>
      </c>
      <c r="P69" s="33" t="s">
        <v>2251</v>
      </c>
      <c r="Q69" s="33"/>
      <c r="R69" s="33" t="s">
        <v>2263</v>
      </c>
      <c r="S69" s="56" t="s">
        <v>2277</v>
      </c>
      <c r="T69" s="56"/>
      <c r="U69" s="56"/>
      <c r="V69" s="33" t="s">
        <v>3037</v>
      </c>
      <c r="W69" s="94" t="s">
        <v>2574</v>
      </c>
      <c r="X69" s="94" t="s">
        <v>2474</v>
      </c>
      <c r="Y69" s="51"/>
      <c r="Z69" s="51"/>
      <c r="AA69" s="33" t="s">
        <v>2459</v>
      </c>
      <c r="AB69" s="33" t="s">
        <v>2460</v>
      </c>
      <c r="AC69" s="33" t="s">
        <v>2486</v>
      </c>
      <c r="AD69" s="33" t="s">
        <v>2254</v>
      </c>
      <c r="AE69" s="33"/>
      <c r="AF69" s="33" t="s">
        <v>2267</v>
      </c>
      <c r="AG69" s="33" t="s">
        <v>2461</v>
      </c>
      <c r="AH69" s="33"/>
      <c r="AI69" s="33"/>
      <c r="AJ69" s="33" t="s">
        <v>3038</v>
      </c>
      <c r="AK69" s="94"/>
      <c r="AL69" s="33" t="s">
        <v>3039</v>
      </c>
      <c r="AM69" s="33" t="s">
        <v>3040</v>
      </c>
      <c r="AN69" s="33" t="s">
        <v>2465</v>
      </c>
      <c r="AO69" s="51" t="s">
        <v>2538</v>
      </c>
      <c r="AP69" s="51" t="s">
        <v>207</v>
      </c>
      <c r="AQ69" s="33"/>
      <c r="AR69" s="54"/>
      <c r="AS69" s="54"/>
      <c r="AT69" s="54"/>
      <c r="AU69" s="54"/>
      <c r="AV69" s="54"/>
      <c r="AW69" s="54"/>
      <c r="AX69" s="54"/>
      <c r="AY69" s="54" t="s">
        <v>2269</v>
      </c>
      <c r="AZ69" s="54"/>
      <c r="BA69" s="54"/>
      <c r="BB69" s="54"/>
      <c r="BC69" s="54"/>
      <c r="BD69" s="54" t="s">
        <v>2447</v>
      </c>
      <c r="BE69" s="54"/>
      <c r="BF69" s="54"/>
      <c r="BG69" s="54"/>
      <c r="BH69" s="54"/>
      <c r="BI69" s="54"/>
      <c r="BJ69" s="0"/>
      <c r="BK69" s="0"/>
      <c r="BL69" s="0"/>
      <c r="BM69" s="0"/>
      <c r="BN69" s="0"/>
      <c r="BO69" s="0"/>
      <c r="BP69"/>
      <c r="BQ69"/>
      <c r="BR69"/>
      <c r="BS69"/>
      <c r="BT69"/>
      <c r="BU69"/>
      <c r="BV69"/>
      <c r="BW69"/>
      <c r="BX69"/>
      <c r="BY69"/>
      <c r="BZ69"/>
      <c r="CA69"/>
      <c r="CB69"/>
    </row>
    <row r="70" ht="15.0" customHeight="true">
      <c r="A70" s="51" t="s">
        <v>2448</v>
      </c>
      <c r="B70" s="33"/>
      <c r="C70" s="33" t="s">
        <v>3041</v>
      </c>
      <c r="D70" s="33"/>
      <c r="E70" s="33" t="s">
        <v>3042</v>
      </c>
      <c r="F70" s="33"/>
      <c r="G70" s="55" t="s">
        <v>3043</v>
      </c>
      <c r="H70" s="33"/>
      <c r="I70" s="51" t="s">
        <v>3044</v>
      </c>
      <c r="J70" s="33"/>
      <c r="K70" s="51" t="s">
        <v>3045</v>
      </c>
      <c r="L70" s="33" t="s">
        <v>2454</v>
      </c>
      <c r="M70" s="55" t="s">
        <v>3046</v>
      </c>
      <c r="N70" s="55" t="s">
        <v>3047</v>
      </c>
      <c r="O70" s="33" t="s">
        <v>2272</v>
      </c>
      <c r="P70" s="33" t="s">
        <v>2251</v>
      </c>
      <c r="Q70" s="33"/>
      <c r="R70" s="33" t="s">
        <v>2263</v>
      </c>
      <c r="S70" s="56" t="s">
        <v>2277</v>
      </c>
      <c r="T70" s="56"/>
      <c r="U70" s="56"/>
      <c r="V70" s="33" t="s">
        <v>2456</v>
      </c>
      <c r="W70" s="94" t="s">
        <v>2457</v>
      </c>
      <c r="X70" s="94" t="s">
        <v>2458</v>
      </c>
      <c r="Y70" s="51"/>
      <c r="Z70" s="51"/>
      <c r="AA70" s="33" t="s">
        <v>2459</v>
      </c>
      <c r="AB70" s="33" t="s">
        <v>2460</v>
      </c>
      <c r="AC70" s="33"/>
      <c r="AD70" s="33" t="s">
        <v>2254</v>
      </c>
      <c r="AE70" s="33"/>
      <c r="AF70" s="33" t="s">
        <v>2267</v>
      </c>
      <c r="AG70" s="33" t="s">
        <v>2461</v>
      </c>
      <c r="AH70" s="33"/>
      <c r="AI70" s="33"/>
      <c r="AJ70" s="33" t="s">
        <v>3048</v>
      </c>
      <c r="AK70" s="94"/>
      <c r="AL70" s="33" t="s">
        <v>3049</v>
      </c>
      <c r="AM70" s="33" t="s">
        <v>3050</v>
      </c>
      <c r="AN70" s="33" t="s">
        <v>2465</v>
      </c>
      <c r="AO70" s="51" t="s">
        <v>2548</v>
      </c>
      <c r="AP70" s="51" t="s">
        <v>207</v>
      </c>
      <c r="AQ70" s="33"/>
      <c r="AR70" s="54"/>
      <c r="AS70" s="54"/>
      <c r="AT70" s="54"/>
      <c r="AU70" s="54"/>
      <c r="AV70" s="54"/>
      <c r="AW70" s="54"/>
      <c r="AX70" s="54"/>
      <c r="AY70" s="54"/>
      <c r="AZ70" s="54"/>
      <c r="BA70" s="54"/>
      <c r="BB70" s="54"/>
      <c r="BC70" s="54"/>
      <c r="BD70" s="54" t="s">
        <v>2447</v>
      </c>
      <c r="BE70" s="54"/>
      <c r="BF70" s="54"/>
      <c r="BG70" s="54"/>
      <c r="BH70" s="54"/>
      <c r="BI70" s="54"/>
      <c r="BJ70" s="0"/>
      <c r="BK70" s="0"/>
      <c r="BL70" s="0"/>
      <c r="BM70" s="0"/>
      <c r="BN70" s="0"/>
      <c r="BO70" s="0"/>
      <c r="BP70"/>
      <c r="BQ70"/>
      <c r="BR70"/>
      <c r="BS70"/>
      <c r="BT70"/>
      <c r="BU70"/>
      <c r="BV70"/>
      <c r="BW70"/>
      <c r="BX70"/>
      <c r="BY70"/>
      <c r="BZ70"/>
      <c r="CA70"/>
      <c r="CB70"/>
    </row>
    <row r="71" ht="15.0" customHeight="true">
      <c r="A71" s="51" t="s">
        <v>2448</v>
      </c>
      <c r="B71" s="33"/>
      <c r="C71" s="33" t="s">
        <v>3051</v>
      </c>
      <c r="D71" s="33"/>
      <c r="E71" s="33" t="s">
        <v>3052</v>
      </c>
      <c r="F71" s="33"/>
      <c r="G71" s="55" t="s">
        <v>3053</v>
      </c>
      <c r="H71" s="33"/>
      <c r="I71" s="51" t="s">
        <v>3054</v>
      </c>
      <c r="J71" s="33"/>
      <c r="K71" s="51" t="s">
        <v>3055</v>
      </c>
      <c r="L71" s="33" t="s">
        <v>2454</v>
      </c>
      <c r="M71" s="55" t="s">
        <v>3056</v>
      </c>
      <c r="N71" s="55" t="s">
        <v>3057</v>
      </c>
      <c r="O71" s="33" t="s">
        <v>2272</v>
      </c>
      <c r="P71" s="33" t="s">
        <v>2251</v>
      </c>
      <c r="Q71" s="33"/>
      <c r="R71" s="33" t="s">
        <v>2263</v>
      </c>
      <c r="S71" s="56" t="s">
        <v>2277</v>
      </c>
      <c r="T71" s="56"/>
      <c r="U71" s="56"/>
      <c r="V71" s="33" t="s">
        <v>2456</v>
      </c>
      <c r="W71" s="94" t="s">
        <v>2457</v>
      </c>
      <c r="X71" s="94" t="s">
        <v>2474</v>
      </c>
      <c r="Y71" s="51"/>
      <c r="Z71" s="51"/>
      <c r="AA71" s="33" t="s">
        <v>2459</v>
      </c>
      <c r="AB71" s="33" t="s">
        <v>2460</v>
      </c>
      <c r="AC71" s="33"/>
      <c r="AD71" s="33" t="s">
        <v>2254</v>
      </c>
      <c r="AE71" s="33"/>
      <c r="AF71" s="33" t="s">
        <v>2267</v>
      </c>
      <c r="AG71" s="33" t="s">
        <v>2461</v>
      </c>
      <c r="AH71" s="33"/>
      <c r="AI71" s="33"/>
      <c r="AJ71" s="33" t="s">
        <v>3058</v>
      </c>
      <c r="AK71" s="94"/>
      <c r="AL71" s="33" t="s">
        <v>3059</v>
      </c>
      <c r="AM71" s="33"/>
      <c r="AN71" s="33" t="s">
        <v>2465</v>
      </c>
      <c r="AO71" s="51" t="s">
        <v>2548</v>
      </c>
      <c r="AP71" s="51" t="s">
        <v>207</v>
      </c>
      <c r="AQ71" s="33"/>
      <c r="AR71" s="54"/>
      <c r="AS71" s="54"/>
      <c r="AT71" s="54"/>
      <c r="AU71" s="54"/>
      <c r="AV71" s="54"/>
      <c r="AW71" s="54"/>
      <c r="AX71" s="54"/>
      <c r="AY71" s="54"/>
      <c r="AZ71" s="54"/>
      <c r="BA71" s="54"/>
      <c r="BB71" s="54"/>
      <c r="BC71" s="54"/>
      <c r="BD71" s="54" t="s">
        <v>2447</v>
      </c>
      <c r="BE71" s="54"/>
      <c r="BF71" s="54"/>
      <c r="BG71" s="54"/>
      <c r="BH71" s="54"/>
      <c r="BI71" s="54"/>
      <c r="BJ71" s="0"/>
      <c r="BK71" s="0"/>
      <c r="BL71" s="0"/>
      <c r="BM71" s="0"/>
      <c r="BN71" s="0"/>
      <c r="BO71" s="0"/>
      <c r="BP71"/>
      <c r="BQ71"/>
      <c r="BR71"/>
      <c r="BS71"/>
      <c r="BT71"/>
      <c r="BU71"/>
      <c r="BV71"/>
      <c r="BW71"/>
      <c r="BX71"/>
      <c r="BY71"/>
      <c r="BZ71"/>
      <c r="CA71"/>
      <c r="CB71"/>
    </row>
    <row r="72" ht="15.0" customHeight="true">
      <c r="A72" s="51" t="s">
        <v>2448</v>
      </c>
      <c r="B72" s="33"/>
      <c r="C72" s="33" t="s">
        <v>3060</v>
      </c>
      <c r="D72" s="33"/>
      <c r="E72" s="33" t="s">
        <v>3061</v>
      </c>
      <c r="F72" s="33"/>
      <c r="G72" s="55" t="s">
        <v>3062</v>
      </c>
      <c r="H72" s="33"/>
      <c r="I72" s="51" t="s">
        <v>3063</v>
      </c>
      <c r="J72" s="33"/>
      <c r="K72" s="51" t="s">
        <v>3064</v>
      </c>
      <c r="L72" s="33" t="s">
        <v>2454</v>
      </c>
      <c r="M72" s="55" t="s">
        <v>3065</v>
      </c>
      <c r="N72" s="55" t="s">
        <v>3066</v>
      </c>
      <c r="O72" s="33" t="s">
        <v>2272</v>
      </c>
      <c r="P72" s="33" t="s">
        <v>2251</v>
      </c>
      <c r="Q72" s="33"/>
      <c r="R72" s="33" t="s">
        <v>2263</v>
      </c>
      <c r="S72" s="56" t="s">
        <v>2277</v>
      </c>
      <c r="T72" s="56"/>
      <c r="U72" s="56"/>
      <c r="V72" s="33" t="s">
        <v>2456</v>
      </c>
      <c r="W72" s="94" t="s">
        <v>2457</v>
      </c>
      <c r="X72" s="94" t="s">
        <v>2458</v>
      </c>
      <c r="Y72" s="51"/>
      <c r="Z72" s="51"/>
      <c r="AA72" s="33" t="s">
        <v>2459</v>
      </c>
      <c r="AB72" s="33" t="s">
        <v>2460</v>
      </c>
      <c r="AC72" s="33"/>
      <c r="AD72" s="33" t="s">
        <v>2254</v>
      </c>
      <c r="AE72" s="33"/>
      <c r="AF72" s="33" t="s">
        <v>2267</v>
      </c>
      <c r="AG72" s="33" t="s">
        <v>2461</v>
      </c>
      <c r="AH72" s="33"/>
      <c r="AI72" s="33"/>
      <c r="AJ72" s="33" t="s">
        <v>3067</v>
      </c>
      <c r="AK72" s="94"/>
      <c r="AL72" s="33" t="s">
        <v>3068</v>
      </c>
      <c r="AM72" s="33"/>
      <c r="AN72" s="33" t="s">
        <v>2465</v>
      </c>
      <c r="AO72" s="51" t="s">
        <v>2538</v>
      </c>
      <c r="AP72" s="51" t="s">
        <v>207</v>
      </c>
      <c r="AQ72" s="33"/>
      <c r="AR72" s="54"/>
      <c r="AS72" s="54"/>
      <c r="AT72" s="54"/>
      <c r="AU72" s="54"/>
      <c r="AV72" s="54"/>
      <c r="AW72" s="54"/>
      <c r="AX72" s="54"/>
      <c r="AY72" s="54"/>
      <c r="AZ72" s="54"/>
      <c r="BA72" s="54"/>
      <c r="BB72" s="54"/>
      <c r="BC72" s="54"/>
      <c r="BD72" s="54" t="s">
        <v>2447</v>
      </c>
      <c r="BE72" s="54"/>
      <c r="BF72" s="54"/>
      <c r="BG72" s="54"/>
      <c r="BH72" s="54"/>
      <c r="BI72" s="54"/>
      <c r="BJ72" s="0"/>
      <c r="BK72" s="0"/>
      <c r="BL72" s="0"/>
      <c r="BM72" s="0"/>
      <c r="BN72" s="0"/>
      <c r="BO72" s="0"/>
      <c r="BP72"/>
      <c r="BQ72"/>
      <c r="BR72"/>
      <c r="BS72"/>
      <c r="BT72"/>
      <c r="BU72"/>
      <c r="BV72"/>
      <c r="BW72"/>
      <c r="BX72"/>
      <c r="BY72"/>
      <c r="BZ72"/>
      <c r="CA72"/>
      <c r="CB72"/>
    </row>
    <row r="73" ht="15.0" customHeight="true">
      <c r="A73" s="51" t="s">
        <v>2448</v>
      </c>
      <c r="B73" s="33"/>
      <c r="C73" s="33" t="s">
        <v>3069</v>
      </c>
      <c r="D73" s="33"/>
      <c r="E73" s="33" t="s">
        <v>3070</v>
      </c>
      <c r="F73" s="33"/>
      <c r="G73" s="55" t="s">
        <v>3071</v>
      </c>
      <c r="H73" s="33"/>
      <c r="I73" s="51" t="s">
        <v>3072</v>
      </c>
      <c r="J73" s="33"/>
      <c r="K73" s="51" t="s">
        <v>3073</v>
      </c>
      <c r="L73" s="33" t="s">
        <v>2484</v>
      </c>
      <c r="M73" s="55" t="s">
        <v>3074</v>
      </c>
      <c r="N73" s="55"/>
      <c r="O73" s="33"/>
      <c r="P73" s="33" t="s">
        <v>2251</v>
      </c>
      <c r="Q73" s="33"/>
      <c r="R73" s="33" t="s">
        <v>2263</v>
      </c>
      <c r="S73" s="56" t="s">
        <v>2277</v>
      </c>
      <c r="T73" s="56"/>
      <c r="U73" s="56"/>
      <c r="V73" s="33" t="s">
        <v>2456</v>
      </c>
      <c r="W73" s="94" t="s">
        <v>2457</v>
      </c>
      <c r="X73" s="94" t="s">
        <v>2474</v>
      </c>
      <c r="Y73" s="51"/>
      <c r="Z73" s="51"/>
      <c r="AA73" s="33" t="s">
        <v>2459</v>
      </c>
      <c r="AB73" s="33" t="s">
        <v>2460</v>
      </c>
      <c r="AC73" s="33" t="s">
        <v>2486</v>
      </c>
      <c r="AD73" s="33" t="s">
        <v>2254</v>
      </c>
      <c r="AE73" s="33"/>
      <c r="AF73" s="33" t="s">
        <v>2267</v>
      </c>
      <c r="AG73" s="33" t="s">
        <v>2461</v>
      </c>
      <c r="AH73" s="33"/>
      <c r="AI73" s="33"/>
      <c r="AJ73" s="33" t="s">
        <v>3075</v>
      </c>
      <c r="AK73" s="94"/>
      <c r="AL73" s="33" t="s">
        <v>3076</v>
      </c>
      <c r="AM73" s="33"/>
      <c r="AN73" s="33" t="s">
        <v>2465</v>
      </c>
      <c r="AO73" s="51" t="s">
        <v>2489</v>
      </c>
      <c r="AP73" s="51" t="s">
        <v>207</v>
      </c>
      <c r="AQ73" s="33"/>
      <c r="AR73" s="54"/>
      <c r="AS73" s="54"/>
      <c r="AT73" s="54"/>
      <c r="AU73" s="54"/>
      <c r="AV73" s="54"/>
      <c r="AW73" s="54"/>
      <c r="AX73" s="54"/>
      <c r="AY73" s="54"/>
      <c r="AZ73" s="54"/>
      <c r="BA73" s="54"/>
      <c r="BB73" s="54"/>
      <c r="BC73" s="54"/>
      <c r="BD73" s="54" t="s">
        <v>2447</v>
      </c>
      <c r="BE73" s="54"/>
      <c r="BF73" s="54"/>
      <c r="BG73" s="54"/>
      <c r="BH73" s="54"/>
      <c r="BI73" s="54"/>
      <c r="BJ73" s="0"/>
      <c r="BK73" s="0"/>
      <c r="BL73" s="0"/>
      <c r="BM73" s="0"/>
      <c r="BN73" s="0"/>
      <c r="BO73" s="0"/>
      <c r="BP73"/>
      <c r="BQ73"/>
      <c r="BR73"/>
      <c r="BS73"/>
      <c r="BT73"/>
      <c r="BU73"/>
      <c r="BV73"/>
      <c r="BW73"/>
      <c r="BX73"/>
      <c r="BY73"/>
      <c r="BZ73"/>
      <c r="CA73"/>
      <c r="CB73"/>
    </row>
    <row r="74" ht="15.0" customHeight="true">
      <c r="A74" s="51" t="s">
        <v>2448</v>
      </c>
      <c r="B74" s="33"/>
      <c r="C74" s="33" t="s">
        <v>3077</v>
      </c>
      <c r="D74" s="33"/>
      <c r="E74" s="33" t="s">
        <v>3078</v>
      </c>
      <c r="F74" s="33"/>
      <c r="G74" s="55" t="s">
        <v>3079</v>
      </c>
      <c r="H74" s="33"/>
      <c r="I74" s="51" t="s">
        <v>3080</v>
      </c>
      <c r="J74" s="33"/>
      <c r="K74" s="51" t="s">
        <v>3081</v>
      </c>
      <c r="L74" s="33" t="s">
        <v>2454</v>
      </c>
      <c r="M74" s="55" t="s">
        <v>3082</v>
      </c>
      <c r="N74" s="55" t="s">
        <v>3083</v>
      </c>
      <c r="O74" s="33" t="s">
        <v>2272</v>
      </c>
      <c r="P74" s="33" t="s">
        <v>2251</v>
      </c>
      <c r="Q74" s="33"/>
      <c r="R74" s="33" t="s">
        <v>2263</v>
      </c>
      <c r="S74" s="56" t="s">
        <v>2277</v>
      </c>
      <c r="T74" s="56"/>
      <c r="U74" s="56"/>
      <c r="V74" s="33" t="s">
        <v>2456</v>
      </c>
      <c r="W74" s="94" t="s">
        <v>2457</v>
      </c>
      <c r="X74" s="94" t="s">
        <v>2474</v>
      </c>
      <c r="Y74" s="51"/>
      <c r="Z74" s="51"/>
      <c r="AA74" s="33" t="s">
        <v>2459</v>
      </c>
      <c r="AB74" s="33" t="s">
        <v>2460</v>
      </c>
      <c r="AC74" s="33"/>
      <c r="AD74" s="33" t="s">
        <v>2254</v>
      </c>
      <c r="AE74" s="33"/>
      <c r="AF74" s="33" t="s">
        <v>2267</v>
      </c>
      <c r="AG74" s="33" t="s">
        <v>2461</v>
      </c>
      <c r="AH74" s="33"/>
      <c r="AI74" s="33"/>
      <c r="AJ74" s="33" t="s">
        <v>3084</v>
      </c>
      <c r="AK74" s="94"/>
      <c r="AL74" s="33" t="s">
        <v>3085</v>
      </c>
      <c r="AM74" s="33" t="s">
        <v>3086</v>
      </c>
      <c r="AN74" s="33" t="s">
        <v>2465</v>
      </c>
      <c r="AO74" s="51" t="s">
        <v>2538</v>
      </c>
      <c r="AP74" s="51" t="s">
        <v>207</v>
      </c>
      <c r="AQ74" s="33"/>
      <c r="AR74" s="54"/>
      <c r="AS74" s="54"/>
      <c r="AT74" s="54"/>
      <c r="AU74" s="54"/>
      <c r="AV74" s="54"/>
      <c r="AW74" s="54"/>
      <c r="AX74" s="54"/>
      <c r="AY74" s="54"/>
      <c r="AZ74" s="54"/>
      <c r="BA74" s="54"/>
      <c r="BB74" s="54"/>
      <c r="BC74" s="54"/>
      <c r="BD74" s="54" t="s">
        <v>2447</v>
      </c>
      <c r="BE74" s="54"/>
      <c r="BF74" s="54"/>
      <c r="BG74" s="54"/>
      <c r="BH74" s="54"/>
      <c r="BI74" s="54"/>
      <c r="BJ74" s="0"/>
      <c r="BK74" s="0"/>
      <c r="BL74" s="0"/>
      <c r="BM74" s="0"/>
      <c r="BN74" s="0"/>
      <c r="BO74" s="0"/>
      <c r="BP74"/>
      <c r="BQ74"/>
      <c r="BR74"/>
      <c r="BS74"/>
      <c r="BT74"/>
      <c r="BU74"/>
      <c r="BV74"/>
      <c r="BW74"/>
      <c r="BX74"/>
      <c r="BY74"/>
      <c r="BZ74"/>
      <c r="CA74"/>
      <c r="CB74"/>
    </row>
    <row r="75" ht="15.0" customHeight="true">
      <c r="A75" s="51" t="s">
        <v>2448</v>
      </c>
      <c r="B75" s="33"/>
      <c r="C75" s="33" t="s">
        <v>2988</v>
      </c>
      <c r="D75" s="33"/>
      <c r="E75" s="33" t="s">
        <v>3087</v>
      </c>
      <c r="F75" s="33"/>
      <c r="G75" s="55" t="s">
        <v>3088</v>
      </c>
      <c r="H75" s="33"/>
      <c r="I75" s="51" t="s">
        <v>3089</v>
      </c>
      <c r="J75" s="33"/>
      <c r="K75" s="51" t="s">
        <v>3090</v>
      </c>
      <c r="L75" s="33" t="s">
        <v>2454</v>
      </c>
      <c r="M75" s="55" t="s">
        <v>3091</v>
      </c>
      <c r="N75" s="55" t="s">
        <v>3092</v>
      </c>
      <c r="O75" s="33" t="s">
        <v>2276</v>
      </c>
      <c r="P75" s="33" t="s">
        <v>2251</v>
      </c>
      <c r="Q75" s="33"/>
      <c r="R75" s="33" t="s">
        <v>2263</v>
      </c>
      <c r="S75" s="56" t="s">
        <v>2277</v>
      </c>
      <c r="T75" s="56"/>
      <c r="U75" s="56"/>
      <c r="V75" s="33" t="s">
        <v>3091</v>
      </c>
      <c r="W75" s="94" t="s">
        <v>2574</v>
      </c>
      <c r="X75" s="94" t="s">
        <v>2474</v>
      </c>
      <c r="Y75" s="51"/>
      <c r="Z75" s="51"/>
      <c r="AA75" s="33" t="s">
        <v>2459</v>
      </c>
      <c r="AB75" s="33" t="s">
        <v>2460</v>
      </c>
      <c r="AC75" s="33" t="s">
        <v>2486</v>
      </c>
      <c r="AD75" s="33" t="s">
        <v>2254</v>
      </c>
      <c r="AE75" s="33"/>
      <c r="AF75" s="33" t="s">
        <v>2267</v>
      </c>
      <c r="AG75" s="33" t="s">
        <v>2461</v>
      </c>
      <c r="AH75" s="33"/>
      <c r="AI75" s="33"/>
      <c r="AJ75" s="33" t="s">
        <v>3093</v>
      </c>
      <c r="AK75" s="94"/>
      <c r="AL75" s="33" t="s">
        <v>3094</v>
      </c>
      <c r="AM75" s="33" t="s">
        <v>3095</v>
      </c>
      <c r="AN75" s="33" t="s">
        <v>2465</v>
      </c>
      <c r="AO75" s="51" t="s">
        <v>2489</v>
      </c>
      <c r="AP75" s="51" t="s">
        <v>207</v>
      </c>
      <c r="AQ75" s="33"/>
      <c r="AR75" s="54"/>
      <c r="AS75" s="54"/>
      <c r="AT75" s="54"/>
      <c r="AU75" s="54"/>
      <c r="AV75" s="54"/>
      <c r="AW75" s="54"/>
      <c r="AX75" s="54"/>
      <c r="AY75" s="54" t="s">
        <v>2269</v>
      </c>
      <c r="AZ75" s="54"/>
      <c r="BA75" s="54"/>
      <c r="BB75" s="54"/>
      <c r="BC75" s="54"/>
      <c r="BD75" s="54" t="s">
        <v>2447</v>
      </c>
      <c r="BE75" s="54"/>
      <c r="BF75" s="54"/>
      <c r="BG75" s="54"/>
      <c r="BH75" s="54"/>
      <c r="BI75" s="54"/>
      <c r="BJ75" s="0"/>
      <c r="BK75" s="0"/>
      <c r="BL75" s="0"/>
      <c r="BM75" s="0"/>
      <c r="BN75" s="0"/>
      <c r="BO75" s="0"/>
      <c r="BP75"/>
      <c r="BQ75"/>
      <c r="BR75"/>
      <c r="BS75"/>
      <c r="BT75"/>
      <c r="BU75"/>
      <c r="BV75"/>
      <c r="BW75"/>
      <c r="BX75"/>
      <c r="BY75"/>
      <c r="BZ75"/>
      <c r="CA75"/>
      <c r="CB75"/>
    </row>
    <row r="76" ht="15.0" customHeight="true">
      <c r="A76" s="51" t="s">
        <v>2448</v>
      </c>
      <c r="B76" s="33"/>
      <c r="C76" s="33" t="s">
        <v>2549</v>
      </c>
      <c r="D76" s="33"/>
      <c r="E76" s="33" t="s">
        <v>3096</v>
      </c>
      <c r="F76" s="33"/>
      <c r="G76" s="55" t="s">
        <v>3097</v>
      </c>
      <c r="H76" s="33"/>
      <c r="I76" s="51" t="s">
        <v>3098</v>
      </c>
      <c r="J76" s="33"/>
      <c r="K76" s="51" t="s">
        <v>3099</v>
      </c>
      <c r="L76" s="33" t="s">
        <v>2454</v>
      </c>
      <c r="M76" s="55" t="s">
        <v>3100</v>
      </c>
      <c r="N76" s="55" t="s">
        <v>2868</v>
      </c>
      <c r="O76" s="33" t="s">
        <v>2272</v>
      </c>
      <c r="P76" s="33" t="s">
        <v>2251</v>
      </c>
      <c r="Q76" s="33"/>
      <c r="R76" s="33" t="s">
        <v>2263</v>
      </c>
      <c r="S76" s="56" t="s">
        <v>2277</v>
      </c>
      <c r="T76" s="56"/>
      <c r="U76" s="56"/>
      <c r="V76" s="33" t="s">
        <v>2456</v>
      </c>
      <c r="W76" s="94" t="s">
        <v>2457</v>
      </c>
      <c r="X76" s="94" t="s">
        <v>2458</v>
      </c>
      <c r="Y76" s="51"/>
      <c r="Z76" s="51"/>
      <c r="AA76" s="33" t="s">
        <v>2459</v>
      </c>
      <c r="AB76" s="33" t="s">
        <v>2460</v>
      </c>
      <c r="AC76" s="33"/>
      <c r="AD76" s="33" t="s">
        <v>2254</v>
      </c>
      <c r="AE76" s="33"/>
      <c r="AF76" s="33" t="s">
        <v>2267</v>
      </c>
      <c r="AG76" s="33" t="s">
        <v>2461</v>
      </c>
      <c r="AH76" s="33"/>
      <c r="AI76" s="33"/>
      <c r="AJ76" s="33" t="s">
        <v>3101</v>
      </c>
      <c r="AK76" s="94"/>
      <c r="AL76" s="33" t="s">
        <v>3102</v>
      </c>
      <c r="AM76" s="33"/>
      <c r="AN76" s="33" t="s">
        <v>3103</v>
      </c>
      <c r="AO76" s="51" t="s">
        <v>3104</v>
      </c>
      <c r="AP76" s="51" t="s">
        <v>207</v>
      </c>
      <c r="AQ76" s="33"/>
      <c r="AR76" s="54"/>
      <c r="AS76" s="54"/>
      <c r="AT76" s="54"/>
      <c r="AU76" s="54"/>
      <c r="AV76" s="54"/>
      <c r="AW76" s="54"/>
      <c r="AX76" s="54"/>
      <c r="AY76" s="54"/>
      <c r="AZ76" s="54"/>
      <c r="BA76" s="54"/>
      <c r="BB76" s="54"/>
      <c r="BC76" s="54"/>
      <c r="BD76" s="54" t="s">
        <v>2447</v>
      </c>
      <c r="BE76" s="54"/>
      <c r="BF76" s="54"/>
      <c r="BG76" s="54"/>
      <c r="BH76" s="54"/>
      <c r="BI76" s="54"/>
      <c r="BJ76" s="0"/>
      <c r="BK76" s="0"/>
      <c r="BL76" s="0"/>
      <c r="BM76" s="0"/>
      <c r="BN76" s="0"/>
      <c r="BO76" s="0"/>
      <c r="BP76"/>
      <c r="BQ76"/>
      <c r="BR76"/>
      <c r="BS76"/>
      <c r="BT76"/>
      <c r="BU76"/>
      <c r="BV76"/>
      <c r="BW76"/>
      <c r="BX76"/>
      <c r="BY76"/>
      <c r="BZ76"/>
      <c r="CA76"/>
      <c r="CB76"/>
    </row>
    <row r="77" ht="15.0" customHeight="true">
      <c r="A77" s="51" t="s">
        <v>2448</v>
      </c>
      <c r="B77" s="33"/>
      <c r="C77" s="33" t="s">
        <v>3105</v>
      </c>
      <c r="D77" s="33"/>
      <c r="E77" s="33" t="s">
        <v>3106</v>
      </c>
      <c r="F77" s="33"/>
      <c r="G77" s="55" t="s">
        <v>3107</v>
      </c>
      <c r="H77" s="33"/>
      <c r="I77" s="51" t="s">
        <v>3108</v>
      </c>
      <c r="J77" s="33"/>
      <c r="K77" s="51" t="s">
        <v>3109</v>
      </c>
      <c r="L77" s="33" t="s">
        <v>2484</v>
      </c>
      <c r="M77" s="55" t="s">
        <v>3110</v>
      </c>
      <c r="N77" s="55"/>
      <c r="O77" s="33"/>
      <c r="P77" s="33" t="s">
        <v>2251</v>
      </c>
      <c r="Q77" s="33"/>
      <c r="R77" s="33" t="s">
        <v>2263</v>
      </c>
      <c r="S77" s="56" t="s">
        <v>2277</v>
      </c>
      <c r="T77" s="56"/>
      <c r="U77" s="56"/>
      <c r="V77" s="33" t="s">
        <v>2456</v>
      </c>
      <c r="W77" s="94" t="s">
        <v>2457</v>
      </c>
      <c r="X77" s="94" t="s">
        <v>2474</v>
      </c>
      <c r="Y77" s="51"/>
      <c r="Z77" s="51"/>
      <c r="AA77" s="33" t="s">
        <v>2459</v>
      </c>
      <c r="AB77" s="33" t="s">
        <v>2460</v>
      </c>
      <c r="AC77" s="33" t="s">
        <v>2486</v>
      </c>
      <c r="AD77" s="33" t="s">
        <v>2254</v>
      </c>
      <c r="AE77" s="33"/>
      <c r="AF77" s="33" t="s">
        <v>2267</v>
      </c>
      <c r="AG77" s="33" t="s">
        <v>2461</v>
      </c>
      <c r="AH77" s="33"/>
      <c r="AI77" s="33"/>
      <c r="AJ77" s="33" t="s">
        <v>3111</v>
      </c>
      <c r="AK77" s="94"/>
      <c r="AL77" s="33" t="s">
        <v>3112</v>
      </c>
      <c r="AM77" s="33"/>
      <c r="AN77" s="33" t="s">
        <v>2465</v>
      </c>
      <c r="AO77" s="51" t="s">
        <v>2489</v>
      </c>
      <c r="AP77" s="51" t="s">
        <v>207</v>
      </c>
      <c r="AQ77" s="33"/>
      <c r="AR77" s="54"/>
      <c r="AS77" s="54"/>
      <c r="AT77" s="54"/>
      <c r="AU77" s="54"/>
      <c r="AV77" s="54"/>
      <c r="AW77" s="54"/>
      <c r="AX77" s="54"/>
      <c r="AY77" s="54"/>
      <c r="AZ77" s="54"/>
      <c r="BA77" s="54"/>
      <c r="BB77" s="54"/>
      <c r="BC77" s="54"/>
      <c r="BD77" s="54" t="s">
        <v>2447</v>
      </c>
      <c r="BE77" s="54"/>
      <c r="BF77" s="54"/>
      <c r="BG77" s="54"/>
      <c r="BH77" s="54"/>
      <c r="BI77" s="54"/>
      <c r="BJ77" s="0"/>
      <c r="BK77" s="0"/>
      <c r="BL77" s="0"/>
      <c r="BM77" s="0"/>
      <c r="BN77" s="0"/>
      <c r="BO77" s="0"/>
      <c r="BP77"/>
      <c r="BQ77"/>
      <c r="BR77"/>
      <c r="BS77"/>
      <c r="BT77"/>
      <c r="BU77"/>
      <c r="BV77"/>
      <c r="BW77"/>
      <c r="BX77"/>
      <c r="BY77"/>
      <c r="BZ77"/>
      <c r="CA77"/>
      <c r="CB77"/>
    </row>
    <row r="78" ht="15.0" customHeight="true">
      <c r="A78" s="51" t="s">
        <v>2448</v>
      </c>
      <c r="B78" s="33"/>
      <c r="C78" s="33" t="s">
        <v>3113</v>
      </c>
      <c r="D78" s="33"/>
      <c r="E78" s="33" t="s">
        <v>3114</v>
      </c>
      <c r="F78" s="33"/>
      <c r="G78" s="55" t="s">
        <v>3115</v>
      </c>
      <c r="H78" s="33"/>
      <c r="I78" s="51" t="s">
        <v>3116</v>
      </c>
      <c r="J78" s="33"/>
      <c r="K78" s="51" t="s">
        <v>3117</v>
      </c>
      <c r="L78" s="33" t="s">
        <v>2454</v>
      </c>
      <c r="M78" s="55" t="s">
        <v>3118</v>
      </c>
      <c r="N78" s="55" t="s">
        <v>3119</v>
      </c>
      <c r="O78" s="33" t="s">
        <v>2272</v>
      </c>
      <c r="P78" s="33" t="s">
        <v>2251</v>
      </c>
      <c r="Q78" s="33"/>
      <c r="R78" s="33" t="s">
        <v>2263</v>
      </c>
      <c r="S78" s="56" t="s">
        <v>2277</v>
      </c>
      <c r="T78" s="56"/>
      <c r="U78" s="56"/>
      <c r="V78" s="33" t="s">
        <v>2456</v>
      </c>
      <c r="W78" s="94" t="s">
        <v>2457</v>
      </c>
      <c r="X78" s="94" t="s">
        <v>2474</v>
      </c>
      <c r="Y78" s="51"/>
      <c r="Z78" s="51"/>
      <c r="AA78" s="33" t="s">
        <v>2459</v>
      </c>
      <c r="AB78" s="33" t="s">
        <v>2460</v>
      </c>
      <c r="AC78" s="33"/>
      <c r="AD78" s="33" t="s">
        <v>2254</v>
      </c>
      <c r="AE78" s="33"/>
      <c r="AF78" s="33" t="s">
        <v>2267</v>
      </c>
      <c r="AG78" s="33" t="s">
        <v>2461</v>
      </c>
      <c r="AH78" s="33"/>
      <c r="AI78" s="33"/>
      <c r="AJ78" s="33" t="s">
        <v>3120</v>
      </c>
      <c r="AK78" s="94"/>
      <c r="AL78" s="33" t="s">
        <v>3121</v>
      </c>
      <c r="AM78" s="33"/>
      <c r="AN78" s="33" t="s">
        <v>3122</v>
      </c>
      <c r="AO78" s="51" t="s">
        <v>3123</v>
      </c>
      <c r="AP78" s="51" t="s">
        <v>207</v>
      </c>
      <c r="AQ78" s="33"/>
      <c r="AR78" s="54"/>
      <c r="AS78" s="54"/>
      <c r="AT78" s="54"/>
      <c r="AU78" s="54"/>
      <c r="AV78" s="54"/>
      <c r="AW78" s="54"/>
      <c r="AX78" s="54"/>
      <c r="AY78" s="54"/>
      <c r="AZ78" s="54"/>
      <c r="BA78" s="54"/>
      <c r="BB78" s="54"/>
      <c r="BC78" s="54"/>
      <c r="BD78" s="54" t="s">
        <v>2447</v>
      </c>
      <c r="BE78" s="54"/>
      <c r="BF78" s="54"/>
      <c r="BG78" s="54"/>
      <c r="BH78" s="54"/>
      <c r="BI78" s="54"/>
      <c r="BJ78" s="0"/>
      <c r="BK78" s="0"/>
      <c r="BL78" s="0"/>
      <c r="BM78" s="0"/>
      <c r="BN78" s="0"/>
      <c r="BO78" s="0"/>
      <c r="BP78"/>
      <c r="BQ78"/>
      <c r="BR78"/>
      <c r="BS78"/>
      <c r="BT78"/>
      <c r="BU78"/>
      <c r="BV78"/>
      <c r="BW78"/>
      <c r="BX78"/>
      <c r="BY78"/>
      <c r="BZ78"/>
      <c r="CA78"/>
      <c r="CB78"/>
    </row>
    <row r="79" ht="15.0" customHeight="true">
      <c r="A79" s="51" t="s">
        <v>2448</v>
      </c>
      <c r="B79" s="33"/>
      <c r="C79" s="33" t="s">
        <v>3124</v>
      </c>
      <c r="D79" s="33"/>
      <c r="E79" s="33" t="s">
        <v>3125</v>
      </c>
      <c r="F79" s="33"/>
      <c r="G79" s="55" t="s">
        <v>3126</v>
      </c>
      <c r="H79" s="33"/>
      <c r="I79" s="51" t="s">
        <v>3127</v>
      </c>
      <c r="J79" s="33"/>
      <c r="K79" s="51" t="s">
        <v>3128</v>
      </c>
      <c r="L79" s="33" t="s">
        <v>2484</v>
      </c>
      <c r="M79" s="55" t="s">
        <v>2534</v>
      </c>
      <c r="N79" s="55"/>
      <c r="O79" s="33"/>
      <c r="P79" s="33" t="s">
        <v>2251</v>
      </c>
      <c r="Q79" s="33"/>
      <c r="R79" s="33" t="s">
        <v>2263</v>
      </c>
      <c r="S79" s="56" t="s">
        <v>2277</v>
      </c>
      <c r="T79" s="56"/>
      <c r="U79" s="56"/>
      <c r="V79" s="33" t="s">
        <v>2456</v>
      </c>
      <c r="W79" s="94" t="s">
        <v>2457</v>
      </c>
      <c r="X79" s="94" t="s">
        <v>2474</v>
      </c>
      <c r="Y79" s="51"/>
      <c r="Z79" s="51"/>
      <c r="AA79" s="33" t="s">
        <v>2459</v>
      </c>
      <c r="AB79" s="33" t="s">
        <v>2460</v>
      </c>
      <c r="AC79" s="33" t="s">
        <v>2486</v>
      </c>
      <c r="AD79" s="33" t="s">
        <v>2254</v>
      </c>
      <c r="AE79" s="33"/>
      <c r="AF79" s="33" t="s">
        <v>2267</v>
      </c>
      <c r="AG79" s="33" t="s">
        <v>2461</v>
      </c>
      <c r="AH79" s="33"/>
      <c r="AI79" s="33"/>
      <c r="AJ79" s="33" t="s">
        <v>3129</v>
      </c>
      <c r="AK79" s="94"/>
      <c r="AL79" s="33" t="s">
        <v>3130</v>
      </c>
      <c r="AM79" s="33" t="s">
        <v>3040</v>
      </c>
      <c r="AN79" s="33" t="s">
        <v>2465</v>
      </c>
      <c r="AO79" s="51" t="s">
        <v>2466</v>
      </c>
      <c r="AP79" s="51" t="s">
        <v>207</v>
      </c>
      <c r="AQ79" s="33"/>
      <c r="AR79" s="54"/>
      <c r="AS79" s="54"/>
      <c r="AT79" s="54"/>
      <c r="AU79" s="54"/>
      <c r="AV79" s="54"/>
      <c r="AW79" s="54"/>
      <c r="AX79" s="54"/>
      <c r="AY79" s="54"/>
      <c r="AZ79" s="54"/>
      <c r="BA79" s="54"/>
      <c r="BB79" s="54"/>
      <c r="BC79" s="54"/>
      <c r="BD79" s="54" t="s">
        <v>2447</v>
      </c>
      <c r="BE79" s="54"/>
      <c r="BF79" s="54"/>
      <c r="BG79" s="54"/>
      <c r="BH79" s="54"/>
      <c r="BI79" s="54"/>
      <c r="BJ79" s="0"/>
      <c r="BK79" s="0"/>
      <c r="BL79" s="0"/>
      <c r="BM79" s="0"/>
      <c r="BN79" s="0"/>
      <c r="BO79" s="0"/>
      <c r="BP79"/>
      <c r="BQ79"/>
      <c r="BR79"/>
      <c r="BS79"/>
      <c r="BT79"/>
      <c r="BU79"/>
      <c r="BV79"/>
      <c r="BW79"/>
      <c r="BX79"/>
      <c r="BY79"/>
      <c r="BZ79"/>
      <c r="CA79"/>
      <c r="CB79"/>
    </row>
    <row r="80" ht="15.0" customHeight="true">
      <c r="A80" s="51" t="s">
        <v>2448</v>
      </c>
      <c r="B80" s="33"/>
      <c r="C80" s="33" t="s">
        <v>3131</v>
      </c>
      <c r="D80" s="33"/>
      <c r="E80" s="33" t="s">
        <v>3132</v>
      </c>
      <c r="F80" s="33"/>
      <c r="G80" s="55" t="s">
        <v>3115</v>
      </c>
      <c r="H80" s="33"/>
      <c r="I80" s="51" t="s">
        <v>3133</v>
      </c>
      <c r="J80" s="33"/>
      <c r="K80" s="51" t="s">
        <v>3134</v>
      </c>
      <c r="L80" s="33" t="s">
        <v>2454</v>
      </c>
      <c r="M80" s="55" t="s">
        <v>2495</v>
      </c>
      <c r="N80" s="55" t="s">
        <v>2495</v>
      </c>
      <c r="O80" s="33" t="s">
        <v>2272</v>
      </c>
      <c r="P80" s="33" t="s">
        <v>2251</v>
      </c>
      <c r="Q80" s="33"/>
      <c r="R80" s="33" t="s">
        <v>2263</v>
      </c>
      <c r="S80" s="56" t="s">
        <v>2277</v>
      </c>
      <c r="T80" s="56"/>
      <c r="U80" s="56"/>
      <c r="V80" s="33" t="s">
        <v>2456</v>
      </c>
      <c r="W80" s="94" t="s">
        <v>2457</v>
      </c>
      <c r="X80" s="94" t="s">
        <v>2474</v>
      </c>
      <c r="Y80" s="51"/>
      <c r="Z80" s="51"/>
      <c r="AA80" s="33" t="s">
        <v>2459</v>
      </c>
      <c r="AB80" s="33" t="s">
        <v>2460</v>
      </c>
      <c r="AC80" s="33"/>
      <c r="AD80" s="33" t="s">
        <v>2254</v>
      </c>
      <c r="AE80" s="33"/>
      <c r="AF80" s="33" t="s">
        <v>2267</v>
      </c>
      <c r="AG80" s="33" t="s">
        <v>2461</v>
      </c>
      <c r="AH80" s="33"/>
      <c r="AI80" s="33"/>
      <c r="AJ80" s="33" t="s">
        <v>3135</v>
      </c>
      <c r="AK80" s="94"/>
      <c r="AL80" s="33" t="s">
        <v>3136</v>
      </c>
      <c r="AM80" s="33"/>
      <c r="AN80" s="33" t="s">
        <v>2465</v>
      </c>
      <c r="AO80" s="51" t="s">
        <v>2489</v>
      </c>
      <c r="AP80" s="51" t="s">
        <v>207</v>
      </c>
      <c r="AQ80" s="33"/>
      <c r="AR80" s="54"/>
      <c r="AS80" s="54"/>
      <c r="AT80" s="54"/>
      <c r="AU80" s="54"/>
      <c r="AV80" s="54"/>
      <c r="AW80" s="54"/>
      <c r="AX80" s="54"/>
      <c r="AY80" s="54"/>
      <c r="AZ80" s="54"/>
      <c r="BA80" s="54"/>
      <c r="BB80" s="54"/>
      <c r="BC80" s="54"/>
      <c r="BD80" s="54" t="s">
        <v>2447</v>
      </c>
      <c r="BE80" s="54"/>
      <c r="BF80" s="54"/>
      <c r="BG80" s="54"/>
      <c r="BH80" s="54"/>
      <c r="BI80" s="54"/>
      <c r="BJ80" s="0"/>
      <c r="BK80" s="0"/>
      <c r="BL80" s="0"/>
      <c r="BM80" s="0"/>
      <c r="BN80" s="0"/>
      <c r="BO80" s="0"/>
      <c r="BP80"/>
      <c r="BQ80"/>
      <c r="BR80"/>
      <c r="BS80"/>
      <c r="BT80"/>
      <c r="BU80"/>
      <c r="BV80"/>
      <c r="BW80"/>
      <c r="BX80"/>
      <c r="BY80"/>
      <c r="BZ80"/>
      <c r="CA80"/>
      <c r="CB80"/>
    </row>
    <row r="81" ht="15.0" customHeight="true">
      <c r="A81" s="51" t="s">
        <v>2448</v>
      </c>
      <c r="B81" s="33"/>
      <c r="C81" s="33" t="s">
        <v>3137</v>
      </c>
      <c r="D81" s="33"/>
      <c r="E81" s="33" t="s">
        <v>3138</v>
      </c>
      <c r="F81" s="33"/>
      <c r="G81" s="55" t="s">
        <v>3139</v>
      </c>
      <c r="H81" s="33"/>
      <c r="I81" s="51" t="s">
        <v>3140</v>
      </c>
      <c r="J81" s="33"/>
      <c r="K81" s="51" t="s">
        <v>3141</v>
      </c>
      <c r="L81" s="33" t="s">
        <v>2454</v>
      </c>
      <c r="M81" s="55" t="s">
        <v>3142</v>
      </c>
      <c r="N81" s="55" t="s">
        <v>3143</v>
      </c>
      <c r="O81" s="33" t="s">
        <v>2272</v>
      </c>
      <c r="P81" s="33" t="s">
        <v>2251</v>
      </c>
      <c r="Q81" s="33"/>
      <c r="R81" s="33" t="s">
        <v>2263</v>
      </c>
      <c r="S81" s="56" t="s">
        <v>2277</v>
      </c>
      <c r="T81" s="56"/>
      <c r="U81" s="56"/>
      <c r="V81" s="33" t="s">
        <v>2456</v>
      </c>
      <c r="W81" s="94" t="s">
        <v>2457</v>
      </c>
      <c r="X81" s="94" t="s">
        <v>2458</v>
      </c>
      <c r="Y81" s="51"/>
      <c r="Z81" s="51"/>
      <c r="AA81" s="33" t="s">
        <v>2459</v>
      </c>
      <c r="AB81" s="33" t="s">
        <v>2460</v>
      </c>
      <c r="AC81" s="33"/>
      <c r="AD81" s="33" t="s">
        <v>2254</v>
      </c>
      <c r="AE81" s="33"/>
      <c r="AF81" s="33" t="s">
        <v>2267</v>
      </c>
      <c r="AG81" s="33" t="s">
        <v>2461</v>
      </c>
      <c r="AH81" s="33"/>
      <c r="AI81" s="33"/>
      <c r="AJ81" s="33" t="s">
        <v>3144</v>
      </c>
      <c r="AK81" s="94"/>
      <c r="AL81" s="33" t="s">
        <v>3145</v>
      </c>
      <c r="AM81" s="33"/>
      <c r="AN81" s="33" t="s">
        <v>2465</v>
      </c>
      <c r="AO81" s="51" t="s">
        <v>2538</v>
      </c>
      <c r="AP81" s="51" t="s">
        <v>207</v>
      </c>
      <c r="AQ81" s="33"/>
      <c r="AR81" s="54"/>
      <c r="AS81" s="54"/>
      <c r="AT81" s="54"/>
      <c r="AU81" s="54"/>
      <c r="AV81" s="54"/>
      <c r="AW81" s="54"/>
      <c r="AX81" s="54"/>
      <c r="AY81" s="54"/>
      <c r="AZ81" s="54"/>
      <c r="BA81" s="54"/>
      <c r="BB81" s="54"/>
      <c r="BC81" s="54"/>
      <c r="BD81" s="54" t="s">
        <v>2447</v>
      </c>
      <c r="BE81" s="54"/>
      <c r="BF81" s="54"/>
      <c r="BG81" s="54"/>
      <c r="BH81" s="54"/>
      <c r="BI81" s="54"/>
      <c r="BJ81" s="0"/>
      <c r="BK81" s="0"/>
      <c r="BL81" s="0"/>
      <c r="BM81" s="0"/>
      <c r="BN81" s="0"/>
      <c r="BO81" s="0"/>
      <c r="BP81"/>
      <c r="BQ81"/>
      <c r="BR81"/>
      <c r="BS81"/>
      <c r="BT81"/>
      <c r="BU81"/>
      <c r="BV81"/>
      <c r="BW81"/>
      <c r="BX81"/>
      <c r="BY81"/>
      <c r="BZ81"/>
      <c r="CA81"/>
      <c r="CB81"/>
    </row>
    <row r="82" ht="15.0" customHeight="true">
      <c r="A82" s="51" t="s">
        <v>2448</v>
      </c>
      <c r="B82" s="33"/>
      <c r="C82" s="33" t="s">
        <v>3146</v>
      </c>
      <c r="D82" s="33"/>
      <c r="E82" s="33" t="s">
        <v>3147</v>
      </c>
      <c r="F82" s="33"/>
      <c r="G82" s="55" t="s">
        <v>3148</v>
      </c>
      <c r="H82" s="33"/>
      <c r="I82" s="51" t="s">
        <v>3149</v>
      </c>
      <c r="J82" s="33"/>
      <c r="K82" s="51" t="s">
        <v>3150</v>
      </c>
      <c r="L82" s="33" t="s">
        <v>2454</v>
      </c>
      <c r="M82" s="55" t="s">
        <v>3151</v>
      </c>
      <c r="N82" s="55" t="s">
        <v>3152</v>
      </c>
      <c r="O82" s="33" t="s">
        <v>2272</v>
      </c>
      <c r="P82" s="33" t="s">
        <v>2251</v>
      </c>
      <c r="Q82" s="33"/>
      <c r="R82" s="33" t="s">
        <v>2263</v>
      </c>
      <c r="S82" s="56" t="s">
        <v>2277</v>
      </c>
      <c r="T82" s="56"/>
      <c r="U82" s="56"/>
      <c r="V82" s="33" t="s">
        <v>2456</v>
      </c>
      <c r="W82" s="94" t="s">
        <v>2457</v>
      </c>
      <c r="X82" s="94" t="s">
        <v>2458</v>
      </c>
      <c r="Y82" s="51"/>
      <c r="Z82" s="51"/>
      <c r="AA82" s="33" t="s">
        <v>2459</v>
      </c>
      <c r="AB82" s="33" t="s">
        <v>2460</v>
      </c>
      <c r="AC82" s="33"/>
      <c r="AD82" s="33" t="s">
        <v>2254</v>
      </c>
      <c r="AE82" s="33"/>
      <c r="AF82" s="33" t="s">
        <v>2267</v>
      </c>
      <c r="AG82" s="33" t="s">
        <v>2461</v>
      </c>
      <c r="AH82" s="33"/>
      <c r="AI82" s="33"/>
      <c r="AJ82" s="33" t="s">
        <v>3153</v>
      </c>
      <c r="AK82" s="94"/>
      <c r="AL82" s="33" t="s">
        <v>3154</v>
      </c>
      <c r="AM82" s="33"/>
      <c r="AN82" s="33" t="s">
        <v>2465</v>
      </c>
      <c r="AO82" s="51" t="s">
        <v>2466</v>
      </c>
      <c r="AP82" s="51" t="s">
        <v>207</v>
      </c>
      <c r="AQ82" s="33"/>
      <c r="AR82" s="54"/>
      <c r="AS82" s="54"/>
      <c r="AT82" s="54"/>
      <c r="AU82" s="54"/>
      <c r="AV82" s="54"/>
      <c r="AW82" s="54"/>
      <c r="AX82" s="54"/>
      <c r="AY82" s="54"/>
      <c r="AZ82" s="54"/>
      <c r="BA82" s="54"/>
      <c r="BB82" s="54"/>
      <c r="BC82" s="54"/>
      <c r="BD82" s="54" t="s">
        <v>2447</v>
      </c>
      <c r="BE82" s="54"/>
      <c r="BF82" s="54"/>
      <c r="BG82" s="54"/>
      <c r="BH82" s="54"/>
      <c r="BI82" s="54"/>
      <c r="BJ82" s="0"/>
      <c r="BK82" s="0"/>
      <c r="BL82" s="0"/>
      <c r="BM82" s="0"/>
      <c r="BN82" s="0"/>
      <c r="BO82" s="0"/>
      <c r="BP82"/>
      <c r="BQ82"/>
      <c r="BR82"/>
      <c r="BS82"/>
      <c r="BT82"/>
      <c r="BU82"/>
      <c r="BV82"/>
      <c r="BW82"/>
      <c r="BX82"/>
      <c r="BY82"/>
      <c r="BZ82"/>
      <c r="CA82"/>
      <c r="CB82"/>
    </row>
    <row r="83" ht="15.0" customHeight="true">
      <c r="A83" s="51" t="s">
        <v>2448</v>
      </c>
      <c r="B83" s="33"/>
      <c r="C83" s="33" t="s">
        <v>2579</v>
      </c>
      <c r="D83" s="33"/>
      <c r="E83" s="33" t="s">
        <v>3155</v>
      </c>
      <c r="F83" s="33"/>
      <c r="G83" s="55" t="s">
        <v>3156</v>
      </c>
      <c r="H83" s="33"/>
      <c r="I83" s="51" t="s">
        <v>3157</v>
      </c>
      <c r="J83" s="33"/>
      <c r="K83" s="51" t="s">
        <v>3158</v>
      </c>
      <c r="L83" s="33" t="s">
        <v>2454</v>
      </c>
      <c r="M83" s="55" t="s">
        <v>2614</v>
      </c>
      <c r="N83" s="55" t="s">
        <v>3159</v>
      </c>
      <c r="O83" s="33" t="s">
        <v>2272</v>
      </c>
      <c r="P83" s="33" t="s">
        <v>2251</v>
      </c>
      <c r="Q83" s="33"/>
      <c r="R83" s="33" t="s">
        <v>2263</v>
      </c>
      <c r="S83" s="56" t="s">
        <v>2277</v>
      </c>
      <c r="T83" s="56"/>
      <c r="U83" s="56"/>
      <c r="V83" s="33" t="s">
        <v>2456</v>
      </c>
      <c r="W83" s="94" t="s">
        <v>2457</v>
      </c>
      <c r="X83" s="94" t="s">
        <v>2458</v>
      </c>
      <c r="Y83" s="51"/>
      <c r="Z83" s="51"/>
      <c r="AA83" s="33" t="s">
        <v>2459</v>
      </c>
      <c r="AB83" s="33" t="s">
        <v>2460</v>
      </c>
      <c r="AC83" s="33"/>
      <c r="AD83" s="33" t="s">
        <v>2254</v>
      </c>
      <c r="AE83" s="33"/>
      <c r="AF83" s="33" t="s">
        <v>2267</v>
      </c>
      <c r="AG83" s="33" t="s">
        <v>2461</v>
      </c>
      <c r="AH83" s="33"/>
      <c r="AI83" s="33"/>
      <c r="AJ83" s="33" t="s">
        <v>3160</v>
      </c>
      <c r="AK83" s="94"/>
      <c r="AL83" s="33" t="s">
        <v>3161</v>
      </c>
      <c r="AM83" s="33"/>
      <c r="AN83" s="33" t="s">
        <v>2465</v>
      </c>
      <c r="AO83" s="51" t="s">
        <v>2489</v>
      </c>
      <c r="AP83" s="51" t="s">
        <v>207</v>
      </c>
      <c r="AQ83" s="33"/>
      <c r="AR83" s="54"/>
      <c r="AS83" s="54"/>
      <c r="AT83" s="54"/>
      <c r="AU83" s="54"/>
      <c r="AV83" s="54"/>
      <c r="AW83" s="54"/>
      <c r="AX83" s="54"/>
      <c r="AY83" s="54"/>
      <c r="AZ83" s="54"/>
      <c r="BA83" s="54"/>
      <c r="BB83" s="54"/>
      <c r="BC83" s="54"/>
      <c r="BD83" s="54" t="s">
        <v>2447</v>
      </c>
      <c r="BE83" s="54"/>
      <c r="BF83" s="54"/>
      <c r="BG83" s="54"/>
      <c r="BH83" s="54"/>
      <c r="BI83" s="54"/>
      <c r="BJ83" s="0"/>
      <c r="BK83" s="0"/>
      <c r="BL83" s="0"/>
      <c r="BM83" s="0"/>
      <c r="BN83" s="0"/>
      <c r="BO83" s="0"/>
      <c r="BP83"/>
      <c r="BQ83"/>
      <c r="BR83"/>
      <c r="BS83"/>
      <c r="BT83"/>
      <c r="BU83"/>
      <c r="BV83"/>
      <c r="BW83"/>
      <c r="BX83"/>
      <c r="BY83"/>
      <c r="BZ83"/>
      <c r="CA83"/>
      <c r="CB83"/>
    </row>
    <row r="84" ht="15.0" customHeight="true">
      <c r="A84" s="51" t="s">
        <v>2448</v>
      </c>
      <c r="B84" s="33"/>
      <c r="C84" s="33" t="s">
        <v>3162</v>
      </c>
      <c r="D84" s="33"/>
      <c r="E84" s="33" t="s">
        <v>3163</v>
      </c>
      <c r="F84" s="33"/>
      <c r="G84" s="55" t="s">
        <v>3164</v>
      </c>
      <c r="H84" s="33"/>
      <c r="I84" s="51" t="s">
        <v>3165</v>
      </c>
      <c r="J84" s="33"/>
      <c r="K84" s="51" t="s">
        <v>3166</v>
      </c>
      <c r="L84" s="33" t="s">
        <v>2454</v>
      </c>
      <c r="M84" s="55" t="s">
        <v>3167</v>
      </c>
      <c r="N84" s="55" t="s">
        <v>3168</v>
      </c>
      <c r="O84" s="33" t="s">
        <v>2272</v>
      </c>
      <c r="P84" s="33" t="s">
        <v>2251</v>
      </c>
      <c r="Q84" s="33"/>
      <c r="R84" s="33" t="s">
        <v>2263</v>
      </c>
      <c r="S84" s="56" t="s">
        <v>2277</v>
      </c>
      <c r="T84" s="56"/>
      <c r="U84" s="56"/>
      <c r="V84" s="33" t="s">
        <v>2456</v>
      </c>
      <c r="W84" s="94" t="s">
        <v>2457</v>
      </c>
      <c r="X84" s="94" t="s">
        <v>2458</v>
      </c>
      <c r="Y84" s="51"/>
      <c r="Z84" s="51"/>
      <c r="AA84" s="33" t="s">
        <v>2459</v>
      </c>
      <c r="AB84" s="33" t="s">
        <v>2460</v>
      </c>
      <c r="AC84" s="33"/>
      <c r="AD84" s="33" t="s">
        <v>2254</v>
      </c>
      <c r="AE84" s="33"/>
      <c r="AF84" s="33" t="s">
        <v>2267</v>
      </c>
      <c r="AG84" s="33" t="s">
        <v>2461</v>
      </c>
      <c r="AH84" s="33"/>
      <c r="AI84" s="33"/>
      <c r="AJ84" s="33" t="s">
        <v>3169</v>
      </c>
      <c r="AK84" s="94"/>
      <c r="AL84" s="33" t="s">
        <v>3170</v>
      </c>
      <c r="AM84" s="33"/>
      <c r="AN84" s="33" t="s">
        <v>2465</v>
      </c>
      <c r="AO84" s="51" t="s">
        <v>2489</v>
      </c>
      <c r="AP84" s="51" t="s">
        <v>207</v>
      </c>
      <c r="AQ84" s="33"/>
      <c r="AR84" s="54"/>
      <c r="AS84" s="54"/>
      <c r="AT84" s="54"/>
      <c r="AU84" s="54"/>
      <c r="AV84" s="54"/>
      <c r="AW84" s="54"/>
      <c r="AX84" s="54"/>
      <c r="AY84" s="54"/>
      <c r="AZ84" s="54"/>
      <c r="BA84" s="54"/>
      <c r="BB84" s="54"/>
      <c r="BC84" s="54"/>
      <c r="BD84" s="54" t="s">
        <v>2447</v>
      </c>
      <c r="BE84" s="54"/>
      <c r="BF84" s="54"/>
      <c r="BG84" s="54"/>
      <c r="BH84" s="54"/>
      <c r="BI84" s="54"/>
      <c r="BJ84" s="0"/>
      <c r="BK84" s="0"/>
      <c r="BL84" s="0"/>
      <c r="BM84" s="0"/>
      <c r="BN84" s="0"/>
      <c r="BO84" s="0"/>
      <c r="BP84"/>
      <c r="BQ84"/>
      <c r="BR84"/>
      <c r="BS84"/>
      <c r="BT84"/>
      <c r="BU84"/>
      <c r="BV84"/>
      <c r="BW84"/>
      <c r="BX84"/>
      <c r="BY84"/>
      <c r="BZ84"/>
      <c r="CA84"/>
      <c r="CB84"/>
    </row>
    <row r="85" ht="15.0" customHeight="true">
      <c r="A85" s="51" t="s">
        <v>2448</v>
      </c>
      <c r="B85" s="33"/>
      <c r="C85" s="33" t="s">
        <v>2539</v>
      </c>
      <c r="D85" s="33"/>
      <c r="E85" s="33" t="s">
        <v>3171</v>
      </c>
      <c r="F85" s="33"/>
      <c r="G85" s="55" t="s">
        <v>3172</v>
      </c>
      <c r="H85" s="33"/>
      <c r="I85" s="51" t="s">
        <v>3173</v>
      </c>
      <c r="J85" s="33"/>
      <c r="K85" s="51" t="s">
        <v>3174</v>
      </c>
      <c r="L85" s="33" t="s">
        <v>2484</v>
      </c>
      <c r="M85" s="55" t="s">
        <v>3175</v>
      </c>
      <c r="N85" s="55"/>
      <c r="O85" s="33"/>
      <c r="P85" s="33" t="s">
        <v>2251</v>
      </c>
      <c r="Q85" s="33"/>
      <c r="R85" s="33" t="s">
        <v>2263</v>
      </c>
      <c r="S85" s="56" t="s">
        <v>2277</v>
      </c>
      <c r="T85" s="56"/>
      <c r="U85" s="56"/>
      <c r="V85" s="33" t="s">
        <v>2456</v>
      </c>
      <c r="W85" s="94" t="s">
        <v>2457</v>
      </c>
      <c r="X85" s="94" t="s">
        <v>2474</v>
      </c>
      <c r="Y85" s="51"/>
      <c r="Z85" s="51"/>
      <c r="AA85" s="33" t="s">
        <v>2459</v>
      </c>
      <c r="AB85" s="33" t="s">
        <v>2460</v>
      </c>
      <c r="AC85" s="33" t="s">
        <v>2486</v>
      </c>
      <c r="AD85" s="33" t="s">
        <v>2254</v>
      </c>
      <c r="AE85" s="33"/>
      <c r="AF85" s="33" t="s">
        <v>2267</v>
      </c>
      <c r="AG85" s="33" t="s">
        <v>2461</v>
      </c>
      <c r="AH85" s="33"/>
      <c r="AI85" s="33" t="s">
        <v>3176</v>
      </c>
      <c r="AJ85" s="33" t="s">
        <v>3176</v>
      </c>
      <c r="AK85" s="94" t="s">
        <v>3177</v>
      </c>
      <c r="AL85" s="33" t="s">
        <v>3178</v>
      </c>
      <c r="AM85" s="33"/>
      <c r="AN85" s="33" t="s">
        <v>3179</v>
      </c>
      <c r="AO85" s="51" t="s">
        <v>3180</v>
      </c>
      <c r="AP85" s="51" t="s">
        <v>207</v>
      </c>
      <c r="AQ85" s="33"/>
      <c r="AR85" s="54"/>
      <c r="AS85" s="54"/>
      <c r="AT85" s="54"/>
      <c r="AU85" s="54"/>
      <c r="AV85" s="54"/>
      <c r="AW85" s="54"/>
      <c r="AX85" s="54"/>
      <c r="AY85" s="54"/>
      <c r="AZ85" s="54"/>
      <c r="BA85" s="54"/>
      <c r="BB85" s="54"/>
      <c r="BC85" s="54"/>
      <c r="BD85" s="54" t="s">
        <v>2447</v>
      </c>
      <c r="BE85" s="54"/>
      <c r="BF85" s="54"/>
      <c r="BG85" s="54"/>
      <c r="BH85" s="54"/>
      <c r="BI85" s="54"/>
      <c r="BJ85" s="0"/>
      <c r="BK85" s="0"/>
      <c r="BL85" s="0"/>
      <c r="BM85" s="0"/>
      <c r="BN85" s="0"/>
      <c r="BO85" s="0"/>
      <c r="BP85"/>
      <c r="BQ85"/>
      <c r="BR85"/>
      <c r="BS85"/>
      <c r="BT85"/>
      <c r="BU85"/>
      <c r="BV85"/>
      <c r="BW85"/>
      <c r="BX85"/>
      <c r="BY85"/>
      <c r="BZ85"/>
      <c r="CA85"/>
      <c r="CB85"/>
    </row>
    <row r="86" ht="15.0" customHeight="true">
      <c r="A86" s="51" t="s">
        <v>2448</v>
      </c>
      <c r="B86" s="33"/>
      <c r="C86" s="33" t="s">
        <v>3181</v>
      </c>
      <c r="D86" s="33"/>
      <c r="E86" s="33" t="s">
        <v>3182</v>
      </c>
      <c r="F86" s="33"/>
      <c r="G86" s="55" t="s">
        <v>3183</v>
      </c>
      <c r="H86" s="33"/>
      <c r="I86" s="51" t="s">
        <v>3184</v>
      </c>
      <c r="J86" s="33"/>
      <c r="K86" s="51" t="s">
        <v>3185</v>
      </c>
      <c r="L86" s="33" t="s">
        <v>2454</v>
      </c>
      <c r="M86" s="55" t="s">
        <v>2968</v>
      </c>
      <c r="N86" s="55" t="s">
        <v>3186</v>
      </c>
      <c r="O86" s="33" t="s">
        <v>2272</v>
      </c>
      <c r="P86" s="33" t="s">
        <v>2251</v>
      </c>
      <c r="Q86" s="33"/>
      <c r="R86" s="33" t="s">
        <v>2263</v>
      </c>
      <c r="S86" s="56" t="s">
        <v>2277</v>
      </c>
      <c r="T86" s="56"/>
      <c r="U86" s="56"/>
      <c r="V86" s="33" t="s">
        <v>2456</v>
      </c>
      <c r="W86" s="94" t="s">
        <v>2457</v>
      </c>
      <c r="X86" s="94" t="s">
        <v>2474</v>
      </c>
      <c r="Y86" s="51"/>
      <c r="Z86" s="51"/>
      <c r="AA86" s="33" t="s">
        <v>2459</v>
      </c>
      <c r="AB86" s="33" t="s">
        <v>2460</v>
      </c>
      <c r="AC86" s="33"/>
      <c r="AD86" s="33" t="s">
        <v>2254</v>
      </c>
      <c r="AE86" s="33"/>
      <c r="AF86" s="33" t="s">
        <v>2267</v>
      </c>
      <c r="AG86" s="33" t="s">
        <v>2461</v>
      </c>
      <c r="AH86" s="33"/>
      <c r="AI86" s="33"/>
      <c r="AJ86" s="33" t="s">
        <v>3187</v>
      </c>
      <c r="AK86" s="94"/>
      <c r="AL86" s="33" t="s">
        <v>3188</v>
      </c>
      <c r="AM86" s="33"/>
      <c r="AN86" s="33" t="s">
        <v>2588</v>
      </c>
      <c r="AO86" s="51" t="s">
        <v>2911</v>
      </c>
      <c r="AP86" s="51" t="s">
        <v>207</v>
      </c>
      <c r="AQ86" s="33"/>
      <c r="AR86" s="54"/>
      <c r="AS86" s="54"/>
      <c r="AT86" s="54"/>
      <c r="AU86" s="54"/>
      <c r="AV86" s="54"/>
      <c r="AW86" s="54"/>
      <c r="AX86" s="54"/>
      <c r="AY86" s="54"/>
      <c r="AZ86" s="54"/>
      <c r="BA86" s="54"/>
      <c r="BB86" s="54"/>
      <c r="BC86" s="54"/>
      <c r="BD86" s="54" t="s">
        <v>2447</v>
      </c>
      <c r="BE86" s="54"/>
      <c r="BF86" s="54"/>
      <c r="BG86" s="54"/>
      <c r="BH86" s="54"/>
      <c r="BI86" s="54"/>
      <c r="BJ86" s="0"/>
      <c r="BK86" s="0"/>
      <c r="BL86" s="0"/>
      <c r="BM86" s="0"/>
      <c r="BN86" s="0"/>
      <c r="BO86" s="0"/>
      <c r="BP86"/>
      <c r="BQ86"/>
      <c r="BR86"/>
      <c r="BS86"/>
      <c r="BT86"/>
      <c r="BU86"/>
      <c r="BV86"/>
      <c r="BW86"/>
      <c r="BX86"/>
      <c r="BY86"/>
      <c r="BZ86"/>
      <c r="CA86"/>
      <c r="CB86"/>
    </row>
    <row r="87" ht="15.0" customHeight="true">
      <c r="A87" s="51" t="s">
        <v>2448</v>
      </c>
      <c r="B87" s="33"/>
      <c r="C87" s="33" t="s">
        <v>3189</v>
      </c>
      <c r="D87" s="33"/>
      <c r="E87" s="33" t="s">
        <v>3190</v>
      </c>
      <c r="F87" s="33"/>
      <c r="G87" s="55" t="s">
        <v>3191</v>
      </c>
      <c r="H87" s="33"/>
      <c r="I87" s="51" t="s">
        <v>3192</v>
      </c>
      <c r="J87" s="33"/>
      <c r="K87" s="51" t="s">
        <v>3193</v>
      </c>
      <c r="L87" s="33" t="s">
        <v>2454</v>
      </c>
      <c r="M87" s="55" t="s">
        <v>3194</v>
      </c>
      <c r="N87" s="55" t="s">
        <v>3195</v>
      </c>
      <c r="O87" s="33" t="s">
        <v>2272</v>
      </c>
      <c r="P87" s="33" t="s">
        <v>2251</v>
      </c>
      <c r="Q87" s="33"/>
      <c r="R87" s="33" t="s">
        <v>2263</v>
      </c>
      <c r="S87" s="56" t="s">
        <v>2277</v>
      </c>
      <c r="T87" s="56"/>
      <c r="U87" s="56"/>
      <c r="V87" s="33" t="s">
        <v>2456</v>
      </c>
      <c r="W87" s="94" t="s">
        <v>2457</v>
      </c>
      <c r="X87" s="94" t="s">
        <v>2458</v>
      </c>
      <c r="Y87" s="51"/>
      <c r="Z87" s="51"/>
      <c r="AA87" s="33" t="s">
        <v>2459</v>
      </c>
      <c r="AB87" s="33" t="s">
        <v>2460</v>
      </c>
      <c r="AC87" s="33"/>
      <c r="AD87" s="33" t="s">
        <v>2254</v>
      </c>
      <c r="AE87" s="33"/>
      <c r="AF87" s="33" t="s">
        <v>2267</v>
      </c>
      <c r="AG87" s="33" t="s">
        <v>2461</v>
      </c>
      <c r="AH87" s="33"/>
      <c r="AI87" s="33"/>
      <c r="AJ87" s="33" t="s">
        <v>3196</v>
      </c>
      <c r="AK87" s="94"/>
      <c r="AL87" s="33" t="s">
        <v>3197</v>
      </c>
      <c r="AM87" s="33"/>
      <c r="AN87" s="33" t="s">
        <v>2465</v>
      </c>
      <c r="AO87" s="51" t="s">
        <v>2548</v>
      </c>
      <c r="AP87" s="51" t="s">
        <v>207</v>
      </c>
      <c r="AQ87" s="33"/>
      <c r="AR87" s="54"/>
      <c r="AS87" s="54"/>
      <c r="AT87" s="54"/>
      <c r="AU87" s="54"/>
      <c r="AV87" s="54"/>
      <c r="AW87" s="54"/>
      <c r="AX87" s="54"/>
      <c r="AY87" s="54"/>
      <c r="AZ87" s="54"/>
      <c r="BA87" s="54"/>
      <c r="BB87" s="54"/>
      <c r="BC87" s="54"/>
      <c r="BD87" s="54" t="s">
        <v>2447</v>
      </c>
      <c r="BE87" s="54"/>
      <c r="BF87" s="54"/>
      <c r="BG87" s="54"/>
      <c r="BH87" s="54"/>
      <c r="BI87" s="54"/>
      <c r="BJ87" s="0"/>
      <c r="BK87" s="0"/>
      <c r="BL87" s="0"/>
      <c r="BM87" s="0"/>
      <c r="BN87" s="0"/>
      <c r="BO87" s="0"/>
      <c r="BP87"/>
      <c r="BQ87"/>
      <c r="BR87"/>
      <c r="BS87"/>
      <c r="BT87"/>
      <c r="BU87"/>
      <c r="BV87"/>
      <c r="BW87"/>
      <c r="BX87"/>
      <c r="BY87"/>
      <c r="BZ87"/>
      <c r="CA87"/>
      <c r="CB87"/>
    </row>
    <row r="88" ht="15.0" customHeight="true">
      <c r="A88" s="51" t="s">
        <v>2448</v>
      </c>
      <c r="B88" s="33"/>
      <c r="C88" s="33" t="s">
        <v>3198</v>
      </c>
      <c r="D88" s="33"/>
      <c r="E88" s="33" t="s">
        <v>3199</v>
      </c>
      <c r="F88" s="33"/>
      <c r="G88" s="55" t="s">
        <v>3200</v>
      </c>
      <c r="H88" s="33"/>
      <c r="I88" s="51" t="s">
        <v>3201</v>
      </c>
      <c r="J88" s="33"/>
      <c r="K88" s="51" t="s">
        <v>3202</v>
      </c>
      <c r="L88" s="33" t="s">
        <v>2454</v>
      </c>
      <c r="M88" s="55" t="s">
        <v>3203</v>
      </c>
      <c r="N88" s="55" t="s">
        <v>3203</v>
      </c>
      <c r="O88" s="33" t="s">
        <v>2272</v>
      </c>
      <c r="P88" s="33" t="s">
        <v>2251</v>
      </c>
      <c r="Q88" s="33"/>
      <c r="R88" s="33" t="s">
        <v>2263</v>
      </c>
      <c r="S88" s="56" t="s">
        <v>2277</v>
      </c>
      <c r="T88" s="56"/>
      <c r="U88" s="56"/>
      <c r="V88" s="33" t="s">
        <v>2456</v>
      </c>
      <c r="W88" s="94" t="s">
        <v>2457</v>
      </c>
      <c r="X88" s="94" t="s">
        <v>2458</v>
      </c>
      <c r="Y88" s="51"/>
      <c r="Z88" s="51"/>
      <c r="AA88" s="33" t="s">
        <v>2459</v>
      </c>
      <c r="AB88" s="33" t="s">
        <v>2460</v>
      </c>
      <c r="AC88" s="33"/>
      <c r="AD88" s="33" t="s">
        <v>2254</v>
      </c>
      <c r="AE88" s="33"/>
      <c r="AF88" s="33" t="s">
        <v>2267</v>
      </c>
      <c r="AG88" s="33" t="s">
        <v>2461</v>
      </c>
      <c r="AH88" s="33"/>
      <c r="AI88" s="33"/>
      <c r="AJ88" s="33" t="s">
        <v>3204</v>
      </c>
      <c r="AK88" s="94"/>
      <c r="AL88" s="33" t="s">
        <v>3205</v>
      </c>
      <c r="AM88" s="33"/>
      <c r="AN88" s="33" t="s">
        <v>2465</v>
      </c>
      <c r="AO88" s="51" t="s">
        <v>2528</v>
      </c>
      <c r="AP88" s="51" t="s">
        <v>207</v>
      </c>
      <c r="AQ88" s="33"/>
      <c r="AR88" s="54"/>
      <c r="AS88" s="54"/>
      <c r="AT88" s="54"/>
      <c r="AU88" s="54"/>
      <c r="AV88" s="54"/>
      <c r="AW88" s="54"/>
      <c r="AX88" s="54"/>
      <c r="AY88" s="54"/>
      <c r="AZ88" s="54"/>
      <c r="BA88" s="54"/>
      <c r="BB88" s="54"/>
      <c r="BC88" s="54"/>
      <c r="BD88" s="54" t="s">
        <v>2447</v>
      </c>
      <c r="BE88" s="54"/>
      <c r="BF88" s="54"/>
      <c r="BG88" s="54"/>
      <c r="BH88" s="54"/>
      <c r="BI88" s="54"/>
      <c r="BJ88" s="0"/>
      <c r="BK88" s="0"/>
      <c r="BL88" s="0"/>
      <c r="BM88" s="0"/>
      <c r="BN88" s="0"/>
      <c r="BO88" s="0"/>
      <c r="BP88"/>
      <c r="BQ88"/>
      <c r="BR88"/>
      <c r="BS88"/>
      <c r="BT88"/>
      <c r="BU88"/>
      <c r="BV88"/>
      <c r="BW88"/>
      <c r="BX88"/>
      <c r="BY88"/>
      <c r="BZ88"/>
      <c r="CA88"/>
      <c r="CB88"/>
    </row>
    <row r="89" ht="15.0" customHeight="true">
      <c r="A89" s="51" t="s">
        <v>2448</v>
      </c>
      <c r="B89" s="33"/>
      <c r="C89" s="33" t="s">
        <v>3206</v>
      </c>
      <c r="D89" s="33"/>
      <c r="E89" s="33" t="s">
        <v>3207</v>
      </c>
      <c r="F89" s="33"/>
      <c r="G89" s="55" t="s">
        <v>3208</v>
      </c>
      <c r="H89" s="33"/>
      <c r="I89" s="51" t="s">
        <v>3209</v>
      </c>
      <c r="J89" s="33"/>
      <c r="K89" s="51" t="s">
        <v>3210</v>
      </c>
      <c r="L89" s="33" t="s">
        <v>2454</v>
      </c>
      <c r="M89" s="55" t="s">
        <v>2927</v>
      </c>
      <c r="N89" s="55" t="s">
        <v>2927</v>
      </c>
      <c r="O89" s="33" t="s">
        <v>2272</v>
      </c>
      <c r="P89" s="33" t="s">
        <v>2251</v>
      </c>
      <c r="Q89" s="33"/>
      <c r="R89" s="33" t="s">
        <v>2263</v>
      </c>
      <c r="S89" s="56" t="s">
        <v>2277</v>
      </c>
      <c r="T89" s="56"/>
      <c r="U89" s="56"/>
      <c r="V89" s="33" t="s">
        <v>2456</v>
      </c>
      <c r="W89" s="94" t="s">
        <v>2457</v>
      </c>
      <c r="X89" s="94" t="s">
        <v>2458</v>
      </c>
      <c r="Y89" s="51"/>
      <c r="Z89" s="51"/>
      <c r="AA89" s="33" t="s">
        <v>2459</v>
      </c>
      <c r="AB89" s="33" t="s">
        <v>2460</v>
      </c>
      <c r="AC89" s="33"/>
      <c r="AD89" s="33" t="s">
        <v>2254</v>
      </c>
      <c r="AE89" s="33"/>
      <c r="AF89" s="33" t="s">
        <v>2267</v>
      </c>
      <c r="AG89" s="33" t="s">
        <v>2461</v>
      </c>
      <c r="AH89" s="33"/>
      <c r="AI89" s="33"/>
      <c r="AJ89" s="33" t="s">
        <v>3211</v>
      </c>
      <c r="AK89" s="94"/>
      <c r="AL89" s="33" t="s">
        <v>3212</v>
      </c>
      <c r="AM89" s="33" t="s">
        <v>3213</v>
      </c>
      <c r="AN89" s="33" t="s">
        <v>2465</v>
      </c>
      <c r="AO89" s="51" t="s">
        <v>2528</v>
      </c>
      <c r="AP89" s="51" t="s">
        <v>207</v>
      </c>
      <c r="AQ89" s="33"/>
      <c r="AR89" s="54"/>
      <c r="AS89" s="54"/>
      <c r="AT89" s="54"/>
      <c r="AU89" s="54"/>
      <c r="AV89" s="54"/>
      <c r="AW89" s="54"/>
      <c r="AX89" s="54"/>
      <c r="AY89" s="54"/>
      <c r="AZ89" s="54"/>
      <c r="BA89" s="54"/>
      <c r="BB89" s="54"/>
      <c r="BC89" s="54"/>
      <c r="BD89" s="54" t="s">
        <v>2447</v>
      </c>
      <c r="BE89" s="54"/>
      <c r="BF89" s="54"/>
      <c r="BG89" s="54"/>
      <c r="BH89" s="54"/>
      <c r="BI89" s="54"/>
      <c r="BJ89" s="0"/>
      <c r="BK89" s="0"/>
      <c r="BL89" s="0"/>
      <c r="BM89" s="0"/>
      <c r="BN89" s="0"/>
      <c r="BO89" s="0"/>
      <c r="BP89"/>
      <c r="BQ89"/>
      <c r="BR89"/>
      <c r="BS89"/>
      <c r="BT89"/>
      <c r="BU89"/>
      <c r="BV89"/>
      <c r="BW89"/>
      <c r="BX89"/>
      <c r="BY89"/>
      <c r="BZ89"/>
      <c r="CA89"/>
      <c r="CB89"/>
    </row>
    <row r="90" ht="15.0" customHeight="true">
      <c r="A90" s="51" t="s">
        <v>2448</v>
      </c>
      <c r="B90" s="33"/>
      <c r="C90" s="33" t="s">
        <v>2591</v>
      </c>
      <c r="D90" s="33"/>
      <c r="E90" s="33" t="s">
        <v>3214</v>
      </c>
      <c r="F90" s="33"/>
      <c r="G90" s="55" t="s">
        <v>3215</v>
      </c>
      <c r="H90" s="33"/>
      <c r="I90" s="51" t="s">
        <v>3216</v>
      </c>
      <c r="J90" s="33"/>
      <c r="K90" s="51" t="s">
        <v>3217</v>
      </c>
      <c r="L90" s="33" t="s">
        <v>2484</v>
      </c>
      <c r="M90" s="55" t="s">
        <v>3175</v>
      </c>
      <c r="N90" s="55"/>
      <c r="O90" s="33"/>
      <c r="P90" s="33" t="s">
        <v>2251</v>
      </c>
      <c r="Q90" s="33"/>
      <c r="R90" s="33" t="s">
        <v>2263</v>
      </c>
      <c r="S90" s="56" t="s">
        <v>2277</v>
      </c>
      <c r="T90" s="56"/>
      <c r="U90" s="56"/>
      <c r="V90" s="33" t="s">
        <v>2456</v>
      </c>
      <c r="W90" s="94" t="s">
        <v>2457</v>
      </c>
      <c r="X90" s="94" t="s">
        <v>2474</v>
      </c>
      <c r="Y90" s="51"/>
      <c r="Z90" s="51"/>
      <c r="AA90" s="33" t="s">
        <v>2459</v>
      </c>
      <c r="AB90" s="33" t="s">
        <v>2460</v>
      </c>
      <c r="AC90" s="33" t="s">
        <v>2486</v>
      </c>
      <c r="AD90" s="33" t="s">
        <v>2254</v>
      </c>
      <c r="AE90" s="33"/>
      <c r="AF90" s="33" t="s">
        <v>2267</v>
      </c>
      <c r="AG90" s="33" t="s">
        <v>2461</v>
      </c>
      <c r="AH90" s="33"/>
      <c r="AI90" s="33"/>
      <c r="AJ90" s="33" t="s">
        <v>3218</v>
      </c>
      <c r="AK90" s="94"/>
      <c r="AL90" s="33" t="s">
        <v>3219</v>
      </c>
      <c r="AM90" s="33"/>
      <c r="AN90" s="33" t="s">
        <v>2465</v>
      </c>
      <c r="AO90" s="51" t="s">
        <v>2548</v>
      </c>
      <c r="AP90" s="51" t="s">
        <v>207</v>
      </c>
      <c r="AQ90" s="33"/>
      <c r="AR90" s="54"/>
      <c r="AS90" s="54"/>
      <c r="AT90" s="54"/>
      <c r="AU90" s="54"/>
      <c r="AV90" s="54"/>
      <c r="AW90" s="54"/>
      <c r="AX90" s="54"/>
      <c r="AY90" s="54"/>
      <c r="AZ90" s="54"/>
      <c r="BA90" s="54"/>
      <c r="BB90" s="54"/>
      <c r="BC90" s="54"/>
      <c r="BD90" s="54" t="s">
        <v>2447</v>
      </c>
      <c r="BE90" s="54"/>
      <c r="BF90" s="54"/>
      <c r="BG90" s="54"/>
      <c r="BH90" s="54"/>
      <c r="BI90" s="54"/>
      <c r="BJ90" s="0"/>
      <c r="BK90" s="0"/>
      <c r="BL90" s="0"/>
      <c r="BM90" s="0"/>
      <c r="BN90" s="0"/>
      <c r="BO90" s="0"/>
      <c r="BP90"/>
      <c r="BQ90"/>
      <c r="BR90"/>
      <c r="BS90"/>
      <c r="BT90"/>
      <c r="BU90"/>
      <c r="BV90"/>
      <c r="BW90"/>
      <c r="BX90"/>
      <c r="BY90"/>
      <c r="BZ90"/>
      <c r="CA90"/>
      <c r="CB90"/>
    </row>
    <row r="91" ht="15.0" customHeight="true">
      <c r="A91" s="51" t="s">
        <v>2448</v>
      </c>
      <c r="B91" s="33"/>
      <c r="C91" s="33" t="s">
        <v>2674</v>
      </c>
      <c r="D91" s="33"/>
      <c r="E91" s="33" t="s">
        <v>3220</v>
      </c>
      <c r="F91" s="33"/>
      <c r="G91" s="55" t="s">
        <v>3221</v>
      </c>
      <c r="H91" s="33"/>
      <c r="I91" s="51" t="s">
        <v>3222</v>
      </c>
      <c r="J91" s="33"/>
      <c r="K91" s="51" t="s">
        <v>3223</v>
      </c>
      <c r="L91" s="33" t="s">
        <v>2454</v>
      </c>
      <c r="M91" s="55" t="s">
        <v>2899</v>
      </c>
      <c r="N91" s="55" t="s">
        <v>3224</v>
      </c>
      <c r="O91" s="33" t="s">
        <v>2272</v>
      </c>
      <c r="P91" s="33" t="s">
        <v>2251</v>
      </c>
      <c r="Q91" s="33"/>
      <c r="R91" s="33" t="s">
        <v>2263</v>
      </c>
      <c r="S91" s="56" t="s">
        <v>2277</v>
      </c>
      <c r="T91" s="56"/>
      <c r="U91" s="56"/>
      <c r="V91" s="33" t="s">
        <v>2456</v>
      </c>
      <c r="W91" s="94" t="s">
        <v>2457</v>
      </c>
      <c r="X91" s="94" t="s">
        <v>2458</v>
      </c>
      <c r="Y91" s="51"/>
      <c r="Z91" s="51"/>
      <c r="AA91" s="33" t="s">
        <v>2459</v>
      </c>
      <c r="AB91" s="33" t="s">
        <v>2460</v>
      </c>
      <c r="AC91" s="33"/>
      <c r="AD91" s="33" t="s">
        <v>2254</v>
      </c>
      <c r="AE91" s="33"/>
      <c r="AF91" s="33" t="s">
        <v>2267</v>
      </c>
      <c r="AG91" s="33" t="s">
        <v>2461</v>
      </c>
      <c r="AH91" s="33"/>
      <c r="AI91" s="33"/>
      <c r="AJ91" s="33" t="s">
        <v>3225</v>
      </c>
      <c r="AK91" s="94"/>
      <c r="AL91" s="33" t="s">
        <v>3226</v>
      </c>
      <c r="AM91" s="33" t="s">
        <v>3227</v>
      </c>
      <c r="AN91" s="33" t="s">
        <v>2465</v>
      </c>
      <c r="AO91" s="51" t="s">
        <v>2489</v>
      </c>
      <c r="AP91" s="51" t="s">
        <v>207</v>
      </c>
      <c r="AQ91" s="33"/>
      <c r="AR91" s="54"/>
      <c r="AS91" s="54"/>
      <c r="AT91" s="54"/>
      <c r="AU91" s="54"/>
      <c r="AV91" s="54"/>
      <c r="AW91" s="54"/>
      <c r="AX91" s="54"/>
      <c r="AY91" s="54"/>
      <c r="AZ91" s="54"/>
      <c r="BA91" s="54"/>
      <c r="BB91" s="54"/>
      <c r="BC91" s="54"/>
      <c r="BD91" s="54" t="s">
        <v>2447</v>
      </c>
      <c r="BE91" s="54"/>
      <c r="BF91" s="54"/>
      <c r="BG91" s="54"/>
      <c r="BH91" s="54"/>
      <c r="BI91" s="54"/>
      <c r="BJ91" s="0"/>
      <c r="BK91" s="0"/>
      <c r="BL91" s="0"/>
      <c r="BM91" s="0"/>
      <c r="BN91" s="0"/>
      <c r="BO91" s="0"/>
      <c r="BP91"/>
      <c r="BQ91"/>
      <c r="BR91"/>
      <c r="BS91"/>
      <c r="BT91"/>
      <c r="BU91"/>
      <c r="BV91"/>
      <c r="BW91"/>
      <c r="BX91"/>
      <c r="BY91"/>
      <c r="BZ91"/>
      <c r="CA91"/>
      <c r="CB91"/>
    </row>
    <row r="92" ht="15.0" customHeight="true">
      <c r="A92" s="51" t="s">
        <v>2448</v>
      </c>
      <c r="B92" s="33"/>
      <c r="C92" s="33" t="s">
        <v>3228</v>
      </c>
      <c r="D92" s="33"/>
      <c r="E92" s="33" t="s">
        <v>3229</v>
      </c>
      <c r="F92" s="33"/>
      <c r="G92" s="55" t="s">
        <v>3230</v>
      </c>
      <c r="H92" s="33"/>
      <c r="I92" s="51" t="s">
        <v>3231</v>
      </c>
      <c r="J92" s="33"/>
      <c r="K92" s="51" t="s">
        <v>3232</v>
      </c>
      <c r="L92" s="33" t="s">
        <v>2484</v>
      </c>
      <c r="M92" s="55" t="s">
        <v>3233</v>
      </c>
      <c r="N92" s="55"/>
      <c r="O92" s="33"/>
      <c r="P92" s="33" t="s">
        <v>2251</v>
      </c>
      <c r="Q92" s="33"/>
      <c r="R92" s="33" t="s">
        <v>2263</v>
      </c>
      <c r="S92" s="56" t="s">
        <v>2277</v>
      </c>
      <c r="T92" s="56"/>
      <c r="U92" s="56"/>
      <c r="V92" s="33" t="s">
        <v>2456</v>
      </c>
      <c r="W92" s="94" t="s">
        <v>2457</v>
      </c>
      <c r="X92" s="94" t="s">
        <v>2474</v>
      </c>
      <c r="Y92" s="51"/>
      <c r="Z92" s="51"/>
      <c r="AA92" s="33" t="s">
        <v>2459</v>
      </c>
      <c r="AB92" s="33" t="s">
        <v>2460</v>
      </c>
      <c r="AC92" s="33" t="s">
        <v>2486</v>
      </c>
      <c r="AD92" s="33" t="s">
        <v>2254</v>
      </c>
      <c r="AE92" s="33"/>
      <c r="AF92" s="33" t="s">
        <v>2267</v>
      </c>
      <c r="AG92" s="33" t="s">
        <v>2461</v>
      </c>
      <c r="AH92" s="33"/>
      <c r="AI92" s="33"/>
      <c r="AJ92" s="33" t="s">
        <v>3234</v>
      </c>
      <c r="AK92" s="94"/>
      <c r="AL92" s="33" t="s">
        <v>3235</v>
      </c>
      <c r="AM92" s="33"/>
      <c r="AN92" s="33" t="s">
        <v>2465</v>
      </c>
      <c r="AO92" s="51" t="s">
        <v>2489</v>
      </c>
      <c r="AP92" s="51" t="s">
        <v>207</v>
      </c>
      <c r="AQ92" s="33"/>
      <c r="AR92" s="54"/>
      <c r="AS92" s="54"/>
      <c r="AT92" s="54"/>
      <c r="AU92" s="54"/>
      <c r="AV92" s="54"/>
      <c r="AW92" s="54"/>
      <c r="AX92" s="54"/>
      <c r="AY92" s="54"/>
      <c r="AZ92" s="54"/>
      <c r="BA92" s="54"/>
      <c r="BB92" s="54"/>
      <c r="BC92" s="54"/>
      <c r="BD92" s="54" t="s">
        <v>2447</v>
      </c>
      <c r="BE92" s="54"/>
      <c r="BF92" s="54"/>
      <c r="BG92" s="54"/>
      <c r="BH92" s="54"/>
      <c r="BI92" s="54"/>
      <c r="BJ92" s="0"/>
      <c r="BK92" s="0"/>
      <c r="BL92" s="0"/>
      <c r="BM92" s="0"/>
      <c r="BN92" s="0"/>
      <c r="BO92" s="0"/>
      <c r="BP92"/>
      <c r="BQ92"/>
      <c r="BR92"/>
      <c r="BS92"/>
      <c r="BT92"/>
      <c r="BU92"/>
      <c r="BV92"/>
      <c r="BW92"/>
      <c r="BX92"/>
      <c r="BY92"/>
      <c r="BZ92"/>
      <c r="CA92"/>
      <c r="CB92"/>
    </row>
    <row r="93" ht="15.0" customHeight="true">
      <c r="A93" s="51" t="s">
        <v>2448</v>
      </c>
      <c r="B93" s="33"/>
      <c r="C93" s="33" t="s">
        <v>2636</v>
      </c>
      <c r="D93" s="33"/>
      <c r="E93" s="33" t="s">
        <v>3236</v>
      </c>
      <c r="F93" s="33"/>
      <c r="G93" s="55" t="s">
        <v>3237</v>
      </c>
      <c r="H93" s="33"/>
      <c r="I93" s="51" t="s">
        <v>3238</v>
      </c>
      <c r="J93" s="33"/>
      <c r="K93" s="51" t="s">
        <v>3239</v>
      </c>
      <c r="L93" s="33" t="s">
        <v>2454</v>
      </c>
      <c r="M93" s="55" t="s">
        <v>2495</v>
      </c>
      <c r="N93" s="55" t="s">
        <v>3240</v>
      </c>
      <c r="O93" s="33" t="s">
        <v>2272</v>
      </c>
      <c r="P93" s="33" t="s">
        <v>2251</v>
      </c>
      <c r="Q93" s="33"/>
      <c r="R93" s="33" t="s">
        <v>2263</v>
      </c>
      <c r="S93" s="56" t="s">
        <v>2277</v>
      </c>
      <c r="T93" s="56"/>
      <c r="U93" s="56"/>
      <c r="V93" s="33" t="s">
        <v>2456</v>
      </c>
      <c r="W93" s="94" t="s">
        <v>2457</v>
      </c>
      <c r="X93" s="94" t="s">
        <v>2474</v>
      </c>
      <c r="Y93" s="51"/>
      <c r="Z93" s="51"/>
      <c r="AA93" s="33" t="s">
        <v>2459</v>
      </c>
      <c r="AB93" s="33" t="s">
        <v>2460</v>
      </c>
      <c r="AC93" s="33"/>
      <c r="AD93" s="33" t="s">
        <v>2254</v>
      </c>
      <c r="AE93" s="33"/>
      <c r="AF93" s="33" t="s">
        <v>2267</v>
      </c>
      <c r="AG93" s="33" t="s">
        <v>2461</v>
      </c>
      <c r="AH93" s="33"/>
      <c r="AI93" s="33"/>
      <c r="AJ93" s="33" t="s">
        <v>3241</v>
      </c>
      <c r="AK93" s="94"/>
      <c r="AL93" s="33" t="s">
        <v>3242</v>
      </c>
      <c r="AM93" s="33" t="s">
        <v>3243</v>
      </c>
      <c r="AN93" s="33" t="s">
        <v>2465</v>
      </c>
      <c r="AO93" s="51" t="s">
        <v>2548</v>
      </c>
      <c r="AP93" s="51" t="s">
        <v>207</v>
      </c>
      <c r="AQ93" s="33"/>
      <c r="AR93" s="54"/>
      <c r="AS93" s="54"/>
      <c r="AT93" s="54"/>
      <c r="AU93" s="54"/>
      <c r="AV93" s="54"/>
      <c r="AW93" s="54"/>
      <c r="AX93" s="54"/>
      <c r="AY93" s="54"/>
      <c r="AZ93" s="54"/>
      <c r="BA93" s="54"/>
      <c r="BB93" s="54"/>
      <c r="BC93" s="54"/>
      <c r="BD93" s="54" t="s">
        <v>2447</v>
      </c>
      <c r="BE93" s="54"/>
      <c r="BF93" s="54"/>
      <c r="BG93" s="54"/>
      <c r="BH93" s="54"/>
      <c r="BI93" s="54"/>
      <c r="BJ93" s="0"/>
      <c r="BK93" s="0"/>
      <c r="BL93" s="0"/>
      <c r="BM93" s="0"/>
      <c r="BN93" s="0"/>
      <c r="BO93" s="0"/>
      <c r="BP93"/>
      <c r="BQ93"/>
      <c r="BR93"/>
      <c r="BS93"/>
      <c r="BT93"/>
      <c r="BU93"/>
      <c r="BV93"/>
      <c r="BW93"/>
      <c r="BX93"/>
      <c r="BY93"/>
      <c r="BZ93"/>
      <c r="CA93"/>
      <c r="CB93"/>
    </row>
    <row r="94" ht="15.0" customHeight="true">
      <c r="A94" s="51" t="s">
        <v>2448</v>
      </c>
      <c r="B94" s="33"/>
      <c r="C94" s="33" t="s">
        <v>3244</v>
      </c>
      <c r="D94" s="33"/>
      <c r="E94" s="33" t="s">
        <v>3245</v>
      </c>
      <c r="F94" s="33"/>
      <c r="G94" s="55" t="s">
        <v>3246</v>
      </c>
      <c r="H94" s="33"/>
      <c r="I94" s="51" t="s">
        <v>3247</v>
      </c>
      <c r="J94" s="33"/>
      <c r="K94" s="51" t="s">
        <v>3248</v>
      </c>
      <c r="L94" s="33" t="s">
        <v>2454</v>
      </c>
      <c r="M94" s="55" t="s">
        <v>3249</v>
      </c>
      <c r="N94" s="55" t="s">
        <v>3203</v>
      </c>
      <c r="O94" s="33" t="s">
        <v>2272</v>
      </c>
      <c r="P94" s="33" t="s">
        <v>2251</v>
      </c>
      <c r="Q94" s="33"/>
      <c r="R94" s="33" t="s">
        <v>2263</v>
      </c>
      <c r="S94" s="56" t="s">
        <v>2277</v>
      </c>
      <c r="T94" s="56"/>
      <c r="U94" s="56"/>
      <c r="V94" s="33" t="s">
        <v>2456</v>
      </c>
      <c r="W94" s="94" t="s">
        <v>2457</v>
      </c>
      <c r="X94" s="94" t="s">
        <v>2458</v>
      </c>
      <c r="Y94" s="51"/>
      <c r="Z94" s="51"/>
      <c r="AA94" s="33" t="s">
        <v>2459</v>
      </c>
      <c r="AB94" s="33" t="s">
        <v>2460</v>
      </c>
      <c r="AC94" s="33"/>
      <c r="AD94" s="33" t="s">
        <v>2254</v>
      </c>
      <c r="AE94" s="33"/>
      <c r="AF94" s="33" t="s">
        <v>2267</v>
      </c>
      <c r="AG94" s="33" t="s">
        <v>2461</v>
      </c>
      <c r="AH94" s="33"/>
      <c r="AI94" s="33"/>
      <c r="AJ94" s="33" t="s">
        <v>3250</v>
      </c>
      <c r="AK94" s="94"/>
      <c r="AL94" s="33" t="s">
        <v>3251</v>
      </c>
      <c r="AM94" s="33"/>
      <c r="AN94" s="33" t="s">
        <v>3252</v>
      </c>
      <c r="AO94" s="51" t="s">
        <v>3253</v>
      </c>
      <c r="AP94" s="51" t="s">
        <v>178</v>
      </c>
      <c r="AQ94" s="33"/>
      <c r="AR94" s="54"/>
      <c r="AS94" s="54"/>
      <c r="AT94" s="54"/>
      <c r="AU94" s="54"/>
      <c r="AV94" s="54"/>
      <c r="AW94" s="54"/>
      <c r="AX94" s="54"/>
      <c r="AY94" s="54"/>
      <c r="AZ94" s="54"/>
      <c r="BA94" s="54"/>
      <c r="BB94" s="54"/>
      <c r="BC94" s="54"/>
      <c r="BD94" s="54" t="s">
        <v>2447</v>
      </c>
      <c r="BE94" s="54"/>
      <c r="BF94" s="54"/>
      <c r="BG94" s="54"/>
      <c r="BH94" s="54"/>
      <c r="BI94" s="54"/>
      <c r="BJ94" s="0"/>
      <c r="BK94" s="0"/>
      <c r="BL94" s="0"/>
      <c r="BM94" s="0"/>
      <c r="BN94" s="0"/>
      <c r="BO94" s="0"/>
      <c r="BP94"/>
      <c r="BQ94"/>
      <c r="BR94"/>
      <c r="BS94"/>
      <c r="BT94"/>
      <c r="BU94"/>
      <c r="BV94"/>
      <c r="BW94"/>
      <c r="BX94"/>
      <c r="BY94"/>
      <c r="BZ94"/>
      <c r="CA94"/>
      <c r="CB94"/>
    </row>
    <row r="95" ht="15.0" customHeight="true">
      <c r="A95" s="51" t="s">
        <v>2448</v>
      </c>
      <c r="B95" s="33"/>
      <c r="C95" s="33" t="s">
        <v>3254</v>
      </c>
      <c r="D95" s="33"/>
      <c r="E95" s="33" t="s">
        <v>2879</v>
      </c>
      <c r="F95" s="33"/>
      <c r="G95" s="55" t="s">
        <v>3255</v>
      </c>
      <c r="H95" s="33"/>
      <c r="I95" s="51" t="s">
        <v>3256</v>
      </c>
      <c r="J95" s="33"/>
      <c r="K95" s="51" t="s">
        <v>3257</v>
      </c>
      <c r="L95" s="33" t="s">
        <v>2454</v>
      </c>
      <c r="M95" s="55" t="s">
        <v>3258</v>
      </c>
      <c r="N95" s="55" t="s">
        <v>3259</v>
      </c>
      <c r="O95" s="33" t="s">
        <v>2272</v>
      </c>
      <c r="P95" s="33" t="s">
        <v>2251</v>
      </c>
      <c r="Q95" s="33"/>
      <c r="R95" s="33" t="s">
        <v>2263</v>
      </c>
      <c r="S95" s="56" t="s">
        <v>2277</v>
      </c>
      <c r="T95" s="56"/>
      <c r="U95" s="56"/>
      <c r="V95" s="33" t="s">
        <v>2456</v>
      </c>
      <c r="W95" s="94" t="s">
        <v>2457</v>
      </c>
      <c r="X95" s="94" t="s">
        <v>2474</v>
      </c>
      <c r="Y95" s="51"/>
      <c r="Z95" s="51"/>
      <c r="AA95" s="33" t="s">
        <v>2459</v>
      </c>
      <c r="AB95" s="33" t="s">
        <v>2460</v>
      </c>
      <c r="AC95" s="33"/>
      <c r="AD95" s="33" t="s">
        <v>2254</v>
      </c>
      <c r="AE95" s="33"/>
      <c r="AF95" s="33" t="s">
        <v>2267</v>
      </c>
      <c r="AG95" s="33" t="s">
        <v>2461</v>
      </c>
      <c r="AH95" s="33"/>
      <c r="AI95" s="33"/>
      <c r="AJ95" s="33" t="s">
        <v>3260</v>
      </c>
      <c r="AK95" s="94"/>
      <c r="AL95" s="33" t="s">
        <v>3261</v>
      </c>
      <c r="AM95" s="33"/>
      <c r="AN95" s="33" t="s">
        <v>2588</v>
      </c>
      <c r="AO95" s="51" t="s">
        <v>2911</v>
      </c>
      <c r="AP95" s="51" t="s">
        <v>207</v>
      </c>
      <c r="AQ95" s="33"/>
      <c r="AR95" s="54"/>
      <c r="AS95" s="54"/>
      <c r="AT95" s="54"/>
      <c r="AU95" s="54"/>
      <c r="AV95" s="54"/>
      <c r="AW95" s="54"/>
      <c r="AX95" s="54"/>
      <c r="AY95" s="54"/>
      <c r="AZ95" s="54"/>
      <c r="BA95" s="54"/>
      <c r="BB95" s="54"/>
      <c r="BC95" s="54"/>
      <c r="BD95" s="54" t="s">
        <v>2447</v>
      </c>
      <c r="BE95" s="54"/>
      <c r="BF95" s="54"/>
      <c r="BG95" s="54"/>
      <c r="BH95" s="54"/>
      <c r="BI95" s="54"/>
      <c r="BJ95" s="0"/>
      <c r="BK95" s="0"/>
      <c r="BL95" s="0"/>
      <c r="BM95" s="0"/>
      <c r="BN95" s="0"/>
      <c r="BO95" s="0"/>
      <c r="BP95"/>
      <c r="BQ95"/>
      <c r="BR95"/>
      <c r="BS95"/>
      <c r="BT95"/>
      <c r="BU95"/>
      <c r="BV95"/>
      <c r="BW95"/>
      <c r="BX95"/>
      <c r="BY95"/>
      <c r="BZ95"/>
      <c r="CA95"/>
      <c r="CB95"/>
    </row>
    <row r="96" ht="15.0" customHeight="true">
      <c r="A96" s="51" t="s">
        <v>2448</v>
      </c>
      <c r="B96" s="33"/>
      <c r="C96" s="33" t="s">
        <v>3262</v>
      </c>
      <c r="D96" s="33"/>
      <c r="E96" s="33" t="s">
        <v>3263</v>
      </c>
      <c r="F96" s="33"/>
      <c r="G96" s="55" t="s">
        <v>3264</v>
      </c>
      <c r="H96" s="33"/>
      <c r="I96" s="51" t="s">
        <v>3265</v>
      </c>
      <c r="J96" s="33"/>
      <c r="K96" s="51" t="s">
        <v>3266</v>
      </c>
      <c r="L96" s="33" t="s">
        <v>2454</v>
      </c>
      <c r="M96" s="55" t="s">
        <v>2937</v>
      </c>
      <c r="N96" s="55" t="s">
        <v>3267</v>
      </c>
      <c r="O96" s="33" t="s">
        <v>2272</v>
      </c>
      <c r="P96" s="33" t="s">
        <v>2251</v>
      </c>
      <c r="Q96" s="33"/>
      <c r="R96" s="33" t="s">
        <v>2263</v>
      </c>
      <c r="S96" s="56" t="s">
        <v>2277</v>
      </c>
      <c r="T96" s="56"/>
      <c r="U96" s="56"/>
      <c r="V96" s="33" t="s">
        <v>2456</v>
      </c>
      <c r="W96" s="94" t="s">
        <v>2457</v>
      </c>
      <c r="X96" s="94" t="s">
        <v>2474</v>
      </c>
      <c r="Y96" s="51"/>
      <c r="Z96" s="51"/>
      <c r="AA96" s="33" t="s">
        <v>2459</v>
      </c>
      <c r="AB96" s="33" t="s">
        <v>2460</v>
      </c>
      <c r="AC96" s="33"/>
      <c r="AD96" s="33" t="s">
        <v>2254</v>
      </c>
      <c r="AE96" s="33"/>
      <c r="AF96" s="33" t="s">
        <v>2267</v>
      </c>
      <c r="AG96" s="33" t="s">
        <v>2461</v>
      </c>
      <c r="AH96" s="33"/>
      <c r="AI96" s="33"/>
      <c r="AJ96" s="33" t="s">
        <v>3268</v>
      </c>
      <c r="AK96" s="94"/>
      <c r="AL96" s="33" t="s">
        <v>3269</v>
      </c>
      <c r="AM96" s="33"/>
      <c r="AN96" s="33" t="s">
        <v>2577</v>
      </c>
      <c r="AO96" s="51" t="s">
        <v>2578</v>
      </c>
      <c r="AP96" s="51" t="s">
        <v>207</v>
      </c>
      <c r="AQ96" s="33"/>
      <c r="AR96" s="54"/>
      <c r="AS96" s="54"/>
      <c r="AT96" s="54"/>
      <c r="AU96" s="54"/>
      <c r="AV96" s="54"/>
      <c r="AW96" s="54"/>
      <c r="AX96" s="54"/>
      <c r="AY96" s="54"/>
      <c r="AZ96" s="54"/>
      <c r="BA96" s="54"/>
      <c r="BB96" s="54"/>
      <c r="BC96" s="54"/>
      <c r="BD96" s="54" t="s">
        <v>2447</v>
      </c>
      <c r="BE96" s="54"/>
      <c r="BF96" s="54"/>
      <c r="BG96" s="54"/>
      <c r="BH96" s="54"/>
      <c r="BI96" s="54"/>
      <c r="BJ96" s="0"/>
      <c r="BK96" s="0"/>
      <c r="BL96" s="0"/>
      <c r="BM96" s="0"/>
      <c r="BN96" s="0"/>
      <c r="BO96" s="0"/>
      <c r="BP96"/>
      <c r="BQ96"/>
      <c r="BR96"/>
      <c r="BS96"/>
      <c r="BT96"/>
      <c r="BU96"/>
      <c r="BV96"/>
      <c r="BW96"/>
      <c r="BX96"/>
      <c r="BY96"/>
      <c r="BZ96"/>
      <c r="CA96"/>
      <c r="CB96"/>
    </row>
    <row r="97" ht="15.0" customHeight="true">
      <c r="A97" s="51" t="s">
        <v>2448</v>
      </c>
      <c r="B97" s="33"/>
      <c r="C97" s="33" t="s">
        <v>2529</v>
      </c>
      <c r="D97" s="33"/>
      <c r="E97" s="33" t="s">
        <v>3124</v>
      </c>
      <c r="F97" s="33"/>
      <c r="G97" s="55" t="s">
        <v>3270</v>
      </c>
      <c r="H97" s="33"/>
      <c r="I97" s="51" t="s">
        <v>3271</v>
      </c>
      <c r="J97" s="33"/>
      <c r="K97" s="51" t="s">
        <v>3272</v>
      </c>
      <c r="L97" s="33" t="s">
        <v>2454</v>
      </c>
      <c r="M97" s="55" t="s">
        <v>3118</v>
      </c>
      <c r="N97" s="55" t="s">
        <v>2735</v>
      </c>
      <c r="O97" s="33" t="s">
        <v>2272</v>
      </c>
      <c r="P97" s="33" t="s">
        <v>2251</v>
      </c>
      <c r="Q97" s="33"/>
      <c r="R97" s="33" t="s">
        <v>2263</v>
      </c>
      <c r="S97" s="56" t="s">
        <v>2277</v>
      </c>
      <c r="T97" s="56"/>
      <c r="U97" s="56"/>
      <c r="V97" s="33" t="s">
        <v>2456</v>
      </c>
      <c r="W97" s="94" t="s">
        <v>2457</v>
      </c>
      <c r="X97" s="94" t="s">
        <v>2474</v>
      </c>
      <c r="Y97" s="51"/>
      <c r="Z97" s="51"/>
      <c r="AA97" s="33" t="s">
        <v>2459</v>
      </c>
      <c r="AB97" s="33" t="s">
        <v>2460</v>
      </c>
      <c r="AC97" s="33"/>
      <c r="AD97" s="33" t="s">
        <v>2254</v>
      </c>
      <c r="AE97" s="33"/>
      <c r="AF97" s="33" t="s">
        <v>2267</v>
      </c>
      <c r="AG97" s="33" t="s">
        <v>2461</v>
      </c>
      <c r="AH97" s="33"/>
      <c r="AI97" s="33"/>
      <c r="AJ97" s="33" t="s">
        <v>3273</v>
      </c>
      <c r="AK97" s="94"/>
      <c r="AL97" s="33" t="s">
        <v>3274</v>
      </c>
      <c r="AM97" s="33" t="s">
        <v>3275</v>
      </c>
      <c r="AN97" s="33" t="s">
        <v>2465</v>
      </c>
      <c r="AO97" s="51" t="s">
        <v>2618</v>
      </c>
      <c r="AP97" s="51" t="s">
        <v>207</v>
      </c>
      <c r="AQ97" s="33"/>
      <c r="AR97" s="54"/>
      <c r="AS97" s="54"/>
      <c r="AT97" s="54"/>
      <c r="AU97" s="54"/>
      <c r="AV97" s="54"/>
      <c r="AW97" s="54"/>
      <c r="AX97" s="54"/>
      <c r="AY97" s="54"/>
      <c r="AZ97" s="54"/>
      <c r="BA97" s="54"/>
      <c r="BB97" s="54"/>
      <c r="BC97" s="54"/>
      <c r="BD97" s="54" t="s">
        <v>2447</v>
      </c>
      <c r="BE97" s="54"/>
      <c r="BF97" s="54"/>
      <c r="BG97" s="54"/>
      <c r="BH97" s="54"/>
      <c r="BI97" s="54"/>
      <c r="BJ97" s="0"/>
      <c r="BK97" s="0"/>
      <c r="BL97" s="0"/>
      <c r="BM97" s="0"/>
      <c r="BN97" s="0"/>
      <c r="BO97" s="0"/>
      <c r="BP97"/>
      <c r="BQ97"/>
      <c r="BR97"/>
      <c r="BS97"/>
      <c r="BT97"/>
      <c r="BU97"/>
      <c r="BV97"/>
      <c r="BW97"/>
      <c r="BX97"/>
      <c r="BY97"/>
      <c r="BZ97"/>
      <c r="CA97"/>
      <c r="CB97"/>
    </row>
    <row r="98" ht="15.0" customHeight="true">
      <c r="A98" s="51" t="s">
        <v>2448</v>
      </c>
      <c r="B98" s="33"/>
      <c r="C98" s="33" t="s">
        <v>3276</v>
      </c>
      <c r="D98" s="33"/>
      <c r="E98" s="33" t="s">
        <v>3277</v>
      </c>
      <c r="F98" s="33"/>
      <c r="G98" s="55" t="s">
        <v>3278</v>
      </c>
      <c r="H98" s="33"/>
      <c r="I98" s="51" t="s">
        <v>3279</v>
      </c>
      <c r="J98" s="33"/>
      <c r="K98" s="51" t="s">
        <v>3280</v>
      </c>
      <c r="L98" s="33" t="s">
        <v>2454</v>
      </c>
      <c r="M98" s="55" t="s">
        <v>3281</v>
      </c>
      <c r="N98" s="55" t="s">
        <v>3281</v>
      </c>
      <c r="O98" s="33" t="s">
        <v>2272</v>
      </c>
      <c r="P98" s="33" t="s">
        <v>2251</v>
      </c>
      <c r="Q98" s="33"/>
      <c r="R98" s="33" t="s">
        <v>2263</v>
      </c>
      <c r="S98" s="56" t="s">
        <v>2277</v>
      </c>
      <c r="T98" s="56"/>
      <c r="U98" s="56"/>
      <c r="V98" s="33" t="s">
        <v>2456</v>
      </c>
      <c r="W98" s="94" t="s">
        <v>2457</v>
      </c>
      <c r="X98" s="94" t="s">
        <v>2458</v>
      </c>
      <c r="Y98" s="51"/>
      <c r="Z98" s="51"/>
      <c r="AA98" s="33" t="s">
        <v>2459</v>
      </c>
      <c r="AB98" s="33" t="s">
        <v>2460</v>
      </c>
      <c r="AC98" s="33"/>
      <c r="AD98" s="33" t="s">
        <v>2254</v>
      </c>
      <c r="AE98" s="33"/>
      <c r="AF98" s="33" t="s">
        <v>2267</v>
      </c>
      <c r="AG98" s="33" t="s">
        <v>2461</v>
      </c>
      <c r="AH98" s="33"/>
      <c r="AI98" s="33"/>
      <c r="AJ98" s="33" t="s">
        <v>3282</v>
      </c>
      <c r="AK98" s="94"/>
      <c r="AL98" s="33" t="s">
        <v>3283</v>
      </c>
      <c r="AM98" s="33"/>
      <c r="AN98" s="33" t="s">
        <v>2465</v>
      </c>
      <c r="AO98" s="51" t="s">
        <v>2820</v>
      </c>
      <c r="AP98" s="51" t="s">
        <v>207</v>
      </c>
      <c r="AQ98" s="33"/>
      <c r="AR98" s="54"/>
      <c r="AS98" s="54"/>
      <c r="AT98" s="54"/>
      <c r="AU98" s="54"/>
      <c r="AV98" s="54"/>
      <c r="AW98" s="54"/>
      <c r="AX98" s="54"/>
      <c r="AY98" s="54"/>
      <c r="AZ98" s="54"/>
      <c r="BA98" s="54"/>
      <c r="BB98" s="54"/>
      <c r="BC98" s="54"/>
      <c r="BD98" s="54" t="s">
        <v>2447</v>
      </c>
      <c r="BE98" s="54"/>
      <c r="BF98" s="54"/>
      <c r="BG98" s="54"/>
      <c r="BH98" s="54"/>
      <c r="BI98" s="54"/>
      <c r="BJ98" s="0"/>
      <c r="BK98" s="0"/>
      <c r="BL98" s="0"/>
      <c r="BM98" s="0"/>
      <c r="BN98" s="0"/>
      <c r="BO98" s="0"/>
      <c r="BP98"/>
      <c r="BQ98"/>
      <c r="BR98"/>
      <c r="BS98"/>
      <c r="BT98"/>
      <c r="BU98"/>
      <c r="BV98"/>
      <c r="BW98"/>
      <c r="BX98"/>
      <c r="BY98"/>
      <c r="BZ98"/>
      <c r="CA98"/>
      <c r="CB98"/>
    </row>
    <row r="99" ht="15.0" customHeight="true">
      <c r="A99" s="51" t="s">
        <v>2448</v>
      </c>
      <c r="B99" s="33"/>
      <c r="C99" s="33" t="s">
        <v>2887</v>
      </c>
      <c r="D99" s="33"/>
      <c r="E99" s="33" t="s">
        <v>3284</v>
      </c>
      <c r="F99" s="33"/>
      <c r="G99" s="55" t="s">
        <v>3285</v>
      </c>
      <c r="H99" s="33"/>
      <c r="I99" s="51" t="s">
        <v>3286</v>
      </c>
      <c r="J99" s="33"/>
      <c r="K99" s="51" t="s">
        <v>3287</v>
      </c>
      <c r="L99" s="33" t="s">
        <v>2454</v>
      </c>
      <c r="M99" s="55" t="s">
        <v>3288</v>
      </c>
      <c r="N99" s="55" t="s">
        <v>3289</v>
      </c>
      <c r="O99" s="33" t="s">
        <v>2272</v>
      </c>
      <c r="P99" s="33" t="s">
        <v>2251</v>
      </c>
      <c r="Q99" s="33"/>
      <c r="R99" s="33" t="s">
        <v>2263</v>
      </c>
      <c r="S99" s="56" t="s">
        <v>2277</v>
      </c>
      <c r="T99" s="56"/>
      <c r="U99" s="56"/>
      <c r="V99" s="33" t="s">
        <v>2456</v>
      </c>
      <c r="W99" s="94" t="s">
        <v>2457</v>
      </c>
      <c r="X99" s="94" t="s">
        <v>2458</v>
      </c>
      <c r="Y99" s="51"/>
      <c r="Z99" s="51"/>
      <c r="AA99" s="33" t="s">
        <v>2459</v>
      </c>
      <c r="AB99" s="33" t="s">
        <v>2460</v>
      </c>
      <c r="AC99" s="33"/>
      <c r="AD99" s="33" t="s">
        <v>2254</v>
      </c>
      <c r="AE99" s="33"/>
      <c r="AF99" s="33" t="s">
        <v>2267</v>
      </c>
      <c r="AG99" s="33" t="s">
        <v>2461</v>
      </c>
      <c r="AH99" s="33"/>
      <c r="AI99" s="33"/>
      <c r="AJ99" s="33" t="s">
        <v>3290</v>
      </c>
      <c r="AK99" s="94"/>
      <c r="AL99" s="33" t="s">
        <v>3291</v>
      </c>
      <c r="AM99" s="33" t="s">
        <v>3292</v>
      </c>
      <c r="AN99" s="33" t="s">
        <v>2588</v>
      </c>
      <c r="AO99" s="51" t="s">
        <v>2911</v>
      </c>
      <c r="AP99" s="51" t="s">
        <v>207</v>
      </c>
      <c r="AQ99" s="33"/>
      <c r="AR99" s="54"/>
      <c r="AS99" s="54"/>
      <c r="AT99" s="54"/>
      <c r="AU99" s="54"/>
      <c r="AV99" s="54"/>
      <c r="AW99" s="54"/>
      <c r="AX99" s="54"/>
      <c r="AY99" s="54"/>
      <c r="AZ99" s="54"/>
      <c r="BA99" s="54"/>
      <c r="BB99" s="54"/>
      <c r="BC99" s="54"/>
      <c r="BD99" s="54" t="s">
        <v>2447</v>
      </c>
      <c r="BE99" s="54"/>
      <c r="BF99" s="54"/>
      <c r="BG99" s="54"/>
      <c r="BH99" s="54"/>
      <c r="BI99" s="54"/>
      <c r="BJ99" s="0"/>
      <c r="BK99" s="0"/>
      <c r="BL99" s="0"/>
      <c r="BM99" s="0"/>
      <c r="BN99" s="0"/>
      <c r="BO99" s="0"/>
      <c r="BP99"/>
      <c r="BQ99"/>
      <c r="BR99"/>
      <c r="BS99"/>
      <c r="BT99"/>
      <c r="BU99"/>
      <c r="BV99"/>
      <c r="BW99"/>
      <c r="BX99"/>
      <c r="BY99"/>
      <c r="BZ99"/>
      <c r="CA99"/>
      <c r="CB99"/>
    </row>
    <row r="100" ht="15.0" customHeight="true">
      <c r="A100" s="51" t="s">
        <v>2448</v>
      </c>
      <c r="B100" s="33"/>
      <c r="C100" s="33" t="s">
        <v>3293</v>
      </c>
      <c r="D100" s="33"/>
      <c r="E100" s="33" t="s">
        <v>3294</v>
      </c>
      <c r="F100" s="33"/>
      <c r="G100" s="55" t="s">
        <v>3295</v>
      </c>
      <c r="H100" s="33"/>
      <c r="I100" s="51" t="s">
        <v>3296</v>
      </c>
      <c r="J100" s="33"/>
      <c r="K100" s="51" t="s">
        <v>3297</v>
      </c>
      <c r="L100" s="33" t="s">
        <v>2454</v>
      </c>
      <c r="M100" s="55" t="s">
        <v>2883</v>
      </c>
      <c r="N100" s="55" t="s">
        <v>3298</v>
      </c>
      <c r="O100" s="33" t="s">
        <v>2272</v>
      </c>
      <c r="P100" s="33" t="s">
        <v>2251</v>
      </c>
      <c r="Q100" s="33"/>
      <c r="R100" s="33" t="s">
        <v>2263</v>
      </c>
      <c r="S100" s="56" t="s">
        <v>2277</v>
      </c>
      <c r="T100" s="56"/>
      <c r="U100" s="56"/>
      <c r="V100" s="33" t="s">
        <v>2456</v>
      </c>
      <c r="W100" s="94" t="s">
        <v>2457</v>
      </c>
      <c r="X100" s="94" t="s">
        <v>2458</v>
      </c>
      <c r="Y100" s="51"/>
      <c r="Z100" s="51"/>
      <c r="AA100" s="33" t="s">
        <v>2459</v>
      </c>
      <c r="AB100" s="33" t="s">
        <v>2460</v>
      </c>
      <c r="AC100" s="33"/>
      <c r="AD100" s="33" t="s">
        <v>2254</v>
      </c>
      <c r="AE100" s="33"/>
      <c r="AF100" s="33" t="s">
        <v>2267</v>
      </c>
      <c r="AG100" s="33" t="s">
        <v>2461</v>
      </c>
      <c r="AH100" s="33"/>
      <c r="AI100" s="33"/>
      <c r="AJ100" s="33" t="s">
        <v>3299</v>
      </c>
      <c r="AK100" s="94"/>
      <c r="AL100" s="33" t="s">
        <v>3300</v>
      </c>
      <c r="AM100" s="33"/>
      <c r="AN100" s="33" t="s">
        <v>2465</v>
      </c>
      <c r="AO100" s="51" t="s">
        <v>2489</v>
      </c>
      <c r="AP100" s="51" t="s">
        <v>207</v>
      </c>
      <c r="AQ100" s="33"/>
      <c r="AR100" s="54"/>
      <c r="AS100" s="54"/>
      <c r="AT100" s="54"/>
      <c r="AU100" s="54"/>
      <c r="AV100" s="54"/>
      <c r="AW100" s="54"/>
      <c r="AX100" s="54"/>
      <c r="AY100" s="54"/>
      <c r="AZ100" s="54"/>
      <c r="BA100" s="54"/>
      <c r="BB100" s="54"/>
      <c r="BC100" s="54"/>
      <c r="BD100" s="54" t="s">
        <v>2447</v>
      </c>
      <c r="BE100" s="54"/>
      <c r="BF100" s="54"/>
      <c r="BG100" s="54"/>
      <c r="BH100" s="54"/>
      <c r="BI100" s="54"/>
      <c r="BJ100" s="0"/>
      <c r="BK100" s="0"/>
      <c r="BL100" s="0"/>
      <c r="BM100" s="0"/>
      <c r="BN100" s="0"/>
      <c r="BO100" s="0"/>
      <c r="BP100"/>
      <c r="BQ100"/>
      <c r="BR100"/>
      <c r="BS100"/>
      <c r="BT100"/>
      <c r="BU100"/>
      <c r="BV100"/>
      <c r="BW100"/>
      <c r="BX100"/>
      <c r="BY100"/>
      <c r="BZ100"/>
      <c r="CA100"/>
      <c r="CB100"/>
    </row>
    <row r="101" ht="15.0" customHeight="true">
      <c r="A101" s="51" t="s">
        <v>2448</v>
      </c>
      <c r="B101" s="33"/>
      <c r="C101" s="33" t="s">
        <v>3301</v>
      </c>
      <c r="D101" s="33"/>
      <c r="E101" s="33" t="s">
        <v>3302</v>
      </c>
      <c r="F101" s="33"/>
      <c r="G101" s="55" t="s">
        <v>3303</v>
      </c>
      <c r="H101" s="33"/>
      <c r="I101" s="51" t="s">
        <v>3304</v>
      </c>
      <c r="J101" s="33"/>
      <c r="K101" s="51" t="s">
        <v>3305</v>
      </c>
      <c r="L101" s="33" t="s">
        <v>2454</v>
      </c>
      <c r="M101" s="55" t="s">
        <v>3306</v>
      </c>
      <c r="N101" s="55" t="s">
        <v>3306</v>
      </c>
      <c r="O101" s="33" t="s">
        <v>2272</v>
      </c>
      <c r="P101" s="33" t="s">
        <v>2251</v>
      </c>
      <c r="Q101" s="33"/>
      <c r="R101" s="33" t="s">
        <v>2263</v>
      </c>
      <c r="S101" s="56" t="s">
        <v>2277</v>
      </c>
      <c r="T101" s="56"/>
      <c r="U101" s="56"/>
      <c r="V101" s="33" t="s">
        <v>2456</v>
      </c>
      <c r="W101" s="94" t="s">
        <v>2457</v>
      </c>
      <c r="X101" s="94" t="s">
        <v>2458</v>
      </c>
      <c r="Y101" s="51"/>
      <c r="Z101" s="51"/>
      <c r="AA101" s="33" t="s">
        <v>2459</v>
      </c>
      <c r="AB101" s="33" t="s">
        <v>2460</v>
      </c>
      <c r="AC101" s="33"/>
      <c r="AD101" s="33" t="s">
        <v>2254</v>
      </c>
      <c r="AE101" s="33"/>
      <c r="AF101" s="33" t="s">
        <v>2267</v>
      </c>
      <c r="AG101" s="33" t="s">
        <v>2461</v>
      </c>
      <c r="AH101" s="33"/>
      <c r="AI101" s="33"/>
      <c r="AJ101" s="33" t="s">
        <v>3307</v>
      </c>
      <c r="AK101" s="94"/>
      <c r="AL101" s="33" t="s">
        <v>3308</v>
      </c>
      <c r="AM101" s="33" t="s">
        <v>3309</v>
      </c>
      <c r="AN101" s="33" t="s">
        <v>2465</v>
      </c>
      <c r="AO101" s="51" t="s">
        <v>2478</v>
      </c>
      <c r="AP101" s="51" t="s">
        <v>207</v>
      </c>
      <c r="AQ101" s="33"/>
      <c r="AR101" s="54"/>
      <c r="AS101" s="54"/>
      <c r="AT101" s="54"/>
      <c r="AU101" s="54"/>
      <c r="AV101" s="54"/>
      <c r="AW101" s="54"/>
      <c r="AX101" s="54"/>
      <c r="AY101" s="54"/>
      <c r="AZ101" s="54"/>
      <c r="BA101" s="54"/>
      <c r="BB101" s="54"/>
      <c r="BC101" s="54"/>
      <c r="BD101" s="54" t="s">
        <v>2447</v>
      </c>
      <c r="BE101" s="54"/>
      <c r="BF101" s="54"/>
      <c r="BG101" s="54"/>
      <c r="BH101" s="54"/>
      <c r="BI101" s="54"/>
      <c r="BJ101" s="0"/>
      <c r="BK101" s="0"/>
      <c r="BL101" s="0"/>
      <c r="BM101" s="0"/>
      <c r="BN101" s="0"/>
      <c r="BO101" s="0"/>
      <c r="BP101"/>
      <c r="BQ101"/>
      <c r="BR101"/>
      <c r="BS101"/>
      <c r="BT101"/>
      <c r="BU101"/>
      <c r="BV101"/>
      <c r="BW101"/>
      <c r="BX101"/>
      <c r="BY101"/>
      <c r="BZ101"/>
      <c r="CA101"/>
      <c r="CB101"/>
    </row>
    <row r="102" ht="15.0" customHeight="true">
      <c r="A102" s="51" t="s">
        <v>2448</v>
      </c>
      <c r="B102" s="33"/>
      <c r="C102" s="33" t="s">
        <v>3310</v>
      </c>
      <c r="D102" s="33"/>
      <c r="E102" s="33" t="s">
        <v>3311</v>
      </c>
      <c r="F102" s="33"/>
      <c r="G102" s="55" t="s">
        <v>3312</v>
      </c>
      <c r="H102" s="33"/>
      <c r="I102" s="51" t="s">
        <v>3313</v>
      </c>
      <c r="J102" s="33"/>
      <c r="K102" s="51" t="s">
        <v>3314</v>
      </c>
      <c r="L102" s="33" t="s">
        <v>2454</v>
      </c>
      <c r="M102" s="55" t="s">
        <v>3315</v>
      </c>
      <c r="N102" s="55" t="s">
        <v>3316</v>
      </c>
      <c r="O102" s="33" t="s">
        <v>2272</v>
      </c>
      <c r="P102" s="33" t="s">
        <v>2251</v>
      </c>
      <c r="Q102" s="33"/>
      <c r="R102" s="33" t="s">
        <v>2263</v>
      </c>
      <c r="S102" s="56" t="s">
        <v>2277</v>
      </c>
      <c r="T102" s="56"/>
      <c r="U102" s="56"/>
      <c r="V102" s="33" t="s">
        <v>2456</v>
      </c>
      <c r="W102" s="94" t="s">
        <v>2457</v>
      </c>
      <c r="X102" s="94" t="s">
        <v>2458</v>
      </c>
      <c r="Y102" s="51"/>
      <c r="Z102" s="51"/>
      <c r="AA102" s="33" t="s">
        <v>2459</v>
      </c>
      <c r="AB102" s="33" t="s">
        <v>2460</v>
      </c>
      <c r="AC102" s="33"/>
      <c r="AD102" s="33" t="s">
        <v>2254</v>
      </c>
      <c r="AE102" s="33"/>
      <c r="AF102" s="33" t="s">
        <v>2267</v>
      </c>
      <c r="AG102" s="33" t="s">
        <v>2461</v>
      </c>
      <c r="AH102" s="33"/>
      <c r="AI102" s="33"/>
      <c r="AJ102" s="33" t="s">
        <v>3317</v>
      </c>
      <c r="AK102" s="94"/>
      <c r="AL102" s="33" t="s">
        <v>3318</v>
      </c>
      <c r="AM102" s="33"/>
      <c r="AN102" s="33" t="s">
        <v>2588</v>
      </c>
      <c r="AO102" s="51" t="s">
        <v>2589</v>
      </c>
      <c r="AP102" s="51" t="s">
        <v>207</v>
      </c>
      <c r="AQ102" s="33"/>
      <c r="AR102" s="54"/>
      <c r="AS102" s="54"/>
      <c r="AT102" s="54"/>
      <c r="AU102" s="54"/>
      <c r="AV102" s="54"/>
      <c r="AW102" s="54"/>
      <c r="AX102" s="54"/>
      <c r="AY102" s="54"/>
      <c r="AZ102" s="54"/>
      <c r="BA102" s="54"/>
      <c r="BB102" s="54"/>
      <c r="BC102" s="54"/>
      <c r="BD102" s="54" t="s">
        <v>2447</v>
      </c>
      <c r="BE102" s="54"/>
      <c r="BF102" s="54"/>
      <c r="BG102" s="54"/>
      <c r="BH102" s="54"/>
      <c r="BI102" s="54"/>
      <c r="BJ102" s="0"/>
      <c r="BK102" s="0"/>
      <c r="BL102" s="0"/>
      <c r="BM102" s="0"/>
      <c r="BN102" s="0"/>
      <c r="BO102" s="0"/>
      <c r="BP102"/>
      <c r="BQ102"/>
      <c r="BR102"/>
      <c r="BS102"/>
      <c r="BT102"/>
      <c r="BU102"/>
      <c r="BV102"/>
      <c r="BW102"/>
      <c r="BX102"/>
      <c r="BY102"/>
      <c r="BZ102"/>
      <c r="CA102"/>
      <c r="CB102"/>
    </row>
    <row r="103" ht="15.0" customHeight="true">
      <c r="A103" s="51" t="s">
        <v>2448</v>
      </c>
      <c r="B103" s="33"/>
      <c r="C103" s="33" t="s">
        <v>3319</v>
      </c>
      <c r="D103" s="33"/>
      <c r="E103" s="33" t="s">
        <v>3320</v>
      </c>
      <c r="F103" s="33"/>
      <c r="G103" s="55" t="s">
        <v>3321</v>
      </c>
      <c r="H103" s="33"/>
      <c r="I103" s="51" t="s">
        <v>3322</v>
      </c>
      <c r="J103" s="33"/>
      <c r="K103" s="51" t="s">
        <v>3323</v>
      </c>
      <c r="L103" s="33" t="s">
        <v>2454</v>
      </c>
      <c r="M103" s="55" t="s">
        <v>3324</v>
      </c>
      <c r="N103" s="55" t="s">
        <v>3325</v>
      </c>
      <c r="O103" s="33" t="s">
        <v>2272</v>
      </c>
      <c r="P103" s="33" t="s">
        <v>2251</v>
      </c>
      <c r="Q103" s="33"/>
      <c r="R103" s="33" t="s">
        <v>2263</v>
      </c>
      <c r="S103" s="56" t="s">
        <v>2277</v>
      </c>
      <c r="T103" s="56"/>
      <c r="U103" s="56"/>
      <c r="V103" s="33" t="s">
        <v>2456</v>
      </c>
      <c r="W103" s="94" t="s">
        <v>2457</v>
      </c>
      <c r="X103" s="94" t="s">
        <v>2458</v>
      </c>
      <c r="Y103" s="51"/>
      <c r="Z103" s="51"/>
      <c r="AA103" s="33" t="s">
        <v>2459</v>
      </c>
      <c r="AB103" s="33" t="s">
        <v>2460</v>
      </c>
      <c r="AC103" s="33"/>
      <c r="AD103" s="33" t="s">
        <v>2254</v>
      </c>
      <c r="AE103" s="33"/>
      <c r="AF103" s="33" t="s">
        <v>2267</v>
      </c>
      <c r="AG103" s="33" t="s">
        <v>2461</v>
      </c>
      <c r="AH103" s="33"/>
      <c r="AI103" s="33"/>
      <c r="AJ103" s="33" t="s">
        <v>3326</v>
      </c>
      <c r="AK103" s="94"/>
      <c r="AL103" s="33" t="s">
        <v>3327</v>
      </c>
      <c r="AM103" s="33"/>
      <c r="AN103" s="33" t="s">
        <v>2465</v>
      </c>
      <c r="AO103" s="51" t="s">
        <v>2466</v>
      </c>
      <c r="AP103" s="51" t="s">
        <v>207</v>
      </c>
      <c r="AQ103" s="33"/>
      <c r="AR103" s="54"/>
      <c r="AS103" s="54"/>
      <c r="AT103" s="54"/>
      <c r="AU103" s="54"/>
      <c r="AV103" s="54"/>
      <c r="AW103" s="54"/>
      <c r="AX103" s="54"/>
      <c r="AY103" s="54"/>
      <c r="AZ103" s="54"/>
      <c r="BA103" s="54"/>
      <c r="BB103" s="54"/>
      <c r="BC103" s="54"/>
      <c r="BD103" s="54" t="s">
        <v>2447</v>
      </c>
      <c r="BE103" s="54"/>
      <c r="BF103" s="54"/>
      <c r="BG103" s="54"/>
      <c r="BH103" s="54"/>
      <c r="BI103" s="54"/>
      <c r="BJ103" s="0"/>
      <c r="BK103" s="0"/>
      <c r="BL103" s="0"/>
      <c r="BM103" s="0"/>
      <c r="BN103" s="0"/>
      <c r="BO103" s="0"/>
      <c r="BP103"/>
      <c r="BQ103"/>
      <c r="BR103"/>
      <c r="BS103"/>
      <c r="BT103"/>
      <c r="BU103"/>
      <c r="BV103"/>
      <c r="BW103"/>
      <c r="BX103"/>
      <c r="BY103"/>
      <c r="BZ103"/>
      <c r="CA103"/>
      <c r="CB103"/>
    </row>
    <row r="104" ht="15.0" customHeight="true">
      <c r="A104" s="51" t="s">
        <v>2448</v>
      </c>
      <c r="B104" s="33"/>
      <c r="C104" s="33" t="s">
        <v>3328</v>
      </c>
      <c r="D104" s="33"/>
      <c r="E104" s="33" t="s">
        <v>3329</v>
      </c>
      <c r="F104" s="33"/>
      <c r="G104" s="55" t="s">
        <v>3330</v>
      </c>
      <c r="H104" s="33"/>
      <c r="I104" s="51" t="s">
        <v>3331</v>
      </c>
      <c r="J104" s="33"/>
      <c r="K104" s="51" t="s">
        <v>3332</v>
      </c>
      <c r="L104" s="33" t="s">
        <v>2454</v>
      </c>
      <c r="M104" s="55" t="s">
        <v>3333</v>
      </c>
      <c r="N104" s="55" t="s">
        <v>2709</v>
      </c>
      <c r="O104" s="33" t="s">
        <v>2276</v>
      </c>
      <c r="P104" s="33" t="s">
        <v>2251</v>
      </c>
      <c r="Q104" s="33"/>
      <c r="R104" s="33" t="s">
        <v>2263</v>
      </c>
      <c r="S104" s="56" t="s">
        <v>2277</v>
      </c>
      <c r="T104" s="56"/>
      <c r="U104" s="56"/>
      <c r="V104" s="33" t="s">
        <v>3333</v>
      </c>
      <c r="W104" s="94" t="s">
        <v>2574</v>
      </c>
      <c r="X104" s="94" t="s">
        <v>2474</v>
      </c>
      <c r="Y104" s="51"/>
      <c r="Z104" s="51"/>
      <c r="AA104" s="33" t="s">
        <v>2459</v>
      </c>
      <c r="AB104" s="33" t="s">
        <v>2460</v>
      </c>
      <c r="AC104" s="33" t="s">
        <v>2486</v>
      </c>
      <c r="AD104" s="33" t="s">
        <v>2254</v>
      </c>
      <c r="AE104" s="33"/>
      <c r="AF104" s="33" t="s">
        <v>2267</v>
      </c>
      <c r="AG104" s="33" t="s">
        <v>2461</v>
      </c>
      <c r="AH104" s="33"/>
      <c r="AI104" s="33"/>
      <c r="AJ104" s="33" t="s">
        <v>3334</v>
      </c>
      <c r="AK104" s="94"/>
      <c r="AL104" s="33" t="s">
        <v>3335</v>
      </c>
      <c r="AM104" s="33"/>
      <c r="AN104" s="33" t="s">
        <v>2577</v>
      </c>
      <c r="AO104" s="51" t="s">
        <v>2578</v>
      </c>
      <c r="AP104" s="51" t="s">
        <v>207</v>
      </c>
      <c r="AQ104" s="33"/>
      <c r="AR104" s="54"/>
      <c r="AS104" s="54"/>
      <c r="AT104" s="54"/>
      <c r="AU104" s="54"/>
      <c r="AV104" s="54"/>
      <c r="AW104" s="54"/>
      <c r="AX104" s="54"/>
      <c r="AY104" s="54" t="s">
        <v>2269</v>
      </c>
      <c r="AZ104" s="54"/>
      <c r="BA104" s="54"/>
      <c r="BB104" s="54"/>
      <c r="BC104" s="54"/>
      <c r="BD104" s="54" t="s">
        <v>2447</v>
      </c>
      <c r="BE104" s="54"/>
      <c r="BF104" s="54"/>
      <c r="BG104" s="54"/>
      <c r="BH104" s="54"/>
      <c r="BI104" s="54"/>
      <c r="BJ104" s="0"/>
      <c r="BK104" s="0"/>
      <c r="BL104" s="0"/>
      <c r="BM104" s="0"/>
      <c r="BN104" s="0"/>
      <c r="BO104" s="0"/>
      <c r="BP104"/>
      <c r="BQ104"/>
      <c r="BR104"/>
      <c r="BS104"/>
      <c r="BT104"/>
      <c r="BU104"/>
      <c r="BV104"/>
      <c r="BW104"/>
      <c r="BX104"/>
      <c r="BY104"/>
      <c r="BZ104"/>
      <c r="CA104"/>
      <c r="CB104"/>
    </row>
    <row r="105" ht="15.0" customHeight="true">
      <c r="A105" s="51" t="s">
        <v>2448</v>
      </c>
      <c r="B105" s="33"/>
      <c r="C105" s="33" t="s">
        <v>3336</v>
      </c>
      <c r="D105" s="33"/>
      <c r="E105" s="33" t="s">
        <v>3337</v>
      </c>
      <c r="F105" s="33"/>
      <c r="G105" s="55" t="s">
        <v>3338</v>
      </c>
      <c r="H105" s="33"/>
      <c r="I105" s="51" t="s">
        <v>3339</v>
      </c>
      <c r="J105" s="33"/>
      <c r="K105" s="51" t="s">
        <v>3340</v>
      </c>
      <c r="L105" s="33" t="s">
        <v>2454</v>
      </c>
      <c r="M105" s="55" t="s">
        <v>2868</v>
      </c>
      <c r="N105" s="55" t="s">
        <v>3341</v>
      </c>
      <c r="O105" s="33" t="s">
        <v>2272</v>
      </c>
      <c r="P105" s="33" t="s">
        <v>2251</v>
      </c>
      <c r="Q105" s="33"/>
      <c r="R105" s="33" t="s">
        <v>2263</v>
      </c>
      <c r="S105" s="56" t="s">
        <v>2277</v>
      </c>
      <c r="T105" s="56"/>
      <c r="U105" s="56"/>
      <c r="V105" s="33" t="s">
        <v>2456</v>
      </c>
      <c r="W105" s="94" t="s">
        <v>2457</v>
      </c>
      <c r="X105" s="94" t="s">
        <v>2458</v>
      </c>
      <c r="Y105" s="51"/>
      <c r="Z105" s="51"/>
      <c r="AA105" s="33" t="s">
        <v>2459</v>
      </c>
      <c r="AB105" s="33" t="s">
        <v>2460</v>
      </c>
      <c r="AC105" s="33"/>
      <c r="AD105" s="33" t="s">
        <v>2254</v>
      </c>
      <c r="AE105" s="33"/>
      <c r="AF105" s="33" t="s">
        <v>2267</v>
      </c>
      <c r="AG105" s="33" t="s">
        <v>2461</v>
      </c>
      <c r="AH105" s="33"/>
      <c r="AI105" s="33"/>
      <c r="AJ105" s="33" t="s">
        <v>3342</v>
      </c>
      <c r="AK105" s="94"/>
      <c r="AL105" s="33" t="s">
        <v>3343</v>
      </c>
      <c r="AM105" s="33" t="s">
        <v>3344</v>
      </c>
      <c r="AN105" s="33" t="s">
        <v>2588</v>
      </c>
      <c r="AO105" s="51" t="s">
        <v>2911</v>
      </c>
      <c r="AP105" s="51" t="s">
        <v>207</v>
      </c>
      <c r="AQ105" s="33"/>
      <c r="AR105" s="54"/>
      <c r="AS105" s="54"/>
      <c r="AT105" s="54"/>
      <c r="AU105" s="54"/>
      <c r="AV105" s="54"/>
      <c r="AW105" s="54"/>
      <c r="AX105" s="54"/>
      <c r="AY105" s="54"/>
      <c r="AZ105" s="54"/>
      <c r="BA105" s="54"/>
      <c r="BB105" s="54"/>
      <c r="BC105" s="54"/>
      <c r="BD105" s="54" t="s">
        <v>2447</v>
      </c>
      <c r="BE105" s="54"/>
      <c r="BF105" s="54"/>
      <c r="BG105" s="54"/>
      <c r="BH105" s="54"/>
      <c r="BI105" s="54"/>
      <c r="BJ105" s="0"/>
      <c r="BK105" s="0"/>
      <c r="BL105" s="0"/>
      <c r="BM105" s="0"/>
      <c r="BN105" s="0"/>
      <c r="BO105" s="0"/>
      <c r="BP105"/>
      <c r="BQ105"/>
      <c r="BR105"/>
      <c r="BS105"/>
      <c r="BT105"/>
      <c r="BU105"/>
      <c r="BV105"/>
      <c r="BW105"/>
      <c r="BX105"/>
      <c r="BY105"/>
      <c r="BZ105"/>
      <c r="CA105"/>
      <c r="CB105"/>
    </row>
    <row r="106" ht="15.0" customHeight="true">
      <c r="A106" s="51" t="s">
        <v>2448</v>
      </c>
      <c r="B106" s="33"/>
      <c r="C106" s="33" t="s">
        <v>3345</v>
      </c>
      <c r="D106" s="33"/>
      <c r="E106" s="33" t="s">
        <v>3346</v>
      </c>
      <c r="F106" s="33"/>
      <c r="G106" s="55" t="s">
        <v>3347</v>
      </c>
      <c r="H106" s="33"/>
      <c r="I106" s="51" t="s">
        <v>3348</v>
      </c>
      <c r="J106" s="33"/>
      <c r="K106" s="51" t="s">
        <v>3349</v>
      </c>
      <c r="L106" s="33" t="s">
        <v>2484</v>
      </c>
      <c r="M106" s="55" t="s">
        <v>3350</v>
      </c>
      <c r="N106" s="55"/>
      <c r="O106" s="33"/>
      <c r="P106" s="33" t="s">
        <v>2251</v>
      </c>
      <c r="Q106" s="33"/>
      <c r="R106" s="33" t="s">
        <v>2263</v>
      </c>
      <c r="S106" s="56" t="s">
        <v>2277</v>
      </c>
      <c r="T106" s="56"/>
      <c r="U106" s="56"/>
      <c r="V106" s="33" t="s">
        <v>2456</v>
      </c>
      <c r="W106" s="94" t="s">
        <v>2457</v>
      </c>
      <c r="X106" s="94" t="s">
        <v>2474</v>
      </c>
      <c r="Y106" s="51"/>
      <c r="Z106" s="51"/>
      <c r="AA106" s="33" t="s">
        <v>2459</v>
      </c>
      <c r="AB106" s="33" t="s">
        <v>2460</v>
      </c>
      <c r="AC106" s="33" t="s">
        <v>2486</v>
      </c>
      <c r="AD106" s="33" t="s">
        <v>2254</v>
      </c>
      <c r="AE106" s="33"/>
      <c r="AF106" s="33" t="s">
        <v>2267</v>
      </c>
      <c r="AG106" s="33" t="s">
        <v>2461</v>
      </c>
      <c r="AH106" s="33"/>
      <c r="AI106" s="33"/>
      <c r="AJ106" s="33" t="s">
        <v>3351</v>
      </c>
      <c r="AK106" s="94"/>
      <c r="AL106" s="33" t="s">
        <v>2756</v>
      </c>
      <c r="AM106" s="33" t="s">
        <v>3352</v>
      </c>
      <c r="AN106" s="33" t="s">
        <v>2465</v>
      </c>
      <c r="AO106" s="51" t="s">
        <v>2618</v>
      </c>
      <c r="AP106" s="51" t="s">
        <v>207</v>
      </c>
      <c r="AQ106" s="33"/>
      <c r="AR106" s="54"/>
      <c r="AS106" s="54"/>
      <c r="AT106" s="54"/>
      <c r="AU106" s="54"/>
      <c r="AV106" s="54"/>
      <c r="AW106" s="54"/>
      <c r="AX106" s="54"/>
      <c r="AY106" s="54"/>
      <c r="AZ106" s="54"/>
      <c r="BA106" s="54"/>
      <c r="BB106" s="54"/>
      <c r="BC106" s="54"/>
      <c r="BD106" s="54" t="s">
        <v>2447</v>
      </c>
      <c r="BE106" s="54"/>
      <c r="BF106" s="54"/>
      <c r="BG106" s="54"/>
      <c r="BH106" s="54"/>
      <c r="BI106" s="54"/>
      <c r="BJ106" s="0"/>
      <c r="BK106" s="0"/>
      <c r="BL106" s="0"/>
      <c r="BM106" s="0"/>
      <c r="BN106" s="0"/>
      <c r="BO106" s="0"/>
      <c r="BP106"/>
      <c r="BQ106"/>
      <c r="BR106"/>
      <c r="BS106"/>
      <c r="BT106"/>
      <c r="BU106"/>
      <c r="BV106"/>
      <c r="BW106"/>
      <c r="BX106"/>
      <c r="BY106"/>
      <c r="BZ106"/>
      <c r="CA106"/>
      <c r="CB106"/>
    </row>
    <row r="107" ht="15.0" customHeight="true">
      <c r="A107" s="51" t="s">
        <v>2448</v>
      </c>
      <c r="B107" s="33"/>
      <c r="C107" s="33" t="s">
        <v>3353</v>
      </c>
      <c r="D107" s="33"/>
      <c r="E107" s="33" t="s">
        <v>3354</v>
      </c>
      <c r="F107" s="33"/>
      <c r="G107" s="55" t="s">
        <v>3355</v>
      </c>
      <c r="H107" s="33"/>
      <c r="I107" s="51" t="s">
        <v>3356</v>
      </c>
      <c r="J107" s="33"/>
      <c r="K107" s="51" t="s">
        <v>3357</v>
      </c>
      <c r="L107" s="33" t="s">
        <v>2454</v>
      </c>
      <c r="M107" s="55" t="s">
        <v>3358</v>
      </c>
      <c r="N107" s="55" t="s">
        <v>3359</v>
      </c>
      <c r="O107" s="33" t="s">
        <v>2272</v>
      </c>
      <c r="P107" s="33" t="s">
        <v>2251</v>
      </c>
      <c r="Q107" s="33"/>
      <c r="R107" s="33" t="s">
        <v>2263</v>
      </c>
      <c r="S107" s="56" t="s">
        <v>2277</v>
      </c>
      <c r="T107" s="56"/>
      <c r="U107" s="56"/>
      <c r="V107" s="33" t="s">
        <v>2456</v>
      </c>
      <c r="W107" s="94" t="s">
        <v>2457</v>
      </c>
      <c r="X107" s="94" t="s">
        <v>2458</v>
      </c>
      <c r="Y107" s="51"/>
      <c r="Z107" s="51"/>
      <c r="AA107" s="33" t="s">
        <v>2459</v>
      </c>
      <c r="AB107" s="33" t="s">
        <v>2460</v>
      </c>
      <c r="AC107" s="33"/>
      <c r="AD107" s="33" t="s">
        <v>2254</v>
      </c>
      <c r="AE107" s="33"/>
      <c r="AF107" s="33" t="s">
        <v>2267</v>
      </c>
      <c r="AG107" s="33" t="s">
        <v>2461</v>
      </c>
      <c r="AH107" s="33"/>
      <c r="AI107" s="33"/>
      <c r="AJ107" s="33" t="s">
        <v>3360</v>
      </c>
      <c r="AK107" s="94"/>
      <c r="AL107" s="33" t="s">
        <v>3361</v>
      </c>
      <c r="AM107" s="33"/>
      <c r="AN107" s="33" t="s">
        <v>2577</v>
      </c>
      <c r="AO107" s="51" t="s">
        <v>2578</v>
      </c>
      <c r="AP107" s="51" t="s">
        <v>207</v>
      </c>
      <c r="AQ107" s="33"/>
      <c r="AR107" s="54"/>
      <c r="AS107" s="54"/>
      <c r="AT107" s="54"/>
      <c r="AU107" s="54"/>
      <c r="AV107" s="54"/>
      <c r="AW107" s="54"/>
      <c r="AX107" s="54"/>
      <c r="AY107" s="54"/>
      <c r="AZ107" s="54"/>
      <c r="BA107" s="54"/>
      <c r="BB107" s="54"/>
      <c r="BC107" s="54"/>
      <c r="BD107" s="54" t="s">
        <v>2447</v>
      </c>
      <c r="BE107" s="54"/>
      <c r="BF107" s="54"/>
      <c r="BG107" s="54"/>
      <c r="BH107" s="54"/>
      <c r="BI107" s="54"/>
      <c r="BJ107" s="0"/>
      <c r="BK107" s="0"/>
      <c r="BL107" s="0"/>
      <c r="BM107" s="0"/>
      <c r="BN107" s="0"/>
      <c r="BO107" s="0"/>
      <c r="BP107"/>
      <c r="BQ107"/>
      <c r="BR107"/>
      <c r="BS107"/>
      <c r="BT107"/>
      <c r="BU107"/>
      <c r="BV107"/>
      <c r="BW107"/>
      <c r="BX107"/>
      <c r="BY107"/>
      <c r="BZ107"/>
      <c r="CA107"/>
      <c r="CB107"/>
    </row>
    <row r="108" ht="15.0" customHeight="true">
      <c r="A108" s="51" t="s">
        <v>2448</v>
      </c>
      <c r="B108" s="33"/>
      <c r="C108" s="33" t="s">
        <v>3362</v>
      </c>
      <c r="D108" s="33"/>
      <c r="E108" s="33" t="s">
        <v>3363</v>
      </c>
      <c r="F108" s="33"/>
      <c r="G108" s="55" t="s">
        <v>2685</v>
      </c>
      <c r="H108" s="33"/>
      <c r="I108" s="51" t="s">
        <v>3364</v>
      </c>
      <c r="J108" s="33"/>
      <c r="K108" s="51" t="s">
        <v>3365</v>
      </c>
      <c r="L108" s="33" t="s">
        <v>2454</v>
      </c>
      <c r="M108" s="55" t="s">
        <v>3366</v>
      </c>
      <c r="N108" s="55" t="s">
        <v>3367</v>
      </c>
      <c r="O108" s="33" t="s">
        <v>2272</v>
      </c>
      <c r="P108" s="33" t="s">
        <v>2251</v>
      </c>
      <c r="Q108" s="33"/>
      <c r="R108" s="33" t="s">
        <v>2263</v>
      </c>
      <c r="S108" s="56" t="s">
        <v>2277</v>
      </c>
      <c r="T108" s="56"/>
      <c r="U108" s="56"/>
      <c r="V108" s="33" t="s">
        <v>2456</v>
      </c>
      <c r="W108" s="94" t="s">
        <v>2457</v>
      </c>
      <c r="X108" s="94" t="s">
        <v>2474</v>
      </c>
      <c r="Y108" s="51"/>
      <c r="Z108" s="51"/>
      <c r="AA108" s="33" t="s">
        <v>2459</v>
      </c>
      <c r="AB108" s="33" t="s">
        <v>2460</v>
      </c>
      <c r="AC108" s="33"/>
      <c r="AD108" s="33" t="s">
        <v>2254</v>
      </c>
      <c r="AE108" s="33"/>
      <c r="AF108" s="33" t="s">
        <v>2267</v>
      </c>
      <c r="AG108" s="33" t="s">
        <v>2461</v>
      </c>
      <c r="AH108" s="33"/>
      <c r="AI108" s="33"/>
      <c r="AJ108" s="33" t="s">
        <v>3368</v>
      </c>
      <c r="AK108" s="94"/>
      <c r="AL108" s="33" t="s">
        <v>3369</v>
      </c>
      <c r="AM108" s="33"/>
      <c r="AN108" s="33" t="s">
        <v>2465</v>
      </c>
      <c r="AO108" s="51" t="s">
        <v>2489</v>
      </c>
      <c r="AP108" s="51" t="s">
        <v>207</v>
      </c>
      <c r="AQ108" s="33"/>
      <c r="AR108" s="54"/>
      <c r="AS108" s="54"/>
      <c r="AT108" s="54"/>
      <c r="AU108" s="54"/>
      <c r="AV108" s="54"/>
      <c r="AW108" s="54"/>
      <c r="AX108" s="54"/>
      <c r="AY108" s="54"/>
      <c r="AZ108" s="54"/>
      <c r="BA108" s="54"/>
      <c r="BB108" s="54"/>
      <c r="BC108" s="54"/>
      <c r="BD108" s="54" t="s">
        <v>2447</v>
      </c>
      <c r="BE108" s="54"/>
      <c r="BF108" s="54"/>
      <c r="BG108" s="54"/>
      <c r="BH108" s="54"/>
      <c r="BI108" s="54"/>
      <c r="BJ108" s="0"/>
      <c r="BK108" s="0"/>
      <c r="BL108" s="0"/>
      <c r="BM108" s="0"/>
      <c r="BN108" s="0"/>
      <c r="BO108" s="0"/>
      <c r="BP108"/>
      <c r="BQ108"/>
      <c r="BR108"/>
      <c r="BS108"/>
      <c r="BT108"/>
      <c r="BU108"/>
      <c r="BV108"/>
      <c r="BW108"/>
      <c r="BX108"/>
      <c r="BY108"/>
      <c r="BZ108"/>
      <c r="CA108"/>
      <c r="CB108"/>
    </row>
    <row r="109" ht="15.0" customHeight="true">
      <c r="A109" s="51" t="s">
        <v>2448</v>
      </c>
      <c r="B109" s="33"/>
      <c r="C109" s="33" t="s">
        <v>3370</v>
      </c>
      <c r="D109" s="33"/>
      <c r="E109" s="33" t="s">
        <v>3371</v>
      </c>
      <c r="F109" s="33"/>
      <c r="G109" s="55" t="s">
        <v>3372</v>
      </c>
      <c r="H109" s="33"/>
      <c r="I109" s="51" t="s">
        <v>3373</v>
      </c>
      <c r="J109" s="33"/>
      <c r="K109" s="51" t="s">
        <v>3374</v>
      </c>
      <c r="L109" s="33" t="s">
        <v>2454</v>
      </c>
      <c r="M109" s="55" t="s">
        <v>3375</v>
      </c>
      <c r="N109" s="55" t="s">
        <v>3376</v>
      </c>
      <c r="O109" s="33" t="s">
        <v>2272</v>
      </c>
      <c r="P109" s="33" t="s">
        <v>2251</v>
      </c>
      <c r="Q109" s="33"/>
      <c r="R109" s="33" t="s">
        <v>2263</v>
      </c>
      <c r="S109" s="56" t="s">
        <v>2277</v>
      </c>
      <c r="T109" s="56"/>
      <c r="U109" s="56"/>
      <c r="V109" s="33" t="s">
        <v>2456</v>
      </c>
      <c r="W109" s="94" t="s">
        <v>2457</v>
      </c>
      <c r="X109" s="94" t="s">
        <v>2458</v>
      </c>
      <c r="Y109" s="51"/>
      <c r="Z109" s="51"/>
      <c r="AA109" s="33" t="s">
        <v>2459</v>
      </c>
      <c r="AB109" s="33" t="s">
        <v>2460</v>
      </c>
      <c r="AC109" s="33"/>
      <c r="AD109" s="33" t="s">
        <v>2254</v>
      </c>
      <c r="AE109" s="33"/>
      <c r="AF109" s="33" t="s">
        <v>2267</v>
      </c>
      <c r="AG109" s="33" t="s">
        <v>2461</v>
      </c>
      <c r="AH109" s="33"/>
      <c r="AI109" s="33"/>
      <c r="AJ109" s="33" t="s">
        <v>3377</v>
      </c>
      <c r="AK109" s="94"/>
      <c r="AL109" s="33" t="s">
        <v>3378</v>
      </c>
      <c r="AM109" s="33"/>
      <c r="AN109" s="33" t="s">
        <v>2465</v>
      </c>
      <c r="AO109" s="51" t="s">
        <v>2489</v>
      </c>
      <c r="AP109" s="51" t="s">
        <v>207</v>
      </c>
      <c r="AQ109" s="33"/>
      <c r="AR109" s="54"/>
      <c r="AS109" s="54"/>
      <c r="AT109" s="54"/>
      <c r="AU109" s="54"/>
      <c r="AV109" s="54"/>
      <c r="AW109" s="54"/>
      <c r="AX109" s="54"/>
      <c r="AY109" s="54"/>
      <c r="AZ109" s="54"/>
      <c r="BA109" s="54"/>
      <c r="BB109" s="54"/>
      <c r="BC109" s="54"/>
      <c r="BD109" s="54" t="s">
        <v>2447</v>
      </c>
      <c r="BE109" s="54"/>
      <c r="BF109" s="54"/>
      <c r="BG109" s="54"/>
      <c r="BH109" s="54"/>
      <c r="BI109" s="54"/>
      <c r="BJ109" s="0"/>
      <c r="BK109" s="0"/>
      <c r="BL109" s="0"/>
      <c r="BM109" s="0"/>
      <c r="BN109" s="0"/>
      <c r="BO109" s="0"/>
      <c r="BP109"/>
      <c r="BQ109"/>
      <c r="BR109"/>
      <c r="BS109"/>
      <c r="BT109"/>
      <c r="BU109"/>
      <c r="BV109"/>
      <c r="BW109"/>
      <c r="BX109"/>
      <c r="BY109"/>
      <c r="BZ109"/>
      <c r="CA109"/>
      <c r="CB109"/>
    </row>
    <row r="110" ht="15.0" customHeight="true">
      <c r="A110" s="51" t="s">
        <v>2448</v>
      </c>
      <c r="B110" s="33"/>
      <c r="C110" s="33" t="s">
        <v>3379</v>
      </c>
      <c r="D110" s="33"/>
      <c r="E110" s="33" t="s">
        <v>3078</v>
      </c>
      <c r="F110" s="33"/>
      <c r="G110" s="55" t="s">
        <v>3380</v>
      </c>
      <c r="H110" s="33"/>
      <c r="I110" s="51" t="s">
        <v>3381</v>
      </c>
      <c r="J110" s="33"/>
      <c r="K110" s="51" t="s">
        <v>3382</v>
      </c>
      <c r="L110" s="33" t="s">
        <v>2454</v>
      </c>
      <c r="M110" s="55" t="s">
        <v>3383</v>
      </c>
      <c r="N110" s="55" t="s">
        <v>3384</v>
      </c>
      <c r="O110" s="33" t="s">
        <v>2272</v>
      </c>
      <c r="P110" s="33" t="s">
        <v>2251</v>
      </c>
      <c r="Q110" s="33"/>
      <c r="R110" s="33" t="s">
        <v>2263</v>
      </c>
      <c r="S110" s="56" t="s">
        <v>2277</v>
      </c>
      <c r="T110" s="56"/>
      <c r="U110" s="56"/>
      <c r="V110" s="33" t="s">
        <v>2456</v>
      </c>
      <c r="W110" s="94" t="s">
        <v>2457</v>
      </c>
      <c r="X110" s="94" t="s">
        <v>2458</v>
      </c>
      <c r="Y110" s="51"/>
      <c r="Z110" s="51"/>
      <c r="AA110" s="33" t="s">
        <v>2459</v>
      </c>
      <c r="AB110" s="33" t="s">
        <v>2460</v>
      </c>
      <c r="AC110" s="33"/>
      <c r="AD110" s="33" t="s">
        <v>2254</v>
      </c>
      <c r="AE110" s="33"/>
      <c r="AF110" s="33" t="s">
        <v>2267</v>
      </c>
      <c r="AG110" s="33" t="s">
        <v>2461</v>
      </c>
      <c r="AH110" s="33"/>
      <c r="AI110" s="33"/>
      <c r="AJ110" s="33" t="s">
        <v>3385</v>
      </c>
      <c r="AK110" s="94"/>
      <c r="AL110" s="33" t="s">
        <v>3386</v>
      </c>
      <c r="AM110" s="33"/>
      <c r="AN110" s="33" t="s">
        <v>2465</v>
      </c>
      <c r="AO110" s="51" t="s">
        <v>2500</v>
      </c>
      <c r="AP110" s="51" t="s">
        <v>207</v>
      </c>
      <c r="AQ110" s="33"/>
      <c r="AR110" s="54"/>
      <c r="AS110" s="54"/>
      <c r="AT110" s="54"/>
      <c r="AU110" s="54"/>
      <c r="AV110" s="54"/>
      <c r="AW110" s="54"/>
      <c r="AX110" s="54"/>
      <c r="AY110" s="54"/>
      <c r="AZ110" s="54"/>
      <c r="BA110" s="54"/>
      <c r="BB110" s="54"/>
      <c r="BC110" s="54"/>
      <c r="BD110" s="54" t="s">
        <v>2447</v>
      </c>
      <c r="BE110" s="54"/>
      <c r="BF110" s="54"/>
      <c r="BG110" s="54"/>
      <c r="BH110" s="54"/>
      <c r="BI110" s="54"/>
      <c r="BJ110" s="0"/>
      <c r="BK110" s="0"/>
      <c r="BL110" s="0"/>
      <c r="BM110" s="0"/>
      <c r="BN110" s="0"/>
      <c r="BO110" s="0"/>
      <c r="BP110"/>
      <c r="BQ110"/>
      <c r="BR110"/>
      <c r="BS110"/>
      <c r="BT110"/>
      <c r="BU110"/>
      <c r="BV110"/>
      <c r="BW110"/>
      <c r="BX110"/>
      <c r="BY110"/>
      <c r="BZ110"/>
      <c r="CA110"/>
      <c r="CB110"/>
    </row>
    <row r="111" ht="15.0" customHeight="true">
      <c r="A111" s="51" t="s">
        <v>2448</v>
      </c>
      <c r="B111" s="33"/>
      <c r="C111" s="33" t="s">
        <v>3387</v>
      </c>
      <c r="D111" s="33"/>
      <c r="E111" s="33" t="s">
        <v>3388</v>
      </c>
      <c r="F111" s="33"/>
      <c r="G111" s="55" t="s">
        <v>3389</v>
      </c>
      <c r="H111" s="33"/>
      <c r="I111" s="51" t="s">
        <v>3390</v>
      </c>
      <c r="J111" s="33"/>
      <c r="K111" s="51" t="s">
        <v>3391</v>
      </c>
      <c r="L111" s="33" t="s">
        <v>2484</v>
      </c>
      <c r="M111" s="55" t="s">
        <v>3175</v>
      </c>
      <c r="N111" s="55"/>
      <c r="O111" s="33"/>
      <c r="P111" s="33" t="s">
        <v>2251</v>
      </c>
      <c r="Q111" s="33"/>
      <c r="R111" s="33" t="s">
        <v>2263</v>
      </c>
      <c r="S111" s="56" t="s">
        <v>2277</v>
      </c>
      <c r="T111" s="56"/>
      <c r="U111" s="56"/>
      <c r="V111" s="33" t="s">
        <v>2456</v>
      </c>
      <c r="W111" s="94" t="s">
        <v>2457</v>
      </c>
      <c r="X111" s="94" t="s">
        <v>2474</v>
      </c>
      <c r="Y111" s="51"/>
      <c r="Z111" s="51"/>
      <c r="AA111" s="33" t="s">
        <v>2459</v>
      </c>
      <c r="AB111" s="33" t="s">
        <v>2460</v>
      </c>
      <c r="AC111" s="33" t="s">
        <v>2486</v>
      </c>
      <c r="AD111" s="33" t="s">
        <v>2254</v>
      </c>
      <c r="AE111" s="33"/>
      <c r="AF111" s="33" t="s">
        <v>2267</v>
      </c>
      <c r="AG111" s="33" t="s">
        <v>2461</v>
      </c>
      <c r="AH111" s="33"/>
      <c r="AI111" s="33"/>
      <c r="AJ111" s="33" t="s">
        <v>3392</v>
      </c>
      <c r="AK111" s="94"/>
      <c r="AL111" s="33" t="s">
        <v>3393</v>
      </c>
      <c r="AM111" s="33" t="s">
        <v>3394</v>
      </c>
      <c r="AN111" s="33" t="s">
        <v>2465</v>
      </c>
      <c r="AO111" s="51" t="s">
        <v>2618</v>
      </c>
      <c r="AP111" s="51" t="s">
        <v>207</v>
      </c>
      <c r="AQ111" s="33"/>
      <c r="AR111" s="54"/>
      <c r="AS111" s="54"/>
      <c r="AT111" s="54"/>
      <c r="AU111" s="54"/>
      <c r="AV111" s="54"/>
      <c r="AW111" s="54"/>
      <c r="AX111" s="54"/>
      <c r="AY111" s="54"/>
      <c r="AZ111" s="54"/>
      <c r="BA111" s="54"/>
      <c r="BB111" s="54"/>
      <c r="BC111" s="54"/>
      <c r="BD111" s="54" t="s">
        <v>2447</v>
      </c>
      <c r="BE111" s="54"/>
      <c r="BF111" s="54"/>
      <c r="BG111" s="54"/>
      <c r="BH111" s="54"/>
      <c r="BI111" s="54"/>
      <c r="BJ111" s="0"/>
      <c r="BK111" s="0"/>
      <c r="BL111" s="0"/>
      <c r="BM111" s="0"/>
      <c r="BN111" s="0"/>
      <c r="BO111" s="0"/>
      <c r="BP111"/>
      <c r="BQ111"/>
      <c r="BR111"/>
      <c r="BS111"/>
      <c r="BT111"/>
      <c r="BU111"/>
      <c r="BV111"/>
      <c r="BW111"/>
      <c r="BX111"/>
      <c r="BY111"/>
      <c r="BZ111"/>
      <c r="CA111"/>
      <c r="CB111"/>
    </row>
    <row r="112" ht="15.0" customHeight="true">
      <c r="A112" s="51" t="s">
        <v>2448</v>
      </c>
      <c r="B112" s="33"/>
      <c r="C112" s="33" t="s">
        <v>3395</v>
      </c>
      <c r="D112" s="33"/>
      <c r="E112" s="33" t="s">
        <v>3396</v>
      </c>
      <c r="F112" s="33"/>
      <c r="G112" s="55" t="s">
        <v>3397</v>
      </c>
      <c r="H112" s="33"/>
      <c r="I112" s="51" t="s">
        <v>3398</v>
      </c>
      <c r="J112" s="33"/>
      <c r="K112" s="51" t="s">
        <v>3399</v>
      </c>
      <c r="L112" s="33" t="s">
        <v>2454</v>
      </c>
      <c r="M112" s="55" t="s">
        <v>3400</v>
      </c>
      <c r="N112" s="55" t="s">
        <v>3056</v>
      </c>
      <c r="O112" s="33" t="s">
        <v>2272</v>
      </c>
      <c r="P112" s="33" t="s">
        <v>2251</v>
      </c>
      <c r="Q112" s="33"/>
      <c r="R112" s="33" t="s">
        <v>2263</v>
      </c>
      <c r="S112" s="56" t="s">
        <v>2277</v>
      </c>
      <c r="T112" s="56"/>
      <c r="U112" s="56"/>
      <c r="V112" s="33" t="s">
        <v>2456</v>
      </c>
      <c r="W112" s="94" t="s">
        <v>2457</v>
      </c>
      <c r="X112" s="94" t="s">
        <v>2458</v>
      </c>
      <c r="Y112" s="51"/>
      <c r="Z112" s="51"/>
      <c r="AA112" s="33" t="s">
        <v>2459</v>
      </c>
      <c r="AB112" s="33" t="s">
        <v>2460</v>
      </c>
      <c r="AC112" s="33"/>
      <c r="AD112" s="33" t="s">
        <v>2254</v>
      </c>
      <c r="AE112" s="33"/>
      <c r="AF112" s="33" t="s">
        <v>2267</v>
      </c>
      <c r="AG112" s="33" t="s">
        <v>2461</v>
      </c>
      <c r="AH112" s="33"/>
      <c r="AI112" s="33"/>
      <c r="AJ112" s="33" t="s">
        <v>3401</v>
      </c>
      <c r="AK112" s="94"/>
      <c r="AL112" s="33" t="s">
        <v>3402</v>
      </c>
      <c r="AM112" s="33" t="s">
        <v>3403</v>
      </c>
      <c r="AN112" s="33" t="s">
        <v>2465</v>
      </c>
      <c r="AO112" s="51" t="s">
        <v>2548</v>
      </c>
      <c r="AP112" s="51" t="s">
        <v>207</v>
      </c>
      <c r="AQ112" s="33"/>
      <c r="AR112" s="54"/>
      <c r="AS112" s="54"/>
      <c r="AT112" s="54"/>
      <c r="AU112" s="54"/>
      <c r="AV112" s="54"/>
      <c r="AW112" s="54"/>
      <c r="AX112" s="54"/>
      <c r="AY112" s="54"/>
      <c r="AZ112" s="54"/>
      <c r="BA112" s="54"/>
      <c r="BB112" s="54"/>
      <c r="BC112" s="54"/>
      <c r="BD112" s="54" t="s">
        <v>2447</v>
      </c>
      <c r="BE112" s="54"/>
      <c r="BF112" s="54"/>
      <c r="BG112" s="54"/>
      <c r="BH112" s="54"/>
      <c r="BI112" s="54"/>
      <c r="BJ112" s="0"/>
      <c r="BK112" s="0"/>
      <c r="BL112" s="0"/>
      <c r="BM112" s="0"/>
      <c r="BN112" s="0"/>
      <c r="BO112" s="0"/>
      <c r="BP112"/>
      <c r="BQ112"/>
      <c r="BR112"/>
      <c r="BS112"/>
      <c r="BT112"/>
      <c r="BU112"/>
      <c r="BV112"/>
      <c r="BW112"/>
      <c r="BX112"/>
      <c r="BY112"/>
      <c r="BZ112"/>
      <c r="CA112"/>
      <c r="CB112"/>
    </row>
    <row r="113" ht="15.0" customHeight="true">
      <c r="A113" s="51" t="s">
        <v>2448</v>
      </c>
      <c r="B113" s="33"/>
      <c r="C113" s="33" t="s">
        <v>3404</v>
      </c>
      <c r="D113" s="33"/>
      <c r="E113" s="33" t="s">
        <v>3405</v>
      </c>
      <c r="F113" s="33"/>
      <c r="G113" s="55" t="s">
        <v>3406</v>
      </c>
      <c r="H113" s="33"/>
      <c r="I113" s="51" t="s">
        <v>3407</v>
      </c>
      <c r="J113" s="33"/>
      <c r="K113" s="51" t="s">
        <v>3408</v>
      </c>
      <c r="L113" s="33" t="s">
        <v>2454</v>
      </c>
      <c r="M113" s="55" t="s">
        <v>3409</v>
      </c>
      <c r="N113" s="55" t="s">
        <v>3410</v>
      </c>
      <c r="O113" s="33" t="s">
        <v>2272</v>
      </c>
      <c r="P113" s="33" t="s">
        <v>2251</v>
      </c>
      <c r="Q113" s="33"/>
      <c r="R113" s="33" t="s">
        <v>2263</v>
      </c>
      <c r="S113" s="56" t="s">
        <v>2277</v>
      </c>
      <c r="T113" s="56"/>
      <c r="U113" s="56"/>
      <c r="V113" s="33" t="s">
        <v>2456</v>
      </c>
      <c r="W113" s="94" t="s">
        <v>2457</v>
      </c>
      <c r="X113" s="94" t="s">
        <v>2458</v>
      </c>
      <c r="Y113" s="51"/>
      <c r="Z113" s="51"/>
      <c r="AA113" s="33" t="s">
        <v>2459</v>
      </c>
      <c r="AB113" s="33" t="s">
        <v>2460</v>
      </c>
      <c r="AC113" s="33"/>
      <c r="AD113" s="33" t="s">
        <v>2254</v>
      </c>
      <c r="AE113" s="33"/>
      <c r="AF113" s="33" t="s">
        <v>2267</v>
      </c>
      <c r="AG113" s="33" t="s">
        <v>2461</v>
      </c>
      <c r="AH113" s="33"/>
      <c r="AI113" s="33"/>
      <c r="AJ113" s="33" t="s">
        <v>3411</v>
      </c>
      <c r="AK113" s="94"/>
      <c r="AL113" s="33" t="s">
        <v>3386</v>
      </c>
      <c r="AM113" s="33" t="s">
        <v>3412</v>
      </c>
      <c r="AN113" s="33" t="s">
        <v>2465</v>
      </c>
      <c r="AO113" s="51" t="s">
        <v>2500</v>
      </c>
      <c r="AP113" s="51" t="s">
        <v>207</v>
      </c>
      <c r="AQ113" s="33"/>
      <c r="AR113" s="54"/>
      <c r="AS113" s="54"/>
      <c r="AT113" s="54"/>
      <c r="AU113" s="54"/>
      <c r="AV113" s="54"/>
      <c r="AW113" s="54"/>
      <c r="AX113" s="54"/>
      <c r="AY113" s="54"/>
      <c r="AZ113" s="54"/>
      <c r="BA113" s="54"/>
      <c r="BB113" s="54"/>
      <c r="BC113" s="54"/>
      <c r="BD113" s="54" t="s">
        <v>2447</v>
      </c>
      <c r="BE113" s="54"/>
      <c r="BF113" s="54"/>
      <c r="BG113" s="54"/>
      <c r="BH113" s="54"/>
      <c r="BI113" s="54"/>
      <c r="BJ113" s="0"/>
      <c r="BK113" s="0"/>
      <c r="BL113" s="0"/>
      <c r="BM113" s="0"/>
      <c r="BN113" s="0"/>
      <c r="BO113" s="0"/>
      <c r="BP113"/>
      <c r="BQ113"/>
      <c r="BR113"/>
      <c r="BS113"/>
      <c r="BT113"/>
      <c r="BU113"/>
      <c r="BV113"/>
      <c r="BW113"/>
      <c r="BX113"/>
      <c r="BY113"/>
      <c r="BZ113"/>
      <c r="CA113"/>
      <c r="CB113"/>
    </row>
    <row r="114" ht="15.0" customHeight="true">
      <c r="A114" s="51" t="s">
        <v>2448</v>
      </c>
      <c r="B114" s="33"/>
      <c r="C114" s="33" t="s">
        <v>3413</v>
      </c>
      <c r="D114" s="33"/>
      <c r="E114" s="33" t="s">
        <v>3414</v>
      </c>
      <c r="F114" s="33"/>
      <c r="G114" s="55" t="s">
        <v>3415</v>
      </c>
      <c r="H114" s="33"/>
      <c r="I114" s="51" t="s">
        <v>3416</v>
      </c>
      <c r="J114" s="33"/>
      <c r="K114" s="51" t="s">
        <v>3417</v>
      </c>
      <c r="L114" s="33" t="s">
        <v>2454</v>
      </c>
      <c r="M114" s="55" t="s">
        <v>3418</v>
      </c>
      <c r="N114" s="55" t="s">
        <v>2495</v>
      </c>
      <c r="O114" s="33" t="s">
        <v>2272</v>
      </c>
      <c r="P114" s="33" t="s">
        <v>2251</v>
      </c>
      <c r="Q114" s="33"/>
      <c r="R114" s="33" t="s">
        <v>2263</v>
      </c>
      <c r="S114" s="56" t="s">
        <v>2277</v>
      </c>
      <c r="T114" s="56"/>
      <c r="U114" s="56"/>
      <c r="V114" s="33" t="s">
        <v>2456</v>
      </c>
      <c r="W114" s="94" t="s">
        <v>2457</v>
      </c>
      <c r="X114" s="94" t="s">
        <v>2474</v>
      </c>
      <c r="Y114" s="51"/>
      <c r="Z114" s="51"/>
      <c r="AA114" s="33" t="s">
        <v>2459</v>
      </c>
      <c r="AB114" s="33" t="s">
        <v>2460</v>
      </c>
      <c r="AC114" s="33"/>
      <c r="AD114" s="33" t="s">
        <v>2254</v>
      </c>
      <c r="AE114" s="33"/>
      <c r="AF114" s="33" t="s">
        <v>2267</v>
      </c>
      <c r="AG114" s="33" t="s">
        <v>2461</v>
      </c>
      <c r="AH114" s="33"/>
      <c r="AI114" s="33"/>
      <c r="AJ114" s="33" t="s">
        <v>3419</v>
      </c>
      <c r="AK114" s="94"/>
      <c r="AL114" s="33" t="s">
        <v>3420</v>
      </c>
      <c r="AM114" s="33"/>
      <c r="AN114" s="33" t="s">
        <v>2465</v>
      </c>
      <c r="AO114" s="51" t="s">
        <v>2466</v>
      </c>
      <c r="AP114" s="51" t="s">
        <v>207</v>
      </c>
      <c r="AQ114" s="33"/>
      <c r="AR114" s="54"/>
      <c r="AS114" s="54"/>
      <c r="AT114" s="54"/>
      <c r="AU114" s="54"/>
      <c r="AV114" s="54"/>
      <c r="AW114" s="54"/>
      <c r="AX114" s="54"/>
      <c r="AY114" s="54"/>
      <c r="AZ114" s="54"/>
      <c r="BA114" s="54"/>
      <c r="BB114" s="54"/>
      <c r="BC114" s="54"/>
      <c r="BD114" s="54" t="s">
        <v>2447</v>
      </c>
      <c r="BE114" s="54"/>
      <c r="BF114" s="54"/>
      <c r="BG114" s="54"/>
      <c r="BH114" s="54"/>
      <c r="BI114" s="54"/>
      <c r="BJ114" s="0"/>
      <c r="BK114" s="0"/>
      <c r="BL114" s="0"/>
      <c r="BM114" s="0"/>
      <c r="BN114" s="0"/>
      <c r="BO114" s="0"/>
      <c r="BP114"/>
      <c r="BQ114"/>
      <c r="BR114"/>
      <c r="BS114"/>
      <c r="BT114"/>
      <c r="BU114"/>
      <c r="BV114"/>
      <c r="BW114"/>
      <c r="BX114"/>
      <c r="BY114"/>
      <c r="BZ114"/>
      <c r="CA114"/>
      <c r="CB114"/>
    </row>
    <row r="115" ht="15.0" customHeight="true">
      <c r="A115" s="51" t="s">
        <v>2448</v>
      </c>
      <c r="B115" s="33"/>
      <c r="C115" s="33" t="s">
        <v>3421</v>
      </c>
      <c r="D115" s="33"/>
      <c r="E115" s="33" t="s">
        <v>3422</v>
      </c>
      <c r="F115" s="33"/>
      <c r="G115" s="55" t="s">
        <v>3423</v>
      </c>
      <c r="H115" s="33"/>
      <c r="I115" s="51" t="s">
        <v>3424</v>
      </c>
      <c r="J115" s="33"/>
      <c r="K115" s="51" t="s">
        <v>3425</v>
      </c>
      <c r="L115" s="33" t="s">
        <v>2454</v>
      </c>
      <c r="M115" s="55" t="s">
        <v>3426</v>
      </c>
      <c r="N115" s="55" t="s">
        <v>3298</v>
      </c>
      <c r="O115" s="33" t="s">
        <v>2272</v>
      </c>
      <c r="P115" s="33" t="s">
        <v>2251</v>
      </c>
      <c r="Q115" s="33"/>
      <c r="R115" s="33" t="s">
        <v>2263</v>
      </c>
      <c r="S115" s="56" t="s">
        <v>2277</v>
      </c>
      <c r="T115" s="56"/>
      <c r="U115" s="56"/>
      <c r="V115" s="33" t="s">
        <v>2456</v>
      </c>
      <c r="W115" s="94" t="s">
        <v>2457</v>
      </c>
      <c r="X115" s="94" t="s">
        <v>2458</v>
      </c>
      <c r="Y115" s="51"/>
      <c r="Z115" s="51"/>
      <c r="AA115" s="33" t="s">
        <v>2459</v>
      </c>
      <c r="AB115" s="33" t="s">
        <v>2460</v>
      </c>
      <c r="AC115" s="33"/>
      <c r="AD115" s="33" t="s">
        <v>2254</v>
      </c>
      <c r="AE115" s="33"/>
      <c r="AF115" s="33" t="s">
        <v>2267</v>
      </c>
      <c r="AG115" s="33" t="s">
        <v>2461</v>
      </c>
      <c r="AH115" s="33"/>
      <c r="AI115" s="33"/>
      <c r="AJ115" s="33" t="s">
        <v>3427</v>
      </c>
      <c r="AK115" s="94"/>
      <c r="AL115" s="33" t="s">
        <v>3428</v>
      </c>
      <c r="AM115" s="33" t="s">
        <v>3429</v>
      </c>
      <c r="AN115" s="33" t="s">
        <v>2588</v>
      </c>
      <c r="AO115" s="51" t="s">
        <v>2911</v>
      </c>
      <c r="AP115" s="51" t="s">
        <v>207</v>
      </c>
      <c r="AQ115" s="33"/>
      <c r="AR115" s="54"/>
      <c r="AS115" s="54"/>
      <c r="AT115" s="54"/>
      <c r="AU115" s="54"/>
      <c r="AV115" s="54"/>
      <c r="AW115" s="54"/>
      <c r="AX115" s="54"/>
      <c r="AY115" s="54"/>
      <c r="AZ115" s="54"/>
      <c r="BA115" s="54"/>
      <c r="BB115" s="54"/>
      <c r="BC115" s="54"/>
      <c r="BD115" s="54" t="s">
        <v>2447</v>
      </c>
      <c r="BE115" s="54"/>
      <c r="BF115" s="54"/>
      <c r="BG115" s="54"/>
      <c r="BH115" s="54"/>
      <c r="BI115" s="54"/>
      <c r="BJ115" s="0"/>
      <c r="BK115" s="0"/>
      <c r="BL115" s="0"/>
      <c r="BM115" s="0"/>
      <c r="BN115" s="0"/>
      <c r="BO115" s="0"/>
      <c r="BP115"/>
      <c r="BQ115"/>
      <c r="BR115"/>
      <c r="BS115"/>
      <c r="BT115"/>
      <c r="BU115"/>
      <c r="BV115"/>
      <c r="BW115"/>
      <c r="BX115"/>
      <c r="BY115"/>
      <c r="BZ115"/>
      <c r="CA115"/>
      <c r="CB115"/>
    </row>
    <row r="116" ht="15.0" customHeight="true">
      <c r="A116" s="51" t="s">
        <v>2448</v>
      </c>
      <c r="B116" s="33"/>
      <c r="C116" s="33" t="s">
        <v>3430</v>
      </c>
      <c r="D116" s="33"/>
      <c r="E116" s="33" t="s">
        <v>3431</v>
      </c>
      <c r="F116" s="33"/>
      <c r="G116" s="55" t="s">
        <v>3432</v>
      </c>
      <c r="H116" s="33"/>
      <c r="I116" s="51" t="s">
        <v>3433</v>
      </c>
      <c r="J116" s="33"/>
      <c r="K116" s="51" t="s">
        <v>3434</v>
      </c>
      <c r="L116" s="33" t="s">
        <v>2454</v>
      </c>
      <c r="M116" s="55" t="s">
        <v>2736</v>
      </c>
      <c r="N116" s="55" t="s">
        <v>2572</v>
      </c>
      <c r="O116" s="33" t="s">
        <v>2272</v>
      </c>
      <c r="P116" s="33" t="s">
        <v>2251</v>
      </c>
      <c r="Q116" s="33"/>
      <c r="R116" s="33" t="s">
        <v>2263</v>
      </c>
      <c r="S116" s="56" t="s">
        <v>2277</v>
      </c>
      <c r="T116" s="56"/>
      <c r="U116" s="56"/>
      <c r="V116" s="33" t="s">
        <v>2736</v>
      </c>
      <c r="W116" s="94" t="s">
        <v>2574</v>
      </c>
      <c r="X116" s="94" t="s">
        <v>2474</v>
      </c>
      <c r="Y116" s="51"/>
      <c r="Z116" s="51"/>
      <c r="AA116" s="33" t="s">
        <v>2459</v>
      </c>
      <c r="AB116" s="33" t="s">
        <v>2460</v>
      </c>
      <c r="AC116" s="33" t="s">
        <v>2486</v>
      </c>
      <c r="AD116" s="33" t="s">
        <v>2254</v>
      </c>
      <c r="AE116" s="33"/>
      <c r="AF116" s="33" t="s">
        <v>2267</v>
      </c>
      <c r="AG116" s="33" t="s">
        <v>2461</v>
      </c>
      <c r="AH116" s="33"/>
      <c r="AI116" s="33"/>
      <c r="AJ116" s="33" t="s">
        <v>3435</v>
      </c>
      <c r="AK116" s="94"/>
      <c r="AL116" s="33" t="s">
        <v>3003</v>
      </c>
      <c r="AM116" s="33" t="s">
        <v>3436</v>
      </c>
      <c r="AN116" s="33" t="s">
        <v>2465</v>
      </c>
      <c r="AO116" s="51" t="s">
        <v>2673</v>
      </c>
      <c r="AP116" s="51" t="s">
        <v>207</v>
      </c>
      <c r="AQ116" s="33"/>
      <c r="AR116" s="54"/>
      <c r="AS116" s="54"/>
      <c r="AT116" s="54"/>
      <c r="AU116" s="54"/>
      <c r="AV116" s="54"/>
      <c r="AW116" s="54"/>
      <c r="AX116" s="54"/>
      <c r="AY116" s="54" t="s">
        <v>2269</v>
      </c>
      <c r="AZ116" s="54"/>
      <c r="BA116" s="54"/>
      <c r="BB116" s="54"/>
      <c r="BC116" s="54"/>
      <c r="BD116" s="54" t="s">
        <v>2447</v>
      </c>
      <c r="BE116" s="54"/>
      <c r="BF116" s="54"/>
      <c r="BG116" s="54"/>
      <c r="BH116" s="54"/>
      <c r="BI116" s="54"/>
      <c r="BJ116" s="0"/>
      <c r="BK116" s="0"/>
      <c r="BL116" s="0"/>
      <c r="BM116" s="0"/>
      <c r="BN116" s="0"/>
      <c r="BO116" s="0"/>
      <c r="BP116"/>
      <c r="BQ116"/>
      <c r="BR116"/>
      <c r="BS116"/>
      <c r="BT116"/>
      <c r="BU116"/>
      <c r="BV116"/>
      <c r="BW116"/>
      <c r="BX116"/>
      <c r="BY116"/>
      <c r="BZ116"/>
      <c r="CA116"/>
      <c r="CB116"/>
    </row>
    <row r="117" ht="15.0" customHeight="true">
      <c r="A117" s="51" t="s">
        <v>2448</v>
      </c>
      <c r="B117" s="33"/>
      <c r="C117" s="33" t="s">
        <v>3437</v>
      </c>
      <c r="D117" s="33"/>
      <c r="E117" s="33" t="s">
        <v>3438</v>
      </c>
      <c r="F117" s="33"/>
      <c r="G117" s="55" t="s">
        <v>3439</v>
      </c>
      <c r="H117" s="33"/>
      <c r="I117" s="51" t="s">
        <v>3440</v>
      </c>
      <c r="J117" s="33"/>
      <c r="K117" s="51" t="s">
        <v>3441</v>
      </c>
      <c r="L117" s="33" t="s">
        <v>2454</v>
      </c>
      <c r="M117" s="55" t="s">
        <v>3442</v>
      </c>
      <c r="N117" s="55" t="s">
        <v>2799</v>
      </c>
      <c r="O117" s="33" t="s">
        <v>2272</v>
      </c>
      <c r="P117" s="33" t="s">
        <v>2251</v>
      </c>
      <c r="Q117" s="33"/>
      <c r="R117" s="33" t="s">
        <v>2263</v>
      </c>
      <c r="S117" s="56" t="s">
        <v>2277</v>
      </c>
      <c r="T117" s="56"/>
      <c r="U117" s="56"/>
      <c r="V117" s="33" t="s">
        <v>2456</v>
      </c>
      <c r="W117" s="94" t="s">
        <v>2457</v>
      </c>
      <c r="X117" s="94" t="s">
        <v>2458</v>
      </c>
      <c r="Y117" s="51"/>
      <c r="Z117" s="51"/>
      <c r="AA117" s="33" t="s">
        <v>2459</v>
      </c>
      <c r="AB117" s="33" t="s">
        <v>2460</v>
      </c>
      <c r="AC117" s="33"/>
      <c r="AD117" s="33" t="s">
        <v>2254</v>
      </c>
      <c r="AE117" s="33"/>
      <c r="AF117" s="33" t="s">
        <v>2267</v>
      </c>
      <c r="AG117" s="33" t="s">
        <v>2461</v>
      </c>
      <c r="AH117" s="33"/>
      <c r="AI117" s="33"/>
      <c r="AJ117" s="33" t="s">
        <v>3443</v>
      </c>
      <c r="AK117" s="94"/>
      <c r="AL117" s="33" t="s">
        <v>3444</v>
      </c>
      <c r="AM117" s="33"/>
      <c r="AN117" s="33" t="s">
        <v>3445</v>
      </c>
      <c r="AO117" s="51" t="s">
        <v>3446</v>
      </c>
      <c r="AP117" s="51" t="s">
        <v>207</v>
      </c>
      <c r="AQ117" s="33"/>
      <c r="AR117" s="54"/>
      <c r="AS117" s="54"/>
      <c r="AT117" s="54"/>
      <c r="AU117" s="54"/>
      <c r="AV117" s="54"/>
      <c r="AW117" s="54"/>
      <c r="AX117" s="54"/>
      <c r="AY117" s="54"/>
      <c r="AZ117" s="54"/>
      <c r="BA117" s="54"/>
      <c r="BB117" s="54"/>
      <c r="BC117" s="54"/>
      <c r="BD117" s="54" t="s">
        <v>2447</v>
      </c>
      <c r="BE117" s="54"/>
      <c r="BF117" s="54"/>
      <c r="BG117" s="54"/>
      <c r="BH117" s="54"/>
      <c r="BI117" s="54"/>
      <c r="BJ117" s="0"/>
      <c r="BK117" s="0"/>
      <c r="BL117" s="0"/>
      <c r="BM117" s="0"/>
      <c r="BN117" s="0"/>
      <c r="BO117" s="0"/>
      <c r="BP117"/>
      <c r="BQ117"/>
      <c r="BR117"/>
      <c r="BS117"/>
      <c r="BT117"/>
      <c r="BU117"/>
      <c r="BV117"/>
      <c r="BW117"/>
      <c r="BX117"/>
      <c r="BY117"/>
      <c r="BZ117"/>
      <c r="CA117"/>
      <c r="CB117"/>
    </row>
    <row r="118" ht="15.0" customHeight="true">
      <c r="A118" s="51" t="s">
        <v>2448</v>
      </c>
      <c r="B118" s="33"/>
      <c r="C118" s="33" t="s">
        <v>3447</v>
      </c>
      <c r="D118" s="33"/>
      <c r="E118" s="33" t="s">
        <v>3448</v>
      </c>
      <c r="F118" s="33"/>
      <c r="G118" s="55" t="s">
        <v>3449</v>
      </c>
      <c r="H118" s="33"/>
      <c r="I118" s="51" t="s">
        <v>3450</v>
      </c>
      <c r="J118" s="33"/>
      <c r="K118" s="51" t="s">
        <v>3451</v>
      </c>
      <c r="L118" s="33" t="s">
        <v>2484</v>
      </c>
      <c r="M118" s="55" t="s">
        <v>3452</v>
      </c>
      <c r="N118" s="55"/>
      <c r="O118" s="33"/>
      <c r="P118" s="33" t="s">
        <v>2251</v>
      </c>
      <c r="Q118" s="33"/>
      <c r="R118" s="33" t="s">
        <v>2263</v>
      </c>
      <c r="S118" s="56" t="s">
        <v>2277</v>
      </c>
      <c r="T118" s="56"/>
      <c r="U118" s="56"/>
      <c r="V118" s="33" t="s">
        <v>2456</v>
      </c>
      <c r="W118" s="94" t="s">
        <v>2457</v>
      </c>
      <c r="X118" s="94" t="s">
        <v>2474</v>
      </c>
      <c r="Y118" s="51"/>
      <c r="Z118" s="51"/>
      <c r="AA118" s="33" t="s">
        <v>2459</v>
      </c>
      <c r="AB118" s="33" t="s">
        <v>2460</v>
      </c>
      <c r="AC118" s="33" t="s">
        <v>2486</v>
      </c>
      <c r="AD118" s="33" t="s">
        <v>2254</v>
      </c>
      <c r="AE118" s="33"/>
      <c r="AF118" s="33" t="s">
        <v>2267</v>
      </c>
      <c r="AG118" s="33" t="s">
        <v>2461</v>
      </c>
      <c r="AH118" s="33"/>
      <c r="AI118" s="33"/>
      <c r="AJ118" s="33" t="s">
        <v>3453</v>
      </c>
      <c r="AK118" s="94"/>
      <c r="AL118" s="33" t="s">
        <v>3454</v>
      </c>
      <c r="AM118" s="33"/>
      <c r="AN118" s="33" t="s">
        <v>2465</v>
      </c>
      <c r="AO118" s="51" t="s">
        <v>2489</v>
      </c>
      <c r="AP118" s="51" t="s">
        <v>207</v>
      </c>
      <c r="AQ118" s="33"/>
      <c r="AR118" s="54"/>
      <c r="AS118" s="54"/>
      <c r="AT118" s="54"/>
      <c r="AU118" s="54"/>
      <c r="AV118" s="54"/>
      <c r="AW118" s="54"/>
      <c r="AX118" s="54"/>
      <c r="AY118" s="54"/>
      <c r="AZ118" s="54"/>
      <c r="BA118" s="54"/>
      <c r="BB118" s="54"/>
      <c r="BC118" s="54"/>
      <c r="BD118" s="54" t="s">
        <v>2447</v>
      </c>
      <c r="BE118" s="54"/>
      <c r="BF118" s="54"/>
      <c r="BG118" s="54"/>
      <c r="BH118" s="54"/>
      <c r="BI118" s="54"/>
      <c r="BJ118" s="0"/>
      <c r="BK118" s="0"/>
      <c r="BL118" s="0"/>
      <c r="BM118" s="0"/>
      <c r="BN118" s="0"/>
      <c r="BO118" s="0"/>
      <c r="BP118"/>
      <c r="BQ118"/>
      <c r="BR118"/>
      <c r="BS118"/>
      <c r="BT118"/>
      <c r="BU118"/>
      <c r="BV118"/>
      <c r="BW118"/>
      <c r="BX118"/>
      <c r="BY118"/>
      <c r="BZ118"/>
      <c r="CA118"/>
      <c r="CB118"/>
    </row>
    <row r="119" ht="15.0" customHeight="true">
      <c r="A119" s="51" t="s">
        <v>2448</v>
      </c>
      <c r="B119" s="33"/>
      <c r="C119" s="33" t="s">
        <v>3131</v>
      </c>
      <c r="D119" s="33"/>
      <c r="E119" s="33" t="s">
        <v>3455</v>
      </c>
      <c r="F119" s="33"/>
      <c r="G119" s="55" t="s">
        <v>3456</v>
      </c>
      <c r="H119" s="33"/>
      <c r="I119" s="51" t="s">
        <v>3457</v>
      </c>
      <c r="J119" s="33"/>
      <c r="K119" s="51" t="s">
        <v>3458</v>
      </c>
      <c r="L119" s="33" t="s">
        <v>2454</v>
      </c>
      <c r="M119" s="55" t="s">
        <v>2506</v>
      </c>
      <c r="N119" s="55" t="s">
        <v>3459</v>
      </c>
      <c r="O119" s="33" t="s">
        <v>2272</v>
      </c>
      <c r="P119" s="33" t="s">
        <v>2251</v>
      </c>
      <c r="Q119" s="33"/>
      <c r="R119" s="33" t="s">
        <v>2263</v>
      </c>
      <c r="S119" s="56" t="s">
        <v>2277</v>
      </c>
      <c r="T119" s="56"/>
      <c r="U119" s="56"/>
      <c r="V119" s="33" t="s">
        <v>2456</v>
      </c>
      <c r="W119" s="94" t="s">
        <v>2457</v>
      </c>
      <c r="X119" s="94" t="s">
        <v>2458</v>
      </c>
      <c r="Y119" s="51"/>
      <c r="Z119" s="51"/>
      <c r="AA119" s="33" t="s">
        <v>2459</v>
      </c>
      <c r="AB119" s="33" t="s">
        <v>2460</v>
      </c>
      <c r="AC119" s="33"/>
      <c r="AD119" s="33" t="s">
        <v>2254</v>
      </c>
      <c r="AE119" s="33"/>
      <c r="AF119" s="33" t="s">
        <v>2267</v>
      </c>
      <c r="AG119" s="33" t="s">
        <v>2461</v>
      </c>
      <c r="AH119" s="33"/>
      <c r="AI119" s="33"/>
      <c r="AJ119" s="33" t="s">
        <v>3460</v>
      </c>
      <c r="AK119" s="94"/>
      <c r="AL119" s="33" t="s">
        <v>3461</v>
      </c>
      <c r="AM119" s="33"/>
      <c r="AN119" s="33" t="s">
        <v>2465</v>
      </c>
      <c r="AO119" s="51" t="s">
        <v>2548</v>
      </c>
      <c r="AP119" s="51" t="s">
        <v>207</v>
      </c>
      <c r="AQ119" s="33"/>
      <c r="AR119" s="54"/>
      <c r="AS119" s="54"/>
      <c r="AT119" s="54"/>
      <c r="AU119" s="54"/>
      <c r="AV119" s="54"/>
      <c r="AW119" s="54"/>
      <c r="AX119" s="54"/>
      <c r="AY119" s="54"/>
      <c r="AZ119" s="54"/>
      <c r="BA119" s="54"/>
      <c r="BB119" s="54"/>
      <c r="BC119" s="54"/>
      <c r="BD119" s="54" t="s">
        <v>2447</v>
      </c>
      <c r="BE119" s="54"/>
      <c r="BF119" s="54"/>
      <c r="BG119" s="54"/>
      <c r="BH119" s="54"/>
      <c r="BI119" s="54"/>
      <c r="BJ119" s="0"/>
      <c r="BK119" s="0"/>
      <c r="BL119" s="0"/>
      <c r="BM119" s="0"/>
      <c r="BN119" s="0"/>
      <c r="BO119" s="0"/>
      <c r="BP119"/>
      <c r="BQ119"/>
      <c r="BR119"/>
      <c r="BS119"/>
      <c r="BT119"/>
      <c r="BU119"/>
      <c r="BV119"/>
      <c r="BW119"/>
      <c r="BX119"/>
      <c r="BY119"/>
      <c r="BZ119"/>
      <c r="CA119"/>
      <c r="CB119"/>
    </row>
    <row r="120" ht="15.0" customHeight="true">
      <c r="A120" s="51" t="s">
        <v>2448</v>
      </c>
      <c r="B120" s="33"/>
      <c r="C120" s="33" t="s">
        <v>3462</v>
      </c>
      <c r="D120" s="33"/>
      <c r="E120" s="33" t="s">
        <v>3463</v>
      </c>
      <c r="F120" s="33"/>
      <c r="G120" s="55" t="s">
        <v>3464</v>
      </c>
      <c r="H120" s="33"/>
      <c r="I120" s="51" t="s">
        <v>3465</v>
      </c>
      <c r="J120" s="33"/>
      <c r="K120" s="51" t="s">
        <v>3466</v>
      </c>
      <c r="L120" s="33" t="s">
        <v>2454</v>
      </c>
      <c r="M120" s="55" t="s">
        <v>2472</v>
      </c>
      <c r="N120" s="55" t="s">
        <v>2807</v>
      </c>
      <c r="O120" s="33" t="s">
        <v>2272</v>
      </c>
      <c r="P120" s="33" t="s">
        <v>2251</v>
      </c>
      <c r="Q120" s="33"/>
      <c r="R120" s="33" t="s">
        <v>2263</v>
      </c>
      <c r="S120" s="56" t="s">
        <v>2277</v>
      </c>
      <c r="T120" s="56"/>
      <c r="U120" s="56"/>
      <c r="V120" s="33" t="s">
        <v>2456</v>
      </c>
      <c r="W120" s="94" t="s">
        <v>2457</v>
      </c>
      <c r="X120" s="94" t="s">
        <v>2474</v>
      </c>
      <c r="Y120" s="51"/>
      <c r="Z120" s="51"/>
      <c r="AA120" s="33" t="s">
        <v>2459</v>
      </c>
      <c r="AB120" s="33" t="s">
        <v>2460</v>
      </c>
      <c r="AC120" s="33"/>
      <c r="AD120" s="33" t="s">
        <v>2254</v>
      </c>
      <c r="AE120" s="33"/>
      <c r="AF120" s="33" t="s">
        <v>2267</v>
      </c>
      <c r="AG120" s="33" t="s">
        <v>2461</v>
      </c>
      <c r="AH120" s="33"/>
      <c r="AI120" s="33"/>
      <c r="AJ120" s="33" t="s">
        <v>3467</v>
      </c>
      <c r="AK120" s="94"/>
      <c r="AL120" s="33" t="s">
        <v>3468</v>
      </c>
      <c r="AM120" s="33"/>
      <c r="AN120" s="33" t="s">
        <v>2465</v>
      </c>
      <c r="AO120" s="51" t="s">
        <v>2618</v>
      </c>
      <c r="AP120" s="51" t="s">
        <v>207</v>
      </c>
      <c r="AQ120" s="33"/>
      <c r="AR120" s="54"/>
      <c r="AS120" s="54"/>
      <c r="AT120" s="54"/>
      <c r="AU120" s="54"/>
      <c r="AV120" s="54"/>
      <c r="AW120" s="54"/>
      <c r="AX120" s="54"/>
      <c r="AY120" s="54"/>
      <c r="AZ120" s="54"/>
      <c r="BA120" s="54"/>
      <c r="BB120" s="54"/>
      <c r="BC120" s="54"/>
      <c r="BD120" s="54" t="s">
        <v>2447</v>
      </c>
      <c r="BE120" s="54"/>
      <c r="BF120" s="54"/>
      <c r="BG120" s="54"/>
      <c r="BH120" s="54"/>
      <c r="BI120" s="54"/>
      <c r="BJ120" s="0"/>
      <c r="BK120" s="0"/>
      <c r="BL120" s="0"/>
      <c r="BM120" s="0"/>
      <c r="BN120" s="0"/>
      <c r="BO120" s="0"/>
      <c r="BP120"/>
      <c r="BQ120"/>
      <c r="BR120"/>
      <c r="BS120"/>
      <c r="BT120"/>
      <c r="BU120"/>
      <c r="BV120"/>
      <c r="BW120"/>
      <c r="BX120"/>
      <c r="BY120"/>
      <c r="BZ120"/>
      <c r="CA120"/>
      <c r="CB120"/>
    </row>
    <row r="121" ht="15.0" customHeight="true">
      <c r="A121" s="51" t="s">
        <v>2448</v>
      </c>
      <c r="B121" s="33"/>
      <c r="C121" s="33" t="s">
        <v>3469</v>
      </c>
      <c r="D121" s="33"/>
      <c r="E121" s="33" t="s">
        <v>3470</v>
      </c>
      <c r="F121" s="33"/>
      <c r="G121" s="55" t="s">
        <v>3471</v>
      </c>
      <c r="H121" s="33"/>
      <c r="I121" s="51" t="s">
        <v>3472</v>
      </c>
      <c r="J121" s="33"/>
      <c r="K121" s="51" t="s">
        <v>3473</v>
      </c>
      <c r="L121" s="33" t="s">
        <v>2454</v>
      </c>
      <c r="M121" s="55" t="s">
        <v>3474</v>
      </c>
      <c r="N121" s="55" t="s">
        <v>3475</v>
      </c>
      <c r="O121" s="33" t="s">
        <v>2272</v>
      </c>
      <c r="P121" s="33" t="s">
        <v>2251</v>
      </c>
      <c r="Q121" s="33"/>
      <c r="R121" s="33" t="s">
        <v>2263</v>
      </c>
      <c r="S121" s="56" t="s">
        <v>2277</v>
      </c>
      <c r="T121" s="56"/>
      <c r="U121" s="56"/>
      <c r="V121" s="33" t="s">
        <v>2456</v>
      </c>
      <c r="W121" s="94" t="s">
        <v>2457</v>
      </c>
      <c r="X121" s="94" t="s">
        <v>2458</v>
      </c>
      <c r="Y121" s="51"/>
      <c r="Z121" s="51"/>
      <c r="AA121" s="33" t="s">
        <v>2459</v>
      </c>
      <c r="AB121" s="33" t="s">
        <v>2460</v>
      </c>
      <c r="AC121" s="33"/>
      <c r="AD121" s="33" t="s">
        <v>2254</v>
      </c>
      <c r="AE121" s="33"/>
      <c r="AF121" s="33" t="s">
        <v>2267</v>
      </c>
      <c r="AG121" s="33" t="s">
        <v>2461</v>
      </c>
      <c r="AH121" s="33"/>
      <c r="AI121" s="33"/>
      <c r="AJ121" s="33" t="s">
        <v>3476</v>
      </c>
      <c r="AK121" s="94"/>
      <c r="AL121" s="33" t="s">
        <v>3477</v>
      </c>
      <c r="AM121" s="33" t="s">
        <v>3478</v>
      </c>
      <c r="AN121" s="33" t="s">
        <v>2465</v>
      </c>
      <c r="AO121" s="51" t="s">
        <v>2538</v>
      </c>
      <c r="AP121" s="51" t="s">
        <v>207</v>
      </c>
      <c r="AQ121" s="33"/>
      <c r="AR121" s="54"/>
      <c r="AS121" s="54"/>
      <c r="AT121" s="54"/>
      <c r="AU121" s="54"/>
      <c r="AV121" s="54"/>
      <c r="AW121" s="54"/>
      <c r="AX121" s="54"/>
      <c r="AY121" s="54"/>
      <c r="AZ121" s="54"/>
      <c r="BA121" s="54"/>
      <c r="BB121" s="54"/>
      <c r="BC121" s="54"/>
      <c r="BD121" s="54" t="s">
        <v>2447</v>
      </c>
      <c r="BE121" s="54"/>
      <c r="BF121" s="54"/>
      <c r="BG121" s="54"/>
      <c r="BH121" s="54"/>
      <c r="BI121" s="54"/>
      <c r="BJ121" s="0"/>
      <c r="BK121" s="0"/>
      <c r="BL121" s="0"/>
      <c r="BM121" s="0"/>
      <c r="BN121" s="0"/>
      <c r="BO121" s="0"/>
      <c r="BP121"/>
      <c r="BQ121"/>
      <c r="BR121"/>
      <c r="BS121"/>
      <c r="BT121"/>
      <c r="BU121"/>
      <c r="BV121"/>
      <c r="BW121"/>
      <c r="BX121"/>
      <c r="BY121"/>
      <c r="BZ121"/>
      <c r="CA121"/>
      <c r="CB121"/>
    </row>
    <row r="122" ht="15.0" customHeight="true">
      <c r="A122" s="51" t="s">
        <v>2448</v>
      </c>
      <c r="B122" s="33"/>
      <c r="C122" s="33" t="s">
        <v>3479</v>
      </c>
      <c r="D122" s="33"/>
      <c r="E122" s="33" t="s">
        <v>3480</v>
      </c>
      <c r="F122" s="33"/>
      <c r="G122" s="55" t="s">
        <v>3481</v>
      </c>
      <c r="H122" s="33"/>
      <c r="I122" s="51" t="s">
        <v>3482</v>
      </c>
      <c r="J122" s="33"/>
      <c r="K122" s="51" t="s">
        <v>3483</v>
      </c>
      <c r="L122" s="33" t="s">
        <v>2484</v>
      </c>
      <c r="M122" s="55" t="s">
        <v>3484</v>
      </c>
      <c r="N122" s="55"/>
      <c r="O122" s="33"/>
      <c r="P122" s="33" t="s">
        <v>2251</v>
      </c>
      <c r="Q122" s="33"/>
      <c r="R122" s="33" t="s">
        <v>2263</v>
      </c>
      <c r="S122" s="56" t="s">
        <v>2277</v>
      </c>
      <c r="T122" s="56"/>
      <c r="U122" s="56"/>
      <c r="V122" s="33" t="s">
        <v>2456</v>
      </c>
      <c r="W122" s="94" t="s">
        <v>2457</v>
      </c>
      <c r="X122" s="94" t="s">
        <v>2474</v>
      </c>
      <c r="Y122" s="51"/>
      <c r="Z122" s="51"/>
      <c r="AA122" s="33" t="s">
        <v>2459</v>
      </c>
      <c r="AB122" s="33" t="s">
        <v>2460</v>
      </c>
      <c r="AC122" s="33" t="s">
        <v>2486</v>
      </c>
      <c r="AD122" s="33" t="s">
        <v>2254</v>
      </c>
      <c r="AE122" s="33"/>
      <c r="AF122" s="33" t="s">
        <v>2267</v>
      </c>
      <c r="AG122" s="33" t="s">
        <v>2461</v>
      </c>
      <c r="AH122" s="33"/>
      <c r="AI122" s="33"/>
      <c r="AJ122" s="33" t="s">
        <v>3485</v>
      </c>
      <c r="AK122" s="94"/>
      <c r="AL122" s="33" t="s">
        <v>3486</v>
      </c>
      <c r="AM122" s="33"/>
      <c r="AN122" s="33" t="s">
        <v>2588</v>
      </c>
      <c r="AO122" s="51" t="s">
        <v>2702</v>
      </c>
      <c r="AP122" s="51" t="s">
        <v>207</v>
      </c>
      <c r="AQ122" s="33"/>
      <c r="AR122" s="54"/>
      <c r="AS122" s="54"/>
      <c r="AT122" s="54"/>
      <c r="AU122" s="54"/>
      <c r="AV122" s="54"/>
      <c r="AW122" s="54"/>
      <c r="AX122" s="54"/>
      <c r="AY122" s="54"/>
      <c r="AZ122" s="54"/>
      <c r="BA122" s="54"/>
      <c r="BB122" s="54"/>
      <c r="BC122" s="54"/>
      <c r="BD122" s="54" t="s">
        <v>2447</v>
      </c>
      <c r="BE122" s="54"/>
      <c r="BF122" s="54"/>
      <c r="BG122" s="54"/>
      <c r="BH122" s="54"/>
      <c r="BI122" s="54"/>
      <c r="BJ122" s="0"/>
      <c r="BK122" s="0"/>
      <c r="BL122" s="0"/>
      <c r="BM122" s="0"/>
      <c r="BN122" s="0"/>
      <c r="BO122" s="0"/>
      <c r="BP122"/>
      <c r="BQ122"/>
      <c r="BR122"/>
      <c r="BS122"/>
      <c r="BT122"/>
      <c r="BU122"/>
      <c r="BV122"/>
      <c r="BW122"/>
      <c r="BX122"/>
      <c r="BY122"/>
      <c r="BZ122"/>
      <c r="CA122"/>
      <c r="CB122"/>
    </row>
    <row r="123" ht="15.0" customHeight="true">
      <c r="A123" s="51" t="s">
        <v>2448</v>
      </c>
      <c r="B123" s="33"/>
      <c r="C123" s="33" t="s">
        <v>3060</v>
      </c>
      <c r="D123" s="33"/>
      <c r="E123" s="33" t="s">
        <v>3487</v>
      </c>
      <c r="F123" s="33"/>
      <c r="G123" s="55" t="s">
        <v>3488</v>
      </c>
      <c r="H123" s="33"/>
      <c r="I123" s="51" t="s">
        <v>3489</v>
      </c>
      <c r="J123" s="33"/>
      <c r="K123" s="51" t="s">
        <v>3490</v>
      </c>
      <c r="L123" s="33" t="s">
        <v>2454</v>
      </c>
      <c r="M123" s="55" t="s">
        <v>2985</v>
      </c>
      <c r="N123" s="55" t="s">
        <v>2985</v>
      </c>
      <c r="O123" s="33" t="s">
        <v>2272</v>
      </c>
      <c r="P123" s="33" t="s">
        <v>2251</v>
      </c>
      <c r="Q123" s="33"/>
      <c r="R123" s="33" t="s">
        <v>2263</v>
      </c>
      <c r="S123" s="56" t="s">
        <v>2277</v>
      </c>
      <c r="T123" s="56"/>
      <c r="U123" s="56"/>
      <c r="V123" s="33" t="s">
        <v>2456</v>
      </c>
      <c r="W123" s="94" t="s">
        <v>2457</v>
      </c>
      <c r="X123" s="94" t="s">
        <v>2474</v>
      </c>
      <c r="Y123" s="51"/>
      <c r="Z123" s="51"/>
      <c r="AA123" s="33" t="s">
        <v>2459</v>
      </c>
      <c r="AB123" s="33" t="s">
        <v>2460</v>
      </c>
      <c r="AC123" s="33"/>
      <c r="AD123" s="33" t="s">
        <v>2254</v>
      </c>
      <c r="AE123" s="33"/>
      <c r="AF123" s="33" t="s">
        <v>2267</v>
      </c>
      <c r="AG123" s="33" t="s">
        <v>2461</v>
      </c>
      <c r="AH123" s="33"/>
      <c r="AI123" s="33"/>
      <c r="AJ123" s="33" t="s">
        <v>3491</v>
      </c>
      <c r="AK123" s="94"/>
      <c r="AL123" s="33" t="s">
        <v>3492</v>
      </c>
      <c r="AM123" s="33" t="s">
        <v>3493</v>
      </c>
      <c r="AN123" s="33" t="s">
        <v>2465</v>
      </c>
      <c r="AO123" s="51" t="s">
        <v>2466</v>
      </c>
      <c r="AP123" s="51" t="s">
        <v>207</v>
      </c>
      <c r="AQ123" s="33"/>
      <c r="AR123" s="54"/>
      <c r="AS123" s="54"/>
      <c r="AT123" s="54"/>
      <c r="AU123" s="54"/>
      <c r="AV123" s="54"/>
      <c r="AW123" s="54"/>
      <c r="AX123" s="54"/>
      <c r="AY123" s="54"/>
      <c r="AZ123" s="54"/>
      <c r="BA123" s="54"/>
      <c r="BB123" s="54"/>
      <c r="BC123" s="54"/>
      <c r="BD123" s="54" t="s">
        <v>2447</v>
      </c>
      <c r="BE123" s="54"/>
      <c r="BF123" s="54"/>
      <c r="BG123" s="54"/>
      <c r="BH123" s="54"/>
      <c r="BI123" s="54"/>
      <c r="BJ123" s="0"/>
      <c r="BK123" s="0"/>
      <c r="BL123" s="0"/>
      <c r="BM123" s="0"/>
      <c r="BN123" s="0"/>
      <c r="BO123" s="0"/>
      <c r="BP123"/>
      <c r="BQ123"/>
      <c r="BR123"/>
      <c r="BS123"/>
      <c r="BT123"/>
      <c r="BU123"/>
      <c r="BV123"/>
      <c r="BW123"/>
      <c r="BX123"/>
      <c r="BY123"/>
      <c r="BZ123"/>
      <c r="CA123"/>
      <c r="CB123"/>
    </row>
    <row r="124" ht="15.0" customHeight="true">
      <c r="A124" s="51" t="s">
        <v>2448</v>
      </c>
      <c r="B124" s="33"/>
      <c r="C124" s="33" t="s">
        <v>3494</v>
      </c>
      <c r="D124" s="33"/>
      <c r="E124" s="33" t="s">
        <v>3495</v>
      </c>
      <c r="F124" s="33"/>
      <c r="G124" s="55" t="s">
        <v>3496</v>
      </c>
      <c r="H124" s="33"/>
      <c r="I124" s="51" t="s">
        <v>3497</v>
      </c>
      <c r="J124" s="33"/>
      <c r="K124" s="51" t="s">
        <v>3498</v>
      </c>
      <c r="L124" s="33" t="s">
        <v>2454</v>
      </c>
      <c r="M124" s="55" t="s">
        <v>3499</v>
      </c>
      <c r="N124" s="55" t="s">
        <v>3500</v>
      </c>
      <c r="O124" s="33" t="s">
        <v>2272</v>
      </c>
      <c r="P124" s="33" t="s">
        <v>2251</v>
      </c>
      <c r="Q124" s="33"/>
      <c r="R124" s="33" t="s">
        <v>2263</v>
      </c>
      <c r="S124" s="56" t="s">
        <v>2277</v>
      </c>
      <c r="T124" s="56"/>
      <c r="U124" s="56"/>
      <c r="V124" s="33" t="s">
        <v>2456</v>
      </c>
      <c r="W124" s="94" t="s">
        <v>2457</v>
      </c>
      <c r="X124" s="94" t="s">
        <v>2458</v>
      </c>
      <c r="Y124" s="51"/>
      <c r="Z124" s="51"/>
      <c r="AA124" s="33" t="s">
        <v>2459</v>
      </c>
      <c r="AB124" s="33" t="s">
        <v>2460</v>
      </c>
      <c r="AC124" s="33"/>
      <c r="AD124" s="33" t="s">
        <v>2254</v>
      </c>
      <c r="AE124" s="33"/>
      <c r="AF124" s="33" t="s">
        <v>2267</v>
      </c>
      <c r="AG124" s="33" t="s">
        <v>2461</v>
      </c>
      <c r="AH124" s="33"/>
      <c r="AI124" s="33"/>
      <c r="AJ124" s="33" t="s">
        <v>3501</v>
      </c>
      <c r="AK124" s="94"/>
      <c r="AL124" s="33" t="s">
        <v>3502</v>
      </c>
      <c r="AM124" s="33"/>
      <c r="AN124" s="33" t="s">
        <v>3503</v>
      </c>
      <c r="AO124" s="51" t="s">
        <v>3104</v>
      </c>
      <c r="AP124" s="51" t="s">
        <v>207</v>
      </c>
      <c r="AQ124" s="33"/>
      <c r="AR124" s="54"/>
      <c r="AS124" s="54"/>
      <c r="AT124" s="54"/>
      <c r="AU124" s="54"/>
      <c r="AV124" s="54"/>
      <c r="AW124" s="54"/>
      <c r="AX124" s="54"/>
      <c r="AY124" s="54"/>
      <c r="AZ124" s="54"/>
      <c r="BA124" s="54"/>
      <c r="BB124" s="54"/>
      <c r="BC124" s="54"/>
      <c r="BD124" s="54" t="s">
        <v>2447</v>
      </c>
      <c r="BE124" s="54"/>
      <c r="BF124" s="54"/>
      <c r="BG124" s="54"/>
      <c r="BH124" s="54"/>
      <c r="BI124" s="54"/>
      <c r="BJ124" s="0"/>
      <c r="BK124" s="0"/>
      <c r="BL124" s="0"/>
      <c r="BM124" s="0"/>
      <c r="BN124" s="0"/>
      <c r="BO124" s="0"/>
      <c r="BP124"/>
      <c r="BQ124"/>
      <c r="BR124"/>
      <c r="BS124"/>
      <c r="BT124"/>
      <c r="BU124"/>
      <c r="BV124"/>
      <c r="BW124"/>
      <c r="BX124"/>
      <c r="BY124"/>
      <c r="BZ124"/>
      <c r="CA124"/>
      <c r="CB124"/>
    </row>
    <row r="125" ht="15.0" customHeight="true">
      <c r="A125" s="51" t="s">
        <v>2448</v>
      </c>
      <c r="B125" s="33"/>
      <c r="C125" s="33" t="s">
        <v>3504</v>
      </c>
      <c r="D125" s="33"/>
      <c r="E125" s="33" t="s">
        <v>3505</v>
      </c>
      <c r="F125" s="33"/>
      <c r="G125" s="55" t="s">
        <v>3506</v>
      </c>
      <c r="H125" s="33"/>
      <c r="I125" s="51" t="s">
        <v>3507</v>
      </c>
      <c r="J125" s="33"/>
      <c r="K125" s="51" t="s">
        <v>3508</v>
      </c>
      <c r="L125" s="33" t="s">
        <v>2454</v>
      </c>
      <c r="M125" s="55" t="s">
        <v>3118</v>
      </c>
      <c r="N125" s="55" t="s">
        <v>3118</v>
      </c>
      <c r="O125" s="33" t="s">
        <v>2272</v>
      </c>
      <c r="P125" s="33" t="s">
        <v>2251</v>
      </c>
      <c r="Q125" s="33"/>
      <c r="R125" s="33" t="s">
        <v>2263</v>
      </c>
      <c r="S125" s="56" t="s">
        <v>2277</v>
      </c>
      <c r="T125" s="56"/>
      <c r="U125" s="56"/>
      <c r="V125" s="33" t="s">
        <v>2456</v>
      </c>
      <c r="W125" s="94" t="s">
        <v>2457</v>
      </c>
      <c r="X125" s="94" t="s">
        <v>2474</v>
      </c>
      <c r="Y125" s="51"/>
      <c r="Z125" s="51"/>
      <c r="AA125" s="33" t="s">
        <v>2459</v>
      </c>
      <c r="AB125" s="33" t="s">
        <v>2460</v>
      </c>
      <c r="AC125" s="33"/>
      <c r="AD125" s="33" t="s">
        <v>2254</v>
      </c>
      <c r="AE125" s="33"/>
      <c r="AF125" s="33" t="s">
        <v>2267</v>
      </c>
      <c r="AG125" s="33" t="s">
        <v>2461</v>
      </c>
      <c r="AH125" s="33"/>
      <c r="AI125" s="33"/>
      <c r="AJ125" s="33" t="s">
        <v>3509</v>
      </c>
      <c r="AK125" s="94"/>
      <c r="AL125" s="33" t="s">
        <v>3510</v>
      </c>
      <c r="AM125" s="33"/>
      <c r="AN125" s="33" t="s">
        <v>2465</v>
      </c>
      <c r="AO125" s="51" t="s">
        <v>2618</v>
      </c>
      <c r="AP125" s="51" t="s">
        <v>207</v>
      </c>
      <c r="AQ125" s="33"/>
      <c r="AR125" s="54"/>
      <c r="AS125" s="54"/>
      <c r="AT125" s="54"/>
      <c r="AU125" s="54"/>
      <c r="AV125" s="54"/>
      <c r="AW125" s="54"/>
      <c r="AX125" s="54"/>
      <c r="AY125" s="54"/>
      <c r="AZ125" s="54"/>
      <c r="BA125" s="54"/>
      <c r="BB125" s="54"/>
      <c r="BC125" s="54"/>
      <c r="BD125" s="54" t="s">
        <v>2447</v>
      </c>
      <c r="BE125" s="54"/>
      <c r="BF125" s="54"/>
      <c r="BG125" s="54"/>
      <c r="BH125" s="54"/>
      <c r="BI125" s="54"/>
      <c r="BJ125" s="0"/>
      <c r="BK125" s="0"/>
      <c r="BL125" s="0"/>
      <c r="BM125" s="0"/>
      <c r="BN125" s="0"/>
      <c r="BO125" s="0"/>
      <c r="BP125"/>
      <c r="BQ125"/>
      <c r="BR125"/>
      <c r="BS125"/>
      <c r="BT125"/>
      <c r="BU125"/>
      <c r="BV125"/>
      <c r="BW125"/>
      <c r="BX125"/>
      <c r="BY125"/>
      <c r="BZ125"/>
      <c r="CA125"/>
      <c r="CB125"/>
    </row>
    <row r="126" ht="15.0" customHeight="true">
      <c r="A126" s="51" t="s">
        <v>2448</v>
      </c>
      <c r="B126" s="33"/>
      <c r="C126" s="33" t="s">
        <v>3511</v>
      </c>
      <c r="D126" s="33"/>
      <c r="E126" s="33" t="s">
        <v>3512</v>
      </c>
      <c r="F126" s="33"/>
      <c r="G126" s="55" t="s">
        <v>3513</v>
      </c>
      <c r="H126" s="33"/>
      <c r="I126" s="51" t="s">
        <v>3514</v>
      </c>
      <c r="J126" s="33"/>
      <c r="K126" s="51" t="s">
        <v>3515</v>
      </c>
      <c r="L126" s="33" t="s">
        <v>2454</v>
      </c>
      <c r="M126" s="55" t="s">
        <v>3516</v>
      </c>
      <c r="N126" s="55" t="s">
        <v>3517</v>
      </c>
      <c r="O126" s="33" t="s">
        <v>2272</v>
      </c>
      <c r="P126" s="33" t="s">
        <v>2251</v>
      </c>
      <c r="Q126" s="33"/>
      <c r="R126" s="33" t="s">
        <v>2263</v>
      </c>
      <c r="S126" s="56" t="s">
        <v>2277</v>
      </c>
      <c r="T126" s="56"/>
      <c r="U126" s="56"/>
      <c r="V126" s="33" t="s">
        <v>2456</v>
      </c>
      <c r="W126" s="94" t="s">
        <v>2457</v>
      </c>
      <c r="X126" s="94" t="s">
        <v>2458</v>
      </c>
      <c r="Y126" s="51"/>
      <c r="Z126" s="51"/>
      <c r="AA126" s="33" t="s">
        <v>2459</v>
      </c>
      <c r="AB126" s="33" t="s">
        <v>2460</v>
      </c>
      <c r="AC126" s="33"/>
      <c r="AD126" s="33" t="s">
        <v>2254</v>
      </c>
      <c r="AE126" s="33"/>
      <c r="AF126" s="33" t="s">
        <v>2267</v>
      </c>
      <c r="AG126" s="33" t="s">
        <v>2461</v>
      </c>
      <c r="AH126" s="33"/>
      <c r="AI126" s="33"/>
      <c r="AJ126" s="33" t="s">
        <v>3518</v>
      </c>
      <c r="AK126" s="94"/>
      <c r="AL126" s="33" t="s">
        <v>3519</v>
      </c>
      <c r="AM126" s="33"/>
      <c r="AN126" s="33" t="s">
        <v>976</v>
      </c>
      <c r="AO126" s="51" t="s">
        <v>2489</v>
      </c>
      <c r="AP126" s="51" t="s">
        <v>207</v>
      </c>
      <c r="AQ126" s="33"/>
      <c r="AR126" s="54"/>
      <c r="AS126" s="54"/>
      <c r="AT126" s="54"/>
      <c r="AU126" s="54"/>
      <c r="AV126" s="54"/>
      <c r="AW126" s="54"/>
      <c r="AX126" s="54"/>
      <c r="AY126" s="54"/>
      <c r="AZ126" s="54"/>
      <c r="BA126" s="54"/>
      <c r="BB126" s="54"/>
      <c r="BC126" s="54"/>
      <c r="BD126" s="54" t="s">
        <v>2447</v>
      </c>
      <c r="BE126" s="54"/>
      <c r="BF126" s="54"/>
      <c r="BG126" s="54"/>
      <c r="BH126" s="54"/>
      <c r="BI126" s="54"/>
      <c r="BJ126" s="0"/>
      <c r="BK126" s="0"/>
      <c r="BL126" s="0"/>
      <c r="BM126" s="0"/>
      <c r="BN126" s="0"/>
      <c r="BO126" s="0"/>
      <c r="BP126"/>
      <c r="BQ126"/>
      <c r="BR126"/>
      <c r="BS126"/>
      <c r="BT126"/>
      <c r="BU126"/>
      <c r="BV126"/>
      <c r="BW126"/>
      <c r="BX126"/>
      <c r="BY126"/>
      <c r="BZ126"/>
      <c r="CA126"/>
      <c r="CB126"/>
    </row>
    <row r="127" ht="15.0" customHeight="true">
      <c r="A127" s="51" t="s">
        <v>2448</v>
      </c>
      <c r="B127" s="33"/>
      <c r="C127" s="33" t="s">
        <v>3520</v>
      </c>
      <c r="D127" s="33"/>
      <c r="E127" s="33" t="s">
        <v>3521</v>
      </c>
      <c r="F127" s="33"/>
      <c r="G127" s="55" t="s">
        <v>3522</v>
      </c>
      <c r="H127" s="33"/>
      <c r="I127" s="51" t="s">
        <v>3523</v>
      </c>
      <c r="J127" s="33"/>
      <c r="K127" s="51" t="s">
        <v>3524</v>
      </c>
      <c r="L127" s="33" t="s">
        <v>2454</v>
      </c>
      <c r="M127" s="55" t="s">
        <v>3525</v>
      </c>
      <c r="N127" s="55" t="s">
        <v>3526</v>
      </c>
      <c r="O127" s="33" t="s">
        <v>2272</v>
      </c>
      <c r="P127" s="33" t="s">
        <v>2251</v>
      </c>
      <c r="Q127" s="33"/>
      <c r="R127" s="33" t="s">
        <v>2263</v>
      </c>
      <c r="S127" s="56" t="s">
        <v>2277</v>
      </c>
      <c r="T127" s="56"/>
      <c r="U127" s="56"/>
      <c r="V127" s="33" t="s">
        <v>2456</v>
      </c>
      <c r="W127" s="94" t="s">
        <v>2457</v>
      </c>
      <c r="X127" s="94" t="s">
        <v>2458</v>
      </c>
      <c r="Y127" s="51"/>
      <c r="Z127" s="51"/>
      <c r="AA127" s="33" t="s">
        <v>2459</v>
      </c>
      <c r="AB127" s="33" t="s">
        <v>2460</v>
      </c>
      <c r="AC127" s="33"/>
      <c r="AD127" s="33" t="s">
        <v>2254</v>
      </c>
      <c r="AE127" s="33"/>
      <c r="AF127" s="33" t="s">
        <v>2267</v>
      </c>
      <c r="AG127" s="33" t="s">
        <v>2461</v>
      </c>
      <c r="AH127" s="33"/>
      <c r="AI127" s="33"/>
      <c r="AJ127" s="33" t="s">
        <v>3527</v>
      </c>
      <c r="AK127" s="94"/>
      <c r="AL127" s="33" t="s">
        <v>3226</v>
      </c>
      <c r="AM127" s="33" t="s">
        <v>3528</v>
      </c>
      <c r="AN127" s="33" t="s">
        <v>2465</v>
      </c>
      <c r="AO127" s="51" t="s">
        <v>2489</v>
      </c>
      <c r="AP127" s="51" t="s">
        <v>207</v>
      </c>
      <c r="AQ127" s="33"/>
      <c r="AR127" s="54"/>
      <c r="AS127" s="54"/>
      <c r="AT127" s="54"/>
      <c r="AU127" s="54"/>
      <c r="AV127" s="54"/>
      <c r="AW127" s="54"/>
      <c r="AX127" s="54"/>
      <c r="AY127" s="54"/>
      <c r="AZ127" s="54"/>
      <c r="BA127" s="54"/>
      <c r="BB127" s="54"/>
      <c r="BC127" s="54"/>
      <c r="BD127" s="54" t="s">
        <v>2447</v>
      </c>
      <c r="BE127" s="54"/>
      <c r="BF127" s="54"/>
      <c r="BG127" s="54"/>
      <c r="BH127" s="54"/>
      <c r="BI127" s="54"/>
      <c r="BJ127" s="0"/>
      <c r="BK127" s="0"/>
      <c r="BL127" s="0"/>
      <c r="BM127" s="0"/>
      <c r="BN127" s="0"/>
      <c r="BO127" s="0"/>
      <c r="BP127"/>
      <c r="BQ127"/>
      <c r="BR127"/>
      <c r="BS127"/>
      <c r="BT127"/>
      <c r="BU127"/>
      <c r="BV127"/>
      <c r="BW127"/>
      <c r="BX127"/>
      <c r="BY127"/>
      <c r="BZ127"/>
      <c r="CA127"/>
      <c r="CB127"/>
    </row>
    <row r="128" ht="15.0" customHeight="true">
      <c r="A128" s="51" t="s">
        <v>2448</v>
      </c>
      <c r="B128" s="33"/>
      <c r="C128" s="33" t="s">
        <v>3529</v>
      </c>
      <c r="D128" s="33"/>
      <c r="E128" s="33" t="s">
        <v>3530</v>
      </c>
      <c r="F128" s="33"/>
      <c r="G128" s="55" t="s">
        <v>3531</v>
      </c>
      <c r="H128" s="33"/>
      <c r="I128" s="51" t="s">
        <v>3532</v>
      </c>
      <c r="J128" s="33"/>
      <c r="K128" s="51" t="s">
        <v>3533</v>
      </c>
      <c r="L128" s="33" t="s">
        <v>2454</v>
      </c>
      <c r="M128" s="55" t="s">
        <v>3534</v>
      </c>
      <c r="N128" s="55" t="s">
        <v>2679</v>
      </c>
      <c r="O128" s="33" t="s">
        <v>2272</v>
      </c>
      <c r="P128" s="33" t="s">
        <v>2251</v>
      </c>
      <c r="Q128" s="33"/>
      <c r="R128" s="33" t="s">
        <v>2263</v>
      </c>
      <c r="S128" s="56" t="s">
        <v>2277</v>
      </c>
      <c r="T128" s="56"/>
      <c r="U128" s="56"/>
      <c r="V128" s="33" t="s">
        <v>2456</v>
      </c>
      <c r="W128" s="94" t="s">
        <v>2457</v>
      </c>
      <c r="X128" s="94" t="s">
        <v>3535</v>
      </c>
      <c r="Y128" s="51"/>
      <c r="Z128" s="51"/>
      <c r="AA128" s="33" t="s">
        <v>2459</v>
      </c>
      <c r="AB128" s="33" t="s">
        <v>2460</v>
      </c>
      <c r="AC128" s="33"/>
      <c r="AD128" s="33" t="s">
        <v>2254</v>
      </c>
      <c r="AE128" s="33"/>
      <c r="AF128" s="33" t="s">
        <v>2267</v>
      </c>
      <c r="AG128" s="33" t="s">
        <v>2461</v>
      </c>
      <c r="AH128" s="33"/>
      <c r="AI128" s="33"/>
      <c r="AJ128" s="33" t="s">
        <v>3536</v>
      </c>
      <c r="AK128" s="94"/>
      <c r="AL128" s="33" t="s">
        <v>3537</v>
      </c>
      <c r="AM128" s="33"/>
      <c r="AN128" s="33" t="s">
        <v>2465</v>
      </c>
      <c r="AO128" s="51" t="s">
        <v>2528</v>
      </c>
      <c r="AP128" s="51" t="s">
        <v>207</v>
      </c>
      <c r="AQ128" s="33"/>
      <c r="AR128" s="54"/>
      <c r="AS128" s="54"/>
      <c r="AT128" s="54"/>
      <c r="AU128" s="54"/>
      <c r="AV128" s="54"/>
      <c r="AW128" s="54"/>
      <c r="AX128" s="54"/>
      <c r="AY128" s="54"/>
      <c r="AZ128" s="54"/>
      <c r="BA128" s="54"/>
      <c r="BB128" s="54"/>
      <c r="BC128" s="54"/>
      <c r="BD128" s="54" t="s">
        <v>2447</v>
      </c>
      <c r="BE128" s="54"/>
      <c r="BF128" s="54"/>
      <c r="BG128" s="54"/>
      <c r="BH128" s="54"/>
      <c r="BI128" s="54"/>
      <c r="BJ128" s="0"/>
      <c r="BK128" s="0"/>
      <c r="BL128" s="0"/>
      <c r="BM128" s="0"/>
      <c r="BN128" s="0"/>
      <c r="BO128" s="0"/>
      <c r="BP128"/>
      <c r="BQ128"/>
      <c r="BR128"/>
      <c r="BS128"/>
      <c r="BT128"/>
      <c r="BU128"/>
      <c r="BV128"/>
      <c r="BW128"/>
      <c r="BX128"/>
      <c r="BY128"/>
      <c r="BZ128"/>
      <c r="CA128"/>
      <c r="CB128"/>
    </row>
    <row r="129" ht="15.0" customHeight="true">
      <c r="A129" s="51" t="s">
        <v>2448</v>
      </c>
      <c r="B129" s="33"/>
      <c r="C129" s="33" t="s">
        <v>3538</v>
      </c>
      <c r="D129" s="33"/>
      <c r="E129" s="33" t="s">
        <v>3539</v>
      </c>
      <c r="F129" s="33"/>
      <c r="G129" s="55" t="s">
        <v>3540</v>
      </c>
      <c r="H129" s="33"/>
      <c r="I129" s="51" t="s">
        <v>3541</v>
      </c>
      <c r="J129" s="33"/>
      <c r="K129" s="51" t="s">
        <v>3542</v>
      </c>
      <c r="L129" s="33" t="s">
        <v>2454</v>
      </c>
      <c r="M129" s="55" t="s">
        <v>3543</v>
      </c>
      <c r="N129" s="55" t="s">
        <v>3544</v>
      </c>
      <c r="O129" s="33" t="s">
        <v>2272</v>
      </c>
      <c r="P129" s="33" t="s">
        <v>2251</v>
      </c>
      <c r="Q129" s="33"/>
      <c r="R129" s="33" t="s">
        <v>2263</v>
      </c>
      <c r="S129" s="56" t="s">
        <v>2277</v>
      </c>
      <c r="T129" s="56"/>
      <c r="U129" s="56"/>
      <c r="V129" s="33" t="s">
        <v>2456</v>
      </c>
      <c r="W129" s="94" t="s">
        <v>2457</v>
      </c>
      <c r="X129" s="94" t="s">
        <v>2474</v>
      </c>
      <c r="Y129" s="51"/>
      <c r="Z129" s="51"/>
      <c r="AA129" s="33" t="s">
        <v>2459</v>
      </c>
      <c r="AB129" s="33" t="s">
        <v>2460</v>
      </c>
      <c r="AC129" s="33"/>
      <c r="AD129" s="33" t="s">
        <v>2254</v>
      </c>
      <c r="AE129" s="33"/>
      <c r="AF129" s="33" t="s">
        <v>2267</v>
      </c>
      <c r="AG129" s="33" t="s">
        <v>2461</v>
      </c>
      <c r="AH129" s="33"/>
      <c r="AI129" s="33"/>
      <c r="AJ129" s="33" t="s">
        <v>3545</v>
      </c>
      <c r="AK129" s="94"/>
      <c r="AL129" s="33" t="s">
        <v>3546</v>
      </c>
      <c r="AM129" s="33"/>
      <c r="AN129" s="33" t="s">
        <v>2465</v>
      </c>
      <c r="AO129" s="51" t="s">
        <v>2466</v>
      </c>
      <c r="AP129" s="51" t="s">
        <v>207</v>
      </c>
      <c r="AQ129" s="33"/>
      <c r="AR129" s="54"/>
      <c r="AS129" s="54"/>
      <c r="AT129" s="54"/>
      <c r="AU129" s="54"/>
      <c r="AV129" s="54"/>
      <c r="AW129" s="54"/>
      <c r="AX129" s="54"/>
      <c r="AY129" s="54"/>
      <c r="AZ129" s="54"/>
      <c r="BA129" s="54"/>
      <c r="BB129" s="54"/>
      <c r="BC129" s="54"/>
      <c r="BD129" s="54" t="s">
        <v>2447</v>
      </c>
      <c r="BE129" s="54"/>
      <c r="BF129" s="54"/>
      <c r="BG129" s="54"/>
      <c r="BH129" s="54"/>
      <c r="BI129" s="54"/>
      <c r="BJ129" s="0"/>
      <c r="BK129" s="0"/>
      <c r="BL129" s="0"/>
      <c r="BM129" s="0"/>
      <c r="BN129" s="0"/>
      <c r="BO129" s="0"/>
      <c r="BP129"/>
      <c r="BQ129"/>
      <c r="BR129"/>
      <c r="BS129"/>
      <c r="BT129"/>
      <c r="BU129"/>
      <c r="BV129"/>
      <c r="BW129"/>
      <c r="BX129"/>
      <c r="BY129"/>
      <c r="BZ129"/>
      <c r="CA129"/>
      <c r="CB129"/>
    </row>
    <row r="130" ht="15.0" customHeight="true">
      <c r="A130" s="51" t="s">
        <v>2448</v>
      </c>
      <c r="B130" s="33"/>
      <c r="C130" s="33" t="s">
        <v>3547</v>
      </c>
      <c r="D130" s="33"/>
      <c r="E130" s="33" t="s">
        <v>3548</v>
      </c>
      <c r="F130" s="33"/>
      <c r="G130" s="55" t="s">
        <v>3549</v>
      </c>
      <c r="H130" s="33"/>
      <c r="I130" s="51" t="s">
        <v>3550</v>
      </c>
      <c r="J130" s="33"/>
      <c r="K130" s="51" t="s">
        <v>3551</v>
      </c>
      <c r="L130" s="33" t="s">
        <v>2454</v>
      </c>
      <c r="M130" s="55" t="s">
        <v>2708</v>
      </c>
      <c r="N130" s="55" t="s">
        <v>3552</v>
      </c>
      <c r="O130" s="33" t="s">
        <v>2272</v>
      </c>
      <c r="P130" s="33" t="s">
        <v>2251</v>
      </c>
      <c r="Q130" s="33"/>
      <c r="R130" s="33" t="s">
        <v>2263</v>
      </c>
      <c r="S130" s="56" t="s">
        <v>2277</v>
      </c>
      <c r="T130" s="56"/>
      <c r="U130" s="56"/>
      <c r="V130" s="33" t="s">
        <v>2456</v>
      </c>
      <c r="W130" s="94" t="s">
        <v>2457</v>
      </c>
      <c r="X130" s="94" t="s">
        <v>2474</v>
      </c>
      <c r="Y130" s="51"/>
      <c r="Z130" s="51"/>
      <c r="AA130" s="33" t="s">
        <v>2459</v>
      </c>
      <c r="AB130" s="33" t="s">
        <v>2460</v>
      </c>
      <c r="AC130" s="33"/>
      <c r="AD130" s="33" t="s">
        <v>2254</v>
      </c>
      <c r="AE130" s="33"/>
      <c r="AF130" s="33" t="s">
        <v>2267</v>
      </c>
      <c r="AG130" s="33" t="s">
        <v>2461</v>
      </c>
      <c r="AH130" s="33"/>
      <c r="AI130" s="33"/>
      <c r="AJ130" s="33" t="s">
        <v>3553</v>
      </c>
      <c r="AK130" s="94"/>
      <c r="AL130" s="33" t="s">
        <v>3554</v>
      </c>
      <c r="AM130" s="33"/>
      <c r="AN130" s="33" t="s">
        <v>2465</v>
      </c>
      <c r="AO130" s="51" t="s">
        <v>2489</v>
      </c>
      <c r="AP130" s="51" t="s">
        <v>207</v>
      </c>
      <c r="AQ130" s="33"/>
      <c r="AR130" s="54"/>
      <c r="AS130" s="54"/>
      <c r="AT130" s="54"/>
      <c r="AU130" s="54"/>
      <c r="AV130" s="54"/>
      <c r="AW130" s="54"/>
      <c r="AX130" s="54"/>
      <c r="AY130" s="54"/>
      <c r="AZ130" s="54"/>
      <c r="BA130" s="54"/>
      <c r="BB130" s="54"/>
      <c r="BC130" s="54"/>
      <c r="BD130" s="54" t="s">
        <v>2447</v>
      </c>
      <c r="BE130" s="54"/>
      <c r="BF130" s="54"/>
      <c r="BG130" s="54"/>
      <c r="BH130" s="54"/>
      <c r="BI130" s="54"/>
      <c r="BJ130" s="0"/>
      <c r="BK130" s="0"/>
      <c r="BL130" s="0"/>
      <c r="BM130" s="0"/>
      <c r="BN130" s="0"/>
      <c r="BO130" s="0"/>
      <c r="BP130"/>
      <c r="BQ130"/>
      <c r="BR130"/>
      <c r="BS130"/>
      <c r="BT130"/>
      <c r="BU130"/>
      <c r="BV130"/>
      <c r="BW130"/>
      <c r="BX130"/>
      <c r="BY130"/>
      <c r="BZ130"/>
      <c r="CA130"/>
      <c r="CB130"/>
    </row>
    <row r="131" ht="15.0" customHeight="true">
      <c r="A131" s="51" t="s">
        <v>2448</v>
      </c>
      <c r="B131" s="33"/>
      <c r="C131" s="33" t="s">
        <v>3555</v>
      </c>
      <c r="D131" s="33"/>
      <c r="E131" s="33" t="s">
        <v>3556</v>
      </c>
      <c r="F131" s="33"/>
      <c r="G131" s="55" t="s">
        <v>3557</v>
      </c>
      <c r="H131" s="33"/>
      <c r="I131" s="51" t="s">
        <v>3558</v>
      </c>
      <c r="J131" s="33"/>
      <c r="K131" s="51" t="s">
        <v>3559</v>
      </c>
      <c r="L131" s="33" t="s">
        <v>2454</v>
      </c>
      <c r="M131" s="55" t="s">
        <v>2799</v>
      </c>
      <c r="N131" s="55" t="s">
        <v>3560</v>
      </c>
      <c r="O131" s="33" t="s">
        <v>2272</v>
      </c>
      <c r="P131" s="33" t="s">
        <v>2251</v>
      </c>
      <c r="Q131" s="33"/>
      <c r="R131" s="33" t="s">
        <v>2263</v>
      </c>
      <c r="S131" s="56" t="s">
        <v>2277</v>
      </c>
      <c r="T131" s="56"/>
      <c r="U131" s="56"/>
      <c r="V131" s="33" t="s">
        <v>2456</v>
      </c>
      <c r="W131" s="94" t="s">
        <v>2457</v>
      </c>
      <c r="X131" s="94" t="s">
        <v>2458</v>
      </c>
      <c r="Y131" s="51"/>
      <c r="Z131" s="51"/>
      <c r="AA131" s="33" t="s">
        <v>2459</v>
      </c>
      <c r="AB131" s="33" t="s">
        <v>2460</v>
      </c>
      <c r="AC131" s="33"/>
      <c r="AD131" s="33" t="s">
        <v>2254</v>
      </c>
      <c r="AE131" s="33"/>
      <c r="AF131" s="33" t="s">
        <v>2267</v>
      </c>
      <c r="AG131" s="33" t="s">
        <v>2461</v>
      </c>
      <c r="AH131" s="33"/>
      <c r="AI131" s="33"/>
      <c r="AJ131" s="33" t="s">
        <v>3561</v>
      </c>
      <c r="AK131" s="94"/>
      <c r="AL131" s="33" t="s">
        <v>3562</v>
      </c>
      <c r="AM131" s="33" t="s">
        <v>3563</v>
      </c>
      <c r="AN131" s="33" t="s">
        <v>2588</v>
      </c>
      <c r="AO131" s="51" t="s">
        <v>2589</v>
      </c>
      <c r="AP131" s="51" t="s">
        <v>207</v>
      </c>
      <c r="AQ131" s="33"/>
      <c r="AR131" s="54"/>
      <c r="AS131" s="54"/>
      <c r="AT131" s="54"/>
      <c r="AU131" s="54"/>
      <c r="AV131" s="54"/>
      <c r="AW131" s="54"/>
      <c r="AX131" s="54"/>
      <c r="AY131" s="54"/>
      <c r="AZ131" s="54"/>
      <c r="BA131" s="54"/>
      <c r="BB131" s="54"/>
      <c r="BC131" s="54"/>
      <c r="BD131" s="54" t="s">
        <v>2447</v>
      </c>
      <c r="BE131" s="54"/>
      <c r="BF131" s="54"/>
      <c r="BG131" s="54"/>
      <c r="BH131" s="54"/>
      <c r="BI131" s="54"/>
      <c r="BJ131" s="0"/>
      <c r="BK131" s="0"/>
      <c r="BL131" s="0"/>
      <c r="BM131" s="0"/>
      <c r="BN131" s="0"/>
      <c r="BO131" s="0"/>
      <c r="BP131"/>
      <c r="BQ131"/>
      <c r="BR131"/>
      <c r="BS131"/>
      <c r="BT131"/>
      <c r="BU131"/>
      <c r="BV131"/>
      <c r="BW131"/>
      <c r="BX131"/>
      <c r="BY131"/>
      <c r="BZ131"/>
      <c r="CA131"/>
      <c r="CB131"/>
    </row>
    <row r="132" ht="15.0" customHeight="true">
      <c r="A132" s="51" t="s">
        <v>2448</v>
      </c>
      <c r="B132" s="33"/>
      <c r="C132" s="33" t="s">
        <v>3564</v>
      </c>
      <c r="D132" s="33"/>
      <c r="E132" s="33" t="s">
        <v>3565</v>
      </c>
      <c r="F132" s="33"/>
      <c r="G132" s="55" t="s">
        <v>3566</v>
      </c>
      <c r="H132" s="33"/>
      <c r="I132" s="51" t="s">
        <v>3567</v>
      </c>
      <c r="J132" s="33"/>
      <c r="K132" s="51" t="s">
        <v>3568</v>
      </c>
      <c r="L132" s="33" t="s">
        <v>2454</v>
      </c>
      <c r="M132" s="55" t="s">
        <v>3569</v>
      </c>
      <c r="N132" s="55" t="s">
        <v>2572</v>
      </c>
      <c r="O132" s="33" t="s">
        <v>2272</v>
      </c>
      <c r="P132" s="33" t="s">
        <v>2251</v>
      </c>
      <c r="Q132" s="33"/>
      <c r="R132" s="33" t="s">
        <v>2263</v>
      </c>
      <c r="S132" s="56" t="s">
        <v>2277</v>
      </c>
      <c r="T132" s="56"/>
      <c r="U132" s="56"/>
      <c r="V132" s="33" t="s">
        <v>2456</v>
      </c>
      <c r="W132" s="94" t="s">
        <v>2457</v>
      </c>
      <c r="X132" s="94" t="s">
        <v>2474</v>
      </c>
      <c r="Y132" s="51"/>
      <c r="Z132" s="51"/>
      <c r="AA132" s="33" t="s">
        <v>2459</v>
      </c>
      <c r="AB132" s="33" t="s">
        <v>2460</v>
      </c>
      <c r="AC132" s="33"/>
      <c r="AD132" s="33" t="s">
        <v>2254</v>
      </c>
      <c r="AE132" s="33"/>
      <c r="AF132" s="33" t="s">
        <v>2267</v>
      </c>
      <c r="AG132" s="33" t="s">
        <v>2461</v>
      </c>
      <c r="AH132" s="33"/>
      <c r="AI132" s="33"/>
      <c r="AJ132" s="33" t="s">
        <v>3570</v>
      </c>
      <c r="AK132" s="94"/>
      <c r="AL132" s="33" t="s">
        <v>3571</v>
      </c>
      <c r="AM132" s="33"/>
      <c r="AN132" s="33" t="s">
        <v>3031</v>
      </c>
      <c r="AO132" s="51" t="s">
        <v>3572</v>
      </c>
      <c r="AP132" s="51" t="s">
        <v>207</v>
      </c>
      <c r="AQ132" s="33"/>
      <c r="AR132" s="54"/>
      <c r="AS132" s="54"/>
      <c r="AT132" s="54"/>
      <c r="AU132" s="54"/>
      <c r="AV132" s="54"/>
      <c r="AW132" s="54"/>
      <c r="AX132" s="54"/>
      <c r="AY132" s="54"/>
      <c r="AZ132" s="54"/>
      <c r="BA132" s="54"/>
      <c r="BB132" s="54"/>
      <c r="BC132" s="54"/>
      <c r="BD132" s="54" t="s">
        <v>2447</v>
      </c>
      <c r="BE132" s="54"/>
      <c r="BF132" s="54"/>
      <c r="BG132" s="54"/>
      <c r="BH132" s="54"/>
      <c r="BI132" s="54"/>
      <c r="BJ132" s="0"/>
      <c r="BK132" s="0"/>
      <c r="BL132" s="0"/>
      <c r="BM132" s="0"/>
      <c r="BN132" s="0"/>
      <c r="BO132" s="0"/>
      <c r="BP132"/>
      <c r="BQ132"/>
      <c r="BR132"/>
      <c r="BS132"/>
      <c r="BT132"/>
      <c r="BU132"/>
      <c r="BV132"/>
      <c r="BW132"/>
      <c r="BX132"/>
      <c r="BY132"/>
      <c r="BZ132"/>
      <c r="CA132"/>
      <c r="CB132"/>
    </row>
    <row r="133" ht="15.0" customHeight="true">
      <c r="A133" s="51" t="s">
        <v>2448</v>
      </c>
      <c r="B133" s="33"/>
      <c r="C133" s="33" t="s">
        <v>3573</v>
      </c>
      <c r="D133" s="33"/>
      <c r="E133" s="33" t="s">
        <v>3574</v>
      </c>
      <c r="F133" s="33"/>
      <c r="G133" s="55" t="s">
        <v>2804</v>
      </c>
      <c r="H133" s="33"/>
      <c r="I133" s="51" t="s">
        <v>3575</v>
      </c>
      <c r="J133" s="33"/>
      <c r="K133" s="51" t="s">
        <v>3576</v>
      </c>
      <c r="L133" s="33" t="s">
        <v>2454</v>
      </c>
      <c r="M133" s="55" t="s">
        <v>3167</v>
      </c>
      <c r="N133" s="55" t="s">
        <v>3167</v>
      </c>
      <c r="O133" s="33" t="s">
        <v>2272</v>
      </c>
      <c r="P133" s="33" t="s">
        <v>2251</v>
      </c>
      <c r="Q133" s="33"/>
      <c r="R133" s="33" t="s">
        <v>2263</v>
      </c>
      <c r="S133" s="56" t="s">
        <v>2277</v>
      </c>
      <c r="T133" s="56"/>
      <c r="U133" s="56"/>
      <c r="V133" s="33" t="s">
        <v>2456</v>
      </c>
      <c r="W133" s="94" t="s">
        <v>2457</v>
      </c>
      <c r="X133" s="94" t="s">
        <v>2458</v>
      </c>
      <c r="Y133" s="51"/>
      <c r="Z133" s="51"/>
      <c r="AA133" s="33" t="s">
        <v>2459</v>
      </c>
      <c r="AB133" s="33" t="s">
        <v>2460</v>
      </c>
      <c r="AC133" s="33"/>
      <c r="AD133" s="33" t="s">
        <v>2254</v>
      </c>
      <c r="AE133" s="33"/>
      <c r="AF133" s="33" t="s">
        <v>2267</v>
      </c>
      <c r="AG133" s="33" t="s">
        <v>2461</v>
      </c>
      <c r="AH133" s="33"/>
      <c r="AI133" s="33"/>
      <c r="AJ133" s="33" t="s">
        <v>3577</v>
      </c>
      <c r="AK133" s="94"/>
      <c r="AL133" s="33" t="s">
        <v>3578</v>
      </c>
      <c r="AM133" s="33"/>
      <c r="AN133" s="33" t="s">
        <v>2588</v>
      </c>
      <c r="AO133" s="51" t="s">
        <v>2911</v>
      </c>
      <c r="AP133" s="51" t="s">
        <v>207</v>
      </c>
      <c r="AQ133" s="33"/>
      <c r="AR133" s="54"/>
      <c r="AS133" s="54"/>
      <c r="AT133" s="54"/>
      <c r="AU133" s="54"/>
      <c r="AV133" s="54"/>
      <c r="AW133" s="54"/>
      <c r="AX133" s="54"/>
      <c r="AY133" s="54"/>
      <c r="AZ133" s="54"/>
      <c r="BA133" s="54"/>
      <c r="BB133" s="54"/>
      <c r="BC133" s="54"/>
      <c r="BD133" s="54" t="s">
        <v>2447</v>
      </c>
      <c r="BE133" s="54"/>
      <c r="BF133" s="54"/>
      <c r="BG133" s="54"/>
      <c r="BH133" s="54"/>
      <c r="BI133" s="54"/>
      <c r="BJ133" s="0"/>
      <c r="BK133" s="0"/>
      <c r="BL133" s="0"/>
      <c r="BM133" s="0"/>
      <c r="BN133" s="0"/>
      <c r="BO133" s="0"/>
      <c r="BP133"/>
      <c r="BQ133"/>
      <c r="BR133"/>
      <c r="BS133"/>
      <c r="BT133"/>
      <c r="BU133"/>
      <c r="BV133"/>
      <c r="BW133"/>
      <c r="BX133"/>
      <c r="BY133"/>
      <c r="BZ133"/>
      <c r="CA133"/>
      <c r="CB133"/>
    </row>
    <row r="134" ht="15.0" customHeight="true">
      <c r="A134" s="51" t="s">
        <v>2448</v>
      </c>
      <c r="B134" s="33"/>
      <c r="C134" s="33" t="s">
        <v>2651</v>
      </c>
      <c r="D134" s="33"/>
      <c r="E134" s="33" t="s">
        <v>3579</v>
      </c>
      <c r="F134" s="33"/>
      <c r="G134" s="55" t="s">
        <v>3580</v>
      </c>
      <c r="H134" s="33"/>
      <c r="I134" s="51" t="s">
        <v>3581</v>
      </c>
      <c r="J134" s="33"/>
      <c r="K134" s="51" t="s">
        <v>3582</v>
      </c>
      <c r="L134" s="33" t="s">
        <v>2454</v>
      </c>
      <c r="M134" s="55" t="s">
        <v>3142</v>
      </c>
      <c r="N134" s="55" t="s">
        <v>3426</v>
      </c>
      <c r="O134" s="33" t="s">
        <v>2272</v>
      </c>
      <c r="P134" s="33" t="s">
        <v>2251</v>
      </c>
      <c r="Q134" s="33"/>
      <c r="R134" s="33" t="s">
        <v>2263</v>
      </c>
      <c r="S134" s="56" t="s">
        <v>2277</v>
      </c>
      <c r="T134" s="56"/>
      <c r="U134" s="56"/>
      <c r="V134" s="33" t="s">
        <v>2456</v>
      </c>
      <c r="W134" s="94" t="s">
        <v>2457</v>
      </c>
      <c r="X134" s="94" t="s">
        <v>2458</v>
      </c>
      <c r="Y134" s="51"/>
      <c r="Z134" s="51"/>
      <c r="AA134" s="33" t="s">
        <v>2459</v>
      </c>
      <c r="AB134" s="33" t="s">
        <v>2460</v>
      </c>
      <c r="AC134" s="33"/>
      <c r="AD134" s="33" t="s">
        <v>2254</v>
      </c>
      <c r="AE134" s="33"/>
      <c r="AF134" s="33" t="s">
        <v>2267</v>
      </c>
      <c r="AG134" s="33" t="s">
        <v>2461</v>
      </c>
      <c r="AH134" s="33"/>
      <c r="AI134" s="33"/>
      <c r="AJ134" s="33" t="s">
        <v>3583</v>
      </c>
      <c r="AK134" s="94"/>
      <c r="AL134" s="33" t="s">
        <v>3584</v>
      </c>
      <c r="AM134" s="33" t="s">
        <v>3585</v>
      </c>
      <c r="AN134" s="33" t="s">
        <v>2588</v>
      </c>
      <c r="AO134" s="51" t="s">
        <v>2628</v>
      </c>
      <c r="AP134" s="51" t="s">
        <v>207</v>
      </c>
      <c r="AQ134" s="33"/>
      <c r="AR134" s="54"/>
      <c r="AS134" s="54"/>
      <c r="AT134" s="54"/>
      <c r="AU134" s="54"/>
      <c r="AV134" s="54"/>
      <c r="AW134" s="54"/>
      <c r="AX134" s="54"/>
      <c r="AY134" s="54"/>
      <c r="AZ134" s="54"/>
      <c r="BA134" s="54"/>
      <c r="BB134" s="54"/>
      <c r="BC134" s="54"/>
      <c r="BD134" s="54" t="s">
        <v>2447</v>
      </c>
      <c r="BE134" s="54"/>
      <c r="BF134" s="54"/>
      <c r="BG134" s="54"/>
      <c r="BH134" s="54"/>
      <c r="BI134" s="54"/>
      <c r="BJ134" s="0"/>
      <c r="BK134" s="0"/>
      <c r="BL134" s="0"/>
      <c r="BM134" s="0"/>
      <c r="BN134" s="0"/>
      <c r="BO134" s="0"/>
      <c r="BP134"/>
      <c r="BQ134"/>
      <c r="BR134"/>
      <c r="BS134"/>
      <c r="BT134"/>
      <c r="BU134"/>
      <c r="BV134"/>
      <c r="BW134"/>
      <c r="BX134"/>
      <c r="BY134"/>
      <c r="BZ134"/>
      <c r="CA134"/>
      <c r="CB134"/>
    </row>
    <row r="135" ht="15.0" customHeight="true">
      <c r="A135" s="51" t="s">
        <v>2448</v>
      </c>
      <c r="B135" s="33"/>
      <c r="C135" s="33" t="s">
        <v>3586</v>
      </c>
      <c r="D135" s="33"/>
      <c r="E135" s="33" t="s">
        <v>2879</v>
      </c>
      <c r="F135" s="33"/>
      <c r="G135" s="55" t="s">
        <v>3587</v>
      </c>
      <c r="H135" s="33"/>
      <c r="I135" s="51" t="s">
        <v>3588</v>
      </c>
      <c r="J135" s="33"/>
      <c r="K135" s="51" t="s">
        <v>3589</v>
      </c>
      <c r="L135" s="33" t="s">
        <v>2454</v>
      </c>
      <c r="M135" s="55" t="s">
        <v>3590</v>
      </c>
      <c r="N135" s="55" t="s">
        <v>3591</v>
      </c>
      <c r="O135" s="33" t="s">
        <v>2272</v>
      </c>
      <c r="P135" s="33" t="s">
        <v>2251</v>
      </c>
      <c r="Q135" s="33"/>
      <c r="R135" s="33" t="s">
        <v>2263</v>
      </c>
      <c r="S135" s="56" t="s">
        <v>2277</v>
      </c>
      <c r="T135" s="56"/>
      <c r="U135" s="56"/>
      <c r="V135" s="33" t="s">
        <v>2456</v>
      </c>
      <c r="W135" s="94" t="s">
        <v>2457</v>
      </c>
      <c r="X135" s="94" t="s">
        <v>2458</v>
      </c>
      <c r="Y135" s="51"/>
      <c r="Z135" s="51"/>
      <c r="AA135" s="33" t="s">
        <v>2459</v>
      </c>
      <c r="AB135" s="33" t="s">
        <v>2460</v>
      </c>
      <c r="AC135" s="33"/>
      <c r="AD135" s="33" t="s">
        <v>2254</v>
      </c>
      <c r="AE135" s="33"/>
      <c r="AF135" s="33" t="s">
        <v>2267</v>
      </c>
      <c r="AG135" s="33" t="s">
        <v>2461</v>
      </c>
      <c r="AH135" s="33"/>
      <c r="AI135" s="33"/>
      <c r="AJ135" s="33" t="s">
        <v>3592</v>
      </c>
      <c r="AK135" s="94"/>
      <c r="AL135" s="33" t="s">
        <v>3593</v>
      </c>
      <c r="AM135" s="33" t="s">
        <v>3594</v>
      </c>
      <c r="AN135" s="33" t="s">
        <v>2465</v>
      </c>
      <c r="AO135" s="51" t="s">
        <v>2538</v>
      </c>
      <c r="AP135" s="51" t="s">
        <v>207</v>
      </c>
      <c r="AQ135" s="33"/>
      <c r="AR135" s="54"/>
      <c r="AS135" s="54"/>
      <c r="AT135" s="54"/>
      <c r="AU135" s="54"/>
      <c r="AV135" s="54"/>
      <c r="AW135" s="54"/>
      <c r="AX135" s="54"/>
      <c r="AY135" s="54"/>
      <c r="AZ135" s="54"/>
      <c r="BA135" s="54"/>
      <c r="BB135" s="54"/>
      <c r="BC135" s="54"/>
      <c r="BD135" s="54" t="s">
        <v>2447</v>
      </c>
      <c r="BE135" s="54"/>
      <c r="BF135" s="54"/>
      <c r="BG135" s="54"/>
      <c r="BH135" s="54"/>
      <c r="BI135" s="54"/>
      <c r="BJ135" s="0"/>
      <c r="BK135" s="0"/>
      <c r="BL135" s="0"/>
      <c r="BM135" s="0"/>
      <c r="BN135" s="0"/>
      <c r="BO135" s="0"/>
      <c r="BP135"/>
      <c r="BQ135"/>
      <c r="BR135"/>
      <c r="BS135"/>
      <c r="BT135"/>
      <c r="BU135"/>
      <c r="BV135"/>
      <c r="BW135"/>
      <c r="BX135"/>
      <c r="BY135"/>
      <c r="BZ135"/>
      <c r="CA135"/>
      <c r="CB135"/>
    </row>
    <row r="136" ht="15.0" customHeight="true">
      <c r="A136" s="51" t="s">
        <v>2448</v>
      </c>
      <c r="B136" s="33"/>
      <c r="C136" s="33" t="s">
        <v>3595</v>
      </c>
      <c r="D136" s="33"/>
      <c r="E136" s="33" t="s">
        <v>3596</v>
      </c>
      <c r="F136" s="33"/>
      <c r="G136" s="55" t="s">
        <v>3597</v>
      </c>
      <c r="H136" s="33"/>
      <c r="I136" s="51" t="s">
        <v>3598</v>
      </c>
      <c r="J136" s="33"/>
      <c r="K136" s="51" t="s">
        <v>3599</v>
      </c>
      <c r="L136" s="33" t="s">
        <v>2454</v>
      </c>
      <c r="M136" s="55" t="s">
        <v>3600</v>
      </c>
      <c r="N136" s="55" t="s">
        <v>3601</v>
      </c>
      <c r="O136" s="33" t="s">
        <v>2272</v>
      </c>
      <c r="P136" s="33" t="s">
        <v>2251</v>
      </c>
      <c r="Q136" s="33"/>
      <c r="R136" s="33" t="s">
        <v>2263</v>
      </c>
      <c r="S136" s="56" t="s">
        <v>2277</v>
      </c>
      <c r="T136" s="56"/>
      <c r="U136" s="56"/>
      <c r="V136" s="33" t="s">
        <v>2456</v>
      </c>
      <c r="W136" s="94" t="s">
        <v>2457</v>
      </c>
      <c r="X136" s="94" t="s">
        <v>2458</v>
      </c>
      <c r="Y136" s="51"/>
      <c r="Z136" s="51"/>
      <c r="AA136" s="33" t="s">
        <v>2459</v>
      </c>
      <c r="AB136" s="33" t="s">
        <v>2460</v>
      </c>
      <c r="AC136" s="33"/>
      <c r="AD136" s="33" t="s">
        <v>2254</v>
      </c>
      <c r="AE136" s="33"/>
      <c r="AF136" s="33" t="s">
        <v>2267</v>
      </c>
      <c r="AG136" s="33" t="s">
        <v>2461</v>
      </c>
      <c r="AH136" s="33"/>
      <c r="AI136" s="33"/>
      <c r="AJ136" s="33" t="s">
        <v>3602</v>
      </c>
      <c r="AK136" s="94"/>
      <c r="AL136" s="33" t="s">
        <v>3603</v>
      </c>
      <c r="AM136" s="33"/>
      <c r="AN136" s="33" t="s">
        <v>2577</v>
      </c>
      <c r="AO136" s="51" t="s">
        <v>2578</v>
      </c>
      <c r="AP136" s="51" t="s">
        <v>207</v>
      </c>
      <c r="AQ136" s="33"/>
      <c r="AR136" s="54"/>
      <c r="AS136" s="54"/>
      <c r="AT136" s="54"/>
      <c r="AU136" s="54"/>
      <c r="AV136" s="54"/>
      <c r="AW136" s="54"/>
      <c r="AX136" s="54"/>
      <c r="AY136" s="54"/>
      <c r="AZ136" s="54"/>
      <c r="BA136" s="54"/>
      <c r="BB136" s="54"/>
      <c r="BC136" s="54"/>
      <c r="BD136" s="54" t="s">
        <v>2447</v>
      </c>
      <c r="BE136" s="54"/>
      <c r="BF136" s="54"/>
      <c r="BG136" s="54"/>
      <c r="BH136" s="54"/>
      <c r="BI136" s="54"/>
      <c r="BJ136" s="0"/>
      <c r="BK136" s="0"/>
      <c r="BL136" s="0"/>
      <c r="BM136" s="0"/>
      <c r="BN136" s="0"/>
      <c r="BO136" s="0"/>
      <c r="BP136"/>
      <c r="BQ136"/>
      <c r="BR136"/>
      <c r="BS136"/>
      <c r="BT136"/>
      <c r="BU136"/>
      <c r="BV136"/>
      <c r="BW136"/>
      <c r="BX136"/>
      <c r="BY136"/>
      <c r="BZ136"/>
      <c r="CA136"/>
      <c r="CB136"/>
    </row>
    <row r="137" ht="15.0" customHeight="true">
      <c r="A137" s="51" t="s">
        <v>2448</v>
      </c>
      <c r="B137" s="33"/>
      <c r="C137" s="33" t="s">
        <v>3604</v>
      </c>
      <c r="D137" s="33"/>
      <c r="E137" s="33" t="s">
        <v>3605</v>
      </c>
      <c r="F137" s="33"/>
      <c r="G137" s="55" t="s">
        <v>3606</v>
      </c>
      <c r="H137" s="33"/>
      <c r="I137" s="51" t="s">
        <v>3607</v>
      </c>
      <c r="J137" s="33"/>
      <c r="K137" s="51" t="s">
        <v>3608</v>
      </c>
      <c r="L137" s="33" t="s">
        <v>2454</v>
      </c>
      <c r="M137" s="55" t="s">
        <v>3475</v>
      </c>
      <c r="N137" s="55" t="s">
        <v>3609</v>
      </c>
      <c r="O137" s="33" t="s">
        <v>2272</v>
      </c>
      <c r="P137" s="33" t="s">
        <v>2251</v>
      </c>
      <c r="Q137" s="33"/>
      <c r="R137" s="33" t="s">
        <v>2263</v>
      </c>
      <c r="S137" s="56" t="s">
        <v>2277</v>
      </c>
      <c r="T137" s="56"/>
      <c r="U137" s="56"/>
      <c r="V137" s="33" t="s">
        <v>2456</v>
      </c>
      <c r="W137" s="94" t="s">
        <v>2457</v>
      </c>
      <c r="X137" s="94" t="s">
        <v>2458</v>
      </c>
      <c r="Y137" s="51"/>
      <c r="Z137" s="51"/>
      <c r="AA137" s="33" t="s">
        <v>2459</v>
      </c>
      <c r="AB137" s="33" t="s">
        <v>2460</v>
      </c>
      <c r="AC137" s="33"/>
      <c r="AD137" s="33" t="s">
        <v>2254</v>
      </c>
      <c r="AE137" s="33"/>
      <c r="AF137" s="33" t="s">
        <v>2267</v>
      </c>
      <c r="AG137" s="33" t="s">
        <v>2461</v>
      </c>
      <c r="AH137" s="33"/>
      <c r="AI137" s="33"/>
      <c r="AJ137" s="33" t="s">
        <v>3610</v>
      </c>
      <c r="AK137" s="94"/>
      <c r="AL137" s="33" t="s">
        <v>3611</v>
      </c>
      <c r="AM137" s="33"/>
      <c r="AN137" s="33" t="s">
        <v>2588</v>
      </c>
      <c r="AO137" s="51" t="s">
        <v>2911</v>
      </c>
      <c r="AP137" s="51" t="s">
        <v>207</v>
      </c>
      <c r="AQ137" s="33"/>
      <c r="AR137" s="54"/>
      <c r="AS137" s="54"/>
      <c r="AT137" s="54"/>
      <c r="AU137" s="54"/>
      <c r="AV137" s="54"/>
      <c r="AW137" s="54"/>
      <c r="AX137" s="54"/>
      <c r="AY137" s="54"/>
      <c r="AZ137" s="54"/>
      <c r="BA137" s="54"/>
      <c r="BB137" s="54"/>
      <c r="BC137" s="54"/>
      <c r="BD137" s="54" t="s">
        <v>2447</v>
      </c>
      <c r="BE137" s="54"/>
      <c r="BF137" s="54"/>
      <c r="BG137" s="54"/>
      <c r="BH137" s="54"/>
      <c r="BI137" s="54"/>
      <c r="BJ137" s="0"/>
      <c r="BK137" s="0"/>
      <c r="BL137" s="0"/>
      <c r="BM137" s="0"/>
      <c r="BN137" s="0"/>
      <c r="BO137" s="0"/>
      <c r="BP137"/>
      <c r="BQ137"/>
      <c r="BR137"/>
      <c r="BS137"/>
      <c r="BT137"/>
      <c r="BU137"/>
      <c r="BV137"/>
      <c r="BW137"/>
      <c r="BX137"/>
      <c r="BY137"/>
      <c r="BZ137"/>
      <c r="CA137"/>
      <c r="CB137"/>
    </row>
    <row r="138" ht="15.0" customHeight="true">
      <c r="A138" s="51" t="s">
        <v>2448</v>
      </c>
      <c r="B138" s="33"/>
      <c r="C138" s="33" t="s">
        <v>3137</v>
      </c>
      <c r="D138" s="33"/>
      <c r="E138" s="33" t="s">
        <v>3612</v>
      </c>
      <c r="F138" s="33"/>
      <c r="G138" s="55" t="s">
        <v>3613</v>
      </c>
      <c r="H138" s="33"/>
      <c r="I138" s="51" t="s">
        <v>3614</v>
      </c>
      <c r="J138" s="33"/>
      <c r="K138" s="51" t="s">
        <v>3615</v>
      </c>
      <c r="L138" s="33" t="s">
        <v>2454</v>
      </c>
      <c r="M138" s="55" t="s">
        <v>3616</v>
      </c>
      <c r="N138" s="55" t="s">
        <v>2961</v>
      </c>
      <c r="O138" s="33" t="s">
        <v>2272</v>
      </c>
      <c r="P138" s="33" t="s">
        <v>2251</v>
      </c>
      <c r="Q138" s="33"/>
      <c r="R138" s="33" t="s">
        <v>2263</v>
      </c>
      <c r="S138" s="56" t="s">
        <v>2277</v>
      </c>
      <c r="T138" s="56"/>
      <c r="U138" s="56"/>
      <c r="V138" s="33" t="s">
        <v>2456</v>
      </c>
      <c r="W138" s="94" t="s">
        <v>2457</v>
      </c>
      <c r="X138" s="94" t="s">
        <v>2458</v>
      </c>
      <c r="Y138" s="51"/>
      <c r="Z138" s="51"/>
      <c r="AA138" s="33" t="s">
        <v>2459</v>
      </c>
      <c r="AB138" s="33" t="s">
        <v>2460</v>
      </c>
      <c r="AC138" s="33"/>
      <c r="AD138" s="33" t="s">
        <v>2254</v>
      </c>
      <c r="AE138" s="33"/>
      <c r="AF138" s="33" t="s">
        <v>2267</v>
      </c>
      <c r="AG138" s="33" t="s">
        <v>2461</v>
      </c>
      <c r="AH138" s="33"/>
      <c r="AI138" s="33"/>
      <c r="AJ138" s="33" t="s">
        <v>3617</v>
      </c>
      <c r="AK138" s="94"/>
      <c r="AL138" s="33" t="s">
        <v>3618</v>
      </c>
      <c r="AM138" s="33"/>
      <c r="AN138" s="33" t="s">
        <v>2465</v>
      </c>
      <c r="AO138" s="51" t="s">
        <v>2466</v>
      </c>
      <c r="AP138" s="51" t="s">
        <v>207</v>
      </c>
      <c r="AQ138" s="33"/>
      <c r="AR138" s="54"/>
      <c r="AS138" s="54"/>
      <c r="AT138" s="54"/>
      <c r="AU138" s="54"/>
      <c r="AV138" s="54"/>
      <c r="AW138" s="54"/>
      <c r="AX138" s="54"/>
      <c r="AY138" s="54"/>
      <c r="AZ138" s="54"/>
      <c r="BA138" s="54"/>
      <c r="BB138" s="54"/>
      <c r="BC138" s="54"/>
      <c r="BD138" s="54" t="s">
        <v>2447</v>
      </c>
      <c r="BE138" s="54"/>
      <c r="BF138" s="54"/>
      <c r="BG138" s="54"/>
      <c r="BH138" s="54"/>
      <c r="BI138" s="54"/>
      <c r="BJ138" s="0"/>
      <c r="BK138" s="0"/>
      <c r="BL138" s="0"/>
      <c r="BM138" s="0"/>
      <c r="BN138" s="0"/>
      <c r="BO138" s="0"/>
      <c r="BP138"/>
      <c r="BQ138"/>
      <c r="BR138"/>
      <c r="BS138"/>
      <c r="BT138"/>
      <c r="BU138"/>
      <c r="BV138"/>
      <c r="BW138"/>
      <c r="BX138"/>
      <c r="BY138"/>
      <c r="BZ138"/>
      <c r="CA138"/>
      <c r="CB138"/>
    </row>
    <row r="139" ht="15.0" customHeight="true">
      <c r="A139" s="51" t="s">
        <v>2448</v>
      </c>
      <c r="B139" s="33"/>
      <c r="C139" s="33" t="s">
        <v>2659</v>
      </c>
      <c r="D139" s="33"/>
      <c r="E139" s="33" t="s">
        <v>3284</v>
      </c>
      <c r="F139" s="33"/>
      <c r="G139" s="55" t="s">
        <v>3619</v>
      </c>
      <c r="H139" s="33"/>
      <c r="I139" s="51" t="s">
        <v>3620</v>
      </c>
      <c r="J139" s="33"/>
      <c r="K139" s="51" t="s">
        <v>3621</v>
      </c>
      <c r="L139" s="33" t="s">
        <v>2454</v>
      </c>
      <c r="M139" s="55" t="s">
        <v>3622</v>
      </c>
      <c r="N139" s="55" t="s">
        <v>3623</v>
      </c>
      <c r="O139" s="33" t="s">
        <v>2272</v>
      </c>
      <c r="P139" s="33" t="s">
        <v>2251</v>
      </c>
      <c r="Q139" s="33"/>
      <c r="R139" s="33" t="s">
        <v>2263</v>
      </c>
      <c r="S139" s="56" t="s">
        <v>2277</v>
      </c>
      <c r="T139" s="56"/>
      <c r="U139" s="56"/>
      <c r="V139" s="33" t="s">
        <v>2456</v>
      </c>
      <c r="W139" s="94" t="s">
        <v>2457</v>
      </c>
      <c r="X139" s="94" t="s">
        <v>2458</v>
      </c>
      <c r="Y139" s="51"/>
      <c r="Z139" s="51"/>
      <c r="AA139" s="33" t="s">
        <v>2459</v>
      </c>
      <c r="AB139" s="33" t="s">
        <v>2460</v>
      </c>
      <c r="AC139" s="33"/>
      <c r="AD139" s="33" t="s">
        <v>2254</v>
      </c>
      <c r="AE139" s="33"/>
      <c r="AF139" s="33" t="s">
        <v>2267</v>
      </c>
      <c r="AG139" s="33" t="s">
        <v>2461</v>
      </c>
      <c r="AH139" s="33"/>
      <c r="AI139" s="33"/>
      <c r="AJ139" s="33" t="s">
        <v>3624</v>
      </c>
      <c r="AK139" s="94"/>
      <c r="AL139" s="33" t="s">
        <v>3625</v>
      </c>
      <c r="AM139" s="33"/>
      <c r="AN139" s="33" t="s">
        <v>2465</v>
      </c>
      <c r="AO139" s="51" t="s">
        <v>2489</v>
      </c>
      <c r="AP139" s="51" t="s">
        <v>207</v>
      </c>
      <c r="AQ139" s="33"/>
      <c r="AR139" s="54"/>
      <c r="AS139" s="54"/>
      <c r="AT139" s="54"/>
      <c r="AU139" s="54"/>
      <c r="AV139" s="54"/>
      <c r="AW139" s="54"/>
      <c r="AX139" s="54"/>
      <c r="AY139" s="54"/>
      <c r="AZ139" s="54"/>
      <c r="BA139" s="54"/>
      <c r="BB139" s="54"/>
      <c r="BC139" s="54"/>
      <c r="BD139" s="54" t="s">
        <v>2447</v>
      </c>
      <c r="BE139" s="54"/>
      <c r="BF139" s="54"/>
      <c r="BG139" s="54"/>
      <c r="BH139" s="54"/>
      <c r="BI139" s="54"/>
      <c r="BJ139" s="0"/>
      <c r="BK139" s="0"/>
      <c r="BL139" s="0"/>
      <c r="BM139" s="0"/>
      <c r="BN139" s="0"/>
      <c r="BO139" s="0"/>
      <c r="BP139"/>
      <c r="BQ139"/>
      <c r="BR139"/>
      <c r="BS139"/>
      <c r="BT139"/>
      <c r="BU139"/>
      <c r="BV139"/>
      <c r="BW139"/>
      <c r="BX139"/>
      <c r="BY139"/>
      <c r="BZ139"/>
      <c r="CA139"/>
      <c r="CB139"/>
    </row>
    <row r="140" ht="15.0" customHeight="true">
      <c r="A140" s="51" t="s">
        <v>2448</v>
      </c>
      <c r="B140" s="33"/>
      <c r="C140" s="33" t="s">
        <v>3626</v>
      </c>
      <c r="D140" s="33"/>
      <c r="E140" s="33" t="s">
        <v>3627</v>
      </c>
      <c r="F140" s="33"/>
      <c r="G140" s="55" t="s">
        <v>3628</v>
      </c>
      <c r="H140" s="33"/>
      <c r="I140" s="51" t="s">
        <v>3629</v>
      </c>
      <c r="J140" s="33"/>
      <c r="K140" s="51" t="s">
        <v>3630</v>
      </c>
      <c r="L140" s="33" t="s">
        <v>2484</v>
      </c>
      <c r="M140" s="55" t="s">
        <v>3631</v>
      </c>
      <c r="N140" s="55"/>
      <c r="O140" s="33"/>
      <c r="P140" s="33" t="s">
        <v>2251</v>
      </c>
      <c r="Q140" s="33"/>
      <c r="R140" s="33" t="s">
        <v>2263</v>
      </c>
      <c r="S140" s="56" t="s">
        <v>2277</v>
      </c>
      <c r="T140" s="56"/>
      <c r="U140" s="56"/>
      <c r="V140" s="33" t="s">
        <v>2456</v>
      </c>
      <c r="W140" s="94" t="s">
        <v>2457</v>
      </c>
      <c r="X140" s="94" t="s">
        <v>2474</v>
      </c>
      <c r="Y140" s="51"/>
      <c r="Z140" s="51"/>
      <c r="AA140" s="33" t="s">
        <v>2459</v>
      </c>
      <c r="AB140" s="33" t="s">
        <v>2460</v>
      </c>
      <c r="AC140" s="33" t="s">
        <v>2486</v>
      </c>
      <c r="AD140" s="33" t="s">
        <v>2254</v>
      </c>
      <c r="AE140" s="33"/>
      <c r="AF140" s="33" t="s">
        <v>2267</v>
      </c>
      <c r="AG140" s="33" t="s">
        <v>2461</v>
      </c>
      <c r="AH140" s="33"/>
      <c r="AI140" s="33"/>
      <c r="AJ140" s="33" t="s">
        <v>3632</v>
      </c>
      <c r="AK140" s="94"/>
      <c r="AL140" s="33" t="s">
        <v>3633</v>
      </c>
      <c r="AM140" s="33" t="s">
        <v>3634</v>
      </c>
      <c r="AN140" s="33" t="s">
        <v>2588</v>
      </c>
      <c r="AO140" s="51" t="s">
        <v>2911</v>
      </c>
      <c r="AP140" s="51" t="s">
        <v>207</v>
      </c>
      <c r="AQ140" s="33"/>
      <c r="AR140" s="54"/>
      <c r="AS140" s="54"/>
      <c r="AT140" s="54"/>
      <c r="AU140" s="54"/>
      <c r="AV140" s="54"/>
      <c r="AW140" s="54"/>
      <c r="AX140" s="54"/>
      <c r="AY140" s="54"/>
      <c r="AZ140" s="54"/>
      <c r="BA140" s="54"/>
      <c r="BB140" s="54"/>
      <c r="BC140" s="54"/>
      <c r="BD140" s="54" t="s">
        <v>2447</v>
      </c>
      <c r="BE140" s="54"/>
      <c r="BF140" s="54"/>
      <c r="BG140" s="54"/>
      <c r="BH140" s="54"/>
      <c r="BI140" s="54"/>
      <c r="BJ140" s="0"/>
      <c r="BK140" s="0"/>
      <c r="BL140" s="0"/>
      <c r="BM140" s="0"/>
      <c r="BN140" s="0"/>
      <c r="BO140" s="0"/>
      <c r="BP140"/>
      <c r="BQ140"/>
      <c r="BR140"/>
      <c r="BS140"/>
      <c r="BT140"/>
      <c r="BU140"/>
      <c r="BV140"/>
      <c r="BW140"/>
      <c r="BX140"/>
      <c r="BY140"/>
      <c r="BZ140"/>
      <c r="CA140"/>
      <c r="CB140"/>
    </row>
    <row r="141" ht="15.0" customHeight="true">
      <c r="A141" s="51" t="s">
        <v>2448</v>
      </c>
      <c r="B141" s="33"/>
      <c r="C141" s="33" t="s">
        <v>2539</v>
      </c>
      <c r="D141" s="33"/>
      <c r="E141" s="33" t="s">
        <v>3096</v>
      </c>
      <c r="F141" s="33"/>
      <c r="G141" s="55" t="s">
        <v>3635</v>
      </c>
      <c r="H141" s="33"/>
      <c r="I141" s="51" t="s">
        <v>3636</v>
      </c>
      <c r="J141" s="33"/>
      <c r="K141" s="51" t="s">
        <v>3637</v>
      </c>
      <c r="L141" s="33" t="s">
        <v>2454</v>
      </c>
      <c r="M141" s="55" t="s">
        <v>3475</v>
      </c>
      <c r="N141" s="55" t="s">
        <v>3475</v>
      </c>
      <c r="O141" s="33" t="s">
        <v>2272</v>
      </c>
      <c r="P141" s="33" t="s">
        <v>2251</v>
      </c>
      <c r="Q141" s="33"/>
      <c r="R141" s="33" t="s">
        <v>2263</v>
      </c>
      <c r="S141" s="56" t="s">
        <v>2277</v>
      </c>
      <c r="T141" s="56"/>
      <c r="U141" s="56"/>
      <c r="V141" s="33" t="s">
        <v>2456</v>
      </c>
      <c r="W141" s="94" t="s">
        <v>2457</v>
      </c>
      <c r="X141" s="94" t="s">
        <v>2458</v>
      </c>
      <c r="Y141" s="51"/>
      <c r="Z141" s="51"/>
      <c r="AA141" s="33" t="s">
        <v>2459</v>
      </c>
      <c r="AB141" s="33" t="s">
        <v>2460</v>
      </c>
      <c r="AC141" s="33"/>
      <c r="AD141" s="33" t="s">
        <v>2254</v>
      </c>
      <c r="AE141" s="33"/>
      <c r="AF141" s="33" t="s">
        <v>2267</v>
      </c>
      <c r="AG141" s="33" t="s">
        <v>2461</v>
      </c>
      <c r="AH141" s="33"/>
      <c r="AI141" s="33"/>
      <c r="AJ141" s="33" t="s">
        <v>3638</v>
      </c>
      <c r="AK141" s="94"/>
      <c r="AL141" s="33" t="s">
        <v>3639</v>
      </c>
      <c r="AM141" s="33"/>
      <c r="AN141" s="33" t="s">
        <v>2465</v>
      </c>
      <c r="AO141" s="51" t="s">
        <v>2618</v>
      </c>
      <c r="AP141" s="51" t="s">
        <v>207</v>
      </c>
      <c r="AQ141" s="33"/>
      <c r="AR141" s="54"/>
      <c r="AS141" s="54"/>
      <c r="AT141" s="54"/>
      <c r="AU141" s="54"/>
      <c r="AV141" s="54"/>
      <c r="AW141" s="54"/>
      <c r="AX141" s="54"/>
      <c r="AY141" s="54"/>
      <c r="AZ141" s="54"/>
      <c r="BA141" s="54"/>
      <c r="BB141" s="54"/>
      <c r="BC141" s="54"/>
      <c r="BD141" s="54" t="s">
        <v>2447</v>
      </c>
      <c r="BE141" s="54"/>
      <c r="BF141" s="54"/>
      <c r="BG141" s="54"/>
      <c r="BH141" s="54"/>
      <c r="BI141" s="54"/>
      <c r="BJ141" s="0"/>
      <c r="BK141" s="0"/>
      <c r="BL141" s="0"/>
      <c r="BM141" s="0"/>
      <c r="BN141" s="0"/>
      <c r="BO141" s="0"/>
      <c r="BP141"/>
      <c r="BQ141"/>
      <c r="BR141"/>
      <c r="BS141"/>
      <c r="BT141"/>
      <c r="BU141"/>
      <c r="BV141"/>
      <c r="BW141"/>
      <c r="BX141"/>
      <c r="BY141"/>
      <c r="BZ141"/>
      <c r="CA141"/>
      <c r="CB141"/>
    </row>
    <row r="142" ht="15.0" customHeight="true">
      <c r="A142" s="51" t="s">
        <v>2448</v>
      </c>
      <c r="B142" s="33"/>
      <c r="C142" s="33" t="s">
        <v>3640</v>
      </c>
      <c r="D142" s="33"/>
      <c r="E142" s="33" t="s">
        <v>3641</v>
      </c>
      <c r="F142" s="33"/>
      <c r="G142" s="55" t="s">
        <v>3642</v>
      </c>
      <c r="H142" s="33"/>
      <c r="I142" s="51" t="s">
        <v>3643</v>
      </c>
      <c r="J142" s="33"/>
      <c r="K142" s="51" t="s">
        <v>3644</v>
      </c>
      <c r="L142" s="33" t="s">
        <v>2454</v>
      </c>
      <c r="M142" s="55" t="s">
        <v>2736</v>
      </c>
      <c r="N142" s="55" t="s">
        <v>3552</v>
      </c>
      <c r="O142" s="33" t="s">
        <v>2272</v>
      </c>
      <c r="P142" s="33" t="s">
        <v>2251</v>
      </c>
      <c r="Q142" s="33"/>
      <c r="R142" s="33" t="s">
        <v>2263</v>
      </c>
      <c r="S142" s="56" t="s">
        <v>2277</v>
      </c>
      <c r="T142" s="56"/>
      <c r="U142" s="56"/>
      <c r="V142" s="33" t="s">
        <v>2456</v>
      </c>
      <c r="W142" s="94" t="s">
        <v>2457</v>
      </c>
      <c r="X142" s="94" t="s">
        <v>2474</v>
      </c>
      <c r="Y142" s="51"/>
      <c r="Z142" s="51"/>
      <c r="AA142" s="33" t="s">
        <v>2459</v>
      </c>
      <c r="AB142" s="33" t="s">
        <v>2460</v>
      </c>
      <c r="AC142" s="33"/>
      <c r="AD142" s="33" t="s">
        <v>2254</v>
      </c>
      <c r="AE142" s="33"/>
      <c r="AF142" s="33" t="s">
        <v>2267</v>
      </c>
      <c r="AG142" s="33" t="s">
        <v>2461</v>
      </c>
      <c r="AH142" s="33"/>
      <c r="AI142" s="33"/>
      <c r="AJ142" s="33" t="s">
        <v>3645</v>
      </c>
      <c r="AK142" s="94"/>
      <c r="AL142" s="33" t="s">
        <v>3646</v>
      </c>
      <c r="AM142" s="33" t="s">
        <v>3647</v>
      </c>
      <c r="AN142" s="33" t="s">
        <v>3648</v>
      </c>
      <c r="AO142" s="51" t="s">
        <v>3649</v>
      </c>
      <c r="AP142" s="51" t="s">
        <v>207</v>
      </c>
      <c r="AQ142" s="33"/>
      <c r="AR142" s="54"/>
      <c r="AS142" s="54"/>
      <c r="AT142" s="54"/>
      <c r="AU142" s="54"/>
      <c r="AV142" s="54"/>
      <c r="AW142" s="54"/>
      <c r="AX142" s="54"/>
      <c r="AY142" s="54"/>
      <c r="AZ142" s="54"/>
      <c r="BA142" s="54"/>
      <c r="BB142" s="54"/>
      <c r="BC142" s="54"/>
      <c r="BD142" s="54" t="s">
        <v>2447</v>
      </c>
      <c r="BE142" s="54"/>
      <c r="BF142" s="54"/>
      <c r="BG142" s="54"/>
      <c r="BH142" s="54"/>
      <c r="BI142" s="54"/>
      <c r="BJ142" s="0"/>
      <c r="BK142" s="0"/>
      <c r="BL142" s="0"/>
      <c r="BM142" s="0"/>
      <c r="BN142" s="0"/>
      <c r="BO142" s="0"/>
      <c r="BP142"/>
      <c r="BQ142"/>
      <c r="BR142"/>
      <c r="BS142"/>
      <c r="BT142"/>
      <c r="BU142"/>
      <c r="BV142"/>
      <c r="BW142"/>
      <c r="BX142"/>
      <c r="BY142"/>
      <c r="BZ142"/>
      <c r="CA142"/>
      <c r="CB142"/>
    </row>
    <row r="143" ht="15.0" customHeight="true">
      <c r="A143" s="51" t="s">
        <v>2448</v>
      </c>
      <c r="B143" s="33"/>
      <c r="C143" s="33" t="s">
        <v>3650</v>
      </c>
      <c r="D143" s="33"/>
      <c r="E143" s="33" t="s">
        <v>3651</v>
      </c>
      <c r="F143" s="33"/>
      <c r="G143" s="55" t="s">
        <v>3270</v>
      </c>
      <c r="H143" s="33"/>
      <c r="I143" s="51" t="s">
        <v>3652</v>
      </c>
      <c r="J143" s="33"/>
      <c r="K143" s="51" t="s">
        <v>3653</v>
      </c>
      <c r="L143" s="33" t="s">
        <v>2454</v>
      </c>
      <c r="M143" s="55" t="s">
        <v>2572</v>
      </c>
      <c r="N143" s="55" t="s">
        <v>3654</v>
      </c>
      <c r="O143" s="33" t="s">
        <v>2272</v>
      </c>
      <c r="P143" s="33" t="s">
        <v>2251</v>
      </c>
      <c r="Q143" s="33"/>
      <c r="R143" s="33" t="s">
        <v>2263</v>
      </c>
      <c r="S143" s="56" t="s">
        <v>2277</v>
      </c>
      <c r="T143" s="56"/>
      <c r="U143" s="56"/>
      <c r="V143" s="33" t="s">
        <v>2456</v>
      </c>
      <c r="W143" s="94" t="s">
        <v>2457</v>
      </c>
      <c r="X143" s="94" t="s">
        <v>2474</v>
      </c>
      <c r="Y143" s="51"/>
      <c r="Z143" s="51"/>
      <c r="AA143" s="33" t="s">
        <v>2459</v>
      </c>
      <c r="AB143" s="33" t="s">
        <v>2460</v>
      </c>
      <c r="AC143" s="33"/>
      <c r="AD143" s="33" t="s">
        <v>2254</v>
      </c>
      <c r="AE143" s="33"/>
      <c r="AF143" s="33" t="s">
        <v>2267</v>
      </c>
      <c r="AG143" s="33" t="s">
        <v>2461</v>
      </c>
      <c r="AH143" s="33"/>
      <c r="AI143" s="33"/>
      <c r="AJ143" s="33" t="s">
        <v>3655</v>
      </c>
      <c r="AK143" s="94"/>
      <c r="AL143" s="33" t="s">
        <v>3656</v>
      </c>
      <c r="AM143" s="33" t="s">
        <v>3657</v>
      </c>
      <c r="AN143" s="33" t="s">
        <v>2465</v>
      </c>
      <c r="AO143" s="51" t="s">
        <v>2548</v>
      </c>
      <c r="AP143" s="51" t="s">
        <v>207</v>
      </c>
      <c r="AQ143" s="33"/>
      <c r="AR143" s="54"/>
      <c r="AS143" s="54"/>
      <c r="AT143" s="54"/>
      <c r="AU143" s="54"/>
      <c r="AV143" s="54"/>
      <c r="AW143" s="54"/>
      <c r="AX143" s="54"/>
      <c r="AY143" s="54"/>
      <c r="AZ143" s="54"/>
      <c r="BA143" s="54"/>
      <c r="BB143" s="54"/>
      <c r="BC143" s="54"/>
      <c r="BD143" s="54" t="s">
        <v>2447</v>
      </c>
      <c r="BE143" s="54"/>
      <c r="BF143" s="54"/>
      <c r="BG143" s="54"/>
      <c r="BH143" s="54"/>
      <c r="BI143" s="54"/>
      <c r="BJ143" s="0"/>
      <c r="BK143" s="0"/>
      <c r="BL143" s="0"/>
      <c r="BM143" s="0"/>
      <c r="BN143" s="0"/>
      <c r="BO143" s="0"/>
      <c r="BP143"/>
      <c r="BQ143"/>
      <c r="BR143"/>
      <c r="BS143"/>
      <c r="BT143"/>
      <c r="BU143"/>
      <c r="BV143"/>
      <c r="BW143"/>
      <c r="BX143"/>
      <c r="BY143"/>
      <c r="BZ143"/>
      <c r="CA143"/>
      <c r="CB143"/>
    </row>
    <row r="144" ht="15.0" customHeight="true">
      <c r="A144" s="51" t="s">
        <v>2448</v>
      </c>
      <c r="B144" s="33"/>
      <c r="C144" s="33" t="s">
        <v>3658</v>
      </c>
      <c r="D144" s="33"/>
      <c r="E144" s="33" t="s">
        <v>3659</v>
      </c>
      <c r="F144" s="33"/>
      <c r="G144" s="55" t="s">
        <v>2973</v>
      </c>
      <c r="H144" s="33"/>
      <c r="I144" s="51" t="s">
        <v>3660</v>
      </c>
      <c r="J144" s="33"/>
      <c r="K144" s="51" t="s">
        <v>3661</v>
      </c>
      <c r="L144" s="33" t="s">
        <v>2454</v>
      </c>
      <c r="M144" s="55" t="s">
        <v>3662</v>
      </c>
      <c r="N144" s="55" t="s">
        <v>3663</v>
      </c>
      <c r="O144" s="33" t="s">
        <v>2272</v>
      </c>
      <c r="P144" s="33" t="s">
        <v>2251</v>
      </c>
      <c r="Q144" s="33"/>
      <c r="R144" s="33" t="s">
        <v>2263</v>
      </c>
      <c r="S144" s="56" t="s">
        <v>2277</v>
      </c>
      <c r="T144" s="56"/>
      <c r="U144" s="56"/>
      <c r="V144" s="33" t="s">
        <v>2456</v>
      </c>
      <c r="W144" s="94" t="s">
        <v>2457</v>
      </c>
      <c r="X144" s="94" t="s">
        <v>2474</v>
      </c>
      <c r="Y144" s="51"/>
      <c r="Z144" s="51"/>
      <c r="AA144" s="33" t="s">
        <v>2459</v>
      </c>
      <c r="AB144" s="33" t="s">
        <v>2460</v>
      </c>
      <c r="AC144" s="33"/>
      <c r="AD144" s="33" t="s">
        <v>2254</v>
      </c>
      <c r="AE144" s="33"/>
      <c r="AF144" s="33" t="s">
        <v>2267</v>
      </c>
      <c r="AG144" s="33" t="s">
        <v>2461</v>
      </c>
      <c r="AH144" s="33"/>
      <c r="AI144" s="33"/>
      <c r="AJ144" s="33" t="s">
        <v>3664</v>
      </c>
      <c r="AK144" s="94"/>
      <c r="AL144" s="33" t="s">
        <v>3665</v>
      </c>
      <c r="AM144" s="33"/>
      <c r="AN144" s="33" t="s">
        <v>2828</v>
      </c>
      <c r="AO144" s="51" t="s">
        <v>2829</v>
      </c>
      <c r="AP144" s="51" t="s">
        <v>207</v>
      </c>
      <c r="AQ144" s="33"/>
      <c r="AR144" s="54"/>
      <c r="AS144" s="54"/>
      <c r="AT144" s="54"/>
      <c r="AU144" s="54"/>
      <c r="AV144" s="54"/>
      <c r="AW144" s="54"/>
      <c r="AX144" s="54"/>
      <c r="AY144" s="54"/>
      <c r="AZ144" s="54"/>
      <c r="BA144" s="54"/>
      <c r="BB144" s="54"/>
      <c r="BC144" s="54"/>
      <c r="BD144" s="54" t="s">
        <v>2447</v>
      </c>
      <c r="BE144" s="54"/>
      <c r="BF144" s="54"/>
      <c r="BG144" s="54"/>
      <c r="BH144" s="54"/>
      <c r="BI144" s="54"/>
      <c r="BJ144" s="0"/>
      <c r="BK144" s="0"/>
      <c r="BL144" s="0"/>
      <c r="BM144" s="0"/>
      <c r="BN144" s="0"/>
      <c r="BO144" s="0"/>
      <c r="BP144"/>
      <c r="BQ144"/>
      <c r="BR144"/>
      <c r="BS144"/>
      <c r="BT144"/>
      <c r="BU144"/>
      <c r="BV144"/>
      <c r="BW144"/>
      <c r="BX144"/>
      <c r="BY144"/>
      <c r="BZ144"/>
      <c r="CA144"/>
      <c r="CB144"/>
    </row>
    <row r="145" ht="15.0" customHeight="true">
      <c r="A145" s="51" t="s">
        <v>2448</v>
      </c>
      <c r="B145" s="33"/>
      <c r="C145" s="33" t="s">
        <v>3666</v>
      </c>
      <c r="D145" s="33"/>
      <c r="E145" s="33" t="s">
        <v>3667</v>
      </c>
      <c r="F145" s="33"/>
      <c r="G145" s="55" t="s">
        <v>3668</v>
      </c>
      <c r="H145" s="33"/>
      <c r="I145" s="51" t="s">
        <v>3669</v>
      </c>
      <c r="J145" s="33"/>
      <c r="K145" s="51" t="s">
        <v>3670</v>
      </c>
      <c r="L145" s="33" t="s">
        <v>2454</v>
      </c>
      <c r="M145" s="55" t="s">
        <v>3671</v>
      </c>
      <c r="N145" s="55" t="s">
        <v>3671</v>
      </c>
      <c r="O145" s="33" t="s">
        <v>2272</v>
      </c>
      <c r="P145" s="33" t="s">
        <v>2251</v>
      </c>
      <c r="Q145" s="33"/>
      <c r="R145" s="33" t="s">
        <v>2263</v>
      </c>
      <c r="S145" s="56" t="s">
        <v>2277</v>
      </c>
      <c r="T145" s="56"/>
      <c r="U145" s="56"/>
      <c r="V145" s="33" t="s">
        <v>2456</v>
      </c>
      <c r="W145" s="94" t="s">
        <v>2457</v>
      </c>
      <c r="X145" s="94" t="s">
        <v>2474</v>
      </c>
      <c r="Y145" s="51"/>
      <c r="Z145" s="51"/>
      <c r="AA145" s="33" t="s">
        <v>2459</v>
      </c>
      <c r="AB145" s="33" t="s">
        <v>2460</v>
      </c>
      <c r="AC145" s="33"/>
      <c r="AD145" s="33" t="s">
        <v>2254</v>
      </c>
      <c r="AE145" s="33"/>
      <c r="AF145" s="33" t="s">
        <v>2267</v>
      </c>
      <c r="AG145" s="33" t="s">
        <v>2461</v>
      </c>
      <c r="AH145" s="33"/>
      <c r="AI145" s="33"/>
      <c r="AJ145" s="33" t="s">
        <v>3672</v>
      </c>
      <c r="AK145" s="94"/>
      <c r="AL145" s="33" t="s">
        <v>3673</v>
      </c>
      <c r="AM145" s="33"/>
      <c r="AN145" s="33" t="s">
        <v>2465</v>
      </c>
      <c r="AO145" s="51" t="s">
        <v>2489</v>
      </c>
      <c r="AP145" s="51" t="s">
        <v>207</v>
      </c>
      <c r="AQ145" s="33"/>
      <c r="AR145" s="54"/>
      <c r="AS145" s="54"/>
      <c r="AT145" s="54"/>
      <c r="AU145" s="54"/>
      <c r="AV145" s="54"/>
      <c r="AW145" s="54"/>
      <c r="AX145" s="54"/>
      <c r="AY145" s="54"/>
      <c r="AZ145" s="54"/>
      <c r="BA145" s="54"/>
      <c r="BB145" s="54"/>
      <c r="BC145" s="54"/>
      <c r="BD145" s="54" t="s">
        <v>2447</v>
      </c>
      <c r="BE145" s="54"/>
      <c r="BF145" s="54"/>
      <c r="BG145" s="54"/>
      <c r="BH145" s="54"/>
      <c r="BI145" s="54"/>
      <c r="BJ145" s="0"/>
      <c r="BK145" s="0"/>
      <c r="BL145" s="0"/>
      <c r="BM145" s="0"/>
      <c r="BN145" s="0"/>
      <c r="BO145" s="0"/>
      <c r="BP145"/>
      <c r="BQ145"/>
      <c r="BR145"/>
      <c r="BS145"/>
      <c r="BT145"/>
      <c r="BU145"/>
      <c r="BV145"/>
      <c r="BW145"/>
      <c r="BX145"/>
      <c r="BY145"/>
      <c r="BZ145"/>
      <c r="CA145"/>
      <c r="CB145"/>
    </row>
    <row r="146" ht="15.0" customHeight="true">
      <c r="A146" s="51" t="s">
        <v>2448</v>
      </c>
      <c r="B146" s="33"/>
      <c r="C146" s="33" t="s">
        <v>3674</v>
      </c>
      <c r="D146" s="33"/>
      <c r="E146" s="33" t="s">
        <v>3675</v>
      </c>
      <c r="F146" s="33"/>
      <c r="G146" s="55" t="s">
        <v>3676</v>
      </c>
      <c r="H146" s="33"/>
      <c r="I146" s="51" t="s">
        <v>3677</v>
      </c>
      <c r="J146" s="33"/>
      <c r="K146" s="51" t="s">
        <v>3678</v>
      </c>
      <c r="L146" s="33" t="s">
        <v>2484</v>
      </c>
      <c r="M146" s="55" t="s">
        <v>3679</v>
      </c>
      <c r="N146" s="55"/>
      <c r="O146" s="33"/>
      <c r="P146" s="33" t="s">
        <v>2251</v>
      </c>
      <c r="Q146" s="33"/>
      <c r="R146" s="33" t="s">
        <v>2263</v>
      </c>
      <c r="S146" s="56" t="s">
        <v>2277</v>
      </c>
      <c r="T146" s="56"/>
      <c r="U146" s="56"/>
      <c r="V146" s="33" t="s">
        <v>2456</v>
      </c>
      <c r="W146" s="94" t="s">
        <v>2457</v>
      </c>
      <c r="X146" s="94" t="s">
        <v>2474</v>
      </c>
      <c r="Y146" s="51"/>
      <c r="Z146" s="51"/>
      <c r="AA146" s="33" t="s">
        <v>2459</v>
      </c>
      <c r="AB146" s="33" t="s">
        <v>2460</v>
      </c>
      <c r="AC146" s="33" t="s">
        <v>2486</v>
      </c>
      <c r="AD146" s="33" t="s">
        <v>2254</v>
      </c>
      <c r="AE146" s="33"/>
      <c r="AF146" s="33" t="s">
        <v>2267</v>
      </c>
      <c r="AG146" s="33" t="s">
        <v>2461</v>
      </c>
      <c r="AH146" s="33"/>
      <c r="AI146" s="33"/>
      <c r="AJ146" s="33" t="s">
        <v>3680</v>
      </c>
      <c r="AK146" s="94"/>
      <c r="AL146" s="33" t="s">
        <v>3681</v>
      </c>
      <c r="AM146" s="33"/>
      <c r="AN146" s="33" t="s">
        <v>2701</v>
      </c>
      <c r="AO146" s="51" t="s">
        <v>2702</v>
      </c>
      <c r="AP146" s="51" t="s">
        <v>207</v>
      </c>
      <c r="AQ146" s="33"/>
      <c r="AR146" s="54"/>
      <c r="AS146" s="54"/>
      <c r="AT146" s="54"/>
      <c r="AU146" s="54"/>
      <c r="AV146" s="54"/>
      <c r="AW146" s="54"/>
      <c r="AX146" s="54"/>
      <c r="AY146" s="54"/>
      <c r="AZ146" s="54"/>
      <c r="BA146" s="54"/>
      <c r="BB146" s="54"/>
      <c r="BC146" s="54"/>
      <c r="BD146" s="54" t="s">
        <v>2447</v>
      </c>
      <c r="BE146" s="54"/>
      <c r="BF146" s="54"/>
      <c r="BG146" s="54"/>
      <c r="BH146" s="54"/>
      <c r="BI146" s="54"/>
      <c r="BJ146" s="0"/>
      <c r="BK146" s="0"/>
      <c r="BL146" s="0"/>
      <c r="BM146" s="0"/>
      <c r="BN146" s="0"/>
      <c r="BO146" s="0"/>
      <c r="BP146"/>
      <c r="BQ146"/>
      <c r="BR146"/>
      <c r="BS146"/>
      <c r="BT146"/>
      <c r="BU146"/>
      <c r="BV146"/>
      <c r="BW146"/>
      <c r="BX146"/>
      <c r="BY146"/>
      <c r="BZ146"/>
      <c r="CA146"/>
      <c r="CB146"/>
    </row>
    <row r="147" ht="15.0" customHeight="true">
      <c r="A147" s="51" t="s">
        <v>2448</v>
      </c>
      <c r="B147" s="33"/>
      <c r="C147" s="33" t="s">
        <v>3682</v>
      </c>
      <c r="D147" s="33"/>
      <c r="E147" s="33" t="s">
        <v>3683</v>
      </c>
      <c r="F147" s="33"/>
      <c r="G147" s="55" t="s">
        <v>3684</v>
      </c>
      <c r="H147" s="33"/>
      <c r="I147" s="51" t="s">
        <v>3685</v>
      </c>
      <c r="J147" s="33"/>
      <c r="K147" s="51" t="s">
        <v>3686</v>
      </c>
      <c r="L147" s="33" t="s">
        <v>2454</v>
      </c>
      <c r="M147" s="55" t="s">
        <v>2868</v>
      </c>
      <c r="N147" s="55" t="s">
        <v>2868</v>
      </c>
      <c r="O147" s="33" t="s">
        <v>2272</v>
      </c>
      <c r="P147" s="33" t="s">
        <v>2251</v>
      </c>
      <c r="Q147" s="33"/>
      <c r="R147" s="33" t="s">
        <v>2263</v>
      </c>
      <c r="S147" s="56" t="s">
        <v>2277</v>
      </c>
      <c r="T147" s="56"/>
      <c r="U147" s="56"/>
      <c r="V147" s="33" t="s">
        <v>2456</v>
      </c>
      <c r="W147" s="94" t="s">
        <v>2457</v>
      </c>
      <c r="X147" s="94" t="s">
        <v>2458</v>
      </c>
      <c r="Y147" s="51"/>
      <c r="Z147" s="51"/>
      <c r="AA147" s="33" t="s">
        <v>2459</v>
      </c>
      <c r="AB147" s="33" t="s">
        <v>2460</v>
      </c>
      <c r="AC147" s="33"/>
      <c r="AD147" s="33" t="s">
        <v>2254</v>
      </c>
      <c r="AE147" s="33"/>
      <c r="AF147" s="33" t="s">
        <v>2267</v>
      </c>
      <c r="AG147" s="33" t="s">
        <v>2461</v>
      </c>
      <c r="AH147" s="33"/>
      <c r="AI147" s="33"/>
      <c r="AJ147" s="33" t="s">
        <v>3687</v>
      </c>
      <c r="AK147" s="94"/>
      <c r="AL147" s="33" t="s">
        <v>3688</v>
      </c>
      <c r="AM147" s="33"/>
      <c r="AN147" s="33" t="s">
        <v>2588</v>
      </c>
      <c r="AO147" s="51" t="s">
        <v>2628</v>
      </c>
      <c r="AP147" s="51" t="s">
        <v>207</v>
      </c>
      <c r="AQ147" s="33"/>
      <c r="AR147" s="54"/>
      <c r="AS147" s="54"/>
      <c r="AT147" s="54"/>
      <c r="AU147" s="54"/>
      <c r="AV147" s="54"/>
      <c r="AW147" s="54"/>
      <c r="AX147" s="54"/>
      <c r="AY147" s="54"/>
      <c r="AZ147" s="54"/>
      <c r="BA147" s="54"/>
      <c r="BB147" s="54"/>
      <c r="BC147" s="54"/>
      <c r="BD147" s="54" t="s">
        <v>2447</v>
      </c>
      <c r="BE147" s="54"/>
      <c r="BF147" s="54"/>
      <c r="BG147" s="54"/>
      <c r="BH147" s="54"/>
      <c r="BI147" s="54"/>
      <c r="BJ147" s="0"/>
      <c r="BK147" s="0"/>
      <c r="BL147" s="0"/>
      <c r="BM147" s="0"/>
      <c r="BN147" s="0"/>
      <c r="BO147" s="0"/>
      <c r="BP147"/>
      <c r="BQ147"/>
      <c r="BR147"/>
      <c r="BS147"/>
      <c r="BT147"/>
      <c r="BU147"/>
      <c r="BV147"/>
      <c r="BW147"/>
      <c r="BX147"/>
      <c r="BY147"/>
      <c r="BZ147"/>
      <c r="CA147"/>
      <c r="CB147"/>
    </row>
    <row r="148" ht="15.0" customHeight="true">
      <c r="A148" s="51" t="s">
        <v>2448</v>
      </c>
      <c r="B148" s="33"/>
      <c r="C148" s="33" t="s">
        <v>2887</v>
      </c>
      <c r="D148" s="33"/>
      <c r="E148" s="33" t="s">
        <v>3689</v>
      </c>
      <c r="F148" s="33"/>
      <c r="G148" s="55" t="s">
        <v>3690</v>
      </c>
      <c r="H148" s="33"/>
      <c r="I148" s="51" t="s">
        <v>3691</v>
      </c>
      <c r="J148" s="33"/>
      <c r="K148" s="51" t="s">
        <v>3692</v>
      </c>
      <c r="L148" s="33" t="s">
        <v>2454</v>
      </c>
      <c r="M148" s="55" t="s">
        <v>3693</v>
      </c>
      <c r="N148" s="55" t="s">
        <v>3475</v>
      </c>
      <c r="O148" s="33" t="s">
        <v>2272</v>
      </c>
      <c r="P148" s="33" t="s">
        <v>2251</v>
      </c>
      <c r="Q148" s="33"/>
      <c r="R148" s="33" t="s">
        <v>2263</v>
      </c>
      <c r="S148" s="56" t="s">
        <v>2277</v>
      </c>
      <c r="T148" s="56"/>
      <c r="U148" s="56"/>
      <c r="V148" s="33" t="s">
        <v>2456</v>
      </c>
      <c r="W148" s="94" t="s">
        <v>2457</v>
      </c>
      <c r="X148" s="94" t="s">
        <v>2458</v>
      </c>
      <c r="Y148" s="51"/>
      <c r="Z148" s="51"/>
      <c r="AA148" s="33" t="s">
        <v>2459</v>
      </c>
      <c r="AB148" s="33" t="s">
        <v>2460</v>
      </c>
      <c r="AC148" s="33"/>
      <c r="AD148" s="33" t="s">
        <v>2254</v>
      </c>
      <c r="AE148" s="33"/>
      <c r="AF148" s="33" t="s">
        <v>2267</v>
      </c>
      <c r="AG148" s="33" t="s">
        <v>2461</v>
      </c>
      <c r="AH148" s="33"/>
      <c r="AI148" s="33"/>
      <c r="AJ148" s="33" t="s">
        <v>3694</v>
      </c>
      <c r="AK148" s="94"/>
      <c r="AL148" s="33" t="s">
        <v>3695</v>
      </c>
      <c r="AM148" s="33"/>
      <c r="AN148" s="33" t="s">
        <v>2465</v>
      </c>
      <c r="AO148" s="51" t="s">
        <v>2478</v>
      </c>
      <c r="AP148" s="51" t="s">
        <v>207</v>
      </c>
      <c r="AQ148" s="33"/>
      <c r="AR148" s="54"/>
      <c r="AS148" s="54"/>
      <c r="AT148" s="54"/>
      <c r="AU148" s="54"/>
      <c r="AV148" s="54"/>
      <c r="AW148" s="54"/>
      <c r="AX148" s="54"/>
      <c r="AY148" s="54"/>
      <c r="AZ148" s="54"/>
      <c r="BA148" s="54"/>
      <c r="BB148" s="54"/>
      <c r="BC148" s="54"/>
      <c r="BD148" s="54" t="s">
        <v>2447</v>
      </c>
      <c r="BE148" s="54"/>
      <c r="BF148" s="54"/>
      <c r="BG148" s="54"/>
      <c r="BH148" s="54"/>
      <c r="BI148" s="54"/>
      <c r="BJ148" s="0"/>
      <c r="BK148" s="0"/>
      <c r="BL148" s="0"/>
      <c r="BM148" s="0"/>
      <c r="BN148" s="0"/>
      <c r="BO148" s="0"/>
      <c r="BP148"/>
      <c r="BQ148"/>
      <c r="BR148"/>
      <c r="BS148"/>
      <c r="BT148"/>
      <c r="BU148"/>
      <c r="BV148"/>
      <c r="BW148"/>
      <c r="BX148"/>
      <c r="BY148"/>
      <c r="BZ148"/>
      <c r="CA148"/>
      <c r="CB148"/>
    </row>
    <row r="149" ht="15.0" customHeight="true">
      <c r="A149" s="51" t="s">
        <v>2448</v>
      </c>
      <c r="B149" s="33"/>
      <c r="C149" s="33" t="s">
        <v>3696</v>
      </c>
      <c r="D149" s="33"/>
      <c r="E149" s="33" t="s">
        <v>3697</v>
      </c>
      <c r="F149" s="33"/>
      <c r="G149" s="55" t="s">
        <v>3698</v>
      </c>
      <c r="H149" s="33"/>
      <c r="I149" s="51" t="s">
        <v>3699</v>
      </c>
      <c r="J149" s="33"/>
      <c r="K149" s="51" t="s">
        <v>3700</v>
      </c>
      <c r="L149" s="33" t="s">
        <v>2454</v>
      </c>
      <c r="M149" s="55" t="s">
        <v>3701</v>
      </c>
      <c r="N149" s="55" t="s">
        <v>2993</v>
      </c>
      <c r="O149" s="33" t="s">
        <v>2272</v>
      </c>
      <c r="P149" s="33" t="s">
        <v>2251</v>
      </c>
      <c r="Q149" s="33"/>
      <c r="R149" s="33" t="s">
        <v>2263</v>
      </c>
      <c r="S149" s="56" t="s">
        <v>2277</v>
      </c>
      <c r="T149" s="56"/>
      <c r="U149" s="56"/>
      <c r="V149" s="33" t="s">
        <v>2456</v>
      </c>
      <c r="W149" s="94" t="s">
        <v>2457</v>
      </c>
      <c r="X149" s="94" t="s">
        <v>2458</v>
      </c>
      <c r="Y149" s="51"/>
      <c r="Z149" s="51"/>
      <c r="AA149" s="33" t="s">
        <v>2459</v>
      </c>
      <c r="AB149" s="33" t="s">
        <v>2460</v>
      </c>
      <c r="AC149" s="33"/>
      <c r="AD149" s="33" t="s">
        <v>2254</v>
      </c>
      <c r="AE149" s="33"/>
      <c r="AF149" s="33" t="s">
        <v>2267</v>
      </c>
      <c r="AG149" s="33" t="s">
        <v>2461</v>
      </c>
      <c r="AH149" s="33"/>
      <c r="AI149" s="33"/>
      <c r="AJ149" s="33" t="s">
        <v>3702</v>
      </c>
      <c r="AK149" s="94"/>
      <c r="AL149" s="33" t="s">
        <v>3703</v>
      </c>
      <c r="AM149" s="33" t="s">
        <v>3704</v>
      </c>
      <c r="AN149" s="33" t="s">
        <v>2465</v>
      </c>
      <c r="AO149" s="51" t="s">
        <v>2489</v>
      </c>
      <c r="AP149" s="51" t="s">
        <v>207</v>
      </c>
      <c r="AQ149" s="33"/>
      <c r="AR149" s="54"/>
      <c r="AS149" s="54"/>
      <c r="AT149" s="54"/>
      <c r="AU149" s="54"/>
      <c r="AV149" s="54"/>
      <c r="AW149" s="54"/>
      <c r="AX149" s="54"/>
      <c r="AY149" s="54"/>
      <c r="AZ149" s="54"/>
      <c r="BA149" s="54"/>
      <c r="BB149" s="54"/>
      <c r="BC149" s="54"/>
      <c r="BD149" s="54" t="s">
        <v>2447</v>
      </c>
      <c r="BE149" s="54"/>
      <c r="BF149" s="54"/>
      <c r="BG149" s="54"/>
      <c r="BH149" s="54"/>
      <c r="BI149" s="54"/>
      <c r="BJ149" s="0"/>
      <c r="BK149" s="0"/>
      <c r="BL149" s="0"/>
      <c r="BM149" s="0"/>
      <c r="BN149" s="0"/>
      <c r="BO149" s="0"/>
      <c r="BP149"/>
      <c r="BQ149"/>
      <c r="BR149"/>
      <c r="BS149"/>
      <c r="BT149"/>
      <c r="BU149"/>
      <c r="BV149"/>
      <c r="BW149"/>
      <c r="BX149"/>
      <c r="BY149"/>
      <c r="BZ149"/>
      <c r="CA149"/>
      <c r="CB149"/>
    </row>
    <row r="150" ht="15.0" customHeight="true">
      <c r="A150" s="51" t="s">
        <v>2448</v>
      </c>
      <c r="B150" s="33"/>
      <c r="C150" s="33" t="s">
        <v>3705</v>
      </c>
      <c r="D150" s="33"/>
      <c r="E150" s="33" t="s">
        <v>3706</v>
      </c>
      <c r="F150" s="33"/>
      <c r="G150" s="55" t="s">
        <v>3707</v>
      </c>
      <c r="H150" s="33"/>
      <c r="I150" s="51" t="s">
        <v>3708</v>
      </c>
      <c r="J150" s="33"/>
      <c r="K150" s="51" t="s">
        <v>3709</v>
      </c>
      <c r="L150" s="33" t="s">
        <v>2454</v>
      </c>
      <c r="M150" s="55" t="s">
        <v>3710</v>
      </c>
      <c r="N150" s="55" t="s">
        <v>3710</v>
      </c>
      <c r="O150" s="33" t="s">
        <v>2272</v>
      </c>
      <c r="P150" s="33" t="s">
        <v>2251</v>
      </c>
      <c r="Q150" s="33"/>
      <c r="R150" s="33" t="s">
        <v>2263</v>
      </c>
      <c r="S150" s="56" t="s">
        <v>2277</v>
      </c>
      <c r="T150" s="56"/>
      <c r="U150" s="56"/>
      <c r="V150" s="33" t="s">
        <v>2456</v>
      </c>
      <c r="W150" s="94" t="s">
        <v>2457</v>
      </c>
      <c r="X150" s="94" t="s">
        <v>2458</v>
      </c>
      <c r="Y150" s="51"/>
      <c r="Z150" s="51"/>
      <c r="AA150" s="33" t="s">
        <v>2459</v>
      </c>
      <c r="AB150" s="33" t="s">
        <v>2460</v>
      </c>
      <c r="AC150" s="33"/>
      <c r="AD150" s="33" t="s">
        <v>2254</v>
      </c>
      <c r="AE150" s="33"/>
      <c r="AF150" s="33" t="s">
        <v>2267</v>
      </c>
      <c r="AG150" s="33" t="s">
        <v>2461</v>
      </c>
      <c r="AH150" s="33"/>
      <c r="AI150" s="33"/>
      <c r="AJ150" s="33" t="s">
        <v>3711</v>
      </c>
      <c r="AK150" s="94"/>
      <c r="AL150" s="33" t="s">
        <v>3712</v>
      </c>
      <c r="AM150" s="33" t="s">
        <v>3713</v>
      </c>
      <c r="AN150" s="33" t="s">
        <v>2465</v>
      </c>
      <c r="AO150" s="51" t="s">
        <v>2528</v>
      </c>
      <c r="AP150" s="51" t="s">
        <v>207</v>
      </c>
      <c r="AQ150" s="33"/>
      <c r="AR150" s="54"/>
      <c r="AS150" s="54"/>
      <c r="AT150" s="54"/>
      <c r="AU150" s="54"/>
      <c r="AV150" s="54"/>
      <c r="AW150" s="54"/>
      <c r="AX150" s="54"/>
      <c r="AY150" s="54"/>
      <c r="AZ150" s="54"/>
      <c r="BA150" s="54"/>
      <c r="BB150" s="54"/>
      <c r="BC150" s="54"/>
      <c r="BD150" s="54" t="s">
        <v>2447</v>
      </c>
      <c r="BE150" s="54"/>
      <c r="BF150" s="54"/>
      <c r="BG150" s="54"/>
      <c r="BH150" s="54"/>
      <c r="BI150" s="54"/>
      <c r="BJ150" s="0"/>
      <c r="BK150" s="0"/>
      <c r="BL150" s="0"/>
      <c r="BM150" s="0"/>
      <c r="BN150" s="0"/>
      <c r="BO150" s="0"/>
      <c r="BP150"/>
      <c r="BQ150"/>
      <c r="BR150"/>
      <c r="BS150"/>
      <c r="BT150"/>
      <c r="BU150"/>
      <c r="BV150"/>
      <c r="BW150"/>
      <c r="BX150"/>
      <c r="BY150"/>
      <c r="BZ150"/>
      <c r="CA150"/>
      <c r="CB150"/>
    </row>
    <row r="151" ht="15.0" customHeight="true">
      <c r="A151" s="51" t="s">
        <v>2448</v>
      </c>
      <c r="B151" s="33"/>
      <c r="C151" s="33" t="s">
        <v>3714</v>
      </c>
      <c r="D151" s="33"/>
      <c r="E151" s="33" t="s">
        <v>3715</v>
      </c>
      <c r="F151" s="33"/>
      <c r="G151" s="55" t="s">
        <v>3716</v>
      </c>
      <c r="H151" s="33"/>
      <c r="I151" s="51" t="s">
        <v>3717</v>
      </c>
      <c r="J151" s="33"/>
      <c r="K151" s="51" t="s">
        <v>3718</v>
      </c>
      <c r="L151" s="33" t="s">
        <v>2454</v>
      </c>
      <c r="M151" s="55" t="s">
        <v>3631</v>
      </c>
      <c r="N151" s="55" t="s">
        <v>2688</v>
      </c>
      <c r="O151" s="33" t="s">
        <v>2272</v>
      </c>
      <c r="P151" s="33" t="s">
        <v>2251</v>
      </c>
      <c r="Q151" s="33"/>
      <c r="R151" s="33" t="s">
        <v>2263</v>
      </c>
      <c r="S151" s="56" t="s">
        <v>2277</v>
      </c>
      <c r="T151" s="56"/>
      <c r="U151" s="56"/>
      <c r="V151" s="33" t="s">
        <v>2456</v>
      </c>
      <c r="W151" s="94" t="s">
        <v>2457</v>
      </c>
      <c r="X151" s="94" t="s">
        <v>2474</v>
      </c>
      <c r="Y151" s="51"/>
      <c r="Z151" s="51"/>
      <c r="AA151" s="33" t="s">
        <v>2459</v>
      </c>
      <c r="AB151" s="33" t="s">
        <v>2460</v>
      </c>
      <c r="AC151" s="33"/>
      <c r="AD151" s="33" t="s">
        <v>2254</v>
      </c>
      <c r="AE151" s="33"/>
      <c r="AF151" s="33" t="s">
        <v>2267</v>
      </c>
      <c r="AG151" s="33" t="s">
        <v>2461</v>
      </c>
      <c r="AH151" s="33"/>
      <c r="AI151" s="33"/>
      <c r="AJ151" s="33" t="s">
        <v>3719</v>
      </c>
      <c r="AK151" s="94"/>
      <c r="AL151" s="33" t="s">
        <v>3656</v>
      </c>
      <c r="AM151" s="33" t="s">
        <v>3720</v>
      </c>
      <c r="AN151" s="33" t="s">
        <v>2465</v>
      </c>
      <c r="AO151" s="51" t="s">
        <v>2548</v>
      </c>
      <c r="AP151" s="51" t="s">
        <v>207</v>
      </c>
      <c r="AQ151" s="33"/>
      <c r="AR151" s="54"/>
      <c r="AS151" s="54"/>
      <c r="AT151" s="54"/>
      <c r="AU151" s="54"/>
      <c r="AV151" s="54"/>
      <c r="AW151" s="54"/>
      <c r="AX151" s="54"/>
      <c r="AY151" s="54"/>
      <c r="AZ151" s="54"/>
      <c r="BA151" s="54"/>
      <c r="BB151" s="54"/>
      <c r="BC151" s="54"/>
      <c r="BD151" s="54" t="s">
        <v>2447</v>
      </c>
      <c r="BE151" s="54"/>
      <c r="BF151" s="54"/>
      <c r="BG151" s="54"/>
      <c r="BH151" s="54"/>
      <c r="BI151" s="54"/>
      <c r="BJ151" s="0"/>
      <c r="BK151" s="0"/>
      <c r="BL151" s="0"/>
      <c r="BM151" s="0"/>
      <c r="BN151" s="0"/>
      <c r="BO151" s="0"/>
      <c r="BP151"/>
      <c r="BQ151"/>
      <c r="BR151"/>
      <c r="BS151"/>
      <c r="BT151"/>
      <c r="BU151"/>
      <c r="BV151"/>
      <c r="BW151"/>
      <c r="BX151"/>
      <c r="BY151"/>
      <c r="BZ151"/>
      <c r="CA151"/>
      <c r="CB151"/>
    </row>
    <row r="152" ht="15.0" customHeight="true">
      <c r="A152" s="51" t="s">
        <v>2448</v>
      </c>
      <c r="B152" s="33"/>
      <c r="C152" s="33" t="s">
        <v>3721</v>
      </c>
      <c r="D152" s="33"/>
      <c r="E152" s="33" t="s">
        <v>3722</v>
      </c>
      <c r="F152" s="33"/>
      <c r="G152" s="55" t="s">
        <v>3723</v>
      </c>
      <c r="H152" s="33"/>
      <c r="I152" s="51" t="s">
        <v>3724</v>
      </c>
      <c r="J152" s="33"/>
      <c r="K152" s="51" t="s">
        <v>3725</v>
      </c>
      <c r="L152" s="33" t="s">
        <v>2484</v>
      </c>
      <c r="M152" s="55" t="s">
        <v>3726</v>
      </c>
      <c r="N152" s="55"/>
      <c r="O152" s="33"/>
      <c r="P152" s="33" t="s">
        <v>2251</v>
      </c>
      <c r="Q152" s="33"/>
      <c r="R152" s="33" t="s">
        <v>2263</v>
      </c>
      <c r="S152" s="56" t="s">
        <v>2277</v>
      </c>
      <c r="T152" s="56"/>
      <c r="U152" s="56"/>
      <c r="V152" s="33" t="s">
        <v>2456</v>
      </c>
      <c r="W152" s="94" t="s">
        <v>2457</v>
      </c>
      <c r="X152" s="94" t="s">
        <v>2474</v>
      </c>
      <c r="Y152" s="51"/>
      <c r="Z152" s="51"/>
      <c r="AA152" s="33" t="s">
        <v>2459</v>
      </c>
      <c r="AB152" s="33" t="s">
        <v>2460</v>
      </c>
      <c r="AC152" s="33" t="s">
        <v>2486</v>
      </c>
      <c r="AD152" s="33" t="s">
        <v>2254</v>
      </c>
      <c r="AE152" s="33"/>
      <c r="AF152" s="33" t="s">
        <v>2267</v>
      </c>
      <c r="AG152" s="33" t="s">
        <v>2461</v>
      </c>
      <c r="AH152" s="33"/>
      <c r="AI152" s="33"/>
      <c r="AJ152" s="33" t="s">
        <v>3727</v>
      </c>
      <c r="AK152" s="94"/>
      <c r="AL152" s="33" t="s">
        <v>3728</v>
      </c>
      <c r="AM152" s="33"/>
      <c r="AN152" s="33" t="s">
        <v>2588</v>
      </c>
      <c r="AO152" s="51" t="s">
        <v>2589</v>
      </c>
      <c r="AP152" s="51" t="s">
        <v>207</v>
      </c>
      <c r="AQ152" s="33"/>
      <c r="AR152" s="54"/>
      <c r="AS152" s="54"/>
      <c r="AT152" s="54"/>
      <c r="AU152" s="54"/>
      <c r="AV152" s="54"/>
      <c r="AW152" s="54"/>
      <c r="AX152" s="54"/>
      <c r="AY152" s="54"/>
      <c r="AZ152" s="54"/>
      <c r="BA152" s="54"/>
      <c r="BB152" s="54"/>
      <c r="BC152" s="54"/>
      <c r="BD152" s="54"/>
      <c r="BE152" s="54"/>
      <c r="BF152" s="54"/>
      <c r="BG152" s="54"/>
      <c r="BH152" s="54"/>
      <c r="BI152" s="54"/>
      <c r="BJ152" s="0"/>
      <c r="BK152" s="0"/>
      <c r="BL152" s="0"/>
      <c r="BM152" s="0"/>
      <c r="BN152" s="0"/>
      <c r="BO152" s="0"/>
      <c r="BP152"/>
      <c r="BQ152"/>
      <c r="BR152"/>
      <c r="BS152"/>
      <c r="BT152"/>
      <c r="BU152"/>
      <c r="BV152"/>
      <c r="BW152"/>
      <c r="BX152"/>
      <c r="BY152"/>
      <c r="BZ152"/>
      <c r="CA152"/>
      <c r="CB152"/>
    </row>
    <row r="153" ht="15.0" customHeight="true">
      <c r="A153" s="51" t="s">
        <v>2448</v>
      </c>
      <c r="B153" s="33"/>
      <c r="C153" s="33" t="s">
        <v>3729</v>
      </c>
      <c r="D153" s="33"/>
      <c r="E153" s="33" t="s">
        <v>3730</v>
      </c>
      <c r="F153" s="33"/>
      <c r="G153" s="55" t="s">
        <v>3731</v>
      </c>
      <c r="H153" s="33"/>
      <c r="I153" s="51" t="s">
        <v>3732</v>
      </c>
      <c r="J153" s="33"/>
      <c r="K153" s="51" t="s">
        <v>3733</v>
      </c>
      <c r="L153" s="33" t="s">
        <v>2454</v>
      </c>
      <c r="M153" s="55" t="s">
        <v>3203</v>
      </c>
      <c r="N153" s="55" t="s">
        <v>3734</v>
      </c>
      <c r="O153" s="33" t="s">
        <v>2272</v>
      </c>
      <c r="P153" s="33" t="s">
        <v>2251</v>
      </c>
      <c r="Q153" s="33"/>
      <c r="R153" s="33" t="s">
        <v>2263</v>
      </c>
      <c r="S153" s="56" t="s">
        <v>2277</v>
      </c>
      <c r="T153" s="56"/>
      <c r="U153" s="56"/>
      <c r="V153" s="33" t="s">
        <v>2456</v>
      </c>
      <c r="W153" s="94" t="s">
        <v>2457</v>
      </c>
      <c r="X153" s="94" t="s">
        <v>2458</v>
      </c>
      <c r="Y153" s="51"/>
      <c r="Z153" s="51"/>
      <c r="AA153" s="33" t="s">
        <v>2459</v>
      </c>
      <c r="AB153" s="33" t="s">
        <v>2460</v>
      </c>
      <c r="AC153" s="33"/>
      <c r="AD153" s="33" t="s">
        <v>2254</v>
      </c>
      <c r="AE153" s="33"/>
      <c r="AF153" s="33" t="s">
        <v>2267</v>
      </c>
      <c r="AG153" s="33" t="s">
        <v>2461</v>
      </c>
      <c r="AH153" s="33"/>
      <c r="AI153" s="33"/>
      <c r="AJ153" s="33" t="s">
        <v>3735</v>
      </c>
      <c r="AK153" s="94"/>
      <c r="AL153" s="33" t="s">
        <v>3736</v>
      </c>
      <c r="AM153" s="33" t="s">
        <v>3737</v>
      </c>
      <c r="AN153" s="33" t="s">
        <v>2588</v>
      </c>
      <c r="AO153" s="51" t="s">
        <v>2589</v>
      </c>
      <c r="AP153" s="51" t="s">
        <v>207</v>
      </c>
      <c r="AQ153" s="33"/>
      <c r="AR153" s="54"/>
      <c r="AS153" s="54"/>
      <c r="AT153" s="54"/>
      <c r="AU153" s="54"/>
      <c r="AV153" s="54"/>
      <c r="AW153" s="54"/>
      <c r="AX153" s="54"/>
      <c r="AY153" s="54"/>
      <c r="AZ153" s="54"/>
      <c r="BA153" s="54"/>
      <c r="BB153" s="54"/>
      <c r="BC153" s="54"/>
      <c r="BD153" s="54" t="s">
        <v>2447</v>
      </c>
      <c r="BE153" s="54"/>
      <c r="BF153" s="54"/>
      <c r="BG153" s="54"/>
      <c r="BH153" s="54"/>
      <c r="BI153" s="54"/>
      <c r="BJ153" s="0"/>
      <c r="BK153" s="0"/>
      <c r="BL153" s="0"/>
      <c r="BM153" s="0"/>
      <c r="BN153" s="0"/>
      <c r="BO153" s="0"/>
      <c r="BP153"/>
      <c r="BQ153"/>
      <c r="BR153"/>
      <c r="BS153"/>
      <c r="BT153"/>
      <c r="BU153"/>
      <c r="BV153"/>
      <c r="BW153"/>
      <c r="BX153"/>
      <c r="BY153"/>
      <c r="BZ153"/>
      <c r="CA153"/>
      <c r="CB153"/>
    </row>
    <row r="154" ht="15.0" customHeight="true">
      <c r="A154" s="51" t="s">
        <v>2448</v>
      </c>
      <c r="B154" s="33"/>
      <c r="C154" s="33" t="s">
        <v>2579</v>
      </c>
      <c r="D154" s="33"/>
      <c r="E154" s="33" t="s">
        <v>3738</v>
      </c>
      <c r="F154" s="33"/>
      <c r="G154" s="55" t="s">
        <v>3739</v>
      </c>
      <c r="H154" s="33"/>
      <c r="I154" s="51" t="s">
        <v>3740</v>
      </c>
      <c r="J154" s="33"/>
      <c r="K154" s="51" t="s">
        <v>3741</v>
      </c>
      <c r="L154" s="33" t="s">
        <v>2454</v>
      </c>
      <c r="M154" s="55" t="s">
        <v>3742</v>
      </c>
      <c r="N154" s="55" t="s">
        <v>3743</v>
      </c>
      <c r="O154" s="33" t="s">
        <v>2272</v>
      </c>
      <c r="P154" s="33" t="s">
        <v>2251</v>
      </c>
      <c r="Q154" s="33"/>
      <c r="R154" s="33" t="s">
        <v>2263</v>
      </c>
      <c r="S154" s="56" t="s">
        <v>2277</v>
      </c>
      <c r="T154" s="56"/>
      <c r="U154" s="56"/>
      <c r="V154" s="33" t="s">
        <v>2456</v>
      </c>
      <c r="W154" s="94" t="s">
        <v>2457</v>
      </c>
      <c r="X154" s="94" t="s">
        <v>2474</v>
      </c>
      <c r="Y154" s="51"/>
      <c r="Z154" s="51"/>
      <c r="AA154" s="33" t="s">
        <v>2459</v>
      </c>
      <c r="AB154" s="33" t="s">
        <v>2460</v>
      </c>
      <c r="AC154" s="33"/>
      <c r="AD154" s="33" t="s">
        <v>2254</v>
      </c>
      <c r="AE154" s="33"/>
      <c r="AF154" s="33" t="s">
        <v>2267</v>
      </c>
      <c r="AG154" s="33" t="s">
        <v>2461</v>
      </c>
      <c r="AH154" s="33"/>
      <c r="AI154" s="33"/>
      <c r="AJ154" s="33" t="s">
        <v>3744</v>
      </c>
      <c r="AK154" s="94"/>
      <c r="AL154" s="33" t="s">
        <v>3745</v>
      </c>
      <c r="AM154" s="33" t="s">
        <v>3746</v>
      </c>
      <c r="AN154" s="33" t="s">
        <v>2465</v>
      </c>
      <c r="AO154" s="51" t="s">
        <v>2618</v>
      </c>
      <c r="AP154" s="51" t="s">
        <v>207</v>
      </c>
      <c r="AQ154" s="33"/>
      <c r="AR154" s="54"/>
      <c r="AS154" s="54"/>
      <c r="AT154" s="54"/>
      <c r="AU154" s="54"/>
      <c r="AV154" s="54"/>
      <c r="AW154" s="54"/>
      <c r="AX154" s="54"/>
      <c r="AY154" s="54"/>
      <c r="AZ154" s="54"/>
      <c r="BA154" s="54"/>
      <c r="BB154" s="54"/>
      <c r="BC154" s="54"/>
      <c r="BD154" s="54" t="s">
        <v>2447</v>
      </c>
      <c r="BE154" s="54"/>
      <c r="BF154" s="54"/>
      <c r="BG154" s="54"/>
      <c r="BH154" s="54"/>
      <c r="BI154" s="54"/>
      <c r="BJ154" s="0"/>
      <c r="BK154" s="0"/>
      <c r="BL154" s="0"/>
      <c r="BM154" s="0"/>
      <c r="BN154" s="0"/>
      <c r="BO154" s="0"/>
      <c r="BP154"/>
      <c r="BQ154"/>
      <c r="BR154"/>
      <c r="BS154"/>
      <c r="BT154"/>
      <c r="BU154"/>
      <c r="BV154"/>
      <c r="BW154"/>
      <c r="BX154"/>
      <c r="BY154"/>
      <c r="BZ154"/>
      <c r="CA154"/>
      <c r="CB154"/>
    </row>
    <row r="155" ht="15.0" customHeight="true">
      <c r="A155" s="51" t="s">
        <v>2448</v>
      </c>
      <c r="B155" s="33"/>
      <c r="C155" s="33" t="s">
        <v>3748</v>
      </c>
      <c r="D155" s="33"/>
      <c r="E155" s="33" t="s">
        <v>3749</v>
      </c>
      <c r="F155" s="33"/>
      <c r="G155" s="55" t="s">
        <v>3750</v>
      </c>
      <c r="H155" s="33"/>
      <c r="I155" s="51" t="s">
        <v>3751</v>
      </c>
      <c r="J155" s="33"/>
      <c r="K155" s="51" t="s">
        <v>3752</v>
      </c>
      <c r="L155" s="33" t="s">
        <v>2454</v>
      </c>
      <c r="M155" s="55" t="s">
        <v>3753</v>
      </c>
      <c r="N155" s="55" t="s">
        <v>3350</v>
      </c>
      <c r="O155" s="33" t="s">
        <v>2276</v>
      </c>
      <c r="P155" s="33" t="s">
        <v>2251</v>
      </c>
      <c r="Q155" s="33"/>
      <c r="R155" s="33" t="s">
        <v>2263</v>
      </c>
      <c r="S155" s="56" t="s">
        <v>2277</v>
      </c>
      <c r="T155" s="56"/>
      <c r="U155" s="56"/>
      <c r="V155" s="33" t="s">
        <v>3753</v>
      </c>
      <c r="W155" s="94" t="s">
        <v>2574</v>
      </c>
      <c r="X155" s="94" t="s">
        <v>2474</v>
      </c>
      <c r="Y155" s="51"/>
      <c r="Z155" s="51"/>
      <c r="AA155" s="33" t="s">
        <v>2459</v>
      </c>
      <c r="AB155" s="33" t="s">
        <v>2460</v>
      </c>
      <c r="AC155" s="33" t="s">
        <v>2486</v>
      </c>
      <c r="AD155" s="33" t="s">
        <v>2254</v>
      </c>
      <c r="AE155" s="33"/>
      <c r="AF155" s="33" t="s">
        <v>2267</v>
      </c>
      <c r="AG155" s="33" t="s">
        <v>2461</v>
      </c>
      <c r="AH155" s="33"/>
      <c r="AI155" s="33"/>
      <c r="AJ155" s="33" t="s">
        <v>3754</v>
      </c>
      <c r="AK155" s="94"/>
      <c r="AL155" s="33" t="s">
        <v>3755</v>
      </c>
      <c r="AM155" s="33"/>
      <c r="AN155" s="33" t="s">
        <v>2588</v>
      </c>
      <c r="AO155" s="51" t="s">
        <v>2628</v>
      </c>
      <c r="AP155" s="51" t="s">
        <v>207</v>
      </c>
      <c r="AQ155" s="33"/>
      <c r="AR155" s="54"/>
      <c r="AS155" s="54"/>
      <c r="AT155" s="54"/>
      <c r="AU155" s="54"/>
      <c r="AV155" s="54"/>
      <c r="AW155" s="54"/>
      <c r="AX155" s="54"/>
      <c r="AY155" s="54" t="s">
        <v>2269</v>
      </c>
      <c r="AZ155" s="54"/>
      <c r="BA155" s="54" t="s">
        <v>3747</v>
      </c>
      <c r="BB155" s="54"/>
      <c r="BC155" s="54"/>
      <c r="BD155" s="54" t="s">
        <v>2447</v>
      </c>
      <c r="BE155" s="54"/>
      <c r="BF155" s="54"/>
      <c r="BG155" s="54"/>
      <c r="BH155" s="54"/>
      <c r="BI155" s="54"/>
      <c r="BJ155" s="0"/>
      <c r="BK155" s="0"/>
      <c r="BL155" s="0"/>
      <c r="BM155" s="0"/>
      <c r="BN155" s="0"/>
      <c r="BO155" s="0"/>
      <c r="BP155"/>
      <c r="BQ155"/>
      <c r="BR155"/>
      <c r="BS155"/>
      <c r="BT155"/>
      <c r="BU155"/>
      <c r="BV155"/>
      <c r="BW155"/>
      <c r="BX155"/>
      <c r="BY155"/>
      <c r="BZ155"/>
      <c r="CA155"/>
      <c r="CB155"/>
    </row>
    <row r="156" ht="15.0" customHeight="true">
      <c r="A156" s="51" t="s">
        <v>2448</v>
      </c>
      <c r="B156" s="33"/>
      <c r="C156" s="33" t="s">
        <v>3756</v>
      </c>
      <c r="D156" s="33"/>
      <c r="E156" s="33" t="s">
        <v>3757</v>
      </c>
      <c r="F156" s="33"/>
      <c r="G156" s="55" t="s">
        <v>3758</v>
      </c>
      <c r="H156" s="33"/>
      <c r="I156" s="51" t="s">
        <v>3759</v>
      </c>
      <c r="J156" s="33"/>
      <c r="K156" s="51" t="s">
        <v>3760</v>
      </c>
      <c r="L156" s="33" t="s">
        <v>2454</v>
      </c>
      <c r="M156" s="55" t="s">
        <v>3761</v>
      </c>
      <c r="N156" s="55" t="s">
        <v>2495</v>
      </c>
      <c r="O156" s="33" t="s">
        <v>2272</v>
      </c>
      <c r="P156" s="33" t="s">
        <v>2251</v>
      </c>
      <c r="Q156" s="33"/>
      <c r="R156" s="33" t="s">
        <v>2263</v>
      </c>
      <c r="S156" s="56" t="s">
        <v>2277</v>
      </c>
      <c r="T156" s="56"/>
      <c r="U156" s="56"/>
      <c r="V156" s="33" t="s">
        <v>2456</v>
      </c>
      <c r="W156" s="94" t="s">
        <v>2457</v>
      </c>
      <c r="X156" s="94" t="s">
        <v>2474</v>
      </c>
      <c r="Y156" s="51"/>
      <c r="Z156" s="51"/>
      <c r="AA156" s="33" t="s">
        <v>2459</v>
      </c>
      <c r="AB156" s="33" t="s">
        <v>2460</v>
      </c>
      <c r="AC156" s="33"/>
      <c r="AD156" s="33" t="s">
        <v>2254</v>
      </c>
      <c r="AE156" s="33"/>
      <c r="AF156" s="33" t="s">
        <v>2267</v>
      </c>
      <c r="AG156" s="33" t="s">
        <v>2461</v>
      </c>
      <c r="AH156" s="33"/>
      <c r="AI156" s="33"/>
      <c r="AJ156" s="33" t="s">
        <v>3762</v>
      </c>
      <c r="AK156" s="94"/>
      <c r="AL156" s="33" t="s">
        <v>3763</v>
      </c>
      <c r="AM156" s="33"/>
      <c r="AN156" s="33" t="s">
        <v>3764</v>
      </c>
      <c r="AO156" s="51" t="s">
        <v>3765</v>
      </c>
      <c r="AP156" s="51" t="s">
        <v>207</v>
      </c>
      <c r="AQ156" s="33"/>
      <c r="AR156" s="54"/>
      <c r="AS156" s="54"/>
      <c r="AT156" s="54"/>
      <c r="AU156" s="54"/>
      <c r="AV156" s="54"/>
      <c r="AW156" s="54"/>
      <c r="AX156" s="54"/>
      <c r="AY156" s="54"/>
      <c r="AZ156" s="54"/>
      <c r="BA156" s="54"/>
      <c r="BB156" s="54"/>
      <c r="BC156" s="54"/>
      <c r="BD156" s="54" t="s">
        <v>2447</v>
      </c>
      <c r="BE156" s="54"/>
      <c r="BF156" s="54"/>
      <c r="BG156" s="54"/>
      <c r="BH156" s="54"/>
      <c r="BI156" s="54"/>
      <c r="BJ156" s="0"/>
      <c r="BK156" s="0"/>
      <c r="BL156" s="0"/>
      <c r="BM156" s="0"/>
      <c r="BN156" s="0"/>
      <c r="BO156" s="0"/>
      <c r="BP156"/>
      <c r="BQ156"/>
      <c r="BR156"/>
      <c r="BS156"/>
      <c r="BT156"/>
      <c r="BU156"/>
      <c r="BV156"/>
      <c r="BW156"/>
      <c r="BX156"/>
      <c r="BY156"/>
      <c r="BZ156"/>
      <c r="CA156"/>
      <c r="CB156"/>
    </row>
    <row r="157" ht="15.0" customHeight="true">
      <c r="A157" s="51" t="s">
        <v>2448</v>
      </c>
      <c r="B157" s="33"/>
      <c r="C157" s="33" t="s">
        <v>3766</v>
      </c>
      <c r="D157" s="33"/>
      <c r="E157" s="33" t="s">
        <v>3767</v>
      </c>
      <c r="F157" s="33"/>
      <c r="G157" s="55" t="s">
        <v>3768</v>
      </c>
      <c r="H157" s="33"/>
      <c r="I157" s="51" t="s">
        <v>3769</v>
      </c>
      <c r="J157" s="33"/>
      <c r="K157" s="51" t="s">
        <v>3770</v>
      </c>
      <c r="L157" s="33" t="s">
        <v>2454</v>
      </c>
      <c r="M157" s="55" t="s">
        <v>3771</v>
      </c>
      <c r="N157" s="55" t="s">
        <v>3772</v>
      </c>
      <c r="O157" s="33" t="s">
        <v>2272</v>
      </c>
      <c r="P157" s="33" t="s">
        <v>2251</v>
      </c>
      <c r="Q157" s="33"/>
      <c r="R157" s="33" t="s">
        <v>2263</v>
      </c>
      <c r="S157" s="56" t="s">
        <v>2277</v>
      </c>
      <c r="T157" s="56"/>
      <c r="U157" s="56"/>
      <c r="V157" s="33" t="s">
        <v>2456</v>
      </c>
      <c r="W157" s="94" t="s">
        <v>2457</v>
      </c>
      <c r="X157" s="94" t="s">
        <v>2458</v>
      </c>
      <c r="Y157" s="51"/>
      <c r="Z157" s="51"/>
      <c r="AA157" s="33" t="s">
        <v>2459</v>
      </c>
      <c r="AB157" s="33" t="s">
        <v>2460</v>
      </c>
      <c r="AC157" s="33"/>
      <c r="AD157" s="33" t="s">
        <v>2254</v>
      </c>
      <c r="AE157" s="33"/>
      <c r="AF157" s="33" t="s">
        <v>2267</v>
      </c>
      <c r="AG157" s="33" t="s">
        <v>2461</v>
      </c>
      <c r="AH157" s="33"/>
      <c r="AI157" s="33"/>
      <c r="AJ157" s="33" t="s">
        <v>3773</v>
      </c>
      <c r="AK157" s="94"/>
      <c r="AL157" s="33" t="s">
        <v>3774</v>
      </c>
      <c r="AM157" s="33"/>
      <c r="AN157" s="33" t="s">
        <v>2588</v>
      </c>
      <c r="AO157" s="51" t="s">
        <v>2702</v>
      </c>
      <c r="AP157" s="51" t="s">
        <v>207</v>
      </c>
      <c r="AQ157" s="33"/>
      <c r="AR157" s="54"/>
      <c r="AS157" s="54"/>
      <c r="AT157" s="54"/>
      <c r="AU157" s="54"/>
      <c r="AV157" s="54"/>
      <c r="AW157" s="54"/>
      <c r="AX157" s="54"/>
      <c r="AY157" s="54"/>
      <c r="AZ157" s="54"/>
      <c r="BA157" s="54"/>
      <c r="BB157" s="54"/>
      <c r="BC157" s="54"/>
      <c r="BD157" s="54" t="s">
        <v>2447</v>
      </c>
      <c r="BE157" s="54"/>
      <c r="BF157" s="54"/>
      <c r="BG157" s="54"/>
      <c r="BH157" s="54"/>
      <c r="BI157" s="54"/>
      <c r="BJ157" s="0"/>
      <c r="BK157" s="0"/>
      <c r="BL157" s="0"/>
      <c r="BM157" s="0"/>
      <c r="BN157" s="0"/>
      <c r="BO157" s="0"/>
      <c r="BP157"/>
      <c r="BQ157"/>
      <c r="BR157"/>
      <c r="BS157"/>
      <c r="BT157"/>
      <c r="BU157"/>
      <c r="BV157"/>
      <c r="BW157"/>
      <c r="BX157"/>
      <c r="BY157"/>
      <c r="BZ157"/>
      <c r="CA157"/>
      <c r="CB157"/>
    </row>
    <row r="158" ht="15.0" customHeight="true">
      <c r="A158" s="51" t="s">
        <v>2448</v>
      </c>
      <c r="B158" s="33"/>
      <c r="C158" s="33" t="s">
        <v>3775</v>
      </c>
      <c r="D158" s="33"/>
      <c r="E158" s="33" t="s">
        <v>3776</v>
      </c>
      <c r="F158" s="33"/>
      <c r="G158" s="55" t="s">
        <v>3777</v>
      </c>
      <c r="H158" s="33"/>
      <c r="I158" s="51" t="s">
        <v>3778</v>
      </c>
      <c r="J158" s="33"/>
      <c r="K158" s="51" t="s">
        <v>3779</v>
      </c>
      <c r="L158" s="33" t="s">
        <v>2454</v>
      </c>
      <c r="M158" s="55" t="s">
        <v>3780</v>
      </c>
      <c r="N158" s="55" t="s">
        <v>3780</v>
      </c>
      <c r="O158" s="33" t="s">
        <v>2272</v>
      </c>
      <c r="P158" s="33" t="s">
        <v>2251</v>
      </c>
      <c r="Q158" s="33"/>
      <c r="R158" s="33" t="s">
        <v>2263</v>
      </c>
      <c r="S158" s="56" t="s">
        <v>2277</v>
      </c>
      <c r="T158" s="56"/>
      <c r="U158" s="56"/>
      <c r="V158" s="33" t="s">
        <v>2456</v>
      </c>
      <c r="W158" s="94" t="s">
        <v>2457</v>
      </c>
      <c r="X158" s="94" t="s">
        <v>2458</v>
      </c>
      <c r="Y158" s="51"/>
      <c r="Z158" s="51"/>
      <c r="AA158" s="33" t="s">
        <v>2459</v>
      </c>
      <c r="AB158" s="33" t="s">
        <v>2460</v>
      </c>
      <c r="AC158" s="33"/>
      <c r="AD158" s="33" t="s">
        <v>2254</v>
      </c>
      <c r="AE158" s="33"/>
      <c r="AF158" s="33" t="s">
        <v>2267</v>
      </c>
      <c r="AG158" s="33" t="s">
        <v>2461</v>
      </c>
      <c r="AH158" s="33"/>
      <c r="AI158" s="33"/>
      <c r="AJ158" s="33" t="s">
        <v>3781</v>
      </c>
      <c r="AK158" s="94"/>
      <c r="AL158" s="33" t="s">
        <v>3782</v>
      </c>
      <c r="AM158" s="33" t="s">
        <v>3783</v>
      </c>
      <c r="AN158" s="33" t="s">
        <v>2588</v>
      </c>
      <c r="AO158" s="51" t="s">
        <v>2911</v>
      </c>
      <c r="AP158" s="51" t="s">
        <v>207</v>
      </c>
      <c r="AQ158" s="33"/>
      <c r="AR158" s="54"/>
      <c r="AS158" s="54"/>
      <c r="AT158" s="54"/>
      <c r="AU158" s="54"/>
      <c r="AV158" s="54"/>
      <c r="AW158" s="54"/>
      <c r="AX158" s="54"/>
      <c r="AY158" s="54"/>
      <c r="AZ158" s="54"/>
      <c r="BA158" s="54"/>
      <c r="BB158" s="54"/>
      <c r="BC158" s="54"/>
      <c r="BD158" s="54" t="s">
        <v>2447</v>
      </c>
      <c r="BE158" s="54"/>
      <c r="BF158" s="54"/>
      <c r="BG158" s="54"/>
      <c r="BH158" s="54"/>
      <c r="BI158" s="54"/>
      <c r="BJ158" s="0"/>
      <c r="BK158" s="0"/>
      <c r="BL158" s="0"/>
      <c r="BM158" s="0"/>
      <c r="BN158" s="0"/>
      <c r="BO158" s="0"/>
      <c r="BP158"/>
      <c r="BQ158"/>
      <c r="BR158"/>
      <c r="BS158"/>
      <c r="BT158"/>
      <c r="BU158"/>
      <c r="BV158"/>
      <c r="BW158"/>
      <c r="BX158"/>
      <c r="BY158"/>
      <c r="BZ158"/>
      <c r="CA158"/>
      <c r="CB158"/>
    </row>
    <row r="159" ht="15.0" customHeight="true">
      <c r="A159" s="51" t="s">
        <v>2448</v>
      </c>
      <c r="B159" s="33"/>
      <c r="C159" s="33" t="s">
        <v>1884</v>
      </c>
      <c r="D159" s="33"/>
      <c r="E159" s="33" t="s">
        <v>3784</v>
      </c>
      <c r="F159" s="33"/>
      <c r="G159" s="55" t="s">
        <v>3785</v>
      </c>
      <c r="H159" s="33"/>
      <c r="I159" s="51" t="s">
        <v>3786</v>
      </c>
      <c r="J159" s="33"/>
      <c r="K159" s="51" t="s">
        <v>3787</v>
      </c>
      <c r="L159" s="33" t="s">
        <v>2454</v>
      </c>
      <c r="M159" s="55" t="s">
        <v>3788</v>
      </c>
      <c r="N159" s="55" t="s">
        <v>3341</v>
      </c>
      <c r="O159" s="33" t="s">
        <v>2272</v>
      </c>
      <c r="P159" s="33" t="s">
        <v>2251</v>
      </c>
      <c r="Q159" s="33"/>
      <c r="R159" s="33" t="s">
        <v>2263</v>
      </c>
      <c r="S159" s="56" t="s">
        <v>2277</v>
      </c>
      <c r="T159" s="56"/>
      <c r="U159" s="56"/>
      <c r="V159" s="33" t="s">
        <v>2456</v>
      </c>
      <c r="W159" s="94" t="s">
        <v>2457</v>
      </c>
      <c r="X159" s="94" t="s">
        <v>3789</v>
      </c>
      <c r="Y159" s="51"/>
      <c r="Z159" s="51"/>
      <c r="AA159" s="33" t="s">
        <v>2459</v>
      </c>
      <c r="AB159" s="33" t="s">
        <v>3790</v>
      </c>
      <c r="AC159" s="33"/>
      <c r="AD159" s="33" t="s">
        <v>2254</v>
      </c>
      <c r="AE159" s="33"/>
      <c r="AF159" s="33" t="s">
        <v>2267</v>
      </c>
      <c r="AG159" s="33" t="s">
        <v>2461</v>
      </c>
      <c r="AH159" s="33"/>
      <c r="AI159" s="33"/>
      <c r="AJ159" s="33" t="s">
        <v>3791</v>
      </c>
      <c r="AK159" s="94"/>
      <c r="AL159" s="33" t="s">
        <v>3792</v>
      </c>
      <c r="AM159" s="33"/>
      <c r="AN159" s="33" t="s">
        <v>2465</v>
      </c>
      <c r="AO159" s="51" t="s">
        <v>2548</v>
      </c>
      <c r="AP159" s="51" t="s">
        <v>207</v>
      </c>
      <c r="AQ159" s="33"/>
      <c r="AR159" s="54"/>
      <c r="AS159" s="54"/>
      <c r="AT159" s="54"/>
      <c r="AU159" s="54"/>
      <c r="AV159" s="54"/>
      <c r="AW159" s="54"/>
      <c r="AX159" s="54"/>
      <c r="AY159" s="54"/>
      <c r="AZ159" s="54"/>
      <c r="BA159" s="54"/>
      <c r="BB159" s="54"/>
      <c r="BC159" s="54"/>
      <c r="BD159" s="54" t="s">
        <v>2447</v>
      </c>
      <c r="BE159" s="54"/>
      <c r="BF159" s="54"/>
      <c r="BG159" s="54"/>
      <c r="BH159" s="54"/>
      <c r="BI159" s="54"/>
      <c r="BJ159" s="0"/>
      <c r="BK159" s="0"/>
      <c r="BL159" s="0"/>
      <c r="BM159" s="0"/>
      <c r="BN159" s="0"/>
      <c r="BO159" s="0"/>
      <c r="BP159"/>
      <c r="BQ159"/>
      <c r="BR159"/>
      <c r="BS159"/>
      <c r="BT159"/>
      <c r="BU159"/>
      <c r="BV159"/>
      <c r="BW159"/>
      <c r="BX159"/>
      <c r="BY159"/>
      <c r="BZ159"/>
      <c r="CA159"/>
      <c r="CB159"/>
    </row>
    <row r="160" ht="15.0" customHeight="true">
      <c r="A160" s="51" t="s">
        <v>2448</v>
      </c>
      <c r="B160" s="33"/>
      <c r="C160" s="33" t="s">
        <v>3793</v>
      </c>
      <c r="D160" s="33"/>
      <c r="E160" s="33" t="s">
        <v>3794</v>
      </c>
      <c r="F160" s="33"/>
      <c r="G160" s="55" t="s">
        <v>3795</v>
      </c>
      <c r="H160" s="33"/>
      <c r="I160" s="51" t="s">
        <v>3796</v>
      </c>
      <c r="J160" s="33"/>
      <c r="K160" s="51" t="s">
        <v>3797</v>
      </c>
      <c r="L160" s="33" t="s">
        <v>2454</v>
      </c>
      <c r="M160" s="55" t="s">
        <v>3281</v>
      </c>
      <c r="N160" s="55" t="s">
        <v>3798</v>
      </c>
      <c r="O160" s="33" t="s">
        <v>2272</v>
      </c>
      <c r="P160" s="33" t="s">
        <v>2251</v>
      </c>
      <c r="Q160" s="33"/>
      <c r="R160" s="33" t="s">
        <v>2263</v>
      </c>
      <c r="S160" s="56" t="s">
        <v>2277</v>
      </c>
      <c r="T160" s="56"/>
      <c r="U160" s="56"/>
      <c r="V160" s="33" t="s">
        <v>2456</v>
      </c>
      <c r="W160" s="94" t="s">
        <v>2457</v>
      </c>
      <c r="X160" s="94" t="s">
        <v>2458</v>
      </c>
      <c r="Y160" s="51"/>
      <c r="Z160" s="51"/>
      <c r="AA160" s="33" t="s">
        <v>2459</v>
      </c>
      <c r="AB160" s="33" t="s">
        <v>2460</v>
      </c>
      <c r="AC160" s="33"/>
      <c r="AD160" s="33" t="s">
        <v>2254</v>
      </c>
      <c r="AE160" s="33"/>
      <c r="AF160" s="33" t="s">
        <v>2267</v>
      </c>
      <c r="AG160" s="33" t="s">
        <v>2461</v>
      </c>
      <c r="AH160" s="33"/>
      <c r="AI160" s="33"/>
      <c r="AJ160" s="33" t="s">
        <v>3799</v>
      </c>
      <c r="AK160" s="94"/>
      <c r="AL160" s="33" t="s">
        <v>3800</v>
      </c>
      <c r="AM160" s="33"/>
      <c r="AN160" s="33" t="s">
        <v>2465</v>
      </c>
      <c r="AO160" s="51" t="s">
        <v>2489</v>
      </c>
      <c r="AP160" s="51" t="s">
        <v>207</v>
      </c>
      <c r="AQ160" s="33"/>
      <c r="AR160" s="54"/>
      <c r="AS160" s="54"/>
      <c r="AT160" s="54"/>
      <c r="AU160" s="54"/>
      <c r="AV160" s="54"/>
      <c r="AW160" s="54"/>
      <c r="AX160" s="54"/>
      <c r="AY160" s="54"/>
      <c r="AZ160" s="54"/>
      <c r="BA160" s="54"/>
      <c r="BB160" s="54"/>
      <c r="BC160" s="54"/>
      <c r="BD160" s="54" t="s">
        <v>2447</v>
      </c>
      <c r="BE160" s="54"/>
      <c r="BF160" s="54"/>
      <c r="BG160" s="54"/>
      <c r="BH160" s="54"/>
      <c r="BI160" s="54"/>
      <c r="BJ160" s="0"/>
      <c r="BK160" s="0"/>
      <c r="BL160" s="0"/>
      <c r="BM160" s="0"/>
      <c r="BN160" s="0"/>
      <c r="BO160" s="0"/>
      <c r="BP160"/>
      <c r="BQ160"/>
      <c r="BR160"/>
      <c r="BS160"/>
      <c r="BT160"/>
      <c r="BU160"/>
      <c r="BV160"/>
      <c r="BW160"/>
      <c r="BX160"/>
      <c r="BY160"/>
      <c r="BZ160"/>
      <c r="CA160"/>
      <c r="CB160"/>
    </row>
    <row r="161" ht="15.0" customHeight="true">
      <c r="A161" s="51" t="s">
        <v>2448</v>
      </c>
      <c r="B161" s="33"/>
      <c r="C161" s="33" t="s">
        <v>3801</v>
      </c>
      <c r="D161" s="33"/>
      <c r="E161" s="33" t="s">
        <v>3802</v>
      </c>
      <c r="F161" s="33"/>
      <c r="G161" s="55" t="s">
        <v>3803</v>
      </c>
      <c r="H161" s="33"/>
      <c r="I161" s="51" t="s">
        <v>3804</v>
      </c>
      <c r="J161" s="33"/>
      <c r="K161" s="51" t="s">
        <v>3805</v>
      </c>
      <c r="L161" s="33" t="s">
        <v>2454</v>
      </c>
      <c r="M161" s="55" t="s">
        <v>3806</v>
      </c>
      <c r="N161" s="55" t="s">
        <v>3306</v>
      </c>
      <c r="O161" s="33" t="s">
        <v>2272</v>
      </c>
      <c r="P161" s="33" t="s">
        <v>2251</v>
      </c>
      <c r="Q161" s="33"/>
      <c r="R161" s="33" t="s">
        <v>2263</v>
      </c>
      <c r="S161" s="56" t="s">
        <v>2277</v>
      </c>
      <c r="T161" s="56"/>
      <c r="U161" s="56"/>
      <c r="V161" s="33" t="s">
        <v>2456</v>
      </c>
      <c r="W161" s="94" t="s">
        <v>2457</v>
      </c>
      <c r="X161" s="94" t="s">
        <v>2474</v>
      </c>
      <c r="Y161" s="51"/>
      <c r="Z161" s="51"/>
      <c r="AA161" s="33" t="s">
        <v>2459</v>
      </c>
      <c r="AB161" s="33" t="s">
        <v>2460</v>
      </c>
      <c r="AC161" s="33"/>
      <c r="AD161" s="33" t="s">
        <v>2254</v>
      </c>
      <c r="AE161" s="33"/>
      <c r="AF161" s="33" t="s">
        <v>2267</v>
      </c>
      <c r="AG161" s="33" t="s">
        <v>2461</v>
      </c>
      <c r="AH161" s="33"/>
      <c r="AI161" s="33"/>
      <c r="AJ161" s="33" t="s">
        <v>3807</v>
      </c>
      <c r="AK161" s="94"/>
      <c r="AL161" s="33" t="s">
        <v>3808</v>
      </c>
      <c r="AM161" s="33"/>
      <c r="AN161" s="33" t="s">
        <v>2465</v>
      </c>
      <c r="AO161" s="51" t="s">
        <v>2489</v>
      </c>
      <c r="AP161" s="51" t="s">
        <v>207</v>
      </c>
      <c r="AQ161" s="33"/>
      <c r="AR161" s="54"/>
      <c r="AS161" s="54"/>
      <c r="AT161" s="54"/>
      <c r="AU161" s="54"/>
      <c r="AV161" s="54"/>
      <c r="AW161" s="54"/>
      <c r="AX161" s="54"/>
      <c r="AY161" s="54"/>
      <c r="AZ161" s="54"/>
      <c r="BA161" s="54"/>
      <c r="BB161" s="54"/>
      <c r="BC161" s="54"/>
      <c r="BD161" s="54" t="s">
        <v>2447</v>
      </c>
      <c r="BE161" s="54"/>
      <c r="BF161" s="54"/>
      <c r="BG161" s="54"/>
      <c r="BH161" s="54"/>
      <c r="BI161" s="54"/>
      <c r="BJ161" s="0"/>
      <c r="BK161" s="0"/>
      <c r="BL161" s="0"/>
      <c r="BM161" s="0"/>
      <c r="BN161" s="0"/>
      <c r="BO161" s="0"/>
      <c r="BP161"/>
      <c r="BQ161"/>
      <c r="BR161"/>
      <c r="BS161"/>
      <c r="BT161"/>
      <c r="BU161"/>
      <c r="BV161"/>
      <c r="BW161"/>
      <c r="BX161"/>
      <c r="BY161"/>
      <c r="BZ161"/>
      <c r="CA161"/>
      <c r="CB161"/>
    </row>
    <row r="162" ht="15.0" customHeight="true">
      <c r="A162" s="51" t="s">
        <v>2448</v>
      </c>
      <c r="B162" s="33"/>
      <c r="C162" s="33" t="s">
        <v>3809</v>
      </c>
      <c r="D162" s="33"/>
      <c r="E162" s="33" t="s">
        <v>3810</v>
      </c>
      <c r="F162" s="33"/>
      <c r="G162" s="55" t="s">
        <v>3811</v>
      </c>
      <c r="H162" s="33"/>
      <c r="I162" s="51" t="s">
        <v>3812</v>
      </c>
      <c r="J162" s="33"/>
      <c r="K162" s="51" t="s">
        <v>3813</v>
      </c>
      <c r="L162" s="33" t="s">
        <v>2454</v>
      </c>
      <c r="M162" s="55" t="s">
        <v>2562</v>
      </c>
      <c r="N162" s="55" t="s">
        <v>2868</v>
      </c>
      <c r="O162" s="33" t="s">
        <v>2272</v>
      </c>
      <c r="P162" s="33" t="s">
        <v>2251</v>
      </c>
      <c r="Q162" s="33"/>
      <c r="R162" s="33" t="s">
        <v>2263</v>
      </c>
      <c r="S162" s="56" t="s">
        <v>2277</v>
      </c>
      <c r="T162" s="56"/>
      <c r="U162" s="56"/>
      <c r="V162" s="33" t="s">
        <v>2456</v>
      </c>
      <c r="W162" s="94" t="s">
        <v>2457</v>
      </c>
      <c r="X162" s="94" t="s">
        <v>2458</v>
      </c>
      <c r="Y162" s="51"/>
      <c r="Z162" s="51"/>
      <c r="AA162" s="33" t="s">
        <v>2459</v>
      </c>
      <c r="AB162" s="33" t="s">
        <v>2460</v>
      </c>
      <c r="AC162" s="33"/>
      <c r="AD162" s="33" t="s">
        <v>2254</v>
      </c>
      <c r="AE162" s="33"/>
      <c r="AF162" s="33" t="s">
        <v>2267</v>
      </c>
      <c r="AG162" s="33" t="s">
        <v>2461</v>
      </c>
      <c r="AH162" s="33"/>
      <c r="AI162" s="33"/>
      <c r="AJ162" s="33" t="s">
        <v>3814</v>
      </c>
      <c r="AK162" s="94"/>
      <c r="AL162" s="33" t="s">
        <v>3815</v>
      </c>
      <c r="AM162" s="33"/>
      <c r="AN162" s="33" t="s">
        <v>2588</v>
      </c>
      <c r="AO162" s="51" t="s">
        <v>2589</v>
      </c>
      <c r="AP162" s="51" t="s">
        <v>207</v>
      </c>
      <c r="AQ162" s="33"/>
      <c r="AR162" s="54"/>
      <c r="AS162" s="54"/>
      <c r="AT162" s="54"/>
      <c r="AU162" s="54"/>
      <c r="AV162" s="54"/>
      <c r="AW162" s="54"/>
      <c r="AX162" s="54"/>
      <c r="AY162" s="54"/>
      <c r="AZ162" s="54"/>
      <c r="BA162" s="54"/>
      <c r="BB162" s="54"/>
      <c r="BC162" s="54"/>
      <c r="BD162" s="54" t="s">
        <v>2447</v>
      </c>
      <c r="BE162" s="54"/>
      <c r="BF162" s="54"/>
      <c r="BG162" s="54"/>
      <c r="BH162" s="54"/>
      <c r="BI162" s="54"/>
      <c r="BJ162" s="0"/>
      <c r="BK162" s="0"/>
      <c r="BL162" s="0"/>
      <c r="BM162" s="0"/>
      <c r="BN162" s="0"/>
      <c r="BO162" s="0"/>
      <c r="BP162"/>
      <c r="BQ162"/>
      <c r="BR162"/>
      <c r="BS162"/>
      <c r="BT162"/>
      <c r="BU162"/>
      <c r="BV162"/>
      <c r="BW162"/>
      <c r="BX162"/>
      <c r="BY162"/>
      <c r="BZ162"/>
      <c r="CA162"/>
      <c r="CB162"/>
    </row>
    <row r="163" ht="15.0" customHeight="true">
      <c r="A163" s="51" t="s">
        <v>2448</v>
      </c>
      <c r="B163" s="33"/>
      <c r="C163" s="33" t="s">
        <v>3816</v>
      </c>
      <c r="D163" s="33"/>
      <c r="E163" s="33" t="s">
        <v>3817</v>
      </c>
      <c r="F163" s="33"/>
      <c r="G163" s="55" t="s">
        <v>3818</v>
      </c>
      <c r="H163" s="33"/>
      <c r="I163" s="51" t="s">
        <v>3819</v>
      </c>
      <c r="J163" s="33"/>
      <c r="K163" s="51" t="s">
        <v>3820</v>
      </c>
      <c r="L163" s="33" t="s">
        <v>2454</v>
      </c>
      <c r="M163" s="55" t="s">
        <v>3010</v>
      </c>
      <c r="N163" s="55" t="s">
        <v>3010</v>
      </c>
      <c r="O163" s="33" t="s">
        <v>2272</v>
      </c>
      <c r="P163" s="33" t="s">
        <v>2251</v>
      </c>
      <c r="Q163" s="33"/>
      <c r="R163" s="33" t="s">
        <v>2263</v>
      </c>
      <c r="S163" s="56" t="s">
        <v>2277</v>
      </c>
      <c r="T163" s="56"/>
      <c r="U163" s="56"/>
      <c r="V163" s="33" t="s">
        <v>2456</v>
      </c>
      <c r="W163" s="94" t="s">
        <v>2457</v>
      </c>
      <c r="X163" s="94" t="s">
        <v>2458</v>
      </c>
      <c r="Y163" s="51"/>
      <c r="Z163" s="51"/>
      <c r="AA163" s="33" t="s">
        <v>2459</v>
      </c>
      <c r="AB163" s="33" t="s">
        <v>2460</v>
      </c>
      <c r="AC163" s="33"/>
      <c r="AD163" s="33" t="s">
        <v>2254</v>
      </c>
      <c r="AE163" s="33"/>
      <c r="AF163" s="33" t="s">
        <v>2267</v>
      </c>
      <c r="AG163" s="33" t="s">
        <v>2461</v>
      </c>
      <c r="AH163" s="33"/>
      <c r="AI163" s="33"/>
      <c r="AJ163" s="33" t="s">
        <v>3821</v>
      </c>
      <c r="AK163" s="94"/>
      <c r="AL163" s="33" t="s">
        <v>3822</v>
      </c>
      <c r="AM163" s="33"/>
      <c r="AN163" s="33" t="s">
        <v>2465</v>
      </c>
      <c r="AO163" s="51" t="s">
        <v>2466</v>
      </c>
      <c r="AP163" s="51" t="s">
        <v>207</v>
      </c>
      <c r="AQ163" s="33"/>
      <c r="AR163" s="54"/>
      <c r="AS163" s="54"/>
      <c r="AT163" s="54"/>
      <c r="AU163" s="54"/>
      <c r="AV163" s="54"/>
      <c r="AW163" s="54"/>
      <c r="AX163" s="54"/>
      <c r="AY163" s="54"/>
      <c r="AZ163" s="54"/>
      <c r="BA163" s="54"/>
      <c r="BB163" s="54"/>
      <c r="BC163" s="54"/>
      <c r="BD163" s="54" t="s">
        <v>2447</v>
      </c>
      <c r="BE163" s="54"/>
      <c r="BF163" s="54"/>
      <c r="BG163" s="54"/>
      <c r="BH163" s="54"/>
      <c r="BI163" s="54"/>
      <c r="BJ163" s="0"/>
      <c r="BK163" s="0"/>
      <c r="BL163" s="0"/>
      <c r="BM163" s="0"/>
      <c r="BN163" s="0"/>
      <c r="BO163" s="0"/>
      <c r="BP163"/>
      <c r="BQ163"/>
      <c r="BR163"/>
      <c r="BS163"/>
      <c r="BT163"/>
      <c r="BU163"/>
      <c r="BV163"/>
      <c r="BW163"/>
      <c r="BX163"/>
      <c r="BY163"/>
      <c r="BZ163"/>
      <c r="CA163"/>
      <c r="CB163"/>
    </row>
    <row r="164" ht="15.0" customHeight="true">
      <c r="A164" s="51" t="s">
        <v>2448</v>
      </c>
      <c r="B164" s="33"/>
      <c r="C164" s="33" t="s">
        <v>2579</v>
      </c>
      <c r="D164" s="33"/>
      <c r="E164" s="33" t="s">
        <v>3823</v>
      </c>
      <c r="F164" s="33"/>
      <c r="G164" s="55" t="s">
        <v>3824</v>
      </c>
      <c r="H164" s="33"/>
      <c r="I164" s="51" t="s">
        <v>3825</v>
      </c>
      <c r="J164" s="33"/>
      <c r="K164" s="51" t="s">
        <v>3826</v>
      </c>
      <c r="L164" s="33" t="s">
        <v>2454</v>
      </c>
      <c r="M164" s="55" t="s">
        <v>3827</v>
      </c>
      <c r="N164" s="55" t="s">
        <v>3828</v>
      </c>
      <c r="O164" s="33" t="s">
        <v>2271</v>
      </c>
      <c r="P164" s="33" t="s">
        <v>2251</v>
      </c>
      <c r="Q164" s="33"/>
      <c r="R164" s="33" t="s">
        <v>2263</v>
      </c>
      <c r="S164" s="56" t="s">
        <v>2277</v>
      </c>
      <c r="T164" s="56"/>
      <c r="U164" s="56"/>
      <c r="V164" s="33" t="s">
        <v>3827</v>
      </c>
      <c r="W164" s="94" t="s">
        <v>2574</v>
      </c>
      <c r="X164" s="94" t="s">
        <v>2474</v>
      </c>
      <c r="Y164" s="51"/>
      <c r="Z164" s="51"/>
      <c r="AA164" s="33" t="s">
        <v>2459</v>
      </c>
      <c r="AB164" s="33" t="s">
        <v>2460</v>
      </c>
      <c r="AC164" s="33" t="s">
        <v>2486</v>
      </c>
      <c r="AD164" s="33" t="s">
        <v>2254</v>
      </c>
      <c r="AE164" s="33"/>
      <c r="AF164" s="33" t="s">
        <v>2267</v>
      </c>
      <c r="AG164" s="33" t="s">
        <v>2461</v>
      </c>
      <c r="AH164" s="33"/>
      <c r="AI164" s="33"/>
      <c r="AJ164" s="33" t="s">
        <v>3829</v>
      </c>
      <c r="AK164" s="94"/>
      <c r="AL164" s="33" t="s">
        <v>3830</v>
      </c>
      <c r="AM164" s="33" t="s">
        <v>3831</v>
      </c>
      <c r="AN164" s="33" t="s">
        <v>2465</v>
      </c>
      <c r="AO164" s="51" t="s">
        <v>2528</v>
      </c>
      <c r="AP164" s="51" t="s">
        <v>207</v>
      </c>
      <c r="AQ164" s="33"/>
      <c r="AR164" s="54"/>
      <c r="AS164" s="54"/>
      <c r="AT164" s="54"/>
      <c r="AU164" s="54"/>
      <c r="AV164" s="54"/>
      <c r="AW164" s="54"/>
      <c r="AX164" s="54"/>
      <c r="AY164" s="54" t="s">
        <v>2269</v>
      </c>
      <c r="AZ164" s="54"/>
      <c r="BA164" s="54"/>
      <c r="BB164" s="54"/>
      <c r="BC164" s="54"/>
      <c r="BD164" s="54" t="s">
        <v>2447</v>
      </c>
      <c r="BE164" s="54"/>
      <c r="BF164" s="54"/>
      <c r="BG164" s="54"/>
      <c r="BH164" s="54"/>
      <c r="BI164" s="54"/>
      <c r="BJ164" s="0"/>
      <c r="BK164" s="0"/>
      <c r="BL164" s="0"/>
      <c r="BM164" s="0"/>
      <c r="BN164" s="0"/>
      <c r="BO164" s="0"/>
      <c r="BP164"/>
      <c r="BQ164"/>
      <c r="BR164"/>
      <c r="BS164"/>
      <c r="BT164"/>
      <c r="BU164"/>
      <c r="BV164"/>
      <c r="BW164"/>
      <c r="BX164"/>
      <c r="BY164"/>
      <c r="BZ164"/>
      <c r="CA164"/>
      <c r="CB164"/>
    </row>
    <row r="165" ht="15.0" customHeight="true">
      <c r="A165" s="51" t="s">
        <v>2448</v>
      </c>
      <c r="B165" s="33"/>
      <c r="C165" s="33" t="s">
        <v>3832</v>
      </c>
      <c r="D165" s="33"/>
      <c r="E165" s="33" t="s">
        <v>3833</v>
      </c>
      <c r="F165" s="33"/>
      <c r="G165" s="55" t="s">
        <v>3834</v>
      </c>
      <c r="H165" s="33"/>
      <c r="I165" s="51" t="s">
        <v>3835</v>
      </c>
      <c r="J165" s="33"/>
      <c r="K165" s="51" t="s">
        <v>3836</v>
      </c>
      <c r="L165" s="33" t="s">
        <v>2454</v>
      </c>
      <c r="M165" s="55" t="s">
        <v>3837</v>
      </c>
      <c r="N165" s="55" t="s">
        <v>2835</v>
      </c>
      <c r="O165" s="33" t="s">
        <v>2272</v>
      </c>
      <c r="P165" s="33" t="s">
        <v>2251</v>
      </c>
      <c r="Q165" s="33"/>
      <c r="R165" s="33" t="s">
        <v>2263</v>
      </c>
      <c r="S165" s="56" t="s">
        <v>2277</v>
      </c>
      <c r="T165" s="56"/>
      <c r="U165" s="56"/>
      <c r="V165" s="33" t="s">
        <v>2456</v>
      </c>
      <c r="W165" s="94" t="s">
        <v>2457</v>
      </c>
      <c r="X165" s="94" t="s">
        <v>2474</v>
      </c>
      <c r="Y165" s="51"/>
      <c r="Z165" s="51"/>
      <c r="AA165" s="33" t="s">
        <v>2459</v>
      </c>
      <c r="AB165" s="33" t="s">
        <v>2460</v>
      </c>
      <c r="AC165" s="33"/>
      <c r="AD165" s="33" t="s">
        <v>2254</v>
      </c>
      <c r="AE165" s="33"/>
      <c r="AF165" s="33" t="s">
        <v>2267</v>
      </c>
      <c r="AG165" s="33" t="s">
        <v>2461</v>
      </c>
      <c r="AH165" s="33"/>
      <c r="AI165" s="33"/>
      <c r="AJ165" s="33" t="s">
        <v>3838</v>
      </c>
      <c r="AK165" s="94"/>
      <c r="AL165" s="33" t="s">
        <v>3839</v>
      </c>
      <c r="AM165" s="33"/>
      <c r="AN165" s="33" t="s">
        <v>2465</v>
      </c>
      <c r="AO165" s="51" t="s">
        <v>2548</v>
      </c>
      <c r="AP165" s="51" t="s">
        <v>207</v>
      </c>
      <c r="AQ165" s="33"/>
      <c r="AR165" s="54"/>
      <c r="AS165" s="54"/>
      <c r="AT165" s="54"/>
      <c r="AU165" s="54"/>
      <c r="AV165" s="54"/>
      <c r="AW165" s="54"/>
      <c r="AX165" s="54"/>
      <c r="AY165" s="54"/>
      <c r="AZ165" s="54"/>
      <c r="BA165" s="54"/>
      <c r="BB165" s="54"/>
      <c r="BC165" s="54"/>
      <c r="BD165" s="54" t="s">
        <v>2447</v>
      </c>
      <c r="BE165" s="54"/>
      <c r="BF165" s="54"/>
      <c r="BG165" s="54"/>
      <c r="BH165" s="54"/>
      <c r="BI165" s="54"/>
      <c r="BJ165" s="0"/>
      <c r="BK165" s="0"/>
      <c r="BL165" s="0"/>
      <c r="BM165" s="0"/>
      <c r="BN165" s="0"/>
      <c r="BO165" s="0"/>
      <c r="BP165"/>
      <c r="BQ165"/>
      <c r="BR165"/>
      <c r="BS165"/>
      <c r="BT165"/>
      <c r="BU165"/>
      <c r="BV165"/>
      <c r="BW165"/>
      <c r="BX165"/>
      <c r="BY165"/>
      <c r="BZ165"/>
      <c r="CA165"/>
      <c r="CB165"/>
    </row>
    <row r="166" ht="15.0" customHeight="true">
      <c r="A166" s="51" t="s">
        <v>2448</v>
      </c>
      <c r="B166" s="33"/>
      <c r="C166" s="33" t="s">
        <v>3756</v>
      </c>
      <c r="D166" s="33"/>
      <c r="E166" s="33" t="s">
        <v>3840</v>
      </c>
      <c r="F166" s="33"/>
      <c r="G166" s="55" t="s">
        <v>3841</v>
      </c>
      <c r="H166" s="33"/>
      <c r="I166" s="51" t="s">
        <v>3842</v>
      </c>
      <c r="J166" s="33"/>
      <c r="K166" s="51" t="s">
        <v>3843</v>
      </c>
      <c r="L166" s="33" t="s">
        <v>2454</v>
      </c>
      <c r="M166" s="55" t="s">
        <v>3616</v>
      </c>
      <c r="N166" s="55" t="s">
        <v>3844</v>
      </c>
      <c r="O166" s="33" t="s">
        <v>2272</v>
      </c>
      <c r="P166" s="33" t="s">
        <v>2251</v>
      </c>
      <c r="Q166" s="33"/>
      <c r="R166" s="33" t="s">
        <v>2263</v>
      </c>
      <c r="S166" s="56" t="s">
        <v>2277</v>
      </c>
      <c r="T166" s="56"/>
      <c r="U166" s="56"/>
      <c r="V166" s="33" t="s">
        <v>2456</v>
      </c>
      <c r="W166" s="94" t="s">
        <v>2457</v>
      </c>
      <c r="X166" s="94" t="s">
        <v>2474</v>
      </c>
      <c r="Y166" s="51"/>
      <c r="Z166" s="51"/>
      <c r="AA166" s="33" t="s">
        <v>2459</v>
      </c>
      <c r="AB166" s="33" t="s">
        <v>2460</v>
      </c>
      <c r="AC166" s="33"/>
      <c r="AD166" s="33" t="s">
        <v>2254</v>
      </c>
      <c r="AE166" s="33"/>
      <c r="AF166" s="33" t="s">
        <v>2267</v>
      </c>
      <c r="AG166" s="33" t="s">
        <v>2461</v>
      </c>
      <c r="AH166" s="33"/>
      <c r="AI166" s="33"/>
      <c r="AJ166" s="33" t="s">
        <v>3845</v>
      </c>
      <c r="AK166" s="94"/>
      <c r="AL166" s="33" t="s">
        <v>3846</v>
      </c>
      <c r="AM166" s="33"/>
      <c r="AN166" s="33" t="s">
        <v>2465</v>
      </c>
      <c r="AO166" s="51" t="s">
        <v>2489</v>
      </c>
      <c r="AP166" s="51" t="s">
        <v>207</v>
      </c>
      <c r="AQ166" s="33"/>
      <c r="AR166" s="54"/>
      <c r="AS166" s="54"/>
      <c r="AT166" s="54"/>
      <c r="AU166" s="54"/>
      <c r="AV166" s="54"/>
      <c r="AW166" s="54"/>
      <c r="AX166" s="54"/>
      <c r="AY166" s="54"/>
      <c r="AZ166" s="54"/>
      <c r="BA166" s="54"/>
      <c r="BB166" s="54"/>
      <c r="BC166" s="54"/>
      <c r="BD166" s="54" t="s">
        <v>2447</v>
      </c>
      <c r="BE166" s="54"/>
      <c r="BF166" s="54"/>
      <c r="BG166" s="54"/>
      <c r="BH166" s="54"/>
      <c r="BI166" s="54"/>
      <c r="BJ166" s="0"/>
      <c r="BK166" s="0"/>
      <c r="BL166" s="0"/>
      <c r="BM166" s="0"/>
      <c r="BN166" s="0"/>
      <c r="BO166" s="0"/>
      <c r="BP166"/>
      <c r="BQ166"/>
      <c r="BR166"/>
      <c r="BS166"/>
      <c r="BT166"/>
      <c r="BU166"/>
      <c r="BV166"/>
      <c r="BW166"/>
      <c r="BX166"/>
      <c r="BY166"/>
      <c r="BZ166"/>
      <c r="CA166"/>
      <c r="CB166"/>
    </row>
    <row r="167" ht="15.0" customHeight="true">
      <c r="A167" s="51" t="s">
        <v>2448</v>
      </c>
      <c r="B167" s="33"/>
      <c r="C167" s="33" t="s">
        <v>3847</v>
      </c>
      <c r="D167" s="33"/>
      <c r="E167" s="33" t="s">
        <v>3848</v>
      </c>
      <c r="F167" s="33"/>
      <c r="G167" s="55" t="s">
        <v>3849</v>
      </c>
      <c r="H167" s="33"/>
      <c r="I167" s="51" t="s">
        <v>3850</v>
      </c>
      <c r="J167" s="33"/>
      <c r="K167" s="51" t="s">
        <v>3851</v>
      </c>
      <c r="L167" s="33" t="s">
        <v>2454</v>
      </c>
      <c r="M167" s="55" t="s">
        <v>3474</v>
      </c>
      <c r="N167" s="55" t="s">
        <v>3852</v>
      </c>
      <c r="O167" s="33" t="s">
        <v>2272</v>
      </c>
      <c r="P167" s="33" t="s">
        <v>2251</v>
      </c>
      <c r="Q167" s="33"/>
      <c r="R167" s="33" t="s">
        <v>2263</v>
      </c>
      <c r="S167" s="56" t="s">
        <v>2277</v>
      </c>
      <c r="T167" s="56"/>
      <c r="U167" s="56"/>
      <c r="V167" s="33" t="s">
        <v>2456</v>
      </c>
      <c r="W167" s="94" t="s">
        <v>2457</v>
      </c>
      <c r="X167" s="94" t="s">
        <v>2458</v>
      </c>
      <c r="Y167" s="51"/>
      <c r="Z167" s="51"/>
      <c r="AA167" s="33" t="s">
        <v>2459</v>
      </c>
      <c r="AB167" s="33" t="s">
        <v>2460</v>
      </c>
      <c r="AC167" s="33"/>
      <c r="AD167" s="33" t="s">
        <v>2254</v>
      </c>
      <c r="AE167" s="33"/>
      <c r="AF167" s="33" t="s">
        <v>2267</v>
      </c>
      <c r="AG167" s="33" t="s">
        <v>2461</v>
      </c>
      <c r="AH167" s="33"/>
      <c r="AI167" s="33"/>
      <c r="AJ167" s="33" t="s">
        <v>3853</v>
      </c>
      <c r="AK167" s="94"/>
      <c r="AL167" s="33" t="s">
        <v>3854</v>
      </c>
      <c r="AM167" s="33"/>
      <c r="AN167" s="33" t="s">
        <v>2588</v>
      </c>
      <c r="AO167" s="51" t="s">
        <v>2911</v>
      </c>
      <c r="AP167" s="51" t="s">
        <v>207</v>
      </c>
      <c r="AQ167" s="33"/>
      <c r="AR167" s="54"/>
      <c r="AS167" s="54"/>
      <c r="AT167" s="54"/>
      <c r="AU167" s="54"/>
      <c r="AV167" s="54"/>
      <c r="AW167" s="54"/>
      <c r="AX167" s="54"/>
      <c r="AY167" s="54"/>
      <c r="AZ167" s="54"/>
      <c r="BA167" s="54"/>
      <c r="BB167" s="54"/>
      <c r="BC167" s="54"/>
      <c r="BD167" s="54" t="s">
        <v>2447</v>
      </c>
      <c r="BE167" s="54"/>
      <c r="BF167" s="54"/>
      <c r="BG167" s="54"/>
      <c r="BH167" s="54"/>
      <c r="BI167" s="54"/>
      <c r="BJ167" s="0"/>
      <c r="BK167" s="0"/>
      <c r="BL167" s="0"/>
      <c r="BM167" s="0"/>
      <c r="BN167" s="0"/>
      <c r="BO167" s="0"/>
      <c r="BP167"/>
      <c r="BQ167"/>
      <c r="BR167"/>
      <c r="BS167"/>
      <c r="BT167"/>
      <c r="BU167"/>
      <c r="BV167"/>
      <c r="BW167"/>
      <c r="BX167"/>
      <c r="BY167"/>
      <c r="BZ167"/>
      <c r="CA167"/>
      <c r="CB167"/>
    </row>
    <row r="168" ht="15.0" customHeight="true">
      <c r="A168" s="51" t="s">
        <v>2448</v>
      </c>
      <c r="B168" s="33"/>
      <c r="C168" s="33" t="s">
        <v>3855</v>
      </c>
      <c r="D168" s="33"/>
      <c r="E168" s="33" t="s">
        <v>3856</v>
      </c>
      <c r="F168" s="33"/>
      <c r="G168" s="55" t="s">
        <v>3857</v>
      </c>
      <c r="H168" s="33"/>
      <c r="I168" s="51" t="s">
        <v>3858</v>
      </c>
      <c r="J168" s="33"/>
      <c r="K168" s="51" t="s">
        <v>3859</v>
      </c>
      <c r="L168" s="33" t="s">
        <v>2454</v>
      </c>
      <c r="M168" s="55" t="s">
        <v>3860</v>
      </c>
      <c r="N168" s="55" t="s">
        <v>3861</v>
      </c>
      <c r="O168" s="33" t="s">
        <v>2272</v>
      </c>
      <c r="P168" s="33" t="s">
        <v>2251</v>
      </c>
      <c r="Q168" s="33"/>
      <c r="R168" s="33" t="s">
        <v>2252</v>
      </c>
      <c r="S168" s="56" t="s">
        <v>2277</v>
      </c>
      <c r="T168" s="56"/>
      <c r="U168" s="56" t="s">
        <v>3862</v>
      </c>
      <c r="V168" s="33" t="s">
        <v>3860</v>
      </c>
      <c r="W168" s="94"/>
      <c r="X168" s="94"/>
      <c r="Y168" s="51"/>
      <c r="Z168" s="51"/>
      <c r="AA168" s="33" t="s">
        <v>2459</v>
      </c>
      <c r="AB168" s="33" t="s">
        <v>3863</v>
      </c>
      <c r="AC168" s="33"/>
      <c r="AD168" s="33" t="s">
        <v>2254</v>
      </c>
      <c r="AE168" s="33"/>
      <c r="AF168" s="33" t="s">
        <v>2256</v>
      </c>
      <c r="AG168" s="33" t="s">
        <v>2461</v>
      </c>
      <c r="AH168" s="33"/>
      <c r="AI168" s="33"/>
      <c r="AJ168" s="33" t="s">
        <v>3864</v>
      </c>
      <c r="AK168" s="94"/>
      <c r="AL168" s="33" t="s">
        <v>3865</v>
      </c>
      <c r="AM168" s="33" t="s">
        <v>3866</v>
      </c>
      <c r="AN168" s="33" t="s">
        <v>2588</v>
      </c>
      <c r="AO168" s="51" t="s">
        <v>2589</v>
      </c>
      <c r="AP168" s="51" t="s">
        <v>207</v>
      </c>
      <c r="AQ168" s="33"/>
      <c r="AR168" s="54"/>
      <c r="AS168" s="54"/>
      <c r="AT168" s="54"/>
      <c r="AU168" s="54"/>
      <c r="AV168" s="54"/>
      <c r="AW168" s="54"/>
      <c r="AX168" s="54"/>
      <c r="AY168" s="54"/>
      <c r="AZ168" s="54"/>
      <c r="BA168" s="54"/>
      <c r="BB168" s="54"/>
      <c r="BC168" s="54"/>
      <c r="BD168" s="54" t="s">
        <v>2447</v>
      </c>
      <c r="BE168" s="54"/>
      <c r="BF168" s="54"/>
      <c r="BG168" s="54"/>
      <c r="BH168" s="54"/>
      <c r="BI168" s="54"/>
      <c r="BJ168" s="0"/>
      <c r="BK168" s="0"/>
      <c r="BL168" s="0"/>
      <c r="BM168" s="0"/>
      <c r="BN168" s="0"/>
      <c r="BO168" s="0"/>
      <c r="BP168"/>
      <c r="BQ168"/>
      <c r="BR168"/>
      <c r="BS168"/>
      <c r="BT168"/>
      <c r="BU168"/>
      <c r="BV168"/>
      <c r="BW168"/>
      <c r="BX168"/>
      <c r="BY168"/>
      <c r="BZ168"/>
      <c r="CA168"/>
      <c r="CB168"/>
    </row>
    <row r="169" ht="15.0" customHeight="true">
      <c r="A169" s="51" t="s">
        <v>2448</v>
      </c>
      <c r="B169" s="33"/>
      <c r="C169" s="33" t="s">
        <v>3867</v>
      </c>
      <c r="D169" s="33"/>
      <c r="E169" s="33" t="s">
        <v>3868</v>
      </c>
      <c r="F169" s="33"/>
      <c r="G169" s="55" t="s">
        <v>3869</v>
      </c>
      <c r="H169" s="33"/>
      <c r="I169" s="51" t="s">
        <v>3870</v>
      </c>
      <c r="J169" s="33"/>
      <c r="K169" s="51" t="s">
        <v>3871</v>
      </c>
      <c r="L169" s="33" t="s">
        <v>2454</v>
      </c>
      <c r="M169" s="55" t="s">
        <v>3010</v>
      </c>
      <c r="N169" s="55" t="s">
        <v>3010</v>
      </c>
      <c r="O169" s="33" t="s">
        <v>2272</v>
      </c>
      <c r="P169" s="33" t="s">
        <v>2251</v>
      </c>
      <c r="Q169" s="33"/>
      <c r="R169" s="33" t="s">
        <v>2263</v>
      </c>
      <c r="S169" s="56" t="s">
        <v>2277</v>
      </c>
      <c r="T169" s="56"/>
      <c r="U169" s="56"/>
      <c r="V169" s="33" t="s">
        <v>2456</v>
      </c>
      <c r="W169" s="94" t="s">
        <v>2457</v>
      </c>
      <c r="X169" s="94" t="s">
        <v>2458</v>
      </c>
      <c r="Y169" s="51"/>
      <c r="Z169" s="51"/>
      <c r="AA169" s="33" t="s">
        <v>2459</v>
      </c>
      <c r="AB169" s="33" t="s">
        <v>2460</v>
      </c>
      <c r="AC169" s="33"/>
      <c r="AD169" s="33" t="s">
        <v>2254</v>
      </c>
      <c r="AE169" s="33"/>
      <c r="AF169" s="33" t="s">
        <v>2267</v>
      </c>
      <c r="AG169" s="33" t="s">
        <v>2461</v>
      </c>
      <c r="AH169" s="33"/>
      <c r="AI169" s="33"/>
      <c r="AJ169" s="33" t="s">
        <v>3872</v>
      </c>
      <c r="AK169" s="94"/>
      <c r="AL169" s="33" t="s">
        <v>3873</v>
      </c>
      <c r="AM169" s="33"/>
      <c r="AN169" s="33" t="s">
        <v>2783</v>
      </c>
      <c r="AO169" s="51" t="s">
        <v>3874</v>
      </c>
      <c r="AP169" s="51" t="s">
        <v>207</v>
      </c>
      <c r="AQ169" s="33"/>
      <c r="AR169" s="54"/>
      <c r="AS169" s="54"/>
      <c r="AT169" s="54"/>
      <c r="AU169" s="54"/>
      <c r="AV169" s="54"/>
      <c r="AW169" s="54"/>
      <c r="AX169" s="54"/>
      <c r="AY169" s="54"/>
      <c r="AZ169" s="54"/>
      <c r="BA169" s="54"/>
      <c r="BB169" s="54"/>
      <c r="BC169" s="54"/>
      <c r="BD169" s="54" t="s">
        <v>2447</v>
      </c>
      <c r="BE169" s="54"/>
      <c r="BF169" s="54"/>
      <c r="BG169" s="54"/>
      <c r="BH169" s="54"/>
      <c r="BI169" s="54"/>
      <c r="BJ169" s="0"/>
      <c r="BK169" s="0"/>
      <c r="BL169" s="0"/>
      <c r="BM169" s="0"/>
      <c r="BN169" s="0"/>
      <c r="BO169" s="0"/>
      <c r="BP169"/>
      <c r="BQ169"/>
      <c r="BR169"/>
      <c r="BS169"/>
      <c r="BT169"/>
      <c r="BU169"/>
      <c r="BV169"/>
      <c r="BW169"/>
      <c r="BX169"/>
      <c r="BY169"/>
      <c r="BZ169"/>
      <c r="CA169"/>
      <c r="CB169"/>
    </row>
    <row r="170" ht="15.0" customHeight="true">
      <c r="A170" s="51" t="s">
        <v>2448</v>
      </c>
      <c r="B170" s="33"/>
      <c r="C170" s="33" t="s">
        <v>3875</v>
      </c>
      <c r="D170" s="33"/>
      <c r="E170" s="33" t="s">
        <v>2879</v>
      </c>
      <c r="F170" s="33"/>
      <c r="G170" s="55" t="s">
        <v>3876</v>
      </c>
      <c r="H170" s="33"/>
      <c r="I170" s="51" t="s">
        <v>3877</v>
      </c>
      <c r="J170" s="33"/>
      <c r="K170" s="51" t="s">
        <v>3878</v>
      </c>
      <c r="L170" s="33" t="s">
        <v>2454</v>
      </c>
      <c r="M170" s="55" t="s">
        <v>3879</v>
      </c>
      <c r="N170" s="55" t="s">
        <v>3880</v>
      </c>
      <c r="O170" s="33" t="s">
        <v>2272</v>
      </c>
      <c r="P170" s="33" t="s">
        <v>2251</v>
      </c>
      <c r="Q170" s="33"/>
      <c r="R170" s="33" t="s">
        <v>2263</v>
      </c>
      <c r="S170" s="56" t="s">
        <v>2277</v>
      </c>
      <c r="T170" s="56"/>
      <c r="U170" s="56"/>
      <c r="V170" s="33" t="s">
        <v>2456</v>
      </c>
      <c r="W170" s="94" t="s">
        <v>2457</v>
      </c>
      <c r="X170" s="94" t="s">
        <v>2458</v>
      </c>
      <c r="Y170" s="51"/>
      <c r="Z170" s="51"/>
      <c r="AA170" s="33" t="s">
        <v>2459</v>
      </c>
      <c r="AB170" s="33" t="s">
        <v>2460</v>
      </c>
      <c r="AC170" s="33"/>
      <c r="AD170" s="33" t="s">
        <v>2254</v>
      </c>
      <c r="AE170" s="33"/>
      <c r="AF170" s="33" t="s">
        <v>2267</v>
      </c>
      <c r="AG170" s="33" t="s">
        <v>2461</v>
      </c>
      <c r="AH170" s="33"/>
      <c r="AI170" s="33"/>
      <c r="AJ170" s="33" t="s">
        <v>3881</v>
      </c>
      <c r="AK170" s="94"/>
      <c r="AL170" s="33" t="s">
        <v>3882</v>
      </c>
      <c r="AM170" s="33"/>
      <c r="AN170" s="33" t="s">
        <v>2465</v>
      </c>
      <c r="AO170" s="51" t="s">
        <v>2466</v>
      </c>
      <c r="AP170" s="51" t="s">
        <v>207</v>
      </c>
      <c r="AQ170" s="33"/>
      <c r="AR170" s="54"/>
      <c r="AS170" s="54"/>
      <c r="AT170" s="54"/>
      <c r="AU170" s="54"/>
      <c r="AV170" s="54"/>
      <c r="AW170" s="54"/>
      <c r="AX170" s="54"/>
      <c r="AY170" s="54"/>
      <c r="AZ170" s="54"/>
      <c r="BA170" s="54"/>
      <c r="BB170" s="54"/>
      <c r="BC170" s="54"/>
      <c r="BD170" s="54" t="s">
        <v>2447</v>
      </c>
      <c r="BE170" s="54"/>
      <c r="BF170" s="54"/>
      <c r="BG170" s="54"/>
      <c r="BH170" s="54"/>
      <c r="BI170" s="54"/>
      <c r="BJ170" s="0"/>
      <c r="BK170" s="0"/>
      <c r="BL170" s="0"/>
      <c r="BM170" s="0"/>
      <c r="BN170" s="0"/>
      <c r="BO170" s="0"/>
      <c r="BP170"/>
      <c r="BQ170"/>
      <c r="BR170"/>
      <c r="BS170"/>
      <c r="BT170"/>
      <c r="BU170"/>
      <c r="BV170"/>
      <c r="BW170"/>
      <c r="BX170"/>
      <c r="BY170"/>
      <c r="BZ170"/>
      <c r="CA170"/>
      <c r="CB170"/>
    </row>
    <row r="171" ht="15.0" customHeight="true">
      <c r="A171" s="51" t="s">
        <v>2448</v>
      </c>
      <c r="B171" s="33"/>
      <c r="C171" s="33" t="s">
        <v>3883</v>
      </c>
      <c r="D171" s="33"/>
      <c r="E171" s="33" t="s">
        <v>3884</v>
      </c>
      <c r="F171" s="33"/>
      <c r="G171" s="55" t="s">
        <v>3885</v>
      </c>
      <c r="H171" s="33"/>
      <c r="I171" s="51" t="s">
        <v>3886</v>
      </c>
      <c r="J171" s="33"/>
      <c r="K171" s="51" t="s">
        <v>3887</v>
      </c>
      <c r="L171" s="33" t="s">
        <v>2454</v>
      </c>
      <c r="M171" s="55" t="s">
        <v>3288</v>
      </c>
      <c r="N171" s="55" t="s">
        <v>3888</v>
      </c>
      <c r="O171" s="33" t="s">
        <v>2272</v>
      </c>
      <c r="P171" s="33" t="s">
        <v>2251</v>
      </c>
      <c r="Q171" s="33"/>
      <c r="R171" s="33" t="s">
        <v>2263</v>
      </c>
      <c r="S171" s="56" t="s">
        <v>2277</v>
      </c>
      <c r="T171" s="56"/>
      <c r="U171" s="56"/>
      <c r="V171" s="33" t="s">
        <v>2456</v>
      </c>
      <c r="W171" s="94" t="s">
        <v>2457</v>
      </c>
      <c r="X171" s="94" t="s">
        <v>2458</v>
      </c>
      <c r="Y171" s="51"/>
      <c r="Z171" s="51"/>
      <c r="AA171" s="33" t="s">
        <v>2459</v>
      </c>
      <c r="AB171" s="33" t="s">
        <v>2460</v>
      </c>
      <c r="AC171" s="33"/>
      <c r="AD171" s="33" t="s">
        <v>2254</v>
      </c>
      <c r="AE171" s="33"/>
      <c r="AF171" s="33" t="s">
        <v>2267</v>
      </c>
      <c r="AG171" s="33" t="s">
        <v>2461</v>
      </c>
      <c r="AH171" s="33"/>
      <c r="AI171" s="33"/>
      <c r="AJ171" s="33" t="s">
        <v>3889</v>
      </c>
      <c r="AK171" s="94"/>
      <c r="AL171" s="33" t="s">
        <v>3890</v>
      </c>
      <c r="AM171" s="33" t="s">
        <v>3891</v>
      </c>
      <c r="AN171" s="33" t="s">
        <v>2465</v>
      </c>
      <c r="AO171" s="51" t="s">
        <v>2466</v>
      </c>
      <c r="AP171" s="51" t="s">
        <v>207</v>
      </c>
      <c r="AQ171" s="33"/>
      <c r="AR171" s="54"/>
      <c r="AS171" s="54"/>
      <c r="AT171" s="54"/>
      <c r="AU171" s="54"/>
      <c r="AV171" s="54"/>
      <c r="AW171" s="54"/>
      <c r="AX171" s="54"/>
      <c r="AY171" s="54"/>
      <c r="AZ171" s="54"/>
      <c r="BA171" s="54"/>
      <c r="BB171" s="54"/>
      <c r="BC171" s="54"/>
      <c r="BD171" s="54" t="s">
        <v>2447</v>
      </c>
      <c r="BE171" s="54"/>
      <c r="BF171" s="54"/>
      <c r="BG171" s="54"/>
      <c r="BH171" s="54"/>
      <c r="BI171" s="54"/>
      <c r="BJ171" s="0"/>
      <c r="BK171" s="0"/>
      <c r="BL171" s="0"/>
      <c r="BM171" s="0"/>
      <c r="BN171" s="0"/>
      <c r="BO171" s="0"/>
      <c r="BP171"/>
      <c r="BQ171"/>
      <c r="BR171"/>
      <c r="BS171"/>
      <c r="BT171"/>
      <c r="BU171"/>
      <c r="BV171"/>
      <c r="BW171"/>
      <c r="BX171"/>
      <c r="BY171"/>
      <c r="BZ171"/>
      <c r="CA171"/>
      <c r="CB171"/>
    </row>
    <row r="172" ht="15.0" customHeight="true">
      <c r="A172" s="51" t="s">
        <v>2448</v>
      </c>
      <c r="B172" s="33"/>
      <c r="C172" s="33" t="s">
        <v>3892</v>
      </c>
      <c r="D172" s="33"/>
      <c r="E172" s="33" t="s">
        <v>3893</v>
      </c>
      <c r="F172" s="33"/>
      <c r="G172" s="55" t="s">
        <v>3894</v>
      </c>
      <c r="H172" s="33"/>
      <c r="I172" s="51" t="s">
        <v>3895</v>
      </c>
      <c r="J172" s="33"/>
      <c r="K172" s="51" t="s">
        <v>3896</v>
      </c>
      <c r="L172" s="33" t="s">
        <v>2454</v>
      </c>
      <c r="M172" s="55" t="s">
        <v>3897</v>
      </c>
      <c r="N172" s="55" t="s">
        <v>3159</v>
      </c>
      <c r="O172" s="33" t="s">
        <v>2272</v>
      </c>
      <c r="P172" s="33" t="s">
        <v>2251</v>
      </c>
      <c r="Q172" s="33"/>
      <c r="R172" s="33" t="s">
        <v>2263</v>
      </c>
      <c r="S172" s="56" t="s">
        <v>2277</v>
      </c>
      <c r="T172" s="56"/>
      <c r="U172" s="56"/>
      <c r="V172" s="33" t="s">
        <v>2456</v>
      </c>
      <c r="W172" s="94" t="s">
        <v>2457</v>
      </c>
      <c r="X172" s="94" t="s">
        <v>2458</v>
      </c>
      <c r="Y172" s="51"/>
      <c r="Z172" s="51"/>
      <c r="AA172" s="33" t="s">
        <v>2459</v>
      </c>
      <c r="AB172" s="33" t="s">
        <v>2460</v>
      </c>
      <c r="AC172" s="33"/>
      <c r="AD172" s="33" t="s">
        <v>2254</v>
      </c>
      <c r="AE172" s="33"/>
      <c r="AF172" s="33" t="s">
        <v>2267</v>
      </c>
      <c r="AG172" s="33" t="s">
        <v>2461</v>
      </c>
      <c r="AH172" s="33"/>
      <c r="AI172" s="33"/>
      <c r="AJ172" s="33" t="s">
        <v>3898</v>
      </c>
      <c r="AK172" s="94"/>
      <c r="AL172" s="33" t="s">
        <v>3899</v>
      </c>
      <c r="AM172" s="33"/>
      <c r="AN172" s="33" t="s">
        <v>3031</v>
      </c>
      <c r="AO172" s="51" t="s">
        <v>3032</v>
      </c>
      <c r="AP172" s="51" t="s">
        <v>207</v>
      </c>
      <c r="AQ172" s="33"/>
      <c r="AR172" s="54"/>
      <c r="AS172" s="54"/>
      <c r="AT172" s="54"/>
      <c r="AU172" s="54"/>
      <c r="AV172" s="54"/>
      <c r="AW172" s="54"/>
      <c r="AX172" s="54"/>
      <c r="AY172" s="54"/>
      <c r="AZ172" s="54"/>
      <c r="BA172" s="54"/>
      <c r="BB172" s="54"/>
      <c r="BC172" s="54"/>
      <c r="BD172" s="54" t="s">
        <v>2447</v>
      </c>
      <c r="BE172" s="54"/>
      <c r="BF172" s="54"/>
      <c r="BG172" s="54"/>
      <c r="BH172" s="54"/>
      <c r="BI172" s="54"/>
      <c r="BJ172" s="0"/>
      <c r="BK172" s="0"/>
      <c r="BL172" s="0"/>
      <c r="BM172" s="0"/>
      <c r="BN172" s="0"/>
      <c r="BO172" s="0"/>
      <c r="BP172"/>
      <c r="BQ172"/>
      <c r="BR172"/>
      <c r="BS172"/>
      <c r="BT172"/>
      <c r="BU172"/>
      <c r="BV172"/>
      <c r="BW172"/>
      <c r="BX172"/>
      <c r="BY172"/>
      <c r="BZ172"/>
      <c r="CA172"/>
      <c r="CB172"/>
    </row>
    <row r="173" ht="15.0" customHeight="true">
      <c r="A173" s="51" t="s">
        <v>2448</v>
      </c>
      <c r="B173" s="33"/>
      <c r="C173" s="33" t="s">
        <v>3900</v>
      </c>
      <c r="D173" s="33"/>
      <c r="E173" s="33" t="s">
        <v>3901</v>
      </c>
      <c r="F173" s="33"/>
      <c r="G173" s="55" t="s">
        <v>3739</v>
      </c>
      <c r="H173" s="33"/>
      <c r="I173" s="51" t="s">
        <v>3902</v>
      </c>
      <c r="J173" s="33"/>
      <c r="K173" s="51" t="s">
        <v>3903</v>
      </c>
      <c r="L173" s="33" t="s">
        <v>2454</v>
      </c>
      <c r="M173" s="55" t="s">
        <v>3904</v>
      </c>
      <c r="N173" s="55" t="s">
        <v>3905</v>
      </c>
      <c r="O173" s="33" t="s">
        <v>2272</v>
      </c>
      <c r="P173" s="33" t="s">
        <v>2251</v>
      </c>
      <c r="Q173" s="33"/>
      <c r="R173" s="33" t="s">
        <v>2263</v>
      </c>
      <c r="S173" s="56" t="s">
        <v>2277</v>
      </c>
      <c r="T173" s="56"/>
      <c r="U173" s="56"/>
      <c r="V173" s="33" t="s">
        <v>2456</v>
      </c>
      <c r="W173" s="94" t="s">
        <v>2457</v>
      </c>
      <c r="X173" s="94" t="s">
        <v>2458</v>
      </c>
      <c r="Y173" s="51"/>
      <c r="Z173" s="51"/>
      <c r="AA173" s="33" t="s">
        <v>2459</v>
      </c>
      <c r="AB173" s="33" t="s">
        <v>2460</v>
      </c>
      <c r="AC173" s="33"/>
      <c r="AD173" s="33" t="s">
        <v>2254</v>
      </c>
      <c r="AE173" s="33"/>
      <c r="AF173" s="33" t="s">
        <v>2267</v>
      </c>
      <c r="AG173" s="33" t="s">
        <v>2461</v>
      </c>
      <c r="AH173" s="33"/>
      <c r="AI173" s="33"/>
      <c r="AJ173" s="33" t="s">
        <v>3906</v>
      </c>
      <c r="AK173" s="94"/>
      <c r="AL173" s="33" t="s">
        <v>3907</v>
      </c>
      <c r="AM173" s="33"/>
      <c r="AN173" s="33" t="s">
        <v>2577</v>
      </c>
      <c r="AO173" s="51" t="s">
        <v>2578</v>
      </c>
      <c r="AP173" s="51" t="s">
        <v>207</v>
      </c>
      <c r="AQ173" s="33"/>
      <c r="AR173" s="54"/>
      <c r="AS173" s="54"/>
      <c r="AT173" s="54"/>
      <c r="AU173" s="54"/>
      <c r="AV173" s="54"/>
      <c r="AW173" s="54"/>
      <c r="AX173" s="54"/>
      <c r="AY173" s="54"/>
      <c r="AZ173" s="54"/>
      <c r="BA173" s="54"/>
      <c r="BB173" s="54"/>
      <c r="BC173" s="54"/>
      <c r="BD173" s="54" t="s">
        <v>2447</v>
      </c>
      <c r="BE173" s="54"/>
      <c r="BF173" s="54"/>
      <c r="BG173" s="54"/>
      <c r="BH173" s="54"/>
      <c r="BI173" s="54"/>
      <c r="BJ173" s="0"/>
      <c r="BK173" s="0"/>
      <c r="BL173" s="0"/>
      <c r="BM173" s="0"/>
      <c r="BN173" s="0"/>
      <c r="BO173" s="0"/>
      <c r="BP173"/>
      <c r="BQ173"/>
      <c r="BR173"/>
      <c r="BS173"/>
      <c r="BT173"/>
      <c r="BU173"/>
      <c r="BV173"/>
      <c r="BW173"/>
      <c r="BX173"/>
      <c r="BY173"/>
      <c r="BZ173"/>
      <c r="CA173"/>
      <c r="CB173"/>
    </row>
    <row r="174" ht="15.0" customHeight="true">
      <c r="A174" s="51" t="s">
        <v>2448</v>
      </c>
      <c r="B174" s="33"/>
      <c r="C174" s="33" t="s">
        <v>3908</v>
      </c>
      <c r="D174" s="33"/>
      <c r="E174" s="33" t="s">
        <v>3909</v>
      </c>
      <c r="F174" s="33"/>
      <c r="G174" s="55" t="s">
        <v>3910</v>
      </c>
      <c r="H174" s="33"/>
      <c r="I174" s="51" t="s">
        <v>3911</v>
      </c>
      <c r="J174" s="33"/>
      <c r="K174" s="51" t="s">
        <v>3912</v>
      </c>
      <c r="L174" s="33" t="s">
        <v>2454</v>
      </c>
      <c r="M174" s="55" t="s">
        <v>3913</v>
      </c>
      <c r="N174" s="55" t="s">
        <v>3914</v>
      </c>
      <c r="O174" s="33" t="s">
        <v>2271</v>
      </c>
      <c r="P174" s="33" t="s">
        <v>2251</v>
      </c>
      <c r="Q174" s="33"/>
      <c r="R174" s="33" t="s">
        <v>2263</v>
      </c>
      <c r="S174" s="56" t="s">
        <v>2277</v>
      </c>
      <c r="T174" s="56"/>
      <c r="U174" s="56"/>
      <c r="V174" s="33" t="s">
        <v>3913</v>
      </c>
      <c r="W174" s="94" t="s">
        <v>2574</v>
      </c>
      <c r="X174" s="94" t="s">
        <v>2474</v>
      </c>
      <c r="Y174" s="51"/>
      <c r="Z174" s="51"/>
      <c r="AA174" s="33" t="s">
        <v>2459</v>
      </c>
      <c r="AB174" s="33" t="s">
        <v>2460</v>
      </c>
      <c r="AC174" s="33" t="s">
        <v>2486</v>
      </c>
      <c r="AD174" s="33" t="s">
        <v>2254</v>
      </c>
      <c r="AE174" s="33"/>
      <c r="AF174" s="33" t="s">
        <v>2267</v>
      </c>
      <c r="AG174" s="33" t="s">
        <v>2461</v>
      </c>
      <c r="AH174" s="33"/>
      <c r="AI174" s="33"/>
      <c r="AJ174" s="33" t="s">
        <v>3915</v>
      </c>
      <c r="AK174" s="94"/>
      <c r="AL174" s="33" t="s">
        <v>3916</v>
      </c>
      <c r="AM174" s="33" t="s">
        <v>3917</v>
      </c>
      <c r="AN174" s="33" t="s">
        <v>2465</v>
      </c>
      <c r="AO174" s="51" t="s">
        <v>2528</v>
      </c>
      <c r="AP174" s="51" t="s">
        <v>207</v>
      </c>
      <c r="AQ174" s="33"/>
      <c r="AR174" s="54"/>
      <c r="AS174" s="54"/>
      <c r="AT174" s="54"/>
      <c r="AU174" s="54"/>
      <c r="AV174" s="54"/>
      <c r="AW174" s="54"/>
      <c r="AX174" s="54"/>
      <c r="AY174" s="54" t="s">
        <v>2269</v>
      </c>
      <c r="AZ174" s="54"/>
      <c r="BA174" s="54"/>
      <c r="BB174" s="54"/>
      <c r="BC174" s="54"/>
      <c r="BD174" s="54" t="s">
        <v>2447</v>
      </c>
      <c r="BE174" s="54"/>
      <c r="BF174" s="54"/>
      <c r="BG174" s="54"/>
      <c r="BH174" s="54"/>
      <c r="BI174" s="54"/>
      <c r="BJ174" s="0"/>
      <c r="BK174" s="0"/>
      <c r="BL174" s="0"/>
      <c r="BM174" s="0"/>
      <c r="BN174" s="0"/>
      <c r="BO174" s="0"/>
      <c r="BP174"/>
      <c r="BQ174"/>
      <c r="BR174"/>
      <c r="BS174"/>
      <c r="BT174"/>
      <c r="BU174"/>
      <c r="BV174"/>
      <c r="BW174"/>
      <c r="BX174"/>
      <c r="BY174"/>
      <c r="BZ174"/>
      <c r="CA174"/>
      <c r="CB174"/>
    </row>
    <row r="175" ht="15.0" customHeight="true">
      <c r="A175" s="51" t="s">
        <v>2448</v>
      </c>
      <c r="B175" s="33"/>
      <c r="C175" s="33" t="s">
        <v>3918</v>
      </c>
      <c r="D175" s="33"/>
      <c r="E175" s="33" t="s">
        <v>3919</v>
      </c>
      <c r="F175" s="33"/>
      <c r="G175" s="55" t="s">
        <v>2742</v>
      </c>
      <c r="H175" s="33"/>
      <c r="I175" s="51" t="s">
        <v>3920</v>
      </c>
      <c r="J175" s="33"/>
      <c r="K175" s="51" t="s">
        <v>3921</v>
      </c>
      <c r="L175" s="33" t="s">
        <v>2454</v>
      </c>
      <c r="M175" s="55" t="s">
        <v>3905</v>
      </c>
      <c r="N175" s="55" t="s">
        <v>3499</v>
      </c>
      <c r="O175" s="33" t="s">
        <v>2272</v>
      </c>
      <c r="P175" s="33" t="s">
        <v>2251</v>
      </c>
      <c r="Q175" s="33"/>
      <c r="R175" s="33" t="s">
        <v>2263</v>
      </c>
      <c r="S175" s="56" t="s">
        <v>2277</v>
      </c>
      <c r="T175" s="56"/>
      <c r="U175" s="56"/>
      <c r="V175" s="33" t="s">
        <v>2456</v>
      </c>
      <c r="W175" s="94" t="s">
        <v>2457</v>
      </c>
      <c r="X175" s="94" t="s">
        <v>2458</v>
      </c>
      <c r="Y175" s="51"/>
      <c r="Z175" s="51"/>
      <c r="AA175" s="33" t="s">
        <v>2459</v>
      </c>
      <c r="AB175" s="33" t="s">
        <v>2460</v>
      </c>
      <c r="AC175" s="33"/>
      <c r="AD175" s="33" t="s">
        <v>2254</v>
      </c>
      <c r="AE175" s="33"/>
      <c r="AF175" s="33" t="s">
        <v>2267</v>
      </c>
      <c r="AG175" s="33" t="s">
        <v>2461</v>
      </c>
      <c r="AH175" s="33"/>
      <c r="AI175" s="33"/>
      <c r="AJ175" s="33" t="s">
        <v>3922</v>
      </c>
      <c r="AK175" s="94"/>
      <c r="AL175" s="33" t="s">
        <v>3923</v>
      </c>
      <c r="AM175" s="33" t="s">
        <v>3924</v>
      </c>
      <c r="AN175" s="33" t="s">
        <v>2588</v>
      </c>
      <c r="AO175" s="51" t="s">
        <v>2628</v>
      </c>
      <c r="AP175" s="51" t="s">
        <v>207</v>
      </c>
      <c r="AQ175" s="33"/>
      <c r="AR175" s="54"/>
      <c r="AS175" s="54"/>
      <c r="AT175" s="54"/>
      <c r="AU175" s="54"/>
      <c r="AV175" s="54"/>
      <c r="AW175" s="54"/>
      <c r="AX175" s="54"/>
      <c r="AY175" s="54"/>
      <c r="AZ175" s="54"/>
      <c r="BA175" s="54"/>
      <c r="BB175" s="54"/>
      <c r="BC175" s="54"/>
      <c r="BD175" s="54" t="s">
        <v>2447</v>
      </c>
      <c r="BE175" s="54"/>
      <c r="BF175" s="54"/>
      <c r="BG175" s="54"/>
      <c r="BH175" s="54"/>
      <c r="BI175" s="54"/>
      <c r="BJ175" s="0"/>
      <c r="BK175" s="0"/>
      <c r="BL175" s="0"/>
      <c r="BM175" s="0"/>
      <c r="BN175" s="0"/>
      <c r="BO175" s="0"/>
      <c r="BP175"/>
      <c r="BQ175"/>
      <c r="BR175"/>
      <c r="BS175"/>
      <c r="BT175"/>
      <c r="BU175"/>
      <c r="BV175"/>
      <c r="BW175"/>
      <c r="BX175"/>
      <c r="BY175"/>
      <c r="BZ175"/>
      <c r="CA175"/>
      <c r="CB175"/>
    </row>
    <row r="176" ht="15.0" customHeight="true">
      <c r="A176" s="51" t="s">
        <v>2448</v>
      </c>
      <c r="B176" s="33"/>
      <c r="C176" s="33" t="s">
        <v>3925</v>
      </c>
      <c r="D176" s="33"/>
      <c r="E176" s="33" t="s">
        <v>3926</v>
      </c>
      <c r="F176" s="33"/>
      <c r="G176" s="55" t="s">
        <v>3684</v>
      </c>
      <c r="H176" s="33"/>
      <c r="I176" s="51" t="s">
        <v>3927</v>
      </c>
      <c r="J176" s="33"/>
      <c r="K176" s="51" t="s">
        <v>3928</v>
      </c>
      <c r="L176" s="33" t="s">
        <v>2484</v>
      </c>
      <c r="M176" s="55" t="s">
        <v>2736</v>
      </c>
      <c r="N176" s="55"/>
      <c r="O176" s="33"/>
      <c r="P176" s="33" t="s">
        <v>2251</v>
      </c>
      <c r="Q176" s="33"/>
      <c r="R176" s="33" t="s">
        <v>2263</v>
      </c>
      <c r="S176" s="56" t="s">
        <v>2277</v>
      </c>
      <c r="T176" s="56"/>
      <c r="U176" s="56"/>
      <c r="V176" s="33" t="s">
        <v>2456</v>
      </c>
      <c r="W176" s="94" t="s">
        <v>2457</v>
      </c>
      <c r="X176" s="94" t="s">
        <v>2474</v>
      </c>
      <c r="Y176" s="51"/>
      <c r="Z176" s="51"/>
      <c r="AA176" s="33" t="s">
        <v>2459</v>
      </c>
      <c r="AB176" s="33" t="s">
        <v>2460</v>
      </c>
      <c r="AC176" s="33" t="s">
        <v>2486</v>
      </c>
      <c r="AD176" s="33" t="s">
        <v>2254</v>
      </c>
      <c r="AE176" s="33"/>
      <c r="AF176" s="33" t="s">
        <v>2267</v>
      </c>
      <c r="AG176" s="33" t="s">
        <v>2461</v>
      </c>
      <c r="AH176" s="33"/>
      <c r="AI176" s="33"/>
      <c r="AJ176" s="33" t="s">
        <v>3929</v>
      </c>
      <c r="AK176" s="94"/>
      <c r="AL176" s="33" t="s">
        <v>3930</v>
      </c>
      <c r="AM176" s="33"/>
      <c r="AN176" s="33" t="s">
        <v>2465</v>
      </c>
      <c r="AO176" s="51" t="s">
        <v>2466</v>
      </c>
      <c r="AP176" s="51" t="s">
        <v>207</v>
      </c>
      <c r="AQ176" s="33"/>
      <c r="AR176" s="54"/>
      <c r="AS176" s="54"/>
      <c r="AT176" s="54"/>
      <c r="AU176" s="54"/>
      <c r="AV176" s="54"/>
      <c r="AW176" s="54"/>
      <c r="AX176" s="54"/>
      <c r="AY176" s="54"/>
      <c r="AZ176" s="54"/>
      <c r="BA176" s="54"/>
      <c r="BB176" s="54"/>
      <c r="BC176" s="54"/>
      <c r="BD176" s="54" t="s">
        <v>2447</v>
      </c>
      <c r="BE176" s="54"/>
      <c r="BF176" s="54"/>
      <c r="BG176" s="54"/>
      <c r="BH176" s="54"/>
      <c r="BI176" s="54"/>
      <c r="BJ176" s="0"/>
      <c r="BK176" s="0"/>
      <c r="BL176" s="0"/>
      <c r="BM176" s="0"/>
      <c r="BN176" s="0"/>
      <c r="BO176" s="0"/>
      <c r="BP176"/>
      <c r="BQ176"/>
      <c r="BR176"/>
      <c r="BS176"/>
      <c r="BT176"/>
      <c r="BU176"/>
      <c r="BV176"/>
      <c r="BW176"/>
      <c r="BX176"/>
      <c r="BY176"/>
      <c r="BZ176"/>
      <c r="CA176"/>
      <c r="CB176"/>
    </row>
    <row r="177" ht="15.0" customHeight="true">
      <c r="A177" s="51" t="s">
        <v>2448</v>
      </c>
      <c r="B177" s="33"/>
      <c r="C177" s="33" t="s">
        <v>2666</v>
      </c>
      <c r="D177" s="33"/>
      <c r="E177" s="33" t="s">
        <v>3931</v>
      </c>
      <c r="F177" s="33"/>
      <c r="G177" s="55" t="s">
        <v>3932</v>
      </c>
      <c r="H177" s="33"/>
      <c r="I177" s="51" t="s">
        <v>3933</v>
      </c>
      <c r="J177" s="33"/>
      <c r="K177" s="51" t="s">
        <v>3934</v>
      </c>
      <c r="L177" s="33" t="s">
        <v>2454</v>
      </c>
      <c r="M177" s="55" t="s">
        <v>3935</v>
      </c>
      <c r="N177" s="55" t="s">
        <v>3935</v>
      </c>
      <c r="O177" s="33" t="s">
        <v>2272</v>
      </c>
      <c r="P177" s="33" t="s">
        <v>2251</v>
      </c>
      <c r="Q177" s="33"/>
      <c r="R177" s="33" t="s">
        <v>2263</v>
      </c>
      <c r="S177" s="56" t="s">
        <v>2277</v>
      </c>
      <c r="T177" s="56"/>
      <c r="U177" s="56"/>
      <c r="V177" s="33" t="s">
        <v>2456</v>
      </c>
      <c r="W177" s="94" t="s">
        <v>2457</v>
      </c>
      <c r="X177" s="94" t="s">
        <v>2458</v>
      </c>
      <c r="Y177" s="51"/>
      <c r="Z177" s="51"/>
      <c r="AA177" s="33" t="s">
        <v>2459</v>
      </c>
      <c r="AB177" s="33" t="s">
        <v>2460</v>
      </c>
      <c r="AC177" s="33"/>
      <c r="AD177" s="33" t="s">
        <v>2254</v>
      </c>
      <c r="AE177" s="33"/>
      <c r="AF177" s="33" t="s">
        <v>2267</v>
      </c>
      <c r="AG177" s="33" t="s">
        <v>2461</v>
      </c>
      <c r="AH177" s="33"/>
      <c r="AI177" s="33"/>
      <c r="AJ177" s="33" t="s">
        <v>3936</v>
      </c>
      <c r="AK177" s="94"/>
      <c r="AL177" s="33" t="s">
        <v>3937</v>
      </c>
      <c r="AM177" s="33" t="s">
        <v>3938</v>
      </c>
      <c r="AN177" s="33" t="s">
        <v>2465</v>
      </c>
      <c r="AO177" s="51" t="s">
        <v>2618</v>
      </c>
      <c r="AP177" s="51" t="s">
        <v>207</v>
      </c>
      <c r="AQ177" s="33"/>
      <c r="AR177" s="54"/>
      <c r="AS177" s="54"/>
      <c r="AT177" s="54"/>
      <c r="AU177" s="54"/>
      <c r="AV177" s="54"/>
      <c r="AW177" s="54"/>
      <c r="AX177" s="54"/>
      <c r="AY177" s="54"/>
      <c r="AZ177" s="54"/>
      <c r="BA177" s="54"/>
      <c r="BB177" s="54"/>
      <c r="BC177" s="54"/>
      <c r="BD177" s="54" t="s">
        <v>2447</v>
      </c>
      <c r="BE177" s="54"/>
      <c r="BF177" s="54"/>
      <c r="BG177" s="54"/>
      <c r="BH177" s="54"/>
      <c r="BI177" s="54"/>
      <c r="BJ177" s="0"/>
      <c r="BK177" s="0"/>
      <c r="BL177" s="0"/>
      <c r="BM177" s="0"/>
      <c r="BN177" s="0"/>
      <c r="BO177" s="0"/>
      <c r="BP177"/>
      <c r="BQ177"/>
      <c r="BR177"/>
      <c r="BS177"/>
      <c r="BT177"/>
      <c r="BU177"/>
      <c r="BV177"/>
      <c r="BW177"/>
      <c r="BX177"/>
      <c r="BY177"/>
      <c r="BZ177"/>
      <c r="CA177"/>
      <c r="CB177"/>
    </row>
    <row r="178" ht="15.0" customHeight="true">
      <c r="A178" s="51" t="s">
        <v>2448</v>
      </c>
      <c r="B178" s="33"/>
      <c r="C178" s="33" t="s">
        <v>3939</v>
      </c>
      <c r="D178" s="33"/>
      <c r="E178" s="33" t="s">
        <v>3940</v>
      </c>
      <c r="F178" s="33"/>
      <c r="G178" s="55" t="s">
        <v>3941</v>
      </c>
      <c r="H178" s="33"/>
      <c r="I178" s="51" t="s">
        <v>3942</v>
      </c>
      <c r="J178" s="33"/>
      <c r="K178" s="51" t="s">
        <v>3943</v>
      </c>
      <c r="L178" s="33" t="s">
        <v>2454</v>
      </c>
      <c r="M178" s="55" t="s">
        <v>3376</v>
      </c>
      <c r="N178" s="55" t="s">
        <v>3376</v>
      </c>
      <c r="O178" s="33" t="s">
        <v>2272</v>
      </c>
      <c r="P178" s="33" t="s">
        <v>2251</v>
      </c>
      <c r="Q178" s="33"/>
      <c r="R178" s="33" t="s">
        <v>2263</v>
      </c>
      <c r="S178" s="56" t="s">
        <v>2277</v>
      </c>
      <c r="T178" s="56"/>
      <c r="U178" s="56"/>
      <c r="V178" s="33" t="s">
        <v>2456</v>
      </c>
      <c r="W178" s="94" t="s">
        <v>2457</v>
      </c>
      <c r="X178" s="94" t="s">
        <v>2458</v>
      </c>
      <c r="Y178" s="51"/>
      <c r="Z178" s="51"/>
      <c r="AA178" s="33" t="s">
        <v>2459</v>
      </c>
      <c r="AB178" s="33" t="s">
        <v>2460</v>
      </c>
      <c r="AC178" s="33"/>
      <c r="AD178" s="33" t="s">
        <v>2254</v>
      </c>
      <c r="AE178" s="33"/>
      <c r="AF178" s="33" t="s">
        <v>2267</v>
      </c>
      <c r="AG178" s="33" t="s">
        <v>2461</v>
      </c>
      <c r="AH178" s="33"/>
      <c r="AI178" s="33"/>
      <c r="AJ178" s="33" t="s">
        <v>3944</v>
      </c>
      <c r="AK178" s="94"/>
      <c r="AL178" s="33" t="s">
        <v>3945</v>
      </c>
      <c r="AM178" s="33" t="s">
        <v>3946</v>
      </c>
      <c r="AN178" s="33" t="s">
        <v>2465</v>
      </c>
      <c r="AO178" s="51" t="s">
        <v>2618</v>
      </c>
      <c r="AP178" s="51" t="s">
        <v>207</v>
      </c>
      <c r="AQ178" s="33"/>
      <c r="AR178" s="54"/>
      <c r="AS178" s="54"/>
      <c r="AT178" s="54"/>
      <c r="AU178" s="54"/>
      <c r="AV178" s="54"/>
      <c r="AW178" s="54"/>
      <c r="AX178" s="54"/>
      <c r="AY178" s="54"/>
      <c r="AZ178" s="54"/>
      <c r="BA178" s="54"/>
      <c r="BB178" s="54"/>
      <c r="BC178" s="54"/>
      <c r="BD178" s="54" t="s">
        <v>2447</v>
      </c>
      <c r="BE178" s="54"/>
      <c r="BF178" s="54"/>
      <c r="BG178" s="54"/>
      <c r="BH178" s="54"/>
      <c r="BI178" s="54"/>
      <c r="BJ178" s="0"/>
      <c r="BK178" s="0"/>
      <c r="BL178" s="0"/>
      <c r="BM178" s="0"/>
      <c r="BN178" s="0"/>
      <c r="BO178" s="0"/>
      <c r="BP178"/>
      <c r="BQ178"/>
      <c r="BR178"/>
      <c r="BS178"/>
      <c r="BT178"/>
      <c r="BU178"/>
      <c r="BV178"/>
      <c r="BW178"/>
      <c r="BX178"/>
      <c r="BY178"/>
      <c r="BZ178"/>
      <c r="CA178"/>
      <c r="CB178"/>
    </row>
    <row r="179" ht="15.0" customHeight="true">
      <c r="A179" s="51" t="s">
        <v>2448</v>
      </c>
      <c r="B179" s="33"/>
      <c r="C179" s="33" t="s">
        <v>3947</v>
      </c>
      <c r="D179" s="33"/>
      <c r="E179" s="33" t="s">
        <v>3948</v>
      </c>
      <c r="F179" s="33"/>
      <c r="G179" s="55" t="s">
        <v>3949</v>
      </c>
      <c r="H179" s="33"/>
      <c r="I179" s="51" t="s">
        <v>3950</v>
      </c>
      <c r="J179" s="33"/>
      <c r="K179" s="51" t="s">
        <v>3951</v>
      </c>
      <c r="L179" s="33" t="s">
        <v>2454</v>
      </c>
      <c r="M179" s="55" t="s">
        <v>3288</v>
      </c>
      <c r="N179" s="55" t="s">
        <v>3288</v>
      </c>
      <c r="O179" s="33" t="s">
        <v>2272</v>
      </c>
      <c r="P179" s="33" t="s">
        <v>2251</v>
      </c>
      <c r="Q179" s="33"/>
      <c r="R179" s="33" t="s">
        <v>2263</v>
      </c>
      <c r="S179" s="56" t="s">
        <v>2277</v>
      </c>
      <c r="T179" s="56"/>
      <c r="U179" s="56"/>
      <c r="V179" s="33" t="s">
        <v>2456</v>
      </c>
      <c r="W179" s="94" t="s">
        <v>2457</v>
      </c>
      <c r="X179" s="94" t="s">
        <v>2458</v>
      </c>
      <c r="Y179" s="51"/>
      <c r="Z179" s="51"/>
      <c r="AA179" s="33" t="s">
        <v>2459</v>
      </c>
      <c r="AB179" s="33" t="s">
        <v>2460</v>
      </c>
      <c r="AC179" s="33"/>
      <c r="AD179" s="33" t="s">
        <v>2254</v>
      </c>
      <c r="AE179" s="33"/>
      <c r="AF179" s="33" t="s">
        <v>2267</v>
      </c>
      <c r="AG179" s="33" t="s">
        <v>2461</v>
      </c>
      <c r="AH179" s="33"/>
      <c r="AI179" s="33"/>
      <c r="AJ179" s="33" t="s">
        <v>3952</v>
      </c>
      <c r="AK179" s="94"/>
      <c r="AL179" s="33" t="s">
        <v>3953</v>
      </c>
      <c r="AM179" s="33"/>
      <c r="AN179" s="33" t="s">
        <v>2465</v>
      </c>
      <c r="AO179" s="51" t="s">
        <v>2489</v>
      </c>
      <c r="AP179" s="51" t="s">
        <v>207</v>
      </c>
      <c r="AQ179" s="33"/>
      <c r="AR179" s="54"/>
      <c r="AS179" s="54"/>
      <c r="AT179" s="54"/>
      <c r="AU179" s="54"/>
      <c r="AV179" s="54"/>
      <c r="AW179" s="54"/>
      <c r="AX179" s="54"/>
      <c r="AY179" s="54"/>
      <c r="AZ179" s="54"/>
      <c r="BA179" s="54"/>
      <c r="BB179" s="54"/>
      <c r="BC179" s="54"/>
      <c r="BD179" s="54" t="s">
        <v>2447</v>
      </c>
      <c r="BE179" s="54"/>
      <c r="BF179" s="54"/>
      <c r="BG179" s="54"/>
      <c r="BH179" s="54"/>
      <c r="BI179" s="54"/>
      <c r="BJ179" s="0"/>
      <c r="BK179" s="0"/>
      <c r="BL179" s="0"/>
      <c r="BM179" s="0"/>
      <c r="BN179" s="0"/>
      <c r="BO179" s="0"/>
      <c r="BP179"/>
      <c r="BQ179"/>
      <c r="BR179"/>
      <c r="BS179"/>
      <c r="BT179"/>
      <c r="BU179"/>
      <c r="BV179"/>
      <c r="BW179"/>
      <c r="BX179"/>
      <c r="BY179"/>
      <c r="BZ179"/>
      <c r="CA179"/>
      <c r="CB179"/>
    </row>
    <row r="180" ht="15.0" customHeight="true">
      <c r="A180" s="51" t="s">
        <v>2448</v>
      </c>
      <c r="B180" s="33"/>
      <c r="C180" s="33" t="s">
        <v>2510</v>
      </c>
      <c r="D180" s="33"/>
      <c r="E180" s="33" t="s">
        <v>3954</v>
      </c>
      <c r="F180" s="33"/>
      <c r="G180" s="55" t="s">
        <v>3955</v>
      </c>
      <c r="H180" s="33"/>
      <c r="I180" s="51" t="s">
        <v>3956</v>
      </c>
      <c r="J180" s="33"/>
      <c r="K180" s="51" t="s">
        <v>3957</v>
      </c>
      <c r="L180" s="33" t="s">
        <v>2454</v>
      </c>
      <c r="M180" s="55" t="s">
        <v>3958</v>
      </c>
      <c r="N180" s="55" t="s">
        <v>2679</v>
      </c>
      <c r="O180" s="33" t="s">
        <v>2272</v>
      </c>
      <c r="P180" s="33" t="s">
        <v>2251</v>
      </c>
      <c r="Q180" s="33"/>
      <c r="R180" s="33" t="s">
        <v>2263</v>
      </c>
      <c r="S180" s="56" t="s">
        <v>2277</v>
      </c>
      <c r="T180" s="56"/>
      <c r="U180" s="56"/>
      <c r="V180" s="33" t="s">
        <v>2456</v>
      </c>
      <c r="W180" s="94" t="s">
        <v>2457</v>
      </c>
      <c r="X180" s="94" t="s">
        <v>2458</v>
      </c>
      <c r="Y180" s="51"/>
      <c r="Z180" s="51"/>
      <c r="AA180" s="33" t="s">
        <v>2459</v>
      </c>
      <c r="AB180" s="33" t="s">
        <v>2460</v>
      </c>
      <c r="AC180" s="33"/>
      <c r="AD180" s="33" t="s">
        <v>2254</v>
      </c>
      <c r="AE180" s="33"/>
      <c r="AF180" s="33" t="s">
        <v>2267</v>
      </c>
      <c r="AG180" s="33" t="s">
        <v>2461</v>
      </c>
      <c r="AH180" s="33"/>
      <c r="AI180" s="33"/>
      <c r="AJ180" s="33" t="s">
        <v>3959</v>
      </c>
      <c r="AK180" s="94"/>
      <c r="AL180" s="33" t="s">
        <v>3960</v>
      </c>
      <c r="AM180" s="33"/>
      <c r="AN180" s="33" t="s">
        <v>2465</v>
      </c>
      <c r="AO180" s="51" t="s">
        <v>2673</v>
      </c>
      <c r="AP180" s="51" t="s">
        <v>207</v>
      </c>
      <c r="AQ180" s="33"/>
      <c r="AR180" s="54"/>
      <c r="AS180" s="54"/>
      <c r="AT180" s="54"/>
      <c r="AU180" s="54"/>
      <c r="AV180" s="54"/>
      <c r="AW180" s="54"/>
      <c r="AX180" s="54"/>
      <c r="AY180" s="54"/>
      <c r="AZ180" s="54"/>
      <c r="BA180" s="54"/>
      <c r="BB180" s="54"/>
      <c r="BC180" s="54"/>
      <c r="BD180" s="54" t="s">
        <v>2447</v>
      </c>
      <c r="BE180" s="54"/>
      <c r="BF180" s="54"/>
      <c r="BG180" s="54"/>
      <c r="BH180" s="54"/>
      <c r="BI180" s="54"/>
      <c r="BJ180" s="0"/>
      <c r="BK180" s="0"/>
      <c r="BL180" s="0"/>
      <c r="BM180" s="0"/>
      <c r="BN180" s="0"/>
      <c r="BO180" s="0"/>
      <c r="BP180"/>
      <c r="BQ180"/>
      <c r="BR180"/>
      <c r="BS180"/>
      <c r="BT180"/>
      <c r="BU180"/>
      <c r="BV180"/>
      <c r="BW180"/>
      <c r="BX180"/>
      <c r="BY180"/>
      <c r="BZ180"/>
      <c r="CA180"/>
      <c r="CB180"/>
    </row>
    <row r="181" ht="15.0" customHeight="true">
      <c r="A181" s="51" t="s">
        <v>2448</v>
      </c>
      <c r="B181" s="33"/>
      <c r="C181" s="33" t="s">
        <v>3961</v>
      </c>
      <c r="D181" s="33"/>
      <c r="E181" s="33" t="s">
        <v>3962</v>
      </c>
      <c r="F181" s="33"/>
      <c r="G181" s="55" t="s">
        <v>3963</v>
      </c>
      <c r="H181" s="33"/>
      <c r="I181" s="51" t="s">
        <v>3964</v>
      </c>
      <c r="J181" s="33"/>
      <c r="K181" s="51" t="s">
        <v>3965</v>
      </c>
      <c r="L181" s="33" t="s">
        <v>2454</v>
      </c>
      <c r="M181" s="55" t="s">
        <v>3966</v>
      </c>
      <c r="N181" s="55" t="s">
        <v>3671</v>
      </c>
      <c r="O181" s="33" t="s">
        <v>2272</v>
      </c>
      <c r="P181" s="33" t="s">
        <v>2251</v>
      </c>
      <c r="Q181" s="33"/>
      <c r="R181" s="33" t="s">
        <v>2263</v>
      </c>
      <c r="S181" s="56" t="s">
        <v>2277</v>
      </c>
      <c r="T181" s="56"/>
      <c r="U181" s="56"/>
      <c r="V181" s="33" t="s">
        <v>2456</v>
      </c>
      <c r="W181" s="94" t="s">
        <v>2457</v>
      </c>
      <c r="X181" s="94" t="s">
        <v>2474</v>
      </c>
      <c r="Y181" s="51"/>
      <c r="Z181" s="51"/>
      <c r="AA181" s="33" t="s">
        <v>2459</v>
      </c>
      <c r="AB181" s="33" t="s">
        <v>2460</v>
      </c>
      <c r="AC181" s="33"/>
      <c r="AD181" s="33" t="s">
        <v>2254</v>
      </c>
      <c r="AE181" s="33"/>
      <c r="AF181" s="33" t="s">
        <v>2267</v>
      </c>
      <c r="AG181" s="33" t="s">
        <v>2461</v>
      </c>
      <c r="AH181" s="33"/>
      <c r="AI181" s="33"/>
      <c r="AJ181" s="33" t="s">
        <v>3967</v>
      </c>
      <c r="AK181" s="94"/>
      <c r="AL181" s="33" t="s">
        <v>3968</v>
      </c>
      <c r="AM181" s="33"/>
      <c r="AN181" s="33" t="s">
        <v>3969</v>
      </c>
      <c r="AO181" s="51" t="s">
        <v>3970</v>
      </c>
      <c r="AP181" s="51" t="s">
        <v>178</v>
      </c>
      <c r="AQ181" s="33"/>
      <c r="AR181" s="54"/>
      <c r="AS181" s="54"/>
      <c r="AT181" s="54"/>
      <c r="AU181" s="54"/>
      <c r="AV181" s="54"/>
      <c r="AW181" s="54"/>
      <c r="AX181" s="54"/>
      <c r="AY181" s="54"/>
      <c r="AZ181" s="54"/>
      <c r="BA181" s="54"/>
      <c r="BB181" s="54"/>
      <c r="BC181" s="54"/>
      <c r="BD181" s="54" t="s">
        <v>2447</v>
      </c>
      <c r="BE181" s="54"/>
      <c r="BF181" s="54"/>
      <c r="BG181" s="54"/>
      <c r="BH181" s="54"/>
      <c r="BI181" s="54"/>
      <c r="BJ181" s="0"/>
      <c r="BK181" s="0"/>
      <c r="BL181" s="0"/>
      <c r="BM181" s="0"/>
      <c r="BN181" s="0"/>
      <c r="BO181" s="0"/>
      <c r="BP181"/>
      <c r="BQ181"/>
      <c r="BR181"/>
      <c r="BS181"/>
      <c r="BT181"/>
      <c r="BU181"/>
      <c r="BV181"/>
      <c r="BW181"/>
      <c r="BX181"/>
      <c r="BY181"/>
      <c r="BZ181"/>
      <c r="CA181"/>
      <c r="CB181"/>
    </row>
    <row r="182" ht="15.0" customHeight="true">
      <c r="A182" s="51" t="s">
        <v>2448</v>
      </c>
      <c r="B182" s="33"/>
      <c r="C182" s="33" t="s">
        <v>3971</v>
      </c>
      <c r="D182" s="33"/>
      <c r="E182" s="33" t="s">
        <v>3972</v>
      </c>
      <c r="F182" s="33"/>
      <c r="G182" s="55" t="s">
        <v>3973</v>
      </c>
      <c r="H182" s="33"/>
      <c r="I182" s="51" t="s">
        <v>3974</v>
      </c>
      <c r="J182" s="33"/>
      <c r="K182" s="51" t="s">
        <v>3975</v>
      </c>
      <c r="L182" s="33" t="s">
        <v>2454</v>
      </c>
      <c r="M182" s="55" t="s">
        <v>3827</v>
      </c>
      <c r="N182" s="55" t="s">
        <v>3976</v>
      </c>
      <c r="O182" s="33" t="s">
        <v>2272</v>
      </c>
      <c r="P182" s="33" t="s">
        <v>2251</v>
      </c>
      <c r="Q182" s="33"/>
      <c r="R182" s="33" t="s">
        <v>2263</v>
      </c>
      <c r="S182" s="56" t="s">
        <v>2277</v>
      </c>
      <c r="T182" s="56"/>
      <c r="U182" s="56"/>
      <c r="V182" s="33" t="s">
        <v>2456</v>
      </c>
      <c r="W182" s="94" t="s">
        <v>2457</v>
      </c>
      <c r="X182" s="94" t="s">
        <v>2474</v>
      </c>
      <c r="Y182" s="51"/>
      <c r="Z182" s="51"/>
      <c r="AA182" s="33" t="s">
        <v>2459</v>
      </c>
      <c r="AB182" s="33" t="s">
        <v>2460</v>
      </c>
      <c r="AC182" s="33"/>
      <c r="AD182" s="33" t="s">
        <v>2254</v>
      </c>
      <c r="AE182" s="33"/>
      <c r="AF182" s="33" t="s">
        <v>2267</v>
      </c>
      <c r="AG182" s="33" t="s">
        <v>2461</v>
      </c>
      <c r="AH182" s="33"/>
      <c r="AI182" s="33"/>
      <c r="AJ182" s="33" t="s">
        <v>3977</v>
      </c>
      <c r="AK182" s="94"/>
      <c r="AL182" s="33" t="s">
        <v>3978</v>
      </c>
      <c r="AM182" s="33"/>
      <c r="AN182" s="33" t="s">
        <v>2828</v>
      </c>
      <c r="AO182" s="51" t="s">
        <v>2829</v>
      </c>
      <c r="AP182" s="51" t="s">
        <v>207</v>
      </c>
      <c r="AQ182" s="33"/>
      <c r="AR182" s="54"/>
      <c r="AS182" s="54"/>
      <c r="AT182" s="54"/>
      <c r="AU182" s="54"/>
      <c r="AV182" s="54"/>
      <c r="AW182" s="54"/>
      <c r="AX182" s="54"/>
      <c r="AY182" s="54"/>
      <c r="AZ182" s="54"/>
      <c r="BA182" s="54"/>
      <c r="BB182" s="54"/>
      <c r="BC182" s="54"/>
      <c r="BD182" s="54" t="s">
        <v>2447</v>
      </c>
      <c r="BE182" s="54"/>
      <c r="BF182" s="54"/>
      <c r="BG182" s="54"/>
      <c r="BH182" s="54"/>
      <c r="BI182" s="54"/>
      <c r="BJ182" s="0"/>
      <c r="BK182" s="0"/>
      <c r="BL182" s="0"/>
      <c r="BM182" s="0"/>
      <c r="BN182" s="0"/>
      <c r="BO182" s="0"/>
      <c r="BP182"/>
      <c r="BQ182"/>
      <c r="BR182"/>
      <c r="BS182"/>
      <c r="BT182"/>
      <c r="BU182"/>
      <c r="BV182"/>
      <c r="BW182"/>
      <c r="BX182"/>
      <c r="BY182"/>
      <c r="BZ182"/>
      <c r="CA182"/>
      <c r="CB182"/>
    </row>
    <row r="183" ht="15.0" customHeight="true">
      <c r="A183" s="51" t="s">
        <v>2448</v>
      </c>
      <c r="B183" s="33"/>
      <c r="C183" s="33" t="s">
        <v>3979</v>
      </c>
      <c r="D183" s="33"/>
      <c r="E183" s="33" t="s">
        <v>3980</v>
      </c>
      <c r="F183" s="33"/>
      <c r="G183" s="55" t="s">
        <v>3981</v>
      </c>
      <c r="H183" s="33"/>
      <c r="I183" s="51" t="s">
        <v>3982</v>
      </c>
      <c r="J183" s="33"/>
      <c r="K183" s="51" t="s">
        <v>3983</v>
      </c>
      <c r="L183" s="33" t="s">
        <v>2454</v>
      </c>
      <c r="M183" s="55" t="s">
        <v>2708</v>
      </c>
      <c r="N183" s="55" t="s">
        <v>2708</v>
      </c>
      <c r="O183" s="33" t="s">
        <v>2272</v>
      </c>
      <c r="P183" s="33" t="s">
        <v>2251</v>
      </c>
      <c r="Q183" s="33"/>
      <c r="R183" s="33" t="s">
        <v>2263</v>
      </c>
      <c r="S183" s="56" t="s">
        <v>2277</v>
      </c>
      <c r="T183" s="56"/>
      <c r="U183" s="56"/>
      <c r="V183" s="33" t="s">
        <v>2456</v>
      </c>
      <c r="W183" s="94" t="s">
        <v>2457</v>
      </c>
      <c r="X183" s="94" t="s">
        <v>2474</v>
      </c>
      <c r="Y183" s="51"/>
      <c r="Z183" s="51"/>
      <c r="AA183" s="33" t="s">
        <v>2459</v>
      </c>
      <c r="AB183" s="33" t="s">
        <v>2460</v>
      </c>
      <c r="AC183" s="33"/>
      <c r="AD183" s="33" t="s">
        <v>2254</v>
      </c>
      <c r="AE183" s="33"/>
      <c r="AF183" s="33" t="s">
        <v>2267</v>
      </c>
      <c r="AG183" s="33" t="s">
        <v>2461</v>
      </c>
      <c r="AH183" s="33"/>
      <c r="AI183" s="33"/>
      <c r="AJ183" s="33" t="s">
        <v>3984</v>
      </c>
      <c r="AK183" s="94"/>
      <c r="AL183" s="33" t="s">
        <v>3985</v>
      </c>
      <c r="AM183" s="33"/>
      <c r="AN183" s="33" t="s">
        <v>2465</v>
      </c>
      <c r="AO183" s="51" t="s">
        <v>2673</v>
      </c>
      <c r="AP183" s="51" t="s">
        <v>207</v>
      </c>
      <c r="AQ183" s="33"/>
      <c r="AR183" s="54"/>
      <c r="AS183" s="54"/>
      <c r="AT183" s="54"/>
      <c r="AU183" s="54"/>
      <c r="AV183" s="54"/>
      <c r="AW183" s="54"/>
      <c r="AX183" s="54"/>
      <c r="AY183" s="54"/>
      <c r="AZ183" s="54"/>
      <c r="BA183" s="54"/>
      <c r="BB183" s="54"/>
      <c r="BC183" s="54"/>
      <c r="BD183" s="54" t="s">
        <v>2447</v>
      </c>
      <c r="BE183" s="54"/>
      <c r="BF183" s="54"/>
      <c r="BG183" s="54"/>
      <c r="BH183" s="54"/>
      <c r="BI183" s="54"/>
      <c r="BJ183" s="0"/>
      <c r="BK183" s="0"/>
      <c r="BL183" s="0"/>
      <c r="BM183" s="0"/>
      <c r="BN183" s="0"/>
      <c r="BO183" s="0"/>
      <c r="BP183"/>
      <c r="BQ183"/>
      <c r="BR183"/>
      <c r="BS183"/>
      <c r="BT183"/>
      <c r="BU183"/>
      <c r="BV183"/>
      <c r="BW183"/>
      <c r="BX183"/>
      <c r="BY183"/>
      <c r="BZ183"/>
      <c r="CA183"/>
      <c r="CB183"/>
    </row>
    <row r="184" ht="15.0" customHeight="true">
      <c r="A184" s="51" t="s">
        <v>2448</v>
      </c>
      <c r="B184" s="33"/>
      <c r="C184" s="33" t="s">
        <v>3986</v>
      </c>
      <c r="D184" s="33"/>
      <c r="E184" s="33" t="s">
        <v>3987</v>
      </c>
      <c r="F184" s="33"/>
      <c r="G184" s="55" t="s">
        <v>3988</v>
      </c>
      <c r="H184" s="33"/>
      <c r="I184" s="51" t="s">
        <v>3989</v>
      </c>
      <c r="J184" s="33"/>
      <c r="K184" s="51" t="s">
        <v>3990</v>
      </c>
      <c r="L184" s="33" t="s">
        <v>2454</v>
      </c>
      <c r="M184" s="55" t="s">
        <v>3499</v>
      </c>
      <c r="N184" s="55" t="s">
        <v>3991</v>
      </c>
      <c r="O184" s="33" t="s">
        <v>2272</v>
      </c>
      <c r="P184" s="33" t="s">
        <v>2251</v>
      </c>
      <c r="Q184" s="33"/>
      <c r="R184" s="33" t="s">
        <v>2263</v>
      </c>
      <c r="S184" s="56" t="s">
        <v>2277</v>
      </c>
      <c r="T184" s="56"/>
      <c r="U184" s="56"/>
      <c r="V184" s="33" t="s">
        <v>2456</v>
      </c>
      <c r="W184" s="94" t="s">
        <v>2457</v>
      </c>
      <c r="X184" s="94" t="s">
        <v>2458</v>
      </c>
      <c r="Y184" s="51"/>
      <c r="Z184" s="51"/>
      <c r="AA184" s="33" t="s">
        <v>2459</v>
      </c>
      <c r="AB184" s="33" t="s">
        <v>2460</v>
      </c>
      <c r="AC184" s="33"/>
      <c r="AD184" s="33" t="s">
        <v>2254</v>
      </c>
      <c r="AE184" s="33"/>
      <c r="AF184" s="33" t="s">
        <v>2267</v>
      </c>
      <c r="AG184" s="33" t="s">
        <v>2461</v>
      </c>
      <c r="AH184" s="33"/>
      <c r="AI184" s="33"/>
      <c r="AJ184" s="33" t="s">
        <v>3992</v>
      </c>
      <c r="AK184" s="94"/>
      <c r="AL184" s="33" t="s">
        <v>3993</v>
      </c>
      <c r="AM184" s="33"/>
      <c r="AN184" s="33" t="s">
        <v>2588</v>
      </c>
      <c r="AO184" s="51" t="s">
        <v>2911</v>
      </c>
      <c r="AP184" s="51" t="s">
        <v>207</v>
      </c>
      <c r="AQ184" s="33"/>
      <c r="AR184" s="54"/>
      <c r="AS184" s="54"/>
      <c r="AT184" s="54"/>
      <c r="AU184" s="54"/>
      <c r="AV184" s="54"/>
      <c r="AW184" s="54"/>
      <c r="AX184" s="54"/>
      <c r="AY184" s="54"/>
      <c r="AZ184" s="54"/>
      <c r="BA184" s="54"/>
      <c r="BB184" s="54"/>
      <c r="BC184" s="54"/>
      <c r="BD184" s="54" t="s">
        <v>2447</v>
      </c>
      <c r="BE184" s="54"/>
      <c r="BF184" s="54"/>
      <c r="BG184" s="54"/>
      <c r="BH184" s="54"/>
      <c r="BI184" s="54"/>
      <c r="BJ184" s="0"/>
      <c r="BK184" s="0"/>
      <c r="BL184" s="0"/>
      <c r="BM184" s="0"/>
      <c r="BN184" s="0"/>
      <c r="BO184" s="0"/>
      <c r="BP184"/>
      <c r="BQ184"/>
      <c r="BR184"/>
      <c r="BS184"/>
      <c r="BT184"/>
      <c r="BU184"/>
      <c r="BV184"/>
      <c r="BW184"/>
      <c r="BX184"/>
      <c r="BY184"/>
      <c r="BZ184"/>
      <c r="CA184"/>
      <c r="CB184"/>
    </row>
    <row r="185" ht="15.0" customHeight="true">
      <c r="A185" s="51" t="s">
        <v>2448</v>
      </c>
      <c r="B185" s="33"/>
      <c r="C185" s="33" t="s">
        <v>3994</v>
      </c>
      <c r="D185" s="33"/>
      <c r="E185" s="33" t="s">
        <v>3995</v>
      </c>
      <c r="F185" s="33"/>
      <c r="G185" s="55" t="s">
        <v>3996</v>
      </c>
      <c r="H185" s="33"/>
      <c r="I185" s="51" t="s">
        <v>3997</v>
      </c>
      <c r="J185" s="33"/>
      <c r="K185" s="51" t="s">
        <v>3998</v>
      </c>
      <c r="L185" s="33" t="s">
        <v>2454</v>
      </c>
      <c r="M185" s="55" t="s">
        <v>3999</v>
      </c>
      <c r="N185" s="55" t="s">
        <v>3935</v>
      </c>
      <c r="O185" s="33" t="s">
        <v>2272</v>
      </c>
      <c r="P185" s="33" t="s">
        <v>2251</v>
      </c>
      <c r="Q185" s="33"/>
      <c r="R185" s="33" t="s">
        <v>2263</v>
      </c>
      <c r="S185" s="56" t="s">
        <v>2277</v>
      </c>
      <c r="T185" s="56"/>
      <c r="U185" s="56"/>
      <c r="V185" s="33" t="s">
        <v>2456</v>
      </c>
      <c r="W185" s="94" t="s">
        <v>2457</v>
      </c>
      <c r="X185" s="94" t="s">
        <v>2458</v>
      </c>
      <c r="Y185" s="51"/>
      <c r="Z185" s="51"/>
      <c r="AA185" s="33" t="s">
        <v>2459</v>
      </c>
      <c r="AB185" s="33" t="s">
        <v>2460</v>
      </c>
      <c r="AC185" s="33"/>
      <c r="AD185" s="33" t="s">
        <v>2254</v>
      </c>
      <c r="AE185" s="33"/>
      <c r="AF185" s="33" t="s">
        <v>2267</v>
      </c>
      <c r="AG185" s="33" t="s">
        <v>2461</v>
      </c>
      <c r="AH185" s="33"/>
      <c r="AI185" s="33"/>
      <c r="AJ185" s="33" t="s">
        <v>4000</v>
      </c>
      <c r="AK185" s="94"/>
      <c r="AL185" s="33" t="s">
        <v>4001</v>
      </c>
      <c r="AM185" s="33" t="s">
        <v>4002</v>
      </c>
      <c r="AN185" s="33" t="s">
        <v>4003</v>
      </c>
      <c r="AO185" s="51" t="s">
        <v>4004</v>
      </c>
      <c r="AP185" s="51" t="s">
        <v>207</v>
      </c>
      <c r="AQ185" s="33"/>
      <c r="AR185" s="54"/>
      <c r="AS185" s="54"/>
      <c r="AT185" s="54"/>
      <c r="AU185" s="54"/>
      <c r="AV185" s="54"/>
      <c r="AW185" s="54"/>
      <c r="AX185" s="54"/>
      <c r="AY185" s="54"/>
      <c r="AZ185" s="54"/>
      <c r="BA185" s="54"/>
      <c r="BB185" s="54"/>
      <c r="BC185" s="54"/>
      <c r="BD185" s="54" t="s">
        <v>2447</v>
      </c>
      <c r="BE185" s="54"/>
      <c r="BF185" s="54"/>
      <c r="BG185" s="54"/>
      <c r="BH185" s="54"/>
      <c r="BI185" s="54"/>
      <c r="BJ185" s="0"/>
      <c r="BK185" s="0"/>
      <c r="BL185" s="0"/>
      <c r="BM185" s="0"/>
      <c r="BN185" s="0"/>
      <c r="BO185" s="0"/>
      <c r="BP185"/>
      <c r="BQ185"/>
      <c r="BR185"/>
      <c r="BS185"/>
      <c r="BT185"/>
      <c r="BU185"/>
      <c r="BV185"/>
      <c r="BW185"/>
      <c r="BX185"/>
      <c r="BY185"/>
      <c r="BZ185"/>
      <c r="CA185"/>
      <c r="CB185"/>
    </row>
    <row r="186" ht="15.0" customHeight="true">
      <c r="A186" s="51" t="s">
        <v>2448</v>
      </c>
      <c r="B186" s="33"/>
      <c r="C186" s="33" t="s">
        <v>4005</v>
      </c>
      <c r="D186" s="33"/>
      <c r="E186" s="33" t="s">
        <v>4006</v>
      </c>
      <c r="F186" s="33"/>
      <c r="G186" s="55" t="s">
        <v>4007</v>
      </c>
      <c r="H186" s="33"/>
      <c r="I186" s="51" t="s">
        <v>4008</v>
      </c>
      <c r="J186" s="33"/>
      <c r="K186" s="51" t="s">
        <v>4009</v>
      </c>
      <c r="L186" s="33" t="s">
        <v>2454</v>
      </c>
      <c r="M186" s="55" t="s">
        <v>4010</v>
      </c>
      <c r="N186" s="55" t="s">
        <v>2937</v>
      </c>
      <c r="O186" s="33" t="s">
        <v>2272</v>
      </c>
      <c r="P186" s="33" t="s">
        <v>2251</v>
      </c>
      <c r="Q186" s="33"/>
      <c r="R186" s="33" t="s">
        <v>2263</v>
      </c>
      <c r="S186" s="56" t="s">
        <v>2277</v>
      </c>
      <c r="T186" s="56"/>
      <c r="U186" s="56"/>
      <c r="V186" s="33" t="s">
        <v>2456</v>
      </c>
      <c r="W186" s="94" t="s">
        <v>2457</v>
      </c>
      <c r="X186" s="94" t="s">
        <v>2474</v>
      </c>
      <c r="Y186" s="51"/>
      <c r="Z186" s="51"/>
      <c r="AA186" s="33" t="s">
        <v>2459</v>
      </c>
      <c r="AB186" s="33" t="s">
        <v>2460</v>
      </c>
      <c r="AC186" s="33"/>
      <c r="AD186" s="33" t="s">
        <v>2254</v>
      </c>
      <c r="AE186" s="33"/>
      <c r="AF186" s="33" t="s">
        <v>2267</v>
      </c>
      <c r="AG186" s="33" t="s">
        <v>2461</v>
      </c>
      <c r="AH186" s="33"/>
      <c r="AI186" s="33"/>
      <c r="AJ186" s="33" t="s">
        <v>4011</v>
      </c>
      <c r="AK186" s="94"/>
      <c r="AL186" s="33" t="s">
        <v>4012</v>
      </c>
      <c r="AM186" s="33" t="s">
        <v>4013</v>
      </c>
      <c r="AN186" s="33" t="s">
        <v>2465</v>
      </c>
      <c r="AO186" s="51" t="s">
        <v>2548</v>
      </c>
      <c r="AP186" s="51" t="s">
        <v>207</v>
      </c>
      <c r="AQ186" s="33"/>
      <c r="AR186" s="54"/>
      <c r="AS186" s="54"/>
      <c r="AT186" s="54"/>
      <c r="AU186" s="54"/>
      <c r="AV186" s="54"/>
      <c r="AW186" s="54"/>
      <c r="AX186" s="54"/>
      <c r="AY186" s="54"/>
      <c r="AZ186" s="54"/>
      <c r="BA186" s="54"/>
      <c r="BB186" s="54"/>
      <c r="BC186" s="54"/>
      <c r="BD186" s="54" t="s">
        <v>2447</v>
      </c>
      <c r="BE186" s="54"/>
      <c r="BF186" s="54"/>
      <c r="BG186" s="54"/>
      <c r="BH186" s="54"/>
      <c r="BI186" s="54"/>
      <c r="BJ186" s="0"/>
      <c r="BK186" s="0"/>
      <c r="BL186" s="0"/>
      <c r="BM186" s="0"/>
      <c r="BN186" s="0"/>
      <c r="BO186" s="0"/>
      <c r="BP186"/>
      <c r="BQ186"/>
      <c r="BR186"/>
      <c r="BS186"/>
      <c r="BT186"/>
      <c r="BU186"/>
      <c r="BV186"/>
      <c r="BW186"/>
      <c r="BX186"/>
      <c r="BY186"/>
      <c r="BZ186"/>
      <c r="CA186"/>
      <c r="CB186"/>
    </row>
    <row r="187" ht="15.0" customHeight="true">
      <c r="A187" s="51" t="s">
        <v>2448</v>
      </c>
      <c r="B187" s="33"/>
      <c r="C187" s="33" t="s">
        <v>4014</v>
      </c>
      <c r="D187" s="33"/>
      <c r="E187" s="33" t="s">
        <v>4015</v>
      </c>
      <c r="F187" s="33"/>
      <c r="G187" s="55" t="s">
        <v>4016</v>
      </c>
      <c r="H187" s="33"/>
      <c r="I187" s="51" t="s">
        <v>4017</v>
      </c>
      <c r="J187" s="33"/>
      <c r="K187" s="51" t="s">
        <v>4018</v>
      </c>
      <c r="L187" s="33" t="s">
        <v>2484</v>
      </c>
      <c r="M187" s="55" t="s">
        <v>3175</v>
      </c>
      <c r="N187" s="55"/>
      <c r="O187" s="33"/>
      <c r="P187" s="33" t="s">
        <v>2251</v>
      </c>
      <c r="Q187" s="33"/>
      <c r="R187" s="33" t="s">
        <v>2263</v>
      </c>
      <c r="S187" s="56" t="s">
        <v>2277</v>
      </c>
      <c r="T187" s="56"/>
      <c r="U187" s="56"/>
      <c r="V187" s="33" t="s">
        <v>2456</v>
      </c>
      <c r="W187" s="94" t="s">
        <v>2457</v>
      </c>
      <c r="X187" s="94" t="s">
        <v>2474</v>
      </c>
      <c r="Y187" s="51"/>
      <c r="Z187" s="51"/>
      <c r="AA187" s="33" t="s">
        <v>2459</v>
      </c>
      <c r="AB187" s="33" t="s">
        <v>2460</v>
      </c>
      <c r="AC187" s="33" t="s">
        <v>2486</v>
      </c>
      <c r="AD187" s="33" t="s">
        <v>2254</v>
      </c>
      <c r="AE187" s="33"/>
      <c r="AF187" s="33" t="s">
        <v>2267</v>
      </c>
      <c r="AG187" s="33" t="s">
        <v>2461</v>
      </c>
      <c r="AH187" s="33"/>
      <c r="AI187" s="33"/>
      <c r="AJ187" s="33" t="s">
        <v>4019</v>
      </c>
      <c r="AK187" s="94"/>
      <c r="AL187" s="33" t="s">
        <v>4020</v>
      </c>
      <c r="AM187" s="33"/>
      <c r="AN187" s="33" t="s">
        <v>2465</v>
      </c>
      <c r="AO187" s="51" t="s">
        <v>2489</v>
      </c>
      <c r="AP187" s="51" t="s">
        <v>207</v>
      </c>
      <c r="AQ187" s="33"/>
      <c r="AR187" s="54"/>
      <c r="AS187" s="54"/>
      <c r="AT187" s="54"/>
      <c r="AU187" s="54"/>
      <c r="AV187" s="54"/>
      <c r="AW187" s="54"/>
      <c r="AX187" s="54"/>
      <c r="AY187" s="54"/>
      <c r="AZ187" s="54"/>
      <c r="BA187" s="54"/>
      <c r="BB187" s="54"/>
      <c r="BC187" s="54"/>
      <c r="BD187" s="54" t="s">
        <v>2447</v>
      </c>
      <c r="BE187" s="54"/>
      <c r="BF187" s="54"/>
      <c r="BG187" s="54"/>
      <c r="BH187" s="54"/>
      <c r="BI187" s="54"/>
      <c r="BJ187" s="0"/>
      <c r="BK187" s="0"/>
      <c r="BL187" s="0"/>
      <c r="BM187" s="0"/>
      <c r="BN187" s="0"/>
      <c r="BO187" s="0"/>
      <c r="BP187"/>
      <c r="BQ187"/>
      <c r="BR187"/>
      <c r="BS187"/>
      <c r="BT187"/>
      <c r="BU187"/>
      <c r="BV187"/>
      <c r="BW187"/>
      <c r="BX187"/>
      <c r="BY187"/>
      <c r="BZ187"/>
      <c r="CA187"/>
      <c r="CB187"/>
    </row>
    <row r="188" ht="15.0" customHeight="true">
      <c r="A188" s="51" t="s">
        <v>2448</v>
      </c>
      <c r="B188" s="33"/>
      <c r="C188" s="33" t="s">
        <v>4021</v>
      </c>
      <c r="D188" s="33"/>
      <c r="E188" s="33" t="s">
        <v>4022</v>
      </c>
      <c r="F188" s="33"/>
      <c r="G188" s="55" t="s">
        <v>4023</v>
      </c>
      <c r="H188" s="33"/>
      <c r="I188" s="51" t="s">
        <v>4024</v>
      </c>
      <c r="J188" s="33"/>
      <c r="K188" s="51" t="s">
        <v>4025</v>
      </c>
      <c r="L188" s="33" t="s">
        <v>2454</v>
      </c>
      <c r="M188" s="55" t="s">
        <v>2868</v>
      </c>
      <c r="N188" s="55" t="s">
        <v>2868</v>
      </c>
      <c r="O188" s="33" t="s">
        <v>2272</v>
      </c>
      <c r="P188" s="33" t="s">
        <v>2251</v>
      </c>
      <c r="Q188" s="33"/>
      <c r="R188" s="33" t="s">
        <v>2263</v>
      </c>
      <c r="S188" s="56" t="s">
        <v>2277</v>
      </c>
      <c r="T188" s="56"/>
      <c r="U188" s="56"/>
      <c r="V188" s="33" t="s">
        <v>2456</v>
      </c>
      <c r="W188" s="94" t="s">
        <v>2457</v>
      </c>
      <c r="X188" s="94" t="s">
        <v>2458</v>
      </c>
      <c r="Y188" s="51"/>
      <c r="Z188" s="51"/>
      <c r="AA188" s="33" t="s">
        <v>2459</v>
      </c>
      <c r="AB188" s="33" t="s">
        <v>2460</v>
      </c>
      <c r="AC188" s="33"/>
      <c r="AD188" s="33" t="s">
        <v>2254</v>
      </c>
      <c r="AE188" s="33"/>
      <c r="AF188" s="33" t="s">
        <v>2267</v>
      </c>
      <c r="AG188" s="33" t="s">
        <v>2461</v>
      </c>
      <c r="AH188" s="33"/>
      <c r="AI188" s="33"/>
      <c r="AJ188" s="33" t="s">
        <v>4026</v>
      </c>
      <c r="AK188" s="94"/>
      <c r="AL188" s="33" t="s">
        <v>4027</v>
      </c>
      <c r="AM188" s="33" t="s">
        <v>4028</v>
      </c>
      <c r="AN188" s="33" t="s">
        <v>4029</v>
      </c>
      <c r="AO188" s="51" t="s">
        <v>4030</v>
      </c>
      <c r="AP188" s="51" t="s">
        <v>207</v>
      </c>
      <c r="AQ188" s="33"/>
      <c r="AR188" s="54"/>
      <c r="AS188" s="54"/>
      <c r="AT188" s="54"/>
      <c r="AU188" s="54"/>
      <c r="AV188" s="54"/>
      <c r="AW188" s="54"/>
      <c r="AX188" s="54"/>
      <c r="AY188" s="54"/>
      <c r="AZ188" s="54"/>
      <c r="BA188" s="54"/>
      <c r="BB188" s="54"/>
      <c r="BC188" s="54"/>
      <c r="BD188" s="54" t="s">
        <v>2447</v>
      </c>
      <c r="BE188" s="54"/>
      <c r="BF188" s="54"/>
      <c r="BG188" s="54"/>
      <c r="BH188" s="54"/>
      <c r="BI188" s="54"/>
      <c r="BJ188" s="0"/>
      <c r="BK188" s="0"/>
      <c r="BL188" s="0"/>
      <c r="BM188" s="0"/>
      <c r="BN188" s="0"/>
      <c r="BO188" s="0"/>
      <c r="BP188"/>
      <c r="BQ188"/>
      <c r="BR188"/>
      <c r="BS188"/>
      <c r="BT188"/>
      <c r="BU188"/>
      <c r="BV188"/>
      <c r="BW188"/>
      <c r="BX188"/>
      <c r="BY188"/>
      <c r="BZ188"/>
      <c r="CA188"/>
      <c r="CB188"/>
    </row>
    <row r="189" ht="15.0" customHeight="true">
      <c r="A189" s="51" t="s">
        <v>2448</v>
      </c>
      <c r="B189" s="33"/>
      <c r="C189" s="33" t="s">
        <v>4031</v>
      </c>
      <c r="D189" s="33"/>
      <c r="E189" s="33" t="s">
        <v>4032</v>
      </c>
      <c r="F189" s="33"/>
      <c r="G189" s="55" t="s">
        <v>4033</v>
      </c>
      <c r="H189" s="33"/>
      <c r="I189" s="51" t="s">
        <v>4034</v>
      </c>
      <c r="J189" s="33"/>
      <c r="K189" s="51" t="s">
        <v>4035</v>
      </c>
      <c r="L189" s="33" t="s">
        <v>2454</v>
      </c>
      <c r="M189" s="55" t="s">
        <v>4036</v>
      </c>
      <c r="N189" s="55" t="s">
        <v>4037</v>
      </c>
      <c r="O189" s="33" t="s">
        <v>2272</v>
      </c>
      <c r="P189" s="33" t="s">
        <v>2251</v>
      </c>
      <c r="Q189" s="33"/>
      <c r="R189" s="33" t="s">
        <v>2263</v>
      </c>
      <c r="S189" s="56" t="s">
        <v>2277</v>
      </c>
      <c r="T189" s="56"/>
      <c r="U189" s="56"/>
      <c r="V189" s="33" t="s">
        <v>2456</v>
      </c>
      <c r="W189" s="94" t="s">
        <v>2457</v>
      </c>
      <c r="X189" s="94" t="s">
        <v>2474</v>
      </c>
      <c r="Y189" s="51"/>
      <c r="Z189" s="51"/>
      <c r="AA189" s="33" t="s">
        <v>2459</v>
      </c>
      <c r="AB189" s="33" t="s">
        <v>2460</v>
      </c>
      <c r="AC189" s="33"/>
      <c r="AD189" s="33" t="s">
        <v>2254</v>
      </c>
      <c r="AE189" s="33"/>
      <c r="AF189" s="33" t="s">
        <v>2267</v>
      </c>
      <c r="AG189" s="33" t="s">
        <v>2461</v>
      </c>
      <c r="AH189" s="33"/>
      <c r="AI189" s="33"/>
      <c r="AJ189" s="33" t="s">
        <v>4038</v>
      </c>
      <c r="AK189" s="94"/>
      <c r="AL189" s="33" t="s">
        <v>4039</v>
      </c>
      <c r="AM189" s="33"/>
      <c r="AN189" s="33" t="s">
        <v>2465</v>
      </c>
      <c r="AO189" s="51" t="s">
        <v>2489</v>
      </c>
      <c r="AP189" s="51" t="s">
        <v>207</v>
      </c>
      <c r="AQ189" s="33"/>
      <c r="AR189" s="54"/>
      <c r="AS189" s="54"/>
      <c r="AT189" s="54"/>
      <c r="AU189" s="54"/>
      <c r="AV189" s="54"/>
      <c r="AW189" s="54"/>
      <c r="AX189" s="54"/>
      <c r="AY189" s="54"/>
      <c r="AZ189" s="54"/>
      <c r="BA189" s="54"/>
      <c r="BB189" s="54"/>
      <c r="BC189" s="54"/>
      <c r="BD189" s="54" t="s">
        <v>2447</v>
      </c>
      <c r="BE189" s="54"/>
      <c r="BF189" s="54"/>
      <c r="BG189" s="54"/>
      <c r="BH189" s="54"/>
      <c r="BI189" s="54"/>
      <c r="BJ189" s="0"/>
      <c r="BK189" s="0"/>
      <c r="BL189" s="0"/>
      <c r="BM189" s="0"/>
      <c r="BN189" s="0"/>
      <c r="BO189" s="0"/>
      <c r="BP189"/>
      <c r="BQ189"/>
      <c r="BR189"/>
      <c r="BS189"/>
      <c r="BT189"/>
      <c r="BU189"/>
      <c r="BV189"/>
      <c r="BW189"/>
      <c r="BX189"/>
      <c r="BY189"/>
      <c r="BZ189"/>
      <c r="CA189"/>
      <c r="CB189"/>
    </row>
    <row r="190" ht="15.0" customHeight="true">
      <c r="A190" s="51" t="s">
        <v>2448</v>
      </c>
      <c r="B190" s="33"/>
      <c r="C190" s="33" t="s">
        <v>4040</v>
      </c>
      <c r="D190" s="33"/>
      <c r="E190" s="33" t="s">
        <v>4041</v>
      </c>
      <c r="F190" s="33"/>
      <c r="G190" s="55" t="s">
        <v>4042</v>
      </c>
      <c r="H190" s="33"/>
      <c r="I190" s="51" t="s">
        <v>4043</v>
      </c>
      <c r="J190" s="33"/>
      <c r="K190" s="51" t="s">
        <v>4044</v>
      </c>
      <c r="L190" s="33" t="s">
        <v>2484</v>
      </c>
      <c r="M190" s="55" t="s">
        <v>2936</v>
      </c>
      <c r="N190" s="55"/>
      <c r="O190" s="33"/>
      <c r="P190" s="33" t="s">
        <v>2251</v>
      </c>
      <c r="Q190" s="33"/>
      <c r="R190" s="33" t="s">
        <v>2263</v>
      </c>
      <c r="S190" s="56" t="s">
        <v>2277</v>
      </c>
      <c r="T190" s="56"/>
      <c r="U190" s="56"/>
      <c r="V190" s="33" t="s">
        <v>2456</v>
      </c>
      <c r="W190" s="94" t="s">
        <v>2457</v>
      </c>
      <c r="X190" s="94" t="s">
        <v>2474</v>
      </c>
      <c r="Y190" s="51"/>
      <c r="Z190" s="51"/>
      <c r="AA190" s="33" t="s">
        <v>2459</v>
      </c>
      <c r="AB190" s="33" t="s">
        <v>2460</v>
      </c>
      <c r="AC190" s="33" t="s">
        <v>2486</v>
      </c>
      <c r="AD190" s="33" t="s">
        <v>2254</v>
      </c>
      <c r="AE190" s="33"/>
      <c r="AF190" s="33" t="s">
        <v>2267</v>
      </c>
      <c r="AG190" s="33" t="s">
        <v>2461</v>
      </c>
      <c r="AH190" s="33"/>
      <c r="AI190" s="33"/>
      <c r="AJ190" s="33" t="s">
        <v>4045</v>
      </c>
      <c r="AK190" s="94"/>
      <c r="AL190" s="33" t="s">
        <v>4046</v>
      </c>
      <c r="AM190" s="33"/>
      <c r="AN190" s="33" t="s">
        <v>2588</v>
      </c>
      <c r="AO190" s="51" t="s">
        <v>2628</v>
      </c>
      <c r="AP190" s="51" t="s">
        <v>207</v>
      </c>
      <c r="AQ190" s="33"/>
      <c r="AR190" s="54"/>
      <c r="AS190" s="54"/>
      <c r="AT190" s="54"/>
      <c r="AU190" s="54"/>
      <c r="AV190" s="54"/>
      <c r="AW190" s="54"/>
      <c r="AX190" s="54"/>
      <c r="AY190" s="54"/>
      <c r="AZ190" s="54"/>
      <c r="BA190" s="54"/>
      <c r="BB190" s="54"/>
      <c r="BC190" s="54"/>
      <c r="BD190" s="54" t="s">
        <v>2447</v>
      </c>
      <c r="BE190" s="54"/>
      <c r="BF190" s="54"/>
      <c r="BG190" s="54"/>
      <c r="BH190" s="54"/>
      <c r="BI190" s="54"/>
      <c r="BJ190" s="0"/>
      <c r="BK190" s="0"/>
      <c r="BL190" s="0"/>
      <c r="BM190" s="0"/>
      <c r="BN190" s="0"/>
      <c r="BO190" s="0"/>
      <c r="BP190"/>
      <c r="BQ190"/>
      <c r="BR190"/>
      <c r="BS190"/>
      <c r="BT190"/>
      <c r="BU190"/>
      <c r="BV190"/>
      <c r="BW190"/>
      <c r="BX190"/>
      <c r="BY190"/>
      <c r="BZ190"/>
      <c r="CA190"/>
      <c r="CB190"/>
    </row>
    <row r="191" ht="15.0" customHeight="true">
      <c r="A191" s="51" t="s">
        <v>2448</v>
      </c>
      <c r="B191" s="33"/>
      <c r="C191" s="33" t="s">
        <v>2666</v>
      </c>
      <c r="D191" s="33"/>
      <c r="E191" s="33" t="s">
        <v>4047</v>
      </c>
      <c r="F191" s="33"/>
      <c r="G191" s="55" t="s">
        <v>4048</v>
      </c>
      <c r="H191" s="33"/>
      <c r="I191" s="51" t="s">
        <v>4049</v>
      </c>
      <c r="J191" s="33"/>
      <c r="K191" s="51" t="s">
        <v>4050</v>
      </c>
      <c r="L191" s="33" t="s">
        <v>2454</v>
      </c>
      <c r="M191" s="55" t="s">
        <v>2717</v>
      </c>
      <c r="N191" s="55" t="s">
        <v>3880</v>
      </c>
      <c r="O191" s="33" t="s">
        <v>2272</v>
      </c>
      <c r="P191" s="33" t="s">
        <v>2251</v>
      </c>
      <c r="Q191" s="33"/>
      <c r="R191" s="33" t="s">
        <v>2263</v>
      </c>
      <c r="S191" s="56" t="s">
        <v>2277</v>
      </c>
      <c r="T191" s="56"/>
      <c r="U191" s="56"/>
      <c r="V191" s="33" t="s">
        <v>2456</v>
      </c>
      <c r="W191" s="94" t="s">
        <v>2457</v>
      </c>
      <c r="X191" s="94" t="s">
        <v>2458</v>
      </c>
      <c r="Y191" s="51"/>
      <c r="Z191" s="51"/>
      <c r="AA191" s="33" t="s">
        <v>2459</v>
      </c>
      <c r="AB191" s="33" t="s">
        <v>2460</v>
      </c>
      <c r="AC191" s="33"/>
      <c r="AD191" s="33" t="s">
        <v>2254</v>
      </c>
      <c r="AE191" s="33"/>
      <c r="AF191" s="33" t="s">
        <v>2267</v>
      </c>
      <c r="AG191" s="33" t="s">
        <v>2461</v>
      </c>
      <c r="AH191" s="33"/>
      <c r="AI191" s="33"/>
      <c r="AJ191" s="33" t="s">
        <v>4051</v>
      </c>
      <c r="AK191" s="94"/>
      <c r="AL191" s="33" t="s">
        <v>4052</v>
      </c>
      <c r="AM191" s="33" t="s">
        <v>4053</v>
      </c>
      <c r="AN191" s="33" t="s">
        <v>2465</v>
      </c>
      <c r="AO191" s="51" t="s">
        <v>2548</v>
      </c>
      <c r="AP191" s="51" t="s">
        <v>207</v>
      </c>
      <c r="AQ191" s="33"/>
      <c r="AR191" s="54"/>
      <c r="AS191" s="54"/>
      <c r="AT191" s="54"/>
      <c r="AU191" s="54"/>
      <c r="AV191" s="54"/>
      <c r="AW191" s="54"/>
      <c r="AX191" s="54"/>
      <c r="AY191" s="54"/>
      <c r="AZ191" s="54"/>
      <c r="BA191" s="54"/>
      <c r="BB191" s="54"/>
      <c r="BC191" s="54"/>
      <c r="BD191" s="54" t="s">
        <v>2447</v>
      </c>
      <c r="BE191" s="54"/>
      <c r="BF191" s="54"/>
      <c r="BG191" s="54"/>
      <c r="BH191" s="54"/>
      <c r="BI191" s="54"/>
      <c r="BJ191" s="0"/>
      <c r="BK191" s="0"/>
      <c r="BL191" s="0"/>
      <c r="BM191" s="0"/>
      <c r="BN191" s="0"/>
      <c r="BO191" s="0"/>
      <c r="BP191"/>
      <c r="BQ191"/>
      <c r="BR191"/>
      <c r="BS191"/>
      <c r="BT191"/>
      <c r="BU191"/>
      <c r="BV191"/>
      <c r="BW191"/>
      <c r="BX191"/>
      <c r="BY191"/>
      <c r="BZ191"/>
      <c r="CA191"/>
      <c r="CB191"/>
    </row>
    <row r="192" ht="15.0" customHeight="true">
      <c r="A192" s="51" t="s">
        <v>2448</v>
      </c>
      <c r="B192" s="33"/>
      <c r="C192" s="33" t="s">
        <v>4054</v>
      </c>
      <c r="D192" s="33"/>
      <c r="E192" s="33" t="s">
        <v>2879</v>
      </c>
      <c r="F192" s="33"/>
      <c r="G192" s="55" t="s">
        <v>4055</v>
      </c>
      <c r="H192" s="33"/>
      <c r="I192" s="51" t="s">
        <v>4056</v>
      </c>
      <c r="J192" s="33"/>
      <c r="K192" s="51" t="s">
        <v>4057</v>
      </c>
      <c r="L192" s="33" t="s">
        <v>2454</v>
      </c>
      <c r="M192" s="55" t="s">
        <v>3186</v>
      </c>
      <c r="N192" s="55" t="s">
        <v>2937</v>
      </c>
      <c r="O192" s="33" t="s">
        <v>2272</v>
      </c>
      <c r="P192" s="33" t="s">
        <v>2251</v>
      </c>
      <c r="Q192" s="33"/>
      <c r="R192" s="33" t="s">
        <v>2263</v>
      </c>
      <c r="S192" s="56" t="s">
        <v>2277</v>
      </c>
      <c r="T192" s="56"/>
      <c r="U192" s="56"/>
      <c r="V192" s="33" t="s">
        <v>2456</v>
      </c>
      <c r="W192" s="94" t="s">
        <v>2457</v>
      </c>
      <c r="X192" s="94" t="s">
        <v>2474</v>
      </c>
      <c r="Y192" s="51"/>
      <c r="Z192" s="51"/>
      <c r="AA192" s="33" t="s">
        <v>2459</v>
      </c>
      <c r="AB192" s="33" t="s">
        <v>2460</v>
      </c>
      <c r="AC192" s="33"/>
      <c r="AD192" s="33" t="s">
        <v>2254</v>
      </c>
      <c r="AE192" s="33"/>
      <c r="AF192" s="33" t="s">
        <v>2267</v>
      </c>
      <c r="AG192" s="33" t="s">
        <v>2461</v>
      </c>
      <c r="AH192" s="33"/>
      <c r="AI192" s="33"/>
      <c r="AJ192" s="33" t="s">
        <v>4058</v>
      </c>
      <c r="AK192" s="94"/>
      <c r="AL192" s="33" t="s">
        <v>4059</v>
      </c>
      <c r="AM192" s="33" t="s">
        <v>4060</v>
      </c>
      <c r="AN192" s="33" t="s">
        <v>2465</v>
      </c>
      <c r="AO192" s="51" t="s">
        <v>2489</v>
      </c>
      <c r="AP192" s="51" t="s">
        <v>207</v>
      </c>
      <c r="AQ192" s="33"/>
      <c r="AR192" s="54"/>
      <c r="AS192" s="54"/>
      <c r="AT192" s="54"/>
      <c r="AU192" s="54"/>
      <c r="AV192" s="54"/>
      <c r="AW192" s="54"/>
      <c r="AX192" s="54"/>
      <c r="AY192" s="54"/>
      <c r="AZ192" s="54"/>
      <c r="BA192" s="54"/>
      <c r="BB192" s="54"/>
      <c r="BC192" s="54"/>
      <c r="BD192" s="54" t="s">
        <v>2447</v>
      </c>
      <c r="BE192" s="54"/>
      <c r="BF192" s="54"/>
      <c r="BG192" s="54"/>
      <c r="BH192" s="54"/>
      <c r="BI192" s="54"/>
      <c r="BJ192" s="0"/>
      <c r="BK192" s="0"/>
      <c r="BL192" s="0"/>
      <c r="BM192" s="0"/>
      <c r="BN192" s="0"/>
      <c r="BO192" s="0"/>
      <c r="BP192"/>
      <c r="BQ192"/>
      <c r="BR192"/>
      <c r="BS192"/>
      <c r="BT192"/>
      <c r="BU192"/>
      <c r="BV192"/>
      <c r="BW192"/>
      <c r="BX192"/>
      <c r="BY192"/>
      <c r="BZ192"/>
      <c r="CA192"/>
      <c r="CB192"/>
    </row>
    <row r="193" ht="15.0" customHeight="true">
      <c r="A193" s="51" t="s">
        <v>2448</v>
      </c>
      <c r="B193" s="33"/>
      <c r="C193" s="33" t="s">
        <v>3131</v>
      </c>
      <c r="D193" s="33"/>
      <c r="E193" s="33" t="s">
        <v>4061</v>
      </c>
      <c r="F193" s="33"/>
      <c r="G193" s="55" t="s">
        <v>4062</v>
      </c>
      <c r="H193" s="33"/>
      <c r="I193" s="51" t="s">
        <v>4063</v>
      </c>
      <c r="J193" s="33"/>
      <c r="K193" s="51" t="s">
        <v>4064</v>
      </c>
      <c r="L193" s="33" t="s">
        <v>2454</v>
      </c>
      <c r="M193" s="55" t="s">
        <v>3616</v>
      </c>
      <c r="N193" s="55" t="s">
        <v>4065</v>
      </c>
      <c r="O193" s="33" t="s">
        <v>2272</v>
      </c>
      <c r="P193" s="33" t="s">
        <v>2251</v>
      </c>
      <c r="Q193" s="33"/>
      <c r="R193" s="33" t="s">
        <v>2263</v>
      </c>
      <c r="S193" s="56" t="s">
        <v>2277</v>
      </c>
      <c r="T193" s="56"/>
      <c r="U193" s="56"/>
      <c r="V193" s="33" t="s">
        <v>2456</v>
      </c>
      <c r="W193" s="94" t="s">
        <v>2457</v>
      </c>
      <c r="X193" s="94" t="s">
        <v>2458</v>
      </c>
      <c r="Y193" s="51"/>
      <c r="Z193" s="51"/>
      <c r="AA193" s="33" t="s">
        <v>2459</v>
      </c>
      <c r="AB193" s="33" t="s">
        <v>2460</v>
      </c>
      <c r="AC193" s="33"/>
      <c r="AD193" s="33" t="s">
        <v>2254</v>
      </c>
      <c r="AE193" s="33"/>
      <c r="AF193" s="33" t="s">
        <v>2267</v>
      </c>
      <c r="AG193" s="33" t="s">
        <v>2461</v>
      </c>
      <c r="AH193" s="33"/>
      <c r="AI193" s="33"/>
      <c r="AJ193" s="33" t="s">
        <v>4066</v>
      </c>
      <c r="AK193" s="94"/>
      <c r="AL193" s="33" t="s">
        <v>4067</v>
      </c>
      <c r="AM193" s="33"/>
      <c r="AN193" s="33" t="s">
        <v>4068</v>
      </c>
      <c r="AO193" s="51" t="s">
        <v>4069</v>
      </c>
      <c r="AP193" s="51" t="s">
        <v>207</v>
      </c>
      <c r="AQ193" s="33"/>
      <c r="AR193" s="54"/>
      <c r="AS193" s="54"/>
      <c r="AT193" s="54"/>
      <c r="AU193" s="54"/>
      <c r="AV193" s="54"/>
      <c r="AW193" s="54"/>
      <c r="AX193" s="54"/>
      <c r="AY193" s="54"/>
      <c r="AZ193" s="54"/>
      <c r="BA193" s="54"/>
      <c r="BB193" s="54"/>
      <c r="BC193" s="54"/>
      <c r="BD193" s="54" t="s">
        <v>2447</v>
      </c>
      <c r="BE193" s="54"/>
      <c r="BF193" s="54"/>
      <c r="BG193" s="54"/>
      <c r="BH193" s="54"/>
      <c r="BI193" s="54"/>
      <c r="BJ193" s="0"/>
      <c r="BK193" s="0"/>
      <c r="BL193" s="0"/>
      <c r="BM193" s="0"/>
      <c r="BN193" s="0"/>
      <c r="BO193" s="0"/>
      <c r="BP193"/>
      <c r="BQ193"/>
      <c r="BR193"/>
      <c r="BS193"/>
      <c r="BT193"/>
      <c r="BU193"/>
      <c r="BV193"/>
      <c r="BW193"/>
      <c r="BX193"/>
      <c r="BY193"/>
      <c r="BZ193"/>
      <c r="CA193"/>
      <c r="CB193"/>
    </row>
    <row r="194" ht="15.0" customHeight="true">
      <c r="A194" s="51" t="s">
        <v>2448</v>
      </c>
      <c r="B194" s="33"/>
      <c r="C194" s="33" t="s">
        <v>4014</v>
      </c>
      <c r="D194" s="33"/>
      <c r="E194" s="33" t="s">
        <v>4070</v>
      </c>
      <c r="F194" s="33"/>
      <c r="G194" s="55" t="s">
        <v>4071</v>
      </c>
      <c r="H194" s="33"/>
      <c r="I194" s="51" t="s">
        <v>4072</v>
      </c>
      <c r="J194" s="33"/>
      <c r="K194" s="51" t="s">
        <v>4073</v>
      </c>
      <c r="L194" s="33" t="s">
        <v>2454</v>
      </c>
      <c r="M194" s="55" t="s">
        <v>2985</v>
      </c>
      <c r="N194" s="55" t="s">
        <v>2708</v>
      </c>
      <c r="O194" s="33" t="s">
        <v>2272</v>
      </c>
      <c r="P194" s="33" t="s">
        <v>2251</v>
      </c>
      <c r="Q194" s="33"/>
      <c r="R194" s="33" t="s">
        <v>2263</v>
      </c>
      <c r="S194" s="56" t="s">
        <v>2277</v>
      </c>
      <c r="T194" s="56"/>
      <c r="U194" s="56"/>
      <c r="V194" s="33" t="s">
        <v>2456</v>
      </c>
      <c r="W194" s="94" t="s">
        <v>2457</v>
      </c>
      <c r="X194" s="94" t="s">
        <v>2474</v>
      </c>
      <c r="Y194" s="51"/>
      <c r="Z194" s="51"/>
      <c r="AA194" s="33" t="s">
        <v>2459</v>
      </c>
      <c r="AB194" s="33" t="s">
        <v>2460</v>
      </c>
      <c r="AC194" s="33"/>
      <c r="AD194" s="33" t="s">
        <v>2254</v>
      </c>
      <c r="AE194" s="33"/>
      <c r="AF194" s="33" t="s">
        <v>2267</v>
      </c>
      <c r="AG194" s="33" t="s">
        <v>2461</v>
      </c>
      <c r="AH194" s="33"/>
      <c r="AI194" s="33"/>
      <c r="AJ194" s="33" t="s">
        <v>4074</v>
      </c>
      <c r="AK194" s="94"/>
      <c r="AL194" s="33" t="s">
        <v>4075</v>
      </c>
      <c r="AM194" s="33"/>
      <c r="AN194" s="33" t="s">
        <v>2465</v>
      </c>
      <c r="AO194" s="51" t="s">
        <v>2489</v>
      </c>
      <c r="AP194" s="51" t="s">
        <v>207</v>
      </c>
      <c r="AQ194" s="33"/>
      <c r="AR194" s="54"/>
      <c r="AS194" s="54"/>
      <c r="AT194" s="54"/>
      <c r="AU194" s="54"/>
      <c r="AV194" s="54"/>
      <c r="AW194" s="54"/>
      <c r="AX194" s="54"/>
      <c r="AY194" s="54"/>
      <c r="AZ194" s="54"/>
      <c r="BA194" s="54"/>
      <c r="BB194" s="54"/>
      <c r="BC194" s="54"/>
      <c r="BD194" s="54" t="s">
        <v>2447</v>
      </c>
      <c r="BE194" s="54"/>
      <c r="BF194" s="54"/>
      <c r="BG194" s="54"/>
      <c r="BH194" s="54"/>
      <c r="BI194" s="54"/>
      <c r="BJ194" s="0"/>
      <c r="BK194" s="0"/>
      <c r="BL194" s="0"/>
      <c r="BM194" s="0"/>
      <c r="BN194" s="0"/>
      <c r="BO194" s="0"/>
      <c r="BP194"/>
      <c r="BQ194"/>
      <c r="BR194"/>
      <c r="BS194"/>
      <c r="BT194"/>
      <c r="BU194"/>
      <c r="BV194"/>
      <c r="BW194"/>
      <c r="BX194"/>
      <c r="BY194"/>
      <c r="BZ194"/>
      <c r="CA194"/>
      <c r="CB194"/>
    </row>
    <row r="195" ht="15.0" customHeight="true">
      <c r="A195" s="51" t="s">
        <v>2448</v>
      </c>
      <c r="B195" s="33"/>
      <c r="C195" s="33" t="s">
        <v>3131</v>
      </c>
      <c r="D195" s="33"/>
      <c r="E195" s="33" t="s">
        <v>4076</v>
      </c>
      <c r="F195" s="33"/>
      <c r="G195" s="55" t="s">
        <v>4077</v>
      </c>
      <c r="H195" s="33"/>
      <c r="I195" s="51" t="s">
        <v>4078</v>
      </c>
      <c r="J195" s="33"/>
      <c r="K195" s="51" t="s">
        <v>4079</v>
      </c>
      <c r="L195" s="33" t="s">
        <v>2454</v>
      </c>
      <c r="M195" s="55" t="s">
        <v>4080</v>
      </c>
      <c r="N195" s="55" t="s">
        <v>3734</v>
      </c>
      <c r="O195" s="33" t="s">
        <v>2272</v>
      </c>
      <c r="P195" s="33" t="s">
        <v>2251</v>
      </c>
      <c r="Q195" s="33"/>
      <c r="R195" s="33" t="s">
        <v>2263</v>
      </c>
      <c r="S195" s="56" t="s">
        <v>2277</v>
      </c>
      <c r="T195" s="56"/>
      <c r="U195" s="56"/>
      <c r="V195" s="33" t="s">
        <v>2456</v>
      </c>
      <c r="W195" s="94" t="s">
        <v>2457</v>
      </c>
      <c r="X195" s="94" t="s">
        <v>2458</v>
      </c>
      <c r="Y195" s="51"/>
      <c r="Z195" s="51"/>
      <c r="AA195" s="33" t="s">
        <v>2459</v>
      </c>
      <c r="AB195" s="33" t="s">
        <v>2460</v>
      </c>
      <c r="AC195" s="33"/>
      <c r="AD195" s="33" t="s">
        <v>2254</v>
      </c>
      <c r="AE195" s="33"/>
      <c r="AF195" s="33" t="s">
        <v>2267</v>
      </c>
      <c r="AG195" s="33" t="s">
        <v>2461</v>
      </c>
      <c r="AH195" s="33"/>
      <c r="AI195" s="33"/>
      <c r="AJ195" s="33" t="s">
        <v>4081</v>
      </c>
      <c r="AK195" s="94"/>
      <c r="AL195" s="33" t="s">
        <v>3865</v>
      </c>
      <c r="AM195" s="33" t="s">
        <v>4082</v>
      </c>
      <c r="AN195" s="33" t="s">
        <v>2588</v>
      </c>
      <c r="AO195" s="51" t="s">
        <v>2589</v>
      </c>
      <c r="AP195" s="51" t="s">
        <v>207</v>
      </c>
      <c r="AQ195" s="33"/>
      <c r="AR195" s="54"/>
      <c r="AS195" s="54"/>
      <c r="AT195" s="54"/>
      <c r="AU195" s="54"/>
      <c r="AV195" s="54"/>
      <c r="AW195" s="54"/>
      <c r="AX195" s="54"/>
      <c r="AY195" s="54"/>
      <c r="AZ195" s="54"/>
      <c r="BA195" s="54"/>
      <c r="BB195" s="54"/>
      <c r="BC195" s="54"/>
      <c r="BD195" s="54" t="s">
        <v>2447</v>
      </c>
      <c r="BE195" s="54"/>
      <c r="BF195" s="54"/>
      <c r="BG195" s="54"/>
      <c r="BH195" s="54"/>
      <c r="BI195" s="54"/>
      <c r="BJ195" s="0"/>
      <c r="BK195" s="0"/>
      <c r="BL195" s="0"/>
      <c r="BM195" s="0"/>
      <c r="BN195" s="0"/>
      <c r="BO195" s="0"/>
      <c r="BP195"/>
      <c r="BQ195"/>
      <c r="BR195"/>
      <c r="BS195"/>
      <c r="BT195"/>
      <c r="BU195"/>
      <c r="BV195"/>
      <c r="BW195"/>
      <c r="BX195"/>
      <c r="BY195"/>
      <c r="BZ195"/>
      <c r="CA195"/>
      <c r="CB195"/>
    </row>
    <row r="196" ht="15.0" customHeight="true">
      <c r="A196" s="51" t="s">
        <v>2448</v>
      </c>
      <c r="B196" s="33"/>
      <c r="C196" s="33" t="s">
        <v>2490</v>
      </c>
      <c r="D196" s="33"/>
      <c r="E196" s="33" t="s">
        <v>3521</v>
      </c>
      <c r="F196" s="33"/>
      <c r="G196" s="55" t="s">
        <v>4083</v>
      </c>
      <c r="H196" s="33"/>
      <c r="I196" s="51" t="s">
        <v>4084</v>
      </c>
      <c r="J196" s="33"/>
      <c r="K196" s="51" t="s">
        <v>4085</v>
      </c>
      <c r="L196" s="33" t="s">
        <v>2454</v>
      </c>
      <c r="M196" s="55" t="s">
        <v>3306</v>
      </c>
      <c r="N196" s="55" t="s">
        <v>4037</v>
      </c>
      <c r="O196" s="33" t="s">
        <v>2272</v>
      </c>
      <c r="P196" s="33" t="s">
        <v>2251</v>
      </c>
      <c r="Q196" s="33"/>
      <c r="R196" s="33" t="s">
        <v>2263</v>
      </c>
      <c r="S196" s="56" t="s">
        <v>2277</v>
      </c>
      <c r="T196" s="56"/>
      <c r="U196" s="56"/>
      <c r="V196" s="33" t="s">
        <v>2456</v>
      </c>
      <c r="W196" s="94" t="s">
        <v>2457</v>
      </c>
      <c r="X196" s="94" t="s">
        <v>2474</v>
      </c>
      <c r="Y196" s="51"/>
      <c r="Z196" s="51"/>
      <c r="AA196" s="33" t="s">
        <v>2459</v>
      </c>
      <c r="AB196" s="33" t="s">
        <v>2460</v>
      </c>
      <c r="AC196" s="33"/>
      <c r="AD196" s="33" t="s">
        <v>2254</v>
      </c>
      <c r="AE196" s="33"/>
      <c r="AF196" s="33" t="s">
        <v>2267</v>
      </c>
      <c r="AG196" s="33" t="s">
        <v>2461</v>
      </c>
      <c r="AH196" s="33"/>
      <c r="AI196" s="33"/>
      <c r="AJ196" s="33" t="s">
        <v>4086</v>
      </c>
      <c r="AK196" s="94"/>
      <c r="AL196" s="33" t="s">
        <v>4087</v>
      </c>
      <c r="AM196" s="33"/>
      <c r="AN196" s="33" t="s">
        <v>4088</v>
      </c>
      <c r="AO196" s="51" t="s">
        <v>4089</v>
      </c>
      <c r="AP196" s="51" t="s">
        <v>177</v>
      </c>
      <c r="AQ196" s="33"/>
      <c r="AR196" s="54"/>
      <c r="AS196" s="54"/>
      <c r="AT196" s="54"/>
      <c r="AU196" s="54"/>
      <c r="AV196" s="54"/>
      <c r="AW196" s="54"/>
      <c r="AX196" s="54"/>
      <c r="AY196" s="54"/>
      <c r="AZ196" s="54"/>
      <c r="BA196" s="54"/>
      <c r="BB196" s="54"/>
      <c r="BC196" s="54"/>
      <c r="BD196" s="54" t="s">
        <v>2447</v>
      </c>
      <c r="BE196" s="54"/>
      <c r="BF196" s="54"/>
      <c r="BG196" s="54"/>
      <c r="BH196" s="54"/>
      <c r="BI196" s="54"/>
      <c r="BJ196" s="0"/>
      <c r="BK196" s="0"/>
      <c r="BL196" s="0"/>
      <c r="BM196" s="0"/>
      <c r="BN196" s="0"/>
      <c r="BO196" s="0"/>
      <c r="BP196"/>
      <c r="BQ196"/>
      <c r="BR196"/>
      <c r="BS196"/>
      <c r="BT196"/>
      <c r="BU196"/>
      <c r="BV196"/>
      <c r="BW196"/>
      <c r="BX196"/>
      <c r="BY196"/>
      <c r="BZ196"/>
      <c r="CA196"/>
      <c r="CB196"/>
    </row>
    <row r="197" ht="15.0" customHeight="true">
      <c r="A197" s="51" t="s">
        <v>2448</v>
      </c>
      <c r="B197" s="33"/>
      <c r="C197" s="33" t="s">
        <v>3124</v>
      </c>
      <c r="D197" s="33"/>
      <c r="E197" s="33" t="s">
        <v>4090</v>
      </c>
      <c r="F197" s="33"/>
      <c r="G197" s="55" t="s">
        <v>4091</v>
      </c>
      <c r="H197" s="33"/>
      <c r="I197" s="51" t="s">
        <v>4092</v>
      </c>
      <c r="J197" s="33"/>
      <c r="K197" s="51" t="s">
        <v>4093</v>
      </c>
      <c r="L197" s="33" t="s">
        <v>2454</v>
      </c>
      <c r="M197" s="55" t="s">
        <v>4094</v>
      </c>
      <c r="N197" s="55" t="s">
        <v>4095</v>
      </c>
      <c r="O197" s="33" t="s">
        <v>2272</v>
      </c>
      <c r="P197" s="33" t="s">
        <v>2251</v>
      </c>
      <c r="Q197" s="33"/>
      <c r="R197" s="33" t="s">
        <v>2263</v>
      </c>
      <c r="S197" s="56" t="s">
        <v>2277</v>
      </c>
      <c r="T197" s="56"/>
      <c r="U197" s="56"/>
      <c r="V197" s="33" t="s">
        <v>2456</v>
      </c>
      <c r="W197" s="94" t="s">
        <v>2457</v>
      </c>
      <c r="X197" s="94" t="s">
        <v>2458</v>
      </c>
      <c r="Y197" s="51"/>
      <c r="Z197" s="51"/>
      <c r="AA197" s="33" t="s">
        <v>2459</v>
      </c>
      <c r="AB197" s="33" t="s">
        <v>2460</v>
      </c>
      <c r="AC197" s="33"/>
      <c r="AD197" s="33" t="s">
        <v>2254</v>
      </c>
      <c r="AE197" s="33"/>
      <c r="AF197" s="33" t="s">
        <v>2267</v>
      </c>
      <c r="AG197" s="33" t="s">
        <v>2461</v>
      </c>
      <c r="AH197" s="33"/>
      <c r="AI197" s="33"/>
      <c r="AJ197" s="33" t="s">
        <v>4096</v>
      </c>
      <c r="AK197" s="94"/>
      <c r="AL197" s="33" t="s">
        <v>4097</v>
      </c>
      <c r="AM197" s="33"/>
      <c r="AN197" s="33" t="s">
        <v>2465</v>
      </c>
      <c r="AO197" s="51" t="s">
        <v>2548</v>
      </c>
      <c r="AP197" s="51" t="s">
        <v>207</v>
      </c>
      <c r="AQ197" s="33"/>
      <c r="AR197" s="54"/>
      <c r="AS197" s="54"/>
      <c r="AT197" s="54"/>
      <c r="AU197" s="54"/>
      <c r="AV197" s="54"/>
      <c r="AW197" s="54"/>
      <c r="AX197" s="54"/>
      <c r="AY197" s="54"/>
      <c r="AZ197" s="54"/>
      <c r="BA197" s="54"/>
      <c r="BB197" s="54"/>
      <c r="BC197" s="54"/>
      <c r="BD197" s="54" t="s">
        <v>2447</v>
      </c>
      <c r="BE197" s="54"/>
      <c r="BF197" s="54"/>
      <c r="BG197" s="54"/>
      <c r="BH197" s="54"/>
      <c r="BI197" s="54"/>
      <c r="BJ197" s="0"/>
      <c r="BK197" s="0"/>
      <c r="BL197" s="0"/>
      <c r="BM197" s="0"/>
      <c r="BN197" s="0"/>
      <c r="BO197" s="0"/>
      <c r="BP197"/>
      <c r="BQ197"/>
      <c r="BR197"/>
      <c r="BS197"/>
      <c r="BT197"/>
      <c r="BU197"/>
      <c r="BV197"/>
      <c r="BW197"/>
      <c r="BX197"/>
      <c r="BY197"/>
      <c r="BZ197"/>
      <c r="CA197"/>
      <c r="CB197"/>
    </row>
    <row r="198" ht="15.0" customHeight="true">
      <c r="A198" s="51" t="s">
        <v>2448</v>
      </c>
      <c r="B198" s="33"/>
      <c r="C198" s="33" t="s">
        <v>2449</v>
      </c>
      <c r="D198" s="33"/>
      <c r="E198" s="33" t="s">
        <v>4098</v>
      </c>
      <c r="F198" s="33"/>
      <c r="G198" s="55" t="s">
        <v>4099</v>
      </c>
      <c r="H198" s="33"/>
      <c r="I198" s="51" t="s">
        <v>4100</v>
      </c>
      <c r="J198" s="33"/>
      <c r="K198" s="51" t="s">
        <v>4101</v>
      </c>
      <c r="L198" s="33" t="s">
        <v>2454</v>
      </c>
      <c r="M198" s="55" t="s">
        <v>4102</v>
      </c>
      <c r="N198" s="55" t="s">
        <v>2679</v>
      </c>
      <c r="O198" s="33" t="s">
        <v>2272</v>
      </c>
      <c r="P198" s="33" t="s">
        <v>2251</v>
      </c>
      <c r="Q198" s="33"/>
      <c r="R198" s="33" t="s">
        <v>2263</v>
      </c>
      <c r="S198" s="56" t="s">
        <v>2277</v>
      </c>
      <c r="T198" s="56"/>
      <c r="U198" s="56"/>
      <c r="V198" s="33" t="s">
        <v>2456</v>
      </c>
      <c r="W198" s="94" t="s">
        <v>2457</v>
      </c>
      <c r="X198" s="94" t="s">
        <v>2458</v>
      </c>
      <c r="Y198" s="51"/>
      <c r="Z198" s="51"/>
      <c r="AA198" s="33" t="s">
        <v>2459</v>
      </c>
      <c r="AB198" s="33" t="s">
        <v>2460</v>
      </c>
      <c r="AC198" s="33"/>
      <c r="AD198" s="33" t="s">
        <v>2254</v>
      </c>
      <c r="AE198" s="33"/>
      <c r="AF198" s="33" t="s">
        <v>2267</v>
      </c>
      <c r="AG198" s="33" t="s">
        <v>2461</v>
      </c>
      <c r="AH198" s="33"/>
      <c r="AI198" s="33"/>
      <c r="AJ198" s="33" t="s">
        <v>4103</v>
      </c>
      <c r="AK198" s="94"/>
      <c r="AL198" s="33" t="s">
        <v>4104</v>
      </c>
      <c r="AM198" s="33" t="s">
        <v>4105</v>
      </c>
      <c r="AN198" s="33" t="s">
        <v>2465</v>
      </c>
      <c r="AO198" s="51" t="s">
        <v>2478</v>
      </c>
      <c r="AP198" s="51" t="s">
        <v>207</v>
      </c>
      <c r="AQ198" s="33"/>
      <c r="AR198" s="54"/>
      <c r="AS198" s="54"/>
      <c r="AT198" s="54"/>
      <c r="AU198" s="54"/>
      <c r="AV198" s="54"/>
      <c r="AW198" s="54"/>
      <c r="AX198" s="54"/>
      <c r="AY198" s="54"/>
      <c r="AZ198" s="54"/>
      <c r="BA198" s="54"/>
      <c r="BB198" s="54"/>
      <c r="BC198" s="54"/>
      <c r="BD198" s="54" t="s">
        <v>2447</v>
      </c>
      <c r="BE198" s="54"/>
      <c r="BF198" s="54"/>
      <c r="BG198" s="54"/>
      <c r="BH198" s="54"/>
      <c r="BI198" s="54"/>
      <c r="BJ198" s="0"/>
      <c r="BK198" s="0"/>
      <c r="BL198" s="0"/>
      <c r="BM198" s="0"/>
      <c r="BN198" s="0"/>
      <c r="BO198" s="0"/>
      <c r="BP198"/>
      <c r="BQ198"/>
      <c r="BR198"/>
      <c r="BS198"/>
      <c r="BT198"/>
      <c r="BU198"/>
      <c r="BV198"/>
      <c r="BW198"/>
      <c r="BX198"/>
      <c r="BY198"/>
      <c r="BZ198"/>
      <c r="CA198"/>
      <c r="CB198"/>
    </row>
    <row r="199" ht="15.0" customHeight="true">
      <c r="A199" s="51" t="s">
        <v>2448</v>
      </c>
      <c r="B199" s="33"/>
      <c r="C199" s="33" t="s">
        <v>4106</v>
      </c>
      <c r="D199" s="33"/>
      <c r="E199" s="33" t="s">
        <v>4107</v>
      </c>
      <c r="F199" s="33"/>
      <c r="G199" s="55" t="s">
        <v>4108</v>
      </c>
      <c r="H199" s="33"/>
      <c r="I199" s="51" t="s">
        <v>4109</v>
      </c>
      <c r="J199" s="33"/>
      <c r="K199" s="51" t="s">
        <v>4110</v>
      </c>
      <c r="L199" s="33" t="s">
        <v>2454</v>
      </c>
      <c r="M199" s="55" t="s">
        <v>2936</v>
      </c>
      <c r="N199" s="55" t="s">
        <v>2936</v>
      </c>
      <c r="O199" s="33" t="s">
        <v>2272</v>
      </c>
      <c r="P199" s="33" t="s">
        <v>2251</v>
      </c>
      <c r="Q199" s="33"/>
      <c r="R199" s="33" t="s">
        <v>2263</v>
      </c>
      <c r="S199" s="56" t="s">
        <v>2277</v>
      </c>
      <c r="T199" s="56"/>
      <c r="U199" s="56"/>
      <c r="V199" s="33" t="s">
        <v>2456</v>
      </c>
      <c r="W199" s="94" t="s">
        <v>2457</v>
      </c>
      <c r="X199" s="94" t="s">
        <v>2474</v>
      </c>
      <c r="Y199" s="51"/>
      <c r="Z199" s="51"/>
      <c r="AA199" s="33" t="s">
        <v>2459</v>
      </c>
      <c r="AB199" s="33" t="s">
        <v>2460</v>
      </c>
      <c r="AC199" s="33"/>
      <c r="AD199" s="33" t="s">
        <v>2254</v>
      </c>
      <c r="AE199" s="33"/>
      <c r="AF199" s="33" t="s">
        <v>2267</v>
      </c>
      <c r="AG199" s="33" t="s">
        <v>2461</v>
      </c>
      <c r="AH199" s="33"/>
      <c r="AI199" s="33"/>
      <c r="AJ199" s="33" t="s">
        <v>4111</v>
      </c>
      <c r="AK199" s="94"/>
      <c r="AL199" s="33" t="s">
        <v>4112</v>
      </c>
      <c r="AM199" s="33"/>
      <c r="AN199" s="33" t="s">
        <v>2588</v>
      </c>
      <c r="AO199" s="51" t="s">
        <v>2589</v>
      </c>
      <c r="AP199" s="51" t="s">
        <v>207</v>
      </c>
      <c r="AQ199" s="33"/>
      <c r="AR199" s="54"/>
      <c r="AS199" s="54"/>
      <c r="AT199" s="54"/>
      <c r="AU199" s="54"/>
      <c r="AV199" s="54"/>
      <c r="AW199" s="54"/>
      <c r="AX199" s="54"/>
      <c r="AY199" s="54"/>
      <c r="AZ199" s="54"/>
      <c r="BA199" s="54"/>
      <c r="BB199" s="54"/>
      <c r="BC199" s="54"/>
      <c r="BD199" s="54" t="s">
        <v>2447</v>
      </c>
      <c r="BE199" s="54"/>
      <c r="BF199" s="54"/>
      <c r="BG199" s="54"/>
      <c r="BH199" s="54"/>
      <c r="BI199" s="54"/>
      <c r="BJ199" s="0"/>
      <c r="BK199" s="0"/>
      <c r="BL199" s="0"/>
      <c r="BM199" s="0"/>
      <c r="BN199" s="0"/>
      <c r="BO199" s="0"/>
      <c r="BP199"/>
      <c r="BQ199"/>
      <c r="BR199"/>
      <c r="BS199"/>
      <c r="BT199"/>
      <c r="BU199"/>
      <c r="BV199"/>
      <c r="BW199"/>
      <c r="BX199"/>
      <c r="BY199"/>
      <c r="BZ199"/>
      <c r="CA199"/>
      <c r="CB199"/>
    </row>
    <row r="200" ht="15.0" customHeight="true">
      <c r="A200" s="51" t="s">
        <v>2448</v>
      </c>
      <c r="B200" s="33"/>
      <c r="C200" s="33" t="s">
        <v>3328</v>
      </c>
      <c r="D200" s="33"/>
      <c r="E200" s="33" t="s">
        <v>4113</v>
      </c>
      <c r="F200" s="33"/>
      <c r="G200" s="55" t="s">
        <v>4114</v>
      </c>
      <c r="H200" s="33"/>
      <c r="I200" s="51" t="s">
        <v>4115</v>
      </c>
      <c r="J200" s="33"/>
      <c r="K200" s="51" t="s">
        <v>4116</v>
      </c>
      <c r="L200" s="33" t="s">
        <v>2454</v>
      </c>
      <c r="M200" s="55" t="s">
        <v>4117</v>
      </c>
      <c r="N200" s="55" t="s">
        <v>4118</v>
      </c>
      <c r="O200" s="33" t="s">
        <v>2272</v>
      </c>
      <c r="P200" s="33" t="s">
        <v>2251</v>
      </c>
      <c r="Q200" s="33"/>
      <c r="R200" s="33" t="s">
        <v>2263</v>
      </c>
      <c r="S200" s="56" t="s">
        <v>2277</v>
      </c>
      <c r="T200" s="56"/>
      <c r="U200" s="56"/>
      <c r="V200" s="33" t="s">
        <v>2456</v>
      </c>
      <c r="W200" s="94" t="s">
        <v>2457</v>
      </c>
      <c r="X200" s="94" t="s">
        <v>2458</v>
      </c>
      <c r="Y200" s="51"/>
      <c r="Z200" s="51"/>
      <c r="AA200" s="33" t="s">
        <v>2459</v>
      </c>
      <c r="AB200" s="33" t="s">
        <v>2460</v>
      </c>
      <c r="AC200" s="33"/>
      <c r="AD200" s="33" t="s">
        <v>2254</v>
      </c>
      <c r="AE200" s="33"/>
      <c r="AF200" s="33" t="s">
        <v>2267</v>
      </c>
      <c r="AG200" s="33" t="s">
        <v>2461</v>
      </c>
      <c r="AH200" s="33"/>
      <c r="AI200" s="33"/>
      <c r="AJ200" s="33" t="s">
        <v>4119</v>
      </c>
      <c r="AK200" s="94"/>
      <c r="AL200" s="33" t="s">
        <v>4120</v>
      </c>
      <c r="AM200" s="33"/>
      <c r="AN200" s="33" t="s">
        <v>2465</v>
      </c>
      <c r="AO200" s="51" t="s">
        <v>2489</v>
      </c>
      <c r="AP200" s="51" t="s">
        <v>207</v>
      </c>
      <c r="AQ200" s="33"/>
      <c r="AR200" s="54"/>
      <c r="AS200" s="54"/>
      <c r="AT200" s="54"/>
      <c r="AU200" s="54"/>
      <c r="AV200" s="54"/>
      <c r="AW200" s="54"/>
      <c r="AX200" s="54"/>
      <c r="AY200" s="54"/>
      <c r="AZ200" s="54"/>
      <c r="BA200" s="54"/>
      <c r="BB200" s="54"/>
      <c r="BC200" s="54"/>
      <c r="BD200" s="54" t="s">
        <v>2447</v>
      </c>
      <c r="BE200" s="54"/>
      <c r="BF200" s="54"/>
      <c r="BG200" s="54"/>
      <c r="BH200" s="54"/>
      <c r="BI200" s="54"/>
      <c r="BJ200" s="0"/>
      <c r="BK200" s="0"/>
      <c r="BL200" s="0"/>
      <c r="BM200" s="0"/>
      <c r="BN200" s="0"/>
      <c r="BO200" s="0"/>
      <c r="BP200"/>
      <c r="BQ200"/>
      <c r="BR200"/>
      <c r="BS200"/>
      <c r="BT200"/>
      <c r="BU200"/>
      <c r="BV200"/>
      <c r="BW200"/>
      <c r="BX200"/>
      <c r="BY200"/>
      <c r="BZ200"/>
      <c r="CA200"/>
      <c r="CB200"/>
    </row>
    <row r="201" ht="15.0" customHeight="true">
      <c r="A201" s="51" t="s">
        <v>2448</v>
      </c>
      <c r="B201" s="33"/>
      <c r="C201" s="33" t="s">
        <v>3447</v>
      </c>
      <c r="D201" s="33"/>
      <c r="E201" s="33" t="s">
        <v>4121</v>
      </c>
      <c r="F201" s="33"/>
      <c r="G201" s="55" t="s">
        <v>4122</v>
      </c>
      <c r="H201" s="33"/>
      <c r="I201" s="51" t="s">
        <v>4123</v>
      </c>
      <c r="J201" s="33"/>
      <c r="K201" s="51" t="s">
        <v>4124</v>
      </c>
      <c r="L201" s="33" t="s">
        <v>2454</v>
      </c>
      <c r="M201" s="55" t="s">
        <v>3484</v>
      </c>
      <c r="N201" s="55" t="s">
        <v>3654</v>
      </c>
      <c r="O201" s="33" t="s">
        <v>2272</v>
      </c>
      <c r="P201" s="33" t="s">
        <v>2251</v>
      </c>
      <c r="Q201" s="33"/>
      <c r="R201" s="33" t="s">
        <v>2263</v>
      </c>
      <c r="S201" s="56" t="s">
        <v>2277</v>
      </c>
      <c r="T201" s="56"/>
      <c r="U201" s="56"/>
      <c r="V201" s="33" t="s">
        <v>2456</v>
      </c>
      <c r="W201" s="94" t="s">
        <v>2457</v>
      </c>
      <c r="X201" s="94" t="s">
        <v>2474</v>
      </c>
      <c r="Y201" s="51"/>
      <c r="Z201" s="51"/>
      <c r="AA201" s="33" t="s">
        <v>2459</v>
      </c>
      <c r="AB201" s="33" t="s">
        <v>2460</v>
      </c>
      <c r="AC201" s="33"/>
      <c r="AD201" s="33" t="s">
        <v>2254</v>
      </c>
      <c r="AE201" s="33"/>
      <c r="AF201" s="33" t="s">
        <v>2267</v>
      </c>
      <c r="AG201" s="33" t="s">
        <v>2461</v>
      </c>
      <c r="AH201" s="33"/>
      <c r="AI201" s="33"/>
      <c r="AJ201" s="33" t="s">
        <v>4125</v>
      </c>
      <c r="AK201" s="94"/>
      <c r="AL201" s="33" t="s">
        <v>4126</v>
      </c>
      <c r="AM201" s="33"/>
      <c r="AN201" s="33" t="s">
        <v>2465</v>
      </c>
      <c r="AO201" s="51" t="s">
        <v>2618</v>
      </c>
      <c r="AP201" s="51" t="s">
        <v>207</v>
      </c>
      <c r="AQ201" s="33"/>
      <c r="AR201" s="54"/>
      <c r="AS201" s="54"/>
      <c r="AT201" s="54"/>
      <c r="AU201" s="54"/>
      <c r="AV201" s="54"/>
      <c r="AW201" s="54"/>
      <c r="AX201" s="54"/>
      <c r="AY201" s="54"/>
      <c r="AZ201" s="54"/>
      <c r="BA201" s="54"/>
      <c r="BB201" s="54"/>
      <c r="BC201" s="54"/>
      <c r="BD201" s="54" t="s">
        <v>2447</v>
      </c>
      <c r="BE201" s="54"/>
      <c r="BF201" s="54"/>
      <c r="BG201" s="54"/>
      <c r="BH201" s="54"/>
      <c r="BI201" s="54"/>
      <c r="BJ201" s="0"/>
      <c r="BK201" s="0"/>
      <c r="BL201" s="0"/>
      <c r="BM201" s="0"/>
      <c r="BN201" s="0"/>
      <c r="BO201" s="0"/>
      <c r="BP201"/>
      <c r="BQ201"/>
      <c r="BR201"/>
      <c r="BS201"/>
      <c r="BT201"/>
      <c r="BU201"/>
      <c r="BV201"/>
      <c r="BW201"/>
      <c r="BX201"/>
      <c r="BY201"/>
      <c r="BZ201"/>
      <c r="CA201"/>
      <c r="CB201"/>
    </row>
    <row r="202" ht="15.0" customHeight="true">
      <c r="A202" s="51" t="s">
        <v>2448</v>
      </c>
      <c r="B202" s="33"/>
      <c r="C202" s="33" t="s">
        <v>4127</v>
      </c>
      <c r="D202" s="33"/>
      <c r="E202" s="33" t="s">
        <v>4128</v>
      </c>
      <c r="F202" s="33"/>
      <c r="G202" s="55" t="s">
        <v>4129</v>
      </c>
      <c r="H202" s="33"/>
      <c r="I202" s="51" t="s">
        <v>4130</v>
      </c>
      <c r="J202" s="33"/>
      <c r="K202" s="51" t="s">
        <v>4131</v>
      </c>
      <c r="L202" s="33" t="s">
        <v>2484</v>
      </c>
      <c r="M202" s="55" t="s">
        <v>3082</v>
      </c>
      <c r="N202" s="55"/>
      <c r="O202" s="33"/>
      <c r="P202" s="33" t="s">
        <v>2251</v>
      </c>
      <c r="Q202" s="33"/>
      <c r="R202" s="33" t="s">
        <v>2263</v>
      </c>
      <c r="S202" s="56" t="s">
        <v>2277</v>
      </c>
      <c r="T202" s="56"/>
      <c r="U202" s="56"/>
      <c r="V202" s="33" t="s">
        <v>2456</v>
      </c>
      <c r="W202" s="94" t="s">
        <v>2457</v>
      </c>
      <c r="X202" s="94" t="s">
        <v>2474</v>
      </c>
      <c r="Y202" s="51"/>
      <c r="Z202" s="51"/>
      <c r="AA202" s="33" t="s">
        <v>2459</v>
      </c>
      <c r="AB202" s="33" t="s">
        <v>2460</v>
      </c>
      <c r="AC202" s="33" t="s">
        <v>2486</v>
      </c>
      <c r="AD202" s="33" t="s">
        <v>2254</v>
      </c>
      <c r="AE202" s="33"/>
      <c r="AF202" s="33" t="s">
        <v>2267</v>
      </c>
      <c r="AG202" s="33" t="s">
        <v>2461</v>
      </c>
      <c r="AH202" s="33"/>
      <c r="AI202" s="33"/>
      <c r="AJ202" s="33" t="s">
        <v>4132</v>
      </c>
      <c r="AK202" s="94"/>
      <c r="AL202" s="33" t="s">
        <v>4133</v>
      </c>
      <c r="AM202" s="33"/>
      <c r="AN202" s="33" t="s">
        <v>2588</v>
      </c>
      <c r="AO202" s="51" t="s">
        <v>2589</v>
      </c>
      <c r="AP202" s="51" t="s">
        <v>207</v>
      </c>
      <c r="AQ202" s="33"/>
      <c r="AR202" s="54"/>
      <c r="AS202" s="54"/>
      <c r="AT202" s="54"/>
      <c r="AU202" s="54"/>
      <c r="AV202" s="54"/>
      <c r="AW202" s="54"/>
      <c r="AX202" s="54"/>
      <c r="AY202" s="54"/>
      <c r="AZ202" s="54"/>
      <c r="BA202" s="54"/>
      <c r="BB202" s="54"/>
      <c r="BC202" s="54"/>
      <c r="BD202" s="54" t="s">
        <v>2447</v>
      </c>
      <c r="BE202" s="54"/>
      <c r="BF202" s="54"/>
      <c r="BG202" s="54"/>
      <c r="BH202" s="54"/>
      <c r="BI202" s="54"/>
      <c r="BJ202" s="0"/>
      <c r="BK202" s="0"/>
      <c r="BL202" s="0"/>
      <c r="BM202" s="0"/>
      <c r="BN202" s="0"/>
      <c r="BO202" s="0"/>
      <c r="BP202"/>
      <c r="BQ202"/>
      <c r="BR202"/>
      <c r="BS202"/>
      <c r="BT202"/>
      <c r="BU202"/>
      <c r="BV202"/>
      <c r="BW202"/>
      <c r="BX202"/>
      <c r="BY202"/>
      <c r="BZ202"/>
      <c r="CA202"/>
      <c r="CB202"/>
    </row>
    <row r="203" ht="15.0" customHeight="true">
      <c r="A203" s="51" t="s">
        <v>2448</v>
      </c>
      <c r="B203" s="33"/>
      <c r="C203" s="33" t="s">
        <v>4134</v>
      </c>
      <c r="D203" s="33"/>
      <c r="E203" s="33" t="s">
        <v>4135</v>
      </c>
      <c r="F203" s="33"/>
      <c r="G203" s="55" t="s">
        <v>4136</v>
      </c>
      <c r="H203" s="33"/>
      <c r="I203" s="51" t="s">
        <v>4137</v>
      </c>
      <c r="J203" s="33"/>
      <c r="K203" s="51" t="s">
        <v>4138</v>
      </c>
      <c r="L203" s="33" t="s">
        <v>2454</v>
      </c>
      <c r="M203" s="55" t="s">
        <v>3616</v>
      </c>
      <c r="N203" s="55" t="s">
        <v>4139</v>
      </c>
      <c r="O203" s="33" t="s">
        <v>2272</v>
      </c>
      <c r="P203" s="33" t="s">
        <v>2251</v>
      </c>
      <c r="Q203" s="33"/>
      <c r="R203" s="33" t="s">
        <v>2263</v>
      </c>
      <c r="S203" s="56" t="s">
        <v>2277</v>
      </c>
      <c r="T203" s="56"/>
      <c r="U203" s="56"/>
      <c r="V203" s="33" t="s">
        <v>2456</v>
      </c>
      <c r="W203" s="94" t="s">
        <v>2457</v>
      </c>
      <c r="X203" s="94" t="s">
        <v>2458</v>
      </c>
      <c r="Y203" s="51"/>
      <c r="Z203" s="51"/>
      <c r="AA203" s="33" t="s">
        <v>2459</v>
      </c>
      <c r="AB203" s="33" t="s">
        <v>2460</v>
      </c>
      <c r="AC203" s="33"/>
      <c r="AD203" s="33" t="s">
        <v>2254</v>
      </c>
      <c r="AE203" s="33"/>
      <c r="AF203" s="33" t="s">
        <v>2267</v>
      </c>
      <c r="AG203" s="33" t="s">
        <v>2461</v>
      </c>
      <c r="AH203" s="33"/>
      <c r="AI203" s="33"/>
      <c r="AJ203" s="33" t="s">
        <v>4140</v>
      </c>
      <c r="AK203" s="94"/>
      <c r="AL203" s="33" t="s">
        <v>4141</v>
      </c>
      <c r="AM203" s="33"/>
      <c r="AN203" s="33" t="s">
        <v>3031</v>
      </c>
      <c r="AO203" s="51" t="s">
        <v>4142</v>
      </c>
      <c r="AP203" s="51" t="s">
        <v>207</v>
      </c>
      <c r="AQ203" s="33"/>
      <c r="AR203" s="54"/>
      <c r="AS203" s="54"/>
      <c r="AT203" s="54"/>
      <c r="AU203" s="54"/>
      <c r="AV203" s="54"/>
      <c r="AW203" s="54"/>
      <c r="AX203" s="54"/>
      <c r="AY203" s="54"/>
      <c r="AZ203" s="54"/>
      <c r="BA203" s="54"/>
      <c r="BB203" s="54"/>
      <c r="BC203" s="54"/>
      <c r="BD203" s="54" t="s">
        <v>2447</v>
      </c>
      <c r="BE203" s="54"/>
      <c r="BF203" s="54"/>
      <c r="BG203" s="54"/>
      <c r="BH203" s="54"/>
      <c r="BI203" s="54"/>
      <c r="BJ203" s="0"/>
      <c r="BK203" s="0"/>
      <c r="BL203" s="0"/>
      <c r="BM203" s="0"/>
      <c r="BN203" s="0"/>
      <c r="BO203" s="0"/>
      <c r="BP203"/>
      <c r="BQ203"/>
      <c r="BR203"/>
      <c r="BS203"/>
      <c r="BT203"/>
      <c r="BU203"/>
      <c r="BV203"/>
      <c r="BW203"/>
      <c r="BX203"/>
      <c r="BY203"/>
      <c r="BZ203"/>
      <c r="CA203"/>
      <c r="CB203"/>
    </row>
    <row r="204" ht="15.0" customHeight="true">
      <c r="A204" s="51" t="s">
        <v>2448</v>
      </c>
      <c r="B204" s="33"/>
      <c r="C204" s="33" t="s">
        <v>4143</v>
      </c>
      <c r="D204" s="33"/>
      <c r="E204" s="33" t="s">
        <v>4144</v>
      </c>
      <c r="F204" s="33"/>
      <c r="G204" s="55" t="s">
        <v>4145</v>
      </c>
      <c r="H204" s="33"/>
      <c r="I204" s="51" t="s">
        <v>4146</v>
      </c>
      <c r="J204" s="33"/>
      <c r="K204" s="51" t="s">
        <v>4147</v>
      </c>
      <c r="L204" s="33" t="s">
        <v>2454</v>
      </c>
      <c r="M204" s="55" t="s">
        <v>2835</v>
      </c>
      <c r="N204" s="55" t="s">
        <v>2835</v>
      </c>
      <c r="O204" s="33" t="s">
        <v>2272</v>
      </c>
      <c r="P204" s="33" t="s">
        <v>2251</v>
      </c>
      <c r="Q204" s="33"/>
      <c r="R204" s="33" t="s">
        <v>2263</v>
      </c>
      <c r="S204" s="56" t="s">
        <v>2277</v>
      </c>
      <c r="T204" s="56"/>
      <c r="U204" s="56"/>
      <c r="V204" s="33" t="s">
        <v>2456</v>
      </c>
      <c r="W204" s="94" t="s">
        <v>2457</v>
      </c>
      <c r="X204" s="94" t="s">
        <v>2474</v>
      </c>
      <c r="Y204" s="51"/>
      <c r="Z204" s="51"/>
      <c r="AA204" s="33" t="s">
        <v>2459</v>
      </c>
      <c r="AB204" s="33" t="s">
        <v>2460</v>
      </c>
      <c r="AC204" s="33"/>
      <c r="AD204" s="33" t="s">
        <v>2254</v>
      </c>
      <c r="AE204" s="33"/>
      <c r="AF204" s="33" t="s">
        <v>2267</v>
      </c>
      <c r="AG204" s="33" t="s">
        <v>2461</v>
      </c>
      <c r="AH204" s="33"/>
      <c r="AI204" s="33"/>
      <c r="AJ204" s="33" t="s">
        <v>4148</v>
      </c>
      <c r="AK204" s="94"/>
      <c r="AL204" s="33" t="s">
        <v>4149</v>
      </c>
      <c r="AM204" s="33"/>
      <c r="AN204" s="33" t="s">
        <v>2465</v>
      </c>
      <c r="AO204" s="51" t="s">
        <v>4150</v>
      </c>
      <c r="AP204" s="51" t="s">
        <v>207</v>
      </c>
      <c r="AQ204" s="33"/>
      <c r="AR204" s="54"/>
      <c r="AS204" s="54"/>
      <c r="AT204" s="54"/>
      <c r="AU204" s="54"/>
      <c r="AV204" s="54"/>
      <c r="AW204" s="54"/>
      <c r="AX204" s="54"/>
      <c r="AY204" s="54"/>
      <c r="AZ204" s="54"/>
      <c r="BA204" s="54"/>
      <c r="BB204" s="54"/>
      <c r="BC204" s="54"/>
      <c r="BD204" s="54" t="s">
        <v>2447</v>
      </c>
      <c r="BE204" s="54"/>
      <c r="BF204" s="54"/>
      <c r="BG204" s="54"/>
      <c r="BH204" s="54"/>
      <c r="BI204" s="54"/>
      <c r="BJ204" s="0"/>
      <c r="BK204" s="0"/>
      <c r="BL204" s="0"/>
      <c r="BM204" s="0"/>
      <c r="BN204" s="0"/>
      <c r="BO204" s="0"/>
      <c r="BP204"/>
      <c r="BQ204"/>
      <c r="BR204"/>
      <c r="BS204"/>
      <c r="BT204"/>
      <c r="BU204"/>
      <c r="BV204"/>
      <c r="BW204"/>
      <c r="BX204"/>
      <c r="BY204"/>
      <c r="BZ204"/>
      <c r="CA204"/>
      <c r="CB204"/>
    </row>
    <row r="205" ht="15.0" customHeight="true">
      <c r="A205" s="51" t="s">
        <v>2448</v>
      </c>
      <c r="B205" s="33"/>
      <c r="C205" s="33" t="s">
        <v>2490</v>
      </c>
      <c r="D205" s="33"/>
      <c r="E205" s="33" t="s">
        <v>3078</v>
      </c>
      <c r="F205" s="33"/>
      <c r="G205" s="55" t="s">
        <v>4151</v>
      </c>
      <c r="H205" s="33"/>
      <c r="I205" s="51" t="s">
        <v>4152</v>
      </c>
      <c r="J205" s="33"/>
      <c r="K205" s="51" t="s">
        <v>4153</v>
      </c>
      <c r="L205" s="33" t="s">
        <v>2484</v>
      </c>
      <c r="M205" s="55" t="s">
        <v>3552</v>
      </c>
      <c r="N205" s="55"/>
      <c r="O205" s="33"/>
      <c r="P205" s="33" t="s">
        <v>2251</v>
      </c>
      <c r="Q205" s="33"/>
      <c r="R205" s="33" t="s">
        <v>2263</v>
      </c>
      <c r="S205" s="56" t="s">
        <v>2277</v>
      </c>
      <c r="T205" s="56"/>
      <c r="U205" s="56"/>
      <c r="V205" s="33" t="s">
        <v>2456</v>
      </c>
      <c r="W205" s="94" t="s">
        <v>2457</v>
      </c>
      <c r="X205" s="94" t="s">
        <v>2474</v>
      </c>
      <c r="Y205" s="51"/>
      <c r="Z205" s="51"/>
      <c r="AA205" s="33" t="s">
        <v>2459</v>
      </c>
      <c r="AB205" s="33" t="s">
        <v>2460</v>
      </c>
      <c r="AC205" s="33" t="s">
        <v>2486</v>
      </c>
      <c r="AD205" s="33" t="s">
        <v>2254</v>
      </c>
      <c r="AE205" s="33"/>
      <c r="AF205" s="33" t="s">
        <v>2267</v>
      </c>
      <c r="AG205" s="33" t="s">
        <v>2461</v>
      </c>
      <c r="AH205" s="33"/>
      <c r="AI205" s="33"/>
      <c r="AJ205" s="33" t="s">
        <v>4154</v>
      </c>
      <c r="AK205" s="94"/>
      <c r="AL205" s="33" t="s">
        <v>3830</v>
      </c>
      <c r="AM205" s="33" t="s">
        <v>4155</v>
      </c>
      <c r="AN205" s="33" t="s">
        <v>2465</v>
      </c>
      <c r="AO205" s="51" t="s">
        <v>2528</v>
      </c>
      <c r="AP205" s="51" t="s">
        <v>207</v>
      </c>
      <c r="AQ205" s="33"/>
      <c r="AR205" s="54"/>
      <c r="AS205" s="54"/>
      <c r="AT205" s="54"/>
      <c r="AU205" s="54"/>
      <c r="AV205" s="54"/>
      <c r="AW205" s="54"/>
      <c r="AX205" s="54"/>
      <c r="AY205" s="54"/>
      <c r="AZ205" s="54"/>
      <c r="BA205" s="54"/>
      <c r="BB205" s="54"/>
      <c r="BC205" s="54"/>
      <c r="BD205" s="54" t="s">
        <v>2447</v>
      </c>
      <c r="BE205" s="54"/>
      <c r="BF205" s="54"/>
      <c r="BG205" s="54"/>
      <c r="BH205" s="54"/>
      <c r="BI205" s="54"/>
      <c r="BJ205" s="0"/>
      <c r="BK205" s="0"/>
      <c r="BL205" s="0"/>
      <c r="BM205" s="0"/>
      <c r="BN205" s="0"/>
      <c r="BO205" s="0"/>
      <c r="BP205"/>
      <c r="BQ205"/>
      <c r="BR205"/>
      <c r="BS205"/>
      <c r="BT205"/>
      <c r="BU205"/>
      <c r="BV205"/>
      <c r="BW205"/>
      <c r="BX205"/>
      <c r="BY205"/>
      <c r="BZ205"/>
      <c r="CA205"/>
      <c r="CB205"/>
    </row>
    <row r="206" ht="15.0" customHeight="true">
      <c r="A206" s="51" t="s">
        <v>2448</v>
      </c>
      <c r="B206" s="33"/>
      <c r="C206" s="33" t="s">
        <v>2794</v>
      </c>
      <c r="D206" s="33"/>
      <c r="E206" s="33" t="s">
        <v>4166</v>
      </c>
      <c r="F206" s="33"/>
      <c r="G206" s="55" t="s">
        <v>4167</v>
      </c>
      <c r="H206" s="33" t="s">
        <v>2247</v>
      </c>
      <c r="I206" s="51" t="s">
        <v>4168</v>
      </c>
      <c r="J206" s="33" t="s">
        <v>2269</v>
      </c>
      <c r="K206" s="51" t="s">
        <v>4169</v>
      </c>
      <c r="L206" s="33" t="s">
        <v>2484</v>
      </c>
      <c r="M206" s="55" t="s">
        <v>2780</v>
      </c>
      <c r="N206" s="55"/>
      <c r="O206" s="33"/>
      <c r="P206" s="33" t="s">
        <v>2251</v>
      </c>
      <c r="Q206" s="33"/>
      <c r="R206" s="33" t="s">
        <v>2263</v>
      </c>
      <c r="S206" s="56" t="s">
        <v>2277</v>
      </c>
      <c r="T206" s="56"/>
      <c r="U206" s="56"/>
      <c r="V206" s="33" t="s">
        <v>2456</v>
      </c>
      <c r="W206" s="94" t="s">
        <v>2457</v>
      </c>
      <c r="X206" s="94" t="s">
        <v>2474</v>
      </c>
      <c r="Y206" s="51"/>
      <c r="Z206" s="51"/>
      <c r="AA206" s="33" t="s">
        <v>2459</v>
      </c>
      <c r="AB206" s="33" t="s">
        <v>2460</v>
      </c>
      <c r="AC206" s="33" t="s">
        <v>2486</v>
      </c>
      <c r="AD206" s="33" t="s">
        <v>2254</v>
      </c>
      <c r="AE206" s="33"/>
      <c r="AF206" s="33" t="s">
        <v>2267</v>
      </c>
      <c r="AG206" s="33" t="s">
        <v>2461</v>
      </c>
      <c r="AH206" s="33"/>
      <c r="AI206" s="33"/>
      <c r="AJ206" s="33" t="s">
        <v>4170</v>
      </c>
      <c r="AK206" s="94"/>
      <c r="AL206" s="33" t="s">
        <v>4171</v>
      </c>
      <c r="AM206" s="33"/>
      <c r="AN206" s="33" t="s">
        <v>2588</v>
      </c>
      <c r="AO206" s="51" t="s">
        <v>2911</v>
      </c>
      <c r="AP206" s="51" t="s">
        <v>207</v>
      </c>
      <c r="AQ206" s="33"/>
      <c r="AR206" s="54"/>
      <c r="AS206" s="54"/>
      <c r="AT206" s="54"/>
      <c r="AU206" s="54"/>
      <c r="AV206" s="54"/>
      <c r="AW206" s="54"/>
      <c r="AX206" s="54"/>
      <c r="AY206" s="54"/>
      <c r="AZ206" s="54"/>
      <c r="BA206" s="54"/>
      <c r="BB206" s="54"/>
      <c r="BC206" s="54"/>
      <c r="BD206" s="54" t="s">
        <v>2447</v>
      </c>
      <c r="BE206" s="54"/>
      <c r="BF206" s="54"/>
      <c r="BG206" s="54"/>
      <c r="BH206" s="54"/>
      <c r="BI206" s="54"/>
      <c r="BJ206" s="34"/>
      <c r="BK206" s="34" t="s">
        <v>4156</v>
      </c>
      <c r="BL206" s="34"/>
      <c r="BM206" s="34" t="s">
        <v>4157</v>
      </c>
      <c r="BN206" s="34"/>
      <c r="BO206" s="44" t="s">
        <v>4158</v>
      </c>
      <c r="BP206" s="34" t="s">
        <v>2258</v>
      </c>
      <c r="BQ206" s="34" t="s">
        <v>2269</v>
      </c>
      <c r="BR206" s="33" t="s">
        <v>2257</v>
      </c>
      <c r="BS206" s="33" t="s">
        <v>2269</v>
      </c>
      <c r="BT206" s="34"/>
      <c r="BU206" s="34" t="s">
        <v>4159</v>
      </c>
      <c r="BV206" s="34"/>
      <c r="BW206" s="34" t="s">
        <v>4160</v>
      </c>
      <c r="BX206" s="34"/>
      <c r="BY206" s="44" t="s">
        <v>4161</v>
      </c>
      <c r="BZ206" s="34" t="s">
        <v>2258</v>
      </c>
      <c r="CA206" s="34" t="s">
        <v>2269</v>
      </c>
      <c r="CB206" s="33" t="s">
        <v>2268</v>
      </c>
      <c r="CC206" s="33" t="s">
        <v>2269</v>
      </c>
      <c r="CD206" s="34"/>
      <c r="CE206" s="34" t="s">
        <v>4162</v>
      </c>
      <c r="CF206" s="34"/>
      <c r="CG206" s="34" t="s">
        <v>4160</v>
      </c>
      <c r="CH206" s="34"/>
      <c r="CI206" s="44" t="s">
        <v>4163</v>
      </c>
      <c r="CJ206" s="34" t="s">
        <v>2258</v>
      </c>
      <c r="CK206" s="34" t="s">
        <v>2269</v>
      </c>
      <c r="CL206" s="33" t="s">
        <v>2268</v>
      </c>
      <c r="CM206" s="33" t="s">
        <v>2269</v>
      </c>
      <c r="CN206" s="34"/>
      <c r="CO206" s="34" t="s">
        <v>4164</v>
      </c>
      <c r="CP206" s="34"/>
      <c r="CQ206" s="34" t="s">
        <v>4160</v>
      </c>
      <c r="CR206" s="34"/>
      <c r="CS206" s="44" t="s">
        <v>4165</v>
      </c>
      <c r="CT206" s="34" t="s">
        <v>2258</v>
      </c>
      <c r="CU206" s="34" t="s">
        <v>2269</v>
      </c>
      <c r="CV206" s="33" t="s">
        <v>2268</v>
      </c>
      <c r="CW206" s="33" t="s">
        <v>2269</v>
      </c>
      <c r="CX206" s="0"/>
      <c r="CY206" s="0"/>
      <c r="CZ206" s="0"/>
      <c r="DA206" s="0"/>
      <c r="DB206" s="0"/>
      <c r="DC206" s="0"/>
      <c r="DD206" s="0"/>
      <c r="DE206" s="0"/>
      <c r="DF206" s="0"/>
      <c r="DG206" s="0"/>
    </row>
    <row r="207" ht="15.0" customHeight="true">
      <c r="A207" s="51" t="s">
        <v>2448</v>
      </c>
      <c r="B207" s="33"/>
      <c r="C207" s="33" t="s">
        <v>4172</v>
      </c>
      <c r="D207" s="33"/>
      <c r="E207" s="33" t="s">
        <v>4173</v>
      </c>
      <c r="F207" s="33"/>
      <c r="G207" s="55" t="s">
        <v>4174</v>
      </c>
      <c r="H207" s="33" t="s">
        <v>2247</v>
      </c>
      <c r="I207" s="51" t="s">
        <v>4175</v>
      </c>
      <c r="J207" s="33"/>
      <c r="K207" s="51" t="s">
        <v>4176</v>
      </c>
      <c r="L207" s="33" t="s">
        <v>2484</v>
      </c>
      <c r="M207" s="55" t="s">
        <v>2456</v>
      </c>
      <c r="N207" s="55"/>
      <c r="O207" s="33"/>
      <c r="P207" s="33" t="s">
        <v>2251</v>
      </c>
      <c r="Q207" s="33"/>
      <c r="R207" s="33" t="s">
        <v>2263</v>
      </c>
      <c r="S207" s="56" t="s">
        <v>2277</v>
      </c>
      <c r="T207" s="56"/>
      <c r="U207" s="56"/>
      <c r="V207" s="33" t="s">
        <v>2456</v>
      </c>
      <c r="W207" s="94" t="s">
        <v>2574</v>
      </c>
      <c r="X207" s="94" t="s">
        <v>2474</v>
      </c>
      <c r="Y207" s="51"/>
      <c r="Z207" s="51"/>
      <c r="AA207" s="33" t="s">
        <v>2459</v>
      </c>
      <c r="AB207" s="33" t="s">
        <v>2460</v>
      </c>
      <c r="AC207" s="33" t="s">
        <v>2486</v>
      </c>
      <c r="AD207" s="33" t="s">
        <v>2254</v>
      </c>
      <c r="AE207" s="33"/>
      <c r="AF207" s="33" t="s">
        <v>2267</v>
      </c>
      <c r="AG207" s="33" t="s">
        <v>2461</v>
      </c>
      <c r="AH207" s="33"/>
      <c r="AI207" s="33"/>
      <c r="AJ207" s="33" t="s">
        <v>4177</v>
      </c>
      <c r="AK207" s="94"/>
      <c r="AL207" s="33" t="s">
        <v>4178</v>
      </c>
      <c r="AM207" s="33" t="s">
        <v>4179</v>
      </c>
      <c r="AN207" s="33" t="s">
        <v>2828</v>
      </c>
      <c r="AO207" s="51" t="s">
        <v>2829</v>
      </c>
      <c r="AP207" s="51" t="s">
        <v>207</v>
      </c>
      <c r="AQ207" s="33"/>
      <c r="AR207" s="54"/>
      <c r="AS207" s="54"/>
      <c r="AT207" s="54"/>
      <c r="AU207" s="54"/>
      <c r="AV207" s="54"/>
      <c r="AW207" s="54"/>
      <c r="AX207" s="54"/>
      <c r="AY207" s="54" t="s">
        <v>2269</v>
      </c>
      <c r="AZ207" s="54"/>
      <c r="BA207" s="54"/>
      <c r="BB207" s="54"/>
      <c r="BC207" s="54"/>
      <c r="BD207" s="54" t="s">
        <v>2447</v>
      </c>
      <c r="BE207" s="54"/>
      <c r="BF207" s="54"/>
      <c r="BG207" s="54"/>
      <c r="BH207" s="54"/>
      <c r="BI207" s="54"/>
      <c r="BJ207" s="0"/>
      <c r="BK207" s="0"/>
      <c r="BL207" s="0"/>
      <c r="BM207" s="0"/>
      <c r="BN207" s="0"/>
      <c r="BO207" s="0"/>
      <c r="BP207"/>
      <c r="BQ207"/>
      <c r="BR207"/>
      <c r="BS207"/>
      <c r="BT207"/>
      <c r="BU207"/>
      <c r="BV207"/>
      <c r="BW207"/>
      <c r="BX207"/>
      <c r="BY207"/>
      <c r="BZ207"/>
      <c r="CA207"/>
      <c r="CB207"/>
    </row>
    <row r="208" ht="15.0" customHeight="true">
      <c r="A208" s="51" t="s">
        <v>2448</v>
      </c>
      <c r="B208" s="33"/>
      <c r="C208" s="33" t="s">
        <v>4180</v>
      </c>
      <c r="D208" s="33"/>
      <c r="E208" s="33" t="s">
        <v>4181</v>
      </c>
      <c r="F208" s="33"/>
      <c r="G208" s="55" t="s">
        <v>4182</v>
      </c>
      <c r="H208" s="33" t="s">
        <v>2258</v>
      </c>
      <c r="I208" s="51" t="s">
        <v>4183</v>
      </c>
      <c r="J208" s="33"/>
      <c r="K208" s="51" t="s">
        <v>4184</v>
      </c>
      <c r="L208" s="33" t="s">
        <v>2484</v>
      </c>
      <c r="M208" s="55" t="s">
        <v>4185</v>
      </c>
      <c r="N208" s="55"/>
      <c r="O208" s="33"/>
      <c r="P208" s="33" t="s">
        <v>2251</v>
      </c>
      <c r="Q208" s="33"/>
      <c r="R208" s="33" t="s">
        <v>2263</v>
      </c>
      <c r="S208" s="56" t="s">
        <v>2277</v>
      </c>
      <c r="T208" s="56"/>
      <c r="U208" s="56"/>
      <c r="V208" s="33" t="s">
        <v>4185</v>
      </c>
      <c r="W208" s="94" t="s">
        <v>2574</v>
      </c>
      <c r="X208" s="94" t="s">
        <v>2474</v>
      </c>
      <c r="Y208" s="51"/>
      <c r="Z208" s="51"/>
      <c r="AA208" s="33" t="s">
        <v>2459</v>
      </c>
      <c r="AB208" s="33" t="s">
        <v>2460</v>
      </c>
      <c r="AC208" s="33" t="s">
        <v>2486</v>
      </c>
      <c r="AD208" s="33" t="s">
        <v>2254</v>
      </c>
      <c r="AE208" s="33"/>
      <c r="AF208" s="33" t="s">
        <v>2267</v>
      </c>
      <c r="AG208" s="33" t="s">
        <v>2461</v>
      </c>
      <c r="AH208" s="33"/>
      <c r="AI208" s="33"/>
      <c r="AJ208" s="33" t="s">
        <v>4186</v>
      </c>
      <c r="AK208" s="94"/>
      <c r="AL208" s="33" t="s">
        <v>4187</v>
      </c>
      <c r="AM208" s="33" t="s">
        <v>4188</v>
      </c>
      <c r="AN208" s="33" t="s">
        <v>2465</v>
      </c>
      <c r="AO208" s="51" t="s">
        <v>2500</v>
      </c>
      <c r="AP208" s="51" t="s">
        <v>207</v>
      </c>
      <c r="AQ208" s="33"/>
      <c r="AR208" s="54"/>
      <c r="AS208" s="54"/>
      <c r="AT208" s="54"/>
      <c r="AU208" s="54"/>
      <c r="AV208" s="54"/>
      <c r="AW208" s="54"/>
      <c r="AX208" s="54"/>
      <c r="AY208" s="54" t="s">
        <v>2269</v>
      </c>
      <c r="AZ208" s="54"/>
      <c r="BA208" s="54"/>
      <c r="BB208" s="54"/>
      <c r="BC208" s="54"/>
      <c r="BD208" s="54" t="s">
        <v>2447</v>
      </c>
      <c r="BE208" s="54"/>
      <c r="BF208" s="54"/>
      <c r="BG208" s="54"/>
      <c r="BH208" s="54"/>
      <c r="BI208" s="54"/>
      <c r="BJ208" s="0"/>
      <c r="BK208" s="0"/>
      <c r="BL208" s="0"/>
      <c r="BM208" s="0"/>
      <c r="BN208" s="0"/>
      <c r="BO208" s="0"/>
      <c r="BP208"/>
      <c r="BQ208"/>
      <c r="BR208"/>
      <c r="BS208"/>
      <c r="BT208"/>
      <c r="BU208"/>
      <c r="BV208"/>
      <c r="BW208"/>
      <c r="BX208"/>
      <c r="BY208"/>
      <c r="BZ208"/>
      <c r="CA208"/>
      <c r="CB208"/>
    </row>
    <row r="209" ht="15.0" customHeight="true">
      <c r="A209" s="51" t="s">
        <v>2448</v>
      </c>
      <c r="B209" s="33"/>
      <c r="C209" s="33" t="s">
        <v>4189</v>
      </c>
      <c r="D209" s="33"/>
      <c r="E209" s="33" t="s">
        <v>4190</v>
      </c>
      <c r="F209" s="33"/>
      <c r="G209" s="55" t="s">
        <v>4191</v>
      </c>
      <c r="H209" s="33" t="s">
        <v>2247</v>
      </c>
      <c r="I209" s="51" t="s">
        <v>4192</v>
      </c>
      <c r="J209" s="33"/>
      <c r="K209" s="51" t="s">
        <v>4193</v>
      </c>
      <c r="L209" s="33" t="s">
        <v>2484</v>
      </c>
      <c r="M209" s="55" t="s">
        <v>4185</v>
      </c>
      <c r="N209" s="55"/>
      <c r="O209" s="33"/>
      <c r="P209" s="33" t="s">
        <v>2251</v>
      </c>
      <c r="Q209" s="33"/>
      <c r="R209" s="33" t="s">
        <v>2263</v>
      </c>
      <c r="S209" s="56" t="s">
        <v>2277</v>
      </c>
      <c r="T209" s="56"/>
      <c r="U209" s="56"/>
      <c r="V209" s="33" t="s">
        <v>4185</v>
      </c>
      <c r="W209" s="94" t="s">
        <v>2574</v>
      </c>
      <c r="X209" s="94" t="s">
        <v>2474</v>
      </c>
      <c r="Y209" s="51"/>
      <c r="Z209" s="51"/>
      <c r="AA209" s="33" t="s">
        <v>2459</v>
      </c>
      <c r="AB209" s="33" t="s">
        <v>2460</v>
      </c>
      <c r="AC209" s="33" t="s">
        <v>2486</v>
      </c>
      <c r="AD209" s="33" t="s">
        <v>2254</v>
      </c>
      <c r="AE209" s="33"/>
      <c r="AF209" s="33" t="s">
        <v>2267</v>
      </c>
      <c r="AG209" s="33" t="s">
        <v>2461</v>
      </c>
      <c r="AH209" s="33"/>
      <c r="AI209" s="33"/>
      <c r="AJ209" s="33" t="s">
        <v>4194</v>
      </c>
      <c r="AK209" s="94"/>
      <c r="AL209" s="33" t="s">
        <v>4195</v>
      </c>
      <c r="AM209" s="33"/>
      <c r="AN209" s="33" t="s">
        <v>2465</v>
      </c>
      <c r="AO209" s="51" t="s">
        <v>2489</v>
      </c>
      <c r="AP209" s="51" t="s">
        <v>207</v>
      </c>
      <c r="AQ209" s="33"/>
      <c r="AR209" s="54"/>
      <c r="AS209" s="54"/>
      <c r="AT209" s="54"/>
      <c r="AU209" s="54"/>
      <c r="AV209" s="54"/>
      <c r="AW209" s="54"/>
      <c r="AX209" s="54"/>
      <c r="AY209" s="54" t="s">
        <v>2269</v>
      </c>
      <c r="AZ209" s="54"/>
      <c r="BA209" s="54"/>
      <c r="BB209" s="54"/>
      <c r="BC209" s="54"/>
      <c r="BD209" s="54" t="s">
        <v>2447</v>
      </c>
      <c r="BE209" s="54"/>
      <c r="BF209" s="54"/>
      <c r="BG209" s="54"/>
      <c r="BH209" s="54"/>
      <c r="BI209" s="54"/>
      <c r="BJ209" s="0"/>
      <c r="BK209" s="0"/>
      <c r="BL209" s="0"/>
      <c r="BM209" s="0"/>
      <c r="BN209" s="0"/>
      <c r="BO209" s="0"/>
      <c r="BP209"/>
      <c r="BQ209"/>
      <c r="BR209"/>
      <c r="BS209"/>
      <c r="BT209"/>
      <c r="BU209"/>
      <c r="BV209"/>
      <c r="BW209"/>
      <c r="BX209"/>
      <c r="BY209"/>
      <c r="BZ209"/>
      <c r="CA209"/>
      <c r="CB209"/>
    </row>
    <row r="210" ht="15.0" customHeight="true">
      <c r="A210" s="51" t="s">
        <v>2448</v>
      </c>
      <c r="B210" s="33"/>
      <c r="C210" s="33" t="s">
        <v>4196</v>
      </c>
      <c r="D210" s="33"/>
      <c r="E210" s="33" t="s">
        <v>4197</v>
      </c>
      <c r="F210" s="33"/>
      <c r="G210" s="55" t="s">
        <v>4198</v>
      </c>
      <c r="H210" s="33" t="s">
        <v>2247</v>
      </c>
      <c r="I210" s="51" t="s">
        <v>4199</v>
      </c>
      <c r="J210" s="33"/>
      <c r="K210" s="51" t="s">
        <v>4200</v>
      </c>
      <c r="L210" s="33" t="s">
        <v>2484</v>
      </c>
      <c r="M210" s="55" t="s">
        <v>4185</v>
      </c>
      <c r="N210" s="55"/>
      <c r="O210" s="33"/>
      <c r="P210" s="33" t="s">
        <v>2251</v>
      </c>
      <c r="Q210" s="33"/>
      <c r="R210" s="33" t="s">
        <v>2263</v>
      </c>
      <c r="S210" s="56" t="s">
        <v>2277</v>
      </c>
      <c r="T210" s="56"/>
      <c r="U210" s="56"/>
      <c r="V210" s="33" t="s">
        <v>4185</v>
      </c>
      <c r="W210" s="94" t="s">
        <v>2574</v>
      </c>
      <c r="X210" s="94" t="s">
        <v>2474</v>
      </c>
      <c r="Y210" s="51"/>
      <c r="Z210" s="51"/>
      <c r="AA210" s="33" t="s">
        <v>2459</v>
      </c>
      <c r="AB210" s="33" t="s">
        <v>2460</v>
      </c>
      <c r="AC210" s="33" t="s">
        <v>2486</v>
      </c>
      <c r="AD210" s="33" t="s">
        <v>2254</v>
      </c>
      <c r="AE210" s="33"/>
      <c r="AF210" s="33" t="s">
        <v>2267</v>
      </c>
      <c r="AG210" s="33" t="s">
        <v>2461</v>
      </c>
      <c r="AH210" s="33"/>
      <c r="AI210" s="33"/>
      <c r="AJ210" s="33" t="s">
        <v>4201</v>
      </c>
      <c r="AK210" s="94"/>
      <c r="AL210" s="33" t="s">
        <v>4202</v>
      </c>
      <c r="AM210" s="33"/>
      <c r="AN210" s="33" t="s">
        <v>2465</v>
      </c>
      <c r="AO210" s="51" t="s">
        <v>2820</v>
      </c>
      <c r="AP210" s="51" t="s">
        <v>207</v>
      </c>
      <c r="AQ210" s="33"/>
      <c r="AR210" s="54"/>
      <c r="AS210" s="54"/>
      <c r="AT210" s="54"/>
      <c r="AU210" s="54"/>
      <c r="AV210" s="54"/>
      <c r="AW210" s="54"/>
      <c r="AX210" s="54"/>
      <c r="AY210" s="54" t="s">
        <v>2269</v>
      </c>
      <c r="AZ210" s="54"/>
      <c r="BA210" s="54"/>
      <c r="BB210" s="54"/>
      <c r="BC210" s="54"/>
      <c r="BD210" s="54" t="s">
        <v>2447</v>
      </c>
      <c r="BE210" s="54"/>
      <c r="BF210" s="54"/>
      <c r="BG210" s="54"/>
      <c r="BH210" s="54"/>
      <c r="BI210" s="54"/>
      <c r="BJ210" s="0"/>
      <c r="BK210" s="0"/>
      <c r="BL210" s="0"/>
      <c r="BM210" s="0"/>
      <c r="BN210" s="0"/>
      <c r="BO210" s="0"/>
      <c r="BP210"/>
      <c r="BQ210"/>
      <c r="BR210"/>
      <c r="BS210"/>
      <c r="BT210"/>
      <c r="BU210"/>
      <c r="BV210"/>
      <c r="BW210"/>
      <c r="BX210"/>
      <c r="BY210"/>
      <c r="BZ210"/>
      <c r="CA210"/>
      <c r="CB210"/>
    </row>
    <row r="211" ht="15.0" customHeight="true">
      <c r="A211" s="51" t="s">
        <v>2448</v>
      </c>
      <c r="B211" s="33"/>
      <c r="C211" s="33" t="s">
        <v>3766</v>
      </c>
      <c r="D211" s="33"/>
      <c r="E211" s="33" t="s">
        <v>4203</v>
      </c>
      <c r="F211" s="33"/>
      <c r="G211" s="55" t="s">
        <v>4204</v>
      </c>
      <c r="H211" s="33" t="s">
        <v>2247</v>
      </c>
      <c r="I211" s="51" t="s">
        <v>4205</v>
      </c>
      <c r="J211" s="33"/>
      <c r="K211" s="51" t="s">
        <v>4206</v>
      </c>
      <c r="L211" s="33" t="s">
        <v>2484</v>
      </c>
      <c r="M211" s="55" t="s">
        <v>3844</v>
      </c>
      <c r="N211" s="55"/>
      <c r="O211" s="33"/>
      <c r="P211" s="33" t="s">
        <v>2251</v>
      </c>
      <c r="Q211" s="33"/>
      <c r="R211" s="33" t="s">
        <v>2263</v>
      </c>
      <c r="S211" s="56" t="s">
        <v>2277</v>
      </c>
      <c r="T211" s="56"/>
      <c r="U211" s="56"/>
      <c r="V211" s="33" t="s">
        <v>3844</v>
      </c>
      <c r="W211" s="94" t="s">
        <v>2457</v>
      </c>
      <c r="X211" s="94" t="s">
        <v>2474</v>
      </c>
      <c r="Y211" s="51"/>
      <c r="Z211" s="51"/>
      <c r="AA211" s="33" t="s">
        <v>2459</v>
      </c>
      <c r="AB211" s="33" t="s">
        <v>2460</v>
      </c>
      <c r="AC211" s="33" t="s">
        <v>2486</v>
      </c>
      <c r="AD211" s="33" t="s">
        <v>2254</v>
      </c>
      <c r="AE211" s="33"/>
      <c r="AF211" s="33" t="s">
        <v>2267</v>
      </c>
      <c r="AG211" s="33" t="s">
        <v>2461</v>
      </c>
      <c r="AH211" s="33"/>
      <c r="AI211" s="33"/>
      <c r="AJ211" s="33" t="s">
        <v>4207</v>
      </c>
      <c r="AK211" s="94"/>
      <c r="AL211" s="33" t="s">
        <v>4208</v>
      </c>
      <c r="AM211" s="33"/>
      <c r="AN211" s="33" t="s">
        <v>2465</v>
      </c>
      <c r="AO211" s="51" t="s">
        <v>2489</v>
      </c>
      <c r="AP211" s="51" t="s">
        <v>207</v>
      </c>
      <c r="AQ211" s="33"/>
      <c r="AR211" s="54"/>
      <c r="AS211" s="54"/>
      <c r="AT211" s="54"/>
      <c r="AU211" s="54"/>
      <c r="AV211" s="54"/>
      <c r="AW211" s="54"/>
      <c r="AX211" s="54"/>
      <c r="AY211" s="54" t="s">
        <v>2269</v>
      </c>
      <c r="AZ211" s="54"/>
      <c r="BA211" s="54"/>
      <c r="BB211" s="54"/>
      <c r="BC211" s="54"/>
      <c r="BD211" s="54"/>
      <c r="BE211" s="54"/>
      <c r="BF211" s="54"/>
      <c r="BG211" s="54"/>
      <c r="BH211" s="54"/>
      <c r="BI211" s="54"/>
      <c r="BJ211" s="0"/>
      <c r="BK211" s="0"/>
      <c r="BL211" s="0"/>
      <c r="BM211" s="0"/>
      <c r="BN211" s="0"/>
      <c r="BO211" s="0"/>
      <c r="BP211"/>
      <c r="BQ211"/>
      <c r="BR211"/>
      <c r="BS211"/>
      <c r="BT211"/>
      <c r="BU211"/>
      <c r="BV211"/>
      <c r="BW211"/>
      <c r="BX211"/>
      <c r="BY211"/>
      <c r="BZ211"/>
      <c r="CA211"/>
      <c r="CB211"/>
    </row>
    <row r="212" ht="15.0" customHeight="true">
      <c r="A212" s="51" t="s">
        <v>2448</v>
      </c>
      <c r="B212" s="33"/>
      <c r="C212" s="33" t="s">
        <v>4209</v>
      </c>
      <c r="D212" s="33"/>
      <c r="E212" s="33" t="s">
        <v>4210</v>
      </c>
      <c r="F212" s="33"/>
      <c r="G212" s="55" t="s">
        <v>4211</v>
      </c>
      <c r="H212" s="33" t="s">
        <v>2247</v>
      </c>
      <c r="I212" s="51" t="s">
        <v>4212</v>
      </c>
      <c r="J212" s="33"/>
      <c r="K212" s="51" t="s">
        <v>4213</v>
      </c>
      <c r="L212" s="33" t="s">
        <v>2484</v>
      </c>
      <c r="M212" s="55" t="s">
        <v>4214</v>
      </c>
      <c r="N212" s="55"/>
      <c r="O212" s="33"/>
      <c r="P212" s="33" t="s">
        <v>2251</v>
      </c>
      <c r="Q212" s="33"/>
      <c r="R212" s="33" t="s">
        <v>2263</v>
      </c>
      <c r="S212" s="56" t="s">
        <v>2277</v>
      </c>
      <c r="T212" s="56"/>
      <c r="U212" s="56"/>
      <c r="V212" s="33" t="s">
        <v>4214</v>
      </c>
      <c r="W212" s="94" t="s">
        <v>2457</v>
      </c>
      <c r="X212" s="94" t="s">
        <v>2474</v>
      </c>
      <c r="Y212" s="51"/>
      <c r="Z212" s="51"/>
      <c r="AA212" s="33" t="s">
        <v>2459</v>
      </c>
      <c r="AB212" s="33" t="s">
        <v>2460</v>
      </c>
      <c r="AC212" s="33" t="s">
        <v>2486</v>
      </c>
      <c r="AD212" s="33" t="s">
        <v>2254</v>
      </c>
      <c r="AE212" s="33"/>
      <c r="AF212" s="33" t="s">
        <v>2267</v>
      </c>
      <c r="AG212" s="33" t="s">
        <v>2461</v>
      </c>
      <c r="AH212" s="33"/>
      <c r="AI212" s="33"/>
      <c r="AJ212" s="33" t="s">
        <v>4215</v>
      </c>
      <c r="AK212" s="94"/>
      <c r="AL212" s="33" t="s">
        <v>3865</v>
      </c>
      <c r="AM212" s="33" t="s">
        <v>4216</v>
      </c>
      <c r="AN212" s="33" t="s">
        <v>2588</v>
      </c>
      <c r="AO212" s="51" t="s">
        <v>2589</v>
      </c>
      <c r="AP212" s="51" t="s">
        <v>207</v>
      </c>
      <c r="AQ212" s="33"/>
      <c r="AR212" s="54"/>
      <c r="AS212" s="54"/>
      <c r="AT212" s="54"/>
      <c r="AU212" s="54"/>
      <c r="AV212" s="54"/>
      <c r="AW212" s="54"/>
      <c r="AX212" s="54"/>
      <c r="AY212" s="54" t="s">
        <v>2269</v>
      </c>
      <c r="AZ212" s="54"/>
      <c r="BA212" s="54"/>
      <c r="BB212" s="54"/>
      <c r="BC212" s="54"/>
      <c r="BD212" s="54" t="s">
        <v>2447</v>
      </c>
      <c r="BE212" s="54"/>
      <c r="BF212" s="54"/>
      <c r="BG212" s="54"/>
      <c r="BH212" s="54"/>
      <c r="BI212" s="54"/>
      <c r="BJ212" s="0"/>
      <c r="BK212" s="0"/>
      <c r="BL212" s="0"/>
      <c r="BM212" s="0"/>
      <c r="BN212" s="0"/>
      <c r="BO212" s="0"/>
      <c r="BP212"/>
      <c r="BQ212"/>
      <c r="BR212"/>
      <c r="BS212"/>
      <c r="BT212"/>
      <c r="BU212"/>
      <c r="BV212"/>
      <c r="BW212"/>
      <c r="BX212"/>
      <c r="BY212"/>
      <c r="BZ212"/>
      <c r="CA212"/>
      <c r="CB212"/>
    </row>
    <row r="213" ht="15.0" customHeight="true">
      <c r="A213" s="51" t="s">
        <v>2448</v>
      </c>
      <c r="B213" s="33"/>
      <c r="C213" s="33" t="s">
        <v>4217</v>
      </c>
      <c r="D213" s="33"/>
      <c r="E213" s="33" t="s">
        <v>4218</v>
      </c>
      <c r="F213" s="33"/>
      <c r="G213" s="55" t="s">
        <v>4219</v>
      </c>
      <c r="H213" s="33" t="s">
        <v>2247</v>
      </c>
      <c r="I213" s="51" t="s">
        <v>4220</v>
      </c>
      <c r="J213" s="33"/>
      <c r="K213" s="51" t="s">
        <v>4221</v>
      </c>
      <c r="L213" s="33" t="s">
        <v>2484</v>
      </c>
      <c r="M213" s="55" t="s">
        <v>4214</v>
      </c>
      <c r="N213" s="55"/>
      <c r="O213" s="33"/>
      <c r="P213" s="33" t="s">
        <v>2251</v>
      </c>
      <c r="Q213" s="33"/>
      <c r="R213" s="33" t="s">
        <v>2263</v>
      </c>
      <c r="S213" s="56" t="s">
        <v>2277</v>
      </c>
      <c r="T213" s="56"/>
      <c r="U213" s="56"/>
      <c r="V213" s="33" t="s">
        <v>4214</v>
      </c>
      <c r="W213" s="94" t="s">
        <v>2574</v>
      </c>
      <c r="X213" s="94" t="s">
        <v>2474</v>
      </c>
      <c r="Y213" s="51"/>
      <c r="Z213" s="51"/>
      <c r="AA213" s="33" t="s">
        <v>2459</v>
      </c>
      <c r="AB213" s="33" t="s">
        <v>2460</v>
      </c>
      <c r="AC213" s="33" t="s">
        <v>2486</v>
      </c>
      <c r="AD213" s="33" t="s">
        <v>2254</v>
      </c>
      <c r="AE213" s="33"/>
      <c r="AF213" s="33" t="s">
        <v>2267</v>
      </c>
      <c r="AG213" s="33" t="s">
        <v>2461</v>
      </c>
      <c r="AH213" s="33"/>
      <c r="AI213" s="33"/>
      <c r="AJ213" s="33" t="s">
        <v>4222</v>
      </c>
      <c r="AK213" s="94"/>
      <c r="AL213" s="33" t="s">
        <v>4223</v>
      </c>
      <c r="AM213" s="33"/>
      <c r="AN213" s="33" t="s">
        <v>2465</v>
      </c>
      <c r="AO213" s="51" t="s">
        <v>2618</v>
      </c>
      <c r="AP213" s="51" t="s">
        <v>207</v>
      </c>
      <c r="AQ213" s="33"/>
      <c r="AR213" s="54"/>
      <c r="AS213" s="54"/>
      <c r="AT213" s="54"/>
      <c r="AU213" s="54"/>
      <c r="AV213" s="54"/>
      <c r="AW213" s="54"/>
      <c r="AX213" s="54"/>
      <c r="AY213" s="54" t="s">
        <v>2269</v>
      </c>
      <c r="AZ213" s="54"/>
      <c r="BA213" s="54"/>
      <c r="BB213" s="54"/>
      <c r="BC213" s="54"/>
      <c r="BD213" s="54" t="s">
        <v>2447</v>
      </c>
      <c r="BE213" s="54"/>
      <c r="BF213" s="54"/>
      <c r="BG213" s="54"/>
      <c r="BH213" s="54"/>
      <c r="BI213" s="54"/>
      <c r="BJ213" s="0"/>
      <c r="BK213" s="0"/>
      <c r="BL213" s="0"/>
      <c r="BM213" s="0"/>
      <c r="BN213" s="0"/>
      <c r="BO213" s="0"/>
      <c r="BP213"/>
      <c r="BQ213"/>
      <c r="BR213"/>
      <c r="BS213"/>
      <c r="BT213"/>
      <c r="BU213"/>
      <c r="BV213"/>
      <c r="BW213"/>
      <c r="BX213"/>
      <c r="BY213"/>
      <c r="BZ213"/>
      <c r="CA213"/>
      <c r="CB213"/>
    </row>
    <row r="214" ht="15.0" customHeight="true">
      <c r="A214" s="51" t="s">
        <v>2448</v>
      </c>
      <c r="B214" s="33"/>
      <c r="C214" s="33" t="s">
        <v>4224</v>
      </c>
      <c r="D214" s="33"/>
      <c r="E214" s="33" t="s">
        <v>4225</v>
      </c>
      <c r="F214" s="33"/>
      <c r="G214" s="55" t="s">
        <v>4226</v>
      </c>
      <c r="H214" s="33" t="s">
        <v>2258</v>
      </c>
      <c r="I214" s="51" t="s">
        <v>4227</v>
      </c>
      <c r="J214" s="33"/>
      <c r="K214" s="51" t="s">
        <v>4228</v>
      </c>
      <c r="L214" s="33" t="s">
        <v>2484</v>
      </c>
      <c r="M214" s="55" t="s">
        <v>4229</v>
      </c>
      <c r="N214" s="55"/>
      <c r="O214" s="33"/>
      <c r="P214" s="33" t="s">
        <v>2251</v>
      </c>
      <c r="Q214" s="33"/>
      <c r="R214" s="33" t="s">
        <v>2263</v>
      </c>
      <c r="S214" s="56" t="s">
        <v>2277</v>
      </c>
      <c r="T214" s="56"/>
      <c r="U214" s="56"/>
      <c r="V214" s="33" t="s">
        <v>4229</v>
      </c>
      <c r="W214" s="94" t="s">
        <v>2574</v>
      </c>
      <c r="X214" s="94" t="s">
        <v>2474</v>
      </c>
      <c r="Y214" s="51"/>
      <c r="Z214" s="51"/>
      <c r="AA214" s="33" t="s">
        <v>2459</v>
      </c>
      <c r="AB214" s="33" t="s">
        <v>2460</v>
      </c>
      <c r="AC214" s="33" t="s">
        <v>2486</v>
      </c>
      <c r="AD214" s="33" t="s">
        <v>2254</v>
      </c>
      <c r="AE214" s="33"/>
      <c r="AF214" s="33" t="s">
        <v>2267</v>
      </c>
      <c r="AG214" s="33" t="s">
        <v>2461</v>
      </c>
      <c r="AH214" s="33"/>
      <c r="AI214" s="33"/>
      <c r="AJ214" s="33" t="s">
        <v>4230</v>
      </c>
      <c r="AK214" s="94"/>
      <c r="AL214" s="33" t="s">
        <v>4231</v>
      </c>
      <c r="AM214" s="33" t="s">
        <v>4013</v>
      </c>
      <c r="AN214" s="33" t="s">
        <v>2465</v>
      </c>
      <c r="AO214" s="51" t="s">
        <v>2466</v>
      </c>
      <c r="AP214" s="51" t="s">
        <v>207</v>
      </c>
      <c r="AQ214" s="33"/>
      <c r="AR214" s="54"/>
      <c r="AS214" s="54"/>
      <c r="AT214" s="54"/>
      <c r="AU214" s="54"/>
      <c r="AV214" s="54"/>
      <c r="AW214" s="54"/>
      <c r="AX214" s="54"/>
      <c r="AY214" s="54" t="s">
        <v>2269</v>
      </c>
      <c r="AZ214" s="54"/>
      <c r="BA214" s="54"/>
      <c r="BB214" s="54"/>
      <c r="BC214" s="54"/>
      <c r="BD214" s="54" t="s">
        <v>2447</v>
      </c>
      <c r="BE214" s="54"/>
      <c r="BF214" s="54"/>
      <c r="BG214" s="54"/>
      <c r="BH214" s="54"/>
      <c r="BI214" s="54"/>
      <c r="BJ214" s="0"/>
      <c r="BK214" s="0"/>
      <c r="BL214" s="0"/>
      <c r="BM214" s="0"/>
      <c r="BN214" s="0"/>
      <c r="BO214" s="0"/>
      <c r="BP214"/>
      <c r="BQ214"/>
      <c r="BR214"/>
      <c r="BS214"/>
      <c r="BT214"/>
      <c r="BU214"/>
      <c r="BV214"/>
      <c r="BW214"/>
      <c r="BX214"/>
      <c r="BY214"/>
      <c r="BZ214"/>
      <c r="CA214"/>
      <c r="CB214"/>
    </row>
    <row r="215" ht="15.0" customHeight="true">
      <c r="A215" s="51" t="s">
        <v>2448</v>
      </c>
      <c r="B215" s="33"/>
      <c r="C215" s="33" t="s">
        <v>4232</v>
      </c>
      <c r="D215" s="33"/>
      <c r="E215" s="33" t="s">
        <v>4233</v>
      </c>
      <c r="F215" s="33"/>
      <c r="G215" s="55" t="s">
        <v>4234</v>
      </c>
      <c r="H215" s="33" t="s">
        <v>2258</v>
      </c>
      <c r="I215" s="51" t="s">
        <v>4235</v>
      </c>
      <c r="J215" s="33"/>
      <c r="K215" s="51" t="s">
        <v>4236</v>
      </c>
      <c r="L215" s="33" t="s">
        <v>2484</v>
      </c>
      <c r="M215" s="55" t="s">
        <v>4237</v>
      </c>
      <c r="N215" s="55"/>
      <c r="O215" s="33"/>
      <c r="P215" s="33" t="s">
        <v>2251</v>
      </c>
      <c r="Q215" s="33"/>
      <c r="R215" s="33" t="s">
        <v>2263</v>
      </c>
      <c r="S215" s="56" t="s">
        <v>2277</v>
      </c>
      <c r="T215" s="56"/>
      <c r="U215" s="56"/>
      <c r="V215" s="33" t="s">
        <v>4237</v>
      </c>
      <c r="W215" s="94" t="s">
        <v>2574</v>
      </c>
      <c r="X215" s="94" t="s">
        <v>2474</v>
      </c>
      <c r="Y215" s="51"/>
      <c r="Z215" s="51"/>
      <c r="AA215" s="33" t="s">
        <v>2459</v>
      </c>
      <c r="AB215" s="33" t="s">
        <v>2460</v>
      </c>
      <c r="AC215" s="33" t="s">
        <v>2486</v>
      </c>
      <c r="AD215" s="33" t="s">
        <v>2254</v>
      </c>
      <c r="AE215" s="33"/>
      <c r="AF215" s="33" t="s">
        <v>2267</v>
      </c>
      <c r="AG215" s="33" t="s">
        <v>2461</v>
      </c>
      <c r="AH215" s="33"/>
      <c r="AI215" s="33"/>
      <c r="AJ215" s="33" t="s">
        <v>4238</v>
      </c>
      <c r="AK215" s="94"/>
      <c r="AL215" s="33" t="s">
        <v>4239</v>
      </c>
      <c r="AM215" s="33"/>
      <c r="AN215" s="33" t="s">
        <v>2465</v>
      </c>
      <c r="AO215" s="51" t="s">
        <v>2538</v>
      </c>
      <c r="AP215" s="51" t="s">
        <v>207</v>
      </c>
      <c r="AQ215" s="33"/>
      <c r="AR215" s="54"/>
      <c r="AS215" s="54"/>
      <c r="AT215" s="54"/>
      <c r="AU215" s="54"/>
      <c r="AV215" s="54"/>
      <c r="AW215" s="54"/>
      <c r="AX215" s="54"/>
      <c r="AY215" s="54" t="s">
        <v>2269</v>
      </c>
      <c r="AZ215" s="54"/>
      <c r="BA215" s="54"/>
      <c r="BB215" s="54"/>
      <c r="BC215" s="54"/>
      <c r="BD215" s="54" t="s">
        <v>2447</v>
      </c>
      <c r="BE215" s="54"/>
      <c r="BF215" s="54"/>
      <c r="BG215" s="54"/>
      <c r="BH215" s="54"/>
      <c r="BI215" s="54"/>
      <c r="BJ215" s="0"/>
      <c r="BK215" s="0"/>
      <c r="BL215" s="0"/>
      <c r="BM215" s="0"/>
      <c r="BN215" s="0"/>
      <c r="BO215" s="0"/>
      <c r="BP215"/>
      <c r="BQ215"/>
      <c r="BR215"/>
      <c r="BS215"/>
      <c r="BT215"/>
      <c r="BU215"/>
      <c r="BV215"/>
      <c r="BW215"/>
      <c r="BX215"/>
      <c r="BY215"/>
      <c r="BZ215"/>
      <c r="CA215"/>
      <c r="CB215"/>
    </row>
    <row r="216" ht="15.0" customHeight="true">
      <c r="A216" s="51" t="s">
        <v>2448</v>
      </c>
      <c r="B216" s="33"/>
      <c r="C216" s="33" t="s">
        <v>4240</v>
      </c>
      <c r="D216" s="33"/>
      <c r="E216" s="33" t="s">
        <v>4241</v>
      </c>
      <c r="F216" s="33"/>
      <c r="G216" s="55" t="s">
        <v>4242</v>
      </c>
      <c r="H216" s="33" t="s">
        <v>2258</v>
      </c>
      <c r="I216" s="51" t="s">
        <v>4243</v>
      </c>
      <c r="J216" s="33"/>
      <c r="K216" s="51" t="s">
        <v>4244</v>
      </c>
      <c r="L216" s="33" t="s">
        <v>2484</v>
      </c>
      <c r="M216" s="55" t="s">
        <v>4245</v>
      </c>
      <c r="N216" s="55"/>
      <c r="O216" s="33"/>
      <c r="P216" s="33" t="s">
        <v>2251</v>
      </c>
      <c r="Q216" s="33"/>
      <c r="R216" s="33" t="s">
        <v>2263</v>
      </c>
      <c r="S216" s="56" t="s">
        <v>2277</v>
      </c>
      <c r="T216" s="56"/>
      <c r="U216" s="56"/>
      <c r="V216" s="33" t="s">
        <v>4245</v>
      </c>
      <c r="W216" s="94" t="s">
        <v>2574</v>
      </c>
      <c r="X216" s="94" t="s">
        <v>2474</v>
      </c>
      <c r="Y216" s="51"/>
      <c r="Z216" s="51"/>
      <c r="AA216" s="33" t="s">
        <v>2459</v>
      </c>
      <c r="AB216" s="33" t="s">
        <v>2460</v>
      </c>
      <c r="AC216" s="33" t="s">
        <v>2486</v>
      </c>
      <c r="AD216" s="33" t="s">
        <v>2254</v>
      </c>
      <c r="AE216" s="33"/>
      <c r="AF216" s="33" t="s">
        <v>2267</v>
      </c>
      <c r="AG216" s="33" t="s">
        <v>2461</v>
      </c>
      <c r="AH216" s="33"/>
      <c r="AI216" s="33"/>
      <c r="AJ216" s="33" t="s">
        <v>4246</v>
      </c>
      <c r="AK216" s="94"/>
      <c r="AL216" s="33" t="s">
        <v>4247</v>
      </c>
      <c r="AM216" s="33"/>
      <c r="AN216" s="33" t="s">
        <v>2465</v>
      </c>
      <c r="AO216" s="51" t="s">
        <v>2489</v>
      </c>
      <c r="AP216" s="51" t="s">
        <v>207</v>
      </c>
      <c r="AQ216" s="33"/>
      <c r="AR216" s="54"/>
      <c r="AS216" s="54"/>
      <c r="AT216" s="54"/>
      <c r="AU216" s="54"/>
      <c r="AV216" s="54"/>
      <c r="AW216" s="54"/>
      <c r="AX216" s="54"/>
      <c r="AY216" s="54" t="s">
        <v>2269</v>
      </c>
      <c r="AZ216" s="54"/>
      <c r="BA216" s="54"/>
      <c r="BB216" s="54"/>
      <c r="BC216" s="54"/>
      <c r="BD216" s="54" t="s">
        <v>2447</v>
      </c>
      <c r="BE216" s="54"/>
      <c r="BF216" s="54"/>
      <c r="BG216" s="54"/>
      <c r="BH216" s="54"/>
      <c r="BI216" s="54"/>
      <c r="BJ216" s="0"/>
      <c r="BK216" s="0"/>
      <c r="BL216" s="0"/>
      <c r="BM216" s="0"/>
      <c r="BN216" s="0"/>
      <c r="BO216" s="0"/>
      <c r="BP216"/>
      <c r="BQ216"/>
      <c r="BR216"/>
      <c r="BS216"/>
      <c r="BT216"/>
      <c r="BU216"/>
      <c r="BV216"/>
      <c r="BW216"/>
      <c r="BX216"/>
      <c r="BY216"/>
      <c r="BZ216"/>
      <c r="CA216"/>
      <c r="CB216"/>
    </row>
    <row r="217" ht="15.0" customHeight="true">
      <c r="A217" s="51" t="s">
        <v>2448</v>
      </c>
      <c r="B217" s="33"/>
      <c r="C217" s="33" t="s">
        <v>4248</v>
      </c>
      <c r="D217" s="33"/>
      <c r="E217" s="33" t="s">
        <v>2540</v>
      </c>
      <c r="F217" s="33"/>
      <c r="G217" s="55" t="s">
        <v>4249</v>
      </c>
      <c r="H217" s="33" t="s">
        <v>2247</v>
      </c>
      <c r="I217" s="51" t="s">
        <v>4250</v>
      </c>
      <c r="J217" s="33"/>
      <c r="K217" s="51" t="s">
        <v>4251</v>
      </c>
      <c r="L217" s="33" t="s">
        <v>2484</v>
      </c>
      <c r="M217" s="55" t="s">
        <v>4185</v>
      </c>
      <c r="N217" s="55"/>
      <c r="O217" s="33"/>
      <c r="P217" s="33" t="s">
        <v>2251</v>
      </c>
      <c r="Q217" s="33"/>
      <c r="R217" s="33" t="s">
        <v>2263</v>
      </c>
      <c r="S217" s="56" t="s">
        <v>2277</v>
      </c>
      <c r="T217" s="56"/>
      <c r="U217" s="56"/>
      <c r="V217" s="33" t="s">
        <v>4185</v>
      </c>
      <c r="W217" s="94" t="s">
        <v>2574</v>
      </c>
      <c r="X217" s="94" t="s">
        <v>2474</v>
      </c>
      <c r="Y217" s="51"/>
      <c r="Z217" s="51"/>
      <c r="AA217" s="33" t="s">
        <v>2459</v>
      </c>
      <c r="AB217" s="33" t="s">
        <v>2460</v>
      </c>
      <c r="AC217" s="33" t="s">
        <v>2486</v>
      </c>
      <c r="AD217" s="33" t="s">
        <v>2254</v>
      </c>
      <c r="AE217" s="33"/>
      <c r="AF217" s="33" t="s">
        <v>2267</v>
      </c>
      <c r="AG217" s="33" t="s">
        <v>2461</v>
      </c>
      <c r="AH217" s="33"/>
      <c r="AI217" s="33"/>
      <c r="AJ217" s="33" t="s">
        <v>4252</v>
      </c>
      <c r="AK217" s="94"/>
      <c r="AL217" s="33" t="s">
        <v>4253</v>
      </c>
      <c r="AM217" s="33"/>
      <c r="AN217" s="33" t="s">
        <v>2465</v>
      </c>
      <c r="AO217" s="51" t="s">
        <v>2489</v>
      </c>
      <c r="AP217" s="51" t="s">
        <v>207</v>
      </c>
      <c r="AQ217" s="33"/>
      <c r="AR217" s="54"/>
      <c r="AS217" s="54"/>
      <c r="AT217" s="54"/>
      <c r="AU217" s="54"/>
      <c r="AV217" s="54"/>
      <c r="AW217" s="54"/>
      <c r="AX217" s="54"/>
      <c r="AY217" s="54" t="s">
        <v>2269</v>
      </c>
      <c r="AZ217" s="54"/>
      <c r="BA217" s="54"/>
      <c r="BB217" s="54"/>
      <c r="BC217" s="54"/>
      <c r="BD217" s="54" t="s">
        <v>2447</v>
      </c>
      <c r="BE217" s="54"/>
      <c r="BF217" s="54"/>
      <c r="BG217" s="54"/>
      <c r="BH217" s="54"/>
      <c r="BI217" s="54"/>
      <c r="BJ217" s="0"/>
      <c r="BK217" s="0"/>
      <c r="BL217" s="0"/>
      <c r="BM217" s="0"/>
      <c r="BN217" s="0"/>
      <c r="BO217" s="0"/>
      <c r="BP217"/>
      <c r="BQ217"/>
      <c r="BR217"/>
      <c r="BS217"/>
      <c r="BT217"/>
      <c r="BU217"/>
      <c r="BV217"/>
      <c r="BW217"/>
      <c r="BX217"/>
      <c r="BY217"/>
      <c r="BZ217"/>
      <c r="CA217"/>
      <c r="CB217"/>
    </row>
    <row r="218" ht="15.0" customHeight="true">
      <c r="A218" s="51" t="s">
        <v>2448</v>
      </c>
      <c r="B218" s="33"/>
      <c r="C218" s="33" t="s">
        <v>4254</v>
      </c>
      <c r="D218" s="33"/>
      <c r="E218" s="33" t="s">
        <v>4255</v>
      </c>
      <c r="F218" s="33"/>
      <c r="G218" s="55" t="s">
        <v>4256</v>
      </c>
      <c r="H218" s="33" t="s">
        <v>2247</v>
      </c>
      <c r="I218" s="51" t="s">
        <v>4257</v>
      </c>
      <c r="J218" s="33"/>
      <c r="K218" s="51" t="s">
        <v>4258</v>
      </c>
      <c r="L218" s="33" t="s">
        <v>2484</v>
      </c>
      <c r="M218" s="55" t="s">
        <v>4259</v>
      </c>
      <c r="N218" s="55"/>
      <c r="O218" s="33"/>
      <c r="P218" s="33" t="s">
        <v>2251</v>
      </c>
      <c r="Q218" s="33"/>
      <c r="R218" s="33" t="s">
        <v>2263</v>
      </c>
      <c r="S218" s="56" t="s">
        <v>2277</v>
      </c>
      <c r="T218" s="56"/>
      <c r="U218" s="56"/>
      <c r="V218" s="33" t="s">
        <v>4259</v>
      </c>
      <c r="W218" s="94" t="s">
        <v>2574</v>
      </c>
      <c r="X218" s="94" t="s">
        <v>2474</v>
      </c>
      <c r="Y218" s="51"/>
      <c r="Z218" s="51"/>
      <c r="AA218" s="33" t="s">
        <v>2459</v>
      </c>
      <c r="AB218" s="33" t="s">
        <v>2460</v>
      </c>
      <c r="AC218" s="33" t="s">
        <v>2486</v>
      </c>
      <c r="AD218" s="33" t="s">
        <v>2254</v>
      </c>
      <c r="AE218" s="33"/>
      <c r="AF218" s="33" t="s">
        <v>2267</v>
      </c>
      <c r="AG218" s="33" t="s">
        <v>2461</v>
      </c>
      <c r="AH218" s="33"/>
      <c r="AI218" s="33"/>
      <c r="AJ218" s="33" t="s">
        <v>4260</v>
      </c>
      <c r="AK218" s="94"/>
      <c r="AL218" s="33" t="s">
        <v>4261</v>
      </c>
      <c r="AM218" s="33"/>
      <c r="AN218" s="33" t="s">
        <v>2588</v>
      </c>
      <c r="AO218" s="51" t="s">
        <v>2911</v>
      </c>
      <c r="AP218" s="51" t="s">
        <v>207</v>
      </c>
      <c r="AQ218" s="33"/>
      <c r="AR218" s="54"/>
      <c r="AS218" s="54"/>
      <c r="AT218" s="54"/>
      <c r="AU218" s="54"/>
      <c r="AV218" s="54"/>
      <c r="AW218" s="54"/>
      <c r="AX218" s="54"/>
      <c r="AY218" s="54" t="s">
        <v>2269</v>
      </c>
      <c r="AZ218" s="54"/>
      <c r="BA218" s="54"/>
      <c r="BB218" s="54"/>
      <c r="BC218" s="54"/>
      <c r="BD218" s="54" t="s">
        <v>2447</v>
      </c>
      <c r="BE218" s="54"/>
      <c r="BF218" s="54"/>
      <c r="BG218" s="54"/>
      <c r="BH218" s="54"/>
      <c r="BI218" s="54"/>
      <c r="BJ218" s="0"/>
      <c r="BK218" s="0"/>
      <c r="BL218" s="0"/>
      <c r="BM218" s="0"/>
      <c r="BN218" s="0"/>
      <c r="BO218" s="0"/>
      <c r="BP218"/>
      <c r="BQ218"/>
      <c r="BR218"/>
      <c r="BS218"/>
      <c r="BT218"/>
      <c r="BU218"/>
      <c r="BV218"/>
      <c r="BW218"/>
      <c r="BX218"/>
      <c r="BY218"/>
      <c r="BZ218"/>
      <c r="CA218"/>
      <c r="CB218"/>
    </row>
    <row r="219" ht="15.0" customHeight="true">
      <c r="A219" s="51" t="s">
        <v>2448</v>
      </c>
      <c r="B219" s="33"/>
      <c r="C219" s="33" t="s">
        <v>4262</v>
      </c>
      <c r="D219" s="33"/>
      <c r="E219" s="33" t="s">
        <v>4263</v>
      </c>
      <c r="F219" s="33"/>
      <c r="G219" s="55" t="s">
        <v>4264</v>
      </c>
      <c r="H219" s="33" t="s">
        <v>2247</v>
      </c>
      <c r="I219" s="51" t="s">
        <v>4265</v>
      </c>
      <c r="J219" s="33"/>
      <c r="K219" s="51" t="s">
        <v>4266</v>
      </c>
      <c r="L219" s="33" t="s">
        <v>2484</v>
      </c>
      <c r="M219" s="55" t="s">
        <v>3142</v>
      </c>
      <c r="N219" s="55"/>
      <c r="O219" s="33"/>
      <c r="P219" s="33" t="s">
        <v>2251</v>
      </c>
      <c r="Q219" s="33"/>
      <c r="R219" s="33" t="s">
        <v>2263</v>
      </c>
      <c r="S219" s="56" t="s">
        <v>2277</v>
      </c>
      <c r="T219" s="56"/>
      <c r="U219" s="56"/>
      <c r="V219" s="33" t="s">
        <v>3142</v>
      </c>
      <c r="W219" s="94" t="s">
        <v>2574</v>
      </c>
      <c r="X219" s="94" t="s">
        <v>2474</v>
      </c>
      <c r="Y219" s="51"/>
      <c r="Z219" s="51"/>
      <c r="AA219" s="33" t="s">
        <v>2459</v>
      </c>
      <c r="AB219" s="33" t="s">
        <v>2460</v>
      </c>
      <c r="AC219" s="33" t="s">
        <v>2486</v>
      </c>
      <c r="AD219" s="33" t="s">
        <v>2254</v>
      </c>
      <c r="AE219" s="33"/>
      <c r="AF219" s="33" t="s">
        <v>2267</v>
      </c>
      <c r="AG219" s="33" t="s">
        <v>2461</v>
      </c>
      <c r="AH219" s="33"/>
      <c r="AI219" s="33"/>
      <c r="AJ219" s="33" t="s">
        <v>4267</v>
      </c>
      <c r="AK219" s="94"/>
      <c r="AL219" s="33" t="s">
        <v>4268</v>
      </c>
      <c r="AM219" s="33"/>
      <c r="AN219" s="33" t="s">
        <v>4269</v>
      </c>
      <c r="AO219" s="51" t="s">
        <v>4270</v>
      </c>
      <c r="AP219" s="51" t="s">
        <v>178</v>
      </c>
      <c r="AQ219" s="33"/>
      <c r="AR219" s="54"/>
      <c r="AS219" s="54"/>
      <c r="AT219" s="54"/>
      <c r="AU219" s="54"/>
      <c r="AV219" s="54"/>
      <c r="AW219" s="54"/>
      <c r="AX219" s="54"/>
      <c r="AY219" s="54" t="s">
        <v>2269</v>
      </c>
      <c r="AZ219" s="54"/>
      <c r="BA219" s="54"/>
      <c r="BB219" s="54"/>
      <c r="BC219" s="54"/>
      <c r="BD219" s="54" t="s">
        <v>2447</v>
      </c>
      <c r="BE219" s="54"/>
      <c r="BF219" s="54"/>
      <c r="BG219" s="54"/>
      <c r="BH219" s="54"/>
      <c r="BI219" s="54"/>
      <c r="BJ219" s="0"/>
      <c r="BK219" s="0"/>
      <c r="BL219" s="0"/>
      <c r="BM219" s="0"/>
      <c r="BN219" s="0"/>
      <c r="BO219" s="0"/>
      <c r="BP219"/>
      <c r="BQ219"/>
      <c r="BR219"/>
      <c r="BS219"/>
      <c r="BT219"/>
      <c r="BU219"/>
      <c r="BV219"/>
      <c r="BW219"/>
      <c r="BX219"/>
      <c r="BY219"/>
      <c r="BZ219"/>
      <c r="CA219"/>
      <c r="CB219"/>
    </row>
    <row r="220" ht="15.0" customHeight="true">
      <c r="A220" s="51" t="s">
        <v>2448</v>
      </c>
      <c r="B220" s="33"/>
      <c r="C220" s="33" t="s">
        <v>4271</v>
      </c>
      <c r="D220" s="33"/>
      <c r="E220" s="33" t="s">
        <v>4272</v>
      </c>
      <c r="F220" s="33"/>
      <c r="G220" s="55" t="s">
        <v>4273</v>
      </c>
      <c r="H220" s="33" t="s">
        <v>2247</v>
      </c>
      <c r="I220" s="51" t="s">
        <v>4274</v>
      </c>
      <c r="J220" s="33"/>
      <c r="K220" s="51" t="s">
        <v>4275</v>
      </c>
      <c r="L220" s="33" t="s">
        <v>2484</v>
      </c>
      <c r="M220" s="55" t="s">
        <v>4245</v>
      </c>
      <c r="N220" s="55"/>
      <c r="O220" s="33"/>
      <c r="P220" s="33" t="s">
        <v>2251</v>
      </c>
      <c r="Q220" s="33"/>
      <c r="R220" s="33" t="s">
        <v>2263</v>
      </c>
      <c r="S220" s="56" t="s">
        <v>2277</v>
      </c>
      <c r="T220" s="56"/>
      <c r="U220" s="56"/>
      <c r="V220" s="33" t="s">
        <v>4245</v>
      </c>
      <c r="W220" s="94" t="s">
        <v>2574</v>
      </c>
      <c r="X220" s="94" t="s">
        <v>2474</v>
      </c>
      <c r="Y220" s="51"/>
      <c r="Z220" s="51"/>
      <c r="AA220" s="33" t="s">
        <v>2459</v>
      </c>
      <c r="AB220" s="33" t="s">
        <v>2460</v>
      </c>
      <c r="AC220" s="33" t="s">
        <v>2486</v>
      </c>
      <c r="AD220" s="33" t="s">
        <v>2254</v>
      </c>
      <c r="AE220" s="33"/>
      <c r="AF220" s="33" t="s">
        <v>2267</v>
      </c>
      <c r="AG220" s="33" t="s">
        <v>2461</v>
      </c>
      <c r="AH220" s="33"/>
      <c r="AI220" s="33"/>
      <c r="AJ220" s="33" t="s">
        <v>4276</v>
      </c>
      <c r="AK220" s="94"/>
      <c r="AL220" s="33" t="s">
        <v>4277</v>
      </c>
      <c r="AM220" s="33"/>
      <c r="AN220" s="33" t="s">
        <v>2588</v>
      </c>
      <c r="AO220" s="51" t="s">
        <v>2628</v>
      </c>
      <c r="AP220" s="51" t="s">
        <v>207</v>
      </c>
      <c r="AQ220" s="33"/>
      <c r="AR220" s="54"/>
      <c r="AS220" s="54"/>
      <c r="AT220" s="54"/>
      <c r="AU220" s="54"/>
      <c r="AV220" s="54"/>
      <c r="AW220" s="54"/>
      <c r="AX220" s="54"/>
      <c r="AY220" s="54" t="s">
        <v>2269</v>
      </c>
      <c r="AZ220" s="54"/>
      <c r="BA220" s="54"/>
      <c r="BB220" s="54"/>
      <c r="BC220" s="54"/>
      <c r="BD220" s="54" t="s">
        <v>2447</v>
      </c>
      <c r="BE220" s="54"/>
      <c r="BF220" s="54"/>
      <c r="BG220" s="54"/>
      <c r="BH220" s="54"/>
      <c r="BI220" s="54"/>
      <c r="BJ220" s="0"/>
      <c r="BK220" s="0"/>
      <c r="BL220" s="0"/>
      <c r="BM220" s="0"/>
      <c r="BN220" s="0"/>
      <c r="BO220" s="0"/>
      <c r="BP220"/>
      <c r="BQ220"/>
      <c r="BR220"/>
      <c r="BS220"/>
      <c r="BT220"/>
      <c r="BU220"/>
      <c r="BV220"/>
      <c r="BW220"/>
      <c r="BX220"/>
      <c r="BY220"/>
      <c r="BZ220"/>
      <c r="CA220"/>
      <c r="CB220"/>
    </row>
    <row r="221" ht="15.0" customHeight="true">
      <c r="A221" s="51" t="s">
        <v>2448</v>
      </c>
      <c r="B221" s="33"/>
      <c r="C221" s="33" t="s">
        <v>4278</v>
      </c>
      <c r="D221" s="33"/>
      <c r="E221" s="33" t="s">
        <v>4279</v>
      </c>
      <c r="F221" s="33"/>
      <c r="G221" s="55" t="s">
        <v>4280</v>
      </c>
      <c r="H221" s="33" t="s">
        <v>2258</v>
      </c>
      <c r="I221" s="51" t="s">
        <v>4281</v>
      </c>
      <c r="J221" s="33"/>
      <c r="K221" s="51" t="s">
        <v>4282</v>
      </c>
      <c r="L221" s="33" t="s">
        <v>2484</v>
      </c>
      <c r="M221" s="55" t="s">
        <v>4245</v>
      </c>
      <c r="N221" s="55"/>
      <c r="O221" s="33"/>
      <c r="P221" s="33" t="s">
        <v>2251</v>
      </c>
      <c r="Q221" s="33"/>
      <c r="R221" s="33" t="s">
        <v>2263</v>
      </c>
      <c r="S221" s="56" t="s">
        <v>2277</v>
      </c>
      <c r="T221" s="56"/>
      <c r="U221" s="56"/>
      <c r="V221" s="33" t="s">
        <v>4245</v>
      </c>
      <c r="W221" s="94" t="s">
        <v>2574</v>
      </c>
      <c r="X221" s="94" t="s">
        <v>2474</v>
      </c>
      <c r="Y221" s="51"/>
      <c r="Z221" s="51"/>
      <c r="AA221" s="33" t="s">
        <v>2459</v>
      </c>
      <c r="AB221" s="33" t="s">
        <v>2460</v>
      </c>
      <c r="AC221" s="33" t="s">
        <v>2486</v>
      </c>
      <c r="AD221" s="33" t="s">
        <v>2254</v>
      </c>
      <c r="AE221" s="33"/>
      <c r="AF221" s="33" t="s">
        <v>2267</v>
      </c>
      <c r="AG221" s="33" t="s">
        <v>2461</v>
      </c>
      <c r="AH221" s="33"/>
      <c r="AI221" s="33"/>
      <c r="AJ221" s="33" t="s">
        <v>4283</v>
      </c>
      <c r="AK221" s="94"/>
      <c r="AL221" s="33" t="s">
        <v>4284</v>
      </c>
      <c r="AM221" s="33"/>
      <c r="AN221" s="33" t="s">
        <v>2465</v>
      </c>
      <c r="AO221" s="51" t="s">
        <v>2489</v>
      </c>
      <c r="AP221" s="51" t="s">
        <v>207</v>
      </c>
      <c r="AQ221" s="33"/>
      <c r="AR221" s="54"/>
      <c r="AS221" s="54"/>
      <c r="AT221" s="54"/>
      <c r="AU221" s="54"/>
      <c r="AV221" s="54"/>
      <c r="AW221" s="54"/>
      <c r="AX221" s="54"/>
      <c r="AY221" s="54" t="s">
        <v>2269</v>
      </c>
      <c r="AZ221" s="54"/>
      <c r="BA221" s="54"/>
      <c r="BB221" s="54"/>
      <c r="BC221" s="54"/>
      <c r="BD221" s="54" t="s">
        <v>2447</v>
      </c>
      <c r="BE221" s="54"/>
      <c r="BF221" s="54"/>
      <c r="BG221" s="54"/>
      <c r="BH221" s="54"/>
      <c r="BI221" s="54"/>
      <c r="BJ221" s="0"/>
      <c r="BK221" s="0"/>
      <c r="BL221" s="0"/>
      <c r="BM221" s="0"/>
      <c r="BN221" s="0"/>
      <c r="BO221" s="0"/>
      <c r="BP221"/>
      <c r="BQ221"/>
      <c r="BR221"/>
      <c r="BS221"/>
      <c r="BT221"/>
      <c r="BU221"/>
      <c r="BV221"/>
      <c r="BW221"/>
      <c r="BX221"/>
      <c r="BY221"/>
      <c r="BZ221"/>
      <c r="CA221"/>
      <c r="CB221"/>
    </row>
    <row r="222" ht="15.0" customHeight="true">
      <c r="A222" s="51" t="s">
        <v>2448</v>
      </c>
      <c r="B222" s="33"/>
      <c r="C222" s="33" t="s">
        <v>2838</v>
      </c>
      <c r="D222" s="33"/>
      <c r="E222" s="33" t="s">
        <v>3014</v>
      </c>
      <c r="F222" s="33"/>
      <c r="G222" s="55" t="s">
        <v>4285</v>
      </c>
      <c r="H222" s="33" t="s">
        <v>2247</v>
      </c>
      <c r="I222" s="51" t="s">
        <v>4286</v>
      </c>
      <c r="J222" s="33"/>
      <c r="K222" s="51" t="s">
        <v>4287</v>
      </c>
      <c r="L222" s="33" t="s">
        <v>2484</v>
      </c>
      <c r="M222" s="55" t="s">
        <v>4237</v>
      </c>
      <c r="N222" s="55"/>
      <c r="O222" s="33"/>
      <c r="P222" s="33" t="s">
        <v>2251</v>
      </c>
      <c r="Q222" s="33"/>
      <c r="R222" s="33" t="s">
        <v>2263</v>
      </c>
      <c r="S222" s="56" t="s">
        <v>2277</v>
      </c>
      <c r="T222" s="56"/>
      <c r="U222" s="56"/>
      <c r="V222" s="33" t="s">
        <v>4237</v>
      </c>
      <c r="W222" s="94" t="s">
        <v>2574</v>
      </c>
      <c r="X222" s="94" t="s">
        <v>2474</v>
      </c>
      <c r="Y222" s="51"/>
      <c r="Z222" s="51"/>
      <c r="AA222" s="33" t="s">
        <v>2459</v>
      </c>
      <c r="AB222" s="33" t="s">
        <v>2460</v>
      </c>
      <c r="AC222" s="33" t="s">
        <v>2486</v>
      </c>
      <c r="AD222" s="33" t="s">
        <v>2254</v>
      </c>
      <c r="AE222" s="33"/>
      <c r="AF222" s="33" t="s">
        <v>2267</v>
      </c>
      <c r="AG222" s="33" t="s">
        <v>2461</v>
      </c>
      <c r="AH222" s="33"/>
      <c r="AI222" s="33"/>
      <c r="AJ222" s="33" t="s">
        <v>4288</v>
      </c>
      <c r="AK222" s="94"/>
      <c r="AL222" s="33" t="s">
        <v>4289</v>
      </c>
      <c r="AM222" s="33" t="s">
        <v>4290</v>
      </c>
      <c r="AN222" s="33" t="s">
        <v>3031</v>
      </c>
      <c r="AO222" s="51" t="s">
        <v>3572</v>
      </c>
      <c r="AP222" s="51" t="s">
        <v>207</v>
      </c>
      <c r="AQ222" s="33"/>
      <c r="AR222" s="54"/>
      <c r="AS222" s="54"/>
      <c r="AT222" s="54"/>
      <c r="AU222" s="54"/>
      <c r="AV222" s="54"/>
      <c r="AW222" s="54"/>
      <c r="AX222" s="54"/>
      <c r="AY222" s="54" t="s">
        <v>2269</v>
      </c>
      <c r="AZ222" s="54"/>
      <c r="BA222" s="54"/>
      <c r="BB222" s="54"/>
      <c r="BC222" s="54"/>
      <c r="BD222" s="54" t="s">
        <v>2447</v>
      </c>
      <c r="BE222" s="54"/>
      <c r="BF222" s="54"/>
      <c r="BG222" s="54"/>
      <c r="BH222" s="54"/>
      <c r="BI222" s="54"/>
      <c r="BJ222" s="0"/>
      <c r="BK222" s="0"/>
      <c r="BL222" s="0"/>
      <c r="BM222" s="0"/>
      <c r="BN222" s="0"/>
      <c r="BO222" s="0"/>
      <c r="BP222"/>
      <c r="BQ222"/>
      <c r="BR222"/>
      <c r="BS222"/>
      <c r="BT222"/>
      <c r="BU222"/>
      <c r="BV222"/>
      <c r="BW222"/>
      <c r="BX222"/>
      <c r="BY222"/>
      <c r="BZ222"/>
      <c r="CA222"/>
      <c r="CB222"/>
    </row>
    <row r="223" ht="15.0" customHeight="true">
      <c r="A223" s="51" t="s">
        <v>2448</v>
      </c>
      <c r="B223" s="33"/>
      <c r="C223" s="33" t="s">
        <v>4291</v>
      </c>
      <c r="D223" s="33"/>
      <c r="E223" s="33" t="s">
        <v>4292</v>
      </c>
      <c r="F223" s="33"/>
      <c r="G223" s="55" t="s">
        <v>4293</v>
      </c>
      <c r="H223" s="33" t="s">
        <v>2247</v>
      </c>
      <c r="I223" s="51" t="s">
        <v>4294</v>
      </c>
      <c r="J223" s="33"/>
      <c r="K223" s="51" t="s">
        <v>4295</v>
      </c>
      <c r="L223" s="33" t="s">
        <v>2484</v>
      </c>
      <c r="M223" s="55" t="s">
        <v>4229</v>
      </c>
      <c r="N223" s="55"/>
      <c r="O223" s="33"/>
      <c r="P223" s="33" t="s">
        <v>2251</v>
      </c>
      <c r="Q223" s="33"/>
      <c r="R223" s="33" t="s">
        <v>2263</v>
      </c>
      <c r="S223" s="56" t="s">
        <v>2277</v>
      </c>
      <c r="T223" s="56"/>
      <c r="U223" s="56"/>
      <c r="V223" s="33" t="s">
        <v>2456</v>
      </c>
      <c r="W223" s="94" t="s">
        <v>2457</v>
      </c>
      <c r="X223" s="94" t="s">
        <v>2474</v>
      </c>
      <c r="Y223" s="51"/>
      <c r="Z223" s="51"/>
      <c r="AA223" s="33" t="s">
        <v>2459</v>
      </c>
      <c r="AB223" s="33" t="s">
        <v>2460</v>
      </c>
      <c r="AC223" s="33" t="s">
        <v>2486</v>
      </c>
      <c r="AD223" s="33" t="s">
        <v>2254</v>
      </c>
      <c r="AE223" s="33"/>
      <c r="AF223" s="33" t="s">
        <v>2267</v>
      </c>
      <c r="AG223" s="33" t="s">
        <v>2461</v>
      </c>
      <c r="AH223" s="33"/>
      <c r="AI223" s="33"/>
      <c r="AJ223" s="33" t="s">
        <v>4296</v>
      </c>
      <c r="AK223" s="94"/>
      <c r="AL223" s="33" t="s">
        <v>4297</v>
      </c>
      <c r="AM223" s="33"/>
      <c r="AN223" s="33" t="s">
        <v>4298</v>
      </c>
      <c r="AO223" s="51" t="s">
        <v>4299</v>
      </c>
      <c r="AP223" s="51" t="s">
        <v>218</v>
      </c>
      <c r="AQ223" s="33"/>
      <c r="AR223" s="54"/>
      <c r="AS223" s="54"/>
      <c r="AT223" s="54"/>
      <c r="AU223" s="54"/>
      <c r="AV223" s="54"/>
      <c r="AW223" s="54"/>
      <c r="AX223" s="54"/>
      <c r="AY223" s="54" t="s">
        <v>2269</v>
      </c>
      <c r="AZ223" s="54"/>
      <c r="BA223" s="54"/>
      <c r="BB223" s="54"/>
      <c r="BC223" s="54"/>
      <c r="BD223" s="54" t="s">
        <v>2447</v>
      </c>
      <c r="BE223" s="54"/>
      <c r="BF223" s="54"/>
      <c r="BG223" s="54"/>
      <c r="BH223" s="54"/>
      <c r="BI223" s="54"/>
      <c r="BJ223" s="0"/>
      <c r="BK223" s="0"/>
      <c r="BL223" s="0"/>
      <c r="BM223" s="0"/>
      <c r="BN223" s="0"/>
      <c r="BO223" s="0"/>
      <c r="BP223"/>
      <c r="BQ223"/>
      <c r="BR223"/>
      <c r="BS223"/>
      <c r="BT223"/>
      <c r="BU223"/>
      <c r="BV223"/>
      <c r="BW223"/>
      <c r="BX223"/>
      <c r="BY223"/>
      <c r="BZ223"/>
      <c r="CA223"/>
      <c r="CB223"/>
    </row>
    <row r="224" ht="15.0" customHeight="true">
      <c r="A224" s="51" t="s">
        <v>2448</v>
      </c>
      <c r="B224" s="33"/>
      <c r="C224" s="33" t="s">
        <v>4300</v>
      </c>
      <c r="D224" s="33"/>
      <c r="E224" s="33" t="s">
        <v>4301</v>
      </c>
      <c r="F224" s="33"/>
      <c r="G224" s="55" t="s">
        <v>4302</v>
      </c>
      <c r="H224" s="33"/>
      <c r="I224" s="51" t="s">
        <v>4303</v>
      </c>
      <c r="J224" s="33"/>
      <c r="K224" s="51" t="s">
        <v>4304</v>
      </c>
      <c r="L224" s="33" t="s">
        <v>2454</v>
      </c>
      <c r="M224" s="55" t="s">
        <v>4305</v>
      </c>
      <c r="N224" s="55" t="s">
        <v>2572</v>
      </c>
      <c r="O224" s="33" t="s">
        <v>2272</v>
      </c>
      <c r="P224" s="33" t="s">
        <v>2251</v>
      </c>
      <c r="Q224" s="33"/>
      <c r="R224" s="33" t="s">
        <v>2263</v>
      </c>
      <c r="S224" s="56" t="s">
        <v>2277</v>
      </c>
      <c r="T224" s="56"/>
      <c r="U224" s="56"/>
      <c r="V224" s="33" t="s">
        <v>2456</v>
      </c>
      <c r="W224" s="94" t="s">
        <v>2457</v>
      </c>
      <c r="X224" s="94" t="s">
        <v>2474</v>
      </c>
      <c r="Y224" s="51"/>
      <c r="Z224" s="51"/>
      <c r="AA224" s="33" t="s">
        <v>2459</v>
      </c>
      <c r="AB224" s="33" t="s">
        <v>2460</v>
      </c>
      <c r="AC224" s="33"/>
      <c r="AD224" s="33" t="s">
        <v>2254</v>
      </c>
      <c r="AE224" s="33"/>
      <c r="AF224" s="33" t="s">
        <v>2267</v>
      </c>
      <c r="AG224" s="33" t="s">
        <v>2461</v>
      </c>
      <c r="AH224" s="33"/>
      <c r="AI224" s="33"/>
      <c r="AJ224" s="33" t="s">
        <v>4306</v>
      </c>
      <c r="AK224" s="94"/>
      <c r="AL224" s="33" t="s">
        <v>4307</v>
      </c>
      <c r="AM224" s="33"/>
      <c r="AN224" s="33" t="s">
        <v>2588</v>
      </c>
      <c r="AO224" s="51" t="s">
        <v>2589</v>
      </c>
      <c r="AP224" s="51" t="s">
        <v>207</v>
      </c>
      <c r="AQ224" s="33"/>
      <c r="AR224" s="54"/>
      <c r="AS224" s="54"/>
      <c r="AT224" s="54"/>
      <c r="AU224" s="54"/>
      <c r="AV224" s="54"/>
      <c r="AW224" s="54"/>
      <c r="AX224" s="54"/>
      <c r="AY224" s="54"/>
      <c r="AZ224" s="54"/>
      <c r="BA224" s="54"/>
      <c r="BB224" s="54"/>
      <c r="BC224" s="54"/>
      <c r="BD224" s="54" t="s">
        <v>2447</v>
      </c>
      <c r="BE224" s="54"/>
      <c r="BF224" s="54"/>
      <c r="BG224" s="54"/>
      <c r="BH224" s="54"/>
      <c r="BI224" s="54"/>
      <c r="BJ224" s="0"/>
      <c r="BK224" s="0"/>
      <c r="BL224" s="0"/>
      <c r="BM224" s="0"/>
      <c r="BN224" s="0"/>
      <c r="BO224" s="0"/>
      <c r="BP224"/>
      <c r="BQ224"/>
      <c r="BR224"/>
      <c r="BS224"/>
      <c r="BT224"/>
      <c r="BU224"/>
      <c r="BV224"/>
      <c r="BW224"/>
      <c r="BX224"/>
      <c r="BY224"/>
      <c r="BZ224"/>
      <c r="CA224"/>
      <c r="CB224"/>
    </row>
    <row r="225" ht="15.0" customHeight="true">
      <c r="A225" s="51" t="s">
        <v>2448</v>
      </c>
      <c r="B225" s="33"/>
      <c r="C225" s="33" t="s">
        <v>3060</v>
      </c>
      <c r="D225" s="33"/>
      <c r="E225" s="33" t="s">
        <v>4308</v>
      </c>
      <c r="F225" s="33"/>
      <c r="G225" s="55" t="s">
        <v>4042</v>
      </c>
      <c r="H225" s="33" t="s">
        <v>2247</v>
      </c>
      <c r="I225" s="51" t="s">
        <v>4309</v>
      </c>
      <c r="J225" s="33"/>
      <c r="K225" s="51" t="s">
        <v>4310</v>
      </c>
      <c r="L225" s="33" t="s">
        <v>2484</v>
      </c>
      <c r="M225" s="55" t="s">
        <v>4245</v>
      </c>
      <c r="N225" s="55"/>
      <c r="O225" s="33"/>
      <c r="P225" s="33" t="s">
        <v>2251</v>
      </c>
      <c r="Q225" s="33"/>
      <c r="R225" s="33" t="s">
        <v>2263</v>
      </c>
      <c r="S225" s="56" t="s">
        <v>2277</v>
      </c>
      <c r="T225" s="56"/>
      <c r="U225" s="56"/>
      <c r="V225" s="33" t="s">
        <v>4245</v>
      </c>
      <c r="W225" s="94" t="s">
        <v>2574</v>
      </c>
      <c r="X225" s="94" t="s">
        <v>2474</v>
      </c>
      <c r="Y225" s="51"/>
      <c r="Z225" s="51"/>
      <c r="AA225" s="33" t="s">
        <v>2459</v>
      </c>
      <c r="AB225" s="33" t="s">
        <v>2460</v>
      </c>
      <c r="AC225" s="33" t="s">
        <v>2486</v>
      </c>
      <c r="AD225" s="33" t="s">
        <v>2254</v>
      </c>
      <c r="AE225" s="33"/>
      <c r="AF225" s="33" t="s">
        <v>2267</v>
      </c>
      <c r="AG225" s="33" t="s">
        <v>2461</v>
      </c>
      <c r="AH225" s="33"/>
      <c r="AI225" s="33"/>
      <c r="AJ225" s="33" t="s">
        <v>4311</v>
      </c>
      <c r="AK225" s="94"/>
      <c r="AL225" s="33" t="s">
        <v>4312</v>
      </c>
      <c r="AM225" s="33"/>
      <c r="AN225" s="33" t="s">
        <v>2588</v>
      </c>
      <c r="AO225" s="51" t="s">
        <v>2628</v>
      </c>
      <c r="AP225" s="51" t="s">
        <v>207</v>
      </c>
      <c r="AQ225" s="33"/>
      <c r="AR225" s="54"/>
      <c r="AS225" s="54"/>
      <c r="AT225" s="54"/>
      <c r="AU225" s="54"/>
      <c r="AV225" s="54"/>
      <c r="AW225" s="54"/>
      <c r="AX225" s="54"/>
      <c r="AY225" s="54" t="s">
        <v>2269</v>
      </c>
      <c r="AZ225" s="54"/>
      <c r="BA225" s="54"/>
      <c r="BB225" s="54"/>
      <c r="BC225" s="54"/>
      <c r="BD225" s="54" t="s">
        <v>2447</v>
      </c>
      <c r="BE225" s="54"/>
      <c r="BF225" s="54"/>
      <c r="BG225" s="54"/>
      <c r="BH225" s="54"/>
      <c r="BI225" s="54"/>
      <c r="BJ225" s="0"/>
      <c r="BK225" s="0"/>
      <c r="BL225" s="0"/>
      <c r="BM225" s="0"/>
      <c r="BN225" s="0"/>
      <c r="BO225" s="0"/>
      <c r="BP225"/>
      <c r="BQ225"/>
      <c r="BR225"/>
      <c r="BS225"/>
      <c r="BT225"/>
      <c r="BU225"/>
      <c r="BV225"/>
      <c r="BW225"/>
      <c r="BX225"/>
      <c r="BY225"/>
      <c r="BZ225"/>
      <c r="CA225"/>
      <c r="CB225"/>
    </row>
    <row r="226" ht="15.0" customHeight="true">
      <c r="A226" s="51" t="s">
        <v>2448</v>
      </c>
      <c r="B226" s="33"/>
      <c r="C226" s="33" t="s">
        <v>3529</v>
      </c>
      <c r="D226" s="33"/>
      <c r="E226" s="33" t="s">
        <v>4313</v>
      </c>
      <c r="F226" s="33"/>
      <c r="G226" s="55" t="s">
        <v>4314</v>
      </c>
      <c r="H226" s="33" t="s">
        <v>2247</v>
      </c>
      <c r="I226" s="51" t="s">
        <v>4315</v>
      </c>
      <c r="J226" s="33"/>
      <c r="K226" s="51" t="s">
        <v>4316</v>
      </c>
      <c r="L226" s="33" t="s">
        <v>2454</v>
      </c>
      <c r="M226" s="55" t="s">
        <v>4214</v>
      </c>
      <c r="N226" s="55" t="s">
        <v>4214</v>
      </c>
      <c r="O226" s="33" t="s">
        <v>2271</v>
      </c>
      <c r="P226" s="33" t="s">
        <v>2251</v>
      </c>
      <c r="Q226" s="33"/>
      <c r="R226" s="33" t="s">
        <v>2263</v>
      </c>
      <c r="S226" s="56" t="s">
        <v>2277</v>
      </c>
      <c r="T226" s="56"/>
      <c r="U226" s="56"/>
      <c r="V226" s="33" t="s">
        <v>4214</v>
      </c>
      <c r="W226" s="94" t="s">
        <v>2574</v>
      </c>
      <c r="X226" s="94" t="s">
        <v>4317</v>
      </c>
      <c r="Y226" s="51"/>
      <c r="Z226" s="51"/>
      <c r="AA226" s="33" t="s">
        <v>2459</v>
      </c>
      <c r="AB226" s="33" t="s">
        <v>2460</v>
      </c>
      <c r="AC226" s="33" t="s">
        <v>4318</v>
      </c>
      <c r="AD226" s="33" t="s">
        <v>2254</v>
      </c>
      <c r="AE226" s="33"/>
      <c r="AF226" s="33" t="s">
        <v>2267</v>
      </c>
      <c r="AG226" s="33" t="s">
        <v>2461</v>
      </c>
      <c r="AH226" s="33"/>
      <c r="AI226" s="33"/>
      <c r="AJ226" s="33" t="s">
        <v>4319</v>
      </c>
      <c r="AK226" s="94"/>
      <c r="AL226" s="33" t="s">
        <v>4320</v>
      </c>
      <c r="AM226" s="33"/>
      <c r="AN226" s="33" t="s">
        <v>2465</v>
      </c>
      <c r="AO226" s="51" t="s">
        <v>2489</v>
      </c>
      <c r="AP226" s="51" t="s">
        <v>207</v>
      </c>
      <c r="AQ226" s="33"/>
      <c r="AR226" s="54"/>
      <c r="AS226" s="54"/>
      <c r="AT226" s="54"/>
      <c r="AU226" s="54"/>
      <c r="AV226" s="54"/>
      <c r="AW226" s="54"/>
      <c r="AX226" s="54"/>
      <c r="AY226" s="54" t="s">
        <v>2269</v>
      </c>
      <c r="AZ226" s="54"/>
      <c r="BA226" s="54"/>
      <c r="BB226" s="54"/>
      <c r="BC226" s="54"/>
      <c r="BD226" s="54" t="s">
        <v>2447</v>
      </c>
      <c r="BE226" s="54"/>
      <c r="BF226" s="54"/>
      <c r="BG226" s="54"/>
      <c r="BH226" s="54"/>
      <c r="BI226" s="54"/>
      <c r="BJ226" s="0"/>
      <c r="BK226" s="0"/>
      <c r="BL226" s="0"/>
      <c r="BM226" s="0"/>
      <c r="BN226" s="0"/>
      <c r="BO226" s="0"/>
      <c r="BP226"/>
      <c r="BQ226"/>
      <c r="BR226"/>
      <c r="BS226"/>
      <c r="BT226"/>
      <c r="BU226"/>
      <c r="BV226"/>
      <c r="BW226"/>
      <c r="BX226"/>
      <c r="BY226"/>
      <c r="BZ226"/>
      <c r="CA226"/>
      <c r="CB226"/>
    </row>
    <row r="227" ht="15.0" customHeight="true">
      <c r="A227" s="51" t="s">
        <v>2448</v>
      </c>
      <c r="B227" s="33"/>
      <c r="C227" s="33" t="s">
        <v>4321</v>
      </c>
      <c r="D227" s="33"/>
      <c r="E227" s="33" t="s">
        <v>4322</v>
      </c>
      <c r="F227" s="33"/>
      <c r="G227" s="55" t="s">
        <v>4323</v>
      </c>
      <c r="H227" s="33" t="s">
        <v>2258</v>
      </c>
      <c r="I227" s="51" t="s">
        <v>4324</v>
      </c>
      <c r="J227" s="33"/>
      <c r="K227" s="51" t="s">
        <v>4325</v>
      </c>
      <c r="L227" s="33" t="s">
        <v>2484</v>
      </c>
      <c r="M227" s="55" t="s">
        <v>4245</v>
      </c>
      <c r="N227" s="55"/>
      <c r="O227" s="33"/>
      <c r="P227" s="33" t="s">
        <v>2251</v>
      </c>
      <c r="Q227" s="33"/>
      <c r="R227" s="33" t="s">
        <v>2263</v>
      </c>
      <c r="S227" s="56" t="s">
        <v>2277</v>
      </c>
      <c r="T227" s="56"/>
      <c r="U227" s="56"/>
      <c r="V227" s="33" t="s">
        <v>4245</v>
      </c>
      <c r="W227" s="94" t="s">
        <v>2574</v>
      </c>
      <c r="X227" s="94" t="s">
        <v>2474</v>
      </c>
      <c r="Y227" s="51"/>
      <c r="Z227" s="51"/>
      <c r="AA227" s="33" t="s">
        <v>2459</v>
      </c>
      <c r="AB227" s="33" t="s">
        <v>2460</v>
      </c>
      <c r="AC227" s="33" t="s">
        <v>2486</v>
      </c>
      <c r="AD227" s="33" t="s">
        <v>2254</v>
      </c>
      <c r="AE227" s="33"/>
      <c r="AF227" s="33" t="s">
        <v>2267</v>
      </c>
      <c r="AG227" s="33" t="s">
        <v>2461</v>
      </c>
      <c r="AH227" s="33"/>
      <c r="AI227" s="33"/>
      <c r="AJ227" s="33" t="s">
        <v>4326</v>
      </c>
      <c r="AK227" s="94"/>
      <c r="AL227" s="33" t="s">
        <v>4327</v>
      </c>
      <c r="AM227" s="33"/>
      <c r="AN227" s="33" t="s">
        <v>3031</v>
      </c>
      <c r="AO227" s="51" t="s">
        <v>3032</v>
      </c>
      <c r="AP227" s="51" t="s">
        <v>207</v>
      </c>
      <c r="AQ227" s="33"/>
      <c r="AR227" s="54"/>
      <c r="AS227" s="54"/>
      <c r="AT227" s="54"/>
      <c r="AU227" s="54"/>
      <c r="AV227" s="54"/>
      <c r="AW227" s="54"/>
      <c r="AX227" s="54"/>
      <c r="AY227" s="54" t="s">
        <v>2269</v>
      </c>
      <c r="AZ227" s="54"/>
      <c r="BA227" s="54"/>
      <c r="BB227" s="54"/>
      <c r="BC227" s="54"/>
      <c r="BD227" s="54" t="s">
        <v>2447</v>
      </c>
      <c r="BE227" s="54"/>
      <c r="BF227" s="54"/>
      <c r="BG227" s="54"/>
      <c r="BH227" s="54"/>
      <c r="BI227" s="54"/>
      <c r="BJ227" s="0"/>
      <c r="BK227" s="0"/>
      <c r="BL227" s="0"/>
      <c r="BM227" s="0"/>
      <c r="BN227" s="0"/>
      <c r="BO227" s="0"/>
      <c r="BP227"/>
      <c r="BQ227"/>
      <c r="BR227"/>
      <c r="BS227"/>
      <c r="BT227"/>
      <c r="BU227"/>
      <c r="BV227"/>
      <c r="BW227"/>
      <c r="BX227"/>
      <c r="BY227"/>
      <c r="BZ227"/>
      <c r="CA227"/>
      <c r="CB227"/>
    </row>
    <row r="228" ht="15.0" customHeight="true">
      <c r="A228" s="51" t="s">
        <v>2448</v>
      </c>
      <c r="B228" s="33"/>
      <c r="C228" s="33" t="s">
        <v>4328</v>
      </c>
      <c r="D228" s="33"/>
      <c r="E228" s="33" t="s">
        <v>4329</v>
      </c>
      <c r="F228" s="33"/>
      <c r="G228" s="55" t="s">
        <v>4330</v>
      </c>
      <c r="H228" s="33" t="s">
        <v>2247</v>
      </c>
      <c r="I228" s="51" t="s">
        <v>4331</v>
      </c>
      <c r="J228" s="33"/>
      <c r="K228" s="51" t="s">
        <v>4332</v>
      </c>
      <c r="L228" s="33" t="s">
        <v>2484</v>
      </c>
      <c r="M228" s="55" t="s">
        <v>2456</v>
      </c>
      <c r="N228" s="55"/>
      <c r="O228" s="33"/>
      <c r="P228" s="33" t="s">
        <v>2251</v>
      </c>
      <c r="Q228" s="33"/>
      <c r="R228" s="33" t="s">
        <v>2263</v>
      </c>
      <c r="S228" s="56" t="s">
        <v>2277</v>
      </c>
      <c r="T228" s="56"/>
      <c r="U228" s="56"/>
      <c r="V228" s="33" t="s">
        <v>2456</v>
      </c>
      <c r="W228" s="94" t="s">
        <v>2574</v>
      </c>
      <c r="X228" s="94" t="s">
        <v>2474</v>
      </c>
      <c r="Y228" s="51"/>
      <c r="Z228" s="51"/>
      <c r="AA228" s="33" t="s">
        <v>2459</v>
      </c>
      <c r="AB228" s="33" t="s">
        <v>2460</v>
      </c>
      <c r="AC228" s="33" t="s">
        <v>2486</v>
      </c>
      <c r="AD228" s="33" t="s">
        <v>2254</v>
      </c>
      <c r="AE228" s="33"/>
      <c r="AF228" s="33" t="s">
        <v>2267</v>
      </c>
      <c r="AG228" s="33" t="s">
        <v>2461</v>
      </c>
      <c r="AH228" s="33"/>
      <c r="AI228" s="33"/>
      <c r="AJ228" s="33" t="s">
        <v>4333</v>
      </c>
      <c r="AK228" s="94"/>
      <c r="AL228" s="33" t="s">
        <v>4334</v>
      </c>
      <c r="AM228" s="33"/>
      <c r="AN228" s="33" t="s">
        <v>2828</v>
      </c>
      <c r="AO228" s="51" t="s">
        <v>2829</v>
      </c>
      <c r="AP228" s="51" t="s">
        <v>207</v>
      </c>
      <c r="AQ228" s="33"/>
      <c r="AR228" s="54"/>
      <c r="AS228" s="54"/>
      <c r="AT228" s="54"/>
      <c r="AU228" s="54"/>
      <c r="AV228" s="54"/>
      <c r="AW228" s="54"/>
      <c r="AX228" s="54"/>
      <c r="AY228" s="54" t="s">
        <v>2269</v>
      </c>
      <c r="AZ228" s="54"/>
      <c r="BA228" s="54"/>
      <c r="BB228" s="54"/>
      <c r="BC228" s="54"/>
      <c r="BD228" s="54" t="s">
        <v>2447</v>
      </c>
      <c r="BE228" s="54"/>
      <c r="BF228" s="54"/>
      <c r="BG228" s="54"/>
      <c r="BH228" s="54"/>
      <c r="BI228" s="54"/>
      <c r="BJ228" s="0"/>
      <c r="BK228" s="0"/>
      <c r="BL228" s="0"/>
      <c r="BM228" s="0"/>
      <c r="BN228" s="0"/>
      <c r="BO228" s="0"/>
      <c r="BP228"/>
      <c r="BQ228"/>
      <c r="BR228"/>
      <c r="BS228"/>
      <c r="BT228"/>
      <c r="BU228"/>
      <c r="BV228"/>
      <c r="BW228"/>
      <c r="BX228"/>
      <c r="BY228"/>
      <c r="BZ228"/>
      <c r="CA228"/>
      <c r="CB228"/>
    </row>
    <row r="229" ht="15.0" customHeight="true">
      <c r="A229" s="51" t="s">
        <v>2448</v>
      </c>
      <c r="B229" s="33"/>
      <c r="C229" s="33" t="s">
        <v>4335</v>
      </c>
      <c r="D229" s="33"/>
      <c r="E229" s="33" t="s">
        <v>4336</v>
      </c>
      <c r="F229" s="33"/>
      <c r="G229" s="55" t="s">
        <v>4337</v>
      </c>
      <c r="H229" s="33"/>
      <c r="I229" s="51" t="s">
        <v>4338</v>
      </c>
      <c r="J229" s="33"/>
      <c r="K229" s="51" t="s">
        <v>4339</v>
      </c>
      <c r="L229" s="33" t="s">
        <v>2454</v>
      </c>
      <c r="M229" s="55" t="s">
        <v>3426</v>
      </c>
      <c r="N229" s="55" t="s">
        <v>3298</v>
      </c>
      <c r="O229" s="33" t="s">
        <v>2272</v>
      </c>
      <c r="P229" s="33" t="s">
        <v>2251</v>
      </c>
      <c r="Q229" s="33"/>
      <c r="R229" s="33" t="s">
        <v>2263</v>
      </c>
      <c r="S229" s="56" t="s">
        <v>2277</v>
      </c>
      <c r="T229" s="56"/>
      <c r="U229" s="56"/>
      <c r="V229" s="33" t="s">
        <v>2456</v>
      </c>
      <c r="W229" s="94" t="s">
        <v>2457</v>
      </c>
      <c r="X229" s="94" t="s">
        <v>2458</v>
      </c>
      <c r="Y229" s="51"/>
      <c r="Z229" s="51"/>
      <c r="AA229" s="33" t="s">
        <v>2459</v>
      </c>
      <c r="AB229" s="33" t="s">
        <v>2460</v>
      </c>
      <c r="AC229" s="33"/>
      <c r="AD229" s="33" t="s">
        <v>2254</v>
      </c>
      <c r="AE229" s="33"/>
      <c r="AF229" s="33" t="s">
        <v>2267</v>
      </c>
      <c r="AG229" s="33" t="s">
        <v>2461</v>
      </c>
      <c r="AH229" s="33"/>
      <c r="AI229" s="33"/>
      <c r="AJ229" s="33" t="s">
        <v>4340</v>
      </c>
      <c r="AK229" s="94"/>
      <c r="AL229" s="33" t="s">
        <v>4341</v>
      </c>
      <c r="AM229" s="33"/>
      <c r="AN229" s="33" t="s">
        <v>2465</v>
      </c>
      <c r="AO229" s="51" t="s">
        <v>2478</v>
      </c>
      <c r="AP229" s="51" t="s">
        <v>207</v>
      </c>
      <c r="AQ229" s="33"/>
      <c r="AR229" s="54"/>
      <c r="AS229" s="54"/>
      <c r="AT229" s="54"/>
      <c r="AU229" s="54"/>
      <c r="AV229" s="54"/>
      <c r="AW229" s="54"/>
      <c r="AX229" s="54"/>
      <c r="AY229" s="54"/>
      <c r="AZ229" s="54"/>
      <c r="BA229" s="54"/>
      <c r="BB229" s="54"/>
      <c r="BC229" s="54"/>
      <c r="BD229" s="54" t="s">
        <v>2447</v>
      </c>
      <c r="BE229" s="54"/>
      <c r="BF229" s="54"/>
      <c r="BG229" s="54"/>
      <c r="BH229" s="54"/>
      <c r="BI229" s="54"/>
      <c r="BJ229" s="0"/>
      <c r="BK229" s="0"/>
      <c r="BL229" s="0"/>
      <c r="BM229" s="0"/>
      <c r="BN229" s="0"/>
      <c r="BO229" s="0"/>
      <c r="BP229"/>
      <c r="BQ229"/>
      <c r="BR229"/>
      <c r="BS229"/>
      <c r="BT229"/>
      <c r="BU229"/>
      <c r="BV229"/>
      <c r="BW229"/>
      <c r="BX229"/>
      <c r="BY229"/>
      <c r="BZ229"/>
      <c r="CA229"/>
      <c r="CB229"/>
    </row>
    <row r="230" ht="15.0" customHeight="true">
      <c r="A230" s="51" t="s">
        <v>2448</v>
      </c>
      <c r="B230" s="33"/>
      <c r="C230" s="33" t="s">
        <v>2449</v>
      </c>
      <c r="D230" s="33"/>
      <c r="E230" s="33" t="s">
        <v>4342</v>
      </c>
      <c r="F230" s="33"/>
      <c r="G230" s="55" t="s">
        <v>4343</v>
      </c>
      <c r="H230" s="33" t="s">
        <v>2247</v>
      </c>
      <c r="I230" s="51" t="s">
        <v>4344</v>
      </c>
      <c r="J230" s="33"/>
      <c r="K230" s="51" t="s">
        <v>4345</v>
      </c>
      <c r="L230" s="33" t="s">
        <v>2484</v>
      </c>
      <c r="M230" s="55" t="s">
        <v>3844</v>
      </c>
      <c r="N230" s="55"/>
      <c r="O230" s="33"/>
      <c r="P230" s="33" t="s">
        <v>2251</v>
      </c>
      <c r="Q230" s="33"/>
      <c r="R230" s="33" t="s">
        <v>2263</v>
      </c>
      <c r="S230" s="56" t="s">
        <v>2277</v>
      </c>
      <c r="T230" s="56"/>
      <c r="U230" s="56"/>
      <c r="V230" s="33" t="s">
        <v>3844</v>
      </c>
      <c r="W230" s="94" t="s">
        <v>2457</v>
      </c>
      <c r="X230" s="94" t="s">
        <v>2474</v>
      </c>
      <c r="Y230" s="51"/>
      <c r="Z230" s="51"/>
      <c r="AA230" s="33" t="s">
        <v>2459</v>
      </c>
      <c r="AB230" s="33" t="s">
        <v>2460</v>
      </c>
      <c r="AC230" s="33" t="s">
        <v>2486</v>
      </c>
      <c r="AD230" s="33" t="s">
        <v>2254</v>
      </c>
      <c r="AE230" s="33"/>
      <c r="AF230" s="33" t="s">
        <v>2267</v>
      </c>
      <c r="AG230" s="33" t="s">
        <v>2461</v>
      </c>
      <c r="AH230" s="33"/>
      <c r="AI230" s="33"/>
      <c r="AJ230" s="33" t="s">
        <v>4346</v>
      </c>
      <c r="AK230" s="94"/>
      <c r="AL230" s="33" t="s">
        <v>4347</v>
      </c>
      <c r="AM230" s="33"/>
      <c r="AN230" s="33" t="s">
        <v>2465</v>
      </c>
      <c r="AO230" s="51" t="s">
        <v>2489</v>
      </c>
      <c r="AP230" s="51" t="s">
        <v>207</v>
      </c>
      <c r="AQ230" s="33"/>
      <c r="AR230" s="54"/>
      <c r="AS230" s="54"/>
      <c r="AT230" s="54"/>
      <c r="AU230" s="54"/>
      <c r="AV230" s="54"/>
      <c r="AW230" s="54"/>
      <c r="AX230" s="54"/>
      <c r="AY230" s="54" t="s">
        <v>2269</v>
      </c>
      <c r="AZ230" s="54"/>
      <c r="BA230" s="54"/>
      <c r="BB230" s="54"/>
      <c r="BC230" s="54"/>
      <c r="BD230" s="54"/>
      <c r="BE230" s="54"/>
      <c r="BF230" s="54"/>
      <c r="BG230" s="54"/>
      <c r="BH230" s="54"/>
      <c r="BI230" s="54"/>
      <c r="BJ230" s="0"/>
      <c r="BK230" s="0"/>
      <c r="BL230" s="0"/>
      <c r="BM230" s="0"/>
      <c r="BN230" s="0"/>
      <c r="BO230" s="0"/>
      <c r="BP230"/>
      <c r="BQ230"/>
      <c r="BR230"/>
      <c r="BS230"/>
      <c r="BT230"/>
      <c r="BU230"/>
      <c r="BV230"/>
      <c r="BW230"/>
      <c r="BX230"/>
      <c r="BY230"/>
      <c r="BZ230"/>
      <c r="CA230"/>
      <c r="CB230"/>
    </row>
    <row r="231" ht="15.0" customHeight="true">
      <c r="A231" s="51" t="s">
        <v>2448</v>
      </c>
      <c r="B231" s="33"/>
      <c r="C231" s="33" t="s">
        <v>4348</v>
      </c>
      <c r="D231" s="33"/>
      <c r="E231" s="33" t="s">
        <v>4349</v>
      </c>
      <c r="F231" s="33"/>
      <c r="G231" s="55" t="s">
        <v>4350</v>
      </c>
      <c r="H231" s="33"/>
      <c r="I231" s="51" t="s">
        <v>4351</v>
      </c>
      <c r="J231" s="33"/>
      <c r="K231" s="51" t="s">
        <v>4352</v>
      </c>
      <c r="L231" s="33" t="s">
        <v>2454</v>
      </c>
      <c r="M231" s="55" t="s">
        <v>4353</v>
      </c>
      <c r="N231" s="55" t="s">
        <v>2698</v>
      </c>
      <c r="O231" s="33" t="s">
        <v>2272</v>
      </c>
      <c r="P231" s="33" t="s">
        <v>2251</v>
      </c>
      <c r="Q231" s="33"/>
      <c r="R231" s="33" t="s">
        <v>2263</v>
      </c>
      <c r="S231" s="56" t="s">
        <v>2277</v>
      </c>
      <c r="T231" s="56"/>
      <c r="U231" s="56"/>
      <c r="V231" s="33" t="s">
        <v>2456</v>
      </c>
      <c r="W231" s="94" t="s">
        <v>2457</v>
      </c>
      <c r="X231" s="94" t="s">
        <v>2458</v>
      </c>
      <c r="Y231" s="51"/>
      <c r="Z231" s="51"/>
      <c r="AA231" s="33" t="s">
        <v>2459</v>
      </c>
      <c r="AB231" s="33" t="s">
        <v>2460</v>
      </c>
      <c r="AC231" s="33"/>
      <c r="AD231" s="33" t="s">
        <v>2254</v>
      </c>
      <c r="AE231" s="33"/>
      <c r="AF231" s="33" t="s">
        <v>2267</v>
      </c>
      <c r="AG231" s="33" t="s">
        <v>2461</v>
      </c>
      <c r="AH231" s="33"/>
      <c r="AI231" s="33"/>
      <c r="AJ231" s="33" t="s">
        <v>4354</v>
      </c>
      <c r="AK231" s="94"/>
      <c r="AL231" s="33" t="s">
        <v>4355</v>
      </c>
      <c r="AM231" s="33"/>
      <c r="AN231" s="33" t="s">
        <v>2465</v>
      </c>
      <c r="AO231" s="51" t="s">
        <v>2466</v>
      </c>
      <c r="AP231" s="51" t="s">
        <v>207</v>
      </c>
      <c r="AQ231" s="33"/>
      <c r="AR231" s="54"/>
      <c r="AS231" s="54"/>
      <c r="AT231" s="54"/>
      <c r="AU231" s="54"/>
      <c r="AV231" s="54"/>
      <c r="AW231" s="54"/>
      <c r="AX231" s="54"/>
      <c r="AY231" s="54"/>
      <c r="AZ231" s="54"/>
      <c r="BA231" s="54"/>
      <c r="BB231" s="54"/>
      <c r="BC231" s="54"/>
      <c r="BD231" s="54" t="s">
        <v>2447</v>
      </c>
      <c r="BE231" s="54"/>
      <c r="BF231" s="54"/>
      <c r="BG231" s="54"/>
      <c r="BH231" s="54"/>
      <c r="BI231" s="54"/>
      <c r="BJ231" s="0"/>
      <c r="BK231" s="0"/>
      <c r="BL231" s="0"/>
      <c r="BM231" s="0"/>
      <c r="BN231" s="0"/>
      <c r="BO231" s="0"/>
      <c r="BP231"/>
      <c r="BQ231"/>
      <c r="BR231"/>
      <c r="BS231"/>
      <c r="BT231"/>
      <c r="BU231"/>
      <c r="BV231"/>
      <c r="BW231"/>
      <c r="BX231"/>
      <c r="BY231"/>
      <c r="BZ231"/>
      <c r="CA231"/>
      <c r="CB231"/>
    </row>
    <row r="232" ht="15.0" customHeight="true">
      <c r="A232" s="51" t="s">
        <v>2448</v>
      </c>
      <c r="B232" s="33"/>
      <c r="C232" s="33" t="s">
        <v>4356</v>
      </c>
      <c r="D232" s="33"/>
      <c r="E232" s="33" t="s">
        <v>4357</v>
      </c>
      <c r="F232" s="33"/>
      <c r="G232" s="55" t="s">
        <v>4358</v>
      </c>
      <c r="H232" s="33"/>
      <c r="I232" s="51" t="s">
        <v>4359</v>
      </c>
      <c r="J232" s="33"/>
      <c r="K232" s="51" t="s">
        <v>4360</v>
      </c>
      <c r="L232" s="33" t="s">
        <v>2454</v>
      </c>
      <c r="M232" s="55" t="s">
        <v>4361</v>
      </c>
      <c r="N232" s="55" t="s">
        <v>3325</v>
      </c>
      <c r="O232" s="33" t="s">
        <v>2272</v>
      </c>
      <c r="P232" s="33" t="s">
        <v>2251</v>
      </c>
      <c r="Q232" s="33"/>
      <c r="R232" s="33" t="s">
        <v>2263</v>
      </c>
      <c r="S232" s="56" t="s">
        <v>2277</v>
      </c>
      <c r="T232" s="56"/>
      <c r="U232" s="56"/>
      <c r="V232" s="33" t="s">
        <v>2456</v>
      </c>
      <c r="W232" s="94" t="s">
        <v>2457</v>
      </c>
      <c r="X232" s="94" t="s">
        <v>2458</v>
      </c>
      <c r="Y232" s="51"/>
      <c r="Z232" s="51"/>
      <c r="AA232" s="33" t="s">
        <v>2459</v>
      </c>
      <c r="AB232" s="33" t="s">
        <v>2460</v>
      </c>
      <c r="AC232" s="33"/>
      <c r="AD232" s="33" t="s">
        <v>2254</v>
      </c>
      <c r="AE232" s="33"/>
      <c r="AF232" s="33" t="s">
        <v>2267</v>
      </c>
      <c r="AG232" s="33" t="s">
        <v>2461</v>
      </c>
      <c r="AH232" s="33"/>
      <c r="AI232" s="33"/>
      <c r="AJ232" s="33" t="s">
        <v>4362</v>
      </c>
      <c r="AK232" s="94"/>
      <c r="AL232" s="33" t="s">
        <v>4363</v>
      </c>
      <c r="AM232" s="33"/>
      <c r="AN232" s="33" t="s">
        <v>2465</v>
      </c>
      <c r="AO232" s="51" t="s">
        <v>2820</v>
      </c>
      <c r="AP232" s="51" t="s">
        <v>207</v>
      </c>
      <c r="AQ232" s="33"/>
      <c r="AR232" s="54"/>
      <c r="AS232" s="54"/>
      <c r="AT232" s="54"/>
      <c r="AU232" s="54"/>
      <c r="AV232" s="54"/>
      <c r="AW232" s="54"/>
      <c r="AX232" s="54"/>
      <c r="AY232" s="54"/>
      <c r="AZ232" s="54"/>
      <c r="BA232" s="54"/>
      <c r="BB232" s="54"/>
      <c r="BC232" s="54"/>
      <c r="BD232" s="54" t="s">
        <v>2447</v>
      </c>
      <c r="BE232" s="54"/>
      <c r="BF232" s="54"/>
      <c r="BG232" s="54"/>
      <c r="BH232" s="54"/>
      <c r="BI232" s="54"/>
      <c r="BJ232" s="0"/>
      <c r="BK232" s="0"/>
      <c r="BL232" s="0"/>
      <c r="BM232" s="0"/>
      <c r="BN232" s="0"/>
      <c r="BO232" s="0"/>
      <c r="BP232"/>
      <c r="BQ232"/>
      <c r="BR232"/>
      <c r="BS232"/>
      <c r="BT232"/>
      <c r="BU232"/>
      <c r="BV232"/>
      <c r="BW232"/>
      <c r="BX232"/>
      <c r="BY232"/>
      <c r="BZ232"/>
      <c r="CA232"/>
      <c r="CB232"/>
    </row>
    <row r="233" ht="15.0" customHeight="true">
      <c r="A233" s="51" t="s">
        <v>2448</v>
      </c>
      <c r="B233" s="33"/>
      <c r="C233" s="33" t="s">
        <v>4364</v>
      </c>
      <c r="D233" s="33"/>
      <c r="E233" s="33" t="s">
        <v>4365</v>
      </c>
      <c r="F233" s="33"/>
      <c r="G233" s="55" t="s">
        <v>4191</v>
      </c>
      <c r="H233" s="33"/>
      <c r="I233" s="51" t="s">
        <v>4366</v>
      </c>
      <c r="J233" s="33"/>
      <c r="K233" s="51" t="s">
        <v>4367</v>
      </c>
      <c r="L233" s="33" t="s">
        <v>2454</v>
      </c>
      <c r="M233" s="55" t="s">
        <v>2544</v>
      </c>
      <c r="N233" s="55" t="s">
        <v>4368</v>
      </c>
      <c r="O233" s="33" t="s">
        <v>2272</v>
      </c>
      <c r="P233" s="33" t="s">
        <v>2251</v>
      </c>
      <c r="Q233" s="33"/>
      <c r="R233" s="33" t="s">
        <v>2263</v>
      </c>
      <c r="S233" s="56" t="s">
        <v>2277</v>
      </c>
      <c r="T233" s="56"/>
      <c r="U233" s="56"/>
      <c r="V233" s="33" t="s">
        <v>2456</v>
      </c>
      <c r="W233" s="94" t="s">
        <v>2457</v>
      </c>
      <c r="X233" s="94" t="s">
        <v>2474</v>
      </c>
      <c r="Y233" s="51"/>
      <c r="Z233" s="51"/>
      <c r="AA233" s="33" t="s">
        <v>2459</v>
      </c>
      <c r="AB233" s="33" t="s">
        <v>2460</v>
      </c>
      <c r="AC233" s="33"/>
      <c r="AD233" s="33" t="s">
        <v>2254</v>
      </c>
      <c r="AE233" s="33"/>
      <c r="AF233" s="33" t="s">
        <v>2267</v>
      </c>
      <c r="AG233" s="33" t="s">
        <v>2461</v>
      </c>
      <c r="AH233" s="33"/>
      <c r="AI233" s="33"/>
      <c r="AJ233" s="33" t="s">
        <v>4369</v>
      </c>
      <c r="AK233" s="94"/>
      <c r="AL233" s="33" t="s">
        <v>4370</v>
      </c>
      <c r="AM233" s="33"/>
      <c r="AN233" s="33" t="s">
        <v>2465</v>
      </c>
      <c r="AO233" s="51" t="s">
        <v>2673</v>
      </c>
      <c r="AP233" s="51" t="s">
        <v>207</v>
      </c>
      <c r="AQ233" s="33"/>
      <c r="AR233" s="54"/>
      <c r="AS233" s="54"/>
      <c r="AT233" s="54"/>
      <c r="AU233" s="54"/>
      <c r="AV233" s="54"/>
      <c r="AW233" s="54"/>
      <c r="AX233" s="54"/>
      <c r="AY233" s="54"/>
      <c r="AZ233" s="54"/>
      <c r="BA233" s="54"/>
      <c r="BB233" s="54"/>
      <c r="BC233" s="54"/>
      <c r="BD233" s="54" t="s">
        <v>2447</v>
      </c>
      <c r="BE233" s="54"/>
      <c r="BF233" s="54"/>
      <c r="BG233" s="54"/>
      <c r="BH233" s="54"/>
      <c r="BI233" s="54"/>
      <c r="BJ233" s="0"/>
      <c r="BK233" s="0"/>
      <c r="BL233" s="0"/>
      <c r="BM233" s="0"/>
      <c r="BN233" s="0"/>
      <c r="BO233" s="0"/>
      <c r="BP233"/>
      <c r="BQ233"/>
      <c r="BR233"/>
      <c r="BS233"/>
      <c r="BT233"/>
      <c r="BU233"/>
      <c r="BV233"/>
      <c r="BW233"/>
      <c r="BX233"/>
      <c r="BY233"/>
      <c r="BZ233"/>
      <c r="CA233"/>
      <c r="CB233"/>
    </row>
    <row r="234" ht="15.0" customHeight="true">
      <c r="A234" s="51" t="s">
        <v>2448</v>
      </c>
      <c r="B234" s="33"/>
      <c r="C234" s="33" t="s">
        <v>381</v>
      </c>
      <c r="D234" s="33"/>
      <c r="E234" s="33" t="s">
        <v>4371</v>
      </c>
      <c r="F234" s="33"/>
      <c r="G234" s="55" t="s">
        <v>4372</v>
      </c>
      <c r="H234" s="33"/>
      <c r="I234" s="51" t="s">
        <v>4373</v>
      </c>
      <c r="J234" s="33"/>
      <c r="K234" s="51" t="s">
        <v>4374</v>
      </c>
      <c r="L234" s="33" t="s">
        <v>2484</v>
      </c>
      <c r="M234" s="55" t="s">
        <v>4375</v>
      </c>
      <c r="N234" s="55"/>
      <c r="O234" s="33"/>
      <c r="P234" s="33" t="s">
        <v>2251</v>
      </c>
      <c r="Q234" s="33"/>
      <c r="R234" s="33" t="s">
        <v>2263</v>
      </c>
      <c r="S234" s="56" t="s">
        <v>2277</v>
      </c>
      <c r="T234" s="56"/>
      <c r="U234" s="56"/>
      <c r="V234" s="33" t="s">
        <v>2456</v>
      </c>
      <c r="W234" s="94" t="s">
        <v>2457</v>
      </c>
      <c r="X234" s="94" t="s">
        <v>4376</v>
      </c>
      <c r="Y234" s="51"/>
      <c r="Z234" s="51"/>
      <c r="AA234" s="33" t="s">
        <v>2459</v>
      </c>
      <c r="AB234" s="33" t="s">
        <v>2460</v>
      </c>
      <c r="AC234" s="33" t="s">
        <v>2486</v>
      </c>
      <c r="AD234" s="33" t="s">
        <v>2254</v>
      </c>
      <c r="AE234" s="33"/>
      <c r="AF234" s="33" t="s">
        <v>2267</v>
      </c>
      <c r="AG234" s="33" t="s">
        <v>2461</v>
      </c>
      <c r="AH234" s="33"/>
      <c r="AI234" s="33"/>
      <c r="AJ234" s="33" t="s">
        <v>4377</v>
      </c>
      <c r="AK234" s="94"/>
      <c r="AL234" s="33" t="s">
        <v>4378</v>
      </c>
      <c r="AM234" s="33"/>
      <c r="AN234" s="33" t="s">
        <v>2465</v>
      </c>
      <c r="AO234" s="51" t="s">
        <v>2820</v>
      </c>
      <c r="AP234" s="51" t="s">
        <v>207</v>
      </c>
      <c r="AQ234" s="33"/>
      <c r="AR234" s="54"/>
      <c r="AS234" s="54"/>
      <c r="AT234" s="54"/>
      <c r="AU234" s="54"/>
      <c r="AV234" s="54"/>
      <c r="AW234" s="54"/>
      <c r="AX234" s="54"/>
      <c r="AY234" s="54"/>
      <c r="AZ234" s="54"/>
      <c r="BA234" s="54"/>
      <c r="BB234" s="54"/>
      <c r="BC234" s="54"/>
      <c r="BD234" s="54" t="s">
        <v>2447</v>
      </c>
      <c r="BE234" s="54"/>
      <c r="BF234" s="54"/>
      <c r="BG234" s="54"/>
      <c r="BH234" s="54"/>
      <c r="BI234" s="54"/>
      <c r="BJ234" s="0"/>
      <c r="BK234" s="0"/>
      <c r="BL234" s="0"/>
      <c r="BM234" s="0"/>
      <c r="BN234" s="0"/>
      <c r="BO234" s="0"/>
      <c r="BP234"/>
      <c r="BQ234"/>
      <c r="BR234"/>
      <c r="BS234"/>
      <c r="BT234"/>
      <c r="BU234"/>
      <c r="BV234"/>
      <c r="BW234"/>
      <c r="BX234"/>
      <c r="BY234"/>
      <c r="BZ234"/>
      <c r="CA234"/>
      <c r="CB234"/>
    </row>
    <row r="235" ht="15.0" customHeight="true">
      <c r="A235" s="51" t="s">
        <v>2448</v>
      </c>
      <c r="B235" s="33"/>
      <c r="C235" s="33" t="s">
        <v>4379</v>
      </c>
      <c r="D235" s="33"/>
      <c r="E235" s="33" t="s">
        <v>4380</v>
      </c>
      <c r="F235" s="33"/>
      <c r="G235" s="55" t="s">
        <v>4381</v>
      </c>
      <c r="H235" s="33"/>
      <c r="I235" s="51" t="s">
        <v>4382</v>
      </c>
      <c r="J235" s="33"/>
      <c r="K235" s="51" t="s">
        <v>4383</v>
      </c>
      <c r="L235" s="33" t="s">
        <v>2454</v>
      </c>
      <c r="M235" s="55" t="s">
        <v>4094</v>
      </c>
      <c r="N235" s="55" t="s">
        <v>4384</v>
      </c>
      <c r="O235" s="33" t="s">
        <v>2272</v>
      </c>
      <c r="P235" s="33" t="s">
        <v>2251</v>
      </c>
      <c r="Q235" s="33"/>
      <c r="R235" s="33" t="s">
        <v>2263</v>
      </c>
      <c r="S235" s="56" t="s">
        <v>2277</v>
      </c>
      <c r="T235" s="56"/>
      <c r="U235" s="56"/>
      <c r="V235" s="33" t="s">
        <v>2456</v>
      </c>
      <c r="W235" s="94" t="s">
        <v>2457</v>
      </c>
      <c r="X235" s="94" t="s">
        <v>2458</v>
      </c>
      <c r="Y235" s="51"/>
      <c r="Z235" s="51"/>
      <c r="AA235" s="33" t="s">
        <v>2459</v>
      </c>
      <c r="AB235" s="33" t="s">
        <v>2460</v>
      </c>
      <c r="AC235" s="33"/>
      <c r="AD235" s="33" t="s">
        <v>2254</v>
      </c>
      <c r="AE235" s="33"/>
      <c r="AF235" s="33" t="s">
        <v>2267</v>
      </c>
      <c r="AG235" s="33" t="s">
        <v>2461</v>
      </c>
      <c r="AH235" s="33"/>
      <c r="AI235" s="33"/>
      <c r="AJ235" s="33" t="s">
        <v>4385</v>
      </c>
      <c r="AK235" s="94"/>
      <c r="AL235" s="33" t="s">
        <v>4386</v>
      </c>
      <c r="AM235" s="33"/>
      <c r="AN235" s="33" t="s">
        <v>2465</v>
      </c>
      <c r="AO235" s="51" t="s">
        <v>2489</v>
      </c>
      <c r="AP235" s="51" t="s">
        <v>207</v>
      </c>
      <c r="AQ235" s="33"/>
      <c r="AR235" s="54"/>
      <c r="AS235" s="54"/>
      <c r="AT235" s="54"/>
      <c r="AU235" s="54"/>
      <c r="AV235" s="54"/>
      <c r="AW235" s="54"/>
      <c r="AX235" s="54"/>
      <c r="AY235" s="54"/>
      <c r="AZ235" s="54"/>
      <c r="BA235" s="54"/>
      <c r="BB235" s="54"/>
      <c r="BC235" s="54"/>
      <c r="BD235" s="54" t="s">
        <v>2447</v>
      </c>
      <c r="BE235" s="54"/>
      <c r="BF235" s="54"/>
      <c r="BG235" s="54"/>
      <c r="BH235" s="54"/>
      <c r="BI235" s="54"/>
      <c r="BJ235" s="0"/>
      <c r="BK235" s="0"/>
      <c r="BL235" s="0"/>
      <c r="BM235" s="0"/>
      <c r="BN235" s="0"/>
      <c r="BO235" s="0"/>
      <c r="BP235"/>
      <c r="BQ235"/>
      <c r="BR235"/>
      <c r="BS235"/>
      <c r="BT235"/>
      <c r="BU235"/>
      <c r="BV235"/>
      <c r="BW235"/>
      <c r="BX235"/>
      <c r="BY235"/>
      <c r="BZ235"/>
      <c r="CA235"/>
      <c r="CB235"/>
    </row>
    <row r="236" ht="15.0" customHeight="true">
      <c r="A236" s="51" t="s">
        <v>2448</v>
      </c>
      <c r="B236" s="33"/>
      <c r="C236" s="33" t="s">
        <v>4387</v>
      </c>
      <c r="D236" s="33"/>
      <c r="E236" s="33" t="s">
        <v>4388</v>
      </c>
      <c r="F236" s="33"/>
      <c r="G236" s="55" t="s">
        <v>4389</v>
      </c>
      <c r="H236" s="33"/>
      <c r="I236" s="51" t="s">
        <v>4390</v>
      </c>
      <c r="J236" s="33"/>
      <c r="K236" s="51" t="s">
        <v>4391</v>
      </c>
      <c r="L236" s="33" t="s">
        <v>2454</v>
      </c>
      <c r="M236" s="55" t="s">
        <v>2976</v>
      </c>
      <c r="N236" s="55" t="s">
        <v>4392</v>
      </c>
      <c r="O236" s="33" t="s">
        <v>2276</v>
      </c>
      <c r="P236" s="33" t="s">
        <v>2251</v>
      </c>
      <c r="Q236" s="33"/>
      <c r="R236" s="33" t="s">
        <v>2263</v>
      </c>
      <c r="S236" s="56" t="s">
        <v>2277</v>
      </c>
      <c r="T236" s="56"/>
      <c r="U236" s="56"/>
      <c r="V236" s="33" t="s">
        <v>2976</v>
      </c>
      <c r="W236" s="94" t="s">
        <v>2574</v>
      </c>
      <c r="X236" s="94" t="s">
        <v>2474</v>
      </c>
      <c r="Y236" s="51"/>
      <c r="Z236" s="51"/>
      <c r="AA236" s="33" t="s">
        <v>2459</v>
      </c>
      <c r="AB236" s="33" t="s">
        <v>2460</v>
      </c>
      <c r="AC236" s="33" t="s">
        <v>2486</v>
      </c>
      <c r="AD236" s="33" t="s">
        <v>2254</v>
      </c>
      <c r="AE236" s="33"/>
      <c r="AF236" s="33" t="s">
        <v>2267</v>
      </c>
      <c r="AG236" s="33" t="s">
        <v>2461</v>
      </c>
      <c r="AH236" s="33"/>
      <c r="AI236" s="33"/>
      <c r="AJ236" s="33" t="s">
        <v>4393</v>
      </c>
      <c r="AK236" s="94"/>
      <c r="AL236" s="33" t="s">
        <v>4394</v>
      </c>
      <c r="AM236" s="33"/>
      <c r="AN236" s="33" t="s">
        <v>2465</v>
      </c>
      <c r="AO236" s="51" t="s">
        <v>2489</v>
      </c>
      <c r="AP236" s="51" t="s">
        <v>207</v>
      </c>
      <c r="AQ236" s="33"/>
      <c r="AR236" s="54"/>
      <c r="AS236" s="54"/>
      <c r="AT236" s="54"/>
      <c r="AU236" s="54"/>
      <c r="AV236" s="54"/>
      <c r="AW236" s="54"/>
      <c r="AX236" s="54"/>
      <c r="AY236" s="54" t="s">
        <v>2269</v>
      </c>
      <c r="AZ236" s="54"/>
      <c r="BA236" s="54"/>
      <c r="BB236" s="54"/>
      <c r="BC236" s="54"/>
      <c r="BD236" s="54" t="s">
        <v>2447</v>
      </c>
      <c r="BE236" s="54"/>
      <c r="BF236" s="54"/>
      <c r="BG236" s="54"/>
      <c r="BH236" s="54"/>
      <c r="BI236" s="54"/>
      <c r="BJ236" s="0"/>
      <c r="BK236" s="0"/>
      <c r="BL236" s="0"/>
      <c r="BM236" s="0"/>
      <c r="BN236" s="0"/>
      <c r="BO236" s="0"/>
      <c r="BP236"/>
      <c r="BQ236"/>
      <c r="BR236"/>
      <c r="BS236"/>
      <c r="BT236"/>
      <c r="BU236"/>
      <c r="BV236"/>
      <c r="BW236"/>
      <c r="BX236"/>
      <c r="BY236"/>
      <c r="BZ236"/>
      <c r="CA236"/>
      <c r="CB236"/>
    </row>
    <row r="237" ht="15.0" customHeight="true">
      <c r="A237" s="51" t="s">
        <v>2448</v>
      </c>
      <c r="B237" s="33"/>
      <c r="C237" s="33" t="s">
        <v>2887</v>
      </c>
      <c r="D237" s="33"/>
      <c r="E237" s="33" t="s">
        <v>4395</v>
      </c>
      <c r="F237" s="33"/>
      <c r="G237" s="55" t="s">
        <v>4396</v>
      </c>
      <c r="H237" s="33"/>
      <c r="I237" s="51" t="s">
        <v>4397</v>
      </c>
      <c r="J237" s="33"/>
      <c r="K237" s="51" t="s">
        <v>4398</v>
      </c>
      <c r="L237" s="33" t="s">
        <v>2454</v>
      </c>
      <c r="M237" s="55" t="s">
        <v>2900</v>
      </c>
      <c r="N237" s="55" t="s">
        <v>2900</v>
      </c>
      <c r="O237" s="33" t="s">
        <v>2272</v>
      </c>
      <c r="P237" s="33" t="s">
        <v>2251</v>
      </c>
      <c r="Q237" s="33"/>
      <c r="R237" s="33" t="s">
        <v>2263</v>
      </c>
      <c r="S237" s="56" t="s">
        <v>2277</v>
      </c>
      <c r="T237" s="56"/>
      <c r="U237" s="56"/>
      <c r="V237" s="33" t="s">
        <v>2456</v>
      </c>
      <c r="W237" s="94" t="s">
        <v>2457</v>
      </c>
      <c r="X237" s="94" t="s">
        <v>2458</v>
      </c>
      <c r="Y237" s="51"/>
      <c r="Z237" s="51"/>
      <c r="AA237" s="33" t="s">
        <v>2459</v>
      </c>
      <c r="AB237" s="33" t="s">
        <v>2460</v>
      </c>
      <c r="AC237" s="33"/>
      <c r="AD237" s="33" t="s">
        <v>2254</v>
      </c>
      <c r="AE237" s="33"/>
      <c r="AF237" s="33" t="s">
        <v>2267</v>
      </c>
      <c r="AG237" s="33" t="s">
        <v>2461</v>
      </c>
      <c r="AH237" s="33"/>
      <c r="AI237" s="33"/>
      <c r="AJ237" s="33" t="s">
        <v>4399</v>
      </c>
      <c r="AK237" s="94"/>
      <c r="AL237" s="33" t="s">
        <v>4400</v>
      </c>
      <c r="AM237" s="33"/>
      <c r="AN237" s="33" t="s">
        <v>2465</v>
      </c>
      <c r="AO237" s="51" t="s">
        <v>2528</v>
      </c>
      <c r="AP237" s="51" t="s">
        <v>207</v>
      </c>
      <c r="AQ237" s="33"/>
      <c r="AR237" s="54"/>
      <c r="AS237" s="54"/>
      <c r="AT237" s="54"/>
      <c r="AU237" s="54"/>
      <c r="AV237" s="54"/>
      <c r="AW237" s="54"/>
      <c r="AX237" s="54"/>
      <c r="AY237" s="54"/>
      <c r="AZ237" s="54"/>
      <c r="BA237" s="54"/>
      <c r="BB237" s="54"/>
      <c r="BC237" s="54"/>
      <c r="BD237" s="54" t="s">
        <v>2447</v>
      </c>
      <c r="BE237" s="54"/>
      <c r="BF237" s="54"/>
      <c r="BG237" s="54"/>
      <c r="BH237" s="54"/>
      <c r="BI237" s="54"/>
      <c r="BJ237" s="0"/>
      <c r="BK237" s="0"/>
      <c r="BL237" s="0"/>
      <c r="BM237" s="0"/>
      <c r="BN237" s="0"/>
      <c r="BO237" s="0"/>
      <c r="BP237"/>
      <c r="BQ237"/>
      <c r="BR237"/>
      <c r="BS237"/>
      <c r="BT237"/>
      <c r="BU237"/>
      <c r="BV237"/>
      <c r="BW237"/>
      <c r="BX237"/>
      <c r="BY237"/>
      <c r="BZ237"/>
      <c r="CA237"/>
      <c r="CB237"/>
    </row>
    <row r="238" ht="15.0" customHeight="true">
      <c r="A238" s="51" t="s">
        <v>2448</v>
      </c>
      <c r="B238" s="33"/>
      <c r="C238" s="33" t="s">
        <v>4401</v>
      </c>
      <c r="D238" s="33"/>
      <c r="E238" s="33" t="s">
        <v>2731</v>
      </c>
      <c r="F238" s="33"/>
      <c r="G238" s="55" t="s">
        <v>4402</v>
      </c>
      <c r="H238" s="33" t="s">
        <v>2247</v>
      </c>
      <c r="I238" s="51" t="s">
        <v>4403</v>
      </c>
      <c r="J238" s="33"/>
      <c r="K238" s="51" t="s">
        <v>4404</v>
      </c>
      <c r="L238" s="33" t="s">
        <v>2484</v>
      </c>
      <c r="M238" s="55" t="s">
        <v>2456</v>
      </c>
      <c r="N238" s="55"/>
      <c r="O238" s="33"/>
      <c r="P238" s="33" t="s">
        <v>2251</v>
      </c>
      <c r="Q238" s="33"/>
      <c r="R238" s="33" t="s">
        <v>2263</v>
      </c>
      <c r="S238" s="56" t="s">
        <v>2277</v>
      </c>
      <c r="T238" s="56"/>
      <c r="U238" s="56"/>
      <c r="V238" s="33" t="s">
        <v>2456</v>
      </c>
      <c r="W238" s="94" t="s">
        <v>2574</v>
      </c>
      <c r="X238" s="94" t="s">
        <v>2474</v>
      </c>
      <c r="Y238" s="51"/>
      <c r="Z238" s="51"/>
      <c r="AA238" s="33" t="s">
        <v>2459</v>
      </c>
      <c r="AB238" s="33" t="s">
        <v>2460</v>
      </c>
      <c r="AC238" s="33" t="s">
        <v>2486</v>
      </c>
      <c r="AD238" s="33" t="s">
        <v>2254</v>
      </c>
      <c r="AE238" s="33"/>
      <c r="AF238" s="33" t="s">
        <v>2267</v>
      </c>
      <c r="AG238" s="33" t="s">
        <v>2461</v>
      </c>
      <c r="AH238" s="33"/>
      <c r="AI238" s="33"/>
      <c r="AJ238" s="33" t="s">
        <v>4405</v>
      </c>
      <c r="AK238" s="94"/>
      <c r="AL238" s="33" t="s">
        <v>4406</v>
      </c>
      <c r="AM238" s="33"/>
      <c r="AN238" s="33" t="s">
        <v>2465</v>
      </c>
      <c r="AO238" s="51" t="s">
        <v>2820</v>
      </c>
      <c r="AP238" s="51" t="s">
        <v>207</v>
      </c>
      <c r="AQ238" s="33"/>
      <c r="AR238" s="54"/>
      <c r="AS238" s="54"/>
      <c r="AT238" s="54"/>
      <c r="AU238" s="54"/>
      <c r="AV238" s="54"/>
      <c r="AW238" s="54"/>
      <c r="AX238" s="54"/>
      <c r="AY238" s="54" t="s">
        <v>2269</v>
      </c>
      <c r="AZ238" s="54"/>
      <c r="BA238" s="54"/>
      <c r="BB238" s="54"/>
      <c r="BC238" s="54"/>
      <c r="BD238" s="54" t="s">
        <v>2447</v>
      </c>
      <c r="BE238" s="54"/>
      <c r="BF238" s="54"/>
      <c r="BG238" s="54"/>
      <c r="BH238" s="54"/>
      <c r="BI238" s="54"/>
      <c r="BJ238" s="0"/>
      <c r="BK238" s="0"/>
      <c r="BL238" s="0"/>
      <c r="BM238" s="0"/>
      <c r="BN238" s="0"/>
      <c r="BO238" s="0"/>
      <c r="BP238"/>
      <c r="BQ238"/>
      <c r="BR238"/>
      <c r="BS238"/>
      <c r="BT238"/>
      <c r="BU238"/>
      <c r="BV238"/>
      <c r="BW238"/>
      <c r="BX238"/>
      <c r="BY238"/>
      <c r="BZ238"/>
      <c r="CA238"/>
      <c r="CB238"/>
    </row>
    <row r="239" ht="15.0" customHeight="true">
      <c r="A239" s="51" t="s">
        <v>2448</v>
      </c>
      <c r="B239" s="33"/>
      <c r="C239" s="33" t="s">
        <v>4407</v>
      </c>
      <c r="D239" s="33"/>
      <c r="E239" s="33" t="s">
        <v>3284</v>
      </c>
      <c r="F239" s="33"/>
      <c r="G239" s="55" t="s">
        <v>4408</v>
      </c>
      <c r="H239" s="33"/>
      <c r="I239" s="51" t="s">
        <v>4409</v>
      </c>
      <c r="J239" s="33"/>
      <c r="K239" s="51" t="s">
        <v>4410</v>
      </c>
      <c r="L239" s="33" t="s">
        <v>2454</v>
      </c>
      <c r="M239" s="55" t="s">
        <v>4411</v>
      </c>
      <c r="N239" s="55" t="s">
        <v>3367</v>
      </c>
      <c r="O239" s="33" t="s">
        <v>2272</v>
      </c>
      <c r="P239" s="33" t="s">
        <v>2251</v>
      </c>
      <c r="Q239" s="33"/>
      <c r="R239" s="33" t="s">
        <v>2263</v>
      </c>
      <c r="S239" s="56" t="s">
        <v>2277</v>
      </c>
      <c r="T239" s="56"/>
      <c r="U239" s="56"/>
      <c r="V239" s="33" t="s">
        <v>2456</v>
      </c>
      <c r="W239" s="94" t="s">
        <v>2457</v>
      </c>
      <c r="X239" s="94" t="s">
        <v>2474</v>
      </c>
      <c r="Y239" s="51"/>
      <c r="Z239" s="51"/>
      <c r="AA239" s="33" t="s">
        <v>2459</v>
      </c>
      <c r="AB239" s="33" t="s">
        <v>2460</v>
      </c>
      <c r="AC239" s="33"/>
      <c r="AD239" s="33" t="s">
        <v>2254</v>
      </c>
      <c r="AE239" s="33"/>
      <c r="AF239" s="33" t="s">
        <v>2267</v>
      </c>
      <c r="AG239" s="33" t="s">
        <v>2461</v>
      </c>
      <c r="AH239" s="33"/>
      <c r="AI239" s="33"/>
      <c r="AJ239" s="33" t="s">
        <v>4412</v>
      </c>
      <c r="AK239" s="94"/>
      <c r="AL239" s="33" t="s">
        <v>4413</v>
      </c>
      <c r="AM239" s="33"/>
      <c r="AN239" s="33" t="s">
        <v>2588</v>
      </c>
      <c r="AO239" s="51" t="s">
        <v>2589</v>
      </c>
      <c r="AP239" s="51" t="s">
        <v>207</v>
      </c>
      <c r="AQ239" s="33"/>
      <c r="AR239" s="54"/>
      <c r="AS239" s="54"/>
      <c r="AT239" s="54"/>
      <c r="AU239" s="54"/>
      <c r="AV239" s="54"/>
      <c r="AW239" s="54"/>
      <c r="AX239" s="54"/>
      <c r="AY239" s="54"/>
      <c r="AZ239" s="54"/>
      <c r="BA239" s="54"/>
      <c r="BB239" s="54"/>
      <c r="BC239" s="54"/>
      <c r="BD239" s="54" t="s">
        <v>2447</v>
      </c>
      <c r="BE239" s="54"/>
      <c r="BF239" s="54"/>
      <c r="BG239" s="54"/>
      <c r="BH239" s="54"/>
      <c r="BI239" s="54"/>
      <c r="BJ239" s="0"/>
      <c r="BK239" s="0"/>
      <c r="BL239" s="0"/>
      <c r="BM239" s="0"/>
      <c r="BN239" s="0"/>
      <c r="BO239" s="0"/>
      <c r="BP239"/>
      <c r="BQ239"/>
      <c r="BR239"/>
      <c r="BS239"/>
      <c r="BT239"/>
      <c r="BU239"/>
      <c r="BV239"/>
      <c r="BW239"/>
      <c r="BX239"/>
      <c r="BY239"/>
      <c r="BZ239"/>
      <c r="CA239"/>
      <c r="CB239"/>
    </row>
    <row r="240" ht="15.0" customHeight="true">
      <c r="A240" s="51" t="s">
        <v>2448</v>
      </c>
      <c r="B240" s="33"/>
      <c r="C240" s="33" t="s">
        <v>3666</v>
      </c>
      <c r="D240" s="33"/>
      <c r="E240" s="33" t="s">
        <v>4414</v>
      </c>
      <c r="F240" s="33"/>
      <c r="G240" s="55" t="s">
        <v>4415</v>
      </c>
      <c r="H240" s="33" t="s">
        <v>2247</v>
      </c>
      <c r="I240" s="51" t="s">
        <v>4416</v>
      </c>
      <c r="J240" s="33"/>
      <c r="K240" s="51" t="s">
        <v>4417</v>
      </c>
      <c r="L240" s="33" t="s">
        <v>2484</v>
      </c>
      <c r="M240" s="55" t="s">
        <v>3844</v>
      </c>
      <c r="N240" s="55"/>
      <c r="O240" s="33"/>
      <c r="P240" s="33" t="s">
        <v>2251</v>
      </c>
      <c r="Q240" s="33"/>
      <c r="R240" s="33" t="s">
        <v>2263</v>
      </c>
      <c r="S240" s="56" t="s">
        <v>2277</v>
      </c>
      <c r="T240" s="56"/>
      <c r="U240" s="56"/>
      <c r="V240" s="33" t="s">
        <v>3844</v>
      </c>
      <c r="W240" s="94" t="s">
        <v>2457</v>
      </c>
      <c r="X240" s="94" t="s">
        <v>2474</v>
      </c>
      <c r="Y240" s="51"/>
      <c r="Z240" s="51"/>
      <c r="AA240" s="33" t="s">
        <v>2459</v>
      </c>
      <c r="AB240" s="33" t="s">
        <v>2460</v>
      </c>
      <c r="AC240" s="33" t="s">
        <v>2486</v>
      </c>
      <c r="AD240" s="33" t="s">
        <v>2254</v>
      </c>
      <c r="AE240" s="33"/>
      <c r="AF240" s="33" t="s">
        <v>2267</v>
      </c>
      <c r="AG240" s="33" t="s">
        <v>2461</v>
      </c>
      <c r="AH240" s="33"/>
      <c r="AI240" s="33"/>
      <c r="AJ240" s="33" t="s">
        <v>4418</v>
      </c>
      <c r="AK240" s="94"/>
      <c r="AL240" s="33" t="s">
        <v>4419</v>
      </c>
      <c r="AM240" s="33"/>
      <c r="AN240" s="33" t="s">
        <v>2465</v>
      </c>
      <c r="AO240" s="51" t="s">
        <v>2489</v>
      </c>
      <c r="AP240" s="51" t="s">
        <v>207</v>
      </c>
      <c r="AQ240" s="33"/>
      <c r="AR240" s="54"/>
      <c r="AS240" s="54"/>
      <c r="AT240" s="54"/>
      <c r="AU240" s="54"/>
      <c r="AV240" s="54"/>
      <c r="AW240" s="54"/>
      <c r="AX240" s="54"/>
      <c r="AY240" s="54" t="s">
        <v>2269</v>
      </c>
      <c r="AZ240" s="54"/>
      <c r="BA240" s="54"/>
      <c r="BB240" s="54"/>
      <c r="BC240" s="54"/>
      <c r="BD240" s="54"/>
      <c r="BE240" s="54"/>
      <c r="BF240" s="54"/>
      <c r="BG240" s="54"/>
      <c r="BH240" s="54"/>
      <c r="BI240" s="54"/>
      <c r="BJ240" s="0"/>
      <c r="BK240" s="0"/>
      <c r="BL240" s="0"/>
      <c r="BM240" s="0"/>
      <c r="BN240" s="0"/>
      <c r="BO240" s="0"/>
      <c r="BP240"/>
      <c r="BQ240"/>
      <c r="BR240"/>
      <c r="BS240"/>
      <c r="BT240"/>
      <c r="BU240"/>
      <c r="BV240"/>
      <c r="BW240"/>
      <c r="BX240"/>
      <c r="BY240"/>
      <c r="BZ240"/>
      <c r="CA240"/>
      <c r="CB240"/>
    </row>
    <row r="241" ht="15.0" customHeight="true">
      <c r="A241" s="51" t="s">
        <v>2448</v>
      </c>
      <c r="B241" s="33"/>
      <c r="C241" s="33" t="s">
        <v>4420</v>
      </c>
      <c r="D241" s="33"/>
      <c r="E241" s="33" t="s">
        <v>4421</v>
      </c>
      <c r="F241" s="33"/>
      <c r="G241" s="55" t="s">
        <v>3955</v>
      </c>
      <c r="H241" s="33"/>
      <c r="I241" s="51" t="s">
        <v>4422</v>
      </c>
      <c r="J241" s="33"/>
      <c r="K241" s="51" t="s">
        <v>4423</v>
      </c>
      <c r="L241" s="33" t="s">
        <v>2484</v>
      </c>
      <c r="M241" s="55" t="s">
        <v>4424</v>
      </c>
      <c r="N241" s="55"/>
      <c r="O241" s="33"/>
      <c r="P241" s="33" t="s">
        <v>2251</v>
      </c>
      <c r="Q241" s="33"/>
      <c r="R241" s="33" t="s">
        <v>2263</v>
      </c>
      <c r="S241" s="56" t="s">
        <v>2277</v>
      </c>
      <c r="T241" s="56"/>
      <c r="U241" s="56"/>
      <c r="V241" s="33" t="s">
        <v>2456</v>
      </c>
      <c r="W241" s="94" t="s">
        <v>2457</v>
      </c>
      <c r="X241" s="94" t="s">
        <v>2474</v>
      </c>
      <c r="Y241" s="51"/>
      <c r="Z241" s="51"/>
      <c r="AA241" s="33" t="s">
        <v>2459</v>
      </c>
      <c r="AB241" s="33" t="s">
        <v>2460</v>
      </c>
      <c r="AC241" s="33" t="s">
        <v>2486</v>
      </c>
      <c r="AD241" s="33" t="s">
        <v>2254</v>
      </c>
      <c r="AE241" s="33"/>
      <c r="AF241" s="33" t="s">
        <v>2267</v>
      </c>
      <c r="AG241" s="33" t="s">
        <v>2461</v>
      </c>
      <c r="AH241" s="33"/>
      <c r="AI241" s="33"/>
      <c r="AJ241" s="33" t="s">
        <v>4425</v>
      </c>
      <c r="AK241" s="94"/>
      <c r="AL241" s="33" t="s">
        <v>2546</v>
      </c>
      <c r="AM241" s="33" t="s">
        <v>4426</v>
      </c>
      <c r="AN241" s="33" t="s">
        <v>2465</v>
      </c>
      <c r="AO241" s="51" t="s">
        <v>2548</v>
      </c>
      <c r="AP241" s="51" t="s">
        <v>207</v>
      </c>
      <c r="AQ241" s="33"/>
      <c r="AR241" s="54"/>
      <c r="AS241" s="54"/>
      <c r="AT241" s="54"/>
      <c r="AU241" s="54"/>
      <c r="AV241" s="54"/>
      <c r="AW241" s="54"/>
      <c r="AX241" s="54"/>
      <c r="AY241" s="54"/>
      <c r="AZ241" s="54"/>
      <c r="BA241" s="54"/>
      <c r="BB241" s="54"/>
      <c r="BC241" s="54"/>
      <c r="BD241" s="54" t="s">
        <v>2447</v>
      </c>
      <c r="BE241" s="54"/>
      <c r="BF241" s="54"/>
      <c r="BG241" s="54"/>
      <c r="BH241" s="54"/>
      <c r="BI241" s="54"/>
      <c r="BJ241" s="0"/>
      <c r="BK241" s="0"/>
      <c r="BL241" s="0"/>
      <c r="BM241" s="0"/>
      <c r="BN241" s="0"/>
      <c r="BO241" s="0"/>
      <c r="BP241"/>
      <c r="BQ241"/>
      <c r="BR241"/>
      <c r="BS241"/>
      <c r="BT241"/>
      <c r="BU241"/>
      <c r="BV241"/>
      <c r="BW241"/>
      <c r="BX241"/>
      <c r="BY241"/>
      <c r="BZ241"/>
      <c r="CA241"/>
      <c r="CB241"/>
    </row>
    <row r="242" ht="15.0" customHeight="true">
      <c r="A242" s="51" t="s">
        <v>2448</v>
      </c>
      <c r="B242" s="33"/>
      <c r="C242" s="33" t="s">
        <v>3228</v>
      </c>
      <c r="D242" s="33"/>
      <c r="E242" s="33" t="s">
        <v>4427</v>
      </c>
      <c r="F242" s="33"/>
      <c r="G242" s="55" t="s">
        <v>4428</v>
      </c>
      <c r="H242" s="33"/>
      <c r="I242" s="51" t="s">
        <v>4429</v>
      </c>
      <c r="J242" s="33"/>
      <c r="K242" s="51" t="s">
        <v>4430</v>
      </c>
      <c r="L242" s="33" t="s">
        <v>2454</v>
      </c>
      <c r="M242" s="55" t="s">
        <v>2763</v>
      </c>
      <c r="N242" s="55" t="s">
        <v>2763</v>
      </c>
      <c r="O242" s="33" t="s">
        <v>2272</v>
      </c>
      <c r="P242" s="33" t="s">
        <v>2251</v>
      </c>
      <c r="Q242" s="33"/>
      <c r="R242" s="33" t="s">
        <v>2263</v>
      </c>
      <c r="S242" s="56" t="s">
        <v>2277</v>
      </c>
      <c r="T242" s="56"/>
      <c r="U242" s="56"/>
      <c r="V242" s="33" t="s">
        <v>2456</v>
      </c>
      <c r="W242" s="94" t="s">
        <v>2457</v>
      </c>
      <c r="X242" s="94" t="s">
        <v>2474</v>
      </c>
      <c r="Y242" s="51"/>
      <c r="Z242" s="51"/>
      <c r="AA242" s="33" t="s">
        <v>2459</v>
      </c>
      <c r="AB242" s="33" t="s">
        <v>2460</v>
      </c>
      <c r="AC242" s="33"/>
      <c r="AD242" s="33" t="s">
        <v>2254</v>
      </c>
      <c r="AE242" s="33"/>
      <c r="AF242" s="33" t="s">
        <v>2267</v>
      </c>
      <c r="AG242" s="33" t="s">
        <v>2461</v>
      </c>
      <c r="AH242" s="33"/>
      <c r="AI242" s="33"/>
      <c r="AJ242" s="33" t="s">
        <v>4431</v>
      </c>
      <c r="AK242" s="94"/>
      <c r="AL242" s="33" t="s">
        <v>4432</v>
      </c>
      <c r="AM242" s="33"/>
      <c r="AN242" s="33" t="s">
        <v>2465</v>
      </c>
      <c r="AO242" s="51" t="s">
        <v>2489</v>
      </c>
      <c r="AP242" s="51" t="s">
        <v>207</v>
      </c>
      <c r="AQ242" s="33"/>
      <c r="AR242" s="54"/>
      <c r="AS242" s="54"/>
      <c r="AT242" s="54"/>
      <c r="AU242" s="54"/>
      <c r="AV242" s="54"/>
      <c r="AW242" s="54"/>
      <c r="AX242" s="54"/>
      <c r="AY242" s="54"/>
      <c r="AZ242" s="54"/>
      <c r="BA242" s="54"/>
      <c r="BB242" s="54"/>
      <c r="BC242" s="54"/>
      <c r="BD242" s="54" t="s">
        <v>2447</v>
      </c>
      <c r="BE242" s="54"/>
      <c r="BF242" s="54"/>
      <c r="BG242" s="54"/>
      <c r="BH242" s="54"/>
      <c r="BI242" s="54"/>
      <c r="BJ242" s="0"/>
      <c r="BK242" s="0"/>
      <c r="BL242" s="0"/>
      <c r="BM242" s="0"/>
      <c r="BN242" s="0"/>
      <c r="BO242" s="0"/>
      <c r="BP242"/>
      <c r="BQ242"/>
      <c r="BR242"/>
      <c r="BS242"/>
      <c r="BT242"/>
      <c r="BU242"/>
      <c r="BV242"/>
      <c r="BW242"/>
      <c r="BX242"/>
      <c r="BY242"/>
      <c r="BZ242"/>
      <c r="CA242"/>
      <c r="CB242"/>
    </row>
    <row r="243" ht="15.0" customHeight="true">
      <c r="A243" s="51" t="s">
        <v>2448</v>
      </c>
      <c r="B243" s="33"/>
      <c r="C243" s="33" t="s">
        <v>2838</v>
      </c>
      <c r="D243" s="33"/>
      <c r="E243" s="33" t="s">
        <v>3823</v>
      </c>
      <c r="F243" s="33"/>
      <c r="G243" s="55" t="s">
        <v>4433</v>
      </c>
      <c r="H243" s="33" t="s">
        <v>2247</v>
      </c>
      <c r="I243" s="51" t="s">
        <v>4434</v>
      </c>
      <c r="J243" s="33"/>
      <c r="K243" s="51" t="s">
        <v>4435</v>
      </c>
      <c r="L243" s="33" t="s">
        <v>2484</v>
      </c>
      <c r="M243" s="55" t="s">
        <v>2641</v>
      </c>
      <c r="N243" s="55"/>
      <c r="O243" s="33"/>
      <c r="P243" s="33" t="s">
        <v>2251</v>
      </c>
      <c r="Q243" s="33"/>
      <c r="R243" s="33" t="s">
        <v>2263</v>
      </c>
      <c r="S243" s="56" t="s">
        <v>2277</v>
      </c>
      <c r="T243" s="56"/>
      <c r="U243" s="56"/>
      <c r="V243" s="33" t="s">
        <v>2641</v>
      </c>
      <c r="W243" s="94" t="s">
        <v>2457</v>
      </c>
      <c r="X243" s="94" t="s">
        <v>2474</v>
      </c>
      <c r="Y243" s="51"/>
      <c r="Z243" s="51"/>
      <c r="AA243" s="33" t="s">
        <v>2459</v>
      </c>
      <c r="AB243" s="33" t="s">
        <v>2460</v>
      </c>
      <c r="AC243" s="33" t="s">
        <v>2486</v>
      </c>
      <c r="AD243" s="33" t="s">
        <v>2254</v>
      </c>
      <c r="AE243" s="33"/>
      <c r="AF243" s="33" t="s">
        <v>2267</v>
      </c>
      <c r="AG243" s="33" t="s">
        <v>2461</v>
      </c>
      <c r="AH243" s="33"/>
      <c r="AI243" s="33"/>
      <c r="AJ243" s="33" t="s">
        <v>4436</v>
      </c>
      <c r="AK243" s="94"/>
      <c r="AL243" s="33" t="s">
        <v>4437</v>
      </c>
      <c r="AM243" s="33"/>
      <c r="AN243" s="33" t="s">
        <v>2577</v>
      </c>
      <c r="AO243" s="51" t="s">
        <v>2578</v>
      </c>
      <c r="AP243" s="51" t="s">
        <v>207</v>
      </c>
      <c r="AQ243" s="33"/>
      <c r="AR243" s="54"/>
      <c r="AS243" s="54"/>
      <c r="AT243" s="54"/>
      <c r="AU243" s="54"/>
      <c r="AV243" s="54"/>
      <c r="AW243" s="54"/>
      <c r="AX243" s="54"/>
      <c r="AY243" s="54" t="s">
        <v>2269</v>
      </c>
      <c r="AZ243" s="54"/>
      <c r="BA243" s="54"/>
      <c r="BB243" s="54"/>
      <c r="BC243" s="54"/>
      <c r="BD243" s="54"/>
      <c r="BE243" s="54"/>
      <c r="BF243" s="54"/>
      <c r="BG243" s="54"/>
      <c r="BH243" s="54"/>
      <c r="BI243" s="54"/>
      <c r="BJ243" s="0"/>
      <c r="BK243" s="0"/>
      <c r="BL243" s="0"/>
      <c r="BM243" s="0"/>
      <c r="BN243" s="0"/>
      <c r="BO243" s="0"/>
      <c r="BP243"/>
      <c r="BQ243"/>
      <c r="BR243"/>
      <c r="BS243"/>
      <c r="BT243"/>
      <c r="BU243"/>
      <c r="BV243"/>
      <c r="BW243"/>
      <c r="BX243"/>
      <c r="BY243"/>
      <c r="BZ243"/>
      <c r="CA243"/>
      <c r="CB243"/>
    </row>
    <row r="244" ht="15.0" customHeight="true">
      <c r="A244" s="51" t="s">
        <v>2448</v>
      </c>
      <c r="B244" s="33"/>
      <c r="C244" s="33" t="s">
        <v>4438</v>
      </c>
      <c r="D244" s="33"/>
      <c r="E244" s="33" t="s">
        <v>2879</v>
      </c>
      <c r="F244" s="33"/>
      <c r="G244" s="55" t="s">
        <v>4439</v>
      </c>
      <c r="H244" s="33"/>
      <c r="I244" s="51" t="s">
        <v>4440</v>
      </c>
      <c r="J244" s="33"/>
      <c r="K244" s="51" t="s">
        <v>4441</v>
      </c>
      <c r="L244" s="33" t="s">
        <v>2454</v>
      </c>
      <c r="M244" s="55" t="s">
        <v>3065</v>
      </c>
      <c r="N244" s="55" t="s">
        <v>2515</v>
      </c>
      <c r="O244" s="33" t="s">
        <v>2272</v>
      </c>
      <c r="P244" s="33" t="s">
        <v>2251</v>
      </c>
      <c r="Q244" s="33"/>
      <c r="R244" s="33" t="s">
        <v>2263</v>
      </c>
      <c r="S244" s="56" t="s">
        <v>2277</v>
      </c>
      <c r="T244" s="56"/>
      <c r="U244" s="56"/>
      <c r="V244" s="33" t="s">
        <v>2456</v>
      </c>
      <c r="W244" s="94" t="s">
        <v>2457</v>
      </c>
      <c r="X244" s="94" t="s">
        <v>2458</v>
      </c>
      <c r="Y244" s="51"/>
      <c r="Z244" s="51"/>
      <c r="AA244" s="33" t="s">
        <v>2459</v>
      </c>
      <c r="AB244" s="33" t="s">
        <v>2460</v>
      </c>
      <c r="AC244" s="33"/>
      <c r="AD244" s="33" t="s">
        <v>2254</v>
      </c>
      <c r="AE244" s="33"/>
      <c r="AF244" s="33" t="s">
        <v>2267</v>
      </c>
      <c r="AG244" s="33" t="s">
        <v>2461</v>
      </c>
      <c r="AH244" s="33"/>
      <c r="AI244" s="33"/>
      <c r="AJ244" s="33" t="s">
        <v>4442</v>
      </c>
      <c r="AK244" s="94"/>
      <c r="AL244" s="33" t="s">
        <v>4443</v>
      </c>
      <c r="AM244" s="33"/>
      <c r="AN244" s="33" t="s">
        <v>2577</v>
      </c>
      <c r="AO244" s="51" t="s">
        <v>2578</v>
      </c>
      <c r="AP244" s="51" t="s">
        <v>207</v>
      </c>
      <c r="AQ244" s="33"/>
      <c r="AR244" s="54"/>
      <c r="AS244" s="54"/>
      <c r="AT244" s="54"/>
      <c r="AU244" s="54"/>
      <c r="AV244" s="54"/>
      <c r="AW244" s="54"/>
      <c r="AX244" s="54"/>
      <c r="AY244" s="54"/>
      <c r="AZ244" s="54"/>
      <c r="BA244" s="54"/>
      <c r="BB244" s="54"/>
      <c r="BC244" s="54"/>
      <c r="BD244" s="54" t="s">
        <v>2447</v>
      </c>
      <c r="BE244" s="54"/>
      <c r="BF244" s="54"/>
      <c r="BG244" s="54"/>
      <c r="BH244" s="54"/>
      <c r="BI244" s="54"/>
      <c r="BJ244" s="0"/>
      <c r="BK244" s="0"/>
      <c r="BL244" s="0"/>
      <c r="BM244" s="0"/>
      <c r="BN244" s="0"/>
      <c r="BO244" s="0"/>
      <c r="BP244"/>
      <c r="BQ244"/>
      <c r="BR244"/>
      <c r="BS244"/>
      <c r="BT244"/>
      <c r="BU244"/>
      <c r="BV244"/>
      <c r="BW244"/>
      <c r="BX244"/>
      <c r="BY244"/>
      <c r="BZ244"/>
      <c r="CA244"/>
      <c r="CB244"/>
    </row>
    <row r="245" ht="15.0" customHeight="true">
      <c r="A245" s="51" t="s">
        <v>2448</v>
      </c>
      <c r="B245" s="33"/>
      <c r="C245" s="33" t="s">
        <v>2449</v>
      </c>
      <c r="D245" s="33"/>
      <c r="E245" s="33" t="s">
        <v>4395</v>
      </c>
      <c r="F245" s="33"/>
      <c r="G245" s="55" t="s">
        <v>4444</v>
      </c>
      <c r="H245" s="33"/>
      <c r="I245" s="51" t="s">
        <v>4445</v>
      </c>
      <c r="J245" s="33"/>
      <c r="K245" s="51" t="s">
        <v>4446</v>
      </c>
      <c r="L245" s="33" t="s">
        <v>2454</v>
      </c>
      <c r="M245" s="55" t="s">
        <v>4447</v>
      </c>
      <c r="N245" s="55" t="s">
        <v>3359</v>
      </c>
      <c r="O245" s="33" t="s">
        <v>2272</v>
      </c>
      <c r="P245" s="33" t="s">
        <v>2251</v>
      </c>
      <c r="Q245" s="33"/>
      <c r="R245" s="33" t="s">
        <v>2263</v>
      </c>
      <c r="S245" s="56" t="s">
        <v>2277</v>
      </c>
      <c r="T245" s="56"/>
      <c r="U245" s="56"/>
      <c r="V245" s="33" t="s">
        <v>2456</v>
      </c>
      <c r="W245" s="94" t="s">
        <v>2457</v>
      </c>
      <c r="X245" s="94" t="s">
        <v>2458</v>
      </c>
      <c r="Y245" s="51"/>
      <c r="Z245" s="51"/>
      <c r="AA245" s="33" t="s">
        <v>2459</v>
      </c>
      <c r="AB245" s="33" t="s">
        <v>2460</v>
      </c>
      <c r="AC245" s="33"/>
      <c r="AD245" s="33" t="s">
        <v>2254</v>
      </c>
      <c r="AE245" s="33"/>
      <c r="AF245" s="33" t="s">
        <v>2267</v>
      </c>
      <c r="AG245" s="33" t="s">
        <v>2461</v>
      </c>
      <c r="AH245" s="33"/>
      <c r="AI245" s="33"/>
      <c r="AJ245" s="33" t="s">
        <v>4448</v>
      </c>
      <c r="AK245" s="94"/>
      <c r="AL245" s="33" t="s">
        <v>4449</v>
      </c>
      <c r="AM245" s="33"/>
      <c r="AN245" s="33" t="s">
        <v>2588</v>
      </c>
      <c r="AO245" s="51" t="s">
        <v>2702</v>
      </c>
      <c r="AP245" s="51" t="s">
        <v>207</v>
      </c>
      <c r="AQ245" s="33"/>
      <c r="AR245" s="54"/>
      <c r="AS245" s="54"/>
      <c r="AT245" s="54"/>
      <c r="AU245" s="54"/>
      <c r="AV245" s="54"/>
      <c r="AW245" s="54"/>
      <c r="AX245" s="54"/>
      <c r="AY245" s="54"/>
      <c r="AZ245" s="54"/>
      <c r="BA245" s="54"/>
      <c r="BB245" s="54"/>
      <c r="BC245" s="54"/>
      <c r="BD245" s="54" t="s">
        <v>2447</v>
      </c>
      <c r="BE245" s="54"/>
      <c r="BF245" s="54"/>
      <c r="BG245" s="54"/>
      <c r="BH245" s="54"/>
      <c r="BI245" s="54"/>
      <c r="BJ245" s="0"/>
      <c r="BK245" s="0"/>
      <c r="BL245" s="0"/>
      <c r="BM245" s="0"/>
      <c r="BN245" s="0"/>
      <c r="BO245" s="0"/>
      <c r="BP245"/>
      <c r="BQ245"/>
      <c r="BR245"/>
      <c r="BS245"/>
      <c r="BT245"/>
      <c r="BU245"/>
      <c r="BV245"/>
      <c r="BW245"/>
      <c r="BX245"/>
      <c r="BY245"/>
      <c r="BZ245"/>
      <c r="CA245"/>
      <c r="CB245"/>
    </row>
    <row r="246" ht="15.0" customHeight="true">
      <c r="A246" s="51" t="s">
        <v>2448</v>
      </c>
      <c r="B246" s="33"/>
      <c r="C246" s="33" t="s">
        <v>4450</v>
      </c>
      <c r="D246" s="33"/>
      <c r="E246" s="33" t="s">
        <v>4451</v>
      </c>
      <c r="F246" s="33"/>
      <c r="G246" s="55" t="s">
        <v>4452</v>
      </c>
      <c r="H246" s="33"/>
      <c r="I246" s="51" t="s">
        <v>4453</v>
      </c>
      <c r="J246" s="33"/>
      <c r="K246" s="51" t="s">
        <v>4454</v>
      </c>
      <c r="L246" s="33" t="s">
        <v>2454</v>
      </c>
      <c r="M246" s="55" t="s">
        <v>2815</v>
      </c>
      <c r="N246" s="55" t="s">
        <v>4455</v>
      </c>
      <c r="O246" s="33" t="s">
        <v>2272</v>
      </c>
      <c r="P246" s="33" t="s">
        <v>2251</v>
      </c>
      <c r="Q246" s="33"/>
      <c r="R246" s="33" t="s">
        <v>2263</v>
      </c>
      <c r="S246" s="56" t="s">
        <v>2277</v>
      </c>
      <c r="T246" s="56"/>
      <c r="U246" s="56"/>
      <c r="V246" s="33" t="s">
        <v>2456</v>
      </c>
      <c r="W246" s="94" t="s">
        <v>2457</v>
      </c>
      <c r="X246" s="94" t="s">
        <v>2458</v>
      </c>
      <c r="Y246" s="51"/>
      <c r="Z246" s="51"/>
      <c r="AA246" s="33" t="s">
        <v>2459</v>
      </c>
      <c r="AB246" s="33" t="s">
        <v>2460</v>
      </c>
      <c r="AC246" s="33"/>
      <c r="AD246" s="33" t="s">
        <v>2254</v>
      </c>
      <c r="AE246" s="33"/>
      <c r="AF246" s="33" t="s">
        <v>2267</v>
      </c>
      <c r="AG246" s="33" t="s">
        <v>2461</v>
      </c>
      <c r="AH246" s="33"/>
      <c r="AI246" s="33"/>
      <c r="AJ246" s="33" t="s">
        <v>4456</v>
      </c>
      <c r="AK246" s="94"/>
      <c r="AL246" s="33" t="s">
        <v>4457</v>
      </c>
      <c r="AM246" s="33"/>
      <c r="AN246" s="33" t="s">
        <v>3503</v>
      </c>
      <c r="AO246" s="51" t="s">
        <v>3104</v>
      </c>
      <c r="AP246" s="51" t="s">
        <v>207</v>
      </c>
      <c r="AQ246" s="33"/>
      <c r="AR246" s="54"/>
      <c r="AS246" s="54"/>
      <c r="AT246" s="54"/>
      <c r="AU246" s="54"/>
      <c r="AV246" s="54"/>
      <c r="AW246" s="54"/>
      <c r="AX246" s="54"/>
      <c r="AY246" s="54"/>
      <c r="AZ246" s="54"/>
      <c r="BA246" s="54"/>
      <c r="BB246" s="54"/>
      <c r="BC246" s="54"/>
      <c r="BD246" s="54" t="s">
        <v>2447</v>
      </c>
      <c r="BE246" s="54"/>
      <c r="BF246" s="54"/>
      <c r="BG246" s="54"/>
      <c r="BH246" s="54"/>
      <c r="BI246" s="54"/>
      <c r="BJ246" s="0"/>
      <c r="BK246" s="0"/>
      <c r="BL246" s="0"/>
      <c r="BM246" s="0"/>
      <c r="BN246" s="0"/>
      <c r="BO246" s="0"/>
      <c r="BP246"/>
      <c r="BQ246"/>
      <c r="BR246"/>
      <c r="BS246"/>
      <c r="BT246"/>
      <c r="BU246"/>
      <c r="BV246"/>
      <c r="BW246"/>
      <c r="BX246"/>
      <c r="BY246"/>
      <c r="BZ246"/>
      <c r="CA246"/>
      <c r="CB246"/>
    </row>
    <row r="247" ht="15.0" customHeight="true">
      <c r="A247" s="51" t="s">
        <v>2448</v>
      </c>
      <c r="B247" s="33"/>
      <c r="C247" s="33" t="s">
        <v>3131</v>
      </c>
      <c r="D247" s="33"/>
      <c r="E247" s="33" t="s">
        <v>4458</v>
      </c>
      <c r="F247" s="33"/>
      <c r="G247" s="55" t="s">
        <v>4459</v>
      </c>
      <c r="H247" s="33"/>
      <c r="I247" s="51" t="s">
        <v>4460</v>
      </c>
      <c r="J247" s="33"/>
      <c r="K247" s="51" t="s">
        <v>4461</v>
      </c>
      <c r="L247" s="33" t="s">
        <v>2454</v>
      </c>
      <c r="M247" s="55" t="s">
        <v>2927</v>
      </c>
      <c r="N247" s="55" t="s">
        <v>4462</v>
      </c>
      <c r="O247" s="33" t="s">
        <v>2272</v>
      </c>
      <c r="P247" s="33" t="s">
        <v>2251</v>
      </c>
      <c r="Q247" s="33"/>
      <c r="R247" s="33" t="s">
        <v>2263</v>
      </c>
      <c r="S247" s="56" t="s">
        <v>2277</v>
      </c>
      <c r="T247" s="56"/>
      <c r="U247" s="56"/>
      <c r="V247" s="33" t="s">
        <v>2456</v>
      </c>
      <c r="W247" s="94" t="s">
        <v>2457</v>
      </c>
      <c r="X247" s="94" t="s">
        <v>2458</v>
      </c>
      <c r="Y247" s="51"/>
      <c r="Z247" s="51"/>
      <c r="AA247" s="33" t="s">
        <v>2459</v>
      </c>
      <c r="AB247" s="33" t="s">
        <v>2460</v>
      </c>
      <c r="AC247" s="33"/>
      <c r="AD247" s="33" t="s">
        <v>2254</v>
      </c>
      <c r="AE247" s="33"/>
      <c r="AF247" s="33" t="s">
        <v>2267</v>
      </c>
      <c r="AG247" s="33" t="s">
        <v>2461</v>
      </c>
      <c r="AH247" s="33"/>
      <c r="AI247" s="33"/>
      <c r="AJ247" s="33" t="s">
        <v>4463</v>
      </c>
      <c r="AK247" s="94"/>
      <c r="AL247" s="33" t="s">
        <v>4464</v>
      </c>
      <c r="AM247" s="33"/>
      <c r="AN247" s="33" t="s">
        <v>2465</v>
      </c>
      <c r="AO247" s="51" t="s">
        <v>2538</v>
      </c>
      <c r="AP247" s="51" t="s">
        <v>207</v>
      </c>
      <c r="AQ247" s="33"/>
      <c r="AR247" s="54"/>
      <c r="AS247" s="54"/>
      <c r="AT247" s="54"/>
      <c r="AU247" s="54"/>
      <c r="AV247" s="54"/>
      <c r="AW247" s="54"/>
      <c r="AX247" s="54"/>
      <c r="AY247" s="54"/>
      <c r="AZ247" s="54"/>
      <c r="BA247" s="54"/>
      <c r="BB247" s="54"/>
      <c r="BC247" s="54"/>
      <c r="BD247" s="54" t="s">
        <v>2447</v>
      </c>
      <c r="BE247" s="54"/>
      <c r="BF247" s="54"/>
      <c r="BG247" s="54"/>
      <c r="BH247" s="54"/>
      <c r="BI247" s="54"/>
      <c r="BJ247" s="0"/>
      <c r="BK247" s="0"/>
      <c r="BL247" s="0"/>
      <c r="BM247" s="0"/>
      <c r="BN247" s="0"/>
      <c r="BO247" s="0"/>
      <c r="BP247"/>
      <c r="BQ247"/>
      <c r="BR247"/>
      <c r="BS247"/>
      <c r="BT247"/>
      <c r="BU247"/>
      <c r="BV247"/>
      <c r="BW247"/>
      <c r="BX247"/>
      <c r="BY247"/>
      <c r="BZ247"/>
      <c r="CA247"/>
      <c r="CB247"/>
    </row>
    <row r="248" ht="15.0" customHeight="true">
      <c r="A248" s="51" t="s">
        <v>2448</v>
      </c>
      <c r="B248" s="33"/>
      <c r="C248" s="33" t="s">
        <v>4465</v>
      </c>
      <c r="D248" s="33"/>
      <c r="E248" s="33" t="s">
        <v>4466</v>
      </c>
      <c r="F248" s="33"/>
      <c r="G248" s="55" t="s">
        <v>4467</v>
      </c>
      <c r="H248" s="33"/>
      <c r="I248" s="51" t="s">
        <v>4468</v>
      </c>
      <c r="J248" s="33"/>
      <c r="K248" s="51" t="s">
        <v>4469</v>
      </c>
      <c r="L248" s="33" t="s">
        <v>2454</v>
      </c>
      <c r="M248" s="55" t="s">
        <v>3119</v>
      </c>
      <c r="N248" s="55" t="s">
        <v>4470</v>
      </c>
      <c r="O248" s="33" t="s">
        <v>2272</v>
      </c>
      <c r="P248" s="33" t="s">
        <v>2251</v>
      </c>
      <c r="Q248" s="33"/>
      <c r="R248" s="33" t="s">
        <v>2263</v>
      </c>
      <c r="S248" s="56" t="s">
        <v>2277</v>
      </c>
      <c r="T248" s="56"/>
      <c r="U248" s="56"/>
      <c r="V248" s="33" t="s">
        <v>2456</v>
      </c>
      <c r="W248" s="94" t="s">
        <v>2457</v>
      </c>
      <c r="X248" s="94" t="s">
        <v>2474</v>
      </c>
      <c r="Y248" s="51"/>
      <c r="Z248" s="51"/>
      <c r="AA248" s="33" t="s">
        <v>2459</v>
      </c>
      <c r="AB248" s="33" t="s">
        <v>2460</v>
      </c>
      <c r="AC248" s="33"/>
      <c r="AD248" s="33" t="s">
        <v>2254</v>
      </c>
      <c r="AE248" s="33"/>
      <c r="AF248" s="33" t="s">
        <v>2267</v>
      </c>
      <c r="AG248" s="33" t="s">
        <v>2461</v>
      </c>
      <c r="AH248" s="33"/>
      <c r="AI248" s="33"/>
      <c r="AJ248" s="33" t="s">
        <v>4471</v>
      </c>
      <c r="AK248" s="94"/>
      <c r="AL248" s="33" t="s">
        <v>4472</v>
      </c>
      <c r="AM248" s="33"/>
      <c r="AN248" s="33" t="s">
        <v>3503</v>
      </c>
      <c r="AO248" s="51" t="s">
        <v>3104</v>
      </c>
      <c r="AP248" s="51" t="s">
        <v>207</v>
      </c>
      <c r="AQ248" s="33"/>
      <c r="AR248" s="54"/>
      <c r="AS248" s="54"/>
      <c r="AT248" s="54"/>
      <c r="AU248" s="54"/>
      <c r="AV248" s="54"/>
      <c r="AW248" s="54"/>
      <c r="AX248" s="54"/>
      <c r="AY248" s="54"/>
      <c r="AZ248" s="54"/>
      <c r="BA248" s="54"/>
      <c r="BB248" s="54"/>
      <c r="BC248" s="54"/>
      <c r="BD248" s="54" t="s">
        <v>2447</v>
      </c>
      <c r="BE248" s="54"/>
      <c r="BF248" s="54"/>
      <c r="BG248" s="54"/>
      <c r="BH248" s="54"/>
      <c r="BI248" s="54"/>
      <c r="BJ248" s="0"/>
      <c r="BK248" s="0"/>
      <c r="BL248" s="0"/>
      <c r="BM248" s="0"/>
      <c r="BN248" s="0"/>
      <c r="BO248" s="0"/>
      <c r="BP248"/>
      <c r="BQ248"/>
      <c r="BR248"/>
      <c r="BS248"/>
      <c r="BT248"/>
      <c r="BU248"/>
      <c r="BV248"/>
      <c r="BW248"/>
      <c r="BX248"/>
      <c r="BY248"/>
      <c r="BZ248"/>
      <c r="CA248"/>
      <c r="CB248"/>
    </row>
    <row r="249" ht="15.0" customHeight="true">
      <c r="A249" s="51" t="s">
        <v>2448</v>
      </c>
      <c r="B249" s="33"/>
      <c r="C249" s="33" t="s">
        <v>3353</v>
      </c>
      <c r="D249" s="33"/>
      <c r="E249" s="33" t="s">
        <v>4473</v>
      </c>
      <c r="F249" s="33"/>
      <c r="G249" s="55" t="s">
        <v>4474</v>
      </c>
      <c r="H249" s="33" t="s">
        <v>2258</v>
      </c>
      <c r="I249" s="51" t="s">
        <v>4475</v>
      </c>
      <c r="J249" s="33"/>
      <c r="K249" s="51" t="s">
        <v>4476</v>
      </c>
      <c r="L249" s="33" t="s">
        <v>2484</v>
      </c>
      <c r="M249" s="55" t="s">
        <v>4214</v>
      </c>
      <c r="N249" s="55"/>
      <c r="O249" s="33"/>
      <c r="P249" s="33" t="s">
        <v>2251</v>
      </c>
      <c r="Q249" s="33"/>
      <c r="R249" s="33" t="s">
        <v>2263</v>
      </c>
      <c r="S249" s="56" t="s">
        <v>2277</v>
      </c>
      <c r="T249" s="56"/>
      <c r="U249" s="56"/>
      <c r="V249" s="33" t="s">
        <v>4214</v>
      </c>
      <c r="W249" s="94" t="s">
        <v>2574</v>
      </c>
      <c r="X249" s="94" t="s">
        <v>2474</v>
      </c>
      <c r="Y249" s="51"/>
      <c r="Z249" s="51"/>
      <c r="AA249" s="33" t="s">
        <v>2459</v>
      </c>
      <c r="AB249" s="33" t="s">
        <v>2460</v>
      </c>
      <c r="AC249" s="33" t="s">
        <v>2486</v>
      </c>
      <c r="AD249" s="33" t="s">
        <v>2254</v>
      </c>
      <c r="AE249" s="33"/>
      <c r="AF249" s="33" t="s">
        <v>2267</v>
      </c>
      <c r="AG249" s="33" t="s">
        <v>2461</v>
      </c>
      <c r="AH249" s="33"/>
      <c r="AI249" s="33"/>
      <c r="AJ249" s="33" t="s">
        <v>4477</v>
      </c>
      <c r="AK249" s="94"/>
      <c r="AL249" s="33" t="s">
        <v>4478</v>
      </c>
      <c r="AM249" s="33" t="s">
        <v>4479</v>
      </c>
      <c r="AN249" s="33" t="s">
        <v>2465</v>
      </c>
      <c r="AO249" s="51" t="s">
        <v>2466</v>
      </c>
      <c r="AP249" s="51" t="s">
        <v>207</v>
      </c>
      <c r="AQ249" s="33"/>
      <c r="AR249" s="54"/>
      <c r="AS249" s="54"/>
      <c r="AT249" s="54"/>
      <c r="AU249" s="54"/>
      <c r="AV249" s="54"/>
      <c r="AW249" s="54"/>
      <c r="AX249" s="54"/>
      <c r="AY249" s="54" t="s">
        <v>2269</v>
      </c>
      <c r="AZ249" s="54"/>
      <c r="BA249" s="54"/>
      <c r="BB249" s="54"/>
      <c r="BC249" s="54"/>
      <c r="BD249" s="54" t="s">
        <v>2447</v>
      </c>
      <c r="BE249" s="54"/>
      <c r="BF249" s="54"/>
      <c r="BG249" s="54"/>
      <c r="BH249" s="54"/>
      <c r="BI249" s="54"/>
      <c r="BJ249" s="0"/>
      <c r="BK249" s="0"/>
      <c r="BL249" s="0"/>
      <c r="BM249" s="0"/>
      <c r="BN249" s="0"/>
      <c r="BO249" s="0"/>
      <c r="BP249"/>
      <c r="BQ249"/>
      <c r="BR249"/>
      <c r="BS249"/>
      <c r="BT249"/>
      <c r="BU249"/>
      <c r="BV249"/>
      <c r="BW249"/>
      <c r="BX249"/>
      <c r="BY249"/>
      <c r="BZ249"/>
      <c r="CA249"/>
      <c r="CB249"/>
    </row>
    <row r="250" ht="15.0" customHeight="true">
      <c r="A250" s="51" t="s">
        <v>2448</v>
      </c>
      <c r="B250" s="33"/>
      <c r="C250" s="33" t="s">
        <v>4480</v>
      </c>
      <c r="D250" s="33"/>
      <c r="E250" s="33" t="s">
        <v>4481</v>
      </c>
      <c r="F250" s="33"/>
      <c r="G250" s="55" t="s">
        <v>4482</v>
      </c>
      <c r="H250" s="33" t="s">
        <v>2247</v>
      </c>
      <c r="I250" s="51" t="s">
        <v>4483</v>
      </c>
      <c r="J250" s="33"/>
      <c r="K250" s="51" t="s">
        <v>4484</v>
      </c>
      <c r="L250" s="33" t="s">
        <v>2484</v>
      </c>
      <c r="M250" s="55" t="s">
        <v>4229</v>
      </c>
      <c r="N250" s="55"/>
      <c r="O250" s="33"/>
      <c r="P250" s="33" t="s">
        <v>2251</v>
      </c>
      <c r="Q250" s="33"/>
      <c r="R250" s="33" t="s">
        <v>2263</v>
      </c>
      <c r="S250" s="56" t="s">
        <v>2277</v>
      </c>
      <c r="T250" s="56"/>
      <c r="U250" s="56"/>
      <c r="V250" s="33" t="s">
        <v>4229</v>
      </c>
      <c r="W250" s="94" t="s">
        <v>2457</v>
      </c>
      <c r="X250" s="94" t="s">
        <v>2474</v>
      </c>
      <c r="Y250" s="51"/>
      <c r="Z250" s="51"/>
      <c r="AA250" s="33" t="s">
        <v>2459</v>
      </c>
      <c r="AB250" s="33" t="s">
        <v>2460</v>
      </c>
      <c r="AC250" s="33" t="s">
        <v>2486</v>
      </c>
      <c r="AD250" s="33" t="s">
        <v>2254</v>
      </c>
      <c r="AE250" s="33"/>
      <c r="AF250" s="33" t="s">
        <v>2267</v>
      </c>
      <c r="AG250" s="33" t="s">
        <v>2461</v>
      </c>
      <c r="AH250" s="33"/>
      <c r="AI250" s="33"/>
      <c r="AJ250" s="33" t="s">
        <v>4485</v>
      </c>
      <c r="AK250" s="94"/>
      <c r="AL250" s="33" t="s">
        <v>4486</v>
      </c>
      <c r="AM250" s="33"/>
      <c r="AN250" s="33" t="s">
        <v>2588</v>
      </c>
      <c r="AO250" s="51" t="s">
        <v>2911</v>
      </c>
      <c r="AP250" s="51" t="s">
        <v>207</v>
      </c>
      <c r="AQ250" s="33"/>
      <c r="AR250" s="54"/>
      <c r="AS250" s="54"/>
      <c r="AT250" s="54"/>
      <c r="AU250" s="54"/>
      <c r="AV250" s="54"/>
      <c r="AW250" s="54"/>
      <c r="AX250" s="54"/>
      <c r="AY250" s="54" t="s">
        <v>2269</v>
      </c>
      <c r="AZ250" s="54"/>
      <c r="BA250" s="54"/>
      <c r="BB250" s="54"/>
      <c r="BC250" s="54"/>
      <c r="BD250" s="54" t="s">
        <v>2447</v>
      </c>
      <c r="BE250" s="54"/>
      <c r="BF250" s="54"/>
      <c r="BG250" s="54"/>
      <c r="BH250" s="54"/>
      <c r="BI250" s="54"/>
      <c r="BJ250" s="0"/>
      <c r="BK250" s="0"/>
      <c r="BL250" s="0"/>
      <c r="BM250" s="0"/>
      <c r="BN250" s="0"/>
      <c r="BO250" s="0"/>
      <c r="BP250"/>
      <c r="BQ250"/>
      <c r="BR250"/>
      <c r="BS250"/>
      <c r="BT250"/>
      <c r="BU250"/>
      <c r="BV250"/>
      <c r="BW250"/>
      <c r="BX250"/>
      <c r="BY250"/>
      <c r="BZ250"/>
      <c r="CA250"/>
      <c r="CB250"/>
    </row>
    <row r="251" ht="15.0" customHeight="true">
      <c r="A251" s="51" t="s">
        <v>2448</v>
      </c>
      <c r="B251" s="33"/>
      <c r="C251" s="33" t="s">
        <v>4487</v>
      </c>
      <c r="D251" s="33"/>
      <c r="E251" s="33" t="s">
        <v>4488</v>
      </c>
      <c r="F251" s="33"/>
      <c r="G251" s="55" t="s">
        <v>4489</v>
      </c>
      <c r="H251" s="33"/>
      <c r="I251" s="51" t="s">
        <v>4490</v>
      </c>
      <c r="J251" s="33"/>
      <c r="K251" s="51" t="s">
        <v>4491</v>
      </c>
      <c r="L251" s="33" t="s">
        <v>2484</v>
      </c>
      <c r="M251" s="55" t="s">
        <v>3631</v>
      </c>
      <c r="N251" s="55"/>
      <c r="O251" s="33"/>
      <c r="P251" s="33" t="s">
        <v>2251</v>
      </c>
      <c r="Q251" s="33"/>
      <c r="R251" s="33" t="s">
        <v>2263</v>
      </c>
      <c r="S251" s="56" t="s">
        <v>2277</v>
      </c>
      <c r="T251" s="56"/>
      <c r="U251" s="56"/>
      <c r="V251" s="33" t="s">
        <v>2456</v>
      </c>
      <c r="W251" s="94" t="s">
        <v>2457</v>
      </c>
      <c r="X251" s="94" t="s">
        <v>2474</v>
      </c>
      <c r="Y251" s="51"/>
      <c r="Z251" s="51"/>
      <c r="AA251" s="33" t="s">
        <v>2459</v>
      </c>
      <c r="AB251" s="33" t="s">
        <v>2460</v>
      </c>
      <c r="AC251" s="33" t="s">
        <v>2486</v>
      </c>
      <c r="AD251" s="33" t="s">
        <v>2254</v>
      </c>
      <c r="AE251" s="33"/>
      <c r="AF251" s="33" t="s">
        <v>2267</v>
      </c>
      <c r="AG251" s="33" t="s">
        <v>2461</v>
      </c>
      <c r="AH251" s="33"/>
      <c r="AI251" s="33"/>
      <c r="AJ251" s="33" t="s">
        <v>4492</v>
      </c>
      <c r="AK251" s="94"/>
      <c r="AL251" s="33" t="s">
        <v>4493</v>
      </c>
      <c r="AM251" s="33"/>
      <c r="AN251" s="33" t="s">
        <v>2465</v>
      </c>
      <c r="AO251" s="51" t="s">
        <v>2466</v>
      </c>
      <c r="AP251" s="51" t="s">
        <v>207</v>
      </c>
      <c r="AQ251" s="33"/>
      <c r="AR251" s="54"/>
      <c r="AS251" s="54"/>
      <c r="AT251" s="54"/>
      <c r="AU251" s="54"/>
      <c r="AV251" s="54"/>
      <c r="AW251" s="54"/>
      <c r="AX251" s="54"/>
      <c r="AY251" s="54"/>
      <c r="AZ251" s="54"/>
      <c r="BA251" s="54"/>
      <c r="BB251" s="54"/>
      <c r="BC251" s="54"/>
      <c r="BD251" s="54" t="s">
        <v>2447</v>
      </c>
      <c r="BE251" s="54"/>
      <c r="BF251" s="54"/>
      <c r="BG251" s="54"/>
      <c r="BH251" s="54"/>
      <c r="BI251" s="54"/>
      <c r="BJ251" s="0"/>
      <c r="BK251" s="0"/>
      <c r="BL251" s="0"/>
      <c r="BM251" s="0"/>
      <c r="BN251" s="0"/>
      <c r="BO251" s="0"/>
      <c r="BP251"/>
      <c r="BQ251"/>
      <c r="BR251"/>
      <c r="BS251"/>
      <c r="BT251"/>
      <c r="BU251"/>
      <c r="BV251"/>
      <c r="BW251"/>
      <c r="BX251"/>
      <c r="BY251"/>
      <c r="BZ251"/>
      <c r="CA251"/>
      <c r="CB251"/>
    </row>
    <row r="252" ht="15.0" customHeight="true">
      <c r="A252" s="51" t="s">
        <v>2448</v>
      </c>
      <c r="B252" s="33"/>
      <c r="C252" s="33" t="s">
        <v>3979</v>
      </c>
      <c r="D252" s="33"/>
      <c r="E252" s="33" t="s">
        <v>4494</v>
      </c>
      <c r="F252" s="33"/>
      <c r="G252" s="55" t="s">
        <v>4495</v>
      </c>
      <c r="H252" s="33" t="s">
        <v>2247</v>
      </c>
      <c r="I252" s="51" t="s">
        <v>4496</v>
      </c>
      <c r="J252" s="33"/>
      <c r="K252" s="51" t="s">
        <v>4497</v>
      </c>
      <c r="L252" s="33" t="s">
        <v>2484</v>
      </c>
      <c r="M252" s="55" t="s">
        <v>4185</v>
      </c>
      <c r="N252" s="55"/>
      <c r="O252" s="33"/>
      <c r="P252" s="33" t="s">
        <v>2251</v>
      </c>
      <c r="Q252" s="33"/>
      <c r="R252" s="33" t="s">
        <v>2263</v>
      </c>
      <c r="S252" s="56" t="s">
        <v>2277</v>
      </c>
      <c r="T252" s="56"/>
      <c r="U252" s="56"/>
      <c r="V252" s="33" t="s">
        <v>4185</v>
      </c>
      <c r="W252" s="94" t="s">
        <v>2574</v>
      </c>
      <c r="X252" s="94" t="s">
        <v>2474</v>
      </c>
      <c r="Y252" s="51"/>
      <c r="Z252" s="51"/>
      <c r="AA252" s="33" t="s">
        <v>2459</v>
      </c>
      <c r="AB252" s="33" t="s">
        <v>2460</v>
      </c>
      <c r="AC252" s="33" t="s">
        <v>2486</v>
      </c>
      <c r="AD252" s="33" t="s">
        <v>2254</v>
      </c>
      <c r="AE252" s="33"/>
      <c r="AF252" s="33" t="s">
        <v>2267</v>
      </c>
      <c r="AG252" s="33" t="s">
        <v>2461</v>
      </c>
      <c r="AH252" s="33"/>
      <c r="AI252" s="33"/>
      <c r="AJ252" s="33" t="s">
        <v>4498</v>
      </c>
      <c r="AK252" s="94"/>
      <c r="AL252" s="33" t="s">
        <v>4499</v>
      </c>
      <c r="AM252" s="33" t="s">
        <v>4500</v>
      </c>
      <c r="AN252" s="33" t="s">
        <v>4501</v>
      </c>
      <c r="AO252" s="51" t="s">
        <v>4502</v>
      </c>
      <c r="AP252" s="51" t="s">
        <v>178</v>
      </c>
      <c r="AQ252" s="33"/>
      <c r="AR252" s="54"/>
      <c r="AS252" s="54"/>
      <c r="AT252" s="54"/>
      <c r="AU252" s="54"/>
      <c r="AV252" s="54"/>
      <c r="AW252" s="54"/>
      <c r="AX252" s="54"/>
      <c r="AY252" s="54" t="s">
        <v>2269</v>
      </c>
      <c r="AZ252" s="54"/>
      <c r="BA252" s="54"/>
      <c r="BB252" s="54"/>
      <c r="BC252" s="54"/>
      <c r="BD252" s="54" t="s">
        <v>2447</v>
      </c>
      <c r="BE252" s="54"/>
      <c r="BF252" s="54"/>
      <c r="BG252" s="54"/>
      <c r="BH252" s="54"/>
      <c r="BI252" s="54"/>
      <c r="BJ252" s="0"/>
      <c r="BK252" s="0"/>
      <c r="BL252" s="0"/>
      <c r="BM252" s="0"/>
      <c r="BN252" s="0"/>
      <c r="BO252" s="0"/>
      <c r="BP252"/>
      <c r="BQ252"/>
      <c r="BR252"/>
      <c r="BS252"/>
      <c r="BT252"/>
      <c r="BU252"/>
      <c r="BV252"/>
      <c r="BW252"/>
      <c r="BX252"/>
      <c r="BY252"/>
      <c r="BZ252"/>
      <c r="CA252"/>
      <c r="CB252"/>
    </row>
    <row r="253" ht="15.0" customHeight="true">
      <c r="A253" s="51" t="s">
        <v>2448</v>
      </c>
      <c r="B253" s="33"/>
      <c r="C253" s="33" t="s">
        <v>4503</v>
      </c>
      <c r="D253" s="33"/>
      <c r="E253" s="33" t="s">
        <v>4504</v>
      </c>
      <c r="F253" s="33"/>
      <c r="G253" s="55" t="s">
        <v>4505</v>
      </c>
      <c r="H253" s="33"/>
      <c r="I253" s="51" t="s">
        <v>4506</v>
      </c>
      <c r="J253" s="33"/>
      <c r="K253" s="51" t="s">
        <v>4507</v>
      </c>
      <c r="L253" s="33" t="s">
        <v>2484</v>
      </c>
      <c r="M253" s="55" t="s">
        <v>2709</v>
      </c>
      <c r="N253" s="55"/>
      <c r="O253" s="33"/>
      <c r="P253" s="33" t="s">
        <v>2251</v>
      </c>
      <c r="Q253" s="33"/>
      <c r="R253" s="33" t="s">
        <v>2263</v>
      </c>
      <c r="S253" s="56" t="s">
        <v>2277</v>
      </c>
      <c r="T253" s="56"/>
      <c r="U253" s="56"/>
      <c r="V253" s="33" t="s">
        <v>2456</v>
      </c>
      <c r="W253" s="94" t="s">
        <v>2457</v>
      </c>
      <c r="X253" s="94" t="s">
        <v>2474</v>
      </c>
      <c r="Y253" s="51"/>
      <c r="Z253" s="51"/>
      <c r="AA253" s="33" t="s">
        <v>2459</v>
      </c>
      <c r="AB253" s="33" t="s">
        <v>2460</v>
      </c>
      <c r="AC253" s="33" t="s">
        <v>2486</v>
      </c>
      <c r="AD253" s="33" t="s">
        <v>2254</v>
      </c>
      <c r="AE253" s="33"/>
      <c r="AF253" s="33" t="s">
        <v>2267</v>
      </c>
      <c r="AG253" s="33" t="s">
        <v>2461</v>
      </c>
      <c r="AH253" s="33"/>
      <c r="AI253" s="33"/>
      <c r="AJ253" s="33" t="s">
        <v>4508</v>
      </c>
      <c r="AK253" s="94"/>
      <c r="AL253" s="33" t="s">
        <v>4509</v>
      </c>
      <c r="AM253" s="33"/>
      <c r="AN253" s="33" t="s">
        <v>2465</v>
      </c>
      <c r="AO253" s="51" t="s">
        <v>2548</v>
      </c>
      <c r="AP253" s="51" t="s">
        <v>207</v>
      </c>
      <c r="AQ253" s="33"/>
      <c r="AR253" s="54"/>
      <c r="AS253" s="54"/>
      <c r="AT253" s="54"/>
      <c r="AU253" s="54"/>
      <c r="AV253" s="54"/>
      <c r="AW253" s="54"/>
      <c r="AX253" s="54"/>
      <c r="AY253" s="54"/>
      <c r="AZ253" s="54"/>
      <c r="BA253" s="54"/>
      <c r="BB253" s="54"/>
      <c r="BC253" s="54"/>
      <c r="BD253" s="54" t="s">
        <v>2447</v>
      </c>
      <c r="BE253" s="54"/>
      <c r="BF253" s="54"/>
      <c r="BG253" s="54"/>
      <c r="BH253" s="54"/>
      <c r="BI253" s="54"/>
      <c r="BJ253" s="0"/>
      <c r="BK253" s="0"/>
      <c r="BL253" s="0"/>
      <c r="BM253" s="0"/>
      <c r="BN253" s="0"/>
      <c r="BO253" s="0"/>
      <c r="BP253"/>
      <c r="BQ253"/>
      <c r="BR253"/>
      <c r="BS253"/>
      <c r="BT253"/>
      <c r="BU253"/>
      <c r="BV253"/>
      <c r="BW253"/>
      <c r="BX253"/>
      <c r="BY253"/>
      <c r="BZ253"/>
      <c r="CA253"/>
      <c r="CB253"/>
    </row>
    <row r="254" ht="15.0" customHeight="true">
      <c r="A254" s="51" t="s">
        <v>2448</v>
      </c>
      <c r="B254" s="33"/>
      <c r="C254" s="33" t="s">
        <v>4510</v>
      </c>
      <c r="D254" s="33"/>
      <c r="E254" s="33" t="s">
        <v>4511</v>
      </c>
      <c r="F254" s="33"/>
      <c r="G254" s="55" t="s">
        <v>4512</v>
      </c>
      <c r="H254" s="33" t="s">
        <v>2258</v>
      </c>
      <c r="I254" s="51" t="s">
        <v>4513</v>
      </c>
      <c r="J254" s="33"/>
      <c r="K254" s="51" t="s">
        <v>4514</v>
      </c>
      <c r="L254" s="33" t="s">
        <v>2484</v>
      </c>
      <c r="M254" s="55" t="s">
        <v>2456</v>
      </c>
      <c r="N254" s="55"/>
      <c r="O254" s="33"/>
      <c r="P254" s="33" t="s">
        <v>2251</v>
      </c>
      <c r="Q254" s="33"/>
      <c r="R254" s="33" t="s">
        <v>2263</v>
      </c>
      <c r="S254" s="56" t="s">
        <v>2277</v>
      </c>
      <c r="T254" s="56"/>
      <c r="U254" s="56"/>
      <c r="V254" s="33" t="s">
        <v>2456</v>
      </c>
      <c r="W254" s="94" t="s">
        <v>2574</v>
      </c>
      <c r="X254" s="94" t="s">
        <v>2474</v>
      </c>
      <c r="Y254" s="51"/>
      <c r="Z254" s="51"/>
      <c r="AA254" s="33" t="s">
        <v>2459</v>
      </c>
      <c r="AB254" s="33" t="s">
        <v>2460</v>
      </c>
      <c r="AC254" s="33" t="s">
        <v>2486</v>
      </c>
      <c r="AD254" s="33" t="s">
        <v>2254</v>
      </c>
      <c r="AE254" s="33"/>
      <c r="AF254" s="33" t="s">
        <v>2267</v>
      </c>
      <c r="AG254" s="33" t="s">
        <v>2461</v>
      </c>
      <c r="AH254" s="33"/>
      <c r="AI254" s="33"/>
      <c r="AJ254" s="33" t="s">
        <v>4515</v>
      </c>
      <c r="AK254" s="94"/>
      <c r="AL254" s="33" t="s">
        <v>3085</v>
      </c>
      <c r="AM254" s="33" t="s">
        <v>4516</v>
      </c>
      <c r="AN254" s="33" t="s">
        <v>2465</v>
      </c>
      <c r="AO254" s="51" t="s">
        <v>2538</v>
      </c>
      <c r="AP254" s="51" t="s">
        <v>207</v>
      </c>
      <c r="AQ254" s="33"/>
      <c r="AR254" s="54"/>
      <c r="AS254" s="54"/>
      <c r="AT254" s="54"/>
      <c r="AU254" s="54"/>
      <c r="AV254" s="54"/>
      <c r="AW254" s="54"/>
      <c r="AX254" s="54"/>
      <c r="AY254" s="54" t="s">
        <v>2269</v>
      </c>
      <c r="AZ254" s="54"/>
      <c r="BA254" s="54"/>
      <c r="BB254" s="54"/>
      <c r="BC254" s="54"/>
      <c r="BD254" s="54" t="s">
        <v>2447</v>
      </c>
      <c r="BE254" s="54"/>
      <c r="BF254" s="54"/>
      <c r="BG254" s="54"/>
      <c r="BH254" s="54"/>
      <c r="BI254" s="54"/>
      <c r="BJ254" s="0"/>
      <c r="BK254" s="0"/>
      <c r="BL254" s="0"/>
      <c r="BM254" s="0"/>
      <c r="BN254" s="0"/>
      <c r="BO254" s="0"/>
      <c r="BP254"/>
      <c r="BQ254"/>
      <c r="BR254"/>
      <c r="BS254"/>
      <c r="BT254"/>
      <c r="BU254"/>
      <c r="BV254"/>
      <c r="BW254"/>
      <c r="BX254"/>
      <c r="BY254"/>
      <c r="BZ254"/>
      <c r="CA254"/>
      <c r="CB254"/>
    </row>
    <row r="255" ht="15.0" customHeight="true">
      <c r="A255" s="51" t="s">
        <v>2448</v>
      </c>
      <c r="B255" s="33"/>
      <c r="C255" s="33" t="s">
        <v>2449</v>
      </c>
      <c r="D255" s="33"/>
      <c r="E255" s="33" t="s">
        <v>4517</v>
      </c>
      <c r="F255" s="33"/>
      <c r="G255" s="55" t="s">
        <v>4518</v>
      </c>
      <c r="H255" s="33"/>
      <c r="I255" s="51" t="s">
        <v>4519</v>
      </c>
      <c r="J255" s="33"/>
      <c r="K255" s="51" t="s">
        <v>4520</v>
      </c>
      <c r="L255" s="33" t="s">
        <v>2484</v>
      </c>
      <c r="M255" s="55" t="s">
        <v>2562</v>
      </c>
      <c r="N255" s="55"/>
      <c r="O255" s="33"/>
      <c r="P255" s="33" t="s">
        <v>2251</v>
      </c>
      <c r="Q255" s="33"/>
      <c r="R255" s="33" t="s">
        <v>2263</v>
      </c>
      <c r="S255" s="56" t="s">
        <v>2277</v>
      </c>
      <c r="T255" s="56"/>
      <c r="U255" s="56"/>
      <c r="V255" s="33" t="s">
        <v>2456</v>
      </c>
      <c r="W255" s="94" t="s">
        <v>2457</v>
      </c>
      <c r="X255" s="94" t="s">
        <v>2474</v>
      </c>
      <c r="Y255" s="51"/>
      <c r="Z255" s="51"/>
      <c r="AA255" s="33" t="s">
        <v>2459</v>
      </c>
      <c r="AB255" s="33" t="s">
        <v>2460</v>
      </c>
      <c r="AC255" s="33" t="s">
        <v>2486</v>
      </c>
      <c r="AD255" s="33" t="s">
        <v>2254</v>
      </c>
      <c r="AE255" s="33"/>
      <c r="AF255" s="33" t="s">
        <v>2267</v>
      </c>
      <c r="AG255" s="33" t="s">
        <v>2461</v>
      </c>
      <c r="AH255" s="33"/>
      <c r="AI255" s="33"/>
      <c r="AJ255" s="33" t="s">
        <v>4521</v>
      </c>
      <c r="AK255" s="94"/>
      <c r="AL255" s="33" t="s">
        <v>4522</v>
      </c>
      <c r="AM255" s="33"/>
      <c r="AN255" s="33" t="s">
        <v>2577</v>
      </c>
      <c r="AO255" s="51" t="s">
        <v>2578</v>
      </c>
      <c r="AP255" s="51" t="s">
        <v>207</v>
      </c>
      <c r="AQ255" s="33"/>
      <c r="AR255" s="54"/>
      <c r="AS255" s="54"/>
      <c r="AT255" s="54"/>
      <c r="AU255" s="54"/>
      <c r="AV255" s="54"/>
      <c r="AW255" s="54"/>
      <c r="AX255" s="54"/>
      <c r="AY255" s="54"/>
      <c r="AZ255" s="54"/>
      <c r="BA255" s="54"/>
      <c r="BB255" s="54"/>
      <c r="BC255" s="54"/>
      <c r="BD255" s="54" t="s">
        <v>2447</v>
      </c>
      <c r="BE255" s="54"/>
      <c r="BF255" s="54"/>
      <c r="BG255" s="54"/>
      <c r="BH255" s="54"/>
      <c r="BI255" s="54"/>
      <c r="BJ255" s="0"/>
      <c r="BK255" s="0"/>
      <c r="BL255" s="0"/>
      <c r="BM255" s="0"/>
      <c r="BN255" s="0"/>
      <c r="BO255" s="0"/>
      <c r="BP255"/>
      <c r="BQ255"/>
      <c r="BR255"/>
      <c r="BS255"/>
      <c r="BT255"/>
      <c r="BU255"/>
      <c r="BV255"/>
      <c r="BW255"/>
      <c r="BX255"/>
      <c r="BY255"/>
      <c r="BZ255"/>
      <c r="CA255"/>
      <c r="CB255"/>
    </row>
    <row r="256" ht="15.0" customHeight="true">
      <c r="A256" s="51" t="s">
        <v>2448</v>
      </c>
      <c r="B256" s="33"/>
      <c r="C256" s="33" t="s">
        <v>4523</v>
      </c>
      <c r="D256" s="33"/>
      <c r="E256" s="33" t="s">
        <v>4524</v>
      </c>
      <c r="F256" s="33"/>
      <c r="G256" s="55" t="s">
        <v>4525</v>
      </c>
      <c r="H256" s="33"/>
      <c r="I256" s="51" t="s">
        <v>4526</v>
      </c>
      <c r="J256" s="33"/>
      <c r="K256" s="51" t="s">
        <v>4527</v>
      </c>
      <c r="L256" s="33" t="s">
        <v>2454</v>
      </c>
      <c r="M256" s="55" t="s">
        <v>3418</v>
      </c>
      <c r="N256" s="55" t="s">
        <v>2596</v>
      </c>
      <c r="O256" s="33" t="s">
        <v>2272</v>
      </c>
      <c r="P256" s="33" t="s">
        <v>2251</v>
      </c>
      <c r="Q256" s="33"/>
      <c r="R256" s="33" t="s">
        <v>2263</v>
      </c>
      <c r="S256" s="56" t="s">
        <v>2277</v>
      </c>
      <c r="T256" s="56"/>
      <c r="U256" s="56"/>
      <c r="V256" s="33" t="s">
        <v>2456</v>
      </c>
      <c r="W256" s="94" t="s">
        <v>2457</v>
      </c>
      <c r="X256" s="94" t="s">
        <v>2474</v>
      </c>
      <c r="Y256" s="51"/>
      <c r="Z256" s="51"/>
      <c r="AA256" s="33" t="s">
        <v>2459</v>
      </c>
      <c r="AB256" s="33" t="s">
        <v>2460</v>
      </c>
      <c r="AC256" s="33"/>
      <c r="AD256" s="33" t="s">
        <v>2254</v>
      </c>
      <c r="AE256" s="33"/>
      <c r="AF256" s="33" t="s">
        <v>2267</v>
      </c>
      <c r="AG256" s="33" t="s">
        <v>2461</v>
      </c>
      <c r="AH256" s="33"/>
      <c r="AI256" s="33"/>
      <c r="AJ256" s="33" t="s">
        <v>4528</v>
      </c>
      <c r="AK256" s="94"/>
      <c r="AL256" s="33" t="s">
        <v>4529</v>
      </c>
      <c r="AM256" s="33"/>
      <c r="AN256" s="33" t="s">
        <v>3031</v>
      </c>
      <c r="AO256" s="51" t="s">
        <v>3572</v>
      </c>
      <c r="AP256" s="51" t="s">
        <v>207</v>
      </c>
      <c r="AQ256" s="33"/>
      <c r="AR256" s="54"/>
      <c r="AS256" s="54"/>
      <c r="AT256" s="54"/>
      <c r="AU256" s="54"/>
      <c r="AV256" s="54"/>
      <c r="AW256" s="54"/>
      <c r="AX256" s="54"/>
      <c r="AY256" s="54"/>
      <c r="AZ256" s="54"/>
      <c r="BA256" s="54"/>
      <c r="BB256" s="54"/>
      <c r="BC256" s="54"/>
      <c r="BD256" s="54" t="s">
        <v>2447</v>
      </c>
      <c r="BE256" s="54"/>
      <c r="BF256" s="54"/>
      <c r="BG256" s="54"/>
      <c r="BH256" s="54"/>
      <c r="BI256" s="54"/>
      <c r="BJ256" s="0"/>
      <c r="BK256" s="0"/>
      <c r="BL256" s="0"/>
      <c r="BM256" s="0"/>
      <c r="BN256" s="0"/>
      <c r="BO256" s="0"/>
      <c r="BP256"/>
      <c r="BQ256"/>
      <c r="BR256"/>
      <c r="BS256"/>
      <c r="BT256"/>
      <c r="BU256"/>
      <c r="BV256"/>
      <c r="BW256"/>
      <c r="BX256"/>
      <c r="BY256"/>
      <c r="BZ256"/>
      <c r="CA256"/>
      <c r="CB256"/>
    </row>
    <row r="257" ht="15.0" customHeight="true">
      <c r="A257" s="51" t="s">
        <v>2448</v>
      </c>
      <c r="B257" s="33"/>
      <c r="C257" s="33" t="s">
        <v>4530</v>
      </c>
      <c r="D257" s="33"/>
      <c r="E257" s="33" t="s">
        <v>2879</v>
      </c>
      <c r="F257" s="33"/>
      <c r="G257" s="55" t="s">
        <v>4531</v>
      </c>
      <c r="H257" s="33"/>
      <c r="I257" s="51" t="s">
        <v>4532</v>
      </c>
      <c r="J257" s="33"/>
      <c r="K257" s="51" t="s">
        <v>4533</v>
      </c>
      <c r="L257" s="33" t="s">
        <v>2454</v>
      </c>
      <c r="M257" s="55" t="s">
        <v>4534</v>
      </c>
      <c r="N257" s="55" t="s">
        <v>4535</v>
      </c>
      <c r="O257" s="33" t="s">
        <v>2272</v>
      </c>
      <c r="P257" s="33" t="s">
        <v>2251</v>
      </c>
      <c r="Q257" s="33"/>
      <c r="R257" s="33" t="s">
        <v>2263</v>
      </c>
      <c r="S257" s="56" t="s">
        <v>2277</v>
      </c>
      <c r="T257" s="56"/>
      <c r="U257" s="56"/>
      <c r="V257" s="33" t="s">
        <v>2456</v>
      </c>
      <c r="W257" s="94" t="s">
        <v>2457</v>
      </c>
      <c r="X257" s="94" t="s">
        <v>2474</v>
      </c>
      <c r="Y257" s="51"/>
      <c r="Z257" s="51"/>
      <c r="AA257" s="33" t="s">
        <v>2459</v>
      </c>
      <c r="AB257" s="33" t="s">
        <v>2460</v>
      </c>
      <c r="AC257" s="33"/>
      <c r="AD257" s="33" t="s">
        <v>2254</v>
      </c>
      <c r="AE257" s="33"/>
      <c r="AF257" s="33" t="s">
        <v>2267</v>
      </c>
      <c r="AG257" s="33" t="s">
        <v>2461</v>
      </c>
      <c r="AH257" s="33"/>
      <c r="AI257" s="33"/>
      <c r="AJ257" s="33" t="s">
        <v>4536</v>
      </c>
      <c r="AK257" s="94"/>
      <c r="AL257" s="33" t="s">
        <v>4537</v>
      </c>
      <c r="AM257" s="33"/>
      <c r="AN257" s="33" t="s">
        <v>2588</v>
      </c>
      <c r="AO257" s="51" t="s">
        <v>2589</v>
      </c>
      <c r="AP257" s="51" t="s">
        <v>207</v>
      </c>
      <c r="AQ257" s="33"/>
      <c r="AR257" s="54"/>
      <c r="AS257" s="54"/>
      <c r="AT257" s="54"/>
      <c r="AU257" s="54"/>
      <c r="AV257" s="54"/>
      <c r="AW257" s="54"/>
      <c r="AX257" s="54"/>
      <c r="AY257" s="54"/>
      <c r="AZ257" s="54"/>
      <c r="BA257" s="54"/>
      <c r="BB257" s="54"/>
      <c r="BC257" s="54"/>
      <c r="BD257" s="54" t="s">
        <v>2447</v>
      </c>
      <c r="BE257" s="54"/>
      <c r="BF257" s="54"/>
      <c r="BG257" s="54"/>
      <c r="BH257" s="54"/>
      <c r="BI257" s="54"/>
      <c r="BJ257" s="0"/>
      <c r="BK257" s="0"/>
      <c r="BL257" s="0"/>
      <c r="BM257" s="0"/>
      <c r="BN257" s="0"/>
      <c r="BO257" s="0"/>
      <c r="BP257"/>
      <c r="BQ257"/>
      <c r="BR257"/>
      <c r="BS257"/>
      <c r="BT257"/>
      <c r="BU257"/>
      <c r="BV257"/>
      <c r="BW257"/>
      <c r="BX257"/>
      <c r="BY257"/>
      <c r="BZ257"/>
      <c r="CA257"/>
      <c r="CB257"/>
    </row>
    <row r="258" ht="15.0" customHeight="true">
      <c r="A258" s="51" t="s">
        <v>2448</v>
      </c>
      <c r="B258" s="33"/>
      <c r="C258" s="33" t="s">
        <v>4538</v>
      </c>
      <c r="D258" s="33"/>
      <c r="E258" s="33" t="s">
        <v>4539</v>
      </c>
      <c r="F258" s="33"/>
      <c r="G258" s="55" t="s">
        <v>4540</v>
      </c>
      <c r="H258" s="33"/>
      <c r="I258" s="51" t="s">
        <v>4541</v>
      </c>
      <c r="J258" s="33"/>
      <c r="K258" s="51" t="s">
        <v>4542</v>
      </c>
      <c r="L258" s="33" t="s">
        <v>2484</v>
      </c>
      <c r="M258" s="55" t="s">
        <v>4543</v>
      </c>
      <c r="N258" s="55"/>
      <c r="O258" s="33"/>
      <c r="P258" s="33" t="s">
        <v>2251</v>
      </c>
      <c r="Q258" s="33"/>
      <c r="R258" s="33" t="s">
        <v>2263</v>
      </c>
      <c r="S258" s="56" t="s">
        <v>2277</v>
      </c>
      <c r="T258" s="56"/>
      <c r="U258" s="56"/>
      <c r="V258" s="33" t="s">
        <v>2456</v>
      </c>
      <c r="W258" s="94" t="s">
        <v>2457</v>
      </c>
      <c r="X258" s="94" t="s">
        <v>2474</v>
      </c>
      <c r="Y258" s="51"/>
      <c r="Z258" s="51"/>
      <c r="AA258" s="33" t="s">
        <v>2459</v>
      </c>
      <c r="AB258" s="33" t="s">
        <v>2460</v>
      </c>
      <c r="AC258" s="33" t="s">
        <v>2486</v>
      </c>
      <c r="AD258" s="33" t="s">
        <v>2254</v>
      </c>
      <c r="AE258" s="33"/>
      <c r="AF258" s="33" t="s">
        <v>2267</v>
      </c>
      <c r="AG258" s="33" t="s">
        <v>2461</v>
      </c>
      <c r="AH258" s="33"/>
      <c r="AI258" s="33" t="s">
        <v>4544</v>
      </c>
      <c r="AJ258" s="33" t="s">
        <v>4544</v>
      </c>
      <c r="AK258" s="94"/>
      <c r="AL258" s="33" t="s">
        <v>4545</v>
      </c>
      <c r="AM258" s="33"/>
      <c r="AN258" s="33" t="s">
        <v>2577</v>
      </c>
      <c r="AO258" s="51" t="s">
        <v>2578</v>
      </c>
      <c r="AP258" s="51" t="s">
        <v>207</v>
      </c>
      <c r="AQ258" s="33"/>
      <c r="AR258" s="54"/>
      <c r="AS258" s="54"/>
      <c r="AT258" s="54"/>
      <c r="AU258" s="54"/>
      <c r="AV258" s="54"/>
      <c r="AW258" s="54"/>
      <c r="AX258" s="54"/>
      <c r="AY258" s="54"/>
      <c r="AZ258" s="54"/>
      <c r="BA258" s="54"/>
      <c r="BB258" s="54"/>
      <c r="BC258" s="54"/>
      <c r="BD258" s="54" t="s">
        <v>2447</v>
      </c>
      <c r="BE258" s="54"/>
      <c r="BF258" s="54"/>
      <c r="BG258" s="54"/>
      <c r="BH258" s="54"/>
      <c r="BI258" s="54"/>
      <c r="BJ258" s="0"/>
      <c r="BK258" s="0"/>
      <c r="BL258" s="0"/>
      <c r="BM258" s="0"/>
      <c r="BN258" s="0"/>
      <c r="BO258" s="0"/>
      <c r="BP258"/>
      <c r="BQ258"/>
      <c r="BR258"/>
      <c r="BS258"/>
      <c r="BT258"/>
      <c r="BU258"/>
      <c r="BV258"/>
      <c r="BW258"/>
      <c r="BX258"/>
      <c r="BY258"/>
      <c r="BZ258"/>
      <c r="CA258"/>
      <c r="CB258"/>
    </row>
    <row r="259" ht="15.0" customHeight="true">
      <c r="A259" s="51" t="s">
        <v>2448</v>
      </c>
      <c r="B259" s="33"/>
      <c r="C259" s="33" t="s">
        <v>4546</v>
      </c>
      <c r="D259" s="33"/>
      <c r="E259" s="33" t="s">
        <v>4547</v>
      </c>
      <c r="F259" s="33"/>
      <c r="G259" s="55" t="s">
        <v>4548</v>
      </c>
      <c r="H259" s="33"/>
      <c r="I259" s="51" t="s">
        <v>4549</v>
      </c>
      <c r="J259" s="33"/>
      <c r="K259" s="51" t="s">
        <v>4550</v>
      </c>
      <c r="L259" s="33" t="s">
        <v>2454</v>
      </c>
      <c r="M259" s="55" t="s">
        <v>3358</v>
      </c>
      <c r="N259" s="55" t="s">
        <v>4551</v>
      </c>
      <c r="O259" s="33" t="s">
        <v>2272</v>
      </c>
      <c r="P259" s="33" t="s">
        <v>2251</v>
      </c>
      <c r="Q259" s="33"/>
      <c r="R259" s="33" t="s">
        <v>2263</v>
      </c>
      <c r="S259" s="56" t="s">
        <v>2277</v>
      </c>
      <c r="T259" s="56"/>
      <c r="U259" s="56"/>
      <c r="V259" s="33" t="s">
        <v>2456</v>
      </c>
      <c r="W259" s="94" t="s">
        <v>2457</v>
      </c>
      <c r="X259" s="94" t="s">
        <v>2458</v>
      </c>
      <c r="Y259" s="51"/>
      <c r="Z259" s="51"/>
      <c r="AA259" s="33" t="s">
        <v>2459</v>
      </c>
      <c r="AB259" s="33" t="s">
        <v>2460</v>
      </c>
      <c r="AC259" s="33"/>
      <c r="AD259" s="33" t="s">
        <v>2254</v>
      </c>
      <c r="AE259" s="33"/>
      <c r="AF259" s="33" t="s">
        <v>2267</v>
      </c>
      <c r="AG259" s="33" t="s">
        <v>2461</v>
      </c>
      <c r="AH259" s="33"/>
      <c r="AI259" s="33"/>
      <c r="AJ259" s="33" t="s">
        <v>4552</v>
      </c>
      <c r="AK259" s="94"/>
      <c r="AL259" s="33" t="s">
        <v>4553</v>
      </c>
      <c r="AM259" s="33"/>
      <c r="AN259" s="33" t="s">
        <v>2588</v>
      </c>
      <c r="AO259" s="51" t="s">
        <v>2911</v>
      </c>
      <c r="AP259" s="51" t="s">
        <v>207</v>
      </c>
      <c r="AQ259" s="33"/>
      <c r="AR259" s="54"/>
      <c r="AS259" s="54"/>
      <c r="AT259" s="54"/>
      <c r="AU259" s="54"/>
      <c r="AV259" s="54"/>
      <c r="AW259" s="54"/>
      <c r="AX259" s="54"/>
      <c r="AY259" s="54"/>
      <c r="AZ259" s="54"/>
      <c r="BA259" s="54"/>
      <c r="BB259" s="54"/>
      <c r="BC259" s="54"/>
      <c r="BD259" s="54" t="s">
        <v>2447</v>
      </c>
      <c r="BE259" s="54"/>
      <c r="BF259" s="54"/>
      <c r="BG259" s="54"/>
      <c r="BH259" s="54"/>
      <c r="BI259" s="54"/>
      <c r="BJ259" s="0"/>
      <c r="BK259" s="0"/>
      <c r="BL259" s="0"/>
      <c r="BM259" s="0"/>
      <c r="BN259" s="0"/>
      <c r="BO259" s="0"/>
      <c r="BP259"/>
      <c r="BQ259"/>
      <c r="BR259"/>
      <c r="BS259"/>
      <c r="BT259"/>
      <c r="BU259"/>
      <c r="BV259"/>
      <c r="BW259"/>
      <c r="BX259"/>
      <c r="BY259"/>
      <c r="BZ259"/>
      <c r="CA259"/>
      <c r="CB259"/>
    </row>
    <row r="260" ht="15.0" customHeight="true">
      <c r="A260" s="51" t="s">
        <v>2448</v>
      </c>
      <c r="B260" s="33"/>
      <c r="C260" s="33" t="s">
        <v>2674</v>
      </c>
      <c r="D260" s="33"/>
      <c r="E260" s="33" t="s">
        <v>4554</v>
      </c>
      <c r="F260" s="33"/>
      <c r="G260" s="55" t="s">
        <v>4555</v>
      </c>
      <c r="H260" s="33"/>
      <c r="I260" s="51" t="s">
        <v>4556</v>
      </c>
      <c r="J260" s="33"/>
      <c r="K260" s="51" t="s">
        <v>4557</v>
      </c>
      <c r="L260" s="33" t="s">
        <v>2484</v>
      </c>
      <c r="M260" s="55" t="s">
        <v>3897</v>
      </c>
      <c r="N260" s="55"/>
      <c r="O260" s="33"/>
      <c r="P260" s="33" t="s">
        <v>2251</v>
      </c>
      <c r="Q260" s="33"/>
      <c r="R260" s="33" t="s">
        <v>2263</v>
      </c>
      <c r="S260" s="56" t="s">
        <v>2277</v>
      </c>
      <c r="T260" s="56"/>
      <c r="U260" s="56"/>
      <c r="V260" s="33" t="s">
        <v>2456</v>
      </c>
      <c r="W260" s="94" t="s">
        <v>2457</v>
      </c>
      <c r="X260" s="94" t="s">
        <v>2474</v>
      </c>
      <c r="Y260" s="51"/>
      <c r="Z260" s="51"/>
      <c r="AA260" s="33" t="s">
        <v>2459</v>
      </c>
      <c r="AB260" s="33" t="s">
        <v>2460</v>
      </c>
      <c r="AC260" s="33" t="s">
        <v>2486</v>
      </c>
      <c r="AD260" s="33" t="s">
        <v>2254</v>
      </c>
      <c r="AE260" s="33"/>
      <c r="AF260" s="33" t="s">
        <v>2267</v>
      </c>
      <c r="AG260" s="33" t="s">
        <v>2461</v>
      </c>
      <c r="AH260" s="33"/>
      <c r="AI260" s="33"/>
      <c r="AJ260" s="33" t="s">
        <v>4558</v>
      </c>
      <c r="AK260" s="94"/>
      <c r="AL260" s="33" t="s">
        <v>4559</v>
      </c>
      <c r="AM260" s="33"/>
      <c r="AN260" s="33" t="s">
        <v>2465</v>
      </c>
      <c r="AO260" s="51" t="s">
        <v>2489</v>
      </c>
      <c r="AP260" s="51" t="s">
        <v>207</v>
      </c>
      <c r="AQ260" s="33"/>
      <c r="AR260" s="54"/>
      <c r="AS260" s="54"/>
      <c r="AT260" s="54"/>
      <c r="AU260" s="54"/>
      <c r="AV260" s="54"/>
      <c r="AW260" s="54"/>
      <c r="AX260" s="54"/>
      <c r="AY260" s="54"/>
      <c r="AZ260" s="54"/>
      <c r="BA260" s="54"/>
      <c r="BB260" s="54"/>
      <c r="BC260" s="54"/>
      <c r="BD260" s="54" t="s">
        <v>2447</v>
      </c>
      <c r="BE260" s="54"/>
      <c r="BF260" s="54"/>
      <c r="BG260" s="54"/>
      <c r="BH260" s="54"/>
      <c r="BI260" s="54"/>
      <c r="BJ260" s="0"/>
      <c r="BK260" s="0"/>
      <c r="BL260" s="0"/>
      <c r="BM260" s="0"/>
      <c r="BN260" s="0"/>
      <c r="BO260" s="0"/>
      <c r="BP260"/>
      <c r="BQ260"/>
      <c r="BR260"/>
      <c r="BS260"/>
      <c r="BT260"/>
      <c r="BU260"/>
      <c r="BV260"/>
      <c r="BW260"/>
      <c r="BX260"/>
      <c r="BY260"/>
      <c r="BZ260"/>
      <c r="CA260"/>
      <c r="CB260"/>
    </row>
    <row r="261" ht="15.0" customHeight="true">
      <c r="A261" s="51" t="s">
        <v>2448</v>
      </c>
      <c r="B261" s="33"/>
      <c r="C261" s="33" t="s">
        <v>4560</v>
      </c>
      <c r="D261" s="33"/>
      <c r="E261" s="33" t="s">
        <v>4561</v>
      </c>
      <c r="F261" s="33"/>
      <c r="G261" s="55" t="s">
        <v>4562</v>
      </c>
      <c r="H261" s="33"/>
      <c r="I261" s="51" t="s">
        <v>4563</v>
      </c>
      <c r="J261" s="33"/>
      <c r="K261" s="51" t="s">
        <v>4564</v>
      </c>
      <c r="L261" s="33" t="s">
        <v>2454</v>
      </c>
      <c r="M261" s="55" t="s">
        <v>2455</v>
      </c>
      <c r="N261" s="55" t="s">
        <v>2455</v>
      </c>
      <c r="O261" s="33" t="s">
        <v>2272</v>
      </c>
      <c r="P261" s="33" t="s">
        <v>2251</v>
      </c>
      <c r="Q261" s="33"/>
      <c r="R261" s="33" t="s">
        <v>2263</v>
      </c>
      <c r="S261" s="56" t="s">
        <v>2277</v>
      </c>
      <c r="T261" s="56"/>
      <c r="U261" s="56"/>
      <c r="V261" s="33" t="s">
        <v>2456</v>
      </c>
      <c r="W261" s="94" t="s">
        <v>2457</v>
      </c>
      <c r="X261" s="94" t="s">
        <v>2458</v>
      </c>
      <c r="Y261" s="51"/>
      <c r="Z261" s="51"/>
      <c r="AA261" s="33" t="s">
        <v>2459</v>
      </c>
      <c r="AB261" s="33" t="s">
        <v>2460</v>
      </c>
      <c r="AC261" s="33"/>
      <c r="AD261" s="33" t="s">
        <v>2254</v>
      </c>
      <c r="AE261" s="33"/>
      <c r="AF261" s="33" t="s">
        <v>2267</v>
      </c>
      <c r="AG261" s="33" t="s">
        <v>2461</v>
      </c>
      <c r="AH261" s="33"/>
      <c r="AI261" s="33"/>
      <c r="AJ261" s="33" t="s">
        <v>4565</v>
      </c>
      <c r="AK261" s="94"/>
      <c r="AL261" s="33" t="s">
        <v>4566</v>
      </c>
      <c r="AM261" s="33" t="s">
        <v>4567</v>
      </c>
      <c r="AN261" s="33" t="s">
        <v>2465</v>
      </c>
      <c r="AO261" s="51" t="s">
        <v>4150</v>
      </c>
      <c r="AP261" s="51" t="s">
        <v>207</v>
      </c>
      <c r="AQ261" s="33"/>
      <c r="AR261" s="54"/>
      <c r="AS261" s="54"/>
      <c r="AT261" s="54"/>
      <c r="AU261" s="54"/>
      <c r="AV261" s="54"/>
      <c r="AW261" s="54"/>
      <c r="AX261" s="54"/>
      <c r="AY261" s="54"/>
      <c r="AZ261" s="54"/>
      <c r="BA261" s="54"/>
      <c r="BB261" s="54"/>
      <c r="BC261" s="54"/>
      <c r="BD261" s="54" t="s">
        <v>2447</v>
      </c>
      <c r="BE261" s="54"/>
      <c r="BF261" s="54"/>
      <c r="BG261" s="54"/>
      <c r="BH261" s="54"/>
      <c r="BI261" s="54"/>
      <c r="BJ261" s="0"/>
      <c r="BK261" s="0"/>
      <c r="BL261" s="0"/>
      <c r="BM261" s="0"/>
      <c r="BN261" s="0"/>
      <c r="BO261" s="0"/>
      <c r="BP261"/>
      <c r="BQ261"/>
      <c r="BR261"/>
      <c r="BS261"/>
      <c r="BT261"/>
      <c r="BU261"/>
      <c r="BV261"/>
      <c r="BW261"/>
      <c r="BX261"/>
      <c r="BY261"/>
      <c r="BZ261"/>
      <c r="CA261"/>
      <c r="CB261"/>
    </row>
    <row r="262" ht="15.0" customHeight="true">
      <c r="A262" s="51" t="s">
        <v>2448</v>
      </c>
      <c r="B262" s="33"/>
      <c r="C262" s="33" t="s">
        <v>4568</v>
      </c>
      <c r="D262" s="33"/>
      <c r="E262" s="33" t="s">
        <v>4569</v>
      </c>
      <c r="F262" s="33"/>
      <c r="G262" s="55" t="s">
        <v>4570</v>
      </c>
      <c r="H262" s="33"/>
      <c r="I262" s="51" t="s">
        <v>4571</v>
      </c>
      <c r="J262" s="33"/>
      <c r="K262" s="51" t="s">
        <v>4572</v>
      </c>
      <c r="L262" s="33" t="s">
        <v>2454</v>
      </c>
      <c r="M262" s="55" t="s">
        <v>3500</v>
      </c>
      <c r="N262" s="55" t="s">
        <v>4573</v>
      </c>
      <c r="O262" s="33" t="s">
        <v>2272</v>
      </c>
      <c r="P262" s="33" t="s">
        <v>2251</v>
      </c>
      <c r="Q262" s="33"/>
      <c r="R262" s="33" t="s">
        <v>2263</v>
      </c>
      <c r="S262" s="56" t="s">
        <v>2277</v>
      </c>
      <c r="T262" s="56"/>
      <c r="U262" s="56"/>
      <c r="V262" s="33" t="s">
        <v>2456</v>
      </c>
      <c r="W262" s="94" t="s">
        <v>2457</v>
      </c>
      <c r="X262" s="94" t="s">
        <v>2458</v>
      </c>
      <c r="Y262" s="51"/>
      <c r="Z262" s="51"/>
      <c r="AA262" s="33" t="s">
        <v>2459</v>
      </c>
      <c r="AB262" s="33" t="s">
        <v>2460</v>
      </c>
      <c r="AC262" s="33"/>
      <c r="AD262" s="33" t="s">
        <v>2254</v>
      </c>
      <c r="AE262" s="33"/>
      <c r="AF262" s="33" t="s">
        <v>2267</v>
      </c>
      <c r="AG262" s="33" t="s">
        <v>2461</v>
      </c>
      <c r="AH262" s="33"/>
      <c r="AI262" s="33"/>
      <c r="AJ262" s="33" t="s">
        <v>4574</v>
      </c>
      <c r="AK262" s="94"/>
      <c r="AL262" s="33" t="s">
        <v>4575</v>
      </c>
      <c r="AM262" s="33"/>
      <c r="AN262" s="33" t="s">
        <v>2465</v>
      </c>
      <c r="AO262" s="51" t="s">
        <v>2538</v>
      </c>
      <c r="AP262" s="51" t="s">
        <v>207</v>
      </c>
      <c r="AQ262" s="33"/>
      <c r="AR262" s="54"/>
      <c r="AS262" s="54"/>
      <c r="AT262" s="54"/>
      <c r="AU262" s="54"/>
      <c r="AV262" s="54"/>
      <c r="AW262" s="54"/>
      <c r="AX262" s="54"/>
      <c r="AY262" s="54"/>
      <c r="AZ262" s="54"/>
      <c r="BA262" s="54"/>
      <c r="BB262" s="54"/>
      <c r="BC262" s="54"/>
      <c r="BD262" s="54" t="s">
        <v>2447</v>
      </c>
      <c r="BE262" s="54"/>
      <c r="BF262" s="54"/>
      <c r="BG262" s="54"/>
      <c r="BH262" s="54"/>
      <c r="BI262" s="54"/>
      <c r="BJ262" s="0"/>
      <c r="BK262" s="0"/>
      <c r="BL262" s="0"/>
      <c r="BM262" s="0"/>
      <c r="BN262" s="0"/>
      <c r="BO262" s="0"/>
      <c r="BP262"/>
      <c r="BQ262"/>
      <c r="BR262"/>
      <c r="BS262"/>
      <c r="BT262"/>
      <c r="BU262"/>
      <c r="BV262"/>
      <c r="BW262"/>
      <c r="BX262"/>
      <c r="BY262"/>
      <c r="BZ262"/>
      <c r="CA262"/>
      <c r="CB262"/>
    </row>
    <row r="263" ht="15.0" customHeight="true">
      <c r="A263" s="51" t="s">
        <v>2448</v>
      </c>
      <c r="B263" s="33"/>
      <c r="C263" s="33" t="s">
        <v>712</v>
      </c>
      <c r="D263" s="33"/>
      <c r="E263" s="33" t="s">
        <v>4576</v>
      </c>
      <c r="F263" s="33"/>
      <c r="G263" s="55" t="s">
        <v>4577</v>
      </c>
      <c r="H263" s="33"/>
      <c r="I263" s="51" t="s">
        <v>4578</v>
      </c>
      <c r="J263" s="33"/>
      <c r="K263" s="51" t="s">
        <v>4579</v>
      </c>
      <c r="L263" s="33" t="s">
        <v>2454</v>
      </c>
      <c r="M263" s="55" t="s">
        <v>4580</v>
      </c>
      <c r="N263" s="55" t="s">
        <v>4581</v>
      </c>
      <c r="O263" s="33" t="s">
        <v>2272</v>
      </c>
      <c r="P263" s="33" t="s">
        <v>2251</v>
      </c>
      <c r="Q263" s="33"/>
      <c r="R263" s="33" t="s">
        <v>2263</v>
      </c>
      <c r="S263" s="56" t="s">
        <v>2277</v>
      </c>
      <c r="T263" s="56"/>
      <c r="U263" s="56"/>
      <c r="V263" s="33" t="s">
        <v>2456</v>
      </c>
      <c r="W263" s="94" t="s">
        <v>2457</v>
      </c>
      <c r="X263" s="94" t="s">
        <v>2458</v>
      </c>
      <c r="Y263" s="51"/>
      <c r="Z263" s="51"/>
      <c r="AA263" s="33" t="s">
        <v>2459</v>
      </c>
      <c r="AB263" s="33" t="s">
        <v>2460</v>
      </c>
      <c r="AC263" s="33"/>
      <c r="AD263" s="33" t="s">
        <v>2254</v>
      </c>
      <c r="AE263" s="33"/>
      <c r="AF263" s="33" t="s">
        <v>2267</v>
      </c>
      <c r="AG263" s="33" t="s">
        <v>2461</v>
      </c>
      <c r="AH263" s="33"/>
      <c r="AI263" s="33"/>
      <c r="AJ263" s="33" t="s">
        <v>4582</v>
      </c>
      <c r="AK263" s="94"/>
      <c r="AL263" s="33" t="s">
        <v>4583</v>
      </c>
      <c r="AM263" s="33"/>
      <c r="AN263" s="33" t="s">
        <v>2588</v>
      </c>
      <c r="AO263" s="51" t="s">
        <v>2628</v>
      </c>
      <c r="AP263" s="51" t="s">
        <v>207</v>
      </c>
      <c r="AQ263" s="33"/>
      <c r="AR263" s="54"/>
      <c r="AS263" s="54"/>
      <c r="AT263" s="54"/>
      <c r="AU263" s="54"/>
      <c r="AV263" s="54"/>
      <c r="AW263" s="54"/>
      <c r="AX263" s="54"/>
      <c r="AY263" s="54"/>
      <c r="AZ263" s="54"/>
      <c r="BA263" s="54"/>
      <c r="BB263" s="54"/>
      <c r="BC263" s="54"/>
      <c r="BD263" s="54" t="s">
        <v>2447</v>
      </c>
      <c r="BE263" s="54"/>
      <c r="BF263" s="54"/>
      <c r="BG263" s="54"/>
      <c r="BH263" s="54"/>
      <c r="BI263" s="54"/>
      <c r="BJ263" s="0"/>
      <c r="BK263" s="0"/>
      <c r="BL263" s="0"/>
      <c r="BM263" s="0"/>
      <c r="BN263" s="0"/>
      <c r="BO263" s="0"/>
      <c r="BP263"/>
      <c r="BQ263"/>
      <c r="BR263"/>
      <c r="BS263"/>
      <c r="BT263"/>
      <c r="BU263"/>
      <c r="BV263"/>
      <c r="BW263"/>
      <c r="BX263"/>
      <c r="BY263"/>
      <c r="BZ263"/>
      <c r="CA263"/>
      <c r="CB263"/>
    </row>
    <row r="264" ht="15.0" customHeight="true">
      <c r="A264" s="51" t="s">
        <v>2448</v>
      </c>
      <c r="B264" s="33"/>
      <c r="C264" s="33" t="s">
        <v>4584</v>
      </c>
      <c r="D264" s="33"/>
      <c r="E264" s="33" t="s">
        <v>4585</v>
      </c>
      <c r="F264" s="33"/>
      <c r="G264" s="55" t="s">
        <v>4586</v>
      </c>
      <c r="H264" s="33"/>
      <c r="I264" s="51" t="s">
        <v>4587</v>
      </c>
      <c r="J264" s="33"/>
      <c r="K264" s="51" t="s">
        <v>4588</v>
      </c>
      <c r="L264" s="33" t="s">
        <v>2454</v>
      </c>
      <c r="M264" s="55" t="s">
        <v>4589</v>
      </c>
      <c r="N264" s="55" t="s">
        <v>4590</v>
      </c>
      <c r="O264" s="33" t="s">
        <v>2272</v>
      </c>
      <c r="P264" s="33" t="s">
        <v>2251</v>
      </c>
      <c r="Q264" s="33"/>
      <c r="R264" s="33" t="s">
        <v>2263</v>
      </c>
      <c r="S264" s="56" t="s">
        <v>2277</v>
      </c>
      <c r="T264" s="56"/>
      <c r="U264" s="56"/>
      <c r="V264" s="33" t="s">
        <v>2456</v>
      </c>
      <c r="W264" s="94" t="s">
        <v>2457</v>
      </c>
      <c r="X264" s="94" t="s">
        <v>2458</v>
      </c>
      <c r="Y264" s="51"/>
      <c r="Z264" s="51"/>
      <c r="AA264" s="33" t="s">
        <v>2459</v>
      </c>
      <c r="AB264" s="33" t="s">
        <v>2460</v>
      </c>
      <c r="AC264" s="33"/>
      <c r="AD264" s="33" t="s">
        <v>2254</v>
      </c>
      <c r="AE264" s="33"/>
      <c r="AF264" s="33" t="s">
        <v>2267</v>
      </c>
      <c r="AG264" s="33" t="s">
        <v>2461</v>
      </c>
      <c r="AH264" s="33"/>
      <c r="AI264" s="33"/>
      <c r="AJ264" s="33" t="s">
        <v>4591</v>
      </c>
      <c r="AK264" s="94"/>
      <c r="AL264" s="33" t="s">
        <v>4592</v>
      </c>
      <c r="AM264" s="33" t="s">
        <v>2739</v>
      </c>
      <c r="AN264" s="33" t="s">
        <v>2465</v>
      </c>
      <c r="AO264" s="51" t="s">
        <v>2548</v>
      </c>
      <c r="AP264" s="51" t="s">
        <v>207</v>
      </c>
      <c r="AQ264" s="33"/>
      <c r="AR264" s="54"/>
      <c r="AS264" s="54"/>
      <c r="AT264" s="54"/>
      <c r="AU264" s="54"/>
      <c r="AV264" s="54"/>
      <c r="AW264" s="54"/>
      <c r="AX264" s="54"/>
      <c r="AY264" s="54"/>
      <c r="AZ264" s="54"/>
      <c r="BA264" s="54"/>
      <c r="BB264" s="54"/>
      <c r="BC264" s="54"/>
      <c r="BD264" s="54" t="s">
        <v>2447</v>
      </c>
      <c r="BE264" s="54"/>
      <c r="BF264" s="54"/>
      <c r="BG264" s="54"/>
      <c r="BH264" s="54"/>
      <c r="BI264" s="54"/>
      <c r="BJ264" s="0"/>
      <c r="BK264" s="0"/>
      <c r="BL264" s="0"/>
      <c r="BM264" s="0"/>
      <c r="BN264" s="0"/>
      <c r="BO264" s="0"/>
      <c r="BP264"/>
      <c r="BQ264"/>
      <c r="BR264"/>
      <c r="BS264"/>
      <c r="BT264"/>
      <c r="BU264"/>
      <c r="BV264"/>
      <c r="BW264"/>
      <c r="BX264"/>
      <c r="BY264"/>
      <c r="BZ264"/>
      <c r="CA264"/>
      <c r="CB264"/>
    </row>
    <row r="265" ht="15.0" customHeight="true">
      <c r="A265" s="51" t="s">
        <v>2448</v>
      </c>
      <c r="B265" s="33"/>
      <c r="C265" s="33" t="s">
        <v>4593</v>
      </c>
      <c r="D265" s="33"/>
      <c r="E265" s="33" t="s">
        <v>4594</v>
      </c>
      <c r="F265" s="33"/>
      <c r="G265" s="55" t="s">
        <v>4595</v>
      </c>
      <c r="H265" s="33"/>
      <c r="I265" s="51" t="s">
        <v>4596</v>
      </c>
      <c r="J265" s="33"/>
      <c r="K265" s="51" t="s">
        <v>4597</v>
      </c>
      <c r="L265" s="33" t="s">
        <v>2454</v>
      </c>
      <c r="M265" s="55" t="s">
        <v>3897</v>
      </c>
      <c r="N265" s="55" t="s">
        <v>4361</v>
      </c>
      <c r="O265" s="33" t="s">
        <v>2272</v>
      </c>
      <c r="P265" s="33" t="s">
        <v>2251</v>
      </c>
      <c r="Q265" s="33"/>
      <c r="R265" s="33" t="s">
        <v>2263</v>
      </c>
      <c r="S265" s="56" t="s">
        <v>2277</v>
      </c>
      <c r="T265" s="56"/>
      <c r="U265" s="56"/>
      <c r="V265" s="33" t="s">
        <v>2456</v>
      </c>
      <c r="W265" s="94" t="s">
        <v>2457</v>
      </c>
      <c r="X265" s="94" t="s">
        <v>2458</v>
      </c>
      <c r="Y265" s="51"/>
      <c r="Z265" s="51"/>
      <c r="AA265" s="33" t="s">
        <v>2459</v>
      </c>
      <c r="AB265" s="33" t="s">
        <v>2460</v>
      </c>
      <c r="AC265" s="33"/>
      <c r="AD265" s="33" t="s">
        <v>2254</v>
      </c>
      <c r="AE265" s="33"/>
      <c r="AF265" s="33" t="s">
        <v>2267</v>
      </c>
      <c r="AG265" s="33" t="s">
        <v>2461</v>
      </c>
      <c r="AH265" s="33"/>
      <c r="AI265" s="33"/>
      <c r="AJ265" s="33" t="s">
        <v>4598</v>
      </c>
      <c r="AK265" s="94"/>
      <c r="AL265" s="33" t="s">
        <v>4599</v>
      </c>
      <c r="AM265" s="33" t="s">
        <v>4600</v>
      </c>
      <c r="AN265" s="33" t="s">
        <v>2465</v>
      </c>
      <c r="AO265" s="51" t="s">
        <v>2538</v>
      </c>
      <c r="AP265" s="51" t="s">
        <v>207</v>
      </c>
      <c r="AQ265" s="33"/>
      <c r="AR265" s="54"/>
      <c r="AS265" s="54"/>
      <c r="AT265" s="54"/>
      <c r="AU265" s="54"/>
      <c r="AV265" s="54"/>
      <c r="AW265" s="54"/>
      <c r="AX265" s="54"/>
      <c r="AY265" s="54"/>
      <c r="AZ265" s="54"/>
      <c r="BA265" s="54"/>
      <c r="BB265" s="54"/>
      <c r="BC265" s="54"/>
      <c r="BD265" s="54" t="s">
        <v>2447</v>
      </c>
      <c r="BE265" s="54"/>
      <c r="BF265" s="54"/>
      <c r="BG265" s="54"/>
      <c r="BH265" s="54"/>
      <c r="BI265" s="54"/>
      <c r="BJ265" s="0"/>
      <c r="BK265" s="0"/>
      <c r="BL265" s="0"/>
      <c r="BM265" s="0"/>
      <c r="BN265" s="0"/>
      <c r="BO265" s="0"/>
      <c r="BP265"/>
      <c r="BQ265"/>
      <c r="BR265"/>
      <c r="BS265"/>
      <c r="BT265"/>
      <c r="BU265"/>
      <c r="BV265"/>
      <c r="BW265"/>
      <c r="BX265"/>
      <c r="BY265"/>
      <c r="BZ265"/>
      <c r="CA265"/>
      <c r="CB265"/>
    </row>
    <row r="266" ht="15.0" customHeight="true">
      <c r="A266" s="51" t="s">
        <v>2448</v>
      </c>
      <c r="B266" s="33"/>
      <c r="C266" s="33" t="s">
        <v>4601</v>
      </c>
      <c r="D266" s="33"/>
      <c r="E266" s="33" t="s">
        <v>2490</v>
      </c>
      <c r="F266" s="33"/>
      <c r="G266" s="55" t="s">
        <v>4602</v>
      </c>
      <c r="H266" s="33"/>
      <c r="I266" s="51" t="s">
        <v>4603</v>
      </c>
      <c r="J266" s="33"/>
      <c r="K266" s="51" t="s">
        <v>4604</v>
      </c>
      <c r="L266" s="33" t="s">
        <v>2454</v>
      </c>
      <c r="M266" s="55" t="s">
        <v>4368</v>
      </c>
      <c r="N266" s="55" t="s">
        <v>3083</v>
      </c>
      <c r="O266" s="33" t="s">
        <v>2272</v>
      </c>
      <c r="P266" s="33" t="s">
        <v>2251</v>
      </c>
      <c r="Q266" s="33"/>
      <c r="R266" s="33" t="s">
        <v>2263</v>
      </c>
      <c r="S266" s="56" t="s">
        <v>2277</v>
      </c>
      <c r="T266" s="56"/>
      <c r="U266" s="56"/>
      <c r="V266" s="33" t="s">
        <v>2456</v>
      </c>
      <c r="W266" s="94" t="s">
        <v>2457</v>
      </c>
      <c r="X266" s="94" t="s">
        <v>2474</v>
      </c>
      <c r="Y266" s="51"/>
      <c r="Z266" s="51"/>
      <c r="AA266" s="33" t="s">
        <v>2459</v>
      </c>
      <c r="AB266" s="33" t="s">
        <v>2460</v>
      </c>
      <c r="AC266" s="33"/>
      <c r="AD266" s="33" t="s">
        <v>2254</v>
      </c>
      <c r="AE266" s="33"/>
      <c r="AF266" s="33" t="s">
        <v>2267</v>
      </c>
      <c r="AG266" s="33" t="s">
        <v>2461</v>
      </c>
      <c r="AH266" s="33"/>
      <c r="AI266" s="33"/>
      <c r="AJ266" s="33" t="s">
        <v>4605</v>
      </c>
      <c r="AK266" s="94"/>
      <c r="AL266" s="33" t="s">
        <v>4606</v>
      </c>
      <c r="AM266" s="33" t="s">
        <v>4607</v>
      </c>
      <c r="AN266" s="33" t="s">
        <v>2588</v>
      </c>
      <c r="AO266" s="51" t="s">
        <v>2589</v>
      </c>
      <c r="AP266" s="51" t="s">
        <v>207</v>
      </c>
      <c r="AQ266" s="33"/>
      <c r="AR266" s="54"/>
      <c r="AS266" s="54"/>
      <c r="AT266" s="54"/>
      <c r="AU266" s="54"/>
      <c r="AV266" s="54"/>
      <c r="AW266" s="54"/>
      <c r="AX266" s="54"/>
      <c r="AY266" s="54"/>
      <c r="AZ266" s="54"/>
      <c r="BA266" s="54"/>
      <c r="BB266" s="54"/>
      <c r="BC266" s="54"/>
      <c r="BD266" s="54" t="s">
        <v>2447</v>
      </c>
      <c r="BE266" s="54"/>
      <c r="BF266" s="54"/>
      <c r="BG266" s="54"/>
      <c r="BH266" s="54"/>
      <c r="BI266" s="54"/>
      <c r="BJ266" s="0"/>
      <c r="BK266" s="0"/>
      <c r="BL266" s="0"/>
      <c r="BM266" s="0"/>
      <c r="BN266" s="0"/>
      <c r="BO266" s="0"/>
      <c r="BP266"/>
      <c r="BQ266"/>
      <c r="BR266"/>
      <c r="BS266"/>
      <c r="BT266"/>
      <c r="BU266"/>
      <c r="BV266"/>
      <c r="BW266"/>
      <c r="BX266"/>
      <c r="BY266"/>
      <c r="BZ266"/>
      <c r="CA266"/>
      <c r="CB266"/>
    </row>
    <row r="267" ht="15.0" customHeight="true">
      <c r="A267" s="51" t="s">
        <v>2448</v>
      </c>
      <c r="B267" s="33"/>
      <c r="C267" s="33" t="s">
        <v>3448</v>
      </c>
      <c r="D267" s="33"/>
      <c r="E267" s="33" t="s">
        <v>4608</v>
      </c>
      <c r="F267" s="33"/>
      <c r="G267" s="55" t="s">
        <v>4609</v>
      </c>
      <c r="H267" s="33"/>
      <c r="I267" s="51" t="s">
        <v>4610</v>
      </c>
      <c r="J267" s="33"/>
      <c r="K267" s="51" t="s">
        <v>4611</v>
      </c>
      <c r="L267" s="33" t="s">
        <v>2454</v>
      </c>
      <c r="M267" s="55" t="s">
        <v>3935</v>
      </c>
      <c r="N267" s="55" t="s">
        <v>2968</v>
      </c>
      <c r="O267" s="33" t="s">
        <v>2272</v>
      </c>
      <c r="P267" s="33" t="s">
        <v>2251</v>
      </c>
      <c r="Q267" s="33"/>
      <c r="R267" s="33" t="s">
        <v>2263</v>
      </c>
      <c r="S267" s="56" t="s">
        <v>2277</v>
      </c>
      <c r="T267" s="56"/>
      <c r="U267" s="56"/>
      <c r="V267" s="33" t="s">
        <v>2456</v>
      </c>
      <c r="W267" s="94" t="s">
        <v>2457</v>
      </c>
      <c r="X267" s="94" t="s">
        <v>2474</v>
      </c>
      <c r="Y267" s="51"/>
      <c r="Z267" s="51"/>
      <c r="AA267" s="33" t="s">
        <v>2459</v>
      </c>
      <c r="AB267" s="33" t="s">
        <v>2460</v>
      </c>
      <c r="AC267" s="33"/>
      <c r="AD267" s="33" t="s">
        <v>2254</v>
      </c>
      <c r="AE267" s="33"/>
      <c r="AF267" s="33" t="s">
        <v>2267</v>
      </c>
      <c r="AG267" s="33" t="s">
        <v>2461</v>
      </c>
      <c r="AH267" s="33"/>
      <c r="AI267" s="33"/>
      <c r="AJ267" s="33" t="s">
        <v>4612</v>
      </c>
      <c r="AK267" s="94"/>
      <c r="AL267" s="33" t="s">
        <v>4613</v>
      </c>
      <c r="AM267" s="33"/>
      <c r="AN267" s="33" t="s">
        <v>2465</v>
      </c>
      <c r="AO267" s="51" t="s">
        <v>2548</v>
      </c>
      <c r="AP267" s="51" t="s">
        <v>207</v>
      </c>
      <c r="AQ267" s="33"/>
      <c r="AR267" s="54"/>
      <c r="AS267" s="54"/>
      <c r="AT267" s="54"/>
      <c r="AU267" s="54"/>
      <c r="AV267" s="54"/>
      <c r="AW267" s="54"/>
      <c r="AX267" s="54"/>
      <c r="AY267" s="54"/>
      <c r="AZ267" s="54"/>
      <c r="BA267" s="54"/>
      <c r="BB267" s="54"/>
      <c r="BC267" s="54"/>
      <c r="BD267" s="54" t="s">
        <v>2447</v>
      </c>
      <c r="BE267" s="54"/>
      <c r="BF267" s="54"/>
      <c r="BG267" s="54"/>
      <c r="BH267" s="54"/>
      <c r="BI267" s="54"/>
      <c r="BJ267" s="0"/>
      <c r="BK267" s="0"/>
      <c r="BL267" s="0"/>
      <c r="BM267" s="0"/>
      <c r="BN267" s="0"/>
      <c r="BO267" s="0"/>
      <c r="BP267"/>
      <c r="BQ267"/>
      <c r="BR267"/>
      <c r="BS267"/>
      <c r="BT267"/>
      <c r="BU267"/>
      <c r="BV267"/>
      <c r="BW267"/>
      <c r="BX267"/>
      <c r="BY267"/>
      <c r="BZ267"/>
      <c r="CA267"/>
      <c r="CB267"/>
    </row>
    <row r="268" ht="15.0" customHeight="true">
      <c r="A268" s="51" t="s">
        <v>2448</v>
      </c>
      <c r="B268" s="33"/>
      <c r="C268" s="33" t="s">
        <v>2887</v>
      </c>
      <c r="D268" s="33"/>
      <c r="E268" s="33" t="s">
        <v>4614</v>
      </c>
      <c r="F268" s="33"/>
      <c r="G268" s="55" t="s">
        <v>4615</v>
      </c>
      <c r="H268" s="33"/>
      <c r="I268" s="51" t="s">
        <v>4616</v>
      </c>
      <c r="J268" s="33"/>
      <c r="K268" s="51" t="s">
        <v>4617</v>
      </c>
      <c r="L268" s="33" t="s">
        <v>2454</v>
      </c>
      <c r="M268" s="55" t="s">
        <v>4618</v>
      </c>
      <c r="N268" s="55" t="s">
        <v>3827</v>
      </c>
      <c r="O268" s="33" t="s">
        <v>2271</v>
      </c>
      <c r="P268" s="33" t="s">
        <v>2251</v>
      </c>
      <c r="Q268" s="33"/>
      <c r="R268" s="33" t="s">
        <v>2263</v>
      </c>
      <c r="S268" s="56" t="s">
        <v>2277</v>
      </c>
      <c r="T268" s="56"/>
      <c r="U268" s="56"/>
      <c r="V268" s="33" t="s">
        <v>4618</v>
      </c>
      <c r="W268" s="94" t="s">
        <v>2574</v>
      </c>
      <c r="X268" s="94" t="s">
        <v>2474</v>
      </c>
      <c r="Y268" s="51"/>
      <c r="Z268" s="51"/>
      <c r="AA268" s="33" t="s">
        <v>2459</v>
      </c>
      <c r="AB268" s="33" t="s">
        <v>2460</v>
      </c>
      <c r="AC268" s="33" t="s">
        <v>2486</v>
      </c>
      <c r="AD268" s="33" t="s">
        <v>2254</v>
      </c>
      <c r="AE268" s="33"/>
      <c r="AF268" s="33" t="s">
        <v>2267</v>
      </c>
      <c r="AG268" s="33" t="s">
        <v>2461</v>
      </c>
      <c r="AH268" s="33"/>
      <c r="AI268" s="33"/>
      <c r="AJ268" s="33" t="s">
        <v>4619</v>
      </c>
      <c r="AK268" s="94"/>
      <c r="AL268" s="33" t="s">
        <v>4620</v>
      </c>
      <c r="AM268" s="33"/>
      <c r="AN268" s="33" t="s">
        <v>2465</v>
      </c>
      <c r="AO268" s="51" t="s">
        <v>2618</v>
      </c>
      <c r="AP268" s="51" t="s">
        <v>207</v>
      </c>
      <c r="AQ268" s="33"/>
      <c r="AR268" s="54"/>
      <c r="AS268" s="54"/>
      <c r="AT268" s="54"/>
      <c r="AU268" s="54"/>
      <c r="AV268" s="54"/>
      <c r="AW268" s="54"/>
      <c r="AX268" s="54"/>
      <c r="AY268" s="54" t="s">
        <v>2269</v>
      </c>
      <c r="AZ268" s="54"/>
      <c r="BA268" s="54"/>
      <c r="BB268" s="54"/>
      <c r="BC268" s="54"/>
      <c r="BD268" s="54" t="s">
        <v>2447</v>
      </c>
      <c r="BE268" s="54"/>
      <c r="BF268" s="54"/>
      <c r="BG268" s="54"/>
      <c r="BH268" s="54"/>
      <c r="BI268" s="54"/>
      <c r="BJ268" s="0"/>
      <c r="BK268" s="0"/>
      <c r="BL268" s="0"/>
      <c r="BM268" s="0"/>
      <c r="BN268" s="0"/>
      <c r="BO268" s="0"/>
      <c r="BP268"/>
      <c r="BQ268"/>
      <c r="BR268"/>
      <c r="BS268"/>
      <c r="BT268"/>
      <c r="BU268"/>
      <c r="BV268"/>
      <c r="BW268"/>
      <c r="BX268"/>
      <c r="BY268"/>
      <c r="BZ268"/>
      <c r="CA268"/>
      <c r="CB268"/>
    </row>
    <row r="269" ht="15.0" customHeight="true">
      <c r="A269" s="51" t="s">
        <v>2448</v>
      </c>
      <c r="B269" s="33"/>
      <c r="C269" s="33" t="s">
        <v>4621</v>
      </c>
      <c r="D269" s="33"/>
      <c r="E269" s="33" t="s">
        <v>2749</v>
      </c>
      <c r="F269" s="33"/>
      <c r="G269" s="55" t="s">
        <v>4622</v>
      </c>
      <c r="H269" s="33"/>
      <c r="I269" s="51" t="s">
        <v>4623</v>
      </c>
      <c r="J269" s="33"/>
      <c r="K269" s="51" t="s">
        <v>4624</v>
      </c>
      <c r="L269" s="33" t="s">
        <v>2454</v>
      </c>
      <c r="M269" s="55" t="s">
        <v>4625</v>
      </c>
      <c r="N269" s="55" t="s">
        <v>4626</v>
      </c>
      <c r="O269" s="33" t="s">
        <v>2272</v>
      </c>
      <c r="P269" s="33" t="s">
        <v>2251</v>
      </c>
      <c r="Q269" s="33"/>
      <c r="R269" s="33" t="s">
        <v>2263</v>
      </c>
      <c r="S269" s="56" t="s">
        <v>2277</v>
      </c>
      <c r="T269" s="56"/>
      <c r="U269" s="56"/>
      <c r="V269" s="33" t="s">
        <v>2456</v>
      </c>
      <c r="W269" s="94" t="s">
        <v>2457</v>
      </c>
      <c r="X269" s="94" t="s">
        <v>2474</v>
      </c>
      <c r="Y269" s="51"/>
      <c r="Z269" s="51"/>
      <c r="AA269" s="33" t="s">
        <v>2459</v>
      </c>
      <c r="AB269" s="33" t="s">
        <v>2460</v>
      </c>
      <c r="AC269" s="33"/>
      <c r="AD269" s="33" t="s">
        <v>2254</v>
      </c>
      <c r="AE269" s="33"/>
      <c r="AF269" s="33" t="s">
        <v>2267</v>
      </c>
      <c r="AG269" s="33" t="s">
        <v>2461</v>
      </c>
      <c r="AH269" s="33"/>
      <c r="AI269" s="33"/>
      <c r="AJ269" s="33" t="s">
        <v>4627</v>
      </c>
      <c r="AK269" s="94"/>
      <c r="AL269" s="33" t="s">
        <v>4628</v>
      </c>
      <c r="AM269" s="33"/>
      <c r="AN269" s="33" t="s">
        <v>2465</v>
      </c>
      <c r="AO269" s="51" t="s">
        <v>2489</v>
      </c>
      <c r="AP269" s="51" t="s">
        <v>207</v>
      </c>
      <c r="AQ269" s="33"/>
      <c r="AR269" s="54"/>
      <c r="AS269" s="54"/>
      <c r="AT269" s="54"/>
      <c r="AU269" s="54"/>
      <c r="AV269" s="54"/>
      <c r="AW269" s="54"/>
      <c r="AX269" s="54"/>
      <c r="AY269" s="54"/>
      <c r="AZ269" s="54"/>
      <c r="BA269" s="54"/>
      <c r="BB269" s="54"/>
      <c r="BC269" s="54"/>
      <c r="BD269" s="54" t="s">
        <v>2447</v>
      </c>
      <c r="BE269" s="54"/>
      <c r="BF269" s="54"/>
      <c r="BG269" s="54"/>
      <c r="BH269" s="54"/>
      <c r="BI269" s="54"/>
      <c r="BJ269" s="0"/>
      <c r="BK269" s="0"/>
      <c r="BL269" s="0"/>
      <c r="BM269" s="0"/>
      <c r="BN269" s="0"/>
      <c r="BO269" s="0"/>
      <c r="BP269"/>
      <c r="BQ269"/>
      <c r="BR269"/>
      <c r="BS269"/>
      <c r="BT269"/>
      <c r="BU269"/>
      <c r="BV269"/>
      <c r="BW269"/>
      <c r="BX269"/>
      <c r="BY269"/>
      <c r="BZ269"/>
      <c r="CA269"/>
      <c r="CB269"/>
    </row>
    <row r="270" ht="15.0" customHeight="true">
      <c r="A270" s="51" t="s">
        <v>2448</v>
      </c>
      <c r="B270" s="33"/>
      <c r="C270" s="33" t="s">
        <v>2579</v>
      </c>
      <c r="D270" s="33"/>
      <c r="E270" s="33" t="s">
        <v>4629</v>
      </c>
      <c r="F270" s="33"/>
      <c r="G270" s="55" t="s">
        <v>4630</v>
      </c>
      <c r="H270" s="33"/>
      <c r="I270" s="51" t="s">
        <v>4631</v>
      </c>
      <c r="J270" s="33"/>
      <c r="K270" s="51" t="s">
        <v>4632</v>
      </c>
      <c r="L270" s="33" t="s">
        <v>2484</v>
      </c>
      <c r="M270" s="55" t="s">
        <v>2790</v>
      </c>
      <c r="N270" s="55"/>
      <c r="O270" s="33"/>
      <c r="P270" s="33" t="s">
        <v>2251</v>
      </c>
      <c r="Q270" s="33"/>
      <c r="R270" s="33" t="s">
        <v>2263</v>
      </c>
      <c r="S270" s="56" t="s">
        <v>2277</v>
      </c>
      <c r="T270" s="56"/>
      <c r="U270" s="56"/>
      <c r="V270" s="33" t="s">
        <v>2456</v>
      </c>
      <c r="W270" s="94" t="s">
        <v>2457</v>
      </c>
      <c r="X270" s="94" t="s">
        <v>2474</v>
      </c>
      <c r="Y270" s="51"/>
      <c r="Z270" s="51"/>
      <c r="AA270" s="33" t="s">
        <v>2459</v>
      </c>
      <c r="AB270" s="33" t="s">
        <v>2460</v>
      </c>
      <c r="AC270" s="33" t="s">
        <v>2486</v>
      </c>
      <c r="AD270" s="33" t="s">
        <v>2254</v>
      </c>
      <c r="AE270" s="33"/>
      <c r="AF270" s="33" t="s">
        <v>2267</v>
      </c>
      <c r="AG270" s="33" t="s">
        <v>2461</v>
      </c>
      <c r="AH270" s="33"/>
      <c r="AI270" s="33"/>
      <c r="AJ270" s="33" t="s">
        <v>4633</v>
      </c>
      <c r="AK270" s="94"/>
      <c r="AL270" s="33" t="s">
        <v>2893</v>
      </c>
      <c r="AM270" s="33" t="s">
        <v>4634</v>
      </c>
      <c r="AN270" s="33" t="s">
        <v>2465</v>
      </c>
      <c r="AO270" s="51" t="s">
        <v>2478</v>
      </c>
      <c r="AP270" s="51" t="s">
        <v>207</v>
      </c>
      <c r="AQ270" s="33"/>
      <c r="AR270" s="54"/>
      <c r="AS270" s="54"/>
      <c r="AT270" s="54"/>
      <c r="AU270" s="54"/>
      <c r="AV270" s="54"/>
      <c r="AW270" s="54"/>
      <c r="AX270" s="54"/>
      <c r="AY270" s="54"/>
      <c r="AZ270" s="54"/>
      <c r="BA270" s="54"/>
      <c r="BB270" s="54"/>
      <c r="BC270" s="54"/>
      <c r="BD270" s="54" t="s">
        <v>2447</v>
      </c>
      <c r="BE270" s="54"/>
      <c r="BF270" s="54"/>
      <c r="BG270" s="54"/>
      <c r="BH270" s="54"/>
      <c r="BI270" s="54"/>
      <c r="BJ270" s="0"/>
      <c r="BK270" s="0"/>
      <c r="BL270" s="0"/>
      <c r="BM270" s="0"/>
      <c r="BN270" s="0"/>
      <c r="BO270" s="0"/>
      <c r="BP270"/>
      <c r="BQ270"/>
      <c r="BR270"/>
      <c r="BS270"/>
      <c r="BT270"/>
      <c r="BU270"/>
      <c r="BV270"/>
      <c r="BW270"/>
      <c r="BX270"/>
      <c r="BY270"/>
      <c r="BZ270"/>
      <c r="CA270"/>
      <c r="CB270"/>
    </row>
    <row r="271" ht="15.0" customHeight="true">
      <c r="A271" s="51" t="s">
        <v>2448</v>
      </c>
      <c r="B271" s="33"/>
      <c r="C271" s="33" t="s">
        <v>2449</v>
      </c>
      <c r="D271" s="33"/>
      <c r="E271" s="33" t="s">
        <v>4635</v>
      </c>
      <c r="F271" s="33"/>
      <c r="G271" s="55" t="s">
        <v>4636</v>
      </c>
      <c r="H271" s="33"/>
      <c r="I271" s="51" t="s">
        <v>4637</v>
      </c>
      <c r="J271" s="33"/>
      <c r="K271" s="51" t="s">
        <v>4638</v>
      </c>
      <c r="L271" s="33" t="s">
        <v>2454</v>
      </c>
      <c r="M271" s="55" t="s">
        <v>4639</v>
      </c>
      <c r="N271" s="55" t="s">
        <v>4640</v>
      </c>
      <c r="O271" s="33" t="s">
        <v>2272</v>
      </c>
      <c r="P271" s="33" t="s">
        <v>2251</v>
      </c>
      <c r="Q271" s="33"/>
      <c r="R271" s="33" t="s">
        <v>2263</v>
      </c>
      <c r="S271" s="56" t="s">
        <v>2277</v>
      </c>
      <c r="T271" s="56"/>
      <c r="U271" s="56"/>
      <c r="V271" s="33" t="s">
        <v>2456</v>
      </c>
      <c r="W271" s="94" t="s">
        <v>2457</v>
      </c>
      <c r="X271" s="94" t="s">
        <v>2458</v>
      </c>
      <c r="Y271" s="51"/>
      <c r="Z271" s="51"/>
      <c r="AA271" s="33" t="s">
        <v>2459</v>
      </c>
      <c r="AB271" s="33" t="s">
        <v>2460</v>
      </c>
      <c r="AC271" s="33"/>
      <c r="AD271" s="33" t="s">
        <v>2254</v>
      </c>
      <c r="AE271" s="33"/>
      <c r="AF271" s="33" t="s">
        <v>2267</v>
      </c>
      <c r="AG271" s="33" t="s">
        <v>2461</v>
      </c>
      <c r="AH271" s="33"/>
      <c r="AI271" s="33"/>
      <c r="AJ271" s="33" t="s">
        <v>4641</v>
      </c>
      <c r="AK271" s="94"/>
      <c r="AL271" s="33" t="s">
        <v>4642</v>
      </c>
      <c r="AM271" s="33"/>
      <c r="AN271" s="33" t="s">
        <v>2588</v>
      </c>
      <c r="AO271" s="51" t="s">
        <v>2628</v>
      </c>
      <c r="AP271" s="51" t="s">
        <v>207</v>
      </c>
      <c r="AQ271" s="33"/>
      <c r="AR271" s="54"/>
      <c r="AS271" s="54"/>
      <c r="AT271" s="54"/>
      <c r="AU271" s="54"/>
      <c r="AV271" s="54"/>
      <c r="AW271" s="54"/>
      <c r="AX271" s="54"/>
      <c r="AY271" s="54"/>
      <c r="AZ271" s="54"/>
      <c r="BA271" s="54"/>
      <c r="BB271" s="54"/>
      <c r="BC271" s="54"/>
      <c r="BD271" s="54" t="s">
        <v>2447</v>
      </c>
      <c r="BE271" s="54"/>
      <c r="BF271" s="54"/>
      <c r="BG271" s="54"/>
      <c r="BH271" s="54"/>
      <c r="BI271" s="54"/>
      <c r="BJ271" s="0"/>
      <c r="BK271" s="0"/>
      <c r="BL271" s="0"/>
      <c r="BM271" s="0"/>
      <c r="BN271" s="0"/>
      <c r="BO271" s="0"/>
      <c r="BP271"/>
      <c r="BQ271"/>
      <c r="BR271"/>
      <c r="BS271"/>
      <c r="BT271"/>
      <c r="BU271"/>
      <c r="BV271"/>
      <c r="BW271"/>
      <c r="BX271"/>
      <c r="BY271"/>
      <c r="BZ271"/>
      <c r="CA271"/>
      <c r="CB271"/>
    </row>
    <row r="272" ht="15.0" customHeight="true">
      <c r="A272" s="51" t="s">
        <v>2448</v>
      </c>
      <c r="B272" s="33"/>
      <c r="C272" s="33" t="s">
        <v>4643</v>
      </c>
      <c r="D272" s="33"/>
      <c r="E272" s="33" t="s">
        <v>4644</v>
      </c>
      <c r="F272" s="33"/>
      <c r="G272" s="55" t="s">
        <v>4645</v>
      </c>
      <c r="H272" s="33"/>
      <c r="I272" s="51" t="s">
        <v>4646</v>
      </c>
      <c r="J272" s="33"/>
      <c r="K272" s="51" t="s">
        <v>4647</v>
      </c>
      <c r="L272" s="33" t="s">
        <v>2454</v>
      </c>
      <c r="M272" s="55" t="s">
        <v>2562</v>
      </c>
      <c r="N272" s="55" t="s">
        <v>4118</v>
      </c>
      <c r="O272" s="33" t="s">
        <v>2272</v>
      </c>
      <c r="P272" s="33" t="s">
        <v>2251</v>
      </c>
      <c r="Q272" s="33"/>
      <c r="R272" s="33" t="s">
        <v>2263</v>
      </c>
      <c r="S272" s="56" t="s">
        <v>2277</v>
      </c>
      <c r="T272" s="56"/>
      <c r="U272" s="56"/>
      <c r="V272" s="33" t="s">
        <v>2456</v>
      </c>
      <c r="W272" s="94" t="s">
        <v>2457</v>
      </c>
      <c r="X272" s="94" t="s">
        <v>2458</v>
      </c>
      <c r="Y272" s="51"/>
      <c r="Z272" s="51"/>
      <c r="AA272" s="33" t="s">
        <v>2459</v>
      </c>
      <c r="AB272" s="33" t="s">
        <v>2460</v>
      </c>
      <c r="AC272" s="33"/>
      <c r="AD272" s="33" t="s">
        <v>2254</v>
      </c>
      <c r="AE272" s="33"/>
      <c r="AF272" s="33" t="s">
        <v>2267</v>
      </c>
      <c r="AG272" s="33" t="s">
        <v>2461</v>
      </c>
      <c r="AH272" s="33"/>
      <c r="AI272" s="33"/>
      <c r="AJ272" s="33" t="s">
        <v>4648</v>
      </c>
      <c r="AK272" s="94"/>
      <c r="AL272" s="33" t="s">
        <v>3745</v>
      </c>
      <c r="AM272" s="33" t="s">
        <v>4649</v>
      </c>
      <c r="AN272" s="33" t="s">
        <v>2465</v>
      </c>
      <c r="AO272" s="51" t="s">
        <v>2618</v>
      </c>
      <c r="AP272" s="51" t="s">
        <v>207</v>
      </c>
      <c r="AQ272" s="33"/>
      <c r="AR272" s="54"/>
      <c r="AS272" s="54"/>
      <c r="AT272" s="54"/>
      <c r="AU272" s="54"/>
      <c r="AV272" s="54"/>
      <c r="AW272" s="54"/>
      <c r="AX272" s="54"/>
      <c r="AY272" s="54"/>
      <c r="AZ272" s="54"/>
      <c r="BA272" s="54"/>
      <c r="BB272" s="54"/>
      <c r="BC272" s="54"/>
      <c r="BD272" s="54" t="s">
        <v>2447</v>
      </c>
      <c r="BE272" s="54"/>
      <c r="BF272" s="54"/>
      <c r="BG272" s="54"/>
      <c r="BH272" s="54"/>
      <c r="BI272" s="54"/>
      <c r="BJ272" s="0"/>
      <c r="BK272" s="0"/>
      <c r="BL272" s="0"/>
      <c r="BM272" s="0"/>
      <c r="BN272" s="0"/>
      <c r="BO272" s="0"/>
      <c r="BP272"/>
      <c r="BQ272"/>
      <c r="BR272"/>
      <c r="BS272"/>
      <c r="BT272"/>
      <c r="BU272"/>
      <c r="BV272"/>
      <c r="BW272"/>
      <c r="BX272"/>
      <c r="BY272"/>
      <c r="BZ272"/>
      <c r="CA272"/>
      <c r="CB272"/>
    </row>
    <row r="273" ht="15.0" customHeight="true">
      <c r="A273" s="51" t="s">
        <v>2448</v>
      </c>
      <c r="B273" s="33"/>
      <c r="C273" s="33" t="s">
        <v>4650</v>
      </c>
      <c r="D273" s="33"/>
      <c r="E273" s="33" t="s">
        <v>4651</v>
      </c>
      <c r="F273" s="33"/>
      <c r="G273" s="55" t="s">
        <v>4652</v>
      </c>
      <c r="H273" s="33"/>
      <c r="I273" s="51" t="s">
        <v>4653</v>
      </c>
      <c r="J273" s="33"/>
      <c r="K273" s="51" t="s">
        <v>4654</v>
      </c>
      <c r="L273" s="33" t="s">
        <v>2454</v>
      </c>
      <c r="M273" s="55" t="s">
        <v>3306</v>
      </c>
      <c r="N273" s="55" t="s">
        <v>3306</v>
      </c>
      <c r="O273" s="33" t="s">
        <v>2272</v>
      </c>
      <c r="P273" s="33" t="s">
        <v>2251</v>
      </c>
      <c r="Q273" s="33"/>
      <c r="R273" s="33" t="s">
        <v>2263</v>
      </c>
      <c r="S273" s="56" t="s">
        <v>2277</v>
      </c>
      <c r="T273" s="56"/>
      <c r="U273" s="56"/>
      <c r="V273" s="33" t="s">
        <v>2456</v>
      </c>
      <c r="W273" s="94" t="s">
        <v>2457</v>
      </c>
      <c r="X273" s="94" t="s">
        <v>2458</v>
      </c>
      <c r="Y273" s="51"/>
      <c r="Z273" s="51"/>
      <c r="AA273" s="33" t="s">
        <v>2459</v>
      </c>
      <c r="AB273" s="33" t="s">
        <v>2460</v>
      </c>
      <c r="AC273" s="33"/>
      <c r="AD273" s="33" t="s">
        <v>2254</v>
      </c>
      <c r="AE273" s="33"/>
      <c r="AF273" s="33" t="s">
        <v>2267</v>
      </c>
      <c r="AG273" s="33" t="s">
        <v>2461</v>
      </c>
      <c r="AH273" s="33"/>
      <c r="AI273" s="33"/>
      <c r="AJ273" s="33" t="s">
        <v>4655</v>
      </c>
      <c r="AK273" s="94"/>
      <c r="AL273" s="33" t="s">
        <v>4656</v>
      </c>
      <c r="AM273" s="33"/>
      <c r="AN273" s="33" t="s">
        <v>2465</v>
      </c>
      <c r="AO273" s="51" t="s">
        <v>2548</v>
      </c>
      <c r="AP273" s="51" t="s">
        <v>207</v>
      </c>
      <c r="AQ273" s="33"/>
      <c r="AR273" s="54"/>
      <c r="AS273" s="54"/>
      <c r="AT273" s="54"/>
      <c r="AU273" s="54"/>
      <c r="AV273" s="54"/>
      <c r="AW273" s="54"/>
      <c r="AX273" s="54"/>
      <c r="AY273" s="54"/>
      <c r="AZ273" s="54"/>
      <c r="BA273" s="54"/>
      <c r="BB273" s="54"/>
      <c r="BC273" s="54"/>
      <c r="BD273" s="54" t="s">
        <v>2447</v>
      </c>
      <c r="BE273" s="54"/>
      <c r="BF273" s="54"/>
      <c r="BG273" s="54"/>
      <c r="BH273" s="54"/>
      <c r="BI273" s="54"/>
      <c r="BJ273" s="0"/>
      <c r="BK273" s="0"/>
      <c r="BL273" s="0"/>
      <c r="BM273" s="0"/>
      <c r="BN273" s="0"/>
      <c r="BO273" s="0"/>
      <c r="BP273"/>
      <c r="BQ273"/>
      <c r="BR273"/>
      <c r="BS273"/>
      <c r="BT273"/>
      <c r="BU273"/>
      <c r="BV273"/>
      <c r="BW273"/>
      <c r="BX273"/>
      <c r="BY273"/>
      <c r="BZ273"/>
      <c r="CA273"/>
      <c r="CB273"/>
    </row>
    <row r="274" ht="15.0" customHeight="true">
      <c r="A274" s="51" t="s">
        <v>2448</v>
      </c>
      <c r="B274" s="33"/>
      <c r="C274" s="33" t="s">
        <v>3060</v>
      </c>
      <c r="D274" s="33"/>
      <c r="E274" s="33" t="s">
        <v>4657</v>
      </c>
      <c r="F274" s="33"/>
      <c r="G274" s="55" t="s">
        <v>4658</v>
      </c>
      <c r="H274" s="33"/>
      <c r="I274" s="51" t="s">
        <v>4659</v>
      </c>
      <c r="J274" s="33"/>
      <c r="K274" s="51" t="s">
        <v>4660</v>
      </c>
      <c r="L274" s="33" t="s">
        <v>2454</v>
      </c>
      <c r="M274" s="55" t="s">
        <v>3999</v>
      </c>
      <c r="N274" s="55" t="s">
        <v>4661</v>
      </c>
      <c r="O274" s="33" t="s">
        <v>2272</v>
      </c>
      <c r="P274" s="33" t="s">
        <v>2251</v>
      </c>
      <c r="Q274" s="33"/>
      <c r="R274" s="33" t="s">
        <v>2263</v>
      </c>
      <c r="S274" s="56" t="s">
        <v>2277</v>
      </c>
      <c r="T274" s="56"/>
      <c r="U274" s="56"/>
      <c r="V274" s="33" t="s">
        <v>2456</v>
      </c>
      <c r="W274" s="94" t="s">
        <v>2457</v>
      </c>
      <c r="X274" s="94" t="s">
        <v>2458</v>
      </c>
      <c r="Y274" s="51"/>
      <c r="Z274" s="51"/>
      <c r="AA274" s="33" t="s">
        <v>2459</v>
      </c>
      <c r="AB274" s="33" t="s">
        <v>2460</v>
      </c>
      <c r="AC274" s="33"/>
      <c r="AD274" s="33" t="s">
        <v>2254</v>
      </c>
      <c r="AE274" s="33"/>
      <c r="AF274" s="33" t="s">
        <v>2267</v>
      </c>
      <c r="AG274" s="33" t="s">
        <v>2461</v>
      </c>
      <c r="AH274" s="33"/>
      <c r="AI274" s="33"/>
      <c r="AJ274" s="33" t="s">
        <v>4662</v>
      </c>
      <c r="AK274" s="94"/>
      <c r="AL274" s="33" t="s">
        <v>4663</v>
      </c>
      <c r="AM274" s="33"/>
      <c r="AN274" s="33" t="s">
        <v>2465</v>
      </c>
      <c r="AO274" s="51" t="s">
        <v>2478</v>
      </c>
      <c r="AP274" s="51" t="s">
        <v>207</v>
      </c>
      <c r="AQ274" s="33"/>
      <c r="AR274" s="54"/>
      <c r="AS274" s="54"/>
      <c r="AT274" s="54"/>
      <c r="AU274" s="54"/>
      <c r="AV274" s="54"/>
      <c r="AW274" s="54"/>
      <c r="AX274" s="54"/>
      <c r="AY274" s="54"/>
      <c r="AZ274" s="54"/>
      <c r="BA274" s="54"/>
      <c r="BB274" s="54"/>
      <c r="BC274" s="54"/>
      <c r="BD274" s="54" t="s">
        <v>2447</v>
      </c>
      <c r="BE274" s="54"/>
      <c r="BF274" s="54"/>
      <c r="BG274" s="54"/>
      <c r="BH274" s="54"/>
      <c r="BI274" s="54"/>
      <c r="BJ274" s="0"/>
      <c r="BK274" s="0"/>
      <c r="BL274" s="0"/>
      <c r="BM274" s="0"/>
      <c r="BN274" s="0"/>
      <c r="BO274" s="0"/>
      <c r="BP274"/>
      <c r="BQ274"/>
      <c r="BR274"/>
      <c r="BS274"/>
      <c r="BT274"/>
      <c r="BU274"/>
      <c r="BV274"/>
      <c r="BW274"/>
      <c r="BX274"/>
      <c r="BY274"/>
      <c r="BZ274"/>
      <c r="CA274"/>
      <c r="CB274"/>
    </row>
    <row r="275" ht="15.0" customHeight="true">
      <c r="A275" s="51" t="s">
        <v>2448</v>
      </c>
      <c r="B275" s="33"/>
      <c r="C275" s="33" t="s">
        <v>4593</v>
      </c>
      <c r="D275" s="33"/>
      <c r="E275" s="33" t="s">
        <v>4664</v>
      </c>
      <c r="F275" s="33"/>
      <c r="G275" s="55" t="s">
        <v>4665</v>
      </c>
      <c r="H275" s="33"/>
      <c r="I275" s="51" t="s">
        <v>4666</v>
      </c>
      <c r="J275" s="33"/>
      <c r="K275" s="51" t="s">
        <v>4667</v>
      </c>
      <c r="L275" s="33" t="s">
        <v>2454</v>
      </c>
      <c r="M275" s="55" t="s">
        <v>3888</v>
      </c>
      <c r="N275" s="55" t="s">
        <v>4668</v>
      </c>
      <c r="O275" s="33" t="s">
        <v>2272</v>
      </c>
      <c r="P275" s="33" t="s">
        <v>2251</v>
      </c>
      <c r="Q275" s="33"/>
      <c r="R275" s="33" t="s">
        <v>2263</v>
      </c>
      <c r="S275" s="56" t="s">
        <v>2277</v>
      </c>
      <c r="T275" s="56"/>
      <c r="U275" s="56"/>
      <c r="V275" s="33" t="s">
        <v>2456</v>
      </c>
      <c r="W275" s="94" t="s">
        <v>2457</v>
      </c>
      <c r="X275" s="94" t="s">
        <v>2458</v>
      </c>
      <c r="Y275" s="51"/>
      <c r="Z275" s="51"/>
      <c r="AA275" s="33" t="s">
        <v>2459</v>
      </c>
      <c r="AB275" s="33" t="s">
        <v>2460</v>
      </c>
      <c r="AC275" s="33"/>
      <c r="AD275" s="33" t="s">
        <v>2254</v>
      </c>
      <c r="AE275" s="33"/>
      <c r="AF275" s="33" t="s">
        <v>2267</v>
      </c>
      <c r="AG275" s="33" t="s">
        <v>2461</v>
      </c>
      <c r="AH275" s="33"/>
      <c r="AI275" s="33"/>
      <c r="AJ275" s="33" t="s">
        <v>4669</v>
      </c>
      <c r="AK275" s="94"/>
      <c r="AL275" s="33" t="s">
        <v>4670</v>
      </c>
      <c r="AM275" s="33"/>
      <c r="AN275" s="33" t="s">
        <v>2465</v>
      </c>
      <c r="AO275" s="51" t="s">
        <v>2466</v>
      </c>
      <c r="AP275" s="51" t="s">
        <v>207</v>
      </c>
      <c r="AQ275" s="33"/>
      <c r="AR275" s="54"/>
      <c r="AS275" s="54"/>
      <c r="AT275" s="54"/>
      <c r="AU275" s="54"/>
      <c r="AV275" s="54"/>
      <c r="AW275" s="54"/>
      <c r="AX275" s="54"/>
      <c r="AY275" s="54"/>
      <c r="AZ275" s="54"/>
      <c r="BA275" s="54"/>
      <c r="BB275" s="54"/>
      <c r="BC275" s="54"/>
      <c r="BD275" s="54" t="s">
        <v>2447</v>
      </c>
      <c r="BE275" s="54"/>
      <c r="BF275" s="54"/>
      <c r="BG275" s="54"/>
      <c r="BH275" s="54"/>
      <c r="BI275" s="54"/>
      <c r="BJ275" s="0"/>
      <c r="BK275" s="0"/>
      <c r="BL275" s="0"/>
      <c r="BM275" s="0"/>
      <c r="BN275" s="0"/>
      <c r="BO275" s="0"/>
      <c r="BP275"/>
      <c r="BQ275"/>
      <c r="BR275"/>
      <c r="BS275"/>
      <c r="BT275"/>
      <c r="BU275"/>
      <c r="BV275"/>
      <c r="BW275"/>
      <c r="BX275"/>
      <c r="BY275"/>
      <c r="BZ275"/>
      <c r="CA275"/>
      <c r="CB275"/>
    </row>
    <row r="276" ht="15.0" customHeight="true">
      <c r="A276" s="51" t="s">
        <v>2448</v>
      </c>
      <c r="B276" s="33"/>
      <c r="C276" s="33" t="s">
        <v>2794</v>
      </c>
      <c r="D276" s="33"/>
      <c r="E276" s="33" t="s">
        <v>4671</v>
      </c>
      <c r="F276" s="33"/>
      <c r="G276" s="55" t="s">
        <v>4672</v>
      </c>
      <c r="H276" s="33"/>
      <c r="I276" s="51" t="s">
        <v>4673</v>
      </c>
      <c r="J276" s="33"/>
      <c r="K276" s="51" t="s">
        <v>4674</v>
      </c>
      <c r="L276" s="33" t="s">
        <v>2484</v>
      </c>
      <c r="M276" s="55" t="s">
        <v>2780</v>
      </c>
      <c r="N276" s="55"/>
      <c r="O276" s="33"/>
      <c r="P276" s="33" t="s">
        <v>2251</v>
      </c>
      <c r="Q276" s="33"/>
      <c r="R276" s="33" t="s">
        <v>2263</v>
      </c>
      <c r="S276" s="56" t="s">
        <v>2277</v>
      </c>
      <c r="T276" s="56"/>
      <c r="U276" s="56"/>
      <c r="V276" s="33" t="s">
        <v>2456</v>
      </c>
      <c r="W276" s="94" t="s">
        <v>2457</v>
      </c>
      <c r="X276" s="94" t="s">
        <v>2474</v>
      </c>
      <c r="Y276" s="51"/>
      <c r="Z276" s="51"/>
      <c r="AA276" s="33" t="s">
        <v>2459</v>
      </c>
      <c r="AB276" s="33" t="s">
        <v>2460</v>
      </c>
      <c r="AC276" s="33" t="s">
        <v>2486</v>
      </c>
      <c r="AD276" s="33" t="s">
        <v>2254</v>
      </c>
      <c r="AE276" s="33"/>
      <c r="AF276" s="33" t="s">
        <v>2267</v>
      </c>
      <c r="AG276" s="33" t="s">
        <v>2461</v>
      </c>
      <c r="AH276" s="33"/>
      <c r="AI276" s="33"/>
      <c r="AJ276" s="33" t="s">
        <v>4675</v>
      </c>
      <c r="AK276" s="94"/>
      <c r="AL276" s="33" t="s">
        <v>4676</v>
      </c>
      <c r="AM276" s="33"/>
      <c r="AN276" s="33" t="s">
        <v>2577</v>
      </c>
      <c r="AO276" s="51" t="s">
        <v>2578</v>
      </c>
      <c r="AP276" s="51" t="s">
        <v>207</v>
      </c>
      <c r="AQ276" s="33"/>
      <c r="AR276" s="54"/>
      <c r="AS276" s="54"/>
      <c r="AT276" s="54"/>
      <c r="AU276" s="54"/>
      <c r="AV276" s="54"/>
      <c r="AW276" s="54"/>
      <c r="AX276" s="54"/>
      <c r="AY276" s="54"/>
      <c r="AZ276" s="54"/>
      <c r="BA276" s="54"/>
      <c r="BB276" s="54"/>
      <c r="BC276" s="54"/>
      <c r="BD276" s="54" t="s">
        <v>2447</v>
      </c>
      <c r="BE276" s="54"/>
      <c r="BF276" s="54"/>
      <c r="BG276" s="54"/>
      <c r="BH276" s="54"/>
      <c r="BI276" s="54"/>
      <c r="BJ276" s="0"/>
      <c r="BK276" s="0"/>
      <c r="BL276" s="0"/>
      <c r="BM276" s="0"/>
      <c r="BN276" s="0"/>
      <c r="BO276" s="0"/>
      <c r="BP276"/>
      <c r="BQ276"/>
      <c r="BR276"/>
      <c r="BS276"/>
      <c r="BT276"/>
      <c r="BU276"/>
      <c r="BV276"/>
      <c r="BW276"/>
      <c r="BX276"/>
      <c r="BY276"/>
      <c r="BZ276"/>
      <c r="CA276"/>
      <c r="CB276"/>
    </row>
    <row r="277" ht="15.0" customHeight="true">
      <c r="A277" s="51" t="s">
        <v>2448</v>
      </c>
      <c r="B277" s="33"/>
      <c r="C277" s="33" t="s">
        <v>4677</v>
      </c>
      <c r="D277" s="33"/>
      <c r="E277" s="33" t="s">
        <v>2723</v>
      </c>
      <c r="F277" s="33"/>
      <c r="G277" s="55" t="s">
        <v>4678</v>
      </c>
      <c r="H277" s="33"/>
      <c r="I277" s="51" t="s">
        <v>4679</v>
      </c>
      <c r="J277" s="33"/>
      <c r="K277" s="51" t="s">
        <v>4680</v>
      </c>
      <c r="L277" s="33" t="s">
        <v>2454</v>
      </c>
      <c r="M277" s="55" t="s">
        <v>4681</v>
      </c>
      <c r="N277" s="55" t="s">
        <v>4682</v>
      </c>
      <c r="O277" s="33" t="s">
        <v>2272</v>
      </c>
      <c r="P277" s="33" t="s">
        <v>2251</v>
      </c>
      <c r="Q277" s="33"/>
      <c r="R277" s="33" t="s">
        <v>2263</v>
      </c>
      <c r="S277" s="56" t="s">
        <v>2277</v>
      </c>
      <c r="T277" s="56"/>
      <c r="U277" s="56"/>
      <c r="V277" s="33" t="s">
        <v>2456</v>
      </c>
      <c r="W277" s="94" t="s">
        <v>2457</v>
      </c>
      <c r="X277" s="94" t="s">
        <v>2474</v>
      </c>
      <c r="Y277" s="51"/>
      <c r="Z277" s="51"/>
      <c r="AA277" s="33" t="s">
        <v>2459</v>
      </c>
      <c r="AB277" s="33" t="s">
        <v>2460</v>
      </c>
      <c r="AC277" s="33"/>
      <c r="AD277" s="33" t="s">
        <v>2254</v>
      </c>
      <c r="AE277" s="33"/>
      <c r="AF277" s="33" t="s">
        <v>2267</v>
      </c>
      <c r="AG277" s="33" t="s">
        <v>2461</v>
      </c>
      <c r="AH277" s="33"/>
      <c r="AI277" s="33"/>
      <c r="AJ277" s="33" t="s">
        <v>4683</v>
      </c>
      <c r="AK277" s="94"/>
      <c r="AL277" s="33" t="s">
        <v>4684</v>
      </c>
      <c r="AM277" s="33"/>
      <c r="AN277" s="33" t="s">
        <v>2465</v>
      </c>
      <c r="AO277" s="51" t="s">
        <v>2489</v>
      </c>
      <c r="AP277" s="51" t="s">
        <v>207</v>
      </c>
      <c r="AQ277" s="33"/>
      <c r="AR277" s="54"/>
      <c r="AS277" s="54"/>
      <c r="AT277" s="54"/>
      <c r="AU277" s="54"/>
      <c r="AV277" s="54"/>
      <c r="AW277" s="54"/>
      <c r="AX277" s="54"/>
      <c r="AY277" s="54"/>
      <c r="AZ277" s="54"/>
      <c r="BA277" s="54"/>
      <c r="BB277" s="54"/>
      <c r="BC277" s="54"/>
      <c r="BD277" s="54" t="s">
        <v>2447</v>
      </c>
      <c r="BE277" s="54"/>
      <c r="BF277" s="54"/>
      <c r="BG277" s="54"/>
      <c r="BH277" s="54"/>
      <c r="BI277" s="54"/>
      <c r="BJ277" s="0"/>
      <c r="BK277" s="0"/>
      <c r="BL277" s="0"/>
      <c r="BM277" s="0"/>
      <c r="BN277" s="0"/>
      <c r="BO277" s="0"/>
      <c r="BP277"/>
      <c r="BQ277"/>
      <c r="BR277"/>
      <c r="BS277"/>
      <c r="BT277"/>
      <c r="BU277"/>
      <c r="BV277"/>
      <c r="BW277"/>
      <c r="BX277"/>
      <c r="BY277"/>
      <c r="BZ277"/>
      <c r="CA277"/>
      <c r="CB277"/>
    </row>
    <row r="278" ht="15.0" customHeight="true">
      <c r="A278" s="51" t="s">
        <v>2448</v>
      </c>
      <c r="B278" s="33"/>
      <c r="C278" s="33" t="s">
        <v>4685</v>
      </c>
      <c r="D278" s="33"/>
      <c r="E278" s="33" t="s">
        <v>4686</v>
      </c>
      <c r="F278" s="33"/>
      <c r="G278" s="55" t="s">
        <v>4687</v>
      </c>
      <c r="H278" s="33"/>
      <c r="I278" s="51" t="s">
        <v>4688</v>
      </c>
      <c r="J278" s="33"/>
      <c r="K278" s="51" t="s">
        <v>4689</v>
      </c>
      <c r="L278" s="33" t="s">
        <v>2454</v>
      </c>
      <c r="M278" s="55" t="s">
        <v>4690</v>
      </c>
      <c r="N278" s="55" t="s">
        <v>4589</v>
      </c>
      <c r="O278" s="33" t="s">
        <v>2272</v>
      </c>
      <c r="P278" s="33" t="s">
        <v>2251</v>
      </c>
      <c r="Q278" s="33"/>
      <c r="R278" s="33" t="s">
        <v>2252</v>
      </c>
      <c r="S278" s="56" t="s">
        <v>2277</v>
      </c>
      <c r="T278" s="56"/>
      <c r="U278" s="56" t="s">
        <v>4691</v>
      </c>
      <c r="V278" s="33" t="s">
        <v>4690</v>
      </c>
      <c r="W278" s="94"/>
      <c r="X278" s="94"/>
      <c r="Y278" s="51"/>
      <c r="Z278" s="51"/>
      <c r="AA278" s="33" t="s">
        <v>2459</v>
      </c>
      <c r="AB278" s="33" t="s">
        <v>3863</v>
      </c>
      <c r="AC278" s="33"/>
      <c r="AD278" s="33" t="s">
        <v>2254</v>
      </c>
      <c r="AE278" s="33"/>
      <c r="AF278" s="33" t="s">
        <v>2256</v>
      </c>
      <c r="AG278" s="33" t="s">
        <v>2461</v>
      </c>
      <c r="AH278" s="33"/>
      <c r="AI278" s="33"/>
      <c r="AJ278" s="33" t="s">
        <v>4692</v>
      </c>
      <c r="AK278" s="94"/>
      <c r="AL278" s="33" t="s">
        <v>4693</v>
      </c>
      <c r="AM278" s="33"/>
      <c r="AN278" s="33" t="s">
        <v>2465</v>
      </c>
      <c r="AO278" s="51" t="s">
        <v>2489</v>
      </c>
      <c r="AP278" s="51" t="s">
        <v>207</v>
      </c>
      <c r="AQ278" s="33"/>
      <c r="AR278" s="54"/>
      <c r="AS278" s="54"/>
      <c r="AT278" s="54"/>
      <c r="AU278" s="54"/>
      <c r="AV278" s="54"/>
      <c r="AW278" s="54"/>
      <c r="AX278" s="54"/>
      <c r="AY278" s="54"/>
      <c r="AZ278" s="54"/>
      <c r="BA278" s="54"/>
      <c r="BB278" s="54"/>
      <c r="BC278" s="54"/>
      <c r="BD278" s="54" t="s">
        <v>2447</v>
      </c>
      <c r="BE278" s="54"/>
      <c r="BF278" s="54"/>
      <c r="BG278" s="54"/>
      <c r="BH278" s="54"/>
      <c r="BI278" s="54"/>
      <c r="BJ278" s="0"/>
      <c r="BK278" s="0"/>
      <c r="BL278" s="0"/>
      <c r="BM278" s="0"/>
      <c r="BN278" s="0"/>
      <c r="BO278" s="0"/>
      <c r="BP278"/>
      <c r="BQ278"/>
      <c r="BR278"/>
      <c r="BS278"/>
      <c r="BT278"/>
      <c r="BU278"/>
      <c r="BV278"/>
      <c r="BW278"/>
      <c r="BX278"/>
      <c r="BY278"/>
      <c r="BZ278"/>
      <c r="CA278"/>
      <c r="CB278"/>
    </row>
    <row r="279" ht="15.0" customHeight="true">
      <c r="A279" s="51" t="s">
        <v>2448</v>
      </c>
      <c r="B279" s="33"/>
      <c r="C279" s="33" t="s">
        <v>4694</v>
      </c>
      <c r="D279" s="33"/>
      <c r="E279" s="33" t="s">
        <v>4695</v>
      </c>
      <c r="F279" s="33"/>
      <c r="G279" s="55" t="s">
        <v>4696</v>
      </c>
      <c r="H279" s="33"/>
      <c r="I279" s="51" t="s">
        <v>4697</v>
      </c>
      <c r="J279" s="33"/>
      <c r="K279" s="51" t="s">
        <v>4698</v>
      </c>
      <c r="L279" s="33" t="s">
        <v>2454</v>
      </c>
      <c r="M279" s="55" t="s">
        <v>2936</v>
      </c>
      <c r="N279" s="55" t="s">
        <v>3827</v>
      </c>
      <c r="O279" s="33" t="s">
        <v>2272</v>
      </c>
      <c r="P279" s="33" t="s">
        <v>2251</v>
      </c>
      <c r="Q279" s="33"/>
      <c r="R279" s="33" t="s">
        <v>2263</v>
      </c>
      <c r="S279" s="56" t="s">
        <v>2277</v>
      </c>
      <c r="T279" s="56"/>
      <c r="U279" s="56"/>
      <c r="V279" s="33" t="s">
        <v>2456</v>
      </c>
      <c r="W279" s="94" t="s">
        <v>2457</v>
      </c>
      <c r="X279" s="94" t="s">
        <v>2474</v>
      </c>
      <c r="Y279" s="51"/>
      <c r="Z279" s="51"/>
      <c r="AA279" s="33" t="s">
        <v>2459</v>
      </c>
      <c r="AB279" s="33" t="s">
        <v>2460</v>
      </c>
      <c r="AC279" s="33"/>
      <c r="AD279" s="33" t="s">
        <v>2254</v>
      </c>
      <c r="AE279" s="33"/>
      <c r="AF279" s="33" t="s">
        <v>2267</v>
      </c>
      <c r="AG279" s="33" t="s">
        <v>2461</v>
      </c>
      <c r="AH279" s="33"/>
      <c r="AI279" s="33"/>
      <c r="AJ279" s="33" t="s">
        <v>4699</v>
      </c>
      <c r="AK279" s="94"/>
      <c r="AL279" s="33" t="s">
        <v>3085</v>
      </c>
      <c r="AM279" s="33" t="s">
        <v>4700</v>
      </c>
      <c r="AN279" s="33" t="s">
        <v>2465</v>
      </c>
      <c r="AO279" s="51" t="s">
        <v>2538</v>
      </c>
      <c r="AP279" s="51" t="s">
        <v>207</v>
      </c>
      <c r="AQ279" s="33"/>
      <c r="AR279" s="54"/>
      <c r="AS279" s="54"/>
      <c r="AT279" s="54"/>
      <c r="AU279" s="54"/>
      <c r="AV279" s="54"/>
      <c r="AW279" s="54"/>
      <c r="AX279" s="54"/>
      <c r="AY279" s="54"/>
      <c r="AZ279" s="54"/>
      <c r="BA279" s="54"/>
      <c r="BB279" s="54"/>
      <c r="BC279" s="54"/>
      <c r="BD279" s="54" t="s">
        <v>2447</v>
      </c>
      <c r="BE279" s="54"/>
      <c r="BF279" s="54"/>
      <c r="BG279" s="54"/>
      <c r="BH279" s="54"/>
      <c r="BI279" s="54"/>
      <c r="BJ279" s="0"/>
      <c r="BK279" s="0"/>
      <c r="BL279" s="0"/>
      <c r="BM279" s="0"/>
      <c r="BN279" s="0"/>
      <c r="BO279" s="0"/>
      <c r="BP279"/>
      <c r="BQ279"/>
      <c r="BR279"/>
      <c r="BS279"/>
      <c r="BT279"/>
      <c r="BU279"/>
      <c r="BV279"/>
      <c r="BW279"/>
      <c r="BX279"/>
      <c r="BY279"/>
      <c r="BZ279"/>
      <c r="CA279"/>
      <c r="CB279"/>
    </row>
    <row r="280" ht="15.0" customHeight="true">
      <c r="A280" s="51" t="s">
        <v>2448</v>
      </c>
      <c r="B280" s="33"/>
      <c r="C280" s="33" t="s">
        <v>4701</v>
      </c>
      <c r="D280" s="33"/>
      <c r="E280" s="33" t="s">
        <v>4702</v>
      </c>
      <c r="F280" s="33"/>
      <c r="G280" s="55" t="s">
        <v>4703</v>
      </c>
      <c r="H280" s="33"/>
      <c r="I280" s="51" t="s">
        <v>4704</v>
      </c>
      <c r="J280" s="33"/>
      <c r="K280" s="51" t="s">
        <v>4705</v>
      </c>
      <c r="L280" s="33" t="s">
        <v>2484</v>
      </c>
      <c r="M280" s="55" t="s">
        <v>3057</v>
      </c>
      <c r="N280" s="55"/>
      <c r="O280" s="33"/>
      <c r="P280" s="33" t="s">
        <v>2251</v>
      </c>
      <c r="Q280" s="33"/>
      <c r="R280" s="33" t="s">
        <v>2263</v>
      </c>
      <c r="S280" s="56" t="s">
        <v>2277</v>
      </c>
      <c r="T280" s="56"/>
      <c r="U280" s="56"/>
      <c r="V280" s="33" t="s">
        <v>2456</v>
      </c>
      <c r="W280" s="94" t="s">
        <v>2457</v>
      </c>
      <c r="X280" s="94" t="s">
        <v>2474</v>
      </c>
      <c r="Y280" s="51"/>
      <c r="Z280" s="51"/>
      <c r="AA280" s="33" t="s">
        <v>2459</v>
      </c>
      <c r="AB280" s="33" t="s">
        <v>2460</v>
      </c>
      <c r="AC280" s="33" t="s">
        <v>2486</v>
      </c>
      <c r="AD280" s="33" t="s">
        <v>2254</v>
      </c>
      <c r="AE280" s="33"/>
      <c r="AF280" s="33" t="s">
        <v>2267</v>
      </c>
      <c r="AG280" s="33" t="s">
        <v>2461</v>
      </c>
      <c r="AH280" s="33"/>
      <c r="AI280" s="33"/>
      <c r="AJ280" s="33" t="s">
        <v>4706</v>
      </c>
      <c r="AK280" s="94"/>
      <c r="AL280" s="33" t="s">
        <v>4707</v>
      </c>
      <c r="AM280" s="33" t="s">
        <v>4708</v>
      </c>
      <c r="AN280" s="33" t="s">
        <v>2465</v>
      </c>
      <c r="AO280" s="51" t="s">
        <v>2466</v>
      </c>
      <c r="AP280" s="51" t="s">
        <v>207</v>
      </c>
      <c r="AQ280" s="33"/>
      <c r="AR280" s="54"/>
      <c r="AS280" s="54"/>
      <c r="AT280" s="54"/>
      <c r="AU280" s="54"/>
      <c r="AV280" s="54"/>
      <c r="AW280" s="54"/>
      <c r="AX280" s="54"/>
      <c r="AY280" s="54"/>
      <c r="AZ280" s="54"/>
      <c r="BA280" s="54"/>
      <c r="BB280" s="54"/>
      <c r="BC280" s="54"/>
      <c r="BD280" s="54" t="s">
        <v>2447</v>
      </c>
      <c r="BE280" s="54"/>
      <c r="BF280" s="54"/>
      <c r="BG280" s="54"/>
      <c r="BH280" s="54"/>
      <c r="BI280" s="54"/>
      <c r="BJ280" s="0"/>
      <c r="BK280" s="0"/>
      <c r="BL280" s="0"/>
      <c r="BM280" s="0"/>
      <c r="BN280" s="0"/>
      <c r="BO280" s="0"/>
      <c r="BP280"/>
      <c r="BQ280"/>
      <c r="BR280"/>
      <c r="BS280"/>
      <c r="BT280"/>
      <c r="BU280"/>
      <c r="BV280"/>
      <c r="BW280"/>
      <c r="BX280"/>
      <c r="BY280"/>
      <c r="BZ280"/>
      <c r="CA280"/>
      <c r="CB280"/>
    </row>
    <row r="281" ht="15.0" customHeight="true">
      <c r="A281" s="51" t="s">
        <v>2448</v>
      </c>
      <c r="B281" s="33"/>
      <c r="C281" s="33" t="s">
        <v>4709</v>
      </c>
      <c r="D281" s="33"/>
      <c r="E281" s="33" t="s">
        <v>4710</v>
      </c>
      <c r="F281" s="33"/>
      <c r="G281" s="55" t="s">
        <v>4711</v>
      </c>
      <c r="H281" s="33"/>
      <c r="I281" s="51" t="s">
        <v>4712</v>
      </c>
      <c r="J281" s="33"/>
      <c r="K281" s="51" t="s">
        <v>4713</v>
      </c>
      <c r="L281" s="33" t="s">
        <v>2454</v>
      </c>
      <c r="M281" s="55" t="s">
        <v>3771</v>
      </c>
      <c r="N281" s="55" t="s">
        <v>3771</v>
      </c>
      <c r="O281" s="33" t="s">
        <v>2272</v>
      </c>
      <c r="P281" s="33" t="s">
        <v>2251</v>
      </c>
      <c r="Q281" s="33"/>
      <c r="R281" s="33" t="s">
        <v>2263</v>
      </c>
      <c r="S281" s="56" t="s">
        <v>2277</v>
      </c>
      <c r="T281" s="56"/>
      <c r="U281" s="56"/>
      <c r="V281" s="33" t="s">
        <v>2456</v>
      </c>
      <c r="W281" s="94" t="s">
        <v>2457</v>
      </c>
      <c r="X281" s="94" t="s">
        <v>2458</v>
      </c>
      <c r="Y281" s="51"/>
      <c r="Z281" s="51"/>
      <c r="AA281" s="33" t="s">
        <v>2459</v>
      </c>
      <c r="AB281" s="33" t="s">
        <v>2460</v>
      </c>
      <c r="AC281" s="33"/>
      <c r="AD281" s="33" t="s">
        <v>2254</v>
      </c>
      <c r="AE281" s="33"/>
      <c r="AF281" s="33" t="s">
        <v>2267</v>
      </c>
      <c r="AG281" s="33" t="s">
        <v>2461</v>
      </c>
      <c r="AH281" s="33"/>
      <c r="AI281" s="33"/>
      <c r="AJ281" s="33" t="s">
        <v>4714</v>
      </c>
      <c r="AK281" s="94"/>
      <c r="AL281" s="33" t="s">
        <v>4715</v>
      </c>
      <c r="AM281" s="33"/>
      <c r="AN281" s="33" t="s">
        <v>3031</v>
      </c>
      <c r="AO281" s="51" t="s">
        <v>3446</v>
      </c>
      <c r="AP281" s="51" t="s">
        <v>207</v>
      </c>
      <c r="AQ281" s="33"/>
      <c r="AR281" s="54"/>
      <c r="AS281" s="54"/>
      <c r="AT281" s="54"/>
      <c r="AU281" s="54"/>
      <c r="AV281" s="54"/>
      <c r="AW281" s="54"/>
      <c r="AX281" s="54"/>
      <c r="AY281" s="54"/>
      <c r="AZ281" s="54"/>
      <c r="BA281" s="54"/>
      <c r="BB281" s="54"/>
      <c r="BC281" s="54"/>
      <c r="BD281" s="54" t="s">
        <v>2447</v>
      </c>
      <c r="BE281" s="54"/>
      <c r="BF281" s="54"/>
      <c r="BG281" s="54"/>
      <c r="BH281" s="54"/>
      <c r="BI281" s="54"/>
      <c r="BJ281" s="0"/>
      <c r="BK281" s="0"/>
      <c r="BL281" s="0"/>
      <c r="BM281" s="0"/>
      <c r="BN281" s="0"/>
      <c r="BO281" s="0"/>
      <c r="BP281"/>
      <c r="BQ281"/>
      <c r="BR281"/>
      <c r="BS281"/>
      <c r="BT281"/>
      <c r="BU281"/>
      <c r="BV281"/>
      <c r="BW281"/>
      <c r="BX281"/>
      <c r="BY281"/>
      <c r="BZ281"/>
      <c r="CA281"/>
      <c r="CB281"/>
    </row>
    <row r="282" ht="15.0" customHeight="true">
      <c r="A282" s="51" t="s">
        <v>2448</v>
      </c>
      <c r="B282" s="33"/>
      <c r="C282" s="33" t="s">
        <v>4717</v>
      </c>
      <c r="D282" s="33"/>
      <c r="E282" s="33" t="s">
        <v>4718</v>
      </c>
      <c r="F282" s="33"/>
      <c r="G282" s="55" t="s">
        <v>4719</v>
      </c>
      <c r="H282" s="33"/>
      <c r="I282" s="51" t="s">
        <v>4720</v>
      </c>
      <c r="J282" s="33"/>
      <c r="K282" s="51" t="s">
        <v>4721</v>
      </c>
      <c r="L282" s="33" t="s">
        <v>2454</v>
      </c>
      <c r="M282" s="55" t="s">
        <v>4722</v>
      </c>
      <c r="N282" s="55" t="s">
        <v>4723</v>
      </c>
      <c r="O282" s="33" t="s">
        <v>2272</v>
      </c>
      <c r="P282" s="33" t="s">
        <v>2251</v>
      </c>
      <c r="Q282" s="33"/>
      <c r="R282" s="33" t="s">
        <v>2263</v>
      </c>
      <c r="S282" s="56" t="s">
        <v>2277</v>
      </c>
      <c r="T282" s="56"/>
      <c r="U282" s="56"/>
      <c r="V282" s="33" t="s">
        <v>2456</v>
      </c>
      <c r="W282" s="94" t="s">
        <v>2457</v>
      </c>
      <c r="X282" s="94" t="s">
        <v>2474</v>
      </c>
      <c r="Y282" s="51"/>
      <c r="Z282" s="51"/>
      <c r="AA282" s="33" t="s">
        <v>2459</v>
      </c>
      <c r="AB282" s="33" t="s">
        <v>2460</v>
      </c>
      <c r="AC282" s="33"/>
      <c r="AD282" s="33" t="s">
        <v>2254</v>
      </c>
      <c r="AE282" s="33"/>
      <c r="AF282" s="33" t="s">
        <v>2267</v>
      </c>
      <c r="AG282" s="33" t="s">
        <v>2461</v>
      </c>
      <c r="AH282" s="33"/>
      <c r="AI282" s="33"/>
      <c r="AJ282" s="33" t="s">
        <v>4724</v>
      </c>
      <c r="AK282" s="94"/>
      <c r="AL282" s="33" t="s">
        <v>4725</v>
      </c>
      <c r="AM282" s="33"/>
      <c r="AN282" s="33" t="s">
        <v>2588</v>
      </c>
      <c r="AO282" s="51" t="s">
        <v>2589</v>
      </c>
      <c r="AP282" s="51" t="s">
        <v>207</v>
      </c>
      <c r="AQ282" s="33"/>
      <c r="AR282" s="54"/>
      <c r="AS282" s="54"/>
      <c r="AT282" s="54"/>
      <c r="AU282" s="54"/>
      <c r="AV282" s="54"/>
      <c r="AW282" s="54"/>
      <c r="AX282" s="54"/>
      <c r="AY282" s="54"/>
      <c r="AZ282" s="54"/>
      <c r="BA282" s="54"/>
      <c r="BB282" s="54"/>
      <c r="BC282" s="54"/>
      <c r="BD282" s="54" t="s">
        <v>4716</v>
      </c>
      <c r="BE282" s="54"/>
      <c r="BF282" s="54"/>
      <c r="BG282" s="54"/>
      <c r="BH282" s="54"/>
      <c r="BI282" s="54"/>
      <c r="BJ282" s="0"/>
      <c r="BK282" s="0"/>
      <c r="BL282" s="0"/>
      <c r="BM282" s="0"/>
      <c r="BN282" s="0"/>
      <c r="BO282" s="0"/>
      <c r="BP282"/>
      <c r="BQ282"/>
      <c r="BR282"/>
      <c r="BS282"/>
      <c r="BT282"/>
      <c r="BU282"/>
      <c r="BV282"/>
      <c r="BW282"/>
      <c r="BX282"/>
      <c r="BY282"/>
      <c r="BZ282"/>
      <c r="CA282"/>
      <c r="CB282"/>
    </row>
    <row r="283" ht="15.0" customHeight="true">
      <c r="A283" s="51" t="s">
        <v>2448</v>
      </c>
      <c r="B283" s="33"/>
      <c r="C283" s="33" t="s">
        <v>4726</v>
      </c>
      <c r="D283" s="33"/>
      <c r="E283" s="33" t="s">
        <v>1038</v>
      </c>
      <c r="F283" s="33"/>
      <c r="G283" s="55" t="s">
        <v>4727</v>
      </c>
      <c r="H283" s="33"/>
      <c r="I283" s="51" t="s">
        <v>4728</v>
      </c>
      <c r="J283" s="33"/>
      <c r="K283" s="51" t="s">
        <v>4729</v>
      </c>
      <c r="L283" s="33" t="s">
        <v>2454</v>
      </c>
      <c r="M283" s="55" t="s">
        <v>4730</v>
      </c>
      <c r="N283" s="55" t="s">
        <v>4731</v>
      </c>
      <c r="O283" s="33" t="s">
        <v>2272</v>
      </c>
      <c r="P283" s="33" t="s">
        <v>2251</v>
      </c>
      <c r="Q283" s="33"/>
      <c r="R283" s="33" t="s">
        <v>2263</v>
      </c>
      <c r="S283" s="56" t="s">
        <v>2277</v>
      </c>
      <c r="T283" s="56"/>
      <c r="U283" s="56"/>
      <c r="V283" s="33" t="s">
        <v>2456</v>
      </c>
      <c r="W283" s="94" t="s">
        <v>2457</v>
      </c>
      <c r="X283" s="94" t="s">
        <v>2458</v>
      </c>
      <c r="Y283" s="51"/>
      <c r="Z283" s="51"/>
      <c r="AA283" s="33" t="s">
        <v>2459</v>
      </c>
      <c r="AB283" s="33" t="s">
        <v>2460</v>
      </c>
      <c r="AC283" s="33"/>
      <c r="AD283" s="33" t="s">
        <v>2254</v>
      </c>
      <c r="AE283" s="33"/>
      <c r="AF283" s="33" t="s">
        <v>2267</v>
      </c>
      <c r="AG283" s="33" t="s">
        <v>2461</v>
      </c>
      <c r="AH283" s="33"/>
      <c r="AI283" s="33"/>
      <c r="AJ283" s="33" t="s">
        <v>4732</v>
      </c>
      <c r="AK283" s="94"/>
      <c r="AL283" s="33" t="s">
        <v>4733</v>
      </c>
      <c r="AM283" s="33"/>
      <c r="AN283" s="33" t="s">
        <v>2465</v>
      </c>
      <c r="AO283" s="51" t="s">
        <v>2466</v>
      </c>
      <c r="AP283" s="51" t="s">
        <v>207</v>
      </c>
      <c r="AQ283" s="33"/>
      <c r="AR283" s="54"/>
      <c r="AS283" s="54"/>
      <c r="AT283" s="54"/>
      <c r="AU283" s="54"/>
      <c r="AV283" s="54"/>
      <c r="AW283" s="54"/>
      <c r="AX283" s="54"/>
      <c r="AY283" s="54"/>
      <c r="AZ283" s="54"/>
      <c r="BA283" s="54"/>
      <c r="BB283" s="54"/>
      <c r="BC283" s="54"/>
      <c r="BD283" s="54"/>
      <c r="BE283" s="54"/>
      <c r="BF283" s="54"/>
      <c r="BG283" s="54"/>
      <c r="BH283" s="54"/>
      <c r="BI283" s="54"/>
      <c r="BJ283" s="0"/>
      <c r="BK283" s="0"/>
      <c r="BL283" s="0"/>
      <c r="BM283" s="0"/>
      <c r="BN283" s="0"/>
      <c r="BO283" s="0"/>
      <c r="BP283"/>
      <c r="BQ283"/>
      <c r="BR283"/>
      <c r="BS283"/>
      <c r="BT283"/>
      <c r="BU283"/>
      <c r="BV283"/>
      <c r="BW283"/>
      <c r="BX283"/>
      <c r="BY283"/>
      <c r="BZ283"/>
      <c r="CA283"/>
      <c r="CB283"/>
    </row>
    <row r="284" ht="15.0" customHeight="true">
      <c r="A284" s="51" t="s">
        <v>2448</v>
      </c>
      <c r="B284" s="33"/>
      <c r="C284" s="33" t="s">
        <v>4734</v>
      </c>
      <c r="D284" s="33"/>
      <c r="E284" s="33" t="s">
        <v>4735</v>
      </c>
      <c r="F284" s="33"/>
      <c r="G284" s="55" t="s">
        <v>4736</v>
      </c>
      <c r="H284" s="33"/>
      <c r="I284" s="51" t="s">
        <v>4737</v>
      </c>
      <c r="J284" s="33"/>
      <c r="K284" s="51" t="s">
        <v>4738</v>
      </c>
      <c r="L284" s="33" t="s">
        <v>2454</v>
      </c>
      <c r="M284" s="55" t="s">
        <v>3958</v>
      </c>
      <c r="N284" s="55" t="s">
        <v>2585</v>
      </c>
      <c r="O284" s="33" t="s">
        <v>2272</v>
      </c>
      <c r="P284" s="33" t="s">
        <v>2251</v>
      </c>
      <c r="Q284" s="33"/>
      <c r="R284" s="33" t="s">
        <v>2263</v>
      </c>
      <c r="S284" s="56" t="s">
        <v>2277</v>
      </c>
      <c r="T284" s="56"/>
      <c r="U284" s="56"/>
      <c r="V284" s="33" t="s">
        <v>2456</v>
      </c>
      <c r="W284" s="94" t="s">
        <v>2457</v>
      </c>
      <c r="X284" s="94" t="s">
        <v>2458</v>
      </c>
      <c r="Y284" s="51"/>
      <c r="Z284" s="51"/>
      <c r="AA284" s="33" t="s">
        <v>2459</v>
      </c>
      <c r="AB284" s="33" t="s">
        <v>2460</v>
      </c>
      <c r="AC284" s="33"/>
      <c r="AD284" s="33" t="s">
        <v>2254</v>
      </c>
      <c r="AE284" s="33"/>
      <c r="AF284" s="33" t="s">
        <v>2267</v>
      </c>
      <c r="AG284" s="33" t="s">
        <v>2461</v>
      </c>
      <c r="AH284" s="33"/>
      <c r="AI284" s="33"/>
      <c r="AJ284" s="33" t="s">
        <v>4739</v>
      </c>
      <c r="AK284" s="94"/>
      <c r="AL284" s="33" t="s">
        <v>4740</v>
      </c>
      <c r="AM284" s="33"/>
      <c r="AN284" s="33" t="s">
        <v>2465</v>
      </c>
      <c r="AO284" s="51" t="s">
        <v>2489</v>
      </c>
      <c r="AP284" s="51" t="s">
        <v>207</v>
      </c>
      <c r="AQ284" s="33"/>
      <c r="AR284" s="54"/>
      <c r="AS284" s="54"/>
      <c r="AT284" s="54"/>
      <c r="AU284" s="54"/>
      <c r="AV284" s="54"/>
      <c r="AW284" s="54"/>
      <c r="AX284" s="54"/>
      <c r="AY284" s="54"/>
      <c r="AZ284" s="54"/>
      <c r="BA284" s="54"/>
      <c r="BB284" s="54"/>
      <c r="BC284" s="54"/>
      <c r="BD284" s="54" t="s">
        <v>2447</v>
      </c>
      <c r="BE284" s="54"/>
      <c r="BF284" s="54"/>
      <c r="BG284" s="54"/>
      <c r="BH284" s="54"/>
      <c r="BI284" s="54"/>
      <c r="BJ284" s="0"/>
      <c r="BK284" s="0"/>
      <c r="BL284" s="0"/>
      <c r="BM284" s="0"/>
      <c r="BN284" s="0"/>
      <c r="BO284" s="0"/>
      <c r="BP284"/>
      <c r="BQ284"/>
      <c r="BR284"/>
      <c r="BS284"/>
      <c r="BT284"/>
      <c r="BU284"/>
      <c r="BV284"/>
      <c r="BW284"/>
      <c r="BX284"/>
      <c r="BY284"/>
      <c r="BZ284"/>
      <c r="CA284"/>
      <c r="CB284"/>
    </row>
    <row r="285" ht="15.0" customHeight="true">
      <c r="A285" s="51" t="s">
        <v>2448</v>
      </c>
      <c r="B285" s="33"/>
      <c r="C285" s="33" t="s">
        <v>4741</v>
      </c>
      <c r="D285" s="33"/>
      <c r="E285" s="33" t="s">
        <v>3715</v>
      </c>
      <c r="F285" s="33"/>
      <c r="G285" s="55" t="s">
        <v>4742</v>
      </c>
      <c r="H285" s="33"/>
      <c r="I285" s="51" t="s">
        <v>4743</v>
      </c>
      <c r="J285" s="33"/>
      <c r="K285" s="51" t="s">
        <v>4744</v>
      </c>
      <c r="L285" s="33" t="s">
        <v>2484</v>
      </c>
      <c r="M285" s="55" t="s">
        <v>4745</v>
      </c>
      <c r="N285" s="55"/>
      <c r="O285" s="33"/>
      <c r="P285" s="33" t="s">
        <v>2251</v>
      </c>
      <c r="Q285" s="33"/>
      <c r="R285" s="33" t="s">
        <v>2263</v>
      </c>
      <c r="S285" s="56" t="s">
        <v>2277</v>
      </c>
      <c r="T285" s="56"/>
      <c r="U285" s="56"/>
      <c r="V285" s="33" t="s">
        <v>2456</v>
      </c>
      <c r="W285" s="94" t="s">
        <v>2457</v>
      </c>
      <c r="X285" s="94" t="s">
        <v>2474</v>
      </c>
      <c r="Y285" s="51"/>
      <c r="Z285" s="51"/>
      <c r="AA285" s="33" t="s">
        <v>2459</v>
      </c>
      <c r="AB285" s="33" t="s">
        <v>2460</v>
      </c>
      <c r="AC285" s="33" t="s">
        <v>2486</v>
      </c>
      <c r="AD285" s="33" t="s">
        <v>2254</v>
      </c>
      <c r="AE285" s="33"/>
      <c r="AF285" s="33" t="s">
        <v>2267</v>
      </c>
      <c r="AG285" s="33" t="s">
        <v>2461</v>
      </c>
      <c r="AH285" s="33"/>
      <c r="AI285" s="33"/>
      <c r="AJ285" s="33" t="s">
        <v>4746</v>
      </c>
      <c r="AK285" s="94"/>
      <c r="AL285" s="33" t="s">
        <v>4747</v>
      </c>
      <c r="AM285" s="33"/>
      <c r="AN285" s="33" t="s">
        <v>2588</v>
      </c>
      <c r="AO285" s="51" t="s">
        <v>2589</v>
      </c>
      <c r="AP285" s="51" t="s">
        <v>207</v>
      </c>
      <c r="AQ285" s="33"/>
      <c r="AR285" s="54"/>
      <c r="AS285" s="54"/>
      <c r="AT285" s="54"/>
      <c r="AU285" s="54"/>
      <c r="AV285" s="54"/>
      <c r="AW285" s="54"/>
      <c r="AX285" s="54"/>
      <c r="AY285" s="54"/>
      <c r="AZ285" s="54"/>
      <c r="BA285" s="54"/>
      <c r="BB285" s="54"/>
      <c r="BC285" s="54"/>
      <c r="BD285" s="54" t="s">
        <v>2447</v>
      </c>
      <c r="BE285" s="54"/>
      <c r="BF285" s="54"/>
      <c r="BG285" s="54"/>
      <c r="BH285" s="54"/>
      <c r="BI285" s="54"/>
      <c r="BJ285" s="0"/>
      <c r="BK285" s="0"/>
      <c r="BL285" s="0"/>
      <c r="BM285" s="0"/>
      <c r="BN285" s="0"/>
      <c r="BO285" s="0"/>
      <c r="BP285"/>
      <c r="BQ285"/>
      <c r="BR285"/>
      <c r="BS285"/>
      <c r="BT285"/>
      <c r="BU285"/>
      <c r="BV285"/>
      <c r="BW285"/>
      <c r="BX285"/>
      <c r="BY285"/>
      <c r="BZ285"/>
      <c r="CA285"/>
      <c r="CB285"/>
    </row>
    <row r="286" ht="15.0" customHeight="true">
      <c r="A286" s="51" t="s">
        <v>2448</v>
      </c>
      <c r="B286" s="33"/>
      <c r="C286" s="33" t="s">
        <v>4748</v>
      </c>
      <c r="D286" s="33"/>
      <c r="E286" s="33" t="s">
        <v>4749</v>
      </c>
      <c r="F286" s="33"/>
      <c r="G286" s="55" t="s">
        <v>4750</v>
      </c>
      <c r="H286" s="33"/>
      <c r="I286" s="51" t="s">
        <v>4751</v>
      </c>
      <c r="J286" s="33"/>
      <c r="K286" s="51" t="s">
        <v>4752</v>
      </c>
      <c r="L286" s="33" t="s">
        <v>2454</v>
      </c>
      <c r="M286" s="55" t="s">
        <v>3904</v>
      </c>
      <c r="N286" s="55" t="s">
        <v>3905</v>
      </c>
      <c r="O286" s="33" t="s">
        <v>2272</v>
      </c>
      <c r="P286" s="33" t="s">
        <v>2251</v>
      </c>
      <c r="Q286" s="33"/>
      <c r="R286" s="33" t="s">
        <v>2263</v>
      </c>
      <c r="S286" s="56" t="s">
        <v>2277</v>
      </c>
      <c r="T286" s="56"/>
      <c r="U286" s="56"/>
      <c r="V286" s="33" t="s">
        <v>2456</v>
      </c>
      <c r="W286" s="94" t="s">
        <v>2457</v>
      </c>
      <c r="X286" s="94" t="s">
        <v>2458</v>
      </c>
      <c r="Y286" s="51"/>
      <c r="Z286" s="51"/>
      <c r="AA286" s="33" t="s">
        <v>2459</v>
      </c>
      <c r="AB286" s="33" t="s">
        <v>2460</v>
      </c>
      <c r="AC286" s="33"/>
      <c r="AD286" s="33" t="s">
        <v>2254</v>
      </c>
      <c r="AE286" s="33"/>
      <c r="AF286" s="33" t="s">
        <v>2267</v>
      </c>
      <c r="AG286" s="33" t="s">
        <v>2461</v>
      </c>
      <c r="AH286" s="33"/>
      <c r="AI286" s="33"/>
      <c r="AJ286" s="33" t="s">
        <v>4753</v>
      </c>
      <c r="AK286" s="94"/>
      <c r="AL286" s="33" t="s">
        <v>4754</v>
      </c>
      <c r="AM286" s="33"/>
      <c r="AN286" s="33" t="s">
        <v>2465</v>
      </c>
      <c r="AO286" s="51" t="s">
        <v>2489</v>
      </c>
      <c r="AP286" s="51" t="s">
        <v>207</v>
      </c>
      <c r="AQ286" s="33"/>
      <c r="AR286" s="54"/>
      <c r="AS286" s="54"/>
      <c r="AT286" s="54"/>
      <c r="AU286" s="54"/>
      <c r="AV286" s="54"/>
      <c r="AW286" s="54"/>
      <c r="AX286" s="54"/>
      <c r="AY286" s="54"/>
      <c r="AZ286" s="54"/>
      <c r="BA286" s="54"/>
      <c r="BB286" s="54"/>
      <c r="BC286" s="54"/>
      <c r="BD286" s="54" t="s">
        <v>2447</v>
      </c>
      <c r="BE286" s="54"/>
      <c r="BF286" s="54"/>
      <c r="BG286" s="54"/>
      <c r="BH286" s="54"/>
      <c r="BI286" s="54"/>
      <c r="BJ286" s="0"/>
      <c r="BK286" s="0"/>
      <c r="BL286" s="0"/>
      <c r="BM286" s="0"/>
      <c r="BN286" s="0"/>
      <c r="BO286" s="0"/>
      <c r="BP286"/>
      <c r="BQ286"/>
      <c r="BR286"/>
      <c r="BS286"/>
      <c r="BT286"/>
      <c r="BU286"/>
      <c r="BV286"/>
      <c r="BW286"/>
      <c r="BX286"/>
      <c r="BY286"/>
      <c r="BZ286"/>
      <c r="CA286"/>
      <c r="CB286"/>
    </row>
    <row r="287" ht="15.0" customHeight="true">
      <c r="A287" s="51" t="s">
        <v>2448</v>
      </c>
      <c r="B287" s="33"/>
      <c r="C287" s="33" t="s">
        <v>4755</v>
      </c>
      <c r="D287" s="33"/>
      <c r="E287" s="33" t="s">
        <v>4756</v>
      </c>
      <c r="F287" s="33"/>
      <c r="G287" s="55" t="s">
        <v>4757</v>
      </c>
      <c r="H287" s="33"/>
      <c r="I287" s="51" t="s">
        <v>4758</v>
      </c>
      <c r="J287" s="33"/>
      <c r="K287" s="51" t="s">
        <v>4759</v>
      </c>
      <c r="L287" s="33" t="s">
        <v>2454</v>
      </c>
      <c r="M287" s="55" t="s">
        <v>4368</v>
      </c>
      <c r="N287" s="55" t="s">
        <v>3753</v>
      </c>
      <c r="O287" s="33" t="s">
        <v>2272</v>
      </c>
      <c r="P287" s="33" t="s">
        <v>2251</v>
      </c>
      <c r="Q287" s="33"/>
      <c r="R287" s="33" t="s">
        <v>2263</v>
      </c>
      <c r="S287" s="56" t="s">
        <v>2277</v>
      </c>
      <c r="T287" s="56"/>
      <c r="U287" s="56"/>
      <c r="V287" s="33" t="s">
        <v>2456</v>
      </c>
      <c r="W287" s="94" t="s">
        <v>2457</v>
      </c>
      <c r="X287" s="94" t="s">
        <v>2474</v>
      </c>
      <c r="Y287" s="51"/>
      <c r="Z287" s="51"/>
      <c r="AA287" s="33" t="s">
        <v>2459</v>
      </c>
      <c r="AB287" s="33" t="s">
        <v>2460</v>
      </c>
      <c r="AC287" s="33"/>
      <c r="AD287" s="33" t="s">
        <v>2254</v>
      </c>
      <c r="AE287" s="33"/>
      <c r="AF287" s="33" t="s">
        <v>2267</v>
      </c>
      <c r="AG287" s="33" t="s">
        <v>2461</v>
      </c>
      <c r="AH287" s="33"/>
      <c r="AI287" s="33"/>
      <c r="AJ287" s="33" t="s">
        <v>4760</v>
      </c>
      <c r="AK287" s="94"/>
      <c r="AL287" s="33" t="s">
        <v>4761</v>
      </c>
      <c r="AM287" s="33" t="s">
        <v>4762</v>
      </c>
      <c r="AN287" s="33" t="s">
        <v>3031</v>
      </c>
      <c r="AO287" s="51" t="s">
        <v>3572</v>
      </c>
      <c r="AP287" s="51" t="s">
        <v>207</v>
      </c>
      <c r="AQ287" s="33"/>
      <c r="AR287" s="54"/>
      <c r="AS287" s="54"/>
      <c r="AT287" s="54"/>
      <c r="AU287" s="54"/>
      <c r="AV287" s="54"/>
      <c r="AW287" s="54"/>
      <c r="AX287" s="54"/>
      <c r="AY287" s="54"/>
      <c r="AZ287" s="54"/>
      <c r="BA287" s="54"/>
      <c r="BB287" s="54"/>
      <c r="BC287" s="54"/>
      <c r="BD287" s="54" t="s">
        <v>2447</v>
      </c>
      <c r="BE287" s="54"/>
      <c r="BF287" s="54"/>
      <c r="BG287" s="54"/>
      <c r="BH287" s="54"/>
      <c r="BI287" s="54"/>
      <c r="BJ287" s="0"/>
      <c r="BK287" s="0"/>
      <c r="BL287" s="0"/>
      <c r="BM287" s="0"/>
      <c r="BN287" s="0"/>
      <c r="BO287" s="0"/>
      <c r="BP287"/>
      <c r="BQ287"/>
      <c r="BR287"/>
      <c r="BS287"/>
      <c r="BT287"/>
      <c r="BU287"/>
      <c r="BV287"/>
      <c r="BW287"/>
      <c r="BX287"/>
      <c r="BY287"/>
      <c r="BZ287"/>
      <c r="CA287"/>
      <c r="CB287"/>
    </row>
    <row r="288" ht="15.0" customHeight="true">
      <c r="A288" s="51" t="s">
        <v>2448</v>
      </c>
      <c r="B288" s="33"/>
      <c r="C288" s="33" t="s">
        <v>4763</v>
      </c>
      <c r="D288" s="33"/>
      <c r="E288" s="33" t="s">
        <v>4764</v>
      </c>
      <c r="F288" s="33"/>
      <c r="G288" s="55" t="s">
        <v>4765</v>
      </c>
      <c r="H288" s="33"/>
      <c r="I288" s="51" t="s">
        <v>4766</v>
      </c>
      <c r="J288" s="33"/>
      <c r="K288" s="51" t="s">
        <v>4767</v>
      </c>
      <c r="L288" s="33" t="s">
        <v>2454</v>
      </c>
      <c r="M288" s="55" t="s">
        <v>4534</v>
      </c>
      <c r="N288" s="55" t="s">
        <v>3350</v>
      </c>
      <c r="O288" s="33" t="s">
        <v>2272</v>
      </c>
      <c r="P288" s="33" t="s">
        <v>2251</v>
      </c>
      <c r="Q288" s="33"/>
      <c r="R288" s="33" t="s">
        <v>2263</v>
      </c>
      <c r="S288" s="56" t="s">
        <v>2277</v>
      </c>
      <c r="T288" s="56"/>
      <c r="U288" s="56"/>
      <c r="V288" s="33" t="s">
        <v>2456</v>
      </c>
      <c r="W288" s="94" t="s">
        <v>2457</v>
      </c>
      <c r="X288" s="94" t="s">
        <v>2474</v>
      </c>
      <c r="Y288" s="51"/>
      <c r="Z288" s="51"/>
      <c r="AA288" s="33" t="s">
        <v>2459</v>
      </c>
      <c r="AB288" s="33" t="s">
        <v>2460</v>
      </c>
      <c r="AC288" s="33"/>
      <c r="AD288" s="33" t="s">
        <v>2254</v>
      </c>
      <c r="AE288" s="33"/>
      <c r="AF288" s="33" t="s">
        <v>2267</v>
      </c>
      <c r="AG288" s="33" t="s">
        <v>2461</v>
      </c>
      <c r="AH288" s="33"/>
      <c r="AI288" s="33"/>
      <c r="AJ288" s="33" t="s">
        <v>4768</v>
      </c>
      <c r="AK288" s="94"/>
      <c r="AL288" s="33" t="s">
        <v>4769</v>
      </c>
      <c r="AM288" s="33" t="s">
        <v>4770</v>
      </c>
      <c r="AN288" s="33" t="s">
        <v>4771</v>
      </c>
      <c r="AO288" s="51" t="s">
        <v>4772</v>
      </c>
      <c r="AP288" s="51" t="s">
        <v>211</v>
      </c>
      <c r="AQ288" s="33"/>
      <c r="AR288" s="54"/>
      <c r="AS288" s="54"/>
      <c r="AT288" s="54"/>
      <c r="AU288" s="54"/>
      <c r="AV288" s="54"/>
      <c r="AW288" s="54"/>
      <c r="AX288" s="54"/>
      <c r="AY288" s="54"/>
      <c r="AZ288" s="54"/>
      <c r="BA288" s="54"/>
      <c r="BB288" s="54"/>
      <c r="BC288" s="54"/>
      <c r="BD288" s="54" t="s">
        <v>2447</v>
      </c>
      <c r="BE288" s="54"/>
      <c r="BF288" s="54"/>
      <c r="BG288" s="54"/>
      <c r="BH288" s="54"/>
      <c r="BI288" s="54"/>
      <c r="BJ288" s="0"/>
      <c r="BK288" s="0"/>
      <c r="BL288" s="0"/>
      <c r="BM288" s="0"/>
      <c r="BN288" s="0"/>
      <c r="BO288" s="0"/>
      <c r="BP288"/>
      <c r="BQ288"/>
      <c r="BR288"/>
      <c r="BS288"/>
      <c r="BT288"/>
      <c r="BU288"/>
      <c r="BV288"/>
      <c r="BW288"/>
      <c r="BX288"/>
      <c r="BY288"/>
      <c r="BZ288"/>
      <c r="CA288"/>
      <c r="CB288"/>
    </row>
    <row r="289" ht="15.0" customHeight="true">
      <c r="A289" s="51" t="s">
        <v>2448</v>
      </c>
      <c r="B289" s="33"/>
      <c r="C289" s="33" t="s">
        <v>3448</v>
      </c>
      <c r="D289" s="33"/>
      <c r="E289" s="33" t="s">
        <v>4773</v>
      </c>
      <c r="F289" s="33"/>
      <c r="G289" s="55" t="s">
        <v>3024</v>
      </c>
      <c r="H289" s="33"/>
      <c r="I289" s="51" t="s">
        <v>4774</v>
      </c>
      <c r="J289" s="33"/>
      <c r="K289" s="51" t="s">
        <v>4775</v>
      </c>
      <c r="L289" s="33" t="s">
        <v>2484</v>
      </c>
      <c r="M289" s="55" t="s">
        <v>2735</v>
      </c>
      <c r="N289" s="55"/>
      <c r="O289" s="33"/>
      <c r="P289" s="33" t="s">
        <v>2251</v>
      </c>
      <c r="Q289" s="33"/>
      <c r="R289" s="33" t="s">
        <v>2263</v>
      </c>
      <c r="S289" s="56" t="s">
        <v>2277</v>
      </c>
      <c r="T289" s="56"/>
      <c r="U289" s="56"/>
      <c r="V289" s="33" t="s">
        <v>2456</v>
      </c>
      <c r="W289" s="94" t="s">
        <v>2457</v>
      </c>
      <c r="X289" s="94" t="s">
        <v>2474</v>
      </c>
      <c r="Y289" s="51"/>
      <c r="Z289" s="51"/>
      <c r="AA289" s="33" t="s">
        <v>2459</v>
      </c>
      <c r="AB289" s="33" t="s">
        <v>2460</v>
      </c>
      <c r="AC289" s="33" t="s">
        <v>2486</v>
      </c>
      <c r="AD289" s="33" t="s">
        <v>2254</v>
      </c>
      <c r="AE289" s="33"/>
      <c r="AF289" s="33" t="s">
        <v>2267</v>
      </c>
      <c r="AG289" s="33" t="s">
        <v>2461</v>
      </c>
      <c r="AH289" s="33"/>
      <c r="AI289" s="33"/>
      <c r="AJ289" s="33" t="s">
        <v>4776</v>
      </c>
      <c r="AK289" s="94"/>
      <c r="AL289" s="33" t="s">
        <v>3226</v>
      </c>
      <c r="AM289" s="33" t="s">
        <v>4777</v>
      </c>
      <c r="AN289" s="33" t="s">
        <v>2465</v>
      </c>
      <c r="AO289" s="51" t="s">
        <v>2489</v>
      </c>
      <c r="AP289" s="51" t="s">
        <v>207</v>
      </c>
      <c r="AQ289" s="33"/>
      <c r="AR289" s="54"/>
      <c r="AS289" s="54"/>
      <c r="AT289" s="54"/>
      <c r="AU289" s="54"/>
      <c r="AV289" s="54"/>
      <c r="AW289" s="54"/>
      <c r="AX289" s="54"/>
      <c r="AY289" s="54"/>
      <c r="AZ289" s="54"/>
      <c r="BA289" s="54"/>
      <c r="BB289" s="54"/>
      <c r="BC289" s="54"/>
      <c r="BD289" s="54" t="s">
        <v>2447</v>
      </c>
      <c r="BE289" s="54"/>
      <c r="BF289" s="54"/>
      <c r="BG289" s="54"/>
      <c r="BH289" s="54"/>
      <c r="BI289" s="54"/>
      <c r="BJ289" s="0"/>
      <c r="BK289" s="0"/>
      <c r="BL289" s="0"/>
      <c r="BM289" s="0"/>
      <c r="BN289" s="0"/>
      <c r="BO289" s="0"/>
      <c r="BP289"/>
      <c r="BQ289"/>
      <c r="BR289"/>
      <c r="BS289"/>
      <c r="BT289"/>
      <c r="BU289"/>
      <c r="BV289"/>
      <c r="BW289"/>
      <c r="BX289"/>
      <c r="BY289"/>
      <c r="BZ289"/>
      <c r="CA289"/>
      <c r="CB289"/>
    </row>
    <row r="290" ht="15.0" customHeight="true">
      <c r="A290" s="51" t="s">
        <v>2448</v>
      </c>
      <c r="B290" s="33"/>
      <c r="C290" s="33" t="s">
        <v>4778</v>
      </c>
      <c r="D290" s="33"/>
      <c r="E290" s="33" t="s">
        <v>4779</v>
      </c>
      <c r="F290" s="33"/>
      <c r="G290" s="55" t="s">
        <v>4780</v>
      </c>
      <c r="H290" s="33"/>
      <c r="I290" s="51" t="s">
        <v>4781</v>
      </c>
      <c r="J290" s="33"/>
      <c r="K290" s="51" t="s">
        <v>4782</v>
      </c>
      <c r="L290" s="33" t="s">
        <v>2454</v>
      </c>
      <c r="M290" s="55" t="s">
        <v>3341</v>
      </c>
      <c r="N290" s="55" t="s">
        <v>3066</v>
      </c>
      <c r="O290" s="33" t="s">
        <v>2272</v>
      </c>
      <c r="P290" s="33" t="s">
        <v>2251</v>
      </c>
      <c r="Q290" s="33"/>
      <c r="R290" s="33" t="s">
        <v>2263</v>
      </c>
      <c r="S290" s="56" t="s">
        <v>2277</v>
      </c>
      <c r="T290" s="56"/>
      <c r="U290" s="56"/>
      <c r="V290" s="33" t="s">
        <v>2456</v>
      </c>
      <c r="W290" s="94" t="s">
        <v>2457</v>
      </c>
      <c r="X290" s="94" t="s">
        <v>2458</v>
      </c>
      <c r="Y290" s="51"/>
      <c r="Z290" s="51"/>
      <c r="AA290" s="33" t="s">
        <v>2459</v>
      </c>
      <c r="AB290" s="33" t="s">
        <v>2460</v>
      </c>
      <c r="AC290" s="33"/>
      <c r="AD290" s="33" t="s">
        <v>2254</v>
      </c>
      <c r="AE290" s="33"/>
      <c r="AF290" s="33" t="s">
        <v>2267</v>
      </c>
      <c r="AG290" s="33" t="s">
        <v>2461</v>
      </c>
      <c r="AH290" s="33"/>
      <c r="AI290" s="33"/>
      <c r="AJ290" s="33" t="s">
        <v>4783</v>
      </c>
      <c r="AK290" s="94"/>
      <c r="AL290" s="33" t="s">
        <v>4784</v>
      </c>
      <c r="AM290" s="33"/>
      <c r="AN290" s="33" t="s">
        <v>2465</v>
      </c>
      <c r="AO290" s="51" t="s">
        <v>2489</v>
      </c>
      <c r="AP290" s="51" t="s">
        <v>207</v>
      </c>
      <c r="AQ290" s="33"/>
      <c r="AR290" s="54"/>
      <c r="AS290" s="54"/>
      <c r="AT290" s="54"/>
      <c r="AU290" s="54"/>
      <c r="AV290" s="54"/>
      <c r="AW290" s="54"/>
      <c r="AX290" s="54"/>
      <c r="AY290" s="54"/>
      <c r="AZ290" s="54"/>
      <c r="BA290" s="54"/>
      <c r="BB290" s="54"/>
      <c r="BC290" s="54"/>
      <c r="BD290" s="54" t="s">
        <v>2447</v>
      </c>
      <c r="BE290" s="54"/>
      <c r="BF290" s="54"/>
      <c r="BG290" s="54"/>
      <c r="BH290" s="54"/>
      <c r="BI290" s="54"/>
      <c r="BJ290" s="0"/>
      <c r="BK290" s="0"/>
      <c r="BL290" s="0"/>
      <c r="BM290" s="0"/>
      <c r="BN290" s="0"/>
      <c r="BO290" s="0"/>
      <c r="BP290"/>
      <c r="BQ290"/>
      <c r="BR290"/>
      <c r="BS290"/>
      <c r="BT290"/>
      <c r="BU290"/>
      <c r="BV290"/>
      <c r="BW290"/>
      <c r="BX290"/>
      <c r="BY290"/>
      <c r="BZ290"/>
      <c r="CA290"/>
      <c r="CB290"/>
    </row>
    <row r="291" ht="15.0" customHeight="true">
      <c r="A291" s="51" t="s">
        <v>2448</v>
      </c>
      <c r="B291" s="33"/>
      <c r="C291" s="33" t="s">
        <v>4785</v>
      </c>
      <c r="D291" s="33"/>
      <c r="E291" s="33" t="s">
        <v>4786</v>
      </c>
      <c r="F291" s="33"/>
      <c r="G291" s="55" t="s">
        <v>4787</v>
      </c>
      <c r="H291" s="33"/>
      <c r="I291" s="51" t="s">
        <v>4788</v>
      </c>
      <c r="J291" s="33"/>
      <c r="K291" s="51" t="s">
        <v>4789</v>
      </c>
      <c r="L291" s="33" t="s">
        <v>2454</v>
      </c>
      <c r="M291" s="55" t="s">
        <v>4618</v>
      </c>
      <c r="N291" s="55" t="s">
        <v>3001</v>
      </c>
      <c r="O291" s="33" t="s">
        <v>2272</v>
      </c>
      <c r="P291" s="33" t="s">
        <v>2251</v>
      </c>
      <c r="Q291" s="33"/>
      <c r="R291" s="33" t="s">
        <v>2263</v>
      </c>
      <c r="S291" s="56" t="s">
        <v>2277</v>
      </c>
      <c r="T291" s="56"/>
      <c r="U291" s="56"/>
      <c r="V291" s="33" t="s">
        <v>2456</v>
      </c>
      <c r="W291" s="94" t="s">
        <v>2457</v>
      </c>
      <c r="X291" s="94" t="s">
        <v>2474</v>
      </c>
      <c r="Y291" s="51"/>
      <c r="Z291" s="51"/>
      <c r="AA291" s="33" t="s">
        <v>2459</v>
      </c>
      <c r="AB291" s="33" t="s">
        <v>2460</v>
      </c>
      <c r="AC291" s="33"/>
      <c r="AD291" s="33" t="s">
        <v>2254</v>
      </c>
      <c r="AE291" s="33"/>
      <c r="AF291" s="33" t="s">
        <v>2267</v>
      </c>
      <c r="AG291" s="33" t="s">
        <v>2461</v>
      </c>
      <c r="AH291" s="33"/>
      <c r="AI291" s="33"/>
      <c r="AJ291" s="33" t="s">
        <v>4790</v>
      </c>
      <c r="AK291" s="94"/>
      <c r="AL291" s="33" t="s">
        <v>4791</v>
      </c>
      <c r="AM291" s="33"/>
      <c r="AN291" s="33" t="s">
        <v>2465</v>
      </c>
      <c r="AO291" s="51" t="s">
        <v>2538</v>
      </c>
      <c r="AP291" s="51" t="s">
        <v>207</v>
      </c>
      <c r="AQ291" s="33"/>
      <c r="AR291" s="54"/>
      <c r="AS291" s="54"/>
      <c r="AT291" s="54"/>
      <c r="AU291" s="54"/>
      <c r="AV291" s="54"/>
      <c r="AW291" s="54"/>
      <c r="AX291" s="54"/>
      <c r="AY291" s="54"/>
      <c r="AZ291" s="54"/>
      <c r="BA291" s="54"/>
      <c r="BB291" s="54"/>
      <c r="BC291" s="54"/>
      <c r="BD291" s="54" t="s">
        <v>2447</v>
      </c>
      <c r="BE291" s="54"/>
      <c r="BF291" s="54"/>
      <c r="BG291" s="54"/>
      <c r="BH291" s="54"/>
      <c r="BI291" s="54"/>
      <c r="BJ291" s="0"/>
      <c r="BK291" s="0"/>
      <c r="BL291" s="0"/>
      <c r="BM291" s="0"/>
      <c r="BN291" s="0"/>
      <c r="BO291" s="0"/>
      <c r="BP291"/>
      <c r="BQ291"/>
      <c r="BR291"/>
      <c r="BS291"/>
      <c r="BT291"/>
      <c r="BU291"/>
      <c r="BV291"/>
      <c r="BW291"/>
      <c r="BX291"/>
      <c r="BY291"/>
      <c r="BZ291"/>
      <c r="CA291"/>
      <c r="CB291"/>
    </row>
    <row r="292" ht="15.0" customHeight="true">
      <c r="A292" s="51" t="s">
        <v>2448</v>
      </c>
      <c r="B292" s="33"/>
      <c r="C292" s="33" t="s">
        <v>4792</v>
      </c>
      <c r="D292" s="33"/>
      <c r="E292" s="33" t="s">
        <v>4793</v>
      </c>
      <c r="F292" s="33"/>
      <c r="G292" s="55" t="s">
        <v>4794</v>
      </c>
      <c r="H292" s="33"/>
      <c r="I292" s="51" t="s">
        <v>4795</v>
      </c>
      <c r="J292" s="33"/>
      <c r="K292" s="51" t="s">
        <v>4796</v>
      </c>
      <c r="L292" s="33" t="s">
        <v>2454</v>
      </c>
      <c r="M292" s="55" t="s">
        <v>2554</v>
      </c>
      <c r="N292" s="55" t="s">
        <v>2554</v>
      </c>
      <c r="O292" s="33" t="s">
        <v>2272</v>
      </c>
      <c r="P292" s="33" t="s">
        <v>2251</v>
      </c>
      <c r="Q292" s="33"/>
      <c r="R292" s="33" t="s">
        <v>2263</v>
      </c>
      <c r="S292" s="56" t="s">
        <v>2277</v>
      </c>
      <c r="T292" s="56"/>
      <c r="U292" s="56"/>
      <c r="V292" s="33" t="s">
        <v>2456</v>
      </c>
      <c r="W292" s="94" t="s">
        <v>2457</v>
      </c>
      <c r="X292" s="94" t="s">
        <v>2474</v>
      </c>
      <c r="Y292" s="51"/>
      <c r="Z292" s="51"/>
      <c r="AA292" s="33" t="s">
        <v>2459</v>
      </c>
      <c r="AB292" s="33" t="s">
        <v>2460</v>
      </c>
      <c r="AC292" s="33"/>
      <c r="AD292" s="33" t="s">
        <v>2254</v>
      </c>
      <c r="AE292" s="33"/>
      <c r="AF292" s="33" t="s">
        <v>2267</v>
      </c>
      <c r="AG292" s="33" t="s">
        <v>2461</v>
      </c>
      <c r="AH292" s="33"/>
      <c r="AI292" s="33"/>
      <c r="AJ292" s="33" t="s">
        <v>4797</v>
      </c>
      <c r="AK292" s="94"/>
      <c r="AL292" s="33" t="s">
        <v>4798</v>
      </c>
      <c r="AM292" s="33" t="s">
        <v>4799</v>
      </c>
      <c r="AN292" s="33" t="s">
        <v>2465</v>
      </c>
      <c r="AO292" s="51" t="s">
        <v>2548</v>
      </c>
      <c r="AP292" s="51" t="s">
        <v>207</v>
      </c>
      <c r="AQ292" s="33"/>
      <c r="AR292" s="54"/>
      <c r="AS292" s="54"/>
      <c r="AT292" s="54"/>
      <c r="AU292" s="54"/>
      <c r="AV292" s="54"/>
      <c r="AW292" s="54"/>
      <c r="AX292" s="54"/>
      <c r="AY292" s="54"/>
      <c r="AZ292" s="54"/>
      <c r="BA292" s="54"/>
      <c r="BB292" s="54"/>
      <c r="BC292" s="54"/>
      <c r="BD292" s="54" t="s">
        <v>2447</v>
      </c>
      <c r="BE292" s="54"/>
      <c r="BF292" s="54"/>
      <c r="BG292" s="54"/>
      <c r="BH292" s="54"/>
      <c r="BI292" s="54"/>
      <c r="BJ292" s="0"/>
      <c r="BK292" s="0"/>
      <c r="BL292" s="0"/>
      <c r="BM292" s="0"/>
      <c r="BN292" s="0"/>
      <c r="BO292" s="0"/>
      <c r="BP292"/>
      <c r="BQ292"/>
      <c r="BR292"/>
      <c r="BS292"/>
      <c r="BT292"/>
      <c r="BU292"/>
      <c r="BV292"/>
      <c r="BW292"/>
      <c r="BX292"/>
      <c r="BY292"/>
      <c r="BZ292"/>
      <c r="CA292"/>
      <c r="CB292"/>
    </row>
    <row r="293" ht="15.0" customHeight="true">
      <c r="A293" s="51" t="s">
        <v>2448</v>
      </c>
      <c r="B293" s="33"/>
      <c r="C293" s="33" t="s">
        <v>4800</v>
      </c>
      <c r="D293" s="33"/>
      <c r="E293" s="33" t="s">
        <v>4801</v>
      </c>
      <c r="F293" s="33"/>
      <c r="G293" s="55" t="s">
        <v>4802</v>
      </c>
      <c r="H293" s="33"/>
      <c r="I293" s="51" t="s">
        <v>4803</v>
      </c>
      <c r="J293" s="33"/>
      <c r="K293" s="51" t="s">
        <v>4804</v>
      </c>
      <c r="L293" s="33" t="s">
        <v>2454</v>
      </c>
      <c r="M293" s="55" t="s">
        <v>4805</v>
      </c>
      <c r="N293" s="55" t="s">
        <v>4806</v>
      </c>
      <c r="O293" s="33" t="s">
        <v>2276</v>
      </c>
      <c r="P293" s="33" t="s">
        <v>2251</v>
      </c>
      <c r="Q293" s="33"/>
      <c r="R293" s="33" t="s">
        <v>2263</v>
      </c>
      <c r="S293" s="56" t="s">
        <v>2277</v>
      </c>
      <c r="T293" s="56"/>
      <c r="U293" s="56"/>
      <c r="V293" s="33" t="s">
        <v>4805</v>
      </c>
      <c r="W293" s="94" t="s">
        <v>2574</v>
      </c>
      <c r="X293" s="94" t="s">
        <v>2474</v>
      </c>
      <c r="Y293" s="51"/>
      <c r="Z293" s="51"/>
      <c r="AA293" s="33" t="s">
        <v>2459</v>
      </c>
      <c r="AB293" s="33" t="s">
        <v>2460</v>
      </c>
      <c r="AC293" s="33" t="s">
        <v>2486</v>
      </c>
      <c r="AD293" s="33" t="s">
        <v>2254</v>
      </c>
      <c r="AE293" s="33"/>
      <c r="AF293" s="33" t="s">
        <v>2267</v>
      </c>
      <c r="AG293" s="33" t="s">
        <v>2461</v>
      </c>
      <c r="AH293" s="33"/>
      <c r="AI293" s="33"/>
      <c r="AJ293" s="33" t="s">
        <v>4807</v>
      </c>
      <c r="AK293" s="94"/>
      <c r="AL293" s="33" t="s">
        <v>4808</v>
      </c>
      <c r="AM293" s="33"/>
      <c r="AN293" s="33" t="s">
        <v>2588</v>
      </c>
      <c r="AO293" s="51" t="s">
        <v>2628</v>
      </c>
      <c r="AP293" s="51" t="s">
        <v>207</v>
      </c>
      <c r="AQ293" s="33"/>
      <c r="AR293" s="54"/>
      <c r="AS293" s="54"/>
      <c r="AT293" s="54"/>
      <c r="AU293" s="54"/>
      <c r="AV293" s="54"/>
      <c r="AW293" s="54"/>
      <c r="AX293" s="54"/>
      <c r="AY293" s="54" t="s">
        <v>2269</v>
      </c>
      <c r="AZ293" s="54"/>
      <c r="BA293" s="54"/>
      <c r="BB293" s="54"/>
      <c r="BC293" s="54"/>
      <c r="BD293" s="54" t="s">
        <v>2447</v>
      </c>
      <c r="BE293" s="54"/>
      <c r="BF293" s="54"/>
      <c r="BG293" s="54"/>
      <c r="BH293" s="54"/>
      <c r="BI293" s="54"/>
      <c r="BJ293" s="0"/>
      <c r="BK293" s="0"/>
      <c r="BL293" s="0"/>
      <c r="BM293" s="0"/>
      <c r="BN293" s="0"/>
      <c r="BO293" s="0"/>
      <c r="BP293"/>
      <c r="BQ293"/>
      <c r="BR293"/>
      <c r="BS293"/>
      <c r="BT293"/>
      <c r="BU293"/>
      <c r="BV293"/>
      <c r="BW293"/>
      <c r="BX293"/>
      <c r="BY293"/>
      <c r="BZ293"/>
      <c r="CA293"/>
      <c r="CB293"/>
    </row>
    <row r="294" ht="15.0" customHeight="true">
      <c r="A294" s="51" t="s">
        <v>2448</v>
      </c>
      <c r="B294" s="33"/>
      <c r="C294" s="33" t="s">
        <v>4809</v>
      </c>
      <c r="D294" s="33"/>
      <c r="E294" s="33" t="s">
        <v>4810</v>
      </c>
      <c r="F294" s="33"/>
      <c r="G294" s="55" t="s">
        <v>4811</v>
      </c>
      <c r="H294" s="33"/>
      <c r="I294" s="51" t="s">
        <v>4812</v>
      </c>
      <c r="J294" s="33"/>
      <c r="K294" s="51" t="s">
        <v>4813</v>
      </c>
      <c r="L294" s="33" t="s">
        <v>2484</v>
      </c>
      <c r="M294" s="55" t="s">
        <v>2485</v>
      </c>
      <c r="N294" s="55"/>
      <c r="O294" s="33"/>
      <c r="P294" s="33" t="s">
        <v>2251</v>
      </c>
      <c r="Q294" s="33"/>
      <c r="R294" s="33" t="s">
        <v>2263</v>
      </c>
      <c r="S294" s="56" t="s">
        <v>2277</v>
      </c>
      <c r="T294" s="56"/>
      <c r="U294" s="56"/>
      <c r="V294" s="33" t="s">
        <v>2456</v>
      </c>
      <c r="W294" s="94" t="s">
        <v>2457</v>
      </c>
      <c r="X294" s="94" t="s">
        <v>2474</v>
      </c>
      <c r="Y294" s="51"/>
      <c r="Z294" s="51"/>
      <c r="AA294" s="33" t="s">
        <v>2459</v>
      </c>
      <c r="AB294" s="33" t="s">
        <v>2460</v>
      </c>
      <c r="AC294" s="33" t="s">
        <v>2486</v>
      </c>
      <c r="AD294" s="33" t="s">
        <v>2254</v>
      </c>
      <c r="AE294" s="33"/>
      <c r="AF294" s="33" t="s">
        <v>2267</v>
      </c>
      <c r="AG294" s="33" t="s">
        <v>2461</v>
      </c>
      <c r="AH294" s="33"/>
      <c r="AI294" s="33"/>
      <c r="AJ294" s="33" t="s">
        <v>4814</v>
      </c>
      <c r="AK294" s="94"/>
      <c r="AL294" s="33" t="s">
        <v>4815</v>
      </c>
      <c r="AM294" s="33"/>
      <c r="AN294" s="33" t="s">
        <v>2465</v>
      </c>
      <c r="AO294" s="51" t="s">
        <v>2618</v>
      </c>
      <c r="AP294" s="51" t="s">
        <v>207</v>
      </c>
      <c r="AQ294" s="33"/>
      <c r="AR294" s="54"/>
      <c r="AS294" s="54"/>
      <c r="AT294" s="54"/>
      <c r="AU294" s="54"/>
      <c r="AV294" s="54"/>
      <c r="AW294" s="54"/>
      <c r="AX294" s="54"/>
      <c r="AY294" s="54"/>
      <c r="AZ294" s="54"/>
      <c r="BA294" s="54"/>
      <c r="BB294" s="54"/>
      <c r="BC294" s="54"/>
      <c r="BD294" s="54" t="s">
        <v>2447</v>
      </c>
      <c r="BE294" s="54"/>
      <c r="BF294" s="54"/>
      <c r="BG294" s="54"/>
      <c r="BH294" s="54"/>
      <c r="BI294" s="54"/>
      <c r="BJ294" s="0"/>
      <c r="BK294" s="0"/>
      <c r="BL294" s="0"/>
      <c r="BM294" s="0"/>
      <c r="BN294" s="0"/>
      <c r="BO294" s="0"/>
      <c r="BP294"/>
      <c r="BQ294"/>
      <c r="BR294"/>
      <c r="BS294"/>
      <c r="BT294"/>
      <c r="BU294"/>
      <c r="BV294"/>
      <c r="BW294"/>
      <c r="BX294"/>
      <c r="BY294"/>
      <c r="BZ294"/>
      <c r="CA294"/>
      <c r="CB294"/>
    </row>
    <row r="295" ht="15.0" customHeight="true">
      <c r="A295" s="51" t="s">
        <v>2448</v>
      </c>
      <c r="B295" s="33"/>
      <c r="C295" s="33" t="s">
        <v>3131</v>
      </c>
      <c r="D295" s="33"/>
      <c r="E295" s="33" t="s">
        <v>4816</v>
      </c>
      <c r="F295" s="33"/>
      <c r="G295" s="55" t="s">
        <v>4817</v>
      </c>
      <c r="H295" s="33"/>
      <c r="I295" s="51" t="s">
        <v>4818</v>
      </c>
      <c r="J295" s="33"/>
      <c r="K295" s="51" t="s">
        <v>4819</v>
      </c>
      <c r="L295" s="33" t="s">
        <v>2484</v>
      </c>
      <c r="M295" s="55" t="s">
        <v>3914</v>
      </c>
      <c r="N295" s="55"/>
      <c r="O295" s="33"/>
      <c r="P295" s="33" t="s">
        <v>2251</v>
      </c>
      <c r="Q295" s="33"/>
      <c r="R295" s="33" t="s">
        <v>2263</v>
      </c>
      <c r="S295" s="56" t="s">
        <v>2277</v>
      </c>
      <c r="T295" s="56"/>
      <c r="U295" s="56"/>
      <c r="V295" s="33" t="s">
        <v>2456</v>
      </c>
      <c r="W295" s="94" t="s">
        <v>2457</v>
      </c>
      <c r="X295" s="94" t="s">
        <v>2474</v>
      </c>
      <c r="Y295" s="51"/>
      <c r="Z295" s="51"/>
      <c r="AA295" s="33" t="s">
        <v>2459</v>
      </c>
      <c r="AB295" s="33" t="s">
        <v>2460</v>
      </c>
      <c r="AC295" s="33" t="s">
        <v>2486</v>
      </c>
      <c r="AD295" s="33" t="s">
        <v>2254</v>
      </c>
      <c r="AE295" s="33"/>
      <c r="AF295" s="33" t="s">
        <v>2267</v>
      </c>
      <c r="AG295" s="33" t="s">
        <v>2461</v>
      </c>
      <c r="AH295" s="33"/>
      <c r="AI295" s="33" t="s">
        <v>4820</v>
      </c>
      <c r="AJ295" s="33" t="s">
        <v>4821</v>
      </c>
      <c r="AK295" s="94"/>
      <c r="AL295" s="33" t="s">
        <v>4822</v>
      </c>
      <c r="AM295" s="33"/>
      <c r="AN295" s="33" t="s">
        <v>2465</v>
      </c>
      <c r="AO295" s="51" t="s">
        <v>2820</v>
      </c>
      <c r="AP295" s="51" t="s">
        <v>207</v>
      </c>
      <c r="AQ295" s="33"/>
      <c r="AR295" s="54"/>
      <c r="AS295" s="54"/>
      <c r="AT295" s="54"/>
      <c r="AU295" s="54"/>
      <c r="AV295" s="54"/>
      <c r="AW295" s="54"/>
      <c r="AX295" s="54"/>
      <c r="AY295" s="54"/>
      <c r="AZ295" s="54"/>
      <c r="BA295" s="54"/>
      <c r="BB295" s="54"/>
      <c r="BC295" s="54"/>
      <c r="BD295" s="54" t="s">
        <v>2447</v>
      </c>
      <c r="BE295" s="54"/>
      <c r="BF295" s="54"/>
      <c r="BG295" s="54"/>
      <c r="BH295" s="54"/>
      <c r="BI295" s="54"/>
      <c r="BJ295" s="0"/>
      <c r="BK295" s="0"/>
      <c r="BL295" s="0"/>
      <c r="BM295" s="0"/>
      <c r="BN295" s="0"/>
      <c r="BO295" s="0"/>
      <c r="BP295"/>
      <c r="BQ295"/>
      <c r="BR295"/>
      <c r="BS295"/>
      <c r="BT295"/>
      <c r="BU295"/>
      <c r="BV295"/>
      <c r="BW295"/>
      <c r="BX295"/>
      <c r="BY295"/>
      <c r="BZ295"/>
      <c r="CA295"/>
      <c r="CB295"/>
    </row>
    <row r="296" ht="15.0" customHeight="true">
      <c r="A296" s="51" t="s">
        <v>2448</v>
      </c>
      <c r="B296" s="33"/>
      <c r="C296" s="33" t="s">
        <v>4823</v>
      </c>
      <c r="D296" s="33"/>
      <c r="E296" s="33" t="s">
        <v>4824</v>
      </c>
      <c r="F296" s="33"/>
      <c r="G296" s="55" t="s">
        <v>4825</v>
      </c>
      <c r="H296" s="33"/>
      <c r="I296" s="51" t="s">
        <v>4826</v>
      </c>
      <c r="J296" s="33"/>
      <c r="K296" s="51" t="s">
        <v>4827</v>
      </c>
      <c r="L296" s="33" t="s">
        <v>2484</v>
      </c>
      <c r="M296" s="55" t="s">
        <v>3913</v>
      </c>
      <c r="N296" s="55"/>
      <c r="O296" s="33"/>
      <c r="P296" s="33" t="s">
        <v>2251</v>
      </c>
      <c r="Q296" s="33"/>
      <c r="R296" s="33" t="s">
        <v>2263</v>
      </c>
      <c r="S296" s="56" t="s">
        <v>2277</v>
      </c>
      <c r="T296" s="56"/>
      <c r="U296" s="56"/>
      <c r="V296" s="33" t="s">
        <v>2456</v>
      </c>
      <c r="W296" s="94" t="s">
        <v>2457</v>
      </c>
      <c r="X296" s="94" t="s">
        <v>2474</v>
      </c>
      <c r="Y296" s="51"/>
      <c r="Z296" s="51"/>
      <c r="AA296" s="33" t="s">
        <v>2459</v>
      </c>
      <c r="AB296" s="33" t="s">
        <v>2460</v>
      </c>
      <c r="AC296" s="33" t="s">
        <v>2486</v>
      </c>
      <c r="AD296" s="33" t="s">
        <v>2254</v>
      </c>
      <c r="AE296" s="33"/>
      <c r="AF296" s="33" t="s">
        <v>2267</v>
      </c>
      <c r="AG296" s="33" t="s">
        <v>2461</v>
      </c>
      <c r="AH296" s="33"/>
      <c r="AI296" s="33"/>
      <c r="AJ296" s="33" t="s">
        <v>4828</v>
      </c>
      <c r="AK296" s="94"/>
      <c r="AL296" s="33" t="s">
        <v>4829</v>
      </c>
      <c r="AM296" s="33" t="s">
        <v>4830</v>
      </c>
      <c r="AN296" s="33" t="s">
        <v>2465</v>
      </c>
      <c r="AO296" s="51" t="s">
        <v>2478</v>
      </c>
      <c r="AP296" s="51" t="s">
        <v>207</v>
      </c>
      <c r="AQ296" s="33"/>
      <c r="AR296" s="54"/>
      <c r="AS296" s="54"/>
      <c r="AT296" s="54"/>
      <c r="AU296" s="54"/>
      <c r="AV296" s="54"/>
      <c r="AW296" s="54"/>
      <c r="AX296" s="54"/>
      <c r="AY296" s="54"/>
      <c r="AZ296" s="54"/>
      <c r="BA296" s="54"/>
      <c r="BB296" s="54"/>
      <c r="BC296" s="54"/>
      <c r="BD296" s="54" t="s">
        <v>2447</v>
      </c>
      <c r="BE296" s="54"/>
      <c r="BF296" s="54"/>
      <c r="BG296" s="54"/>
      <c r="BH296" s="54"/>
      <c r="BI296" s="54"/>
      <c r="BJ296" s="0"/>
      <c r="BK296" s="0"/>
      <c r="BL296" s="0"/>
      <c r="BM296" s="0"/>
      <c r="BN296" s="0"/>
      <c r="BO296" s="0"/>
      <c r="BP296"/>
      <c r="BQ296"/>
      <c r="BR296"/>
      <c r="BS296"/>
      <c r="BT296"/>
      <c r="BU296"/>
      <c r="BV296"/>
      <c r="BW296"/>
      <c r="BX296"/>
      <c r="BY296"/>
      <c r="BZ296"/>
      <c r="CA296"/>
      <c r="CB296"/>
    </row>
    <row r="297" ht="15.0" customHeight="true">
      <c r="A297" s="51" t="s">
        <v>2448</v>
      </c>
      <c r="B297" s="33"/>
      <c r="C297" s="33" t="s">
        <v>4831</v>
      </c>
      <c r="D297" s="33"/>
      <c r="E297" s="33" t="s">
        <v>727</v>
      </c>
      <c r="F297" s="33"/>
      <c r="G297" s="55" t="s">
        <v>4832</v>
      </c>
      <c r="H297" s="33"/>
      <c r="I297" s="51" t="s">
        <v>4833</v>
      </c>
      <c r="J297" s="33"/>
      <c r="K297" s="51" t="s">
        <v>4834</v>
      </c>
      <c r="L297" s="33" t="s">
        <v>2454</v>
      </c>
      <c r="M297" s="55" t="s">
        <v>4835</v>
      </c>
      <c r="N297" s="55" t="s">
        <v>4836</v>
      </c>
      <c r="O297" s="33" t="s">
        <v>2272</v>
      </c>
      <c r="P297" s="33" t="s">
        <v>2251</v>
      </c>
      <c r="Q297" s="33"/>
      <c r="R297" s="33" t="s">
        <v>2263</v>
      </c>
      <c r="S297" s="56" t="s">
        <v>2277</v>
      </c>
      <c r="T297" s="56"/>
      <c r="U297" s="56"/>
      <c r="V297" s="33" t="s">
        <v>4835</v>
      </c>
      <c r="W297" s="94" t="s">
        <v>2574</v>
      </c>
      <c r="X297" s="94" t="s">
        <v>2458</v>
      </c>
      <c r="Y297" s="51"/>
      <c r="Z297" s="51"/>
      <c r="AA297" s="33" t="s">
        <v>2459</v>
      </c>
      <c r="AB297" s="33" t="s">
        <v>2460</v>
      </c>
      <c r="AC297" s="33"/>
      <c r="AD297" s="33" t="s">
        <v>2254</v>
      </c>
      <c r="AE297" s="33"/>
      <c r="AF297" s="33" t="s">
        <v>2267</v>
      </c>
      <c r="AG297" s="33" t="s">
        <v>2461</v>
      </c>
      <c r="AH297" s="33"/>
      <c r="AI297" s="33"/>
      <c r="AJ297" s="33" t="s">
        <v>4837</v>
      </c>
      <c r="AK297" s="94"/>
      <c r="AL297" s="33" t="s">
        <v>4838</v>
      </c>
      <c r="AM297" s="33"/>
      <c r="AN297" s="33" t="s">
        <v>4839</v>
      </c>
      <c r="AO297" s="51" t="s">
        <v>4840</v>
      </c>
      <c r="AP297" s="51" t="s">
        <v>207</v>
      </c>
      <c r="AQ297" s="33"/>
      <c r="AR297" s="54"/>
      <c r="AS297" s="54"/>
      <c r="AT297" s="54"/>
      <c r="AU297" s="54"/>
      <c r="AV297" s="54"/>
      <c r="AW297" s="54"/>
      <c r="AX297" s="54"/>
      <c r="AY297" s="54"/>
      <c r="AZ297" s="54"/>
      <c r="BA297" s="54"/>
      <c r="BB297" s="54"/>
      <c r="BC297" s="54"/>
      <c r="BD297" s="54" t="s">
        <v>2447</v>
      </c>
      <c r="BE297" s="54"/>
      <c r="BF297" s="54"/>
      <c r="BG297" s="54"/>
      <c r="BH297" s="54"/>
      <c r="BI297" s="54"/>
      <c r="BJ297" s="0"/>
      <c r="BK297" s="0"/>
      <c r="BL297" s="0"/>
      <c r="BM297" s="0"/>
      <c r="BN297" s="0"/>
      <c r="BO297" s="0"/>
      <c r="BP297"/>
      <c r="BQ297"/>
      <c r="BR297"/>
      <c r="BS297"/>
      <c r="BT297"/>
      <c r="BU297"/>
      <c r="BV297"/>
      <c r="BW297"/>
      <c r="BX297"/>
      <c r="BY297"/>
      <c r="BZ297"/>
      <c r="CA297"/>
      <c r="CB297"/>
    </row>
    <row r="298" ht="15.0" customHeight="true">
      <c r="A298" s="51" t="s">
        <v>2448</v>
      </c>
      <c r="B298" s="33"/>
      <c r="C298" s="33" t="s">
        <v>4841</v>
      </c>
      <c r="D298" s="33"/>
      <c r="E298" s="33" t="s">
        <v>4842</v>
      </c>
      <c r="F298" s="33"/>
      <c r="G298" s="55" t="s">
        <v>4843</v>
      </c>
      <c r="H298" s="33"/>
      <c r="I298" s="51" t="s">
        <v>4844</v>
      </c>
      <c r="J298" s="33"/>
      <c r="K298" s="51" t="s">
        <v>4845</v>
      </c>
      <c r="L298" s="33" t="s">
        <v>2454</v>
      </c>
      <c r="M298" s="55" t="s">
        <v>4846</v>
      </c>
      <c r="N298" s="55" t="s">
        <v>2524</v>
      </c>
      <c r="O298" s="33" t="s">
        <v>2272</v>
      </c>
      <c r="P298" s="33" t="s">
        <v>2251</v>
      </c>
      <c r="Q298" s="33"/>
      <c r="R298" s="33" t="s">
        <v>2263</v>
      </c>
      <c r="S298" s="56" t="s">
        <v>2277</v>
      </c>
      <c r="T298" s="56"/>
      <c r="U298" s="56"/>
      <c r="V298" s="33" t="s">
        <v>2456</v>
      </c>
      <c r="W298" s="94" t="s">
        <v>2457</v>
      </c>
      <c r="X298" s="94" t="s">
        <v>2474</v>
      </c>
      <c r="Y298" s="51"/>
      <c r="Z298" s="51"/>
      <c r="AA298" s="33" t="s">
        <v>2459</v>
      </c>
      <c r="AB298" s="33" t="s">
        <v>2460</v>
      </c>
      <c r="AC298" s="33"/>
      <c r="AD298" s="33" t="s">
        <v>2254</v>
      </c>
      <c r="AE298" s="33"/>
      <c r="AF298" s="33" t="s">
        <v>2267</v>
      </c>
      <c r="AG298" s="33" t="s">
        <v>2461</v>
      </c>
      <c r="AH298" s="33"/>
      <c r="AI298" s="33"/>
      <c r="AJ298" s="33" t="s">
        <v>4847</v>
      </c>
      <c r="AK298" s="94"/>
      <c r="AL298" s="33" t="s">
        <v>4848</v>
      </c>
      <c r="AM298" s="33" t="s">
        <v>4849</v>
      </c>
      <c r="AN298" s="33" t="s">
        <v>2465</v>
      </c>
      <c r="AO298" s="51" t="s">
        <v>2548</v>
      </c>
      <c r="AP298" s="51" t="s">
        <v>207</v>
      </c>
      <c r="AQ298" s="33"/>
      <c r="AR298" s="54"/>
      <c r="AS298" s="54"/>
      <c r="AT298" s="54"/>
      <c r="AU298" s="54"/>
      <c r="AV298" s="54"/>
      <c r="AW298" s="54"/>
      <c r="AX298" s="54"/>
      <c r="AY298" s="54"/>
      <c r="AZ298" s="54"/>
      <c r="BA298" s="54"/>
      <c r="BB298" s="54"/>
      <c r="BC298" s="54"/>
      <c r="BD298" s="54" t="s">
        <v>2447</v>
      </c>
      <c r="BE298" s="54"/>
      <c r="BF298" s="54"/>
      <c r="BG298" s="54"/>
      <c r="BH298" s="54"/>
      <c r="BI298" s="54"/>
      <c r="BJ298" s="0"/>
      <c r="BK298" s="0"/>
      <c r="BL298" s="0"/>
      <c r="BM298" s="0"/>
      <c r="BN298" s="0"/>
      <c r="BO298" s="0"/>
      <c r="BP298"/>
      <c r="BQ298"/>
      <c r="BR298"/>
      <c r="BS298"/>
      <c r="BT298"/>
      <c r="BU298"/>
      <c r="BV298"/>
      <c r="BW298"/>
      <c r="BX298"/>
      <c r="BY298"/>
      <c r="BZ298"/>
      <c r="CA298"/>
      <c r="CB298"/>
    </row>
    <row r="299" ht="15.0" customHeight="true">
      <c r="A299" s="51" t="s">
        <v>2448</v>
      </c>
      <c r="B299" s="33"/>
      <c r="C299" s="33" t="s">
        <v>4850</v>
      </c>
      <c r="D299" s="33"/>
      <c r="E299" s="33" t="s">
        <v>4851</v>
      </c>
      <c r="F299" s="33"/>
      <c r="G299" s="55" t="s">
        <v>4852</v>
      </c>
      <c r="H299" s="33"/>
      <c r="I299" s="51" t="s">
        <v>4853</v>
      </c>
      <c r="J299" s="33"/>
      <c r="K299" s="51" t="s">
        <v>4854</v>
      </c>
      <c r="L299" s="33" t="s">
        <v>2454</v>
      </c>
      <c r="M299" s="55" t="s">
        <v>4855</v>
      </c>
      <c r="N299" s="55" t="s">
        <v>4855</v>
      </c>
      <c r="O299" s="33" t="s">
        <v>2272</v>
      </c>
      <c r="P299" s="33" t="s">
        <v>2251</v>
      </c>
      <c r="Q299" s="33"/>
      <c r="R299" s="33" t="s">
        <v>2263</v>
      </c>
      <c r="S299" s="56" t="s">
        <v>2277</v>
      </c>
      <c r="T299" s="56"/>
      <c r="U299" s="56"/>
      <c r="V299" s="33" t="s">
        <v>2456</v>
      </c>
      <c r="W299" s="94" t="s">
        <v>2457</v>
      </c>
      <c r="X299" s="94" t="s">
        <v>2458</v>
      </c>
      <c r="Y299" s="51"/>
      <c r="Z299" s="51"/>
      <c r="AA299" s="33" t="s">
        <v>2459</v>
      </c>
      <c r="AB299" s="33" t="s">
        <v>2460</v>
      </c>
      <c r="AC299" s="33"/>
      <c r="AD299" s="33" t="s">
        <v>2254</v>
      </c>
      <c r="AE299" s="33"/>
      <c r="AF299" s="33" t="s">
        <v>2267</v>
      </c>
      <c r="AG299" s="33" t="s">
        <v>2461</v>
      </c>
      <c r="AH299" s="33"/>
      <c r="AI299" s="33"/>
      <c r="AJ299" s="33" t="s">
        <v>4856</v>
      </c>
      <c r="AK299" s="94"/>
      <c r="AL299" s="33" t="s">
        <v>4857</v>
      </c>
      <c r="AM299" s="33"/>
      <c r="AN299" s="33" t="s">
        <v>2465</v>
      </c>
      <c r="AO299" s="51" t="s">
        <v>2500</v>
      </c>
      <c r="AP299" s="51" t="s">
        <v>207</v>
      </c>
      <c r="AQ299" s="33"/>
      <c r="AR299" s="54"/>
      <c r="AS299" s="54"/>
      <c r="AT299" s="54"/>
      <c r="AU299" s="54"/>
      <c r="AV299" s="54"/>
      <c r="AW299" s="54"/>
      <c r="AX299" s="54"/>
      <c r="AY299" s="54"/>
      <c r="AZ299" s="54"/>
      <c r="BA299" s="54"/>
      <c r="BB299" s="54"/>
      <c r="BC299" s="54"/>
      <c r="BD299" s="54" t="s">
        <v>2447</v>
      </c>
      <c r="BE299" s="54"/>
      <c r="BF299" s="54"/>
      <c r="BG299" s="54"/>
      <c r="BH299" s="54"/>
      <c r="BI299" s="54"/>
      <c r="BJ299" s="0"/>
      <c r="BK299" s="0"/>
      <c r="BL299" s="0"/>
      <c r="BM299" s="0"/>
      <c r="BN299" s="0"/>
      <c r="BO299" s="0"/>
      <c r="BP299"/>
      <c r="BQ299"/>
      <c r="BR299"/>
      <c r="BS299"/>
      <c r="BT299"/>
      <c r="BU299"/>
      <c r="BV299"/>
      <c r="BW299"/>
      <c r="BX299"/>
      <c r="BY299"/>
      <c r="BZ299"/>
      <c r="CA299"/>
      <c r="CB299"/>
    </row>
    <row r="300" ht="15.0" customHeight="true">
      <c r="A300" s="51" t="s">
        <v>2448</v>
      </c>
      <c r="B300" s="33"/>
      <c r="C300" s="33" t="s">
        <v>4858</v>
      </c>
      <c r="D300" s="33"/>
      <c r="E300" s="33" t="s">
        <v>2580</v>
      </c>
      <c r="F300" s="33"/>
      <c r="G300" s="55" t="s">
        <v>4859</v>
      </c>
      <c r="H300" s="33"/>
      <c r="I300" s="51" t="s">
        <v>4860</v>
      </c>
      <c r="J300" s="33"/>
      <c r="K300" s="51" t="s">
        <v>4861</v>
      </c>
      <c r="L300" s="33" t="s">
        <v>2454</v>
      </c>
      <c r="M300" s="55" t="s">
        <v>2968</v>
      </c>
      <c r="N300" s="55" t="s">
        <v>2968</v>
      </c>
      <c r="O300" s="33" t="s">
        <v>2272</v>
      </c>
      <c r="P300" s="33" t="s">
        <v>2251</v>
      </c>
      <c r="Q300" s="33"/>
      <c r="R300" s="33" t="s">
        <v>2263</v>
      </c>
      <c r="S300" s="56" t="s">
        <v>2277</v>
      </c>
      <c r="T300" s="56"/>
      <c r="U300" s="56"/>
      <c r="V300" s="33" t="s">
        <v>2456</v>
      </c>
      <c r="W300" s="94" t="s">
        <v>2457</v>
      </c>
      <c r="X300" s="94" t="s">
        <v>2474</v>
      </c>
      <c r="Y300" s="51"/>
      <c r="Z300" s="51"/>
      <c r="AA300" s="33" t="s">
        <v>2459</v>
      </c>
      <c r="AB300" s="33" t="s">
        <v>2460</v>
      </c>
      <c r="AC300" s="33"/>
      <c r="AD300" s="33" t="s">
        <v>2254</v>
      </c>
      <c r="AE300" s="33"/>
      <c r="AF300" s="33" t="s">
        <v>2267</v>
      </c>
      <c r="AG300" s="33" t="s">
        <v>2461</v>
      </c>
      <c r="AH300" s="33"/>
      <c r="AI300" s="33"/>
      <c r="AJ300" s="33" t="s">
        <v>4862</v>
      </c>
      <c r="AK300" s="94"/>
      <c r="AL300" s="33" t="s">
        <v>2546</v>
      </c>
      <c r="AM300" s="33" t="s">
        <v>4863</v>
      </c>
      <c r="AN300" s="33" t="s">
        <v>2465</v>
      </c>
      <c r="AO300" s="51" t="s">
        <v>2548</v>
      </c>
      <c r="AP300" s="51" t="s">
        <v>207</v>
      </c>
      <c r="AQ300" s="33"/>
      <c r="AR300" s="54"/>
      <c r="AS300" s="54"/>
      <c r="AT300" s="54"/>
      <c r="AU300" s="54"/>
      <c r="AV300" s="54"/>
      <c r="AW300" s="54"/>
      <c r="AX300" s="54"/>
      <c r="AY300" s="54"/>
      <c r="AZ300" s="54"/>
      <c r="BA300" s="54"/>
      <c r="BB300" s="54"/>
      <c r="BC300" s="54"/>
      <c r="BD300" s="54" t="s">
        <v>2447</v>
      </c>
      <c r="BE300" s="54"/>
      <c r="BF300" s="54"/>
      <c r="BG300" s="54"/>
      <c r="BH300" s="54"/>
      <c r="BI300" s="54"/>
      <c r="BJ300" s="0"/>
      <c r="BK300" s="0"/>
      <c r="BL300" s="0"/>
      <c r="BM300" s="0"/>
      <c r="BN300" s="0"/>
      <c r="BO300" s="0"/>
      <c r="BP300"/>
      <c r="BQ300"/>
      <c r="BR300"/>
      <c r="BS300"/>
      <c r="BT300"/>
      <c r="BU300"/>
      <c r="BV300"/>
      <c r="BW300"/>
      <c r="BX300"/>
      <c r="BY300"/>
      <c r="BZ300"/>
      <c r="CA300"/>
      <c r="CB300"/>
    </row>
    <row r="301" ht="15.0" customHeight="true">
      <c r="A301" s="51" t="s">
        <v>2448</v>
      </c>
      <c r="B301" s="33"/>
      <c r="C301" s="33" t="s">
        <v>2579</v>
      </c>
      <c r="D301" s="33"/>
      <c r="E301" s="33" t="s">
        <v>4864</v>
      </c>
      <c r="F301" s="33"/>
      <c r="G301" s="55" t="s">
        <v>4865</v>
      </c>
      <c r="H301" s="33"/>
      <c r="I301" s="51" t="s">
        <v>4866</v>
      </c>
      <c r="J301" s="33"/>
      <c r="K301" s="51" t="s">
        <v>4867</v>
      </c>
      <c r="L301" s="33" t="s">
        <v>2484</v>
      </c>
      <c r="M301" s="55" t="s">
        <v>2572</v>
      </c>
      <c r="N301" s="55"/>
      <c r="O301" s="33"/>
      <c r="P301" s="33" t="s">
        <v>2251</v>
      </c>
      <c r="Q301" s="33"/>
      <c r="R301" s="33" t="s">
        <v>2263</v>
      </c>
      <c r="S301" s="56" t="s">
        <v>2277</v>
      </c>
      <c r="T301" s="56"/>
      <c r="U301" s="56"/>
      <c r="V301" s="33" t="s">
        <v>2456</v>
      </c>
      <c r="W301" s="94" t="s">
        <v>2457</v>
      </c>
      <c r="X301" s="94" t="s">
        <v>2474</v>
      </c>
      <c r="Y301" s="51"/>
      <c r="Z301" s="51"/>
      <c r="AA301" s="33" t="s">
        <v>2459</v>
      </c>
      <c r="AB301" s="33" t="s">
        <v>2460</v>
      </c>
      <c r="AC301" s="33" t="s">
        <v>2486</v>
      </c>
      <c r="AD301" s="33" t="s">
        <v>2254</v>
      </c>
      <c r="AE301" s="33"/>
      <c r="AF301" s="33" t="s">
        <v>2267</v>
      </c>
      <c r="AG301" s="33" t="s">
        <v>2461</v>
      </c>
      <c r="AH301" s="33"/>
      <c r="AI301" s="33"/>
      <c r="AJ301" s="33" t="s">
        <v>4868</v>
      </c>
      <c r="AK301" s="94"/>
      <c r="AL301" s="33" t="s">
        <v>4869</v>
      </c>
      <c r="AM301" s="33" t="s">
        <v>4870</v>
      </c>
      <c r="AN301" s="33" t="s">
        <v>2465</v>
      </c>
      <c r="AO301" s="51" t="s">
        <v>2548</v>
      </c>
      <c r="AP301" s="51" t="s">
        <v>207</v>
      </c>
      <c r="AQ301" s="33"/>
      <c r="AR301" s="54"/>
      <c r="AS301" s="54"/>
      <c r="AT301" s="54"/>
      <c r="AU301" s="54"/>
      <c r="AV301" s="54"/>
      <c r="AW301" s="54"/>
      <c r="AX301" s="54"/>
      <c r="AY301" s="54"/>
      <c r="AZ301" s="54"/>
      <c r="BA301" s="54"/>
      <c r="BB301" s="54"/>
      <c r="BC301" s="54"/>
      <c r="BD301" s="54" t="s">
        <v>2447</v>
      </c>
      <c r="BE301" s="54"/>
      <c r="BF301" s="54"/>
      <c r="BG301" s="54"/>
      <c r="BH301" s="54"/>
      <c r="BI301" s="54"/>
      <c r="BJ301" s="0"/>
      <c r="BK301" s="0"/>
      <c r="BL301" s="0"/>
      <c r="BM301" s="0"/>
      <c r="BN301" s="0"/>
      <c r="BO301" s="0"/>
      <c r="BP301"/>
      <c r="BQ301"/>
      <c r="BR301"/>
      <c r="BS301"/>
      <c r="BT301"/>
      <c r="BU301"/>
      <c r="BV301"/>
      <c r="BW301"/>
      <c r="BX301"/>
      <c r="BY301"/>
      <c r="BZ301"/>
      <c r="CA301"/>
      <c r="CB301"/>
    </row>
    <row r="302" ht="15.0" customHeight="true">
      <c r="A302" s="51" t="s">
        <v>2448</v>
      </c>
      <c r="B302" s="33"/>
      <c r="C302" s="33" t="s">
        <v>2988</v>
      </c>
      <c r="D302" s="33"/>
      <c r="E302" s="33" t="s">
        <v>4871</v>
      </c>
      <c r="F302" s="33"/>
      <c r="G302" s="55" t="s">
        <v>4872</v>
      </c>
      <c r="H302" s="33"/>
      <c r="I302" s="51" t="s">
        <v>4873</v>
      </c>
      <c r="J302" s="33"/>
      <c r="K302" s="51" t="s">
        <v>4874</v>
      </c>
      <c r="L302" s="33" t="s">
        <v>2454</v>
      </c>
      <c r="M302" s="55" t="s">
        <v>4080</v>
      </c>
      <c r="N302" s="55" t="s">
        <v>3999</v>
      </c>
      <c r="O302" s="33" t="s">
        <v>2272</v>
      </c>
      <c r="P302" s="33" t="s">
        <v>2251</v>
      </c>
      <c r="Q302" s="33"/>
      <c r="R302" s="33" t="s">
        <v>2263</v>
      </c>
      <c r="S302" s="56" t="s">
        <v>2277</v>
      </c>
      <c r="T302" s="56"/>
      <c r="U302" s="56"/>
      <c r="V302" s="33" t="s">
        <v>2456</v>
      </c>
      <c r="W302" s="94" t="s">
        <v>2457</v>
      </c>
      <c r="X302" s="94" t="s">
        <v>2458</v>
      </c>
      <c r="Y302" s="51"/>
      <c r="Z302" s="51"/>
      <c r="AA302" s="33" t="s">
        <v>2459</v>
      </c>
      <c r="AB302" s="33" t="s">
        <v>2460</v>
      </c>
      <c r="AC302" s="33"/>
      <c r="AD302" s="33" t="s">
        <v>2254</v>
      </c>
      <c r="AE302" s="33"/>
      <c r="AF302" s="33" t="s">
        <v>2267</v>
      </c>
      <c r="AG302" s="33" t="s">
        <v>2461</v>
      </c>
      <c r="AH302" s="33"/>
      <c r="AI302" s="33"/>
      <c r="AJ302" s="33" t="s">
        <v>4875</v>
      </c>
      <c r="AK302" s="94"/>
      <c r="AL302" s="33" t="s">
        <v>4876</v>
      </c>
      <c r="AM302" s="33"/>
      <c r="AN302" s="33" t="s">
        <v>2465</v>
      </c>
      <c r="AO302" s="51" t="s">
        <v>2618</v>
      </c>
      <c r="AP302" s="51" t="s">
        <v>207</v>
      </c>
      <c r="AQ302" s="33"/>
      <c r="AR302" s="54"/>
      <c r="AS302" s="54"/>
      <c r="AT302" s="54"/>
      <c r="AU302" s="54"/>
      <c r="AV302" s="54"/>
      <c r="AW302" s="54"/>
      <c r="AX302" s="54"/>
      <c r="AY302" s="54"/>
      <c r="AZ302" s="54"/>
      <c r="BA302" s="54"/>
      <c r="BB302" s="54"/>
      <c r="BC302" s="54"/>
      <c r="BD302" s="54" t="s">
        <v>2447</v>
      </c>
      <c r="BE302" s="54"/>
      <c r="BF302" s="54"/>
      <c r="BG302" s="54"/>
      <c r="BH302" s="54"/>
      <c r="BI302" s="54"/>
      <c r="BJ302" s="0"/>
      <c r="BK302" s="0"/>
      <c r="BL302" s="0"/>
      <c r="BM302" s="0"/>
      <c r="BN302" s="0"/>
      <c r="BO302" s="0"/>
      <c r="BP302"/>
      <c r="BQ302"/>
      <c r="BR302"/>
      <c r="BS302"/>
      <c r="BT302"/>
      <c r="BU302"/>
      <c r="BV302"/>
      <c r="BW302"/>
      <c r="BX302"/>
      <c r="BY302"/>
      <c r="BZ302"/>
      <c r="CA302"/>
      <c r="CB302"/>
    </row>
    <row r="303" ht="15.0" customHeight="true">
      <c r="A303" s="51" t="s">
        <v>2448</v>
      </c>
      <c r="B303" s="33"/>
      <c r="C303" s="33" t="s">
        <v>4877</v>
      </c>
      <c r="D303" s="33"/>
      <c r="E303" s="33" t="s">
        <v>4878</v>
      </c>
      <c r="F303" s="33"/>
      <c r="G303" s="55" t="s">
        <v>4879</v>
      </c>
      <c r="H303" s="33"/>
      <c r="I303" s="51" t="s">
        <v>4880</v>
      </c>
      <c r="J303" s="33"/>
      <c r="K303" s="51" t="s">
        <v>4881</v>
      </c>
      <c r="L303" s="33" t="s">
        <v>2454</v>
      </c>
      <c r="M303" s="55" t="s">
        <v>3233</v>
      </c>
      <c r="N303" s="55" t="s">
        <v>4882</v>
      </c>
      <c r="O303" s="33" t="s">
        <v>2272</v>
      </c>
      <c r="P303" s="33" t="s">
        <v>2251</v>
      </c>
      <c r="Q303" s="33"/>
      <c r="R303" s="33" t="s">
        <v>2263</v>
      </c>
      <c r="S303" s="56" t="s">
        <v>2277</v>
      </c>
      <c r="T303" s="56"/>
      <c r="U303" s="56"/>
      <c r="V303" s="33" t="s">
        <v>2456</v>
      </c>
      <c r="W303" s="94" t="s">
        <v>2457</v>
      </c>
      <c r="X303" s="94" t="s">
        <v>2458</v>
      </c>
      <c r="Y303" s="51"/>
      <c r="Z303" s="51"/>
      <c r="AA303" s="33" t="s">
        <v>2459</v>
      </c>
      <c r="AB303" s="33" t="s">
        <v>2460</v>
      </c>
      <c r="AC303" s="33"/>
      <c r="AD303" s="33" t="s">
        <v>2254</v>
      </c>
      <c r="AE303" s="33"/>
      <c r="AF303" s="33" t="s">
        <v>2267</v>
      </c>
      <c r="AG303" s="33" t="s">
        <v>2461</v>
      </c>
      <c r="AH303" s="33"/>
      <c r="AI303" s="33"/>
      <c r="AJ303" s="33" t="s">
        <v>4883</v>
      </c>
      <c r="AK303" s="94"/>
      <c r="AL303" s="33" t="s">
        <v>4884</v>
      </c>
      <c r="AM303" s="33"/>
      <c r="AN303" s="33" t="s">
        <v>2588</v>
      </c>
      <c r="AO303" s="51" t="s">
        <v>2589</v>
      </c>
      <c r="AP303" s="51" t="s">
        <v>207</v>
      </c>
      <c r="AQ303" s="33"/>
      <c r="AR303" s="54"/>
      <c r="AS303" s="54"/>
      <c r="AT303" s="54"/>
      <c r="AU303" s="54"/>
      <c r="AV303" s="54"/>
      <c r="AW303" s="54"/>
      <c r="AX303" s="54"/>
      <c r="AY303" s="54"/>
      <c r="AZ303" s="54"/>
      <c r="BA303" s="54"/>
      <c r="BB303" s="54"/>
      <c r="BC303" s="54"/>
      <c r="BD303" s="54" t="s">
        <v>2447</v>
      </c>
      <c r="BE303" s="54"/>
      <c r="BF303" s="54"/>
      <c r="BG303" s="54"/>
      <c r="BH303" s="54"/>
      <c r="BI303" s="54"/>
      <c r="BJ303" s="0"/>
      <c r="BK303" s="0"/>
      <c r="BL303" s="0"/>
      <c r="BM303" s="0"/>
      <c r="BN303" s="0"/>
      <c r="BO303" s="0"/>
      <c r="BP303"/>
      <c r="BQ303"/>
      <c r="BR303"/>
      <c r="BS303"/>
      <c r="BT303"/>
      <c r="BU303"/>
      <c r="BV303"/>
      <c r="BW303"/>
      <c r="BX303"/>
      <c r="BY303"/>
      <c r="BZ303"/>
      <c r="CA303"/>
      <c r="CB303"/>
    </row>
    <row r="304" ht="15.0" customHeight="true">
      <c r="A304" s="51" t="s">
        <v>2448</v>
      </c>
      <c r="B304" s="33"/>
      <c r="C304" s="33" t="s">
        <v>3979</v>
      </c>
      <c r="D304" s="33"/>
      <c r="E304" s="33" t="s">
        <v>4885</v>
      </c>
      <c r="F304" s="33"/>
      <c r="G304" s="55" t="s">
        <v>4886</v>
      </c>
      <c r="H304" s="33"/>
      <c r="I304" s="51" t="s">
        <v>4887</v>
      </c>
      <c r="J304" s="33"/>
      <c r="K304" s="51" t="s">
        <v>4888</v>
      </c>
      <c r="L304" s="33" t="s">
        <v>2484</v>
      </c>
      <c r="M304" s="55" t="s">
        <v>4889</v>
      </c>
      <c r="N304" s="55"/>
      <c r="O304" s="33"/>
      <c r="P304" s="33" t="s">
        <v>2251</v>
      </c>
      <c r="Q304" s="33"/>
      <c r="R304" s="33" t="s">
        <v>2263</v>
      </c>
      <c r="S304" s="56" t="s">
        <v>2277</v>
      </c>
      <c r="T304" s="56"/>
      <c r="U304" s="56"/>
      <c r="V304" s="33" t="s">
        <v>4889</v>
      </c>
      <c r="W304" s="94" t="s">
        <v>2574</v>
      </c>
      <c r="X304" s="94" t="s">
        <v>4376</v>
      </c>
      <c r="Y304" s="51"/>
      <c r="Z304" s="51"/>
      <c r="AA304" s="33" t="s">
        <v>2459</v>
      </c>
      <c r="AB304" s="33" t="s">
        <v>3790</v>
      </c>
      <c r="AC304" s="33" t="s">
        <v>4890</v>
      </c>
      <c r="AD304" s="33" t="s">
        <v>2254</v>
      </c>
      <c r="AE304" s="33"/>
      <c r="AF304" s="33" t="s">
        <v>2256</v>
      </c>
      <c r="AG304" s="33" t="s">
        <v>2461</v>
      </c>
      <c r="AH304" s="33"/>
      <c r="AI304" s="33"/>
      <c r="AJ304" s="33" t="s">
        <v>4891</v>
      </c>
      <c r="AK304" s="94"/>
      <c r="AL304" s="33" t="s">
        <v>4892</v>
      </c>
      <c r="AM304" s="33"/>
      <c r="AN304" s="33" t="s">
        <v>2465</v>
      </c>
      <c r="AO304" s="51" t="s">
        <v>2820</v>
      </c>
      <c r="AP304" s="51" t="s">
        <v>207</v>
      </c>
      <c r="AQ304" s="33"/>
      <c r="AR304" s="54"/>
      <c r="AS304" s="54"/>
      <c r="AT304" s="54"/>
      <c r="AU304" s="54"/>
      <c r="AV304" s="54"/>
      <c r="AW304" s="54"/>
      <c r="AX304" s="54"/>
      <c r="AY304" s="54"/>
      <c r="AZ304" s="54"/>
      <c r="BA304" s="54"/>
      <c r="BB304" s="54"/>
      <c r="BC304" s="54"/>
      <c r="BD304" s="54" t="s">
        <v>2447</v>
      </c>
      <c r="BE304" s="54"/>
      <c r="BF304" s="54"/>
      <c r="BG304" s="54"/>
      <c r="BH304" s="54"/>
      <c r="BI304" s="54"/>
      <c r="BJ304" s="0"/>
      <c r="BK304" s="0"/>
      <c r="BL304" s="0"/>
      <c r="BM304" s="0"/>
      <c r="BN304" s="0"/>
      <c r="BO304" s="0"/>
      <c r="BP304"/>
      <c r="BQ304"/>
      <c r="BR304"/>
      <c r="BS304"/>
      <c r="BT304"/>
      <c r="BU304"/>
      <c r="BV304"/>
      <c r="BW304"/>
      <c r="BX304"/>
      <c r="BY304"/>
      <c r="BZ304"/>
      <c r="CA304"/>
      <c r="CB304"/>
    </row>
    <row r="305" ht="15.0" customHeight="true">
      <c r="A305" s="51" t="s">
        <v>2448</v>
      </c>
      <c r="B305" s="33"/>
      <c r="C305" s="33" t="s">
        <v>4893</v>
      </c>
      <c r="D305" s="33"/>
      <c r="E305" s="33" t="s">
        <v>4894</v>
      </c>
      <c r="F305" s="33"/>
      <c r="G305" s="55" t="s">
        <v>4895</v>
      </c>
      <c r="H305" s="33"/>
      <c r="I305" s="51" t="s">
        <v>4896</v>
      </c>
      <c r="J305" s="33"/>
      <c r="K305" s="51" t="s">
        <v>4897</v>
      </c>
      <c r="L305" s="33" t="s">
        <v>2484</v>
      </c>
      <c r="M305" s="55" t="s">
        <v>4898</v>
      </c>
      <c r="N305" s="55"/>
      <c r="O305" s="33"/>
      <c r="P305" s="33" t="s">
        <v>2251</v>
      </c>
      <c r="Q305" s="33"/>
      <c r="R305" s="33" t="s">
        <v>2263</v>
      </c>
      <c r="S305" s="56" t="s">
        <v>2277</v>
      </c>
      <c r="T305" s="56"/>
      <c r="U305" s="56"/>
      <c r="V305" s="33" t="s">
        <v>2456</v>
      </c>
      <c r="W305" s="94" t="s">
        <v>2457</v>
      </c>
      <c r="X305" s="94" t="s">
        <v>2474</v>
      </c>
      <c r="Y305" s="51"/>
      <c r="Z305" s="51"/>
      <c r="AA305" s="33" t="s">
        <v>2459</v>
      </c>
      <c r="AB305" s="33" t="s">
        <v>2460</v>
      </c>
      <c r="AC305" s="33" t="s">
        <v>2486</v>
      </c>
      <c r="AD305" s="33" t="s">
        <v>2254</v>
      </c>
      <c r="AE305" s="33"/>
      <c r="AF305" s="33" t="s">
        <v>2267</v>
      </c>
      <c r="AG305" s="33" t="s">
        <v>2461</v>
      </c>
      <c r="AH305" s="33"/>
      <c r="AI305" s="33"/>
      <c r="AJ305" s="33" t="s">
        <v>4899</v>
      </c>
      <c r="AK305" s="94"/>
      <c r="AL305" s="33" t="s">
        <v>4900</v>
      </c>
      <c r="AM305" s="33" t="s">
        <v>4901</v>
      </c>
      <c r="AN305" s="33" t="s">
        <v>2465</v>
      </c>
      <c r="AO305" s="51" t="s">
        <v>2820</v>
      </c>
      <c r="AP305" s="51" t="s">
        <v>207</v>
      </c>
      <c r="AQ305" s="33"/>
      <c r="AR305" s="54"/>
      <c r="AS305" s="54"/>
      <c r="AT305" s="54"/>
      <c r="AU305" s="54"/>
      <c r="AV305" s="54"/>
      <c r="AW305" s="54"/>
      <c r="AX305" s="54"/>
      <c r="AY305" s="54"/>
      <c r="AZ305" s="54"/>
      <c r="BA305" s="54"/>
      <c r="BB305" s="54"/>
      <c r="BC305" s="54"/>
      <c r="BD305" s="54" t="s">
        <v>2447</v>
      </c>
      <c r="BE305" s="54"/>
      <c r="BF305" s="54"/>
      <c r="BG305" s="54"/>
      <c r="BH305" s="54"/>
      <c r="BI305" s="54"/>
      <c r="BJ305" s="0"/>
      <c r="BK305" s="0"/>
      <c r="BL305" s="0"/>
      <c r="BM305" s="0"/>
      <c r="BN305" s="0"/>
      <c r="BO305" s="0"/>
      <c r="BP305"/>
      <c r="BQ305"/>
      <c r="BR305"/>
      <c r="BS305"/>
      <c r="BT305"/>
      <c r="BU305"/>
      <c r="BV305"/>
      <c r="BW305"/>
      <c r="BX305"/>
      <c r="BY305"/>
      <c r="BZ305"/>
      <c r="CA305"/>
      <c r="CB305"/>
    </row>
    <row r="306" ht="15.0" customHeight="true">
      <c r="A306" s="51" t="s">
        <v>2448</v>
      </c>
      <c r="B306" s="33"/>
      <c r="C306" s="33" t="s">
        <v>4902</v>
      </c>
      <c r="D306" s="33"/>
      <c r="E306" s="33" t="s">
        <v>4903</v>
      </c>
      <c r="F306" s="33"/>
      <c r="G306" s="55" t="s">
        <v>4904</v>
      </c>
      <c r="H306" s="33"/>
      <c r="I306" s="51" t="s">
        <v>4905</v>
      </c>
      <c r="J306" s="33"/>
      <c r="K306" s="51" t="s">
        <v>4906</v>
      </c>
      <c r="L306" s="33" t="s">
        <v>2454</v>
      </c>
      <c r="M306" s="55" t="s">
        <v>2936</v>
      </c>
      <c r="N306" s="55" t="s">
        <v>2554</v>
      </c>
      <c r="O306" s="33" t="s">
        <v>2272</v>
      </c>
      <c r="P306" s="33" t="s">
        <v>2251</v>
      </c>
      <c r="Q306" s="33"/>
      <c r="R306" s="33" t="s">
        <v>2263</v>
      </c>
      <c r="S306" s="56" t="s">
        <v>2277</v>
      </c>
      <c r="T306" s="56"/>
      <c r="U306" s="56"/>
      <c r="V306" s="33" t="s">
        <v>2456</v>
      </c>
      <c r="W306" s="94" t="s">
        <v>2457</v>
      </c>
      <c r="X306" s="94" t="s">
        <v>2474</v>
      </c>
      <c r="Y306" s="51"/>
      <c r="Z306" s="51"/>
      <c r="AA306" s="33" t="s">
        <v>2459</v>
      </c>
      <c r="AB306" s="33" t="s">
        <v>2460</v>
      </c>
      <c r="AC306" s="33"/>
      <c r="AD306" s="33" t="s">
        <v>2254</v>
      </c>
      <c r="AE306" s="33"/>
      <c r="AF306" s="33" t="s">
        <v>2267</v>
      </c>
      <c r="AG306" s="33" t="s">
        <v>2461</v>
      </c>
      <c r="AH306" s="33"/>
      <c r="AI306" s="33"/>
      <c r="AJ306" s="33" t="s">
        <v>4907</v>
      </c>
      <c r="AK306" s="94"/>
      <c r="AL306" s="33" t="s">
        <v>4908</v>
      </c>
      <c r="AM306" s="33"/>
      <c r="AN306" s="33" t="s">
        <v>2588</v>
      </c>
      <c r="AO306" s="51" t="s">
        <v>2589</v>
      </c>
      <c r="AP306" s="51" t="s">
        <v>207</v>
      </c>
      <c r="AQ306" s="33"/>
      <c r="AR306" s="54"/>
      <c r="AS306" s="54"/>
      <c r="AT306" s="54"/>
      <c r="AU306" s="54"/>
      <c r="AV306" s="54"/>
      <c r="AW306" s="54"/>
      <c r="AX306" s="54"/>
      <c r="AY306" s="54"/>
      <c r="AZ306" s="54"/>
      <c r="BA306" s="54"/>
      <c r="BB306" s="54"/>
      <c r="BC306" s="54"/>
      <c r="BD306" s="54" t="s">
        <v>2447</v>
      </c>
      <c r="BE306" s="54"/>
      <c r="BF306" s="54"/>
      <c r="BG306" s="54"/>
      <c r="BH306" s="54"/>
      <c r="BI306" s="54"/>
      <c r="BJ306" s="0"/>
      <c r="BK306" s="0"/>
      <c r="BL306" s="0"/>
      <c r="BM306" s="0"/>
      <c r="BN306" s="0"/>
      <c r="BO306" s="0"/>
      <c r="BP306"/>
      <c r="BQ306"/>
      <c r="BR306"/>
      <c r="BS306"/>
      <c r="BT306"/>
      <c r="BU306"/>
      <c r="BV306"/>
      <c r="BW306"/>
      <c r="BX306"/>
      <c r="BY306"/>
      <c r="BZ306"/>
      <c r="CA306"/>
      <c r="CB306"/>
    </row>
    <row r="307" ht="15.0" customHeight="true">
      <c r="A307" s="51" t="s">
        <v>2448</v>
      </c>
      <c r="B307" s="33"/>
      <c r="C307" s="33" t="s">
        <v>3766</v>
      </c>
      <c r="D307" s="33"/>
      <c r="E307" s="33" t="s">
        <v>3245</v>
      </c>
      <c r="F307" s="33"/>
      <c r="G307" s="55" t="s">
        <v>4909</v>
      </c>
      <c r="H307" s="33"/>
      <c r="I307" s="51" t="s">
        <v>4910</v>
      </c>
      <c r="J307" s="33"/>
      <c r="K307" s="51" t="s">
        <v>4911</v>
      </c>
      <c r="L307" s="33" t="s">
        <v>2454</v>
      </c>
      <c r="M307" s="55" t="s">
        <v>4036</v>
      </c>
      <c r="N307" s="55" t="s">
        <v>4368</v>
      </c>
      <c r="O307" s="33" t="s">
        <v>2272</v>
      </c>
      <c r="P307" s="33" t="s">
        <v>2251</v>
      </c>
      <c r="Q307" s="33"/>
      <c r="R307" s="33" t="s">
        <v>2263</v>
      </c>
      <c r="S307" s="56" t="s">
        <v>2277</v>
      </c>
      <c r="T307" s="56"/>
      <c r="U307" s="56"/>
      <c r="V307" s="33" t="s">
        <v>2456</v>
      </c>
      <c r="W307" s="94" t="s">
        <v>2457</v>
      </c>
      <c r="X307" s="94" t="s">
        <v>2474</v>
      </c>
      <c r="Y307" s="51"/>
      <c r="Z307" s="51"/>
      <c r="AA307" s="33" t="s">
        <v>2459</v>
      </c>
      <c r="AB307" s="33" t="s">
        <v>2460</v>
      </c>
      <c r="AC307" s="33"/>
      <c r="AD307" s="33" t="s">
        <v>2254</v>
      </c>
      <c r="AE307" s="33"/>
      <c r="AF307" s="33" t="s">
        <v>2267</v>
      </c>
      <c r="AG307" s="33" t="s">
        <v>2461</v>
      </c>
      <c r="AH307" s="33"/>
      <c r="AI307" s="33"/>
      <c r="AJ307" s="33" t="s">
        <v>4912</v>
      </c>
      <c r="AK307" s="94"/>
      <c r="AL307" s="33" t="s">
        <v>4913</v>
      </c>
      <c r="AM307" s="33"/>
      <c r="AN307" s="33" t="s">
        <v>2588</v>
      </c>
      <c r="AO307" s="51" t="s">
        <v>2911</v>
      </c>
      <c r="AP307" s="51" t="s">
        <v>207</v>
      </c>
      <c r="AQ307" s="33"/>
      <c r="AR307" s="54"/>
      <c r="AS307" s="54"/>
      <c r="AT307" s="54"/>
      <c r="AU307" s="54"/>
      <c r="AV307" s="54"/>
      <c r="AW307" s="54"/>
      <c r="AX307" s="54"/>
      <c r="AY307" s="54"/>
      <c r="AZ307" s="54"/>
      <c r="BA307" s="54"/>
      <c r="BB307" s="54"/>
      <c r="BC307" s="54"/>
      <c r="BD307" s="54" t="s">
        <v>2447</v>
      </c>
      <c r="BE307" s="54"/>
      <c r="BF307" s="54"/>
      <c r="BG307" s="54"/>
      <c r="BH307" s="54"/>
      <c r="BI307" s="54"/>
      <c r="BJ307" s="0"/>
      <c r="BK307" s="0"/>
      <c r="BL307" s="0"/>
      <c r="BM307" s="0"/>
      <c r="BN307" s="0"/>
      <c r="BO307" s="0"/>
      <c r="BP307"/>
      <c r="BQ307"/>
      <c r="BR307"/>
      <c r="BS307"/>
      <c r="BT307"/>
      <c r="BU307"/>
      <c r="BV307"/>
      <c r="BW307"/>
      <c r="BX307"/>
      <c r="BY307"/>
      <c r="BZ307"/>
      <c r="CA307"/>
      <c r="CB307"/>
    </row>
    <row r="308" ht="15.0" customHeight="true">
      <c r="A308" s="51" t="s">
        <v>2448</v>
      </c>
      <c r="B308" s="33"/>
      <c r="C308" s="33" t="s">
        <v>4709</v>
      </c>
      <c r="D308" s="33"/>
      <c r="E308" s="33" t="s">
        <v>4914</v>
      </c>
      <c r="F308" s="33"/>
      <c r="G308" s="55" t="s">
        <v>4915</v>
      </c>
      <c r="H308" s="33"/>
      <c r="I308" s="51" t="s">
        <v>4916</v>
      </c>
      <c r="J308" s="33"/>
      <c r="K308" s="51" t="s">
        <v>4917</v>
      </c>
      <c r="L308" s="33" t="s">
        <v>2454</v>
      </c>
      <c r="M308" s="55" t="s">
        <v>3281</v>
      </c>
      <c r="N308" s="55" t="s">
        <v>4918</v>
      </c>
      <c r="O308" s="33" t="s">
        <v>2272</v>
      </c>
      <c r="P308" s="33" t="s">
        <v>2251</v>
      </c>
      <c r="Q308" s="33"/>
      <c r="R308" s="33" t="s">
        <v>2263</v>
      </c>
      <c r="S308" s="56" t="s">
        <v>2277</v>
      </c>
      <c r="T308" s="56"/>
      <c r="U308" s="56"/>
      <c r="V308" s="33" t="s">
        <v>2456</v>
      </c>
      <c r="W308" s="94" t="s">
        <v>2457</v>
      </c>
      <c r="X308" s="94" t="s">
        <v>2458</v>
      </c>
      <c r="Y308" s="51"/>
      <c r="Z308" s="51"/>
      <c r="AA308" s="33" t="s">
        <v>2459</v>
      </c>
      <c r="AB308" s="33" t="s">
        <v>2460</v>
      </c>
      <c r="AC308" s="33"/>
      <c r="AD308" s="33" t="s">
        <v>2254</v>
      </c>
      <c r="AE308" s="33"/>
      <c r="AF308" s="33" t="s">
        <v>2267</v>
      </c>
      <c r="AG308" s="33" t="s">
        <v>2461</v>
      </c>
      <c r="AH308" s="33"/>
      <c r="AI308" s="33"/>
      <c r="AJ308" s="33" t="s">
        <v>4919</v>
      </c>
      <c r="AK308" s="94"/>
      <c r="AL308" s="33" t="s">
        <v>4920</v>
      </c>
      <c r="AM308" s="33"/>
      <c r="AN308" s="33" t="s">
        <v>2465</v>
      </c>
      <c r="AO308" s="51" t="s">
        <v>2489</v>
      </c>
      <c r="AP308" s="51" t="s">
        <v>207</v>
      </c>
      <c r="AQ308" s="33"/>
      <c r="AR308" s="54"/>
      <c r="AS308" s="54"/>
      <c r="AT308" s="54"/>
      <c r="AU308" s="54"/>
      <c r="AV308" s="54"/>
      <c r="AW308" s="54"/>
      <c r="AX308" s="54"/>
      <c r="AY308" s="54"/>
      <c r="AZ308" s="54"/>
      <c r="BA308" s="54"/>
      <c r="BB308" s="54"/>
      <c r="BC308" s="54"/>
      <c r="BD308" s="54" t="s">
        <v>2447</v>
      </c>
      <c r="BE308" s="54"/>
      <c r="BF308" s="54"/>
      <c r="BG308" s="54"/>
      <c r="BH308" s="54"/>
      <c r="BI308" s="54"/>
      <c r="BJ308" s="0"/>
      <c r="BK308" s="0"/>
      <c r="BL308" s="0"/>
      <c r="BM308" s="0"/>
      <c r="BN308" s="0"/>
      <c r="BO308" s="0"/>
      <c r="BP308"/>
      <c r="BQ308"/>
      <c r="BR308"/>
      <c r="BS308"/>
      <c r="BT308"/>
      <c r="BU308"/>
      <c r="BV308"/>
      <c r="BW308"/>
      <c r="BX308"/>
      <c r="BY308"/>
      <c r="BZ308"/>
      <c r="CA308"/>
      <c r="CB308"/>
    </row>
    <row r="309" ht="15.0" customHeight="true">
      <c r="A309" s="51" t="s">
        <v>2448</v>
      </c>
      <c r="B309" s="33"/>
      <c r="C309" s="33" t="s">
        <v>4921</v>
      </c>
      <c r="D309" s="33"/>
      <c r="E309" s="33" t="s">
        <v>4922</v>
      </c>
      <c r="F309" s="33"/>
      <c r="G309" s="55" t="s">
        <v>4923</v>
      </c>
      <c r="H309" s="33"/>
      <c r="I309" s="51" t="s">
        <v>4924</v>
      </c>
      <c r="J309" s="33"/>
      <c r="K309" s="51" t="s">
        <v>4925</v>
      </c>
      <c r="L309" s="33" t="s">
        <v>2454</v>
      </c>
      <c r="M309" s="55" t="s">
        <v>3601</v>
      </c>
      <c r="N309" s="55" t="s">
        <v>3601</v>
      </c>
      <c r="O309" s="33" t="s">
        <v>2272</v>
      </c>
      <c r="P309" s="33" t="s">
        <v>2251</v>
      </c>
      <c r="Q309" s="33"/>
      <c r="R309" s="33" t="s">
        <v>2263</v>
      </c>
      <c r="S309" s="56" t="s">
        <v>2277</v>
      </c>
      <c r="T309" s="56"/>
      <c r="U309" s="56"/>
      <c r="V309" s="33" t="s">
        <v>2456</v>
      </c>
      <c r="W309" s="94" t="s">
        <v>2457</v>
      </c>
      <c r="X309" s="94" t="s">
        <v>2474</v>
      </c>
      <c r="Y309" s="51"/>
      <c r="Z309" s="51"/>
      <c r="AA309" s="33" t="s">
        <v>2459</v>
      </c>
      <c r="AB309" s="33" t="s">
        <v>2460</v>
      </c>
      <c r="AC309" s="33"/>
      <c r="AD309" s="33" t="s">
        <v>2254</v>
      </c>
      <c r="AE309" s="33"/>
      <c r="AF309" s="33" t="s">
        <v>2267</v>
      </c>
      <c r="AG309" s="33" t="s">
        <v>2461</v>
      </c>
      <c r="AH309" s="33"/>
      <c r="AI309" s="33"/>
      <c r="AJ309" s="33" t="s">
        <v>4926</v>
      </c>
      <c r="AK309" s="94"/>
      <c r="AL309" s="33" t="s">
        <v>4927</v>
      </c>
      <c r="AM309" s="33" t="s">
        <v>4928</v>
      </c>
      <c r="AN309" s="33" t="s">
        <v>2465</v>
      </c>
      <c r="AO309" s="51" t="s">
        <v>2466</v>
      </c>
      <c r="AP309" s="51" t="s">
        <v>207</v>
      </c>
      <c r="AQ309" s="33"/>
      <c r="AR309" s="54"/>
      <c r="AS309" s="54"/>
      <c r="AT309" s="54"/>
      <c r="AU309" s="54"/>
      <c r="AV309" s="54"/>
      <c r="AW309" s="54"/>
      <c r="AX309" s="54"/>
      <c r="AY309" s="54"/>
      <c r="AZ309" s="54"/>
      <c r="BA309" s="54"/>
      <c r="BB309" s="54"/>
      <c r="BC309" s="54"/>
      <c r="BD309" s="54" t="s">
        <v>2447</v>
      </c>
      <c r="BE309" s="54"/>
      <c r="BF309" s="54"/>
      <c r="BG309" s="54"/>
      <c r="BH309" s="54"/>
      <c r="BI309" s="54"/>
      <c r="BJ309" s="0"/>
      <c r="BK309" s="0"/>
      <c r="BL309" s="0"/>
      <c r="BM309" s="0"/>
      <c r="BN309" s="0"/>
      <c r="BO309" s="0"/>
      <c r="BP309"/>
      <c r="BQ309"/>
      <c r="BR309"/>
      <c r="BS309"/>
      <c r="BT309"/>
      <c r="BU309"/>
      <c r="BV309"/>
      <c r="BW309"/>
      <c r="BX309"/>
      <c r="BY309"/>
      <c r="BZ309"/>
      <c r="CA309"/>
      <c r="CB309"/>
    </row>
    <row r="310" ht="15.0" customHeight="true">
      <c r="A310" s="51" t="s">
        <v>2448</v>
      </c>
      <c r="B310" s="33"/>
      <c r="C310" s="33" t="s">
        <v>4929</v>
      </c>
      <c r="D310" s="33"/>
      <c r="E310" s="33" t="s">
        <v>4930</v>
      </c>
      <c r="F310" s="33"/>
      <c r="G310" s="55" t="s">
        <v>4931</v>
      </c>
      <c r="H310" s="33"/>
      <c r="I310" s="51" t="s">
        <v>4932</v>
      </c>
      <c r="J310" s="33"/>
      <c r="K310" s="51" t="s">
        <v>4933</v>
      </c>
      <c r="L310" s="33" t="s">
        <v>2454</v>
      </c>
      <c r="M310" s="55" t="s">
        <v>2927</v>
      </c>
      <c r="N310" s="55" t="s">
        <v>4934</v>
      </c>
      <c r="O310" s="33" t="s">
        <v>2272</v>
      </c>
      <c r="P310" s="33" t="s">
        <v>2251</v>
      </c>
      <c r="Q310" s="33"/>
      <c r="R310" s="33" t="s">
        <v>2263</v>
      </c>
      <c r="S310" s="56" t="s">
        <v>2277</v>
      </c>
      <c r="T310" s="56"/>
      <c r="U310" s="56"/>
      <c r="V310" s="33" t="s">
        <v>2456</v>
      </c>
      <c r="W310" s="94" t="s">
        <v>2457</v>
      </c>
      <c r="X310" s="94" t="s">
        <v>2458</v>
      </c>
      <c r="Y310" s="51"/>
      <c r="Z310" s="51"/>
      <c r="AA310" s="33" t="s">
        <v>2459</v>
      </c>
      <c r="AB310" s="33" t="s">
        <v>2460</v>
      </c>
      <c r="AC310" s="33"/>
      <c r="AD310" s="33" t="s">
        <v>2254</v>
      </c>
      <c r="AE310" s="33"/>
      <c r="AF310" s="33" t="s">
        <v>2267</v>
      </c>
      <c r="AG310" s="33" t="s">
        <v>2461</v>
      </c>
      <c r="AH310" s="33"/>
      <c r="AI310" s="33"/>
      <c r="AJ310" s="33" t="s">
        <v>4935</v>
      </c>
      <c r="AK310" s="94"/>
      <c r="AL310" s="33" t="s">
        <v>4936</v>
      </c>
      <c r="AM310" s="33" t="s">
        <v>4937</v>
      </c>
      <c r="AN310" s="33" t="s">
        <v>2465</v>
      </c>
      <c r="AO310" s="51" t="s">
        <v>2489</v>
      </c>
      <c r="AP310" s="51" t="s">
        <v>207</v>
      </c>
      <c r="AQ310" s="33"/>
      <c r="AR310" s="54"/>
      <c r="AS310" s="54"/>
      <c r="AT310" s="54"/>
      <c r="AU310" s="54"/>
      <c r="AV310" s="54"/>
      <c r="AW310" s="54"/>
      <c r="AX310" s="54"/>
      <c r="AY310" s="54"/>
      <c r="AZ310" s="54"/>
      <c r="BA310" s="54"/>
      <c r="BB310" s="54"/>
      <c r="BC310" s="54"/>
      <c r="BD310" s="54" t="s">
        <v>2447</v>
      </c>
      <c r="BE310" s="54"/>
      <c r="BF310" s="54"/>
      <c r="BG310" s="54"/>
      <c r="BH310" s="54"/>
      <c r="BI310" s="54"/>
      <c r="BJ310" s="0"/>
      <c r="BK310" s="0"/>
      <c r="BL310" s="0"/>
      <c r="BM310" s="0"/>
      <c r="BN310" s="0"/>
      <c r="BO310" s="0"/>
      <c r="BP310"/>
      <c r="BQ310"/>
      <c r="BR310"/>
      <c r="BS310"/>
      <c r="BT310"/>
      <c r="BU310"/>
      <c r="BV310"/>
      <c r="BW310"/>
      <c r="BX310"/>
      <c r="BY310"/>
      <c r="BZ310"/>
      <c r="CA310"/>
      <c r="CB310"/>
    </row>
    <row r="311" ht="15.0" customHeight="true">
      <c r="A311" s="51" t="s">
        <v>2448</v>
      </c>
      <c r="B311" s="33"/>
      <c r="C311" s="33" t="s">
        <v>4938</v>
      </c>
      <c r="D311" s="33"/>
      <c r="E311" s="33" t="s">
        <v>2692</v>
      </c>
      <c r="F311" s="33"/>
      <c r="G311" s="55" t="s">
        <v>4939</v>
      </c>
      <c r="H311" s="33"/>
      <c r="I311" s="51" t="s">
        <v>4940</v>
      </c>
      <c r="J311" s="33"/>
      <c r="K311" s="51" t="s">
        <v>4941</v>
      </c>
      <c r="L311" s="33" t="s">
        <v>2484</v>
      </c>
      <c r="M311" s="55" t="s">
        <v>4942</v>
      </c>
      <c r="N311" s="55"/>
      <c r="O311" s="33"/>
      <c r="P311" s="33" t="s">
        <v>2251</v>
      </c>
      <c r="Q311" s="33"/>
      <c r="R311" s="33" t="s">
        <v>2263</v>
      </c>
      <c r="S311" s="56" t="s">
        <v>2277</v>
      </c>
      <c r="T311" s="56"/>
      <c r="U311" s="56"/>
      <c r="V311" s="33" t="s">
        <v>2456</v>
      </c>
      <c r="W311" s="94" t="s">
        <v>2457</v>
      </c>
      <c r="X311" s="94" t="s">
        <v>2474</v>
      </c>
      <c r="Y311" s="51"/>
      <c r="Z311" s="51"/>
      <c r="AA311" s="33" t="s">
        <v>2459</v>
      </c>
      <c r="AB311" s="33" t="s">
        <v>2460</v>
      </c>
      <c r="AC311" s="33" t="s">
        <v>2486</v>
      </c>
      <c r="AD311" s="33" t="s">
        <v>2254</v>
      </c>
      <c r="AE311" s="33"/>
      <c r="AF311" s="33" t="s">
        <v>2267</v>
      </c>
      <c r="AG311" s="33" t="s">
        <v>2461</v>
      </c>
      <c r="AH311" s="33"/>
      <c r="AI311" s="33"/>
      <c r="AJ311" s="33" t="s">
        <v>4943</v>
      </c>
      <c r="AK311" s="94"/>
      <c r="AL311" s="33" t="s">
        <v>4599</v>
      </c>
      <c r="AM311" s="33" t="s">
        <v>4944</v>
      </c>
      <c r="AN311" s="33" t="s">
        <v>2465</v>
      </c>
      <c r="AO311" s="51" t="s">
        <v>2538</v>
      </c>
      <c r="AP311" s="51" t="s">
        <v>207</v>
      </c>
      <c r="AQ311" s="33"/>
      <c r="AR311" s="54"/>
      <c r="AS311" s="54"/>
      <c r="AT311" s="54"/>
      <c r="AU311" s="54"/>
      <c r="AV311" s="54"/>
      <c r="AW311" s="54"/>
      <c r="AX311" s="54"/>
      <c r="AY311" s="54"/>
      <c r="AZ311" s="54"/>
      <c r="BA311" s="54"/>
      <c r="BB311" s="54"/>
      <c r="BC311" s="54"/>
      <c r="BD311" s="54" t="s">
        <v>2447</v>
      </c>
      <c r="BE311" s="54"/>
      <c r="BF311" s="54"/>
      <c r="BG311" s="54"/>
      <c r="BH311" s="54"/>
      <c r="BI311" s="54"/>
      <c r="BJ311" s="0"/>
      <c r="BK311" s="0"/>
      <c r="BL311" s="0"/>
      <c r="BM311" s="0"/>
      <c r="BN311" s="0"/>
      <c r="BO311" s="0"/>
      <c r="BP311"/>
      <c r="BQ311"/>
      <c r="BR311"/>
      <c r="BS311"/>
      <c r="BT311"/>
      <c r="BU311"/>
      <c r="BV311"/>
      <c r="BW311"/>
      <c r="BX311"/>
      <c r="BY311"/>
      <c r="BZ311"/>
      <c r="CA311"/>
      <c r="CB311"/>
    </row>
    <row r="312" ht="15.0" customHeight="true">
      <c r="A312" s="51" t="s">
        <v>2448</v>
      </c>
      <c r="B312" s="33"/>
      <c r="C312" s="33" t="s">
        <v>4945</v>
      </c>
      <c r="D312" s="33"/>
      <c r="E312" s="33" t="s">
        <v>4946</v>
      </c>
      <c r="F312" s="33"/>
      <c r="G312" s="55" t="s">
        <v>4219</v>
      </c>
      <c r="H312" s="33"/>
      <c r="I312" s="51" t="s">
        <v>4947</v>
      </c>
      <c r="J312" s="33"/>
      <c r="K312" s="51" t="s">
        <v>4948</v>
      </c>
      <c r="L312" s="33" t="s">
        <v>2454</v>
      </c>
      <c r="M312" s="55" t="s">
        <v>3074</v>
      </c>
      <c r="N312" s="55" t="s">
        <v>2472</v>
      </c>
      <c r="O312" s="33" t="s">
        <v>2272</v>
      </c>
      <c r="P312" s="33" t="s">
        <v>2251</v>
      </c>
      <c r="Q312" s="33"/>
      <c r="R312" s="33" t="s">
        <v>2263</v>
      </c>
      <c r="S312" s="56" t="s">
        <v>2277</v>
      </c>
      <c r="T312" s="56"/>
      <c r="U312" s="56"/>
      <c r="V312" s="33" t="s">
        <v>2456</v>
      </c>
      <c r="W312" s="94" t="s">
        <v>2457</v>
      </c>
      <c r="X312" s="94" t="s">
        <v>2458</v>
      </c>
      <c r="Y312" s="51"/>
      <c r="Z312" s="51"/>
      <c r="AA312" s="33" t="s">
        <v>2459</v>
      </c>
      <c r="AB312" s="33" t="s">
        <v>2460</v>
      </c>
      <c r="AC312" s="33"/>
      <c r="AD312" s="33" t="s">
        <v>2254</v>
      </c>
      <c r="AE312" s="33"/>
      <c r="AF312" s="33" t="s">
        <v>2267</v>
      </c>
      <c r="AG312" s="33" t="s">
        <v>2461</v>
      </c>
      <c r="AH312" s="33"/>
      <c r="AI312" s="33"/>
      <c r="AJ312" s="33" t="s">
        <v>4949</v>
      </c>
      <c r="AK312" s="94"/>
      <c r="AL312" s="33" t="s">
        <v>4950</v>
      </c>
      <c r="AM312" s="33"/>
      <c r="AN312" s="33" t="s">
        <v>2465</v>
      </c>
      <c r="AO312" s="51" t="s">
        <v>2489</v>
      </c>
      <c r="AP312" s="51" t="s">
        <v>207</v>
      </c>
      <c r="AQ312" s="33"/>
      <c r="AR312" s="54"/>
      <c r="AS312" s="54"/>
      <c r="AT312" s="54"/>
      <c r="AU312" s="54"/>
      <c r="AV312" s="54"/>
      <c r="AW312" s="54"/>
      <c r="AX312" s="54"/>
      <c r="AY312" s="54"/>
      <c r="AZ312" s="54"/>
      <c r="BA312" s="54"/>
      <c r="BB312" s="54"/>
      <c r="BC312" s="54"/>
      <c r="BD312" s="54" t="s">
        <v>2447</v>
      </c>
      <c r="BE312" s="54"/>
      <c r="BF312" s="54"/>
      <c r="BG312" s="54"/>
      <c r="BH312" s="54"/>
      <c r="BI312" s="54"/>
      <c r="BJ312" s="0"/>
      <c r="BK312" s="0"/>
      <c r="BL312" s="0"/>
      <c r="BM312" s="0"/>
      <c r="BN312" s="0"/>
      <c r="BO312" s="0"/>
      <c r="BP312"/>
      <c r="BQ312"/>
      <c r="BR312"/>
      <c r="BS312"/>
      <c r="BT312"/>
      <c r="BU312"/>
      <c r="BV312"/>
      <c r="BW312"/>
      <c r="BX312"/>
      <c r="BY312"/>
      <c r="BZ312"/>
      <c r="CA312"/>
      <c r="CB312"/>
    </row>
    <row r="313" ht="15.0" customHeight="true">
      <c r="A313" s="51" t="s">
        <v>2448</v>
      </c>
      <c r="B313" s="33"/>
      <c r="C313" s="33" t="s">
        <v>4951</v>
      </c>
      <c r="D313" s="33"/>
      <c r="E313" s="33" t="s">
        <v>4952</v>
      </c>
      <c r="F313" s="33"/>
      <c r="G313" s="55" t="s">
        <v>4953</v>
      </c>
      <c r="H313" s="33"/>
      <c r="I313" s="51" t="s">
        <v>4954</v>
      </c>
      <c r="J313" s="33"/>
      <c r="K313" s="51" t="s">
        <v>4955</v>
      </c>
      <c r="L313" s="33" t="s">
        <v>2454</v>
      </c>
      <c r="M313" s="55" t="s">
        <v>3119</v>
      </c>
      <c r="N313" s="55" t="s">
        <v>3119</v>
      </c>
      <c r="O313" s="33" t="s">
        <v>2271</v>
      </c>
      <c r="P313" s="33" t="s">
        <v>2251</v>
      </c>
      <c r="Q313" s="33"/>
      <c r="R313" s="33" t="s">
        <v>2263</v>
      </c>
      <c r="S313" s="56" t="s">
        <v>2277</v>
      </c>
      <c r="T313" s="56"/>
      <c r="U313" s="56"/>
      <c r="V313" s="33" t="s">
        <v>2456</v>
      </c>
      <c r="W313" s="94" t="s">
        <v>2457</v>
      </c>
      <c r="X313" s="94" t="s">
        <v>2474</v>
      </c>
      <c r="Y313" s="51"/>
      <c r="Z313" s="51"/>
      <c r="AA313" s="33" t="s">
        <v>2459</v>
      </c>
      <c r="AB313" s="33" t="s">
        <v>2460</v>
      </c>
      <c r="AC313" s="33"/>
      <c r="AD313" s="33" t="s">
        <v>2254</v>
      </c>
      <c r="AE313" s="33"/>
      <c r="AF313" s="33" t="s">
        <v>2267</v>
      </c>
      <c r="AG313" s="33" t="s">
        <v>2461</v>
      </c>
      <c r="AH313" s="33"/>
      <c r="AI313" s="33"/>
      <c r="AJ313" s="33" t="s">
        <v>4956</v>
      </c>
      <c r="AK313" s="94"/>
      <c r="AL313" s="33" t="s">
        <v>4957</v>
      </c>
      <c r="AM313" s="33"/>
      <c r="AN313" s="33" t="s">
        <v>2465</v>
      </c>
      <c r="AO313" s="51" t="s">
        <v>2538</v>
      </c>
      <c r="AP313" s="51" t="s">
        <v>207</v>
      </c>
      <c r="AQ313" s="33"/>
      <c r="AR313" s="54"/>
      <c r="AS313" s="54"/>
      <c r="AT313" s="54"/>
      <c r="AU313" s="54"/>
      <c r="AV313" s="54"/>
      <c r="AW313" s="54"/>
      <c r="AX313" s="54"/>
      <c r="AY313" s="54"/>
      <c r="AZ313" s="54"/>
      <c r="BA313" s="54"/>
      <c r="BB313" s="54"/>
      <c r="BC313" s="54"/>
      <c r="BD313" s="54" t="s">
        <v>2447</v>
      </c>
      <c r="BE313" s="54"/>
      <c r="BF313" s="54"/>
      <c r="BG313" s="54"/>
      <c r="BH313" s="54"/>
      <c r="BI313" s="54"/>
      <c r="BJ313" s="0"/>
      <c r="BK313" s="0"/>
      <c r="BL313" s="0"/>
      <c r="BM313" s="0"/>
      <c r="BN313" s="0"/>
      <c r="BO313" s="0"/>
      <c r="BP313"/>
      <c r="BQ313"/>
      <c r="BR313"/>
      <c r="BS313"/>
      <c r="BT313"/>
      <c r="BU313"/>
      <c r="BV313"/>
      <c r="BW313"/>
      <c r="BX313"/>
      <c r="BY313"/>
      <c r="BZ313"/>
      <c r="CA313"/>
      <c r="CB313"/>
    </row>
    <row r="314" ht="15.0" customHeight="true">
      <c r="A314" s="51" t="s">
        <v>2448</v>
      </c>
      <c r="B314" s="33"/>
      <c r="C314" s="33" t="s">
        <v>4958</v>
      </c>
      <c r="D314" s="33"/>
      <c r="E314" s="33" t="s">
        <v>4959</v>
      </c>
      <c r="F314" s="33"/>
      <c r="G314" s="55" t="s">
        <v>4960</v>
      </c>
      <c r="H314" s="33"/>
      <c r="I314" s="51" t="s">
        <v>4961</v>
      </c>
      <c r="J314" s="33"/>
      <c r="K314" s="51" t="s">
        <v>4962</v>
      </c>
      <c r="L314" s="33" t="s">
        <v>2454</v>
      </c>
      <c r="M314" s="55" t="s">
        <v>4963</v>
      </c>
      <c r="N314" s="55" t="s">
        <v>2708</v>
      </c>
      <c r="O314" s="33" t="s">
        <v>2272</v>
      </c>
      <c r="P314" s="33" t="s">
        <v>2251</v>
      </c>
      <c r="Q314" s="33"/>
      <c r="R314" s="33" t="s">
        <v>2263</v>
      </c>
      <c r="S314" s="56" t="s">
        <v>2277</v>
      </c>
      <c r="T314" s="56"/>
      <c r="U314" s="56"/>
      <c r="V314" s="33" t="s">
        <v>2456</v>
      </c>
      <c r="W314" s="94" t="s">
        <v>2457</v>
      </c>
      <c r="X314" s="94" t="s">
        <v>2474</v>
      </c>
      <c r="Y314" s="51"/>
      <c r="Z314" s="51"/>
      <c r="AA314" s="33" t="s">
        <v>2459</v>
      </c>
      <c r="AB314" s="33" t="s">
        <v>2460</v>
      </c>
      <c r="AC314" s="33"/>
      <c r="AD314" s="33" t="s">
        <v>2254</v>
      </c>
      <c r="AE314" s="33"/>
      <c r="AF314" s="33" t="s">
        <v>2267</v>
      </c>
      <c r="AG314" s="33" t="s">
        <v>2461</v>
      </c>
      <c r="AH314" s="33"/>
      <c r="AI314" s="33"/>
      <c r="AJ314" s="33" t="s">
        <v>4964</v>
      </c>
      <c r="AK314" s="94"/>
      <c r="AL314" s="33" t="s">
        <v>4965</v>
      </c>
      <c r="AM314" s="33" t="s">
        <v>4966</v>
      </c>
      <c r="AN314" s="33" t="s">
        <v>2465</v>
      </c>
      <c r="AO314" s="51" t="s">
        <v>2618</v>
      </c>
      <c r="AP314" s="51" t="s">
        <v>207</v>
      </c>
      <c r="AQ314" s="33"/>
      <c r="AR314" s="54"/>
      <c r="AS314" s="54"/>
      <c r="AT314" s="54"/>
      <c r="AU314" s="54"/>
      <c r="AV314" s="54"/>
      <c r="AW314" s="54"/>
      <c r="AX314" s="54"/>
      <c r="AY314" s="54"/>
      <c r="AZ314" s="54"/>
      <c r="BA314" s="54"/>
      <c r="BB314" s="54"/>
      <c r="BC314" s="54"/>
      <c r="BD314" s="54" t="s">
        <v>2447</v>
      </c>
      <c r="BE314" s="54"/>
      <c r="BF314" s="54"/>
      <c r="BG314" s="54"/>
      <c r="BH314" s="54"/>
      <c r="BI314" s="54"/>
      <c r="BJ314" s="0"/>
      <c r="BK314" s="0"/>
      <c r="BL314" s="0"/>
      <c r="BM314" s="0"/>
      <c r="BN314" s="0"/>
      <c r="BO314" s="0"/>
      <c r="BP314"/>
      <c r="BQ314"/>
      <c r="BR314"/>
      <c r="BS314"/>
      <c r="BT314"/>
      <c r="BU314"/>
      <c r="BV314"/>
      <c r="BW314"/>
      <c r="BX314"/>
      <c r="BY314"/>
      <c r="BZ314"/>
      <c r="CA314"/>
      <c r="CB314"/>
    </row>
    <row r="315" ht="15.0" customHeight="true">
      <c r="A315" s="51" t="s">
        <v>2448</v>
      </c>
      <c r="B315" s="33"/>
      <c r="C315" s="33" t="s">
        <v>3555</v>
      </c>
      <c r="D315" s="33"/>
      <c r="E315" s="33" t="s">
        <v>4967</v>
      </c>
      <c r="F315" s="33"/>
      <c r="G315" s="55" t="s">
        <v>4968</v>
      </c>
      <c r="H315" s="33"/>
      <c r="I315" s="51" t="s">
        <v>4969</v>
      </c>
      <c r="J315" s="33"/>
      <c r="K315" s="51" t="s">
        <v>4970</v>
      </c>
      <c r="L315" s="33" t="s">
        <v>2454</v>
      </c>
      <c r="M315" s="55" t="s">
        <v>3426</v>
      </c>
      <c r="N315" s="55" t="s">
        <v>3065</v>
      </c>
      <c r="O315" s="33" t="s">
        <v>2272</v>
      </c>
      <c r="P315" s="33" t="s">
        <v>2251</v>
      </c>
      <c r="Q315" s="33"/>
      <c r="R315" s="33" t="s">
        <v>2263</v>
      </c>
      <c r="S315" s="56" t="s">
        <v>2277</v>
      </c>
      <c r="T315" s="56"/>
      <c r="U315" s="56"/>
      <c r="V315" s="33" t="s">
        <v>2456</v>
      </c>
      <c r="W315" s="94" t="s">
        <v>2457</v>
      </c>
      <c r="X315" s="94" t="s">
        <v>2458</v>
      </c>
      <c r="Y315" s="51"/>
      <c r="Z315" s="51"/>
      <c r="AA315" s="33" t="s">
        <v>2459</v>
      </c>
      <c r="AB315" s="33" t="s">
        <v>2460</v>
      </c>
      <c r="AC315" s="33"/>
      <c r="AD315" s="33" t="s">
        <v>2254</v>
      </c>
      <c r="AE315" s="33"/>
      <c r="AF315" s="33" t="s">
        <v>2267</v>
      </c>
      <c r="AG315" s="33" t="s">
        <v>2461</v>
      </c>
      <c r="AH315" s="33"/>
      <c r="AI315" s="33"/>
      <c r="AJ315" s="33" t="s">
        <v>4971</v>
      </c>
      <c r="AK315" s="94"/>
      <c r="AL315" s="33" t="s">
        <v>4972</v>
      </c>
      <c r="AM315" s="33"/>
      <c r="AN315" s="33" t="s">
        <v>2465</v>
      </c>
      <c r="AO315" s="51" t="s">
        <v>2548</v>
      </c>
      <c r="AP315" s="51" t="s">
        <v>207</v>
      </c>
      <c r="AQ315" s="33"/>
      <c r="AR315" s="54"/>
      <c r="AS315" s="54"/>
      <c r="AT315" s="54"/>
      <c r="AU315" s="54"/>
      <c r="AV315" s="54"/>
      <c r="AW315" s="54"/>
      <c r="AX315" s="54"/>
      <c r="AY315" s="54"/>
      <c r="AZ315" s="54"/>
      <c r="BA315" s="54"/>
      <c r="BB315" s="54"/>
      <c r="BC315" s="54"/>
      <c r="BD315" s="54" t="s">
        <v>2447</v>
      </c>
      <c r="BE315" s="54"/>
      <c r="BF315" s="54"/>
      <c r="BG315" s="54"/>
      <c r="BH315" s="54"/>
      <c r="BI315" s="54"/>
      <c r="BJ315" s="0"/>
      <c r="BK315" s="0"/>
      <c r="BL315" s="0"/>
      <c r="BM315" s="0"/>
      <c r="BN315" s="0"/>
      <c r="BO315" s="0"/>
      <c r="BP315"/>
      <c r="BQ315"/>
      <c r="BR315"/>
      <c r="BS315"/>
      <c r="BT315"/>
      <c r="BU315"/>
      <c r="BV315"/>
      <c r="BW315"/>
      <c r="BX315"/>
      <c r="BY315"/>
      <c r="BZ315"/>
      <c r="CA315"/>
      <c r="CB315"/>
    </row>
    <row r="316" ht="15.0" customHeight="true">
      <c r="A316" s="51" t="s">
        <v>2448</v>
      </c>
      <c r="B316" s="33"/>
      <c r="C316" s="33" t="s">
        <v>3900</v>
      </c>
      <c r="D316" s="33"/>
      <c r="E316" s="33" t="s">
        <v>4973</v>
      </c>
      <c r="F316" s="33"/>
      <c r="G316" s="55" t="s">
        <v>4974</v>
      </c>
      <c r="H316" s="33"/>
      <c r="I316" s="51" t="s">
        <v>4975</v>
      </c>
      <c r="J316" s="33"/>
      <c r="K316" s="51" t="s">
        <v>4976</v>
      </c>
      <c r="L316" s="33" t="s">
        <v>2454</v>
      </c>
      <c r="M316" s="55" t="s">
        <v>3888</v>
      </c>
      <c r="N316" s="55" t="s">
        <v>3426</v>
      </c>
      <c r="O316" s="33" t="s">
        <v>2272</v>
      </c>
      <c r="P316" s="33" t="s">
        <v>2251</v>
      </c>
      <c r="Q316" s="33"/>
      <c r="R316" s="33" t="s">
        <v>2263</v>
      </c>
      <c r="S316" s="56" t="s">
        <v>2277</v>
      </c>
      <c r="T316" s="56"/>
      <c r="U316" s="56"/>
      <c r="V316" s="33" t="s">
        <v>2456</v>
      </c>
      <c r="W316" s="94" t="s">
        <v>2457</v>
      </c>
      <c r="X316" s="94" t="s">
        <v>2458</v>
      </c>
      <c r="Y316" s="51"/>
      <c r="Z316" s="51"/>
      <c r="AA316" s="33" t="s">
        <v>2459</v>
      </c>
      <c r="AB316" s="33" t="s">
        <v>2460</v>
      </c>
      <c r="AC316" s="33"/>
      <c r="AD316" s="33" t="s">
        <v>2254</v>
      </c>
      <c r="AE316" s="33"/>
      <c r="AF316" s="33" t="s">
        <v>2267</v>
      </c>
      <c r="AG316" s="33" t="s">
        <v>2461</v>
      </c>
      <c r="AH316" s="33"/>
      <c r="AI316" s="33"/>
      <c r="AJ316" s="33" t="s">
        <v>4977</v>
      </c>
      <c r="AK316" s="94"/>
      <c r="AL316" s="33" t="s">
        <v>4978</v>
      </c>
      <c r="AM316" s="33"/>
      <c r="AN316" s="33" t="s">
        <v>2577</v>
      </c>
      <c r="AO316" s="51" t="s">
        <v>2578</v>
      </c>
      <c r="AP316" s="51" t="s">
        <v>207</v>
      </c>
      <c r="AQ316" s="33"/>
      <c r="AR316" s="54"/>
      <c r="AS316" s="54"/>
      <c r="AT316" s="54"/>
      <c r="AU316" s="54"/>
      <c r="AV316" s="54"/>
      <c r="AW316" s="54"/>
      <c r="AX316" s="54"/>
      <c r="AY316" s="54"/>
      <c r="AZ316" s="54"/>
      <c r="BA316" s="54"/>
      <c r="BB316" s="54"/>
      <c r="BC316" s="54"/>
      <c r="BD316" s="54" t="s">
        <v>2447</v>
      </c>
      <c r="BE316" s="54"/>
      <c r="BF316" s="54"/>
      <c r="BG316" s="54"/>
      <c r="BH316" s="54"/>
      <c r="BI316" s="54"/>
      <c r="BJ316" s="0"/>
      <c r="BK316" s="0"/>
      <c r="BL316" s="0"/>
      <c r="BM316" s="0"/>
      <c r="BN316" s="0"/>
      <c r="BO316" s="0"/>
      <c r="BP316"/>
      <c r="BQ316"/>
      <c r="BR316"/>
      <c r="BS316"/>
      <c r="BT316"/>
      <c r="BU316"/>
      <c r="BV316"/>
      <c r="BW316"/>
      <c r="BX316"/>
      <c r="BY316"/>
      <c r="BZ316"/>
      <c r="CA316"/>
      <c r="CB316"/>
    </row>
    <row r="317" ht="15.0" customHeight="true">
      <c r="A317" s="51" t="s">
        <v>2448</v>
      </c>
      <c r="B317" s="33"/>
      <c r="C317" s="33" t="s">
        <v>4979</v>
      </c>
      <c r="D317" s="33"/>
      <c r="E317" s="33" t="s">
        <v>4980</v>
      </c>
      <c r="F317" s="33"/>
      <c r="G317" s="55" t="s">
        <v>4981</v>
      </c>
      <c r="H317" s="33"/>
      <c r="I317" s="51" t="s">
        <v>4982</v>
      </c>
      <c r="J317" s="33"/>
      <c r="K317" s="51" t="s">
        <v>4983</v>
      </c>
      <c r="L317" s="33" t="s">
        <v>2484</v>
      </c>
      <c r="M317" s="55" t="s">
        <v>3827</v>
      </c>
      <c r="N317" s="55"/>
      <c r="O317" s="33"/>
      <c r="P317" s="33" t="s">
        <v>2251</v>
      </c>
      <c r="Q317" s="33"/>
      <c r="R317" s="33" t="s">
        <v>2263</v>
      </c>
      <c r="S317" s="56" t="s">
        <v>2277</v>
      </c>
      <c r="T317" s="56"/>
      <c r="U317" s="56"/>
      <c r="V317" s="33" t="s">
        <v>2456</v>
      </c>
      <c r="W317" s="94" t="s">
        <v>2457</v>
      </c>
      <c r="X317" s="94" t="s">
        <v>2474</v>
      </c>
      <c r="Y317" s="51"/>
      <c r="Z317" s="51"/>
      <c r="AA317" s="33" t="s">
        <v>2459</v>
      </c>
      <c r="AB317" s="33" t="s">
        <v>2460</v>
      </c>
      <c r="AC317" s="33" t="s">
        <v>2486</v>
      </c>
      <c r="AD317" s="33" t="s">
        <v>2254</v>
      </c>
      <c r="AE317" s="33"/>
      <c r="AF317" s="33" t="s">
        <v>2267</v>
      </c>
      <c r="AG317" s="33" t="s">
        <v>2461</v>
      </c>
      <c r="AH317" s="33"/>
      <c r="AI317" s="33"/>
      <c r="AJ317" s="33" t="s">
        <v>4984</v>
      </c>
      <c r="AK317" s="94"/>
      <c r="AL317" s="33" t="s">
        <v>4985</v>
      </c>
      <c r="AM317" s="33" t="s">
        <v>4986</v>
      </c>
      <c r="AN317" s="33" t="s">
        <v>2465</v>
      </c>
      <c r="AO317" s="51" t="s">
        <v>2489</v>
      </c>
      <c r="AP317" s="51" t="s">
        <v>207</v>
      </c>
      <c r="AQ317" s="33"/>
      <c r="AR317" s="54"/>
      <c r="AS317" s="54"/>
      <c r="AT317" s="54"/>
      <c r="AU317" s="54"/>
      <c r="AV317" s="54"/>
      <c r="AW317" s="54"/>
      <c r="AX317" s="54"/>
      <c r="AY317" s="54"/>
      <c r="AZ317" s="54"/>
      <c r="BA317" s="54"/>
      <c r="BB317" s="54"/>
      <c r="BC317" s="54"/>
      <c r="BD317" s="54" t="s">
        <v>2447</v>
      </c>
      <c r="BE317" s="54"/>
      <c r="BF317" s="54"/>
      <c r="BG317" s="54"/>
      <c r="BH317" s="54"/>
      <c r="BI317" s="54"/>
      <c r="BJ317" s="0"/>
      <c r="BK317" s="0"/>
      <c r="BL317" s="0"/>
      <c r="BM317" s="0"/>
      <c r="BN317" s="0"/>
      <c r="BO317" s="0"/>
      <c r="BP317"/>
      <c r="BQ317"/>
      <c r="BR317"/>
      <c r="BS317"/>
      <c r="BT317"/>
      <c r="BU317"/>
      <c r="BV317"/>
      <c r="BW317"/>
      <c r="BX317"/>
      <c r="BY317"/>
      <c r="BZ317"/>
      <c r="CA317"/>
      <c r="CB317"/>
    </row>
    <row r="318" ht="15.0" customHeight="true">
      <c r="A318" s="51" t="s">
        <v>2448</v>
      </c>
      <c r="B318" s="33"/>
      <c r="C318" s="33" t="s">
        <v>4987</v>
      </c>
      <c r="D318" s="33"/>
      <c r="E318" s="33" t="s">
        <v>4988</v>
      </c>
      <c r="F318" s="33"/>
      <c r="G318" s="55" t="s">
        <v>4989</v>
      </c>
      <c r="H318" s="33"/>
      <c r="I318" s="51" t="s">
        <v>4990</v>
      </c>
      <c r="J318" s="33"/>
      <c r="K318" s="51" t="s">
        <v>4991</v>
      </c>
      <c r="L318" s="33" t="s">
        <v>2454</v>
      </c>
      <c r="M318" s="55" t="s">
        <v>4992</v>
      </c>
      <c r="N318" s="55" t="s">
        <v>4992</v>
      </c>
      <c r="O318" s="33" t="s">
        <v>2272</v>
      </c>
      <c r="P318" s="33" t="s">
        <v>2251</v>
      </c>
      <c r="Q318" s="33"/>
      <c r="R318" s="33" t="s">
        <v>2263</v>
      </c>
      <c r="S318" s="56" t="s">
        <v>2277</v>
      </c>
      <c r="T318" s="56"/>
      <c r="U318" s="56"/>
      <c r="V318" s="33" t="s">
        <v>2456</v>
      </c>
      <c r="W318" s="94" t="s">
        <v>2457</v>
      </c>
      <c r="X318" s="94" t="s">
        <v>2458</v>
      </c>
      <c r="Y318" s="51"/>
      <c r="Z318" s="51"/>
      <c r="AA318" s="33" t="s">
        <v>2459</v>
      </c>
      <c r="AB318" s="33" t="s">
        <v>2460</v>
      </c>
      <c r="AC318" s="33"/>
      <c r="AD318" s="33" t="s">
        <v>2254</v>
      </c>
      <c r="AE318" s="33"/>
      <c r="AF318" s="33" t="s">
        <v>2267</v>
      </c>
      <c r="AG318" s="33" t="s">
        <v>2461</v>
      </c>
      <c r="AH318" s="33"/>
      <c r="AI318" s="33"/>
      <c r="AJ318" s="33" t="s">
        <v>4993</v>
      </c>
      <c r="AK318" s="94"/>
      <c r="AL318" s="33" t="s">
        <v>4994</v>
      </c>
      <c r="AM318" s="33"/>
      <c r="AN318" s="33" t="s">
        <v>2588</v>
      </c>
      <c r="AO318" s="51" t="s">
        <v>2911</v>
      </c>
      <c r="AP318" s="51" t="s">
        <v>207</v>
      </c>
      <c r="AQ318" s="33"/>
      <c r="AR318" s="54"/>
      <c r="AS318" s="54"/>
      <c r="AT318" s="54"/>
      <c r="AU318" s="54"/>
      <c r="AV318" s="54"/>
      <c r="AW318" s="54"/>
      <c r="AX318" s="54"/>
      <c r="AY318" s="54"/>
      <c r="AZ318" s="54"/>
      <c r="BA318" s="54"/>
      <c r="BB318" s="54"/>
      <c r="BC318" s="54"/>
      <c r="BD318" s="54" t="s">
        <v>2447</v>
      </c>
      <c r="BE318" s="54"/>
      <c r="BF318" s="54"/>
      <c r="BG318" s="54"/>
      <c r="BH318" s="54"/>
      <c r="BI318" s="54"/>
      <c r="BJ318" s="0"/>
      <c r="BK318" s="0"/>
      <c r="BL318" s="0"/>
      <c r="BM318" s="0"/>
      <c r="BN318" s="0"/>
      <c r="BO318" s="0"/>
      <c r="BP318"/>
      <c r="BQ318"/>
      <c r="BR318"/>
      <c r="BS318"/>
      <c r="BT318"/>
      <c r="BU318"/>
      <c r="BV318"/>
      <c r="BW318"/>
      <c r="BX318"/>
      <c r="BY318"/>
      <c r="BZ318"/>
      <c r="CA318"/>
      <c r="CB318"/>
    </row>
    <row r="319" ht="15.0" customHeight="true">
      <c r="A319" s="51" t="s">
        <v>2448</v>
      </c>
      <c r="B319" s="33"/>
      <c r="C319" s="33" t="s">
        <v>3925</v>
      </c>
      <c r="D319" s="33"/>
      <c r="E319" s="33" t="s">
        <v>4995</v>
      </c>
      <c r="F319" s="33"/>
      <c r="G319" s="55" t="s">
        <v>4996</v>
      </c>
      <c r="H319" s="33"/>
      <c r="I319" s="51" t="s">
        <v>4997</v>
      </c>
      <c r="J319" s="33"/>
      <c r="K319" s="51" t="s">
        <v>4998</v>
      </c>
      <c r="L319" s="33" t="s">
        <v>2484</v>
      </c>
      <c r="M319" s="55" t="s">
        <v>3367</v>
      </c>
      <c r="N319" s="55"/>
      <c r="O319" s="33"/>
      <c r="P319" s="33" t="s">
        <v>2251</v>
      </c>
      <c r="Q319" s="33"/>
      <c r="R319" s="33" t="s">
        <v>2263</v>
      </c>
      <c r="S319" s="56" t="s">
        <v>2277</v>
      </c>
      <c r="T319" s="56"/>
      <c r="U319" s="56"/>
      <c r="V319" s="33" t="s">
        <v>2456</v>
      </c>
      <c r="W319" s="94" t="s">
        <v>2457</v>
      </c>
      <c r="X319" s="94" t="s">
        <v>2474</v>
      </c>
      <c r="Y319" s="51"/>
      <c r="Z319" s="51"/>
      <c r="AA319" s="33" t="s">
        <v>2459</v>
      </c>
      <c r="AB319" s="33" t="s">
        <v>2460</v>
      </c>
      <c r="AC319" s="33" t="s">
        <v>2486</v>
      </c>
      <c r="AD319" s="33" t="s">
        <v>2254</v>
      </c>
      <c r="AE319" s="33"/>
      <c r="AF319" s="33" t="s">
        <v>2267</v>
      </c>
      <c r="AG319" s="33" t="s">
        <v>2461</v>
      </c>
      <c r="AH319" s="33"/>
      <c r="AI319" s="33"/>
      <c r="AJ319" s="33" t="s">
        <v>4999</v>
      </c>
      <c r="AK319" s="94"/>
      <c r="AL319" s="33" t="s">
        <v>5000</v>
      </c>
      <c r="AM319" s="33"/>
      <c r="AN319" s="33" t="s">
        <v>2588</v>
      </c>
      <c r="AO319" s="51" t="s">
        <v>2911</v>
      </c>
      <c r="AP319" s="51" t="s">
        <v>207</v>
      </c>
      <c r="AQ319" s="33"/>
      <c r="AR319" s="54"/>
      <c r="AS319" s="54"/>
      <c r="AT319" s="54"/>
      <c r="AU319" s="54"/>
      <c r="AV319" s="54"/>
      <c r="AW319" s="54"/>
      <c r="AX319" s="54"/>
      <c r="AY319" s="54"/>
      <c r="AZ319" s="54"/>
      <c r="BA319" s="54"/>
      <c r="BB319" s="54"/>
      <c r="BC319" s="54"/>
      <c r="BD319" s="54" t="s">
        <v>2447</v>
      </c>
      <c r="BE319" s="54"/>
      <c r="BF319" s="54"/>
      <c r="BG319" s="54"/>
      <c r="BH319" s="54"/>
      <c r="BI319" s="54"/>
      <c r="BJ319" s="0"/>
      <c r="BK319" s="0"/>
      <c r="BL319" s="0"/>
      <c r="BM319" s="0"/>
      <c r="BN319" s="0"/>
      <c r="BO319" s="0"/>
      <c r="BP319"/>
      <c r="BQ319"/>
      <c r="BR319"/>
      <c r="BS319"/>
      <c r="BT319"/>
      <c r="BU319"/>
      <c r="BV319"/>
      <c r="BW319"/>
      <c r="BX319"/>
      <c r="BY319"/>
      <c r="BZ319"/>
      <c r="CA319"/>
      <c r="CB319"/>
    </row>
    <row r="320" ht="15.0" customHeight="true">
      <c r="A320" s="51" t="s">
        <v>2448</v>
      </c>
      <c r="B320" s="33"/>
      <c r="C320" s="33" t="s">
        <v>3918</v>
      </c>
      <c r="D320" s="33"/>
      <c r="E320" s="33" t="s">
        <v>5001</v>
      </c>
      <c r="F320" s="33"/>
      <c r="G320" s="55" t="s">
        <v>5002</v>
      </c>
      <c r="H320" s="33"/>
      <c r="I320" s="51" t="s">
        <v>5003</v>
      </c>
      <c r="J320" s="33"/>
      <c r="K320" s="51" t="s">
        <v>5004</v>
      </c>
      <c r="L320" s="33" t="s">
        <v>2454</v>
      </c>
      <c r="M320" s="55" t="s">
        <v>3474</v>
      </c>
      <c r="N320" s="55" t="s">
        <v>2900</v>
      </c>
      <c r="O320" s="33" t="s">
        <v>2272</v>
      </c>
      <c r="P320" s="33" t="s">
        <v>2251</v>
      </c>
      <c r="Q320" s="33"/>
      <c r="R320" s="33" t="s">
        <v>2263</v>
      </c>
      <c r="S320" s="56" t="s">
        <v>2277</v>
      </c>
      <c r="T320" s="56"/>
      <c r="U320" s="56"/>
      <c r="V320" s="33" t="s">
        <v>2456</v>
      </c>
      <c r="W320" s="94" t="s">
        <v>2457</v>
      </c>
      <c r="X320" s="94" t="s">
        <v>2458</v>
      </c>
      <c r="Y320" s="51"/>
      <c r="Z320" s="51"/>
      <c r="AA320" s="33" t="s">
        <v>2459</v>
      </c>
      <c r="AB320" s="33" t="s">
        <v>2460</v>
      </c>
      <c r="AC320" s="33"/>
      <c r="AD320" s="33" t="s">
        <v>2254</v>
      </c>
      <c r="AE320" s="33"/>
      <c r="AF320" s="33" t="s">
        <v>2267</v>
      </c>
      <c r="AG320" s="33" t="s">
        <v>2461</v>
      </c>
      <c r="AH320" s="33"/>
      <c r="AI320" s="33"/>
      <c r="AJ320" s="33" t="s">
        <v>5005</v>
      </c>
      <c r="AK320" s="94"/>
      <c r="AL320" s="33" t="s">
        <v>5006</v>
      </c>
      <c r="AM320" s="33"/>
      <c r="AN320" s="33" t="s">
        <v>2588</v>
      </c>
      <c r="AO320" s="51" t="s">
        <v>2628</v>
      </c>
      <c r="AP320" s="51" t="s">
        <v>207</v>
      </c>
      <c r="AQ320" s="33"/>
      <c r="AR320" s="54"/>
      <c r="AS320" s="54"/>
      <c r="AT320" s="54"/>
      <c r="AU320" s="54"/>
      <c r="AV320" s="54"/>
      <c r="AW320" s="54"/>
      <c r="AX320" s="54"/>
      <c r="AY320" s="54"/>
      <c r="AZ320" s="54"/>
      <c r="BA320" s="54"/>
      <c r="BB320" s="54"/>
      <c r="BC320" s="54"/>
      <c r="BD320" s="54" t="s">
        <v>2447</v>
      </c>
      <c r="BE320" s="54"/>
      <c r="BF320" s="54"/>
      <c r="BG320" s="54"/>
      <c r="BH320" s="54"/>
      <c r="BI320" s="54"/>
      <c r="BJ320" s="0"/>
      <c r="BK320" s="0"/>
      <c r="BL320" s="0"/>
      <c r="BM320" s="0"/>
      <c r="BN320" s="0"/>
      <c r="BO320" s="0"/>
      <c r="BP320"/>
      <c r="BQ320"/>
      <c r="BR320"/>
      <c r="BS320"/>
      <c r="BT320"/>
      <c r="BU320"/>
      <c r="BV320"/>
      <c r="BW320"/>
      <c r="BX320"/>
      <c r="BY320"/>
      <c r="BZ320"/>
      <c r="CA320"/>
      <c r="CB320"/>
    </row>
    <row r="321" ht="15.0" customHeight="true">
      <c r="A321" s="51" t="s">
        <v>2448</v>
      </c>
      <c r="B321" s="33"/>
      <c r="C321" s="33" t="s">
        <v>4040</v>
      </c>
      <c r="D321" s="33"/>
      <c r="E321" s="33" t="s">
        <v>5007</v>
      </c>
      <c r="F321" s="33"/>
      <c r="G321" s="55" t="s">
        <v>5008</v>
      </c>
      <c r="H321" s="33"/>
      <c r="I321" s="51" t="s">
        <v>5009</v>
      </c>
      <c r="J321" s="33"/>
      <c r="K321" s="51" t="s">
        <v>5010</v>
      </c>
      <c r="L321" s="33" t="s">
        <v>2454</v>
      </c>
      <c r="M321" s="55" t="s">
        <v>3091</v>
      </c>
      <c r="N321" s="55" t="s">
        <v>3091</v>
      </c>
      <c r="O321" s="33" t="s">
        <v>2272</v>
      </c>
      <c r="P321" s="33" t="s">
        <v>2251</v>
      </c>
      <c r="Q321" s="33"/>
      <c r="R321" s="33" t="s">
        <v>2263</v>
      </c>
      <c r="S321" s="56" t="s">
        <v>2277</v>
      </c>
      <c r="T321" s="56"/>
      <c r="U321" s="56"/>
      <c r="V321" s="33" t="s">
        <v>2456</v>
      </c>
      <c r="W321" s="94" t="s">
        <v>2457</v>
      </c>
      <c r="X321" s="94" t="s">
        <v>2474</v>
      </c>
      <c r="Y321" s="51"/>
      <c r="Z321" s="51"/>
      <c r="AA321" s="33" t="s">
        <v>2459</v>
      </c>
      <c r="AB321" s="33" t="s">
        <v>2460</v>
      </c>
      <c r="AC321" s="33"/>
      <c r="AD321" s="33" t="s">
        <v>2254</v>
      </c>
      <c r="AE321" s="33"/>
      <c r="AF321" s="33" t="s">
        <v>2267</v>
      </c>
      <c r="AG321" s="33" t="s">
        <v>2461</v>
      </c>
      <c r="AH321" s="33"/>
      <c r="AI321" s="33"/>
      <c r="AJ321" s="33" t="s">
        <v>5011</v>
      </c>
      <c r="AK321" s="94"/>
      <c r="AL321" s="33" t="s">
        <v>5012</v>
      </c>
      <c r="AM321" s="33"/>
      <c r="AN321" s="33" t="s">
        <v>2588</v>
      </c>
      <c r="AO321" s="51" t="s">
        <v>2911</v>
      </c>
      <c r="AP321" s="51" t="s">
        <v>207</v>
      </c>
      <c r="AQ321" s="33"/>
      <c r="AR321" s="54"/>
      <c r="AS321" s="54"/>
      <c r="AT321" s="54"/>
      <c r="AU321" s="54"/>
      <c r="AV321" s="54"/>
      <c r="AW321" s="54"/>
      <c r="AX321" s="54"/>
      <c r="AY321" s="54"/>
      <c r="AZ321" s="54"/>
      <c r="BA321" s="54"/>
      <c r="BB321" s="54"/>
      <c r="BC321" s="54"/>
      <c r="BD321" s="54" t="s">
        <v>2447</v>
      </c>
      <c r="BE321" s="54"/>
      <c r="BF321" s="54"/>
      <c r="BG321" s="54"/>
      <c r="BH321" s="54"/>
      <c r="BI321" s="54"/>
      <c r="BJ321" s="0"/>
      <c r="BK321" s="0"/>
      <c r="BL321" s="0"/>
      <c r="BM321" s="0"/>
      <c r="BN321" s="0"/>
      <c r="BO321" s="0"/>
      <c r="BP321"/>
      <c r="BQ321"/>
      <c r="BR321"/>
      <c r="BS321"/>
      <c r="BT321"/>
      <c r="BU321"/>
      <c r="BV321"/>
      <c r="BW321"/>
      <c r="BX321"/>
      <c r="BY321"/>
      <c r="BZ321"/>
      <c r="CA321"/>
      <c r="CB321"/>
    </row>
    <row r="322" ht="15.0" customHeight="true">
      <c r="A322" s="51" t="s">
        <v>2448</v>
      </c>
      <c r="B322" s="33"/>
      <c r="C322" s="33" t="s">
        <v>5013</v>
      </c>
      <c r="D322" s="33"/>
      <c r="E322" s="33" t="s">
        <v>5014</v>
      </c>
      <c r="F322" s="33"/>
      <c r="G322" s="55" t="s">
        <v>5015</v>
      </c>
      <c r="H322" s="33"/>
      <c r="I322" s="51" t="s">
        <v>5016</v>
      </c>
      <c r="J322" s="33"/>
      <c r="K322" s="51" t="s">
        <v>5017</v>
      </c>
      <c r="L322" s="33" t="s">
        <v>2454</v>
      </c>
      <c r="M322" s="55" t="s">
        <v>4889</v>
      </c>
      <c r="N322" s="55" t="s">
        <v>5018</v>
      </c>
      <c r="O322" s="33" t="s">
        <v>2272</v>
      </c>
      <c r="P322" s="33" t="s">
        <v>2251</v>
      </c>
      <c r="Q322" s="33"/>
      <c r="R322" s="33" t="s">
        <v>2263</v>
      </c>
      <c r="S322" s="56" t="s">
        <v>2277</v>
      </c>
      <c r="T322" s="56"/>
      <c r="U322" s="56"/>
      <c r="V322" s="33" t="s">
        <v>2456</v>
      </c>
      <c r="W322" s="94" t="s">
        <v>2457</v>
      </c>
      <c r="X322" s="94" t="s">
        <v>2458</v>
      </c>
      <c r="Y322" s="51"/>
      <c r="Z322" s="51"/>
      <c r="AA322" s="33" t="s">
        <v>2459</v>
      </c>
      <c r="AB322" s="33" t="s">
        <v>2460</v>
      </c>
      <c r="AC322" s="33"/>
      <c r="AD322" s="33" t="s">
        <v>2254</v>
      </c>
      <c r="AE322" s="33"/>
      <c r="AF322" s="33" t="s">
        <v>2267</v>
      </c>
      <c r="AG322" s="33" t="s">
        <v>2461</v>
      </c>
      <c r="AH322" s="33"/>
      <c r="AI322" s="33"/>
      <c r="AJ322" s="33" t="s">
        <v>5019</v>
      </c>
      <c r="AK322" s="94"/>
      <c r="AL322" s="33" t="s">
        <v>5020</v>
      </c>
      <c r="AM322" s="33"/>
      <c r="AN322" s="33" t="s">
        <v>2465</v>
      </c>
      <c r="AO322" s="51" t="s">
        <v>2673</v>
      </c>
      <c r="AP322" s="51" t="s">
        <v>207</v>
      </c>
      <c r="AQ322" s="33"/>
      <c r="AR322" s="54"/>
      <c r="AS322" s="54"/>
      <c r="AT322" s="54"/>
      <c r="AU322" s="54"/>
      <c r="AV322" s="54"/>
      <c r="AW322" s="54"/>
      <c r="AX322" s="54"/>
      <c r="AY322" s="54"/>
      <c r="AZ322" s="54"/>
      <c r="BA322" s="54"/>
      <c r="BB322" s="54"/>
      <c r="BC322" s="54"/>
      <c r="BD322" s="54" t="s">
        <v>2447</v>
      </c>
      <c r="BE322" s="54"/>
      <c r="BF322" s="54"/>
      <c r="BG322" s="54"/>
      <c r="BH322" s="54"/>
      <c r="BI322" s="54"/>
      <c r="BJ322" s="0"/>
      <c r="BK322" s="0"/>
      <c r="BL322" s="0"/>
      <c r="BM322" s="0"/>
      <c r="BN322" s="0"/>
      <c r="BO322" s="0"/>
      <c r="BP322"/>
      <c r="BQ322"/>
      <c r="BR322"/>
      <c r="BS322"/>
      <c r="BT322"/>
      <c r="BU322"/>
      <c r="BV322"/>
      <c r="BW322"/>
      <c r="BX322"/>
      <c r="BY322"/>
      <c r="BZ322"/>
      <c r="CA322"/>
      <c r="CB322"/>
    </row>
    <row r="323" ht="15.0" customHeight="true">
      <c r="A323" s="51" t="s">
        <v>2448</v>
      </c>
      <c r="B323" s="33"/>
      <c r="C323" s="33" t="s">
        <v>5021</v>
      </c>
      <c r="D323" s="33"/>
      <c r="E323" s="33" t="s">
        <v>5022</v>
      </c>
      <c r="F323" s="33"/>
      <c r="G323" s="55" t="s">
        <v>5023</v>
      </c>
      <c r="H323" s="33"/>
      <c r="I323" s="51" t="s">
        <v>5024</v>
      </c>
      <c r="J323" s="33"/>
      <c r="K323" s="51" t="s">
        <v>5025</v>
      </c>
      <c r="L323" s="33" t="s">
        <v>2454</v>
      </c>
      <c r="M323" s="55" t="s">
        <v>5026</v>
      </c>
      <c r="N323" s="55" t="s">
        <v>3879</v>
      </c>
      <c r="O323" s="33" t="s">
        <v>2272</v>
      </c>
      <c r="P323" s="33" t="s">
        <v>2251</v>
      </c>
      <c r="Q323" s="33"/>
      <c r="R323" s="33" t="s">
        <v>2263</v>
      </c>
      <c r="S323" s="56" t="s">
        <v>2277</v>
      </c>
      <c r="T323" s="56"/>
      <c r="U323" s="56"/>
      <c r="V323" s="33" t="s">
        <v>2456</v>
      </c>
      <c r="W323" s="94" t="s">
        <v>2457</v>
      </c>
      <c r="X323" s="94" t="s">
        <v>2458</v>
      </c>
      <c r="Y323" s="51"/>
      <c r="Z323" s="51"/>
      <c r="AA323" s="33" t="s">
        <v>2459</v>
      </c>
      <c r="AB323" s="33" t="s">
        <v>2460</v>
      </c>
      <c r="AC323" s="33"/>
      <c r="AD323" s="33" t="s">
        <v>2254</v>
      </c>
      <c r="AE323" s="33"/>
      <c r="AF323" s="33" t="s">
        <v>2267</v>
      </c>
      <c r="AG323" s="33" t="s">
        <v>2461</v>
      </c>
      <c r="AH323" s="33"/>
      <c r="AI323" s="33"/>
      <c r="AJ323" s="33" t="s">
        <v>5027</v>
      </c>
      <c r="AK323" s="94"/>
      <c r="AL323" s="33" t="s">
        <v>5028</v>
      </c>
      <c r="AM323" s="33"/>
      <c r="AN323" s="33" t="s">
        <v>5029</v>
      </c>
      <c r="AO323" s="51" t="s">
        <v>5030</v>
      </c>
      <c r="AP323" s="51" t="s">
        <v>178</v>
      </c>
      <c r="AQ323" s="33"/>
      <c r="AR323" s="54"/>
      <c r="AS323" s="54"/>
      <c r="AT323" s="54"/>
      <c r="AU323" s="54"/>
      <c r="AV323" s="54"/>
      <c r="AW323" s="54"/>
      <c r="AX323" s="54"/>
      <c r="AY323" s="54"/>
      <c r="AZ323" s="54"/>
      <c r="BA323" s="54"/>
      <c r="BB323" s="54"/>
      <c r="BC323" s="54"/>
      <c r="BD323" s="54" t="s">
        <v>2447</v>
      </c>
      <c r="BE323" s="54"/>
      <c r="BF323" s="54"/>
      <c r="BG323" s="54"/>
      <c r="BH323" s="54"/>
      <c r="BI323" s="54"/>
      <c r="BJ323" s="0"/>
      <c r="BK323" s="0"/>
      <c r="BL323" s="0"/>
      <c r="BM323" s="0"/>
      <c r="BN323" s="0"/>
      <c r="BO323" s="0"/>
      <c r="BP323"/>
      <c r="BQ323"/>
      <c r="BR323"/>
      <c r="BS323"/>
      <c r="BT323"/>
      <c r="BU323"/>
      <c r="BV323"/>
      <c r="BW323"/>
      <c r="BX323"/>
      <c r="BY323"/>
      <c r="BZ323"/>
      <c r="CA323"/>
      <c r="CB323"/>
    </row>
    <row r="324" ht="15.0" customHeight="true">
      <c r="A324" s="51" t="s">
        <v>2448</v>
      </c>
      <c r="B324" s="33"/>
      <c r="C324" s="33" t="s">
        <v>5031</v>
      </c>
      <c r="D324" s="33"/>
      <c r="E324" s="33" t="s">
        <v>5032</v>
      </c>
      <c r="F324" s="33"/>
      <c r="G324" s="55" t="s">
        <v>5033</v>
      </c>
      <c r="H324" s="33"/>
      <c r="I324" s="51" t="s">
        <v>5034</v>
      </c>
      <c r="J324" s="33"/>
      <c r="K324" s="51" t="s">
        <v>5035</v>
      </c>
      <c r="L324" s="33" t="s">
        <v>2454</v>
      </c>
      <c r="M324" s="55" t="s">
        <v>4661</v>
      </c>
      <c r="N324" s="55" t="s">
        <v>5036</v>
      </c>
      <c r="O324" s="33" t="s">
        <v>2272</v>
      </c>
      <c r="P324" s="33" t="s">
        <v>2251</v>
      </c>
      <c r="Q324" s="33"/>
      <c r="R324" s="33" t="s">
        <v>2263</v>
      </c>
      <c r="S324" s="56" t="s">
        <v>2277</v>
      </c>
      <c r="T324" s="56"/>
      <c r="U324" s="56"/>
      <c r="V324" s="33" t="s">
        <v>2456</v>
      </c>
      <c r="W324" s="94" t="s">
        <v>2457</v>
      </c>
      <c r="X324" s="94" t="s">
        <v>2458</v>
      </c>
      <c r="Y324" s="51"/>
      <c r="Z324" s="51"/>
      <c r="AA324" s="33" t="s">
        <v>2459</v>
      </c>
      <c r="AB324" s="33" t="s">
        <v>2460</v>
      </c>
      <c r="AC324" s="33"/>
      <c r="AD324" s="33" t="s">
        <v>2254</v>
      </c>
      <c r="AE324" s="33"/>
      <c r="AF324" s="33" t="s">
        <v>2267</v>
      </c>
      <c r="AG324" s="33" t="s">
        <v>2461</v>
      </c>
      <c r="AH324" s="33"/>
      <c r="AI324" s="33"/>
      <c r="AJ324" s="33" t="s">
        <v>5037</v>
      </c>
      <c r="AK324" s="94"/>
      <c r="AL324" s="33" t="s">
        <v>5038</v>
      </c>
      <c r="AM324" s="33" t="s">
        <v>5039</v>
      </c>
      <c r="AN324" s="33" t="s">
        <v>2465</v>
      </c>
      <c r="AO324" s="51" t="s">
        <v>2548</v>
      </c>
      <c r="AP324" s="51" t="s">
        <v>207</v>
      </c>
      <c r="AQ324" s="33"/>
      <c r="AR324" s="54"/>
      <c r="AS324" s="54"/>
      <c r="AT324" s="54"/>
      <c r="AU324" s="54"/>
      <c r="AV324" s="54"/>
      <c r="AW324" s="54"/>
      <c r="AX324" s="54"/>
      <c r="AY324" s="54"/>
      <c r="AZ324" s="54"/>
      <c r="BA324" s="54"/>
      <c r="BB324" s="54"/>
      <c r="BC324" s="54"/>
      <c r="BD324" s="54" t="s">
        <v>2447</v>
      </c>
      <c r="BE324" s="54"/>
      <c r="BF324" s="54"/>
      <c r="BG324" s="54"/>
      <c r="BH324" s="54"/>
      <c r="BI324" s="54"/>
      <c r="BJ324" s="0"/>
      <c r="BK324" s="0"/>
      <c r="BL324" s="0"/>
      <c r="BM324" s="0"/>
      <c r="BN324" s="0"/>
      <c r="BO324" s="0"/>
      <c r="BP324"/>
      <c r="BQ324"/>
      <c r="BR324"/>
      <c r="BS324"/>
      <c r="BT324"/>
      <c r="BU324"/>
      <c r="BV324"/>
      <c r="BW324"/>
      <c r="BX324"/>
      <c r="BY324"/>
      <c r="BZ324"/>
      <c r="CA324"/>
      <c r="CB324"/>
    </row>
    <row r="325" ht="15.0" customHeight="true">
      <c r="A325" s="51" t="s">
        <v>2448</v>
      </c>
      <c r="B325" s="33"/>
      <c r="C325" s="33" t="s">
        <v>3448</v>
      </c>
      <c r="D325" s="33"/>
      <c r="E325" s="33" t="s">
        <v>5040</v>
      </c>
      <c r="F325" s="33"/>
      <c r="G325" s="55" t="s">
        <v>5041</v>
      </c>
      <c r="H325" s="33"/>
      <c r="I325" s="51" t="s">
        <v>5042</v>
      </c>
      <c r="J325" s="33"/>
      <c r="K325" s="51" t="s">
        <v>5043</v>
      </c>
      <c r="L325" s="33" t="s">
        <v>2484</v>
      </c>
      <c r="M325" s="55" t="s">
        <v>3904</v>
      </c>
      <c r="N325" s="55"/>
      <c r="O325" s="33"/>
      <c r="P325" s="33" t="s">
        <v>2251</v>
      </c>
      <c r="Q325" s="33"/>
      <c r="R325" s="33" t="s">
        <v>2263</v>
      </c>
      <c r="S325" s="56" t="s">
        <v>2277</v>
      </c>
      <c r="T325" s="56"/>
      <c r="U325" s="56"/>
      <c r="V325" s="33" t="s">
        <v>2456</v>
      </c>
      <c r="W325" s="94" t="s">
        <v>2457</v>
      </c>
      <c r="X325" s="94" t="s">
        <v>2474</v>
      </c>
      <c r="Y325" s="51"/>
      <c r="Z325" s="51"/>
      <c r="AA325" s="33" t="s">
        <v>2459</v>
      </c>
      <c r="AB325" s="33" t="s">
        <v>2460</v>
      </c>
      <c r="AC325" s="33" t="s">
        <v>2486</v>
      </c>
      <c r="AD325" s="33" t="s">
        <v>2254</v>
      </c>
      <c r="AE325" s="33"/>
      <c r="AF325" s="33" t="s">
        <v>2267</v>
      </c>
      <c r="AG325" s="33" t="s">
        <v>2461</v>
      </c>
      <c r="AH325" s="33"/>
      <c r="AI325" s="33"/>
      <c r="AJ325" s="33" t="s">
        <v>5044</v>
      </c>
      <c r="AK325" s="94"/>
      <c r="AL325" s="33" t="s">
        <v>5045</v>
      </c>
      <c r="AM325" s="33"/>
      <c r="AN325" s="33" t="s">
        <v>2465</v>
      </c>
      <c r="AO325" s="51" t="s">
        <v>2478</v>
      </c>
      <c r="AP325" s="51" t="s">
        <v>207</v>
      </c>
      <c r="AQ325" s="33"/>
      <c r="AR325" s="54"/>
      <c r="AS325" s="54"/>
      <c r="AT325" s="54"/>
      <c r="AU325" s="54"/>
      <c r="AV325" s="54"/>
      <c r="AW325" s="54"/>
      <c r="AX325" s="54"/>
      <c r="AY325" s="54"/>
      <c r="AZ325" s="54"/>
      <c r="BA325" s="54"/>
      <c r="BB325" s="54"/>
      <c r="BC325" s="54"/>
      <c r="BD325" s="54" t="s">
        <v>2447</v>
      </c>
      <c r="BE325" s="54"/>
      <c r="BF325" s="54"/>
      <c r="BG325" s="54"/>
      <c r="BH325" s="54"/>
      <c r="BI325" s="54"/>
      <c r="BJ325" s="0"/>
      <c r="BK325" s="0"/>
      <c r="BL325" s="0"/>
      <c r="BM325" s="0"/>
      <c r="BN325" s="0"/>
      <c r="BO325" s="0"/>
      <c r="BP325"/>
      <c r="BQ325"/>
      <c r="BR325"/>
      <c r="BS325"/>
      <c r="BT325"/>
      <c r="BU325"/>
      <c r="BV325"/>
      <c r="BW325"/>
      <c r="BX325"/>
      <c r="BY325"/>
      <c r="BZ325"/>
      <c r="CA325"/>
      <c r="CB325"/>
    </row>
    <row r="326" ht="15.0" customHeight="true">
      <c r="A326" s="51" t="s">
        <v>2448</v>
      </c>
      <c r="B326" s="33"/>
      <c r="C326" s="33" t="s">
        <v>2887</v>
      </c>
      <c r="D326" s="33"/>
      <c r="E326" s="33" t="s">
        <v>5046</v>
      </c>
      <c r="F326" s="33"/>
      <c r="G326" s="55" t="s">
        <v>5047</v>
      </c>
      <c r="H326" s="33"/>
      <c r="I326" s="51" t="s">
        <v>5048</v>
      </c>
      <c r="J326" s="33"/>
      <c r="K326" s="51" t="s">
        <v>5049</v>
      </c>
      <c r="L326" s="33" t="s">
        <v>2454</v>
      </c>
      <c r="M326" s="55" t="s">
        <v>2815</v>
      </c>
      <c r="N326" s="55" t="s">
        <v>3806</v>
      </c>
      <c r="O326" s="33" t="s">
        <v>2272</v>
      </c>
      <c r="P326" s="33" t="s">
        <v>2251</v>
      </c>
      <c r="Q326" s="33"/>
      <c r="R326" s="33" t="s">
        <v>2263</v>
      </c>
      <c r="S326" s="56" t="s">
        <v>2277</v>
      </c>
      <c r="T326" s="56"/>
      <c r="U326" s="56"/>
      <c r="V326" s="33" t="s">
        <v>2456</v>
      </c>
      <c r="W326" s="94" t="s">
        <v>2457</v>
      </c>
      <c r="X326" s="94" t="s">
        <v>2458</v>
      </c>
      <c r="Y326" s="51"/>
      <c r="Z326" s="51"/>
      <c r="AA326" s="33" t="s">
        <v>2459</v>
      </c>
      <c r="AB326" s="33" t="s">
        <v>2460</v>
      </c>
      <c r="AC326" s="33"/>
      <c r="AD326" s="33" t="s">
        <v>2254</v>
      </c>
      <c r="AE326" s="33"/>
      <c r="AF326" s="33" t="s">
        <v>2267</v>
      </c>
      <c r="AG326" s="33" t="s">
        <v>2461</v>
      </c>
      <c r="AH326" s="33"/>
      <c r="AI326" s="33"/>
      <c r="AJ326" s="33" t="s">
        <v>5050</v>
      </c>
      <c r="AK326" s="94"/>
      <c r="AL326" s="33" t="s">
        <v>2818</v>
      </c>
      <c r="AM326" s="33"/>
      <c r="AN326" s="33" t="s">
        <v>2465</v>
      </c>
      <c r="AO326" s="51" t="s">
        <v>2820</v>
      </c>
      <c r="AP326" s="51" t="s">
        <v>207</v>
      </c>
      <c r="AQ326" s="33"/>
      <c r="AR326" s="54"/>
      <c r="AS326" s="54"/>
      <c r="AT326" s="54"/>
      <c r="AU326" s="54"/>
      <c r="AV326" s="54"/>
      <c r="AW326" s="54"/>
      <c r="AX326" s="54"/>
      <c r="AY326" s="54"/>
      <c r="AZ326" s="54"/>
      <c r="BA326" s="54"/>
      <c r="BB326" s="54"/>
      <c r="BC326" s="54"/>
      <c r="BD326" s="54" t="s">
        <v>2447</v>
      </c>
      <c r="BE326" s="54"/>
      <c r="BF326" s="54"/>
      <c r="BG326" s="54"/>
      <c r="BH326" s="54"/>
      <c r="BI326" s="54"/>
      <c r="BJ326" s="0"/>
      <c r="BK326" s="0"/>
      <c r="BL326" s="0"/>
      <c r="BM326" s="0"/>
      <c r="BN326" s="0"/>
      <c r="BO326" s="0"/>
      <c r="BP326"/>
      <c r="BQ326"/>
      <c r="BR326"/>
      <c r="BS326"/>
      <c r="BT326"/>
      <c r="BU326"/>
      <c r="BV326"/>
      <c r="BW326"/>
      <c r="BX326"/>
      <c r="BY326"/>
      <c r="BZ326"/>
      <c r="CA326"/>
      <c r="CB326"/>
    </row>
    <row r="327" ht="15.0" customHeight="true">
      <c r="A327" s="51" t="s">
        <v>2448</v>
      </c>
      <c r="B327" s="33"/>
      <c r="C327" s="33" t="s">
        <v>5051</v>
      </c>
      <c r="D327" s="33"/>
      <c r="E327" s="33" t="s">
        <v>5052</v>
      </c>
      <c r="F327" s="33"/>
      <c r="G327" s="55" t="s">
        <v>5053</v>
      </c>
      <c r="H327" s="33"/>
      <c r="I327" s="51" t="s">
        <v>5054</v>
      </c>
      <c r="J327" s="33"/>
      <c r="K327" s="51" t="s">
        <v>5055</v>
      </c>
      <c r="L327" s="33" t="s">
        <v>2454</v>
      </c>
      <c r="M327" s="55" t="s">
        <v>2753</v>
      </c>
      <c r="N327" s="55" t="s">
        <v>2753</v>
      </c>
      <c r="O327" s="33" t="s">
        <v>2272</v>
      </c>
      <c r="P327" s="33" t="s">
        <v>2251</v>
      </c>
      <c r="Q327" s="33"/>
      <c r="R327" s="33" t="s">
        <v>2263</v>
      </c>
      <c r="S327" s="56" t="s">
        <v>2277</v>
      </c>
      <c r="T327" s="56"/>
      <c r="U327" s="56"/>
      <c r="V327" s="33" t="s">
        <v>2456</v>
      </c>
      <c r="W327" s="94" t="s">
        <v>2457</v>
      </c>
      <c r="X327" s="94" t="s">
        <v>2458</v>
      </c>
      <c r="Y327" s="51"/>
      <c r="Z327" s="51"/>
      <c r="AA327" s="33" t="s">
        <v>2459</v>
      </c>
      <c r="AB327" s="33" t="s">
        <v>2460</v>
      </c>
      <c r="AC327" s="33"/>
      <c r="AD327" s="33" t="s">
        <v>2254</v>
      </c>
      <c r="AE327" s="33"/>
      <c r="AF327" s="33" t="s">
        <v>2267</v>
      </c>
      <c r="AG327" s="33" t="s">
        <v>2461</v>
      </c>
      <c r="AH327" s="33"/>
      <c r="AI327" s="33"/>
      <c r="AJ327" s="33" t="s">
        <v>5056</v>
      </c>
      <c r="AK327" s="94"/>
      <c r="AL327" s="33" t="s">
        <v>5057</v>
      </c>
      <c r="AM327" s="33"/>
      <c r="AN327" s="33" t="s">
        <v>2465</v>
      </c>
      <c r="AO327" s="51" t="s">
        <v>2489</v>
      </c>
      <c r="AP327" s="51" t="s">
        <v>207</v>
      </c>
      <c r="AQ327" s="33"/>
      <c r="AR327" s="54"/>
      <c r="AS327" s="54"/>
      <c r="AT327" s="54"/>
      <c r="AU327" s="54"/>
      <c r="AV327" s="54"/>
      <c r="AW327" s="54"/>
      <c r="AX327" s="54"/>
      <c r="AY327" s="54"/>
      <c r="AZ327" s="54"/>
      <c r="BA327" s="54"/>
      <c r="BB327" s="54"/>
      <c r="BC327" s="54"/>
      <c r="BD327" s="54" t="s">
        <v>2447</v>
      </c>
      <c r="BE327" s="54"/>
      <c r="BF327" s="54"/>
      <c r="BG327" s="54"/>
      <c r="BH327" s="54"/>
      <c r="BI327" s="54"/>
      <c r="BJ327" s="0"/>
      <c r="BK327" s="0"/>
      <c r="BL327" s="0"/>
      <c r="BM327" s="0"/>
      <c r="BN327" s="0"/>
      <c r="BO327" s="0"/>
      <c r="BP327"/>
      <c r="BQ327"/>
      <c r="BR327"/>
      <c r="BS327"/>
      <c r="BT327"/>
      <c r="BU327"/>
      <c r="BV327"/>
      <c r="BW327"/>
      <c r="BX327"/>
      <c r="BY327"/>
      <c r="BZ327"/>
      <c r="CA327"/>
      <c r="CB327"/>
    </row>
    <row r="328" ht="15.0" customHeight="true">
      <c r="A328" s="51" t="s">
        <v>2448</v>
      </c>
      <c r="B328" s="33"/>
      <c r="C328" s="33" t="s">
        <v>5058</v>
      </c>
      <c r="D328" s="33"/>
      <c r="E328" s="33" t="s">
        <v>5059</v>
      </c>
      <c r="F328" s="33"/>
      <c r="G328" s="55" t="s">
        <v>5060</v>
      </c>
      <c r="H328" s="33"/>
      <c r="I328" s="51" t="s">
        <v>5061</v>
      </c>
      <c r="J328" s="33"/>
      <c r="K328" s="51" t="s">
        <v>5062</v>
      </c>
      <c r="L328" s="33" t="s">
        <v>2484</v>
      </c>
      <c r="M328" s="55" t="s">
        <v>2614</v>
      </c>
      <c r="N328" s="55"/>
      <c r="O328" s="33"/>
      <c r="P328" s="33" t="s">
        <v>2251</v>
      </c>
      <c r="Q328" s="33"/>
      <c r="R328" s="33" t="s">
        <v>2263</v>
      </c>
      <c r="S328" s="56" t="s">
        <v>2277</v>
      </c>
      <c r="T328" s="56"/>
      <c r="U328" s="56"/>
      <c r="V328" s="33" t="s">
        <v>2456</v>
      </c>
      <c r="W328" s="94" t="s">
        <v>2457</v>
      </c>
      <c r="X328" s="94" t="s">
        <v>4376</v>
      </c>
      <c r="Y328" s="51"/>
      <c r="Z328" s="51"/>
      <c r="AA328" s="33" t="s">
        <v>2459</v>
      </c>
      <c r="AB328" s="33" t="s">
        <v>2460</v>
      </c>
      <c r="AC328" s="33" t="s">
        <v>2486</v>
      </c>
      <c r="AD328" s="33" t="s">
        <v>2254</v>
      </c>
      <c r="AE328" s="33"/>
      <c r="AF328" s="33" t="s">
        <v>2267</v>
      </c>
      <c r="AG328" s="33" t="s">
        <v>2461</v>
      </c>
      <c r="AH328" s="33"/>
      <c r="AI328" s="33"/>
      <c r="AJ328" s="33" t="s">
        <v>5063</v>
      </c>
      <c r="AK328" s="94"/>
      <c r="AL328" s="33" t="s">
        <v>5064</v>
      </c>
      <c r="AM328" s="33"/>
      <c r="AN328" s="33" t="s">
        <v>2465</v>
      </c>
      <c r="AO328" s="51" t="s">
        <v>2489</v>
      </c>
      <c r="AP328" s="51" t="s">
        <v>207</v>
      </c>
      <c r="AQ328" s="33"/>
      <c r="AR328" s="54"/>
      <c r="AS328" s="54"/>
      <c r="AT328" s="54"/>
      <c r="AU328" s="54"/>
      <c r="AV328" s="54"/>
      <c r="AW328" s="54"/>
      <c r="AX328" s="54"/>
      <c r="AY328" s="54"/>
      <c r="AZ328" s="54"/>
      <c r="BA328" s="54"/>
      <c r="BB328" s="54"/>
      <c r="BC328" s="54"/>
      <c r="BD328" s="54" t="s">
        <v>2447</v>
      </c>
      <c r="BE328" s="54"/>
      <c r="BF328" s="54"/>
      <c r="BG328" s="54"/>
      <c r="BH328" s="54"/>
      <c r="BI328" s="54"/>
      <c r="BJ328" s="0"/>
      <c r="BK328" s="0"/>
      <c r="BL328" s="0"/>
      <c r="BM328" s="0"/>
      <c r="BN328" s="0"/>
      <c r="BO328" s="0"/>
      <c r="BP328"/>
      <c r="BQ328"/>
      <c r="BR328"/>
      <c r="BS328"/>
      <c r="BT328"/>
      <c r="BU328"/>
      <c r="BV328"/>
      <c r="BW328"/>
      <c r="BX328"/>
      <c r="BY328"/>
      <c r="BZ328"/>
      <c r="CA328"/>
      <c r="CB328"/>
    </row>
    <row r="329" ht="15.0" customHeight="true">
      <c r="A329" s="51" t="s">
        <v>2448</v>
      </c>
      <c r="B329" s="33"/>
      <c r="C329" s="33" t="s">
        <v>5065</v>
      </c>
      <c r="D329" s="33"/>
      <c r="E329" s="33" t="s">
        <v>5066</v>
      </c>
      <c r="F329" s="33"/>
      <c r="G329" s="55" t="s">
        <v>5067</v>
      </c>
      <c r="H329" s="33"/>
      <c r="I329" s="51" t="s">
        <v>5068</v>
      </c>
      <c r="J329" s="33"/>
      <c r="K329" s="51" t="s">
        <v>5069</v>
      </c>
      <c r="L329" s="33" t="s">
        <v>2454</v>
      </c>
      <c r="M329" s="55" t="s">
        <v>3010</v>
      </c>
      <c r="N329" s="55" t="s">
        <v>3151</v>
      </c>
      <c r="O329" s="33" t="s">
        <v>2272</v>
      </c>
      <c r="P329" s="33" t="s">
        <v>2251</v>
      </c>
      <c r="Q329" s="33"/>
      <c r="R329" s="33" t="s">
        <v>2263</v>
      </c>
      <c r="S329" s="56" t="s">
        <v>2277</v>
      </c>
      <c r="T329" s="56"/>
      <c r="U329" s="56"/>
      <c r="V329" s="33" t="s">
        <v>2456</v>
      </c>
      <c r="W329" s="94" t="s">
        <v>2457</v>
      </c>
      <c r="X329" s="94" t="s">
        <v>2458</v>
      </c>
      <c r="Y329" s="51"/>
      <c r="Z329" s="51"/>
      <c r="AA329" s="33" t="s">
        <v>2459</v>
      </c>
      <c r="AB329" s="33" t="s">
        <v>2460</v>
      </c>
      <c r="AC329" s="33"/>
      <c r="AD329" s="33" t="s">
        <v>2254</v>
      </c>
      <c r="AE329" s="33"/>
      <c r="AF329" s="33" t="s">
        <v>2267</v>
      </c>
      <c r="AG329" s="33" t="s">
        <v>2461</v>
      </c>
      <c r="AH329" s="33"/>
      <c r="AI329" s="33"/>
      <c r="AJ329" s="33" t="s">
        <v>5070</v>
      </c>
      <c r="AK329" s="94"/>
      <c r="AL329" s="33" t="s">
        <v>3112</v>
      </c>
      <c r="AM329" s="33"/>
      <c r="AN329" s="33" t="s">
        <v>2465</v>
      </c>
      <c r="AO329" s="51" t="s">
        <v>2489</v>
      </c>
      <c r="AP329" s="51" t="s">
        <v>207</v>
      </c>
      <c r="AQ329" s="33"/>
      <c r="AR329" s="54"/>
      <c r="AS329" s="54"/>
      <c r="AT329" s="54"/>
      <c r="AU329" s="54"/>
      <c r="AV329" s="54"/>
      <c r="AW329" s="54"/>
      <c r="AX329" s="54"/>
      <c r="AY329" s="54"/>
      <c r="AZ329" s="54"/>
      <c r="BA329" s="54"/>
      <c r="BB329" s="54"/>
      <c r="BC329" s="54"/>
      <c r="BD329" s="54" t="s">
        <v>2447</v>
      </c>
      <c r="BE329" s="54"/>
      <c r="BF329" s="54"/>
      <c r="BG329" s="54"/>
      <c r="BH329" s="54"/>
      <c r="BI329" s="54"/>
      <c r="BJ329" s="0"/>
      <c r="BK329" s="0"/>
      <c r="BL329" s="0"/>
      <c r="BM329" s="0"/>
      <c r="BN329" s="0"/>
      <c r="BO329" s="0"/>
      <c r="BP329"/>
      <c r="BQ329"/>
      <c r="BR329"/>
      <c r="BS329"/>
      <c r="BT329"/>
      <c r="BU329"/>
      <c r="BV329"/>
      <c r="BW329"/>
      <c r="BX329"/>
      <c r="BY329"/>
      <c r="BZ329"/>
      <c r="CA329"/>
      <c r="CB329"/>
    </row>
    <row r="330" ht="15.0" customHeight="true">
      <c r="A330" s="51" t="s">
        <v>2448</v>
      </c>
      <c r="B330" s="33"/>
      <c r="C330" s="33" t="s">
        <v>5071</v>
      </c>
      <c r="D330" s="33"/>
      <c r="E330" s="33" t="s">
        <v>5072</v>
      </c>
      <c r="F330" s="33"/>
      <c r="G330" s="55" t="s">
        <v>5073</v>
      </c>
      <c r="H330" s="33"/>
      <c r="I330" s="51" t="s">
        <v>5074</v>
      </c>
      <c r="J330" s="33"/>
      <c r="K330" s="51" t="s">
        <v>5075</v>
      </c>
      <c r="L330" s="33" t="s">
        <v>2454</v>
      </c>
      <c r="M330" s="55" t="s">
        <v>2735</v>
      </c>
      <c r="N330" s="55" t="s">
        <v>2735</v>
      </c>
      <c r="O330" s="33" t="s">
        <v>2272</v>
      </c>
      <c r="P330" s="33" t="s">
        <v>2251</v>
      </c>
      <c r="Q330" s="33"/>
      <c r="R330" s="33" t="s">
        <v>2263</v>
      </c>
      <c r="S330" s="56" t="s">
        <v>2277</v>
      </c>
      <c r="T330" s="56"/>
      <c r="U330" s="56"/>
      <c r="V330" s="33" t="s">
        <v>2456</v>
      </c>
      <c r="W330" s="94" t="s">
        <v>2457</v>
      </c>
      <c r="X330" s="94" t="s">
        <v>2474</v>
      </c>
      <c r="Y330" s="51"/>
      <c r="Z330" s="51"/>
      <c r="AA330" s="33" t="s">
        <v>2459</v>
      </c>
      <c r="AB330" s="33" t="s">
        <v>2460</v>
      </c>
      <c r="AC330" s="33"/>
      <c r="AD330" s="33" t="s">
        <v>2254</v>
      </c>
      <c r="AE330" s="33"/>
      <c r="AF330" s="33" t="s">
        <v>2267</v>
      </c>
      <c r="AG330" s="33" t="s">
        <v>2461</v>
      </c>
      <c r="AH330" s="33"/>
      <c r="AI330" s="33"/>
      <c r="AJ330" s="33" t="s">
        <v>5076</v>
      </c>
      <c r="AK330" s="94"/>
      <c r="AL330" s="33" t="s">
        <v>5077</v>
      </c>
      <c r="AM330" s="33"/>
      <c r="AN330" s="33" t="s">
        <v>3031</v>
      </c>
      <c r="AO330" s="51" t="s">
        <v>3572</v>
      </c>
      <c r="AP330" s="51" t="s">
        <v>207</v>
      </c>
      <c r="AQ330" s="33"/>
      <c r="AR330" s="54"/>
      <c r="AS330" s="54"/>
      <c r="AT330" s="54"/>
      <c r="AU330" s="54"/>
      <c r="AV330" s="54"/>
      <c r="AW330" s="54"/>
      <c r="AX330" s="54"/>
      <c r="AY330" s="54"/>
      <c r="AZ330" s="54"/>
      <c r="BA330" s="54"/>
      <c r="BB330" s="54"/>
      <c r="BC330" s="54"/>
      <c r="BD330" s="54" t="s">
        <v>2447</v>
      </c>
      <c r="BE330" s="54"/>
      <c r="BF330" s="54"/>
      <c r="BG330" s="54"/>
      <c r="BH330" s="54"/>
      <c r="BI330" s="54"/>
      <c r="BJ330" s="0"/>
      <c r="BK330" s="0"/>
      <c r="BL330" s="0"/>
      <c r="BM330" s="0"/>
      <c r="BN330" s="0"/>
      <c r="BO330" s="0"/>
      <c r="BP330"/>
      <c r="BQ330"/>
      <c r="BR330"/>
      <c r="BS330"/>
      <c r="BT330"/>
      <c r="BU330"/>
      <c r="BV330"/>
      <c r="BW330"/>
      <c r="BX330"/>
      <c r="BY330"/>
      <c r="BZ330"/>
      <c r="CA330"/>
      <c r="CB330"/>
    </row>
    <row r="331" ht="15.0" customHeight="true">
      <c r="A331" s="51" t="s">
        <v>2448</v>
      </c>
      <c r="B331" s="33"/>
      <c r="C331" s="33" t="s">
        <v>5078</v>
      </c>
      <c r="D331" s="33"/>
      <c r="E331" s="33" t="s">
        <v>5079</v>
      </c>
      <c r="F331" s="33"/>
      <c r="G331" s="55" t="s">
        <v>5080</v>
      </c>
      <c r="H331" s="33"/>
      <c r="I331" s="51" t="s">
        <v>5081</v>
      </c>
      <c r="J331" s="33"/>
      <c r="K331" s="51" t="s">
        <v>5082</v>
      </c>
      <c r="L331" s="33" t="s">
        <v>2484</v>
      </c>
      <c r="M331" s="55" t="s">
        <v>3047</v>
      </c>
      <c r="N331" s="55"/>
      <c r="O331" s="33"/>
      <c r="P331" s="33" t="s">
        <v>2251</v>
      </c>
      <c r="Q331" s="33"/>
      <c r="R331" s="33" t="s">
        <v>2263</v>
      </c>
      <c r="S331" s="56" t="s">
        <v>2277</v>
      </c>
      <c r="T331" s="56"/>
      <c r="U331" s="56"/>
      <c r="V331" s="33" t="s">
        <v>2456</v>
      </c>
      <c r="W331" s="94" t="s">
        <v>2457</v>
      </c>
      <c r="X331" s="94" t="s">
        <v>2474</v>
      </c>
      <c r="Y331" s="51"/>
      <c r="Z331" s="51"/>
      <c r="AA331" s="33" t="s">
        <v>2459</v>
      </c>
      <c r="AB331" s="33" t="s">
        <v>2460</v>
      </c>
      <c r="AC331" s="33" t="s">
        <v>2486</v>
      </c>
      <c r="AD331" s="33" t="s">
        <v>2254</v>
      </c>
      <c r="AE331" s="33"/>
      <c r="AF331" s="33" t="s">
        <v>2267</v>
      </c>
      <c r="AG331" s="33" t="s">
        <v>2461</v>
      </c>
      <c r="AH331" s="33"/>
      <c r="AI331" s="33"/>
      <c r="AJ331" s="33" t="s">
        <v>5083</v>
      </c>
      <c r="AK331" s="94"/>
      <c r="AL331" s="33" t="s">
        <v>5084</v>
      </c>
      <c r="AM331" s="33"/>
      <c r="AN331" s="33" t="s">
        <v>2465</v>
      </c>
      <c r="AO331" s="51" t="s">
        <v>2489</v>
      </c>
      <c r="AP331" s="51" t="s">
        <v>207</v>
      </c>
      <c r="AQ331" s="33"/>
      <c r="AR331" s="54"/>
      <c r="AS331" s="54"/>
      <c r="AT331" s="54"/>
      <c r="AU331" s="54"/>
      <c r="AV331" s="54"/>
      <c r="AW331" s="54"/>
      <c r="AX331" s="54"/>
      <c r="AY331" s="54"/>
      <c r="AZ331" s="54"/>
      <c r="BA331" s="54"/>
      <c r="BB331" s="54"/>
      <c r="BC331" s="54"/>
      <c r="BD331" s="54" t="s">
        <v>2447</v>
      </c>
      <c r="BE331" s="54"/>
      <c r="BF331" s="54"/>
      <c r="BG331" s="54"/>
      <c r="BH331" s="54"/>
      <c r="BI331" s="54"/>
      <c r="BJ331" s="0"/>
      <c r="BK331" s="0"/>
      <c r="BL331" s="0"/>
      <c r="BM331" s="0"/>
      <c r="BN331" s="0"/>
      <c r="BO331" s="0"/>
      <c r="BP331"/>
      <c r="BQ331"/>
      <c r="BR331"/>
      <c r="BS331"/>
      <c r="BT331"/>
      <c r="BU331"/>
      <c r="BV331"/>
      <c r="BW331"/>
      <c r="BX331"/>
      <c r="BY331"/>
      <c r="BZ331"/>
      <c r="CA331"/>
      <c r="CB331"/>
    </row>
    <row r="332" ht="15.0" customHeight="true">
      <c r="A332" s="51" t="s">
        <v>2448</v>
      </c>
      <c r="B332" s="33"/>
      <c r="C332" s="33" t="s">
        <v>5085</v>
      </c>
      <c r="D332" s="33"/>
      <c r="E332" s="33" t="s">
        <v>5086</v>
      </c>
      <c r="F332" s="33"/>
      <c r="G332" s="55" t="s">
        <v>5087</v>
      </c>
      <c r="H332" s="33"/>
      <c r="I332" s="51" t="s">
        <v>5088</v>
      </c>
      <c r="J332" s="33"/>
      <c r="K332" s="51" t="s">
        <v>5089</v>
      </c>
      <c r="L332" s="33" t="s">
        <v>2454</v>
      </c>
      <c r="M332" s="55" t="s">
        <v>5090</v>
      </c>
      <c r="N332" s="55" t="s">
        <v>4581</v>
      </c>
      <c r="O332" s="33" t="s">
        <v>2272</v>
      </c>
      <c r="P332" s="33" t="s">
        <v>2251</v>
      </c>
      <c r="Q332" s="33"/>
      <c r="R332" s="33" t="s">
        <v>2263</v>
      </c>
      <c r="S332" s="56" t="s">
        <v>2277</v>
      </c>
      <c r="T332" s="56"/>
      <c r="U332" s="56"/>
      <c r="V332" s="33" t="s">
        <v>2456</v>
      </c>
      <c r="W332" s="94" t="s">
        <v>2457</v>
      </c>
      <c r="X332" s="94" t="s">
        <v>2458</v>
      </c>
      <c r="Y332" s="51"/>
      <c r="Z332" s="51"/>
      <c r="AA332" s="33" t="s">
        <v>2459</v>
      </c>
      <c r="AB332" s="33" t="s">
        <v>2460</v>
      </c>
      <c r="AC332" s="33"/>
      <c r="AD332" s="33" t="s">
        <v>2254</v>
      </c>
      <c r="AE332" s="33"/>
      <c r="AF332" s="33" t="s">
        <v>2267</v>
      </c>
      <c r="AG332" s="33" t="s">
        <v>2461</v>
      </c>
      <c r="AH332" s="33"/>
      <c r="AI332" s="33"/>
      <c r="AJ332" s="33" t="s">
        <v>5091</v>
      </c>
      <c r="AK332" s="94"/>
      <c r="AL332" s="33" t="s">
        <v>5092</v>
      </c>
      <c r="AM332" s="33" t="s">
        <v>5093</v>
      </c>
      <c r="AN332" s="33" t="s">
        <v>2588</v>
      </c>
      <c r="AO332" s="51" t="s">
        <v>2589</v>
      </c>
      <c r="AP332" s="51" t="s">
        <v>207</v>
      </c>
      <c r="AQ332" s="33"/>
      <c r="AR332" s="54"/>
      <c r="AS332" s="54"/>
      <c r="AT332" s="54"/>
      <c r="AU332" s="54"/>
      <c r="AV332" s="54"/>
      <c r="AW332" s="54"/>
      <c r="AX332" s="54"/>
      <c r="AY332" s="54"/>
      <c r="AZ332" s="54"/>
      <c r="BA332" s="54"/>
      <c r="BB332" s="54"/>
      <c r="BC332" s="54"/>
      <c r="BD332" s="54" t="s">
        <v>2447</v>
      </c>
      <c r="BE332" s="54"/>
      <c r="BF332" s="54"/>
      <c r="BG332" s="54"/>
      <c r="BH332" s="54"/>
      <c r="BI332" s="54"/>
      <c r="BJ332" s="0"/>
      <c r="BK332" s="0"/>
      <c r="BL332" s="0"/>
      <c r="BM332" s="0"/>
      <c r="BN332" s="0"/>
      <c r="BO332" s="0"/>
      <c r="BP332"/>
      <c r="BQ332"/>
      <c r="BR332"/>
      <c r="BS332"/>
      <c r="BT332"/>
      <c r="BU332"/>
      <c r="BV332"/>
      <c r="BW332"/>
      <c r="BX332"/>
      <c r="BY332"/>
      <c r="BZ332"/>
      <c r="CA332"/>
      <c r="CB332"/>
    </row>
    <row r="333" ht="15.0" customHeight="true">
      <c r="A333" s="51" t="s">
        <v>2448</v>
      </c>
      <c r="B333" s="33"/>
      <c r="C333" s="33" t="s">
        <v>3060</v>
      </c>
      <c r="D333" s="33"/>
      <c r="E333" s="33" t="s">
        <v>5094</v>
      </c>
      <c r="F333" s="33"/>
      <c r="G333" s="55" t="s">
        <v>5095</v>
      </c>
      <c r="H333" s="33"/>
      <c r="I333" s="51" t="s">
        <v>5096</v>
      </c>
      <c r="J333" s="33"/>
      <c r="K333" s="51" t="s">
        <v>5097</v>
      </c>
      <c r="L333" s="33" t="s">
        <v>2454</v>
      </c>
      <c r="M333" s="55" t="s">
        <v>3484</v>
      </c>
      <c r="N333" s="55" t="s">
        <v>2976</v>
      </c>
      <c r="O333" s="33" t="s">
        <v>2272</v>
      </c>
      <c r="P333" s="33" t="s">
        <v>2251</v>
      </c>
      <c r="Q333" s="33"/>
      <c r="R333" s="33" t="s">
        <v>2263</v>
      </c>
      <c r="S333" s="56" t="s">
        <v>2277</v>
      </c>
      <c r="T333" s="56"/>
      <c r="U333" s="56"/>
      <c r="V333" s="33" t="s">
        <v>2456</v>
      </c>
      <c r="W333" s="94" t="s">
        <v>2457</v>
      </c>
      <c r="X333" s="94" t="s">
        <v>2474</v>
      </c>
      <c r="Y333" s="51"/>
      <c r="Z333" s="51"/>
      <c r="AA333" s="33" t="s">
        <v>2459</v>
      </c>
      <c r="AB333" s="33" t="s">
        <v>2460</v>
      </c>
      <c r="AC333" s="33"/>
      <c r="AD333" s="33" t="s">
        <v>2254</v>
      </c>
      <c r="AE333" s="33"/>
      <c r="AF333" s="33" t="s">
        <v>2267</v>
      </c>
      <c r="AG333" s="33" t="s">
        <v>2461</v>
      </c>
      <c r="AH333" s="33"/>
      <c r="AI333" s="33"/>
      <c r="AJ333" s="33" t="s">
        <v>5098</v>
      </c>
      <c r="AK333" s="94"/>
      <c r="AL333" s="33" t="s">
        <v>5099</v>
      </c>
      <c r="AM333" s="33"/>
      <c r="AN333" s="33" t="s">
        <v>2465</v>
      </c>
      <c r="AO333" s="51" t="s">
        <v>2538</v>
      </c>
      <c r="AP333" s="51" t="s">
        <v>207</v>
      </c>
      <c r="AQ333" s="33"/>
      <c r="AR333" s="54"/>
      <c r="AS333" s="54"/>
      <c r="AT333" s="54"/>
      <c r="AU333" s="54"/>
      <c r="AV333" s="54"/>
      <c r="AW333" s="54"/>
      <c r="AX333" s="54"/>
      <c r="AY333" s="54"/>
      <c r="AZ333" s="54"/>
      <c r="BA333" s="54"/>
      <c r="BB333" s="54"/>
      <c r="BC333" s="54"/>
      <c r="BD333" s="54" t="s">
        <v>2447</v>
      </c>
      <c r="BE333" s="54"/>
      <c r="BF333" s="54"/>
      <c r="BG333" s="54"/>
      <c r="BH333" s="54"/>
      <c r="BI333" s="54"/>
      <c r="BJ333" s="0"/>
      <c r="BK333" s="0"/>
      <c r="BL333" s="0"/>
      <c r="BM333" s="0"/>
      <c r="BN333" s="0"/>
      <c r="BO333" s="0"/>
      <c r="BP333"/>
      <c r="BQ333"/>
      <c r="BR333"/>
      <c r="BS333"/>
      <c r="BT333"/>
      <c r="BU333"/>
      <c r="BV333"/>
      <c r="BW333"/>
      <c r="BX333"/>
      <c r="BY333"/>
      <c r="BZ333"/>
      <c r="CA333"/>
      <c r="CB333"/>
    </row>
    <row r="334" ht="15.0" customHeight="true">
      <c r="A334" s="51" t="s">
        <v>2448</v>
      </c>
      <c r="B334" s="33"/>
      <c r="C334" s="33" t="s">
        <v>3925</v>
      </c>
      <c r="D334" s="33"/>
      <c r="E334" s="33" t="s">
        <v>5100</v>
      </c>
      <c r="F334" s="33"/>
      <c r="G334" s="55" t="s">
        <v>5101</v>
      </c>
      <c r="H334" s="33"/>
      <c r="I334" s="51" t="s">
        <v>5102</v>
      </c>
      <c r="J334" s="33"/>
      <c r="K334" s="51" t="s">
        <v>5103</v>
      </c>
      <c r="L334" s="33" t="s">
        <v>2454</v>
      </c>
      <c r="M334" s="55" t="s">
        <v>4094</v>
      </c>
      <c r="N334" s="55" t="s">
        <v>4094</v>
      </c>
      <c r="O334" s="33" t="s">
        <v>2272</v>
      </c>
      <c r="P334" s="33" t="s">
        <v>2251</v>
      </c>
      <c r="Q334" s="33"/>
      <c r="R334" s="33" t="s">
        <v>2263</v>
      </c>
      <c r="S334" s="56" t="s">
        <v>2277</v>
      </c>
      <c r="T334" s="56"/>
      <c r="U334" s="56"/>
      <c r="V334" s="33" t="s">
        <v>2456</v>
      </c>
      <c r="W334" s="94" t="s">
        <v>2457</v>
      </c>
      <c r="X334" s="94" t="s">
        <v>2458</v>
      </c>
      <c r="Y334" s="51"/>
      <c r="Z334" s="51"/>
      <c r="AA334" s="33" t="s">
        <v>2459</v>
      </c>
      <c r="AB334" s="33" t="s">
        <v>2460</v>
      </c>
      <c r="AC334" s="33"/>
      <c r="AD334" s="33" t="s">
        <v>2254</v>
      </c>
      <c r="AE334" s="33"/>
      <c r="AF334" s="33" t="s">
        <v>2267</v>
      </c>
      <c r="AG334" s="33" t="s">
        <v>2461</v>
      </c>
      <c r="AH334" s="33"/>
      <c r="AI334" s="33"/>
      <c r="AJ334" s="33" t="s">
        <v>5104</v>
      </c>
      <c r="AK334" s="94"/>
      <c r="AL334" s="33" t="s">
        <v>5105</v>
      </c>
      <c r="AM334" s="33" t="s">
        <v>5106</v>
      </c>
      <c r="AN334" s="33" t="s">
        <v>2465</v>
      </c>
      <c r="AO334" s="51" t="s">
        <v>2466</v>
      </c>
      <c r="AP334" s="51" t="s">
        <v>207</v>
      </c>
      <c r="AQ334" s="33"/>
      <c r="AR334" s="54"/>
      <c r="AS334" s="54"/>
      <c r="AT334" s="54"/>
      <c r="AU334" s="54"/>
      <c r="AV334" s="54"/>
      <c r="AW334" s="54"/>
      <c r="AX334" s="54"/>
      <c r="AY334" s="54"/>
      <c r="AZ334" s="54"/>
      <c r="BA334" s="54"/>
      <c r="BB334" s="54"/>
      <c r="BC334" s="54"/>
      <c r="BD334" s="54" t="s">
        <v>2447</v>
      </c>
      <c r="BE334" s="54"/>
      <c r="BF334" s="54"/>
      <c r="BG334" s="54"/>
      <c r="BH334" s="54"/>
      <c r="BI334" s="54"/>
      <c r="BJ334" s="0"/>
      <c r="BK334" s="0"/>
      <c r="BL334" s="0"/>
      <c r="BM334" s="0"/>
      <c r="BN334" s="0"/>
      <c r="BO334" s="0"/>
      <c r="BP334"/>
      <c r="BQ334"/>
      <c r="BR334"/>
      <c r="BS334"/>
      <c r="BT334"/>
      <c r="BU334"/>
      <c r="BV334"/>
      <c r="BW334"/>
      <c r="BX334"/>
      <c r="BY334"/>
      <c r="BZ334"/>
      <c r="CA334"/>
      <c r="CB334"/>
    </row>
    <row r="335" ht="15.0" customHeight="true">
      <c r="A335" s="51" t="s">
        <v>2448</v>
      </c>
      <c r="B335" s="33"/>
      <c r="C335" s="33" t="s">
        <v>5107</v>
      </c>
      <c r="D335" s="33"/>
      <c r="E335" s="33" t="s">
        <v>5108</v>
      </c>
      <c r="F335" s="33"/>
      <c r="G335" s="55" t="s">
        <v>5109</v>
      </c>
      <c r="H335" s="33"/>
      <c r="I335" s="51" t="s">
        <v>5110</v>
      </c>
      <c r="J335" s="33"/>
      <c r="K335" s="51" t="s">
        <v>5111</v>
      </c>
      <c r="L335" s="33" t="s">
        <v>2454</v>
      </c>
      <c r="M335" s="55" t="s">
        <v>3474</v>
      </c>
      <c r="N335" s="55" t="s">
        <v>4139</v>
      </c>
      <c r="O335" s="33" t="s">
        <v>2272</v>
      </c>
      <c r="P335" s="33" t="s">
        <v>2251</v>
      </c>
      <c r="Q335" s="33"/>
      <c r="R335" s="33" t="s">
        <v>2263</v>
      </c>
      <c r="S335" s="56" t="s">
        <v>2277</v>
      </c>
      <c r="T335" s="56"/>
      <c r="U335" s="56"/>
      <c r="V335" s="33" t="s">
        <v>2456</v>
      </c>
      <c r="W335" s="94" t="s">
        <v>2457</v>
      </c>
      <c r="X335" s="94" t="s">
        <v>2458</v>
      </c>
      <c r="Y335" s="51"/>
      <c r="Z335" s="51"/>
      <c r="AA335" s="33" t="s">
        <v>2459</v>
      </c>
      <c r="AB335" s="33" t="s">
        <v>2460</v>
      </c>
      <c r="AC335" s="33"/>
      <c r="AD335" s="33" t="s">
        <v>2254</v>
      </c>
      <c r="AE335" s="33"/>
      <c r="AF335" s="33" t="s">
        <v>2267</v>
      </c>
      <c r="AG335" s="33" t="s">
        <v>2461</v>
      </c>
      <c r="AH335" s="33"/>
      <c r="AI335" s="33"/>
      <c r="AJ335" s="33" t="s">
        <v>5112</v>
      </c>
      <c r="AK335" s="94"/>
      <c r="AL335" s="33" t="s">
        <v>5113</v>
      </c>
      <c r="AM335" s="33"/>
      <c r="AN335" s="33" t="s">
        <v>2465</v>
      </c>
      <c r="AO335" s="51" t="s">
        <v>2820</v>
      </c>
      <c r="AP335" s="51" t="s">
        <v>207</v>
      </c>
      <c r="AQ335" s="33"/>
      <c r="AR335" s="54"/>
      <c r="AS335" s="54"/>
      <c r="AT335" s="54"/>
      <c r="AU335" s="54"/>
      <c r="AV335" s="54"/>
      <c r="AW335" s="54"/>
      <c r="AX335" s="54"/>
      <c r="AY335" s="54"/>
      <c r="AZ335" s="54"/>
      <c r="BA335" s="54"/>
      <c r="BB335" s="54"/>
      <c r="BC335" s="54"/>
      <c r="BD335" s="54" t="s">
        <v>2447</v>
      </c>
      <c r="BE335" s="54"/>
      <c r="BF335" s="54"/>
      <c r="BG335" s="54"/>
      <c r="BH335" s="54"/>
      <c r="BI335" s="54"/>
      <c r="BJ335" s="0"/>
      <c r="BK335" s="0"/>
      <c r="BL335" s="0"/>
      <c r="BM335" s="0"/>
      <c r="BN335" s="0"/>
      <c r="BO335" s="0"/>
      <c r="BP335"/>
      <c r="BQ335"/>
      <c r="BR335"/>
      <c r="BS335"/>
      <c r="BT335"/>
      <c r="BU335"/>
      <c r="BV335"/>
      <c r="BW335"/>
      <c r="BX335"/>
      <c r="BY335"/>
      <c r="BZ335"/>
      <c r="CA335"/>
      <c r="CB335"/>
    </row>
    <row r="336" ht="15.0" customHeight="true">
      <c r="A336" s="51" t="s">
        <v>2448</v>
      </c>
      <c r="B336" s="33"/>
      <c r="C336" s="33" t="s">
        <v>3766</v>
      </c>
      <c r="D336" s="33"/>
      <c r="E336" s="33" t="s">
        <v>5114</v>
      </c>
      <c r="F336" s="33"/>
      <c r="G336" s="55" t="s">
        <v>5115</v>
      </c>
      <c r="H336" s="33"/>
      <c r="I336" s="51" t="s">
        <v>5116</v>
      </c>
      <c r="J336" s="33"/>
      <c r="K336" s="51" t="s">
        <v>5117</v>
      </c>
      <c r="L336" s="33" t="s">
        <v>2454</v>
      </c>
      <c r="M336" s="55" t="s">
        <v>3475</v>
      </c>
      <c r="N336" s="55" t="s">
        <v>5118</v>
      </c>
      <c r="O336" s="33" t="s">
        <v>2272</v>
      </c>
      <c r="P336" s="33" t="s">
        <v>2251</v>
      </c>
      <c r="Q336" s="33"/>
      <c r="R336" s="33" t="s">
        <v>2263</v>
      </c>
      <c r="S336" s="56" t="s">
        <v>2277</v>
      </c>
      <c r="T336" s="56"/>
      <c r="U336" s="56"/>
      <c r="V336" s="33" t="s">
        <v>2456</v>
      </c>
      <c r="W336" s="94" t="s">
        <v>2457</v>
      </c>
      <c r="X336" s="94" t="s">
        <v>2458</v>
      </c>
      <c r="Y336" s="51"/>
      <c r="Z336" s="51"/>
      <c r="AA336" s="33" t="s">
        <v>2459</v>
      </c>
      <c r="AB336" s="33" t="s">
        <v>2460</v>
      </c>
      <c r="AC336" s="33"/>
      <c r="AD336" s="33" t="s">
        <v>2254</v>
      </c>
      <c r="AE336" s="33"/>
      <c r="AF336" s="33" t="s">
        <v>2267</v>
      </c>
      <c r="AG336" s="33" t="s">
        <v>2461</v>
      </c>
      <c r="AH336" s="33"/>
      <c r="AI336" s="33"/>
      <c r="AJ336" s="33" t="s">
        <v>5119</v>
      </c>
      <c r="AK336" s="94"/>
      <c r="AL336" s="33" t="s">
        <v>5120</v>
      </c>
      <c r="AM336" s="33"/>
      <c r="AN336" s="33" t="s">
        <v>2465</v>
      </c>
      <c r="AO336" s="51" t="s">
        <v>2489</v>
      </c>
      <c r="AP336" s="51" t="s">
        <v>207</v>
      </c>
      <c r="AQ336" s="33"/>
      <c r="AR336" s="54"/>
      <c r="AS336" s="54"/>
      <c r="AT336" s="54"/>
      <c r="AU336" s="54"/>
      <c r="AV336" s="54"/>
      <c r="AW336" s="54"/>
      <c r="AX336" s="54"/>
      <c r="AY336" s="54"/>
      <c r="AZ336" s="54"/>
      <c r="BA336" s="54"/>
      <c r="BB336" s="54"/>
      <c r="BC336" s="54"/>
      <c r="BD336" s="54" t="s">
        <v>2447</v>
      </c>
      <c r="BE336" s="54"/>
      <c r="BF336" s="54"/>
      <c r="BG336" s="54"/>
      <c r="BH336" s="54"/>
      <c r="BI336" s="54"/>
      <c r="BJ336" s="0"/>
      <c r="BK336" s="0"/>
      <c r="BL336" s="0"/>
      <c r="BM336" s="0"/>
      <c r="BN336" s="0"/>
      <c r="BO336" s="0"/>
      <c r="BP336"/>
      <c r="BQ336"/>
      <c r="BR336"/>
      <c r="BS336"/>
      <c r="BT336"/>
      <c r="BU336"/>
      <c r="BV336"/>
      <c r="BW336"/>
      <c r="BX336"/>
      <c r="BY336"/>
      <c r="BZ336"/>
      <c r="CA336"/>
      <c r="CB336"/>
    </row>
    <row r="337" ht="15.0" customHeight="true">
      <c r="A337" s="51" t="s">
        <v>2448</v>
      </c>
      <c r="B337" s="33"/>
      <c r="C337" s="33" t="s">
        <v>3060</v>
      </c>
      <c r="D337" s="33"/>
      <c r="E337" s="33" t="s">
        <v>3181</v>
      </c>
      <c r="F337" s="33"/>
      <c r="G337" s="55" t="s">
        <v>4256</v>
      </c>
      <c r="H337" s="33"/>
      <c r="I337" s="51" t="s">
        <v>5121</v>
      </c>
      <c r="J337" s="33"/>
      <c r="K337" s="51" t="s">
        <v>5122</v>
      </c>
      <c r="L337" s="33" t="s">
        <v>2454</v>
      </c>
      <c r="M337" s="55" t="s">
        <v>4036</v>
      </c>
      <c r="N337" s="55" t="s">
        <v>4036</v>
      </c>
      <c r="O337" s="33" t="s">
        <v>2272</v>
      </c>
      <c r="P337" s="33" t="s">
        <v>2251</v>
      </c>
      <c r="Q337" s="33"/>
      <c r="R337" s="33" t="s">
        <v>2263</v>
      </c>
      <c r="S337" s="56" t="s">
        <v>2277</v>
      </c>
      <c r="T337" s="56"/>
      <c r="U337" s="56"/>
      <c r="V337" s="33" t="s">
        <v>2456</v>
      </c>
      <c r="W337" s="94" t="s">
        <v>2457</v>
      </c>
      <c r="X337" s="94" t="s">
        <v>2474</v>
      </c>
      <c r="Y337" s="51"/>
      <c r="Z337" s="51"/>
      <c r="AA337" s="33" t="s">
        <v>2459</v>
      </c>
      <c r="AB337" s="33" t="s">
        <v>2460</v>
      </c>
      <c r="AC337" s="33"/>
      <c r="AD337" s="33" t="s">
        <v>2254</v>
      </c>
      <c r="AE337" s="33"/>
      <c r="AF337" s="33" t="s">
        <v>2267</v>
      </c>
      <c r="AG337" s="33" t="s">
        <v>2461</v>
      </c>
      <c r="AH337" s="33"/>
      <c r="AI337" s="33"/>
      <c r="AJ337" s="33" t="s">
        <v>5123</v>
      </c>
      <c r="AK337" s="94"/>
      <c r="AL337" s="33" t="s">
        <v>5124</v>
      </c>
      <c r="AM337" s="33" t="s">
        <v>5125</v>
      </c>
      <c r="AN337" s="33" t="s">
        <v>2465</v>
      </c>
      <c r="AO337" s="51" t="s">
        <v>2820</v>
      </c>
      <c r="AP337" s="51" t="s">
        <v>207</v>
      </c>
      <c r="AQ337" s="33"/>
      <c r="AR337" s="54"/>
      <c r="AS337" s="54"/>
      <c r="AT337" s="54"/>
      <c r="AU337" s="54"/>
      <c r="AV337" s="54"/>
      <c r="AW337" s="54"/>
      <c r="AX337" s="54"/>
      <c r="AY337" s="54"/>
      <c r="AZ337" s="54"/>
      <c r="BA337" s="54"/>
      <c r="BB337" s="54"/>
      <c r="BC337" s="54"/>
      <c r="BD337" s="54" t="s">
        <v>2447</v>
      </c>
      <c r="BE337" s="54"/>
      <c r="BF337" s="54"/>
      <c r="BG337" s="54"/>
      <c r="BH337" s="54"/>
      <c r="BI337" s="54"/>
      <c r="BJ337" s="0"/>
      <c r="BK337" s="0"/>
      <c r="BL337" s="0"/>
      <c r="BM337" s="0"/>
      <c r="BN337" s="0"/>
      <c r="BO337" s="0"/>
      <c r="BP337"/>
      <c r="BQ337"/>
      <c r="BR337"/>
      <c r="BS337"/>
      <c r="BT337"/>
      <c r="BU337"/>
      <c r="BV337"/>
      <c r="BW337"/>
      <c r="BX337"/>
      <c r="BY337"/>
      <c r="BZ337"/>
      <c r="CA337"/>
      <c r="CB337"/>
    </row>
    <row r="338" ht="15.0" customHeight="true">
      <c r="A338" s="51" t="s">
        <v>2448</v>
      </c>
      <c r="B338" s="33"/>
      <c r="C338" s="33" t="s">
        <v>5126</v>
      </c>
      <c r="D338" s="33"/>
      <c r="E338" s="33" t="s">
        <v>5127</v>
      </c>
      <c r="F338" s="33"/>
      <c r="G338" s="55" t="s">
        <v>5128</v>
      </c>
      <c r="H338" s="33"/>
      <c r="I338" s="51" t="s">
        <v>5129</v>
      </c>
      <c r="J338" s="33"/>
      <c r="K338" s="51" t="s">
        <v>5130</v>
      </c>
      <c r="L338" s="33" t="s">
        <v>2484</v>
      </c>
      <c r="M338" s="55" t="s">
        <v>2835</v>
      </c>
      <c r="N338" s="55"/>
      <c r="O338" s="33"/>
      <c r="P338" s="33" t="s">
        <v>2251</v>
      </c>
      <c r="Q338" s="33"/>
      <c r="R338" s="33" t="s">
        <v>2263</v>
      </c>
      <c r="S338" s="56" t="s">
        <v>2277</v>
      </c>
      <c r="T338" s="56"/>
      <c r="U338" s="56"/>
      <c r="V338" s="33" t="s">
        <v>2456</v>
      </c>
      <c r="W338" s="94" t="s">
        <v>2457</v>
      </c>
      <c r="X338" s="94" t="s">
        <v>2474</v>
      </c>
      <c r="Y338" s="51"/>
      <c r="Z338" s="51"/>
      <c r="AA338" s="33" t="s">
        <v>2459</v>
      </c>
      <c r="AB338" s="33" t="s">
        <v>2460</v>
      </c>
      <c r="AC338" s="33" t="s">
        <v>2486</v>
      </c>
      <c r="AD338" s="33" t="s">
        <v>2254</v>
      </c>
      <c r="AE338" s="33"/>
      <c r="AF338" s="33" t="s">
        <v>2267</v>
      </c>
      <c r="AG338" s="33" t="s">
        <v>2461</v>
      </c>
      <c r="AH338" s="33"/>
      <c r="AI338" s="33"/>
      <c r="AJ338" s="33" t="s">
        <v>5131</v>
      </c>
      <c r="AK338" s="94"/>
      <c r="AL338" s="33" t="s">
        <v>5132</v>
      </c>
      <c r="AM338" s="33"/>
      <c r="AN338" s="33" t="s">
        <v>5133</v>
      </c>
      <c r="AO338" s="51" t="s">
        <v>5134</v>
      </c>
      <c r="AP338" s="51" t="s">
        <v>178</v>
      </c>
      <c r="AQ338" s="33"/>
      <c r="AR338" s="54"/>
      <c r="AS338" s="54"/>
      <c r="AT338" s="54"/>
      <c r="AU338" s="54"/>
      <c r="AV338" s="54"/>
      <c r="AW338" s="54"/>
      <c r="AX338" s="54"/>
      <c r="AY338" s="54"/>
      <c r="AZ338" s="54"/>
      <c r="BA338" s="54"/>
      <c r="BB338" s="54"/>
      <c r="BC338" s="54"/>
      <c r="BD338" s="54" t="s">
        <v>2447</v>
      </c>
      <c r="BE338" s="54"/>
      <c r="BF338" s="54"/>
      <c r="BG338" s="54"/>
      <c r="BH338" s="54"/>
      <c r="BI338" s="54"/>
      <c r="BJ338" s="0"/>
      <c r="BK338" s="0"/>
      <c r="BL338" s="0"/>
      <c r="BM338" s="0"/>
      <c r="BN338" s="0"/>
      <c r="BO338" s="0"/>
      <c r="BP338"/>
      <c r="BQ338"/>
      <c r="BR338"/>
      <c r="BS338"/>
      <c r="BT338"/>
      <c r="BU338"/>
      <c r="BV338"/>
      <c r="BW338"/>
      <c r="BX338"/>
      <c r="BY338"/>
      <c r="BZ338"/>
      <c r="CA338"/>
      <c r="CB338"/>
    </row>
    <row r="339" ht="15.0" customHeight="true">
      <c r="A339" s="51" t="s">
        <v>2448</v>
      </c>
      <c r="B339" s="33"/>
      <c r="C339" s="33" t="s">
        <v>5135</v>
      </c>
      <c r="D339" s="33"/>
      <c r="E339" s="33" t="s">
        <v>5136</v>
      </c>
      <c r="F339" s="33"/>
      <c r="G339" s="55" t="s">
        <v>5137</v>
      </c>
      <c r="H339" s="33"/>
      <c r="I339" s="51" t="s">
        <v>5138</v>
      </c>
      <c r="J339" s="33"/>
      <c r="K339" s="51" t="s">
        <v>5139</v>
      </c>
      <c r="L339" s="33" t="s">
        <v>2454</v>
      </c>
      <c r="M339" s="55" t="s">
        <v>3828</v>
      </c>
      <c r="N339" s="55" t="s">
        <v>3552</v>
      </c>
      <c r="O339" s="33" t="s">
        <v>2272</v>
      </c>
      <c r="P339" s="33" t="s">
        <v>2251</v>
      </c>
      <c r="Q339" s="33"/>
      <c r="R339" s="33" t="s">
        <v>2263</v>
      </c>
      <c r="S339" s="56" t="s">
        <v>2277</v>
      </c>
      <c r="T339" s="56"/>
      <c r="U339" s="56"/>
      <c r="V339" s="33" t="s">
        <v>2456</v>
      </c>
      <c r="W339" s="94" t="s">
        <v>2457</v>
      </c>
      <c r="X339" s="94" t="s">
        <v>2474</v>
      </c>
      <c r="Y339" s="51"/>
      <c r="Z339" s="51"/>
      <c r="AA339" s="33" t="s">
        <v>2459</v>
      </c>
      <c r="AB339" s="33" t="s">
        <v>2460</v>
      </c>
      <c r="AC339" s="33"/>
      <c r="AD339" s="33" t="s">
        <v>2254</v>
      </c>
      <c r="AE339" s="33"/>
      <c r="AF339" s="33" t="s">
        <v>2267</v>
      </c>
      <c r="AG339" s="33" t="s">
        <v>2461</v>
      </c>
      <c r="AH339" s="33"/>
      <c r="AI339" s="33"/>
      <c r="AJ339" s="33" t="s">
        <v>5140</v>
      </c>
      <c r="AK339" s="94"/>
      <c r="AL339" s="33" t="s">
        <v>5141</v>
      </c>
      <c r="AM339" s="33"/>
      <c r="AN339" s="33" t="s">
        <v>2465</v>
      </c>
      <c r="AO339" s="51" t="s">
        <v>2618</v>
      </c>
      <c r="AP339" s="51" t="s">
        <v>207</v>
      </c>
      <c r="AQ339" s="33"/>
      <c r="AR339" s="54"/>
      <c r="AS339" s="54"/>
      <c r="AT339" s="54"/>
      <c r="AU339" s="54"/>
      <c r="AV339" s="54"/>
      <c r="AW339" s="54"/>
      <c r="AX339" s="54"/>
      <c r="AY339" s="54"/>
      <c r="AZ339" s="54"/>
      <c r="BA339" s="54"/>
      <c r="BB339" s="54"/>
      <c r="BC339" s="54"/>
      <c r="BD339" s="54" t="s">
        <v>2447</v>
      </c>
      <c r="BE339" s="54"/>
      <c r="BF339" s="54"/>
      <c r="BG339" s="54"/>
      <c r="BH339" s="54"/>
      <c r="BI339" s="54"/>
      <c r="BJ339" s="0"/>
      <c r="BK339" s="0"/>
      <c r="BL339" s="0"/>
      <c r="BM339" s="0"/>
      <c r="BN339" s="0"/>
      <c r="BO339" s="0"/>
      <c r="BP339"/>
      <c r="BQ339"/>
      <c r="BR339"/>
      <c r="BS339"/>
      <c r="BT339"/>
      <c r="BU339"/>
      <c r="BV339"/>
      <c r="BW339"/>
      <c r="BX339"/>
      <c r="BY339"/>
      <c r="BZ339"/>
      <c r="CA339"/>
      <c r="CB339"/>
    </row>
    <row r="340" ht="15.0" customHeight="true">
      <c r="A340" s="51" t="s">
        <v>2448</v>
      </c>
      <c r="B340" s="33"/>
      <c r="C340" s="33" t="s">
        <v>5142</v>
      </c>
      <c r="D340" s="33"/>
      <c r="E340" s="33" t="s">
        <v>5143</v>
      </c>
      <c r="F340" s="33"/>
      <c r="G340" s="55" t="s">
        <v>5144</v>
      </c>
      <c r="H340" s="33"/>
      <c r="I340" s="51" t="s">
        <v>5145</v>
      </c>
      <c r="J340" s="33"/>
      <c r="K340" s="51" t="s">
        <v>5146</v>
      </c>
      <c r="L340" s="33" t="s">
        <v>2454</v>
      </c>
      <c r="M340" s="55" t="s">
        <v>4942</v>
      </c>
      <c r="N340" s="55" t="s">
        <v>2472</v>
      </c>
      <c r="O340" s="33" t="s">
        <v>2272</v>
      </c>
      <c r="P340" s="33" t="s">
        <v>2251</v>
      </c>
      <c r="Q340" s="33"/>
      <c r="R340" s="33" t="s">
        <v>2263</v>
      </c>
      <c r="S340" s="56" t="s">
        <v>2277</v>
      </c>
      <c r="T340" s="56"/>
      <c r="U340" s="56"/>
      <c r="V340" s="33" t="s">
        <v>2456</v>
      </c>
      <c r="W340" s="94" t="s">
        <v>2457</v>
      </c>
      <c r="X340" s="94" t="s">
        <v>2474</v>
      </c>
      <c r="Y340" s="51"/>
      <c r="Z340" s="51"/>
      <c r="AA340" s="33" t="s">
        <v>2459</v>
      </c>
      <c r="AB340" s="33" t="s">
        <v>2460</v>
      </c>
      <c r="AC340" s="33"/>
      <c r="AD340" s="33" t="s">
        <v>2254</v>
      </c>
      <c r="AE340" s="33"/>
      <c r="AF340" s="33" t="s">
        <v>2267</v>
      </c>
      <c r="AG340" s="33" t="s">
        <v>2461</v>
      </c>
      <c r="AH340" s="33"/>
      <c r="AI340" s="33"/>
      <c r="AJ340" s="33" t="s">
        <v>5147</v>
      </c>
      <c r="AK340" s="94"/>
      <c r="AL340" s="33" t="s">
        <v>5148</v>
      </c>
      <c r="AM340" s="33"/>
      <c r="AN340" s="33" t="s">
        <v>2465</v>
      </c>
      <c r="AO340" s="51" t="s">
        <v>2489</v>
      </c>
      <c r="AP340" s="51" t="s">
        <v>207</v>
      </c>
      <c r="AQ340" s="33"/>
      <c r="AR340" s="54"/>
      <c r="AS340" s="54"/>
      <c r="AT340" s="54"/>
      <c r="AU340" s="54"/>
      <c r="AV340" s="54"/>
      <c r="AW340" s="54"/>
      <c r="AX340" s="54"/>
      <c r="AY340" s="54"/>
      <c r="AZ340" s="54"/>
      <c r="BA340" s="54"/>
      <c r="BB340" s="54"/>
      <c r="BC340" s="54"/>
      <c r="BD340" s="54" t="s">
        <v>2447</v>
      </c>
      <c r="BE340" s="54"/>
      <c r="BF340" s="54"/>
      <c r="BG340" s="54"/>
      <c r="BH340" s="54"/>
      <c r="BI340" s="54"/>
      <c r="BJ340" s="0"/>
      <c r="BK340" s="0"/>
      <c r="BL340" s="0"/>
      <c r="BM340" s="0"/>
      <c r="BN340" s="0"/>
      <c r="BO340" s="0"/>
      <c r="BP340"/>
      <c r="BQ340"/>
      <c r="BR340"/>
      <c r="BS340"/>
      <c r="BT340"/>
      <c r="BU340"/>
      <c r="BV340"/>
      <c r="BW340"/>
      <c r="BX340"/>
      <c r="BY340"/>
      <c r="BZ340"/>
      <c r="CA340"/>
      <c r="CB340"/>
    </row>
    <row r="341" ht="15.0" customHeight="true">
      <c r="A341" s="51" t="s">
        <v>2448</v>
      </c>
      <c r="B341" s="33"/>
      <c r="C341" s="33" t="s">
        <v>5149</v>
      </c>
      <c r="D341" s="33"/>
      <c r="E341" s="33" t="s">
        <v>5150</v>
      </c>
      <c r="F341" s="33"/>
      <c r="G341" s="55" t="s">
        <v>5151</v>
      </c>
      <c r="H341" s="33"/>
      <c r="I341" s="51" t="s">
        <v>5152</v>
      </c>
      <c r="J341" s="33"/>
      <c r="K341" s="51" t="s">
        <v>5153</v>
      </c>
      <c r="L341" s="33" t="s">
        <v>2484</v>
      </c>
      <c r="M341" s="55" t="s">
        <v>2960</v>
      </c>
      <c r="N341" s="55"/>
      <c r="O341" s="33"/>
      <c r="P341" s="33" t="s">
        <v>2251</v>
      </c>
      <c r="Q341" s="33"/>
      <c r="R341" s="33" t="s">
        <v>2263</v>
      </c>
      <c r="S341" s="56" t="s">
        <v>2277</v>
      </c>
      <c r="T341" s="56"/>
      <c r="U341" s="56"/>
      <c r="V341" s="33" t="s">
        <v>2456</v>
      </c>
      <c r="W341" s="94" t="s">
        <v>2457</v>
      </c>
      <c r="X341" s="94" t="s">
        <v>2474</v>
      </c>
      <c r="Y341" s="51"/>
      <c r="Z341" s="51"/>
      <c r="AA341" s="33" t="s">
        <v>2459</v>
      </c>
      <c r="AB341" s="33" t="s">
        <v>2460</v>
      </c>
      <c r="AC341" s="33" t="s">
        <v>2486</v>
      </c>
      <c r="AD341" s="33" t="s">
        <v>2254</v>
      </c>
      <c r="AE341" s="33"/>
      <c r="AF341" s="33" t="s">
        <v>2267</v>
      </c>
      <c r="AG341" s="33" t="s">
        <v>2461</v>
      </c>
      <c r="AH341" s="33"/>
      <c r="AI341" s="33"/>
      <c r="AJ341" s="33" t="s">
        <v>5154</v>
      </c>
      <c r="AK341" s="94"/>
      <c r="AL341" s="33" t="s">
        <v>5155</v>
      </c>
      <c r="AM341" s="33"/>
      <c r="AN341" s="33" t="s">
        <v>2465</v>
      </c>
      <c r="AO341" s="51" t="s">
        <v>2500</v>
      </c>
      <c r="AP341" s="51" t="s">
        <v>207</v>
      </c>
      <c r="AQ341" s="33"/>
      <c r="AR341" s="54"/>
      <c r="AS341" s="54"/>
      <c r="AT341" s="54"/>
      <c r="AU341" s="54"/>
      <c r="AV341" s="54"/>
      <c r="AW341" s="54"/>
      <c r="AX341" s="54"/>
      <c r="AY341" s="54"/>
      <c r="AZ341" s="54"/>
      <c r="BA341" s="54"/>
      <c r="BB341" s="54"/>
      <c r="BC341" s="54"/>
      <c r="BD341" s="54" t="s">
        <v>2447</v>
      </c>
      <c r="BE341" s="54"/>
      <c r="BF341" s="54"/>
      <c r="BG341" s="54"/>
      <c r="BH341" s="54"/>
      <c r="BI341" s="54"/>
      <c r="BJ341" s="0"/>
      <c r="BK341" s="0"/>
      <c r="BL341" s="0"/>
      <c r="BM341" s="0"/>
      <c r="BN341" s="0"/>
      <c r="BO341" s="0"/>
      <c r="BP341"/>
      <c r="BQ341"/>
      <c r="BR341"/>
      <c r="BS341"/>
      <c r="BT341"/>
      <c r="BU341"/>
      <c r="BV341"/>
      <c r="BW341"/>
      <c r="BX341"/>
      <c r="BY341"/>
      <c r="BZ341"/>
      <c r="CA341"/>
      <c r="CB341"/>
    </row>
    <row r="342" ht="15.0" customHeight="true">
      <c r="A342" s="51" t="s">
        <v>2448</v>
      </c>
      <c r="B342" s="33"/>
      <c r="C342" s="33" t="s">
        <v>3538</v>
      </c>
      <c r="D342" s="33"/>
      <c r="E342" s="33" t="s">
        <v>5156</v>
      </c>
      <c r="F342" s="33"/>
      <c r="G342" s="55" t="s">
        <v>5157</v>
      </c>
      <c r="H342" s="33"/>
      <c r="I342" s="51" t="s">
        <v>5158</v>
      </c>
      <c r="J342" s="33"/>
      <c r="K342" s="51" t="s">
        <v>5159</v>
      </c>
      <c r="L342" s="33" t="s">
        <v>2454</v>
      </c>
      <c r="M342" s="55" t="s">
        <v>2945</v>
      </c>
      <c r="N342" s="55" t="s">
        <v>4534</v>
      </c>
      <c r="O342" s="33" t="s">
        <v>2272</v>
      </c>
      <c r="P342" s="33" t="s">
        <v>2251</v>
      </c>
      <c r="Q342" s="33"/>
      <c r="R342" s="33" t="s">
        <v>2263</v>
      </c>
      <c r="S342" s="56" t="s">
        <v>2277</v>
      </c>
      <c r="T342" s="56"/>
      <c r="U342" s="56"/>
      <c r="V342" s="33" t="s">
        <v>2456</v>
      </c>
      <c r="W342" s="94" t="s">
        <v>2457</v>
      </c>
      <c r="X342" s="94" t="s">
        <v>2474</v>
      </c>
      <c r="Y342" s="51"/>
      <c r="Z342" s="51"/>
      <c r="AA342" s="33" t="s">
        <v>2459</v>
      </c>
      <c r="AB342" s="33" t="s">
        <v>2460</v>
      </c>
      <c r="AC342" s="33"/>
      <c r="AD342" s="33" t="s">
        <v>2254</v>
      </c>
      <c r="AE342" s="33"/>
      <c r="AF342" s="33" t="s">
        <v>2267</v>
      </c>
      <c r="AG342" s="33" t="s">
        <v>2461</v>
      </c>
      <c r="AH342" s="33"/>
      <c r="AI342" s="33"/>
      <c r="AJ342" s="33" t="s">
        <v>5160</v>
      </c>
      <c r="AK342" s="94"/>
      <c r="AL342" s="33" t="s">
        <v>5161</v>
      </c>
      <c r="AM342" s="33"/>
      <c r="AN342" s="33" t="s">
        <v>2465</v>
      </c>
      <c r="AO342" s="51" t="s">
        <v>2538</v>
      </c>
      <c r="AP342" s="51" t="s">
        <v>207</v>
      </c>
      <c r="AQ342" s="33"/>
      <c r="AR342" s="54"/>
      <c r="AS342" s="54"/>
      <c r="AT342" s="54"/>
      <c r="AU342" s="54"/>
      <c r="AV342" s="54"/>
      <c r="AW342" s="54"/>
      <c r="AX342" s="54"/>
      <c r="AY342" s="54"/>
      <c r="AZ342" s="54"/>
      <c r="BA342" s="54"/>
      <c r="BB342" s="54"/>
      <c r="BC342" s="54"/>
      <c r="BD342" s="54" t="s">
        <v>2447</v>
      </c>
      <c r="BE342" s="54"/>
      <c r="BF342" s="54"/>
      <c r="BG342" s="54"/>
      <c r="BH342" s="54"/>
      <c r="BI342" s="54"/>
      <c r="BJ342" s="0"/>
      <c r="BK342" s="0"/>
      <c r="BL342" s="0"/>
      <c r="BM342" s="0"/>
      <c r="BN342" s="0"/>
      <c r="BO342" s="0"/>
      <c r="BP342"/>
      <c r="BQ342"/>
      <c r="BR342"/>
      <c r="BS342"/>
      <c r="BT342"/>
      <c r="BU342"/>
      <c r="BV342"/>
      <c r="BW342"/>
      <c r="BX342"/>
      <c r="BY342"/>
      <c r="BZ342"/>
      <c r="CA342"/>
      <c r="CB342"/>
    </row>
    <row r="343" ht="15.0" customHeight="true">
      <c r="A343" s="51" t="s">
        <v>2448</v>
      </c>
      <c r="B343" s="33"/>
      <c r="C343" s="33" t="s">
        <v>5162</v>
      </c>
      <c r="D343" s="33"/>
      <c r="E343" s="33" t="s">
        <v>5163</v>
      </c>
      <c r="F343" s="33"/>
      <c r="G343" s="55" t="s">
        <v>5164</v>
      </c>
      <c r="H343" s="33"/>
      <c r="I343" s="51" t="s">
        <v>5165</v>
      </c>
      <c r="J343" s="33"/>
      <c r="K343" s="51" t="s">
        <v>5166</v>
      </c>
      <c r="L343" s="33" t="s">
        <v>2454</v>
      </c>
      <c r="M343" s="55" t="s">
        <v>5167</v>
      </c>
      <c r="N343" s="55" t="s">
        <v>4361</v>
      </c>
      <c r="O343" s="33" t="s">
        <v>2272</v>
      </c>
      <c r="P343" s="33" t="s">
        <v>2251</v>
      </c>
      <c r="Q343" s="33"/>
      <c r="R343" s="33" t="s">
        <v>2263</v>
      </c>
      <c r="S343" s="56" t="s">
        <v>2277</v>
      </c>
      <c r="T343" s="56"/>
      <c r="U343" s="56"/>
      <c r="V343" s="33" t="s">
        <v>2456</v>
      </c>
      <c r="W343" s="94" t="s">
        <v>2457</v>
      </c>
      <c r="X343" s="94" t="s">
        <v>2458</v>
      </c>
      <c r="Y343" s="51"/>
      <c r="Z343" s="51"/>
      <c r="AA343" s="33" t="s">
        <v>2459</v>
      </c>
      <c r="AB343" s="33" t="s">
        <v>2460</v>
      </c>
      <c r="AC343" s="33"/>
      <c r="AD343" s="33" t="s">
        <v>2254</v>
      </c>
      <c r="AE343" s="33"/>
      <c r="AF343" s="33" t="s">
        <v>2267</v>
      </c>
      <c r="AG343" s="33" t="s">
        <v>2461</v>
      </c>
      <c r="AH343" s="33"/>
      <c r="AI343" s="33"/>
      <c r="AJ343" s="33" t="s">
        <v>5168</v>
      </c>
      <c r="AK343" s="94"/>
      <c r="AL343" s="33" t="s">
        <v>5169</v>
      </c>
      <c r="AM343" s="33"/>
      <c r="AN343" s="33" t="s">
        <v>2465</v>
      </c>
      <c r="AO343" s="51" t="s">
        <v>2500</v>
      </c>
      <c r="AP343" s="51" t="s">
        <v>207</v>
      </c>
      <c r="AQ343" s="33"/>
      <c r="AR343" s="54"/>
      <c r="AS343" s="54"/>
      <c r="AT343" s="54"/>
      <c r="AU343" s="54"/>
      <c r="AV343" s="54"/>
      <c r="AW343" s="54"/>
      <c r="AX343" s="54"/>
      <c r="AY343" s="54"/>
      <c r="AZ343" s="54"/>
      <c r="BA343" s="54"/>
      <c r="BB343" s="54"/>
      <c r="BC343" s="54"/>
      <c r="BD343" s="54" t="s">
        <v>2447</v>
      </c>
      <c r="BE343" s="54"/>
      <c r="BF343" s="54"/>
      <c r="BG343" s="54"/>
      <c r="BH343" s="54"/>
      <c r="BI343" s="54"/>
      <c r="BJ343" s="0"/>
      <c r="BK343" s="0"/>
      <c r="BL343" s="0"/>
      <c r="BM343" s="0"/>
      <c r="BN343" s="0"/>
      <c r="BO343" s="0"/>
      <c r="BP343"/>
      <c r="BQ343"/>
      <c r="BR343"/>
      <c r="BS343"/>
      <c r="BT343"/>
      <c r="BU343"/>
      <c r="BV343"/>
      <c r="BW343"/>
      <c r="BX343"/>
      <c r="BY343"/>
      <c r="BZ343"/>
      <c r="CA343"/>
      <c r="CB343"/>
    </row>
    <row r="344" ht="15.0" customHeight="true">
      <c r="A344" s="51" t="s">
        <v>2448</v>
      </c>
      <c r="B344" s="33"/>
      <c r="C344" s="33" t="s">
        <v>5170</v>
      </c>
      <c r="D344" s="33"/>
      <c r="E344" s="33" t="s">
        <v>5171</v>
      </c>
      <c r="F344" s="33"/>
      <c r="G344" s="55" t="s">
        <v>5172</v>
      </c>
      <c r="H344" s="33"/>
      <c r="I344" s="51" t="s">
        <v>5173</v>
      </c>
      <c r="J344" s="33"/>
      <c r="K344" s="51" t="s">
        <v>5174</v>
      </c>
      <c r="L344" s="33" t="s">
        <v>2484</v>
      </c>
      <c r="M344" s="55" t="s">
        <v>5175</v>
      </c>
      <c r="N344" s="55"/>
      <c r="O344" s="33"/>
      <c r="P344" s="33" t="s">
        <v>2251</v>
      </c>
      <c r="Q344" s="33"/>
      <c r="R344" s="33" t="s">
        <v>2263</v>
      </c>
      <c r="S344" s="56" t="s">
        <v>2277</v>
      </c>
      <c r="T344" s="56"/>
      <c r="U344" s="56"/>
      <c r="V344" s="33" t="s">
        <v>2456</v>
      </c>
      <c r="W344" s="94" t="s">
        <v>2457</v>
      </c>
      <c r="X344" s="94" t="s">
        <v>2474</v>
      </c>
      <c r="Y344" s="51"/>
      <c r="Z344" s="51"/>
      <c r="AA344" s="33" t="s">
        <v>2459</v>
      </c>
      <c r="AB344" s="33" t="s">
        <v>2460</v>
      </c>
      <c r="AC344" s="33" t="s">
        <v>2486</v>
      </c>
      <c r="AD344" s="33" t="s">
        <v>2254</v>
      </c>
      <c r="AE344" s="33"/>
      <c r="AF344" s="33" t="s">
        <v>2267</v>
      </c>
      <c r="AG344" s="33" t="s">
        <v>2461</v>
      </c>
      <c r="AH344" s="33"/>
      <c r="AI344" s="33"/>
      <c r="AJ344" s="33" t="s">
        <v>5176</v>
      </c>
      <c r="AK344" s="94"/>
      <c r="AL344" s="33" t="s">
        <v>5177</v>
      </c>
      <c r="AM344" s="33"/>
      <c r="AN344" s="33" t="s">
        <v>2588</v>
      </c>
      <c r="AO344" s="51" t="s">
        <v>2589</v>
      </c>
      <c r="AP344" s="51" t="s">
        <v>207</v>
      </c>
      <c r="AQ344" s="33"/>
      <c r="AR344" s="54"/>
      <c r="AS344" s="54"/>
      <c r="AT344" s="54"/>
      <c r="AU344" s="54"/>
      <c r="AV344" s="54"/>
      <c r="AW344" s="54"/>
      <c r="AX344" s="54"/>
      <c r="AY344" s="54"/>
      <c r="AZ344" s="54"/>
      <c r="BA344" s="54"/>
      <c r="BB344" s="54"/>
      <c r="BC344" s="54"/>
      <c r="BD344" s="54" t="s">
        <v>2447</v>
      </c>
      <c r="BE344" s="54"/>
      <c r="BF344" s="54"/>
      <c r="BG344" s="54"/>
      <c r="BH344" s="54"/>
      <c r="BI344" s="54"/>
      <c r="BJ344" s="0"/>
      <c r="BK344" s="0"/>
      <c r="BL344" s="0"/>
      <c r="BM344" s="0"/>
      <c r="BN344" s="0"/>
      <c r="BO344" s="0"/>
      <c r="BP344"/>
      <c r="BQ344"/>
      <c r="BR344"/>
      <c r="BS344"/>
      <c r="BT344"/>
      <c r="BU344"/>
      <c r="BV344"/>
      <c r="BW344"/>
      <c r="BX344"/>
      <c r="BY344"/>
      <c r="BZ344"/>
      <c r="CA344"/>
      <c r="CB344"/>
    </row>
    <row r="345" ht="15.0" customHeight="true">
      <c r="A345" s="51" t="s">
        <v>2448</v>
      </c>
      <c r="B345" s="33"/>
      <c r="C345" s="33" t="s">
        <v>5178</v>
      </c>
      <c r="D345" s="33"/>
      <c r="E345" s="33" t="s">
        <v>5179</v>
      </c>
      <c r="F345" s="33"/>
      <c r="G345" s="55" t="s">
        <v>5180</v>
      </c>
      <c r="H345" s="33"/>
      <c r="I345" s="51" t="s">
        <v>5181</v>
      </c>
      <c r="J345" s="33"/>
      <c r="K345" s="51" t="s">
        <v>5182</v>
      </c>
      <c r="L345" s="33" t="s">
        <v>2454</v>
      </c>
      <c r="M345" s="55" t="s">
        <v>4618</v>
      </c>
      <c r="N345" s="55" t="s">
        <v>2572</v>
      </c>
      <c r="O345" s="33" t="s">
        <v>2272</v>
      </c>
      <c r="P345" s="33" t="s">
        <v>2251</v>
      </c>
      <c r="Q345" s="33"/>
      <c r="R345" s="33" t="s">
        <v>2263</v>
      </c>
      <c r="S345" s="56" t="s">
        <v>2277</v>
      </c>
      <c r="T345" s="56"/>
      <c r="U345" s="56"/>
      <c r="V345" s="33" t="s">
        <v>2456</v>
      </c>
      <c r="W345" s="94" t="s">
        <v>2457</v>
      </c>
      <c r="X345" s="94" t="s">
        <v>2474</v>
      </c>
      <c r="Y345" s="51"/>
      <c r="Z345" s="51"/>
      <c r="AA345" s="33" t="s">
        <v>2459</v>
      </c>
      <c r="AB345" s="33" t="s">
        <v>2460</v>
      </c>
      <c r="AC345" s="33"/>
      <c r="AD345" s="33" t="s">
        <v>2254</v>
      </c>
      <c r="AE345" s="33"/>
      <c r="AF345" s="33" t="s">
        <v>2267</v>
      </c>
      <c r="AG345" s="33" t="s">
        <v>2461</v>
      </c>
      <c r="AH345" s="33"/>
      <c r="AI345" s="33"/>
      <c r="AJ345" s="33" t="s">
        <v>5183</v>
      </c>
      <c r="AK345" s="94"/>
      <c r="AL345" s="33" t="s">
        <v>5184</v>
      </c>
      <c r="AM345" s="33" t="s">
        <v>5185</v>
      </c>
      <c r="AN345" s="33" t="s">
        <v>2465</v>
      </c>
      <c r="AO345" s="51" t="s">
        <v>2466</v>
      </c>
      <c r="AP345" s="51" t="s">
        <v>207</v>
      </c>
      <c r="AQ345" s="33"/>
      <c r="AR345" s="54"/>
      <c r="AS345" s="54"/>
      <c r="AT345" s="54"/>
      <c r="AU345" s="54"/>
      <c r="AV345" s="54"/>
      <c r="AW345" s="54"/>
      <c r="AX345" s="54"/>
      <c r="AY345" s="54"/>
      <c r="AZ345" s="54"/>
      <c r="BA345" s="54"/>
      <c r="BB345" s="54"/>
      <c r="BC345" s="54"/>
      <c r="BD345" s="54" t="s">
        <v>2447</v>
      </c>
      <c r="BE345" s="54"/>
      <c r="BF345" s="54"/>
      <c r="BG345" s="54"/>
      <c r="BH345" s="54"/>
      <c r="BI345" s="54"/>
      <c r="BJ345" s="0"/>
      <c r="BK345" s="0"/>
      <c r="BL345" s="0"/>
      <c r="BM345" s="0"/>
      <c r="BN345" s="0"/>
      <c r="BO345" s="0"/>
      <c r="BP345"/>
      <c r="BQ345"/>
      <c r="BR345"/>
      <c r="BS345"/>
      <c r="BT345"/>
      <c r="BU345"/>
      <c r="BV345"/>
      <c r="BW345"/>
      <c r="BX345"/>
      <c r="BY345"/>
      <c r="BZ345"/>
      <c r="CA345"/>
      <c r="CB345"/>
    </row>
    <row r="346" ht="15.0" customHeight="true">
      <c r="A346" s="51" t="s">
        <v>2448</v>
      </c>
      <c r="B346" s="33"/>
      <c r="C346" s="33" t="s">
        <v>5186</v>
      </c>
      <c r="D346" s="33"/>
      <c r="E346" s="33" t="s">
        <v>5187</v>
      </c>
      <c r="F346" s="33"/>
      <c r="G346" s="55" t="s">
        <v>5188</v>
      </c>
      <c r="H346" s="33"/>
      <c r="I346" s="51" t="s">
        <v>5189</v>
      </c>
      <c r="J346" s="33"/>
      <c r="K346" s="51" t="s">
        <v>5190</v>
      </c>
      <c r="L346" s="33" t="s">
        <v>2454</v>
      </c>
      <c r="M346" s="55" t="s">
        <v>4589</v>
      </c>
      <c r="N346" s="55" t="s">
        <v>4589</v>
      </c>
      <c r="O346" s="33" t="s">
        <v>2272</v>
      </c>
      <c r="P346" s="33" t="s">
        <v>2251</v>
      </c>
      <c r="Q346" s="33"/>
      <c r="R346" s="33" t="s">
        <v>2263</v>
      </c>
      <c r="S346" s="56" t="s">
        <v>2277</v>
      </c>
      <c r="T346" s="56"/>
      <c r="U346" s="56"/>
      <c r="V346" s="33" t="s">
        <v>2456</v>
      </c>
      <c r="W346" s="94" t="s">
        <v>2457</v>
      </c>
      <c r="X346" s="94" t="s">
        <v>2458</v>
      </c>
      <c r="Y346" s="51"/>
      <c r="Z346" s="51"/>
      <c r="AA346" s="33" t="s">
        <v>2459</v>
      </c>
      <c r="AB346" s="33" t="s">
        <v>2460</v>
      </c>
      <c r="AC346" s="33"/>
      <c r="AD346" s="33" t="s">
        <v>2254</v>
      </c>
      <c r="AE346" s="33"/>
      <c r="AF346" s="33" t="s">
        <v>2267</v>
      </c>
      <c r="AG346" s="33" t="s">
        <v>2461</v>
      </c>
      <c r="AH346" s="33"/>
      <c r="AI346" s="33"/>
      <c r="AJ346" s="33" t="s">
        <v>5191</v>
      </c>
      <c r="AK346" s="94"/>
      <c r="AL346" s="33" t="s">
        <v>5192</v>
      </c>
      <c r="AM346" s="33" t="s">
        <v>5193</v>
      </c>
      <c r="AN346" s="33" t="s">
        <v>2465</v>
      </c>
      <c r="AO346" s="51" t="s">
        <v>2466</v>
      </c>
      <c r="AP346" s="51" t="s">
        <v>207</v>
      </c>
      <c r="AQ346" s="33"/>
      <c r="AR346" s="54"/>
      <c r="AS346" s="54"/>
      <c r="AT346" s="54"/>
      <c r="AU346" s="54"/>
      <c r="AV346" s="54"/>
      <c r="AW346" s="54"/>
      <c r="AX346" s="54"/>
      <c r="AY346" s="54"/>
      <c r="AZ346" s="54"/>
      <c r="BA346" s="54"/>
      <c r="BB346" s="54"/>
      <c r="BC346" s="54"/>
      <c r="BD346" s="54" t="s">
        <v>2447</v>
      </c>
      <c r="BE346" s="54"/>
      <c r="BF346" s="54"/>
      <c r="BG346" s="54"/>
      <c r="BH346" s="54"/>
      <c r="BI346" s="54"/>
      <c r="BJ346" s="0"/>
      <c r="BK346" s="0"/>
      <c r="BL346" s="0"/>
      <c r="BM346" s="0"/>
      <c r="BN346" s="0"/>
      <c r="BO346" s="0"/>
      <c r="BP346"/>
      <c r="BQ346"/>
      <c r="BR346"/>
      <c r="BS346"/>
      <c r="BT346"/>
      <c r="BU346"/>
      <c r="BV346"/>
      <c r="BW346"/>
      <c r="BX346"/>
      <c r="BY346"/>
      <c r="BZ346"/>
      <c r="CA346"/>
      <c r="CB346"/>
    </row>
    <row r="347" ht="15.0" customHeight="true">
      <c r="A347" s="51" t="s">
        <v>2448</v>
      </c>
      <c r="B347" s="33"/>
      <c r="C347" s="33" t="s">
        <v>4650</v>
      </c>
      <c r="D347" s="33"/>
      <c r="E347" s="33" t="s">
        <v>5194</v>
      </c>
      <c r="F347" s="33"/>
      <c r="G347" s="55" t="s">
        <v>5195</v>
      </c>
      <c r="H347" s="33"/>
      <c r="I347" s="51" t="s">
        <v>5196</v>
      </c>
      <c r="J347" s="33"/>
      <c r="K347" s="51" t="s">
        <v>5197</v>
      </c>
      <c r="L347" s="33" t="s">
        <v>2484</v>
      </c>
      <c r="M347" s="55" t="s">
        <v>5198</v>
      </c>
      <c r="N347" s="55"/>
      <c r="O347" s="33"/>
      <c r="P347" s="33" t="s">
        <v>2251</v>
      </c>
      <c r="Q347" s="33"/>
      <c r="R347" s="33" t="s">
        <v>2263</v>
      </c>
      <c r="S347" s="56" t="s">
        <v>2277</v>
      </c>
      <c r="T347" s="56"/>
      <c r="U347" s="56"/>
      <c r="V347" s="33" t="s">
        <v>2456</v>
      </c>
      <c r="W347" s="94" t="s">
        <v>2457</v>
      </c>
      <c r="X347" s="94" t="s">
        <v>2474</v>
      </c>
      <c r="Y347" s="51"/>
      <c r="Z347" s="51"/>
      <c r="AA347" s="33" t="s">
        <v>2459</v>
      </c>
      <c r="AB347" s="33" t="s">
        <v>2460</v>
      </c>
      <c r="AC347" s="33" t="s">
        <v>2486</v>
      </c>
      <c r="AD347" s="33" t="s">
        <v>2254</v>
      </c>
      <c r="AE347" s="33"/>
      <c r="AF347" s="33" t="s">
        <v>2267</v>
      </c>
      <c r="AG347" s="33" t="s">
        <v>2461</v>
      </c>
      <c r="AH347" s="33"/>
      <c r="AI347" s="33"/>
      <c r="AJ347" s="33" t="s">
        <v>5199</v>
      </c>
      <c r="AK347" s="94"/>
      <c r="AL347" s="33" t="s">
        <v>5200</v>
      </c>
      <c r="AM347" s="33"/>
      <c r="AN347" s="33" t="s">
        <v>2465</v>
      </c>
      <c r="AO347" s="51" t="s">
        <v>2489</v>
      </c>
      <c r="AP347" s="51" t="s">
        <v>207</v>
      </c>
      <c r="AQ347" s="33"/>
      <c r="AR347" s="54"/>
      <c r="AS347" s="54"/>
      <c r="AT347" s="54"/>
      <c r="AU347" s="54"/>
      <c r="AV347" s="54"/>
      <c r="AW347" s="54"/>
      <c r="AX347" s="54"/>
      <c r="AY347" s="54"/>
      <c r="AZ347" s="54"/>
      <c r="BA347" s="54"/>
      <c r="BB347" s="54"/>
      <c r="BC347" s="54"/>
      <c r="BD347" s="54" t="s">
        <v>2447</v>
      </c>
      <c r="BE347" s="54"/>
      <c r="BF347" s="54"/>
      <c r="BG347" s="54"/>
      <c r="BH347" s="54"/>
      <c r="BI347" s="54"/>
      <c r="BJ347" s="0"/>
      <c r="BK347" s="0"/>
      <c r="BL347" s="0"/>
      <c r="BM347" s="0"/>
      <c r="BN347" s="0"/>
      <c r="BO347" s="0"/>
      <c r="BP347"/>
      <c r="BQ347"/>
      <c r="BR347"/>
      <c r="BS347"/>
      <c r="BT347"/>
      <c r="BU347"/>
      <c r="BV347"/>
      <c r="BW347"/>
      <c r="BX347"/>
      <c r="BY347"/>
      <c r="BZ347"/>
      <c r="CA347"/>
      <c r="CB347"/>
    </row>
    <row r="348" ht="15.0" customHeight="true">
      <c r="A348" s="51" t="s">
        <v>2448</v>
      </c>
      <c r="B348" s="33"/>
      <c r="C348" s="33" t="s">
        <v>2838</v>
      </c>
      <c r="D348" s="33"/>
      <c r="E348" s="33" t="s">
        <v>5201</v>
      </c>
      <c r="F348" s="33"/>
      <c r="G348" s="55" t="s">
        <v>5202</v>
      </c>
      <c r="H348" s="33"/>
      <c r="I348" s="51" t="s">
        <v>5203</v>
      </c>
      <c r="J348" s="33"/>
      <c r="K348" s="51" t="s">
        <v>5204</v>
      </c>
      <c r="L348" s="33" t="s">
        <v>2454</v>
      </c>
      <c r="M348" s="55" t="s">
        <v>3671</v>
      </c>
      <c r="N348" s="55" t="s">
        <v>3671</v>
      </c>
      <c r="O348" s="33" t="s">
        <v>2272</v>
      </c>
      <c r="P348" s="33" t="s">
        <v>2251</v>
      </c>
      <c r="Q348" s="33"/>
      <c r="R348" s="33" t="s">
        <v>2263</v>
      </c>
      <c r="S348" s="56" t="s">
        <v>2277</v>
      </c>
      <c r="T348" s="56"/>
      <c r="U348" s="56"/>
      <c r="V348" s="33" t="s">
        <v>2456</v>
      </c>
      <c r="W348" s="94" t="s">
        <v>2457</v>
      </c>
      <c r="X348" s="94" t="s">
        <v>2474</v>
      </c>
      <c r="Y348" s="51"/>
      <c r="Z348" s="51"/>
      <c r="AA348" s="33" t="s">
        <v>2459</v>
      </c>
      <c r="AB348" s="33" t="s">
        <v>2460</v>
      </c>
      <c r="AC348" s="33"/>
      <c r="AD348" s="33" t="s">
        <v>2254</v>
      </c>
      <c r="AE348" s="33"/>
      <c r="AF348" s="33" t="s">
        <v>2267</v>
      </c>
      <c r="AG348" s="33" t="s">
        <v>2461</v>
      </c>
      <c r="AH348" s="33"/>
      <c r="AI348" s="33"/>
      <c r="AJ348" s="33" t="s">
        <v>5205</v>
      </c>
      <c r="AK348" s="94"/>
      <c r="AL348" s="33" t="s">
        <v>5206</v>
      </c>
      <c r="AM348" s="33"/>
      <c r="AN348" s="33" t="s">
        <v>2465</v>
      </c>
      <c r="AO348" s="51" t="s">
        <v>2489</v>
      </c>
      <c r="AP348" s="51" t="s">
        <v>207</v>
      </c>
      <c r="AQ348" s="33"/>
      <c r="AR348" s="54"/>
      <c r="AS348" s="54"/>
      <c r="AT348" s="54"/>
      <c r="AU348" s="54"/>
      <c r="AV348" s="54"/>
      <c r="AW348" s="54"/>
      <c r="AX348" s="54"/>
      <c r="AY348" s="54"/>
      <c r="AZ348" s="54"/>
      <c r="BA348" s="54"/>
      <c r="BB348" s="54"/>
      <c r="BC348" s="54"/>
      <c r="BD348" s="54" t="s">
        <v>2447</v>
      </c>
      <c r="BE348" s="54"/>
      <c r="BF348" s="54"/>
      <c r="BG348" s="54"/>
      <c r="BH348" s="54"/>
      <c r="BI348" s="54"/>
      <c r="BJ348" s="0"/>
      <c r="BK348" s="0"/>
      <c r="BL348" s="0"/>
      <c r="BM348" s="0"/>
      <c r="BN348" s="0"/>
      <c r="BO348" s="0"/>
      <c r="BP348"/>
      <c r="BQ348"/>
      <c r="BR348"/>
      <c r="BS348"/>
      <c r="BT348"/>
      <c r="BU348"/>
      <c r="BV348"/>
      <c r="BW348"/>
      <c r="BX348"/>
      <c r="BY348"/>
      <c r="BZ348"/>
      <c r="CA348"/>
      <c r="CB348"/>
    </row>
    <row r="349" ht="15.0" customHeight="true">
      <c r="A349" s="51" t="s">
        <v>2448</v>
      </c>
      <c r="B349" s="33"/>
      <c r="C349" s="33" t="s">
        <v>5207</v>
      </c>
      <c r="D349" s="33"/>
      <c r="E349" s="33" t="s">
        <v>5208</v>
      </c>
      <c r="F349" s="33"/>
      <c r="G349" s="55" t="s">
        <v>5209</v>
      </c>
      <c r="H349" s="33"/>
      <c r="I349" s="51" t="s">
        <v>5210</v>
      </c>
      <c r="J349" s="33"/>
      <c r="K349" s="51" t="s">
        <v>5211</v>
      </c>
      <c r="L349" s="33" t="s">
        <v>2454</v>
      </c>
      <c r="M349" s="55" t="s">
        <v>3544</v>
      </c>
      <c r="N349" s="55" t="s">
        <v>3844</v>
      </c>
      <c r="O349" s="33" t="s">
        <v>2272</v>
      </c>
      <c r="P349" s="33" t="s">
        <v>2251</v>
      </c>
      <c r="Q349" s="33"/>
      <c r="R349" s="33" t="s">
        <v>2263</v>
      </c>
      <c r="S349" s="56" t="s">
        <v>2277</v>
      </c>
      <c r="T349" s="56"/>
      <c r="U349" s="56"/>
      <c r="V349" s="33" t="s">
        <v>2456</v>
      </c>
      <c r="W349" s="94" t="s">
        <v>2457</v>
      </c>
      <c r="X349" s="94" t="s">
        <v>2474</v>
      </c>
      <c r="Y349" s="51"/>
      <c r="Z349" s="51"/>
      <c r="AA349" s="33" t="s">
        <v>2459</v>
      </c>
      <c r="AB349" s="33" t="s">
        <v>2460</v>
      </c>
      <c r="AC349" s="33"/>
      <c r="AD349" s="33" t="s">
        <v>2254</v>
      </c>
      <c r="AE349" s="33"/>
      <c r="AF349" s="33" t="s">
        <v>2267</v>
      </c>
      <c r="AG349" s="33" t="s">
        <v>2461</v>
      </c>
      <c r="AH349" s="33"/>
      <c r="AI349" s="33"/>
      <c r="AJ349" s="33" t="s">
        <v>5212</v>
      </c>
      <c r="AK349" s="94"/>
      <c r="AL349" s="33" t="s">
        <v>5213</v>
      </c>
      <c r="AM349" s="33"/>
      <c r="AN349" s="33" t="s">
        <v>4029</v>
      </c>
      <c r="AO349" s="51" t="s">
        <v>4030</v>
      </c>
      <c r="AP349" s="51" t="s">
        <v>207</v>
      </c>
      <c r="AQ349" s="33"/>
      <c r="AR349" s="54"/>
      <c r="AS349" s="54"/>
      <c r="AT349" s="54"/>
      <c r="AU349" s="54"/>
      <c r="AV349" s="54"/>
      <c r="AW349" s="54"/>
      <c r="AX349" s="54"/>
      <c r="AY349" s="54"/>
      <c r="AZ349" s="54"/>
      <c r="BA349" s="54"/>
      <c r="BB349" s="54"/>
      <c r="BC349" s="54"/>
      <c r="BD349" s="54" t="s">
        <v>2447</v>
      </c>
      <c r="BE349" s="54"/>
      <c r="BF349" s="54"/>
      <c r="BG349" s="54"/>
      <c r="BH349" s="54"/>
      <c r="BI349" s="54"/>
      <c r="BJ349" s="0"/>
      <c r="BK349" s="0"/>
      <c r="BL349" s="0"/>
      <c r="BM349" s="0"/>
      <c r="BN349" s="0"/>
      <c r="BO349" s="0"/>
      <c r="BP349"/>
      <c r="BQ349"/>
      <c r="BR349"/>
      <c r="BS349"/>
      <c r="BT349"/>
      <c r="BU349"/>
      <c r="BV349"/>
      <c r="BW349"/>
      <c r="BX349"/>
      <c r="BY349"/>
      <c r="BZ349"/>
      <c r="CA349"/>
      <c r="CB349"/>
    </row>
    <row r="350" ht="15.0" customHeight="true">
      <c r="A350" s="51" t="s">
        <v>2448</v>
      </c>
      <c r="B350" s="33"/>
      <c r="C350" s="33" t="s">
        <v>3131</v>
      </c>
      <c r="D350" s="33"/>
      <c r="E350" s="33" t="s">
        <v>5214</v>
      </c>
      <c r="F350" s="33"/>
      <c r="G350" s="55" t="s">
        <v>5215</v>
      </c>
      <c r="H350" s="33"/>
      <c r="I350" s="51" t="s">
        <v>5216</v>
      </c>
      <c r="J350" s="33"/>
      <c r="K350" s="51" t="s">
        <v>5217</v>
      </c>
      <c r="L350" s="33" t="s">
        <v>2454</v>
      </c>
      <c r="M350" s="55" t="s">
        <v>2614</v>
      </c>
      <c r="N350" s="55" t="s">
        <v>5218</v>
      </c>
      <c r="O350" s="33" t="s">
        <v>2272</v>
      </c>
      <c r="P350" s="33" t="s">
        <v>2251</v>
      </c>
      <c r="Q350" s="33"/>
      <c r="R350" s="33" t="s">
        <v>2263</v>
      </c>
      <c r="S350" s="56" t="s">
        <v>2277</v>
      </c>
      <c r="T350" s="56"/>
      <c r="U350" s="56"/>
      <c r="V350" s="33" t="s">
        <v>2456</v>
      </c>
      <c r="W350" s="94" t="s">
        <v>2457</v>
      </c>
      <c r="X350" s="94" t="s">
        <v>2458</v>
      </c>
      <c r="Y350" s="51"/>
      <c r="Z350" s="51"/>
      <c r="AA350" s="33" t="s">
        <v>2459</v>
      </c>
      <c r="AB350" s="33" t="s">
        <v>2460</v>
      </c>
      <c r="AC350" s="33"/>
      <c r="AD350" s="33" t="s">
        <v>2254</v>
      </c>
      <c r="AE350" s="33"/>
      <c r="AF350" s="33" t="s">
        <v>2267</v>
      </c>
      <c r="AG350" s="33" t="s">
        <v>2461</v>
      </c>
      <c r="AH350" s="33"/>
      <c r="AI350" s="33"/>
      <c r="AJ350" s="33" t="s">
        <v>5219</v>
      </c>
      <c r="AK350" s="94"/>
      <c r="AL350" s="33" t="s">
        <v>5220</v>
      </c>
      <c r="AM350" s="33"/>
      <c r="AN350" s="33" t="s">
        <v>2465</v>
      </c>
      <c r="AO350" s="51" t="s">
        <v>2820</v>
      </c>
      <c r="AP350" s="51" t="s">
        <v>207</v>
      </c>
      <c r="AQ350" s="33"/>
      <c r="AR350" s="54"/>
      <c r="AS350" s="54"/>
      <c r="AT350" s="54"/>
      <c r="AU350" s="54"/>
      <c r="AV350" s="54"/>
      <c r="AW350" s="54"/>
      <c r="AX350" s="54"/>
      <c r="AY350" s="54"/>
      <c r="AZ350" s="54"/>
      <c r="BA350" s="54"/>
      <c r="BB350" s="54"/>
      <c r="BC350" s="54"/>
      <c r="BD350" s="54" t="s">
        <v>2447</v>
      </c>
      <c r="BE350" s="54"/>
      <c r="BF350" s="54"/>
      <c r="BG350" s="54"/>
      <c r="BH350" s="54"/>
      <c r="BI350" s="54"/>
      <c r="BJ350" s="0"/>
      <c r="BK350" s="0"/>
      <c r="BL350" s="0"/>
      <c r="BM350" s="0"/>
      <c r="BN350" s="0"/>
      <c r="BO350" s="0"/>
      <c r="BP350"/>
      <c r="BQ350"/>
      <c r="BR350"/>
      <c r="BS350"/>
      <c r="BT350"/>
      <c r="BU350"/>
      <c r="BV350"/>
      <c r="BW350"/>
      <c r="BX350"/>
      <c r="BY350"/>
      <c r="BZ350"/>
      <c r="CA350"/>
      <c r="CB350"/>
    </row>
    <row r="351" ht="15.0" customHeight="true">
      <c r="A351" s="51" t="s">
        <v>2448</v>
      </c>
      <c r="B351" s="33"/>
      <c r="C351" s="33" t="s">
        <v>5221</v>
      </c>
      <c r="D351" s="33"/>
      <c r="E351" s="33" t="s">
        <v>5222</v>
      </c>
      <c r="F351" s="33"/>
      <c r="G351" s="55" t="s">
        <v>5223</v>
      </c>
      <c r="H351" s="33"/>
      <c r="I351" s="51" t="s">
        <v>5224</v>
      </c>
      <c r="J351" s="33"/>
      <c r="K351" s="51" t="s">
        <v>5225</v>
      </c>
      <c r="L351" s="33" t="s">
        <v>2454</v>
      </c>
      <c r="M351" s="55" t="s">
        <v>4080</v>
      </c>
      <c r="N351" s="55" t="s">
        <v>5226</v>
      </c>
      <c r="O351" s="33" t="s">
        <v>2272</v>
      </c>
      <c r="P351" s="33" t="s">
        <v>2251</v>
      </c>
      <c r="Q351" s="33"/>
      <c r="R351" s="33" t="s">
        <v>2263</v>
      </c>
      <c r="S351" s="56" t="s">
        <v>2277</v>
      </c>
      <c r="T351" s="56"/>
      <c r="U351" s="56"/>
      <c r="V351" s="33" t="s">
        <v>2456</v>
      </c>
      <c r="W351" s="94" t="s">
        <v>2457</v>
      </c>
      <c r="X351" s="94" t="s">
        <v>2458</v>
      </c>
      <c r="Y351" s="51"/>
      <c r="Z351" s="51"/>
      <c r="AA351" s="33" t="s">
        <v>2459</v>
      </c>
      <c r="AB351" s="33" t="s">
        <v>2460</v>
      </c>
      <c r="AC351" s="33"/>
      <c r="AD351" s="33" t="s">
        <v>2254</v>
      </c>
      <c r="AE351" s="33"/>
      <c r="AF351" s="33" t="s">
        <v>2267</v>
      </c>
      <c r="AG351" s="33" t="s">
        <v>2461</v>
      </c>
      <c r="AH351" s="33"/>
      <c r="AI351" s="33"/>
      <c r="AJ351" s="33" t="s">
        <v>5227</v>
      </c>
      <c r="AK351" s="94"/>
      <c r="AL351" s="33" t="s">
        <v>3085</v>
      </c>
      <c r="AM351" s="33"/>
      <c r="AN351" s="33" t="s">
        <v>2465</v>
      </c>
      <c r="AO351" s="51" t="s">
        <v>2538</v>
      </c>
      <c r="AP351" s="51" t="s">
        <v>207</v>
      </c>
      <c r="AQ351" s="33"/>
      <c r="AR351" s="54"/>
      <c r="AS351" s="54"/>
      <c r="AT351" s="54"/>
      <c r="AU351" s="54"/>
      <c r="AV351" s="54"/>
      <c r="AW351" s="54"/>
      <c r="AX351" s="54"/>
      <c r="AY351" s="54"/>
      <c r="AZ351" s="54"/>
      <c r="BA351" s="54"/>
      <c r="BB351" s="54"/>
      <c r="BC351" s="54"/>
      <c r="BD351" s="54" t="s">
        <v>2447</v>
      </c>
      <c r="BE351" s="54"/>
      <c r="BF351" s="54"/>
      <c r="BG351" s="54"/>
      <c r="BH351" s="54"/>
      <c r="BI351" s="54"/>
      <c r="BJ351" s="0"/>
      <c r="BK351" s="0"/>
      <c r="BL351" s="0"/>
      <c r="BM351" s="0"/>
      <c r="BN351" s="0"/>
      <c r="BO351" s="0"/>
      <c r="BP351"/>
      <c r="BQ351"/>
      <c r="BR351"/>
      <c r="BS351"/>
      <c r="BT351"/>
      <c r="BU351"/>
      <c r="BV351"/>
      <c r="BW351"/>
      <c r="BX351"/>
      <c r="BY351"/>
      <c r="BZ351"/>
      <c r="CA351"/>
      <c r="CB351"/>
    </row>
    <row r="352" ht="15.0" customHeight="true">
      <c r="A352" s="51" t="s">
        <v>2448</v>
      </c>
      <c r="B352" s="33"/>
      <c r="C352" s="33" t="s">
        <v>3947</v>
      </c>
      <c r="D352" s="33"/>
      <c r="E352" s="33" t="s">
        <v>5228</v>
      </c>
      <c r="F352" s="33"/>
      <c r="G352" s="55" t="s">
        <v>5229</v>
      </c>
      <c r="H352" s="33"/>
      <c r="I352" s="51" t="s">
        <v>5230</v>
      </c>
      <c r="J352" s="33"/>
      <c r="K352" s="51" t="s">
        <v>5231</v>
      </c>
      <c r="L352" s="33" t="s">
        <v>2454</v>
      </c>
      <c r="M352" s="55" t="s">
        <v>3047</v>
      </c>
      <c r="N352" s="55" t="s">
        <v>3074</v>
      </c>
      <c r="O352" s="33" t="s">
        <v>2272</v>
      </c>
      <c r="P352" s="33" t="s">
        <v>2251</v>
      </c>
      <c r="Q352" s="33"/>
      <c r="R352" s="33" t="s">
        <v>2263</v>
      </c>
      <c r="S352" s="56" t="s">
        <v>2277</v>
      </c>
      <c r="T352" s="56"/>
      <c r="U352" s="56"/>
      <c r="V352" s="33" t="s">
        <v>2456</v>
      </c>
      <c r="W352" s="94" t="s">
        <v>2457</v>
      </c>
      <c r="X352" s="94" t="s">
        <v>2458</v>
      </c>
      <c r="Y352" s="51"/>
      <c r="Z352" s="51"/>
      <c r="AA352" s="33" t="s">
        <v>2459</v>
      </c>
      <c r="AB352" s="33" t="s">
        <v>2460</v>
      </c>
      <c r="AC352" s="33"/>
      <c r="AD352" s="33" t="s">
        <v>2254</v>
      </c>
      <c r="AE352" s="33"/>
      <c r="AF352" s="33" t="s">
        <v>2267</v>
      </c>
      <c r="AG352" s="33" t="s">
        <v>2461</v>
      </c>
      <c r="AH352" s="33"/>
      <c r="AI352" s="33"/>
      <c r="AJ352" s="33" t="s">
        <v>5232</v>
      </c>
      <c r="AK352" s="94"/>
      <c r="AL352" s="33" t="s">
        <v>4985</v>
      </c>
      <c r="AM352" s="33" t="s">
        <v>5233</v>
      </c>
      <c r="AN352" s="33" t="s">
        <v>2465</v>
      </c>
      <c r="AO352" s="51" t="s">
        <v>2489</v>
      </c>
      <c r="AP352" s="51" t="s">
        <v>207</v>
      </c>
      <c r="AQ352" s="33"/>
      <c r="AR352" s="54"/>
      <c r="AS352" s="54"/>
      <c r="AT352" s="54"/>
      <c r="AU352" s="54"/>
      <c r="AV352" s="54"/>
      <c r="AW352" s="54"/>
      <c r="AX352" s="54"/>
      <c r="AY352" s="54"/>
      <c r="AZ352" s="54"/>
      <c r="BA352" s="54"/>
      <c r="BB352" s="54"/>
      <c r="BC352" s="54"/>
      <c r="BD352" s="54" t="s">
        <v>2447</v>
      </c>
      <c r="BE352" s="54"/>
      <c r="BF352" s="54"/>
      <c r="BG352" s="54"/>
      <c r="BH352" s="54"/>
      <c r="BI352" s="54"/>
      <c r="BJ352" s="0"/>
      <c r="BK352" s="0"/>
      <c r="BL352" s="0"/>
      <c r="BM352" s="0"/>
      <c r="BN352" s="0"/>
      <c r="BO352" s="0"/>
      <c r="BP352"/>
      <c r="BQ352"/>
      <c r="BR352"/>
      <c r="BS352"/>
      <c r="BT352"/>
      <c r="BU352"/>
      <c r="BV352"/>
      <c r="BW352"/>
      <c r="BX352"/>
      <c r="BY352"/>
      <c r="BZ352"/>
      <c r="CA352"/>
      <c r="CB352"/>
    </row>
    <row r="353" ht="15.0" customHeight="true">
      <c r="A353" s="51" t="s">
        <v>2448</v>
      </c>
      <c r="B353" s="33"/>
      <c r="C353" s="33" t="s">
        <v>5234</v>
      </c>
      <c r="D353" s="33"/>
      <c r="E353" s="33" t="s">
        <v>5235</v>
      </c>
      <c r="F353" s="33"/>
      <c r="G353" s="55" t="s">
        <v>5236</v>
      </c>
      <c r="H353" s="33"/>
      <c r="I353" s="51" t="s">
        <v>5237</v>
      </c>
      <c r="J353" s="33"/>
      <c r="K353" s="51" t="s">
        <v>5238</v>
      </c>
      <c r="L353" s="33" t="s">
        <v>2454</v>
      </c>
      <c r="M353" s="55" t="s">
        <v>5239</v>
      </c>
      <c r="N353" s="55" t="s">
        <v>4118</v>
      </c>
      <c r="O353" s="33" t="s">
        <v>2272</v>
      </c>
      <c r="P353" s="33" t="s">
        <v>2251</v>
      </c>
      <c r="Q353" s="33"/>
      <c r="R353" s="33" t="s">
        <v>2263</v>
      </c>
      <c r="S353" s="56" t="s">
        <v>2277</v>
      </c>
      <c r="T353" s="56"/>
      <c r="U353" s="56"/>
      <c r="V353" s="33" t="s">
        <v>2456</v>
      </c>
      <c r="W353" s="94" t="s">
        <v>2457</v>
      </c>
      <c r="X353" s="94" t="s">
        <v>2458</v>
      </c>
      <c r="Y353" s="51"/>
      <c r="Z353" s="51"/>
      <c r="AA353" s="33" t="s">
        <v>2459</v>
      </c>
      <c r="AB353" s="33" t="s">
        <v>2460</v>
      </c>
      <c r="AC353" s="33"/>
      <c r="AD353" s="33" t="s">
        <v>2254</v>
      </c>
      <c r="AE353" s="33"/>
      <c r="AF353" s="33" t="s">
        <v>2267</v>
      </c>
      <c r="AG353" s="33" t="s">
        <v>2461</v>
      </c>
      <c r="AH353" s="33"/>
      <c r="AI353" s="33"/>
      <c r="AJ353" s="33" t="s">
        <v>5240</v>
      </c>
      <c r="AK353" s="94"/>
      <c r="AL353" s="33" t="s">
        <v>5241</v>
      </c>
      <c r="AM353" s="33"/>
      <c r="AN353" s="33" t="s">
        <v>2465</v>
      </c>
      <c r="AO353" s="51" t="s">
        <v>2489</v>
      </c>
      <c r="AP353" s="51" t="s">
        <v>207</v>
      </c>
      <c r="AQ353" s="33"/>
      <c r="AR353" s="54"/>
      <c r="AS353" s="54"/>
      <c r="AT353" s="54"/>
      <c r="AU353" s="54"/>
      <c r="AV353" s="54"/>
      <c r="AW353" s="54"/>
      <c r="AX353" s="54"/>
      <c r="AY353" s="54"/>
      <c r="AZ353" s="54"/>
      <c r="BA353" s="54"/>
      <c r="BB353" s="54"/>
      <c r="BC353" s="54"/>
      <c r="BD353" s="54" t="s">
        <v>2447</v>
      </c>
      <c r="BE353" s="54"/>
      <c r="BF353" s="54"/>
      <c r="BG353" s="54"/>
      <c r="BH353" s="54"/>
      <c r="BI353" s="54"/>
      <c r="BJ353" s="0"/>
      <c r="BK353" s="0"/>
      <c r="BL353" s="0"/>
      <c r="BM353" s="0"/>
      <c r="BN353" s="0"/>
      <c r="BO353" s="0"/>
      <c r="BP353"/>
      <c r="BQ353"/>
      <c r="BR353"/>
      <c r="BS353"/>
      <c r="BT353"/>
      <c r="BU353"/>
      <c r="BV353"/>
      <c r="BW353"/>
      <c r="BX353"/>
      <c r="BY353"/>
      <c r="BZ353"/>
      <c r="CA353"/>
      <c r="CB353"/>
    </row>
    <row r="354" ht="15.0" customHeight="true">
      <c r="A354" s="51" t="s">
        <v>2448</v>
      </c>
      <c r="B354" s="33"/>
      <c r="C354" s="33" t="s">
        <v>5242</v>
      </c>
      <c r="D354" s="33"/>
      <c r="E354" s="33" t="s">
        <v>5243</v>
      </c>
      <c r="F354" s="33"/>
      <c r="G354" s="55" t="s">
        <v>5244</v>
      </c>
      <c r="H354" s="33"/>
      <c r="I354" s="51" t="s">
        <v>5245</v>
      </c>
      <c r="J354" s="33"/>
      <c r="K354" s="51" t="s">
        <v>5246</v>
      </c>
      <c r="L354" s="33" t="s">
        <v>2484</v>
      </c>
      <c r="M354" s="55" t="s">
        <v>2573</v>
      </c>
      <c r="N354" s="55"/>
      <c r="O354" s="33"/>
      <c r="P354" s="33" t="s">
        <v>2251</v>
      </c>
      <c r="Q354" s="33"/>
      <c r="R354" s="33" t="s">
        <v>2263</v>
      </c>
      <c r="S354" s="56" t="s">
        <v>2277</v>
      </c>
      <c r="T354" s="56"/>
      <c r="U354" s="56"/>
      <c r="V354" s="33" t="s">
        <v>2456</v>
      </c>
      <c r="W354" s="94" t="s">
        <v>2457</v>
      </c>
      <c r="X354" s="94" t="s">
        <v>2474</v>
      </c>
      <c r="Y354" s="51"/>
      <c r="Z354" s="51"/>
      <c r="AA354" s="33" t="s">
        <v>2459</v>
      </c>
      <c r="AB354" s="33" t="s">
        <v>2460</v>
      </c>
      <c r="AC354" s="33" t="s">
        <v>2486</v>
      </c>
      <c r="AD354" s="33" t="s">
        <v>2254</v>
      </c>
      <c r="AE354" s="33"/>
      <c r="AF354" s="33" t="s">
        <v>2267</v>
      </c>
      <c r="AG354" s="33" t="s">
        <v>2461</v>
      </c>
      <c r="AH354" s="33"/>
      <c r="AI354" s="33"/>
      <c r="AJ354" s="33" t="s">
        <v>5247</v>
      </c>
      <c r="AK354" s="94"/>
      <c r="AL354" s="33" t="s">
        <v>5248</v>
      </c>
      <c r="AM354" s="33"/>
      <c r="AN354" s="33" t="s">
        <v>5249</v>
      </c>
      <c r="AO354" s="51" t="s">
        <v>5250</v>
      </c>
      <c r="AP354" s="51" t="s">
        <v>178</v>
      </c>
      <c r="AQ354" s="33"/>
      <c r="AR354" s="54"/>
      <c r="AS354" s="54"/>
      <c r="AT354" s="54"/>
      <c r="AU354" s="54"/>
      <c r="AV354" s="54"/>
      <c r="AW354" s="54"/>
      <c r="AX354" s="54"/>
      <c r="AY354" s="54"/>
      <c r="AZ354" s="54"/>
      <c r="BA354" s="54"/>
      <c r="BB354" s="54"/>
      <c r="BC354" s="54"/>
      <c r="BD354" s="54" t="s">
        <v>2447</v>
      </c>
      <c r="BE354" s="54"/>
      <c r="BF354" s="54"/>
      <c r="BG354" s="54"/>
      <c r="BH354" s="54"/>
      <c r="BI354" s="54"/>
      <c r="BJ354" s="0"/>
      <c r="BK354" s="0"/>
      <c r="BL354" s="0"/>
      <c r="BM354" s="0"/>
      <c r="BN354" s="0"/>
      <c r="BO354" s="0"/>
      <c r="BP354"/>
      <c r="BQ354"/>
      <c r="BR354"/>
      <c r="BS354"/>
      <c r="BT354"/>
      <c r="BU354"/>
      <c r="BV354"/>
      <c r="BW354"/>
      <c r="BX354"/>
      <c r="BY354"/>
      <c r="BZ354"/>
      <c r="CA354"/>
      <c r="CB354"/>
    </row>
    <row r="355" ht="15.0" customHeight="true">
      <c r="A355" s="51" t="s">
        <v>2448</v>
      </c>
      <c r="B355" s="33"/>
      <c r="C355" s="33" t="s">
        <v>5251</v>
      </c>
      <c r="D355" s="33"/>
      <c r="E355" s="33" t="s">
        <v>5252</v>
      </c>
      <c r="F355" s="33"/>
      <c r="G355" s="55" t="s">
        <v>5253</v>
      </c>
      <c r="H355" s="33"/>
      <c r="I355" s="51" t="s">
        <v>5254</v>
      </c>
      <c r="J355" s="33"/>
      <c r="K355" s="51" t="s">
        <v>5255</v>
      </c>
      <c r="L355" s="33" t="s">
        <v>2484</v>
      </c>
      <c r="M355" s="55" t="s">
        <v>2945</v>
      </c>
      <c r="N355" s="55"/>
      <c r="O355" s="33"/>
      <c r="P355" s="33" t="s">
        <v>2251</v>
      </c>
      <c r="Q355" s="33"/>
      <c r="R355" s="33" t="s">
        <v>2263</v>
      </c>
      <c r="S355" s="56" t="s">
        <v>2277</v>
      </c>
      <c r="T355" s="56"/>
      <c r="U355" s="56"/>
      <c r="V355" s="33" t="s">
        <v>2456</v>
      </c>
      <c r="W355" s="94" t="s">
        <v>2457</v>
      </c>
      <c r="X355" s="94" t="s">
        <v>2474</v>
      </c>
      <c r="Y355" s="51"/>
      <c r="Z355" s="51"/>
      <c r="AA355" s="33" t="s">
        <v>2459</v>
      </c>
      <c r="AB355" s="33" t="s">
        <v>2460</v>
      </c>
      <c r="AC355" s="33" t="s">
        <v>2486</v>
      </c>
      <c r="AD355" s="33" t="s">
        <v>2254</v>
      </c>
      <c r="AE355" s="33"/>
      <c r="AF355" s="33" t="s">
        <v>2267</v>
      </c>
      <c r="AG355" s="33" t="s">
        <v>2461</v>
      </c>
      <c r="AH355" s="33"/>
      <c r="AI355" s="33" t="s">
        <v>5256</v>
      </c>
      <c r="AJ355" s="33" t="s">
        <v>5256</v>
      </c>
      <c r="AK355" s="94"/>
      <c r="AL355" s="33" t="s">
        <v>5257</v>
      </c>
      <c r="AM355" s="33" t="s">
        <v>5258</v>
      </c>
      <c r="AN355" s="33" t="s">
        <v>2465</v>
      </c>
      <c r="AO355" s="51" t="s">
        <v>2489</v>
      </c>
      <c r="AP355" s="51" t="s">
        <v>207</v>
      </c>
      <c r="AQ355" s="33"/>
      <c r="AR355" s="54"/>
      <c r="AS355" s="54"/>
      <c r="AT355" s="54"/>
      <c r="AU355" s="54"/>
      <c r="AV355" s="54"/>
      <c r="AW355" s="54"/>
      <c r="AX355" s="54"/>
      <c r="AY355" s="54"/>
      <c r="AZ355" s="54"/>
      <c r="BA355" s="54"/>
      <c r="BB355" s="54"/>
      <c r="BC355" s="54"/>
      <c r="BD355" s="54" t="s">
        <v>2447</v>
      </c>
      <c r="BE355" s="54"/>
      <c r="BF355" s="54"/>
      <c r="BG355" s="54"/>
      <c r="BH355" s="54"/>
      <c r="BI355" s="54"/>
      <c r="BJ355" s="0"/>
      <c r="BK355" s="0"/>
      <c r="BL355" s="0"/>
      <c r="BM355" s="0"/>
      <c r="BN355" s="0"/>
      <c r="BO355" s="0"/>
      <c r="BP355"/>
      <c r="BQ355"/>
      <c r="BR355"/>
      <c r="BS355"/>
      <c r="BT355"/>
      <c r="BU355"/>
      <c r="BV355"/>
      <c r="BW355"/>
      <c r="BX355"/>
      <c r="BY355"/>
      <c r="BZ355"/>
      <c r="CA355"/>
      <c r="CB355"/>
    </row>
    <row r="356" ht="15.0" customHeight="true">
      <c r="A356" s="51" t="s">
        <v>2448</v>
      </c>
      <c r="B356" s="33"/>
      <c r="C356" s="33" t="s">
        <v>3319</v>
      </c>
      <c r="D356" s="33"/>
      <c r="E356" s="33" t="s">
        <v>5259</v>
      </c>
      <c r="F356" s="33"/>
      <c r="G356" s="55" t="s">
        <v>5260</v>
      </c>
      <c r="H356" s="33"/>
      <c r="I356" s="51" t="s">
        <v>5261</v>
      </c>
      <c r="J356" s="33"/>
      <c r="K356" s="51" t="s">
        <v>5262</v>
      </c>
      <c r="L356" s="33" t="s">
        <v>2454</v>
      </c>
      <c r="M356" s="55" t="s">
        <v>2614</v>
      </c>
      <c r="N356" s="55" t="s">
        <v>5218</v>
      </c>
      <c r="O356" s="33" t="s">
        <v>2272</v>
      </c>
      <c r="P356" s="33" t="s">
        <v>2251</v>
      </c>
      <c r="Q356" s="33"/>
      <c r="R356" s="33" t="s">
        <v>2263</v>
      </c>
      <c r="S356" s="56" t="s">
        <v>2277</v>
      </c>
      <c r="T356" s="56"/>
      <c r="U356" s="56"/>
      <c r="V356" s="33" t="s">
        <v>2456</v>
      </c>
      <c r="W356" s="94" t="s">
        <v>2457</v>
      </c>
      <c r="X356" s="94" t="s">
        <v>2458</v>
      </c>
      <c r="Y356" s="51"/>
      <c r="Z356" s="51"/>
      <c r="AA356" s="33" t="s">
        <v>2459</v>
      </c>
      <c r="AB356" s="33" t="s">
        <v>2460</v>
      </c>
      <c r="AC356" s="33"/>
      <c r="AD356" s="33" t="s">
        <v>2254</v>
      </c>
      <c r="AE356" s="33"/>
      <c r="AF356" s="33" t="s">
        <v>2267</v>
      </c>
      <c r="AG356" s="33" t="s">
        <v>2461</v>
      </c>
      <c r="AH356" s="33"/>
      <c r="AI356" s="33"/>
      <c r="AJ356" s="33" t="s">
        <v>5263</v>
      </c>
      <c r="AK356" s="94"/>
      <c r="AL356" s="33" t="s">
        <v>5264</v>
      </c>
      <c r="AM356" s="33"/>
      <c r="AN356" s="33" t="s">
        <v>2465</v>
      </c>
      <c r="AO356" s="51" t="s">
        <v>2489</v>
      </c>
      <c r="AP356" s="51" t="s">
        <v>207</v>
      </c>
      <c r="AQ356" s="33"/>
      <c r="AR356" s="54"/>
      <c r="AS356" s="54"/>
      <c r="AT356" s="54"/>
      <c r="AU356" s="54"/>
      <c r="AV356" s="54"/>
      <c r="AW356" s="54"/>
      <c r="AX356" s="54"/>
      <c r="AY356" s="54"/>
      <c r="AZ356" s="54"/>
      <c r="BA356" s="54"/>
      <c r="BB356" s="54"/>
      <c r="BC356" s="54"/>
      <c r="BD356" s="54" t="s">
        <v>2447</v>
      </c>
      <c r="BE356" s="54"/>
      <c r="BF356" s="54"/>
      <c r="BG356" s="54"/>
      <c r="BH356" s="54"/>
      <c r="BI356" s="54"/>
      <c r="BJ356" s="0"/>
      <c r="BK356" s="0"/>
      <c r="BL356" s="0"/>
      <c r="BM356" s="0"/>
      <c r="BN356" s="0"/>
      <c r="BO356" s="0"/>
      <c r="BP356"/>
      <c r="BQ356"/>
      <c r="BR356"/>
      <c r="BS356"/>
      <c r="BT356"/>
      <c r="BU356"/>
      <c r="BV356"/>
      <c r="BW356"/>
      <c r="BX356"/>
      <c r="BY356"/>
      <c r="BZ356"/>
      <c r="CA356"/>
      <c r="CB356"/>
    </row>
    <row r="357" ht="15.0" customHeight="true">
      <c r="A357" s="51" t="s">
        <v>2448</v>
      </c>
      <c r="B357" s="33"/>
      <c r="C357" s="33" t="s">
        <v>5265</v>
      </c>
      <c r="D357" s="33"/>
      <c r="E357" s="33" t="s">
        <v>5266</v>
      </c>
      <c r="F357" s="33"/>
      <c r="G357" s="55" t="s">
        <v>5267</v>
      </c>
      <c r="H357" s="33"/>
      <c r="I357" s="51" t="s">
        <v>5268</v>
      </c>
      <c r="J357" s="33"/>
      <c r="K357" s="51" t="s">
        <v>5269</v>
      </c>
      <c r="L357" s="33" t="s">
        <v>2454</v>
      </c>
      <c r="M357" s="55" t="s">
        <v>4918</v>
      </c>
      <c r="N357" s="55" t="s">
        <v>5270</v>
      </c>
      <c r="O357" s="33" t="s">
        <v>2272</v>
      </c>
      <c r="P357" s="33" t="s">
        <v>2251</v>
      </c>
      <c r="Q357" s="33"/>
      <c r="R357" s="33" t="s">
        <v>2263</v>
      </c>
      <c r="S357" s="56" t="s">
        <v>2277</v>
      </c>
      <c r="T357" s="56"/>
      <c r="U357" s="56"/>
      <c r="V357" s="33" t="s">
        <v>2456</v>
      </c>
      <c r="W357" s="94" t="s">
        <v>2457</v>
      </c>
      <c r="X357" s="94" t="s">
        <v>2458</v>
      </c>
      <c r="Y357" s="51"/>
      <c r="Z357" s="51"/>
      <c r="AA357" s="33" t="s">
        <v>2459</v>
      </c>
      <c r="AB357" s="33" t="s">
        <v>2460</v>
      </c>
      <c r="AC357" s="33"/>
      <c r="AD357" s="33" t="s">
        <v>2254</v>
      </c>
      <c r="AE357" s="33"/>
      <c r="AF357" s="33" t="s">
        <v>2267</v>
      </c>
      <c r="AG357" s="33" t="s">
        <v>2461</v>
      </c>
      <c r="AH357" s="33"/>
      <c r="AI357" s="33"/>
      <c r="AJ357" s="33" t="s">
        <v>5271</v>
      </c>
      <c r="AK357" s="94"/>
      <c r="AL357" s="33" t="s">
        <v>5272</v>
      </c>
      <c r="AM357" s="33"/>
      <c r="AN357" s="33" t="s">
        <v>2465</v>
      </c>
      <c r="AO357" s="51" t="s">
        <v>2489</v>
      </c>
      <c r="AP357" s="51" t="s">
        <v>207</v>
      </c>
      <c r="AQ357" s="33"/>
      <c r="AR357" s="54"/>
      <c r="AS357" s="54"/>
      <c r="AT357" s="54"/>
      <c r="AU357" s="54"/>
      <c r="AV357" s="54"/>
      <c r="AW357" s="54"/>
      <c r="AX357" s="54"/>
      <c r="AY357" s="54"/>
      <c r="AZ357" s="54"/>
      <c r="BA357" s="54"/>
      <c r="BB357" s="54"/>
      <c r="BC357" s="54"/>
      <c r="BD357" s="54" t="s">
        <v>2447</v>
      </c>
      <c r="BE357" s="54"/>
      <c r="BF357" s="54"/>
      <c r="BG357" s="54"/>
      <c r="BH357" s="54"/>
      <c r="BI357" s="54"/>
      <c r="BJ357" s="0"/>
      <c r="BK357" s="0"/>
      <c r="BL357" s="0"/>
      <c r="BM357" s="0"/>
      <c r="BN357" s="0"/>
      <c r="BO357" s="0"/>
      <c r="BP357"/>
      <c r="BQ357"/>
      <c r="BR357"/>
      <c r="BS357"/>
      <c r="BT357"/>
      <c r="BU357"/>
      <c r="BV357"/>
      <c r="BW357"/>
      <c r="BX357"/>
      <c r="BY357"/>
      <c r="BZ357"/>
      <c r="CA357"/>
      <c r="CB357"/>
    </row>
    <row r="358" ht="15.0" customHeight="true">
      <c r="A358" s="51" t="s">
        <v>2448</v>
      </c>
      <c r="B358" s="33"/>
      <c r="C358" s="33" t="s">
        <v>5273</v>
      </c>
      <c r="D358" s="33"/>
      <c r="E358" s="33" t="s">
        <v>5274</v>
      </c>
      <c r="F358" s="33"/>
      <c r="G358" s="55" t="s">
        <v>5275</v>
      </c>
      <c r="H358" s="33"/>
      <c r="I358" s="51" t="s">
        <v>5276</v>
      </c>
      <c r="J358" s="33"/>
      <c r="K358" s="51" t="s">
        <v>5277</v>
      </c>
      <c r="L358" s="33" t="s">
        <v>2454</v>
      </c>
      <c r="M358" s="55" t="s">
        <v>3118</v>
      </c>
      <c r="N358" s="55" t="s">
        <v>5278</v>
      </c>
      <c r="O358" s="33" t="s">
        <v>2272</v>
      </c>
      <c r="P358" s="33" t="s">
        <v>2251</v>
      </c>
      <c r="Q358" s="33"/>
      <c r="R358" s="33" t="s">
        <v>2263</v>
      </c>
      <c r="S358" s="56" t="s">
        <v>2277</v>
      </c>
      <c r="T358" s="56"/>
      <c r="U358" s="56"/>
      <c r="V358" s="33" t="s">
        <v>2456</v>
      </c>
      <c r="W358" s="94" t="s">
        <v>2457</v>
      </c>
      <c r="X358" s="94" t="s">
        <v>2474</v>
      </c>
      <c r="Y358" s="51"/>
      <c r="Z358" s="51"/>
      <c r="AA358" s="33" t="s">
        <v>2459</v>
      </c>
      <c r="AB358" s="33" t="s">
        <v>2460</v>
      </c>
      <c r="AC358" s="33"/>
      <c r="AD358" s="33" t="s">
        <v>2254</v>
      </c>
      <c r="AE358" s="33"/>
      <c r="AF358" s="33" t="s">
        <v>2267</v>
      </c>
      <c r="AG358" s="33" t="s">
        <v>2461</v>
      </c>
      <c r="AH358" s="33"/>
      <c r="AI358" s="33"/>
      <c r="AJ358" s="33" t="s">
        <v>5279</v>
      </c>
      <c r="AK358" s="94"/>
      <c r="AL358" s="33" t="s">
        <v>5280</v>
      </c>
      <c r="AM358" s="33"/>
      <c r="AN358" s="33" t="s">
        <v>2588</v>
      </c>
      <c r="AO358" s="51" t="s">
        <v>2589</v>
      </c>
      <c r="AP358" s="51" t="s">
        <v>207</v>
      </c>
      <c r="AQ358" s="33"/>
      <c r="AR358" s="54"/>
      <c r="AS358" s="54"/>
      <c r="AT358" s="54"/>
      <c r="AU358" s="54"/>
      <c r="AV358" s="54"/>
      <c r="AW358" s="54"/>
      <c r="AX358" s="54"/>
      <c r="AY358" s="54"/>
      <c r="AZ358" s="54"/>
      <c r="BA358" s="54"/>
      <c r="BB358" s="54"/>
      <c r="BC358" s="54"/>
      <c r="BD358" s="54" t="s">
        <v>2447</v>
      </c>
      <c r="BE358" s="54"/>
      <c r="BF358" s="54"/>
      <c r="BG358" s="54"/>
      <c r="BH358" s="54"/>
      <c r="BI358" s="54"/>
      <c r="BJ358" s="0"/>
      <c r="BK358" s="0"/>
      <c r="BL358" s="0"/>
      <c r="BM358" s="0"/>
      <c r="BN358" s="0"/>
      <c r="BO358" s="0"/>
      <c r="BP358"/>
      <c r="BQ358"/>
      <c r="BR358"/>
      <c r="BS358"/>
      <c r="BT358"/>
      <c r="BU358"/>
      <c r="BV358"/>
      <c r="BW358"/>
      <c r="BX358"/>
      <c r="BY358"/>
      <c r="BZ358"/>
      <c r="CA358"/>
      <c r="CB358"/>
    </row>
    <row r="359" ht="15.0" customHeight="true">
      <c r="A359" s="51" t="s">
        <v>2448</v>
      </c>
      <c r="B359" s="33"/>
      <c r="C359" s="33" t="s">
        <v>4014</v>
      </c>
      <c r="D359" s="33"/>
      <c r="E359" s="33" t="s">
        <v>5281</v>
      </c>
      <c r="F359" s="33"/>
      <c r="G359" s="55" t="s">
        <v>5282</v>
      </c>
      <c r="H359" s="33"/>
      <c r="I359" s="51" t="s">
        <v>5283</v>
      </c>
      <c r="J359" s="33"/>
      <c r="K359" s="51" t="s">
        <v>5284</v>
      </c>
      <c r="L359" s="33" t="s">
        <v>2454</v>
      </c>
      <c r="M359" s="55" t="s">
        <v>5285</v>
      </c>
      <c r="N359" s="55" t="s">
        <v>5286</v>
      </c>
      <c r="O359" s="33" t="s">
        <v>2272</v>
      </c>
      <c r="P359" s="33" t="s">
        <v>2251</v>
      </c>
      <c r="Q359" s="33"/>
      <c r="R359" s="33" t="s">
        <v>2263</v>
      </c>
      <c r="S359" s="56" t="s">
        <v>2277</v>
      </c>
      <c r="T359" s="56"/>
      <c r="U359" s="56"/>
      <c r="V359" s="33" t="s">
        <v>2456</v>
      </c>
      <c r="W359" s="94" t="s">
        <v>2457</v>
      </c>
      <c r="X359" s="94" t="s">
        <v>2458</v>
      </c>
      <c r="Y359" s="51"/>
      <c r="Z359" s="51"/>
      <c r="AA359" s="33" t="s">
        <v>2459</v>
      </c>
      <c r="AB359" s="33" t="s">
        <v>2460</v>
      </c>
      <c r="AC359" s="33"/>
      <c r="AD359" s="33" t="s">
        <v>2254</v>
      </c>
      <c r="AE359" s="33"/>
      <c r="AF359" s="33" t="s">
        <v>2267</v>
      </c>
      <c r="AG359" s="33" t="s">
        <v>2461</v>
      </c>
      <c r="AH359" s="33"/>
      <c r="AI359" s="33"/>
      <c r="AJ359" s="33" t="s">
        <v>5287</v>
      </c>
      <c r="AK359" s="94"/>
      <c r="AL359" s="33" t="s">
        <v>5288</v>
      </c>
      <c r="AM359" s="33"/>
      <c r="AN359" s="33" t="s">
        <v>2465</v>
      </c>
      <c r="AO359" s="51" t="s">
        <v>2548</v>
      </c>
      <c r="AP359" s="51" t="s">
        <v>207</v>
      </c>
      <c r="AQ359" s="33"/>
      <c r="AR359" s="54"/>
      <c r="AS359" s="54"/>
      <c r="AT359" s="54"/>
      <c r="AU359" s="54"/>
      <c r="AV359" s="54"/>
      <c r="AW359" s="54"/>
      <c r="AX359" s="54"/>
      <c r="AY359" s="54"/>
      <c r="AZ359" s="54"/>
      <c r="BA359" s="54"/>
      <c r="BB359" s="54"/>
      <c r="BC359" s="54"/>
      <c r="BD359" s="54" t="s">
        <v>2447</v>
      </c>
      <c r="BE359" s="54"/>
      <c r="BF359" s="54"/>
      <c r="BG359" s="54"/>
      <c r="BH359" s="54"/>
      <c r="BI359" s="54"/>
      <c r="BJ359" s="0"/>
      <c r="BK359" s="0"/>
      <c r="BL359" s="0"/>
      <c r="BM359" s="0"/>
      <c r="BN359" s="0"/>
      <c r="BO359" s="0"/>
      <c r="BP359"/>
      <c r="BQ359"/>
      <c r="BR359"/>
      <c r="BS359"/>
      <c r="BT359"/>
      <c r="BU359"/>
      <c r="BV359"/>
      <c r="BW359"/>
      <c r="BX359"/>
      <c r="BY359"/>
      <c r="BZ359"/>
      <c r="CA359"/>
      <c r="CB359"/>
    </row>
    <row r="360" ht="15.0" customHeight="true">
      <c r="A360" s="51" t="s">
        <v>2448</v>
      </c>
      <c r="B360" s="33"/>
      <c r="C360" s="33" t="s">
        <v>4538</v>
      </c>
      <c r="D360" s="33"/>
      <c r="E360" s="33" t="s">
        <v>5289</v>
      </c>
      <c r="F360" s="33"/>
      <c r="G360" s="55" t="s">
        <v>5290</v>
      </c>
      <c r="H360" s="33"/>
      <c r="I360" s="51" t="s">
        <v>5291</v>
      </c>
      <c r="J360" s="33"/>
      <c r="K360" s="51" t="s">
        <v>5292</v>
      </c>
      <c r="L360" s="33" t="s">
        <v>2454</v>
      </c>
      <c r="M360" s="55" t="s">
        <v>5293</v>
      </c>
      <c r="N360" s="55" t="s">
        <v>5293</v>
      </c>
      <c r="O360" s="33" t="s">
        <v>2272</v>
      </c>
      <c r="P360" s="33" t="s">
        <v>2251</v>
      </c>
      <c r="Q360" s="33"/>
      <c r="R360" s="33" t="s">
        <v>2263</v>
      </c>
      <c r="S360" s="56" t="s">
        <v>2277</v>
      </c>
      <c r="T360" s="56"/>
      <c r="U360" s="56"/>
      <c r="V360" s="33" t="s">
        <v>2456</v>
      </c>
      <c r="W360" s="94" t="s">
        <v>2457</v>
      </c>
      <c r="X360" s="94" t="s">
        <v>2474</v>
      </c>
      <c r="Y360" s="51"/>
      <c r="Z360" s="51"/>
      <c r="AA360" s="33" t="s">
        <v>2459</v>
      </c>
      <c r="AB360" s="33" t="s">
        <v>2460</v>
      </c>
      <c r="AC360" s="33"/>
      <c r="AD360" s="33" t="s">
        <v>2254</v>
      </c>
      <c r="AE360" s="33"/>
      <c r="AF360" s="33" t="s">
        <v>2267</v>
      </c>
      <c r="AG360" s="33" t="s">
        <v>2461</v>
      </c>
      <c r="AH360" s="33"/>
      <c r="AI360" s="33"/>
      <c r="AJ360" s="33" t="s">
        <v>5294</v>
      </c>
      <c r="AK360" s="94"/>
      <c r="AL360" s="33" t="s">
        <v>5295</v>
      </c>
      <c r="AM360" s="33" t="s">
        <v>5296</v>
      </c>
      <c r="AN360" s="33" t="s">
        <v>2465</v>
      </c>
      <c r="AO360" s="51" t="s">
        <v>2538</v>
      </c>
      <c r="AP360" s="51" t="s">
        <v>207</v>
      </c>
      <c r="AQ360" s="33"/>
      <c r="AR360" s="54"/>
      <c r="AS360" s="54"/>
      <c r="AT360" s="54"/>
      <c r="AU360" s="54"/>
      <c r="AV360" s="54"/>
      <c r="AW360" s="54"/>
      <c r="AX360" s="54"/>
      <c r="AY360" s="54"/>
      <c r="AZ360" s="54"/>
      <c r="BA360" s="54"/>
      <c r="BB360" s="54"/>
      <c r="BC360" s="54"/>
      <c r="BD360" s="54" t="s">
        <v>2447</v>
      </c>
      <c r="BE360" s="54"/>
      <c r="BF360" s="54"/>
      <c r="BG360" s="54"/>
      <c r="BH360" s="54"/>
      <c r="BI360" s="54"/>
      <c r="BJ360" s="0"/>
      <c r="BK360" s="0"/>
      <c r="BL360" s="0"/>
      <c r="BM360" s="0"/>
      <c r="BN360" s="0"/>
      <c r="BO360" s="0"/>
      <c r="BP360"/>
      <c r="BQ360"/>
      <c r="BR360"/>
      <c r="BS360"/>
      <c r="BT360"/>
      <c r="BU360"/>
      <c r="BV360"/>
      <c r="BW360"/>
      <c r="BX360"/>
      <c r="BY360"/>
      <c r="BZ360"/>
      <c r="CA360"/>
      <c r="CB360"/>
    </row>
    <row r="361" ht="15.0" customHeight="true">
      <c r="A361" s="51" t="s">
        <v>2448</v>
      </c>
      <c r="B361" s="33"/>
      <c r="C361" s="33" t="s">
        <v>3538</v>
      </c>
      <c r="D361" s="33"/>
      <c r="E361" s="33" t="s">
        <v>5297</v>
      </c>
      <c r="F361" s="33"/>
      <c r="G361" s="55" t="s">
        <v>5298</v>
      </c>
      <c r="H361" s="33"/>
      <c r="I361" s="51" t="s">
        <v>5299</v>
      </c>
      <c r="J361" s="33"/>
      <c r="K361" s="51" t="s">
        <v>5300</v>
      </c>
      <c r="L361" s="33" t="s">
        <v>2454</v>
      </c>
      <c r="M361" s="55" t="s">
        <v>4805</v>
      </c>
      <c r="N361" s="55" t="s">
        <v>4805</v>
      </c>
      <c r="O361" s="33" t="s">
        <v>2272</v>
      </c>
      <c r="P361" s="33" t="s">
        <v>2251</v>
      </c>
      <c r="Q361" s="33"/>
      <c r="R361" s="33" t="s">
        <v>2263</v>
      </c>
      <c r="S361" s="56" t="s">
        <v>2277</v>
      </c>
      <c r="T361" s="56"/>
      <c r="U361" s="56"/>
      <c r="V361" s="33" t="s">
        <v>2456</v>
      </c>
      <c r="W361" s="94" t="s">
        <v>2457</v>
      </c>
      <c r="X361" s="94" t="s">
        <v>2474</v>
      </c>
      <c r="Y361" s="51"/>
      <c r="Z361" s="51"/>
      <c r="AA361" s="33" t="s">
        <v>2459</v>
      </c>
      <c r="AB361" s="33" t="s">
        <v>2460</v>
      </c>
      <c r="AC361" s="33"/>
      <c r="AD361" s="33" t="s">
        <v>2254</v>
      </c>
      <c r="AE361" s="33"/>
      <c r="AF361" s="33" t="s">
        <v>2267</v>
      </c>
      <c r="AG361" s="33" t="s">
        <v>2461</v>
      </c>
      <c r="AH361" s="33"/>
      <c r="AI361" s="33"/>
      <c r="AJ361" s="33" t="s">
        <v>5301</v>
      </c>
      <c r="AK361" s="94"/>
      <c r="AL361" s="33" t="s">
        <v>5302</v>
      </c>
      <c r="AM361" s="33"/>
      <c r="AN361" s="33" t="s">
        <v>2577</v>
      </c>
      <c r="AO361" s="51" t="s">
        <v>2578</v>
      </c>
      <c r="AP361" s="51" t="s">
        <v>207</v>
      </c>
      <c r="AQ361" s="33"/>
      <c r="AR361" s="54"/>
      <c r="AS361" s="54"/>
      <c r="AT361" s="54"/>
      <c r="AU361" s="54"/>
      <c r="AV361" s="54"/>
      <c r="AW361" s="54"/>
      <c r="AX361" s="54"/>
      <c r="AY361" s="54"/>
      <c r="AZ361" s="54"/>
      <c r="BA361" s="54"/>
      <c r="BB361" s="54"/>
      <c r="BC361" s="54"/>
      <c r="BD361" s="54" t="s">
        <v>2447</v>
      </c>
      <c r="BE361" s="54"/>
      <c r="BF361" s="54"/>
      <c r="BG361" s="54"/>
      <c r="BH361" s="54"/>
      <c r="BI361" s="54"/>
      <c r="BJ361" s="0"/>
      <c r="BK361" s="0"/>
      <c r="BL361" s="0"/>
      <c r="BM361" s="0"/>
      <c r="BN361" s="0"/>
      <c r="BO361" s="0"/>
      <c r="BP361"/>
      <c r="BQ361"/>
      <c r="BR361"/>
      <c r="BS361"/>
      <c r="BT361"/>
      <c r="BU361"/>
      <c r="BV361"/>
      <c r="BW361"/>
      <c r="BX361"/>
      <c r="BY361"/>
      <c r="BZ361"/>
      <c r="CA361"/>
      <c r="CB361"/>
    </row>
    <row r="362" ht="15.0" customHeight="true">
      <c r="A362" s="51" t="s">
        <v>2448</v>
      </c>
      <c r="B362" s="33"/>
      <c r="C362" s="33" t="s">
        <v>3538</v>
      </c>
      <c r="D362" s="33"/>
      <c r="E362" s="33" t="s">
        <v>5303</v>
      </c>
      <c r="F362" s="33"/>
      <c r="G362" s="55" t="s">
        <v>5304</v>
      </c>
      <c r="H362" s="33"/>
      <c r="I362" s="51" t="s">
        <v>5305</v>
      </c>
      <c r="J362" s="33"/>
      <c r="K362" s="51" t="s">
        <v>5306</v>
      </c>
      <c r="L362" s="33" t="s">
        <v>2454</v>
      </c>
      <c r="M362" s="55" t="s">
        <v>3258</v>
      </c>
      <c r="N362" s="55" t="s">
        <v>5307</v>
      </c>
      <c r="O362" s="33" t="s">
        <v>2272</v>
      </c>
      <c r="P362" s="33" t="s">
        <v>2251</v>
      </c>
      <c r="Q362" s="33"/>
      <c r="R362" s="33" t="s">
        <v>2263</v>
      </c>
      <c r="S362" s="56" t="s">
        <v>2277</v>
      </c>
      <c r="T362" s="56"/>
      <c r="U362" s="56"/>
      <c r="V362" s="33" t="s">
        <v>2456</v>
      </c>
      <c r="W362" s="94" t="s">
        <v>2457</v>
      </c>
      <c r="X362" s="94" t="s">
        <v>2474</v>
      </c>
      <c r="Y362" s="51"/>
      <c r="Z362" s="51"/>
      <c r="AA362" s="33" t="s">
        <v>2459</v>
      </c>
      <c r="AB362" s="33" t="s">
        <v>2460</v>
      </c>
      <c r="AC362" s="33"/>
      <c r="AD362" s="33" t="s">
        <v>2254</v>
      </c>
      <c r="AE362" s="33"/>
      <c r="AF362" s="33" t="s">
        <v>2267</v>
      </c>
      <c r="AG362" s="33" t="s">
        <v>2461</v>
      </c>
      <c r="AH362" s="33"/>
      <c r="AI362" s="33"/>
      <c r="AJ362" s="33" t="s">
        <v>5308</v>
      </c>
      <c r="AK362" s="94"/>
      <c r="AL362" s="33" t="s">
        <v>5309</v>
      </c>
      <c r="AM362" s="33"/>
      <c r="AN362" s="33" t="s">
        <v>2465</v>
      </c>
      <c r="AO362" s="51" t="s">
        <v>2548</v>
      </c>
      <c r="AP362" s="51" t="s">
        <v>207</v>
      </c>
      <c r="AQ362" s="33"/>
      <c r="AR362" s="54"/>
      <c r="AS362" s="54"/>
      <c r="AT362" s="54"/>
      <c r="AU362" s="54"/>
      <c r="AV362" s="54"/>
      <c r="AW362" s="54"/>
      <c r="AX362" s="54"/>
      <c r="AY362" s="54"/>
      <c r="AZ362" s="54"/>
      <c r="BA362" s="54"/>
      <c r="BB362" s="54"/>
      <c r="BC362" s="54"/>
      <c r="BD362" s="54" t="s">
        <v>2447</v>
      </c>
      <c r="BE362" s="54"/>
      <c r="BF362" s="54"/>
      <c r="BG362" s="54"/>
      <c r="BH362" s="54"/>
      <c r="BI362" s="54"/>
      <c r="BJ362" s="0"/>
      <c r="BK362" s="0"/>
      <c r="BL362" s="0"/>
      <c r="BM362" s="0"/>
      <c r="BN362" s="0"/>
      <c r="BO362" s="0"/>
      <c r="BP362"/>
      <c r="BQ362"/>
      <c r="BR362"/>
      <c r="BS362"/>
      <c r="BT362"/>
      <c r="BU362"/>
      <c r="BV362"/>
      <c r="BW362"/>
      <c r="BX362"/>
      <c r="BY362"/>
      <c r="BZ362"/>
      <c r="CA362"/>
      <c r="CB362"/>
    </row>
    <row r="363" ht="15.0" customHeight="true">
      <c r="A363" s="51" t="s">
        <v>2448</v>
      </c>
      <c r="B363" s="33"/>
      <c r="C363" s="33" t="s">
        <v>5310</v>
      </c>
      <c r="D363" s="33"/>
      <c r="E363" s="33" t="s">
        <v>5311</v>
      </c>
      <c r="F363" s="33"/>
      <c r="G363" s="55" t="s">
        <v>5312</v>
      </c>
      <c r="H363" s="33"/>
      <c r="I363" s="51" t="s">
        <v>5313</v>
      </c>
      <c r="J363" s="33"/>
      <c r="K363" s="51" t="s">
        <v>5314</v>
      </c>
      <c r="L363" s="33" t="s">
        <v>2454</v>
      </c>
      <c r="M363" s="55" t="s">
        <v>3544</v>
      </c>
      <c r="N363" s="55" t="s">
        <v>2835</v>
      </c>
      <c r="O363" s="33" t="s">
        <v>2272</v>
      </c>
      <c r="P363" s="33" t="s">
        <v>2251</v>
      </c>
      <c r="Q363" s="33"/>
      <c r="R363" s="33" t="s">
        <v>2263</v>
      </c>
      <c r="S363" s="56" t="s">
        <v>2277</v>
      </c>
      <c r="T363" s="56"/>
      <c r="U363" s="56"/>
      <c r="V363" s="33" t="s">
        <v>2456</v>
      </c>
      <c r="W363" s="94" t="s">
        <v>2457</v>
      </c>
      <c r="X363" s="94" t="s">
        <v>2474</v>
      </c>
      <c r="Y363" s="51"/>
      <c r="Z363" s="51"/>
      <c r="AA363" s="33" t="s">
        <v>2459</v>
      </c>
      <c r="AB363" s="33" t="s">
        <v>2460</v>
      </c>
      <c r="AC363" s="33"/>
      <c r="AD363" s="33" t="s">
        <v>2254</v>
      </c>
      <c r="AE363" s="33"/>
      <c r="AF363" s="33" t="s">
        <v>2267</v>
      </c>
      <c r="AG363" s="33" t="s">
        <v>2461</v>
      </c>
      <c r="AH363" s="33"/>
      <c r="AI363" s="33"/>
      <c r="AJ363" s="33" t="s">
        <v>5315</v>
      </c>
      <c r="AK363" s="94"/>
      <c r="AL363" s="33" t="s">
        <v>5316</v>
      </c>
      <c r="AM363" s="33"/>
      <c r="AN363" s="33" t="s">
        <v>2465</v>
      </c>
      <c r="AO363" s="51" t="s">
        <v>2489</v>
      </c>
      <c r="AP363" s="51" t="s">
        <v>207</v>
      </c>
      <c r="AQ363" s="33"/>
      <c r="AR363" s="54"/>
      <c r="AS363" s="54"/>
      <c r="AT363" s="54"/>
      <c r="AU363" s="54"/>
      <c r="AV363" s="54"/>
      <c r="AW363" s="54"/>
      <c r="AX363" s="54"/>
      <c r="AY363" s="54"/>
      <c r="AZ363" s="54"/>
      <c r="BA363" s="54"/>
      <c r="BB363" s="54"/>
      <c r="BC363" s="54"/>
      <c r="BD363" s="54" t="s">
        <v>2447</v>
      </c>
      <c r="BE363" s="54"/>
      <c r="BF363" s="54"/>
      <c r="BG363" s="54"/>
      <c r="BH363" s="54"/>
      <c r="BI363" s="54"/>
      <c r="BJ363" s="0"/>
      <c r="BK363" s="0"/>
      <c r="BL363" s="0"/>
      <c r="BM363" s="0"/>
      <c r="BN363" s="0"/>
      <c r="BO363" s="0"/>
      <c r="BP363"/>
      <c r="BQ363"/>
      <c r="BR363"/>
      <c r="BS363"/>
      <c r="BT363"/>
      <c r="BU363"/>
      <c r="BV363"/>
      <c r="BW363"/>
      <c r="BX363"/>
      <c r="BY363"/>
      <c r="BZ363"/>
      <c r="CA363"/>
      <c r="CB363"/>
    </row>
    <row r="364" ht="15.0" customHeight="true">
      <c r="A364" s="51" t="s">
        <v>2448</v>
      </c>
      <c r="B364" s="33"/>
      <c r="C364" s="33" t="s">
        <v>5317</v>
      </c>
      <c r="D364" s="33"/>
      <c r="E364" s="33" t="s">
        <v>5318</v>
      </c>
      <c r="F364" s="33"/>
      <c r="G364" s="55" t="s">
        <v>5319</v>
      </c>
      <c r="H364" s="33"/>
      <c r="I364" s="51" t="s">
        <v>5320</v>
      </c>
      <c r="J364" s="33"/>
      <c r="K364" s="51" t="s">
        <v>5321</v>
      </c>
      <c r="L364" s="33" t="s">
        <v>2454</v>
      </c>
      <c r="M364" s="55" t="s">
        <v>3358</v>
      </c>
      <c r="N364" s="55" t="s">
        <v>5322</v>
      </c>
      <c r="O364" s="33" t="s">
        <v>2272</v>
      </c>
      <c r="P364" s="33" t="s">
        <v>2251</v>
      </c>
      <c r="Q364" s="33"/>
      <c r="R364" s="33" t="s">
        <v>2263</v>
      </c>
      <c r="S364" s="56" t="s">
        <v>2277</v>
      </c>
      <c r="T364" s="56"/>
      <c r="U364" s="56"/>
      <c r="V364" s="33" t="s">
        <v>2456</v>
      </c>
      <c r="W364" s="94" t="s">
        <v>2457</v>
      </c>
      <c r="X364" s="94" t="s">
        <v>2458</v>
      </c>
      <c r="Y364" s="51"/>
      <c r="Z364" s="51"/>
      <c r="AA364" s="33" t="s">
        <v>2459</v>
      </c>
      <c r="AB364" s="33" t="s">
        <v>2460</v>
      </c>
      <c r="AC364" s="33"/>
      <c r="AD364" s="33" t="s">
        <v>2254</v>
      </c>
      <c r="AE364" s="33"/>
      <c r="AF364" s="33" t="s">
        <v>2267</v>
      </c>
      <c r="AG364" s="33" t="s">
        <v>2461</v>
      </c>
      <c r="AH364" s="33"/>
      <c r="AI364" s="33"/>
      <c r="AJ364" s="33" t="s">
        <v>5323</v>
      </c>
      <c r="AK364" s="94"/>
      <c r="AL364" s="33" t="s">
        <v>5324</v>
      </c>
      <c r="AM364" s="33"/>
      <c r="AN364" s="33" t="s">
        <v>2465</v>
      </c>
      <c r="AO364" s="51" t="s">
        <v>2489</v>
      </c>
      <c r="AP364" s="51" t="s">
        <v>207</v>
      </c>
      <c r="AQ364" s="33"/>
      <c r="AR364" s="54"/>
      <c r="AS364" s="54"/>
      <c r="AT364" s="54"/>
      <c r="AU364" s="54"/>
      <c r="AV364" s="54"/>
      <c r="AW364" s="54"/>
      <c r="AX364" s="54"/>
      <c r="AY364" s="54"/>
      <c r="AZ364" s="54"/>
      <c r="BA364" s="54"/>
      <c r="BB364" s="54"/>
      <c r="BC364" s="54"/>
      <c r="BD364" s="54" t="s">
        <v>2447</v>
      </c>
      <c r="BE364" s="54"/>
      <c r="BF364" s="54"/>
      <c r="BG364" s="54"/>
      <c r="BH364" s="54"/>
      <c r="BI364" s="54"/>
      <c r="BJ364" s="0"/>
      <c r="BK364" s="0"/>
      <c r="BL364" s="0"/>
      <c r="BM364" s="0"/>
      <c r="BN364" s="0"/>
      <c r="BO364" s="0"/>
      <c r="BP364"/>
      <c r="BQ364"/>
      <c r="BR364"/>
      <c r="BS364"/>
      <c r="BT364"/>
      <c r="BU364"/>
      <c r="BV364"/>
      <c r="BW364"/>
      <c r="BX364"/>
      <c r="BY364"/>
      <c r="BZ364"/>
      <c r="CA364"/>
      <c r="CB364"/>
    </row>
    <row r="365" ht="15.0" customHeight="true">
      <c r="A365" s="51" t="s">
        <v>2448</v>
      </c>
      <c r="B365" s="33"/>
      <c r="C365" s="33" t="s">
        <v>5325</v>
      </c>
      <c r="D365" s="33"/>
      <c r="E365" s="33" t="s">
        <v>5326</v>
      </c>
      <c r="F365" s="33"/>
      <c r="G365" s="55" t="s">
        <v>5327</v>
      </c>
      <c r="H365" s="33"/>
      <c r="I365" s="51" t="s">
        <v>5328</v>
      </c>
      <c r="J365" s="33"/>
      <c r="K365" s="51" t="s">
        <v>5329</v>
      </c>
      <c r="L365" s="33" t="s">
        <v>2454</v>
      </c>
      <c r="M365" s="55" t="s">
        <v>2688</v>
      </c>
      <c r="N365" s="55" t="s">
        <v>2688</v>
      </c>
      <c r="O365" s="33" t="s">
        <v>2272</v>
      </c>
      <c r="P365" s="33" t="s">
        <v>2251</v>
      </c>
      <c r="Q365" s="33"/>
      <c r="R365" s="33" t="s">
        <v>2263</v>
      </c>
      <c r="S365" s="56" t="s">
        <v>2277</v>
      </c>
      <c r="T365" s="56"/>
      <c r="U365" s="56"/>
      <c r="V365" s="33" t="s">
        <v>2456</v>
      </c>
      <c r="W365" s="94" t="s">
        <v>2457</v>
      </c>
      <c r="X365" s="94" t="s">
        <v>2474</v>
      </c>
      <c r="Y365" s="51"/>
      <c r="Z365" s="51"/>
      <c r="AA365" s="33" t="s">
        <v>2459</v>
      </c>
      <c r="AB365" s="33" t="s">
        <v>2460</v>
      </c>
      <c r="AC365" s="33"/>
      <c r="AD365" s="33" t="s">
        <v>2254</v>
      </c>
      <c r="AE365" s="33"/>
      <c r="AF365" s="33" t="s">
        <v>2267</v>
      </c>
      <c r="AG365" s="33" t="s">
        <v>2461</v>
      </c>
      <c r="AH365" s="33"/>
      <c r="AI365" s="33"/>
      <c r="AJ365" s="33" t="s">
        <v>5330</v>
      </c>
      <c r="AK365" s="94"/>
      <c r="AL365" s="33" t="s">
        <v>5331</v>
      </c>
      <c r="AM365" s="33" t="s">
        <v>5332</v>
      </c>
      <c r="AN365" s="33" t="s">
        <v>2465</v>
      </c>
      <c r="AO365" s="51" t="s">
        <v>2618</v>
      </c>
      <c r="AP365" s="51" t="s">
        <v>207</v>
      </c>
      <c r="AQ365" s="33"/>
      <c r="AR365" s="54"/>
      <c r="AS365" s="54"/>
      <c r="AT365" s="54"/>
      <c r="AU365" s="54"/>
      <c r="AV365" s="54"/>
      <c r="AW365" s="54"/>
      <c r="AX365" s="54"/>
      <c r="AY365" s="54"/>
      <c r="AZ365" s="54"/>
      <c r="BA365" s="54"/>
      <c r="BB365" s="54"/>
      <c r="BC365" s="54"/>
      <c r="BD365" s="54" t="s">
        <v>2447</v>
      </c>
      <c r="BE365" s="54"/>
      <c r="BF365" s="54"/>
      <c r="BG365" s="54"/>
      <c r="BH365" s="54"/>
      <c r="BI365" s="54"/>
      <c r="BJ365" s="0"/>
      <c r="BK365" s="0"/>
      <c r="BL365" s="0"/>
      <c r="BM365" s="0"/>
      <c r="BN365" s="0"/>
      <c r="BO365" s="0"/>
      <c r="BP365"/>
      <c r="BQ365"/>
      <c r="BR365"/>
      <c r="BS365"/>
      <c r="BT365"/>
      <c r="BU365"/>
      <c r="BV365"/>
      <c r="BW365"/>
      <c r="BX365"/>
      <c r="BY365"/>
      <c r="BZ365"/>
      <c r="CA365"/>
      <c r="CB365"/>
    </row>
    <row r="366" ht="15.0" customHeight="true">
      <c r="A366" s="51" t="s">
        <v>2448</v>
      </c>
      <c r="B366" s="33"/>
      <c r="C366" s="33" t="s">
        <v>5333</v>
      </c>
      <c r="D366" s="33"/>
      <c r="E366" s="33" t="s">
        <v>5334</v>
      </c>
      <c r="F366" s="33"/>
      <c r="G366" s="55" t="s">
        <v>5335</v>
      </c>
      <c r="H366" s="33"/>
      <c r="I366" s="51" t="s">
        <v>5336</v>
      </c>
      <c r="J366" s="33"/>
      <c r="K366" s="51" t="s">
        <v>5337</v>
      </c>
      <c r="L366" s="33" t="s">
        <v>2454</v>
      </c>
      <c r="M366" s="55" t="s">
        <v>2717</v>
      </c>
      <c r="N366" s="55" t="s">
        <v>5338</v>
      </c>
      <c r="O366" s="33" t="s">
        <v>2272</v>
      </c>
      <c r="P366" s="33" t="s">
        <v>2251</v>
      </c>
      <c r="Q366" s="33"/>
      <c r="R366" s="33" t="s">
        <v>2263</v>
      </c>
      <c r="S366" s="56" t="s">
        <v>2277</v>
      </c>
      <c r="T366" s="56"/>
      <c r="U366" s="56"/>
      <c r="V366" s="33" t="s">
        <v>2456</v>
      </c>
      <c r="W366" s="94" t="s">
        <v>2457</v>
      </c>
      <c r="X366" s="94" t="s">
        <v>2458</v>
      </c>
      <c r="Y366" s="51"/>
      <c r="Z366" s="51"/>
      <c r="AA366" s="33" t="s">
        <v>2459</v>
      </c>
      <c r="AB366" s="33" t="s">
        <v>2460</v>
      </c>
      <c r="AC366" s="33"/>
      <c r="AD366" s="33" t="s">
        <v>2254</v>
      </c>
      <c r="AE366" s="33"/>
      <c r="AF366" s="33" t="s">
        <v>2267</v>
      </c>
      <c r="AG366" s="33" t="s">
        <v>2461</v>
      </c>
      <c r="AH366" s="33"/>
      <c r="AI366" s="33"/>
      <c r="AJ366" s="33" t="s">
        <v>5339</v>
      </c>
      <c r="AK366" s="94"/>
      <c r="AL366" s="33" t="s">
        <v>4012</v>
      </c>
      <c r="AM366" s="33" t="s">
        <v>5340</v>
      </c>
      <c r="AN366" s="33" t="s">
        <v>2465</v>
      </c>
      <c r="AO366" s="51" t="s">
        <v>2548</v>
      </c>
      <c r="AP366" s="51" t="s">
        <v>207</v>
      </c>
      <c r="AQ366" s="33"/>
      <c r="AR366" s="54"/>
      <c r="AS366" s="54"/>
      <c r="AT366" s="54"/>
      <c r="AU366" s="54"/>
      <c r="AV366" s="54"/>
      <c r="AW366" s="54"/>
      <c r="AX366" s="54"/>
      <c r="AY366" s="54"/>
      <c r="AZ366" s="54"/>
      <c r="BA366" s="54"/>
      <c r="BB366" s="54"/>
      <c r="BC366" s="54"/>
      <c r="BD366" s="54" t="s">
        <v>2447</v>
      </c>
      <c r="BE366" s="54"/>
      <c r="BF366" s="54"/>
      <c r="BG366" s="54"/>
      <c r="BH366" s="54"/>
      <c r="BI366" s="54"/>
      <c r="BJ366" s="0"/>
      <c r="BK366" s="0"/>
      <c r="BL366" s="0"/>
      <c r="BM366" s="0"/>
      <c r="BN366" s="0"/>
      <c r="BO366" s="0"/>
      <c r="BP366"/>
      <c r="BQ366"/>
      <c r="BR366"/>
      <c r="BS366"/>
      <c r="BT366"/>
      <c r="BU366"/>
      <c r="BV366"/>
      <c r="BW366"/>
      <c r="BX366"/>
      <c r="BY366"/>
      <c r="BZ366"/>
      <c r="CA366"/>
      <c r="CB366"/>
    </row>
    <row r="367" ht="15.0" customHeight="true">
      <c r="A367" s="51" t="s">
        <v>2448</v>
      </c>
      <c r="B367" s="33"/>
      <c r="C367" s="33" t="s">
        <v>5341</v>
      </c>
      <c r="D367" s="33"/>
      <c r="E367" s="33" t="s">
        <v>5342</v>
      </c>
      <c r="F367" s="33"/>
      <c r="G367" s="55" t="s">
        <v>5343</v>
      </c>
      <c r="H367" s="33"/>
      <c r="I367" s="51" t="s">
        <v>5344</v>
      </c>
      <c r="J367" s="33"/>
      <c r="K367" s="51" t="s">
        <v>5345</v>
      </c>
      <c r="L367" s="33" t="s">
        <v>2454</v>
      </c>
      <c r="M367" s="55" t="s">
        <v>2573</v>
      </c>
      <c r="N367" s="55" t="s">
        <v>3976</v>
      </c>
      <c r="O367" s="33" t="s">
        <v>2276</v>
      </c>
      <c r="P367" s="33" t="s">
        <v>2251</v>
      </c>
      <c r="Q367" s="33"/>
      <c r="R367" s="33" t="s">
        <v>2263</v>
      </c>
      <c r="S367" s="56" t="s">
        <v>2277</v>
      </c>
      <c r="T367" s="56"/>
      <c r="U367" s="56"/>
      <c r="V367" s="33" t="s">
        <v>2573</v>
      </c>
      <c r="W367" s="94" t="s">
        <v>2574</v>
      </c>
      <c r="X367" s="94" t="s">
        <v>2474</v>
      </c>
      <c r="Y367" s="51"/>
      <c r="Z367" s="51"/>
      <c r="AA367" s="33" t="s">
        <v>2459</v>
      </c>
      <c r="AB367" s="33" t="s">
        <v>2460</v>
      </c>
      <c r="AC367" s="33" t="s">
        <v>2486</v>
      </c>
      <c r="AD367" s="33" t="s">
        <v>2254</v>
      </c>
      <c r="AE367" s="33"/>
      <c r="AF367" s="33" t="s">
        <v>2267</v>
      </c>
      <c r="AG367" s="33" t="s">
        <v>2461</v>
      </c>
      <c r="AH367" s="33"/>
      <c r="AI367" s="33"/>
      <c r="AJ367" s="33" t="s">
        <v>5346</v>
      </c>
      <c r="AK367" s="94"/>
      <c r="AL367" s="33" t="s">
        <v>5347</v>
      </c>
      <c r="AM367" s="33"/>
      <c r="AN367" s="33" t="s">
        <v>2465</v>
      </c>
      <c r="AO367" s="51" t="s">
        <v>2673</v>
      </c>
      <c r="AP367" s="51" t="s">
        <v>207</v>
      </c>
      <c r="AQ367" s="33"/>
      <c r="AR367" s="54"/>
      <c r="AS367" s="54"/>
      <c r="AT367" s="54"/>
      <c r="AU367" s="54"/>
      <c r="AV367" s="54"/>
      <c r="AW367" s="54"/>
      <c r="AX367" s="54"/>
      <c r="AY367" s="54" t="s">
        <v>2269</v>
      </c>
      <c r="AZ367" s="54"/>
      <c r="BA367" s="54"/>
      <c r="BB367" s="54"/>
      <c r="BC367" s="54"/>
      <c r="BD367" s="54" t="s">
        <v>2447</v>
      </c>
      <c r="BE367" s="54"/>
      <c r="BF367" s="54"/>
      <c r="BG367" s="54"/>
      <c r="BH367" s="54"/>
      <c r="BI367" s="54"/>
      <c r="BJ367" s="0"/>
      <c r="BK367" s="0"/>
      <c r="BL367" s="0"/>
      <c r="BM367" s="0"/>
      <c r="BN367" s="0"/>
      <c r="BO367" s="0"/>
      <c r="BP367"/>
      <c r="BQ367"/>
      <c r="BR367"/>
      <c r="BS367"/>
      <c r="BT367"/>
      <c r="BU367"/>
      <c r="BV367"/>
      <c r="BW367"/>
      <c r="BX367"/>
      <c r="BY367"/>
      <c r="BZ367"/>
      <c r="CA367"/>
      <c r="CB367"/>
    </row>
    <row r="368" ht="15.0" customHeight="true">
      <c r="A368" s="51" t="s">
        <v>2448</v>
      </c>
      <c r="B368" s="33"/>
      <c r="C368" s="33" t="s">
        <v>5348</v>
      </c>
      <c r="D368" s="33"/>
      <c r="E368" s="33" t="s">
        <v>5349</v>
      </c>
      <c r="F368" s="33"/>
      <c r="G368" s="55" t="s">
        <v>5350</v>
      </c>
      <c r="H368" s="33"/>
      <c r="I368" s="51" t="s">
        <v>5351</v>
      </c>
      <c r="J368" s="33"/>
      <c r="K368" s="51" t="s">
        <v>5352</v>
      </c>
      <c r="L368" s="33" t="s">
        <v>2454</v>
      </c>
      <c r="M368" s="55" t="s">
        <v>3306</v>
      </c>
      <c r="N368" s="55" t="s">
        <v>4368</v>
      </c>
      <c r="O368" s="33" t="s">
        <v>2272</v>
      </c>
      <c r="P368" s="33" t="s">
        <v>2251</v>
      </c>
      <c r="Q368" s="33"/>
      <c r="R368" s="33" t="s">
        <v>2263</v>
      </c>
      <c r="S368" s="56" t="s">
        <v>2277</v>
      </c>
      <c r="T368" s="56"/>
      <c r="U368" s="56"/>
      <c r="V368" s="33" t="s">
        <v>2456</v>
      </c>
      <c r="W368" s="94" t="s">
        <v>2457</v>
      </c>
      <c r="X368" s="94" t="s">
        <v>2474</v>
      </c>
      <c r="Y368" s="51"/>
      <c r="Z368" s="51"/>
      <c r="AA368" s="33" t="s">
        <v>2459</v>
      </c>
      <c r="AB368" s="33" t="s">
        <v>2460</v>
      </c>
      <c r="AC368" s="33"/>
      <c r="AD368" s="33" t="s">
        <v>2254</v>
      </c>
      <c r="AE368" s="33"/>
      <c r="AF368" s="33" t="s">
        <v>2267</v>
      </c>
      <c r="AG368" s="33" t="s">
        <v>2461</v>
      </c>
      <c r="AH368" s="33"/>
      <c r="AI368" s="33"/>
      <c r="AJ368" s="33" t="s">
        <v>5353</v>
      </c>
      <c r="AK368" s="94"/>
      <c r="AL368" s="33" t="s">
        <v>4985</v>
      </c>
      <c r="AM368" s="33" t="s">
        <v>5354</v>
      </c>
      <c r="AN368" s="33" t="s">
        <v>2465</v>
      </c>
      <c r="AO368" s="51" t="s">
        <v>2489</v>
      </c>
      <c r="AP368" s="51" t="s">
        <v>207</v>
      </c>
      <c r="AQ368" s="33"/>
      <c r="AR368" s="54"/>
      <c r="AS368" s="54"/>
      <c r="AT368" s="54"/>
      <c r="AU368" s="54"/>
      <c r="AV368" s="54"/>
      <c r="AW368" s="54"/>
      <c r="AX368" s="54"/>
      <c r="AY368" s="54"/>
      <c r="AZ368" s="54"/>
      <c r="BA368" s="54"/>
      <c r="BB368" s="54"/>
      <c r="BC368" s="54"/>
      <c r="BD368" s="54" t="s">
        <v>2447</v>
      </c>
      <c r="BE368" s="54"/>
      <c r="BF368" s="54"/>
      <c r="BG368" s="54"/>
      <c r="BH368" s="54"/>
      <c r="BI368" s="54"/>
      <c r="BJ368" s="0"/>
      <c r="BK368" s="0"/>
      <c r="BL368" s="0"/>
      <c r="BM368" s="0"/>
      <c r="BN368" s="0"/>
      <c r="BO368" s="0"/>
      <c r="BP368"/>
      <c r="BQ368"/>
      <c r="BR368"/>
      <c r="BS368"/>
      <c r="BT368"/>
      <c r="BU368"/>
      <c r="BV368"/>
      <c r="BW368"/>
      <c r="BX368"/>
      <c r="BY368"/>
      <c r="BZ368"/>
      <c r="CA368"/>
      <c r="CB368"/>
    </row>
    <row r="369" ht="15.0" customHeight="true">
      <c r="A369" s="51" t="s">
        <v>2448</v>
      </c>
      <c r="B369" s="33"/>
      <c r="C369" s="33" t="s">
        <v>3867</v>
      </c>
      <c r="D369" s="33"/>
      <c r="E369" s="33" t="s">
        <v>4851</v>
      </c>
      <c r="F369" s="33"/>
      <c r="G369" s="55" t="s">
        <v>5355</v>
      </c>
      <c r="H369" s="33"/>
      <c r="I369" s="51" t="s">
        <v>5356</v>
      </c>
      <c r="J369" s="33"/>
      <c r="K369" s="51" t="s">
        <v>5357</v>
      </c>
      <c r="L369" s="33" t="s">
        <v>2454</v>
      </c>
      <c r="M369" s="55" t="s">
        <v>5358</v>
      </c>
      <c r="N369" s="55" t="s">
        <v>5359</v>
      </c>
      <c r="O369" s="33" t="s">
        <v>2272</v>
      </c>
      <c r="P369" s="33" t="s">
        <v>2251</v>
      </c>
      <c r="Q369" s="33"/>
      <c r="R369" s="33" t="s">
        <v>2263</v>
      </c>
      <c r="S369" s="56" t="s">
        <v>2277</v>
      </c>
      <c r="T369" s="56"/>
      <c r="U369" s="56"/>
      <c r="V369" s="33" t="s">
        <v>2456</v>
      </c>
      <c r="W369" s="94" t="s">
        <v>2457</v>
      </c>
      <c r="X369" s="94" t="s">
        <v>2474</v>
      </c>
      <c r="Y369" s="51"/>
      <c r="Z369" s="51"/>
      <c r="AA369" s="33" t="s">
        <v>2459</v>
      </c>
      <c r="AB369" s="33" t="s">
        <v>2460</v>
      </c>
      <c r="AC369" s="33"/>
      <c r="AD369" s="33" t="s">
        <v>2254</v>
      </c>
      <c r="AE369" s="33"/>
      <c r="AF369" s="33" t="s">
        <v>2267</v>
      </c>
      <c r="AG369" s="33" t="s">
        <v>2461</v>
      </c>
      <c r="AH369" s="33"/>
      <c r="AI369" s="33"/>
      <c r="AJ369" s="33" t="s">
        <v>5360</v>
      </c>
      <c r="AK369" s="94"/>
      <c r="AL369" s="33" t="s">
        <v>5361</v>
      </c>
      <c r="AM369" s="33"/>
      <c r="AN369" s="33" t="s">
        <v>2465</v>
      </c>
      <c r="AO369" s="51" t="s">
        <v>2489</v>
      </c>
      <c r="AP369" s="51" t="s">
        <v>207</v>
      </c>
      <c r="AQ369" s="33"/>
      <c r="AR369" s="54"/>
      <c r="AS369" s="54"/>
      <c r="AT369" s="54"/>
      <c r="AU369" s="54"/>
      <c r="AV369" s="54"/>
      <c r="AW369" s="54"/>
      <c r="AX369" s="54"/>
      <c r="AY369" s="54"/>
      <c r="AZ369" s="54"/>
      <c r="BA369" s="54"/>
      <c r="BB369" s="54"/>
      <c r="BC369" s="54"/>
      <c r="BD369" s="54" t="s">
        <v>2447</v>
      </c>
      <c r="BE369" s="54"/>
      <c r="BF369" s="54"/>
      <c r="BG369" s="54"/>
      <c r="BH369" s="54"/>
      <c r="BI369" s="54"/>
      <c r="BJ369" s="0"/>
      <c r="BK369" s="0"/>
      <c r="BL369" s="0"/>
      <c r="BM369" s="0"/>
      <c r="BN369" s="0"/>
      <c r="BO369" s="0"/>
      <c r="BP369"/>
      <c r="BQ369"/>
      <c r="BR369"/>
      <c r="BS369"/>
      <c r="BT369"/>
      <c r="BU369"/>
      <c r="BV369"/>
      <c r="BW369"/>
      <c r="BX369"/>
      <c r="BY369"/>
      <c r="BZ369"/>
      <c r="CA369"/>
      <c r="CB369"/>
    </row>
    <row r="370" ht="15.0" customHeight="true">
      <c r="A370" s="51" t="s">
        <v>2448</v>
      </c>
      <c r="B370" s="33"/>
      <c r="C370" s="33" t="s">
        <v>5362</v>
      </c>
      <c r="D370" s="33"/>
      <c r="E370" s="33" t="s">
        <v>5363</v>
      </c>
      <c r="F370" s="33"/>
      <c r="G370" s="55" t="s">
        <v>5364</v>
      </c>
      <c r="H370" s="33"/>
      <c r="I370" s="51" t="s">
        <v>5365</v>
      </c>
      <c r="J370" s="33"/>
      <c r="K370" s="51" t="s">
        <v>5366</v>
      </c>
      <c r="L370" s="33" t="s">
        <v>2454</v>
      </c>
      <c r="M370" s="55" t="s">
        <v>5367</v>
      </c>
      <c r="N370" s="55" t="s">
        <v>5368</v>
      </c>
      <c r="O370" s="33" t="s">
        <v>2272</v>
      </c>
      <c r="P370" s="33" t="s">
        <v>2251</v>
      </c>
      <c r="Q370" s="33"/>
      <c r="R370" s="33" t="s">
        <v>2263</v>
      </c>
      <c r="S370" s="56" t="s">
        <v>2277</v>
      </c>
      <c r="T370" s="56"/>
      <c r="U370" s="56"/>
      <c r="V370" s="33" t="s">
        <v>2456</v>
      </c>
      <c r="W370" s="94" t="s">
        <v>2457</v>
      </c>
      <c r="X370" s="94" t="s">
        <v>2458</v>
      </c>
      <c r="Y370" s="51"/>
      <c r="Z370" s="51"/>
      <c r="AA370" s="33" t="s">
        <v>2459</v>
      </c>
      <c r="AB370" s="33" t="s">
        <v>2460</v>
      </c>
      <c r="AC370" s="33"/>
      <c r="AD370" s="33" t="s">
        <v>2254</v>
      </c>
      <c r="AE370" s="33"/>
      <c r="AF370" s="33" t="s">
        <v>2267</v>
      </c>
      <c r="AG370" s="33" t="s">
        <v>2461</v>
      </c>
      <c r="AH370" s="33"/>
      <c r="AI370" s="33"/>
      <c r="AJ370" s="33" t="s">
        <v>5369</v>
      </c>
      <c r="AK370" s="94"/>
      <c r="AL370" s="33" t="s">
        <v>5370</v>
      </c>
      <c r="AM370" s="33"/>
      <c r="AN370" s="33" t="s">
        <v>2465</v>
      </c>
      <c r="AO370" s="51" t="s">
        <v>2538</v>
      </c>
      <c r="AP370" s="51" t="s">
        <v>207</v>
      </c>
      <c r="AQ370" s="33"/>
      <c r="AR370" s="54"/>
      <c r="AS370" s="54"/>
      <c r="AT370" s="54"/>
      <c r="AU370" s="54"/>
      <c r="AV370" s="54"/>
      <c r="AW370" s="54"/>
      <c r="AX370" s="54"/>
      <c r="AY370" s="54"/>
      <c r="AZ370" s="54"/>
      <c r="BA370" s="54"/>
      <c r="BB370" s="54"/>
      <c r="BC370" s="54"/>
      <c r="BD370" s="54" t="s">
        <v>2447</v>
      </c>
      <c r="BE370" s="54"/>
      <c r="BF370" s="54"/>
      <c r="BG370" s="54"/>
      <c r="BH370" s="54"/>
      <c r="BI370" s="54"/>
      <c r="BJ370" s="0"/>
      <c r="BK370" s="0"/>
      <c r="BL370" s="0"/>
      <c r="BM370" s="0"/>
      <c r="BN370" s="0"/>
      <c r="BO370" s="0"/>
      <c r="BP370"/>
      <c r="BQ370"/>
      <c r="BR370"/>
      <c r="BS370"/>
      <c r="BT370"/>
      <c r="BU370"/>
      <c r="BV370"/>
      <c r="BW370"/>
      <c r="BX370"/>
      <c r="BY370"/>
      <c r="BZ370"/>
      <c r="CA370"/>
      <c r="CB370"/>
    </row>
    <row r="371" ht="15.0" customHeight="true">
      <c r="A371" s="51" t="s">
        <v>2448</v>
      </c>
      <c r="B371" s="33"/>
      <c r="C371" s="33" t="s">
        <v>5221</v>
      </c>
      <c r="D371" s="33"/>
      <c r="E371" s="33" t="s">
        <v>5371</v>
      </c>
      <c r="F371" s="33"/>
      <c r="G371" s="55" t="s">
        <v>5372</v>
      </c>
      <c r="H371" s="33"/>
      <c r="I371" s="51" t="s">
        <v>5373</v>
      </c>
      <c r="J371" s="33"/>
      <c r="K371" s="51" t="s">
        <v>5374</v>
      </c>
      <c r="L371" s="33" t="s">
        <v>2454</v>
      </c>
      <c r="M371" s="55" t="s">
        <v>4963</v>
      </c>
      <c r="N371" s="55" t="s">
        <v>4723</v>
      </c>
      <c r="O371" s="33" t="s">
        <v>2272</v>
      </c>
      <c r="P371" s="33" t="s">
        <v>2251</v>
      </c>
      <c r="Q371" s="33"/>
      <c r="R371" s="33" t="s">
        <v>2263</v>
      </c>
      <c r="S371" s="56" t="s">
        <v>2277</v>
      </c>
      <c r="T371" s="56"/>
      <c r="U371" s="56"/>
      <c r="V371" s="33" t="s">
        <v>2456</v>
      </c>
      <c r="W371" s="94" t="s">
        <v>2457</v>
      </c>
      <c r="X371" s="94" t="s">
        <v>2474</v>
      </c>
      <c r="Y371" s="51"/>
      <c r="Z371" s="51"/>
      <c r="AA371" s="33" t="s">
        <v>2459</v>
      </c>
      <c r="AB371" s="33" t="s">
        <v>2460</v>
      </c>
      <c r="AC371" s="33"/>
      <c r="AD371" s="33" t="s">
        <v>2254</v>
      </c>
      <c r="AE371" s="33"/>
      <c r="AF371" s="33" t="s">
        <v>2267</v>
      </c>
      <c r="AG371" s="33" t="s">
        <v>2461</v>
      </c>
      <c r="AH371" s="33"/>
      <c r="AI371" s="33"/>
      <c r="AJ371" s="33" t="s">
        <v>5375</v>
      </c>
      <c r="AK371" s="94"/>
      <c r="AL371" s="33" t="s">
        <v>5376</v>
      </c>
      <c r="AM371" s="33" t="s">
        <v>5377</v>
      </c>
      <c r="AN371" s="33" t="s">
        <v>2465</v>
      </c>
      <c r="AO371" s="51" t="s">
        <v>2489</v>
      </c>
      <c r="AP371" s="51" t="s">
        <v>207</v>
      </c>
      <c r="AQ371" s="33"/>
      <c r="AR371" s="54"/>
      <c r="AS371" s="54"/>
      <c r="AT371" s="54"/>
      <c r="AU371" s="54"/>
      <c r="AV371" s="54"/>
      <c r="AW371" s="54"/>
      <c r="AX371" s="54"/>
      <c r="AY371" s="54"/>
      <c r="AZ371" s="54"/>
      <c r="BA371" s="54"/>
      <c r="BB371" s="54"/>
      <c r="BC371" s="54"/>
      <c r="BD371" s="54" t="s">
        <v>2447</v>
      </c>
      <c r="BE371" s="54"/>
      <c r="BF371" s="54"/>
      <c r="BG371" s="54"/>
      <c r="BH371" s="54"/>
      <c r="BI371" s="54"/>
      <c r="BJ371" s="0"/>
      <c r="BK371" s="0"/>
      <c r="BL371" s="0"/>
      <c r="BM371" s="0"/>
      <c r="BN371" s="0"/>
      <c r="BO371" s="0"/>
      <c r="BP371"/>
      <c r="BQ371"/>
      <c r="BR371"/>
      <c r="BS371"/>
      <c r="BT371"/>
      <c r="BU371"/>
      <c r="BV371"/>
      <c r="BW371"/>
      <c r="BX371"/>
      <c r="BY371"/>
      <c r="BZ371"/>
      <c r="CA371"/>
      <c r="CB371"/>
    </row>
    <row r="372" ht="15.0" customHeight="true">
      <c r="A372" s="51" t="s">
        <v>2448</v>
      </c>
      <c r="B372" s="33"/>
      <c r="C372" s="33" t="s">
        <v>5378</v>
      </c>
      <c r="D372" s="33"/>
      <c r="E372" s="33" t="s">
        <v>5379</v>
      </c>
      <c r="F372" s="33"/>
      <c r="G372" s="55" t="s">
        <v>5380</v>
      </c>
      <c r="H372" s="33"/>
      <c r="I372" s="51" t="s">
        <v>5381</v>
      </c>
      <c r="J372" s="33"/>
      <c r="K372" s="51" t="s">
        <v>5382</v>
      </c>
      <c r="L372" s="33" t="s">
        <v>2454</v>
      </c>
      <c r="M372" s="55" t="s">
        <v>5383</v>
      </c>
      <c r="N372" s="55" t="s">
        <v>5384</v>
      </c>
      <c r="O372" s="33" t="s">
        <v>2272</v>
      </c>
      <c r="P372" s="33" t="s">
        <v>2251</v>
      </c>
      <c r="Q372" s="33"/>
      <c r="R372" s="33" t="s">
        <v>2263</v>
      </c>
      <c r="S372" s="56" t="s">
        <v>2277</v>
      </c>
      <c r="T372" s="56"/>
      <c r="U372" s="56"/>
      <c r="V372" s="33" t="s">
        <v>2456</v>
      </c>
      <c r="W372" s="94" t="s">
        <v>2457</v>
      </c>
      <c r="X372" s="94" t="s">
        <v>2458</v>
      </c>
      <c r="Y372" s="51"/>
      <c r="Z372" s="51"/>
      <c r="AA372" s="33" t="s">
        <v>2459</v>
      </c>
      <c r="AB372" s="33" t="s">
        <v>2460</v>
      </c>
      <c r="AC372" s="33"/>
      <c r="AD372" s="33" t="s">
        <v>2254</v>
      </c>
      <c r="AE372" s="33"/>
      <c r="AF372" s="33" t="s">
        <v>2267</v>
      </c>
      <c r="AG372" s="33" t="s">
        <v>2461</v>
      </c>
      <c r="AH372" s="33"/>
      <c r="AI372" s="33"/>
      <c r="AJ372" s="33" t="s">
        <v>5385</v>
      </c>
      <c r="AK372" s="94"/>
      <c r="AL372" s="33" t="s">
        <v>5386</v>
      </c>
      <c r="AM372" s="33"/>
      <c r="AN372" s="33" t="s">
        <v>2465</v>
      </c>
      <c r="AO372" s="51" t="s">
        <v>2478</v>
      </c>
      <c r="AP372" s="51" t="s">
        <v>207</v>
      </c>
      <c r="AQ372" s="33"/>
      <c r="AR372" s="54"/>
      <c r="AS372" s="54"/>
      <c r="AT372" s="54"/>
      <c r="AU372" s="54"/>
      <c r="AV372" s="54"/>
      <c r="AW372" s="54"/>
      <c r="AX372" s="54"/>
      <c r="AY372" s="54"/>
      <c r="AZ372" s="54"/>
      <c r="BA372" s="54"/>
      <c r="BB372" s="54"/>
      <c r="BC372" s="54"/>
      <c r="BD372" s="54" t="s">
        <v>2447</v>
      </c>
      <c r="BE372" s="54"/>
      <c r="BF372" s="54"/>
      <c r="BG372" s="54"/>
      <c r="BH372" s="54"/>
      <c r="BI372" s="54"/>
      <c r="BJ372" s="0"/>
      <c r="BK372" s="0"/>
      <c r="BL372" s="0"/>
      <c r="BM372" s="0"/>
      <c r="BN372" s="0"/>
      <c r="BO372" s="0"/>
      <c r="BP372"/>
      <c r="BQ372"/>
      <c r="BR372"/>
      <c r="BS372"/>
      <c r="BT372"/>
      <c r="BU372"/>
      <c r="BV372"/>
      <c r="BW372"/>
      <c r="BX372"/>
      <c r="BY372"/>
      <c r="BZ372"/>
      <c r="CA372"/>
      <c r="CB372"/>
    </row>
    <row r="373" ht="15.0" customHeight="true">
      <c r="A373" s="51" t="s">
        <v>2448</v>
      </c>
      <c r="B373" s="33"/>
      <c r="C373" s="33" t="s">
        <v>4348</v>
      </c>
      <c r="D373" s="33"/>
      <c r="E373" s="33" t="s">
        <v>5114</v>
      </c>
      <c r="F373" s="33"/>
      <c r="G373" s="55" t="s">
        <v>2796</v>
      </c>
      <c r="H373" s="33"/>
      <c r="I373" s="51" t="s">
        <v>5387</v>
      </c>
      <c r="J373" s="33"/>
      <c r="K373" s="51" t="s">
        <v>5388</v>
      </c>
      <c r="L373" s="33" t="s">
        <v>2454</v>
      </c>
      <c r="M373" s="55" t="s">
        <v>5389</v>
      </c>
      <c r="N373" s="55" t="s">
        <v>5286</v>
      </c>
      <c r="O373" s="33" t="s">
        <v>2272</v>
      </c>
      <c r="P373" s="33" t="s">
        <v>2251</v>
      </c>
      <c r="Q373" s="33"/>
      <c r="R373" s="33" t="s">
        <v>2263</v>
      </c>
      <c r="S373" s="56" t="s">
        <v>2277</v>
      </c>
      <c r="T373" s="56"/>
      <c r="U373" s="56"/>
      <c r="V373" s="33" t="s">
        <v>2456</v>
      </c>
      <c r="W373" s="94" t="s">
        <v>2457</v>
      </c>
      <c r="X373" s="94" t="s">
        <v>2458</v>
      </c>
      <c r="Y373" s="51"/>
      <c r="Z373" s="51"/>
      <c r="AA373" s="33" t="s">
        <v>2459</v>
      </c>
      <c r="AB373" s="33" t="s">
        <v>2460</v>
      </c>
      <c r="AC373" s="33"/>
      <c r="AD373" s="33" t="s">
        <v>2254</v>
      </c>
      <c r="AE373" s="33"/>
      <c r="AF373" s="33" t="s">
        <v>2267</v>
      </c>
      <c r="AG373" s="33" t="s">
        <v>2461</v>
      </c>
      <c r="AH373" s="33"/>
      <c r="AI373" s="33"/>
      <c r="AJ373" s="33" t="s">
        <v>5390</v>
      </c>
      <c r="AK373" s="94"/>
      <c r="AL373" s="33" t="s">
        <v>5391</v>
      </c>
      <c r="AM373" s="33"/>
      <c r="AN373" s="33" t="s">
        <v>2577</v>
      </c>
      <c r="AO373" s="51" t="s">
        <v>2578</v>
      </c>
      <c r="AP373" s="51" t="s">
        <v>207</v>
      </c>
      <c r="AQ373" s="33"/>
      <c r="AR373" s="54"/>
      <c r="AS373" s="54"/>
      <c r="AT373" s="54"/>
      <c r="AU373" s="54"/>
      <c r="AV373" s="54"/>
      <c r="AW373" s="54"/>
      <c r="AX373" s="54"/>
      <c r="AY373" s="54"/>
      <c r="AZ373" s="54"/>
      <c r="BA373" s="54"/>
      <c r="BB373" s="54"/>
      <c r="BC373" s="54"/>
      <c r="BD373" s="54" t="s">
        <v>2447</v>
      </c>
      <c r="BE373" s="54"/>
      <c r="BF373" s="54"/>
      <c r="BG373" s="54"/>
      <c r="BH373" s="54"/>
      <c r="BI373" s="54"/>
      <c r="BJ373" s="0"/>
      <c r="BK373" s="0"/>
      <c r="BL373" s="0"/>
      <c r="BM373" s="0"/>
      <c r="BN373" s="0"/>
      <c r="BO373" s="0"/>
      <c r="BP373"/>
      <c r="BQ373"/>
      <c r="BR373"/>
      <c r="BS373"/>
      <c r="BT373"/>
      <c r="BU373"/>
      <c r="BV373"/>
      <c r="BW373"/>
      <c r="BX373"/>
      <c r="BY373"/>
      <c r="BZ373"/>
      <c r="CA373"/>
      <c r="CB373"/>
    </row>
    <row r="374" ht="15.0" customHeight="true">
      <c r="A374" s="51" t="s">
        <v>2448</v>
      </c>
      <c r="B374" s="33"/>
      <c r="C374" s="33" t="s">
        <v>4465</v>
      </c>
      <c r="D374" s="33"/>
      <c r="E374" s="33" t="s">
        <v>5392</v>
      </c>
      <c r="F374" s="33"/>
      <c r="G374" s="55" t="s">
        <v>5393</v>
      </c>
      <c r="H374" s="33"/>
      <c r="I374" s="51" t="s">
        <v>5394</v>
      </c>
      <c r="J374" s="33"/>
      <c r="K374" s="51" t="s">
        <v>5395</v>
      </c>
      <c r="L374" s="33" t="s">
        <v>2454</v>
      </c>
      <c r="M374" s="55" t="s">
        <v>3118</v>
      </c>
      <c r="N374" s="55" t="s">
        <v>3118</v>
      </c>
      <c r="O374" s="33" t="s">
        <v>2272</v>
      </c>
      <c r="P374" s="33" t="s">
        <v>2251</v>
      </c>
      <c r="Q374" s="33"/>
      <c r="R374" s="33" t="s">
        <v>2263</v>
      </c>
      <c r="S374" s="56" t="s">
        <v>2277</v>
      </c>
      <c r="T374" s="56"/>
      <c r="U374" s="56"/>
      <c r="V374" s="33" t="s">
        <v>2456</v>
      </c>
      <c r="W374" s="94" t="s">
        <v>2457</v>
      </c>
      <c r="X374" s="94" t="s">
        <v>2474</v>
      </c>
      <c r="Y374" s="51"/>
      <c r="Z374" s="51"/>
      <c r="AA374" s="33" t="s">
        <v>2459</v>
      </c>
      <c r="AB374" s="33" t="s">
        <v>2460</v>
      </c>
      <c r="AC374" s="33"/>
      <c r="AD374" s="33" t="s">
        <v>2254</v>
      </c>
      <c r="AE374" s="33"/>
      <c r="AF374" s="33" t="s">
        <v>2267</v>
      </c>
      <c r="AG374" s="33" t="s">
        <v>2461</v>
      </c>
      <c r="AH374" s="33"/>
      <c r="AI374" s="33"/>
      <c r="AJ374" s="33" t="s">
        <v>5396</v>
      </c>
      <c r="AK374" s="94"/>
      <c r="AL374" s="33" t="s">
        <v>5397</v>
      </c>
      <c r="AM374" s="33"/>
      <c r="AN374" s="33" t="s">
        <v>2465</v>
      </c>
      <c r="AO374" s="51" t="s">
        <v>2489</v>
      </c>
      <c r="AP374" s="51" t="s">
        <v>207</v>
      </c>
      <c r="AQ374" s="33"/>
      <c r="AR374" s="54"/>
      <c r="AS374" s="54"/>
      <c r="AT374" s="54"/>
      <c r="AU374" s="54"/>
      <c r="AV374" s="54"/>
      <c r="AW374" s="54"/>
      <c r="AX374" s="54"/>
      <c r="AY374" s="54"/>
      <c r="AZ374" s="54"/>
      <c r="BA374" s="54"/>
      <c r="BB374" s="54"/>
      <c r="BC374" s="54"/>
      <c r="BD374" s="54" t="s">
        <v>2447</v>
      </c>
      <c r="BE374" s="54"/>
      <c r="BF374" s="54"/>
      <c r="BG374" s="54"/>
      <c r="BH374" s="54"/>
      <c r="BI374" s="54"/>
      <c r="BJ374" s="0"/>
      <c r="BK374" s="0"/>
      <c r="BL374" s="0"/>
      <c r="BM374" s="0"/>
      <c r="BN374" s="0"/>
      <c r="BO374" s="0"/>
      <c r="BP374"/>
      <c r="BQ374"/>
      <c r="BR374"/>
      <c r="BS374"/>
      <c r="BT374"/>
      <c r="BU374"/>
      <c r="BV374"/>
      <c r="BW374"/>
      <c r="BX374"/>
      <c r="BY374"/>
      <c r="BZ374"/>
      <c r="CA374"/>
      <c r="CB374"/>
    </row>
    <row r="375" ht="15.0" customHeight="true">
      <c r="A375" s="51" t="s">
        <v>2448</v>
      </c>
      <c r="B375" s="33"/>
      <c r="C375" s="33" t="s">
        <v>2862</v>
      </c>
      <c r="D375" s="33"/>
      <c r="E375" s="33" t="s">
        <v>5398</v>
      </c>
      <c r="F375" s="33"/>
      <c r="G375" s="55" t="s">
        <v>4562</v>
      </c>
      <c r="H375" s="33"/>
      <c r="I375" s="51" t="s">
        <v>5399</v>
      </c>
      <c r="J375" s="33"/>
      <c r="K375" s="51" t="s">
        <v>5400</v>
      </c>
      <c r="L375" s="33" t="s">
        <v>2484</v>
      </c>
      <c r="M375" s="55" t="s">
        <v>5358</v>
      </c>
      <c r="N375" s="55"/>
      <c r="O375" s="33"/>
      <c r="P375" s="33" t="s">
        <v>2251</v>
      </c>
      <c r="Q375" s="33"/>
      <c r="R375" s="33" t="s">
        <v>2263</v>
      </c>
      <c r="S375" s="56" t="s">
        <v>2277</v>
      </c>
      <c r="T375" s="56"/>
      <c r="U375" s="56"/>
      <c r="V375" s="33" t="s">
        <v>2456</v>
      </c>
      <c r="W375" s="94" t="s">
        <v>2457</v>
      </c>
      <c r="X375" s="94" t="s">
        <v>2474</v>
      </c>
      <c r="Y375" s="51"/>
      <c r="Z375" s="51"/>
      <c r="AA375" s="33" t="s">
        <v>2459</v>
      </c>
      <c r="AB375" s="33" t="s">
        <v>2460</v>
      </c>
      <c r="AC375" s="33" t="s">
        <v>2486</v>
      </c>
      <c r="AD375" s="33" t="s">
        <v>2254</v>
      </c>
      <c r="AE375" s="33"/>
      <c r="AF375" s="33" t="s">
        <v>2267</v>
      </c>
      <c r="AG375" s="33" t="s">
        <v>2461</v>
      </c>
      <c r="AH375" s="33"/>
      <c r="AI375" s="33"/>
      <c r="AJ375" s="33" t="s">
        <v>5401</v>
      </c>
      <c r="AK375" s="94"/>
      <c r="AL375" s="33" t="s">
        <v>5402</v>
      </c>
      <c r="AM375" s="33"/>
      <c r="AN375" s="33" t="s">
        <v>2588</v>
      </c>
      <c r="AO375" s="51" t="s">
        <v>2628</v>
      </c>
      <c r="AP375" s="51" t="s">
        <v>207</v>
      </c>
      <c r="AQ375" s="33"/>
      <c r="AR375" s="54"/>
      <c r="AS375" s="54"/>
      <c r="AT375" s="54"/>
      <c r="AU375" s="54"/>
      <c r="AV375" s="54"/>
      <c r="AW375" s="54"/>
      <c r="AX375" s="54"/>
      <c r="AY375" s="54"/>
      <c r="AZ375" s="54"/>
      <c r="BA375" s="54"/>
      <c r="BB375" s="54"/>
      <c r="BC375" s="54"/>
      <c r="BD375" s="54" t="s">
        <v>2447</v>
      </c>
      <c r="BE375" s="54"/>
      <c r="BF375" s="54"/>
      <c r="BG375" s="54"/>
      <c r="BH375" s="54"/>
      <c r="BI375" s="54"/>
      <c r="BJ375" s="0"/>
      <c r="BK375" s="0"/>
      <c r="BL375" s="0"/>
      <c r="BM375" s="0"/>
      <c r="BN375" s="0"/>
      <c r="BO375" s="0"/>
      <c r="BP375"/>
      <c r="BQ375"/>
      <c r="BR375"/>
      <c r="BS375"/>
      <c r="BT375"/>
      <c r="BU375"/>
      <c r="BV375"/>
      <c r="BW375"/>
      <c r="BX375"/>
      <c r="BY375"/>
      <c r="BZ375"/>
      <c r="CA375"/>
      <c r="CB375"/>
    </row>
    <row r="376" ht="15.0" customHeight="true">
      <c r="A376" s="51" t="s">
        <v>2448</v>
      </c>
      <c r="B376" s="33"/>
      <c r="C376" s="33" t="s">
        <v>5403</v>
      </c>
      <c r="D376" s="33"/>
      <c r="E376" s="33" t="s">
        <v>5404</v>
      </c>
      <c r="F376" s="33"/>
      <c r="G376" s="55" t="s">
        <v>4923</v>
      </c>
      <c r="H376" s="33"/>
      <c r="I376" s="51" t="s">
        <v>5405</v>
      </c>
      <c r="J376" s="33"/>
      <c r="K376" s="51" t="s">
        <v>5406</v>
      </c>
      <c r="L376" s="33" t="s">
        <v>2454</v>
      </c>
      <c r="M376" s="55" t="s">
        <v>3142</v>
      </c>
      <c r="N376" s="55" t="s">
        <v>3837</v>
      </c>
      <c r="O376" s="33" t="s">
        <v>2272</v>
      </c>
      <c r="P376" s="33" t="s">
        <v>2251</v>
      </c>
      <c r="Q376" s="33"/>
      <c r="R376" s="33" t="s">
        <v>2263</v>
      </c>
      <c r="S376" s="56" t="s">
        <v>2277</v>
      </c>
      <c r="T376" s="56"/>
      <c r="U376" s="56"/>
      <c r="V376" s="33" t="s">
        <v>2456</v>
      </c>
      <c r="W376" s="94" t="s">
        <v>2457</v>
      </c>
      <c r="X376" s="94" t="s">
        <v>2474</v>
      </c>
      <c r="Y376" s="51"/>
      <c r="Z376" s="51"/>
      <c r="AA376" s="33" t="s">
        <v>2459</v>
      </c>
      <c r="AB376" s="33" t="s">
        <v>2460</v>
      </c>
      <c r="AC376" s="33"/>
      <c r="AD376" s="33" t="s">
        <v>2254</v>
      </c>
      <c r="AE376" s="33"/>
      <c r="AF376" s="33" t="s">
        <v>2267</v>
      </c>
      <c r="AG376" s="33" t="s">
        <v>2461</v>
      </c>
      <c r="AH376" s="33"/>
      <c r="AI376" s="33"/>
      <c r="AJ376" s="33" t="s">
        <v>5407</v>
      </c>
      <c r="AK376" s="94"/>
      <c r="AL376" s="33" t="s">
        <v>3343</v>
      </c>
      <c r="AM376" s="33"/>
      <c r="AN376" s="33" t="s">
        <v>2588</v>
      </c>
      <c r="AO376" s="51" t="s">
        <v>2911</v>
      </c>
      <c r="AP376" s="51" t="s">
        <v>207</v>
      </c>
      <c r="AQ376" s="33"/>
      <c r="AR376" s="54"/>
      <c r="AS376" s="54"/>
      <c r="AT376" s="54"/>
      <c r="AU376" s="54"/>
      <c r="AV376" s="54"/>
      <c r="AW376" s="54"/>
      <c r="AX376" s="54"/>
      <c r="AY376" s="54"/>
      <c r="AZ376" s="54"/>
      <c r="BA376" s="54"/>
      <c r="BB376" s="54"/>
      <c r="BC376" s="54"/>
      <c r="BD376" s="54" t="s">
        <v>2447</v>
      </c>
      <c r="BE376" s="54"/>
      <c r="BF376" s="54"/>
      <c r="BG376" s="54"/>
      <c r="BH376" s="54"/>
      <c r="BI376" s="54"/>
      <c r="BJ376" s="0"/>
      <c r="BK376" s="0"/>
      <c r="BL376" s="0"/>
      <c r="BM376" s="0"/>
      <c r="BN376" s="0"/>
      <c r="BO376" s="0"/>
      <c r="BP376"/>
      <c r="BQ376"/>
      <c r="BR376"/>
      <c r="BS376"/>
      <c r="BT376"/>
      <c r="BU376"/>
      <c r="BV376"/>
      <c r="BW376"/>
      <c r="BX376"/>
      <c r="BY376"/>
      <c r="BZ376"/>
      <c r="CA376"/>
      <c r="CB376"/>
    </row>
    <row r="377" ht="15.0" customHeight="true">
      <c r="A377" s="51" t="s">
        <v>2448</v>
      </c>
      <c r="B377" s="33"/>
      <c r="C377" s="33" t="s">
        <v>4005</v>
      </c>
      <c r="D377" s="33"/>
      <c r="E377" s="33" t="s">
        <v>5408</v>
      </c>
      <c r="F377" s="33"/>
      <c r="G377" s="55" t="s">
        <v>5409</v>
      </c>
      <c r="H377" s="33"/>
      <c r="I377" s="51" t="s">
        <v>5410</v>
      </c>
      <c r="J377" s="33"/>
      <c r="K377" s="51" t="s">
        <v>5411</v>
      </c>
      <c r="L377" s="33" t="s">
        <v>2454</v>
      </c>
      <c r="M377" s="55" t="s">
        <v>3828</v>
      </c>
      <c r="N377" s="55" t="s">
        <v>3552</v>
      </c>
      <c r="O377" s="33" t="s">
        <v>2272</v>
      </c>
      <c r="P377" s="33" t="s">
        <v>2251</v>
      </c>
      <c r="Q377" s="33"/>
      <c r="R377" s="33" t="s">
        <v>2263</v>
      </c>
      <c r="S377" s="56" t="s">
        <v>2277</v>
      </c>
      <c r="T377" s="56"/>
      <c r="U377" s="56"/>
      <c r="V377" s="33" t="s">
        <v>2456</v>
      </c>
      <c r="W377" s="94" t="s">
        <v>2457</v>
      </c>
      <c r="X377" s="94" t="s">
        <v>2474</v>
      </c>
      <c r="Y377" s="51"/>
      <c r="Z377" s="51"/>
      <c r="AA377" s="33" t="s">
        <v>2459</v>
      </c>
      <c r="AB377" s="33" t="s">
        <v>2460</v>
      </c>
      <c r="AC377" s="33"/>
      <c r="AD377" s="33" t="s">
        <v>2254</v>
      </c>
      <c r="AE377" s="33"/>
      <c r="AF377" s="33" t="s">
        <v>2267</v>
      </c>
      <c r="AG377" s="33" t="s">
        <v>2461</v>
      </c>
      <c r="AH377" s="33"/>
      <c r="AI377" s="33"/>
      <c r="AJ377" s="33" t="s">
        <v>5412</v>
      </c>
      <c r="AK377" s="94"/>
      <c r="AL377" s="33" t="s">
        <v>5413</v>
      </c>
      <c r="AM377" s="33"/>
      <c r="AN377" s="33" t="s">
        <v>2465</v>
      </c>
      <c r="AO377" s="51" t="s">
        <v>2489</v>
      </c>
      <c r="AP377" s="51" t="s">
        <v>207</v>
      </c>
      <c r="AQ377" s="33"/>
      <c r="AR377" s="54"/>
      <c r="AS377" s="54"/>
      <c r="AT377" s="54"/>
      <c r="AU377" s="54"/>
      <c r="AV377" s="54"/>
      <c r="AW377" s="54"/>
      <c r="AX377" s="54"/>
      <c r="AY377" s="54"/>
      <c r="AZ377" s="54"/>
      <c r="BA377" s="54"/>
      <c r="BB377" s="54"/>
      <c r="BC377" s="54"/>
      <c r="BD377" s="54" t="s">
        <v>2447</v>
      </c>
      <c r="BE377" s="54"/>
      <c r="BF377" s="54"/>
      <c r="BG377" s="54"/>
      <c r="BH377" s="54"/>
      <c r="BI377" s="54"/>
      <c r="BJ377" s="0"/>
      <c r="BK377" s="0"/>
      <c r="BL377" s="0"/>
      <c r="BM377" s="0"/>
      <c r="BN377" s="0"/>
      <c r="BO377" s="0"/>
      <c r="BP377"/>
      <c r="BQ377"/>
      <c r="BR377"/>
      <c r="BS377"/>
      <c r="BT377"/>
      <c r="BU377"/>
      <c r="BV377"/>
      <c r="BW377"/>
      <c r="BX377"/>
      <c r="BY377"/>
      <c r="BZ377"/>
      <c r="CA377"/>
      <c r="CB377"/>
    </row>
    <row r="378" ht="15.0" customHeight="true">
      <c r="A378" s="51" t="s">
        <v>2448</v>
      </c>
      <c r="B378" s="33"/>
      <c r="C378" s="33" t="s">
        <v>5414</v>
      </c>
      <c r="D378" s="33"/>
      <c r="E378" s="33" t="s">
        <v>4778</v>
      </c>
      <c r="F378" s="33"/>
      <c r="G378" s="55" t="s">
        <v>5415</v>
      </c>
      <c r="H378" s="33"/>
      <c r="I378" s="51" t="s">
        <v>5416</v>
      </c>
      <c r="J378" s="33"/>
      <c r="K378" s="51" t="s">
        <v>5417</v>
      </c>
      <c r="L378" s="33" t="s">
        <v>2454</v>
      </c>
      <c r="M378" s="55" t="s">
        <v>4745</v>
      </c>
      <c r="N378" s="55" t="s">
        <v>4745</v>
      </c>
      <c r="O378" s="33" t="s">
        <v>2272</v>
      </c>
      <c r="P378" s="33" t="s">
        <v>2251</v>
      </c>
      <c r="Q378" s="33"/>
      <c r="R378" s="33" t="s">
        <v>2263</v>
      </c>
      <c r="S378" s="56" t="s">
        <v>2277</v>
      </c>
      <c r="T378" s="56"/>
      <c r="U378" s="56"/>
      <c r="V378" s="33" t="s">
        <v>2456</v>
      </c>
      <c r="W378" s="94" t="s">
        <v>2457</v>
      </c>
      <c r="X378" s="94" t="s">
        <v>2474</v>
      </c>
      <c r="Y378" s="51"/>
      <c r="Z378" s="51"/>
      <c r="AA378" s="33" t="s">
        <v>2459</v>
      </c>
      <c r="AB378" s="33" t="s">
        <v>2460</v>
      </c>
      <c r="AC378" s="33"/>
      <c r="AD378" s="33" t="s">
        <v>2254</v>
      </c>
      <c r="AE378" s="33"/>
      <c r="AF378" s="33" t="s">
        <v>2267</v>
      </c>
      <c r="AG378" s="33" t="s">
        <v>2461</v>
      </c>
      <c r="AH378" s="33"/>
      <c r="AI378" s="33"/>
      <c r="AJ378" s="33" t="s">
        <v>5418</v>
      </c>
      <c r="AK378" s="94"/>
      <c r="AL378" s="33" t="s">
        <v>5419</v>
      </c>
      <c r="AM378" s="33"/>
      <c r="AN378" s="33" t="s">
        <v>2465</v>
      </c>
      <c r="AO378" s="51" t="s">
        <v>2489</v>
      </c>
      <c r="AP378" s="51" t="s">
        <v>207</v>
      </c>
      <c r="AQ378" s="33"/>
      <c r="AR378" s="54"/>
      <c r="AS378" s="54"/>
      <c r="AT378" s="54"/>
      <c r="AU378" s="54"/>
      <c r="AV378" s="54"/>
      <c r="AW378" s="54"/>
      <c r="AX378" s="54"/>
      <c r="AY378" s="54"/>
      <c r="AZ378" s="54"/>
      <c r="BA378" s="54"/>
      <c r="BB378" s="54"/>
      <c r="BC378" s="54"/>
      <c r="BD378" s="54" t="s">
        <v>2447</v>
      </c>
      <c r="BE378" s="54"/>
      <c r="BF378" s="54"/>
      <c r="BG378" s="54"/>
      <c r="BH378" s="54"/>
      <c r="BI378" s="54"/>
      <c r="BJ378" s="0"/>
      <c r="BK378" s="0"/>
      <c r="BL378" s="0"/>
      <c r="BM378" s="0"/>
      <c r="BN378" s="0"/>
      <c r="BO378" s="0"/>
      <c r="BP378"/>
      <c r="BQ378"/>
      <c r="BR378"/>
      <c r="BS378"/>
      <c r="BT378"/>
      <c r="BU378"/>
      <c r="BV378"/>
      <c r="BW378"/>
      <c r="BX378"/>
      <c r="BY378"/>
      <c r="BZ378"/>
      <c r="CA378"/>
      <c r="CB378"/>
    </row>
    <row r="379" ht="15.0" customHeight="true">
      <c r="A379" s="51" t="s">
        <v>2448</v>
      </c>
      <c r="B379" s="33"/>
      <c r="C379" s="33" t="s">
        <v>3875</v>
      </c>
      <c r="D379" s="33"/>
      <c r="E379" s="33" t="s">
        <v>5420</v>
      </c>
      <c r="F379" s="33"/>
      <c r="G379" s="55" t="s">
        <v>5421</v>
      </c>
      <c r="H379" s="33"/>
      <c r="I379" s="51" t="s">
        <v>5422</v>
      </c>
      <c r="J379" s="33"/>
      <c r="K379" s="51" t="s">
        <v>5423</v>
      </c>
      <c r="L379" s="33" t="s">
        <v>2484</v>
      </c>
      <c r="M379" s="55" t="s">
        <v>3452</v>
      </c>
      <c r="N379" s="55"/>
      <c r="O379" s="33"/>
      <c r="P379" s="33" t="s">
        <v>2251</v>
      </c>
      <c r="Q379" s="33"/>
      <c r="R379" s="33" t="s">
        <v>2263</v>
      </c>
      <c r="S379" s="56" t="s">
        <v>2277</v>
      </c>
      <c r="T379" s="56"/>
      <c r="U379" s="56"/>
      <c r="V379" s="33" t="s">
        <v>2456</v>
      </c>
      <c r="W379" s="94" t="s">
        <v>2457</v>
      </c>
      <c r="X379" s="94" t="s">
        <v>2474</v>
      </c>
      <c r="Y379" s="51"/>
      <c r="Z379" s="51"/>
      <c r="AA379" s="33" t="s">
        <v>2459</v>
      </c>
      <c r="AB379" s="33" t="s">
        <v>2460</v>
      </c>
      <c r="AC379" s="33" t="s">
        <v>2486</v>
      </c>
      <c r="AD379" s="33" t="s">
        <v>2254</v>
      </c>
      <c r="AE379" s="33"/>
      <c r="AF379" s="33" t="s">
        <v>2267</v>
      </c>
      <c r="AG379" s="33" t="s">
        <v>2461</v>
      </c>
      <c r="AH379" s="33"/>
      <c r="AI379" s="33"/>
      <c r="AJ379" s="33" t="s">
        <v>5424</v>
      </c>
      <c r="AK379" s="94"/>
      <c r="AL379" s="33" t="s">
        <v>5425</v>
      </c>
      <c r="AM379" s="33" t="s">
        <v>5426</v>
      </c>
      <c r="AN379" s="33" t="s">
        <v>2465</v>
      </c>
      <c r="AO379" s="51" t="s">
        <v>2538</v>
      </c>
      <c r="AP379" s="51" t="s">
        <v>207</v>
      </c>
      <c r="AQ379" s="33"/>
      <c r="AR379" s="54"/>
      <c r="AS379" s="54"/>
      <c r="AT379" s="54"/>
      <c r="AU379" s="54"/>
      <c r="AV379" s="54"/>
      <c r="AW379" s="54"/>
      <c r="AX379" s="54"/>
      <c r="AY379" s="54"/>
      <c r="AZ379" s="54"/>
      <c r="BA379" s="54"/>
      <c r="BB379" s="54"/>
      <c r="BC379" s="54"/>
      <c r="BD379" s="54" t="s">
        <v>2447</v>
      </c>
      <c r="BE379" s="54"/>
      <c r="BF379" s="54"/>
      <c r="BG379" s="54"/>
      <c r="BH379" s="54"/>
      <c r="BI379" s="54"/>
      <c r="BJ379" s="0"/>
      <c r="BK379" s="0"/>
      <c r="BL379" s="0"/>
      <c r="BM379" s="0"/>
      <c r="BN379" s="0"/>
      <c r="BO379" s="0"/>
      <c r="BP379"/>
      <c r="BQ379"/>
      <c r="BR379"/>
      <c r="BS379"/>
      <c r="BT379"/>
      <c r="BU379"/>
      <c r="BV379"/>
      <c r="BW379"/>
      <c r="BX379"/>
      <c r="BY379"/>
      <c r="BZ379"/>
      <c r="CA379"/>
      <c r="CB379"/>
    </row>
    <row r="380" ht="15.0" customHeight="true">
      <c r="A380" s="51" t="s">
        <v>2448</v>
      </c>
      <c r="B380" s="33"/>
      <c r="C380" s="33" t="s">
        <v>3404</v>
      </c>
      <c r="D380" s="33"/>
      <c r="E380" s="33" t="s">
        <v>5427</v>
      </c>
      <c r="F380" s="33"/>
      <c r="G380" s="55" t="s">
        <v>5428</v>
      </c>
      <c r="H380" s="33"/>
      <c r="I380" s="51" t="s">
        <v>5429</v>
      </c>
      <c r="J380" s="33"/>
      <c r="K380" s="51" t="s">
        <v>5430</v>
      </c>
      <c r="L380" s="33" t="s">
        <v>2454</v>
      </c>
      <c r="M380" s="55" t="s">
        <v>3543</v>
      </c>
      <c r="N380" s="55" t="s">
        <v>3001</v>
      </c>
      <c r="O380" s="33" t="s">
        <v>2272</v>
      </c>
      <c r="P380" s="33" t="s">
        <v>2251</v>
      </c>
      <c r="Q380" s="33"/>
      <c r="R380" s="33" t="s">
        <v>2263</v>
      </c>
      <c r="S380" s="56" t="s">
        <v>2277</v>
      </c>
      <c r="T380" s="56"/>
      <c r="U380" s="56"/>
      <c r="V380" s="33" t="s">
        <v>2456</v>
      </c>
      <c r="W380" s="94" t="s">
        <v>2457</v>
      </c>
      <c r="X380" s="94" t="s">
        <v>2474</v>
      </c>
      <c r="Y380" s="51"/>
      <c r="Z380" s="51"/>
      <c r="AA380" s="33" t="s">
        <v>2459</v>
      </c>
      <c r="AB380" s="33" t="s">
        <v>2460</v>
      </c>
      <c r="AC380" s="33"/>
      <c r="AD380" s="33" t="s">
        <v>2254</v>
      </c>
      <c r="AE380" s="33"/>
      <c r="AF380" s="33" t="s">
        <v>2267</v>
      </c>
      <c r="AG380" s="33" t="s">
        <v>2461</v>
      </c>
      <c r="AH380" s="33"/>
      <c r="AI380" s="33"/>
      <c r="AJ380" s="33" t="s">
        <v>5431</v>
      </c>
      <c r="AK380" s="94"/>
      <c r="AL380" s="33" t="s">
        <v>5432</v>
      </c>
      <c r="AM380" s="33"/>
      <c r="AN380" s="33" t="s">
        <v>2588</v>
      </c>
      <c r="AO380" s="51" t="s">
        <v>2628</v>
      </c>
      <c r="AP380" s="51" t="s">
        <v>207</v>
      </c>
      <c r="AQ380" s="33"/>
      <c r="AR380" s="54"/>
      <c r="AS380" s="54"/>
      <c r="AT380" s="54"/>
      <c r="AU380" s="54"/>
      <c r="AV380" s="54"/>
      <c r="AW380" s="54"/>
      <c r="AX380" s="54"/>
      <c r="AY380" s="54"/>
      <c r="AZ380" s="54"/>
      <c r="BA380" s="54"/>
      <c r="BB380" s="54"/>
      <c r="BC380" s="54"/>
      <c r="BD380" s="54" t="s">
        <v>2447</v>
      </c>
      <c r="BE380" s="54"/>
      <c r="BF380" s="54"/>
      <c r="BG380" s="54"/>
      <c r="BH380" s="54"/>
      <c r="BI380" s="54"/>
      <c r="BJ380" s="0"/>
      <c r="BK380" s="0"/>
      <c r="BL380" s="0"/>
      <c r="BM380" s="0"/>
      <c r="BN380" s="0"/>
      <c r="BO380" s="0"/>
      <c r="BP380"/>
      <c r="BQ380"/>
      <c r="BR380"/>
      <c r="BS380"/>
      <c r="BT380"/>
      <c r="BU380"/>
      <c r="BV380"/>
      <c r="BW380"/>
      <c r="BX380"/>
      <c r="BY380"/>
      <c r="BZ380"/>
      <c r="CA380"/>
      <c r="CB380"/>
    </row>
    <row r="381" ht="15.0" customHeight="true">
      <c r="A381" s="51" t="s">
        <v>2448</v>
      </c>
      <c r="B381" s="33"/>
      <c r="C381" s="33" t="s">
        <v>3131</v>
      </c>
      <c r="D381" s="33"/>
      <c r="E381" s="33" t="s">
        <v>5235</v>
      </c>
      <c r="F381" s="33"/>
      <c r="G381" s="55" t="s">
        <v>5433</v>
      </c>
      <c r="H381" s="33"/>
      <c r="I381" s="51" t="s">
        <v>5434</v>
      </c>
      <c r="J381" s="33"/>
      <c r="K381" s="51" t="s">
        <v>5435</v>
      </c>
      <c r="L381" s="33" t="s">
        <v>2454</v>
      </c>
      <c r="M381" s="55" t="s">
        <v>3092</v>
      </c>
      <c r="N381" s="55" t="s">
        <v>5436</v>
      </c>
      <c r="O381" s="33" t="s">
        <v>2272</v>
      </c>
      <c r="P381" s="33" t="s">
        <v>2251</v>
      </c>
      <c r="Q381" s="33"/>
      <c r="R381" s="33" t="s">
        <v>2263</v>
      </c>
      <c r="S381" s="56" t="s">
        <v>2277</v>
      </c>
      <c r="T381" s="56"/>
      <c r="U381" s="56"/>
      <c r="V381" s="33" t="s">
        <v>2456</v>
      </c>
      <c r="W381" s="94" t="s">
        <v>2457</v>
      </c>
      <c r="X381" s="94" t="s">
        <v>2474</v>
      </c>
      <c r="Y381" s="51"/>
      <c r="Z381" s="51"/>
      <c r="AA381" s="33" t="s">
        <v>2459</v>
      </c>
      <c r="AB381" s="33" t="s">
        <v>2460</v>
      </c>
      <c r="AC381" s="33"/>
      <c r="AD381" s="33" t="s">
        <v>2254</v>
      </c>
      <c r="AE381" s="33"/>
      <c r="AF381" s="33" t="s">
        <v>2267</v>
      </c>
      <c r="AG381" s="33" t="s">
        <v>2461</v>
      </c>
      <c r="AH381" s="33"/>
      <c r="AI381" s="33"/>
      <c r="AJ381" s="33" t="s">
        <v>5437</v>
      </c>
      <c r="AK381" s="94"/>
      <c r="AL381" s="33" t="s">
        <v>2463</v>
      </c>
      <c r="AM381" s="33" t="s">
        <v>5438</v>
      </c>
      <c r="AN381" s="33" t="s">
        <v>2465</v>
      </c>
      <c r="AO381" s="51" t="s">
        <v>2466</v>
      </c>
      <c r="AP381" s="51" t="s">
        <v>207</v>
      </c>
      <c r="AQ381" s="33"/>
      <c r="AR381" s="54"/>
      <c r="AS381" s="54"/>
      <c r="AT381" s="54"/>
      <c r="AU381" s="54"/>
      <c r="AV381" s="54"/>
      <c r="AW381" s="54"/>
      <c r="AX381" s="54"/>
      <c r="AY381" s="54"/>
      <c r="AZ381" s="54"/>
      <c r="BA381" s="54"/>
      <c r="BB381" s="54"/>
      <c r="BC381" s="54"/>
      <c r="BD381" s="54" t="s">
        <v>2447</v>
      </c>
      <c r="BE381" s="54"/>
      <c r="BF381" s="54"/>
      <c r="BG381" s="54"/>
      <c r="BH381" s="54"/>
      <c r="BI381" s="54"/>
      <c r="BJ381" s="0"/>
      <c r="BK381" s="0"/>
      <c r="BL381" s="0"/>
      <c r="BM381" s="0"/>
      <c r="BN381" s="0"/>
      <c r="BO381" s="0"/>
      <c r="BP381"/>
      <c r="BQ381"/>
      <c r="BR381"/>
      <c r="BS381"/>
      <c r="BT381"/>
      <c r="BU381"/>
      <c r="BV381"/>
      <c r="BW381"/>
      <c r="BX381"/>
      <c r="BY381"/>
      <c r="BZ381"/>
      <c r="CA381"/>
      <c r="CB381"/>
    </row>
    <row r="382" ht="15.0" customHeight="true">
      <c r="A382" s="51" t="s">
        <v>2448</v>
      </c>
      <c r="B382" s="33"/>
      <c r="C382" s="33" t="s">
        <v>5439</v>
      </c>
      <c r="D382" s="33"/>
      <c r="E382" s="33" t="s">
        <v>5440</v>
      </c>
      <c r="F382" s="33"/>
      <c r="G382" s="55" t="s">
        <v>5441</v>
      </c>
      <c r="H382" s="33"/>
      <c r="I382" s="51" t="s">
        <v>5442</v>
      </c>
      <c r="J382" s="33"/>
      <c r="K382" s="51" t="s">
        <v>5443</v>
      </c>
      <c r="L382" s="33" t="s">
        <v>2484</v>
      </c>
      <c r="M382" s="55" t="s">
        <v>2455</v>
      </c>
      <c r="N382" s="55"/>
      <c r="O382" s="33"/>
      <c r="P382" s="33" t="s">
        <v>2251</v>
      </c>
      <c r="Q382" s="33"/>
      <c r="R382" s="33" t="s">
        <v>2263</v>
      </c>
      <c r="S382" s="56" t="s">
        <v>2277</v>
      </c>
      <c r="T382" s="56"/>
      <c r="U382" s="56"/>
      <c r="V382" s="33" t="s">
        <v>2456</v>
      </c>
      <c r="W382" s="94" t="s">
        <v>2457</v>
      </c>
      <c r="X382" s="94" t="s">
        <v>2474</v>
      </c>
      <c r="Y382" s="51"/>
      <c r="Z382" s="51"/>
      <c r="AA382" s="33" t="s">
        <v>2459</v>
      </c>
      <c r="AB382" s="33" t="s">
        <v>2460</v>
      </c>
      <c r="AC382" s="33" t="s">
        <v>2486</v>
      </c>
      <c r="AD382" s="33" t="s">
        <v>2254</v>
      </c>
      <c r="AE382" s="33"/>
      <c r="AF382" s="33" t="s">
        <v>2267</v>
      </c>
      <c r="AG382" s="33" t="s">
        <v>2461</v>
      </c>
      <c r="AH382" s="33"/>
      <c r="AI382" s="33"/>
      <c r="AJ382" s="33" t="s">
        <v>5444</v>
      </c>
      <c r="AK382" s="94"/>
      <c r="AL382" s="33" t="s">
        <v>5445</v>
      </c>
      <c r="AM382" s="33"/>
      <c r="AN382" s="33" t="s">
        <v>2465</v>
      </c>
      <c r="AO382" s="51" t="s">
        <v>2489</v>
      </c>
      <c r="AP382" s="51" t="s">
        <v>207</v>
      </c>
      <c r="AQ382" s="33"/>
      <c r="AR382" s="54"/>
      <c r="AS382" s="54"/>
      <c r="AT382" s="54"/>
      <c r="AU382" s="54"/>
      <c r="AV382" s="54"/>
      <c r="AW382" s="54"/>
      <c r="AX382" s="54"/>
      <c r="AY382" s="54"/>
      <c r="AZ382" s="54"/>
      <c r="BA382" s="54"/>
      <c r="BB382" s="54"/>
      <c r="BC382" s="54"/>
      <c r="BD382" s="54" t="s">
        <v>2447</v>
      </c>
      <c r="BE382" s="54"/>
      <c r="BF382" s="54"/>
      <c r="BG382" s="54"/>
      <c r="BH382" s="54"/>
      <c r="BI382" s="54"/>
      <c r="BJ382" s="0"/>
      <c r="BK382" s="0"/>
      <c r="BL382" s="0"/>
      <c r="BM382" s="0"/>
      <c r="BN382" s="0"/>
      <c r="BO382" s="0"/>
      <c r="BP382"/>
      <c r="BQ382"/>
      <c r="BR382"/>
      <c r="BS382"/>
      <c r="BT382"/>
      <c r="BU382"/>
      <c r="BV382"/>
      <c r="BW382"/>
      <c r="BX382"/>
      <c r="BY382"/>
      <c r="BZ382"/>
      <c r="CA382"/>
      <c r="CB382"/>
    </row>
    <row r="383" ht="15.0" customHeight="true">
      <c r="A383" s="51" t="s">
        <v>2448</v>
      </c>
      <c r="B383" s="33"/>
      <c r="C383" s="33" t="s">
        <v>5446</v>
      </c>
      <c r="D383" s="33"/>
      <c r="E383" s="33" t="s">
        <v>4903</v>
      </c>
      <c r="F383" s="33"/>
      <c r="G383" s="55" t="s">
        <v>5202</v>
      </c>
      <c r="H383" s="33"/>
      <c r="I383" s="51" t="s">
        <v>5447</v>
      </c>
      <c r="J383" s="33"/>
      <c r="K383" s="51" t="s">
        <v>5448</v>
      </c>
      <c r="L383" s="33" t="s">
        <v>2454</v>
      </c>
      <c r="M383" s="55" t="s">
        <v>4305</v>
      </c>
      <c r="N383" s="55" t="s">
        <v>4305</v>
      </c>
      <c r="O383" s="33" t="s">
        <v>2272</v>
      </c>
      <c r="P383" s="33" t="s">
        <v>2251</v>
      </c>
      <c r="Q383" s="33"/>
      <c r="R383" s="33" t="s">
        <v>2263</v>
      </c>
      <c r="S383" s="56" t="s">
        <v>2277</v>
      </c>
      <c r="T383" s="56"/>
      <c r="U383" s="56"/>
      <c r="V383" s="33" t="s">
        <v>2456</v>
      </c>
      <c r="W383" s="94" t="s">
        <v>2457</v>
      </c>
      <c r="X383" s="94" t="s">
        <v>2458</v>
      </c>
      <c r="Y383" s="51"/>
      <c r="Z383" s="51"/>
      <c r="AA383" s="33" t="s">
        <v>2459</v>
      </c>
      <c r="AB383" s="33" t="s">
        <v>2460</v>
      </c>
      <c r="AC383" s="33"/>
      <c r="AD383" s="33" t="s">
        <v>2254</v>
      </c>
      <c r="AE383" s="33"/>
      <c r="AF383" s="33" t="s">
        <v>2267</v>
      </c>
      <c r="AG383" s="33" t="s">
        <v>2461</v>
      </c>
      <c r="AH383" s="33"/>
      <c r="AI383" s="33"/>
      <c r="AJ383" s="33" t="s">
        <v>5449</v>
      </c>
      <c r="AK383" s="94"/>
      <c r="AL383" s="33" t="s">
        <v>5450</v>
      </c>
      <c r="AM383" s="33"/>
      <c r="AN383" s="33" t="s">
        <v>2465</v>
      </c>
      <c r="AO383" s="51" t="s">
        <v>2489</v>
      </c>
      <c r="AP383" s="51" t="s">
        <v>207</v>
      </c>
      <c r="AQ383" s="33"/>
      <c r="AR383" s="54"/>
      <c r="AS383" s="54"/>
      <c r="AT383" s="54"/>
      <c r="AU383" s="54"/>
      <c r="AV383" s="54"/>
      <c r="AW383" s="54"/>
      <c r="AX383" s="54"/>
      <c r="AY383" s="54"/>
      <c r="AZ383" s="54"/>
      <c r="BA383" s="54"/>
      <c r="BB383" s="54"/>
      <c r="BC383" s="54"/>
      <c r="BD383" s="54" t="s">
        <v>2447</v>
      </c>
      <c r="BE383" s="54"/>
      <c r="BF383" s="54"/>
      <c r="BG383" s="54"/>
      <c r="BH383" s="54"/>
      <c r="BI383" s="54"/>
      <c r="BJ383" s="0"/>
      <c r="BK383" s="0"/>
      <c r="BL383" s="0"/>
      <c r="BM383" s="0"/>
      <c r="BN383" s="0"/>
      <c r="BO383" s="0"/>
      <c r="BP383"/>
      <c r="BQ383"/>
      <c r="BR383"/>
      <c r="BS383"/>
      <c r="BT383"/>
      <c r="BU383"/>
      <c r="BV383"/>
      <c r="BW383"/>
      <c r="BX383"/>
      <c r="BY383"/>
      <c r="BZ383"/>
      <c r="CA383"/>
      <c r="CB383"/>
    </row>
    <row r="384" ht="15.0" customHeight="true">
      <c r="A384" s="51" t="s">
        <v>2448</v>
      </c>
      <c r="B384" s="33"/>
      <c r="C384" s="33" t="s">
        <v>5451</v>
      </c>
      <c r="D384" s="33"/>
      <c r="E384" s="33" t="s">
        <v>5452</v>
      </c>
      <c r="F384" s="33"/>
      <c r="G384" s="55" t="s">
        <v>5453</v>
      </c>
      <c r="H384" s="33"/>
      <c r="I384" s="51" t="s">
        <v>5454</v>
      </c>
      <c r="J384" s="33"/>
      <c r="K384" s="51" t="s">
        <v>5455</v>
      </c>
      <c r="L384" s="33" t="s">
        <v>2454</v>
      </c>
      <c r="M384" s="55" t="s">
        <v>5456</v>
      </c>
      <c r="N384" s="55" t="s">
        <v>3409</v>
      </c>
      <c r="O384" s="33" t="s">
        <v>2272</v>
      </c>
      <c r="P384" s="33" t="s">
        <v>2251</v>
      </c>
      <c r="Q384" s="33"/>
      <c r="R384" s="33" t="s">
        <v>2263</v>
      </c>
      <c r="S384" s="56" t="s">
        <v>2277</v>
      </c>
      <c r="T384" s="56"/>
      <c r="U384" s="56"/>
      <c r="V384" s="33" t="s">
        <v>2456</v>
      </c>
      <c r="W384" s="94" t="s">
        <v>2457</v>
      </c>
      <c r="X384" s="94" t="s">
        <v>2458</v>
      </c>
      <c r="Y384" s="51"/>
      <c r="Z384" s="51"/>
      <c r="AA384" s="33" t="s">
        <v>2459</v>
      </c>
      <c r="AB384" s="33" t="s">
        <v>2460</v>
      </c>
      <c r="AC384" s="33"/>
      <c r="AD384" s="33" t="s">
        <v>2254</v>
      </c>
      <c r="AE384" s="33"/>
      <c r="AF384" s="33" t="s">
        <v>2267</v>
      </c>
      <c r="AG384" s="33" t="s">
        <v>2461</v>
      </c>
      <c r="AH384" s="33"/>
      <c r="AI384" s="33"/>
      <c r="AJ384" s="33" t="s">
        <v>5457</v>
      </c>
      <c r="AK384" s="94"/>
      <c r="AL384" s="33" t="s">
        <v>5458</v>
      </c>
      <c r="AM384" s="33"/>
      <c r="AN384" s="33" t="s">
        <v>5459</v>
      </c>
      <c r="AO384" s="51" t="s">
        <v>5460</v>
      </c>
      <c r="AP384" s="51" t="s">
        <v>178</v>
      </c>
      <c r="AQ384" s="33"/>
      <c r="AR384" s="54"/>
      <c r="AS384" s="54"/>
      <c r="AT384" s="54"/>
      <c r="AU384" s="54"/>
      <c r="AV384" s="54"/>
      <c r="AW384" s="54"/>
      <c r="AX384" s="54"/>
      <c r="AY384" s="54"/>
      <c r="AZ384" s="54"/>
      <c r="BA384" s="54"/>
      <c r="BB384" s="54"/>
      <c r="BC384" s="54"/>
      <c r="BD384" s="54" t="s">
        <v>2447</v>
      </c>
      <c r="BE384" s="54"/>
      <c r="BF384" s="54"/>
      <c r="BG384" s="54"/>
      <c r="BH384" s="54"/>
      <c r="BI384" s="54"/>
      <c r="BJ384" s="0"/>
      <c r="BK384" s="0"/>
      <c r="BL384" s="0"/>
      <c r="BM384" s="0"/>
      <c r="BN384" s="0"/>
      <c r="BO384" s="0"/>
      <c r="BP384"/>
      <c r="BQ384"/>
      <c r="BR384"/>
      <c r="BS384"/>
      <c r="BT384"/>
      <c r="BU384"/>
      <c r="BV384"/>
      <c r="BW384"/>
      <c r="BX384"/>
      <c r="BY384"/>
      <c r="BZ384"/>
      <c r="CA384"/>
      <c r="CB384"/>
    </row>
    <row r="385" ht="15.0" customHeight="true">
      <c r="A385" s="51" t="s">
        <v>2448</v>
      </c>
      <c r="B385" s="33"/>
      <c r="C385" s="33" t="s">
        <v>2579</v>
      </c>
      <c r="D385" s="33"/>
      <c r="E385" s="33" t="s">
        <v>5461</v>
      </c>
      <c r="F385" s="33"/>
      <c r="G385" s="55" t="s">
        <v>5462</v>
      </c>
      <c r="H385" s="33"/>
      <c r="I385" s="51" t="s">
        <v>5463</v>
      </c>
      <c r="J385" s="33"/>
      <c r="K385" s="51" t="s">
        <v>5464</v>
      </c>
      <c r="L385" s="33" t="s">
        <v>2454</v>
      </c>
      <c r="M385" s="55" t="s">
        <v>4589</v>
      </c>
      <c r="N385" s="55" t="s">
        <v>5465</v>
      </c>
      <c r="O385" s="33" t="s">
        <v>2272</v>
      </c>
      <c r="P385" s="33" t="s">
        <v>2251</v>
      </c>
      <c r="Q385" s="33"/>
      <c r="R385" s="33" t="s">
        <v>2263</v>
      </c>
      <c r="S385" s="56" t="s">
        <v>2277</v>
      </c>
      <c r="T385" s="56"/>
      <c r="U385" s="56"/>
      <c r="V385" s="33" t="s">
        <v>2456</v>
      </c>
      <c r="W385" s="94" t="s">
        <v>2457</v>
      </c>
      <c r="X385" s="94" t="s">
        <v>2458</v>
      </c>
      <c r="Y385" s="51"/>
      <c r="Z385" s="51"/>
      <c r="AA385" s="33" t="s">
        <v>2459</v>
      </c>
      <c r="AB385" s="33" t="s">
        <v>2460</v>
      </c>
      <c r="AC385" s="33"/>
      <c r="AD385" s="33" t="s">
        <v>2254</v>
      </c>
      <c r="AE385" s="33"/>
      <c r="AF385" s="33" t="s">
        <v>2267</v>
      </c>
      <c r="AG385" s="33" t="s">
        <v>2461</v>
      </c>
      <c r="AH385" s="33"/>
      <c r="AI385" s="33"/>
      <c r="AJ385" s="33" t="s">
        <v>5466</v>
      </c>
      <c r="AK385" s="94"/>
      <c r="AL385" s="33" t="s">
        <v>5467</v>
      </c>
      <c r="AM385" s="33" t="s">
        <v>5468</v>
      </c>
      <c r="AN385" s="33" t="s">
        <v>2588</v>
      </c>
      <c r="AO385" s="51" t="s">
        <v>2589</v>
      </c>
      <c r="AP385" s="51" t="s">
        <v>207</v>
      </c>
      <c r="AQ385" s="33"/>
      <c r="AR385" s="54"/>
      <c r="AS385" s="54"/>
      <c r="AT385" s="54"/>
      <c r="AU385" s="54"/>
      <c r="AV385" s="54"/>
      <c r="AW385" s="54"/>
      <c r="AX385" s="54"/>
      <c r="AY385" s="54"/>
      <c r="AZ385" s="54"/>
      <c r="BA385" s="54"/>
      <c r="BB385" s="54"/>
      <c r="BC385" s="54"/>
      <c r="BD385" s="54" t="s">
        <v>2447</v>
      </c>
      <c r="BE385" s="54"/>
      <c r="BF385" s="54"/>
      <c r="BG385" s="54"/>
      <c r="BH385" s="54"/>
      <c r="BI385" s="54"/>
      <c r="BJ385" s="0"/>
      <c r="BK385" s="0"/>
      <c r="BL385" s="0"/>
      <c r="BM385" s="0"/>
      <c r="BN385" s="0"/>
      <c r="BO385" s="0"/>
      <c r="BP385"/>
      <c r="BQ385"/>
      <c r="BR385"/>
      <c r="BS385"/>
      <c r="BT385"/>
      <c r="BU385"/>
      <c r="BV385"/>
      <c r="BW385"/>
      <c r="BX385"/>
      <c r="BY385"/>
      <c r="BZ385"/>
      <c r="CA385"/>
      <c r="CB385"/>
    </row>
    <row r="386" ht="15.0" customHeight="true">
      <c r="A386" s="51" t="s">
        <v>2448</v>
      </c>
      <c r="B386" s="33"/>
      <c r="C386" s="33" t="s">
        <v>5469</v>
      </c>
      <c r="D386" s="33"/>
      <c r="E386" s="33" t="s">
        <v>5470</v>
      </c>
      <c r="F386" s="33"/>
      <c r="G386" s="55" t="s">
        <v>5471</v>
      </c>
      <c r="H386" s="33"/>
      <c r="I386" s="51" t="s">
        <v>5472</v>
      </c>
      <c r="J386" s="33"/>
      <c r="K386" s="51" t="s">
        <v>5473</v>
      </c>
      <c r="L386" s="33" t="s">
        <v>2454</v>
      </c>
      <c r="M386" s="55" t="s">
        <v>4992</v>
      </c>
      <c r="N386" s="55" t="s">
        <v>5474</v>
      </c>
      <c r="O386" s="33" t="s">
        <v>2272</v>
      </c>
      <c r="P386" s="33" t="s">
        <v>2251</v>
      </c>
      <c r="Q386" s="33"/>
      <c r="R386" s="33" t="s">
        <v>2263</v>
      </c>
      <c r="S386" s="56" t="s">
        <v>2277</v>
      </c>
      <c r="T386" s="56"/>
      <c r="U386" s="56"/>
      <c r="V386" s="33" t="s">
        <v>2456</v>
      </c>
      <c r="W386" s="94" t="s">
        <v>2457</v>
      </c>
      <c r="X386" s="94" t="s">
        <v>2458</v>
      </c>
      <c r="Y386" s="51"/>
      <c r="Z386" s="51"/>
      <c r="AA386" s="33" t="s">
        <v>2459</v>
      </c>
      <c r="AB386" s="33" t="s">
        <v>2460</v>
      </c>
      <c r="AC386" s="33"/>
      <c r="AD386" s="33" t="s">
        <v>2254</v>
      </c>
      <c r="AE386" s="33"/>
      <c r="AF386" s="33" t="s">
        <v>2267</v>
      </c>
      <c r="AG386" s="33" t="s">
        <v>2461</v>
      </c>
      <c r="AH386" s="33"/>
      <c r="AI386" s="33"/>
      <c r="AJ386" s="33" t="s">
        <v>5475</v>
      </c>
      <c r="AK386" s="94"/>
      <c r="AL386" s="33" t="s">
        <v>3703</v>
      </c>
      <c r="AM386" s="33" t="s">
        <v>5476</v>
      </c>
      <c r="AN386" s="33" t="s">
        <v>2465</v>
      </c>
      <c r="AO386" s="51" t="s">
        <v>2466</v>
      </c>
      <c r="AP386" s="51" t="s">
        <v>207</v>
      </c>
      <c r="AQ386" s="33"/>
      <c r="AR386" s="54"/>
      <c r="AS386" s="54"/>
      <c r="AT386" s="54"/>
      <c r="AU386" s="54"/>
      <c r="AV386" s="54"/>
      <c r="AW386" s="54"/>
      <c r="AX386" s="54"/>
      <c r="AY386" s="54"/>
      <c r="AZ386" s="54"/>
      <c r="BA386" s="54"/>
      <c r="BB386" s="54"/>
      <c r="BC386" s="54"/>
      <c r="BD386" s="54" t="s">
        <v>2447</v>
      </c>
      <c r="BE386" s="54"/>
      <c r="BF386" s="54"/>
      <c r="BG386" s="54"/>
      <c r="BH386" s="54"/>
      <c r="BI386" s="54"/>
      <c r="BJ386" s="0"/>
      <c r="BK386" s="0"/>
      <c r="BL386" s="0"/>
      <c r="BM386" s="0"/>
      <c r="BN386" s="0"/>
      <c r="BO386" s="0"/>
      <c r="BP386"/>
      <c r="BQ386"/>
      <c r="BR386"/>
      <c r="BS386"/>
      <c r="BT386"/>
      <c r="BU386"/>
      <c r="BV386"/>
      <c r="BW386"/>
      <c r="BX386"/>
      <c r="BY386"/>
      <c r="BZ386"/>
      <c r="CA386"/>
      <c r="CB386"/>
    </row>
    <row r="387" ht="15.0" customHeight="true">
      <c r="A387" s="51" t="s">
        <v>2448</v>
      </c>
      <c r="B387" s="33"/>
      <c r="C387" s="33" t="s">
        <v>3775</v>
      </c>
      <c r="D387" s="33"/>
      <c r="E387" s="33" t="s">
        <v>5477</v>
      </c>
      <c r="F387" s="33"/>
      <c r="G387" s="55" t="s">
        <v>4482</v>
      </c>
      <c r="H387" s="33"/>
      <c r="I387" s="51" t="s">
        <v>5478</v>
      </c>
      <c r="J387" s="33"/>
      <c r="K387" s="51" t="s">
        <v>5479</v>
      </c>
      <c r="L387" s="33" t="s">
        <v>2454</v>
      </c>
      <c r="M387" s="55" t="s">
        <v>4846</v>
      </c>
      <c r="N387" s="55" t="s">
        <v>3037</v>
      </c>
      <c r="O387" s="33" t="s">
        <v>2272</v>
      </c>
      <c r="P387" s="33" t="s">
        <v>2251</v>
      </c>
      <c r="Q387" s="33"/>
      <c r="R387" s="33" t="s">
        <v>2263</v>
      </c>
      <c r="S387" s="56" t="s">
        <v>2277</v>
      </c>
      <c r="T387" s="56"/>
      <c r="U387" s="56"/>
      <c r="V387" s="33" t="s">
        <v>2456</v>
      </c>
      <c r="W387" s="94" t="s">
        <v>2457</v>
      </c>
      <c r="X387" s="94" t="s">
        <v>2474</v>
      </c>
      <c r="Y387" s="51"/>
      <c r="Z387" s="51"/>
      <c r="AA387" s="33" t="s">
        <v>2459</v>
      </c>
      <c r="AB387" s="33" t="s">
        <v>2460</v>
      </c>
      <c r="AC387" s="33"/>
      <c r="AD387" s="33" t="s">
        <v>2254</v>
      </c>
      <c r="AE387" s="33"/>
      <c r="AF387" s="33" t="s">
        <v>2267</v>
      </c>
      <c r="AG387" s="33" t="s">
        <v>2461</v>
      </c>
      <c r="AH387" s="33"/>
      <c r="AI387" s="33"/>
      <c r="AJ387" s="33" t="s">
        <v>5480</v>
      </c>
      <c r="AK387" s="94"/>
      <c r="AL387" s="33" t="s">
        <v>5481</v>
      </c>
      <c r="AM387" s="33" t="s">
        <v>5482</v>
      </c>
      <c r="AN387" s="33" t="s">
        <v>2465</v>
      </c>
      <c r="AO387" s="51" t="s">
        <v>2489</v>
      </c>
      <c r="AP387" s="51" t="s">
        <v>207</v>
      </c>
      <c r="AQ387" s="33"/>
      <c r="AR387" s="54"/>
      <c r="AS387" s="54"/>
      <c r="AT387" s="54"/>
      <c r="AU387" s="54"/>
      <c r="AV387" s="54"/>
      <c r="AW387" s="54"/>
      <c r="AX387" s="54"/>
      <c r="AY387" s="54"/>
      <c r="AZ387" s="54"/>
      <c r="BA387" s="54"/>
      <c r="BB387" s="54"/>
      <c r="BC387" s="54"/>
      <c r="BD387" s="54" t="s">
        <v>2447</v>
      </c>
      <c r="BE387" s="54"/>
      <c r="BF387" s="54"/>
      <c r="BG387" s="54"/>
      <c r="BH387" s="54"/>
      <c r="BI387" s="54"/>
      <c r="BJ387" s="0"/>
      <c r="BK387" s="0"/>
      <c r="BL387" s="0"/>
      <c r="BM387" s="0"/>
      <c r="BN387" s="0"/>
      <c r="BO387" s="0"/>
      <c r="BP387"/>
      <c r="BQ387"/>
      <c r="BR387"/>
      <c r="BS387"/>
      <c r="BT387"/>
      <c r="BU387"/>
      <c r="BV387"/>
      <c r="BW387"/>
      <c r="BX387"/>
      <c r="BY387"/>
      <c r="BZ387"/>
      <c r="CA387"/>
      <c r="CB387"/>
    </row>
    <row r="388" ht="15.0" customHeight="true">
      <c r="A388" s="51" t="s">
        <v>2448</v>
      </c>
      <c r="B388" s="33"/>
      <c r="C388" s="33" t="s">
        <v>3555</v>
      </c>
      <c r="D388" s="33"/>
      <c r="E388" s="33" t="s">
        <v>5483</v>
      </c>
      <c r="F388" s="33"/>
      <c r="G388" s="55" t="s">
        <v>5484</v>
      </c>
      <c r="H388" s="33"/>
      <c r="I388" s="51" t="s">
        <v>5485</v>
      </c>
      <c r="J388" s="33"/>
      <c r="K388" s="51" t="s">
        <v>5486</v>
      </c>
      <c r="L388" s="33" t="s">
        <v>2454</v>
      </c>
      <c r="M388" s="55" t="s">
        <v>5487</v>
      </c>
      <c r="N388" s="55" t="s">
        <v>5487</v>
      </c>
      <c r="O388" s="33" t="s">
        <v>2272</v>
      </c>
      <c r="P388" s="33" t="s">
        <v>2251</v>
      </c>
      <c r="Q388" s="33"/>
      <c r="R388" s="33" t="s">
        <v>2263</v>
      </c>
      <c r="S388" s="56" t="s">
        <v>2277</v>
      </c>
      <c r="T388" s="56"/>
      <c r="U388" s="56"/>
      <c r="V388" s="33" t="s">
        <v>2456</v>
      </c>
      <c r="W388" s="94" t="s">
        <v>2457</v>
      </c>
      <c r="X388" s="94" t="s">
        <v>2458</v>
      </c>
      <c r="Y388" s="51"/>
      <c r="Z388" s="51"/>
      <c r="AA388" s="33" t="s">
        <v>2459</v>
      </c>
      <c r="AB388" s="33" t="s">
        <v>2460</v>
      </c>
      <c r="AC388" s="33"/>
      <c r="AD388" s="33" t="s">
        <v>2254</v>
      </c>
      <c r="AE388" s="33"/>
      <c r="AF388" s="33" t="s">
        <v>2267</v>
      </c>
      <c r="AG388" s="33" t="s">
        <v>2461</v>
      </c>
      <c r="AH388" s="33"/>
      <c r="AI388" s="33"/>
      <c r="AJ388" s="33" t="s">
        <v>5488</v>
      </c>
      <c r="AK388" s="94"/>
      <c r="AL388" s="33" t="s">
        <v>5489</v>
      </c>
      <c r="AM388" s="33"/>
      <c r="AN388" s="33" t="s">
        <v>2465</v>
      </c>
      <c r="AO388" s="51" t="s">
        <v>2489</v>
      </c>
      <c r="AP388" s="51" t="s">
        <v>207</v>
      </c>
      <c r="AQ388" s="33"/>
      <c r="AR388" s="54"/>
      <c r="AS388" s="54"/>
      <c r="AT388" s="54"/>
      <c r="AU388" s="54"/>
      <c r="AV388" s="54"/>
      <c r="AW388" s="54"/>
      <c r="AX388" s="54"/>
      <c r="AY388" s="54"/>
      <c r="AZ388" s="54"/>
      <c r="BA388" s="54"/>
      <c r="BB388" s="54"/>
      <c r="BC388" s="54"/>
      <c r="BD388" s="54" t="s">
        <v>2447</v>
      </c>
      <c r="BE388" s="54"/>
      <c r="BF388" s="54"/>
      <c r="BG388" s="54"/>
      <c r="BH388" s="54"/>
      <c r="BI388" s="54"/>
      <c r="BJ388" s="0"/>
      <c r="BK388" s="0"/>
      <c r="BL388" s="0"/>
      <c r="BM388" s="0"/>
      <c r="BN388" s="0"/>
      <c r="BO388" s="0"/>
      <c r="BP388"/>
      <c r="BQ388"/>
      <c r="BR388"/>
      <c r="BS388"/>
      <c r="BT388"/>
      <c r="BU388"/>
      <c r="BV388"/>
      <c r="BW388"/>
      <c r="BX388"/>
      <c r="BY388"/>
      <c r="BZ388"/>
      <c r="CA388"/>
      <c r="CB388"/>
    </row>
    <row r="389" ht="15.0" customHeight="true">
      <c r="A389" s="51" t="s">
        <v>2448</v>
      </c>
      <c r="B389" s="33"/>
      <c r="C389" s="33" t="s">
        <v>5490</v>
      </c>
      <c r="D389" s="33"/>
      <c r="E389" s="33" t="s">
        <v>4710</v>
      </c>
      <c r="F389" s="33"/>
      <c r="G389" s="55" t="s">
        <v>5491</v>
      </c>
      <c r="H389" s="33"/>
      <c r="I389" s="51" t="s">
        <v>5492</v>
      </c>
      <c r="J389" s="33"/>
      <c r="K389" s="51" t="s">
        <v>5493</v>
      </c>
      <c r="L389" s="33" t="s">
        <v>2454</v>
      </c>
      <c r="M389" s="55" t="s">
        <v>3828</v>
      </c>
      <c r="N389" s="55" t="s">
        <v>4392</v>
      </c>
      <c r="O389" s="33" t="s">
        <v>2276</v>
      </c>
      <c r="P389" s="33" t="s">
        <v>2251</v>
      </c>
      <c r="Q389" s="33"/>
      <c r="R389" s="33" t="s">
        <v>2263</v>
      </c>
      <c r="S389" s="56" t="s">
        <v>2277</v>
      </c>
      <c r="T389" s="56"/>
      <c r="U389" s="56"/>
      <c r="V389" s="33" t="s">
        <v>3828</v>
      </c>
      <c r="W389" s="94" t="s">
        <v>2574</v>
      </c>
      <c r="X389" s="94" t="s">
        <v>2474</v>
      </c>
      <c r="Y389" s="51"/>
      <c r="Z389" s="51"/>
      <c r="AA389" s="33" t="s">
        <v>2459</v>
      </c>
      <c r="AB389" s="33" t="s">
        <v>2460</v>
      </c>
      <c r="AC389" s="33" t="s">
        <v>2486</v>
      </c>
      <c r="AD389" s="33" t="s">
        <v>2254</v>
      </c>
      <c r="AE389" s="33"/>
      <c r="AF389" s="33" t="s">
        <v>2267</v>
      </c>
      <c r="AG389" s="33" t="s">
        <v>2461</v>
      </c>
      <c r="AH389" s="33"/>
      <c r="AI389" s="33"/>
      <c r="AJ389" s="33" t="s">
        <v>5494</v>
      </c>
      <c r="AK389" s="94"/>
      <c r="AL389" s="33" t="s">
        <v>5495</v>
      </c>
      <c r="AM389" s="33"/>
      <c r="AN389" s="33" t="s">
        <v>2465</v>
      </c>
      <c r="AO389" s="51" t="s">
        <v>2478</v>
      </c>
      <c r="AP389" s="51" t="s">
        <v>207</v>
      </c>
      <c r="AQ389" s="33"/>
      <c r="AR389" s="54"/>
      <c r="AS389" s="54"/>
      <c r="AT389" s="54"/>
      <c r="AU389" s="54"/>
      <c r="AV389" s="54"/>
      <c r="AW389" s="54"/>
      <c r="AX389" s="54"/>
      <c r="AY389" s="54" t="s">
        <v>2269</v>
      </c>
      <c r="AZ389" s="54"/>
      <c r="BA389" s="54"/>
      <c r="BB389" s="54"/>
      <c r="BC389" s="54"/>
      <c r="BD389" s="54" t="s">
        <v>2447</v>
      </c>
      <c r="BE389" s="54"/>
      <c r="BF389" s="54"/>
      <c r="BG389" s="54"/>
      <c r="BH389" s="54"/>
      <c r="BI389" s="54"/>
      <c r="BJ389" s="0"/>
      <c r="BK389" s="0"/>
      <c r="BL389" s="0"/>
      <c r="BM389" s="0"/>
      <c r="BN389" s="0"/>
      <c r="BO389" s="0"/>
      <c r="BP389"/>
      <c r="BQ389"/>
      <c r="BR389"/>
      <c r="BS389"/>
      <c r="BT389"/>
      <c r="BU389"/>
      <c r="BV389"/>
      <c r="BW389"/>
      <c r="BX389"/>
      <c r="BY389"/>
      <c r="BZ389"/>
      <c r="CA389"/>
      <c r="CB389"/>
    </row>
    <row r="390" ht="15.0" customHeight="true">
      <c r="A390" s="51" t="s">
        <v>2448</v>
      </c>
      <c r="B390" s="33"/>
      <c r="C390" s="33" t="s">
        <v>3918</v>
      </c>
      <c r="D390" s="33"/>
      <c r="E390" s="33" t="s">
        <v>5496</v>
      </c>
      <c r="F390" s="33"/>
      <c r="G390" s="55" t="s">
        <v>5497</v>
      </c>
      <c r="H390" s="33"/>
      <c r="I390" s="51" t="s">
        <v>5498</v>
      </c>
      <c r="J390" s="33"/>
      <c r="K390" s="51" t="s">
        <v>5499</v>
      </c>
      <c r="L390" s="33" t="s">
        <v>2454</v>
      </c>
      <c r="M390" s="55" t="s">
        <v>4889</v>
      </c>
      <c r="N390" s="55" t="s">
        <v>3047</v>
      </c>
      <c r="O390" s="33" t="s">
        <v>2272</v>
      </c>
      <c r="P390" s="33" t="s">
        <v>2251</v>
      </c>
      <c r="Q390" s="33"/>
      <c r="R390" s="33" t="s">
        <v>2263</v>
      </c>
      <c r="S390" s="56" t="s">
        <v>2277</v>
      </c>
      <c r="T390" s="56"/>
      <c r="U390" s="56"/>
      <c r="V390" s="33" t="s">
        <v>2456</v>
      </c>
      <c r="W390" s="94" t="s">
        <v>2457</v>
      </c>
      <c r="X390" s="94" t="s">
        <v>2458</v>
      </c>
      <c r="Y390" s="51"/>
      <c r="Z390" s="51"/>
      <c r="AA390" s="33" t="s">
        <v>2459</v>
      </c>
      <c r="AB390" s="33" t="s">
        <v>2460</v>
      </c>
      <c r="AC390" s="33"/>
      <c r="AD390" s="33" t="s">
        <v>2254</v>
      </c>
      <c r="AE390" s="33"/>
      <c r="AF390" s="33" t="s">
        <v>2267</v>
      </c>
      <c r="AG390" s="33" t="s">
        <v>2461</v>
      </c>
      <c r="AH390" s="33"/>
      <c r="AI390" s="33"/>
      <c r="AJ390" s="33" t="s">
        <v>5500</v>
      </c>
      <c r="AK390" s="94"/>
      <c r="AL390" s="33" t="s">
        <v>5501</v>
      </c>
      <c r="AM390" s="33" t="s">
        <v>5502</v>
      </c>
      <c r="AN390" s="33" t="s">
        <v>2465</v>
      </c>
      <c r="AO390" s="51" t="s">
        <v>2466</v>
      </c>
      <c r="AP390" s="51" t="s">
        <v>207</v>
      </c>
      <c r="AQ390" s="33"/>
      <c r="AR390" s="54"/>
      <c r="AS390" s="54"/>
      <c r="AT390" s="54"/>
      <c r="AU390" s="54"/>
      <c r="AV390" s="54"/>
      <c r="AW390" s="54"/>
      <c r="AX390" s="54"/>
      <c r="AY390" s="54"/>
      <c r="AZ390" s="54"/>
      <c r="BA390" s="54"/>
      <c r="BB390" s="54"/>
      <c r="BC390" s="54"/>
      <c r="BD390" s="54" t="s">
        <v>2447</v>
      </c>
      <c r="BE390" s="54"/>
      <c r="BF390" s="54"/>
      <c r="BG390" s="54"/>
      <c r="BH390" s="54"/>
      <c r="BI390" s="54"/>
      <c r="BJ390" s="0"/>
      <c r="BK390" s="0"/>
      <c r="BL390" s="0"/>
      <c r="BM390" s="0"/>
      <c r="BN390" s="0"/>
      <c r="BO390" s="0"/>
      <c r="BP390"/>
      <c r="BQ390"/>
      <c r="BR390"/>
      <c r="BS390"/>
      <c r="BT390"/>
      <c r="BU390"/>
      <c r="BV390"/>
      <c r="BW390"/>
      <c r="BX390"/>
      <c r="BY390"/>
      <c r="BZ390"/>
      <c r="CA390"/>
      <c r="CB390"/>
    </row>
    <row r="391" ht="15.0" customHeight="true">
      <c r="A391" s="51" t="s">
        <v>2448</v>
      </c>
      <c r="B391" s="33"/>
      <c r="C391" s="33" t="s">
        <v>5503</v>
      </c>
      <c r="D391" s="33"/>
      <c r="E391" s="33" t="s">
        <v>5504</v>
      </c>
      <c r="F391" s="33"/>
      <c r="G391" s="55" t="s">
        <v>5505</v>
      </c>
      <c r="H391" s="33"/>
      <c r="I391" s="51" t="s">
        <v>5506</v>
      </c>
      <c r="J391" s="33"/>
      <c r="K391" s="51" t="s">
        <v>5507</v>
      </c>
      <c r="L391" s="33" t="s">
        <v>2454</v>
      </c>
      <c r="M391" s="55" t="s">
        <v>4590</v>
      </c>
      <c r="N391" s="55" t="s">
        <v>4590</v>
      </c>
      <c r="O391" s="33" t="s">
        <v>2272</v>
      </c>
      <c r="P391" s="33" t="s">
        <v>2251</v>
      </c>
      <c r="Q391" s="33"/>
      <c r="R391" s="33" t="s">
        <v>2263</v>
      </c>
      <c r="S391" s="56" t="s">
        <v>2277</v>
      </c>
      <c r="T391" s="56"/>
      <c r="U391" s="56"/>
      <c r="V391" s="33" t="s">
        <v>2456</v>
      </c>
      <c r="W391" s="94" t="s">
        <v>2457</v>
      </c>
      <c r="X391" s="94" t="s">
        <v>2458</v>
      </c>
      <c r="Y391" s="51"/>
      <c r="Z391" s="51"/>
      <c r="AA391" s="33" t="s">
        <v>2459</v>
      </c>
      <c r="AB391" s="33" t="s">
        <v>2460</v>
      </c>
      <c r="AC391" s="33"/>
      <c r="AD391" s="33" t="s">
        <v>2254</v>
      </c>
      <c r="AE391" s="33"/>
      <c r="AF391" s="33" t="s">
        <v>2267</v>
      </c>
      <c r="AG391" s="33" t="s">
        <v>2461</v>
      </c>
      <c r="AH391" s="33"/>
      <c r="AI391" s="33"/>
      <c r="AJ391" s="33" t="s">
        <v>5508</v>
      </c>
      <c r="AK391" s="94"/>
      <c r="AL391" s="33" t="s">
        <v>5509</v>
      </c>
      <c r="AM391" s="33"/>
      <c r="AN391" s="33" t="s">
        <v>2465</v>
      </c>
      <c r="AO391" s="51" t="s">
        <v>4150</v>
      </c>
      <c r="AP391" s="51" t="s">
        <v>207</v>
      </c>
      <c r="AQ391" s="33"/>
      <c r="AR391" s="54"/>
      <c r="AS391" s="54"/>
      <c r="AT391" s="54"/>
      <c r="AU391" s="54"/>
      <c r="AV391" s="54"/>
      <c r="AW391" s="54"/>
      <c r="AX391" s="54"/>
      <c r="AY391" s="54"/>
      <c r="AZ391" s="54"/>
      <c r="BA391" s="54"/>
      <c r="BB391" s="54"/>
      <c r="BC391" s="54"/>
      <c r="BD391" s="54" t="s">
        <v>2447</v>
      </c>
      <c r="BE391" s="54"/>
      <c r="BF391" s="54"/>
      <c r="BG391" s="54"/>
      <c r="BH391" s="54"/>
      <c r="BI391" s="54"/>
      <c r="BJ391" s="0"/>
      <c r="BK391" s="0"/>
      <c r="BL391" s="0"/>
      <c r="BM391" s="0"/>
      <c r="BN391" s="0"/>
      <c r="BO391" s="0"/>
      <c r="BP391"/>
      <c r="BQ391"/>
      <c r="BR391"/>
      <c r="BS391"/>
      <c r="BT391"/>
      <c r="BU391"/>
      <c r="BV391"/>
      <c r="BW391"/>
      <c r="BX391"/>
      <c r="BY391"/>
      <c r="BZ391"/>
      <c r="CA391"/>
      <c r="CB391"/>
    </row>
    <row r="392" ht="15.0" customHeight="true">
      <c r="A392" s="51" t="s">
        <v>2448</v>
      </c>
      <c r="B392" s="33"/>
      <c r="C392" s="33" t="s">
        <v>5510</v>
      </c>
      <c r="D392" s="33"/>
      <c r="E392" s="33" t="s">
        <v>5511</v>
      </c>
      <c r="F392" s="33"/>
      <c r="G392" s="55" t="s">
        <v>5512</v>
      </c>
      <c r="H392" s="33"/>
      <c r="I392" s="51" t="s">
        <v>5513</v>
      </c>
      <c r="J392" s="33"/>
      <c r="K392" s="51" t="s">
        <v>5514</v>
      </c>
      <c r="L392" s="33" t="s">
        <v>2484</v>
      </c>
      <c r="M392" s="55" t="s">
        <v>3418</v>
      </c>
      <c r="N392" s="55"/>
      <c r="O392" s="33"/>
      <c r="P392" s="33" t="s">
        <v>2251</v>
      </c>
      <c r="Q392" s="33"/>
      <c r="R392" s="33" t="s">
        <v>2263</v>
      </c>
      <c r="S392" s="56" t="s">
        <v>2277</v>
      </c>
      <c r="T392" s="56"/>
      <c r="U392" s="56"/>
      <c r="V392" s="33" t="s">
        <v>2456</v>
      </c>
      <c r="W392" s="94" t="s">
        <v>2457</v>
      </c>
      <c r="X392" s="94" t="s">
        <v>2474</v>
      </c>
      <c r="Y392" s="51"/>
      <c r="Z392" s="51"/>
      <c r="AA392" s="33" t="s">
        <v>2459</v>
      </c>
      <c r="AB392" s="33" t="s">
        <v>2460</v>
      </c>
      <c r="AC392" s="33" t="s">
        <v>2486</v>
      </c>
      <c r="AD392" s="33" t="s">
        <v>2254</v>
      </c>
      <c r="AE392" s="33"/>
      <c r="AF392" s="33" t="s">
        <v>2267</v>
      </c>
      <c r="AG392" s="33" t="s">
        <v>2461</v>
      </c>
      <c r="AH392" s="33"/>
      <c r="AI392" s="33"/>
      <c r="AJ392" s="33" t="s">
        <v>5515</v>
      </c>
      <c r="AK392" s="94"/>
      <c r="AL392" s="33" t="s">
        <v>5516</v>
      </c>
      <c r="AM392" s="33"/>
      <c r="AN392" s="33" t="s">
        <v>2588</v>
      </c>
      <c r="AO392" s="51" t="s">
        <v>2628</v>
      </c>
      <c r="AP392" s="51" t="s">
        <v>207</v>
      </c>
      <c r="AQ392" s="33"/>
      <c r="AR392" s="54"/>
      <c r="AS392" s="54"/>
      <c r="AT392" s="54"/>
      <c r="AU392" s="54"/>
      <c r="AV392" s="54"/>
      <c r="AW392" s="54"/>
      <c r="AX392" s="54"/>
      <c r="AY392" s="54"/>
      <c r="AZ392" s="54"/>
      <c r="BA392" s="54"/>
      <c r="BB392" s="54"/>
      <c r="BC392" s="54"/>
      <c r="BD392" s="54" t="s">
        <v>2447</v>
      </c>
      <c r="BE392" s="54"/>
      <c r="BF392" s="54"/>
      <c r="BG392" s="54"/>
      <c r="BH392" s="54"/>
      <c r="BI392" s="54"/>
      <c r="BJ392" s="0"/>
      <c r="BK392" s="0"/>
      <c r="BL392" s="0"/>
      <c r="BM392" s="0"/>
      <c r="BN392" s="0"/>
      <c r="BO392" s="0"/>
      <c r="BP392"/>
      <c r="BQ392"/>
      <c r="BR392"/>
      <c r="BS392"/>
      <c r="BT392"/>
      <c r="BU392"/>
      <c r="BV392"/>
      <c r="BW392"/>
      <c r="BX392"/>
      <c r="BY392"/>
      <c r="BZ392"/>
      <c r="CA392"/>
      <c r="CB392"/>
    </row>
    <row r="393" ht="15.0" customHeight="true">
      <c r="A393" s="51" t="s">
        <v>2448</v>
      </c>
      <c r="B393" s="33"/>
      <c r="C393" s="33" t="s">
        <v>4487</v>
      </c>
      <c r="D393" s="33"/>
      <c r="E393" s="33" t="s">
        <v>5517</v>
      </c>
      <c r="F393" s="33"/>
      <c r="G393" s="55" t="s">
        <v>5518</v>
      </c>
      <c r="H393" s="33"/>
      <c r="I393" s="51" t="s">
        <v>5519</v>
      </c>
      <c r="J393" s="33"/>
      <c r="K393" s="51" t="s">
        <v>5520</v>
      </c>
      <c r="L393" s="33" t="s">
        <v>2454</v>
      </c>
      <c r="M393" s="55" t="s">
        <v>3904</v>
      </c>
      <c r="N393" s="55" t="s">
        <v>5521</v>
      </c>
      <c r="O393" s="33" t="s">
        <v>2272</v>
      </c>
      <c r="P393" s="33" t="s">
        <v>2251</v>
      </c>
      <c r="Q393" s="33"/>
      <c r="R393" s="33" t="s">
        <v>2263</v>
      </c>
      <c r="S393" s="56" t="s">
        <v>2277</v>
      </c>
      <c r="T393" s="56"/>
      <c r="U393" s="56"/>
      <c r="V393" s="33" t="s">
        <v>2456</v>
      </c>
      <c r="W393" s="94" t="s">
        <v>2457</v>
      </c>
      <c r="X393" s="94" t="s">
        <v>2458</v>
      </c>
      <c r="Y393" s="51"/>
      <c r="Z393" s="51"/>
      <c r="AA393" s="33" t="s">
        <v>2459</v>
      </c>
      <c r="AB393" s="33" t="s">
        <v>2460</v>
      </c>
      <c r="AC393" s="33"/>
      <c r="AD393" s="33" t="s">
        <v>2254</v>
      </c>
      <c r="AE393" s="33"/>
      <c r="AF393" s="33" t="s">
        <v>2267</v>
      </c>
      <c r="AG393" s="33" t="s">
        <v>2461</v>
      </c>
      <c r="AH393" s="33"/>
      <c r="AI393" s="33"/>
      <c r="AJ393" s="33" t="s">
        <v>5522</v>
      </c>
      <c r="AK393" s="94"/>
      <c r="AL393" s="33" t="s">
        <v>5523</v>
      </c>
      <c r="AM393" s="33"/>
      <c r="AN393" s="33" t="s">
        <v>2465</v>
      </c>
      <c r="AO393" s="51" t="s">
        <v>2548</v>
      </c>
      <c r="AP393" s="51" t="s">
        <v>207</v>
      </c>
      <c r="AQ393" s="33"/>
      <c r="AR393" s="54"/>
      <c r="AS393" s="54"/>
      <c r="AT393" s="54"/>
      <c r="AU393" s="54"/>
      <c r="AV393" s="54"/>
      <c r="AW393" s="54"/>
      <c r="AX393" s="54"/>
      <c r="AY393" s="54"/>
      <c r="AZ393" s="54"/>
      <c r="BA393" s="54"/>
      <c r="BB393" s="54"/>
      <c r="BC393" s="54"/>
      <c r="BD393" s="54" t="s">
        <v>2447</v>
      </c>
      <c r="BE393" s="54"/>
      <c r="BF393" s="54"/>
      <c r="BG393" s="54"/>
      <c r="BH393" s="54"/>
      <c r="BI393" s="54"/>
      <c r="BJ393" s="0"/>
      <c r="BK393" s="0"/>
      <c r="BL393" s="0"/>
      <c r="BM393" s="0"/>
      <c r="BN393" s="0"/>
      <c r="BO393" s="0"/>
      <c r="BP393"/>
      <c r="BQ393"/>
      <c r="BR393"/>
      <c r="BS393"/>
      <c r="BT393"/>
      <c r="BU393"/>
      <c r="BV393"/>
      <c r="BW393"/>
      <c r="BX393"/>
      <c r="BY393"/>
      <c r="BZ393"/>
      <c r="CA393"/>
      <c r="CB393"/>
    </row>
    <row r="394" ht="15.0" customHeight="true">
      <c r="A394" s="51" t="s">
        <v>2448</v>
      </c>
      <c r="B394" s="33"/>
      <c r="C394" s="33" t="s">
        <v>5524</v>
      </c>
      <c r="D394" s="33"/>
      <c r="E394" s="33" t="s">
        <v>5525</v>
      </c>
      <c r="F394" s="33"/>
      <c r="G394" s="55" t="s">
        <v>5526</v>
      </c>
      <c r="H394" s="33"/>
      <c r="I394" s="51" t="s">
        <v>5527</v>
      </c>
      <c r="J394" s="33"/>
      <c r="K394" s="51" t="s">
        <v>5528</v>
      </c>
      <c r="L394" s="33" t="s">
        <v>2454</v>
      </c>
      <c r="M394" s="55" t="s">
        <v>3958</v>
      </c>
      <c r="N394" s="55" t="s">
        <v>4625</v>
      </c>
      <c r="O394" s="33" t="s">
        <v>2272</v>
      </c>
      <c r="P394" s="33" t="s">
        <v>2251</v>
      </c>
      <c r="Q394" s="33"/>
      <c r="R394" s="33" t="s">
        <v>2263</v>
      </c>
      <c r="S394" s="56" t="s">
        <v>2277</v>
      </c>
      <c r="T394" s="56"/>
      <c r="U394" s="56"/>
      <c r="V394" s="33" t="s">
        <v>2456</v>
      </c>
      <c r="W394" s="94" t="s">
        <v>2457</v>
      </c>
      <c r="X394" s="94" t="s">
        <v>2458</v>
      </c>
      <c r="Y394" s="51"/>
      <c r="Z394" s="51"/>
      <c r="AA394" s="33" t="s">
        <v>2459</v>
      </c>
      <c r="AB394" s="33" t="s">
        <v>2460</v>
      </c>
      <c r="AC394" s="33"/>
      <c r="AD394" s="33" t="s">
        <v>2254</v>
      </c>
      <c r="AE394" s="33"/>
      <c r="AF394" s="33" t="s">
        <v>2267</v>
      </c>
      <c r="AG394" s="33" t="s">
        <v>2461</v>
      </c>
      <c r="AH394" s="33"/>
      <c r="AI394" s="33"/>
      <c r="AJ394" s="33" t="s">
        <v>5529</v>
      </c>
      <c r="AK394" s="94"/>
      <c r="AL394" s="33" t="s">
        <v>3584</v>
      </c>
      <c r="AM394" s="33" t="s">
        <v>5530</v>
      </c>
      <c r="AN394" s="33" t="s">
        <v>2588</v>
      </c>
      <c r="AO394" s="51" t="s">
        <v>2628</v>
      </c>
      <c r="AP394" s="51" t="s">
        <v>207</v>
      </c>
      <c r="AQ394" s="33"/>
      <c r="AR394" s="54"/>
      <c r="AS394" s="54"/>
      <c r="AT394" s="54"/>
      <c r="AU394" s="54"/>
      <c r="AV394" s="54"/>
      <c r="AW394" s="54"/>
      <c r="AX394" s="54"/>
      <c r="AY394" s="54"/>
      <c r="AZ394" s="54"/>
      <c r="BA394" s="54"/>
      <c r="BB394" s="54"/>
      <c r="BC394" s="54"/>
      <c r="BD394" s="54" t="s">
        <v>2447</v>
      </c>
      <c r="BE394" s="54"/>
      <c r="BF394" s="54"/>
      <c r="BG394" s="54"/>
      <c r="BH394" s="54"/>
      <c r="BI394" s="54"/>
      <c r="BJ394" s="0"/>
      <c r="BK394" s="0"/>
      <c r="BL394" s="0"/>
      <c r="BM394" s="0"/>
      <c r="BN394" s="0"/>
      <c r="BO394" s="0"/>
      <c r="BP394"/>
      <c r="BQ394"/>
      <c r="BR394"/>
      <c r="BS394"/>
      <c r="BT394"/>
      <c r="BU394"/>
      <c r="BV394"/>
      <c r="BW394"/>
      <c r="BX394"/>
      <c r="BY394"/>
      <c r="BZ394"/>
      <c r="CA394"/>
      <c r="CB394"/>
    </row>
    <row r="395" ht="15.0" customHeight="true">
      <c r="A395" s="51" t="s">
        <v>2448</v>
      </c>
      <c r="B395" s="33"/>
      <c r="C395" s="33" t="s">
        <v>4040</v>
      </c>
      <c r="D395" s="33"/>
      <c r="E395" s="33" t="s">
        <v>5531</v>
      </c>
      <c r="F395" s="33"/>
      <c r="G395" s="55" t="s">
        <v>5532</v>
      </c>
      <c r="H395" s="33"/>
      <c r="I395" s="51" t="s">
        <v>5533</v>
      </c>
      <c r="J395" s="33"/>
      <c r="K395" s="51" t="s">
        <v>5534</v>
      </c>
      <c r="L395" s="33" t="s">
        <v>2454</v>
      </c>
      <c r="M395" s="55" t="s">
        <v>5535</v>
      </c>
      <c r="N395" s="55" t="s">
        <v>5536</v>
      </c>
      <c r="O395" s="33" t="s">
        <v>2272</v>
      </c>
      <c r="P395" s="33" t="s">
        <v>2251</v>
      </c>
      <c r="Q395" s="33"/>
      <c r="R395" s="33" t="s">
        <v>2263</v>
      </c>
      <c r="S395" s="56" t="s">
        <v>2277</v>
      </c>
      <c r="T395" s="56"/>
      <c r="U395" s="56"/>
      <c r="V395" s="33" t="s">
        <v>2456</v>
      </c>
      <c r="W395" s="94" t="s">
        <v>2457</v>
      </c>
      <c r="X395" s="94" t="s">
        <v>2458</v>
      </c>
      <c r="Y395" s="51"/>
      <c r="Z395" s="51"/>
      <c r="AA395" s="33" t="s">
        <v>2459</v>
      </c>
      <c r="AB395" s="33" t="s">
        <v>2460</v>
      </c>
      <c r="AC395" s="33"/>
      <c r="AD395" s="33" t="s">
        <v>2254</v>
      </c>
      <c r="AE395" s="33"/>
      <c r="AF395" s="33" t="s">
        <v>2267</v>
      </c>
      <c r="AG395" s="33" t="s">
        <v>2461</v>
      </c>
      <c r="AH395" s="33"/>
      <c r="AI395" s="33"/>
      <c r="AJ395" s="33" t="s">
        <v>5537</v>
      </c>
      <c r="AK395" s="94"/>
      <c r="AL395" s="33" t="s">
        <v>5538</v>
      </c>
      <c r="AM395" s="33"/>
      <c r="AN395" s="33" t="s">
        <v>2588</v>
      </c>
      <c r="AO395" s="51" t="s">
        <v>2589</v>
      </c>
      <c r="AP395" s="51" t="s">
        <v>207</v>
      </c>
      <c r="AQ395" s="33"/>
      <c r="AR395" s="54"/>
      <c r="AS395" s="54"/>
      <c r="AT395" s="54"/>
      <c r="AU395" s="54"/>
      <c r="AV395" s="54"/>
      <c r="AW395" s="54"/>
      <c r="AX395" s="54"/>
      <c r="AY395" s="54"/>
      <c r="AZ395" s="54"/>
      <c r="BA395" s="54"/>
      <c r="BB395" s="54"/>
      <c r="BC395" s="54"/>
      <c r="BD395" s="54" t="s">
        <v>2447</v>
      </c>
      <c r="BE395" s="54"/>
      <c r="BF395" s="54"/>
      <c r="BG395" s="54"/>
      <c r="BH395" s="54"/>
      <c r="BI395" s="54"/>
      <c r="BJ395" s="0"/>
      <c r="BK395" s="0"/>
      <c r="BL395" s="0"/>
      <c r="BM395" s="0"/>
      <c r="BN395" s="0"/>
      <c r="BO395" s="0"/>
      <c r="BP395"/>
      <c r="BQ395"/>
      <c r="BR395"/>
      <c r="BS395"/>
      <c r="BT395"/>
      <c r="BU395"/>
      <c r="BV395"/>
      <c r="BW395"/>
      <c r="BX395"/>
      <c r="BY395"/>
      <c r="BZ395"/>
      <c r="CA395"/>
      <c r="CB395"/>
    </row>
    <row r="396" ht="15.0" customHeight="true">
      <c r="A396" s="51" t="s">
        <v>2448</v>
      </c>
      <c r="B396" s="33"/>
      <c r="C396" s="33" t="s">
        <v>5539</v>
      </c>
      <c r="D396" s="33"/>
      <c r="E396" s="33" t="s">
        <v>5540</v>
      </c>
      <c r="F396" s="33"/>
      <c r="G396" s="55" t="s">
        <v>5541</v>
      </c>
      <c r="H396" s="33"/>
      <c r="I396" s="51" t="s">
        <v>5542</v>
      </c>
      <c r="J396" s="33"/>
      <c r="K396" s="51" t="s">
        <v>5543</v>
      </c>
      <c r="L396" s="33" t="s">
        <v>2454</v>
      </c>
      <c r="M396" s="55" t="s">
        <v>4963</v>
      </c>
      <c r="N396" s="55" t="s">
        <v>2524</v>
      </c>
      <c r="O396" s="33" t="s">
        <v>2272</v>
      </c>
      <c r="P396" s="33" t="s">
        <v>2251</v>
      </c>
      <c r="Q396" s="33"/>
      <c r="R396" s="33" t="s">
        <v>2263</v>
      </c>
      <c r="S396" s="56" t="s">
        <v>2277</v>
      </c>
      <c r="T396" s="56"/>
      <c r="U396" s="56"/>
      <c r="V396" s="33" t="s">
        <v>2456</v>
      </c>
      <c r="W396" s="94" t="s">
        <v>2457</v>
      </c>
      <c r="X396" s="94" t="s">
        <v>2474</v>
      </c>
      <c r="Y396" s="51"/>
      <c r="Z396" s="51"/>
      <c r="AA396" s="33" t="s">
        <v>2459</v>
      </c>
      <c r="AB396" s="33" t="s">
        <v>2460</v>
      </c>
      <c r="AC396" s="33"/>
      <c r="AD396" s="33" t="s">
        <v>2254</v>
      </c>
      <c r="AE396" s="33"/>
      <c r="AF396" s="33" t="s">
        <v>2267</v>
      </c>
      <c r="AG396" s="33" t="s">
        <v>2461</v>
      </c>
      <c r="AH396" s="33"/>
      <c r="AI396" s="33"/>
      <c r="AJ396" s="33" t="s">
        <v>5544</v>
      </c>
      <c r="AK396" s="94"/>
      <c r="AL396" s="33" t="s">
        <v>5545</v>
      </c>
      <c r="AM396" s="33"/>
      <c r="AN396" s="33" t="s">
        <v>2465</v>
      </c>
      <c r="AO396" s="51" t="s">
        <v>2489</v>
      </c>
      <c r="AP396" s="51" t="s">
        <v>207</v>
      </c>
      <c r="AQ396" s="33"/>
      <c r="AR396" s="54"/>
      <c r="AS396" s="54"/>
      <c r="AT396" s="54"/>
      <c r="AU396" s="54"/>
      <c r="AV396" s="54"/>
      <c r="AW396" s="54"/>
      <c r="AX396" s="54"/>
      <c r="AY396" s="54"/>
      <c r="AZ396" s="54"/>
      <c r="BA396" s="54"/>
      <c r="BB396" s="54"/>
      <c r="BC396" s="54"/>
      <c r="BD396" s="54" t="s">
        <v>2447</v>
      </c>
      <c r="BE396" s="54"/>
      <c r="BF396" s="54"/>
      <c r="BG396" s="54"/>
      <c r="BH396" s="54"/>
      <c r="BI396" s="54"/>
      <c r="BJ396" s="0"/>
      <c r="BK396" s="0"/>
      <c r="BL396" s="0"/>
      <c r="BM396" s="0"/>
      <c r="BN396" s="0"/>
      <c r="BO396" s="0"/>
      <c r="BP396"/>
      <c r="BQ396"/>
      <c r="BR396"/>
      <c r="BS396"/>
      <c r="BT396"/>
      <c r="BU396"/>
      <c r="BV396"/>
      <c r="BW396"/>
      <c r="BX396"/>
      <c r="BY396"/>
      <c r="BZ396"/>
      <c r="CA396"/>
      <c r="CB396"/>
    </row>
    <row r="397" ht="15.0" customHeight="true">
      <c r="A397" s="51" t="s">
        <v>2448</v>
      </c>
      <c r="B397" s="33"/>
      <c r="C397" s="33" t="s">
        <v>5546</v>
      </c>
      <c r="D397" s="33"/>
      <c r="E397" s="33" t="s">
        <v>5547</v>
      </c>
      <c r="F397" s="33"/>
      <c r="G397" s="55" t="s">
        <v>5548</v>
      </c>
      <c r="H397" s="33"/>
      <c r="I397" s="51" t="s">
        <v>5549</v>
      </c>
      <c r="J397" s="33"/>
      <c r="K397" s="51" t="s">
        <v>5550</v>
      </c>
      <c r="L397" s="33" t="s">
        <v>2454</v>
      </c>
      <c r="M397" s="55" t="s">
        <v>3852</v>
      </c>
      <c r="N397" s="55" t="s">
        <v>3852</v>
      </c>
      <c r="O397" s="33" t="s">
        <v>2272</v>
      </c>
      <c r="P397" s="33" t="s">
        <v>2251</v>
      </c>
      <c r="Q397" s="33"/>
      <c r="R397" s="33" t="s">
        <v>2263</v>
      </c>
      <c r="S397" s="56" t="s">
        <v>2277</v>
      </c>
      <c r="T397" s="56"/>
      <c r="U397" s="56"/>
      <c r="V397" s="33" t="s">
        <v>2456</v>
      </c>
      <c r="W397" s="94" t="s">
        <v>2457</v>
      </c>
      <c r="X397" s="94" t="s">
        <v>2474</v>
      </c>
      <c r="Y397" s="51"/>
      <c r="Z397" s="51"/>
      <c r="AA397" s="33" t="s">
        <v>2459</v>
      </c>
      <c r="AB397" s="33" t="s">
        <v>2460</v>
      </c>
      <c r="AC397" s="33"/>
      <c r="AD397" s="33" t="s">
        <v>2254</v>
      </c>
      <c r="AE397" s="33"/>
      <c r="AF397" s="33" t="s">
        <v>2267</v>
      </c>
      <c r="AG397" s="33" t="s">
        <v>2461</v>
      </c>
      <c r="AH397" s="33"/>
      <c r="AI397" s="33"/>
      <c r="AJ397" s="33" t="s">
        <v>5551</v>
      </c>
      <c r="AK397" s="94"/>
      <c r="AL397" s="33" t="s">
        <v>5552</v>
      </c>
      <c r="AM397" s="33"/>
      <c r="AN397" s="33" t="s">
        <v>2465</v>
      </c>
      <c r="AO397" s="51" t="s">
        <v>2489</v>
      </c>
      <c r="AP397" s="51" t="s">
        <v>207</v>
      </c>
      <c r="AQ397" s="33"/>
      <c r="AR397" s="54"/>
      <c r="AS397" s="54"/>
      <c r="AT397" s="54"/>
      <c r="AU397" s="54"/>
      <c r="AV397" s="54"/>
      <c r="AW397" s="54"/>
      <c r="AX397" s="54"/>
      <c r="AY397" s="54"/>
      <c r="AZ397" s="54"/>
      <c r="BA397" s="54"/>
      <c r="BB397" s="54"/>
      <c r="BC397" s="54"/>
      <c r="BD397" s="54" t="s">
        <v>2447</v>
      </c>
      <c r="BE397" s="54"/>
      <c r="BF397" s="54"/>
      <c r="BG397" s="54"/>
      <c r="BH397" s="54"/>
      <c r="BI397" s="54"/>
      <c r="BJ397" s="0"/>
      <c r="BK397" s="0"/>
      <c r="BL397" s="0"/>
      <c r="BM397" s="0"/>
      <c r="BN397" s="0"/>
      <c r="BO397" s="0"/>
      <c r="BP397"/>
      <c r="BQ397"/>
      <c r="BR397"/>
      <c r="BS397"/>
      <c r="BT397"/>
      <c r="BU397"/>
      <c r="BV397"/>
      <c r="BW397"/>
      <c r="BX397"/>
      <c r="BY397"/>
      <c r="BZ397"/>
      <c r="CA397"/>
      <c r="CB397"/>
    </row>
    <row r="398" ht="15.0" customHeight="true">
      <c r="A398" s="51" t="s">
        <v>2448</v>
      </c>
      <c r="B398" s="33"/>
      <c r="C398" s="33" t="s">
        <v>4005</v>
      </c>
      <c r="D398" s="33"/>
      <c r="E398" s="33" t="s">
        <v>5553</v>
      </c>
      <c r="F398" s="33"/>
      <c r="G398" s="55" t="s">
        <v>5554</v>
      </c>
      <c r="H398" s="33"/>
      <c r="I398" s="51" t="s">
        <v>5555</v>
      </c>
      <c r="J398" s="33"/>
      <c r="K398" s="51" t="s">
        <v>5556</v>
      </c>
      <c r="L398" s="33" t="s">
        <v>2484</v>
      </c>
      <c r="M398" s="55" t="s">
        <v>2472</v>
      </c>
      <c r="N398" s="55"/>
      <c r="O398" s="33"/>
      <c r="P398" s="33" t="s">
        <v>2251</v>
      </c>
      <c r="Q398" s="33"/>
      <c r="R398" s="33" t="s">
        <v>2263</v>
      </c>
      <c r="S398" s="56" t="s">
        <v>2277</v>
      </c>
      <c r="T398" s="56"/>
      <c r="U398" s="56"/>
      <c r="V398" s="33" t="s">
        <v>2456</v>
      </c>
      <c r="W398" s="94" t="s">
        <v>2457</v>
      </c>
      <c r="X398" s="94" t="s">
        <v>2474</v>
      </c>
      <c r="Y398" s="51"/>
      <c r="Z398" s="51"/>
      <c r="AA398" s="33" t="s">
        <v>2459</v>
      </c>
      <c r="AB398" s="33" t="s">
        <v>2460</v>
      </c>
      <c r="AC398" s="33" t="s">
        <v>2486</v>
      </c>
      <c r="AD398" s="33" t="s">
        <v>2254</v>
      </c>
      <c r="AE398" s="33"/>
      <c r="AF398" s="33" t="s">
        <v>2267</v>
      </c>
      <c r="AG398" s="33" t="s">
        <v>2461</v>
      </c>
      <c r="AH398" s="33"/>
      <c r="AI398" s="33"/>
      <c r="AJ398" s="33" t="s">
        <v>5557</v>
      </c>
      <c r="AK398" s="94"/>
      <c r="AL398" s="33" t="s">
        <v>5545</v>
      </c>
      <c r="AM398" s="33"/>
      <c r="AN398" s="33" t="s">
        <v>2465</v>
      </c>
      <c r="AO398" s="51" t="s">
        <v>2489</v>
      </c>
      <c r="AP398" s="51" t="s">
        <v>207</v>
      </c>
      <c r="AQ398" s="33"/>
      <c r="AR398" s="54"/>
      <c r="AS398" s="54"/>
      <c r="AT398" s="54"/>
      <c r="AU398" s="54"/>
      <c r="AV398" s="54"/>
      <c r="AW398" s="54"/>
      <c r="AX398" s="54"/>
      <c r="AY398" s="54"/>
      <c r="AZ398" s="54"/>
      <c r="BA398" s="54"/>
      <c r="BB398" s="54"/>
      <c r="BC398" s="54"/>
      <c r="BD398" s="54" t="s">
        <v>2447</v>
      </c>
      <c r="BE398" s="54"/>
      <c r="BF398" s="54"/>
      <c r="BG398" s="54"/>
      <c r="BH398" s="54"/>
      <c r="BI398" s="54"/>
      <c r="BJ398" s="0"/>
      <c r="BK398" s="0"/>
      <c r="BL398" s="0"/>
      <c r="BM398" s="0"/>
      <c r="BN398" s="0"/>
      <c r="BO398" s="0"/>
      <c r="BP398"/>
      <c r="BQ398"/>
      <c r="BR398"/>
      <c r="BS398"/>
      <c r="BT398"/>
      <c r="BU398"/>
      <c r="BV398"/>
      <c r="BW398"/>
      <c r="BX398"/>
      <c r="BY398"/>
      <c r="BZ398"/>
      <c r="CA398"/>
      <c r="CB398"/>
    </row>
    <row r="399" ht="15.0" customHeight="true">
      <c r="A399" s="51" t="s">
        <v>2448</v>
      </c>
      <c r="B399" s="33"/>
      <c r="C399" s="33" t="s">
        <v>3538</v>
      </c>
      <c r="D399" s="33"/>
      <c r="E399" s="33" t="s">
        <v>5558</v>
      </c>
      <c r="F399" s="33"/>
      <c r="G399" s="55" t="s">
        <v>5559</v>
      </c>
      <c r="H399" s="33"/>
      <c r="I399" s="51" t="s">
        <v>5560</v>
      </c>
      <c r="J399" s="33"/>
      <c r="K399" s="51" t="s">
        <v>5561</v>
      </c>
      <c r="L399" s="33" t="s">
        <v>2454</v>
      </c>
      <c r="M399" s="55" t="s">
        <v>5367</v>
      </c>
      <c r="N399" s="55" t="s">
        <v>5562</v>
      </c>
      <c r="O399" s="33" t="s">
        <v>2272</v>
      </c>
      <c r="P399" s="33" t="s">
        <v>2251</v>
      </c>
      <c r="Q399" s="33"/>
      <c r="R399" s="33" t="s">
        <v>2263</v>
      </c>
      <c r="S399" s="56" t="s">
        <v>2277</v>
      </c>
      <c r="T399" s="56"/>
      <c r="U399" s="56"/>
      <c r="V399" s="33" t="s">
        <v>2456</v>
      </c>
      <c r="W399" s="94" t="s">
        <v>2457</v>
      </c>
      <c r="X399" s="94" t="s">
        <v>2458</v>
      </c>
      <c r="Y399" s="51"/>
      <c r="Z399" s="51"/>
      <c r="AA399" s="33" t="s">
        <v>2459</v>
      </c>
      <c r="AB399" s="33" t="s">
        <v>2460</v>
      </c>
      <c r="AC399" s="33"/>
      <c r="AD399" s="33" t="s">
        <v>2254</v>
      </c>
      <c r="AE399" s="33"/>
      <c r="AF399" s="33" t="s">
        <v>2267</v>
      </c>
      <c r="AG399" s="33" t="s">
        <v>2461</v>
      </c>
      <c r="AH399" s="33"/>
      <c r="AI399" s="33"/>
      <c r="AJ399" s="33" t="s">
        <v>5563</v>
      </c>
      <c r="AK399" s="94"/>
      <c r="AL399" s="33" t="s">
        <v>5564</v>
      </c>
      <c r="AM399" s="33"/>
      <c r="AN399" s="33" t="s">
        <v>2588</v>
      </c>
      <c r="AO399" s="51" t="s">
        <v>2628</v>
      </c>
      <c r="AP399" s="51" t="s">
        <v>207</v>
      </c>
      <c r="AQ399" s="33"/>
      <c r="AR399" s="54"/>
      <c r="AS399" s="54"/>
      <c r="AT399" s="54"/>
      <c r="AU399" s="54"/>
      <c r="AV399" s="54"/>
      <c r="AW399" s="54"/>
      <c r="AX399" s="54"/>
      <c r="AY399" s="54"/>
      <c r="AZ399" s="54"/>
      <c r="BA399" s="54"/>
      <c r="BB399" s="54"/>
      <c r="BC399" s="54"/>
      <c r="BD399" s="54" t="s">
        <v>2447</v>
      </c>
      <c r="BE399" s="54"/>
      <c r="BF399" s="54"/>
      <c r="BG399" s="54"/>
      <c r="BH399" s="54"/>
      <c r="BI399" s="54"/>
      <c r="BJ399" s="0"/>
      <c r="BK399" s="0"/>
      <c r="BL399" s="0"/>
      <c r="BM399" s="0"/>
      <c r="BN399" s="0"/>
      <c r="BO399" s="0"/>
      <c r="BP399"/>
      <c r="BQ399"/>
      <c r="BR399"/>
      <c r="BS399"/>
      <c r="BT399"/>
      <c r="BU399"/>
      <c r="BV399"/>
      <c r="BW399"/>
      <c r="BX399"/>
      <c r="BY399"/>
      <c r="BZ399"/>
      <c r="CA399"/>
      <c r="CB399"/>
    </row>
    <row r="400" ht="15.0" customHeight="true">
      <c r="A400" s="51" t="s">
        <v>2448</v>
      </c>
      <c r="B400" s="33"/>
      <c r="C400" s="33" t="s">
        <v>4232</v>
      </c>
      <c r="D400" s="33"/>
      <c r="E400" s="33" t="s">
        <v>5565</v>
      </c>
      <c r="F400" s="33"/>
      <c r="G400" s="55" t="s">
        <v>5566</v>
      </c>
      <c r="H400" s="33"/>
      <c r="I400" s="51" t="s">
        <v>5567</v>
      </c>
      <c r="J400" s="33"/>
      <c r="K400" s="51" t="s">
        <v>5568</v>
      </c>
      <c r="L400" s="33" t="s">
        <v>2454</v>
      </c>
      <c r="M400" s="55" t="s">
        <v>3590</v>
      </c>
      <c r="N400" s="55" t="s">
        <v>5569</v>
      </c>
      <c r="O400" s="33" t="s">
        <v>2272</v>
      </c>
      <c r="P400" s="33" t="s">
        <v>2251</v>
      </c>
      <c r="Q400" s="33"/>
      <c r="R400" s="33" t="s">
        <v>2263</v>
      </c>
      <c r="S400" s="56" t="s">
        <v>2277</v>
      </c>
      <c r="T400" s="56"/>
      <c r="U400" s="56"/>
      <c r="V400" s="33" t="s">
        <v>2456</v>
      </c>
      <c r="W400" s="94" t="s">
        <v>2457</v>
      </c>
      <c r="X400" s="94" t="s">
        <v>2458</v>
      </c>
      <c r="Y400" s="51"/>
      <c r="Z400" s="51"/>
      <c r="AA400" s="33" t="s">
        <v>2459</v>
      </c>
      <c r="AB400" s="33" t="s">
        <v>2460</v>
      </c>
      <c r="AC400" s="33"/>
      <c r="AD400" s="33" t="s">
        <v>2254</v>
      </c>
      <c r="AE400" s="33"/>
      <c r="AF400" s="33" t="s">
        <v>2267</v>
      </c>
      <c r="AG400" s="33" t="s">
        <v>2461</v>
      </c>
      <c r="AH400" s="33"/>
      <c r="AI400" s="33"/>
      <c r="AJ400" s="33" t="s">
        <v>5570</v>
      </c>
      <c r="AK400" s="94"/>
      <c r="AL400" s="33" t="s">
        <v>5571</v>
      </c>
      <c r="AM400" s="33"/>
      <c r="AN400" s="33" t="s">
        <v>2783</v>
      </c>
      <c r="AO400" s="51" t="s">
        <v>5572</v>
      </c>
      <c r="AP400" s="51" t="s">
        <v>207</v>
      </c>
      <c r="AQ400" s="33"/>
      <c r="AR400" s="54"/>
      <c r="AS400" s="54"/>
      <c r="AT400" s="54"/>
      <c r="AU400" s="54"/>
      <c r="AV400" s="54"/>
      <c r="AW400" s="54"/>
      <c r="AX400" s="54"/>
      <c r="AY400" s="54"/>
      <c r="AZ400" s="54"/>
      <c r="BA400" s="54"/>
      <c r="BB400" s="54"/>
      <c r="BC400" s="54"/>
      <c r="BD400" s="54" t="s">
        <v>2447</v>
      </c>
      <c r="BE400" s="54"/>
      <c r="BF400" s="54"/>
      <c r="BG400" s="54"/>
      <c r="BH400" s="54"/>
      <c r="BI400" s="54"/>
      <c r="BJ400" s="0"/>
      <c r="BK400" s="0"/>
      <c r="BL400" s="0"/>
      <c r="BM400" s="0"/>
      <c r="BN400" s="0"/>
      <c r="BO400" s="0"/>
      <c r="BP400"/>
      <c r="BQ400"/>
      <c r="BR400"/>
      <c r="BS400"/>
      <c r="BT400"/>
      <c r="BU400"/>
      <c r="BV400"/>
      <c r="BW400"/>
      <c r="BX400"/>
      <c r="BY400"/>
      <c r="BZ400"/>
      <c r="CA400"/>
      <c r="CB400"/>
    </row>
    <row r="401" ht="15.0" customHeight="true">
      <c r="A401" s="51" t="s">
        <v>2448</v>
      </c>
      <c r="B401" s="33"/>
      <c r="C401" s="33" t="s">
        <v>2529</v>
      </c>
      <c r="D401" s="33"/>
      <c r="E401" s="33" t="s">
        <v>5573</v>
      </c>
      <c r="F401" s="33"/>
      <c r="G401" s="55" t="s">
        <v>5574</v>
      </c>
      <c r="H401" s="33"/>
      <c r="I401" s="51" t="s">
        <v>5575</v>
      </c>
      <c r="J401" s="33"/>
      <c r="K401" s="51" t="s">
        <v>5576</v>
      </c>
      <c r="L401" s="33" t="s">
        <v>2454</v>
      </c>
      <c r="M401" s="55" t="s">
        <v>5577</v>
      </c>
      <c r="N401" s="55" t="s">
        <v>4305</v>
      </c>
      <c r="O401" s="33" t="s">
        <v>2272</v>
      </c>
      <c r="P401" s="33" t="s">
        <v>2251</v>
      </c>
      <c r="Q401" s="33"/>
      <c r="R401" s="33" t="s">
        <v>2263</v>
      </c>
      <c r="S401" s="56" t="s">
        <v>2277</v>
      </c>
      <c r="T401" s="56"/>
      <c r="U401" s="56"/>
      <c r="V401" s="33" t="s">
        <v>2456</v>
      </c>
      <c r="W401" s="94" t="s">
        <v>2457</v>
      </c>
      <c r="X401" s="94" t="s">
        <v>2458</v>
      </c>
      <c r="Y401" s="51"/>
      <c r="Z401" s="51"/>
      <c r="AA401" s="33" t="s">
        <v>2459</v>
      </c>
      <c r="AB401" s="33" t="s">
        <v>2460</v>
      </c>
      <c r="AC401" s="33"/>
      <c r="AD401" s="33" t="s">
        <v>2254</v>
      </c>
      <c r="AE401" s="33"/>
      <c r="AF401" s="33" t="s">
        <v>2267</v>
      </c>
      <c r="AG401" s="33" t="s">
        <v>2461</v>
      </c>
      <c r="AH401" s="33"/>
      <c r="AI401" s="33"/>
      <c r="AJ401" s="33" t="s">
        <v>5578</v>
      </c>
      <c r="AK401" s="94"/>
      <c r="AL401" s="33" t="s">
        <v>3003</v>
      </c>
      <c r="AM401" s="33"/>
      <c r="AN401" s="33" t="s">
        <v>2465</v>
      </c>
      <c r="AO401" s="51" t="s">
        <v>2673</v>
      </c>
      <c r="AP401" s="51" t="s">
        <v>207</v>
      </c>
      <c r="AQ401" s="33"/>
      <c r="AR401" s="54"/>
      <c r="AS401" s="54"/>
      <c r="AT401" s="54"/>
      <c r="AU401" s="54"/>
      <c r="AV401" s="54"/>
      <c r="AW401" s="54"/>
      <c r="AX401" s="54"/>
      <c r="AY401" s="54"/>
      <c r="AZ401" s="54"/>
      <c r="BA401" s="54"/>
      <c r="BB401" s="54"/>
      <c r="BC401" s="54"/>
      <c r="BD401" s="54" t="s">
        <v>2447</v>
      </c>
      <c r="BE401" s="54"/>
      <c r="BF401" s="54"/>
      <c r="BG401" s="54"/>
      <c r="BH401" s="54"/>
      <c r="BI401" s="54"/>
      <c r="BJ401" s="0"/>
      <c r="BK401" s="0"/>
      <c r="BL401" s="0"/>
      <c r="BM401" s="0"/>
      <c r="BN401" s="0"/>
      <c r="BO401" s="0"/>
      <c r="BP401"/>
      <c r="BQ401"/>
      <c r="BR401"/>
      <c r="BS401"/>
      <c r="BT401"/>
      <c r="BU401"/>
      <c r="BV401"/>
      <c r="BW401"/>
      <c r="BX401"/>
      <c r="BY401"/>
      <c r="BZ401"/>
      <c r="CA401"/>
      <c r="CB401"/>
    </row>
    <row r="402" ht="15.0" customHeight="true">
      <c r="A402" s="51" t="s">
        <v>2448</v>
      </c>
      <c r="B402" s="33"/>
      <c r="C402" s="33" t="s">
        <v>5579</v>
      </c>
      <c r="D402" s="33"/>
      <c r="E402" s="33" t="s">
        <v>5580</v>
      </c>
      <c r="F402" s="33"/>
      <c r="G402" s="55" t="s">
        <v>5581</v>
      </c>
      <c r="H402" s="33"/>
      <c r="I402" s="51" t="s">
        <v>5582</v>
      </c>
      <c r="J402" s="33"/>
      <c r="K402" s="51" t="s">
        <v>5583</v>
      </c>
      <c r="L402" s="33" t="s">
        <v>2454</v>
      </c>
      <c r="M402" s="55" t="s">
        <v>2917</v>
      </c>
      <c r="N402" s="55" t="s">
        <v>3543</v>
      </c>
      <c r="O402" s="33" t="s">
        <v>2272</v>
      </c>
      <c r="P402" s="33" t="s">
        <v>2251</v>
      </c>
      <c r="Q402" s="33"/>
      <c r="R402" s="33" t="s">
        <v>2263</v>
      </c>
      <c r="S402" s="56" t="s">
        <v>2277</v>
      </c>
      <c r="T402" s="56"/>
      <c r="U402" s="56"/>
      <c r="V402" s="33" t="s">
        <v>2456</v>
      </c>
      <c r="W402" s="94" t="s">
        <v>2457</v>
      </c>
      <c r="X402" s="94" t="s">
        <v>2474</v>
      </c>
      <c r="Y402" s="51"/>
      <c r="Z402" s="51"/>
      <c r="AA402" s="33" t="s">
        <v>2459</v>
      </c>
      <c r="AB402" s="33" t="s">
        <v>2460</v>
      </c>
      <c r="AC402" s="33"/>
      <c r="AD402" s="33" t="s">
        <v>2254</v>
      </c>
      <c r="AE402" s="33"/>
      <c r="AF402" s="33" t="s">
        <v>2267</v>
      </c>
      <c r="AG402" s="33" t="s">
        <v>2461</v>
      </c>
      <c r="AH402" s="33"/>
      <c r="AI402" s="33"/>
      <c r="AJ402" s="33" t="s">
        <v>5584</v>
      </c>
      <c r="AK402" s="94"/>
      <c r="AL402" s="33" t="s">
        <v>5585</v>
      </c>
      <c r="AM402" s="33"/>
      <c r="AN402" s="33" t="s">
        <v>2465</v>
      </c>
      <c r="AO402" s="51" t="s">
        <v>2489</v>
      </c>
      <c r="AP402" s="51" t="s">
        <v>207</v>
      </c>
      <c r="AQ402" s="33"/>
      <c r="AR402" s="54"/>
      <c r="AS402" s="54"/>
      <c r="AT402" s="54"/>
      <c r="AU402" s="54"/>
      <c r="AV402" s="54"/>
      <c r="AW402" s="54"/>
      <c r="AX402" s="54"/>
      <c r="AY402" s="54"/>
      <c r="AZ402" s="54"/>
      <c r="BA402" s="54"/>
      <c r="BB402" s="54"/>
      <c r="BC402" s="54"/>
      <c r="BD402" s="54" t="s">
        <v>2447</v>
      </c>
      <c r="BE402" s="54"/>
      <c r="BF402" s="54"/>
      <c r="BG402" s="54"/>
      <c r="BH402" s="54"/>
      <c r="BI402" s="54"/>
      <c r="BJ402" s="0"/>
      <c r="BK402" s="0"/>
      <c r="BL402" s="0"/>
      <c r="BM402" s="0"/>
      <c r="BN402" s="0"/>
      <c r="BO402" s="0"/>
      <c r="BP402"/>
      <c r="BQ402"/>
      <c r="BR402"/>
      <c r="BS402"/>
      <c r="BT402"/>
      <c r="BU402"/>
      <c r="BV402"/>
      <c r="BW402"/>
      <c r="BX402"/>
      <c r="BY402"/>
      <c r="BZ402"/>
      <c r="CA402"/>
      <c r="CB402"/>
    </row>
    <row r="403" ht="15.0" customHeight="true">
      <c r="A403" s="51" t="s">
        <v>2448</v>
      </c>
      <c r="B403" s="33"/>
      <c r="C403" s="33" t="s">
        <v>5107</v>
      </c>
      <c r="D403" s="33"/>
      <c r="E403" s="33" t="s">
        <v>5586</v>
      </c>
      <c r="F403" s="33"/>
      <c r="G403" s="55" t="s">
        <v>5587</v>
      </c>
      <c r="H403" s="33"/>
      <c r="I403" s="51" t="s">
        <v>5588</v>
      </c>
      <c r="J403" s="33"/>
      <c r="K403" s="51" t="s">
        <v>5589</v>
      </c>
      <c r="L403" s="33" t="s">
        <v>2454</v>
      </c>
      <c r="M403" s="55" t="s">
        <v>2900</v>
      </c>
      <c r="N403" s="55" t="s">
        <v>3616</v>
      </c>
      <c r="O403" s="33" t="s">
        <v>2272</v>
      </c>
      <c r="P403" s="33" t="s">
        <v>2251</v>
      </c>
      <c r="Q403" s="33"/>
      <c r="R403" s="33" t="s">
        <v>2263</v>
      </c>
      <c r="S403" s="56" t="s">
        <v>2277</v>
      </c>
      <c r="T403" s="56"/>
      <c r="U403" s="56"/>
      <c r="V403" s="33" t="s">
        <v>2456</v>
      </c>
      <c r="W403" s="94" t="s">
        <v>2457</v>
      </c>
      <c r="X403" s="94" t="s">
        <v>2458</v>
      </c>
      <c r="Y403" s="51"/>
      <c r="Z403" s="51"/>
      <c r="AA403" s="33" t="s">
        <v>2459</v>
      </c>
      <c r="AB403" s="33" t="s">
        <v>2460</v>
      </c>
      <c r="AC403" s="33"/>
      <c r="AD403" s="33" t="s">
        <v>2254</v>
      </c>
      <c r="AE403" s="33"/>
      <c r="AF403" s="33" t="s">
        <v>2267</v>
      </c>
      <c r="AG403" s="33" t="s">
        <v>2461</v>
      </c>
      <c r="AH403" s="33"/>
      <c r="AI403" s="33"/>
      <c r="AJ403" s="33" t="s">
        <v>5590</v>
      </c>
      <c r="AK403" s="94"/>
      <c r="AL403" s="33" t="s">
        <v>5425</v>
      </c>
      <c r="AM403" s="33"/>
      <c r="AN403" s="33" t="s">
        <v>2465</v>
      </c>
      <c r="AO403" s="51" t="s">
        <v>2538</v>
      </c>
      <c r="AP403" s="51" t="s">
        <v>207</v>
      </c>
      <c r="AQ403" s="33"/>
      <c r="AR403" s="54"/>
      <c r="AS403" s="54"/>
      <c r="AT403" s="54"/>
      <c r="AU403" s="54"/>
      <c r="AV403" s="54"/>
      <c r="AW403" s="54"/>
      <c r="AX403" s="54"/>
      <c r="AY403" s="54"/>
      <c r="AZ403" s="54"/>
      <c r="BA403" s="54"/>
      <c r="BB403" s="54"/>
      <c r="BC403" s="54"/>
      <c r="BD403" s="54" t="s">
        <v>2447</v>
      </c>
      <c r="BE403" s="54"/>
      <c r="BF403" s="54"/>
      <c r="BG403" s="54"/>
      <c r="BH403" s="54"/>
      <c r="BI403" s="54"/>
      <c r="BJ403" s="0"/>
      <c r="BK403" s="0"/>
      <c r="BL403" s="0"/>
      <c r="BM403" s="0"/>
      <c r="BN403" s="0"/>
      <c r="BO403" s="0"/>
      <c r="BP403"/>
      <c r="BQ403"/>
      <c r="BR403"/>
      <c r="BS403"/>
      <c r="BT403"/>
      <c r="BU403"/>
      <c r="BV403"/>
      <c r="BW403"/>
      <c r="BX403"/>
      <c r="BY403"/>
      <c r="BZ403"/>
      <c r="CA403"/>
      <c r="CB403"/>
    </row>
    <row r="404" ht="15.0" customHeight="true">
      <c r="A404" s="51" t="s">
        <v>2448</v>
      </c>
      <c r="B404" s="33"/>
      <c r="C404" s="33" t="s">
        <v>5591</v>
      </c>
      <c r="D404" s="33"/>
      <c r="E404" s="33" t="s">
        <v>5592</v>
      </c>
      <c r="F404" s="33"/>
      <c r="G404" s="55" t="s">
        <v>5593</v>
      </c>
      <c r="H404" s="33"/>
      <c r="I404" s="51" t="s">
        <v>5594</v>
      </c>
      <c r="J404" s="33"/>
      <c r="K404" s="51" t="s">
        <v>5595</v>
      </c>
      <c r="L404" s="33" t="s">
        <v>2454</v>
      </c>
      <c r="M404" s="55" t="s">
        <v>5596</v>
      </c>
      <c r="N404" s="55" t="s">
        <v>3167</v>
      </c>
      <c r="O404" s="33" t="s">
        <v>2272</v>
      </c>
      <c r="P404" s="33" t="s">
        <v>2251</v>
      </c>
      <c r="Q404" s="33"/>
      <c r="R404" s="33" t="s">
        <v>2263</v>
      </c>
      <c r="S404" s="56" t="s">
        <v>2277</v>
      </c>
      <c r="T404" s="56"/>
      <c r="U404" s="56"/>
      <c r="V404" s="33" t="s">
        <v>2456</v>
      </c>
      <c r="W404" s="94" t="s">
        <v>2457</v>
      </c>
      <c r="X404" s="94" t="s">
        <v>3535</v>
      </c>
      <c r="Y404" s="51"/>
      <c r="Z404" s="51"/>
      <c r="AA404" s="33" t="s">
        <v>2459</v>
      </c>
      <c r="AB404" s="33" t="s">
        <v>2460</v>
      </c>
      <c r="AC404" s="33"/>
      <c r="AD404" s="33" t="s">
        <v>2254</v>
      </c>
      <c r="AE404" s="33"/>
      <c r="AF404" s="33" t="s">
        <v>2267</v>
      </c>
      <c r="AG404" s="33" t="s">
        <v>2461</v>
      </c>
      <c r="AH404" s="33"/>
      <c r="AI404" s="33"/>
      <c r="AJ404" s="33" t="s">
        <v>5597</v>
      </c>
      <c r="AK404" s="94"/>
      <c r="AL404" s="33" t="s">
        <v>5598</v>
      </c>
      <c r="AM404" s="33"/>
      <c r="AN404" s="33" t="s">
        <v>2588</v>
      </c>
      <c r="AO404" s="51" t="s">
        <v>5599</v>
      </c>
      <c r="AP404" s="51" t="s">
        <v>207</v>
      </c>
      <c r="AQ404" s="33"/>
      <c r="AR404" s="54"/>
      <c r="AS404" s="54"/>
      <c r="AT404" s="54"/>
      <c r="AU404" s="54"/>
      <c r="AV404" s="54"/>
      <c r="AW404" s="54"/>
      <c r="AX404" s="54"/>
      <c r="AY404" s="54"/>
      <c r="AZ404" s="54"/>
      <c r="BA404" s="54"/>
      <c r="BB404" s="54"/>
      <c r="BC404" s="54"/>
      <c r="BD404" s="54" t="s">
        <v>2447</v>
      </c>
      <c r="BE404" s="54"/>
      <c r="BF404" s="54"/>
      <c r="BG404" s="54"/>
      <c r="BH404" s="54"/>
      <c r="BI404" s="54"/>
      <c r="BJ404" s="0"/>
      <c r="BK404" s="0"/>
      <c r="BL404" s="0"/>
      <c r="BM404" s="0"/>
      <c r="BN404" s="0"/>
      <c r="BO404" s="0"/>
      <c r="BP404"/>
      <c r="BQ404"/>
      <c r="BR404"/>
      <c r="BS404"/>
      <c r="BT404"/>
      <c r="BU404"/>
      <c r="BV404"/>
      <c r="BW404"/>
      <c r="BX404"/>
      <c r="BY404"/>
      <c r="BZ404"/>
      <c r="CA404"/>
      <c r="CB404"/>
    </row>
    <row r="405" ht="15.0" customHeight="true">
      <c r="A405" s="51" t="s">
        <v>2448</v>
      </c>
      <c r="B405" s="33"/>
      <c r="C405" s="33" t="s">
        <v>5600</v>
      </c>
      <c r="D405" s="33"/>
      <c r="E405" s="33" t="s">
        <v>5079</v>
      </c>
      <c r="F405" s="33"/>
      <c r="G405" s="55" t="s">
        <v>5601</v>
      </c>
      <c r="H405" s="33"/>
      <c r="I405" s="51" t="s">
        <v>5602</v>
      </c>
      <c r="J405" s="33"/>
      <c r="K405" s="51" t="s">
        <v>5603</v>
      </c>
      <c r="L405" s="33" t="s">
        <v>2454</v>
      </c>
      <c r="M405" s="55" t="s">
        <v>4625</v>
      </c>
      <c r="N405" s="55" t="s">
        <v>5604</v>
      </c>
      <c r="O405" s="33" t="s">
        <v>2272</v>
      </c>
      <c r="P405" s="33" t="s">
        <v>2251</v>
      </c>
      <c r="Q405" s="33"/>
      <c r="R405" s="33" t="s">
        <v>2263</v>
      </c>
      <c r="S405" s="56" t="s">
        <v>2277</v>
      </c>
      <c r="T405" s="56"/>
      <c r="U405" s="56"/>
      <c r="V405" s="33" t="s">
        <v>2456</v>
      </c>
      <c r="W405" s="94" t="s">
        <v>2457</v>
      </c>
      <c r="X405" s="94" t="s">
        <v>2474</v>
      </c>
      <c r="Y405" s="51"/>
      <c r="Z405" s="51"/>
      <c r="AA405" s="33" t="s">
        <v>2459</v>
      </c>
      <c r="AB405" s="33" t="s">
        <v>2460</v>
      </c>
      <c r="AC405" s="33"/>
      <c r="AD405" s="33" t="s">
        <v>2254</v>
      </c>
      <c r="AE405" s="33"/>
      <c r="AF405" s="33" t="s">
        <v>2267</v>
      </c>
      <c r="AG405" s="33" t="s">
        <v>2461</v>
      </c>
      <c r="AH405" s="33"/>
      <c r="AI405" s="33"/>
      <c r="AJ405" s="33" t="s">
        <v>5605</v>
      </c>
      <c r="AK405" s="94"/>
      <c r="AL405" s="33" t="s">
        <v>5606</v>
      </c>
      <c r="AM405" s="33" t="s">
        <v>5607</v>
      </c>
      <c r="AN405" s="33" t="s">
        <v>2465</v>
      </c>
      <c r="AO405" s="51" t="s">
        <v>2466</v>
      </c>
      <c r="AP405" s="51" t="s">
        <v>207</v>
      </c>
      <c r="AQ405" s="33"/>
      <c r="AR405" s="54"/>
      <c r="AS405" s="54"/>
      <c r="AT405" s="54"/>
      <c r="AU405" s="54"/>
      <c r="AV405" s="54"/>
      <c r="AW405" s="54"/>
      <c r="AX405" s="54"/>
      <c r="AY405" s="54"/>
      <c r="AZ405" s="54"/>
      <c r="BA405" s="54"/>
      <c r="BB405" s="54"/>
      <c r="BC405" s="54"/>
      <c r="BD405" s="54" t="s">
        <v>2447</v>
      </c>
      <c r="BE405" s="54"/>
      <c r="BF405" s="54"/>
      <c r="BG405" s="54"/>
      <c r="BH405" s="54"/>
      <c r="BI405" s="54"/>
      <c r="BJ405" s="0"/>
      <c r="BK405" s="0"/>
      <c r="BL405" s="0"/>
      <c r="BM405" s="0"/>
      <c r="BN405" s="0"/>
      <c r="BO405" s="0"/>
      <c r="BP405"/>
      <c r="BQ405"/>
      <c r="BR405"/>
      <c r="BS405"/>
      <c r="BT405"/>
      <c r="BU405"/>
      <c r="BV405"/>
      <c r="BW405"/>
      <c r="BX405"/>
      <c r="BY405"/>
      <c r="BZ405"/>
      <c r="CA405"/>
      <c r="CB405"/>
    </row>
    <row r="406" ht="15.0" customHeight="true">
      <c r="A406" s="51" t="s">
        <v>2448</v>
      </c>
      <c r="B406" s="33"/>
      <c r="C406" s="33" t="s">
        <v>5608</v>
      </c>
      <c r="D406" s="33"/>
      <c r="E406" s="33" t="s">
        <v>5609</v>
      </c>
      <c r="F406" s="33"/>
      <c r="G406" s="55" t="s">
        <v>5610</v>
      </c>
      <c r="H406" s="33"/>
      <c r="I406" s="51" t="s">
        <v>5611</v>
      </c>
      <c r="J406" s="33"/>
      <c r="K406" s="51" t="s">
        <v>5612</v>
      </c>
      <c r="L406" s="33" t="s">
        <v>2454</v>
      </c>
      <c r="M406" s="55" t="s">
        <v>4846</v>
      </c>
      <c r="N406" s="55" t="s">
        <v>4846</v>
      </c>
      <c r="O406" s="33" t="s">
        <v>2272</v>
      </c>
      <c r="P406" s="33" t="s">
        <v>2251</v>
      </c>
      <c r="Q406" s="33"/>
      <c r="R406" s="33" t="s">
        <v>2263</v>
      </c>
      <c r="S406" s="56" t="s">
        <v>2277</v>
      </c>
      <c r="T406" s="56"/>
      <c r="U406" s="56"/>
      <c r="V406" s="33" t="s">
        <v>2456</v>
      </c>
      <c r="W406" s="94" t="s">
        <v>2457</v>
      </c>
      <c r="X406" s="94" t="s">
        <v>2474</v>
      </c>
      <c r="Y406" s="51"/>
      <c r="Z406" s="51"/>
      <c r="AA406" s="33" t="s">
        <v>2459</v>
      </c>
      <c r="AB406" s="33" t="s">
        <v>2460</v>
      </c>
      <c r="AC406" s="33"/>
      <c r="AD406" s="33" t="s">
        <v>2254</v>
      </c>
      <c r="AE406" s="33"/>
      <c r="AF406" s="33" t="s">
        <v>2267</v>
      </c>
      <c r="AG406" s="33" t="s">
        <v>2461</v>
      </c>
      <c r="AH406" s="33"/>
      <c r="AI406" s="33"/>
      <c r="AJ406" s="33" t="s">
        <v>5613</v>
      </c>
      <c r="AK406" s="94"/>
      <c r="AL406" s="33" t="s">
        <v>5614</v>
      </c>
      <c r="AM406" s="33"/>
      <c r="AN406" s="33" t="s">
        <v>2465</v>
      </c>
      <c r="AO406" s="51" t="s">
        <v>2466</v>
      </c>
      <c r="AP406" s="51" t="s">
        <v>207</v>
      </c>
      <c r="AQ406" s="33"/>
      <c r="AR406" s="54"/>
      <c r="AS406" s="54"/>
      <c r="AT406" s="54"/>
      <c r="AU406" s="54"/>
      <c r="AV406" s="54"/>
      <c r="AW406" s="54"/>
      <c r="AX406" s="54"/>
      <c r="AY406" s="54"/>
      <c r="AZ406" s="54"/>
      <c r="BA406" s="54"/>
      <c r="BB406" s="54"/>
      <c r="BC406" s="54"/>
      <c r="BD406" s="54" t="s">
        <v>2447</v>
      </c>
      <c r="BE406" s="54"/>
      <c r="BF406" s="54"/>
      <c r="BG406" s="54"/>
      <c r="BH406" s="54"/>
      <c r="BI406" s="54"/>
      <c r="BJ406" s="0"/>
      <c r="BK406" s="0"/>
      <c r="BL406" s="0"/>
      <c r="BM406" s="0"/>
      <c r="BN406" s="0"/>
      <c r="BO406" s="0"/>
      <c r="BP406"/>
      <c r="BQ406"/>
      <c r="BR406"/>
      <c r="BS406"/>
      <c r="BT406"/>
      <c r="BU406"/>
      <c r="BV406"/>
      <c r="BW406"/>
      <c r="BX406"/>
      <c r="BY406"/>
      <c r="BZ406"/>
      <c r="CA406"/>
      <c r="CB406"/>
    </row>
    <row r="407" ht="15.0" customHeight="true">
      <c r="A407" s="51" t="s">
        <v>2448</v>
      </c>
      <c r="B407" s="33"/>
      <c r="C407" s="33" t="s">
        <v>4172</v>
      </c>
      <c r="D407" s="33"/>
      <c r="E407" s="33" t="s">
        <v>2846</v>
      </c>
      <c r="F407" s="33"/>
      <c r="G407" s="55" t="s">
        <v>5615</v>
      </c>
      <c r="H407" s="33"/>
      <c r="I407" s="51" t="s">
        <v>5616</v>
      </c>
      <c r="J407" s="33"/>
      <c r="K407" s="51" t="s">
        <v>5617</v>
      </c>
      <c r="L407" s="33" t="s">
        <v>2454</v>
      </c>
      <c r="M407" s="55" t="s">
        <v>4361</v>
      </c>
      <c r="N407" s="55" t="s">
        <v>3366</v>
      </c>
      <c r="O407" s="33" t="s">
        <v>2272</v>
      </c>
      <c r="P407" s="33" t="s">
        <v>2251</v>
      </c>
      <c r="Q407" s="33"/>
      <c r="R407" s="33" t="s">
        <v>2263</v>
      </c>
      <c r="S407" s="56" t="s">
        <v>2277</v>
      </c>
      <c r="T407" s="56"/>
      <c r="U407" s="56"/>
      <c r="V407" s="33" t="s">
        <v>2456</v>
      </c>
      <c r="W407" s="94" t="s">
        <v>2457</v>
      </c>
      <c r="X407" s="94" t="s">
        <v>2458</v>
      </c>
      <c r="Y407" s="51"/>
      <c r="Z407" s="51"/>
      <c r="AA407" s="33" t="s">
        <v>2459</v>
      </c>
      <c r="AB407" s="33" t="s">
        <v>2460</v>
      </c>
      <c r="AC407" s="33"/>
      <c r="AD407" s="33" t="s">
        <v>2254</v>
      </c>
      <c r="AE407" s="33"/>
      <c r="AF407" s="33" t="s">
        <v>2267</v>
      </c>
      <c r="AG407" s="33" t="s">
        <v>2461</v>
      </c>
      <c r="AH407" s="33"/>
      <c r="AI407" s="33"/>
      <c r="AJ407" s="33" t="s">
        <v>5618</v>
      </c>
      <c r="AK407" s="94"/>
      <c r="AL407" s="33" t="s">
        <v>5619</v>
      </c>
      <c r="AM407" s="33"/>
      <c r="AN407" s="33" t="s">
        <v>2465</v>
      </c>
      <c r="AO407" s="51" t="s">
        <v>2489</v>
      </c>
      <c r="AP407" s="51" t="s">
        <v>207</v>
      </c>
      <c r="AQ407" s="33"/>
      <c r="AR407" s="54"/>
      <c r="AS407" s="54"/>
      <c r="AT407" s="54"/>
      <c r="AU407" s="54"/>
      <c r="AV407" s="54"/>
      <c r="AW407" s="54"/>
      <c r="AX407" s="54"/>
      <c r="AY407" s="54"/>
      <c r="AZ407" s="54"/>
      <c r="BA407" s="54"/>
      <c r="BB407" s="54"/>
      <c r="BC407" s="54"/>
      <c r="BD407" s="54" t="s">
        <v>2447</v>
      </c>
      <c r="BE407" s="54"/>
      <c r="BF407" s="54"/>
      <c r="BG407" s="54"/>
      <c r="BH407" s="54"/>
      <c r="BI407" s="54"/>
      <c r="BJ407" s="0"/>
      <c r="BK407" s="0"/>
      <c r="BL407" s="0"/>
      <c r="BM407" s="0"/>
      <c r="BN407" s="0"/>
      <c r="BO407" s="0"/>
      <c r="BP407"/>
      <c r="BQ407"/>
      <c r="BR407"/>
      <c r="BS407"/>
      <c r="BT407"/>
      <c r="BU407"/>
      <c r="BV407"/>
      <c r="BW407"/>
      <c r="BX407"/>
      <c r="BY407"/>
      <c r="BZ407"/>
      <c r="CA407"/>
      <c r="CB407"/>
    </row>
    <row r="408" ht="15.0" customHeight="true">
      <c r="A408" s="51" t="s">
        <v>2448</v>
      </c>
      <c r="B408" s="33"/>
      <c r="C408" s="33" t="s">
        <v>3254</v>
      </c>
      <c r="D408" s="33"/>
      <c r="E408" s="33" t="s">
        <v>5620</v>
      </c>
      <c r="F408" s="33"/>
      <c r="G408" s="55" t="s">
        <v>5621</v>
      </c>
      <c r="H408" s="33"/>
      <c r="I408" s="51" t="s">
        <v>5622</v>
      </c>
      <c r="J408" s="33"/>
      <c r="K408" s="51" t="s">
        <v>5623</v>
      </c>
      <c r="L408" s="33" t="s">
        <v>2454</v>
      </c>
      <c r="M408" s="55" t="s">
        <v>2745</v>
      </c>
      <c r="N408" s="55" t="s">
        <v>5624</v>
      </c>
      <c r="O408" s="33" t="s">
        <v>2271</v>
      </c>
      <c r="P408" s="33" t="s">
        <v>2251</v>
      </c>
      <c r="Q408" s="33"/>
      <c r="R408" s="33" t="s">
        <v>2263</v>
      </c>
      <c r="S408" s="56" t="s">
        <v>2277</v>
      </c>
      <c r="T408" s="56"/>
      <c r="U408" s="56"/>
      <c r="V408" s="33" t="s">
        <v>2745</v>
      </c>
      <c r="W408" s="94" t="s">
        <v>2574</v>
      </c>
      <c r="X408" s="94" t="s">
        <v>2458</v>
      </c>
      <c r="Y408" s="51"/>
      <c r="Z408" s="51"/>
      <c r="AA408" s="33" t="s">
        <v>2459</v>
      </c>
      <c r="AB408" s="33" t="s">
        <v>2460</v>
      </c>
      <c r="AC408" s="33" t="s">
        <v>2486</v>
      </c>
      <c r="AD408" s="33" t="s">
        <v>2254</v>
      </c>
      <c r="AE408" s="33"/>
      <c r="AF408" s="33" t="s">
        <v>2267</v>
      </c>
      <c r="AG408" s="33" t="s">
        <v>2461</v>
      </c>
      <c r="AH408" s="33"/>
      <c r="AI408" s="33"/>
      <c r="AJ408" s="33" t="s">
        <v>5625</v>
      </c>
      <c r="AK408" s="94"/>
      <c r="AL408" s="33" t="s">
        <v>5626</v>
      </c>
      <c r="AM408" s="33"/>
      <c r="AN408" s="33" t="s">
        <v>2465</v>
      </c>
      <c r="AO408" s="51" t="s">
        <v>2489</v>
      </c>
      <c r="AP408" s="51" t="s">
        <v>207</v>
      </c>
      <c r="AQ408" s="33"/>
      <c r="AR408" s="54"/>
      <c r="AS408" s="54"/>
      <c r="AT408" s="54"/>
      <c r="AU408" s="54"/>
      <c r="AV408" s="54"/>
      <c r="AW408" s="54"/>
      <c r="AX408" s="54"/>
      <c r="AY408" s="54" t="s">
        <v>2269</v>
      </c>
      <c r="AZ408" s="54"/>
      <c r="BA408" s="54"/>
      <c r="BB408" s="54"/>
      <c r="BC408" s="54"/>
      <c r="BD408" s="54" t="s">
        <v>2447</v>
      </c>
      <c r="BE408" s="54"/>
      <c r="BF408" s="54"/>
      <c r="BG408" s="54"/>
      <c r="BH408" s="54"/>
      <c r="BI408" s="54"/>
      <c r="BJ408" s="0"/>
      <c r="BK408" s="0"/>
      <c r="BL408" s="0"/>
      <c r="BM408" s="0"/>
      <c r="BN408" s="0"/>
      <c r="BO408" s="0"/>
      <c r="BP408"/>
      <c r="BQ408"/>
      <c r="BR408"/>
      <c r="BS408"/>
      <c r="BT408"/>
      <c r="BU408"/>
      <c r="BV408"/>
      <c r="BW408"/>
      <c r="BX408"/>
      <c r="BY408"/>
      <c r="BZ408"/>
      <c r="CA408"/>
      <c r="CB408"/>
    </row>
    <row r="409" ht="15.0" customHeight="true">
      <c r="A409" s="51" t="s">
        <v>2448</v>
      </c>
      <c r="B409" s="33"/>
      <c r="C409" s="33" t="s">
        <v>3925</v>
      </c>
      <c r="D409" s="33"/>
      <c r="E409" s="33" t="s">
        <v>4466</v>
      </c>
      <c r="F409" s="33"/>
      <c r="G409" s="55" t="s">
        <v>4915</v>
      </c>
      <c r="H409" s="33"/>
      <c r="I409" s="51" t="s">
        <v>5627</v>
      </c>
      <c r="J409" s="33"/>
      <c r="K409" s="51" t="s">
        <v>5628</v>
      </c>
      <c r="L409" s="33" t="s">
        <v>2454</v>
      </c>
      <c r="M409" s="55" t="s">
        <v>2985</v>
      </c>
      <c r="N409" s="55" t="s">
        <v>3844</v>
      </c>
      <c r="O409" s="33" t="s">
        <v>2272</v>
      </c>
      <c r="P409" s="33" t="s">
        <v>2251</v>
      </c>
      <c r="Q409" s="33"/>
      <c r="R409" s="33" t="s">
        <v>2263</v>
      </c>
      <c r="S409" s="56" t="s">
        <v>2277</v>
      </c>
      <c r="T409" s="56"/>
      <c r="U409" s="56"/>
      <c r="V409" s="33" t="s">
        <v>2456</v>
      </c>
      <c r="W409" s="94" t="s">
        <v>2457</v>
      </c>
      <c r="X409" s="94" t="s">
        <v>2474</v>
      </c>
      <c r="Y409" s="51"/>
      <c r="Z409" s="51"/>
      <c r="AA409" s="33" t="s">
        <v>2459</v>
      </c>
      <c r="AB409" s="33" t="s">
        <v>2460</v>
      </c>
      <c r="AC409" s="33"/>
      <c r="AD409" s="33" t="s">
        <v>2254</v>
      </c>
      <c r="AE409" s="33"/>
      <c r="AF409" s="33" t="s">
        <v>2267</v>
      </c>
      <c r="AG409" s="33" t="s">
        <v>2461</v>
      </c>
      <c r="AH409" s="33"/>
      <c r="AI409" s="33"/>
      <c r="AJ409" s="33" t="s">
        <v>5629</v>
      </c>
      <c r="AK409" s="94"/>
      <c r="AL409" s="33" t="s">
        <v>5630</v>
      </c>
      <c r="AM409" s="33"/>
      <c r="AN409" s="33" t="s">
        <v>2465</v>
      </c>
      <c r="AO409" s="51" t="s">
        <v>2548</v>
      </c>
      <c r="AP409" s="51" t="s">
        <v>207</v>
      </c>
      <c r="AQ409" s="33"/>
      <c r="AR409" s="54"/>
      <c r="AS409" s="54"/>
      <c r="AT409" s="54"/>
      <c r="AU409" s="54"/>
      <c r="AV409" s="54"/>
      <c r="AW409" s="54"/>
      <c r="AX409" s="54"/>
      <c r="AY409" s="54"/>
      <c r="AZ409" s="54"/>
      <c r="BA409" s="54"/>
      <c r="BB409" s="54"/>
      <c r="BC409" s="54"/>
      <c r="BD409" s="54" t="s">
        <v>2447</v>
      </c>
      <c r="BE409" s="54"/>
      <c r="BF409" s="54"/>
      <c r="BG409" s="54"/>
      <c r="BH409" s="54"/>
      <c r="BI409" s="54"/>
      <c r="BJ409" s="0"/>
      <c r="BK409" s="0"/>
      <c r="BL409" s="0"/>
      <c r="BM409" s="0"/>
      <c r="BN409" s="0"/>
      <c r="BO409" s="0"/>
      <c r="BP409"/>
      <c r="BQ409"/>
      <c r="BR409"/>
      <c r="BS409"/>
      <c r="BT409"/>
      <c r="BU409"/>
      <c r="BV409"/>
      <c r="BW409"/>
      <c r="BX409"/>
      <c r="BY409"/>
      <c r="BZ409"/>
      <c r="CA409"/>
      <c r="CB409"/>
    </row>
    <row r="410" ht="15.0" customHeight="true">
      <c r="A410" s="51" t="s">
        <v>2448</v>
      </c>
      <c r="B410" s="33"/>
      <c r="C410" s="33" t="s">
        <v>4987</v>
      </c>
      <c r="D410" s="33"/>
      <c r="E410" s="33" t="s">
        <v>3487</v>
      </c>
      <c r="F410" s="33"/>
      <c r="G410" s="55" t="s">
        <v>5631</v>
      </c>
      <c r="H410" s="33"/>
      <c r="I410" s="51" t="s">
        <v>5632</v>
      </c>
      <c r="J410" s="33"/>
      <c r="K410" s="51" t="s">
        <v>5633</v>
      </c>
      <c r="L410" s="33" t="s">
        <v>2454</v>
      </c>
      <c r="M410" s="55" t="s">
        <v>5634</v>
      </c>
      <c r="N410" s="55" t="s">
        <v>5635</v>
      </c>
      <c r="O410" s="33" t="s">
        <v>2272</v>
      </c>
      <c r="P410" s="33" t="s">
        <v>2251</v>
      </c>
      <c r="Q410" s="33"/>
      <c r="R410" s="33" t="s">
        <v>2263</v>
      </c>
      <c r="S410" s="56" t="s">
        <v>2277</v>
      </c>
      <c r="T410" s="56"/>
      <c r="U410" s="56"/>
      <c r="V410" s="33" t="s">
        <v>2456</v>
      </c>
      <c r="W410" s="94" t="s">
        <v>2457</v>
      </c>
      <c r="X410" s="94" t="s">
        <v>2474</v>
      </c>
      <c r="Y410" s="51"/>
      <c r="Z410" s="51"/>
      <c r="AA410" s="33" t="s">
        <v>2459</v>
      </c>
      <c r="AB410" s="33" t="s">
        <v>2460</v>
      </c>
      <c r="AC410" s="33"/>
      <c r="AD410" s="33" t="s">
        <v>2254</v>
      </c>
      <c r="AE410" s="33"/>
      <c r="AF410" s="33" t="s">
        <v>2267</v>
      </c>
      <c r="AG410" s="33" t="s">
        <v>2461</v>
      </c>
      <c r="AH410" s="33"/>
      <c r="AI410" s="33"/>
      <c r="AJ410" s="33" t="s">
        <v>5636</v>
      </c>
      <c r="AK410" s="94"/>
      <c r="AL410" s="33" t="s">
        <v>5637</v>
      </c>
      <c r="AM410" s="33"/>
      <c r="AN410" s="33" t="s">
        <v>2465</v>
      </c>
      <c r="AO410" s="51" t="s">
        <v>2489</v>
      </c>
      <c r="AP410" s="51" t="s">
        <v>207</v>
      </c>
      <c r="AQ410" s="33"/>
      <c r="AR410" s="54"/>
      <c r="AS410" s="54"/>
      <c r="AT410" s="54"/>
      <c r="AU410" s="54"/>
      <c r="AV410" s="54"/>
      <c r="AW410" s="54"/>
      <c r="AX410" s="54"/>
      <c r="AY410" s="54"/>
      <c r="AZ410" s="54"/>
      <c r="BA410" s="54"/>
      <c r="BB410" s="54"/>
      <c r="BC410" s="54"/>
      <c r="BD410" s="54" t="s">
        <v>2447</v>
      </c>
      <c r="BE410" s="54"/>
      <c r="BF410" s="54"/>
      <c r="BG410" s="54"/>
      <c r="BH410" s="54"/>
      <c r="BI410" s="54"/>
      <c r="BJ410" s="0"/>
      <c r="BK410" s="0"/>
      <c r="BL410" s="0"/>
      <c r="BM410" s="0"/>
      <c r="BN410" s="0"/>
      <c r="BO410" s="0"/>
      <c r="BP410"/>
      <c r="BQ410"/>
      <c r="BR410"/>
      <c r="BS410"/>
      <c r="BT410"/>
      <c r="BU410"/>
      <c r="BV410"/>
      <c r="BW410"/>
      <c r="BX410"/>
      <c r="BY410"/>
      <c r="BZ410"/>
      <c r="CA410"/>
      <c r="CB410"/>
    </row>
    <row r="411" ht="15.0" customHeight="true">
      <c r="A411" s="51" t="s">
        <v>2448</v>
      </c>
      <c r="B411" s="33"/>
      <c r="C411" s="33" t="s">
        <v>5638</v>
      </c>
      <c r="D411" s="33"/>
      <c r="E411" s="33" t="s">
        <v>5639</v>
      </c>
      <c r="F411" s="33"/>
      <c r="G411" s="55" t="s">
        <v>5640</v>
      </c>
      <c r="H411" s="33"/>
      <c r="I411" s="51" t="s">
        <v>5641</v>
      </c>
      <c r="J411" s="33"/>
      <c r="K411" s="51" t="s">
        <v>5642</v>
      </c>
      <c r="L411" s="33" t="s">
        <v>2454</v>
      </c>
      <c r="M411" s="55" t="s">
        <v>2717</v>
      </c>
      <c r="N411" s="55" t="s">
        <v>3143</v>
      </c>
      <c r="O411" s="33" t="s">
        <v>2272</v>
      </c>
      <c r="P411" s="33" t="s">
        <v>2251</v>
      </c>
      <c r="Q411" s="33"/>
      <c r="R411" s="33" t="s">
        <v>2263</v>
      </c>
      <c r="S411" s="56" t="s">
        <v>2277</v>
      </c>
      <c r="T411" s="56"/>
      <c r="U411" s="56"/>
      <c r="V411" s="33" t="s">
        <v>2456</v>
      </c>
      <c r="W411" s="94" t="s">
        <v>2457</v>
      </c>
      <c r="X411" s="94" t="s">
        <v>2458</v>
      </c>
      <c r="Y411" s="51"/>
      <c r="Z411" s="51"/>
      <c r="AA411" s="33" t="s">
        <v>2459</v>
      </c>
      <c r="AB411" s="33" t="s">
        <v>2460</v>
      </c>
      <c r="AC411" s="33"/>
      <c r="AD411" s="33" t="s">
        <v>2254</v>
      </c>
      <c r="AE411" s="33"/>
      <c r="AF411" s="33" t="s">
        <v>2267</v>
      </c>
      <c r="AG411" s="33" t="s">
        <v>2461</v>
      </c>
      <c r="AH411" s="33"/>
      <c r="AI411" s="33"/>
      <c r="AJ411" s="33" t="s">
        <v>5643</v>
      </c>
      <c r="AK411" s="94"/>
      <c r="AL411" s="33" t="s">
        <v>5644</v>
      </c>
      <c r="AM411" s="33"/>
      <c r="AN411" s="33" t="s">
        <v>2465</v>
      </c>
      <c r="AO411" s="51" t="s">
        <v>2478</v>
      </c>
      <c r="AP411" s="51" t="s">
        <v>207</v>
      </c>
      <c r="AQ411" s="33"/>
      <c r="AR411" s="54"/>
      <c r="AS411" s="54"/>
      <c r="AT411" s="54"/>
      <c r="AU411" s="54"/>
      <c r="AV411" s="54"/>
      <c r="AW411" s="54"/>
      <c r="AX411" s="54"/>
      <c r="AY411" s="54"/>
      <c r="AZ411" s="54"/>
      <c r="BA411" s="54"/>
      <c r="BB411" s="54"/>
      <c r="BC411" s="54"/>
      <c r="BD411" s="54" t="s">
        <v>2447</v>
      </c>
      <c r="BE411" s="54"/>
      <c r="BF411" s="54"/>
      <c r="BG411" s="54"/>
      <c r="BH411" s="54"/>
      <c r="BI411" s="54"/>
      <c r="BJ411" s="0"/>
      <c r="BK411" s="0"/>
      <c r="BL411" s="0"/>
      <c r="BM411" s="0"/>
      <c r="BN411" s="0"/>
      <c r="BO411" s="0"/>
      <c r="BP411"/>
      <c r="BQ411"/>
      <c r="BR411"/>
      <c r="BS411"/>
      <c r="BT411"/>
      <c r="BU411"/>
      <c r="BV411"/>
      <c r="BW411"/>
      <c r="BX411"/>
      <c r="BY411"/>
      <c r="BZ411"/>
      <c r="CA411"/>
      <c r="CB411"/>
    </row>
    <row r="412" ht="15.0" customHeight="true">
      <c r="A412" s="51" t="s">
        <v>2448</v>
      </c>
      <c r="B412" s="33"/>
      <c r="C412" s="33" t="s">
        <v>3867</v>
      </c>
      <c r="D412" s="33"/>
      <c r="E412" s="33" t="s">
        <v>4709</v>
      </c>
      <c r="F412" s="33"/>
      <c r="G412" s="55" t="s">
        <v>5645</v>
      </c>
      <c r="H412" s="33"/>
      <c r="I412" s="51" t="s">
        <v>5646</v>
      </c>
      <c r="J412" s="33"/>
      <c r="K412" s="51" t="s">
        <v>5647</v>
      </c>
      <c r="L412" s="33" t="s">
        <v>2454</v>
      </c>
      <c r="M412" s="55" t="s">
        <v>2455</v>
      </c>
      <c r="N412" s="55" t="s">
        <v>5648</v>
      </c>
      <c r="O412" s="33" t="s">
        <v>2272</v>
      </c>
      <c r="P412" s="33" t="s">
        <v>2251</v>
      </c>
      <c r="Q412" s="33"/>
      <c r="R412" s="33" t="s">
        <v>2263</v>
      </c>
      <c r="S412" s="56" t="s">
        <v>2277</v>
      </c>
      <c r="T412" s="56"/>
      <c r="U412" s="56"/>
      <c r="V412" s="33" t="s">
        <v>2456</v>
      </c>
      <c r="W412" s="94" t="s">
        <v>2457</v>
      </c>
      <c r="X412" s="94" t="s">
        <v>2458</v>
      </c>
      <c r="Y412" s="51"/>
      <c r="Z412" s="51"/>
      <c r="AA412" s="33" t="s">
        <v>2459</v>
      </c>
      <c r="AB412" s="33" t="s">
        <v>2460</v>
      </c>
      <c r="AC412" s="33"/>
      <c r="AD412" s="33" t="s">
        <v>2254</v>
      </c>
      <c r="AE412" s="33"/>
      <c r="AF412" s="33" t="s">
        <v>2267</v>
      </c>
      <c r="AG412" s="33" t="s">
        <v>2461</v>
      </c>
      <c r="AH412" s="33"/>
      <c r="AI412" s="33"/>
      <c r="AJ412" s="33" t="s">
        <v>5649</v>
      </c>
      <c r="AK412" s="94"/>
      <c r="AL412" s="33" t="s">
        <v>5650</v>
      </c>
      <c r="AM412" s="33"/>
      <c r="AN412" s="33" t="s">
        <v>2465</v>
      </c>
      <c r="AO412" s="51" t="s">
        <v>2618</v>
      </c>
      <c r="AP412" s="51" t="s">
        <v>207</v>
      </c>
      <c r="AQ412" s="33"/>
      <c r="AR412" s="54"/>
      <c r="AS412" s="54"/>
      <c r="AT412" s="54"/>
      <c r="AU412" s="54"/>
      <c r="AV412" s="54"/>
      <c r="AW412" s="54"/>
      <c r="AX412" s="54"/>
      <c r="AY412" s="54"/>
      <c r="AZ412" s="54"/>
      <c r="BA412" s="54"/>
      <c r="BB412" s="54"/>
      <c r="BC412" s="54"/>
      <c r="BD412" s="54" t="s">
        <v>2447</v>
      </c>
      <c r="BE412" s="54"/>
      <c r="BF412" s="54"/>
      <c r="BG412" s="54"/>
      <c r="BH412" s="54"/>
      <c r="BI412" s="54"/>
      <c r="BJ412" s="0"/>
      <c r="BK412" s="0"/>
      <c r="BL412" s="0"/>
      <c r="BM412" s="0"/>
      <c r="BN412" s="0"/>
      <c r="BO412" s="0"/>
      <c r="BP412"/>
      <c r="BQ412"/>
      <c r="BR412"/>
      <c r="BS412"/>
      <c r="BT412"/>
      <c r="BU412"/>
      <c r="BV412"/>
      <c r="BW412"/>
      <c r="BX412"/>
      <c r="BY412"/>
      <c r="BZ412"/>
      <c r="CA412"/>
      <c r="CB412"/>
    </row>
    <row r="413" ht="15.0" customHeight="true">
      <c r="A413" s="51" t="s">
        <v>2448</v>
      </c>
      <c r="B413" s="33"/>
      <c r="C413" s="33" t="s">
        <v>5651</v>
      </c>
      <c r="D413" s="33"/>
      <c r="E413" s="33" t="s">
        <v>5652</v>
      </c>
      <c r="F413" s="33"/>
      <c r="G413" s="55" t="s">
        <v>5653</v>
      </c>
      <c r="H413" s="33"/>
      <c r="I413" s="51" t="s">
        <v>5654</v>
      </c>
      <c r="J413" s="33"/>
      <c r="K413" s="51" t="s">
        <v>5655</v>
      </c>
      <c r="L413" s="33" t="s">
        <v>2454</v>
      </c>
      <c r="M413" s="55" t="s">
        <v>2944</v>
      </c>
      <c r="N413" s="55" t="s">
        <v>5656</v>
      </c>
      <c r="O413" s="33" t="s">
        <v>2272</v>
      </c>
      <c r="P413" s="33" t="s">
        <v>2251</v>
      </c>
      <c r="Q413" s="33"/>
      <c r="R413" s="33" t="s">
        <v>2263</v>
      </c>
      <c r="S413" s="56" t="s">
        <v>2277</v>
      </c>
      <c r="T413" s="56"/>
      <c r="U413" s="56"/>
      <c r="V413" s="33" t="s">
        <v>2456</v>
      </c>
      <c r="W413" s="94" t="s">
        <v>2457</v>
      </c>
      <c r="X413" s="94" t="s">
        <v>2458</v>
      </c>
      <c r="Y413" s="51"/>
      <c r="Z413" s="51"/>
      <c r="AA413" s="33" t="s">
        <v>2459</v>
      </c>
      <c r="AB413" s="33" t="s">
        <v>2460</v>
      </c>
      <c r="AC413" s="33"/>
      <c r="AD413" s="33" t="s">
        <v>2254</v>
      </c>
      <c r="AE413" s="33"/>
      <c r="AF413" s="33" t="s">
        <v>2267</v>
      </c>
      <c r="AG413" s="33" t="s">
        <v>2461</v>
      </c>
      <c r="AH413" s="33"/>
      <c r="AI413" s="33"/>
      <c r="AJ413" s="33" t="s">
        <v>5657</v>
      </c>
      <c r="AK413" s="94"/>
      <c r="AL413" s="33" t="s">
        <v>4553</v>
      </c>
      <c r="AM413" s="33" t="s">
        <v>5658</v>
      </c>
      <c r="AN413" s="33" t="s">
        <v>2588</v>
      </c>
      <c r="AO413" s="51" t="s">
        <v>2911</v>
      </c>
      <c r="AP413" s="51" t="s">
        <v>207</v>
      </c>
      <c r="AQ413" s="33"/>
      <c r="AR413" s="54"/>
      <c r="AS413" s="54"/>
      <c r="AT413" s="54"/>
      <c r="AU413" s="54"/>
      <c r="AV413" s="54"/>
      <c r="AW413" s="54"/>
      <c r="AX413" s="54"/>
      <c r="AY413" s="54"/>
      <c r="AZ413" s="54"/>
      <c r="BA413" s="54"/>
      <c r="BB413" s="54"/>
      <c r="BC413" s="54"/>
      <c r="BD413" s="54" t="s">
        <v>2447</v>
      </c>
      <c r="BE413" s="54"/>
      <c r="BF413" s="54"/>
      <c r="BG413" s="54"/>
      <c r="BH413" s="54"/>
      <c r="BI413" s="54"/>
      <c r="BJ413" s="0"/>
      <c r="BK413" s="0"/>
      <c r="BL413" s="0"/>
      <c r="BM413" s="0"/>
      <c r="BN413" s="0"/>
      <c r="BO413" s="0"/>
      <c r="BP413"/>
      <c r="BQ413"/>
      <c r="BR413"/>
      <c r="BS413"/>
      <c r="BT413"/>
      <c r="BU413"/>
      <c r="BV413"/>
      <c r="BW413"/>
      <c r="BX413"/>
      <c r="BY413"/>
      <c r="BZ413"/>
      <c r="CA413"/>
      <c r="CB413"/>
    </row>
    <row r="414" ht="15.0" customHeight="true">
      <c r="A414" s="51" t="s">
        <v>2448</v>
      </c>
      <c r="B414" s="33"/>
      <c r="C414" s="33" t="s">
        <v>4979</v>
      </c>
      <c r="D414" s="33"/>
      <c r="E414" s="33" t="s">
        <v>5659</v>
      </c>
      <c r="F414" s="33"/>
      <c r="G414" s="55" t="s">
        <v>5660</v>
      </c>
      <c r="H414" s="33"/>
      <c r="I414" s="51" t="s">
        <v>5661</v>
      </c>
      <c r="J414" s="33"/>
      <c r="K414" s="51" t="s">
        <v>5662</v>
      </c>
      <c r="L414" s="33" t="s">
        <v>2454</v>
      </c>
      <c r="M414" s="55" t="s">
        <v>4534</v>
      </c>
      <c r="N414" s="55" t="s">
        <v>4535</v>
      </c>
      <c r="O414" s="33" t="s">
        <v>2272</v>
      </c>
      <c r="P414" s="33" t="s">
        <v>2251</v>
      </c>
      <c r="Q414" s="33"/>
      <c r="R414" s="33" t="s">
        <v>2263</v>
      </c>
      <c r="S414" s="56" t="s">
        <v>2277</v>
      </c>
      <c r="T414" s="56"/>
      <c r="U414" s="56"/>
      <c r="V414" s="33" t="s">
        <v>2456</v>
      </c>
      <c r="W414" s="94" t="s">
        <v>2457</v>
      </c>
      <c r="X414" s="94" t="s">
        <v>2474</v>
      </c>
      <c r="Y414" s="51"/>
      <c r="Z414" s="51"/>
      <c r="AA414" s="33" t="s">
        <v>2459</v>
      </c>
      <c r="AB414" s="33" t="s">
        <v>2460</v>
      </c>
      <c r="AC414" s="33"/>
      <c r="AD414" s="33" t="s">
        <v>2254</v>
      </c>
      <c r="AE414" s="33"/>
      <c r="AF414" s="33" t="s">
        <v>2267</v>
      </c>
      <c r="AG414" s="33" t="s">
        <v>2461</v>
      </c>
      <c r="AH414" s="33"/>
      <c r="AI414" s="33"/>
      <c r="AJ414" s="33" t="s">
        <v>5663</v>
      </c>
      <c r="AK414" s="94"/>
      <c r="AL414" s="33" t="s">
        <v>5664</v>
      </c>
      <c r="AM414" s="33" t="s">
        <v>5665</v>
      </c>
      <c r="AN414" s="33" t="s">
        <v>2465</v>
      </c>
      <c r="AO414" s="51" t="s">
        <v>2820</v>
      </c>
      <c r="AP414" s="51" t="s">
        <v>207</v>
      </c>
      <c r="AQ414" s="33"/>
      <c r="AR414" s="54"/>
      <c r="AS414" s="54"/>
      <c r="AT414" s="54"/>
      <c r="AU414" s="54"/>
      <c r="AV414" s="54"/>
      <c r="AW414" s="54"/>
      <c r="AX414" s="54"/>
      <c r="AY414" s="54"/>
      <c r="AZ414" s="54"/>
      <c r="BA414" s="54"/>
      <c r="BB414" s="54"/>
      <c r="BC414" s="54"/>
      <c r="BD414" s="54" t="s">
        <v>2447</v>
      </c>
      <c r="BE414" s="54"/>
      <c r="BF414" s="54"/>
      <c r="BG414" s="54"/>
      <c r="BH414" s="54"/>
      <c r="BI414" s="54"/>
      <c r="BJ414" s="0"/>
      <c r="BK414" s="0"/>
      <c r="BL414" s="0"/>
      <c r="BM414" s="0"/>
      <c r="BN414" s="0"/>
      <c r="BO414" s="0"/>
      <c r="BP414"/>
      <c r="BQ414"/>
      <c r="BR414"/>
      <c r="BS414"/>
      <c r="BT414"/>
      <c r="BU414"/>
      <c r="BV414"/>
      <c r="BW414"/>
      <c r="BX414"/>
      <c r="BY414"/>
      <c r="BZ414"/>
      <c r="CA414"/>
      <c r="CB414"/>
    </row>
    <row r="415" ht="15.0" customHeight="true">
      <c r="A415" s="51" t="s">
        <v>2448</v>
      </c>
      <c r="B415" s="33"/>
      <c r="C415" s="33" t="s">
        <v>3060</v>
      </c>
      <c r="D415" s="33"/>
      <c r="E415" s="33" t="s">
        <v>5666</v>
      </c>
      <c r="F415" s="33"/>
      <c r="G415" s="55" t="s">
        <v>5667</v>
      </c>
      <c r="H415" s="33"/>
      <c r="I415" s="51" t="s">
        <v>5668</v>
      </c>
      <c r="J415" s="33"/>
      <c r="K415" s="51" t="s">
        <v>5669</v>
      </c>
      <c r="L415" s="33" t="s">
        <v>2484</v>
      </c>
      <c r="M415" s="55" t="s">
        <v>2772</v>
      </c>
      <c r="N415" s="55"/>
      <c r="O415" s="33"/>
      <c r="P415" s="33" t="s">
        <v>2251</v>
      </c>
      <c r="Q415" s="33"/>
      <c r="R415" s="33" t="s">
        <v>2263</v>
      </c>
      <c r="S415" s="56" t="s">
        <v>2277</v>
      </c>
      <c r="T415" s="56"/>
      <c r="U415" s="56"/>
      <c r="V415" s="33" t="s">
        <v>2456</v>
      </c>
      <c r="W415" s="94" t="s">
        <v>2457</v>
      </c>
      <c r="X415" s="94" t="s">
        <v>2474</v>
      </c>
      <c r="Y415" s="51"/>
      <c r="Z415" s="51"/>
      <c r="AA415" s="33" t="s">
        <v>2459</v>
      </c>
      <c r="AB415" s="33" t="s">
        <v>2460</v>
      </c>
      <c r="AC415" s="33" t="s">
        <v>2486</v>
      </c>
      <c r="AD415" s="33" t="s">
        <v>2254</v>
      </c>
      <c r="AE415" s="33"/>
      <c r="AF415" s="33" t="s">
        <v>2267</v>
      </c>
      <c r="AG415" s="33" t="s">
        <v>2461</v>
      </c>
      <c r="AH415" s="33"/>
      <c r="AI415" s="33"/>
      <c r="AJ415" s="33" t="s">
        <v>5670</v>
      </c>
      <c r="AK415" s="94"/>
      <c r="AL415" s="33" t="s">
        <v>4900</v>
      </c>
      <c r="AM415" s="33" t="s">
        <v>5671</v>
      </c>
      <c r="AN415" s="33" t="s">
        <v>2465</v>
      </c>
      <c r="AO415" s="51" t="s">
        <v>2820</v>
      </c>
      <c r="AP415" s="51" t="s">
        <v>207</v>
      </c>
      <c r="AQ415" s="33"/>
      <c r="AR415" s="54"/>
      <c r="AS415" s="54"/>
      <c r="AT415" s="54"/>
      <c r="AU415" s="54"/>
      <c r="AV415" s="54"/>
      <c r="AW415" s="54"/>
      <c r="AX415" s="54"/>
      <c r="AY415" s="54"/>
      <c r="AZ415" s="54"/>
      <c r="BA415" s="54"/>
      <c r="BB415" s="54"/>
      <c r="BC415" s="54"/>
      <c r="BD415" s="54" t="s">
        <v>2447</v>
      </c>
      <c r="BE415" s="54"/>
      <c r="BF415" s="54"/>
      <c r="BG415" s="54"/>
      <c r="BH415" s="54"/>
      <c r="BI415" s="54"/>
      <c r="BJ415" s="0"/>
      <c r="BK415" s="0"/>
      <c r="BL415" s="0"/>
      <c r="BM415" s="0"/>
      <c r="BN415" s="0"/>
      <c r="BO415" s="0"/>
      <c r="BP415"/>
      <c r="BQ415"/>
      <c r="BR415"/>
      <c r="BS415"/>
      <c r="BT415"/>
      <c r="BU415"/>
      <c r="BV415"/>
      <c r="BW415"/>
      <c r="BX415"/>
      <c r="BY415"/>
      <c r="BZ415"/>
      <c r="CA415"/>
      <c r="CB415"/>
    </row>
    <row r="416" ht="15.0" customHeight="true">
      <c r="A416" s="51" t="s">
        <v>2448</v>
      </c>
      <c r="B416" s="33"/>
      <c r="C416" s="33" t="s">
        <v>5672</v>
      </c>
      <c r="D416" s="33"/>
      <c r="E416" s="33" t="s">
        <v>5171</v>
      </c>
      <c r="F416" s="33"/>
      <c r="G416" s="55" t="s">
        <v>5673</v>
      </c>
      <c r="H416" s="33"/>
      <c r="I416" s="51" t="s">
        <v>5674</v>
      </c>
      <c r="J416" s="33"/>
      <c r="K416" s="51" t="s">
        <v>5675</v>
      </c>
      <c r="L416" s="33" t="s">
        <v>2454</v>
      </c>
      <c r="M416" s="55" t="s">
        <v>5167</v>
      </c>
      <c r="N416" s="55" t="s">
        <v>3100</v>
      </c>
      <c r="O416" s="33" t="s">
        <v>2272</v>
      </c>
      <c r="P416" s="33" t="s">
        <v>2251</v>
      </c>
      <c r="Q416" s="33"/>
      <c r="R416" s="33" t="s">
        <v>2263</v>
      </c>
      <c r="S416" s="56" t="s">
        <v>2277</v>
      </c>
      <c r="T416" s="56"/>
      <c r="U416" s="56"/>
      <c r="V416" s="33" t="s">
        <v>2456</v>
      </c>
      <c r="W416" s="94" t="s">
        <v>2457</v>
      </c>
      <c r="X416" s="94" t="s">
        <v>2458</v>
      </c>
      <c r="Y416" s="51"/>
      <c r="Z416" s="51"/>
      <c r="AA416" s="33" t="s">
        <v>2459</v>
      </c>
      <c r="AB416" s="33" t="s">
        <v>2460</v>
      </c>
      <c r="AC416" s="33"/>
      <c r="AD416" s="33" t="s">
        <v>2254</v>
      </c>
      <c r="AE416" s="33"/>
      <c r="AF416" s="33" t="s">
        <v>2267</v>
      </c>
      <c r="AG416" s="33" t="s">
        <v>2461</v>
      </c>
      <c r="AH416" s="33"/>
      <c r="AI416" s="33"/>
      <c r="AJ416" s="33" t="s">
        <v>5676</v>
      </c>
      <c r="AK416" s="94"/>
      <c r="AL416" s="33" t="s">
        <v>5677</v>
      </c>
      <c r="AM416" s="33" t="s">
        <v>4179</v>
      </c>
      <c r="AN416" s="33" t="s">
        <v>2465</v>
      </c>
      <c r="AO416" s="51" t="s">
        <v>2466</v>
      </c>
      <c r="AP416" s="51" t="s">
        <v>207</v>
      </c>
      <c r="AQ416" s="33"/>
      <c r="AR416" s="54"/>
      <c r="AS416" s="54"/>
      <c r="AT416" s="54"/>
      <c r="AU416" s="54"/>
      <c r="AV416" s="54"/>
      <c r="AW416" s="54"/>
      <c r="AX416" s="54"/>
      <c r="AY416" s="54"/>
      <c r="AZ416" s="54"/>
      <c r="BA416" s="54"/>
      <c r="BB416" s="54"/>
      <c r="BC416" s="54"/>
      <c r="BD416" s="54" t="s">
        <v>2447</v>
      </c>
      <c r="BE416" s="54"/>
      <c r="BF416" s="54"/>
      <c r="BG416" s="54"/>
      <c r="BH416" s="54"/>
      <c r="BI416" s="54"/>
      <c r="BJ416" s="0"/>
      <c r="BK416" s="0"/>
      <c r="BL416" s="0"/>
      <c r="BM416" s="0"/>
      <c r="BN416" s="0"/>
      <c r="BO416" s="0"/>
      <c r="BP416"/>
      <c r="BQ416"/>
      <c r="BR416"/>
      <c r="BS416"/>
      <c r="BT416"/>
      <c r="BU416"/>
      <c r="BV416"/>
      <c r="BW416"/>
      <c r="BX416"/>
      <c r="BY416"/>
      <c r="BZ416"/>
      <c r="CA416"/>
      <c r="CB416"/>
    </row>
    <row r="417" ht="15.0" customHeight="true">
      <c r="A417" s="51" t="s">
        <v>2448</v>
      </c>
      <c r="B417" s="33"/>
      <c r="C417" s="33" t="s">
        <v>5678</v>
      </c>
      <c r="D417" s="33"/>
      <c r="E417" s="33" t="s">
        <v>5679</v>
      </c>
      <c r="F417" s="33"/>
      <c r="G417" s="55" t="s">
        <v>5680</v>
      </c>
      <c r="H417" s="33"/>
      <c r="I417" s="51" t="s">
        <v>5681</v>
      </c>
      <c r="J417" s="33"/>
      <c r="K417" s="51" t="s">
        <v>5682</v>
      </c>
      <c r="L417" s="33" t="s">
        <v>2484</v>
      </c>
      <c r="M417" s="55" t="s">
        <v>2780</v>
      </c>
      <c r="N417" s="55"/>
      <c r="O417" s="33"/>
      <c r="P417" s="33" t="s">
        <v>2251</v>
      </c>
      <c r="Q417" s="33"/>
      <c r="R417" s="33" t="s">
        <v>2263</v>
      </c>
      <c r="S417" s="56" t="s">
        <v>2277</v>
      </c>
      <c r="T417" s="56"/>
      <c r="U417" s="56"/>
      <c r="V417" s="33" t="s">
        <v>2456</v>
      </c>
      <c r="W417" s="94" t="s">
        <v>2457</v>
      </c>
      <c r="X417" s="94" t="s">
        <v>2474</v>
      </c>
      <c r="Y417" s="51"/>
      <c r="Z417" s="51"/>
      <c r="AA417" s="33" t="s">
        <v>2459</v>
      </c>
      <c r="AB417" s="33" t="s">
        <v>2460</v>
      </c>
      <c r="AC417" s="33" t="s">
        <v>2486</v>
      </c>
      <c r="AD417" s="33" t="s">
        <v>2254</v>
      </c>
      <c r="AE417" s="33"/>
      <c r="AF417" s="33" t="s">
        <v>2267</v>
      </c>
      <c r="AG417" s="33" t="s">
        <v>2461</v>
      </c>
      <c r="AH417" s="33"/>
      <c r="AI417" s="33"/>
      <c r="AJ417" s="33" t="s">
        <v>5683</v>
      </c>
      <c r="AK417" s="94"/>
      <c r="AL417" s="33" t="s">
        <v>5684</v>
      </c>
      <c r="AM417" s="33"/>
      <c r="AN417" s="33" t="s">
        <v>2465</v>
      </c>
      <c r="AO417" s="51" t="s">
        <v>2538</v>
      </c>
      <c r="AP417" s="51" t="s">
        <v>207</v>
      </c>
      <c r="AQ417" s="33"/>
      <c r="AR417" s="54"/>
      <c r="AS417" s="54"/>
      <c r="AT417" s="54"/>
      <c r="AU417" s="54"/>
      <c r="AV417" s="54"/>
      <c r="AW417" s="54"/>
      <c r="AX417" s="54"/>
      <c r="AY417" s="54"/>
      <c r="AZ417" s="54"/>
      <c r="BA417" s="54"/>
      <c r="BB417" s="54"/>
      <c r="BC417" s="54"/>
      <c r="BD417" s="54" t="s">
        <v>2447</v>
      </c>
      <c r="BE417" s="54"/>
      <c r="BF417" s="54"/>
      <c r="BG417" s="54"/>
      <c r="BH417" s="54"/>
      <c r="BI417" s="54"/>
      <c r="BJ417" s="0"/>
      <c r="BK417" s="0"/>
      <c r="BL417" s="0"/>
      <c r="BM417" s="0"/>
      <c r="BN417" s="0"/>
      <c r="BO417" s="0"/>
      <c r="BP417"/>
      <c r="BQ417"/>
      <c r="BR417"/>
      <c r="BS417"/>
      <c r="BT417"/>
      <c r="BU417"/>
      <c r="BV417"/>
      <c r="BW417"/>
      <c r="BX417"/>
      <c r="BY417"/>
      <c r="BZ417"/>
      <c r="CA417"/>
      <c r="CB417"/>
    </row>
    <row r="418" ht="15.0" customHeight="true">
      <c r="A418" s="51" t="s">
        <v>2448</v>
      </c>
      <c r="B418" s="33"/>
      <c r="C418" s="33" t="s">
        <v>4902</v>
      </c>
      <c r="D418" s="33"/>
      <c r="E418" s="33" t="s">
        <v>5685</v>
      </c>
      <c r="F418" s="33"/>
      <c r="G418" s="55" t="s">
        <v>5686</v>
      </c>
      <c r="H418" s="33"/>
      <c r="I418" s="51" t="s">
        <v>5687</v>
      </c>
      <c r="J418" s="33"/>
      <c r="K418" s="51" t="s">
        <v>5688</v>
      </c>
      <c r="L418" s="33" t="s">
        <v>2454</v>
      </c>
      <c r="M418" s="55" t="s">
        <v>5689</v>
      </c>
      <c r="N418" s="55" t="s">
        <v>3376</v>
      </c>
      <c r="O418" s="33" t="s">
        <v>2272</v>
      </c>
      <c r="P418" s="33" t="s">
        <v>2251</v>
      </c>
      <c r="Q418" s="33"/>
      <c r="R418" s="33" t="s">
        <v>2263</v>
      </c>
      <c r="S418" s="56" t="s">
        <v>2277</v>
      </c>
      <c r="T418" s="56"/>
      <c r="U418" s="56"/>
      <c r="V418" s="33" t="s">
        <v>2456</v>
      </c>
      <c r="W418" s="94" t="s">
        <v>2457</v>
      </c>
      <c r="X418" s="94" t="s">
        <v>2458</v>
      </c>
      <c r="Y418" s="51"/>
      <c r="Z418" s="51"/>
      <c r="AA418" s="33" t="s">
        <v>2459</v>
      </c>
      <c r="AB418" s="33" t="s">
        <v>2460</v>
      </c>
      <c r="AC418" s="33"/>
      <c r="AD418" s="33" t="s">
        <v>2254</v>
      </c>
      <c r="AE418" s="33"/>
      <c r="AF418" s="33" t="s">
        <v>2267</v>
      </c>
      <c r="AG418" s="33" t="s">
        <v>2461</v>
      </c>
      <c r="AH418" s="33"/>
      <c r="AI418" s="33"/>
      <c r="AJ418" s="33" t="s">
        <v>5690</v>
      </c>
      <c r="AK418" s="94"/>
      <c r="AL418" s="33" t="s">
        <v>5691</v>
      </c>
      <c r="AM418" s="33"/>
      <c r="AN418" s="33" t="s">
        <v>2588</v>
      </c>
      <c r="AO418" s="51" t="s">
        <v>2911</v>
      </c>
      <c r="AP418" s="51" t="s">
        <v>207</v>
      </c>
      <c r="AQ418" s="33"/>
      <c r="AR418" s="54"/>
      <c r="AS418" s="54"/>
      <c r="AT418" s="54"/>
      <c r="AU418" s="54"/>
      <c r="AV418" s="54"/>
      <c r="AW418" s="54"/>
      <c r="AX418" s="54"/>
      <c r="AY418" s="54"/>
      <c r="AZ418" s="54"/>
      <c r="BA418" s="54"/>
      <c r="BB418" s="54"/>
      <c r="BC418" s="54"/>
      <c r="BD418" s="54" t="s">
        <v>2447</v>
      </c>
      <c r="BE418" s="54"/>
      <c r="BF418" s="54"/>
      <c r="BG418" s="54"/>
      <c r="BH418" s="54"/>
      <c r="BI418" s="54"/>
      <c r="BJ418" s="0"/>
      <c r="BK418" s="0"/>
      <c r="BL418" s="0"/>
      <c r="BM418" s="0"/>
      <c r="BN418" s="0"/>
      <c r="BO418" s="0"/>
      <c r="BP418"/>
      <c r="BQ418"/>
      <c r="BR418"/>
      <c r="BS418"/>
      <c r="BT418"/>
      <c r="BU418"/>
      <c r="BV418"/>
      <c r="BW418"/>
      <c r="BX418"/>
      <c r="BY418"/>
      <c r="BZ418"/>
      <c r="CA418"/>
      <c r="CB418"/>
    </row>
    <row r="419" ht="15.0" customHeight="true">
      <c r="A419" s="51" t="s">
        <v>2448</v>
      </c>
      <c r="B419" s="33"/>
      <c r="C419" s="33" t="s">
        <v>4858</v>
      </c>
      <c r="D419" s="33"/>
      <c r="E419" s="33" t="s">
        <v>5692</v>
      </c>
      <c r="F419" s="33"/>
      <c r="G419" s="55" t="s">
        <v>5693</v>
      </c>
      <c r="H419" s="33"/>
      <c r="I419" s="51" t="s">
        <v>5694</v>
      </c>
      <c r="J419" s="33"/>
      <c r="K419" s="51" t="s">
        <v>5695</v>
      </c>
      <c r="L419" s="33" t="s">
        <v>2454</v>
      </c>
      <c r="M419" s="55" t="s">
        <v>3341</v>
      </c>
      <c r="N419" s="55" t="s">
        <v>3057</v>
      </c>
      <c r="O419" s="33" t="s">
        <v>2272</v>
      </c>
      <c r="P419" s="33" t="s">
        <v>2251</v>
      </c>
      <c r="Q419" s="33"/>
      <c r="R419" s="33" t="s">
        <v>2263</v>
      </c>
      <c r="S419" s="56" t="s">
        <v>2277</v>
      </c>
      <c r="T419" s="56"/>
      <c r="U419" s="56"/>
      <c r="V419" s="33" t="s">
        <v>2456</v>
      </c>
      <c r="W419" s="94" t="s">
        <v>2457</v>
      </c>
      <c r="X419" s="94" t="s">
        <v>2474</v>
      </c>
      <c r="Y419" s="51"/>
      <c r="Z419" s="51"/>
      <c r="AA419" s="33" t="s">
        <v>2459</v>
      </c>
      <c r="AB419" s="33" t="s">
        <v>2460</v>
      </c>
      <c r="AC419" s="33"/>
      <c r="AD419" s="33" t="s">
        <v>2254</v>
      </c>
      <c r="AE419" s="33"/>
      <c r="AF419" s="33" t="s">
        <v>2267</v>
      </c>
      <c r="AG419" s="33" t="s">
        <v>2461</v>
      </c>
      <c r="AH419" s="33"/>
      <c r="AI419" s="33"/>
      <c r="AJ419" s="33" t="s">
        <v>5696</v>
      </c>
      <c r="AK419" s="94"/>
      <c r="AL419" s="33" t="s">
        <v>5697</v>
      </c>
      <c r="AM419" s="33"/>
      <c r="AN419" s="33" t="s">
        <v>2465</v>
      </c>
      <c r="AO419" s="51" t="s">
        <v>2489</v>
      </c>
      <c r="AP419" s="51" t="s">
        <v>207</v>
      </c>
      <c r="AQ419" s="33"/>
      <c r="AR419" s="54"/>
      <c r="AS419" s="54"/>
      <c r="AT419" s="54"/>
      <c r="AU419" s="54"/>
      <c r="AV419" s="54"/>
      <c r="AW419" s="54"/>
      <c r="AX419" s="54"/>
      <c r="AY419" s="54"/>
      <c r="AZ419" s="54"/>
      <c r="BA419" s="54"/>
      <c r="BB419" s="54"/>
      <c r="BC419" s="54"/>
      <c r="BD419" s="54" t="s">
        <v>2447</v>
      </c>
      <c r="BE419" s="54"/>
      <c r="BF419" s="54"/>
      <c r="BG419" s="54"/>
      <c r="BH419" s="54"/>
      <c r="BI419" s="54"/>
      <c r="BJ419" s="0"/>
      <c r="BK419" s="0"/>
      <c r="BL419" s="0"/>
      <c r="BM419" s="0"/>
      <c r="BN419" s="0"/>
      <c r="BO419" s="0"/>
      <c r="BP419"/>
      <c r="BQ419"/>
      <c r="BR419"/>
      <c r="BS419"/>
      <c r="BT419"/>
      <c r="BU419"/>
      <c r="BV419"/>
      <c r="BW419"/>
      <c r="BX419"/>
      <c r="BY419"/>
      <c r="BZ419"/>
      <c r="CA419"/>
      <c r="CB419"/>
    </row>
    <row r="420" ht="15.0" customHeight="true">
      <c r="A420" s="51" t="s">
        <v>2448</v>
      </c>
      <c r="B420" s="33"/>
      <c r="C420" s="33" t="s">
        <v>4523</v>
      </c>
      <c r="D420" s="33"/>
      <c r="E420" s="33" t="s">
        <v>2480</v>
      </c>
      <c r="F420" s="33"/>
      <c r="G420" s="55" t="s">
        <v>5698</v>
      </c>
      <c r="H420" s="33"/>
      <c r="I420" s="51" t="s">
        <v>5699</v>
      </c>
      <c r="J420" s="33"/>
      <c r="K420" s="51" t="s">
        <v>5700</v>
      </c>
      <c r="L420" s="33" t="s">
        <v>2484</v>
      </c>
      <c r="M420" s="55" t="s">
        <v>5701</v>
      </c>
      <c r="N420" s="55"/>
      <c r="O420" s="33"/>
      <c r="P420" s="33" t="s">
        <v>2251</v>
      </c>
      <c r="Q420" s="33"/>
      <c r="R420" s="33" t="s">
        <v>2263</v>
      </c>
      <c r="S420" s="56" t="s">
        <v>2277</v>
      </c>
      <c r="T420" s="56"/>
      <c r="U420" s="56"/>
      <c r="V420" s="33" t="s">
        <v>2456</v>
      </c>
      <c r="W420" s="94" t="s">
        <v>2457</v>
      </c>
      <c r="X420" s="94" t="s">
        <v>2474</v>
      </c>
      <c r="Y420" s="51"/>
      <c r="Z420" s="51"/>
      <c r="AA420" s="33" t="s">
        <v>2459</v>
      </c>
      <c r="AB420" s="33" t="s">
        <v>2460</v>
      </c>
      <c r="AC420" s="33" t="s">
        <v>2486</v>
      </c>
      <c r="AD420" s="33" t="s">
        <v>2254</v>
      </c>
      <c r="AE420" s="33"/>
      <c r="AF420" s="33" t="s">
        <v>2267</v>
      </c>
      <c r="AG420" s="33" t="s">
        <v>2461</v>
      </c>
      <c r="AH420" s="33"/>
      <c r="AI420" s="33"/>
      <c r="AJ420" s="33" t="s">
        <v>5702</v>
      </c>
      <c r="AK420" s="94"/>
      <c r="AL420" s="33" t="s">
        <v>5703</v>
      </c>
      <c r="AM420" s="33"/>
      <c r="AN420" s="33" t="s">
        <v>2588</v>
      </c>
      <c r="AO420" s="51" t="s">
        <v>2911</v>
      </c>
      <c r="AP420" s="51" t="s">
        <v>207</v>
      </c>
      <c r="AQ420" s="33"/>
      <c r="AR420" s="54"/>
      <c r="AS420" s="54"/>
      <c r="AT420" s="54"/>
      <c r="AU420" s="54"/>
      <c r="AV420" s="54"/>
      <c r="AW420" s="54"/>
      <c r="AX420" s="54"/>
      <c r="AY420" s="54"/>
      <c r="AZ420" s="54"/>
      <c r="BA420" s="54"/>
      <c r="BB420" s="54"/>
      <c r="BC420" s="54"/>
      <c r="BD420" s="54" t="s">
        <v>2447</v>
      </c>
      <c r="BE420" s="54"/>
      <c r="BF420" s="54"/>
      <c r="BG420" s="54"/>
      <c r="BH420" s="54"/>
      <c r="BI420" s="54"/>
      <c r="BJ420" s="0"/>
      <c r="BK420" s="0"/>
      <c r="BL420" s="0"/>
      <c r="BM420" s="0"/>
      <c r="BN420" s="0"/>
      <c r="BO420" s="0"/>
      <c r="BP420"/>
      <c r="BQ420"/>
      <c r="BR420"/>
      <c r="BS420"/>
      <c r="BT420"/>
      <c r="BU420"/>
      <c r="BV420"/>
      <c r="BW420"/>
      <c r="BX420"/>
      <c r="BY420"/>
      <c r="BZ420"/>
      <c r="CA420"/>
      <c r="CB420"/>
    </row>
    <row r="421" ht="15.0" customHeight="true">
      <c r="A421" s="51" t="s">
        <v>2448</v>
      </c>
      <c r="B421" s="33"/>
      <c r="C421" s="33" t="s">
        <v>5704</v>
      </c>
      <c r="D421" s="33"/>
      <c r="E421" s="33" t="s">
        <v>5705</v>
      </c>
      <c r="F421" s="33"/>
      <c r="G421" s="55" t="s">
        <v>5706</v>
      </c>
      <c r="H421" s="33"/>
      <c r="I421" s="51" t="s">
        <v>5707</v>
      </c>
      <c r="J421" s="33"/>
      <c r="K421" s="51" t="s">
        <v>5708</v>
      </c>
      <c r="L421" s="33" t="s">
        <v>2454</v>
      </c>
      <c r="M421" s="55" t="s">
        <v>4447</v>
      </c>
      <c r="N421" s="55" t="s">
        <v>3474</v>
      </c>
      <c r="O421" s="33" t="s">
        <v>2272</v>
      </c>
      <c r="P421" s="33" t="s">
        <v>2251</v>
      </c>
      <c r="Q421" s="33"/>
      <c r="R421" s="33" t="s">
        <v>2263</v>
      </c>
      <c r="S421" s="56" t="s">
        <v>2277</v>
      </c>
      <c r="T421" s="56"/>
      <c r="U421" s="56"/>
      <c r="V421" s="33" t="s">
        <v>2456</v>
      </c>
      <c r="W421" s="94" t="s">
        <v>2457</v>
      </c>
      <c r="X421" s="94" t="s">
        <v>2458</v>
      </c>
      <c r="Y421" s="51"/>
      <c r="Z421" s="51"/>
      <c r="AA421" s="33" t="s">
        <v>2459</v>
      </c>
      <c r="AB421" s="33" t="s">
        <v>2460</v>
      </c>
      <c r="AC421" s="33"/>
      <c r="AD421" s="33" t="s">
        <v>2254</v>
      </c>
      <c r="AE421" s="33"/>
      <c r="AF421" s="33" t="s">
        <v>2267</v>
      </c>
      <c r="AG421" s="33" t="s">
        <v>2461</v>
      </c>
      <c r="AH421" s="33"/>
      <c r="AI421" s="33"/>
      <c r="AJ421" s="33" t="s">
        <v>5709</v>
      </c>
      <c r="AK421" s="94"/>
      <c r="AL421" s="33" t="s">
        <v>5481</v>
      </c>
      <c r="AM421" s="33" t="s">
        <v>5710</v>
      </c>
      <c r="AN421" s="33" t="s">
        <v>2465</v>
      </c>
      <c r="AO421" s="51" t="s">
        <v>2489</v>
      </c>
      <c r="AP421" s="51" t="s">
        <v>207</v>
      </c>
      <c r="AQ421" s="33"/>
      <c r="AR421" s="54"/>
      <c r="AS421" s="54"/>
      <c r="AT421" s="54"/>
      <c r="AU421" s="54"/>
      <c r="AV421" s="54"/>
      <c r="AW421" s="54"/>
      <c r="AX421" s="54"/>
      <c r="AY421" s="54"/>
      <c r="AZ421" s="54"/>
      <c r="BA421" s="54"/>
      <c r="BB421" s="54"/>
      <c r="BC421" s="54"/>
      <c r="BD421" s="54" t="s">
        <v>2447</v>
      </c>
      <c r="BE421" s="54"/>
      <c r="BF421" s="54"/>
      <c r="BG421" s="54"/>
      <c r="BH421" s="54"/>
      <c r="BI421" s="54"/>
      <c r="BJ421" s="0"/>
      <c r="BK421" s="0"/>
      <c r="BL421" s="0"/>
      <c r="BM421" s="0"/>
      <c r="BN421" s="0"/>
      <c r="BO421" s="0"/>
      <c r="BP421"/>
      <c r="BQ421"/>
      <c r="BR421"/>
      <c r="BS421"/>
      <c r="BT421"/>
      <c r="BU421"/>
      <c r="BV421"/>
      <c r="BW421"/>
      <c r="BX421"/>
      <c r="BY421"/>
      <c r="BZ421"/>
      <c r="CA421"/>
      <c r="CB421"/>
    </row>
    <row r="422" ht="15.0" customHeight="true">
      <c r="A422" s="51" t="s">
        <v>2448</v>
      </c>
      <c r="B422" s="33"/>
      <c r="C422" s="33" t="s">
        <v>5711</v>
      </c>
      <c r="D422" s="33"/>
      <c r="E422" s="33" t="s">
        <v>5712</v>
      </c>
      <c r="F422" s="33"/>
      <c r="G422" s="55" t="s">
        <v>5713</v>
      </c>
      <c r="H422" s="33"/>
      <c r="I422" s="51" t="s">
        <v>5714</v>
      </c>
      <c r="J422" s="33"/>
      <c r="K422" s="51" t="s">
        <v>5715</v>
      </c>
      <c r="L422" s="33" t="s">
        <v>2454</v>
      </c>
      <c r="M422" s="55" t="s">
        <v>5716</v>
      </c>
      <c r="N422" s="55" t="s">
        <v>5716</v>
      </c>
      <c r="O422" s="33" t="s">
        <v>2272</v>
      </c>
      <c r="P422" s="33" t="s">
        <v>2251</v>
      </c>
      <c r="Q422" s="33"/>
      <c r="R422" s="33" t="s">
        <v>2263</v>
      </c>
      <c r="S422" s="56" t="s">
        <v>2277</v>
      </c>
      <c r="T422" s="56"/>
      <c r="U422" s="56"/>
      <c r="V422" s="33" t="s">
        <v>2456</v>
      </c>
      <c r="W422" s="94" t="s">
        <v>2457</v>
      </c>
      <c r="X422" s="94" t="s">
        <v>2458</v>
      </c>
      <c r="Y422" s="51"/>
      <c r="Z422" s="51"/>
      <c r="AA422" s="33" t="s">
        <v>2459</v>
      </c>
      <c r="AB422" s="33" t="s">
        <v>2460</v>
      </c>
      <c r="AC422" s="33"/>
      <c r="AD422" s="33" t="s">
        <v>2254</v>
      </c>
      <c r="AE422" s="33"/>
      <c r="AF422" s="33" t="s">
        <v>2267</v>
      </c>
      <c r="AG422" s="33" t="s">
        <v>2461</v>
      </c>
      <c r="AH422" s="33"/>
      <c r="AI422" s="33"/>
      <c r="AJ422" s="33" t="s">
        <v>5717</v>
      </c>
      <c r="AK422" s="94"/>
      <c r="AL422" s="33" t="s">
        <v>5718</v>
      </c>
      <c r="AM422" s="33"/>
      <c r="AN422" s="33" t="s">
        <v>2465</v>
      </c>
      <c r="AO422" s="51" t="s">
        <v>2466</v>
      </c>
      <c r="AP422" s="51" t="s">
        <v>207</v>
      </c>
      <c r="AQ422" s="33"/>
      <c r="AR422" s="54"/>
      <c r="AS422" s="54"/>
      <c r="AT422" s="54"/>
      <c r="AU422" s="54"/>
      <c r="AV422" s="54"/>
      <c r="AW422" s="54"/>
      <c r="AX422" s="54"/>
      <c r="AY422" s="54"/>
      <c r="AZ422" s="54"/>
      <c r="BA422" s="54"/>
      <c r="BB422" s="54"/>
      <c r="BC422" s="54"/>
      <c r="BD422" s="54" t="s">
        <v>2447</v>
      </c>
      <c r="BE422" s="54"/>
      <c r="BF422" s="54"/>
      <c r="BG422" s="54"/>
      <c r="BH422" s="54"/>
      <c r="BI422" s="54"/>
      <c r="BJ422" s="0"/>
      <c r="BK422" s="0"/>
      <c r="BL422" s="0"/>
      <c r="BM422" s="0"/>
      <c r="BN422" s="0"/>
      <c r="BO422" s="0"/>
      <c r="BP422"/>
      <c r="BQ422"/>
      <c r="BR422"/>
      <c r="BS422"/>
      <c r="BT422"/>
      <c r="BU422"/>
      <c r="BV422"/>
      <c r="BW422"/>
      <c r="BX422"/>
      <c r="BY422"/>
      <c r="BZ422"/>
      <c r="CA422"/>
      <c r="CB422"/>
    </row>
    <row r="423" ht="15.0" customHeight="true">
      <c r="A423" s="51" t="s">
        <v>2448</v>
      </c>
      <c r="B423" s="33"/>
      <c r="C423" s="33" t="s">
        <v>5719</v>
      </c>
      <c r="D423" s="33"/>
      <c r="E423" s="33" t="s">
        <v>5720</v>
      </c>
      <c r="F423" s="33"/>
      <c r="G423" s="55" t="s">
        <v>5721</v>
      </c>
      <c r="H423" s="33"/>
      <c r="I423" s="51" t="s">
        <v>5722</v>
      </c>
      <c r="J423" s="33"/>
      <c r="K423" s="51" t="s">
        <v>5723</v>
      </c>
      <c r="L423" s="33" t="s">
        <v>2454</v>
      </c>
      <c r="M423" s="55" t="s">
        <v>3569</v>
      </c>
      <c r="N423" s="55" t="s">
        <v>5724</v>
      </c>
      <c r="O423" s="33" t="s">
        <v>2272</v>
      </c>
      <c r="P423" s="33" t="s">
        <v>2251</v>
      </c>
      <c r="Q423" s="33"/>
      <c r="R423" s="33" t="s">
        <v>2263</v>
      </c>
      <c r="S423" s="56" t="s">
        <v>2277</v>
      </c>
      <c r="T423" s="56"/>
      <c r="U423" s="56"/>
      <c r="V423" s="33" t="s">
        <v>2456</v>
      </c>
      <c r="W423" s="94" t="s">
        <v>2457</v>
      </c>
      <c r="X423" s="94" t="s">
        <v>2458</v>
      </c>
      <c r="Y423" s="51"/>
      <c r="Z423" s="51"/>
      <c r="AA423" s="33" t="s">
        <v>2459</v>
      </c>
      <c r="AB423" s="33" t="s">
        <v>2460</v>
      </c>
      <c r="AC423" s="33"/>
      <c r="AD423" s="33" t="s">
        <v>2254</v>
      </c>
      <c r="AE423" s="33"/>
      <c r="AF423" s="33" t="s">
        <v>2267</v>
      </c>
      <c r="AG423" s="33" t="s">
        <v>2461</v>
      </c>
      <c r="AH423" s="33"/>
      <c r="AI423" s="33"/>
      <c r="AJ423" s="33" t="s">
        <v>5725</v>
      </c>
      <c r="AK423" s="94"/>
      <c r="AL423" s="33" t="s">
        <v>5726</v>
      </c>
      <c r="AM423" s="33" t="s">
        <v>5727</v>
      </c>
      <c r="AN423" s="33" t="s">
        <v>2465</v>
      </c>
      <c r="AO423" s="51" t="s">
        <v>2538</v>
      </c>
      <c r="AP423" s="51" t="s">
        <v>207</v>
      </c>
      <c r="AQ423" s="33"/>
      <c r="AR423" s="54"/>
      <c r="AS423" s="54"/>
      <c r="AT423" s="54"/>
      <c r="AU423" s="54"/>
      <c r="AV423" s="54"/>
      <c r="AW423" s="54"/>
      <c r="AX423" s="54"/>
      <c r="AY423" s="54"/>
      <c r="AZ423" s="54"/>
      <c r="BA423" s="54"/>
      <c r="BB423" s="54"/>
      <c r="BC423" s="54"/>
      <c r="BD423" s="54" t="s">
        <v>2447</v>
      </c>
      <c r="BE423" s="54"/>
      <c r="BF423" s="54"/>
      <c r="BG423" s="54"/>
      <c r="BH423" s="54"/>
      <c r="BI423" s="54"/>
      <c r="BJ423" s="0"/>
      <c r="BK423" s="0"/>
      <c r="BL423" s="0"/>
      <c r="BM423" s="0"/>
      <c r="BN423" s="0"/>
      <c r="BO423" s="0"/>
      <c r="BP423"/>
      <c r="BQ423"/>
      <c r="BR423"/>
      <c r="BS423"/>
      <c r="BT423"/>
      <c r="BU423"/>
      <c r="BV423"/>
      <c r="BW423"/>
      <c r="BX423"/>
      <c r="BY423"/>
      <c r="BZ423"/>
      <c r="CA423"/>
      <c r="CB423"/>
    </row>
    <row r="424" ht="15.0" customHeight="true">
      <c r="A424" s="51" t="s">
        <v>2448</v>
      </c>
      <c r="B424" s="33"/>
      <c r="C424" s="33" t="s">
        <v>3793</v>
      </c>
      <c r="D424" s="33"/>
      <c r="E424" s="33" t="s">
        <v>5728</v>
      </c>
      <c r="F424" s="33"/>
      <c r="G424" s="55" t="s">
        <v>5729</v>
      </c>
      <c r="H424" s="33"/>
      <c r="I424" s="51" t="s">
        <v>5730</v>
      </c>
      <c r="J424" s="33"/>
      <c r="K424" s="51" t="s">
        <v>5731</v>
      </c>
      <c r="L424" s="33" t="s">
        <v>2454</v>
      </c>
      <c r="M424" s="55" t="s">
        <v>5634</v>
      </c>
      <c r="N424" s="55" t="s">
        <v>4942</v>
      </c>
      <c r="O424" s="33" t="s">
        <v>2272</v>
      </c>
      <c r="P424" s="33" t="s">
        <v>2251</v>
      </c>
      <c r="Q424" s="33"/>
      <c r="R424" s="33" t="s">
        <v>2263</v>
      </c>
      <c r="S424" s="56" t="s">
        <v>2277</v>
      </c>
      <c r="T424" s="56"/>
      <c r="U424" s="56"/>
      <c r="V424" s="33" t="s">
        <v>2456</v>
      </c>
      <c r="W424" s="94" t="s">
        <v>2457</v>
      </c>
      <c r="X424" s="94" t="s">
        <v>2474</v>
      </c>
      <c r="Y424" s="51"/>
      <c r="Z424" s="51"/>
      <c r="AA424" s="33" t="s">
        <v>2459</v>
      </c>
      <c r="AB424" s="33" t="s">
        <v>2460</v>
      </c>
      <c r="AC424" s="33"/>
      <c r="AD424" s="33" t="s">
        <v>2254</v>
      </c>
      <c r="AE424" s="33"/>
      <c r="AF424" s="33" t="s">
        <v>2267</v>
      </c>
      <c r="AG424" s="33" t="s">
        <v>2461</v>
      </c>
      <c r="AH424" s="33"/>
      <c r="AI424" s="33"/>
      <c r="AJ424" s="33" t="s">
        <v>5732</v>
      </c>
      <c r="AK424" s="94"/>
      <c r="AL424" s="33" t="s">
        <v>5733</v>
      </c>
      <c r="AM424" s="33"/>
      <c r="AN424" s="33" t="s">
        <v>2465</v>
      </c>
      <c r="AO424" s="51" t="s">
        <v>2673</v>
      </c>
      <c r="AP424" s="51" t="s">
        <v>207</v>
      </c>
      <c r="AQ424" s="33"/>
      <c r="AR424" s="54"/>
      <c r="AS424" s="54"/>
      <c r="AT424" s="54"/>
      <c r="AU424" s="54"/>
      <c r="AV424" s="54"/>
      <c r="AW424" s="54"/>
      <c r="AX424" s="54"/>
      <c r="AY424" s="54"/>
      <c r="AZ424" s="54"/>
      <c r="BA424" s="54"/>
      <c r="BB424" s="54"/>
      <c r="BC424" s="54"/>
      <c r="BD424" s="54" t="s">
        <v>2447</v>
      </c>
      <c r="BE424" s="54"/>
      <c r="BF424" s="54"/>
      <c r="BG424" s="54"/>
      <c r="BH424" s="54"/>
      <c r="BI424" s="54"/>
      <c r="BJ424" s="0"/>
      <c r="BK424" s="0"/>
      <c r="BL424" s="0"/>
      <c r="BM424" s="0"/>
      <c r="BN424" s="0"/>
      <c r="BO424" s="0"/>
      <c r="BP424"/>
      <c r="BQ424"/>
      <c r="BR424"/>
      <c r="BS424"/>
      <c r="BT424"/>
      <c r="BU424"/>
      <c r="BV424"/>
      <c r="BW424"/>
      <c r="BX424"/>
      <c r="BY424"/>
      <c r="BZ424"/>
      <c r="CA424"/>
      <c r="CB424"/>
    </row>
    <row r="425" ht="15.0" customHeight="true">
      <c r="A425" s="51" t="s">
        <v>2448</v>
      </c>
      <c r="B425" s="33"/>
      <c r="C425" s="33" t="s">
        <v>5734</v>
      </c>
      <c r="D425" s="33"/>
      <c r="E425" s="33" t="s">
        <v>2039</v>
      </c>
      <c r="F425" s="33"/>
      <c r="G425" s="55" t="s">
        <v>5735</v>
      </c>
      <c r="H425" s="33"/>
      <c r="I425" s="51" t="s">
        <v>5736</v>
      </c>
      <c r="J425" s="33"/>
      <c r="K425" s="51" t="s">
        <v>5737</v>
      </c>
      <c r="L425" s="33" t="s">
        <v>2454</v>
      </c>
      <c r="M425" s="55" t="s">
        <v>5738</v>
      </c>
      <c r="N425" s="55" t="s">
        <v>4462</v>
      </c>
      <c r="O425" s="33" t="s">
        <v>2272</v>
      </c>
      <c r="P425" s="33" t="s">
        <v>2251</v>
      </c>
      <c r="Q425" s="33"/>
      <c r="R425" s="33" t="s">
        <v>2263</v>
      </c>
      <c r="S425" s="56" t="s">
        <v>2277</v>
      </c>
      <c r="T425" s="56"/>
      <c r="U425" s="56"/>
      <c r="V425" s="33" t="s">
        <v>2456</v>
      </c>
      <c r="W425" s="94" t="s">
        <v>2457</v>
      </c>
      <c r="X425" s="94" t="s">
        <v>2458</v>
      </c>
      <c r="Y425" s="51"/>
      <c r="Z425" s="51"/>
      <c r="AA425" s="33" t="s">
        <v>2459</v>
      </c>
      <c r="AB425" s="33" t="s">
        <v>2460</v>
      </c>
      <c r="AC425" s="33"/>
      <c r="AD425" s="33" t="s">
        <v>2254</v>
      </c>
      <c r="AE425" s="33"/>
      <c r="AF425" s="33" t="s">
        <v>2267</v>
      </c>
      <c r="AG425" s="33" t="s">
        <v>2461</v>
      </c>
      <c r="AH425" s="33"/>
      <c r="AI425" s="33"/>
      <c r="AJ425" s="33" t="s">
        <v>5739</v>
      </c>
      <c r="AK425" s="94"/>
      <c r="AL425" s="33" t="s">
        <v>5740</v>
      </c>
      <c r="AM425" s="33"/>
      <c r="AN425" s="33" t="s">
        <v>2465</v>
      </c>
      <c r="AO425" s="51" t="s">
        <v>2548</v>
      </c>
      <c r="AP425" s="51" t="s">
        <v>207</v>
      </c>
      <c r="AQ425" s="33"/>
      <c r="AR425" s="54"/>
      <c r="AS425" s="54"/>
      <c r="AT425" s="54"/>
      <c r="AU425" s="54"/>
      <c r="AV425" s="54"/>
      <c r="AW425" s="54"/>
      <c r="AX425" s="54"/>
      <c r="AY425" s="54"/>
      <c r="AZ425" s="54"/>
      <c r="BA425" s="54"/>
      <c r="BB425" s="54"/>
      <c r="BC425" s="54"/>
      <c r="BD425" s="54" t="s">
        <v>2447</v>
      </c>
      <c r="BE425" s="54"/>
      <c r="BF425" s="54"/>
      <c r="BG425" s="54"/>
      <c r="BH425" s="54"/>
      <c r="BI425" s="54"/>
      <c r="BJ425" s="0"/>
      <c r="BK425" s="0"/>
      <c r="BL425" s="0"/>
      <c r="BM425" s="0"/>
      <c r="BN425" s="0"/>
      <c r="BO425" s="0"/>
      <c r="BP425"/>
      <c r="BQ425"/>
      <c r="BR425"/>
      <c r="BS425"/>
      <c r="BT425"/>
      <c r="BU425"/>
      <c r="BV425"/>
      <c r="BW425"/>
      <c r="BX425"/>
      <c r="BY425"/>
      <c r="BZ425"/>
      <c r="CA425"/>
      <c r="CB425"/>
    </row>
    <row r="426" ht="15.0" customHeight="true">
      <c r="A426" s="51" t="s">
        <v>2448</v>
      </c>
      <c r="B426" s="33"/>
      <c r="C426" s="33" t="s">
        <v>4858</v>
      </c>
      <c r="D426" s="33"/>
      <c r="E426" s="33" t="s">
        <v>5408</v>
      </c>
      <c r="F426" s="33"/>
      <c r="G426" s="55" t="s">
        <v>5741</v>
      </c>
      <c r="H426" s="33"/>
      <c r="I426" s="51" t="s">
        <v>5742</v>
      </c>
      <c r="J426" s="33"/>
      <c r="K426" s="51" t="s">
        <v>5743</v>
      </c>
      <c r="L426" s="33" t="s">
        <v>2454</v>
      </c>
      <c r="M426" s="55" t="s">
        <v>3544</v>
      </c>
      <c r="N426" s="55" t="s">
        <v>2534</v>
      </c>
      <c r="O426" s="33" t="s">
        <v>2272</v>
      </c>
      <c r="P426" s="33" t="s">
        <v>2251</v>
      </c>
      <c r="Q426" s="33"/>
      <c r="R426" s="33" t="s">
        <v>2263</v>
      </c>
      <c r="S426" s="56" t="s">
        <v>2277</v>
      </c>
      <c r="T426" s="56"/>
      <c r="U426" s="56"/>
      <c r="V426" s="33" t="s">
        <v>2456</v>
      </c>
      <c r="W426" s="94" t="s">
        <v>2457</v>
      </c>
      <c r="X426" s="94" t="s">
        <v>2474</v>
      </c>
      <c r="Y426" s="51"/>
      <c r="Z426" s="51"/>
      <c r="AA426" s="33" t="s">
        <v>2459</v>
      </c>
      <c r="AB426" s="33" t="s">
        <v>2460</v>
      </c>
      <c r="AC426" s="33"/>
      <c r="AD426" s="33" t="s">
        <v>2254</v>
      </c>
      <c r="AE426" s="33"/>
      <c r="AF426" s="33" t="s">
        <v>2267</v>
      </c>
      <c r="AG426" s="33" t="s">
        <v>2461</v>
      </c>
      <c r="AH426" s="33"/>
      <c r="AI426" s="33"/>
      <c r="AJ426" s="33" t="s">
        <v>5744</v>
      </c>
      <c r="AK426" s="94"/>
      <c r="AL426" s="33" t="s">
        <v>5745</v>
      </c>
      <c r="AM426" s="33"/>
      <c r="AN426" s="33" t="s">
        <v>2577</v>
      </c>
      <c r="AO426" s="51" t="s">
        <v>2578</v>
      </c>
      <c r="AP426" s="51" t="s">
        <v>207</v>
      </c>
      <c r="AQ426" s="33"/>
      <c r="AR426" s="54"/>
      <c r="AS426" s="54"/>
      <c r="AT426" s="54"/>
      <c r="AU426" s="54"/>
      <c r="AV426" s="54"/>
      <c r="AW426" s="54"/>
      <c r="AX426" s="54"/>
      <c r="AY426" s="54"/>
      <c r="AZ426" s="54"/>
      <c r="BA426" s="54"/>
      <c r="BB426" s="54"/>
      <c r="BC426" s="54"/>
      <c r="BD426" s="54" t="s">
        <v>2447</v>
      </c>
      <c r="BE426" s="54"/>
      <c r="BF426" s="54"/>
      <c r="BG426" s="54"/>
      <c r="BH426" s="54"/>
      <c r="BI426" s="54"/>
      <c r="BJ426" s="0"/>
      <c r="BK426" s="0"/>
      <c r="BL426" s="0"/>
      <c r="BM426" s="0"/>
      <c r="BN426" s="0"/>
      <c r="BO426" s="0"/>
      <c r="BP426"/>
      <c r="BQ426"/>
      <c r="BR426"/>
      <c r="BS426"/>
      <c r="BT426"/>
      <c r="BU426"/>
      <c r="BV426"/>
      <c r="BW426"/>
      <c r="BX426"/>
      <c r="BY426"/>
      <c r="BZ426"/>
      <c r="CA426"/>
      <c r="CB426"/>
    </row>
    <row r="427" ht="15.0" customHeight="true">
      <c r="A427" s="51" t="s">
        <v>2448</v>
      </c>
      <c r="B427" s="33"/>
      <c r="C427" s="33" t="s">
        <v>5746</v>
      </c>
      <c r="D427" s="33"/>
      <c r="E427" s="33" t="s">
        <v>5747</v>
      </c>
      <c r="F427" s="33"/>
      <c r="G427" s="55" t="s">
        <v>5748</v>
      </c>
      <c r="H427" s="33"/>
      <c r="I427" s="51" t="s">
        <v>5749</v>
      </c>
      <c r="J427" s="33"/>
      <c r="K427" s="51" t="s">
        <v>5750</v>
      </c>
      <c r="L427" s="33" t="s">
        <v>2454</v>
      </c>
      <c r="M427" s="55" t="s">
        <v>3224</v>
      </c>
      <c r="N427" s="55" t="s">
        <v>3888</v>
      </c>
      <c r="O427" s="33" t="s">
        <v>2272</v>
      </c>
      <c r="P427" s="33" t="s">
        <v>2251</v>
      </c>
      <c r="Q427" s="33"/>
      <c r="R427" s="33" t="s">
        <v>2263</v>
      </c>
      <c r="S427" s="56" t="s">
        <v>2277</v>
      </c>
      <c r="T427" s="56"/>
      <c r="U427" s="56"/>
      <c r="V427" s="33" t="s">
        <v>2456</v>
      </c>
      <c r="W427" s="94" t="s">
        <v>2457</v>
      </c>
      <c r="X427" s="94" t="s">
        <v>2458</v>
      </c>
      <c r="Y427" s="51"/>
      <c r="Z427" s="51"/>
      <c r="AA427" s="33" t="s">
        <v>2459</v>
      </c>
      <c r="AB427" s="33" t="s">
        <v>2460</v>
      </c>
      <c r="AC427" s="33"/>
      <c r="AD427" s="33" t="s">
        <v>2254</v>
      </c>
      <c r="AE427" s="33"/>
      <c r="AF427" s="33" t="s">
        <v>2267</v>
      </c>
      <c r="AG427" s="33" t="s">
        <v>2461</v>
      </c>
      <c r="AH427" s="33"/>
      <c r="AI427" s="33"/>
      <c r="AJ427" s="33" t="s">
        <v>5751</v>
      </c>
      <c r="AK427" s="94"/>
      <c r="AL427" s="33" t="s">
        <v>5752</v>
      </c>
      <c r="AM427" s="33" t="s">
        <v>5753</v>
      </c>
      <c r="AN427" s="33" t="s">
        <v>2465</v>
      </c>
      <c r="AO427" s="51" t="s">
        <v>2500</v>
      </c>
      <c r="AP427" s="51" t="s">
        <v>207</v>
      </c>
      <c r="AQ427" s="33"/>
      <c r="AR427" s="54"/>
      <c r="AS427" s="54"/>
      <c r="AT427" s="54"/>
      <c r="AU427" s="54"/>
      <c r="AV427" s="54"/>
      <c r="AW427" s="54"/>
      <c r="AX427" s="54"/>
      <c r="AY427" s="54"/>
      <c r="AZ427" s="54"/>
      <c r="BA427" s="54"/>
      <c r="BB427" s="54"/>
      <c r="BC427" s="54"/>
      <c r="BD427" s="54" t="s">
        <v>2447</v>
      </c>
      <c r="BE427" s="54"/>
      <c r="BF427" s="54"/>
      <c r="BG427" s="54"/>
      <c r="BH427" s="54"/>
      <c r="BI427" s="54"/>
      <c r="BJ427" s="0"/>
      <c r="BK427" s="0"/>
      <c r="BL427" s="0"/>
      <c r="BM427" s="0"/>
      <c r="BN427" s="0"/>
      <c r="BO427" s="0"/>
      <c r="BP427"/>
      <c r="BQ427"/>
      <c r="BR427"/>
      <c r="BS427"/>
      <c r="BT427"/>
      <c r="BU427"/>
      <c r="BV427"/>
      <c r="BW427"/>
      <c r="BX427"/>
      <c r="BY427"/>
      <c r="BZ427"/>
      <c r="CA427"/>
      <c r="CB427"/>
    </row>
    <row r="428" ht="15.0" customHeight="true">
      <c r="A428" s="51" t="s">
        <v>2448</v>
      </c>
      <c r="B428" s="33"/>
      <c r="C428" s="33" t="s">
        <v>5754</v>
      </c>
      <c r="D428" s="33"/>
      <c r="E428" s="33" t="s">
        <v>5755</v>
      </c>
      <c r="F428" s="33"/>
      <c r="G428" s="55" t="s">
        <v>5756</v>
      </c>
      <c r="H428" s="33"/>
      <c r="I428" s="51" t="s">
        <v>5757</v>
      </c>
      <c r="J428" s="33"/>
      <c r="K428" s="51" t="s">
        <v>5758</v>
      </c>
      <c r="L428" s="33" t="s">
        <v>2454</v>
      </c>
      <c r="M428" s="55" t="s">
        <v>2563</v>
      </c>
      <c r="N428" s="55" t="s">
        <v>3710</v>
      </c>
      <c r="O428" s="33" t="s">
        <v>2272</v>
      </c>
      <c r="P428" s="33" t="s">
        <v>2251</v>
      </c>
      <c r="Q428" s="33"/>
      <c r="R428" s="33" t="s">
        <v>2263</v>
      </c>
      <c r="S428" s="56" t="s">
        <v>2277</v>
      </c>
      <c r="T428" s="56"/>
      <c r="U428" s="56"/>
      <c r="V428" s="33" t="s">
        <v>2456</v>
      </c>
      <c r="W428" s="94" t="s">
        <v>2457</v>
      </c>
      <c r="X428" s="94" t="s">
        <v>2458</v>
      </c>
      <c r="Y428" s="51"/>
      <c r="Z428" s="51"/>
      <c r="AA428" s="33" t="s">
        <v>2459</v>
      </c>
      <c r="AB428" s="33" t="s">
        <v>2460</v>
      </c>
      <c r="AC428" s="33"/>
      <c r="AD428" s="33" t="s">
        <v>2254</v>
      </c>
      <c r="AE428" s="33"/>
      <c r="AF428" s="33" t="s">
        <v>2267</v>
      </c>
      <c r="AG428" s="33" t="s">
        <v>2461</v>
      </c>
      <c r="AH428" s="33"/>
      <c r="AI428" s="33"/>
      <c r="AJ428" s="33" t="s">
        <v>5759</v>
      </c>
      <c r="AK428" s="94"/>
      <c r="AL428" s="33" t="s">
        <v>5760</v>
      </c>
      <c r="AM428" s="33"/>
      <c r="AN428" s="33" t="s">
        <v>2465</v>
      </c>
      <c r="AO428" s="51" t="s">
        <v>4150</v>
      </c>
      <c r="AP428" s="51" t="s">
        <v>207</v>
      </c>
      <c r="AQ428" s="33"/>
      <c r="AR428" s="54"/>
      <c r="AS428" s="54"/>
      <c r="AT428" s="54"/>
      <c r="AU428" s="54"/>
      <c r="AV428" s="54"/>
      <c r="AW428" s="54"/>
      <c r="AX428" s="54"/>
      <c r="AY428" s="54"/>
      <c r="AZ428" s="54"/>
      <c r="BA428" s="54"/>
      <c r="BB428" s="54"/>
      <c r="BC428" s="54"/>
      <c r="BD428" s="54" t="s">
        <v>2447</v>
      </c>
      <c r="BE428" s="54"/>
      <c r="BF428" s="54"/>
      <c r="BG428" s="54"/>
      <c r="BH428" s="54"/>
      <c r="BI428" s="54"/>
      <c r="BJ428" s="0"/>
      <c r="BK428" s="0"/>
      <c r="BL428" s="0"/>
      <c r="BM428" s="0"/>
      <c r="BN428" s="0"/>
      <c r="BO428" s="0"/>
      <c r="BP428"/>
      <c r="BQ428"/>
      <c r="BR428"/>
      <c r="BS428"/>
      <c r="BT428"/>
      <c r="BU428"/>
      <c r="BV428"/>
      <c r="BW428"/>
      <c r="BX428"/>
      <c r="BY428"/>
      <c r="BZ428"/>
      <c r="CA428"/>
      <c r="CB428"/>
    </row>
    <row r="429" ht="15.0" customHeight="true">
      <c r="A429" s="51" t="s">
        <v>2448</v>
      </c>
      <c r="B429" s="33"/>
      <c r="C429" s="33" t="s">
        <v>3538</v>
      </c>
      <c r="D429" s="33"/>
      <c r="E429" s="33" t="s">
        <v>3574</v>
      </c>
      <c r="F429" s="33"/>
      <c r="G429" s="55" t="s">
        <v>5761</v>
      </c>
      <c r="H429" s="33"/>
      <c r="I429" s="51" t="s">
        <v>5762</v>
      </c>
      <c r="J429" s="33"/>
      <c r="K429" s="51" t="s">
        <v>5763</v>
      </c>
      <c r="L429" s="33" t="s">
        <v>2454</v>
      </c>
      <c r="M429" s="55" t="s">
        <v>4094</v>
      </c>
      <c r="N429" s="55" t="s">
        <v>4094</v>
      </c>
      <c r="O429" s="33" t="s">
        <v>2272</v>
      </c>
      <c r="P429" s="33" t="s">
        <v>2251</v>
      </c>
      <c r="Q429" s="33"/>
      <c r="R429" s="33" t="s">
        <v>2263</v>
      </c>
      <c r="S429" s="56" t="s">
        <v>2277</v>
      </c>
      <c r="T429" s="56"/>
      <c r="U429" s="56"/>
      <c r="V429" s="33" t="s">
        <v>2456</v>
      </c>
      <c r="W429" s="94" t="s">
        <v>2457</v>
      </c>
      <c r="X429" s="94" t="s">
        <v>2458</v>
      </c>
      <c r="Y429" s="51"/>
      <c r="Z429" s="51"/>
      <c r="AA429" s="33" t="s">
        <v>2459</v>
      </c>
      <c r="AB429" s="33" t="s">
        <v>2460</v>
      </c>
      <c r="AC429" s="33"/>
      <c r="AD429" s="33" t="s">
        <v>2254</v>
      </c>
      <c r="AE429" s="33"/>
      <c r="AF429" s="33" t="s">
        <v>2267</v>
      </c>
      <c r="AG429" s="33" t="s">
        <v>2461</v>
      </c>
      <c r="AH429" s="33"/>
      <c r="AI429" s="33"/>
      <c r="AJ429" s="33" t="s">
        <v>5764</v>
      </c>
      <c r="AK429" s="94"/>
      <c r="AL429" s="33" t="s">
        <v>4927</v>
      </c>
      <c r="AM429" s="33" t="s">
        <v>5765</v>
      </c>
      <c r="AN429" s="33" t="s">
        <v>2465</v>
      </c>
      <c r="AO429" s="51" t="s">
        <v>2466</v>
      </c>
      <c r="AP429" s="51" t="s">
        <v>207</v>
      </c>
      <c r="AQ429" s="33"/>
      <c r="AR429" s="54"/>
      <c r="AS429" s="54"/>
      <c r="AT429" s="54"/>
      <c r="AU429" s="54"/>
      <c r="AV429" s="54"/>
      <c r="AW429" s="54"/>
      <c r="AX429" s="54"/>
      <c r="AY429" s="54"/>
      <c r="AZ429" s="54"/>
      <c r="BA429" s="54"/>
      <c r="BB429" s="54"/>
      <c r="BC429" s="54"/>
      <c r="BD429" s="54" t="s">
        <v>2447</v>
      </c>
      <c r="BE429" s="54"/>
      <c r="BF429" s="54"/>
      <c r="BG429" s="54"/>
      <c r="BH429" s="54"/>
      <c r="BI429" s="54"/>
      <c r="BJ429" s="0"/>
      <c r="BK429" s="0"/>
      <c r="BL429" s="0"/>
      <c r="BM429" s="0"/>
      <c r="BN429" s="0"/>
      <c r="BO429" s="0"/>
      <c r="BP429"/>
      <c r="BQ429"/>
      <c r="BR429"/>
      <c r="BS429"/>
      <c r="BT429"/>
      <c r="BU429"/>
      <c r="BV429"/>
      <c r="BW429"/>
      <c r="BX429"/>
      <c r="BY429"/>
      <c r="BZ429"/>
      <c r="CA429"/>
      <c r="CB429"/>
    </row>
    <row r="430" ht="15.0" customHeight="true">
      <c r="A430" s="51" t="s">
        <v>2448</v>
      </c>
      <c r="B430" s="33"/>
      <c r="C430" s="33" t="s">
        <v>5766</v>
      </c>
      <c r="D430" s="33"/>
      <c r="E430" s="33" t="s">
        <v>5767</v>
      </c>
      <c r="F430" s="33"/>
      <c r="G430" s="55" t="s">
        <v>5768</v>
      </c>
      <c r="H430" s="33"/>
      <c r="I430" s="51" t="s">
        <v>5769</v>
      </c>
      <c r="J430" s="33"/>
      <c r="K430" s="51" t="s">
        <v>5770</v>
      </c>
      <c r="L430" s="33" t="s">
        <v>2484</v>
      </c>
      <c r="M430" s="55" t="s">
        <v>2506</v>
      </c>
      <c r="N430" s="55"/>
      <c r="O430" s="33"/>
      <c r="P430" s="33" t="s">
        <v>2251</v>
      </c>
      <c r="Q430" s="33"/>
      <c r="R430" s="33" t="s">
        <v>2263</v>
      </c>
      <c r="S430" s="56" t="s">
        <v>2277</v>
      </c>
      <c r="T430" s="56"/>
      <c r="U430" s="56"/>
      <c r="V430" s="33" t="s">
        <v>2456</v>
      </c>
      <c r="W430" s="94" t="s">
        <v>2457</v>
      </c>
      <c r="X430" s="94" t="s">
        <v>2474</v>
      </c>
      <c r="Y430" s="51"/>
      <c r="Z430" s="51"/>
      <c r="AA430" s="33" t="s">
        <v>2459</v>
      </c>
      <c r="AB430" s="33" t="s">
        <v>2460</v>
      </c>
      <c r="AC430" s="33" t="s">
        <v>2486</v>
      </c>
      <c r="AD430" s="33" t="s">
        <v>2254</v>
      </c>
      <c r="AE430" s="33"/>
      <c r="AF430" s="33" t="s">
        <v>2267</v>
      </c>
      <c r="AG430" s="33" t="s">
        <v>2461</v>
      </c>
      <c r="AH430" s="33"/>
      <c r="AI430" s="33"/>
      <c r="AJ430" s="33" t="s">
        <v>5771</v>
      </c>
      <c r="AK430" s="94"/>
      <c r="AL430" s="33" t="s">
        <v>5772</v>
      </c>
      <c r="AM430" s="33"/>
      <c r="AN430" s="33" t="s">
        <v>3503</v>
      </c>
      <c r="AO430" s="51" t="s">
        <v>3104</v>
      </c>
      <c r="AP430" s="51" t="s">
        <v>207</v>
      </c>
      <c r="AQ430" s="33"/>
      <c r="AR430" s="54"/>
      <c r="AS430" s="54"/>
      <c r="AT430" s="54"/>
      <c r="AU430" s="54"/>
      <c r="AV430" s="54"/>
      <c r="AW430" s="54"/>
      <c r="AX430" s="54"/>
      <c r="AY430" s="54"/>
      <c r="AZ430" s="54"/>
      <c r="BA430" s="54"/>
      <c r="BB430" s="54"/>
      <c r="BC430" s="54"/>
      <c r="BD430" s="54" t="s">
        <v>2447</v>
      </c>
      <c r="BE430" s="54"/>
      <c r="BF430" s="54"/>
      <c r="BG430" s="54"/>
      <c r="BH430" s="54"/>
      <c r="BI430" s="54"/>
      <c r="BJ430" s="0"/>
      <c r="BK430" s="0"/>
      <c r="BL430" s="0"/>
      <c r="BM430" s="0"/>
      <c r="BN430" s="0"/>
      <c r="BO430" s="0"/>
      <c r="BP430"/>
      <c r="BQ430"/>
      <c r="BR430"/>
      <c r="BS430"/>
      <c r="BT430"/>
      <c r="BU430"/>
      <c r="BV430"/>
      <c r="BW430"/>
      <c r="BX430"/>
      <c r="BY430"/>
      <c r="BZ430"/>
      <c r="CA430"/>
      <c r="CB430"/>
    </row>
    <row r="431" ht="15.0" customHeight="true">
      <c r="A431" s="51" t="s">
        <v>2448</v>
      </c>
      <c r="B431" s="33"/>
      <c r="C431" s="33" t="s">
        <v>5773</v>
      </c>
      <c r="D431" s="33"/>
      <c r="E431" s="33" t="s">
        <v>5774</v>
      </c>
      <c r="F431" s="33"/>
      <c r="G431" s="55" t="s">
        <v>5775</v>
      </c>
      <c r="H431" s="33"/>
      <c r="I431" s="51" t="s">
        <v>5776</v>
      </c>
      <c r="J431" s="33"/>
      <c r="K431" s="51" t="s">
        <v>5777</v>
      </c>
      <c r="L431" s="33" t="s">
        <v>2454</v>
      </c>
      <c r="M431" s="55" t="s">
        <v>3186</v>
      </c>
      <c r="N431" s="55" t="s">
        <v>3742</v>
      </c>
      <c r="O431" s="33" t="s">
        <v>2271</v>
      </c>
      <c r="P431" s="33" t="s">
        <v>2251</v>
      </c>
      <c r="Q431" s="33"/>
      <c r="R431" s="33" t="s">
        <v>2263</v>
      </c>
      <c r="S431" s="56" t="s">
        <v>2277</v>
      </c>
      <c r="T431" s="56"/>
      <c r="U431" s="56"/>
      <c r="V431" s="33" t="s">
        <v>3186</v>
      </c>
      <c r="W431" s="94" t="s">
        <v>2574</v>
      </c>
      <c r="X431" s="94" t="s">
        <v>2474</v>
      </c>
      <c r="Y431" s="51"/>
      <c r="Z431" s="51"/>
      <c r="AA431" s="33" t="s">
        <v>2459</v>
      </c>
      <c r="AB431" s="33" t="s">
        <v>2460</v>
      </c>
      <c r="AC431" s="33" t="s">
        <v>2486</v>
      </c>
      <c r="AD431" s="33" t="s">
        <v>2254</v>
      </c>
      <c r="AE431" s="33"/>
      <c r="AF431" s="33" t="s">
        <v>2267</v>
      </c>
      <c r="AG431" s="33" t="s">
        <v>2461</v>
      </c>
      <c r="AH431" s="33"/>
      <c r="AI431" s="33"/>
      <c r="AJ431" s="33" t="s">
        <v>5778</v>
      </c>
      <c r="AK431" s="94"/>
      <c r="AL431" s="33" t="s">
        <v>5779</v>
      </c>
      <c r="AM431" s="33"/>
      <c r="AN431" s="33" t="s">
        <v>2701</v>
      </c>
      <c r="AO431" s="51" t="s">
        <v>2702</v>
      </c>
      <c r="AP431" s="51" t="s">
        <v>207</v>
      </c>
      <c r="AQ431" s="33"/>
      <c r="AR431" s="54"/>
      <c r="AS431" s="54"/>
      <c r="AT431" s="54"/>
      <c r="AU431" s="54"/>
      <c r="AV431" s="54"/>
      <c r="AW431" s="54"/>
      <c r="AX431" s="54"/>
      <c r="AY431" s="54" t="s">
        <v>2269</v>
      </c>
      <c r="AZ431" s="54"/>
      <c r="BA431" s="54"/>
      <c r="BB431" s="54"/>
      <c r="BC431" s="54"/>
      <c r="BD431" s="54" t="s">
        <v>2447</v>
      </c>
      <c r="BE431" s="54"/>
      <c r="BF431" s="54"/>
      <c r="BG431" s="54"/>
      <c r="BH431" s="54"/>
      <c r="BI431" s="54"/>
      <c r="BJ431" s="0"/>
      <c r="BK431" s="0"/>
      <c r="BL431" s="0"/>
      <c r="BM431" s="0"/>
      <c r="BN431" s="0"/>
      <c r="BO431" s="0"/>
      <c r="BP431"/>
      <c r="BQ431"/>
      <c r="BR431"/>
      <c r="BS431"/>
      <c r="BT431"/>
      <c r="BU431"/>
      <c r="BV431"/>
      <c r="BW431"/>
      <c r="BX431"/>
      <c r="BY431"/>
      <c r="BZ431"/>
      <c r="CA431"/>
      <c r="CB431"/>
    </row>
    <row r="432" ht="15.0" customHeight="true">
      <c r="A432" s="51" t="s">
        <v>2448</v>
      </c>
      <c r="B432" s="33"/>
      <c r="C432" s="33" t="s">
        <v>5780</v>
      </c>
      <c r="D432" s="33"/>
      <c r="E432" s="33" t="s">
        <v>5781</v>
      </c>
      <c r="F432" s="33"/>
      <c r="G432" s="55" t="s">
        <v>5782</v>
      </c>
      <c r="H432" s="33"/>
      <c r="I432" s="51" t="s">
        <v>5783</v>
      </c>
      <c r="J432" s="33"/>
      <c r="K432" s="51" t="s">
        <v>5784</v>
      </c>
      <c r="L432" s="33" t="s">
        <v>2454</v>
      </c>
      <c r="M432" s="55" t="s">
        <v>3306</v>
      </c>
      <c r="N432" s="55" t="s">
        <v>3306</v>
      </c>
      <c r="O432" s="33" t="s">
        <v>2272</v>
      </c>
      <c r="P432" s="33" t="s">
        <v>2251</v>
      </c>
      <c r="Q432" s="33"/>
      <c r="R432" s="33" t="s">
        <v>2263</v>
      </c>
      <c r="S432" s="56" t="s">
        <v>2277</v>
      </c>
      <c r="T432" s="56"/>
      <c r="U432" s="56"/>
      <c r="V432" s="33" t="s">
        <v>2456</v>
      </c>
      <c r="W432" s="94" t="s">
        <v>2457</v>
      </c>
      <c r="X432" s="94" t="s">
        <v>2458</v>
      </c>
      <c r="Y432" s="51"/>
      <c r="Z432" s="51"/>
      <c r="AA432" s="33" t="s">
        <v>2459</v>
      </c>
      <c r="AB432" s="33" t="s">
        <v>2460</v>
      </c>
      <c r="AC432" s="33"/>
      <c r="AD432" s="33" t="s">
        <v>2254</v>
      </c>
      <c r="AE432" s="33"/>
      <c r="AF432" s="33" t="s">
        <v>2267</v>
      </c>
      <c r="AG432" s="33" t="s">
        <v>2461</v>
      </c>
      <c r="AH432" s="33"/>
      <c r="AI432" s="33"/>
      <c r="AJ432" s="33" t="s">
        <v>5785</v>
      </c>
      <c r="AK432" s="94"/>
      <c r="AL432" s="33" t="s">
        <v>5786</v>
      </c>
      <c r="AM432" s="33"/>
      <c r="AN432" s="33" t="s">
        <v>2465</v>
      </c>
      <c r="AO432" s="51" t="s">
        <v>2489</v>
      </c>
      <c r="AP432" s="51" t="s">
        <v>207</v>
      </c>
      <c r="AQ432" s="33"/>
      <c r="AR432" s="54"/>
      <c r="AS432" s="54"/>
      <c r="AT432" s="54"/>
      <c r="AU432" s="54"/>
      <c r="AV432" s="54"/>
      <c r="AW432" s="54"/>
      <c r="AX432" s="54"/>
      <c r="AY432" s="54"/>
      <c r="AZ432" s="54"/>
      <c r="BA432" s="54"/>
      <c r="BB432" s="54"/>
      <c r="BC432" s="54"/>
      <c r="BD432" s="54" t="s">
        <v>2447</v>
      </c>
      <c r="BE432" s="54"/>
      <c r="BF432" s="54"/>
      <c r="BG432" s="54"/>
      <c r="BH432" s="54"/>
      <c r="BI432" s="54"/>
      <c r="BJ432" s="0"/>
      <c r="BK432" s="0"/>
      <c r="BL432" s="0"/>
      <c r="BM432" s="0"/>
      <c r="BN432" s="0"/>
      <c r="BO432" s="0"/>
      <c r="BP432"/>
      <c r="BQ432"/>
      <c r="BR432"/>
      <c r="BS432"/>
      <c r="BT432"/>
      <c r="BU432"/>
      <c r="BV432"/>
      <c r="BW432"/>
      <c r="BX432"/>
      <c r="BY432"/>
      <c r="BZ432"/>
      <c r="CA432"/>
      <c r="CB432"/>
    </row>
    <row r="433" ht="15.0" customHeight="true">
      <c r="A433" s="51" t="s">
        <v>2448</v>
      </c>
      <c r="B433" s="33"/>
      <c r="C433" s="33" t="s">
        <v>3060</v>
      </c>
      <c r="D433" s="33"/>
      <c r="E433" s="33" t="s">
        <v>5787</v>
      </c>
      <c r="F433" s="33"/>
      <c r="G433" s="55" t="s">
        <v>5788</v>
      </c>
      <c r="H433" s="33"/>
      <c r="I433" s="51" t="s">
        <v>5789</v>
      </c>
      <c r="J433" s="33"/>
      <c r="K433" s="51" t="s">
        <v>5790</v>
      </c>
      <c r="L433" s="33" t="s">
        <v>2454</v>
      </c>
      <c r="M433" s="55" t="s">
        <v>3091</v>
      </c>
      <c r="N433" s="55" t="s">
        <v>3092</v>
      </c>
      <c r="O433" s="33" t="s">
        <v>2272</v>
      </c>
      <c r="P433" s="33" t="s">
        <v>2251</v>
      </c>
      <c r="Q433" s="33"/>
      <c r="R433" s="33" t="s">
        <v>2263</v>
      </c>
      <c r="S433" s="56" t="s">
        <v>2277</v>
      </c>
      <c r="T433" s="56"/>
      <c r="U433" s="56"/>
      <c r="V433" s="33" t="s">
        <v>2456</v>
      </c>
      <c r="W433" s="94" t="s">
        <v>2457</v>
      </c>
      <c r="X433" s="94" t="s">
        <v>2474</v>
      </c>
      <c r="Y433" s="51"/>
      <c r="Z433" s="51"/>
      <c r="AA433" s="33" t="s">
        <v>2459</v>
      </c>
      <c r="AB433" s="33" t="s">
        <v>2460</v>
      </c>
      <c r="AC433" s="33"/>
      <c r="AD433" s="33" t="s">
        <v>2254</v>
      </c>
      <c r="AE433" s="33"/>
      <c r="AF433" s="33" t="s">
        <v>2267</v>
      </c>
      <c r="AG433" s="33" t="s">
        <v>2461</v>
      </c>
      <c r="AH433" s="33"/>
      <c r="AI433" s="33"/>
      <c r="AJ433" s="33" t="s">
        <v>5791</v>
      </c>
      <c r="AK433" s="94"/>
      <c r="AL433" s="33" t="s">
        <v>2536</v>
      </c>
      <c r="AM433" s="33" t="s">
        <v>5792</v>
      </c>
      <c r="AN433" s="33" t="s">
        <v>2465</v>
      </c>
      <c r="AO433" s="51" t="s">
        <v>2538</v>
      </c>
      <c r="AP433" s="51" t="s">
        <v>207</v>
      </c>
      <c r="AQ433" s="33"/>
      <c r="AR433" s="54"/>
      <c r="AS433" s="54"/>
      <c r="AT433" s="54"/>
      <c r="AU433" s="54"/>
      <c r="AV433" s="54"/>
      <c r="AW433" s="54"/>
      <c r="AX433" s="54"/>
      <c r="AY433" s="54"/>
      <c r="AZ433" s="54"/>
      <c r="BA433" s="54"/>
      <c r="BB433" s="54"/>
      <c r="BC433" s="54"/>
      <c r="BD433" s="54" t="s">
        <v>2447</v>
      </c>
      <c r="BE433" s="54"/>
      <c r="BF433" s="54"/>
      <c r="BG433" s="54"/>
      <c r="BH433" s="54"/>
      <c r="BI433" s="54"/>
      <c r="BJ433" s="0"/>
      <c r="BK433" s="0"/>
      <c r="BL433" s="0"/>
      <c r="BM433" s="0"/>
      <c r="BN433" s="0"/>
      <c r="BO433" s="0"/>
      <c r="BP433"/>
      <c r="BQ433"/>
      <c r="BR433"/>
      <c r="BS433"/>
      <c r="BT433"/>
      <c r="BU433"/>
      <c r="BV433"/>
      <c r="BW433"/>
      <c r="BX433"/>
      <c r="BY433"/>
      <c r="BZ433"/>
      <c r="CA433"/>
      <c r="CB433"/>
    </row>
    <row r="434" ht="15.0" customHeight="true">
      <c r="A434" s="51" t="s">
        <v>2448</v>
      </c>
      <c r="B434" s="33"/>
      <c r="C434" s="33" t="s">
        <v>3918</v>
      </c>
      <c r="D434" s="33"/>
      <c r="E434" s="33" t="s">
        <v>5793</v>
      </c>
      <c r="F434" s="33"/>
      <c r="G434" s="55" t="s">
        <v>5794</v>
      </c>
      <c r="H434" s="33"/>
      <c r="I434" s="51" t="s">
        <v>5795</v>
      </c>
      <c r="J434" s="33"/>
      <c r="K434" s="51" t="s">
        <v>5796</v>
      </c>
      <c r="L434" s="33" t="s">
        <v>2454</v>
      </c>
      <c r="M434" s="55" t="s">
        <v>3590</v>
      </c>
      <c r="N434" s="55" t="s">
        <v>2563</v>
      </c>
      <c r="O434" s="33" t="s">
        <v>2272</v>
      </c>
      <c r="P434" s="33" t="s">
        <v>2251</v>
      </c>
      <c r="Q434" s="33"/>
      <c r="R434" s="33" t="s">
        <v>2263</v>
      </c>
      <c r="S434" s="56" t="s">
        <v>2277</v>
      </c>
      <c r="T434" s="56"/>
      <c r="U434" s="56"/>
      <c r="V434" s="33" t="s">
        <v>2456</v>
      </c>
      <c r="W434" s="94" t="s">
        <v>2457</v>
      </c>
      <c r="X434" s="94" t="s">
        <v>2458</v>
      </c>
      <c r="Y434" s="51"/>
      <c r="Z434" s="51"/>
      <c r="AA434" s="33" t="s">
        <v>2459</v>
      </c>
      <c r="AB434" s="33" t="s">
        <v>2460</v>
      </c>
      <c r="AC434" s="33"/>
      <c r="AD434" s="33" t="s">
        <v>2254</v>
      </c>
      <c r="AE434" s="33"/>
      <c r="AF434" s="33" t="s">
        <v>2267</v>
      </c>
      <c r="AG434" s="33" t="s">
        <v>2461</v>
      </c>
      <c r="AH434" s="33"/>
      <c r="AI434" s="33"/>
      <c r="AJ434" s="33" t="s">
        <v>5797</v>
      </c>
      <c r="AK434" s="94"/>
      <c r="AL434" s="33" t="s">
        <v>5798</v>
      </c>
      <c r="AM434" s="33" t="s">
        <v>5799</v>
      </c>
      <c r="AN434" s="33" t="s">
        <v>2588</v>
      </c>
      <c r="AO434" s="51" t="s">
        <v>2628</v>
      </c>
      <c r="AP434" s="51" t="s">
        <v>207</v>
      </c>
      <c r="AQ434" s="33"/>
      <c r="AR434" s="54"/>
      <c r="AS434" s="54"/>
      <c r="AT434" s="54"/>
      <c r="AU434" s="54"/>
      <c r="AV434" s="54"/>
      <c r="AW434" s="54"/>
      <c r="AX434" s="54"/>
      <c r="AY434" s="54"/>
      <c r="AZ434" s="54"/>
      <c r="BA434" s="54"/>
      <c r="BB434" s="54"/>
      <c r="BC434" s="54"/>
      <c r="BD434" s="54" t="s">
        <v>2447</v>
      </c>
      <c r="BE434" s="54"/>
      <c r="BF434" s="54"/>
      <c r="BG434" s="54"/>
      <c r="BH434" s="54"/>
      <c r="BI434" s="54"/>
      <c r="BJ434" s="0"/>
      <c r="BK434" s="0"/>
      <c r="BL434" s="0"/>
      <c r="BM434" s="0"/>
      <c r="BN434" s="0"/>
      <c r="BO434" s="0"/>
      <c r="BP434"/>
      <c r="BQ434"/>
      <c r="BR434"/>
      <c r="BS434"/>
      <c r="BT434"/>
      <c r="BU434"/>
      <c r="BV434"/>
      <c r="BW434"/>
      <c r="BX434"/>
      <c r="BY434"/>
      <c r="BZ434"/>
      <c r="CA434"/>
      <c r="CB434"/>
    </row>
    <row r="435" ht="15.0" customHeight="true">
      <c r="A435" s="51" t="s">
        <v>2448</v>
      </c>
      <c r="B435" s="33"/>
      <c r="C435" s="33" t="s">
        <v>5800</v>
      </c>
      <c r="D435" s="33"/>
      <c r="E435" s="33" t="s">
        <v>4930</v>
      </c>
      <c r="F435" s="33"/>
      <c r="G435" s="55" t="s">
        <v>5801</v>
      </c>
      <c r="H435" s="33"/>
      <c r="I435" s="51" t="s">
        <v>5802</v>
      </c>
      <c r="J435" s="33"/>
      <c r="K435" s="51" t="s">
        <v>5803</v>
      </c>
      <c r="L435" s="33" t="s">
        <v>2484</v>
      </c>
      <c r="M435" s="55" t="s">
        <v>5389</v>
      </c>
      <c r="N435" s="55"/>
      <c r="O435" s="33"/>
      <c r="P435" s="33" t="s">
        <v>2251</v>
      </c>
      <c r="Q435" s="33"/>
      <c r="R435" s="33" t="s">
        <v>2252</v>
      </c>
      <c r="S435" s="56" t="s">
        <v>2277</v>
      </c>
      <c r="T435" s="56"/>
      <c r="U435" s="56" t="s">
        <v>5804</v>
      </c>
      <c r="V435" s="33" t="s">
        <v>5389</v>
      </c>
      <c r="W435" s="94"/>
      <c r="X435" s="94"/>
      <c r="Y435" s="51"/>
      <c r="Z435" s="51"/>
      <c r="AA435" s="33" t="s">
        <v>2459</v>
      </c>
      <c r="AB435" s="33" t="s">
        <v>3790</v>
      </c>
      <c r="AC435" s="33" t="s">
        <v>4890</v>
      </c>
      <c r="AD435" s="33" t="s">
        <v>2254</v>
      </c>
      <c r="AE435" s="33"/>
      <c r="AF435" s="33" t="s">
        <v>2267</v>
      </c>
      <c r="AG435" s="33" t="s">
        <v>2461</v>
      </c>
      <c r="AH435" s="33"/>
      <c r="AI435" s="33"/>
      <c r="AJ435" s="33" t="s">
        <v>5805</v>
      </c>
      <c r="AK435" s="94"/>
      <c r="AL435" s="33" t="s">
        <v>5806</v>
      </c>
      <c r="AM435" s="33"/>
      <c r="AN435" s="33" t="s">
        <v>2465</v>
      </c>
      <c r="AO435" s="51" t="s">
        <v>2673</v>
      </c>
      <c r="AP435" s="51" t="s">
        <v>207</v>
      </c>
      <c r="AQ435" s="33"/>
      <c r="AR435" s="54"/>
      <c r="AS435" s="54"/>
      <c r="AT435" s="54"/>
      <c r="AU435" s="54"/>
      <c r="AV435" s="54"/>
      <c r="AW435" s="54"/>
      <c r="AX435" s="54"/>
      <c r="AY435" s="54"/>
      <c r="AZ435" s="54"/>
      <c r="BA435" s="54"/>
      <c r="BB435" s="54"/>
      <c r="BC435" s="54"/>
      <c r="BD435" s="54" t="s">
        <v>2447</v>
      </c>
      <c r="BE435" s="54"/>
      <c r="BF435" s="54"/>
      <c r="BG435" s="54"/>
      <c r="BH435" s="54"/>
      <c r="BI435" s="54"/>
      <c r="BJ435" s="0"/>
      <c r="BK435" s="0"/>
      <c r="BL435" s="0"/>
      <c r="BM435" s="0"/>
      <c r="BN435" s="0"/>
      <c r="BO435" s="0"/>
      <c r="BP435"/>
      <c r="BQ435"/>
      <c r="BR435"/>
      <c r="BS435"/>
      <c r="BT435"/>
      <c r="BU435"/>
      <c r="BV435"/>
      <c r="BW435"/>
      <c r="BX435"/>
      <c r="BY435"/>
      <c r="BZ435"/>
      <c r="CA435"/>
      <c r="CB435"/>
    </row>
    <row r="436" ht="15.0" customHeight="true">
      <c r="A436" s="51" t="s">
        <v>2448</v>
      </c>
      <c r="B436" s="33"/>
      <c r="C436" s="33" t="s">
        <v>842</v>
      </c>
      <c r="D436" s="33"/>
      <c r="E436" s="33" t="s">
        <v>5807</v>
      </c>
      <c r="F436" s="33"/>
      <c r="G436" s="55" t="s">
        <v>5808</v>
      </c>
      <c r="H436" s="33"/>
      <c r="I436" s="51" t="s">
        <v>5809</v>
      </c>
      <c r="J436" s="33"/>
      <c r="K436" s="51" t="s">
        <v>5810</v>
      </c>
      <c r="L436" s="33" t="s">
        <v>2484</v>
      </c>
      <c r="M436" s="55" t="s">
        <v>5811</v>
      </c>
      <c r="N436" s="55"/>
      <c r="O436" s="33"/>
      <c r="P436" s="33" t="s">
        <v>2251</v>
      </c>
      <c r="Q436" s="33"/>
      <c r="R436" s="33" t="s">
        <v>2263</v>
      </c>
      <c r="S436" s="56" t="s">
        <v>2277</v>
      </c>
      <c r="T436" s="56"/>
      <c r="U436" s="56"/>
      <c r="V436" s="33" t="s">
        <v>2456</v>
      </c>
      <c r="W436" s="94" t="s">
        <v>2457</v>
      </c>
      <c r="X436" s="94" t="s">
        <v>5812</v>
      </c>
      <c r="Y436" s="51"/>
      <c r="Z436" s="51"/>
      <c r="AA436" s="33" t="s">
        <v>2459</v>
      </c>
      <c r="AB436" s="33" t="s">
        <v>2460</v>
      </c>
      <c r="AC436" s="33" t="s">
        <v>2486</v>
      </c>
      <c r="AD436" s="33" t="s">
        <v>2254</v>
      </c>
      <c r="AE436" s="33"/>
      <c r="AF436" s="33" t="s">
        <v>2267</v>
      </c>
      <c r="AG436" s="33" t="s">
        <v>2461</v>
      </c>
      <c r="AH436" s="33"/>
      <c r="AI436" s="33"/>
      <c r="AJ436" s="33" t="s">
        <v>5813</v>
      </c>
      <c r="AK436" s="94"/>
      <c r="AL436" s="33" t="s">
        <v>5814</v>
      </c>
      <c r="AM436" s="33"/>
      <c r="AN436" s="33" t="s">
        <v>2465</v>
      </c>
      <c r="AO436" s="51" t="s">
        <v>2478</v>
      </c>
      <c r="AP436" s="51" t="s">
        <v>207</v>
      </c>
      <c r="AQ436" s="33"/>
      <c r="AR436" s="54"/>
      <c r="AS436" s="54"/>
      <c r="AT436" s="54"/>
      <c r="AU436" s="54"/>
      <c r="AV436" s="54"/>
      <c r="AW436" s="54"/>
      <c r="AX436" s="54"/>
      <c r="AY436" s="54"/>
      <c r="AZ436" s="54"/>
      <c r="BA436" s="54"/>
      <c r="BB436" s="54"/>
      <c r="BC436" s="54"/>
      <c r="BD436" s="54"/>
      <c r="BE436" s="54"/>
      <c r="BF436" s="54"/>
      <c r="BG436" s="54"/>
      <c r="BH436" s="54"/>
      <c r="BI436" s="54"/>
      <c r="BJ436" s="0"/>
      <c r="BK436" s="0"/>
      <c r="BL436" s="0"/>
      <c r="BM436" s="0"/>
      <c r="BN436" s="0"/>
      <c r="BO436" s="0"/>
      <c r="BP436"/>
      <c r="BQ436"/>
      <c r="BR436"/>
      <c r="BS436"/>
      <c r="BT436"/>
      <c r="BU436"/>
      <c r="BV436"/>
      <c r="BW436"/>
      <c r="BX436"/>
      <c r="BY436"/>
      <c r="BZ436"/>
      <c r="CA436"/>
      <c r="CB436"/>
    </row>
    <row r="437" ht="15.0" customHeight="true">
      <c r="A437" s="51" t="s">
        <v>2448</v>
      </c>
      <c r="B437" s="33"/>
      <c r="C437" s="33" t="s">
        <v>5815</v>
      </c>
      <c r="D437" s="33"/>
      <c r="E437" s="33" t="s">
        <v>5816</v>
      </c>
      <c r="F437" s="33"/>
      <c r="G437" s="55" t="s">
        <v>5817</v>
      </c>
      <c r="H437" s="33"/>
      <c r="I437" s="51" t="s">
        <v>5818</v>
      </c>
      <c r="J437" s="33"/>
      <c r="K437" s="51" t="s">
        <v>5819</v>
      </c>
      <c r="L437" s="33" t="s">
        <v>2454</v>
      </c>
      <c r="M437" s="55" t="s">
        <v>3119</v>
      </c>
      <c r="N437" s="55" t="s">
        <v>5307</v>
      </c>
      <c r="O437" s="33" t="s">
        <v>2272</v>
      </c>
      <c r="P437" s="33" t="s">
        <v>2251</v>
      </c>
      <c r="Q437" s="33"/>
      <c r="R437" s="33" t="s">
        <v>2263</v>
      </c>
      <c r="S437" s="56" t="s">
        <v>2277</v>
      </c>
      <c r="T437" s="56"/>
      <c r="U437" s="56"/>
      <c r="V437" s="33" t="s">
        <v>2456</v>
      </c>
      <c r="W437" s="94" t="s">
        <v>2457</v>
      </c>
      <c r="X437" s="94" t="s">
        <v>2474</v>
      </c>
      <c r="Y437" s="51"/>
      <c r="Z437" s="51"/>
      <c r="AA437" s="33" t="s">
        <v>2459</v>
      </c>
      <c r="AB437" s="33" t="s">
        <v>2460</v>
      </c>
      <c r="AC437" s="33"/>
      <c r="AD437" s="33" t="s">
        <v>2254</v>
      </c>
      <c r="AE437" s="33"/>
      <c r="AF437" s="33" t="s">
        <v>2267</v>
      </c>
      <c r="AG437" s="33" t="s">
        <v>2461</v>
      </c>
      <c r="AH437" s="33"/>
      <c r="AI437" s="33"/>
      <c r="AJ437" s="33" t="s">
        <v>5820</v>
      </c>
      <c r="AK437" s="94"/>
      <c r="AL437" s="33" t="s">
        <v>5821</v>
      </c>
      <c r="AM437" s="33"/>
      <c r="AN437" s="33" t="s">
        <v>2465</v>
      </c>
      <c r="AO437" s="51" t="s">
        <v>2478</v>
      </c>
      <c r="AP437" s="51" t="s">
        <v>207</v>
      </c>
      <c r="AQ437" s="33"/>
      <c r="AR437" s="54"/>
      <c r="AS437" s="54"/>
      <c r="AT437" s="54"/>
      <c r="AU437" s="54"/>
      <c r="AV437" s="54"/>
      <c r="AW437" s="54"/>
      <c r="AX437" s="54"/>
      <c r="AY437" s="54"/>
      <c r="AZ437" s="54"/>
      <c r="BA437" s="54"/>
      <c r="BB437" s="54"/>
      <c r="BC437" s="54"/>
      <c r="BD437" s="54" t="s">
        <v>2447</v>
      </c>
      <c r="BE437" s="54"/>
      <c r="BF437" s="54"/>
      <c r="BG437" s="54"/>
      <c r="BH437" s="54"/>
      <c r="BI437" s="54"/>
      <c r="BJ437" s="0"/>
      <c r="BK437" s="0"/>
      <c r="BL437" s="0"/>
      <c r="BM437" s="0"/>
      <c r="BN437" s="0"/>
      <c r="BO437" s="0"/>
      <c r="BP437"/>
      <c r="BQ437"/>
      <c r="BR437"/>
      <c r="BS437"/>
      <c r="BT437"/>
      <c r="BU437"/>
      <c r="BV437"/>
      <c r="BW437"/>
      <c r="BX437"/>
      <c r="BY437"/>
      <c r="BZ437"/>
      <c r="CA437"/>
      <c r="CB437"/>
    </row>
    <row r="438" ht="15.0" customHeight="true">
      <c r="A438" s="51" t="s">
        <v>2448</v>
      </c>
      <c r="B438" s="33"/>
      <c r="C438" s="33" t="s">
        <v>3448</v>
      </c>
      <c r="D438" s="33"/>
      <c r="E438" s="33" t="s">
        <v>5822</v>
      </c>
      <c r="F438" s="33"/>
      <c r="G438" s="55" t="s">
        <v>5823</v>
      </c>
      <c r="H438" s="33"/>
      <c r="I438" s="51" t="s">
        <v>5824</v>
      </c>
      <c r="J438" s="33"/>
      <c r="K438" s="51" t="s">
        <v>5825</v>
      </c>
      <c r="L438" s="33" t="s">
        <v>2454</v>
      </c>
      <c r="M438" s="55" t="s">
        <v>5826</v>
      </c>
      <c r="N438" s="55" t="s">
        <v>5827</v>
      </c>
      <c r="O438" s="33" t="s">
        <v>2272</v>
      </c>
      <c r="P438" s="33" t="s">
        <v>2251</v>
      </c>
      <c r="Q438" s="33"/>
      <c r="R438" s="33" t="s">
        <v>2263</v>
      </c>
      <c r="S438" s="56" t="s">
        <v>2277</v>
      </c>
      <c r="T438" s="56"/>
      <c r="U438" s="56"/>
      <c r="V438" s="33" t="s">
        <v>2456</v>
      </c>
      <c r="W438" s="94" t="s">
        <v>2457</v>
      </c>
      <c r="X438" s="94" t="s">
        <v>2474</v>
      </c>
      <c r="Y438" s="51"/>
      <c r="Z438" s="51"/>
      <c r="AA438" s="33" t="s">
        <v>2459</v>
      </c>
      <c r="AB438" s="33" t="s">
        <v>2460</v>
      </c>
      <c r="AC438" s="33"/>
      <c r="AD438" s="33" t="s">
        <v>2254</v>
      </c>
      <c r="AE438" s="33"/>
      <c r="AF438" s="33" t="s">
        <v>2267</v>
      </c>
      <c r="AG438" s="33" t="s">
        <v>2461</v>
      </c>
      <c r="AH438" s="33"/>
      <c r="AI438" s="33"/>
      <c r="AJ438" s="33" t="s">
        <v>5828</v>
      </c>
      <c r="AK438" s="94"/>
      <c r="AL438" s="33" t="s">
        <v>5829</v>
      </c>
      <c r="AM438" s="33" t="s">
        <v>4053</v>
      </c>
      <c r="AN438" s="33" t="s">
        <v>2588</v>
      </c>
      <c r="AO438" s="51" t="s">
        <v>2589</v>
      </c>
      <c r="AP438" s="51" t="s">
        <v>207</v>
      </c>
      <c r="AQ438" s="33"/>
      <c r="AR438" s="54"/>
      <c r="AS438" s="54"/>
      <c r="AT438" s="54"/>
      <c r="AU438" s="54"/>
      <c r="AV438" s="54"/>
      <c r="AW438" s="54"/>
      <c r="AX438" s="54"/>
      <c r="AY438" s="54"/>
      <c r="AZ438" s="54"/>
      <c r="BA438" s="54"/>
      <c r="BB438" s="54"/>
      <c r="BC438" s="54"/>
      <c r="BD438" s="54" t="s">
        <v>2447</v>
      </c>
      <c r="BE438" s="54"/>
      <c r="BF438" s="54"/>
      <c r="BG438" s="54"/>
      <c r="BH438" s="54"/>
      <c r="BI438" s="54"/>
      <c r="BJ438" s="0"/>
      <c r="BK438" s="0"/>
      <c r="BL438" s="0"/>
      <c r="BM438" s="0"/>
      <c r="BN438" s="0"/>
      <c r="BO438" s="0"/>
      <c r="BP438"/>
      <c r="BQ438"/>
      <c r="BR438"/>
      <c r="BS438"/>
      <c r="BT438"/>
      <c r="BU438"/>
      <c r="BV438"/>
      <c r="BW438"/>
      <c r="BX438"/>
      <c r="BY438"/>
      <c r="BZ438"/>
      <c r="CA438"/>
      <c r="CB438"/>
    </row>
    <row r="439" ht="15.0" customHeight="true">
      <c r="A439" s="51" t="s">
        <v>2448</v>
      </c>
      <c r="B439" s="33"/>
      <c r="C439" s="33" t="s">
        <v>3228</v>
      </c>
      <c r="D439" s="33"/>
      <c r="E439" s="33" t="s">
        <v>5830</v>
      </c>
      <c r="F439" s="33"/>
      <c r="G439" s="55" t="s">
        <v>5831</v>
      </c>
      <c r="H439" s="33"/>
      <c r="I439" s="51" t="s">
        <v>5832</v>
      </c>
      <c r="J439" s="33"/>
      <c r="K439" s="51" t="s">
        <v>5833</v>
      </c>
      <c r="L439" s="33" t="s">
        <v>2454</v>
      </c>
      <c r="M439" s="55" t="s">
        <v>4102</v>
      </c>
      <c r="N439" s="55" t="s">
        <v>3306</v>
      </c>
      <c r="O439" s="33" t="s">
        <v>2272</v>
      </c>
      <c r="P439" s="33" t="s">
        <v>2251</v>
      </c>
      <c r="Q439" s="33"/>
      <c r="R439" s="33" t="s">
        <v>2263</v>
      </c>
      <c r="S439" s="56" t="s">
        <v>2277</v>
      </c>
      <c r="T439" s="56"/>
      <c r="U439" s="56"/>
      <c r="V439" s="33" t="s">
        <v>2456</v>
      </c>
      <c r="W439" s="94" t="s">
        <v>2457</v>
      </c>
      <c r="X439" s="94" t="s">
        <v>2474</v>
      </c>
      <c r="Y439" s="51"/>
      <c r="Z439" s="51"/>
      <c r="AA439" s="33" t="s">
        <v>2459</v>
      </c>
      <c r="AB439" s="33" t="s">
        <v>2460</v>
      </c>
      <c r="AC439" s="33"/>
      <c r="AD439" s="33" t="s">
        <v>2254</v>
      </c>
      <c r="AE439" s="33"/>
      <c r="AF439" s="33" t="s">
        <v>2267</v>
      </c>
      <c r="AG439" s="33" t="s">
        <v>2461</v>
      </c>
      <c r="AH439" s="33"/>
      <c r="AI439" s="33"/>
      <c r="AJ439" s="33" t="s">
        <v>5834</v>
      </c>
      <c r="AK439" s="94"/>
      <c r="AL439" s="33" t="s">
        <v>5835</v>
      </c>
      <c r="AM439" s="33"/>
      <c r="AN439" s="33" t="s">
        <v>2588</v>
      </c>
      <c r="AO439" s="51" t="s">
        <v>2911</v>
      </c>
      <c r="AP439" s="51" t="s">
        <v>207</v>
      </c>
      <c r="AQ439" s="33"/>
      <c r="AR439" s="54"/>
      <c r="AS439" s="54"/>
      <c r="AT439" s="54"/>
      <c r="AU439" s="54"/>
      <c r="AV439" s="54"/>
      <c r="AW439" s="54"/>
      <c r="AX439" s="54"/>
      <c r="AY439" s="54"/>
      <c r="AZ439" s="54"/>
      <c r="BA439" s="54"/>
      <c r="BB439" s="54"/>
      <c r="BC439" s="54"/>
      <c r="BD439" s="54" t="s">
        <v>2447</v>
      </c>
      <c r="BE439" s="54"/>
      <c r="BF439" s="54"/>
      <c r="BG439" s="54"/>
      <c r="BH439" s="54"/>
      <c r="BI439" s="54"/>
      <c r="BJ439" s="0"/>
      <c r="BK439" s="0"/>
      <c r="BL439" s="0"/>
      <c r="BM439" s="0"/>
      <c r="BN439" s="0"/>
      <c r="BO439" s="0"/>
      <c r="BP439"/>
      <c r="BQ439"/>
      <c r="BR439"/>
      <c r="BS439"/>
      <c r="BT439"/>
      <c r="BU439"/>
      <c r="BV439"/>
      <c r="BW439"/>
      <c r="BX439"/>
      <c r="BY439"/>
      <c r="BZ439"/>
      <c r="CA439"/>
      <c r="CB439"/>
    </row>
    <row r="440" ht="15.0" customHeight="true">
      <c r="A440" s="51" t="s">
        <v>2448</v>
      </c>
      <c r="B440" s="33"/>
      <c r="C440" s="33" t="s">
        <v>5836</v>
      </c>
      <c r="D440" s="33"/>
      <c r="E440" s="33" t="s">
        <v>5837</v>
      </c>
      <c r="F440" s="33"/>
      <c r="G440" s="55" t="s">
        <v>5838</v>
      </c>
      <c r="H440" s="33"/>
      <c r="I440" s="51" t="s">
        <v>5839</v>
      </c>
      <c r="J440" s="33"/>
      <c r="K440" s="51" t="s">
        <v>5840</v>
      </c>
      <c r="L440" s="33" t="s">
        <v>2454</v>
      </c>
      <c r="M440" s="55" t="s">
        <v>4942</v>
      </c>
      <c r="N440" s="55" t="s">
        <v>4942</v>
      </c>
      <c r="O440" s="33" t="s">
        <v>2272</v>
      </c>
      <c r="P440" s="33" t="s">
        <v>2251</v>
      </c>
      <c r="Q440" s="33"/>
      <c r="R440" s="33" t="s">
        <v>2263</v>
      </c>
      <c r="S440" s="56" t="s">
        <v>2277</v>
      </c>
      <c r="T440" s="56"/>
      <c r="U440" s="56"/>
      <c r="V440" s="33" t="s">
        <v>2456</v>
      </c>
      <c r="W440" s="94" t="s">
        <v>2457</v>
      </c>
      <c r="X440" s="94" t="s">
        <v>2474</v>
      </c>
      <c r="Y440" s="51"/>
      <c r="Z440" s="51"/>
      <c r="AA440" s="33" t="s">
        <v>2459</v>
      </c>
      <c r="AB440" s="33" t="s">
        <v>2460</v>
      </c>
      <c r="AC440" s="33"/>
      <c r="AD440" s="33" t="s">
        <v>2254</v>
      </c>
      <c r="AE440" s="33"/>
      <c r="AF440" s="33" t="s">
        <v>2267</v>
      </c>
      <c r="AG440" s="33" t="s">
        <v>2461</v>
      </c>
      <c r="AH440" s="33"/>
      <c r="AI440" s="33"/>
      <c r="AJ440" s="33" t="s">
        <v>5841</v>
      </c>
      <c r="AK440" s="94"/>
      <c r="AL440" s="33" t="s">
        <v>5842</v>
      </c>
      <c r="AM440" s="33" t="s">
        <v>3243</v>
      </c>
      <c r="AN440" s="33" t="s">
        <v>2465</v>
      </c>
      <c r="AO440" s="51" t="s">
        <v>2528</v>
      </c>
      <c r="AP440" s="51" t="s">
        <v>207</v>
      </c>
      <c r="AQ440" s="33"/>
      <c r="AR440" s="54"/>
      <c r="AS440" s="54"/>
      <c r="AT440" s="54"/>
      <c r="AU440" s="54"/>
      <c r="AV440" s="54"/>
      <c r="AW440" s="54"/>
      <c r="AX440" s="54"/>
      <c r="AY440" s="54"/>
      <c r="AZ440" s="54"/>
      <c r="BA440" s="54"/>
      <c r="BB440" s="54"/>
      <c r="BC440" s="54"/>
      <c r="BD440" s="54" t="s">
        <v>2447</v>
      </c>
      <c r="BE440" s="54"/>
      <c r="BF440" s="54"/>
      <c r="BG440" s="54"/>
      <c r="BH440" s="54"/>
      <c r="BI440" s="54"/>
      <c r="BJ440" s="0"/>
      <c r="BK440" s="0"/>
      <c r="BL440" s="0"/>
      <c r="BM440" s="0"/>
      <c r="BN440" s="0"/>
      <c r="BO440" s="0"/>
      <c r="BP440"/>
      <c r="BQ440"/>
      <c r="BR440"/>
      <c r="BS440"/>
      <c r="BT440"/>
      <c r="BU440"/>
      <c r="BV440"/>
      <c r="BW440"/>
      <c r="BX440"/>
      <c r="BY440"/>
      <c r="BZ440"/>
      <c r="CA440"/>
      <c r="CB440"/>
    </row>
    <row r="441" ht="15.0" customHeight="true">
      <c r="A441" s="51" t="s">
        <v>2448</v>
      </c>
      <c r="B441" s="33"/>
      <c r="C441" s="33" t="s">
        <v>5843</v>
      </c>
      <c r="D441" s="33"/>
      <c r="E441" s="33" t="s">
        <v>5844</v>
      </c>
      <c r="F441" s="33"/>
      <c r="G441" s="55" t="s">
        <v>5845</v>
      </c>
      <c r="H441" s="33"/>
      <c r="I441" s="51" t="s">
        <v>5846</v>
      </c>
      <c r="J441" s="33"/>
      <c r="K441" s="51" t="s">
        <v>5847</v>
      </c>
      <c r="L441" s="33" t="s">
        <v>2454</v>
      </c>
      <c r="M441" s="55" t="s">
        <v>5848</v>
      </c>
      <c r="N441" s="55" t="s">
        <v>2496</v>
      </c>
      <c r="O441" s="33" t="s">
        <v>2272</v>
      </c>
      <c r="P441" s="33" t="s">
        <v>2251</v>
      </c>
      <c r="Q441" s="33"/>
      <c r="R441" s="33" t="s">
        <v>2263</v>
      </c>
      <c r="S441" s="56" t="s">
        <v>2277</v>
      </c>
      <c r="T441" s="56"/>
      <c r="U441" s="56"/>
      <c r="V441" s="33" t="s">
        <v>2456</v>
      </c>
      <c r="W441" s="94" t="s">
        <v>2457</v>
      </c>
      <c r="X441" s="94" t="s">
        <v>2474</v>
      </c>
      <c r="Y441" s="51"/>
      <c r="Z441" s="51"/>
      <c r="AA441" s="33" t="s">
        <v>2459</v>
      </c>
      <c r="AB441" s="33" t="s">
        <v>2460</v>
      </c>
      <c r="AC441" s="33"/>
      <c r="AD441" s="33" t="s">
        <v>2254</v>
      </c>
      <c r="AE441" s="33"/>
      <c r="AF441" s="33" t="s">
        <v>2267</v>
      </c>
      <c r="AG441" s="33" t="s">
        <v>2461</v>
      </c>
      <c r="AH441" s="33"/>
      <c r="AI441" s="33"/>
      <c r="AJ441" s="33" t="s">
        <v>5849</v>
      </c>
      <c r="AK441" s="94"/>
      <c r="AL441" s="33" t="s">
        <v>2792</v>
      </c>
      <c r="AM441" s="33" t="s">
        <v>5850</v>
      </c>
      <c r="AN441" s="33" t="s">
        <v>2465</v>
      </c>
      <c r="AO441" s="51" t="s">
        <v>2466</v>
      </c>
      <c r="AP441" s="51" t="s">
        <v>207</v>
      </c>
      <c r="AQ441" s="33"/>
      <c r="AR441" s="54"/>
      <c r="AS441" s="54"/>
      <c r="AT441" s="54"/>
      <c r="AU441" s="54"/>
      <c r="AV441" s="54"/>
      <c r="AW441" s="54"/>
      <c r="AX441" s="54"/>
      <c r="AY441" s="54"/>
      <c r="AZ441" s="54"/>
      <c r="BA441" s="54"/>
      <c r="BB441" s="54"/>
      <c r="BC441" s="54"/>
      <c r="BD441" s="54" t="s">
        <v>2447</v>
      </c>
      <c r="BE441" s="54"/>
      <c r="BF441" s="54"/>
      <c r="BG441" s="54"/>
      <c r="BH441" s="54"/>
      <c r="BI441" s="54"/>
      <c r="BJ441" s="0"/>
      <c r="BK441" s="0"/>
      <c r="BL441" s="0"/>
      <c r="BM441" s="0"/>
      <c r="BN441" s="0"/>
      <c r="BO441" s="0"/>
      <c r="BP441"/>
      <c r="BQ441"/>
      <c r="BR441"/>
      <c r="BS441"/>
      <c r="BT441"/>
      <c r="BU441"/>
      <c r="BV441"/>
      <c r="BW441"/>
      <c r="BX441"/>
      <c r="BY441"/>
      <c r="BZ441"/>
      <c r="CA441"/>
      <c r="CB441"/>
    </row>
    <row r="442" ht="15.0" customHeight="true">
      <c r="A442" s="51" t="s">
        <v>2448</v>
      </c>
      <c r="B442" s="33"/>
      <c r="C442" s="33" t="s">
        <v>5851</v>
      </c>
      <c r="D442" s="33"/>
      <c r="E442" s="33" t="s">
        <v>4255</v>
      </c>
      <c r="F442" s="33"/>
      <c r="G442" s="55" t="s">
        <v>5852</v>
      </c>
      <c r="H442" s="33"/>
      <c r="I442" s="51" t="s">
        <v>5853</v>
      </c>
      <c r="J442" s="33"/>
      <c r="K442" s="51" t="s">
        <v>5854</v>
      </c>
      <c r="L442" s="33" t="s">
        <v>2484</v>
      </c>
      <c r="M442" s="55" t="s">
        <v>3452</v>
      </c>
      <c r="N442" s="55"/>
      <c r="O442" s="33"/>
      <c r="P442" s="33" t="s">
        <v>2251</v>
      </c>
      <c r="Q442" s="33"/>
      <c r="R442" s="33" t="s">
        <v>2263</v>
      </c>
      <c r="S442" s="56" t="s">
        <v>2277</v>
      </c>
      <c r="T442" s="56"/>
      <c r="U442" s="56"/>
      <c r="V442" s="33" t="s">
        <v>2456</v>
      </c>
      <c r="W442" s="94" t="s">
        <v>2457</v>
      </c>
      <c r="X442" s="94" t="s">
        <v>2474</v>
      </c>
      <c r="Y442" s="51"/>
      <c r="Z442" s="51"/>
      <c r="AA442" s="33" t="s">
        <v>2459</v>
      </c>
      <c r="AB442" s="33" t="s">
        <v>2460</v>
      </c>
      <c r="AC442" s="33" t="s">
        <v>2486</v>
      </c>
      <c r="AD442" s="33" t="s">
        <v>2254</v>
      </c>
      <c r="AE442" s="33"/>
      <c r="AF442" s="33" t="s">
        <v>2267</v>
      </c>
      <c r="AG442" s="33" t="s">
        <v>2461</v>
      </c>
      <c r="AH442" s="33"/>
      <c r="AI442" s="33"/>
      <c r="AJ442" s="33" t="s">
        <v>5855</v>
      </c>
      <c r="AK442" s="94"/>
      <c r="AL442" s="33" t="s">
        <v>5856</v>
      </c>
      <c r="AM442" s="33" t="s">
        <v>5857</v>
      </c>
      <c r="AN442" s="33" t="s">
        <v>2465</v>
      </c>
      <c r="AO442" s="51" t="s">
        <v>2500</v>
      </c>
      <c r="AP442" s="51" t="s">
        <v>207</v>
      </c>
      <c r="AQ442" s="33"/>
      <c r="AR442" s="54"/>
      <c r="AS442" s="54"/>
      <c r="AT442" s="54"/>
      <c r="AU442" s="54"/>
      <c r="AV442" s="54"/>
      <c r="AW442" s="54"/>
      <c r="AX442" s="54"/>
      <c r="AY442" s="54"/>
      <c r="AZ442" s="54"/>
      <c r="BA442" s="54"/>
      <c r="BB442" s="54"/>
      <c r="BC442" s="54"/>
      <c r="BD442" s="54" t="s">
        <v>2447</v>
      </c>
      <c r="BE442" s="54"/>
      <c r="BF442" s="54"/>
      <c r="BG442" s="54"/>
      <c r="BH442" s="54"/>
      <c r="BI442" s="54"/>
      <c r="BJ442" s="0"/>
      <c r="BK442" s="0"/>
      <c r="BL442" s="0"/>
      <c r="BM442" s="0"/>
      <c r="BN442" s="0"/>
      <c r="BO442" s="0"/>
      <c r="BP442"/>
      <c r="BQ442"/>
      <c r="BR442"/>
      <c r="BS442"/>
      <c r="BT442"/>
      <c r="BU442"/>
      <c r="BV442"/>
      <c r="BW442"/>
      <c r="BX442"/>
      <c r="BY442"/>
      <c r="BZ442"/>
      <c r="CA442"/>
      <c r="CB442"/>
    </row>
    <row r="443" ht="15.0" customHeight="true">
      <c r="A443" s="51" t="s">
        <v>2448</v>
      </c>
      <c r="B443" s="33"/>
      <c r="C443" s="33" t="s">
        <v>5858</v>
      </c>
      <c r="D443" s="33"/>
      <c r="E443" s="33" t="s">
        <v>5781</v>
      </c>
      <c r="F443" s="33"/>
      <c r="G443" s="55" t="s">
        <v>5859</v>
      </c>
      <c r="H443" s="33"/>
      <c r="I443" s="51" t="s">
        <v>5860</v>
      </c>
      <c r="J443" s="33"/>
      <c r="K443" s="51" t="s">
        <v>5861</v>
      </c>
      <c r="L443" s="33" t="s">
        <v>2454</v>
      </c>
      <c r="M443" s="55" t="s">
        <v>3057</v>
      </c>
      <c r="N443" s="55" t="s">
        <v>2918</v>
      </c>
      <c r="O443" s="33" t="s">
        <v>2272</v>
      </c>
      <c r="P443" s="33" t="s">
        <v>2251</v>
      </c>
      <c r="Q443" s="33"/>
      <c r="R443" s="33" t="s">
        <v>2263</v>
      </c>
      <c r="S443" s="56" t="s">
        <v>2277</v>
      </c>
      <c r="T443" s="56"/>
      <c r="U443" s="56"/>
      <c r="V443" s="33" t="s">
        <v>2456</v>
      </c>
      <c r="W443" s="94" t="s">
        <v>2457</v>
      </c>
      <c r="X443" s="94" t="s">
        <v>2474</v>
      </c>
      <c r="Y443" s="51"/>
      <c r="Z443" s="51"/>
      <c r="AA443" s="33" t="s">
        <v>2459</v>
      </c>
      <c r="AB443" s="33" t="s">
        <v>2460</v>
      </c>
      <c r="AC443" s="33"/>
      <c r="AD443" s="33" t="s">
        <v>2254</v>
      </c>
      <c r="AE443" s="33"/>
      <c r="AF443" s="33" t="s">
        <v>2267</v>
      </c>
      <c r="AG443" s="33" t="s">
        <v>2461</v>
      </c>
      <c r="AH443" s="33"/>
      <c r="AI443" s="33"/>
      <c r="AJ443" s="33" t="s">
        <v>5862</v>
      </c>
      <c r="AK443" s="94"/>
      <c r="AL443" s="33" t="s">
        <v>5786</v>
      </c>
      <c r="AM443" s="33"/>
      <c r="AN443" s="33" t="s">
        <v>2465</v>
      </c>
      <c r="AO443" s="51" t="s">
        <v>2489</v>
      </c>
      <c r="AP443" s="51" t="s">
        <v>207</v>
      </c>
      <c r="AQ443" s="33"/>
      <c r="AR443" s="54"/>
      <c r="AS443" s="54"/>
      <c r="AT443" s="54"/>
      <c r="AU443" s="54"/>
      <c r="AV443" s="54"/>
      <c r="AW443" s="54"/>
      <c r="AX443" s="54"/>
      <c r="AY443" s="54"/>
      <c r="AZ443" s="54"/>
      <c r="BA443" s="54"/>
      <c r="BB443" s="54"/>
      <c r="BC443" s="54"/>
      <c r="BD443" s="54" t="s">
        <v>2447</v>
      </c>
      <c r="BE443" s="54"/>
      <c r="BF443" s="54"/>
      <c r="BG443" s="54"/>
      <c r="BH443" s="54"/>
      <c r="BI443" s="54"/>
      <c r="BJ443" s="0"/>
      <c r="BK443" s="0"/>
      <c r="BL443" s="0"/>
      <c r="BM443" s="0"/>
      <c r="BN443" s="0"/>
      <c r="BO443" s="0"/>
      <c r="BP443"/>
      <c r="BQ443"/>
      <c r="BR443"/>
      <c r="BS443"/>
      <c r="BT443"/>
      <c r="BU443"/>
      <c r="BV443"/>
      <c r="BW443"/>
      <c r="BX443"/>
      <c r="BY443"/>
      <c r="BZ443"/>
      <c r="CA443"/>
      <c r="CB443"/>
    </row>
    <row r="444" ht="15.0" customHeight="true">
      <c r="A444" s="51" t="s">
        <v>2448</v>
      </c>
      <c r="B444" s="33"/>
      <c r="C444" s="33" t="s">
        <v>5863</v>
      </c>
      <c r="D444" s="33"/>
      <c r="E444" s="33" t="s">
        <v>5864</v>
      </c>
      <c r="F444" s="33"/>
      <c r="G444" s="55" t="s">
        <v>5865</v>
      </c>
      <c r="H444" s="33"/>
      <c r="I444" s="51" t="s">
        <v>5866</v>
      </c>
      <c r="J444" s="33"/>
      <c r="K444" s="51" t="s">
        <v>5867</v>
      </c>
      <c r="L444" s="33" t="s">
        <v>2454</v>
      </c>
      <c r="M444" s="55" t="s">
        <v>2883</v>
      </c>
      <c r="N444" s="55" t="s">
        <v>5868</v>
      </c>
      <c r="O444" s="33" t="s">
        <v>2272</v>
      </c>
      <c r="P444" s="33" t="s">
        <v>2251</v>
      </c>
      <c r="Q444" s="33"/>
      <c r="R444" s="33" t="s">
        <v>2263</v>
      </c>
      <c r="S444" s="56" t="s">
        <v>2277</v>
      </c>
      <c r="T444" s="56"/>
      <c r="U444" s="56"/>
      <c r="V444" s="33" t="s">
        <v>2456</v>
      </c>
      <c r="W444" s="94" t="s">
        <v>2457</v>
      </c>
      <c r="X444" s="94" t="s">
        <v>2458</v>
      </c>
      <c r="Y444" s="51"/>
      <c r="Z444" s="51"/>
      <c r="AA444" s="33" t="s">
        <v>2459</v>
      </c>
      <c r="AB444" s="33" t="s">
        <v>2460</v>
      </c>
      <c r="AC444" s="33"/>
      <c r="AD444" s="33" t="s">
        <v>2254</v>
      </c>
      <c r="AE444" s="33"/>
      <c r="AF444" s="33" t="s">
        <v>2267</v>
      </c>
      <c r="AG444" s="33" t="s">
        <v>2461</v>
      </c>
      <c r="AH444" s="33"/>
      <c r="AI444" s="33"/>
      <c r="AJ444" s="33" t="s">
        <v>5869</v>
      </c>
      <c r="AK444" s="94"/>
      <c r="AL444" s="33" t="s">
        <v>5870</v>
      </c>
      <c r="AM444" s="33"/>
      <c r="AN444" s="33" t="s">
        <v>2588</v>
      </c>
      <c r="AO444" s="51" t="s">
        <v>2702</v>
      </c>
      <c r="AP444" s="51" t="s">
        <v>207</v>
      </c>
      <c r="AQ444" s="33"/>
      <c r="AR444" s="54"/>
      <c r="AS444" s="54"/>
      <c r="AT444" s="54"/>
      <c r="AU444" s="54"/>
      <c r="AV444" s="54"/>
      <c r="AW444" s="54"/>
      <c r="AX444" s="54"/>
      <c r="AY444" s="54"/>
      <c r="AZ444" s="54"/>
      <c r="BA444" s="54"/>
      <c r="BB444" s="54"/>
      <c r="BC444" s="54"/>
      <c r="BD444" s="54" t="s">
        <v>2447</v>
      </c>
      <c r="BE444" s="54"/>
      <c r="BF444" s="54"/>
      <c r="BG444" s="54"/>
      <c r="BH444" s="54"/>
      <c r="BI444" s="54"/>
      <c r="BJ444" s="0"/>
      <c r="BK444" s="0"/>
      <c r="BL444" s="0"/>
      <c r="BM444" s="0"/>
      <c r="BN444" s="0"/>
      <c r="BO444" s="0"/>
      <c r="BP444"/>
      <c r="BQ444"/>
      <c r="BR444"/>
      <c r="BS444"/>
      <c r="BT444"/>
      <c r="BU444"/>
      <c r="BV444"/>
      <c r="BW444"/>
      <c r="BX444"/>
      <c r="BY444"/>
      <c r="BZ444"/>
      <c r="CA444"/>
      <c r="CB444"/>
    </row>
    <row r="445" ht="15.0" customHeight="true">
      <c r="A445" s="51" t="s">
        <v>2448</v>
      </c>
      <c r="B445" s="33"/>
      <c r="C445" s="33" t="s">
        <v>5871</v>
      </c>
      <c r="D445" s="33" t="s">
        <v>76</v>
      </c>
      <c r="E445" s="33" t="s">
        <v>5872</v>
      </c>
      <c r="F445" s="33"/>
      <c r="G445" s="55" t="s">
        <v>4083</v>
      </c>
      <c r="H445" s="33"/>
      <c r="I445" s="51" t="s">
        <v>5873</v>
      </c>
      <c r="J445" s="33"/>
      <c r="K445" s="51" t="s">
        <v>5874</v>
      </c>
      <c r="L445" s="33" t="s">
        <v>2484</v>
      </c>
      <c r="M445" s="55" t="s">
        <v>5875</v>
      </c>
      <c r="N445" s="55"/>
      <c r="O445" s="33"/>
      <c r="P445" s="33" t="s">
        <v>2251</v>
      </c>
      <c r="Q445" s="33"/>
      <c r="R445" s="33" t="s">
        <v>2263</v>
      </c>
      <c r="S445" s="56" t="s">
        <v>2277</v>
      </c>
      <c r="T445" s="56"/>
      <c r="U445" s="56"/>
      <c r="V445" s="33" t="s">
        <v>5875</v>
      </c>
      <c r="W445" s="94" t="s">
        <v>2574</v>
      </c>
      <c r="X445" s="94" t="s">
        <v>4376</v>
      </c>
      <c r="Y445" s="51"/>
      <c r="Z445" s="51"/>
      <c r="AA445" s="33" t="s">
        <v>2459</v>
      </c>
      <c r="AB445" s="33" t="s">
        <v>2460</v>
      </c>
      <c r="AC445" s="33" t="s">
        <v>2486</v>
      </c>
      <c r="AD445" s="33" t="s">
        <v>2254</v>
      </c>
      <c r="AE445" s="33"/>
      <c r="AF445" s="33" t="s">
        <v>2267</v>
      </c>
      <c r="AG445" s="33" t="s">
        <v>2461</v>
      </c>
      <c r="AH445" s="33"/>
      <c r="AI445" s="33"/>
      <c r="AJ445" s="33" t="s">
        <v>5876</v>
      </c>
      <c r="AK445" s="94"/>
      <c r="AL445" s="33" t="s">
        <v>5877</v>
      </c>
      <c r="AM445" s="33"/>
      <c r="AN445" s="33" t="s">
        <v>2588</v>
      </c>
      <c r="AO445" s="51" t="s">
        <v>2589</v>
      </c>
      <c r="AP445" s="51" t="s">
        <v>207</v>
      </c>
      <c r="AQ445" s="33"/>
      <c r="AR445" s="54"/>
      <c r="AS445" s="54"/>
      <c r="AT445" s="54"/>
      <c r="AU445" s="54"/>
      <c r="AV445" s="54"/>
      <c r="AW445" s="54"/>
      <c r="AX445" s="54"/>
      <c r="AY445" s="54" t="s">
        <v>2269</v>
      </c>
      <c r="AZ445" s="54"/>
      <c r="BA445" s="54"/>
      <c r="BB445" s="54"/>
      <c r="BC445" s="54"/>
      <c r="BD445" s="54" t="s">
        <v>2447</v>
      </c>
      <c r="BE445" s="54"/>
      <c r="BF445" s="54"/>
      <c r="BG445" s="54"/>
      <c r="BH445" s="54"/>
      <c r="BI445" s="54"/>
      <c r="BJ445" s="0"/>
      <c r="BK445" s="0"/>
      <c r="BL445" s="0"/>
      <c r="BM445" s="0"/>
      <c r="BN445" s="0"/>
      <c r="BO445" s="0"/>
      <c r="BP445"/>
      <c r="BQ445"/>
      <c r="BR445"/>
      <c r="BS445"/>
      <c r="BT445"/>
      <c r="BU445"/>
      <c r="BV445"/>
      <c r="BW445"/>
      <c r="BX445"/>
      <c r="BY445"/>
      <c r="BZ445"/>
      <c r="CA445"/>
      <c r="CB445"/>
    </row>
    <row r="446" ht="15.0" customHeight="true">
      <c r="A446" s="51" t="s">
        <v>2448</v>
      </c>
      <c r="B446" s="33"/>
      <c r="C446" s="33" t="s">
        <v>2659</v>
      </c>
      <c r="D446" s="33"/>
      <c r="E446" s="33" t="s">
        <v>3641</v>
      </c>
      <c r="F446" s="33"/>
      <c r="G446" s="55" t="s">
        <v>5878</v>
      </c>
      <c r="H446" s="33"/>
      <c r="I446" s="51" t="s">
        <v>5879</v>
      </c>
      <c r="J446" s="33"/>
      <c r="K446" s="51" t="s">
        <v>5880</v>
      </c>
      <c r="L446" s="33" t="s">
        <v>2454</v>
      </c>
      <c r="M446" s="55" t="s">
        <v>2815</v>
      </c>
      <c r="N446" s="55" t="s">
        <v>3623</v>
      </c>
      <c r="O446" s="33" t="s">
        <v>2272</v>
      </c>
      <c r="P446" s="33" t="s">
        <v>2251</v>
      </c>
      <c r="Q446" s="33"/>
      <c r="R446" s="33" t="s">
        <v>2263</v>
      </c>
      <c r="S446" s="56" t="s">
        <v>2277</v>
      </c>
      <c r="T446" s="56"/>
      <c r="U446" s="56"/>
      <c r="V446" s="33" t="s">
        <v>2456</v>
      </c>
      <c r="W446" s="94" t="s">
        <v>2457</v>
      </c>
      <c r="X446" s="94" t="s">
        <v>2458</v>
      </c>
      <c r="Y446" s="51"/>
      <c r="Z446" s="51"/>
      <c r="AA446" s="33" t="s">
        <v>2459</v>
      </c>
      <c r="AB446" s="33" t="s">
        <v>2460</v>
      </c>
      <c r="AC446" s="33"/>
      <c r="AD446" s="33" t="s">
        <v>2254</v>
      </c>
      <c r="AE446" s="33"/>
      <c r="AF446" s="33" t="s">
        <v>2267</v>
      </c>
      <c r="AG446" s="33" t="s">
        <v>2461</v>
      </c>
      <c r="AH446" s="33"/>
      <c r="AI446" s="33"/>
      <c r="AJ446" s="33" t="s">
        <v>5881</v>
      </c>
      <c r="AK446" s="94"/>
      <c r="AL446" s="33" t="s">
        <v>5882</v>
      </c>
      <c r="AM446" s="33"/>
      <c r="AN446" s="33" t="s">
        <v>2465</v>
      </c>
      <c r="AO446" s="51" t="s">
        <v>2548</v>
      </c>
      <c r="AP446" s="51" t="s">
        <v>207</v>
      </c>
      <c r="AQ446" s="33"/>
      <c r="AR446" s="54"/>
      <c r="AS446" s="54"/>
      <c r="AT446" s="54"/>
      <c r="AU446" s="54"/>
      <c r="AV446" s="54"/>
      <c r="AW446" s="54"/>
      <c r="AX446" s="54"/>
      <c r="AY446" s="54"/>
      <c r="AZ446" s="54"/>
      <c r="BA446" s="54"/>
      <c r="BB446" s="54"/>
      <c r="BC446" s="54"/>
      <c r="BD446" s="54" t="s">
        <v>2447</v>
      </c>
      <c r="BE446" s="54"/>
      <c r="BF446" s="54"/>
      <c r="BG446" s="54"/>
      <c r="BH446" s="54"/>
      <c r="BI446" s="54"/>
      <c r="BJ446" s="0"/>
      <c r="BK446" s="0"/>
      <c r="BL446" s="0"/>
      <c r="BM446" s="0"/>
      <c r="BN446" s="0"/>
      <c r="BO446" s="0"/>
      <c r="BP446"/>
      <c r="BQ446"/>
      <c r="BR446"/>
      <c r="BS446"/>
      <c r="BT446"/>
      <c r="BU446"/>
      <c r="BV446"/>
      <c r="BW446"/>
      <c r="BX446"/>
      <c r="BY446"/>
      <c r="BZ446"/>
      <c r="CA446"/>
      <c r="CB446"/>
    </row>
    <row r="447" ht="15.0" customHeight="true">
      <c r="A447" s="51" t="s">
        <v>2448</v>
      </c>
      <c r="B447" s="33"/>
      <c r="C447" s="33" t="s">
        <v>5085</v>
      </c>
      <c r="D447" s="33"/>
      <c r="E447" s="33" t="s">
        <v>5883</v>
      </c>
      <c r="F447" s="33"/>
      <c r="G447" s="55" t="s">
        <v>5884</v>
      </c>
      <c r="H447" s="33"/>
      <c r="I447" s="51" t="s">
        <v>5885</v>
      </c>
      <c r="J447" s="33"/>
      <c r="K447" s="51" t="s">
        <v>5886</v>
      </c>
      <c r="L447" s="33" t="s">
        <v>2454</v>
      </c>
      <c r="M447" s="55" t="s">
        <v>3119</v>
      </c>
      <c r="N447" s="55" t="s">
        <v>3119</v>
      </c>
      <c r="O447" s="33" t="s">
        <v>2272</v>
      </c>
      <c r="P447" s="33" t="s">
        <v>2251</v>
      </c>
      <c r="Q447" s="33"/>
      <c r="R447" s="33" t="s">
        <v>2263</v>
      </c>
      <c r="S447" s="56" t="s">
        <v>2277</v>
      </c>
      <c r="T447" s="56"/>
      <c r="U447" s="56"/>
      <c r="V447" s="33" t="s">
        <v>2456</v>
      </c>
      <c r="W447" s="94" t="s">
        <v>2457</v>
      </c>
      <c r="X447" s="94" t="s">
        <v>2474</v>
      </c>
      <c r="Y447" s="51"/>
      <c r="Z447" s="51"/>
      <c r="AA447" s="33" t="s">
        <v>2459</v>
      </c>
      <c r="AB447" s="33" t="s">
        <v>2460</v>
      </c>
      <c r="AC447" s="33"/>
      <c r="AD447" s="33" t="s">
        <v>2254</v>
      </c>
      <c r="AE447" s="33"/>
      <c r="AF447" s="33" t="s">
        <v>2267</v>
      </c>
      <c r="AG447" s="33" t="s">
        <v>2461</v>
      </c>
      <c r="AH447" s="33"/>
      <c r="AI447" s="33"/>
      <c r="AJ447" s="33" t="s">
        <v>5887</v>
      </c>
      <c r="AK447" s="94"/>
      <c r="AL447" s="33" t="s">
        <v>5888</v>
      </c>
      <c r="AM447" s="33" t="s">
        <v>4053</v>
      </c>
      <c r="AN447" s="33" t="s">
        <v>2465</v>
      </c>
      <c r="AO447" s="51" t="s">
        <v>2466</v>
      </c>
      <c r="AP447" s="51" t="s">
        <v>207</v>
      </c>
      <c r="AQ447" s="33"/>
      <c r="AR447" s="54"/>
      <c r="AS447" s="54"/>
      <c r="AT447" s="54"/>
      <c r="AU447" s="54"/>
      <c r="AV447" s="54"/>
      <c r="AW447" s="54"/>
      <c r="AX447" s="54"/>
      <c r="AY447" s="54"/>
      <c r="AZ447" s="54"/>
      <c r="BA447" s="54"/>
      <c r="BB447" s="54"/>
      <c r="BC447" s="54"/>
      <c r="BD447" s="54" t="s">
        <v>2447</v>
      </c>
      <c r="BE447" s="54"/>
      <c r="BF447" s="54"/>
      <c r="BG447" s="54"/>
      <c r="BH447" s="54"/>
      <c r="BI447" s="54"/>
      <c r="BJ447" s="0"/>
      <c r="BK447" s="0"/>
      <c r="BL447" s="0"/>
      <c r="BM447" s="0"/>
      <c r="BN447" s="0"/>
      <c r="BO447" s="0"/>
      <c r="BP447"/>
      <c r="BQ447"/>
      <c r="BR447"/>
      <c r="BS447"/>
      <c r="BT447"/>
      <c r="BU447"/>
      <c r="BV447"/>
      <c r="BW447"/>
      <c r="BX447"/>
      <c r="BY447"/>
      <c r="BZ447"/>
      <c r="CA447"/>
      <c r="CB447"/>
    </row>
    <row r="448" ht="15.0" customHeight="true">
      <c r="A448" s="51" t="s">
        <v>2448</v>
      </c>
      <c r="B448" s="33"/>
      <c r="C448" s="33" t="s">
        <v>2748</v>
      </c>
      <c r="D448" s="33"/>
      <c r="E448" s="33" t="s">
        <v>3909</v>
      </c>
      <c r="F448" s="33"/>
      <c r="G448" s="55" t="s">
        <v>5889</v>
      </c>
      <c r="H448" s="33"/>
      <c r="I448" s="51" t="s">
        <v>5890</v>
      </c>
      <c r="J448" s="33"/>
      <c r="K448" s="51" t="s">
        <v>5891</v>
      </c>
      <c r="L448" s="33" t="s">
        <v>2484</v>
      </c>
      <c r="M448" s="55" t="s">
        <v>2688</v>
      </c>
      <c r="N448" s="55"/>
      <c r="O448" s="33"/>
      <c r="P448" s="33" t="s">
        <v>2251</v>
      </c>
      <c r="Q448" s="33"/>
      <c r="R448" s="33" t="s">
        <v>2263</v>
      </c>
      <c r="S448" s="56" t="s">
        <v>2277</v>
      </c>
      <c r="T448" s="56"/>
      <c r="U448" s="56"/>
      <c r="V448" s="33" t="s">
        <v>2456</v>
      </c>
      <c r="W448" s="94" t="s">
        <v>2457</v>
      </c>
      <c r="X448" s="94" t="s">
        <v>2474</v>
      </c>
      <c r="Y448" s="51"/>
      <c r="Z448" s="51"/>
      <c r="AA448" s="33" t="s">
        <v>2459</v>
      </c>
      <c r="AB448" s="33" t="s">
        <v>2460</v>
      </c>
      <c r="AC448" s="33" t="s">
        <v>2486</v>
      </c>
      <c r="AD448" s="33" t="s">
        <v>2254</v>
      </c>
      <c r="AE448" s="33"/>
      <c r="AF448" s="33" t="s">
        <v>2267</v>
      </c>
      <c r="AG448" s="33" t="s">
        <v>2461</v>
      </c>
      <c r="AH448" s="33"/>
      <c r="AI448" s="33"/>
      <c r="AJ448" s="33" t="s">
        <v>5892</v>
      </c>
      <c r="AK448" s="94"/>
      <c r="AL448" s="33" t="s">
        <v>5893</v>
      </c>
      <c r="AM448" s="33"/>
      <c r="AN448" s="33" t="s">
        <v>2588</v>
      </c>
      <c r="AO448" s="51" t="s">
        <v>2628</v>
      </c>
      <c r="AP448" s="51" t="s">
        <v>207</v>
      </c>
      <c r="AQ448" s="33"/>
      <c r="AR448" s="54"/>
      <c r="AS448" s="54"/>
      <c r="AT448" s="54"/>
      <c r="AU448" s="54"/>
      <c r="AV448" s="54"/>
      <c r="AW448" s="54"/>
      <c r="AX448" s="54"/>
      <c r="AY448" s="54"/>
      <c r="AZ448" s="54"/>
      <c r="BA448" s="54"/>
      <c r="BB448" s="54"/>
      <c r="BC448" s="54"/>
      <c r="BD448" s="54" t="s">
        <v>2447</v>
      </c>
      <c r="BE448" s="54"/>
      <c r="BF448" s="54"/>
      <c r="BG448" s="54"/>
      <c r="BH448" s="54"/>
      <c r="BI448" s="54"/>
      <c r="BJ448" s="0"/>
      <c r="BK448" s="0"/>
      <c r="BL448" s="0"/>
      <c r="BM448" s="0"/>
      <c r="BN448" s="0"/>
      <c r="BO448" s="0"/>
      <c r="BP448"/>
      <c r="BQ448"/>
      <c r="BR448"/>
      <c r="BS448"/>
      <c r="BT448"/>
      <c r="BU448"/>
      <c r="BV448"/>
      <c r="BW448"/>
      <c r="BX448"/>
      <c r="BY448"/>
      <c r="BZ448"/>
      <c r="CA448"/>
      <c r="CB448"/>
    </row>
    <row r="449" ht="15.0" customHeight="true">
      <c r="A449" s="51" t="s">
        <v>2448</v>
      </c>
      <c r="B449" s="33"/>
      <c r="C449" s="33" t="s">
        <v>5894</v>
      </c>
      <c r="D449" s="33"/>
      <c r="E449" s="33" t="s">
        <v>5895</v>
      </c>
      <c r="F449" s="33"/>
      <c r="G449" s="55" t="s">
        <v>5896</v>
      </c>
      <c r="H449" s="33"/>
      <c r="I449" s="51" t="s">
        <v>5897</v>
      </c>
      <c r="J449" s="33"/>
      <c r="K449" s="51" t="s">
        <v>5898</v>
      </c>
      <c r="L449" s="33" t="s">
        <v>2484</v>
      </c>
      <c r="M449" s="55" t="s">
        <v>5899</v>
      </c>
      <c r="N449" s="55"/>
      <c r="O449" s="33"/>
      <c r="P449" s="33" t="s">
        <v>2251</v>
      </c>
      <c r="Q449" s="33"/>
      <c r="R449" s="33" t="s">
        <v>2263</v>
      </c>
      <c r="S449" s="56" t="s">
        <v>2277</v>
      </c>
      <c r="T449" s="56"/>
      <c r="U449" s="56"/>
      <c r="V449" s="33" t="s">
        <v>2456</v>
      </c>
      <c r="W449" s="94" t="s">
        <v>2457</v>
      </c>
      <c r="X449" s="94" t="s">
        <v>2474</v>
      </c>
      <c r="Y449" s="51"/>
      <c r="Z449" s="51"/>
      <c r="AA449" s="33" t="s">
        <v>2459</v>
      </c>
      <c r="AB449" s="33" t="s">
        <v>2460</v>
      </c>
      <c r="AC449" s="33" t="s">
        <v>2486</v>
      </c>
      <c r="AD449" s="33" t="s">
        <v>2254</v>
      </c>
      <c r="AE449" s="33"/>
      <c r="AF449" s="33" t="s">
        <v>2267</v>
      </c>
      <c r="AG449" s="33" t="s">
        <v>2461</v>
      </c>
      <c r="AH449" s="33"/>
      <c r="AI449" s="33"/>
      <c r="AJ449" s="33" t="s">
        <v>5900</v>
      </c>
      <c r="AK449" s="94"/>
      <c r="AL449" s="33" t="s">
        <v>5901</v>
      </c>
      <c r="AM449" s="33" t="s">
        <v>5902</v>
      </c>
      <c r="AN449" s="33" t="s">
        <v>976</v>
      </c>
      <c r="AO449" s="51" t="s">
        <v>2528</v>
      </c>
      <c r="AP449" s="51" t="s">
        <v>207</v>
      </c>
      <c r="AQ449" s="33" t="s">
        <v>1556</v>
      </c>
      <c r="AR449" s="54"/>
      <c r="AS449" s="54"/>
      <c r="AT449" s="54"/>
      <c r="AU449" s="54"/>
      <c r="AV449" s="54"/>
      <c r="AW449" s="54"/>
      <c r="AX449" s="54"/>
      <c r="AY449" s="54"/>
      <c r="AZ449" s="54"/>
      <c r="BA449" s="54"/>
      <c r="BB449" s="54"/>
      <c r="BC449" s="54"/>
      <c r="BD449" s="54" t="s">
        <v>2447</v>
      </c>
      <c r="BE449" s="54"/>
      <c r="BF449" s="54"/>
      <c r="BG449" s="54"/>
      <c r="BH449" s="54"/>
      <c r="BI449" s="54"/>
      <c r="BJ449" s="0"/>
      <c r="BK449" s="0"/>
      <c r="BL449" s="0"/>
      <c r="BM449" s="0"/>
      <c r="BN449" s="0"/>
      <c r="BO449" s="0"/>
      <c r="BP449"/>
      <c r="BQ449"/>
      <c r="BR449"/>
      <c r="BS449"/>
      <c r="BT449"/>
      <c r="BU449"/>
      <c r="BV449"/>
      <c r="BW449"/>
      <c r="BX449"/>
      <c r="BY449"/>
      <c r="BZ449"/>
      <c r="CA449"/>
      <c r="CB449"/>
    </row>
    <row r="450" ht="15.0" customHeight="true">
      <c r="A450" s="51" t="s">
        <v>2448</v>
      </c>
      <c r="B450" s="33"/>
      <c r="C450" s="33" t="s">
        <v>5903</v>
      </c>
      <c r="D450" s="33"/>
      <c r="E450" s="33" t="s">
        <v>3948</v>
      </c>
      <c r="F450" s="33"/>
      <c r="G450" s="55" t="s">
        <v>5904</v>
      </c>
      <c r="H450" s="33"/>
      <c r="I450" s="51" t="s">
        <v>5905</v>
      </c>
      <c r="J450" s="33"/>
      <c r="K450" s="51" t="s">
        <v>5906</v>
      </c>
      <c r="L450" s="33" t="s">
        <v>2484</v>
      </c>
      <c r="M450" s="55" t="s">
        <v>2534</v>
      </c>
      <c r="N450" s="55"/>
      <c r="O450" s="33"/>
      <c r="P450" s="33" t="s">
        <v>2251</v>
      </c>
      <c r="Q450" s="33"/>
      <c r="R450" s="33" t="s">
        <v>2263</v>
      </c>
      <c r="S450" s="56" t="s">
        <v>2277</v>
      </c>
      <c r="T450" s="56"/>
      <c r="U450" s="56"/>
      <c r="V450" s="33" t="s">
        <v>2456</v>
      </c>
      <c r="W450" s="94" t="s">
        <v>2457</v>
      </c>
      <c r="X450" s="94" t="s">
        <v>2474</v>
      </c>
      <c r="Y450" s="51"/>
      <c r="Z450" s="51"/>
      <c r="AA450" s="33" t="s">
        <v>2459</v>
      </c>
      <c r="AB450" s="33" t="s">
        <v>2460</v>
      </c>
      <c r="AC450" s="33" t="s">
        <v>2486</v>
      </c>
      <c r="AD450" s="33" t="s">
        <v>2254</v>
      </c>
      <c r="AE450" s="33"/>
      <c r="AF450" s="33" t="s">
        <v>2267</v>
      </c>
      <c r="AG450" s="33" t="s">
        <v>2461</v>
      </c>
      <c r="AH450" s="33"/>
      <c r="AI450" s="33"/>
      <c r="AJ450" s="33" t="s">
        <v>5907</v>
      </c>
      <c r="AK450" s="94"/>
      <c r="AL450" s="33" t="s">
        <v>5908</v>
      </c>
      <c r="AM450" s="33"/>
      <c r="AN450" s="33" t="s">
        <v>2465</v>
      </c>
      <c r="AO450" s="51" t="s">
        <v>2820</v>
      </c>
      <c r="AP450" s="51" t="s">
        <v>207</v>
      </c>
      <c r="AQ450" s="33"/>
      <c r="AR450" s="54"/>
      <c r="AS450" s="54"/>
      <c r="AT450" s="54"/>
      <c r="AU450" s="54"/>
      <c r="AV450" s="54"/>
      <c r="AW450" s="54"/>
      <c r="AX450" s="54"/>
      <c r="AY450" s="54"/>
      <c r="AZ450" s="54"/>
      <c r="BA450" s="54"/>
      <c r="BB450" s="54"/>
      <c r="BC450" s="54"/>
      <c r="BD450" s="54" t="s">
        <v>2447</v>
      </c>
      <c r="BE450" s="54"/>
      <c r="BF450" s="54"/>
      <c r="BG450" s="54"/>
      <c r="BH450" s="54"/>
      <c r="BI450" s="54"/>
      <c r="BJ450" s="0"/>
      <c r="BK450" s="0"/>
      <c r="BL450" s="0"/>
      <c r="BM450" s="0"/>
      <c r="BN450" s="0"/>
      <c r="BO450" s="0"/>
      <c r="BP450"/>
      <c r="BQ450"/>
      <c r="BR450"/>
      <c r="BS450"/>
      <c r="BT450"/>
      <c r="BU450"/>
      <c r="BV450"/>
      <c r="BW450"/>
      <c r="BX450"/>
      <c r="BY450"/>
      <c r="BZ450"/>
      <c r="CA450"/>
      <c r="CB450"/>
    </row>
    <row r="451" ht="15.0" customHeight="true">
      <c r="A451" s="51" t="s">
        <v>2448</v>
      </c>
      <c r="B451" s="33"/>
      <c r="C451" s="33" t="s">
        <v>5909</v>
      </c>
      <c r="D451" s="33"/>
      <c r="E451" s="33" t="s">
        <v>5910</v>
      </c>
      <c r="F451" s="33"/>
      <c r="G451" s="55" t="s">
        <v>3566</v>
      </c>
      <c r="H451" s="33"/>
      <c r="I451" s="51" t="s">
        <v>5911</v>
      </c>
      <c r="J451" s="33"/>
      <c r="K451" s="51" t="s">
        <v>5912</v>
      </c>
      <c r="L451" s="33" t="s">
        <v>2484</v>
      </c>
      <c r="M451" s="55" t="s">
        <v>3913</v>
      </c>
      <c r="N451" s="55"/>
      <c r="O451" s="33"/>
      <c r="P451" s="33" t="s">
        <v>2251</v>
      </c>
      <c r="Q451" s="33"/>
      <c r="R451" s="33" t="s">
        <v>2263</v>
      </c>
      <c r="S451" s="56" t="s">
        <v>2277</v>
      </c>
      <c r="T451" s="56"/>
      <c r="U451" s="56"/>
      <c r="V451" s="33" t="s">
        <v>2456</v>
      </c>
      <c r="W451" s="94" t="s">
        <v>2457</v>
      </c>
      <c r="X451" s="94" t="s">
        <v>2474</v>
      </c>
      <c r="Y451" s="51"/>
      <c r="Z451" s="51"/>
      <c r="AA451" s="33" t="s">
        <v>2459</v>
      </c>
      <c r="AB451" s="33" t="s">
        <v>2460</v>
      </c>
      <c r="AC451" s="33" t="s">
        <v>2486</v>
      </c>
      <c r="AD451" s="33" t="s">
        <v>2254</v>
      </c>
      <c r="AE451" s="33"/>
      <c r="AF451" s="33" t="s">
        <v>2267</v>
      </c>
      <c r="AG451" s="33" t="s">
        <v>2461</v>
      </c>
      <c r="AH451" s="33"/>
      <c r="AI451" s="33"/>
      <c r="AJ451" s="33" t="s">
        <v>5913</v>
      </c>
      <c r="AK451" s="94"/>
      <c r="AL451" s="33" t="s">
        <v>5914</v>
      </c>
      <c r="AM451" s="33"/>
      <c r="AN451" s="33" t="s">
        <v>2465</v>
      </c>
      <c r="AO451" s="51" t="s">
        <v>2548</v>
      </c>
      <c r="AP451" s="51" t="s">
        <v>207</v>
      </c>
      <c r="AQ451" s="33"/>
      <c r="AR451" s="54"/>
      <c r="AS451" s="54"/>
      <c r="AT451" s="54"/>
      <c r="AU451" s="54"/>
      <c r="AV451" s="54"/>
      <c r="AW451" s="54"/>
      <c r="AX451" s="54"/>
      <c r="AY451" s="54"/>
      <c r="AZ451" s="54"/>
      <c r="BA451" s="54"/>
      <c r="BB451" s="54"/>
      <c r="BC451" s="54"/>
      <c r="BD451" s="54" t="s">
        <v>2447</v>
      </c>
      <c r="BE451" s="54"/>
      <c r="BF451" s="54"/>
      <c r="BG451" s="54"/>
      <c r="BH451" s="54"/>
      <c r="BI451" s="54"/>
      <c r="BJ451" s="0"/>
      <c r="BK451" s="0"/>
      <c r="BL451" s="0"/>
      <c r="BM451" s="0"/>
      <c r="BN451" s="0"/>
      <c r="BO451" s="0"/>
      <c r="BP451"/>
      <c r="BQ451"/>
      <c r="BR451"/>
      <c r="BS451"/>
      <c r="BT451"/>
      <c r="BU451"/>
      <c r="BV451"/>
      <c r="BW451"/>
      <c r="BX451"/>
      <c r="BY451"/>
      <c r="BZ451"/>
      <c r="CA451"/>
      <c r="CB451"/>
    </row>
    <row r="452" ht="15.0" customHeight="true">
      <c r="A452" s="51" t="s">
        <v>2448</v>
      </c>
      <c r="B452" s="33"/>
      <c r="C452" s="33" t="s">
        <v>2988</v>
      </c>
      <c r="D452" s="33"/>
      <c r="E452" s="33" t="s">
        <v>5915</v>
      </c>
      <c r="F452" s="33"/>
      <c r="G452" s="55" t="s">
        <v>5916</v>
      </c>
      <c r="H452" s="33"/>
      <c r="I452" s="51" t="s">
        <v>5917</v>
      </c>
      <c r="J452" s="33"/>
      <c r="K452" s="51" t="s">
        <v>5918</v>
      </c>
      <c r="L452" s="33" t="s">
        <v>2454</v>
      </c>
      <c r="M452" s="55" t="s">
        <v>5293</v>
      </c>
      <c r="N452" s="55" t="s">
        <v>5919</v>
      </c>
      <c r="O452" s="33" t="s">
        <v>2271</v>
      </c>
      <c r="P452" s="33" t="s">
        <v>2251</v>
      </c>
      <c r="Q452" s="33"/>
      <c r="R452" s="33" t="s">
        <v>2263</v>
      </c>
      <c r="S452" s="56" t="s">
        <v>2277</v>
      </c>
      <c r="T452" s="56"/>
      <c r="U452" s="56"/>
      <c r="V452" s="33" t="s">
        <v>5293</v>
      </c>
      <c r="W452" s="94" t="s">
        <v>2574</v>
      </c>
      <c r="X452" s="94" t="s">
        <v>2474</v>
      </c>
      <c r="Y452" s="51"/>
      <c r="Z452" s="51"/>
      <c r="AA452" s="33" t="s">
        <v>2459</v>
      </c>
      <c r="AB452" s="33" t="s">
        <v>2460</v>
      </c>
      <c r="AC452" s="33" t="s">
        <v>2486</v>
      </c>
      <c r="AD452" s="33" t="s">
        <v>2254</v>
      </c>
      <c r="AE452" s="33"/>
      <c r="AF452" s="33" t="s">
        <v>2267</v>
      </c>
      <c r="AG452" s="33" t="s">
        <v>2461</v>
      </c>
      <c r="AH452" s="33"/>
      <c r="AI452" s="33"/>
      <c r="AJ452" s="33" t="s">
        <v>5920</v>
      </c>
      <c r="AK452" s="94"/>
      <c r="AL452" s="33" t="s">
        <v>5921</v>
      </c>
      <c r="AM452" s="33" t="s">
        <v>3040</v>
      </c>
      <c r="AN452" s="33" t="s">
        <v>2465</v>
      </c>
      <c r="AO452" s="51" t="s">
        <v>2820</v>
      </c>
      <c r="AP452" s="51" t="s">
        <v>207</v>
      </c>
      <c r="AQ452" s="33"/>
      <c r="AR452" s="54"/>
      <c r="AS452" s="54"/>
      <c r="AT452" s="54"/>
      <c r="AU452" s="54"/>
      <c r="AV452" s="54"/>
      <c r="AW452" s="54"/>
      <c r="AX452" s="54"/>
      <c r="AY452" s="54" t="s">
        <v>2269</v>
      </c>
      <c r="AZ452" s="54"/>
      <c r="BA452" s="54"/>
      <c r="BB452" s="54"/>
      <c r="BC452" s="54"/>
      <c r="BD452" s="54" t="s">
        <v>2447</v>
      </c>
      <c r="BE452" s="54"/>
      <c r="BF452" s="54"/>
      <c r="BG452" s="54"/>
      <c r="BH452" s="54"/>
      <c r="BI452" s="54"/>
      <c r="BJ452" s="0"/>
      <c r="BK452" s="0"/>
      <c r="BL452" s="0"/>
      <c r="BM452" s="0"/>
      <c r="BN452" s="0"/>
      <c r="BO452" s="0"/>
      <c r="BP452"/>
      <c r="BQ452"/>
      <c r="BR452"/>
      <c r="BS452"/>
      <c r="BT452"/>
      <c r="BU452"/>
      <c r="BV452"/>
      <c r="BW452"/>
      <c r="BX452"/>
      <c r="BY452"/>
      <c r="BZ452"/>
      <c r="CA452"/>
      <c r="CB452"/>
    </row>
    <row r="453" ht="15.0" customHeight="true">
      <c r="A453" s="51" t="s">
        <v>2448</v>
      </c>
      <c r="B453" s="33"/>
      <c r="C453" s="33" t="s">
        <v>5922</v>
      </c>
      <c r="D453" s="33"/>
      <c r="E453" s="33" t="s">
        <v>5923</v>
      </c>
      <c r="F453" s="33"/>
      <c r="G453" s="55" t="s">
        <v>5924</v>
      </c>
      <c r="H453" s="33"/>
      <c r="I453" s="51" t="s">
        <v>5925</v>
      </c>
      <c r="J453" s="33"/>
      <c r="K453" s="51" t="s">
        <v>5926</v>
      </c>
      <c r="L453" s="33" t="s">
        <v>2454</v>
      </c>
      <c r="M453" s="55" t="s">
        <v>4942</v>
      </c>
      <c r="N453" s="55" t="s">
        <v>4942</v>
      </c>
      <c r="O453" s="33" t="s">
        <v>2272</v>
      </c>
      <c r="P453" s="33" t="s">
        <v>2251</v>
      </c>
      <c r="Q453" s="33"/>
      <c r="R453" s="33" t="s">
        <v>2263</v>
      </c>
      <c r="S453" s="56" t="s">
        <v>2277</v>
      </c>
      <c r="T453" s="56"/>
      <c r="U453" s="56"/>
      <c r="V453" s="33" t="s">
        <v>2456</v>
      </c>
      <c r="W453" s="94" t="s">
        <v>2457</v>
      </c>
      <c r="X453" s="94" t="s">
        <v>2474</v>
      </c>
      <c r="Y453" s="51"/>
      <c r="Z453" s="51"/>
      <c r="AA453" s="33" t="s">
        <v>2459</v>
      </c>
      <c r="AB453" s="33" t="s">
        <v>2460</v>
      </c>
      <c r="AC453" s="33"/>
      <c r="AD453" s="33" t="s">
        <v>2254</v>
      </c>
      <c r="AE453" s="33"/>
      <c r="AF453" s="33" t="s">
        <v>2267</v>
      </c>
      <c r="AG453" s="33" t="s">
        <v>2461</v>
      </c>
      <c r="AH453" s="33"/>
      <c r="AI453" s="33"/>
      <c r="AJ453" s="33" t="s">
        <v>5927</v>
      </c>
      <c r="AK453" s="94"/>
      <c r="AL453" s="33" t="s">
        <v>5928</v>
      </c>
      <c r="AM453" s="33"/>
      <c r="AN453" s="33" t="s">
        <v>2465</v>
      </c>
      <c r="AO453" s="51" t="s">
        <v>2489</v>
      </c>
      <c r="AP453" s="51" t="s">
        <v>207</v>
      </c>
      <c r="AQ453" s="33"/>
      <c r="AR453" s="54"/>
      <c r="AS453" s="54"/>
      <c r="AT453" s="54"/>
      <c r="AU453" s="54"/>
      <c r="AV453" s="54"/>
      <c r="AW453" s="54"/>
      <c r="AX453" s="54"/>
      <c r="AY453" s="54"/>
      <c r="AZ453" s="54"/>
      <c r="BA453" s="54"/>
      <c r="BB453" s="54"/>
      <c r="BC453" s="54"/>
      <c r="BD453" s="54" t="s">
        <v>2447</v>
      </c>
      <c r="BE453" s="54"/>
      <c r="BF453" s="54"/>
      <c r="BG453" s="54"/>
      <c r="BH453" s="54"/>
      <c r="BI453" s="54"/>
      <c r="BJ453" s="0"/>
      <c r="BK453" s="0"/>
      <c r="BL453" s="0"/>
      <c r="BM453" s="0"/>
      <c r="BN453" s="0"/>
      <c r="BO453" s="0"/>
      <c r="BP453"/>
      <c r="BQ453"/>
      <c r="BR453"/>
      <c r="BS453"/>
      <c r="BT453"/>
      <c r="BU453"/>
      <c r="BV453"/>
      <c r="BW453"/>
      <c r="BX453"/>
      <c r="BY453"/>
      <c r="BZ453"/>
      <c r="CA453"/>
      <c r="CB453"/>
    </row>
    <row r="454" ht="15.0" customHeight="true">
      <c r="A454" s="51" t="s">
        <v>2448</v>
      </c>
      <c r="B454" s="33"/>
      <c r="C454" s="33" t="s">
        <v>5929</v>
      </c>
      <c r="D454" s="33"/>
      <c r="E454" s="33" t="s">
        <v>5930</v>
      </c>
      <c r="F454" s="33"/>
      <c r="G454" s="55" t="s">
        <v>5931</v>
      </c>
      <c r="H454" s="33"/>
      <c r="I454" s="51" t="s">
        <v>5932</v>
      </c>
      <c r="J454" s="33"/>
      <c r="K454" s="51" t="s">
        <v>5933</v>
      </c>
      <c r="L454" s="33" t="s">
        <v>2454</v>
      </c>
      <c r="M454" s="55" t="s">
        <v>2936</v>
      </c>
      <c r="N454" s="55" t="s">
        <v>2606</v>
      </c>
      <c r="O454" s="33" t="s">
        <v>2272</v>
      </c>
      <c r="P454" s="33" t="s">
        <v>2251</v>
      </c>
      <c r="Q454" s="33"/>
      <c r="R454" s="33" t="s">
        <v>2263</v>
      </c>
      <c r="S454" s="56" t="s">
        <v>2277</v>
      </c>
      <c r="T454" s="56"/>
      <c r="U454" s="56"/>
      <c r="V454" s="33" t="s">
        <v>2456</v>
      </c>
      <c r="W454" s="94" t="s">
        <v>2457</v>
      </c>
      <c r="X454" s="94" t="s">
        <v>2474</v>
      </c>
      <c r="Y454" s="51"/>
      <c r="Z454" s="51"/>
      <c r="AA454" s="33" t="s">
        <v>2459</v>
      </c>
      <c r="AB454" s="33" t="s">
        <v>2460</v>
      </c>
      <c r="AC454" s="33"/>
      <c r="AD454" s="33" t="s">
        <v>2254</v>
      </c>
      <c r="AE454" s="33"/>
      <c r="AF454" s="33" t="s">
        <v>2267</v>
      </c>
      <c r="AG454" s="33" t="s">
        <v>2461</v>
      </c>
      <c r="AH454" s="33"/>
      <c r="AI454" s="33"/>
      <c r="AJ454" s="33" t="s">
        <v>5934</v>
      </c>
      <c r="AK454" s="94"/>
      <c r="AL454" s="33" t="s">
        <v>5935</v>
      </c>
      <c r="AM454" s="33" t="s">
        <v>5936</v>
      </c>
      <c r="AN454" s="33" t="s">
        <v>2465</v>
      </c>
      <c r="AO454" s="51" t="s">
        <v>2528</v>
      </c>
      <c r="AP454" s="51" t="s">
        <v>207</v>
      </c>
      <c r="AQ454" s="33"/>
      <c r="AR454" s="54"/>
      <c r="AS454" s="54"/>
      <c r="AT454" s="54"/>
      <c r="AU454" s="54"/>
      <c r="AV454" s="54"/>
      <c r="AW454" s="54"/>
      <c r="AX454" s="54"/>
      <c r="AY454" s="54"/>
      <c r="AZ454" s="54"/>
      <c r="BA454" s="54"/>
      <c r="BB454" s="54"/>
      <c r="BC454" s="54"/>
      <c r="BD454" s="54" t="s">
        <v>2447</v>
      </c>
      <c r="BE454" s="54"/>
      <c r="BF454" s="54"/>
      <c r="BG454" s="54"/>
      <c r="BH454" s="54"/>
      <c r="BI454" s="54"/>
      <c r="BJ454" s="0"/>
      <c r="BK454" s="0"/>
      <c r="BL454" s="0"/>
      <c r="BM454" s="0"/>
      <c r="BN454" s="0"/>
      <c r="BO454" s="0"/>
      <c r="BP454"/>
      <c r="BQ454"/>
      <c r="BR454"/>
      <c r="BS454"/>
      <c r="BT454"/>
      <c r="BU454"/>
      <c r="BV454"/>
      <c r="BW454"/>
      <c r="BX454"/>
      <c r="BY454"/>
      <c r="BZ454"/>
      <c r="CA454"/>
      <c r="CB454"/>
    </row>
    <row r="455" ht="15.0" customHeight="true">
      <c r="A455" s="51" t="s">
        <v>2448</v>
      </c>
      <c r="B455" s="33"/>
      <c r="C455" s="33" t="s">
        <v>5937</v>
      </c>
      <c r="D455" s="33"/>
      <c r="E455" s="33" t="s">
        <v>5938</v>
      </c>
      <c r="F455" s="33"/>
      <c r="G455" s="55" t="s">
        <v>5939</v>
      </c>
      <c r="H455" s="33"/>
      <c r="I455" s="51" t="s">
        <v>5940</v>
      </c>
      <c r="J455" s="33"/>
      <c r="K455" s="51" t="s">
        <v>5941</v>
      </c>
      <c r="L455" s="33" t="s">
        <v>2454</v>
      </c>
      <c r="M455" s="55" t="s">
        <v>3631</v>
      </c>
      <c r="N455" s="55" t="s">
        <v>2953</v>
      </c>
      <c r="O455" s="33" t="s">
        <v>2272</v>
      </c>
      <c r="P455" s="33" t="s">
        <v>2251</v>
      </c>
      <c r="Q455" s="33"/>
      <c r="R455" s="33" t="s">
        <v>2263</v>
      </c>
      <c r="S455" s="56" t="s">
        <v>2277</v>
      </c>
      <c r="T455" s="56"/>
      <c r="U455" s="56"/>
      <c r="V455" s="33" t="s">
        <v>2456</v>
      </c>
      <c r="W455" s="94" t="s">
        <v>2457</v>
      </c>
      <c r="X455" s="94" t="s">
        <v>2474</v>
      </c>
      <c r="Y455" s="51"/>
      <c r="Z455" s="51"/>
      <c r="AA455" s="33" t="s">
        <v>2459</v>
      </c>
      <c r="AB455" s="33" t="s">
        <v>2460</v>
      </c>
      <c r="AC455" s="33"/>
      <c r="AD455" s="33" t="s">
        <v>2254</v>
      </c>
      <c r="AE455" s="33"/>
      <c r="AF455" s="33" t="s">
        <v>2267</v>
      </c>
      <c r="AG455" s="33" t="s">
        <v>2461</v>
      </c>
      <c r="AH455" s="33"/>
      <c r="AI455" s="33"/>
      <c r="AJ455" s="33" t="s">
        <v>5942</v>
      </c>
      <c r="AK455" s="94"/>
      <c r="AL455" s="33" t="s">
        <v>5943</v>
      </c>
      <c r="AM455" s="33"/>
      <c r="AN455" s="33" t="s">
        <v>2465</v>
      </c>
      <c r="AO455" s="51" t="s">
        <v>2489</v>
      </c>
      <c r="AP455" s="51" t="s">
        <v>207</v>
      </c>
      <c r="AQ455" s="33"/>
      <c r="AR455" s="54"/>
      <c r="AS455" s="54"/>
      <c r="AT455" s="54"/>
      <c r="AU455" s="54"/>
      <c r="AV455" s="54"/>
      <c r="AW455" s="54"/>
      <c r="AX455" s="54"/>
      <c r="AY455" s="54"/>
      <c r="AZ455" s="54"/>
      <c r="BA455" s="54"/>
      <c r="BB455" s="54"/>
      <c r="BC455" s="54"/>
      <c r="BD455" s="54" t="s">
        <v>2447</v>
      </c>
      <c r="BE455" s="54"/>
      <c r="BF455" s="54"/>
      <c r="BG455" s="54"/>
      <c r="BH455" s="54"/>
      <c r="BI455" s="54"/>
      <c r="BJ455" s="0"/>
      <c r="BK455" s="0"/>
      <c r="BL455" s="0"/>
      <c r="BM455" s="0"/>
      <c r="BN455" s="0"/>
      <c r="BO455" s="0"/>
      <c r="BP455"/>
      <c r="BQ455"/>
      <c r="BR455"/>
      <c r="BS455"/>
      <c r="BT455"/>
      <c r="BU455"/>
      <c r="BV455"/>
      <c r="BW455"/>
      <c r="BX455"/>
      <c r="BY455"/>
      <c r="BZ455"/>
      <c r="CA455"/>
      <c r="CB455"/>
    </row>
    <row r="456" ht="15.0" customHeight="true">
      <c r="A456" s="51" t="s">
        <v>2448</v>
      </c>
      <c r="B456" s="33"/>
      <c r="C456" s="33" t="s">
        <v>5944</v>
      </c>
      <c r="D456" s="33"/>
      <c r="E456" s="33" t="s">
        <v>5945</v>
      </c>
      <c r="F456" s="33"/>
      <c r="G456" s="55" t="s">
        <v>5946</v>
      </c>
      <c r="H456" s="33"/>
      <c r="I456" s="51" t="s">
        <v>5947</v>
      </c>
      <c r="J456" s="33"/>
      <c r="K456" s="51" t="s">
        <v>5948</v>
      </c>
      <c r="L456" s="33" t="s">
        <v>2454</v>
      </c>
      <c r="M456" s="55" t="s">
        <v>5949</v>
      </c>
      <c r="N456" s="55" t="s">
        <v>3966</v>
      </c>
      <c r="O456" s="33" t="s">
        <v>2272</v>
      </c>
      <c r="P456" s="33" t="s">
        <v>2251</v>
      </c>
      <c r="Q456" s="33"/>
      <c r="R456" s="33" t="s">
        <v>2263</v>
      </c>
      <c r="S456" s="56" t="s">
        <v>2277</v>
      </c>
      <c r="T456" s="56"/>
      <c r="U456" s="56"/>
      <c r="V456" s="33" t="s">
        <v>2456</v>
      </c>
      <c r="W456" s="94" t="s">
        <v>2457</v>
      </c>
      <c r="X456" s="94" t="s">
        <v>2474</v>
      </c>
      <c r="Y456" s="51"/>
      <c r="Z456" s="51"/>
      <c r="AA456" s="33" t="s">
        <v>2459</v>
      </c>
      <c r="AB456" s="33" t="s">
        <v>2460</v>
      </c>
      <c r="AC456" s="33"/>
      <c r="AD456" s="33" t="s">
        <v>2254</v>
      </c>
      <c r="AE456" s="33"/>
      <c r="AF456" s="33" t="s">
        <v>2267</v>
      </c>
      <c r="AG456" s="33" t="s">
        <v>2461</v>
      </c>
      <c r="AH456" s="33"/>
      <c r="AI456" s="33"/>
      <c r="AJ456" s="33" t="s">
        <v>5950</v>
      </c>
      <c r="AK456" s="94"/>
      <c r="AL456" s="33" t="s">
        <v>5951</v>
      </c>
      <c r="AM456" s="33"/>
      <c r="AN456" s="33" t="s">
        <v>2465</v>
      </c>
      <c r="AO456" s="51" t="s">
        <v>2538</v>
      </c>
      <c r="AP456" s="51" t="s">
        <v>207</v>
      </c>
      <c r="AQ456" s="33"/>
      <c r="AR456" s="54"/>
      <c r="AS456" s="54"/>
      <c r="AT456" s="54"/>
      <c r="AU456" s="54"/>
      <c r="AV456" s="54"/>
      <c r="AW456" s="54"/>
      <c r="AX456" s="54"/>
      <c r="AY456" s="54"/>
      <c r="AZ456" s="54"/>
      <c r="BA456" s="54"/>
      <c r="BB456" s="54"/>
      <c r="BC456" s="54"/>
      <c r="BD456" s="54" t="s">
        <v>2447</v>
      </c>
      <c r="BE456" s="54"/>
      <c r="BF456" s="54"/>
      <c r="BG456" s="54"/>
      <c r="BH456" s="54"/>
      <c r="BI456" s="54"/>
      <c r="BJ456" s="0"/>
      <c r="BK456" s="0"/>
      <c r="BL456" s="0"/>
      <c r="BM456" s="0"/>
      <c r="BN456" s="0"/>
      <c r="BO456" s="0"/>
      <c r="BP456"/>
      <c r="BQ456"/>
      <c r="BR456"/>
      <c r="BS456"/>
      <c r="BT456"/>
      <c r="BU456"/>
      <c r="BV456"/>
      <c r="BW456"/>
      <c r="BX456"/>
      <c r="BY456"/>
      <c r="BZ456"/>
      <c r="CA456"/>
      <c r="CB456"/>
    </row>
    <row r="457" ht="15.0" customHeight="true">
      <c r="A457" s="51" t="s">
        <v>2448</v>
      </c>
      <c r="B457" s="33"/>
      <c r="C457" s="33" t="s">
        <v>5952</v>
      </c>
      <c r="D457" s="33"/>
      <c r="E457" s="33" t="s">
        <v>5953</v>
      </c>
      <c r="F457" s="33"/>
      <c r="G457" s="55" t="s">
        <v>5954</v>
      </c>
      <c r="H457" s="33"/>
      <c r="I457" s="51" t="s">
        <v>5955</v>
      </c>
      <c r="J457" s="33"/>
      <c r="K457" s="51" t="s">
        <v>5956</v>
      </c>
      <c r="L457" s="33" t="s">
        <v>2454</v>
      </c>
      <c r="M457" s="55" t="s">
        <v>5957</v>
      </c>
      <c r="N457" s="55" t="s">
        <v>4118</v>
      </c>
      <c r="O457" s="33" t="s">
        <v>2272</v>
      </c>
      <c r="P457" s="33" t="s">
        <v>2251</v>
      </c>
      <c r="Q457" s="33"/>
      <c r="R457" s="33" t="s">
        <v>2263</v>
      </c>
      <c r="S457" s="56" t="s">
        <v>2277</v>
      </c>
      <c r="T457" s="56"/>
      <c r="U457" s="56"/>
      <c r="V457" s="33" t="s">
        <v>2456</v>
      </c>
      <c r="W457" s="94" t="s">
        <v>2457</v>
      </c>
      <c r="X457" s="94" t="s">
        <v>2458</v>
      </c>
      <c r="Y457" s="51"/>
      <c r="Z457" s="51"/>
      <c r="AA457" s="33" t="s">
        <v>2459</v>
      </c>
      <c r="AB457" s="33" t="s">
        <v>2460</v>
      </c>
      <c r="AC457" s="33"/>
      <c r="AD457" s="33" t="s">
        <v>2254</v>
      </c>
      <c r="AE457" s="33"/>
      <c r="AF457" s="33" t="s">
        <v>2267</v>
      </c>
      <c r="AG457" s="33" t="s">
        <v>2461</v>
      </c>
      <c r="AH457" s="33"/>
      <c r="AI457" s="33"/>
      <c r="AJ457" s="33" t="s">
        <v>5958</v>
      </c>
      <c r="AK457" s="94"/>
      <c r="AL457" s="33" t="s">
        <v>5959</v>
      </c>
      <c r="AM457" s="33"/>
      <c r="AN457" s="33" t="s">
        <v>5960</v>
      </c>
      <c r="AO457" s="51" t="s">
        <v>5961</v>
      </c>
      <c r="AP457" s="51" t="s">
        <v>207</v>
      </c>
      <c r="AQ457" s="33"/>
      <c r="AR457" s="54"/>
      <c r="AS457" s="54"/>
      <c r="AT457" s="54"/>
      <c r="AU457" s="54"/>
      <c r="AV457" s="54"/>
      <c r="AW457" s="54"/>
      <c r="AX457" s="54"/>
      <c r="AY457" s="54"/>
      <c r="AZ457" s="54"/>
      <c r="BA457" s="54"/>
      <c r="BB457" s="54"/>
      <c r="BC457" s="54"/>
      <c r="BD457" s="54" t="s">
        <v>2447</v>
      </c>
      <c r="BE457" s="54"/>
      <c r="BF457" s="54"/>
      <c r="BG457" s="54"/>
      <c r="BH457" s="54"/>
      <c r="BI457" s="54"/>
      <c r="BJ457" s="0"/>
      <c r="BK457" s="0"/>
      <c r="BL457" s="0"/>
      <c r="BM457" s="0"/>
      <c r="BN457" s="0"/>
      <c r="BO457" s="0"/>
      <c r="BP457"/>
      <c r="BQ457"/>
      <c r="BR457"/>
      <c r="BS457"/>
      <c r="BT457"/>
      <c r="BU457"/>
      <c r="BV457"/>
      <c r="BW457"/>
      <c r="BX457"/>
      <c r="BY457"/>
      <c r="BZ457"/>
      <c r="CA457"/>
      <c r="CB457"/>
    </row>
    <row r="458" ht="15.0" customHeight="true">
      <c r="A458" s="51" t="s">
        <v>2448</v>
      </c>
      <c r="B458" s="33"/>
      <c r="C458" s="33" t="s">
        <v>4379</v>
      </c>
      <c r="D458" s="33"/>
      <c r="E458" s="33" t="s">
        <v>5962</v>
      </c>
      <c r="F458" s="33"/>
      <c r="G458" s="55" t="s">
        <v>5963</v>
      </c>
      <c r="H458" s="33"/>
      <c r="I458" s="51" t="s">
        <v>5964</v>
      </c>
      <c r="J458" s="33"/>
      <c r="K458" s="51" t="s">
        <v>5965</v>
      </c>
      <c r="L458" s="33" t="s">
        <v>2454</v>
      </c>
      <c r="M458" s="55" t="s">
        <v>2960</v>
      </c>
      <c r="N458" s="55" t="s">
        <v>2960</v>
      </c>
      <c r="O458" s="33" t="s">
        <v>2272</v>
      </c>
      <c r="P458" s="33" t="s">
        <v>2251</v>
      </c>
      <c r="Q458" s="33"/>
      <c r="R458" s="33" t="s">
        <v>2263</v>
      </c>
      <c r="S458" s="56" t="s">
        <v>2277</v>
      </c>
      <c r="T458" s="56"/>
      <c r="U458" s="56"/>
      <c r="V458" s="33" t="s">
        <v>2456</v>
      </c>
      <c r="W458" s="94" t="s">
        <v>2457</v>
      </c>
      <c r="X458" s="94" t="s">
        <v>2458</v>
      </c>
      <c r="Y458" s="51"/>
      <c r="Z458" s="51"/>
      <c r="AA458" s="33" t="s">
        <v>2459</v>
      </c>
      <c r="AB458" s="33" t="s">
        <v>2460</v>
      </c>
      <c r="AC458" s="33"/>
      <c r="AD458" s="33" t="s">
        <v>2254</v>
      </c>
      <c r="AE458" s="33"/>
      <c r="AF458" s="33" t="s">
        <v>2267</v>
      </c>
      <c r="AG458" s="33" t="s">
        <v>2461</v>
      </c>
      <c r="AH458" s="33"/>
      <c r="AI458" s="33"/>
      <c r="AJ458" s="33" t="s">
        <v>5966</v>
      </c>
      <c r="AK458" s="94"/>
      <c r="AL458" s="33" t="s">
        <v>5967</v>
      </c>
      <c r="AM458" s="33"/>
      <c r="AN458" s="33" t="s">
        <v>2465</v>
      </c>
      <c r="AO458" s="51" t="s">
        <v>2489</v>
      </c>
      <c r="AP458" s="51" t="s">
        <v>207</v>
      </c>
      <c r="AQ458" s="33"/>
      <c r="AR458" s="54"/>
      <c r="AS458" s="54"/>
      <c r="AT458" s="54"/>
      <c r="AU458" s="54"/>
      <c r="AV458" s="54"/>
      <c r="AW458" s="54"/>
      <c r="AX458" s="54"/>
      <c r="AY458" s="54"/>
      <c r="AZ458" s="54"/>
      <c r="BA458" s="54"/>
      <c r="BB458" s="54"/>
      <c r="BC458" s="54"/>
      <c r="BD458" s="54" t="s">
        <v>2447</v>
      </c>
      <c r="BE458" s="54"/>
      <c r="BF458" s="54"/>
      <c r="BG458" s="54"/>
      <c r="BH458" s="54"/>
      <c r="BI458" s="54"/>
      <c r="BJ458" s="0"/>
      <c r="BK458" s="0"/>
      <c r="BL458" s="0"/>
      <c r="BM458" s="0"/>
      <c r="BN458" s="0"/>
      <c r="BO458" s="0"/>
      <c r="BP458"/>
      <c r="BQ458"/>
      <c r="BR458"/>
      <c r="BS458"/>
      <c r="BT458"/>
      <c r="BU458"/>
      <c r="BV458"/>
      <c r="BW458"/>
      <c r="BX458"/>
      <c r="BY458"/>
      <c r="BZ458"/>
      <c r="CA458"/>
      <c r="CB458"/>
    </row>
    <row r="459" ht="15.0" customHeight="true">
      <c r="A459" s="51" t="s">
        <v>2448</v>
      </c>
      <c r="B459" s="33"/>
      <c r="C459" s="33" t="s">
        <v>5968</v>
      </c>
      <c r="D459" s="33"/>
      <c r="E459" s="33" t="s">
        <v>4858</v>
      </c>
      <c r="F459" s="33"/>
      <c r="G459" s="55" t="s">
        <v>5969</v>
      </c>
      <c r="H459" s="33"/>
      <c r="I459" s="51" t="s">
        <v>5970</v>
      </c>
      <c r="J459" s="33"/>
      <c r="K459" s="51" t="s">
        <v>5971</v>
      </c>
      <c r="L459" s="33" t="s">
        <v>2454</v>
      </c>
      <c r="M459" s="55" t="s">
        <v>3249</v>
      </c>
      <c r="N459" s="55" t="s">
        <v>5689</v>
      </c>
      <c r="O459" s="33" t="s">
        <v>2272</v>
      </c>
      <c r="P459" s="33" t="s">
        <v>2251</v>
      </c>
      <c r="Q459" s="33"/>
      <c r="R459" s="33" t="s">
        <v>2263</v>
      </c>
      <c r="S459" s="56" t="s">
        <v>2277</v>
      </c>
      <c r="T459" s="56"/>
      <c r="U459" s="56"/>
      <c r="V459" s="33" t="s">
        <v>2456</v>
      </c>
      <c r="W459" s="94" t="s">
        <v>2457</v>
      </c>
      <c r="X459" s="94" t="s">
        <v>2458</v>
      </c>
      <c r="Y459" s="51"/>
      <c r="Z459" s="51"/>
      <c r="AA459" s="33" t="s">
        <v>2459</v>
      </c>
      <c r="AB459" s="33" t="s">
        <v>2460</v>
      </c>
      <c r="AC459" s="33"/>
      <c r="AD459" s="33" t="s">
        <v>2254</v>
      </c>
      <c r="AE459" s="33"/>
      <c r="AF459" s="33" t="s">
        <v>2267</v>
      </c>
      <c r="AG459" s="33" t="s">
        <v>2461</v>
      </c>
      <c r="AH459" s="33"/>
      <c r="AI459" s="33"/>
      <c r="AJ459" s="33" t="s">
        <v>5972</v>
      </c>
      <c r="AK459" s="94"/>
      <c r="AL459" s="33" t="s">
        <v>5973</v>
      </c>
      <c r="AM459" s="33" t="s">
        <v>5974</v>
      </c>
      <c r="AN459" s="33" t="s">
        <v>2465</v>
      </c>
      <c r="AO459" s="51" t="s">
        <v>2538</v>
      </c>
      <c r="AP459" s="51" t="s">
        <v>207</v>
      </c>
      <c r="AQ459" s="33"/>
      <c r="AR459" s="54"/>
      <c r="AS459" s="54"/>
      <c r="AT459" s="54"/>
      <c r="AU459" s="54"/>
      <c r="AV459" s="54"/>
      <c r="AW459" s="54"/>
      <c r="AX459" s="54"/>
      <c r="AY459" s="54"/>
      <c r="AZ459" s="54"/>
      <c r="BA459" s="54"/>
      <c r="BB459" s="54"/>
      <c r="BC459" s="54"/>
      <c r="BD459" s="54" t="s">
        <v>2447</v>
      </c>
      <c r="BE459" s="54"/>
      <c r="BF459" s="54"/>
      <c r="BG459" s="54"/>
      <c r="BH459" s="54"/>
      <c r="BI459" s="54"/>
      <c r="BJ459" s="0"/>
      <c r="BK459" s="0"/>
      <c r="BL459" s="0"/>
      <c r="BM459" s="0"/>
      <c r="BN459" s="0"/>
      <c r="BO459" s="0"/>
      <c r="BP459"/>
      <c r="BQ459"/>
      <c r="BR459"/>
      <c r="BS459"/>
      <c r="BT459"/>
      <c r="BU459"/>
      <c r="BV459"/>
      <c r="BW459"/>
      <c r="BX459"/>
      <c r="BY459"/>
      <c r="BZ459"/>
      <c r="CA459"/>
      <c r="CB459"/>
    </row>
    <row r="460" ht="15.0" customHeight="true">
      <c r="A460" s="51" t="s">
        <v>2448</v>
      </c>
      <c r="B460" s="33"/>
      <c r="C460" s="33" t="s">
        <v>5107</v>
      </c>
      <c r="D460" s="33"/>
      <c r="E460" s="33" t="s">
        <v>5975</v>
      </c>
      <c r="F460" s="33"/>
      <c r="G460" s="55" t="s">
        <v>5976</v>
      </c>
      <c r="H460" s="33"/>
      <c r="I460" s="51" t="s">
        <v>5977</v>
      </c>
      <c r="J460" s="33"/>
      <c r="K460" s="51" t="s">
        <v>5978</v>
      </c>
      <c r="L460" s="33" t="s">
        <v>2454</v>
      </c>
      <c r="M460" s="55" t="s">
        <v>2688</v>
      </c>
      <c r="N460" s="55" t="s">
        <v>2835</v>
      </c>
      <c r="O460" s="33" t="s">
        <v>2272</v>
      </c>
      <c r="P460" s="33" t="s">
        <v>2251</v>
      </c>
      <c r="Q460" s="33"/>
      <c r="R460" s="33" t="s">
        <v>2263</v>
      </c>
      <c r="S460" s="56" t="s">
        <v>2277</v>
      </c>
      <c r="T460" s="56"/>
      <c r="U460" s="56"/>
      <c r="V460" s="33" t="s">
        <v>2456</v>
      </c>
      <c r="W460" s="94" t="s">
        <v>2457</v>
      </c>
      <c r="X460" s="94" t="s">
        <v>2474</v>
      </c>
      <c r="Y460" s="51"/>
      <c r="Z460" s="51"/>
      <c r="AA460" s="33" t="s">
        <v>2459</v>
      </c>
      <c r="AB460" s="33" t="s">
        <v>2460</v>
      </c>
      <c r="AC460" s="33"/>
      <c r="AD460" s="33" t="s">
        <v>2254</v>
      </c>
      <c r="AE460" s="33"/>
      <c r="AF460" s="33" t="s">
        <v>2267</v>
      </c>
      <c r="AG460" s="33" t="s">
        <v>2461</v>
      </c>
      <c r="AH460" s="33"/>
      <c r="AI460" s="33"/>
      <c r="AJ460" s="33" t="s">
        <v>5979</v>
      </c>
      <c r="AK460" s="94"/>
      <c r="AL460" s="33" t="s">
        <v>5980</v>
      </c>
      <c r="AM460" s="33"/>
      <c r="AN460" s="33" t="s">
        <v>2588</v>
      </c>
      <c r="AO460" s="51" t="s">
        <v>2628</v>
      </c>
      <c r="AP460" s="51" t="s">
        <v>207</v>
      </c>
      <c r="AQ460" s="33"/>
      <c r="AR460" s="54"/>
      <c r="AS460" s="54"/>
      <c r="AT460" s="54"/>
      <c r="AU460" s="54"/>
      <c r="AV460" s="54"/>
      <c r="AW460" s="54"/>
      <c r="AX460" s="54"/>
      <c r="AY460" s="54"/>
      <c r="AZ460" s="54"/>
      <c r="BA460" s="54"/>
      <c r="BB460" s="54"/>
      <c r="BC460" s="54"/>
      <c r="BD460" s="54" t="s">
        <v>2447</v>
      </c>
      <c r="BE460" s="54"/>
      <c r="BF460" s="54"/>
      <c r="BG460" s="54"/>
      <c r="BH460" s="54"/>
      <c r="BI460" s="54"/>
      <c r="BJ460" s="0"/>
      <c r="BK460" s="0"/>
      <c r="BL460" s="0"/>
      <c r="BM460" s="0"/>
      <c r="BN460" s="0"/>
      <c r="BO460" s="0"/>
      <c r="BP460"/>
      <c r="BQ460"/>
      <c r="BR460"/>
      <c r="BS460"/>
      <c r="BT460"/>
      <c r="BU460"/>
      <c r="BV460"/>
      <c r="BW460"/>
      <c r="BX460"/>
      <c r="BY460"/>
      <c r="BZ460"/>
      <c r="CA460"/>
      <c r="CB460"/>
    </row>
    <row r="461" ht="15.0" customHeight="true">
      <c r="A461" s="51" t="s">
        <v>2448</v>
      </c>
      <c r="B461" s="33"/>
      <c r="C461" s="33" t="s">
        <v>5981</v>
      </c>
      <c r="D461" s="33" t="s">
        <v>5982</v>
      </c>
      <c r="E461" s="33" t="s">
        <v>5983</v>
      </c>
      <c r="F461" s="33"/>
      <c r="G461" s="55" t="s">
        <v>5984</v>
      </c>
      <c r="H461" s="33"/>
      <c r="I461" s="51" t="s">
        <v>5985</v>
      </c>
      <c r="J461" s="33"/>
      <c r="K461" s="51" t="s">
        <v>5986</v>
      </c>
      <c r="L461" s="33" t="s">
        <v>2454</v>
      </c>
      <c r="M461" s="55" t="s">
        <v>5987</v>
      </c>
      <c r="N461" s="55" t="s">
        <v>2606</v>
      </c>
      <c r="O461" s="33" t="s">
        <v>2271</v>
      </c>
      <c r="P461" s="33" t="s">
        <v>2251</v>
      </c>
      <c r="Q461" s="33"/>
      <c r="R461" s="33" t="s">
        <v>2263</v>
      </c>
      <c r="S461" s="56" t="s">
        <v>2277</v>
      </c>
      <c r="T461" s="56"/>
      <c r="U461" s="56"/>
      <c r="V461" s="33" t="s">
        <v>5987</v>
      </c>
      <c r="W461" s="94" t="s">
        <v>2574</v>
      </c>
      <c r="X461" s="94" t="s">
        <v>2458</v>
      </c>
      <c r="Y461" s="51"/>
      <c r="Z461" s="51"/>
      <c r="AA461" s="33" t="s">
        <v>2459</v>
      </c>
      <c r="AB461" s="33" t="s">
        <v>2460</v>
      </c>
      <c r="AC461" s="33" t="s">
        <v>2486</v>
      </c>
      <c r="AD461" s="33" t="s">
        <v>2254</v>
      </c>
      <c r="AE461" s="33"/>
      <c r="AF461" s="33" t="s">
        <v>2267</v>
      </c>
      <c r="AG461" s="33" t="s">
        <v>2461</v>
      </c>
      <c r="AH461" s="33"/>
      <c r="AI461" s="33"/>
      <c r="AJ461" s="33" t="s">
        <v>5988</v>
      </c>
      <c r="AK461" s="94"/>
      <c r="AL461" s="33" t="s">
        <v>5989</v>
      </c>
      <c r="AM461" s="33" t="s">
        <v>5990</v>
      </c>
      <c r="AN461" s="33" t="s">
        <v>2465</v>
      </c>
      <c r="AO461" s="51" t="s">
        <v>2538</v>
      </c>
      <c r="AP461" s="51" t="s">
        <v>207</v>
      </c>
      <c r="AQ461" s="33"/>
      <c r="AR461" s="54"/>
      <c r="AS461" s="54"/>
      <c r="AT461" s="54"/>
      <c r="AU461" s="54"/>
      <c r="AV461" s="54"/>
      <c r="AW461" s="54"/>
      <c r="AX461" s="54"/>
      <c r="AY461" s="54" t="s">
        <v>2269</v>
      </c>
      <c r="AZ461" s="54"/>
      <c r="BA461" s="54"/>
      <c r="BB461" s="54"/>
      <c r="BC461" s="54"/>
      <c r="BD461" s="54" t="s">
        <v>2447</v>
      </c>
      <c r="BE461" s="54"/>
      <c r="BF461" s="54"/>
      <c r="BG461" s="54"/>
      <c r="BH461" s="54"/>
      <c r="BI461" s="54"/>
      <c r="BJ461" s="0"/>
      <c r="BK461" s="0"/>
      <c r="BL461" s="0"/>
      <c r="BM461" s="0"/>
      <c r="BN461" s="0"/>
      <c r="BO461" s="0"/>
      <c r="BP461"/>
      <c r="BQ461"/>
      <c r="BR461"/>
      <c r="BS461"/>
      <c r="BT461"/>
      <c r="BU461"/>
      <c r="BV461"/>
      <c r="BW461"/>
      <c r="BX461"/>
      <c r="BY461"/>
      <c r="BZ461"/>
      <c r="CA461"/>
      <c r="CB461"/>
    </row>
    <row r="462" ht="15.0" customHeight="true">
      <c r="A462" s="51" t="s">
        <v>2448</v>
      </c>
      <c r="B462" s="33"/>
      <c r="C462" s="33" t="s">
        <v>3131</v>
      </c>
      <c r="D462" s="33"/>
      <c r="E462" s="33" t="s">
        <v>2948</v>
      </c>
      <c r="F462" s="33"/>
      <c r="G462" s="55" t="s">
        <v>5991</v>
      </c>
      <c r="H462" s="33"/>
      <c r="I462" s="51" t="s">
        <v>5992</v>
      </c>
      <c r="J462" s="33"/>
      <c r="K462" s="51" t="s">
        <v>5993</v>
      </c>
      <c r="L462" s="33" t="s">
        <v>2454</v>
      </c>
      <c r="M462" s="55" t="s">
        <v>4889</v>
      </c>
      <c r="N462" s="55" t="s">
        <v>3442</v>
      </c>
      <c r="O462" s="33" t="s">
        <v>2272</v>
      </c>
      <c r="P462" s="33" t="s">
        <v>2251</v>
      </c>
      <c r="Q462" s="33"/>
      <c r="R462" s="33" t="s">
        <v>2263</v>
      </c>
      <c r="S462" s="56" t="s">
        <v>2277</v>
      </c>
      <c r="T462" s="56"/>
      <c r="U462" s="56"/>
      <c r="V462" s="33" t="s">
        <v>2456</v>
      </c>
      <c r="W462" s="94" t="s">
        <v>2457</v>
      </c>
      <c r="X462" s="94" t="s">
        <v>2458</v>
      </c>
      <c r="Y462" s="51"/>
      <c r="Z462" s="51"/>
      <c r="AA462" s="33" t="s">
        <v>2459</v>
      </c>
      <c r="AB462" s="33" t="s">
        <v>2460</v>
      </c>
      <c r="AC462" s="33"/>
      <c r="AD462" s="33" t="s">
        <v>2254</v>
      </c>
      <c r="AE462" s="33"/>
      <c r="AF462" s="33" t="s">
        <v>2267</v>
      </c>
      <c r="AG462" s="33" t="s">
        <v>2461</v>
      </c>
      <c r="AH462" s="33"/>
      <c r="AI462" s="33"/>
      <c r="AJ462" s="33" t="s">
        <v>5994</v>
      </c>
      <c r="AK462" s="94"/>
      <c r="AL462" s="33" t="s">
        <v>5995</v>
      </c>
      <c r="AM462" s="33" t="s">
        <v>5996</v>
      </c>
      <c r="AN462" s="33" t="s">
        <v>2465</v>
      </c>
      <c r="AO462" s="51" t="s">
        <v>2466</v>
      </c>
      <c r="AP462" s="51" t="s">
        <v>207</v>
      </c>
      <c r="AQ462" s="33"/>
      <c r="AR462" s="54"/>
      <c r="AS462" s="54"/>
      <c r="AT462" s="54"/>
      <c r="AU462" s="54"/>
      <c r="AV462" s="54"/>
      <c r="AW462" s="54"/>
      <c r="AX462" s="54"/>
      <c r="AY462" s="54"/>
      <c r="AZ462" s="54"/>
      <c r="BA462" s="54"/>
      <c r="BB462" s="54"/>
      <c r="BC462" s="54"/>
      <c r="BD462" s="54" t="s">
        <v>2447</v>
      </c>
      <c r="BE462" s="54"/>
      <c r="BF462" s="54"/>
      <c r="BG462" s="54"/>
      <c r="BH462" s="54"/>
      <c r="BI462" s="54"/>
      <c r="BJ462" s="0"/>
      <c r="BK462" s="0"/>
      <c r="BL462" s="0"/>
      <c r="BM462" s="0"/>
      <c r="BN462" s="0"/>
      <c r="BO462" s="0"/>
      <c r="BP462"/>
      <c r="BQ462"/>
      <c r="BR462"/>
      <c r="BS462"/>
      <c r="BT462"/>
      <c r="BU462"/>
      <c r="BV462"/>
      <c r="BW462"/>
      <c r="BX462"/>
      <c r="BY462"/>
      <c r="BZ462"/>
      <c r="CA462"/>
      <c r="CB462"/>
    </row>
    <row r="463" ht="15.0" customHeight="true">
      <c r="A463" s="51" t="s">
        <v>2448</v>
      </c>
      <c r="B463" s="33"/>
      <c r="C463" s="33" t="s">
        <v>5031</v>
      </c>
      <c r="D463" s="33"/>
      <c r="E463" s="33" t="s">
        <v>3641</v>
      </c>
      <c r="F463" s="33"/>
      <c r="G463" s="55" t="s">
        <v>5997</v>
      </c>
      <c r="H463" s="33" t="s">
        <v>2247</v>
      </c>
      <c r="I463" s="51" t="s">
        <v>5998</v>
      </c>
      <c r="J463" s="33"/>
      <c r="K463" s="51" t="s">
        <v>5999</v>
      </c>
      <c r="L463" s="33" t="s">
        <v>2454</v>
      </c>
      <c r="M463" s="55" t="s">
        <v>2485</v>
      </c>
      <c r="N463" s="55" t="s">
        <v>2606</v>
      </c>
      <c r="O463" s="33" t="s">
        <v>2271</v>
      </c>
      <c r="P463" s="33" t="s">
        <v>2251</v>
      </c>
      <c r="Q463" s="33"/>
      <c r="R463" s="33" t="s">
        <v>2263</v>
      </c>
      <c r="S463" s="56" t="s">
        <v>2277</v>
      </c>
      <c r="T463" s="56"/>
      <c r="U463" s="56"/>
      <c r="V463" s="33" t="s">
        <v>2485</v>
      </c>
      <c r="W463" s="94" t="s">
        <v>2574</v>
      </c>
      <c r="X463" s="94" t="s">
        <v>2474</v>
      </c>
      <c r="Y463" s="51"/>
      <c r="Z463" s="51"/>
      <c r="AA463" s="33" t="s">
        <v>2459</v>
      </c>
      <c r="AB463" s="33" t="s">
        <v>2460</v>
      </c>
      <c r="AC463" s="33" t="s">
        <v>2486</v>
      </c>
      <c r="AD463" s="33" t="s">
        <v>2254</v>
      </c>
      <c r="AE463" s="33"/>
      <c r="AF463" s="33" t="s">
        <v>2267</v>
      </c>
      <c r="AG463" s="33" t="s">
        <v>2461</v>
      </c>
      <c r="AH463" s="33"/>
      <c r="AI463" s="33"/>
      <c r="AJ463" s="33" t="s">
        <v>6000</v>
      </c>
      <c r="AK463" s="94"/>
      <c r="AL463" s="33" t="s">
        <v>6001</v>
      </c>
      <c r="AM463" s="33"/>
      <c r="AN463" s="33" t="s">
        <v>2588</v>
      </c>
      <c r="AO463" s="51" t="s">
        <v>2911</v>
      </c>
      <c r="AP463" s="51" t="s">
        <v>207</v>
      </c>
      <c r="AQ463" s="33"/>
      <c r="AR463" s="54"/>
      <c r="AS463" s="54"/>
      <c r="AT463" s="54"/>
      <c r="AU463" s="54"/>
      <c r="AV463" s="54"/>
      <c r="AW463" s="54"/>
      <c r="AX463" s="54"/>
      <c r="AY463" s="54" t="s">
        <v>2269</v>
      </c>
      <c r="AZ463" s="54"/>
      <c r="BA463" s="54"/>
      <c r="BB463" s="54"/>
      <c r="BC463" s="54"/>
      <c r="BD463" s="54" t="s">
        <v>2447</v>
      </c>
      <c r="BE463" s="54"/>
      <c r="BF463" s="54"/>
      <c r="BG463" s="54"/>
      <c r="BH463" s="54"/>
      <c r="BI463" s="54"/>
      <c r="BJ463" s="0"/>
      <c r="BK463" s="0"/>
      <c r="BL463" s="0"/>
      <c r="BM463" s="0"/>
      <c r="BN463" s="0"/>
      <c r="BO463" s="0"/>
      <c r="BP463"/>
      <c r="BQ463"/>
      <c r="BR463"/>
      <c r="BS463"/>
      <c r="BT463"/>
      <c r="BU463"/>
      <c r="BV463"/>
      <c r="BW463"/>
      <c r="BX463"/>
      <c r="BY463"/>
      <c r="BZ463"/>
      <c r="CA463"/>
      <c r="CB463"/>
    </row>
    <row r="464" ht="15.0" customHeight="true">
      <c r="A464" s="51" t="s">
        <v>2448</v>
      </c>
      <c r="B464" s="33"/>
      <c r="C464" s="33" t="s">
        <v>6002</v>
      </c>
      <c r="D464" s="33"/>
      <c r="E464" s="33" t="s">
        <v>6003</v>
      </c>
      <c r="F464" s="33"/>
      <c r="G464" s="55" t="s">
        <v>6004</v>
      </c>
      <c r="H464" s="33"/>
      <c r="I464" s="51" t="s">
        <v>6005</v>
      </c>
      <c r="J464" s="33"/>
      <c r="K464" s="51" t="s">
        <v>6006</v>
      </c>
      <c r="L464" s="33" t="s">
        <v>2454</v>
      </c>
      <c r="M464" s="55" t="s">
        <v>6007</v>
      </c>
      <c r="N464" s="55" t="s">
        <v>4934</v>
      </c>
      <c r="O464" s="33" t="s">
        <v>2272</v>
      </c>
      <c r="P464" s="33" t="s">
        <v>2251</v>
      </c>
      <c r="Q464" s="33"/>
      <c r="R464" s="33" t="s">
        <v>2263</v>
      </c>
      <c r="S464" s="56" t="s">
        <v>2277</v>
      </c>
      <c r="T464" s="56"/>
      <c r="U464" s="56"/>
      <c r="V464" s="33" t="s">
        <v>2456</v>
      </c>
      <c r="W464" s="94" t="s">
        <v>2457</v>
      </c>
      <c r="X464" s="94" t="s">
        <v>2458</v>
      </c>
      <c r="Y464" s="51"/>
      <c r="Z464" s="51"/>
      <c r="AA464" s="33" t="s">
        <v>2459</v>
      </c>
      <c r="AB464" s="33" t="s">
        <v>2460</v>
      </c>
      <c r="AC464" s="33"/>
      <c r="AD464" s="33" t="s">
        <v>2254</v>
      </c>
      <c r="AE464" s="33"/>
      <c r="AF464" s="33" t="s">
        <v>2267</v>
      </c>
      <c r="AG464" s="33" t="s">
        <v>2461</v>
      </c>
      <c r="AH464" s="33"/>
      <c r="AI464" s="33"/>
      <c r="AJ464" s="33" t="s">
        <v>6008</v>
      </c>
      <c r="AK464" s="94"/>
      <c r="AL464" s="33" t="s">
        <v>6009</v>
      </c>
      <c r="AM464" s="33"/>
      <c r="AN464" s="33" t="s">
        <v>2465</v>
      </c>
      <c r="AO464" s="51" t="s">
        <v>2489</v>
      </c>
      <c r="AP464" s="51" t="s">
        <v>207</v>
      </c>
      <c r="AQ464" s="33"/>
      <c r="AR464" s="54"/>
      <c r="AS464" s="54"/>
      <c r="AT464" s="54"/>
      <c r="AU464" s="54"/>
      <c r="AV464" s="54"/>
      <c r="AW464" s="54"/>
      <c r="AX464" s="54"/>
      <c r="AY464" s="54"/>
      <c r="AZ464" s="54"/>
      <c r="BA464" s="54"/>
      <c r="BB464" s="54"/>
      <c r="BC464" s="54"/>
      <c r="BD464" s="54" t="s">
        <v>2447</v>
      </c>
      <c r="BE464" s="54"/>
      <c r="BF464" s="54"/>
      <c r="BG464" s="54"/>
      <c r="BH464" s="54"/>
      <c r="BI464" s="54"/>
      <c r="BJ464" s="0"/>
      <c r="BK464" s="0"/>
      <c r="BL464" s="0"/>
      <c r="BM464" s="0"/>
      <c r="BN464" s="0"/>
      <c r="BO464" s="0"/>
      <c r="BP464"/>
      <c r="BQ464"/>
      <c r="BR464"/>
      <c r="BS464"/>
      <c r="BT464"/>
      <c r="BU464"/>
      <c r="BV464"/>
      <c r="BW464"/>
      <c r="BX464"/>
      <c r="BY464"/>
      <c r="BZ464"/>
      <c r="CA464"/>
      <c r="CB464"/>
    </row>
    <row r="465" ht="15.0" customHeight="true">
      <c r="A465" s="51" t="s">
        <v>2448</v>
      </c>
      <c r="B465" s="33"/>
      <c r="C465" s="33" t="s">
        <v>3925</v>
      </c>
      <c r="D465" s="33"/>
      <c r="E465" s="33" t="s">
        <v>6010</v>
      </c>
      <c r="F465" s="33"/>
      <c r="G465" s="55" t="s">
        <v>6011</v>
      </c>
      <c r="H465" s="33"/>
      <c r="I465" s="51" t="s">
        <v>6012</v>
      </c>
      <c r="J465" s="33"/>
      <c r="K465" s="51" t="s">
        <v>6013</v>
      </c>
      <c r="L465" s="33" t="s">
        <v>2454</v>
      </c>
      <c r="M465" s="55" t="s">
        <v>2900</v>
      </c>
      <c r="N465" s="55" t="s">
        <v>4918</v>
      </c>
      <c r="O465" s="33" t="s">
        <v>2272</v>
      </c>
      <c r="P465" s="33" t="s">
        <v>2251</v>
      </c>
      <c r="Q465" s="33"/>
      <c r="R465" s="33" t="s">
        <v>2263</v>
      </c>
      <c r="S465" s="56" t="s">
        <v>2277</v>
      </c>
      <c r="T465" s="56"/>
      <c r="U465" s="56"/>
      <c r="V465" s="33" t="s">
        <v>2456</v>
      </c>
      <c r="W465" s="94" t="s">
        <v>2457</v>
      </c>
      <c r="X465" s="94" t="s">
        <v>2458</v>
      </c>
      <c r="Y465" s="51"/>
      <c r="Z465" s="51"/>
      <c r="AA465" s="33" t="s">
        <v>2459</v>
      </c>
      <c r="AB465" s="33" t="s">
        <v>2460</v>
      </c>
      <c r="AC465" s="33"/>
      <c r="AD465" s="33" t="s">
        <v>2254</v>
      </c>
      <c r="AE465" s="33"/>
      <c r="AF465" s="33" t="s">
        <v>2267</v>
      </c>
      <c r="AG465" s="33" t="s">
        <v>2461</v>
      </c>
      <c r="AH465" s="33"/>
      <c r="AI465" s="33"/>
      <c r="AJ465" s="33" t="s">
        <v>6014</v>
      </c>
      <c r="AK465" s="94"/>
      <c r="AL465" s="33" t="s">
        <v>6015</v>
      </c>
      <c r="AM465" s="33"/>
      <c r="AN465" s="33" t="s">
        <v>2465</v>
      </c>
      <c r="AO465" s="51" t="s">
        <v>2478</v>
      </c>
      <c r="AP465" s="51" t="s">
        <v>207</v>
      </c>
      <c r="AQ465" s="33"/>
      <c r="AR465" s="54"/>
      <c r="AS465" s="54"/>
      <c r="AT465" s="54"/>
      <c r="AU465" s="54"/>
      <c r="AV465" s="54"/>
      <c r="AW465" s="54"/>
      <c r="AX465" s="54"/>
      <c r="AY465" s="54"/>
      <c r="AZ465" s="54"/>
      <c r="BA465" s="54"/>
      <c r="BB465" s="54"/>
      <c r="BC465" s="54"/>
      <c r="BD465" s="54" t="s">
        <v>2447</v>
      </c>
      <c r="BE465" s="54"/>
      <c r="BF465" s="54"/>
      <c r="BG465" s="54"/>
      <c r="BH465" s="54"/>
      <c r="BI465" s="54"/>
      <c r="BJ465" s="0"/>
      <c r="BK465" s="0"/>
      <c r="BL465" s="0"/>
      <c r="BM465" s="0"/>
      <c r="BN465" s="0"/>
      <c r="BO465" s="0"/>
      <c r="BP465"/>
      <c r="BQ465"/>
      <c r="BR465"/>
      <c r="BS465"/>
      <c r="BT465"/>
      <c r="BU465"/>
      <c r="BV465"/>
      <c r="BW465"/>
      <c r="BX465"/>
      <c r="BY465"/>
      <c r="BZ465"/>
      <c r="CA465"/>
      <c r="CB465"/>
    </row>
    <row r="466" ht="15.0" customHeight="true">
      <c r="A466" s="51" t="s">
        <v>2448</v>
      </c>
      <c r="B466" s="33"/>
      <c r="C466" s="33" t="s">
        <v>3494</v>
      </c>
      <c r="D466" s="33"/>
      <c r="E466" s="33" t="s">
        <v>6016</v>
      </c>
      <c r="F466" s="33"/>
      <c r="G466" s="55" t="s">
        <v>6017</v>
      </c>
      <c r="H466" s="33"/>
      <c r="I466" s="51" t="s">
        <v>6018</v>
      </c>
      <c r="J466" s="33"/>
      <c r="K466" s="51" t="s">
        <v>6019</v>
      </c>
      <c r="L466" s="33" t="s">
        <v>2454</v>
      </c>
      <c r="M466" s="55" t="s">
        <v>2850</v>
      </c>
      <c r="N466" s="55" t="s">
        <v>2850</v>
      </c>
      <c r="O466" s="33" t="s">
        <v>2272</v>
      </c>
      <c r="P466" s="33" t="s">
        <v>2251</v>
      </c>
      <c r="Q466" s="33"/>
      <c r="R466" s="33" t="s">
        <v>2263</v>
      </c>
      <c r="S466" s="56" t="s">
        <v>2277</v>
      </c>
      <c r="T466" s="56"/>
      <c r="U466" s="56"/>
      <c r="V466" s="33" t="s">
        <v>2456</v>
      </c>
      <c r="W466" s="94" t="s">
        <v>2457</v>
      </c>
      <c r="X466" s="94" t="s">
        <v>2458</v>
      </c>
      <c r="Y466" s="51"/>
      <c r="Z466" s="51"/>
      <c r="AA466" s="33" t="s">
        <v>2459</v>
      </c>
      <c r="AB466" s="33" t="s">
        <v>2460</v>
      </c>
      <c r="AC466" s="33"/>
      <c r="AD466" s="33" t="s">
        <v>2254</v>
      </c>
      <c r="AE466" s="33"/>
      <c r="AF466" s="33" t="s">
        <v>2267</v>
      </c>
      <c r="AG466" s="33" t="s">
        <v>2461</v>
      </c>
      <c r="AH466" s="33"/>
      <c r="AI466" s="33"/>
      <c r="AJ466" s="33" t="s">
        <v>6020</v>
      </c>
      <c r="AK466" s="94"/>
      <c r="AL466" s="33" t="s">
        <v>6021</v>
      </c>
      <c r="AM466" s="33"/>
      <c r="AN466" s="33" t="s">
        <v>2588</v>
      </c>
      <c r="AO466" s="51" t="s">
        <v>2911</v>
      </c>
      <c r="AP466" s="51" t="s">
        <v>207</v>
      </c>
      <c r="AQ466" s="33"/>
      <c r="AR466" s="54"/>
      <c r="AS466" s="54"/>
      <c r="AT466" s="54"/>
      <c r="AU466" s="54"/>
      <c r="AV466" s="54"/>
      <c r="AW466" s="54"/>
      <c r="AX466" s="54"/>
      <c r="AY466" s="54"/>
      <c r="AZ466" s="54"/>
      <c r="BA466" s="54"/>
      <c r="BB466" s="54"/>
      <c r="BC466" s="54"/>
      <c r="BD466" s="54" t="s">
        <v>2447</v>
      </c>
      <c r="BE466" s="54"/>
      <c r="BF466" s="54"/>
      <c r="BG466" s="54"/>
      <c r="BH466" s="54"/>
      <c r="BI466" s="54"/>
      <c r="BJ466" s="0"/>
      <c r="BK466" s="0"/>
      <c r="BL466" s="0"/>
      <c r="BM466" s="0"/>
      <c r="BN466" s="0"/>
      <c r="BO466" s="0"/>
      <c r="BP466"/>
      <c r="BQ466"/>
      <c r="BR466"/>
      <c r="BS466"/>
      <c r="BT466"/>
      <c r="BU466"/>
      <c r="BV466"/>
      <c r="BW466"/>
      <c r="BX466"/>
      <c r="BY466"/>
      <c r="BZ466"/>
      <c r="CA466"/>
      <c r="CB466"/>
    </row>
    <row r="467" ht="15.0" customHeight="true">
      <c r="A467" s="51" t="s">
        <v>2448</v>
      </c>
      <c r="B467" s="33"/>
      <c r="C467" s="33" t="s">
        <v>6022</v>
      </c>
      <c r="D467" s="33"/>
      <c r="E467" s="33" t="s">
        <v>6023</v>
      </c>
      <c r="F467" s="33"/>
      <c r="G467" s="55" t="s">
        <v>5229</v>
      </c>
      <c r="H467" s="33"/>
      <c r="I467" s="51" t="s">
        <v>6024</v>
      </c>
      <c r="J467" s="33"/>
      <c r="K467" s="51" t="s">
        <v>6025</v>
      </c>
      <c r="L467" s="33" t="s">
        <v>2454</v>
      </c>
      <c r="M467" s="55" t="s">
        <v>2753</v>
      </c>
      <c r="N467" s="55" t="s">
        <v>2753</v>
      </c>
      <c r="O467" s="33" t="s">
        <v>2272</v>
      </c>
      <c r="P467" s="33" t="s">
        <v>2251</v>
      </c>
      <c r="Q467" s="33"/>
      <c r="R467" s="33" t="s">
        <v>2263</v>
      </c>
      <c r="S467" s="56" t="s">
        <v>2277</v>
      </c>
      <c r="T467" s="56"/>
      <c r="U467" s="56"/>
      <c r="V467" s="33" t="s">
        <v>2456</v>
      </c>
      <c r="W467" s="94" t="s">
        <v>2457</v>
      </c>
      <c r="X467" s="94" t="s">
        <v>2474</v>
      </c>
      <c r="Y467" s="51"/>
      <c r="Z467" s="51"/>
      <c r="AA467" s="33" t="s">
        <v>2459</v>
      </c>
      <c r="AB467" s="33" t="s">
        <v>2460</v>
      </c>
      <c r="AC467" s="33"/>
      <c r="AD467" s="33" t="s">
        <v>2254</v>
      </c>
      <c r="AE467" s="33"/>
      <c r="AF467" s="33" t="s">
        <v>2267</v>
      </c>
      <c r="AG467" s="33" t="s">
        <v>2461</v>
      </c>
      <c r="AH467" s="33"/>
      <c r="AI467" s="33"/>
      <c r="AJ467" s="33" t="s">
        <v>6026</v>
      </c>
      <c r="AK467" s="94"/>
      <c r="AL467" s="33" t="s">
        <v>6027</v>
      </c>
      <c r="AM467" s="33"/>
      <c r="AN467" s="33" t="s">
        <v>2577</v>
      </c>
      <c r="AO467" s="51" t="s">
        <v>2578</v>
      </c>
      <c r="AP467" s="51" t="s">
        <v>207</v>
      </c>
      <c r="AQ467" s="33"/>
      <c r="AR467" s="54"/>
      <c r="AS467" s="54"/>
      <c r="AT467" s="54"/>
      <c r="AU467" s="54"/>
      <c r="AV467" s="54"/>
      <c r="AW467" s="54"/>
      <c r="AX467" s="54"/>
      <c r="AY467" s="54"/>
      <c r="AZ467" s="54"/>
      <c r="BA467" s="54"/>
      <c r="BB467" s="54"/>
      <c r="BC467" s="54"/>
      <c r="BD467" s="54" t="s">
        <v>2447</v>
      </c>
      <c r="BE467" s="54"/>
      <c r="BF467" s="54"/>
      <c r="BG467" s="54"/>
      <c r="BH467" s="54"/>
      <c r="BI467" s="54"/>
      <c r="BJ467" s="0"/>
      <c r="BK467" s="0"/>
      <c r="BL467" s="0"/>
      <c r="BM467" s="0"/>
      <c r="BN467" s="0"/>
      <c r="BO467" s="0"/>
      <c r="BP467"/>
      <c r="BQ467"/>
      <c r="BR467"/>
      <c r="BS467"/>
      <c r="BT467"/>
      <c r="BU467"/>
      <c r="BV467"/>
      <c r="BW467"/>
      <c r="BX467"/>
      <c r="BY467"/>
      <c r="BZ467"/>
      <c r="CA467"/>
      <c r="CB467"/>
    </row>
    <row r="468" ht="15.0" customHeight="true">
      <c r="A468" s="51" t="s">
        <v>2448</v>
      </c>
      <c r="B468" s="33"/>
      <c r="C468" s="33" t="s">
        <v>4014</v>
      </c>
      <c r="D468" s="33"/>
      <c r="E468" s="33" t="s">
        <v>6028</v>
      </c>
      <c r="F468" s="33"/>
      <c r="G468" s="55" t="s">
        <v>6029</v>
      </c>
      <c r="H468" s="33"/>
      <c r="I468" s="51" t="s">
        <v>6030</v>
      </c>
      <c r="J468" s="33"/>
      <c r="K468" s="51" t="s">
        <v>6031</v>
      </c>
      <c r="L468" s="33" t="s">
        <v>2484</v>
      </c>
      <c r="M468" s="55" t="s">
        <v>4036</v>
      </c>
      <c r="N468" s="55"/>
      <c r="O468" s="33"/>
      <c r="P468" s="33" t="s">
        <v>2251</v>
      </c>
      <c r="Q468" s="33"/>
      <c r="R468" s="33" t="s">
        <v>2263</v>
      </c>
      <c r="S468" s="56" t="s">
        <v>2277</v>
      </c>
      <c r="T468" s="56"/>
      <c r="U468" s="56"/>
      <c r="V468" s="33" t="s">
        <v>2456</v>
      </c>
      <c r="W468" s="94" t="s">
        <v>2457</v>
      </c>
      <c r="X468" s="94" t="s">
        <v>2474</v>
      </c>
      <c r="Y468" s="51"/>
      <c r="Z468" s="51"/>
      <c r="AA468" s="33" t="s">
        <v>2459</v>
      </c>
      <c r="AB468" s="33" t="s">
        <v>2460</v>
      </c>
      <c r="AC468" s="33" t="s">
        <v>2486</v>
      </c>
      <c r="AD468" s="33" t="s">
        <v>2254</v>
      </c>
      <c r="AE468" s="33"/>
      <c r="AF468" s="33" t="s">
        <v>2267</v>
      </c>
      <c r="AG468" s="33" t="s">
        <v>2461</v>
      </c>
      <c r="AH468" s="33"/>
      <c r="AI468" s="33"/>
      <c r="AJ468" s="33" t="s">
        <v>6032</v>
      </c>
      <c r="AK468" s="94"/>
      <c r="AL468" s="33" t="s">
        <v>6033</v>
      </c>
      <c r="AM468" s="33"/>
      <c r="AN468" s="33" t="s">
        <v>2465</v>
      </c>
      <c r="AO468" s="51" t="s">
        <v>2478</v>
      </c>
      <c r="AP468" s="51" t="s">
        <v>207</v>
      </c>
      <c r="AQ468" s="33"/>
      <c r="AR468" s="54"/>
      <c r="AS468" s="54"/>
      <c r="AT468" s="54"/>
      <c r="AU468" s="54"/>
      <c r="AV468" s="54"/>
      <c r="AW468" s="54"/>
      <c r="AX468" s="54"/>
      <c r="AY468" s="54"/>
      <c r="AZ468" s="54"/>
      <c r="BA468" s="54"/>
      <c r="BB468" s="54"/>
      <c r="BC468" s="54"/>
      <c r="BD468" s="54" t="s">
        <v>2447</v>
      </c>
      <c r="BE468" s="54"/>
      <c r="BF468" s="54"/>
      <c r="BG468" s="54"/>
      <c r="BH468" s="54"/>
      <c r="BI468" s="54"/>
      <c r="BJ468" s="0"/>
      <c r="BK468" s="0"/>
      <c r="BL468" s="0"/>
      <c r="BM468" s="0"/>
      <c r="BN468" s="0"/>
      <c r="BO468" s="0"/>
      <c r="BP468"/>
      <c r="BQ468"/>
      <c r="BR468"/>
      <c r="BS468"/>
      <c r="BT468"/>
      <c r="BU468"/>
      <c r="BV468"/>
      <c r="BW468"/>
      <c r="BX468"/>
      <c r="BY468"/>
      <c r="BZ468"/>
      <c r="CA468"/>
      <c r="CB468"/>
    </row>
    <row r="469" ht="15.0" customHeight="true">
      <c r="A469" s="51" t="s">
        <v>2448</v>
      </c>
      <c r="B469" s="33"/>
      <c r="C469" s="33" t="s">
        <v>6034</v>
      </c>
      <c r="D469" s="33"/>
      <c r="E469" s="33" t="s">
        <v>6035</v>
      </c>
      <c r="F469" s="33"/>
      <c r="G469" s="55" t="s">
        <v>6036</v>
      </c>
      <c r="H469" s="33"/>
      <c r="I469" s="51" t="s">
        <v>6037</v>
      </c>
      <c r="J469" s="33"/>
      <c r="K469" s="51" t="s">
        <v>6038</v>
      </c>
      <c r="L469" s="33" t="s">
        <v>2454</v>
      </c>
      <c r="M469" s="55" t="s">
        <v>5716</v>
      </c>
      <c r="N469" s="55" t="s">
        <v>5716</v>
      </c>
      <c r="O469" s="33" t="s">
        <v>2272</v>
      </c>
      <c r="P469" s="33" t="s">
        <v>2251</v>
      </c>
      <c r="Q469" s="33"/>
      <c r="R469" s="33" t="s">
        <v>2263</v>
      </c>
      <c r="S469" s="56" t="s">
        <v>2277</v>
      </c>
      <c r="T469" s="56"/>
      <c r="U469" s="56"/>
      <c r="V469" s="33" t="s">
        <v>2456</v>
      </c>
      <c r="W469" s="94" t="s">
        <v>2457</v>
      </c>
      <c r="X469" s="94" t="s">
        <v>2458</v>
      </c>
      <c r="Y469" s="51"/>
      <c r="Z469" s="51"/>
      <c r="AA469" s="33" t="s">
        <v>2459</v>
      </c>
      <c r="AB469" s="33" t="s">
        <v>2460</v>
      </c>
      <c r="AC469" s="33"/>
      <c r="AD469" s="33" t="s">
        <v>2254</v>
      </c>
      <c r="AE469" s="33"/>
      <c r="AF469" s="33" t="s">
        <v>2267</v>
      </c>
      <c r="AG469" s="33" t="s">
        <v>2461</v>
      </c>
      <c r="AH469" s="33"/>
      <c r="AI469" s="33"/>
      <c r="AJ469" s="33" t="s">
        <v>6039</v>
      </c>
      <c r="AK469" s="94"/>
      <c r="AL469" s="33" t="s">
        <v>6040</v>
      </c>
      <c r="AM469" s="33"/>
      <c r="AN469" s="33" t="s">
        <v>2465</v>
      </c>
      <c r="AO469" s="51" t="s">
        <v>2489</v>
      </c>
      <c r="AP469" s="51" t="s">
        <v>207</v>
      </c>
      <c r="AQ469" s="33"/>
      <c r="AR469" s="54"/>
      <c r="AS469" s="54"/>
      <c r="AT469" s="54"/>
      <c r="AU469" s="54"/>
      <c r="AV469" s="54"/>
      <c r="AW469" s="54"/>
      <c r="AX469" s="54"/>
      <c r="AY469" s="54"/>
      <c r="AZ469" s="54"/>
      <c r="BA469" s="54"/>
      <c r="BB469" s="54"/>
      <c r="BC469" s="54"/>
      <c r="BD469" s="54" t="s">
        <v>2447</v>
      </c>
      <c r="BE469" s="54"/>
      <c r="BF469" s="54"/>
      <c r="BG469" s="54"/>
      <c r="BH469" s="54"/>
      <c r="BI469" s="54"/>
      <c r="BJ469" s="0"/>
      <c r="BK469" s="0"/>
      <c r="BL469" s="0"/>
      <c r="BM469" s="0"/>
      <c r="BN469" s="0"/>
      <c r="BO469" s="0"/>
      <c r="BP469"/>
      <c r="BQ469"/>
      <c r="BR469"/>
      <c r="BS469"/>
      <c r="BT469"/>
      <c r="BU469"/>
      <c r="BV469"/>
      <c r="BW469"/>
      <c r="BX469"/>
      <c r="BY469"/>
      <c r="BZ469"/>
      <c r="CA469"/>
      <c r="CB469"/>
    </row>
    <row r="470" ht="15.0" customHeight="true">
      <c r="A470" s="51" t="s">
        <v>2448</v>
      </c>
      <c r="B470" s="33"/>
      <c r="C470" s="33" t="s">
        <v>6041</v>
      </c>
      <c r="D470" s="33"/>
      <c r="E470" s="33" t="s">
        <v>6042</v>
      </c>
      <c r="F470" s="33"/>
      <c r="G470" s="55" t="s">
        <v>6043</v>
      </c>
      <c r="H470" s="33"/>
      <c r="I470" s="51" t="s">
        <v>6044</v>
      </c>
      <c r="J470" s="33"/>
      <c r="K470" s="51" t="s">
        <v>6045</v>
      </c>
      <c r="L470" s="33" t="s">
        <v>2454</v>
      </c>
      <c r="M470" s="55" t="s">
        <v>3671</v>
      </c>
      <c r="N470" s="55" t="s">
        <v>3827</v>
      </c>
      <c r="O470" s="33" t="s">
        <v>2272</v>
      </c>
      <c r="P470" s="33" t="s">
        <v>2251</v>
      </c>
      <c r="Q470" s="33"/>
      <c r="R470" s="33" t="s">
        <v>2263</v>
      </c>
      <c r="S470" s="56" t="s">
        <v>2277</v>
      </c>
      <c r="T470" s="56"/>
      <c r="U470" s="56"/>
      <c r="V470" s="33" t="s">
        <v>2456</v>
      </c>
      <c r="W470" s="94" t="s">
        <v>2457</v>
      </c>
      <c r="X470" s="94" t="s">
        <v>2474</v>
      </c>
      <c r="Y470" s="51"/>
      <c r="Z470" s="51"/>
      <c r="AA470" s="33" t="s">
        <v>2459</v>
      </c>
      <c r="AB470" s="33" t="s">
        <v>2460</v>
      </c>
      <c r="AC470" s="33"/>
      <c r="AD470" s="33" t="s">
        <v>2254</v>
      </c>
      <c r="AE470" s="33"/>
      <c r="AF470" s="33" t="s">
        <v>2267</v>
      </c>
      <c r="AG470" s="33" t="s">
        <v>2461</v>
      </c>
      <c r="AH470" s="33"/>
      <c r="AI470" s="33"/>
      <c r="AJ470" s="33" t="s">
        <v>6046</v>
      </c>
      <c r="AK470" s="94"/>
      <c r="AL470" s="33" t="s">
        <v>6047</v>
      </c>
      <c r="AM470" s="33" t="s">
        <v>6048</v>
      </c>
      <c r="AN470" s="33" t="s">
        <v>2588</v>
      </c>
      <c r="AO470" s="51" t="s">
        <v>2911</v>
      </c>
      <c r="AP470" s="51" t="s">
        <v>207</v>
      </c>
      <c r="AQ470" s="33"/>
      <c r="AR470" s="54"/>
      <c r="AS470" s="54"/>
      <c r="AT470" s="54"/>
      <c r="AU470" s="54"/>
      <c r="AV470" s="54"/>
      <c r="AW470" s="54"/>
      <c r="AX470" s="54"/>
      <c r="AY470" s="54"/>
      <c r="AZ470" s="54"/>
      <c r="BA470" s="54"/>
      <c r="BB470" s="54"/>
      <c r="BC470" s="54"/>
      <c r="BD470" s="54" t="s">
        <v>2447</v>
      </c>
      <c r="BE470" s="54"/>
      <c r="BF470" s="54"/>
      <c r="BG470" s="54"/>
      <c r="BH470" s="54"/>
      <c r="BI470" s="54"/>
      <c r="BJ470" s="0"/>
      <c r="BK470" s="0"/>
      <c r="BL470" s="0"/>
      <c r="BM470" s="0"/>
      <c r="BN470" s="0"/>
      <c r="BO470" s="0"/>
      <c r="BP470"/>
      <c r="BQ470"/>
      <c r="BR470"/>
      <c r="BS470"/>
      <c r="BT470"/>
      <c r="BU470"/>
      <c r="BV470"/>
      <c r="BW470"/>
      <c r="BX470"/>
      <c r="BY470"/>
      <c r="BZ470"/>
      <c r="CA470"/>
      <c r="CB470"/>
    </row>
    <row r="471" ht="15.0" customHeight="true">
      <c r="A471" s="51" t="s">
        <v>2448</v>
      </c>
      <c r="B471" s="33"/>
      <c r="C471" s="33" t="s">
        <v>2948</v>
      </c>
      <c r="D471" s="33"/>
      <c r="E471" s="33" t="s">
        <v>6049</v>
      </c>
      <c r="F471" s="33"/>
      <c r="G471" s="55" t="s">
        <v>6050</v>
      </c>
      <c r="H471" s="33"/>
      <c r="I471" s="51" t="s">
        <v>6051</v>
      </c>
      <c r="J471" s="33"/>
      <c r="K471" s="51" t="s">
        <v>6052</v>
      </c>
      <c r="L471" s="33" t="s">
        <v>2454</v>
      </c>
      <c r="M471" s="55" t="s">
        <v>2976</v>
      </c>
      <c r="N471" s="55" t="s">
        <v>2985</v>
      </c>
      <c r="O471" s="33" t="s">
        <v>2276</v>
      </c>
      <c r="P471" s="33" t="s">
        <v>2251</v>
      </c>
      <c r="Q471" s="33"/>
      <c r="R471" s="33" t="s">
        <v>2263</v>
      </c>
      <c r="S471" s="56" t="s">
        <v>2277</v>
      </c>
      <c r="T471" s="56"/>
      <c r="U471" s="56"/>
      <c r="V471" s="33" t="s">
        <v>2976</v>
      </c>
      <c r="W471" s="94" t="s">
        <v>2574</v>
      </c>
      <c r="X471" s="94" t="s">
        <v>2474</v>
      </c>
      <c r="Y471" s="51"/>
      <c r="Z471" s="51"/>
      <c r="AA471" s="33" t="s">
        <v>2459</v>
      </c>
      <c r="AB471" s="33" t="s">
        <v>2460</v>
      </c>
      <c r="AC471" s="33" t="s">
        <v>2486</v>
      </c>
      <c r="AD471" s="33" t="s">
        <v>2254</v>
      </c>
      <c r="AE471" s="33"/>
      <c r="AF471" s="33" t="s">
        <v>2267</v>
      </c>
      <c r="AG471" s="33" t="s">
        <v>2461</v>
      </c>
      <c r="AH471" s="33"/>
      <c r="AI471" s="33"/>
      <c r="AJ471" s="33" t="s">
        <v>6053</v>
      </c>
      <c r="AK471" s="94"/>
      <c r="AL471" s="33" t="s">
        <v>6054</v>
      </c>
      <c r="AM471" s="33"/>
      <c r="AN471" s="33" t="s">
        <v>2465</v>
      </c>
      <c r="AO471" s="51" t="s">
        <v>2820</v>
      </c>
      <c r="AP471" s="51" t="s">
        <v>207</v>
      </c>
      <c r="AQ471" s="33"/>
      <c r="AR471" s="54"/>
      <c r="AS471" s="54"/>
      <c r="AT471" s="54"/>
      <c r="AU471" s="54"/>
      <c r="AV471" s="54"/>
      <c r="AW471" s="54"/>
      <c r="AX471" s="54"/>
      <c r="AY471" s="54" t="s">
        <v>2269</v>
      </c>
      <c r="AZ471" s="54"/>
      <c r="BA471" s="54"/>
      <c r="BB471" s="54"/>
      <c r="BC471" s="54"/>
      <c r="BD471" s="54" t="s">
        <v>2447</v>
      </c>
      <c r="BE471" s="54"/>
      <c r="BF471" s="54"/>
      <c r="BG471" s="54"/>
      <c r="BH471" s="54"/>
      <c r="BI471" s="54"/>
      <c r="BJ471" s="0"/>
      <c r="BK471" s="0"/>
      <c r="BL471" s="0"/>
      <c r="BM471" s="0"/>
      <c r="BN471" s="0"/>
      <c r="BO471" s="0"/>
      <c r="BP471"/>
      <c r="BQ471"/>
      <c r="BR471"/>
      <c r="BS471"/>
      <c r="BT471"/>
      <c r="BU471"/>
      <c r="BV471"/>
      <c r="BW471"/>
      <c r="BX471"/>
      <c r="BY471"/>
      <c r="BZ471"/>
      <c r="CA471"/>
      <c r="CB471"/>
    </row>
    <row r="472" ht="15.0" customHeight="true">
      <c r="A472" s="51" t="s">
        <v>2448</v>
      </c>
      <c r="B472" s="33"/>
      <c r="C472" s="33" t="s">
        <v>5107</v>
      </c>
      <c r="D472" s="33"/>
      <c r="E472" s="33" t="s">
        <v>6055</v>
      </c>
      <c r="F472" s="33"/>
      <c r="G472" s="55" t="s">
        <v>6056</v>
      </c>
      <c r="H472" s="33"/>
      <c r="I472" s="51" t="s">
        <v>6057</v>
      </c>
      <c r="J472" s="33"/>
      <c r="K472" s="51" t="s">
        <v>6058</v>
      </c>
      <c r="L472" s="33" t="s">
        <v>2454</v>
      </c>
      <c r="M472" s="55" t="s">
        <v>2455</v>
      </c>
      <c r="N472" s="55" t="s">
        <v>2455</v>
      </c>
      <c r="O472" s="33" t="s">
        <v>2272</v>
      </c>
      <c r="P472" s="33" t="s">
        <v>2251</v>
      </c>
      <c r="Q472" s="33"/>
      <c r="R472" s="33" t="s">
        <v>2263</v>
      </c>
      <c r="S472" s="56" t="s">
        <v>2277</v>
      </c>
      <c r="T472" s="56"/>
      <c r="U472" s="56"/>
      <c r="V472" s="33" t="s">
        <v>2456</v>
      </c>
      <c r="W472" s="94" t="s">
        <v>2457</v>
      </c>
      <c r="X472" s="94" t="s">
        <v>2458</v>
      </c>
      <c r="Y472" s="51"/>
      <c r="Z472" s="51"/>
      <c r="AA472" s="33" t="s">
        <v>2459</v>
      </c>
      <c r="AB472" s="33" t="s">
        <v>2460</v>
      </c>
      <c r="AC472" s="33"/>
      <c r="AD472" s="33" t="s">
        <v>2254</v>
      </c>
      <c r="AE472" s="33"/>
      <c r="AF472" s="33" t="s">
        <v>2267</v>
      </c>
      <c r="AG472" s="33" t="s">
        <v>2461</v>
      </c>
      <c r="AH472" s="33"/>
      <c r="AI472" s="33"/>
      <c r="AJ472" s="33" t="s">
        <v>6059</v>
      </c>
      <c r="AK472" s="94"/>
      <c r="AL472" s="33" t="s">
        <v>3865</v>
      </c>
      <c r="AM472" s="33" t="s">
        <v>6060</v>
      </c>
      <c r="AN472" s="33" t="s">
        <v>2588</v>
      </c>
      <c r="AO472" s="51" t="s">
        <v>2589</v>
      </c>
      <c r="AP472" s="51" t="s">
        <v>207</v>
      </c>
      <c r="AQ472" s="33"/>
      <c r="AR472" s="54"/>
      <c r="AS472" s="54"/>
      <c r="AT472" s="54"/>
      <c r="AU472" s="54"/>
      <c r="AV472" s="54"/>
      <c r="AW472" s="54"/>
      <c r="AX472" s="54"/>
      <c r="AY472" s="54"/>
      <c r="AZ472" s="54"/>
      <c r="BA472" s="54"/>
      <c r="BB472" s="54"/>
      <c r="BC472" s="54"/>
      <c r="BD472" s="54" t="s">
        <v>2447</v>
      </c>
      <c r="BE472" s="54"/>
      <c r="BF472" s="54"/>
      <c r="BG472" s="54"/>
      <c r="BH472" s="54"/>
      <c r="BI472" s="54"/>
      <c r="BJ472" s="0"/>
      <c r="BK472" s="0"/>
      <c r="BL472" s="0"/>
      <c r="BM472" s="0"/>
      <c r="BN472" s="0"/>
      <c r="BO472" s="0"/>
      <c r="BP472"/>
      <c r="BQ472"/>
      <c r="BR472"/>
      <c r="BS472"/>
      <c r="BT472"/>
      <c r="BU472"/>
      <c r="BV472"/>
      <c r="BW472"/>
      <c r="BX472"/>
      <c r="BY472"/>
      <c r="BZ472"/>
      <c r="CA472"/>
      <c r="CB472"/>
    </row>
    <row r="473" ht="15.0" customHeight="true">
      <c r="A473" s="51" t="s">
        <v>2448</v>
      </c>
      <c r="B473" s="33"/>
      <c r="C473" s="33" t="s">
        <v>6061</v>
      </c>
      <c r="D473" s="33"/>
      <c r="E473" s="33" t="s">
        <v>6062</v>
      </c>
      <c r="F473" s="33"/>
      <c r="G473" s="55" t="s">
        <v>6063</v>
      </c>
      <c r="H473" s="33"/>
      <c r="I473" s="51" t="s">
        <v>6064</v>
      </c>
      <c r="J473" s="33"/>
      <c r="K473" s="51" t="s">
        <v>6065</v>
      </c>
      <c r="L473" s="33" t="s">
        <v>2454</v>
      </c>
      <c r="M473" s="55" t="s">
        <v>3913</v>
      </c>
      <c r="N473" s="55" t="s">
        <v>2572</v>
      </c>
      <c r="O473" s="33" t="s">
        <v>2272</v>
      </c>
      <c r="P473" s="33" t="s">
        <v>2251</v>
      </c>
      <c r="Q473" s="33"/>
      <c r="R473" s="33" t="s">
        <v>2263</v>
      </c>
      <c r="S473" s="56" t="s">
        <v>2277</v>
      </c>
      <c r="T473" s="56"/>
      <c r="U473" s="56"/>
      <c r="V473" s="33" t="s">
        <v>2456</v>
      </c>
      <c r="W473" s="94" t="s">
        <v>2457</v>
      </c>
      <c r="X473" s="94" t="s">
        <v>2474</v>
      </c>
      <c r="Y473" s="51"/>
      <c r="Z473" s="51"/>
      <c r="AA473" s="33" t="s">
        <v>2459</v>
      </c>
      <c r="AB473" s="33" t="s">
        <v>2460</v>
      </c>
      <c r="AC473" s="33"/>
      <c r="AD473" s="33" t="s">
        <v>2254</v>
      </c>
      <c r="AE473" s="33"/>
      <c r="AF473" s="33" t="s">
        <v>2267</v>
      </c>
      <c r="AG473" s="33" t="s">
        <v>2461</v>
      </c>
      <c r="AH473" s="33"/>
      <c r="AI473" s="33"/>
      <c r="AJ473" s="33" t="s">
        <v>6066</v>
      </c>
      <c r="AK473" s="94"/>
      <c r="AL473" s="33" t="s">
        <v>6067</v>
      </c>
      <c r="AM473" s="33"/>
      <c r="AN473" s="33" t="s">
        <v>2465</v>
      </c>
      <c r="AO473" s="51" t="s">
        <v>2466</v>
      </c>
      <c r="AP473" s="51" t="s">
        <v>207</v>
      </c>
      <c r="AQ473" s="33"/>
      <c r="AR473" s="54"/>
      <c r="AS473" s="54"/>
      <c r="AT473" s="54"/>
      <c r="AU473" s="54"/>
      <c r="AV473" s="54"/>
      <c r="AW473" s="54"/>
      <c r="AX473" s="54"/>
      <c r="AY473" s="54"/>
      <c r="AZ473" s="54"/>
      <c r="BA473" s="54"/>
      <c r="BB473" s="54"/>
      <c r="BC473" s="54"/>
      <c r="BD473" s="54" t="s">
        <v>2447</v>
      </c>
      <c r="BE473" s="54"/>
      <c r="BF473" s="54"/>
      <c r="BG473" s="54"/>
      <c r="BH473" s="54"/>
      <c r="BI473" s="54"/>
      <c r="BJ473" s="0"/>
      <c r="BK473" s="0"/>
      <c r="BL473" s="0"/>
      <c r="BM473" s="0"/>
      <c r="BN473" s="0"/>
      <c r="BO473" s="0"/>
      <c r="BP473"/>
      <c r="BQ473"/>
      <c r="BR473"/>
      <c r="BS473"/>
      <c r="BT473"/>
      <c r="BU473"/>
      <c r="BV473"/>
      <c r="BW473"/>
      <c r="BX473"/>
      <c r="BY473"/>
      <c r="BZ473"/>
      <c r="CA473"/>
      <c r="CB473"/>
    </row>
    <row r="474" ht="15.0" customHeight="true">
      <c r="A474" s="51" t="s">
        <v>2448</v>
      </c>
      <c r="B474" s="33"/>
      <c r="C474" s="33" t="s">
        <v>6068</v>
      </c>
      <c r="D474" s="33"/>
      <c r="E474" s="33" t="s">
        <v>5793</v>
      </c>
      <c r="F474" s="33"/>
      <c r="G474" s="55" t="s">
        <v>6069</v>
      </c>
      <c r="H474" s="33"/>
      <c r="I474" s="51" t="s">
        <v>6070</v>
      </c>
      <c r="J474" s="33"/>
      <c r="K474" s="51" t="s">
        <v>6071</v>
      </c>
      <c r="L474" s="33" t="s">
        <v>2454</v>
      </c>
      <c r="M474" s="55" t="s">
        <v>3474</v>
      </c>
      <c r="N474" s="55" t="s">
        <v>3772</v>
      </c>
      <c r="O474" s="33" t="s">
        <v>2272</v>
      </c>
      <c r="P474" s="33" t="s">
        <v>2251</v>
      </c>
      <c r="Q474" s="33"/>
      <c r="R474" s="33" t="s">
        <v>2263</v>
      </c>
      <c r="S474" s="56" t="s">
        <v>2277</v>
      </c>
      <c r="T474" s="56"/>
      <c r="U474" s="56"/>
      <c r="V474" s="33" t="s">
        <v>2456</v>
      </c>
      <c r="W474" s="94" t="s">
        <v>2457</v>
      </c>
      <c r="X474" s="94" t="s">
        <v>2458</v>
      </c>
      <c r="Y474" s="51"/>
      <c r="Z474" s="51"/>
      <c r="AA474" s="33" t="s">
        <v>2459</v>
      </c>
      <c r="AB474" s="33" t="s">
        <v>2460</v>
      </c>
      <c r="AC474" s="33"/>
      <c r="AD474" s="33" t="s">
        <v>2254</v>
      </c>
      <c r="AE474" s="33"/>
      <c r="AF474" s="33" t="s">
        <v>2267</v>
      </c>
      <c r="AG474" s="33" t="s">
        <v>2461</v>
      </c>
      <c r="AH474" s="33"/>
      <c r="AI474" s="33"/>
      <c r="AJ474" s="33" t="s">
        <v>6072</v>
      </c>
      <c r="AK474" s="94"/>
      <c r="AL474" s="33" t="s">
        <v>6073</v>
      </c>
      <c r="AM474" s="33"/>
      <c r="AN474" s="33" t="s">
        <v>2465</v>
      </c>
      <c r="AO474" s="51" t="s">
        <v>2548</v>
      </c>
      <c r="AP474" s="51" t="s">
        <v>207</v>
      </c>
      <c r="AQ474" s="33"/>
      <c r="AR474" s="54"/>
      <c r="AS474" s="54"/>
      <c r="AT474" s="54"/>
      <c r="AU474" s="54"/>
      <c r="AV474" s="54"/>
      <c r="AW474" s="54"/>
      <c r="AX474" s="54"/>
      <c r="AY474" s="54"/>
      <c r="AZ474" s="54"/>
      <c r="BA474" s="54"/>
      <c r="BB474" s="54"/>
      <c r="BC474" s="54"/>
      <c r="BD474" s="54" t="s">
        <v>2447</v>
      </c>
      <c r="BE474" s="54"/>
      <c r="BF474" s="54"/>
      <c r="BG474" s="54"/>
      <c r="BH474" s="54"/>
      <c r="BI474" s="54"/>
      <c r="BJ474" s="0"/>
      <c r="BK474" s="0"/>
      <c r="BL474" s="0"/>
      <c r="BM474" s="0"/>
      <c r="BN474" s="0"/>
      <c r="BO474" s="0"/>
      <c r="BP474"/>
      <c r="BQ474"/>
      <c r="BR474"/>
      <c r="BS474"/>
      <c r="BT474"/>
      <c r="BU474"/>
      <c r="BV474"/>
      <c r="BW474"/>
      <c r="BX474"/>
      <c r="BY474"/>
      <c r="BZ474"/>
      <c r="CA474"/>
      <c r="CB474"/>
    </row>
    <row r="475" ht="15.0" customHeight="true">
      <c r="A475" s="51" t="s">
        <v>2448</v>
      </c>
      <c r="B475" s="33"/>
      <c r="C475" s="33" t="s">
        <v>5909</v>
      </c>
      <c r="D475" s="33"/>
      <c r="E475" s="33" t="s">
        <v>6074</v>
      </c>
      <c r="F475" s="33"/>
      <c r="G475" s="55" t="s">
        <v>6075</v>
      </c>
      <c r="H475" s="33"/>
      <c r="I475" s="51" t="s">
        <v>6076</v>
      </c>
      <c r="J475" s="33"/>
      <c r="K475" s="51" t="s">
        <v>6077</v>
      </c>
      <c r="L475" s="33" t="s">
        <v>2454</v>
      </c>
      <c r="M475" s="55" t="s">
        <v>2736</v>
      </c>
      <c r="N475" s="55" t="s">
        <v>3662</v>
      </c>
      <c r="O475" s="33" t="s">
        <v>2276</v>
      </c>
      <c r="P475" s="33" t="s">
        <v>2251</v>
      </c>
      <c r="Q475" s="33"/>
      <c r="R475" s="33" t="s">
        <v>2263</v>
      </c>
      <c r="S475" s="56" t="s">
        <v>2277</v>
      </c>
      <c r="T475" s="56"/>
      <c r="U475" s="56"/>
      <c r="V475" s="33" t="s">
        <v>2736</v>
      </c>
      <c r="W475" s="94" t="s">
        <v>2574</v>
      </c>
      <c r="X475" s="94" t="s">
        <v>2474</v>
      </c>
      <c r="Y475" s="51"/>
      <c r="Z475" s="51"/>
      <c r="AA475" s="33" t="s">
        <v>2459</v>
      </c>
      <c r="AB475" s="33" t="s">
        <v>2460</v>
      </c>
      <c r="AC475" s="33" t="s">
        <v>2486</v>
      </c>
      <c r="AD475" s="33" t="s">
        <v>2254</v>
      </c>
      <c r="AE475" s="33"/>
      <c r="AF475" s="33" t="s">
        <v>2267</v>
      </c>
      <c r="AG475" s="33" t="s">
        <v>2461</v>
      </c>
      <c r="AH475" s="33"/>
      <c r="AI475" s="33"/>
      <c r="AJ475" s="33" t="s">
        <v>6078</v>
      </c>
      <c r="AK475" s="94"/>
      <c r="AL475" s="33" t="s">
        <v>6079</v>
      </c>
      <c r="AM475" s="33" t="s">
        <v>6080</v>
      </c>
      <c r="AN475" s="33" t="s">
        <v>2465</v>
      </c>
      <c r="AO475" s="51" t="s">
        <v>2548</v>
      </c>
      <c r="AP475" s="51" t="s">
        <v>207</v>
      </c>
      <c r="AQ475" s="33"/>
      <c r="AR475" s="54"/>
      <c r="AS475" s="54"/>
      <c r="AT475" s="54"/>
      <c r="AU475" s="54"/>
      <c r="AV475" s="54"/>
      <c r="AW475" s="54"/>
      <c r="AX475" s="54"/>
      <c r="AY475" s="54" t="s">
        <v>2269</v>
      </c>
      <c r="AZ475" s="54"/>
      <c r="BA475" s="54"/>
      <c r="BB475" s="54"/>
      <c r="BC475" s="54"/>
      <c r="BD475" s="54" t="s">
        <v>2447</v>
      </c>
      <c r="BE475" s="54"/>
      <c r="BF475" s="54"/>
      <c r="BG475" s="54"/>
      <c r="BH475" s="54"/>
      <c r="BI475" s="54"/>
      <c r="BJ475" s="0"/>
      <c r="BK475" s="0"/>
      <c r="BL475" s="0"/>
      <c r="BM475" s="0"/>
      <c r="BN475" s="0"/>
      <c r="BO475" s="0"/>
      <c r="BP475"/>
      <c r="BQ475"/>
      <c r="BR475"/>
      <c r="BS475"/>
      <c r="BT475"/>
      <c r="BU475"/>
      <c r="BV475"/>
      <c r="BW475"/>
      <c r="BX475"/>
      <c r="BY475"/>
      <c r="BZ475"/>
      <c r="CA475"/>
      <c r="CB475"/>
    </row>
    <row r="476" ht="15.0" customHeight="true">
      <c r="A476" s="51" t="s">
        <v>2448</v>
      </c>
      <c r="B476" s="33"/>
      <c r="C476" s="33" t="s">
        <v>2964</v>
      </c>
      <c r="D476" s="33"/>
      <c r="E476" s="33" t="s">
        <v>6081</v>
      </c>
      <c r="F476" s="33"/>
      <c r="G476" s="55" t="s">
        <v>6082</v>
      </c>
      <c r="H476" s="33"/>
      <c r="I476" s="51" t="s">
        <v>6083</v>
      </c>
      <c r="J476" s="33"/>
      <c r="K476" s="51" t="s">
        <v>6084</v>
      </c>
      <c r="L476" s="33" t="s">
        <v>2454</v>
      </c>
      <c r="M476" s="55" t="s">
        <v>6085</v>
      </c>
      <c r="N476" s="55" t="s">
        <v>2698</v>
      </c>
      <c r="O476" s="33" t="s">
        <v>2272</v>
      </c>
      <c r="P476" s="33" t="s">
        <v>2251</v>
      </c>
      <c r="Q476" s="33"/>
      <c r="R476" s="33" t="s">
        <v>2263</v>
      </c>
      <c r="S476" s="56" t="s">
        <v>2277</v>
      </c>
      <c r="T476" s="56"/>
      <c r="U476" s="56"/>
      <c r="V476" s="33" t="s">
        <v>2456</v>
      </c>
      <c r="W476" s="94" t="s">
        <v>2457</v>
      </c>
      <c r="X476" s="94" t="s">
        <v>2458</v>
      </c>
      <c r="Y476" s="51"/>
      <c r="Z476" s="51"/>
      <c r="AA476" s="33" t="s">
        <v>2459</v>
      </c>
      <c r="AB476" s="33" t="s">
        <v>2460</v>
      </c>
      <c r="AC476" s="33"/>
      <c r="AD476" s="33" t="s">
        <v>2254</v>
      </c>
      <c r="AE476" s="33"/>
      <c r="AF476" s="33" t="s">
        <v>2267</v>
      </c>
      <c r="AG476" s="33" t="s">
        <v>2461</v>
      </c>
      <c r="AH476" s="33"/>
      <c r="AI476" s="33"/>
      <c r="AJ476" s="33" t="s">
        <v>6086</v>
      </c>
      <c r="AK476" s="94"/>
      <c r="AL476" s="33" t="s">
        <v>6087</v>
      </c>
      <c r="AM476" s="33"/>
      <c r="AN476" s="33" t="s">
        <v>2588</v>
      </c>
      <c r="AO476" s="51" t="s">
        <v>2589</v>
      </c>
      <c r="AP476" s="51" t="s">
        <v>207</v>
      </c>
      <c r="AQ476" s="33"/>
      <c r="AR476" s="54"/>
      <c r="AS476" s="54"/>
      <c r="AT476" s="54"/>
      <c r="AU476" s="54"/>
      <c r="AV476" s="54"/>
      <c r="AW476" s="54"/>
      <c r="AX476" s="54"/>
      <c r="AY476" s="54"/>
      <c r="AZ476" s="54"/>
      <c r="BA476" s="54"/>
      <c r="BB476" s="54"/>
      <c r="BC476" s="54"/>
      <c r="BD476" s="54" t="s">
        <v>2447</v>
      </c>
      <c r="BE476" s="54"/>
      <c r="BF476" s="54"/>
      <c r="BG476" s="54"/>
      <c r="BH476" s="54"/>
      <c r="BI476" s="54"/>
      <c r="BJ476" s="0"/>
      <c r="BK476" s="0"/>
      <c r="BL476" s="0"/>
      <c r="BM476" s="0"/>
      <c r="BN476" s="0"/>
      <c r="BO476" s="0"/>
      <c r="BP476"/>
      <c r="BQ476"/>
      <c r="BR476"/>
      <c r="BS476"/>
      <c r="BT476"/>
      <c r="BU476"/>
      <c r="BV476"/>
      <c r="BW476"/>
      <c r="BX476"/>
      <c r="BY476"/>
      <c r="BZ476"/>
      <c r="CA476"/>
      <c r="CB476"/>
    </row>
    <row r="477" ht="15.0" customHeight="true">
      <c r="A477" s="51" t="s">
        <v>2448</v>
      </c>
      <c r="B477" s="33"/>
      <c r="C477" s="33" t="s">
        <v>2449</v>
      </c>
      <c r="D477" s="33"/>
      <c r="E477" s="33" t="s">
        <v>6088</v>
      </c>
      <c r="F477" s="33"/>
      <c r="G477" s="55" t="s">
        <v>6089</v>
      </c>
      <c r="H477" s="33"/>
      <c r="I477" s="51" t="s">
        <v>6090</v>
      </c>
      <c r="J477" s="33"/>
      <c r="K477" s="51" t="s">
        <v>6091</v>
      </c>
      <c r="L477" s="33" t="s">
        <v>2454</v>
      </c>
      <c r="M477" s="55" t="s">
        <v>6092</v>
      </c>
      <c r="N477" s="55" t="s">
        <v>2993</v>
      </c>
      <c r="O477" s="33" t="s">
        <v>2272</v>
      </c>
      <c r="P477" s="33" t="s">
        <v>2251</v>
      </c>
      <c r="Q477" s="33"/>
      <c r="R477" s="33" t="s">
        <v>2263</v>
      </c>
      <c r="S477" s="56" t="s">
        <v>2277</v>
      </c>
      <c r="T477" s="56"/>
      <c r="U477" s="56"/>
      <c r="V477" s="33" t="s">
        <v>2456</v>
      </c>
      <c r="W477" s="94" t="s">
        <v>2457</v>
      </c>
      <c r="X477" s="94" t="s">
        <v>2458</v>
      </c>
      <c r="Y477" s="51"/>
      <c r="Z477" s="51"/>
      <c r="AA477" s="33" t="s">
        <v>2459</v>
      </c>
      <c r="AB477" s="33" t="s">
        <v>2460</v>
      </c>
      <c r="AC477" s="33"/>
      <c r="AD477" s="33" t="s">
        <v>2254</v>
      </c>
      <c r="AE477" s="33"/>
      <c r="AF477" s="33" t="s">
        <v>2267</v>
      </c>
      <c r="AG477" s="33" t="s">
        <v>2461</v>
      </c>
      <c r="AH477" s="33"/>
      <c r="AI477" s="33"/>
      <c r="AJ477" s="33" t="s">
        <v>6093</v>
      </c>
      <c r="AK477" s="94"/>
      <c r="AL477" s="33" t="s">
        <v>6094</v>
      </c>
      <c r="AM477" s="33"/>
      <c r="AN477" s="33" t="s">
        <v>2588</v>
      </c>
      <c r="AO477" s="51" t="s">
        <v>2589</v>
      </c>
      <c r="AP477" s="51" t="s">
        <v>207</v>
      </c>
      <c r="AQ477" s="33"/>
      <c r="AR477" s="54"/>
      <c r="AS477" s="54"/>
      <c r="AT477" s="54"/>
      <c r="AU477" s="54"/>
      <c r="AV477" s="54"/>
      <c r="AW477" s="54"/>
      <c r="AX477" s="54"/>
      <c r="AY477" s="54"/>
      <c r="AZ477" s="54"/>
      <c r="BA477" s="54"/>
      <c r="BB477" s="54"/>
      <c r="BC477" s="54"/>
      <c r="BD477" s="54" t="s">
        <v>2447</v>
      </c>
      <c r="BE477" s="54"/>
      <c r="BF477" s="54"/>
      <c r="BG477" s="54"/>
      <c r="BH477" s="54"/>
      <c r="BI477" s="54"/>
      <c r="BJ477" s="0"/>
      <c r="BK477" s="0"/>
      <c r="BL477" s="0"/>
      <c r="BM477" s="0"/>
      <c r="BN477" s="0"/>
      <c r="BO477" s="0"/>
      <c r="BP477"/>
      <c r="BQ477"/>
      <c r="BR477"/>
      <c r="BS477"/>
      <c r="BT477"/>
      <c r="BU477"/>
      <c r="BV477"/>
      <c r="BW477"/>
      <c r="BX477"/>
      <c r="BY477"/>
      <c r="BZ477"/>
      <c r="CA477"/>
      <c r="CB477"/>
    </row>
    <row r="478" ht="15.0" customHeight="true">
      <c r="A478" s="51" t="s">
        <v>2448</v>
      </c>
      <c r="B478" s="33"/>
      <c r="C478" s="33" t="s">
        <v>4014</v>
      </c>
      <c r="D478" s="33"/>
      <c r="E478" s="33" t="s">
        <v>6095</v>
      </c>
      <c r="F478" s="33"/>
      <c r="G478" s="55" t="s">
        <v>6096</v>
      </c>
      <c r="H478" s="33"/>
      <c r="I478" s="51" t="s">
        <v>6097</v>
      </c>
      <c r="J478" s="33"/>
      <c r="K478" s="51" t="s">
        <v>6098</v>
      </c>
      <c r="L478" s="33" t="s">
        <v>2484</v>
      </c>
      <c r="M478" s="55" t="s">
        <v>3516</v>
      </c>
      <c r="N478" s="55"/>
      <c r="O478" s="33"/>
      <c r="P478" s="33" t="s">
        <v>2251</v>
      </c>
      <c r="Q478" s="33"/>
      <c r="R478" s="33" t="s">
        <v>2263</v>
      </c>
      <c r="S478" s="56" t="s">
        <v>2277</v>
      </c>
      <c r="T478" s="56"/>
      <c r="U478" s="56"/>
      <c r="V478" s="33" t="s">
        <v>2456</v>
      </c>
      <c r="W478" s="94" t="s">
        <v>2457</v>
      </c>
      <c r="X478" s="94" t="s">
        <v>2474</v>
      </c>
      <c r="Y478" s="51"/>
      <c r="Z478" s="51"/>
      <c r="AA478" s="33" t="s">
        <v>2459</v>
      </c>
      <c r="AB478" s="33" t="s">
        <v>2460</v>
      </c>
      <c r="AC478" s="33" t="s">
        <v>2486</v>
      </c>
      <c r="AD478" s="33" t="s">
        <v>2254</v>
      </c>
      <c r="AE478" s="33"/>
      <c r="AF478" s="33" t="s">
        <v>2267</v>
      </c>
      <c r="AG478" s="33" t="s">
        <v>2461</v>
      </c>
      <c r="AH478" s="33"/>
      <c r="AI478" s="33"/>
      <c r="AJ478" s="33" t="s">
        <v>6099</v>
      </c>
      <c r="AK478" s="94"/>
      <c r="AL478" s="33" t="s">
        <v>6100</v>
      </c>
      <c r="AM478" s="33" t="s">
        <v>6101</v>
      </c>
      <c r="AN478" s="33" t="s">
        <v>2465</v>
      </c>
      <c r="AO478" s="51" t="s">
        <v>2466</v>
      </c>
      <c r="AP478" s="51" t="s">
        <v>207</v>
      </c>
      <c r="AQ478" s="33"/>
      <c r="AR478" s="54"/>
      <c r="AS478" s="54"/>
      <c r="AT478" s="54"/>
      <c r="AU478" s="54"/>
      <c r="AV478" s="54"/>
      <c r="AW478" s="54"/>
      <c r="AX478" s="54"/>
      <c r="AY478" s="54"/>
      <c r="AZ478" s="54"/>
      <c r="BA478" s="54"/>
      <c r="BB478" s="54"/>
      <c r="BC478" s="54"/>
      <c r="BD478" s="54" t="s">
        <v>2447</v>
      </c>
      <c r="BE478" s="54"/>
      <c r="BF478" s="54"/>
      <c r="BG478" s="54"/>
      <c r="BH478" s="54"/>
      <c r="BI478" s="54"/>
      <c r="BJ478" s="0"/>
      <c r="BK478" s="0"/>
      <c r="BL478" s="0"/>
      <c r="BM478" s="0"/>
      <c r="BN478" s="0"/>
      <c r="BO478" s="0"/>
      <c r="BP478"/>
      <c r="BQ478"/>
      <c r="BR478"/>
      <c r="BS478"/>
      <c r="BT478"/>
      <c r="BU478"/>
      <c r="BV478"/>
      <c r="BW478"/>
      <c r="BX478"/>
      <c r="BY478"/>
      <c r="BZ478"/>
      <c r="CA478"/>
      <c r="CB478"/>
    </row>
    <row r="479" ht="15.0" customHeight="true">
      <c r="A479" s="51" t="s">
        <v>2448</v>
      </c>
      <c r="B479" s="33"/>
      <c r="C479" s="33" t="s">
        <v>6102</v>
      </c>
      <c r="D479" s="33"/>
      <c r="E479" s="33" t="s">
        <v>6103</v>
      </c>
      <c r="F479" s="33"/>
      <c r="G479" s="55" t="s">
        <v>6104</v>
      </c>
      <c r="H479" s="33"/>
      <c r="I479" s="51" t="s">
        <v>6105</v>
      </c>
      <c r="J479" s="33"/>
      <c r="K479" s="51" t="s">
        <v>6106</v>
      </c>
      <c r="L479" s="33" t="s">
        <v>2484</v>
      </c>
      <c r="M479" s="55" t="s">
        <v>3897</v>
      </c>
      <c r="N479" s="55"/>
      <c r="O479" s="33"/>
      <c r="P479" s="33" t="s">
        <v>2251</v>
      </c>
      <c r="Q479" s="33"/>
      <c r="R479" s="33" t="s">
        <v>2263</v>
      </c>
      <c r="S479" s="56" t="s">
        <v>2277</v>
      </c>
      <c r="T479" s="56"/>
      <c r="U479" s="56"/>
      <c r="V479" s="33" t="s">
        <v>2456</v>
      </c>
      <c r="W479" s="94" t="s">
        <v>2457</v>
      </c>
      <c r="X479" s="94" t="s">
        <v>2474</v>
      </c>
      <c r="Y479" s="51"/>
      <c r="Z479" s="51"/>
      <c r="AA479" s="33" t="s">
        <v>2459</v>
      </c>
      <c r="AB479" s="33" t="s">
        <v>2460</v>
      </c>
      <c r="AC479" s="33" t="s">
        <v>2486</v>
      </c>
      <c r="AD479" s="33" t="s">
        <v>2254</v>
      </c>
      <c r="AE479" s="33"/>
      <c r="AF479" s="33" t="s">
        <v>2267</v>
      </c>
      <c r="AG479" s="33" t="s">
        <v>2461</v>
      </c>
      <c r="AH479" s="33"/>
      <c r="AI479" s="33"/>
      <c r="AJ479" s="33" t="s">
        <v>6107</v>
      </c>
      <c r="AK479" s="94"/>
      <c r="AL479" s="33" t="s">
        <v>6108</v>
      </c>
      <c r="AM479" s="33"/>
      <c r="AN479" s="33" t="s">
        <v>976</v>
      </c>
      <c r="AO479" s="51" t="s">
        <v>2548</v>
      </c>
      <c r="AP479" s="51" t="s">
        <v>207</v>
      </c>
      <c r="AQ479" s="33"/>
      <c r="AR479" s="54"/>
      <c r="AS479" s="54"/>
      <c r="AT479" s="54"/>
      <c r="AU479" s="54"/>
      <c r="AV479" s="54"/>
      <c r="AW479" s="54"/>
      <c r="AX479" s="54"/>
      <c r="AY479" s="54"/>
      <c r="AZ479" s="54"/>
      <c r="BA479" s="54"/>
      <c r="BB479" s="54"/>
      <c r="BC479" s="54"/>
      <c r="BD479" s="54" t="s">
        <v>2447</v>
      </c>
      <c r="BE479" s="54"/>
      <c r="BF479" s="54"/>
      <c r="BG479" s="54"/>
      <c r="BH479" s="54"/>
      <c r="BI479" s="54"/>
      <c r="BJ479" s="0"/>
      <c r="BK479" s="0"/>
      <c r="BL479" s="0"/>
      <c r="BM479" s="0"/>
      <c r="BN479" s="0"/>
      <c r="BO479" s="0"/>
      <c r="BP479"/>
      <c r="BQ479"/>
      <c r="BR479"/>
      <c r="BS479"/>
      <c r="BT479"/>
      <c r="BU479"/>
      <c r="BV479"/>
      <c r="BW479"/>
      <c r="BX479"/>
      <c r="BY479"/>
      <c r="BZ479"/>
      <c r="CA479"/>
      <c r="CB479"/>
    </row>
    <row r="480" ht="15.0" customHeight="true">
      <c r="A480" s="51" t="s">
        <v>2448</v>
      </c>
      <c r="B480" s="33"/>
      <c r="C480" s="33" t="s">
        <v>3448</v>
      </c>
      <c r="D480" s="33"/>
      <c r="E480" s="33" t="s">
        <v>6109</v>
      </c>
      <c r="F480" s="33"/>
      <c r="G480" s="55" t="s">
        <v>6110</v>
      </c>
      <c r="H480" s="33"/>
      <c r="I480" s="51" t="s">
        <v>6111</v>
      </c>
      <c r="J480" s="33"/>
      <c r="K480" s="51" t="s">
        <v>6112</v>
      </c>
      <c r="L480" s="33" t="s">
        <v>2454</v>
      </c>
      <c r="M480" s="55" t="s">
        <v>3772</v>
      </c>
      <c r="N480" s="55" t="s">
        <v>2754</v>
      </c>
      <c r="O480" s="33" t="s">
        <v>2272</v>
      </c>
      <c r="P480" s="33" t="s">
        <v>2251</v>
      </c>
      <c r="Q480" s="33"/>
      <c r="R480" s="33" t="s">
        <v>2263</v>
      </c>
      <c r="S480" s="56" t="s">
        <v>2277</v>
      </c>
      <c r="T480" s="56"/>
      <c r="U480" s="56"/>
      <c r="V480" s="33" t="s">
        <v>2456</v>
      </c>
      <c r="W480" s="94" t="s">
        <v>2457</v>
      </c>
      <c r="X480" s="94" t="s">
        <v>2458</v>
      </c>
      <c r="Y480" s="51"/>
      <c r="Z480" s="51"/>
      <c r="AA480" s="33" t="s">
        <v>2459</v>
      </c>
      <c r="AB480" s="33" t="s">
        <v>2460</v>
      </c>
      <c r="AC480" s="33"/>
      <c r="AD480" s="33" t="s">
        <v>2254</v>
      </c>
      <c r="AE480" s="33"/>
      <c r="AF480" s="33" t="s">
        <v>2267</v>
      </c>
      <c r="AG480" s="33" t="s">
        <v>2461</v>
      </c>
      <c r="AH480" s="33"/>
      <c r="AI480" s="33"/>
      <c r="AJ480" s="33" t="s">
        <v>6113</v>
      </c>
      <c r="AK480" s="94"/>
      <c r="AL480" s="33" t="s">
        <v>6114</v>
      </c>
      <c r="AM480" s="33"/>
      <c r="AN480" s="33" t="s">
        <v>2588</v>
      </c>
      <c r="AO480" s="51" t="s">
        <v>2628</v>
      </c>
      <c r="AP480" s="51" t="s">
        <v>207</v>
      </c>
      <c r="AQ480" s="33"/>
      <c r="AR480" s="54"/>
      <c r="AS480" s="54"/>
      <c r="AT480" s="54"/>
      <c r="AU480" s="54"/>
      <c r="AV480" s="54"/>
      <c r="AW480" s="54"/>
      <c r="AX480" s="54"/>
      <c r="AY480" s="54"/>
      <c r="AZ480" s="54"/>
      <c r="BA480" s="54"/>
      <c r="BB480" s="54"/>
      <c r="BC480" s="54"/>
      <c r="BD480" s="54" t="s">
        <v>2447</v>
      </c>
      <c r="BE480" s="54"/>
      <c r="BF480" s="54"/>
      <c r="BG480" s="54"/>
      <c r="BH480" s="54"/>
      <c r="BI480" s="54"/>
      <c r="BJ480" s="0"/>
      <c r="BK480" s="0"/>
      <c r="BL480" s="0"/>
      <c r="BM480" s="0"/>
      <c r="BN480" s="0"/>
      <c r="BO480" s="0"/>
      <c r="BP480"/>
      <c r="BQ480"/>
      <c r="BR480"/>
      <c r="BS480"/>
      <c r="BT480"/>
      <c r="BU480"/>
      <c r="BV480"/>
      <c r="BW480"/>
      <c r="BX480"/>
      <c r="BY480"/>
      <c r="BZ480"/>
      <c r="CA480"/>
      <c r="CB480"/>
    </row>
    <row r="481" ht="15.0" customHeight="true">
      <c r="A481" s="51" t="s">
        <v>2448</v>
      </c>
      <c r="B481" s="33"/>
      <c r="C481" s="33" t="s">
        <v>448</v>
      </c>
      <c r="D481" s="33"/>
      <c r="E481" s="33" t="s">
        <v>6115</v>
      </c>
      <c r="F481" s="33"/>
      <c r="G481" s="55" t="s">
        <v>6116</v>
      </c>
      <c r="H481" s="33" t="s">
        <v>2247</v>
      </c>
      <c r="I481" s="51" t="s">
        <v>6117</v>
      </c>
      <c r="J481" s="33" t="s">
        <v>2269</v>
      </c>
      <c r="K481" s="51" t="s">
        <v>4716</v>
      </c>
      <c r="L481" s="33" t="s">
        <v>2484</v>
      </c>
      <c r="M481" s="55" t="s">
        <v>6118</v>
      </c>
      <c r="N481" s="55"/>
      <c r="O481" s="33"/>
      <c r="P481" s="33" t="s">
        <v>2251</v>
      </c>
      <c r="Q481" s="33"/>
      <c r="R481" s="33" t="s">
        <v>2252</v>
      </c>
      <c r="S481" s="56" t="s">
        <v>2277</v>
      </c>
      <c r="T481" s="56"/>
      <c r="U481" s="56" t="s">
        <v>6119</v>
      </c>
      <c r="V481" s="33" t="s">
        <v>6118</v>
      </c>
      <c r="W481" s="94"/>
      <c r="X481" s="94"/>
      <c r="Y481" s="51"/>
      <c r="Z481" s="51"/>
      <c r="AA481" s="33" t="s">
        <v>2459</v>
      </c>
      <c r="AB481" s="33" t="s">
        <v>6120</v>
      </c>
      <c r="AC481" s="33" t="s">
        <v>6121</v>
      </c>
      <c r="AD481" s="33" t="s">
        <v>2254</v>
      </c>
      <c r="AE481" s="33"/>
      <c r="AF481" s="33" t="s">
        <v>2256</v>
      </c>
      <c r="AG481" s="33" t="s">
        <v>2461</v>
      </c>
      <c r="AH481" s="33"/>
      <c r="AI481" s="33"/>
      <c r="AJ481" s="33" t="s">
        <v>6122</v>
      </c>
      <c r="AK481" s="94"/>
      <c r="AL481" s="33" t="s">
        <v>6123</v>
      </c>
      <c r="AM481" s="33" t="s">
        <v>6124</v>
      </c>
      <c r="AN481" s="33" t="s">
        <v>2465</v>
      </c>
      <c r="AO481" s="51" t="s">
        <v>2618</v>
      </c>
      <c r="AP481" s="51" t="s">
        <v>207</v>
      </c>
      <c r="AQ481" s="33"/>
      <c r="AR481" s="54"/>
      <c r="AS481" s="54"/>
      <c r="AT481" s="54"/>
      <c r="AU481" s="54"/>
      <c r="AV481" s="54"/>
      <c r="AW481" s="54"/>
      <c r="AX481" s="54"/>
      <c r="AY481" s="54" t="s">
        <v>2269</v>
      </c>
      <c r="AZ481" s="54"/>
      <c r="BA481" s="54"/>
      <c r="BB481" s="54"/>
      <c r="BC481" s="54"/>
      <c r="BD481" s="54" t="s">
        <v>2447</v>
      </c>
      <c r="BE481" s="54"/>
      <c r="BF481" s="54"/>
      <c r="BG481" s="54"/>
      <c r="BH481" s="54"/>
      <c r="BI481" s="54"/>
      <c r="BJ481" s="0"/>
      <c r="BK481" s="0"/>
      <c r="BL481" s="0"/>
      <c r="BM481" s="0"/>
      <c r="BN481" s="0"/>
      <c r="BO481" s="0"/>
      <c r="BP481"/>
      <c r="BQ481"/>
      <c r="BR481"/>
      <c r="BS481"/>
      <c r="BT481"/>
      <c r="BU481"/>
      <c r="BV481"/>
      <c r="BW481"/>
      <c r="BX481"/>
      <c r="BY481"/>
      <c r="BZ481"/>
      <c r="CA481"/>
      <c r="CB481"/>
    </row>
    <row r="482" ht="15.0" customHeight="true">
      <c r="A482" s="51" t="s">
        <v>2448</v>
      </c>
      <c r="B482" s="33"/>
      <c r="C482" s="33" t="s">
        <v>6034</v>
      </c>
      <c r="D482" s="33"/>
      <c r="E482" s="33" t="s">
        <v>6125</v>
      </c>
      <c r="F482" s="33"/>
      <c r="G482" s="55" t="s">
        <v>6126</v>
      </c>
      <c r="H482" s="33"/>
      <c r="I482" s="51" t="s">
        <v>6127</v>
      </c>
      <c r="J482" s="33"/>
      <c r="K482" s="51" t="s">
        <v>6128</v>
      </c>
      <c r="L482" s="33" t="s">
        <v>2454</v>
      </c>
      <c r="M482" s="55" t="s">
        <v>5716</v>
      </c>
      <c r="N482" s="55" t="s">
        <v>5716</v>
      </c>
      <c r="O482" s="33" t="s">
        <v>2272</v>
      </c>
      <c r="P482" s="33" t="s">
        <v>2251</v>
      </c>
      <c r="Q482" s="33"/>
      <c r="R482" s="33" t="s">
        <v>2263</v>
      </c>
      <c r="S482" s="56" t="s">
        <v>2277</v>
      </c>
      <c r="T482" s="56"/>
      <c r="U482" s="56"/>
      <c r="V482" s="33" t="s">
        <v>2456</v>
      </c>
      <c r="W482" s="94" t="s">
        <v>2457</v>
      </c>
      <c r="X482" s="94" t="s">
        <v>2458</v>
      </c>
      <c r="Y482" s="51"/>
      <c r="Z482" s="51"/>
      <c r="AA482" s="33" t="s">
        <v>2459</v>
      </c>
      <c r="AB482" s="33" t="s">
        <v>2460</v>
      </c>
      <c r="AC482" s="33"/>
      <c r="AD482" s="33" t="s">
        <v>2254</v>
      </c>
      <c r="AE482" s="33"/>
      <c r="AF482" s="33" t="s">
        <v>2267</v>
      </c>
      <c r="AG482" s="33" t="s">
        <v>2461</v>
      </c>
      <c r="AH482" s="33"/>
      <c r="AI482" s="33"/>
      <c r="AJ482" s="33" t="s">
        <v>6129</v>
      </c>
      <c r="AK482" s="94"/>
      <c r="AL482" s="33" t="s">
        <v>6130</v>
      </c>
      <c r="AM482" s="33"/>
      <c r="AN482" s="33" t="s">
        <v>2465</v>
      </c>
      <c r="AO482" s="51" t="s">
        <v>2548</v>
      </c>
      <c r="AP482" s="51" t="s">
        <v>207</v>
      </c>
      <c r="AQ482" s="33"/>
      <c r="AR482" s="54"/>
      <c r="AS482" s="54"/>
      <c r="AT482" s="54"/>
      <c r="AU482" s="54"/>
      <c r="AV482" s="54"/>
      <c r="AW482" s="54"/>
      <c r="AX482" s="54"/>
      <c r="AY482" s="54"/>
      <c r="AZ482" s="54"/>
      <c r="BA482" s="54"/>
      <c r="BB482" s="54"/>
      <c r="BC482" s="54"/>
      <c r="BD482" s="54" t="s">
        <v>2447</v>
      </c>
      <c r="BE482" s="54"/>
      <c r="BF482" s="54"/>
      <c r="BG482" s="54"/>
      <c r="BH482" s="54"/>
      <c r="BI482" s="54"/>
      <c r="BJ482" s="0"/>
      <c r="BK482" s="0"/>
      <c r="BL482" s="0"/>
      <c r="BM482" s="0"/>
      <c r="BN482" s="0"/>
      <c r="BO482" s="0"/>
      <c r="BP482"/>
      <c r="BQ482"/>
      <c r="BR482"/>
      <c r="BS482"/>
      <c r="BT482"/>
      <c r="BU482"/>
      <c r="BV482"/>
      <c r="BW482"/>
      <c r="BX482"/>
      <c r="BY482"/>
      <c r="BZ482"/>
      <c r="CA482"/>
      <c r="CB482"/>
    </row>
    <row r="483" ht="15.0" customHeight="true">
      <c r="A483" s="51" t="s">
        <v>2448</v>
      </c>
      <c r="B483" s="33"/>
      <c r="C483" s="33" t="s">
        <v>6131</v>
      </c>
      <c r="D483" s="33"/>
      <c r="E483" s="33" t="s">
        <v>6132</v>
      </c>
      <c r="F483" s="33"/>
      <c r="G483" s="55" t="s">
        <v>6133</v>
      </c>
      <c r="H483" s="33"/>
      <c r="I483" s="51" t="s">
        <v>6134</v>
      </c>
      <c r="J483" s="33"/>
      <c r="K483" s="51" t="s">
        <v>6135</v>
      </c>
      <c r="L483" s="33" t="s">
        <v>2454</v>
      </c>
      <c r="M483" s="55" t="s">
        <v>2790</v>
      </c>
      <c r="N483" s="55" t="s">
        <v>2596</v>
      </c>
      <c r="O483" s="33" t="s">
        <v>2272</v>
      </c>
      <c r="P483" s="33" t="s">
        <v>2251</v>
      </c>
      <c r="Q483" s="33"/>
      <c r="R483" s="33" t="s">
        <v>2263</v>
      </c>
      <c r="S483" s="56" t="s">
        <v>2277</v>
      </c>
      <c r="T483" s="56"/>
      <c r="U483" s="56"/>
      <c r="V483" s="33" t="s">
        <v>2456</v>
      </c>
      <c r="W483" s="94" t="s">
        <v>2457</v>
      </c>
      <c r="X483" s="94" t="s">
        <v>2474</v>
      </c>
      <c r="Y483" s="51"/>
      <c r="Z483" s="51"/>
      <c r="AA483" s="33" t="s">
        <v>2459</v>
      </c>
      <c r="AB483" s="33" t="s">
        <v>2460</v>
      </c>
      <c r="AC483" s="33"/>
      <c r="AD483" s="33" t="s">
        <v>2254</v>
      </c>
      <c r="AE483" s="33"/>
      <c r="AF483" s="33" t="s">
        <v>2267</v>
      </c>
      <c r="AG483" s="33" t="s">
        <v>2461</v>
      </c>
      <c r="AH483" s="33"/>
      <c r="AI483" s="33"/>
      <c r="AJ483" s="33" t="s">
        <v>6136</v>
      </c>
      <c r="AK483" s="94"/>
      <c r="AL483" s="33" t="s">
        <v>6137</v>
      </c>
      <c r="AM483" s="33" t="s">
        <v>6138</v>
      </c>
      <c r="AN483" s="33" t="s">
        <v>2465</v>
      </c>
      <c r="AO483" s="51" t="s">
        <v>2489</v>
      </c>
      <c r="AP483" s="51" t="s">
        <v>207</v>
      </c>
      <c r="AQ483" s="33"/>
      <c r="AR483" s="54"/>
      <c r="AS483" s="54"/>
      <c r="AT483" s="54"/>
      <c r="AU483" s="54"/>
      <c r="AV483" s="54"/>
      <c r="AW483" s="54"/>
      <c r="AX483" s="54"/>
      <c r="AY483" s="54"/>
      <c r="AZ483" s="54"/>
      <c r="BA483" s="54"/>
      <c r="BB483" s="54"/>
      <c r="BC483" s="54"/>
      <c r="BD483" s="54" t="s">
        <v>2447</v>
      </c>
      <c r="BE483" s="54"/>
      <c r="BF483" s="54"/>
      <c r="BG483" s="54"/>
      <c r="BH483" s="54"/>
      <c r="BI483" s="54"/>
      <c r="BJ483" s="0"/>
      <c r="BK483" s="0"/>
      <c r="BL483" s="0"/>
      <c r="BM483" s="0"/>
      <c r="BN483" s="0"/>
      <c r="BO483" s="0"/>
      <c r="BP483"/>
      <c r="BQ483"/>
      <c r="BR483"/>
      <c r="BS483"/>
      <c r="BT483"/>
      <c r="BU483"/>
      <c r="BV483"/>
      <c r="BW483"/>
      <c r="BX483"/>
      <c r="BY483"/>
      <c r="BZ483"/>
      <c r="CA483"/>
      <c r="CB483"/>
    </row>
    <row r="484" ht="15.0" customHeight="true">
      <c r="A484" s="51" t="s">
        <v>2448</v>
      </c>
      <c r="B484" s="33"/>
      <c r="C484" s="33" t="s">
        <v>3319</v>
      </c>
      <c r="D484" s="33"/>
      <c r="E484" s="33" t="s">
        <v>6139</v>
      </c>
      <c r="F484" s="33"/>
      <c r="G484" s="55" t="s">
        <v>6140</v>
      </c>
      <c r="H484" s="33"/>
      <c r="I484" s="51" t="s">
        <v>6141</v>
      </c>
      <c r="J484" s="33"/>
      <c r="K484" s="51" t="s">
        <v>6142</v>
      </c>
      <c r="L484" s="33" t="s">
        <v>2454</v>
      </c>
      <c r="M484" s="55" t="s">
        <v>3118</v>
      </c>
      <c r="N484" s="55" t="s">
        <v>4470</v>
      </c>
      <c r="O484" s="33" t="s">
        <v>2272</v>
      </c>
      <c r="P484" s="33" t="s">
        <v>2251</v>
      </c>
      <c r="Q484" s="33"/>
      <c r="R484" s="33" t="s">
        <v>2263</v>
      </c>
      <c r="S484" s="56" t="s">
        <v>2277</v>
      </c>
      <c r="T484" s="56"/>
      <c r="U484" s="56"/>
      <c r="V484" s="33" t="s">
        <v>2456</v>
      </c>
      <c r="W484" s="94" t="s">
        <v>2457</v>
      </c>
      <c r="X484" s="94" t="s">
        <v>2474</v>
      </c>
      <c r="Y484" s="51"/>
      <c r="Z484" s="51"/>
      <c r="AA484" s="33" t="s">
        <v>2459</v>
      </c>
      <c r="AB484" s="33" t="s">
        <v>2460</v>
      </c>
      <c r="AC484" s="33"/>
      <c r="AD484" s="33" t="s">
        <v>2254</v>
      </c>
      <c r="AE484" s="33"/>
      <c r="AF484" s="33" t="s">
        <v>2267</v>
      </c>
      <c r="AG484" s="33" t="s">
        <v>2461</v>
      </c>
      <c r="AH484" s="33"/>
      <c r="AI484" s="33"/>
      <c r="AJ484" s="33" t="s">
        <v>6143</v>
      </c>
      <c r="AK484" s="94"/>
      <c r="AL484" s="33" t="s">
        <v>6144</v>
      </c>
      <c r="AM484" s="33" t="s">
        <v>2886</v>
      </c>
      <c r="AN484" s="33" t="s">
        <v>2588</v>
      </c>
      <c r="AO484" s="51" t="s">
        <v>2911</v>
      </c>
      <c r="AP484" s="51" t="s">
        <v>207</v>
      </c>
      <c r="AQ484" s="33"/>
      <c r="AR484" s="54"/>
      <c r="AS484" s="54"/>
      <c r="AT484" s="54"/>
      <c r="AU484" s="54"/>
      <c r="AV484" s="54"/>
      <c r="AW484" s="54"/>
      <c r="AX484" s="54"/>
      <c r="AY484" s="54"/>
      <c r="AZ484" s="54"/>
      <c r="BA484" s="54"/>
      <c r="BB484" s="54"/>
      <c r="BC484" s="54"/>
      <c r="BD484" s="54" t="s">
        <v>2447</v>
      </c>
      <c r="BE484" s="54"/>
      <c r="BF484" s="54"/>
      <c r="BG484" s="54"/>
      <c r="BH484" s="54"/>
      <c r="BI484" s="54"/>
      <c r="BJ484" s="0"/>
      <c r="BK484" s="0"/>
      <c r="BL484" s="0"/>
      <c r="BM484" s="0"/>
      <c r="BN484" s="0"/>
      <c r="BO484" s="0"/>
      <c r="BP484"/>
      <c r="BQ484"/>
      <c r="BR484"/>
      <c r="BS484"/>
      <c r="BT484"/>
      <c r="BU484"/>
      <c r="BV484"/>
      <c r="BW484"/>
      <c r="BX484"/>
      <c r="BY484"/>
      <c r="BZ484"/>
      <c r="CA484"/>
      <c r="CB484"/>
    </row>
    <row r="485" ht="15.0" customHeight="true">
      <c r="A485" s="51" t="s">
        <v>2448</v>
      </c>
      <c r="B485" s="33"/>
      <c r="C485" s="33" t="s">
        <v>2579</v>
      </c>
      <c r="D485" s="33"/>
      <c r="E485" s="33" t="s">
        <v>6145</v>
      </c>
      <c r="F485" s="33"/>
      <c r="G485" s="55" t="s">
        <v>5741</v>
      </c>
      <c r="H485" s="33"/>
      <c r="I485" s="51" t="s">
        <v>6146</v>
      </c>
      <c r="J485" s="33"/>
      <c r="K485" s="51" t="s">
        <v>6147</v>
      </c>
      <c r="L485" s="33" t="s">
        <v>2484</v>
      </c>
      <c r="M485" s="55" t="s">
        <v>3091</v>
      </c>
      <c r="N485" s="55"/>
      <c r="O485" s="33"/>
      <c r="P485" s="33" t="s">
        <v>2251</v>
      </c>
      <c r="Q485" s="33"/>
      <c r="R485" s="33" t="s">
        <v>2263</v>
      </c>
      <c r="S485" s="56" t="s">
        <v>2277</v>
      </c>
      <c r="T485" s="56"/>
      <c r="U485" s="56"/>
      <c r="V485" s="33" t="s">
        <v>2456</v>
      </c>
      <c r="W485" s="94" t="s">
        <v>2457</v>
      </c>
      <c r="X485" s="94" t="s">
        <v>2474</v>
      </c>
      <c r="Y485" s="51"/>
      <c r="Z485" s="51"/>
      <c r="AA485" s="33" t="s">
        <v>2459</v>
      </c>
      <c r="AB485" s="33" t="s">
        <v>2460</v>
      </c>
      <c r="AC485" s="33" t="s">
        <v>2486</v>
      </c>
      <c r="AD485" s="33" t="s">
        <v>2254</v>
      </c>
      <c r="AE485" s="33"/>
      <c r="AF485" s="33" t="s">
        <v>2267</v>
      </c>
      <c r="AG485" s="33" t="s">
        <v>2461</v>
      </c>
      <c r="AH485" s="33"/>
      <c r="AI485" s="33"/>
      <c r="AJ485" s="33" t="s">
        <v>6148</v>
      </c>
      <c r="AK485" s="94"/>
      <c r="AL485" s="33" t="s">
        <v>6149</v>
      </c>
      <c r="AM485" s="33"/>
      <c r="AN485" s="33" t="s">
        <v>2465</v>
      </c>
      <c r="AO485" s="51" t="s">
        <v>2548</v>
      </c>
      <c r="AP485" s="51" t="s">
        <v>207</v>
      </c>
      <c r="AQ485" s="33"/>
      <c r="AR485" s="54"/>
      <c r="AS485" s="54"/>
      <c r="AT485" s="54"/>
      <c r="AU485" s="54"/>
      <c r="AV485" s="54"/>
      <c r="AW485" s="54"/>
      <c r="AX485" s="54"/>
      <c r="AY485" s="54"/>
      <c r="AZ485" s="54"/>
      <c r="BA485" s="54"/>
      <c r="BB485" s="54"/>
      <c r="BC485" s="54"/>
      <c r="BD485" s="54" t="s">
        <v>2447</v>
      </c>
      <c r="BE485" s="54"/>
      <c r="BF485" s="54"/>
      <c r="BG485" s="54"/>
      <c r="BH485" s="54"/>
      <c r="BI485" s="54"/>
      <c r="BJ485" s="0"/>
      <c r="BK485" s="0"/>
      <c r="BL485" s="0"/>
      <c r="BM485" s="0"/>
      <c r="BN485" s="0"/>
      <c r="BO485" s="0"/>
      <c r="BP485"/>
      <c r="BQ485"/>
      <c r="BR485"/>
      <c r="BS485"/>
      <c r="BT485"/>
      <c r="BU485"/>
      <c r="BV485"/>
      <c r="BW485"/>
      <c r="BX485"/>
      <c r="BY485"/>
      <c r="BZ485"/>
      <c r="CA485"/>
      <c r="CB485"/>
    </row>
    <row r="486" ht="15.0" customHeight="true">
      <c r="A486" s="51" t="s">
        <v>2448</v>
      </c>
      <c r="B486" s="33"/>
      <c r="C486" s="33" t="s">
        <v>6150</v>
      </c>
      <c r="D486" s="33"/>
      <c r="E486" s="33" t="s">
        <v>6151</v>
      </c>
      <c r="F486" s="33"/>
      <c r="G486" s="55" t="s">
        <v>6152</v>
      </c>
      <c r="H486" s="33"/>
      <c r="I486" s="51" t="s">
        <v>6153</v>
      </c>
      <c r="J486" s="33"/>
      <c r="K486" s="51" t="s">
        <v>6154</v>
      </c>
      <c r="L486" s="33" t="s">
        <v>2484</v>
      </c>
      <c r="M486" s="55" t="s">
        <v>2572</v>
      </c>
      <c r="N486" s="55"/>
      <c r="O486" s="33"/>
      <c r="P486" s="33" t="s">
        <v>2251</v>
      </c>
      <c r="Q486" s="33"/>
      <c r="R486" s="33" t="s">
        <v>2263</v>
      </c>
      <c r="S486" s="56" t="s">
        <v>2277</v>
      </c>
      <c r="T486" s="56"/>
      <c r="U486" s="56"/>
      <c r="V486" s="33" t="s">
        <v>2456</v>
      </c>
      <c r="W486" s="94" t="s">
        <v>2457</v>
      </c>
      <c r="X486" s="94" t="s">
        <v>2474</v>
      </c>
      <c r="Y486" s="51"/>
      <c r="Z486" s="51"/>
      <c r="AA486" s="33" t="s">
        <v>2459</v>
      </c>
      <c r="AB486" s="33" t="s">
        <v>2460</v>
      </c>
      <c r="AC486" s="33" t="s">
        <v>2486</v>
      </c>
      <c r="AD486" s="33" t="s">
        <v>2254</v>
      </c>
      <c r="AE486" s="33"/>
      <c r="AF486" s="33" t="s">
        <v>2267</v>
      </c>
      <c r="AG486" s="33" t="s">
        <v>2461</v>
      </c>
      <c r="AH486" s="33"/>
      <c r="AI486" s="33"/>
      <c r="AJ486" s="33" t="s">
        <v>6155</v>
      </c>
      <c r="AK486" s="94"/>
      <c r="AL486" s="33" t="s">
        <v>6156</v>
      </c>
      <c r="AM486" s="33" t="s">
        <v>4053</v>
      </c>
      <c r="AN486" s="33" t="s">
        <v>2588</v>
      </c>
      <c r="AO486" s="51" t="s">
        <v>2589</v>
      </c>
      <c r="AP486" s="51" t="s">
        <v>207</v>
      </c>
      <c r="AQ486" s="33"/>
      <c r="AR486" s="54"/>
      <c r="AS486" s="54"/>
      <c r="AT486" s="54"/>
      <c r="AU486" s="54"/>
      <c r="AV486" s="54"/>
      <c r="AW486" s="54"/>
      <c r="AX486" s="54"/>
      <c r="AY486" s="54"/>
      <c r="AZ486" s="54"/>
      <c r="BA486" s="54"/>
      <c r="BB486" s="54"/>
      <c r="BC486" s="54"/>
      <c r="BD486" s="54" t="s">
        <v>2447</v>
      </c>
      <c r="BE486" s="54"/>
      <c r="BF486" s="54"/>
      <c r="BG486" s="54"/>
      <c r="BH486" s="54"/>
      <c r="BI486" s="54"/>
      <c r="BJ486" s="0"/>
      <c r="BK486" s="0"/>
      <c r="BL486" s="0"/>
      <c r="BM486" s="0"/>
      <c r="BN486" s="0"/>
      <c r="BO486" s="0"/>
      <c r="BP486"/>
      <c r="BQ486"/>
      <c r="BR486"/>
      <c r="BS486"/>
      <c r="BT486"/>
      <c r="BU486"/>
      <c r="BV486"/>
      <c r="BW486"/>
      <c r="BX486"/>
      <c r="BY486"/>
      <c r="BZ486"/>
      <c r="CA486"/>
      <c r="CB486"/>
    </row>
    <row r="487" ht="15.0" customHeight="true">
      <c r="A487" s="51" t="s">
        <v>2448</v>
      </c>
      <c r="B487" s="33"/>
      <c r="C487" s="33" t="s">
        <v>3328</v>
      </c>
      <c r="D487" s="33"/>
      <c r="E487" s="33" t="s">
        <v>6157</v>
      </c>
      <c r="F487" s="33"/>
      <c r="G487" s="55" t="s">
        <v>6158</v>
      </c>
      <c r="H487" s="33"/>
      <c r="I487" s="51" t="s">
        <v>6159</v>
      </c>
      <c r="J487" s="33"/>
      <c r="K487" s="51" t="s">
        <v>6160</v>
      </c>
      <c r="L487" s="33" t="s">
        <v>2484</v>
      </c>
      <c r="M487" s="55" t="s">
        <v>3544</v>
      </c>
      <c r="N487" s="55"/>
      <c r="O487" s="33"/>
      <c r="P487" s="33" t="s">
        <v>2251</v>
      </c>
      <c r="Q487" s="33"/>
      <c r="R487" s="33" t="s">
        <v>2263</v>
      </c>
      <c r="S487" s="56" t="s">
        <v>2277</v>
      </c>
      <c r="T487" s="56"/>
      <c r="U487" s="56"/>
      <c r="V487" s="33" t="s">
        <v>2456</v>
      </c>
      <c r="W487" s="94" t="s">
        <v>2457</v>
      </c>
      <c r="X487" s="94" t="s">
        <v>2474</v>
      </c>
      <c r="Y487" s="51"/>
      <c r="Z487" s="51"/>
      <c r="AA487" s="33" t="s">
        <v>2459</v>
      </c>
      <c r="AB487" s="33" t="s">
        <v>2460</v>
      </c>
      <c r="AC487" s="33" t="s">
        <v>2486</v>
      </c>
      <c r="AD487" s="33" t="s">
        <v>2254</v>
      </c>
      <c r="AE487" s="33"/>
      <c r="AF487" s="33" t="s">
        <v>2267</v>
      </c>
      <c r="AG487" s="33" t="s">
        <v>2461</v>
      </c>
      <c r="AH487" s="33"/>
      <c r="AI487" s="33"/>
      <c r="AJ487" s="33" t="s">
        <v>6161</v>
      </c>
      <c r="AK487" s="94"/>
      <c r="AL487" s="33" t="s">
        <v>6162</v>
      </c>
      <c r="AM487" s="33"/>
      <c r="AN487" s="33" t="s">
        <v>2465</v>
      </c>
      <c r="AO487" s="51" t="s">
        <v>2548</v>
      </c>
      <c r="AP487" s="51" t="s">
        <v>207</v>
      </c>
      <c r="AQ487" s="33"/>
      <c r="AR487" s="54"/>
      <c r="AS487" s="54"/>
      <c r="AT487" s="54"/>
      <c r="AU487" s="54"/>
      <c r="AV487" s="54"/>
      <c r="AW487" s="54"/>
      <c r="AX487" s="54"/>
      <c r="AY487" s="54"/>
      <c r="AZ487" s="54"/>
      <c r="BA487" s="54"/>
      <c r="BB487" s="54"/>
      <c r="BC487" s="54"/>
      <c r="BD487" s="54" t="s">
        <v>2447</v>
      </c>
      <c r="BE487" s="54"/>
      <c r="BF487" s="54"/>
      <c r="BG487" s="54"/>
      <c r="BH487" s="54"/>
      <c r="BI487" s="54"/>
      <c r="BJ487" s="0"/>
      <c r="BK487" s="0"/>
      <c r="BL487" s="0"/>
      <c r="BM487" s="0"/>
      <c r="BN487" s="0"/>
      <c r="BO487" s="0"/>
      <c r="BP487"/>
      <c r="BQ487"/>
      <c r="BR487"/>
      <c r="BS487"/>
      <c r="BT487"/>
      <c r="BU487"/>
      <c r="BV487"/>
      <c r="BW487"/>
      <c r="BX487"/>
      <c r="BY487"/>
      <c r="BZ487"/>
      <c r="CA487"/>
      <c r="CB487"/>
    </row>
    <row r="488" ht="15.0" customHeight="true">
      <c r="A488" s="51" t="s">
        <v>2448</v>
      </c>
      <c r="B488" s="33"/>
      <c r="C488" s="33" t="s">
        <v>2948</v>
      </c>
      <c r="D488" s="33"/>
      <c r="E488" s="33" t="s">
        <v>6163</v>
      </c>
      <c r="F488" s="33"/>
      <c r="G488" s="55" t="s">
        <v>6164</v>
      </c>
      <c r="H488" s="33"/>
      <c r="I488" s="51" t="s">
        <v>6165</v>
      </c>
      <c r="J488" s="33"/>
      <c r="K488" s="51" t="s">
        <v>6166</v>
      </c>
      <c r="L488" s="33" t="s">
        <v>2454</v>
      </c>
      <c r="M488" s="55" t="s">
        <v>3186</v>
      </c>
      <c r="N488" s="55" t="s">
        <v>5827</v>
      </c>
      <c r="O488" s="33" t="s">
        <v>2272</v>
      </c>
      <c r="P488" s="33" t="s">
        <v>2251</v>
      </c>
      <c r="Q488" s="33"/>
      <c r="R488" s="33" t="s">
        <v>2263</v>
      </c>
      <c r="S488" s="56" t="s">
        <v>2277</v>
      </c>
      <c r="T488" s="56"/>
      <c r="U488" s="56"/>
      <c r="V488" s="33" t="s">
        <v>2456</v>
      </c>
      <c r="W488" s="94" t="s">
        <v>2457</v>
      </c>
      <c r="X488" s="94" t="s">
        <v>2474</v>
      </c>
      <c r="Y488" s="51"/>
      <c r="Z488" s="51"/>
      <c r="AA488" s="33" t="s">
        <v>2459</v>
      </c>
      <c r="AB488" s="33" t="s">
        <v>2460</v>
      </c>
      <c r="AC488" s="33"/>
      <c r="AD488" s="33" t="s">
        <v>2254</v>
      </c>
      <c r="AE488" s="33"/>
      <c r="AF488" s="33" t="s">
        <v>2267</v>
      </c>
      <c r="AG488" s="33" t="s">
        <v>2461</v>
      </c>
      <c r="AH488" s="33"/>
      <c r="AI488" s="33"/>
      <c r="AJ488" s="33" t="s">
        <v>6167</v>
      </c>
      <c r="AK488" s="94"/>
      <c r="AL488" s="33" t="s">
        <v>6168</v>
      </c>
      <c r="AM488" s="33"/>
      <c r="AN488" s="33" t="s">
        <v>2465</v>
      </c>
      <c r="AO488" s="51" t="s">
        <v>2489</v>
      </c>
      <c r="AP488" s="51" t="s">
        <v>207</v>
      </c>
      <c r="AQ488" s="33"/>
      <c r="AR488" s="54"/>
      <c r="AS488" s="54"/>
      <c r="AT488" s="54"/>
      <c r="AU488" s="54"/>
      <c r="AV488" s="54"/>
      <c r="AW488" s="54"/>
      <c r="AX488" s="54"/>
      <c r="AY488" s="54"/>
      <c r="AZ488" s="54"/>
      <c r="BA488" s="54"/>
      <c r="BB488" s="54"/>
      <c r="BC488" s="54"/>
      <c r="BD488" s="54" t="s">
        <v>2447</v>
      </c>
      <c r="BE488" s="54"/>
      <c r="BF488" s="54"/>
      <c r="BG488" s="54"/>
      <c r="BH488" s="54"/>
      <c r="BI488" s="54"/>
      <c r="BJ488" s="0"/>
      <c r="BK488" s="0"/>
      <c r="BL488" s="0"/>
      <c r="BM488" s="0"/>
      <c r="BN488" s="0"/>
      <c r="BO488" s="0"/>
      <c r="BP488"/>
      <c r="BQ488"/>
      <c r="BR488"/>
      <c r="BS488"/>
      <c r="BT488"/>
      <c r="BU488"/>
      <c r="BV488"/>
      <c r="BW488"/>
      <c r="BX488"/>
      <c r="BY488"/>
      <c r="BZ488"/>
      <c r="CA488"/>
      <c r="CB488"/>
    </row>
    <row r="489" ht="15.0" customHeight="true">
      <c r="A489" s="51" t="s">
        <v>2448</v>
      </c>
      <c r="B489" s="33"/>
      <c r="C489" s="33" t="s">
        <v>6169</v>
      </c>
      <c r="D489" s="33"/>
      <c r="E489" s="33" t="s">
        <v>6170</v>
      </c>
      <c r="F489" s="33"/>
      <c r="G489" s="55" t="s">
        <v>6171</v>
      </c>
      <c r="H489" s="33"/>
      <c r="I489" s="51" t="s">
        <v>6172</v>
      </c>
      <c r="J489" s="33"/>
      <c r="K489" s="51" t="s">
        <v>6173</v>
      </c>
      <c r="L489" s="33" t="s">
        <v>2454</v>
      </c>
      <c r="M489" s="55" t="s">
        <v>3590</v>
      </c>
      <c r="N489" s="55" t="s">
        <v>6174</v>
      </c>
      <c r="O489" s="33" t="s">
        <v>2272</v>
      </c>
      <c r="P489" s="33" t="s">
        <v>2251</v>
      </c>
      <c r="Q489" s="33"/>
      <c r="R489" s="33" t="s">
        <v>2263</v>
      </c>
      <c r="S489" s="56" t="s">
        <v>2277</v>
      </c>
      <c r="T489" s="56"/>
      <c r="U489" s="56"/>
      <c r="V489" s="33" t="s">
        <v>2456</v>
      </c>
      <c r="W489" s="94" t="s">
        <v>2457</v>
      </c>
      <c r="X489" s="94" t="s">
        <v>2458</v>
      </c>
      <c r="Y489" s="51"/>
      <c r="Z489" s="51"/>
      <c r="AA489" s="33" t="s">
        <v>2459</v>
      </c>
      <c r="AB489" s="33" t="s">
        <v>2460</v>
      </c>
      <c r="AC489" s="33"/>
      <c r="AD489" s="33" t="s">
        <v>2254</v>
      </c>
      <c r="AE489" s="33"/>
      <c r="AF489" s="33" t="s">
        <v>2267</v>
      </c>
      <c r="AG489" s="33" t="s">
        <v>2461</v>
      </c>
      <c r="AH489" s="33"/>
      <c r="AI489" s="33"/>
      <c r="AJ489" s="33" t="s">
        <v>6175</v>
      </c>
      <c r="AK489" s="94"/>
      <c r="AL489" s="33" t="s">
        <v>6176</v>
      </c>
      <c r="AM489" s="33" t="s">
        <v>6177</v>
      </c>
      <c r="AN489" s="33" t="s">
        <v>2465</v>
      </c>
      <c r="AO489" s="51" t="s">
        <v>2538</v>
      </c>
      <c r="AP489" s="51" t="s">
        <v>207</v>
      </c>
      <c r="AQ489" s="33"/>
      <c r="AR489" s="54"/>
      <c r="AS489" s="54"/>
      <c r="AT489" s="54"/>
      <c r="AU489" s="54"/>
      <c r="AV489" s="54"/>
      <c r="AW489" s="54"/>
      <c r="AX489" s="54"/>
      <c r="AY489" s="54"/>
      <c r="AZ489" s="54"/>
      <c r="BA489" s="54"/>
      <c r="BB489" s="54"/>
      <c r="BC489" s="54"/>
      <c r="BD489" s="54" t="s">
        <v>2447</v>
      </c>
      <c r="BE489" s="54"/>
      <c r="BF489" s="54"/>
      <c r="BG489" s="54"/>
      <c r="BH489" s="54"/>
      <c r="BI489" s="54"/>
      <c r="BJ489" s="0"/>
      <c r="BK489" s="0"/>
      <c r="BL489" s="0"/>
      <c r="BM489" s="0"/>
      <c r="BN489" s="0"/>
      <c r="BO489" s="0"/>
      <c r="BP489"/>
      <c r="BQ489"/>
      <c r="BR489"/>
      <c r="BS489"/>
      <c r="BT489"/>
      <c r="BU489"/>
      <c r="BV489"/>
      <c r="BW489"/>
      <c r="BX489"/>
      <c r="BY489"/>
      <c r="BZ489"/>
      <c r="CA489"/>
      <c r="CB489"/>
    </row>
    <row r="490" ht="15.0" customHeight="true">
      <c r="A490" s="51" t="s">
        <v>2448</v>
      </c>
      <c r="B490" s="33"/>
      <c r="C490" s="33" t="s">
        <v>6178</v>
      </c>
      <c r="D490" s="33"/>
      <c r="E490" s="33" t="s">
        <v>6179</v>
      </c>
      <c r="F490" s="33"/>
      <c r="G490" s="55" t="s">
        <v>6180</v>
      </c>
      <c r="H490" s="33"/>
      <c r="I490" s="51" t="s">
        <v>6181</v>
      </c>
      <c r="J490" s="33"/>
      <c r="K490" s="51" t="s">
        <v>6182</v>
      </c>
      <c r="L490" s="33" t="s">
        <v>2484</v>
      </c>
      <c r="M490" s="55" t="s">
        <v>3552</v>
      </c>
      <c r="N490" s="55"/>
      <c r="O490" s="33"/>
      <c r="P490" s="33" t="s">
        <v>2251</v>
      </c>
      <c r="Q490" s="33"/>
      <c r="R490" s="33" t="s">
        <v>2263</v>
      </c>
      <c r="S490" s="56" t="s">
        <v>2277</v>
      </c>
      <c r="T490" s="56"/>
      <c r="U490" s="56"/>
      <c r="V490" s="33" t="s">
        <v>2456</v>
      </c>
      <c r="W490" s="94" t="s">
        <v>2457</v>
      </c>
      <c r="X490" s="94" t="s">
        <v>2474</v>
      </c>
      <c r="Y490" s="51"/>
      <c r="Z490" s="51"/>
      <c r="AA490" s="33" t="s">
        <v>2459</v>
      </c>
      <c r="AB490" s="33" t="s">
        <v>2460</v>
      </c>
      <c r="AC490" s="33" t="s">
        <v>2486</v>
      </c>
      <c r="AD490" s="33" t="s">
        <v>2254</v>
      </c>
      <c r="AE490" s="33"/>
      <c r="AF490" s="33" t="s">
        <v>2267</v>
      </c>
      <c r="AG490" s="33" t="s">
        <v>2461</v>
      </c>
      <c r="AH490" s="33"/>
      <c r="AI490" s="33"/>
      <c r="AJ490" s="33" t="s">
        <v>6183</v>
      </c>
      <c r="AK490" s="94"/>
      <c r="AL490" s="33" t="s">
        <v>6184</v>
      </c>
      <c r="AM490" s="33"/>
      <c r="AN490" s="33" t="s">
        <v>2465</v>
      </c>
      <c r="AO490" s="51" t="s">
        <v>2466</v>
      </c>
      <c r="AP490" s="51" t="s">
        <v>207</v>
      </c>
      <c r="AQ490" s="33"/>
      <c r="AR490" s="54"/>
      <c r="AS490" s="54"/>
      <c r="AT490" s="54"/>
      <c r="AU490" s="54"/>
      <c r="AV490" s="54"/>
      <c r="AW490" s="54"/>
      <c r="AX490" s="54"/>
      <c r="AY490" s="54"/>
      <c r="AZ490" s="54"/>
      <c r="BA490" s="54"/>
      <c r="BB490" s="54"/>
      <c r="BC490" s="54"/>
      <c r="BD490" s="54" t="s">
        <v>2447</v>
      </c>
      <c r="BE490" s="54"/>
      <c r="BF490" s="54"/>
      <c r="BG490" s="54"/>
      <c r="BH490" s="54"/>
      <c r="BI490" s="54"/>
      <c r="BJ490" s="0"/>
      <c r="BK490" s="0"/>
      <c r="BL490" s="0"/>
      <c r="BM490" s="0"/>
      <c r="BN490" s="0"/>
      <c r="BO490" s="0"/>
      <c r="BP490"/>
      <c r="BQ490"/>
      <c r="BR490"/>
      <c r="BS490"/>
      <c r="BT490"/>
      <c r="BU490"/>
      <c r="BV490"/>
      <c r="BW490"/>
      <c r="BX490"/>
      <c r="BY490"/>
      <c r="BZ490"/>
      <c r="CA490"/>
      <c r="CB490"/>
    </row>
    <row r="491" ht="15.0" customHeight="true">
      <c r="A491" s="51" t="s">
        <v>2448</v>
      </c>
      <c r="B491" s="33"/>
      <c r="C491" s="33" t="s">
        <v>3206</v>
      </c>
      <c r="D491" s="33"/>
      <c r="E491" s="33" t="s">
        <v>6185</v>
      </c>
      <c r="F491" s="33"/>
      <c r="G491" s="55" t="s">
        <v>6186</v>
      </c>
      <c r="H491" s="33"/>
      <c r="I491" s="51" t="s">
        <v>6187</v>
      </c>
      <c r="J491" s="33"/>
      <c r="K491" s="51" t="s">
        <v>6188</v>
      </c>
      <c r="L491" s="33" t="s">
        <v>2454</v>
      </c>
      <c r="M491" s="55" t="s">
        <v>6189</v>
      </c>
      <c r="N491" s="55" t="s">
        <v>6190</v>
      </c>
      <c r="O491" s="33" t="s">
        <v>2272</v>
      </c>
      <c r="P491" s="33" t="s">
        <v>2251</v>
      </c>
      <c r="Q491" s="33"/>
      <c r="R491" s="33" t="s">
        <v>2263</v>
      </c>
      <c r="S491" s="56" t="s">
        <v>2277</v>
      </c>
      <c r="T491" s="56"/>
      <c r="U491" s="56"/>
      <c r="V491" s="33" t="s">
        <v>2456</v>
      </c>
      <c r="W491" s="94" t="s">
        <v>2457</v>
      </c>
      <c r="X491" s="94" t="s">
        <v>2458</v>
      </c>
      <c r="Y491" s="51"/>
      <c r="Z491" s="51"/>
      <c r="AA491" s="33" t="s">
        <v>2459</v>
      </c>
      <c r="AB491" s="33" t="s">
        <v>2460</v>
      </c>
      <c r="AC491" s="33"/>
      <c r="AD491" s="33" t="s">
        <v>2254</v>
      </c>
      <c r="AE491" s="33"/>
      <c r="AF491" s="33" t="s">
        <v>2267</v>
      </c>
      <c r="AG491" s="33" t="s">
        <v>2461</v>
      </c>
      <c r="AH491" s="33"/>
      <c r="AI491" s="33"/>
      <c r="AJ491" s="33" t="s">
        <v>6191</v>
      </c>
      <c r="AK491" s="94"/>
      <c r="AL491" s="33" t="s">
        <v>6192</v>
      </c>
      <c r="AM491" s="33"/>
      <c r="AN491" s="33" t="s">
        <v>2588</v>
      </c>
      <c r="AO491" s="51" t="s">
        <v>2628</v>
      </c>
      <c r="AP491" s="51" t="s">
        <v>207</v>
      </c>
      <c r="AQ491" s="33"/>
      <c r="AR491" s="54"/>
      <c r="AS491" s="54"/>
      <c r="AT491" s="54"/>
      <c r="AU491" s="54"/>
      <c r="AV491" s="54"/>
      <c r="AW491" s="54"/>
      <c r="AX491" s="54"/>
      <c r="AY491" s="54"/>
      <c r="AZ491" s="54"/>
      <c r="BA491" s="54"/>
      <c r="BB491" s="54"/>
      <c r="BC491" s="54"/>
      <c r="BD491" s="54" t="s">
        <v>2447</v>
      </c>
      <c r="BE491" s="54"/>
      <c r="BF491" s="54"/>
      <c r="BG491" s="54"/>
      <c r="BH491" s="54"/>
      <c r="BI491" s="54"/>
      <c r="BJ491" s="0"/>
      <c r="BK491" s="0"/>
      <c r="BL491" s="0"/>
      <c r="BM491" s="0"/>
      <c r="BN491" s="0"/>
      <c r="BO491" s="0"/>
      <c r="BP491"/>
      <c r="BQ491"/>
      <c r="BR491"/>
      <c r="BS491"/>
      <c r="BT491"/>
      <c r="BU491"/>
      <c r="BV491"/>
      <c r="BW491"/>
      <c r="BX491"/>
      <c r="BY491"/>
      <c r="BZ491"/>
      <c r="CA491"/>
      <c r="CB491"/>
    </row>
    <row r="492" ht="15.0" customHeight="true">
      <c r="A492" s="51" t="s">
        <v>2448</v>
      </c>
      <c r="B492" s="33"/>
      <c r="C492" s="33" t="s">
        <v>6193</v>
      </c>
      <c r="D492" s="33"/>
      <c r="E492" s="33" t="s">
        <v>6194</v>
      </c>
      <c r="F492" s="33"/>
      <c r="G492" s="55" t="s">
        <v>6195</v>
      </c>
      <c r="H492" s="33"/>
      <c r="I492" s="51" t="s">
        <v>6196</v>
      </c>
      <c r="J492" s="33"/>
      <c r="K492" s="51" t="s">
        <v>6197</v>
      </c>
      <c r="L492" s="33" t="s">
        <v>2484</v>
      </c>
      <c r="M492" s="55" t="s">
        <v>2883</v>
      </c>
      <c r="N492" s="55"/>
      <c r="O492" s="33"/>
      <c r="P492" s="33" t="s">
        <v>2251</v>
      </c>
      <c r="Q492" s="33"/>
      <c r="R492" s="33" t="s">
        <v>2263</v>
      </c>
      <c r="S492" s="56" t="s">
        <v>2277</v>
      </c>
      <c r="T492" s="56"/>
      <c r="U492" s="56"/>
      <c r="V492" s="33" t="s">
        <v>2456</v>
      </c>
      <c r="W492" s="94" t="s">
        <v>2457</v>
      </c>
      <c r="X492" s="94" t="s">
        <v>2474</v>
      </c>
      <c r="Y492" s="51"/>
      <c r="Z492" s="51"/>
      <c r="AA492" s="33" t="s">
        <v>2459</v>
      </c>
      <c r="AB492" s="33" t="s">
        <v>2460</v>
      </c>
      <c r="AC492" s="33" t="s">
        <v>2486</v>
      </c>
      <c r="AD492" s="33" t="s">
        <v>2254</v>
      </c>
      <c r="AE492" s="33"/>
      <c r="AF492" s="33" t="s">
        <v>2267</v>
      </c>
      <c r="AG492" s="33" t="s">
        <v>2461</v>
      </c>
      <c r="AH492" s="33"/>
      <c r="AI492" s="33"/>
      <c r="AJ492" s="33" t="s">
        <v>6198</v>
      </c>
      <c r="AK492" s="94"/>
      <c r="AL492" s="33" t="s">
        <v>6199</v>
      </c>
      <c r="AM492" s="33" t="s">
        <v>6200</v>
      </c>
      <c r="AN492" s="33" t="s">
        <v>2588</v>
      </c>
      <c r="AO492" s="51" t="s">
        <v>2589</v>
      </c>
      <c r="AP492" s="51" t="s">
        <v>207</v>
      </c>
      <c r="AQ492" s="33"/>
      <c r="AR492" s="54"/>
      <c r="AS492" s="54"/>
      <c r="AT492" s="54"/>
      <c r="AU492" s="54"/>
      <c r="AV492" s="54"/>
      <c r="AW492" s="54"/>
      <c r="AX492" s="54"/>
      <c r="AY492" s="54"/>
      <c r="AZ492" s="54"/>
      <c r="BA492" s="54"/>
      <c r="BB492" s="54"/>
      <c r="BC492" s="54"/>
      <c r="BD492" s="54" t="s">
        <v>2447</v>
      </c>
      <c r="BE492" s="54"/>
      <c r="BF492" s="54"/>
      <c r="BG492" s="54"/>
      <c r="BH492" s="54"/>
      <c r="BI492" s="54"/>
      <c r="BJ492" s="0"/>
      <c r="BK492" s="0"/>
      <c r="BL492" s="0"/>
      <c r="BM492" s="0"/>
      <c r="BN492" s="0"/>
      <c r="BO492" s="0"/>
      <c r="BP492"/>
      <c r="BQ492"/>
      <c r="BR492"/>
      <c r="BS492"/>
      <c r="BT492"/>
      <c r="BU492"/>
      <c r="BV492"/>
      <c r="BW492"/>
      <c r="BX492"/>
      <c r="BY492"/>
      <c r="BZ492"/>
      <c r="CA492"/>
      <c r="CB492"/>
    </row>
    <row r="493" ht="15.0" customHeight="true">
      <c r="A493" s="51" t="s">
        <v>2448</v>
      </c>
      <c r="B493" s="33"/>
      <c r="C493" s="33" t="s">
        <v>6201</v>
      </c>
      <c r="D493" s="33"/>
      <c r="E493" s="33" t="s">
        <v>6202</v>
      </c>
      <c r="F493" s="33"/>
      <c r="G493" s="55" t="s">
        <v>3432</v>
      </c>
      <c r="H493" s="33"/>
      <c r="I493" s="51" t="s">
        <v>6203</v>
      </c>
      <c r="J493" s="33"/>
      <c r="K493" s="51" t="s">
        <v>6204</v>
      </c>
      <c r="L493" s="33" t="s">
        <v>2454</v>
      </c>
      <c r="M493" s="55" t="s">
        <v>3499</v>
      </c>
      <c r="N493" s="55" t="s">
        <v>2614</v>
      </c>
      <c r="O493" s="33" t="s">
        <v>2272</v>
      </c>
      <c r="P493" s="33" t="s">
        <v>2251</v>
      </c>
      <c r="Q493" s="33"/>
      <c r="R493" s="33" t="s">
        <v>2263</v>
      </c>
      <c r="S493" s="56" t="s">
        <v>2277</v>
      </c>
      <c r="T493" s="56"/>
      <c r="U493" s="56"/>
      <c r="V493" s="33" t="s">
        <v>2456</v>
      </c>
      <c r="W493" s="94" t="s">
        <v>2457</v>
      </c>
      <c r="X493" s="94" t="s">
        <v>2458</v>
      </c>
      <c r="Y493" s="51"/>
      <c r="Z493" s="51"/>
      <c r="AA493" s="33" t="s">
        <v>2459</v>
      </c>
      <c r="AB493" s="33" t="s">
        <v>2460</v>
      </c>
      <c r="AC493" s="33"/>
      <c r="AD493" s="33" t="s">
        <v>2254</v>
      </c>
      <c r="AE493" s="33"/>
      <c r="AF493" s="33" t="s">
        <v>2267</v>
      </c>
      <c r="AG493" s="33" t="s">
        <v>2461</v>
      </c>
      <c r="AH493" s="33"/>
      <c r="AI493" s="33"/>
      <c r="AJ493" s="33" t="s">
        <v>6205</v>
      </c>
      <c r="AK493" s="94"/>
      <c r="AL493" s="33" t="s">
        <v>6206</v>
      </c>
      <c r="AM493" s="33" t="s">
        <v>6207</v>
      </c>
      <c r="AN493" s="33" t="s">
        <v>2465</v>
      </c>
      <c r="AO493" s="51" t="s">
        <v>2478</v>
      </c>
      <c r="AP493" s="51" t="s">
        <v>207</v>
      </c>
      <c r="AQ493" s="33"/>
      <c r="AR493" s="54"/>
      <c r="AS493" s="54"/>
      <c r="AT493" s="54"/>
      <c r="AU493" s="54"/>
      <c r="AV493" s="54"/>
      <c r="AW493" s="54"/>
      <c r="AX493" s="54"/>
      <c r="AY493" s="54"/>
      <c r="AZ493" s="54"/>
      <c r="BA493" s="54"/>
      <c r="BB493" s="54"/>
      <c r="BC493" s="54"/>
      <c r="BD493" s="54" t="s">
        <v>2447</v>
      </c>
      <c r="BE493" s="54"/>
      <c r="BF493" s="54"/>
      <c r="BG493" s="54"/>
      <c r="BH493" s="54"/>
      <c r="BI493" s="54"/>
      <c r="BJ493" s="0"/>
      <c r="BK493" s="0"/>
      <c r="BL493" s="0"/>
      <c r="BM493" s="0"/>
      <c r="BN493" s="0"/>
      <c r="BO493" s="0"/>
      <c r="BP493"/>
      <c r="BQ493"/>
      <c r="BR493"/>
      <c r="BS493"/>
      <c r="BT493"/>
      <c r="BU493"/>
      <c r="BV493"/>
      <c r="BW493"/>
      <c r="BX493"/>
      <c r="BY493"/>
      <c r="BZ493"/>
      <c r="CA493"/>
      <c r="CB493"/>
    </row>
    <row r="494" ht="15.0" customHeight="true">
      <c r="A494" s="51" t="s">
        <v>2448</v>
      </c>
      <c r="B494" s="33"/>
      <c r="C494" s="33" t="s">
        <v>6208</v>
      </c>
      <c r="D494" s="33"/>
      <c r="E494" s="33" t="s">
        <v>6209</v>
      </c>
      <c r="F494" s="33"/>
      <c r="G494" s="55" t="s">
        <v>6210</v>
      </c>
      <c r="H494" s="33"/>
      <c r="I494" s="51" t="s">
        <v>6211</v>
      </c>
      <c r="J494" s="33"/>
      <c r="K494" s="51" t="s">
        <v>6212</v>
      </c>
      <c r="L494" s="33" t="s">
        <v>2454</v>
      </c>
      <c r="M494" s="55" t="s">
        <v>4722</v>
      </c>
      <c r="N494" s="55" t="s">
        <v>3324</v>
      </c>
      <c r="O494" s="33" t="s">
        <v>2272</v>
      </c>
      <c r="P494" s="33" t="s">
        <v>2251</v>
      </c>
      <c r="Q494" s="33"/>
      <c r="R494" s="33" t="s">
        <v>2263</v>
      </c>
      <c r="S494" s="56" t="s">
        <v>2277</v>
      </c>
      <c r="T494" s="56"/>
      <c r="U494" s="56"/>
      <c r="V494" s="33" t="s">
        <v>2456</v>
      </c>
      <c r="W494" s="94" t="s">
        <v>2457</v>
      </c>
      <c r="X494" s="94" t="s">
        <v>2458</v>
      </c>
      <c r="Y494" s="51"/>
      <c r="Z494" s="51"/>
      <c r="AA494" s="33" t="s">
        <v>2459</v>
      </c>
      <c r="AB494" s="33" t="s">
        <v>2460</v>
      </c>
      <c r="AC494" s="33"/>
      <c r="AD494" s="33" t="s">
        <v>2254</v>
      </c>
      <c r="AE494" s="33"/>
      <c r="AF494" s="33" t="s">
        <v>2267</v>
      </c>
      <c r="AG494" s="33" t="s">
        <v>2461</v>
      </c>
      <c r="AH494" s="33"/>
      <c r="AI494" s="33"/>
      <c r="AJ494" s="33" t="s">
        <v>6213</v>
      </c>
      <c r="AK494" s="94"/>
      <c r="AL494" s="33" t="s">
        <v>6214</v>
      </c>
      <c r="AM494" s="33"/>
      <c r="AN494" s="33" t="s">
        <v>2588</v>
      </c>
      <c r="AO494" s="51" t="s">
        <v>2702</v>
      </c>
      <c r="AP494" s="51" t="s">
        <v>207</v>
      </c>
      <c r="AQ494" s="33"/>
      <c r="AR494" s="54"/>
      <c r="AS494" s="54"/>
      <c r="AT494" s="54"/>
      <c r="AU494" s="54"/>
      <c r="AV494" s="54"/>
      <c r="AW494" s="54"/>
      <c r="AX494" s="54"/>
      <c r="AY494" s="54"/>
      <c r="AZ494" s="54"/>
      <c r="BA494" s="54"/>
      <c r="BB494" s="54"/>
      <c r="BC494" s="54"/>
      <c r="BD494" s="54" t="s">
        <v>2447</v>
      </c>
      <c r="BE494" s="54"/>
      <c r="BF494" s="54"/>
      <c r="BG494" s="54"/>
      <c r="BH494" s="54"/>
      <c r="BI494" s="54"/>
      <c r="BJ494" s="0"/>
      <c r="BK494" s="0"/>
      <c r="BL494" s="0"/>
      <c r="BM494" s="0"/>
      <c r="BN494" s="0"/>
      <c r="BO494" s="0"/>
      <c r="BP494"/>
      <c r="BQ494"/>
      <c r="BR494"/>
      <c r="BS494"/>
      <c r="BT494"/>
      <c r="BU494"/>
      <c r="BV494"/>
      <c r="BW494"/>
      <c r="BX494"/>
      <c r="BY494"/>
      <c r="BZ494"/>
      <c r="CA494"/>
      <c r="CB494"/>
    </row>
    <row r="495" ht="15.0" customHeight="true">
      <c r="A495" s="51" t="s">
        <v>2448</v>
      </c>
      <c r="B495" s="33"/>
      <c r="C495" s="33" t="s">
        <v>6215</v>
      </c>
      <c r="D495" s="33"/>
      <c r="E495" s="33" t="s">
        <v>6216</v>
      </c>
      <c r="F495" s="33"/>
      <c r="G495" s="55" t="s">
        <v>6217</v>
      </c>
      <c r="H495" s="33"/>
      <c r="I495" s="51" t="s">
        <v>6218</v>
      </c>
      <c r="J495" s="33"/>
      <c r="K495" s="51" t="s">
        <v>6219</v>
      </c>
      <c r="L495" s="33" t="s">
        <v>2454</v>
      </c>
      <c r="M495" s="55" t="s">
        <v>3671</v>
      </c>
      <c r="N495" s="55" t="s">
        <v>2496</v>
      </c>
      <c r="O495" s="33" t="s">
        <v>2272</v>
      </c>
      <c r="P495" s="33" t="s">
        <v>2251</v>
      </c>
      <c r="Q495" s="33"/>
      <c r="R495" s="33" t="s">
        <v>2263</v>
      </c>
      <c r="S495" s="56" t="s">
        <v>2277</v>
      </c>
      <c r="T495" s="56"/>
      <c r="U495" s="56"/>
      <c r="V495" s="33" t="s">
        <v>2456</v>
      </c>
      <c r="W495" s="94" t="s">
        <v>2457</v>
      </c>
      <c r="X495" s="94" t="s">
        <v>2474</v>
      </c>
      <c r="Y495" s="51"/>
      <c r="Z495" s="51"/>
      <c r="AA495" s="33" t="s">
        <v>2459</v>
      </c>
      <c r="AB495" s="33" t="s">
        <v>2460</v>
      </c>
      <c r="AC495" s="33"/>
      <c r="AD495" s="33" t="s">
        <v>2254</v>
      </c>
      <c r="AE495" s="33"/>
      <c r="AF495" s="33" t="s">
        <v>2267</v>
      </c>
      <c r="AG495" s="33" t="s">
        <v>2461</v>
      </c>
      <c r="AH495" s="33"/>
      <c r="AI495" s="33"/>
      <c r="AJ495" s="33" t="s">
        <v>6220</v>
      </c>
      <c r="AK495" s="94"/>
      <c r="AL495" s="33" t="s">
        <v>6221</v>
      </c>
      <c r="AM495" s="33" t="s">
        <v>6222</v>
      </c>
      <c r="AN495" s="33" t="s">
        <v>2465</v>
      </c>
      <c r="AO495" s="51" t="s">
        <v>2489</v>
      </c>
      <c r="AP495" s="51" t="s">
        <v>207</v>
      </c>
      <c r="AQ495" s="33"/>
      <c r="AR495" s="54"/>
      <c r="AS495" s="54"/>
      <c r="AT495" s="54"/>
      <c r="AU495" s="54"/>
      <c r="AV495" s="54"/>
      <c r="AW495" s="54"/>
      <c r="AX495" s="54"/>
      <c r="AY495" s="54"/>
      <c r="AZ495" s="54"/>
      <c r="BA495" s="54"/>
      <c r="BB495" s="54"/>
      <c r="BC495" s="54"/>
      <c r="BD495" s="54" t="s">
        <v>2447</v>
      </c>
      <c r="BE495" s="54"/>
      <c r="BF495" s="54"/>
      <c r="BG495" s="54"/>
      <c r="BH495" s="54"/>
      <c r="BI495" s="54"/>
      <c r="BJ495" s="0"/>
      <c r="BK495" s="0"/>
      <c r="BL495" s="0"/>
      <c r="BM495" s="0"/>
      <c r="BN495" s="0"/>
      <c r="BO495" s="0"/>
      <c r="BP495"/>
      <c r="BQ495"/>
      <c r="BR495"/>
      <c r="BS495"/>
      <c r="BT495"/>
      <c r="BU495"/>
      <c r="BV495"/>
      <c r="BW495"/>
      <c r="BX495"/>
      <c r="BY495"/>
      <c r="BZ495"/>
      <c r="CA495"/>
      <c r="CB495"/>
    </row>
    <row r="496" ht="15.0" customHeight="true">
      <c r="A496" s="51" t="s">
        <v>2448</v>
      </c>
      <c r="B496" s="33"/>
      <c r="C496" s="33" t="s">
        <v>4172</v>
      </c>
      <c r="D496" s="33"/>
      <c r="E496" s="33" t="s">
        <v>6223</v>
      </c>
      <c r="F496" s="33"/>
      <c r="G496" s="55" t="s">
        <v>6224</v>
      </c>
      <c r="H496" s="33"/>
      <c r="I496" s="51" t="s">
        <v>6225</v>
      </c>
      <c r="J496" s="33"/>
      <c r="K496" s="51" t="s">
        <v>6226</v>
      </c>
      <c r="L496" s="33" t="s">
        <v>2454</v>
      </c>
      <c r="M496" s="55" t="s">
        <v>3010</v>
      </c>
      <c r="N496" s="55" t="s">
        <v>4102</v>
      </c>
      <c r="O496" s="33" t="s">
        <v>2272</v>
      </c>
      <c r="P496" s="33" t="s">
        <v>2251</v>
      </c>
      <c r="Q496" s="33"/>
      <c r="R496" s="33" t="s">
        <v>2263</v>
      </c>
      <c r="S496" s="56" t="s">
        <v>2277</v>
      </c>
      <c r="T496" s="56"/>
      <c r="U496" s="56"/>
      <c r="V496" s="33" t="s">
        <v>2456</v>
      </c>
      <c r="W496" s="94" t="s">
        <v>2457</v>
      </c>
      <c r="X496" s="94" t="s">
        <v>2458</v>
      </c>
      <c r="Y496" s="51"/>
      <c r="Z496" s="51"/>
      <c r="AA496" s="33" t="s">
        <v>2459</v>
      </c>
      <c r="AB496" s="33" t="s">
        <v>2460</v>
      </c>
      <c r="AC496" s="33"/>
      <c r="AD496" s="33" t="s">
        <v>2254</v>
      </c>
      <c r="AE496" s="33"/>
      <c r="AF496" s="33" t="s">
        <v>2267</v>
      </c>
      <c r="AG496" s="33" t="s">
        <v>2461</v>
      </c>
      <c r="AH496" s="33"/>
      <c r="AI496" s="33"/>
      <c r="AJ496" s="33" t="s">
        <v>6227</v>
      </c>
      <c r="AK496" s="94"/>
      <c r="AL496" s="33" t="s">
        <v>6228</v>
      </c>
      <c r="AM496" s="33"/>
      <c r="AN496" s="33" t="s">
        <v>976</v>
      </c>
      <c r="AO496" s="51" t="s">
        <v>2489</v>
      </c>
      <c r="AP496" s="51" t="s">
        <v>207</v>
      </c>
      <c r="AQ496" s="33"/>
      <c r="AR496" s="54"/>
      <c r="AS496" s="54"/>
      <c r="AT496" s="54"/>
      <c r="AU496" s="54"/>
      <c r="AV496" s="54"/>
      <c r="AW496" s="54"/>
      <c r="AX496" s="54"/>
      <c r="AY496" s="54"/>
      <c r="AZ496" s="54"/>
      <c r="BA496" s="54"/>
      <c r="BB496" s="54"/>
      <c r="BC496" s="54"/>
      <c r="BD496" s="54" t="s">
        <v>2447</v>
      </c>
      <c r="BE496" s="54"/>
      <c r="BF496" s="54"/>
      <c r="BG496" s="54"/>
      <c r="BH496" s="54"/>
      <c r="BI496" s="54"/>
      <c r="BJ496" s="0"/>
      <c r="BK496" s="0"/>
      <c r="BL496" s="0"/>
      <c r="BM496" s="0"/>
      <c r="BN496" s="0"/>
      <c r="BO496" s="0"/>
      <c r="BP496"/>
      <c r="BQ496"/>
      <c r="BR496"/>
      <c r="BS496"/>
      <c r="BT496"/>
      <c r="BU496"/>
      <c r="BV496"/>
      <c r="BW496"/>
      <c r="BX496"/>
      <c r="BY496"/>
      <c r="BZ496"/>
      <c r="CA496"/>
      <c r="CB496"/>
    </row>
    <row r="497" ht="15.0" customHeight="true">
      <c r="A497" s="51" t="s">
        <v>2448</v>
      </c>
      <c r="B497" s="33"/>
      <c r="C497" s="33" t="s">
        <v>2549</v>
      </c>
      <c r="D497" s="33"/>
      <c r="E497" s="33" t="s">
        <v>6229</v>
      </c>
      <c r="F497" s="33"/>
      <c r="G497" s="55" t="s">
        <v>6230</v>
      </c>
      <c r="H497" s="33"/>
      <c r="I497" s="51" t="s">
        <v>6231</v>
      </c>
      <c r="J497" s="33"/>
      <c r="K497" s="51" t="s">
        <v>6232</v>
      </c>
      <c r="L497" s="33" t="s">
        <v>2454</v>
      </c>
      <c r="M497" s="55" t="s">
        <v>2572</v>
      </c>
      <c r="N497" s="55" t="s">
        <v>4806</v>
      </c>
      <c r="O497" s="33" t="s">
        <v>2272</v>
      </c>
      <c r="P497" s="33" t="s">
        <v>2251</v>
      </c>
      <c r="Q497" s="33"/>
      <c r="R497" s="33" t="s">
        <v>2263</v>
      </c>
      <c r="S497" s="56" t="s">
        <v>2277</v>
      </c>
      <c r="T497" s="56"/>
      <c r="U497" s="56"/>
      <c r="V497" s="33" t="s">
        <v>2456</v>
      </c>
      <c r="W497" s="94" t="s">
        <v>2457</v>
      </c>
      <c r="X497" s="94" t="s">
        <v>2474</v>
      </c>
      <c r="Y497" s="51"/>
      <c r="Z497" s="51"/>
      <c r="AA497" s="33" t="s">
        <v>2459</v>
      </c>
      <c r="AB497" s="33" t="s">
        <v>2460</v>
      </c>
      <c r="AC497" s="33"/>
      <c r="AD497" s="33" t="s">
        <v>2254</v>
      </c>
      <c r="AE497" s="33"/>
      <c r="AF497" s="33" t="s">
        <v>2267</v>
      </c>
      <c r="AG497" s="33" t="s">
        <v>2461</v>
      </c>
      <c r="AH497" s="33"/>
      <c r="AI497" s="33"/>
      <c r="AJ497" s="33" t="s">
        <v>6233</v>
      </c>
      <c r="AK497" s="94"/>
      <c r="AL497" s="33" t="s">
        <v>6234</v>
      </c>
      <c r="AM497" s="33"/>
      <c r="AN497" s="33" t="s">
        <v>2577</v>
      </c>
      <c r="AO497" s="51" t="s">
        <v>2578</v>
      </c>
      <c r="AP497" s="51" t="s">
        <v>207</v>
      </c>
      <c r="AQ497" s="33"/>
      <c r="AR497" s="54"/>
      <c r="AS497" s="54"/>
      <c r="AT497" s="54"/>
      <c r="AU497" s="54"/>
      <c r="AV497" s="54"/>
      <c r="AW497" s="54"/>
      <c r="AX497" s="54"/>
      <c r="AY497" s="54"/>
      <c r="AZ497" s="54"/>
      <c r="BA497" s="54"/>
      <c r="BB497" s="54"/>
      <c r="BC497" s="54"/>
      <c r="BD497" s="54" t="s">
        <v>2447</v>
      </c>
      <c r="BE497" s="54"/>
      <c r="BF497" s="54"/>
      <c r="BG497" s="54"/>
      <c r="BH497" s="54"/>
      <c r="BI497" s="54"/>
      <c r="BJ497" s="0"/>
      <c r="BK497" s="0"/>
      <c r="BL497" s="0"/>
      <c r="BM497" s="0"/>
      <c r="BN497" s="0"/>
      <c r="BO497" s="0"/>
      <c r="BP497"/>
      <c r="BQ497"/>
      <c r="BR497"/>
      <c r="BS497"/>
      <c r="BT497"/>
      <c r="BU497"/>
      <c r="BV497"/>
      <c r="BW497"/>
      <c r="BX497"/>
      <c r="BY497"/>
      <c r="BZ497"/>
      <c r="CA497"/>
      <c r="CB497"/>
    </row>
    <row r="498" ht="15.0" customHeight="true">
      <c r="A498" s="51" t="s">
        <v>2448</v>
      </c>
      <c r="B498" s="33"/>
      <c r="C498" s="33" t="s">
        <v>3666</v>
      </c>
      <c r="D498" s="33"/>
      <c r="E498" s="33" t="s">
        <v>6235</v>
      </c>
      <c r="F498" s="33"/>
      <c r="G498" s="55" t="s">
        <v>6236</v>
      </c>
      <c r="H498" s="33"/>
      <c r="I498" s="51" t="s">
        <v>6237</v>
      </c>
      <c r="J498" s="33"/>
      <c r="K498" s="51" t="s">
        <v>6238</v>
      </c>
      <c r="L498" s="33" t="s">
        <v>2484</v>
      </c>
      <c r="M498" s="55" t="s">
        <v>4543</v>
      </c>
      <c r="N498" s="55"/>
      <c r="O498" s="33"/>
      <c r="P498" s="33" t="s">
        <v>2251</v>
      </c>
      <c r="Q498" s="33"/>
      <c r="R498" s="33" t="s">
        <v>2263</v>
      </c>
      <c r="S498" s="56" t="s">
        <v>2277</v>
      </c>
      <c r="T498" s="56"/>
      <c r="U498" s="56"/>
      <c r="V498" s="33" t="s">
        <v>2456</v>
      </c>
      <c r="W498" s="94" t="s">
        <v>2457</v>
      </c>
      <c r="X498" s="94" t="s">
        <v>2474</v>
      </c>
      <c r="Y498" s="51"/>
      <c r="Z498" s="51"/>
      <c r="AA498" s="33" t="s">
        <v>2459</v>
      </c>
      <c r="AB498" s="33" t="s">
        <v>2460</v>
      </c>
      <c r="AC498" s="33" t="s">
        <v>2486</v>
      </c>
      <c r="AD498" s="33" t="s">
        <v>2254</v>
      </c>
      <c r="AE498" s="33"/>
      <c r="AF498" s="33" t="s">
        <v>2267</v>
      </c>
      <c r="AG498" s="33" t="s">
        <v>2461</v>
      </c>
      <c r="AH498" s="33"/>
      <c r="AI498" s="33"/>
      <c r="AJ498" s="33" t="s">
        <v>6239</v>
      </c>
      <c r="AK498" s="94"/>
      <c r="AL498" s="33" t="s">
        <v>6240</v>
      </c>
      <c r="AM498" s="33"/>
      <c r="AN498" s="33" t="s">
        <v>2828</v>
      </c>
      <c r="AO498" s="51" t="s">
        <v>2829</v>
      </c>
      <c r="AP498" s="51" t="s">
        <v>207</v>
      </c>
      <c r="AQ498" s="33"/>
      <c r="AR498" s="54"/>
      <c r="AS498" s="54"/>
      <c r="AT498" s="54"/>
      <c r="AU498" s="54"/>
      <c r="AV498" s="54"/>
      <c r="AW498" s="54"/>
      <c r="AX498" s="54"/>
      <c r="AY498" s="54"/>
      <c r="AZ498" s="54"/>
      <c r="BA498" s="54"/>
      <c r="BB498" s="54"/>
      <c r="BC498" s="54"/>
      <c r="BD498" s="54" t="s">
        <v>2447</v>
      </c>
      <c r="BE498" s="54"/>
      <c r="BF498" s="54"/>
      <c r="BG498" s="54"/>
      <c r="BH498" s="54"/>
      <c r="BI498" s="54"/>
      <c r="BJ498" s="0"/>
      <c r="BK498" s="0"/>
      <c r="BL498" s="0"/>
      <c r="BM498" s="0"/>
      <c r="BN498" s="0"/>
      <c r="BO498" s="0"/>
      <c r="BP498"/>
      <c r="BQ498"/>
      <c r="BR498"/>
      <c r="BS498"/>
      <c r="BT498"/>
      <c r="BU498"/>
      <c r="BV498"/>
      <c r="BW498"/>
      <c r="BX498"/>
      <c r="BY498"/>
      <c r="BZ498"/>
      <c r="CA498"/>
      <c r="CB498"/>
    </row>
    <row r="499" ht="15.0" customHeight="true">
      <c r="A499" s="51" t="s">
        <v>2448</v>
      </c>
      <c r="B499" s="33"/>
      <c r="C499" s="33" t="s">
        <v>3228</v>
      </c>
      <c r="D499" s="33"/>
      <c r="E499" s="33" t="s">
        <v>6241</v>
      </c>
      <c r="F499" s="33"/>
      <c r="G499" s="55" t="s">
        <v>6242</v>
      </c>
      <c r="H499" s="33"/>
      <c r="I499" s="51" t="s">
        <v>6243</v>
      </c>
      <c r="J499" s="33"/>
      <c r="K499" s="51" t="s">
        <v>6244</v>
      </c>
      <c r="L499" s="33" t="s">
        <v>2454</v>
      </c>
      <c r="M499" s="55" t="s">
        <v>2927</v>
      </c>
      <c r="N499" s="55" t="s">
        <v>6190</v>
      </c>
      <c r="O499" s="33" t="s">
        <v>2272</v>
      </c>
      <c r="P499" s="33" t="s">
        <v>2251</v>
      </c>
      <c r="Q499" s="33"/>
      <c r="R499" s="33" t="s">
        <v>2263</v>
      </c>
      <c r="S499" s="56" t="s">
        <v>2277</v>
      </c>
      <c r="T499" s="56"/>
      <c r="U499" s="56"/>
      <c r="V499" s="33" t="s">
        <v>2456</v>
      </c>
      <c r="W499" s="94" t="s">
        <v>2457</v>
      </c>
      <c r="X499" s="94" t="s">
        <v>2458</v>
      </c>
      <c r="Y499" s="51"/>
      <c r="Z499" s="51"/>
      <c r="AA499" s="33" t="s">
        <v>2459</v>
      </c>
      <c r="AB499" s="33" t="s">
        <v>2460</v>
      </c>
      <c r="AC499" s="33"/>
      <c r="AD499" s="33" t="s">
        <v>2254</v>
      </c>
      <c r="AE499" s="33"/>
      <c r="AF499" s="33" t="s">
        <v>2267</v>
      </c>
      <c r="AG499" s="33" t="s">
        <v>2461</v>
      </c>
      <c r="AH499" s="33"/>
      <c r="AI499" s="33"/>
      <c r="AJ499" s="33" t="s">
        <v>6245</v>
      </c>
      <c r="AK499" s="94"/>
      <c r="AL499" s="33" t="s">
        <v>6246</v>
      </c>
      <c r="AM499" s="33" t="s">
        <v>4179</v>
      </c>
      <c r="AN499" s="33" t="s">
        <v>2588</v>
      </c>
      <c r="AO499" s="51" t="s">
        <v>2589</v>
      </c>
      <c r="AP499" s="51" t="s">
        <v>207</v>
      </c>
      <c r="AQ499" s="33"/>
      <c r="AR499" s="54"/>
      <c r="AS499" s="54"/>
      <c r="AT499" s="54"/>
      <c r="AU499" s="54"/>
      <c r="AV499" s="54"/>
      <c r="AW499" s="54"/>
      <c r="AX499" s="54"/>
      <c r="AY499" s="54"/>
      <c r="AZ499" s="54"/>
      <c r="BA499" s="54"/>
      <c r="BB499" s="54"/>
      <c r="BC499" s="54"/>
      <c r="BD499" s="54" t="s">
        <v>2447</v>
      </c>
      <c r="BE499" s="54"/>
      <c r="BF499" s="54"/>
      <c r="BG499" s="54"/>
      <c r="BH499" s="54"/>
      <c r="BI499" s="54"/>
      <c r="BJ499" s="0"/>
      <c r="BK499" s="0"/>
      <c r="BL499" s="0"/>
      <c r="BM499" s="0"/>
      <c r="BN499" s="0"/>
      <c r="BO499" s="0"/>
      <c r="BP499"/>
      <c r="BQ499"/>
      <c r="BR499"/>
      <c r="BS499"/>
      <c r="BT499"/>
      <c r="BU499"/>
      <c r="BV499"/>
      <c r="BW499"/>
      <c r="BX499"/>
      <c r="BY499"/>
      <c r="BZ499"/>
      <c r="CA499"/>
      <c r="CB499"/>
    </row>
    <row r="500" ht="15.0" customHeight="true">
      <c r="A500" s="51" t="s">
        <v>2448</v>
      </c>
      <c r="B500" s="33"/>
      <c r="C500" s="33" t="s">
        <v>6247</v>
      </c>
      <c r="D500" s="33"/>
      <c r="E500" s="33" t="s">
        <v>6248</v>
      </c>
      <c r="F500" s="33"/>
      <c r="G500" s="55" t="s">
        <v>6249</v>
      </c>
      <c r="H500" s="33"/>
      <c r="I500" s="51" t="s">
        <v>6250</v>
      </c>
      <c r="J500" s="33"/>
      <c r="K500" s="51" t="s">
        <v>6251</v>
      </c>
      <c r="L500" s="33" t="s">
        <v>2454</v>
      </c>
      <c r="M500" s="55" t="s">
        <v>3753</v>
      </c>
      <c r="N500" s="55" t="s">
        <v>6252</v>
      </c>
      <c r="O500" s="33" t="s">
        <v>2276</v>
      </c>
      <c r="P500" s="33" t="s">
        <v>2251</v>
      </c>
      <c r="Q500" s="33"/>
      <c r="R500" s="33" t="s">
        <v>2263</v>
      </c>
      <c r="S500" s="56" t="s">
        <v>2277</v>
      </c>
      <c r="T500" s="56"/>
      <c r="U500" s="56"/>
      <c r="V500" s="33" t="s">
        <v>3753</v>
      </c>
      <c r="W500" s="94" t="s">
        <v>2574</v>
      </c>
      <c r="X500" s="94" t="s">
        <v>2474</v>
      </c>
      <c r="Y500" s="51"/>
      <c r="Z500" s="51"/>
      <c r="AA500" s="33" t="s">
        <v>2459</v>
      </c>
      <c r="AB500" s="33" t="s">
        <v>2460</v>
      </c>
      <c r="AC500" s="33" t="s">
        <v>2486</v>
      </c>
      <c r="AD500" s="33" t="s">
        <v>2254</v>
      </c>
      <c r="AE500" s="33"/>
      <c r="AF500" s="33" t="s">
        <v>2267</v>
      </c>
      <c r="AG500" s="33" t="s">
        <v>2461</v>
      </c>
      <c r="AH500" s="33"/>
      <c r="AI500" s="33"/>
      <c r="AJ500" s="33" t="s">
        <v>6253</v>
      </c>
      <c r="AK500" s="94"/>
      <c r="AL500" s="33" t="s">
        <v>6254</v>
      </c>
      <c r="AM500" s="33"/>
      <c r="AN500" s="33" t="s">
        <v>2577</v>
      </c>
      <c r="AO500" s="51" t="s">
        <v>2578</v>
      </c>
      <c r="AP500" s="51" t="s">
        <v>207</v>
      </c>
      <c r="AQ500" s="33"/>
      <c r="AR500" s="54"/>
      <c r="AS500" s="54"/>
      <c r="AT500" s="54"/>
      <c r="AU500" s="54"/>
      <c r="AV500" s="54"/>
      <c r="AW500" s="54"/>
      <c r="AX500" s="54"/>
      <c r="AY500" s="54" t="s">
        <v>2269</v>
      </c>
      <c r="AZ500" s="54"/>
      <c r="BA500" s="54"/>
      <c r="BB500" s="54"/>
      <c r="BC500" s="54"/>
      <c r="BD500" s="54" t="s">
        <v>2447</v>
      </c>
      <c r="BE500" s="54"/>
      <c r="BF500" s="54"/>
      <c r="BG500" s="54"/>
      <c r="BH500" s="54"/>
      <c r="BI500" s="54"/>
      <c r="BJ500" s="0"/>
      <c r="BK500" s="0"/>
      <c r="BL500" s="0"/>
      <c r="BM500" s="0"/>
      <c r="BN500" s="0"/>
      <c r="BO500" s="0"/>
      <c r="BP500"/>
      <c r="BQ500"/>
      <c r="BR500"/>
      <c r="BS500"/>
      <c r="BT500"/>
      <c r="BU500"/>
      <c r="BV500"/>
      <c r="BW500"/>
      <c r="BX500"/>
      <c r="BY500"/>
      <c r="BZ500"/>
      <c r="CA500"/>
      <c r="CB500"/>
    </row>
    <row r="501" ht="15.0" customHeight="true">
      <c r="A501" s="51" t="s">
        <v>2448</v>
      </c>
      <c r="B501" s="33"/>
      <c r="C501" s="33" t="s">
        <v>2467</v>
      </c>
      <c r="D501" s="33"/>
      <c r="E501" s="33" t="s">
        <v>6255</v>
      </c>
      <c r="F501" s="33"/>
      <c r="G501" s="55" t="s">
        <v>6256</v>
      </c>
      <c r="H501" s="33"/>
      <c r="I501" s="51" t="s">
        <v>6257</v>
      </c>
      <c r="J501" s="33"/>
      <c r="K501" s="51" t="s">
        <v>6258</v>
      </c>
      <c r="L501" s="33" t="s">
        <v>2454</v>
      </c>
      <c r="M501" s="55" t="s">
        <v>2799</v>
      </c>
      <c r="N501" s="55" t="s">
        <v>2900</v>
      </c>
      <c r="O501" s="33" t="s">
        <v>2272</v>
      </c>
      <c r="P501" s="33" t="s">
        <v>2251</v>
      </c>
      <c r="Q501" s="33"/>
      <c r="R501" s="33" t="s">
        <v>2263</v>
      </c>
      <c r="S501" s="56" t="s">
        <v>2277</v>
      </c>
      <c r="T501" s="56"/>
      <c r="U501" s="56"/>
      <c r="V501" s="33" t="s">
        <v>2456</v>
      </c>
      <c r="W501" s="94" t="s">
        <v>2457</v>
      </c>
      <c r="X501" s="94" t="s">
        <v>2458</v>
      </c>
      <c r="Y501" s="51"/>
      <c r="Z501" s="51"/>
      <c r="AA501" s="33" t="s">
        <v>2459</v>
      </c>
      <c r="AB501" s="33" t="s">
        <v>2460</v>
      </c>
      <c r="AC501" s="33"/>
      <c r="AD501" s="33" t="s">
        <v>2254</v>
      </c>
      <c r="AE501" s="33"/>
      <c r="AF501" s="33" t="s">
        <v>2267</v>
      </c>
      <c r="AG501" s="33" t="s">
        <v>2461</v>
      </c>
      <c r="AH501" s="33"/>
      <c r="AI501" s="33"/>
      <c r="AJ501" s="33" t="s">
        <v>6259</v>
      </c>
      <c r="AK501" s="94"/>
      <c r="AL501" s="33" t="s">
        <v>6260</v>
      </c>
      <c r="AM501" s="33"/>
      <c r="AN501" s="33" t="s">
        <v>3764</v>
      </c>
      <c r="AO501" s="51" t="s">
        <v>3765</v>
      </c>
      <c r="AP501" s="51" t="s">
        <v>207</v>
      </c>
      <c r="AQ501" s="33"/>
      <c r="AR501" s="54"/>
      <c r="AS501" s="54"/>
      <c r="AT501" s="54"/>
      <c r="AU501" s="54"/>
      <c r="AV501" s="54"/>
      <c r="AW501" s="54"/>
      <c r="AX501" s="54"/>
      <c r="AY501" s="54"/>
      <c r="AZ501" s="54"/>
      <c r="BA501" s="54"/>
      <c r="BB501" s="54"/>
      <c r="BC501" s="54"/>
      <c r="BD501" s="54" t="s">
        <v>2447</v>
      </c>
      <c r="BE501" s="54"/>
      <c r="BF501" s="54"/>
      <c r="BG501" s="54"/>
      <c r="BH501" s="54"/>
      <c r="BI501" s="54"/>
      <c r="BJ501" s="0"/>
      <c r="BK501" s="0"/>
      <c r="BL501" s="0"/>
      <c r="BM501" s="0"/>
      <c r="BN501" s="0"/>
      <c r="BO501" s="0"/>
      <c r="BP501"/>
      <c r="BQ501"/>
      <c r="BR501"/>
      <c r="BS501"/>
      <c r="BT501"/>
      <c r="BU501"/>
      <c r="BV501"/>
      <c r="BW501"/>
      <c r="BX501"/>
      <c r="BY501"/>
      <c r="BZ501"/>
      <c r="CA501"/>
      <c r="CB501"/>
    </row>
    <row r="502" ht="15.0" customHeight="true">
      <c r="A502" s="51" t="s">
        <v>2448</v>
      </c>
      <c r="B502" s="33"/>
      <c r="C502" s="33" t="s">
        <v>6261</v>
      </c>
      <c r="D502" s="33"/>
      <c r="E502" s="33" t="s">
        <v>6262</v>
      </c>
      <c r="F502" s="33"/>
      <c r="G502" s="55" t="s">
        <v>6263</v>
      </c>
      <c r="H502" s="33"/>
      <c r="I502" s="51" t="s">
        <v>6264</v>
      </c>
      <c r="J502" s="33"/>
      <c r="K502" s="51" t="s">
        <v>6265</v>
      </c>
      <c r="L502" s="33" t="s">
        <v>2454</v>
      </c>
      <c r="M502" s="55" t="s">
        <v>6266</v>
      </c>
      <c r="N502" s="55" t="s">
        <v>2606</v>
      </c>
      <c r="O502" s="33" t="s">
        <v>2272</v>
      </c>
      <c r="P502" s="33" t="s">
        <v>2251</v>
      </c>
      <c r="Q502" s="33"/>
      <c r="R502" s="33" t="s">
        <v>2263</v>
      </c>
      <c r="S502" s="56" t="s">
        <v>2277</v>
      </c>
      <c r="T502" s="56"/>
      <c r="U502" s="56"/>
      <c r="V502" s="33" t="s">
        <v>2456</v>
      </c>
      <c r="W502" s="94" t="s">
        <v>2457</v>
      </c>
      <c r="X502" s="94" t="s">
        <v>2474</v>
      </c>
      <c r="Y502" s="51"/>
      <c r="Z502" s="51"/>
      <c r="AA502" s="33" t="s">
        <v>2459</v>
      </c>
      <c r="AB502" s="33" t="s">
        <v>2460</v>
      </c>
      <c r="AC502" s="33"/>
      <c r="AD502" s="33" t="s">
        <v>2254</v>
      </c>
      <c r="AE502" s="33"/>
      <c r="AF502" s="33" t="s">
        <v>2267</v>
      </c>
      <c r="AG502" s="33" t="s">
        <v>2461</v>
      </c>
      <c r="AH502" s="33"/>
      <c r="AI502" s="33"/>
      <c r="AJ502" s="33" t="s">
        <v>6267</v>
      </c>
      <c r="AK502" s="94"/>
      <c r="AL502" s="33" t="s">
        <v>4599</v>
      </c>
      <c r="AM502" s="33" t="s">
        <v>6268</v>
      </c>
      <c r="AN502" s="33" t="s">
        <v>2465</v>
      </c>
      <c r="AO502" s="51" t="s">
        <v>2538</v>
      </c>
      <c r="AP502" s="51" t="s">
        <v>207</v>
      </c>
      <c r="AQ502" s="33"/>
      <c r="AR502" s="54"/>
      <c r="AS502" s="54"/>
      <c r="AT502" s="54"/>
      <c r="AU502" s="54"/>
      <c r="AV502" s="54"/>
      <c r="AW502" s="54"/>
      <c r="AX502" s="54"/>
      <c r="AY502" s="54"/>
      <c r="AZ502" s="54"/>
      <c r="BA502" s="54"/>
      <c r="BB502" s="54"/>
      <c r="BC502" s="54"/>
      <c r="BD502" s="54" t="s">
        <v>2447</v>
      </c>
      <c r="BE502" s="54"/>
      <c r="BF502" s="54"/>
      <c r="BG502" s="54"/>
      <c r="BH502" s="54"/>
      <c r="BI502" s="54"/>
      <c r="BJ502" s="0"/>
      <c r="BK502" s="0"/>
      <c r="BL502" s="0"/>
      <c r="BM502" s="0"/>
      <c r="BN502" s="0"/>
      <c r="BO502" s="0"/>
      <c r="BP502"/>
      <c r="BQ502"/>
      <c r="BR502"/>
      <c r="BS502"/>
      <c r="BT502"/>
      <c r="BU502"/>
      <c r="BV502"/>
      <c r="BW502"/>
      <c r="BX502"/>
      <c r="BY502"/>
      <c r="BZ502"/>
      <c r="CA502"/>
      <c r="CB502"/>
    </row>
    <row r="503" ht="15.0" customHeight="true">
      <c r="A503" s="51" t="s">
        <v>2448</v>
      </c>
      <c r="B503" s="33"/>
      <c r="C503" s="33" t="s">
        <v>6269</v>
      </c>
      <c r="D503" s="33"/>
      <c r="E503" s="33" t="s">
        <v>3220</v>
      </c>
      <c r="F503" s="33"/>
      <c r="G503" s="55" t="s">
        <v>6270</v>
      </c>
      <c r="H503" s="33"/>
      <c r="I503" s="51" t="s">
        <v>6271</v>
      </c>
      <c r="J503" s="33"/>
      <c r="K503" s="51" t="s">
        <v>6272</v>
      </c>
      <c r="L503" s="33" t="s">
        <v>2454</v>
      </c>
      <c r="M503" s="55" t="s">
        <v>3065</v>
      </c>
      <c r="N503" s="55" t="s">
        <v>3065</v>
      </c>
      <c r="O503" s="33" t="s">
        <v>2272</v>
      </c>
      <c r="P503" s="33" t="s">
        <v>2251</v>
      </c>
      <c r="Q503" s="33"/>
      <c r="R503" s="33" t="s">
        <v>2263</v>
      </c>
      <c r="S503" s="56" t="s">
        <v>2277</v>
      </c>
      <c r="T503" s="56"/>
      <c r="U503" s="56"/>
      <c r="V503" s="33" t="s">
        <v>2456</v>
      </c>
      <c r="W503" s="94" t="s">
        <v>2457</v>
      </c>
      <c r="X503" s="94" t="s">
        <v>2458</v>
      </c>
      <c r="Y503" s="51"/>
      <c r="Z503" s="51"/>
      <c r="AA503" s="33" t="s">
        <v>2459</v>
      </c>
      <c r="AB503" s="33" t="s">
        <v>2460</v>
      </c>
      <c r="AC503" s="33"/>
      <c r="AD503" s="33" t="s">
        <v>2254</v>
      </c>
      <c r="AE503" s="33"/>
      <c r="AF503" s="33" t="s">
        <v>2267</v>
      </c>
      <c r="AG503" s="33" t="s">
        <v>2461</v>
      </c>
      <c r="AH503" s="33"/>
      <c r="AI503" s="33"/>
      <c r="AJ503" s="33" t="s">
        <v>6273</v>
      </c>
      <c r="AK503" s="94"/>
      <c r="AL503" s="33" t="s">
        <v>6274</v>
      </c>
      <c r="AM503" s="33" t="s">
        <v>2739</v>
      </c>
      <c r="AN503" s="33" t="s">
        <v>3031</v>
      </c>
      <c r="AO503" s="51" t="s">
        <v>3032</v>
      </c>
      <c r="AP503" s="51" t="s">
        <v>207</v>
      </c>
      <c r="AQ503" s="33"/>
      <c r="AR503" s="54"/>
      <c r="AS503" s="54"/>
      <c r="AT503" s="54"/>
      <c r="AU503" s="54"/>
      <c r="AV503" s="54"/>
      <c r="AW503" s="54"/>
      <c r="AX503" s="54"/>
      <c r="AY503" s="54"/>
      <c r="AZ503" s="54"/>
      <c r="BA503" s="54"/>
      <c r="BB503" s="54"/>
      <c r="BC503" s="54"/>
      <c r="BD503" s="54" t="s">
        <v>2447</v>
      </c>
      <c r="BE503" s="54"/>
      <c r="BF503" s="54"/>
      <c r="BG503" s="54"/>
      <c r="BH503" s="54"/>
      <c r="BI503" s="54"/>
      <c r="BJ503" s="0"/>
      <c r="BK503" s="0"/>
      <c r="BL503" s="0"/>
      <c r="BM503" s="0"/>
      <c r="BN503" s="0"/>
      <c r="BO503" s="0"/>
      <c r="BP503"/>
      <c r="BQ503"/>
      <c r="BR503"/>
      <c r="BS503"/>
      <c r="BT503"/>
      <c r="BU503"/>
      <c r="BV503"/>
      <c r="BW503"/>
      <c r="BX503"/>
      <c r="BY503"/>
      <c r="BZ503"/>
      <c r="CA503"/>
      <c r="CB503"/>
    </row>
    <row r="504" ht="15.0" customHeight="true">
      <c r="A504" s="51" t="s">
        <v>2448</v>
      </c>
      <c r="B504" s="33"/>
      <c r="C504" s="33" t="s">
        <v>6275</v>
      </c>
      <c r="D504" s="33"/>
      <c r="E504" s="33" t="s">
        <v>2568</v>
      </c>
      <c r="F504" s="33"/>
      <c r="G504" s="55" t="s">
        <v>6276</v>
      </c>
      <c r="H504" s="33"/>
      <c r="I504" s="51" t="s">
        <v>6277</v>
      </c>
      <c r="J504" s="33"/>
      <c r="K504" s="51" t="s">
        <v>6278</v>
      </c>
      <c r="L504" s="33" t="s">
        <v>2454</v>
      </c>
      <c r="M504" s="55" t="s">
        <v>2945</v>
      </c>
      <c r="N504" s="55" t="s">
        <v>2945</v>
      </c>
      <c r="O504" s="33" t="s">
        <v>2272</v>
      </c>
      <c r="P504" s="33" t="s">
        <v>2251</v>
      </c>
      <c r="Q504" s="33"/>
      <c r="R504" s="33" t="s">
        <v>2263</v>
      </c>
      <c r="S504" s="56" t="s">
        <v>2277</v>
      </c>
      <c r="T504" s="56"/>
      <c r="U504" s="56"/>
      <c r="V504" s="33" t="s">
        <v>2456</v>
      </c>
      <c r="W504" s="94" t="s">
        <v>2457</v>
      </c>
      <c r="X504" s="94" t="s">
        <v>2474</v>
      </c>
      <c r="Y504" s="51"/>
      <c r="Z504" s="51"/>
      <c r="AA504" s="33" t="s">
        <v>2459</v>
      </c>
      <c r="AB504" s="33" t="s">
        <v>2460</v>
      </c>
      <c r="AC504" s="33"/>
      <c r="AD504" s="33" t="s">
        <v>2254</v>
      </c>
      <c r="AE504" s="33"/>
      <c r="AF504" s="33" t="s">
        <v>2267</v>
      </c>
      <c r="AG504" s="33" t="s">
        <v>2461</v>
      </c>
      <c r="AH504" s="33"/>
      <c r="AI504" s="33"/>
      <c r="AJ504" s="33" t="s">
        <v>6279</v>
      </c>
      <c r="AK504" s="94"/>
      <c r="AL504" s="33" t="s">
        <v>4599</v>
      </c>
      <c r="AM504" s="33" t="s">
        <v>6280</v>
      </c>
      <c r="AN504" s="33" t="s">
        <v>2465</v>
      </c>
      <c r="AO504" s="51" t="s">
        <v>2538</v>
      </c>
      <c r="AP504" s="51" t="s">
        <v>207</v>
      </c>
      <c r="AQ504" s="33"/>
      <c r="AR504" s="54"/>
      <c r="AS504" s="54"/>
      <c r="AT504" s="54"/>
      <c r="AU504" s="54"/>
      <c r="AV504" s="54"/>
      <c r="AW504" s="54"/>
      <c r="AX504" s="54"/>
      <c r="AY504" s="54"/>
      <c r="AZ504" s="54"/>
      <c r="BA504" s="54"/>
      <c r="BB504" s="54"/>
      <c r="BC504" s="54"/>
      <c r="BD504" s="54" t="s">
        <v>2447</v>
      </c>
      <c r="BE504" s="54"/>
      <c r="BF504" s="54"/>
      <c r="BG504" s="54"/>
      <c r="BH504" s="54"/>
      <c r="BI504" s="54"/>
      <c r="BJ504" s="0"/>
      <c r="BK504" s="0"/>
      <c r="BL504" s="0"/>
      <c r="BM504" s="0"/>
      <c r="BN504" s="0"/>
      <c r="BO504" s="0"/>
      <c r="BP504"/>
      <c r="BQ504"/>
      <c r="BR504"/>
      <c r="BS504"/>
      <c r="BT504"/>
      <c r="BU504"/>
      <c r="BV504"/>
      <c r="BW504"/>
      <c r="BX504"/>
      <c r="BY504"/>
      <c r="BZ504"/>
      <c r="CA504"/>
      <c r="CB504"/>
    </row>
    <row r="505" ht="15.0" customHeight="true">
      <c r="A505" s="51" t="s">
        <v>2448</v>
      </c>
      <c r="B505" s="33"/>
      <c r="C505" s="33" t="s">
        <v>5937</v>
      </c>
      <c r="D505" s="33"/>
      <c r="E505" s="33" t="s">
        <v>2568</v>
      </c>
      <c r="F505" s="33"/>
      <c r="G505" s="55" t="s">
        <v>6281</v>
      </c>
      <c r="H505" s="33"/>
      <c r="I505" s="51" t="s">
        <v>6282</v>
      </c>
      <c r="J505" s="33"/>
      <c r="K505" s="51" t="s">
        <v>6283</v>
      </c>
      <c r="L505" s="33" t="s">
        <v>2454</v>
      </c>
      <c r="M505" s="55" t="s">
        <v>4618</v>
      </c>
      <c r="N505" s="55" t="s">
        <v>2772</v>
      </c>
      <c r="O505" s="33" t="s">
        <v>2272</v>
      </c>
      <c r="P505" s="33" t="s">
        <v>2251</v>
      </c>
      <c r="Q505" s="33"/>
      <c r="R505" s="33" t="s">
        <v>2263</v>
      </c>
      <c r="S505" s="56" t="s">
        <v>2277</v>
      </c>
      <c r="T505" s="56"/>
      <c r="U505" s="56"/>
      <c r="V505" s="33" t="s">
        <v>2456</v>
      </c>
      <c r="W505" s="94" t="s">
        <v>2457</v>
      </c>
      <c r="X505" s="94" t="s">
        <v>2474</v>
      </c>
      <c r="Y505" s="51"/>
      <c r="Z505" s="51"/>
      <c r="AA505" s="33" t="s">
        <v>2459</v>
      </c>
      <c r="AB505" s="33" t="s">
        <v>2460</v>
      </c>
      <c r="AC505" s="33"/>
      <c r="AD505" s="33" t="s">
        <v>2254</v>
      </c>
      <c r="AE505" s="33"/>
      <c r="AF505" s="33" t="s">
        <v>2267</v>
      </c>
      <c r="AG505" s="33" t="s">
        <v>2461</v>
      </c>
      <c r="AH505" s="33"/>
      <c r="AI505" s="33"/>
      <c r="AJ505" s="33" t="s">
        <v>6284</v>
      </c>
      <c r="AK505" s="94"/>
      <c r="AL505" s="33" t="s">
        <v>6285</v>
      </c>
      <c r="AM505" s="33"/>
      <c r="AN505" s="33" t="s">
        <v>2465</v>
      </c>
      <c r="AO505" s="51" t="s">
        <v>2618</v>
      </c>
      <c r="AP505" s="51" t="s">
        <v>207</v>
      </c>
      <c r="AQ505" s="33"/>
      <c r="AR505" s="54"/>
      <c r="AS505" s="54"/>
      <c r="AT505" s="54"/>
      <c r="AU505" s="54"/>
      <c r="AV505" s="54"/>
      <c r="AW505" s="54"/>
      <c r="AX505" s="54"/>
      <c r="AY505" s="54"/>
      <c r="AZ505" s="54"/>
      <c r="BA505" s="54"/>
      <c r="BB505" s="54"/>
      <c r="BC505" s="54"/>
      <c r="BD505" s="54" t="s">
        <v>2447</v>
      </c>
      <c r="BE505" s="54"/>
      <c r="BF505" s="54"/>
      <c r="BG505" s="54"/>
      <c r="BH505" s="54"/>
      <c r="BI505" s="54"/>
      <c r="BJ505" s="0"/>
      <c r="BK505" s="0"/>
      <c r="BL505" s="0"/>
      <c r="BM505" s="0"/>
      <c r="BN505" s="0"/>
      <c r="BO505" s="0"/>
      <c r="BP505"/>
      <c r="BQ505"/>
      <c r="BR505"/>
      <c r="BS505"/>
      <c r="BT505"/>
      <c r="BU505"/>
      <c r="BV505"/>
      <c r="BW505"/>
      <c r="BX505"/>
      <c r="BY505"/>
      <c r="BZ505"/>
      <c r="CA505"/>
      <c r="CB505"/>
    </row>
    <row r="506" ht="15.0" customHeight="true">
      <c r="A506" s="51" t="s">
        <v>2448</v>
      </c>
      <c r="B506" s="33"/>
      <c r="C506" s="33" t="s">
        <v>3060</v>
      </c>
      <c r="D506" s="33"/>
      <c r="E506" s="33" t="s">
        <v>6286</v>
      </c>
      <c r="F506" s="33"/>
      <c r="G506" s="55" t="s">
        <v>6287</v>
      </c>
      <c r="H506" s="33"/>
      <c r="I506" s="51" t="s">
        <v>6288</v>
      </c>
      <c r="J506" s="33"/>
      <c r="K506" s="51" t="s">
        <v>6289</v>
      </c>
      <c r="L506" s="33" t="s">
        <v>2454</v>
      </c>
      <c r="M506" s="55" t="s">
        <v>5367</v>
      </c>
      <c r="N506" s="55" t="s">
        <v>3905</v>
      </c>
      <c r="O506" s="33" t="s">
        <v>2272</v>
      </c>
      <c r="P506" s="33" t="s">
        <v>2251</v>
      </c>
      <c r="Q506" s="33"/>
      <c r="R506" s="33" t="s">
        <v>2263</v>
      </c>
      <c r="S506" s="56" t="s">
        <v>2277</v>
      </c>
      <c r="T506" s="56"/>
      <c r="U506" s="56"/>
      <c r="V506" s="33" t="s">
        <v>2456</v>
      </c>
      <c r="W506" s="94" t="s">
        <v>2457</v>
      </c>
      <c r="X506" s="94" t="s">
        <v>2458</v>
      </c>
      <c r="Y506" s="51"/>
      <c r="Z506" s="51"/>
      <c r="AA506" s="33" t="s">
        <v>2459</v>
      </c>
      <c r="AB506" s="33" t="s">
        <v>2460</v>
      </c>
      <c r="AC506" s="33"/>
      <c r="AD506" s="33" t="s">
        <v>2254</v>
      </c>
      <c r="AE506" s="33"/>
      <c r="AF506" s="33" t="s">
        <v>2267</v>
      </c>
      <c r="AG506" s="33" t="s">
        <v>2461</v>
      </c>
      <c r="AH506" s="33"/>
      <c r="AI506" s="33"/>
      <c r="AJ506" s="33" t="s">
        <v>6290</v>
      </c>
      <c r="AK506" s="94"/>
      <c r="AL506" s="33" t="s">
        <v>6291</v>
      </c>
      <c r="AM506" s="33"/>
      <c r="AN506" s="33" t="s">
        <v>2465</v>
      </c>
      <c r="AO506" s="51" t="s">
        <v>2548</v>
      </c>
      <c r="AP506" s="51" t="s">
        <v>207</v>
      </c>
      <c r="AQ506" s="33"/>
      <c r="AR506" s="54"/>
      <c r="AS506" s="54"/>
      <c r="AT506" s="54"/>
      <c r="AU506" s="54"/>
      <c r="AV506" s="54"/>
      <c r="AW506" s="54"/>
      <c r="AX506" s="54"/>
      <c r="AY506" s="54"/>
      <c r="AZ506" s="54"/>
      <c r="BA506" s="54"/>
      <c r="BB506" s="54"/>
      <c r="BC506" s="54"/>
      <c r="BD506" s="54" t="s">
        <v>2447</v>
      </c>
      <c r="BE506" s="54"/>
      <c r="BF506" s="54"/>
      <c r="BG506" s="54"/>
      <c r="BH506" s="54"/>
      <c r="BI506" s="54"/>
      <c r="BJ506" s="0"/>
      <c r="BK506" s="0"/>
      <c r="BL506" s="0"/>
      <c r="BM506" s="0"/>
      <c r="BN506" s="0"/>
      <c r="BO506" s="0"/>
      <c r="BP506"/>
      <c r="BQ506"/>
      <c r="BR506"/>
      <c r="BS506"/>
      <c r="BT506"/>
      <c r="BU506"/>
      <c r="BV506"/>
      <c r="BW506"/>
      <c r="BX506"/>
      <c r="BY506"/>
      <c r="BZ506"/>
      <c r="CA506"/>
      <c r="CB506"/>
    </row>
    <row r="507" ht="15.0" customHeight="true">
      <c r="A507" s="51" t="s">
        <v>2448</v>
      </c>
      <c r="B507" s="33"/>
      <c r="C507" s="33" t="s">
        <v>6292</v>
      </c>
      <c r="D507" s="33"/>
      <c r="E507" s="33" t="s">
        <v>6293</v>
      </c>
      <c r="F507" s="33"/>
      <c r="G507" s="55" t="s">
        <v>6294</v>
      </c>
      <c r="H507" s="33"/>
      <c r="I507" s="51" t="s">
        <v>6295</v>
      </c>
      <c r="J507" s="33"/>
      <c r="K507" s="51" t="s">
        <v>6296</v>
      </c>
      <c r="L507" s="33" t="s">
        <v>2454</v>
      </c>
      <c r="M507" s="55" t="s">
        <v>3203</v>
      </c>
      <c r="N507" s="55" t="s">
        <v>2900</v>
      </c>
      <c r="O507" s="33" t="s">
        <v>2272</v>
      </c>
      <c r="P507" s="33" t="s">
        <v>2251</v>
      </c>
      <c r="Q507" s="33"/>
      <c r="R507" s="33" t="s">
        <v>2263</v>
      </c>
      <c r="S507" s="56" t="s">
        <v>2277</v>
      </c>
      <c r="T507" s="56"/>
      <c r="U507" s="56"/>
      <c r="V507" s="33" t="s">
        <v>2456</v>
      </c>
      <c r="W507" s="94" t="s">
        <v>2457</v>
      </c>
      <c r="X507" s="94" t="s">
        <v>2458</v>
      </c>
      <c r="Y507" s="51"/>
      <c r="Z507" s="51"/>
      <c r="AA507" s="33" t="s">
        <v>2459</v>
      </c>
      <c r="AB507" s="33" t="s">
        <v>2460</v>
      </c>
      <c r="AC507" s="33"/>
      <c r="AD507" s="33" t="s">
        <v>2254</v>
      </c>
      <c r="AE507" s="33"/>
      <c r="AF507" s="33" t="s">
        <v>2267</v>
      </c>
      <c r="AG507" s="33" t="s">
        <v>2461</v>
      </c>
      <c r="AH507" s="33"/>
      <c r="AI507" s="33"/>
      <c r="AJ507" s="33" t="s">
        <v>6297</v>
      </c>
      <c r="AK507" s="94"/>
      <c r="AL507" s="33" t="s">
        <v>6298</v>
      </c>
      <c r="AM507" s="33"/>
      <c r="AN507" s="33" t="s">
        <v>3764</v>
      </c>
      <c r="AO507" s="51" t="s">
        <v>3765</v>
      </c>
      <c r="AP507" s="51" t="s">
        <v>207</v>
      </c>
      <c r="AQ507" s="33"/>
      <c r="AR507" s="54"/>
      <c r="AS507" s="54"/>
      <c r="AT507" s="54"/>
      <c r="AU507" s="54"/>
      <c r="AV507" s="54"/>
      <c r="AW507" s="54"/>
      <c r="AX507" s="54"/>
      <c r="AY507" s="54"/>
      <c r="AZ507" s="54"/>
      <c r="BA507" s="54"/>
      <c r="BB507" s="54"/>
      <c r="BC507" s="54"/>
      <c r="BD507" s="54" t="s">
        <v>2447</v>
      </c>
      <c r="BE507" s="54"/>
      <c r="BF507" s="54"/>
      <c r="BG507" s="54"/>
      <c r="BH507" s="54"/>
      <c r="BI507" s="54"/>
      <c r="BJ507" s="0"/>
      <c r="BK507" s="0"/>
      <c r="BL507" s="0"/>
      <c r="BM507" s="0"/>
      <c r="BN507" s="0"/>
      <c r="BO507" s="0"/>
      <c r="BP507"/>
      <c r="BQ507"/>
      <c r="BR507"/>
      <c r="BS507"/>
      <c r="BT507"/>
      <c r="BU507"/>
      <c r="BV507"/>
      <c r="BW507"/>
      <c r="BX507"/>
      <c r="BY507"/>
      <c r="BZ507"/>
      <c r="CA507"/>
      <c r="CB507"/>
    </row>
    <row r="508" ht="15.0" customHeight="true">
      <c r="A508" s="51" t="s">
        <v>2448</v>
      </c>
      <c r="B508" s="33"/>
      <c r="C508" s="33" t="s">
        <v>3529</v>
      </c>
      <c r="D508" s="33"/>
      <c r="E508" s="33" t="s">
        <v>6299</v>
      </c>
      <c r="F508" s="33"/>
      <c r="G508" s="55" t="s">
        <v>6300</v>
      </c>
      <c r="H508" s="33"/>
      <c r="I508" s="51" t="s">
        <v>6301</v>
      </c>
      <c r="J508" s="33"/>
      <c r="K508" s="51" t="s">
        <v>6302</v>
      </c>
      <c r="L508" s="33" t="s">
        <v>2484</v>
      </c>
      <c r="M508" s="55" t="s">
        <v>4543</v>
      </c>
      <c r="N508" s="55"/>
      <c r="O508" s="33"/>
      <c r="P508" s="33" t="s">
        <v>2251</v>
      </c>
      <c r="Q508" s="33"/>
      <c r="R508" s="33" t="s">
        <v>2263</v>
      </c>
      <c r="S508" s="56" t="s">
        <v>2277</v>
      </c>
      <c r="T508" s="56"/>
      <c r="U508" s="56"/>
      <c r="V508" s="33" t="s">
        <v>2456</v>
      </c>
      <c r="W508" s="94" t="s">
        <v>2457</v>
      </c>
      <c r="X508" s="94" t="s">
        <v>2474</v>
      </c>
      <c r="Y508" s="51"/>
      <c r="Z508" s="51"/>
      <c r="AA508" s="33" t="s">
        <v>2459</v>
      </c>
      <c r="AB508" s="33" t="s">
        <v>2460</v>
      </c>
      <c r="AC508" s="33" t="s">
        <v>2486</v>
      </c>
      <c r="AD508" s="33" t="s">
        <v>2254</v>
      </c>
      <c r="AE508" s="33"/>
      <c r="AF508" s="33" t="s">
        <v>2267</v>
      </c>
      <c r="AG508" s="33" t="s">
        <v>2461</v>
      </c>
      <c r="AH508" s="33"/>
      <c r="AI508" s="33"/>
      <c r="AJ508" s="33" t="s">
        <v>6303</v>
      </c>
      <c r="AK508" s="94"/>
      <c r="AL508" s="33" t="s">
        <v>6304</v>
      </c>
      <c r="AM508" s="33" t="s">
        <v>6305</v>
      </c>
      <c r="AN508" s="33" t="s">
        <v>2465</v>
      </c>
      <c r="AO508" s="51" t="s">
        <v>2820</v>
      </c>
      <c r="AP508" s="51" t="s">
        <v>207</v>
      </c>
      <c r="AQ508" s="33"/>
      <c r="AR508" s="54"/>
      <c r="AS508" s="54"/>
      <c r="AT508" s="54"/>
      <c r="AU508" s="54"/>
      <c r="AV508" s="54"/>
      <c r="AW508" s="54"/>
      <c r="AX508" s="54"/>
      <c r="AY508" s="54"/>
      <c r="AZ508" s="54"/>
      <c r="BA508" s="54"/>
      <c r="BB508" s="54"/>
      <c r="BC508" s="54"/>
      <c r="BD508" s="54" t="s">
        <v>2447</v>
      </c>
      <c r="BE508" s="54"/>
      <c r="BF508" s="54"/>
      <c r="BG508" s="54"/>
      <c r="BH508" s="54"/>
      <c r="BI508" s="54"/>
      <c r="BJ508" s="0"/>
      <c r="BK508" s="0"/>
      <c r="BL508" s="0"/>
      <c r="BM508" s="0"/>
      <c r="BN508" s="0"/>
      <c r="BO508" s="0"/>
      <c r="BP508"/>
      <c r="BQ508"/>
      <c r="BR508"/>
      <c r="BS508"/>
      <c r="BT508"/>
      <c r="BU508"/>
      <c r="BV508"/>
      <c r="BW508"/>
      <c r="BX508"/>
      <c r="BY508"/>
      <c r="BZ508"/>
      <c r="CA508"/>
      <c r="CB508"/>
    </row>
    <row r="509" ht="15.0" customHeight="true">
      <c r="A509" s="51" t="s">
        <v>2448</v>
      </c>
      <c r="B509" s="33"/>
      <c r="C509" s="33" t="s">
        <v>6306</v>
      </c>
      <c r="D509" s="33"/>
      <c r="E509" s="33" t="s">
        <v>6307</v>
      </c>
      <c r="F509" s="33"/>
      <c r="G509" s="55" t="s">
        <v>6308</v>
      </c>
      <c r="H509" s="33"/>
      <c r="I509" s="51" t="s">
        <v>6309</v>
      </c>
      <c r="J509" s="33"/>
      <c r="K509" s="51" t="s">
        <v>6310</v>
      </c>
      <c r="L509" s="33" t="s">
        <v>2454</v>
      </c>
      <c r="M509" s="55" t="s">
        <v>3544</v>
      </c>
      <c r="N509" s="55" t="s">
        <v>2572</v>
      </c>
      <c r="O509" s="33" t="s">
        <v>2271</v>
      </c>
      <c r="P509" s="33" t="s">
        <v>2251</v>
      </c>
      <c r="Q509" s="33"/>
      <c r="R509" s="33" t="s">
        <v>2263</v>
      </c>
      <c r="S509" s="56" t="s">
        <v>2277</v>
      </c>
      <c r="T509" s="56"/>
      <c r="U509" s="56"/>
      <c r="V509" s="33" t="s">
        <v>3544</v>
      </c>
      <c r="W509" s="94" t="s">
        <v>2574</v>
      </c>
      <c r="X509" s="94" t="s">
        <v>2474</v>
      </c>
      <c r="Y509" s="51"/>
      <c r="Z509" s="51"/>
      <c r="AA509" s="33" t="s">
        <v>2459</v>
      </c>
      <c r="AB509" s="33" t="s">
        <v>2460</v>
      </c>
      <c r="AC509" s="33" t="s">
        <v>2486</v>
      </c>
      <c r="AD509" s="33" t="s">
        <v>2254</v>
      </c>
      <c r="AE509" s="33"/>
      <c r="AF509" s="33" t="s">
        <v>2267</v>
      </c>
      <c r="AG509" s="33" t="s">
        <v>2461</v>
      </c>
      <c r="AH509" s="33"/>
      <c r="AI509" s="33"/>
      <c r="AJ509" s="33" t="s">
        <v>6311</v>
      </c>
      <c r="AK509" s="94"/>
      <c r="AL509" s="33" t="s">
        <v>6312</v>
      </c>
      <c r="AM509" s="33"/>
      <c r="AN509" s="33" t="s">
        <v>2465</v>
      </c>
      <c r="AO509" s="51" t="s">
        <v>2538</v>
      </c>
      <c r="AP509" s="51" t="s">
        <v>207</v>
      </c>
      <c r="AQ509" s="33"/>
      <c r="AR509" s="54"/>
      <c r="AS509" s="54"/>
      <c r="AT509" s="54"/>
      <c r="AU509" s="54"/>
      <c r="AV509" s="54"/>
      <c r="AW509" s="54"/>
      <c r="AX509" s="54"/>
      <c r="AY509" s="54" t="s">
        <v>2269</v>
      </c>
      <c r="AZ509" s="54"/>
      <c r="BA509" s="54"/>
      <c r="BB509" s="54"/>
      <c r="BC509" s="54"/>
      <c r="BD509" s="54" t="s">
        <v>2447</v>
      </c>
      <c r="BE509" s="54"/>
      <c r="BF509" s="54"/>
      <c r="BG509" s="54"/>
      <c r="BH509" s="54"/>
      <c r="BI509" s="54"/>
      <c r="BJ509" s="0"/>
      <c r="BK509" s="0"/>
      <c r="BL509" s="0"/>
      <c r="BM509" s="0"/>
      <c r="BN509" s="0"/>
      <c r="BO509" s="0"/>
      <c r="BP509"/>
      <c r="BQ509"/>
      <c r="BR509"/>
      <c r="BS509"/>
      <c r="BT509"/>
      <c r="BU509"/>
      <c r="BV509"/>
      <c r="BW509"/>
      <c r="BX509"/>
      <c r="BY509"/>
      <c r="BZ509"/>
      <c r="CA509"/>
      <c r="CB509"/>
    </row>
    <row r="510" ht="15.0" customHeight="true">
      <c r="A510" s="51" t="s">
        <v>2448</v>
      </c>
      <c r="B510" s="33"/>
      <c r="C510" s="33" t="s">
        <v>6313</v>
      </c>
      <c r="D510" s="33"/>
      <c r="E510" s="33" t="s">
        <v>6314</v>
      </c>
      <c r="F510" s="33"/>
      <c r="G510" s="55" t="s">
        <v>6315</v>
      </c>
      <c r="H510" s="33"/>
      <c r="I510" s="51" t="s">
        <v>6316</v>
      </c>
      <c r="J510" s="33"/>
      <c r="K510" s="51" t="s">
        <v>6317</v>
      </c>
      <c r="L510" s="33" t="s">
        <v>2484</v>
      </c>
      <c r="M510" s="55" t="s">
        <v>6318</v>
      </c>
      <c r="N510" s="55"/>
      <c r="O510" s="33"/>
      <c r="P510" s="33" t="s">
        <v>2251</v>
      </c>
      <c r="Q510" s="33"/>
      <c r="R510" s="33" t="s">
        <v>2263</v>
      </c>
      <c r="S510" s="56" t="s">
        <v>2277</v>
      </c>
      <c r="T510" s="56"/>
      <c r="U510" s="56"/>
      <c r="V510" s="33" t="s">
        <v>6318</v>
      </c>
      <c r="W510" s="94" t="s">
        <v>2574</v>
      </c>
      <c r="X510" s="94" t="s">
        <v>4376</v>
      </c>
      <c r="Y510" s="51"/>
      <c r="Z510" s="51"/>
      <c r="AA510" s="33" t="s">
        <v>2459</v>
      </c>
      <c r="AB510" s="33" t="s">
        <v>2460</v>
      </c>
      <c r="AC510" s="33" t="s">
        <v>2486</v>
      </c>
      <c r="AD510" s="33" t="s">
        <v>2254</v>
      </c>
      <c r="AE510" s="33"/>
      <c r="AF510" s="33" t="s">
        <v>2267</v>
      </c>
      <c r="AG510" s="33" t="s">
        <v>2461</v>
      </c>
      <c r="AH510" s="33"/>
      <c r="AI510" s="33"/>
      <c r="AJ510" s="33" t="s">
        <v>6319</v>
      </c>
      <c r="AK510" s="94"/>
      <c r="AL510" s="33" t="s">
        <v>6320</v>
      </c>
      <c r="AM510" s="33"/>
      <c r="AN510" s="33" t="s">
        <v>2465</v>
      </c>
      <c r="AO510" s="51" t="s">
        <v>2489</v>
      </c>
      <c r="AP510" s="51" t="s">
        <v>207</v>
      </c>
      <c r="AQ510" s="33"/>
      <c r="AR510" s="54"/>
      <c r="AS510" s="54"/>
      <c r="AT510" s="54"/>
      <c r="AU510" s="54"/>
      <c r="AV510" s="54"/>
      <c r="AW510" s="54"/>
      <c r="AX510" s="54"/>
      <c r="AY510" s="54"/>
      <c r="AZ510" s="54"/>
      <c r="BA510" s="54"/>
      <c r="BB510" s="54"/>
      <c r="BC510" s="54"/>
      <c r="BD510" s="54"/>
      <c r="BE510" s="54"/>
      <c r="BF510" s="54"/>
      <c r="BG510" s="54"/>
      <c r="BH510" s="54"/>
      <c r="BI510" s="54"/>
      <c r="BJ510" s="0"/>
      <c r="BK510" s="0"/>
      <c r="BL510" s="0"/>
      <c r="BM510" s="0"/>
      <c r="BN510" s="0"/>
      <c r="BO510" s="0"/>
      <c r="BP510"/>
      <c r="BQ510"/>
      <c r="BR510"/>
      <c r="BS510"/>
      <c r="BT510"/>
      <c r="BU510"/>
      <c r="BV510"/>
      <c r="BW510"/>
      <c r="BX510"/>
      <c r="BY510"/>
      <c r="BZ510"/>
      <c r="CA510"/>
      <c r="CB510"/>
    </row>
    <row r="511" ht="15.0" customHeight="true">
      <c r="A511" s="51" t="s">
        <v>2448</v>
      </c>
      <c r="B511" s="33"/>
      <c r="C511" s="33" t="s">
        <v>6321</v>
      </c>
      <c r="D511" s="33"/>
      <c r="E511" s="33" t="s">
        <v>3512</v>
      </c>
      <c r="F511" s="33"/>
      <c r="G511" s="55" t="s">
        <v>6322</v>
      </c>
      <c r="H511" s="33"/>
      <c r="I511" s="51" t="s">
        <v>6323</v>
      </c>
      <c r="J511" s="33"/>
      <c r="K511" s="51" t="s">
        <v>6324</v>
      </c>
      <c r="L511" s="33" t="s">
        <v>2484</v>
      </c>
      <c r="M511" s="55" t="s">
        <v>6325</v>
      </c>
      <c r="N511" s="55"/>
      <c r="O511" s="33"/>
      <c r="P511" s="33" t="s">
        <v>2251</v>
      </c>
      <c r="Q511" s="33"/>
      <c r="R511" s="33" t="s">
        <v>2263</v>
      </c>
      <c r="S511" s="56" t="s">
        <v>2277</v>
      </c>
      <c r="T511" s="56"/>
      <c r="U511" s="56"/>
      <c r="V511" s="33" t="s">
        <v>2456</v>
      </c>
      <c r="W511" s="94" t="s">
        <v>2457</v>
      </c>
      <c r="X511" s="94" t="s">
        <v>2474</v>
      </c>
      <c r="Y511" s="51"/>
      <c r="Z511" s="51"/>
      <c r="AA511" s="33" t="s">
        <v>2459</v>
      </c>
      <c r="AB511" s="33" t="s">
        <v>3790</v>
      </c>
      <c r="AC511" s="33" t="s">
        <v>4890</v>
      </c>
      <c r="AD511" s="33" t="s">
        <v>2254</v>
      </c>
      <c r="AE511" s="33"/>
      <c r="AF511" s="33" t="s">
        <v>2267</v>
      </c>
      <c r="AG511" s="33" t="s">
        <v>2461</v>
      </c>
      <c r="AH511" s="33"/>
      <c r="AI511" s="33"/>
      <c r="AJ511" s="33" t="s">
        <v>6326</v>
      </c>
      <c r="AK511" s="94"/>
      <c r="AL511" s="33" t="s">
        <v>3003</v>
      </c>
      <c r="AM511" s="33" t="s">
        <v>6327</v>
      </c>
      <c r="AN511" s="33" t="s">
        <v>2465</v>
      </c>
      <c r="AO511" s="51" t="s">
        <v>2673</v>
      </c>
      <c r="AP511" s="51" t="s">
        <v>207</v>
      </c>
      <c r="AQ511" s="33"/>
      <c r="AR511" s="54"/>
      <c r="AS511" s="54"/>
      <c r="AT511" s="54"/>
      <c r="AU511" s="54"/>
      <c r="AV511" s="54"/>
      <c r="AW511" s="54"/>
      <c r="AX511" s="54"/>
      <c r="AY511" s="54"/>
      <c r="AZ511" s="54"/>
      <c r="BA511" s="54"/>
      <c r="BB511" s="54"/>
      <c r="BC511" s="54"/>
      <c r="BD511" s="54" t="s">
        <v>2447</v>
      </c>
      <c r="BE511" s="54"/>
      <c r="BF511" s="54"/>
      <c r="BG511" s="54"/>
      <c r="BH511" s="54"/>
      <c r="BI511" s="54"/>
      <c r="BJ511" s="0"/>
      <c r="BK511" s="0"/>
      <c r="BL511" s="0"/>
      <c r="BM511" s="0"/>
      <c r="BN511" s="0"/>
      <c r="BO511" s="0"/>
      <c r="BP511"/>
      <c r="BQ511"/>
      <c r="BR511"/>
      <c r="BS511"/>
      <c r="BT511"/>
      <c r="BU511"/>
      <c r="BV511"/>
      <c r="BW511"/>
      <c r="BX511"/>
      <c r="BY511"/>
      <c r="BZ511"/>
      <c r="CA511"/>
      <c r="CB511"/>
    </row>
    <row r="512" ht="15.0" customHeight="true">
      <c r="A512" s="51" t="s">
        <v>2448</v>
      </c>
      <c r="B512" s="33"/>
      <c r="C512" s="33" t="s">
        <v>2838</v>
      </c>
      <c r="D512" s="33"/>
      <c r="E512" s="33" t="s">
        <v>6328</v>
      </c>
      <c r="F512" s="33"/>
      <c r="G512" s="55" t="s">
        <v>6329</v>
      </c>
      <c r="H512" s="33"/>
      <c r="I512" s="51" t="s">
        <v>6330</v>
      </c>
      <c r="J512" s="33"/>
      <c r="K512" s="51" t="s">
        <v>6331</v>
      </c>
      <c r="L512" s="33" t="s">
        <v>2454</v>
      </c>
      <c r="M512" s="55" t="s">
        <v>3753</v>
      </c>
      <c r="N512" s="55" t="s">
        <v>2709</v>
      </c>
      <c r="O512" s="33" t="s">
        <v>2272</v>
      </c>
      <c r="P512" s="33" t="s">
        <v>2251</v>
      </c>
      <c r="Q512" s="33"/>
      <c r="R512" s="33" t="s">
        <v>2263</v>
      </c>
      <c r="S512" s="56" t="s">
        <v>2277</v>
      </c>
      <c r="T512" s="56"/>
      <c r="U512" s="56"/>
      <c r="V512" s="33" t="s">
        <v>2456</v>
      </c>
      <c r="W512" s="94" t="s">
        <v>2457</v>
      </c>
      <c r="X512" s="94" t="s">
        <v>2474</v>
      </c>
      <c r="Y512" s="51"/>
      <c r="Z512" s="51"/>
      <c r="AA512" s="33" t="s">
        <v>2459</v>
      </c>
      <c r="AB512" s="33" t="s">
        <v>2460</v>
      </c>
      <c r="AC512" s="33"/>
      <c r="AD512" s="33" t="s">
        <v>2254</v>
      </c>
      <c r="AE512" s="33"/>
      <c r="AF512" s="33" t="s">
        <v>2267</v>
      </c>
      <c r="AG512" s="33" t="s">
        <v>2461</v>
      </c>
      <c r="AH512" s="33"/>
      <c r="AI512" s="33"/>
      <c r="AJ512" s="33" t="s">
        <v>6332</v>
      </c>
      <c r="AK512" s="94"/>
      <c r="AL512" s="33" t="s">
        <v>6333</v>
      </c>
      <c r="AM512" s="33"/>
      <c r="AN512" s="33" t="s">
        <v>2465</v>
      </c>
      <c r="AO512" s="51" t="s">
        <v>2548</v>
      </c>
      <c r="AP512" s="51" t="s">
        <v>207</v>
      </c>
      <c r="AQ512" s="33"/>
      <c r="AR512" s="54"/>
      <c r="AS512" s="54"/>
      <c r="AT512" s="54"/>
      <c r="AU512" s="54"/>
      <c r="AV512" s="54"/>
      <c r="AW512" s="54"/>
      <c r="AX512" s="54"/>
      <c r="AY512" s="54"/>
      <c r="AZ512" s="54"/>
      <c r="BA512" s="54"/>
      <c r="BB512" s="54"/>
      <c r="BC512" s="54"/>
      <c r="BD512" s="54" t="s">
        <v>2447</v>
      </c>
      <c r="BE512" s="54"/>
      <c r="BF512" s="54"/>
      <c r="BG512" s="54"/>
      <c r="BH512" s="54"/>
      <c r="BI512" s="54"/>
      <c r="BJ512" s="0"/>
      <c r="BK512" s="0"/>
      <c r="BL512" s="0"/>
      <c r="BM512" s="0"/>
      <c r="BN512" s="0"/>
      <c r="BO512" s="0"/>
      <c r="BP512"/>
      <c r="BQ512"/>
      <c r="BR512"/>
      <c r="BS512"/>
      <c r="BT512"/>
      <c r="BU512"/>
      <c r="BV512"/>
      <c r="BW512"/>
      <c r="BX512"/>
      <c r="BY512"/>
      <c r="BZ512"/>
      <c r="CA512"/>
      <c r="CB512"/>
    </row>
    <row r="513" ht="15.0" customHeight="true">
      <c r="A513" s="51" t="s">
        <v>2448</v>
      </c>
      <c r="B513" s="33"/>
      <c r="C513" s="33" t="s">
        <v>6334</v>
      </c>
      <c r="D513" s="33"/>
      <c r="E513" s="33" t="s">
        <v>6335</v>
      </c>
      <c r="F513" s="33"/>
      <c r="G513" s="55" t="s">
        <v>6336</v>
      </c>
      <c r="H513" s="33"/>
      <c r="I513" s="51" t="s">
        <v>6337</v>
      </c>
      <c r="J513" s="33"/>
      <c r="K513" s="51" t="s">
        <v>6338</v>
      </c>
      <c r="L513" s="33" t="s">
        <v>2454</v>
      </c>
      <c r="M513" s="55" t="s">
        <v>3047</v>
      </c>
      <c r="N513" s="55" t="s">
        <v>5167</v>
      </c>
      <c r="O513" s="33" t="s">
        <v>2272</v>
      </c>
      <c r="P513" s="33" t="s">
        <v>2251</v>
      </c>
      <c r="Q513" s="33"/>
      <c r="R513" s="33" t="s">
        <v>2263</v>
      </c>
      <c r="S513" s="56" t="s">
        <v>2277</v>
      </c>
      <c r="T513" s="56"/>
      <c r="U513" s="56"/>
      <c r="V513" s="33" t="s">
        <v>2456</v>
      </c>
      <c r="W513" s="94" t="s">
        <v>2457</v>
      </c>
      <c r="X513" s="94" t="s">
        <v>2458</v>
      </c>
      <c r="Y513" s="51"/>
      <c r="Z513" s="51"/>
      <c r="AA513" s="33" t="s">
        <v>2459</v>
      </c>
      <c r="AB513" s="33" t="s">
        <v>2460</v>
      </c>
      <c r="AC513" s="33"/>
      <c r="AD513" s="33" t="s">
        <v>2254</v>
      </c>
      <c r="AE513" s="33"/>
      <c r="AF513" s="33" t="s">
        <v>2267</v>
      </c>
      <c r="AG513" s="33" t="s">
        <v>2461</v>
      </c>
      <c r="AH513" s="33"/>
      <c r="AI513" s="33"/>
      <c r="AJ513" s="33" t="s">
        <v>6339</v>
      </c>
      <c r="AK513" s="94"/>
      <c r="AL513" s="33" t="s">
        <v>6340</v>
      </c>
      <c r="AM513" s="33" t="s">
        <v>6341</v>
      </c>
      <c r="AN513" s="33" t="s">
        <v>2465</v>
      </c>
      <c r="AO513" s="51" t="s">
        <v>2528</v>
      </c>
      <c r="AP513" s="51" t="s">
        <v>207</v>
      </c>
      <c r="AQ513" s="33"/>
      <c r="AR513" s="54"/>
      <c r="AS513" s="54"/>
      <c r="AT513" s="54"/>
      <c r="AU513" s="54"/>
      <c r="AV513" s="54"/>
      <c r="AW513" s="54"/>
      <c r="AX513" s="54"/>
      <c r="AY513" s="54"/>
      <c r="AZ513" s="54"/>
      <c r="BA513" s="54"/>
      <c r="BB513" s="54"/>
      <c r="BC513" s="54"/>
      <c r="BD513" s="54" t="s">
        <v>2447</v>
      </c>
      <c r="BE513" s="54"/>
      <c r="BF513" s="54"/>
      <c r="BG513" s="54"/>
      <c r="BH513" s="54"/>
      <c r="BI513" s="54"/>
      <c r="BJ513" s="0"/>
      <c r="BK513" s="0"/>
      <c r="BL513" s="0"/>
      <c r="BM513" s="0"/>
      <c r="BN513" s="0"/>
      <c r="BO513" s="0"/>
      <c r="BP513"/>
      <c r="BQ513"/>
      <c r="BR513"/>
      <c r="BS513"/>
      <c r="BT513"/>
      <c r="BU513"/>
      <c r="BV513"/>
      <c r="BW513"/>
      <c r="BX513"/>
      <c r="BY513"/>
      <c r="BZ513"/>
      <c r="CA513"/>
      <c r="CB513"/>
    </row>
    <row r="514" ht="15.0" customHeight="true">
      <c r="A514" s="51" t="s">
        <v>2448</v>
      </c>
      <c r="B514" s="33"/>
      <c r="C514" s="33" t="s">
        <v>3658</v>
      </c>
      <c r="D514" s="33"/>
      <c r="E514" s="33" t="s">
        <v>6342</v>
      </c>
      <c r="F514" s="33"/>
      <c r="G514" s="55" t="s">
        <v>6343</v>
      </c>
      <c r="H514" s="33"/>
      <c r="I514" s="51" t="s">
        <v>6344</v>
      </c>
      <c r="J514" s="33"/>
      <c r="K514" s="51" t="s">
        <v>6345</v>
      </c>
      <c r="L514" s="33" t="s">
        <v>2454</v>
      </c>
      <c r="M514" s="55" t="s">
        <v>2472</v>
      </c>
      <c r="N514" s="55" t="s">
        <v>2807</v>
      </c>
      <c r="O514" s="33" t="s">
        <v>2272</v>
      </c>
      <c r="P514" s="33" t="s">
        <v>2251</v>
      </c>
      <c r="Q514" s="33"/>
      <c r="R514" s="33" t="s">
        <v>2263</v>
      </c>
      <c r="S514" s="56" t="s">
        <v>2277</v>
      </c>
      <c r="T514" s="56"/>
      <c r="U514" s="56"/>
      <c r="V514" s="33" t="s">
        <v>2456</v>
      </c>
      <c r="W514" s="94" t="s">
        <v>2457</v>
      </c>
      <c r="X514" s="94" t="s">
        <v>2474</v>
      </c>
      <c r="Y514" s="51"/>
      <c r="Z514" s="51"/>
      <c r="AA514" s="33" t="s">
        <v>2459</v>
      </c>
      <c r="AB514" s="33" t="s">
        <v>2460</v>
      </c>
      <c r="AC514" s="33"/>
      <c r="AD514" s="33" t="s">
        <v>2254</v>
      </c>
      <c r="AE514" s="33"/>
      <c r="AF514" s="33" t="s">
        <v>2267</v>
      </c>
      <c r="AG514" s="33" t="s">
        <v>2461</v>
      </c>
      <c r="AH514" s="33"/>
      <c r="AI514" s="33"/>
      <c r="AJ514" s="33" t="s">
        <v>6346</v>
      </c>
      <c r="AK514" s="94"/>
      <c r="AL514" s="33" t="s">
        <v>6347</v>
      </c>
      <c r="AM514" s="33"/>
      <c r="AN514" s="33" t="s">
        <v>2465</v>
      </c>
      <c r="AO514" s="51" t="s">
        <v>2548</v>
      </c>
      <c r="AP514" s="51" t="s">
        <v>207</v>
      </c>
      <c r="AQ514" s="33"/>
      <c r="AR514" s="54"/>
      <c r="AS514" s="54"/>
      <c r="AT514" s="54"/>
      <c r="AU514" s="54"/>
      <c r="AV514" s="54"/>
      <c r="AW514" s="54"/>
      <c r="AX514" s="54"/>
      <c r="AY514" s="54"/>
      <c r="AZ514" s="54"/>
      <c r="BA514" s="54"/>
      <c r="BB514" s="54"/>
      <c r="BC514" s="54"/>
      <c r="BD514" s="54" t="s">
        <v>2447</v>
      </c>
      <c r="BE514" s="54"/>
      <c r="BF514" s="54"/>
      <c r="BG514" s="54"/>
      <c r="BH514" s="54"/>
      <c r="BI514" s="54"/>
      <c r="BJ514" s="0"/>
      <c r="BK514" s="0"/>
      <c r="BL514" s="0"/>
      <c r="BM514" s="0"/>
      <c r="BN514" s="0"/>
      <c r="BO514" s="0"/>
      <c r="BP514"/>
      <c r="BQ514"/>
      <c r="BR514"/>
      <c r="BS514"/>
      <c r="BT514"/>
      <c r="BU514"/>
      <c r="BV514"/>
      <c r="BW514"/>
      <c r="BX514"/>
      <c r="BY514"/>
      <c r="BZ514"/>
      <c r="CA514"/>
      <c r="CB514"/>
    </row>
    <row r="515" ht="15.0" customHeight="true">
      <c r="A515" s="51" t="s">
        <v>2448</v>
      </c>
      <c r="B515" s="33"/>
      <c r="C515" s="33" t="s">
        <v>3131</v>
      </c>
      <c r="D515" s="33"/>
      <c r="E515" s="33" t="s">
        <v>3574</v>
      </c>
      <c r="F515" s="33"/>
      <c r="G515" s="55" t="s">
        <v>6348</v>
      </c>
      <c r="H515" s="33"/>
      <c r="I515" s="51" t="s">
        <v>6349</v>
      </c>
      <c r="J515" s="33"/>
      <c r="K515" s="51" t="s">
        <v>6350</v>
      </c>
      <c r="L515" s="33" t="s">
        <v>2454</v>
      </c>
      <c r="M515" s="55" t="s">
        <v>3258</v>
      </c>
      <c r="N515" s="55" t="s">
        <v>3418</v>
      </c>
      <c r="O515" s="33" t="s">
        <v>2272</v>
      </c>
      <c r="P515" s="33" t="s">
        <v>2251</v>
      </c>
      <c r="Q515" s="33"/>
      <c r="R515" s="33" t="s">
        <v>2263</v>
      </c>
      <c r="S515" s="56" t="s">
        <v>2277</v>
      </c>
      <c r="T515" s="56"/>
      <c r="U515" s="56"/>
      <c r="V515" s="33" t="s">
        <v>2456</v>
      </c>
      <c r="W515" s="94" t="s">
        <v>2457</v>
      </c>
      <c r="X515" s="94" t="s">
        <v>2474</v>
      </c>
      <c r="Y515" s="51"/>
      <c r="Z515" s="51"/>
      <c r="AA515" s="33" t="s">
        <v>2459</v>
      </c>
      <c r="AB515" s="33" t="s">
        <v>2460</v>
      </c>
      <c r="AC515" s="33"/>
      <c r="AD515" s="33" t="s">
        <v>2254</v>
      </c>
      <c r="AE515" s="33"/>
      <c r="AF515" s="33" t="s">
        <v>2267</v>
      </c>
      <c r="AG515" s="33" t="s">
        <v>2461</v>
      </c>
      <c r="AH515" s="33"/>
      <c r="AI515" s="33"/>
      <c r="AJ515" s="33" t="s">
        <v>6351</v>
      </c>
      <c r="AK515" s="94"/>
      <c r="AL515" s="33" t="s">
        <v>6352</v>
      </c>
      <c r="AM515" s="33"/>
      <c r="AN515" s="33" t="s">
        <v>2465</v>
      </c>
      <c r="AO515" s="51" t="s">
        <v>2548</v>
      </c>
      <c r="AP515" s="51" t="s">
        <v>207</v>
      </c>
      <c r="AQ515" s="33"/>
      <c r="AR515" s="54"/>
      <c r="AS515" s="54"/>
      <c r="AT515" s="54"/>
      <c r="AU515" s="54"/>
      <c r="AV515" s="54"/>
      <c r="AW515" s="54"/>
      <c r="AX515" s="54"/>
      <c r="AY515" s="54"/>
      <c r="AZ515" s="54"/>
      <c r="BA515" s="54"/>
      <c r="BB515" s="54"/>
      <c r="BC515" s="54"/>
      <c r="BD515" s="54" t="s">
        <v>2447</v>
      </c>
      <c r="BE515" s="54"/>
      <c r="BF515" s="54"/>
      <c r="BG515" s="54"/>
      <c r="BH515" s="54"/>
      <c r="BI515" s="54"/>
      <c r="BJ515" s="0"/>
      <c r="BK515" s="0"/>
      <c r="BL515" s="0"/>
      <c r="BM515" s="0"/>
      <c r="BN515" s="0"/>
      <c r="BO515" s="0"/>
      <c r="BP515"/>
      <c r="BQ515"/>
      <c r="BR515"/>
      <c r="BS515"/>
      <c r="BT515"/>
      <c r="BU515"/>
      <c r="BV515"/>
      <c r="BW515"/>
      <c r="BX515"/>
      <c r="BY515"/>
      <c r="BZ515"/>
      <c r="CA515"/>
      <c r="CB515"/>
    </row>
    <row r="516" ht="15.0" customHeight="true">
      <c r="A516" s="51" t="s">
        <v>2448</v>
      </c>
      <c r="B516" s="33"/>
      <c r="C516" s="33" t="s">
        <v>3448</v>
      </c>
      <c r="D516" s="33"/>
      <c r="E516" s="33" t="s">
        <v>6353</v>
      </c>
      <c r="F516" s="33"/>
      <c r="G516" s="55" t="s">
        <v>6354</v>
      </c>
      <c r="H516" s="33"/>
      <c r="I516" s="51" t="s">
        <v>6355</v>
      </c>
      <c r="J516" s="33"/>
      <c r="K516" s="51" t="s">
        <v>6356</v>
      </c>
      <c r="L516" s="33" t="s">
        <v>2484</v>
      </c>
      <c r="M516" s="55" t="s">
        <v>3544</v>
      </c>
      <c r="N516" s="55"/>
      <c r="O516" s="33"/>
      <c r="P516" s="33" t="s">
        <v>2251</v>
      </c>
      <c r="Q516" s="33"/>
      <c r="R516" s="33" t="s">
        <v>2263</v>
      </c>
      <c r="S516" s="56" t="s">
        <v>2277</v>
      </c>
      <c r="T516" s="56"/>
      <c r="U516" s="56"/>
      <c r="V516" s="33" t="s">
        <v>2456</v>
      </c>
      <c r="W516" s="94" t="s">
        <v>2457</v>
      </c>
      <c r="X516" s="94" t="s">
        <v>2474</v>
      </c>
      <c r="Y516" s="51"/>
      <c r="Z516" s="51"/>
      <c r="AA516" s="33" t="s">
        <v>2459</v>
      </c>
      <c r="AB516" s="33" t="s">
        <v>2460</v>
      </c>
      <c r="AC516" s="33" t="s">
        <v>2486</v>
      </c>
      <c r="AD516" s="33" t="s">
        <v>2254</v>
      </c>
      <c r="AE516" s="33"/>
      <c r="AF516" s="33" t="s">
        <v>2267</v>
      </c>
      <c r="AG516" s="33" t="s">
        <v>2461</v>
      </c>
      <c r="AH516" s="33"/>
      <c r="AI516" s="33"/>
      <c r="AJ516" s="33" t="s">
        <v>6357</v>
      </c>
      <c r="AK516" s="94"/>
      <c r="AL516" s="33" t="s">
        <v>6358</v>
      </c>
      <c r="AM516" s="33"/>
      <c r="AN516" s="33" t="s">
        <v>2465</v>
      </c>
      <c r="AO516" s="51" t="s">
        <v>2538</v>
      </c>
      <c r="AP516" s="51" t="s">
        <v>207</v>
      </c>
      <c r="AQ516" s="33"/>
      <c r="AR516" s="54"/>
      <c r="AS516" s="54"/>
      <c r="AT516" s="54"/>
      <c r="AU516" s="54"/>
      <c r="AV516" s="54"/>
      <c r="AW516" s="54"/>
      <c r="AX516" s="54"/>
      <c r="AY516" s="54"/>
      <c r="AZ516" s="54"/>
      <c r="BA516" s="54"/>
      <c r="BB516" s="54"/>
      <c r="BC516" s="54"/>
      <c r="BD516" s="54" t="s">
        <v>2447</v>
      </c>
      <c r="BE516" s="54"/>
      <c r="BF516" s="54"/>
      <c r="BG516" s="54"/>
      <c r="BH516" s="54"/>
      <c r="BI516" s="54"/>
      <c r="BJ516" s="0"/>
      <c r="BK516" s="0"/>
      <c r="BL516" s="0"/>
      <c r="BM516" s="0"/>
      <c r="BN516" s="0"/>
      <c r="BO516" s="0"/>
      <c r="BP516"/>
      <c r="BQ516"/>
      <c r="BR516"/>
      <c r="BS516"/>
      <c r="BT516"/>
      <c r="BU516"/>
      <c r="BV516"/>
      <c r="BW516"/>
      <c r="BX516"/>
      <c r="BY516"/>
      <c r="BZ516"/>
      <c r="CA516"/>
      <c r="CB516"/>
    </row>
    <row r="517" ht="15.0" customHeight="true">
      <c r="A517" s="51" t="s">
        <v>2448</v>
      </c>
      <c r="B517" s="33"/>
      <c r="C517" s="33" t="s">
        <v>6359</v>
      </c>
      <c r="D517" s="33"/>
      <c r="E517" s="33" t="s">
        <v>6360</v>
      </c>
      <c r="F517" s="33"/>
      <c r="G517" s="55" t="s">
        <v>6361</v>
      </c>
      <c r="H517" s="33"/>
      <c r="I517" s="51" t="s">
        <v>6362</v>
      </c>
      <c r="J517" s="33"/>
      <c r="K517" s="51" t="s">
        <v>6363</v>
      </c>
      <c r="L517" s="33" t="s">
        <v>2454</v>
      </c>
      <c r="M517" s="55" t="s">
        <v>3418</v>
      </c>
      <c r="N517" s="55" t="s">
        <v>3418</v>
      </c>
      <c r="O517" s="33" t="s">
        <v>2272</v>
      </c>
      <c r="P517" s="33" t="s">
        <v>2251</v>
      </c>
      <c r="Q517" s="33"/>
      <c r="R517" s="33" t="s">
        <v>2263</v>
      </c>
      <c r="S517" s="56" t="s">
        <v>2277</v>
      </c>
      <c r="T517" s="56"/>
      <c r="U517" s="56"/>
      <c r="V517" s="33" t="s">
        <v>2456</v>
      </c>
      <c r="W517" s="94" t="s">
        <v>2457</v>
      </c>
      <c r="X517" s="94" t="s">
        <v>2474</v>
      </c>
      <c r="Y517" s="51"/>
      <c r="Z517" s="51"/>
      <c r="AA517" s="33" t="s">
        <v>2459</v>
      </c>
      <c r="AB517" s="33" t="s">
        <v>2460</v>
      </c>
      <c r="AC517" s="33"/>
      <c r="AD517" s="33" t="s">
        <v>2254</v>
      </c>
      <c r="AE517" s="33"/>
      <c r="AF517" s="33" t="s">
        <v>2267</v>
      </c>
      <c r="AG517" s="33" t="s">
        <v>2461</v>
      </c>
      <c r="AH517" s="33"/>
      <c r="AI517" s="33"/>
      <c r="AJ517" s="33" t="s">
        <v>6364</v>
      </c>
      <c r="AK517" s="94"/>
      <c r="AL517" s="33" t="s">
        <v>6365</v>
      </c>
      <c r="AM517" s="33"/>
      <c r="AN517" s="33" t="s">
        <v>2465</v>
      </c>
      <c r="AO517" s="51" t="s">
        <v>2538</v>
      </c>
      <c r="AP517" s="51" t="s">
        <v>207</v>
      </c>
      <c r="AQ517" s="33"/>
      <c r="AR517" s="54"/>
      <c r="AS517" s="54"/>
      <c r="AT517" s="54"/>
      <c r="AU517" s="54"/>
      <c r="AV517" s="54"/>
      <c r="AW517" s="54"/>
      <c r="AX517" s="54"/>
      <c r="AY517" s="54"/>
      <c r="AZ517" s="54"/>
      <c r="BA517" s="54"/>
      <c r="BB517" s="54"/>
      <c r="BC517" s="54"/>
      <c r="BD517" s="54" t="s">
        <v>2447</v>
      </c>
      <c r="BE517" s="54"/>
      <c r="BF517" s="54"/>
      <c r="BG517" s="54"/>
      <c r="BH517" s="54"/>
      <c r="BI517" s="54"/>
      <c r="BJ517" s="0"/>
      <c r="BK517" s="0"/>
      <c r="BL517" s="0"/>
      <c r="BM517" s="0"/>
      <c r="BN517" s="0"/>
      <c r="BO517" s="0"/>
      <c r="BP517"/>
      <c r="BQ517"/>
      <c r="BR517"/>
      <c r="BS517"/>
      <c r="BT517"/>
      <c r="BU517"/>
      <c r="BV517"/>
      <c r="BW517"/>
      <c r="BX517"/>
      <c r="BY517"/>
      <c r="BZ517"/>
      <c r="CA517"/>
      <c r="CB517"/>
    </row>
    <row r="518" ht="15.0" customHeight="true">
      <c r="A518" s="51" t="s">
        <v>2448</v>
      </c>
      <c r="B518" s="33"/>
      <c r="C518" s="33" t="s">
        <v>6366</v>
      </c>
      <c r="D518" s="33"/>
      <c r="E518" s="33" t="s">
        <v>6367</v>
      </c>
      <c r="F518" s="33"/>
      <c r="G518" s="55" t="s">
        <v>6368</v>
      </c>
      <c r="H518" s="33"/>
      <c r="I518" s="51" t="s">
        <v>6369</v>
      </c>
      <c r="J518" s="33"/>
      <c r="K518" s="51" t="s">
        <v>6370</v>
      </c>
      <c r="L518" s="33" t="s">
        <v>2454</v>
      </c>
      <c r="M518" s="55" t="s">
        <v>2780</v>
      </c>
      <c r="N518" s="55" t="s">
        <v>3259</v>
      </c>
      <c r="O518" s="33" t="s">
        <v>2272</v>
      </c>
      <c r="P518" s="33" t="s">
        <v>2251</v>
      </c>
      <c r="Q518" s="33"/>
      <c r="R518" s="33" t="s">
        <v>2263</v>
      </c>
      <c r="S518" s="56" t="s">
        <v>2277</v>
      </c>
      <c r="T518" s="56"/>
      <c r="U518" s="56"/>
      <c r="V518" s="33" t="s">
        <v>2456</v>
      </c>
      <c r="W518" s="94" t="s">
        <v>2457</v>
      </c>
      <c r="X518" s="94" t="s">
        <v>2474</v>
      </c>
      <c r="Y518" s="51"/>
      <c r="Z518" s="51"/>
      <c r="AA518" s="33" t="s">
        <v>2459</v>
      </c>
      <c r="AB518" s="33" t="s">
        <v>2460</v>
      </c>
      <c r="AC518" s="33"/>
      <c r="AD518" s="33" t="s">
        <v>2254</v>
      </c>
      <c r="AE518" s="33"/>
      <c r="AF518" s="33" t="s">
        <v>2267</v>
      </c>
      <c r="AG518" s="33" t="s">
        <v>2461</v>
      </c>
      <c r="AH518" s="33"/>
      <c r="AI518" s="33"/>
      <c r="AJ518" s="33" t="s">
        <v>6371</v>
      </c>
      <c r="AK518" s="94"/>
      <c r="AL518" s="33" t="s">
        <v>6372</v>
      </c>
      <c r="AM518" s="33"/>
      <c r="AN518" s="33" t="s">
        <v>2465</v>
      </c>
      <c r="AO518" s="51" t="s">
        <v>6373</v>
      </c>
      <c r="AP518" s="51" t="s">
        <v>207</v>
      </c>
      <c r="AQ518" s="33"/>
      <c r="AR518" s="54"/>
      <c r="AS518" s="54"/>
      <c r="AT518" s="54"/>
      <c r="AU518" s="54"/>
      <c r="AV518" s="54"/>
      <c r="AW518" s="54"/>
      <c r="AX518" s="54"/>
      <c r="AY518" s="54"/>
      <c r="AZ518" s="54"/>
      <c r="BA518" s="54"/>
      <c r="BB518" s="54"/>
      <c r="BC518" s="54"/>
      <c r="BD518" s="54" t="s">
        <v>2447</v>
      </c>
      <c r="BE518" s="54"/>
      <c r="BF518" s="54"/>
      <c r="BG518" s="54"/>
      <c r="BH518" s="54"/>
      <c r="BI518" s="54"/>
      <c r="BJ518" s="0"/>
      <c r="BK518" s="0"/>
      <c r="BL518" s="0"/>
      <c r="BM518" s="0"/>
      <c r="BN518" s="0"/>
      <c r="BO518" s="0"/>
      <c r="BP518"/>
      <c r="BQ518"/>
      <c r="BR518"/>
      <c r="BS518"/>
      <c r="BT518"/>
      <c r="BU518"/>
      <c r="BV518"/>
      <c r="BW518"/>
      <c r="BX518"/>
      <c r="BY518"/>
      <c r="BZ518"/>
      <c r="CA518"/>
      <c r="CB518"/>
    </row>
    <row r="519" ht="15.0" customHeight="true">
      <c r="A519" s="51" t="s">
        <v>2448</v>
      </c>
      <c r="B519" s="33"/>
      <c r="C519" s="33" t="s">
        <v>5108</v>
      </c>
      <c r="D519" s="33"/>
      <c r="E519" s="33" t="s">
        <v>6374</v>
      </c>
      <c r="F519" s="33"/>
      <c r="G519" s="55" t="s">
        <v>3642</v>
      </c>
      <c r="H519" s="33"/>
      <c r="I519" s="51" t="s">
        <v>6375</v>
      </c>
      <c r="J519" s="33"/>
      <c r="K519" s="51" t="s">
        <v>6376</v>
      </c>
      <c r="L519" s="33" t="s">
        <v>2484</v>
      </c>
      <c r="M519" s="55" t="s">
        <v>3350</v>
      </c>
      <c r="N519" s="55"/>
      <c r="O519" s="33"/>
      <c r="P519" s="33" t="s">
        <v>2251</v>
      </c>
      <c r="Q519" s="33"/>
      <c r="R519" s="33" t="s">
        <v>2263</v>
      </c>
      <c r="S519" s="56" t="s">
        <v>2277</v>
      </c>
      <c r="T519" s="56"/>
      <c r="U519" s="56"/>
      <c r="V519" s="33" t="s">
        <v>2456</v>
      </c>
      <c r="W519" s="94" t="s">
        <v>2457</v>
      </c>
      <c r="X519" s="94" t="s">
        <v>2474</v>
      </c>
      <c r="Y519" s="51"/>
      <c r="Z519" s="51"/>
      <c r="AA519" s="33" t="s">
        <v>2459</v>
      </c>
      <c r="AB519" s="33" t="s">
        <v>2460</v>
      </c>
      <c r="AC519" s="33" t="s">
        <v>2486</v>
      </c>
      <c r="AD519" s="33" t="s">
        <v>2254</v>
      </c>
      <c r="AE519" s="33"/>
      <c r="AF519" s="33" t="s">
        <v>2267</v>
      </c>
      <c r="AG519" s="33" t="s">
        <v>2461</v>
      </c>
      <c r="AH519" s="33"/>
      <c r="AI519" s="33"/>
      <c r="AJ519" s="33" t="s">
        <v>6377</v>
      </c>
      <c r="AK519" s="94"/>
      <c r="AL519" s="33" t="s">
        <v>6378</v>
      </c>
      <c r="AM519" s="33" t="s">
        <v>6379</v>
      </c>
      <c r="AN519" s="33" t="s">
        <v>2465</v>
      </c>
      <c r="AO519" s="51" t="s">
        <v>2466</v>
      </c>
      <c r="AP519" s="51" t="s">
        <v>207</v>
      </c>
      <c r="AQ519" s="33"/>
      <c r="AR519" s="54"/>
      <c r="AS519" s="54"/>
      <c r="AT519" s="54"/>
      <c r="AU519" s="54"/>
      <c r="AV519" s="54"/>
      <c r="AW519" s="54"/>
      <c r="AX519" s="54"/>
      <c r="AY519" s="54"/>
      <c r="AZ519" s="54"/>
      <c r="BA519" s="54"/>
      <c r="BB519" s="54"/>
      <c r="BC519" s="54"/>
      <c r="BD519" s="54" t="s">
        <v>2447</v>
      </c>
      <c r="BE519" s="54"/>
      <c r="BF519" s="54"/>
      <c r="BG519" s="54"/>
      <c r="BH519" s="54"/>
      <c r="BI519" s="54"/>
      <c r="BJ519" s="0"/>
      <c r="BK519" s="0"/>
      <c r="BL519" s="0"/>
      <c r="BM519" s="0"/>
      <c r="BN519" s="0"/>
      <c r="BO519" s="0"/>
      <c r="BP519"/>
      <c r="BQ519"/>
      <c r="BR519"/>
      <c r="BS519"/>
      <c r="BT519"/>
      <c r="BU519"/>
      <c r="BV519"/>
      <c r="BW519"/>
      <c r="BX519"/>
      <c r="BY519"/>
      <c r="BZ519"/>
      <c r="CA519"/>
      <c r="CB519"/>
    </row>
    <row r="520" ht="15.0" customHeight="true">
      <c r="A520" s="51" t="s">
        <v>2448</v>
      </c>
      <c r="B520" s="33"/>
      <c r="C520" s="33" t="s">
        <v>3925</v>
      </c>
      <c r="D520" s="33"/>
      <c r="E520" s="33" t="s">
        <v>4014</v>
      </c>
      <c r="F520" s="33"/>
      <c r="G520" s="55" t="s">
        <v>6380</v>
      </c>
      <c r="H520" s="33"/>
      <c r="I520" s="51" t="s">
        <v>6381</v>
      </c>
      <c r="J520" s="33"/>
      <c r="K520" s="51" t="s">
        <v>6382</v>
      </c>
      <c r="L520" s="33" t="s">
        <v>2454</v>
      </c>
      <c r="M520" s="55" t="s">
        <v>6383</v>
      </c>
      <c r="N520" s="55" t="s">
        <v>4118</v>
      </c>
      <c r="O520" s="33" t="s">
        <v>2276</v>
      </c>
      <c r="P520" s="33" t="s">
        <v>2251</v>
      </c>
      <c r="Q520" s="33"/>
      <c r="R520" s="33" t="s">
        <v>2263</v>
      </c>
      <c r="S520" s="56" t="s">
        <v>2277</v>
      </c>
      <c r="T520" s="56"/>
      <c r="U520" s="56"/>
      <c r="V520" s="33" t="s">
        <v>6383</v>
      </c>
      <c r="W520" s="94" t="s">
        <v>2574</v>
      </c>
      <c r="X520" s="94" t="s">
        <v>2458</v>
      </c>
      <c r="Y520" s="51"/>
      <c r="Z520" s="51"/>
      <c r="AA520" s="33" t="s">
        <v>2459</v>
      </c>
      <c r="AB520" s="33" t="s">
        <v>2460</v>
      </c>
      <c r="AC520" s="33" t="s">
        <v>2486</v>
      </c>
      <c r="AD520" s="33" t="s">
        <v>2254</v>
      </c>
      <c r="AE520" s="33"/>
      <c r="AF520" s="33" t="s">
        <v>2267</v>
      </c>
      <c r="AG520" s="33" t="s">
        <v>2461</v>
      </c>
      <c r="AH520" s="33"/>
      <c r="AI520" s="33"/>
      <c r="AJ520" s="33" t="s">
        <v>6384</v>
      </c>
      <c r="AK520" s="94"/>
      <c r="AL520" s="33" t="s">
        <v>6385</v>
      </c>
      <c r="AM520" s="33"/>
      <c r="AN520" s="33" t="s">
        <v>2465</v>
      </c>
      <c r="AO520" s="51" t="s">
        <v>2466</v>
      </c>
      <c r="AP520" s="51" t="s">
        <v>207</v>
      </c>
      <c r="AQ520" s="33"/>
      <c r="AR520" s="54"/>
      <c r="AS520" s="54"/>
      <c r="AT520" s="54"/>
      <c r="AU520" s="54"/>
      <c r="AV520" s="54"/>
      <c r="AW520" s="54"/>
      <c r="AX520" s="54"/>
      <c r="AY520" s="54" t="s">
        <v>2269</v>
      </c>
      <c r="AZ520" s="54"/>
      <c r="BA520" s="54"/>
      <c r="BB520" s="54"/>
      <c r="BC520" s="54"/>
      <c r="BD520" s="54" t="s">
        <v>2447</v>
      </c>
      <c r="BE520" s="54"/>
      <c r="BF520" s="54"/>
      <c r="BG520" s="54"/>
      <c r="BH520" s="54"/>
      <c r="BI520" s="54"/>
      <c r="BJ520" s="0"/>
      <c r="BK520" s="0"/>
      <c r="BL520" s="0"/>
      <c r="BM520" s="0"/>
      <c r="BN520" s="0"/>
      <c r="BO520" s="0"/>
      <c r="BP520"/>
      <c r="BQ520"/>
      <c r="BR520"/>
      <c r="BS520"/>
      <c r="BT520"/>
      <c r="BU520"/>
      <c r="BV520"/>
      <c r="BW520"/>
      <c r="BX520"/>
      <c r="BY520"/>
      <c r="BZ520"/>
      <c r="CA520"/>
      <c r="CB520"/>
    </row>
    <row r="521" ht="15.0" customHeight="true">
      <c r="A521" s="51" t="s">
        <v>2448</v>
      </c>
      <c r="B521" s="33"/>
      <c r="C521" s="33" t="s">
        <v>4127</v>
      </c>
      <c r="D521" s="33"/>
      <c r="E521" s="33" t="s">
        <v>6386</v>
      </c>
      <c r="F521" s="33"/>
      <c r="G521" s="55" t="s">
        <v>6387</v>
      </c>
      <c r="H521" s="33"/>
      <c r="I521" s="51" t="s">
        <v>6388</v>
      </c>
      <c r="J521" s="33"/>
      <c r="K521" s="51" t="s">
        <v>6389</v>
      </c>
      <c r="L521" s="33" t="s">
        <v>2454</v>
      </c>
      <c r="M521" s="55" t="s">
        <v>2843</v>
      </c>
      <c r="N521" s="55" t="s">
        <v>6390</v>
      </c>
      <c r="O521" s="33" t="s">
        <v>2272</v>
      </c>
      <c r="P521" s="33" t="s">
        <v>2251</v>
      </c>
      <c r="Q521" s="33"/>
      <c r="R521" s="33" t="s">
        <v>2263</v>
      </c>
      <c r="S521" s="56" t="s">
        <v>2277</v>
      </c>
      <c r="T521" s="56"/>
      <c r="U521" s="56"/>
      <c r="V521" s="33" t="s">
        <v>2456</v>
      </c>
      <c r="W521" s="94" t="s">
        <v>2457</v>
      </c>
      <c r="X521" s="94" t="s">
        <v>2458</v>
      </c>
      <c r="Y521" s="51"/>
      <c r="Z521" s="51"/>
      <c r="AA521" s="33" t="s">
        <v>2459</v>
      </c>
      <c r="AB521" s="33" t="s">
        <v>2460</v>
      </c>
      <c r="AC521" s="33"/>
      <c r="AD521" s="33" t="s">
        <v>2254</v>
      </c>
      <c r="AE521" s="33"/>
      <c r="AF521" s="33" t="s">
        <v>2267</v>
      </c>
      <c r="AG521" s="33" t="s">
        <v>2461</v>
      </c>
      <c r="AH521" s="33"/>
      <c r="AI521" s="33"/>
      <c r="AJ521" s="33" t="s">
        <v>6391</v>
      </c>
      <c r="AK521" s="94"/>
      <c r="AL521" s="33" t="s">
        <v>6176</v>
      </c>
      <c r="AM521" s="33"/>
      <c r="AN521" s="33" t="s">
        <v>2465</v>
      </c>
      <c r="AO521" s="51" t="s">
        <v>2538</v>
      </c>
      <c r="AP521" s="51" t="s">
        <v>207</v>
      </c>
      <c r="AQ521" s="33"/>
      <c r="AR521" s="54"/>
      <c r="AS521" s="54"/>
      <c r="AT521" s="54"/>
      <c r="AU521" s="54"/>
      <c r="AV521" s="54"/>
      <c r="AW521" s="54"/>
      <c r="AX521" s="54"/>
      <c r="AY521" s="54"/>
      <c r="AZ521" s="54"/>
      <c r="BA521" s="54"/>
      <c r="BB521" s="54"/>
      <c r="BC521" s="54"/>
      <c r="BD521" s="54" t="s">
        <v>2447</v>
      </c>
      <c r="BE521" s="54"/>
      <c r="BF521" s="54"/>
      <c r="BG521" s="54"/>
      <c r="BH521" s="54"/>
      <c r="BI521" s="54"/>
      <c r="BJ521" s="0"/>
      <c r="BK521" s="0"/>
      <c r="BL521" s="0"/>
      <c r="BM521" s="0"/>
      <c r="BN521" s="0"/>
      <c r="BO521" s="0"/>
      <c r="BP521"/>
      <c r="BQ521"/>
      <c r="BR521"/>
      <c r="BS521"/>
      <c r="BT521"/>
      <c r="BU521"/>
      <c r="BV521"/>
      <c r="BW521"/>
      <c r="BX521"/>
      <c r="BY521"/>
      <c r="BZ521"/>
      <c r="CA521"/>
      <c r="CB521"/>
    </row>
    <row r="522" ht="15.0" customHeight="true">
      <c r="A522" s="51" t="s">
        <v>2448</v>
      </c>
      <c r="B522" s="33"/>
      <c r="C522" s="33" t="s">
        <v>3925</v>
      </c>
      <c r="D522" s="33"/>
      <c r="E522" s="33" t="s">
        <v>6392</v>
      </c>
      <c r="F522" s="33"/>
      <c r="G522" s="55" t="s">
        <v>6393</v>
      </c>
      <c r="H522" s="33"/>
      <c r="I522" s="51" t="s">
        <v>6394</v>
      </c>
      <c r="J522" s="33"/>
      <c r="K522" s="51" t="s">
        <v>6395</v>
      </c>
      <c r="L522" s="33" t="s">
        <v>2454</v>
      </c>
      <c r="M522" s="55" t="s">
        <v>3426</v>
      </c>
      <c r="N522" s="55" t="s">
        <v>2868</v>
      </c>
      <c r="O522" s="33" t="s">
        <v>2272</v>
      </c>
      <c r="P522" s="33" t="s">
        <v>2251</v>
      </c>
      <c r="Q522" s="33"/>
      <c r="R522" s="33" t="s">
        <v>2263</v>
      </c>
      <c r="S522" s="56" t="s">
        <v>2277</v>
      </c>
      <c r="T522" s="56"/>
      <c r="U522" s="56"/>
      <c r="V522" s="33" t="s">
        <v>2456</v>
      </c>
      <c r="W522" s="94" t="s">
        <v>2457</v>
      </c>
      <c r="X522" s="94" t="s">
        <v>2458</v>
      </c>
      <c r="Y522" s="51"/>
      <c r="Z522" s="51"/>
      <c r="AA522" s="33" t="s">
        <v>2459</v>
      </c>
      <c r="AB522" s="33" t="s">
        <v>2460</v>
      </c>
      <c r="AC522" s="33"/>
      <c r="AD522" s="33" t="s">
        <v>2254</v>
      </c>
      <c r="AE522" s="33"/>
      <c r="AF522" s="33" t="s">
        <v>2267</v>
      </c>
      <c r="AG522" s="33" t="s">
        <v>2461</v>
      </c>
      <c r="AH522" s="33"/>
      <c r="AI522" s="33"/>
      <c r="AJ522" s="33" t="s">
        <v>6396</v>
      </c>
      <c r="AK522" s="94"/>
      <c r="AL522" s="33" t="s">
        <v>6397</v>
      </c>
      <c r="AM522" s="33" t="s">
        <v>5426</v>
      </c>
      <c r="AN522" s="33" t="s">
        <v>3031</v>
      </c>
      <c r="AO522" s="51" t="s">
        <v>3572</v>
      </c>
      <c r="AP522" s="51" t="s">
        <v>207</v>
      </c>
      <c r="AQ522" s="33"/>
      <c r="AR522" s="54"/>
      <c r="AS522" s="54"/>
      <c r="AT522" s="54"/>
      <c r="AU522" s="54"/>
      <c r="AV522" s="54"/>
      <c r="AW522" s="54"/>
      <c r="AX522" s="54"/>
      <c r="AY522" s="54"/>
      <c r="AZ522" s="54"/>
      <c r="BA522" s="54"/>
      <c r="BB522" s="54"/>
      <c r="BC522" s="54"/>
      <c r="BD522" s="54" t="s">
        <v>2447</v>
      </c>
      <c r="BE522" s="54"/>
      <c r="BF522" s="54"/>
      <c r="BG522" s="54"/>
      <c r="BH522" s="54"/>
      <c r="BI522" s="54"/>
      <c r="BJ522" s="0"/>
      <c r="BK522" s="0"/>
      <c r="BL522" s="0"/>
      <c r="BM522" s="0"/>
      <c r="BN522" s="0"/>
      <c r="BO522" s="0"/>
      <c r="BP522"/>
      <c r="BQ522"/>
      <c r="BR522"/>
      <c r="BS522"/>
      <c r="BT522"/>
      <c r="BU522"/>
      <c r="BV522"/>
      <c r="BW522"/>
      <c r="BX522"/>
      <c r="BY522"/>
      <c r="BZ522"/>
      <c r="CA522"/>
      <c r="CB522"/>
    </row>
    <row r="523" ht="15.0" customHeight="true">
      <c r="A523" s="51" t="s">
        <v>2448</v>
      </c>
      <c r="B523" s="33"/>
      <c r="C523" s="33" t="s">
        <v>6398</v>
      </c>
      <c r="D523" s="33"/>
      <c r="E523" s="33" t="s">
        <v>6399</v>
      </c>
      <c r="F523" s="33"/>
      <c r="G523" s="55" t="s">
        <v>6400</v>
      </c>
      <c r="H523" s="33"/>
      <c r="I523" s="51" t="s">
        <v>6401</v>
      </c>
      <c r="J523" s="33"/>
      <c r="K523" s="51" t="s">
        <v>6402</v>
      </c>
      <c r="L523" s="33" t="s">
        <v>2454</v>
      </c>
      <c r="M523" s="55" t="s">
        <v>3306</v>
      </c>
      <c r="N523" s="55" t="s">
        <v>6403</v>
      </c>
      <c r="O523" s="33" t="s">
        <v>2272</v>
      </c>
      <c r="P523" s="33" t="s">
        <v>2251</v>
      </c>
      <c r="Q523" s="33"/>
      <c r="R523" s="33" t="s">
        <v>2263</v>
      </c>
      <c r="S523" s="56" t="s">
        <v>2277</v>
      </c>
      <c r="T523" s="56"/>
      <c r="U523" s="56"/>
      <c r="V523" s="33" t="s">
        <v>2456</v>
      </c>
      <c r="W523" s="94" t="s">
        <v>2457</v>
      </c>
      <c r="X523" s="94" t="s">
        <v>2474</v>
      </c>
      <c r="Y523" s="51"/>
      <c r="Z523" s="51"/>
      <c r="AA523" s="33" t="s">
        <v>2459</v>
      </c>
      <c r="AB523" s="33" t="s">
        <v>2460</v>
      </c>
      <c r="AC523" s="33"/>
      <c r="AD523" s="33" t="s">
        <v>2254</v>
      </c>
      <c r="AE523" s="33"/>
      <c r="AF523" s="33" t="s">
        <v>2267</v>
      </c>
      <c r="AG523" s="33" t="s">
        <v>2461</v>
      </c>
      <c r="AH523" s="33"/>
      <c r="AI523" s="33"/>
      <c r="AJ523" s="33" t="s">
        <v>6404</v>
      </c>
      <c r="AK523" s="94"/>
      <c r="AL523" s="33" t="s">
        <v>6405</v>
      </c>
      <c r="AM523" s="33" t="s">
        <v>6406</v>
      </c>
      <c r="AN523" s="33" t="s">
        <v>2577</v>
      </c>
      <c r="AO523" s="51" t="s">
        <v>2578</v>
      </c>
      <c r="AP523" s="51" t="s">
        <v>207</v>
      </c>
      <c r="AQ523" s="33"/>
      <c r="AR523" s="54"/>
      <c r="AS523" s="54"/>
      <c r="AT523" s="54"/>
      <c r="AU523" s="54"/>
      <c r="AV523" s="54"/>
      <c r="AW523" s="54"/>
      <c r="AX523" s="54"/>
      <c r="AY523" s="54"/>
      <c r="AZ523" s="54"/>
      <c r="BA523" s="54"/>
      <c r="BB523" s="54"/>
      <c r="BC523" s="54"/>
      <c r="BD523" s="54" t="s">
        <v>2447</v>
      </c>
      <c r="BE523" s="54"/>
      <c r="BF523" s="54"/>
      <c r="BG523" s="54"/>
      <c r="BH523" s="54"/>
      <c r="BI523" s="54"/>
      <c r="BJ523" s="0"/>
      <c r="BK523" s="0"/>
      <c r="BL523" s="0"/>
      <c r="BM523" s="0"/>
      <c r="BN523" s="0"/>
      <c r="BO523" s="0"/>
      <c r="BP523"/>
      <c r="BQ523"/>
      <c r="BR523"/>
      <c r="BS523"/>
      <c r="BT523"/>
      <c r="BU523"/>
      <c r="BV523"/>
      <c r="BW523"/>
      <c r="BX523"/>
      <c r="BY523"/>
      <c r="BZ523"/>
      <c r="CA523"/>
      <c r="CB523"/>
    </row>
    <row r="524" ht="15.0" customHeight="true">
      <c r="A524" s="51" t="s">
        <v>2448</v>
      </c>
      <c r="B524" s="33"/>
      <c r="C524" s="33" t="s">
        <v>6407</v>
      </c>
      <c r="D524" s="33"/>
      <c r="E524" s="33" t="s">
        <v>6408</v>
      </c>
      <c r="F524" s="33"/>
      <c r="G524" s="55" t="s">
        <v>6409</v>
      </c>
      <c r="H524" s="33"/>
      <c r="I524" s="51" t="s">
        <v>6410</v>
      </c>
      <c r="J524" s="33"/>
      <c r="K524" s="51" t="s">
        <v>6411</v>
      </c>
      <c r="L524" s="33" t="s">
        <v>2454</v>
      </c>
      <c r="M524" s="55" t="s">
        <v>6412</v>
      </c>
      <c r="N524" s="55" t="s">
        <v>5521</v>
      </c>
      <c r="O524" s="33" t="s">
        <v>2272</v>
      </c>
      <c r="P524" s="33" t="s">
        <v>2251</v>
      </c>
      <c r="Q524" s="33"/>
      <c r="R524" s="33" t="s">
        <v>2263</v>
      </c>
      <c r="S524" s="56" t="s">
        <v>2277</v>
      </c>
      <c r="T524" s="56"/>
      <c r="U524" s="56"/>
      <c r="V524" s="33" t="s">
        <v>2456</v>
      </c>
      <c r="W524" s="94" t="s">
        <v>2457</v>
      </c>
      <c r="X524" s="94" t="s">
        <v>2458</v>
      </c>
      <c r="Y524" s="51"/>
      <c r="Z524" s="51"/>
      <c r="AA524" s="33" t="s">
        <v>2459</v>
      </c>
      <c r="AB524" s="33" t="s">
        <v>2460</v>
      </c>
      <c r="AC524" s="33"/>
      <c r="AD524" s="33" t="s">
        <v>2254</v>
      </c>
      <c r="AE524" s="33"/>
      <c r="AF524" s="33" t="s">
        <v>2267</v>
      </c>
      <c r="AG524" s="33" t="s">
        <v>2461</v>
      </c>
      <c r="AH524" s="33"/>
      <c r="AI524" s="33"/>
      <c r="AJ524" s="33" t="s">
        <v>6413</v>
      </c>
      <c r="AK524" s="94"/>
      <c r="AL524" s="33" t="s">
        <v>6414</v>
      </c>
      <c r="AM524" s="33"/>
      <c r="AN524" s="33" t="s">
        <v>2588</v>
      </c>
      <c r="AO524" s="51" t="s">
        <v>2628</v>
      </c>
      <c r="AP524" s="51" t="s">
        <v>207</v>
      </c>
      <c r="AQ524" s="33"/>
      <c r="AR524" s="54"/>
      <c r="AS524" s="54"/>
      <c r="AT524" s="54"/>
      <c r="AU524" s="54"/>
      <c r="AV524" s="54"/>
      <c r="AW524" s="54"/>
      <c r="AX524" s="54"/>
      <c r="AY524" s="54"/>
      <c r="AZ524" s="54"/>
      <c r="BA524" s="54"/>
      <c r="BB524" s="54"/>
      <c r="BC524" s="54"/>
      <c r="BD524" s="54" t="s">
        <v>2447</v>
      </c>
      <c r="BE524" s="54"/>
      <c r="BF524" s="54"/>
      <c r="BG524" s="54"/>
      <c r="BH524" s="54"/>
      <c r="BI524" s="54"/>
      <c r="BJ524" s="0"/>
      <c r="BK524" s="0"/>
      <c r="BL524" s="0"/>
      <c r="BM524" s="0"/>
      <c r="BN524" s="0"/>
      <c r="BO524" s="0"/>
      <c r="BP524"/>
      <c r="BQ524"/>
      <c r="BR524"/>
      <c r="BS524"/>
      <c r="BT524"/>
      <c r="BU524"/>
      <c r="BV524"/>
      <c r="BW524"/>
      <c r="BX524"/>
      <c r="BY524"/>
      <c r="BZ524"/>
      <c r="CA524"/>
      <c r="CB524"/>
    </row>
    <row r="525" ht="15.0" customHeight="true">
      <c r="A525" s="51" t="s">
        <v>2448</v>
      </c>
      <c r="B525" s="33"/>
      <c r="C525" s="33" t="s">
        <v>5929</v>
      </c>
      <c r="D525" s="33"/>
      <c r="E525" s="33" t="s">
        <v>4342</v>
      </c>
      <c r="F525" s="33"/>
      <c r="G525" s="55" t="s">
        <v>6415</v>
      </c>
      <c r="H525" s="33"/>
      <c r="I525" s="51" t="s">
        <v>6416</v>
      </c>
      <c r="J525" s="33"/>
      <c r="K525" s="51" t="s">
        <v>6417</v>
      </c>
      <c r="L525" s="33" t="s">
        <v>2454</v>
      </c>
      <c r="M525" s="55" t="s">
        <v>3499</v>
      </c>
      <c r="N525" s="55" t="s">
        <v>6190</v>
      </c>
      <c r="O525" s="33" t="s">
        <v>2272</v>
      </c>
      <c r="P525" s="33" t="s">
        <v>2251</v>
      </c>
      <c r="Q525" s="33"/>
      <c r="R525" s="33" t="s">
        <v>2263</v>
      </c>
      <c r="S525" s="56" t="s">
        <v>2277</v>
      </c>
      <c r="T525" s="56"/>
      <c r="U525" s="56"/>
      <c r="V525" s="33" t="s">
        <v>2456</v>
      </c>
      <c r="W525" s="94" t="s">
        <v>2457</v>
      </c>
      <c r="X525" s="94" t="s">
        <v>2458</v>
      </c>
      <c r="Y525" s="51"/>
      <c r="Z525" s="51"/>
      <c r="AA525" s="33" t="s">
        <v>2459</v>
      </c>
      <c r="AB525" s="33" t="s">
        <v>2460</v>
      </c>
      <c r="AC525" s="33"/>
      <c r="AD525" s="33" t="s">
        <v>2254</v>
      </c>
      <c r="AE525" s="33"/>
      <c r="AF525" s="33" t="s">
        <v>2267</v>
      </c>
      <c r="AG525" s="33" t="s">
        <v>2461</v>
      </c>
      <c r="AH525" s="33"/>
      <c r="AI525" s="33"/>
      <c r="AJ525" s="33" t="s">
        <v>6418</v>
      </c>
      <c r="AK525" s="94"/>
      <c r="AL525" s="33" t="s">
        <v>6419</v>
      </c>
      <c r="AM525" s="33" t="s">
        <v>6420</v>
      </c>
      <c r="AN525" s="33" t="s">
        <v>2465</v>
      </c>
      <c r="AO525" s="51" t="s">
        <v>2618</v>
      </c>
      <c r="AP525" s="51" t="s">
        <v>207</v>
      </c>
      <c r="AQ525" s="33"/>
      <c r="AR525" s="54"/>
      <c r="AS525" s="54"/>
      <c r="AT525" s="54"/>
      <c r="AU525" s="54"/>
      <c r="AV525" s="54"/>
      <c r="AW525" s="54"/>
      <c r="AX525" s="54"/>
      <c r="AY525" s="54"/>
      <c r="AZ525" s="54"/>
      <c r="BA525" s="54"/>
      <c r="BB525" s="54"/>
      <c r="BC525" s="54"/>
      <c r="BD525" s="54" t="s">
        <v>2447</v>
      </c>
      <c r="BE525" s="54"/>
      <c r="BF525" s="54"/>
      <c r="BG525" s="54"/>
      <c r="BH525" s="54"/>
      <c r="BI525" s="54"/>
      <c r="BJ525" s="0"/>
      <c r="BK525" s="0"/>
      <c r="BL525" s="0"/>
      <c r="BM525" s="0"/>
      <c r="BN525" s="0"/>
      <c r="BO525" s="0"/>
      <c r="BP525"/>
      <c r="BQ525"/>
      <c r="BR525"/>
      <c r="BS525"/>
      <c r="BT525"/>
      <c r="BU525"/>
      <c r="BV525"/>
      <c r="BW525"/>
      <c r="BX525"/>
      <c r="BY525"/>
      <c r="BZ525"/>
      <c r="CA525"/>
      <c r="CB525"/>
    </row>
    <row r="526" ht="15.0" customHeight="true">
      <c r="A526" s="51" t="s">
        <v>2448</v>
      </c>
      <c r="B526" s="33"/>
      <c r="C526" s="33" t="s">
        <v>6421</v>
      </c>
      <c r="D526" s="33"/>
      <c r="E526" s="33" t="s">
        <v>6422</v>
      </c>
      <c r="F526" s="33"/>
      <c r="G526" s="55" t="s">
        <v>6423</v>
      </c>
      <c r="H526" s="33"/>
      <c r="I526" s="51" t="s">
        <v>6424</v>
      </c>
      <c r="J526" s="33"/>
      <c r="K526" s="51" t="s">
        <v>6425</v>
      </c>
      <c r="L526" s="33" t="s">
        <v>2484</v>
      </c>
      <c r="M526" s="55" t="s">
        <v>2708</v>
      </c>
      <c r="N526" s="55"/>
      <c r="O526" s="33"/>
      <c r="P526" s="33" t="s">
        <v>2251</v>
      </c>
      <c r="Q526" s="33"/>
      <c r="R526" s="33" t="s">
        <v>2263</v>
      </c>
      <c r="S526" s="56" t="s">
        <v>2277</v>
      </c>
      <c r="T526" s="56"/>
      <c r="U526" s="56"/>
      <c r="V526" s="33" t="s">
        <v>2456</v>
      </c>
      <c r="W526" s="94" t="s">
        <v>2457</v>
      </c>
      <c r="X526" s="94" t="s">
        <v>2474</v>
      </c>
      <c r="Y526" s="51"/>
      <c r="Z526" s="51"/>
      <c r="AA526" s="33" t="s">
        <v>2459</v>
      </c>
      <c r="AB526" s="33" t="s">
        <v>2460</v>
      </c>
      <c r="AC526" s="33" t="s">
        <v>2486</v>
      </c>
      <c r="AD526" s="33" t="s">
        <v>2254</v>
      </c>
      <c r="AE526" s="33"/>
      <c r="AF526" s="33" t="s">
        <v>2267</v>
      </c>
      <c r="AG526" s="33" t="s">
        <v>2461</v>
      </c>
      <c r="AH526" s="33"/>
      <c r="AI526" s="33"/>
      <c r="AJ526" s="33" t="s">
        <v>6426</v>
      </c>
      <c r="AK526" s="94"/>
      <c r="AL526" s="33" t="s">
        <v>6206</v>
      </c>
      <c r="AM526" s="33" t="s">
        <v>6427</v>
      </c>
      <c r="AN526" s="33" t="s">
        <v>2465</v>
      </c>
      <c r="AO526" s="51" t="s">
        <v>2478</v>
      </c>
      <c r="AP526" s="51" t="s">
        <v>207</v>
      </c>
      <c r="AQ526" s="33"/>
      <c r="AR526" s="54"/>
      <c r="AS526" s="54"/>
      <c r="AT526" s="54"/>
      <c r="AU526" s="54"/>
      <c r="AV526" s="54"/>
      <c r="AW526" s="54"/>
      <c r="AX526" s="54"/>
      <c r="AY526" s="54"/>
      <c r="AZ526" s="54"/>
      <c r="BA526" s="54"/>
      <c r="BB526" s="54"/>
      <c r="BC526" s="54"/>
      <c r="BD526" s="54" t="s">
        <v>2447</v>
      </c>
      <c r="BE526" s="54"/>
      <c r="BF526" s="54"/>
      <c r="BG526" s="54"/>
      <c r="BH526" s="54"/>
      <c r="BI526" s="54"/>
      <c r="BJ526" s="0"/>
      <c r="BK526" s="0"/>
      <c r="BL526" s="0"/>
      <c r="BM526" s="0"/>
      <c r="BN526" s="0"/>
      <c r="BO526" s="0"/>
      <c r="BP526"/>
      <c r="BQ526"/>
      <c r="BR526"/>
      <c r="BS526"/>
      <c r="BT526"/>
      <c r="BU526"/>
      <c r="BV526"/>
      <c r="BW526"/>
      <c r="BX526"/>
      <c r="BY526"/>
      <c r="BZ526"/>
      <c r="CA526"/>
      <c r="CB526"/>
    </row>
    <row r="527" ht="15.0" customHeight="true">
      <c r="A527" s="51" t="s">
        <v>2448</v>
      </c>
      <c r="B527" s="33"/>
      <c r="C527" s="33" t="s">
        <v>6428</v>
      </c>
      <c r="D527" s="33"/>
      <c r="E527" s="33" t="s">
        <v>6429</v>
      </c>
      <c r="F527" s="33"/>
      <c r="G527" s="55" t="s">
        <v>6430</v>
      </c>
      <c r="H527" s="33"/>
      <c r="I527" s="51" t="s">
        <v>6431</v>
      </c>
      <c r="J527" s="33"/>
      <c r="K527" s="51" t="s">
        <v>6432</v>
      </c>
      <c r="L527" s="33" t="s">
        <v>2454</v>
      </c>
      <c r="M527" s="55" t="s">
        <v>2772</v>
      </c>
      <c r="N527" s="55" t="s">
        <v>6252</v>
      </c>
      <c r="O527" s="33" t="s">
        <v>2271</v>
      </c>
      <c r="P527" s="33" t="s">
        <v>2251</v>
      </c>
      <c r="Q527" s="33"/>
      <c r="R527" s="33" t="s">
        <v>2263</v>
      </c>
      <c r="S527" s="56" t="s">
        <v>2277</v>
      </c>
      <c r="T527" s="56"/>
      <c r="U527" s="56"/>
      <c r="V527" s="33" t="s">
        <v>2772</v>
      </c>
      <c r="W527" s="94" t="s">
        <v>2574</v>
      </c>
      <c r="X527" s="94" t="s">
        <v>2474</v>
      </c>
      <c r="Y527" s="51"/>
      <c r="Z527" s="51"/>
      <c r="AA527" s="33" t="s">
        <v>2459</v>
      </c>
      <c r="AB527" s="33" t="s">
        <v>2460</v>
      </c>
      <c r="AC527" s="33" t="s">
        <v>6433</v>
      </c>
      <c r="AD527" s="33" t="s">
        <v>2254</v>
      </c>
      <c r="AE527" s="33"/>
      <c r="AF527" s="33" t="s">
        <v>2267</v>
      </c>
      <c r="AG527" s="33" t="s">
        <v>2461</v>
      </c>
      <c r="AH527" s="33"/>
      <c r="AI527" s="33"/>
      <c r="AJ527" s="33" t="s">
        <v>6434</v>
      </c>
      <c r="AK527" s="94"/>
      <c r="AL527" s="33" t="s">
        <v>6435</v>
      </c>
      <c r="AM527" s="33" t="s">
        <v>6436</v>
      </c>
      <c r="AN527" s="33" t="s">
        <v>2465</v>
      </c>
      <c r="AO527" s="51" t="s">
        <v>2466</v>
      </c>
      <c r="AP527" s="51" t="s">
        <v>207</v>
      </c>
      <c r="AQ527" s="33"/>
      <c r="AR527" s="54"/>
      <c r="AS527" s="54"/>
      <c r="AT527" s="54"/>
      <c r="AU527" s="54"/>
      <c r="AV527" s="54"/>
      <c r="AW527" s="54"/>
      <c r="AX527" s="54"/>
      <c r="AY527" s="54" t="s">
        <v>2269</v>
      </c>
      <c r="AZ527" s="54"/>
      <c r="BA527" s="54"/>
      <c r="BB527" s="54"/>
      <c r="BC527" s="54"/>
      <c r="BD527" s="54" t="s">
        <v>2447</v>
      </c>
      <c r="BE527" s="54"/>
      <c r="BF527" s="54"/>
      <c r="BG527" s="54"/>
      <c r="BH527" s="54"/>
      <c r="BI527" s="54"/>
      <c r="BJ527" s="0"/>
      <c r="BK527" s="0"/>
      <c r="BL527" s="0"/>
      <c r="BM527" s="0"/>
      <c r="BN527" s="0"/>
      <c r="BO527" s="0"/>
      <c r="BP527"/>
      <c r="BQ527"/>
      <c r="BR527"/>
      <c r="BS527"/>
      <c r="BT527"/>
      <c r="BU527"/>
      <c r="BV527"/>
      <c r="BW527"/>
      <c r="BX527"/>
      <c r="BY527"/>
      <c r="BZ527"/>
      <c r="CA527"/>
      <c r="CB527"/>
    </row>
    <row r="528" ht="15.0" customHeight="true">
      <c r="A528" s="51" t="s">
        <v>2448</v>
      </c>
      <c r="B528" s="33"/>
      <c r="C528" s="33" t="s">
        <v>6437</v>
      </c>
      <c r="D528" s="33"/>
      <c r="E528" s="33" t="s">
        <v>2540</v>
      </c>
      <c r="F528" s="33"/>
      <c r="G528" s="55" t="s">
        <v>6438</v>
      </c>
      <c r="H528" s="33"/>
      <c r="I528" s="51" t="s">
        <v>6439</v>
      </c>
      <c r="J528" s="33"/>
      <c r="K528" s="51" t="s">
        <v>6440</v>
      </c>
      <c r="L528" s="33" t="s">
        <v>2484</v>
      </c>
      <c r="M528" s="55" t="s">
        <v>6441</v>
      </c>
      <c r="N528" s="55"/>
      <c r="O528" s="33"/>
      <c r="P528" s="33" t="s">
        <v>2251</v>
      </c>
      <c r="Q528" s="33"/>
      <c r="R528" s="33" t="s">
        <v>2263</v>
      </c>
      <c r="S528" s="56" t="s">
        <v>2277</v>
      </c>
      <c r="T528" s="56"/>
      <c r="U528" s="56"/>
      <c r="V528" s="33" t="s">
        <v>2456</v>
      </c>
      <c r="W528" s="94" t="s">
        <v>2457</v>
      </c>
      <c r="X528" s="94" t="s">
        <v>2474</v>
      </c>
      <c r="Y528" s="51"/>
      <c r="Z528" s="51"/>
      <c r="AA528" s="33" t="s">
        <v>2459</v>
      </c>
      <c r="AB528" s="33" t="s">
        <v>2460</v>
      </c>
      <c r="AC528" s="33" t="s">
        <v>2486</v>
      </c>
      <c r="AD528" s="33" t="s">
        <v>2254</v>
      </c>
      <c r="AE528" s="33"/>
      <c r="AF528" s="33" t="s">
        <v>2267</v>
      </c>
      <c r="AG528" s="33" t="s">
        <v>2461</v>
      </c>
      <c r="AH528" s="33"/>
      <c r="AI528" s="33"/>
      <c r="AJ528" s="33" t="s">
        <v>6442</v>
      </c>
      <c r="AK528" s="94"/>
      <c r="AL528" s="33" t="s">
        <v>6443</v>
      </c>
      <c r="AM528" s="33"/>
      <c r="AN528" s="33" t="s">
        <v>2588</v>
      </c>
      <c r="AO528" s="51" t="s">
        <v>2589</v>
      </c>
      <c r="AP528" s="51" t="s">
        <v>207</v>
      </c>
      <c r="AQ528" s="33"/>
      <c r="AR528" s="54"/>
      <c r="AS528" s="54"/>
      <c r="AT528" s="54"/>
      <c r="AU528" s="54"/>
      <c r="AV528" s="54"/>
      <c r="AW528" s="54"/>
      <c r="AX528" s="54"/>
      <c r="AY528" s="54"/>
      <c r="AZ528" s="54"/>
      <c r="BA528" s="54"/>
      <c r="BB528" s="54"/>
      <c r="BC528" s="54"/>
      <c r="BD528" s="54" t="s">
        <v>2447</v>
      </c>
      <c r="BE528" s="54"/>
      <c r="BF528" s="54"/>
      <c r="BG528" s="54"/>
      <c r="BH528" s="54"/>
      <c r="BI528" s="54"/>
      <c r="BJ528" s="0"/>
      <c r="BK528" s="0"/>
      <c r="BL528" s="0"/>
      <c r="BM528" s="0"/>
      <c r="BN528" s="0"/>
      <c r="BO528" s="0"/>
      <c r="BP528"/>
      <c r="BQ528"/>
      <c r="BR528"/>
      <c r="BS528"/>
      <c r="BT528"/>
      <c r="BU528"/>
      <c r="BV528"/>
      <c r="BW528"/>
      <c r="BX528"/>
      <c r="BY528"/>
      <c r="BZ528"/>
      <c r="CA528"/>
      <c r="CB528"/>
    </row>
    <row r="529" ht="15.0" customHeight="true">
      <c r="A529" s="51" t="s">
        <v>2448</v>
      </c>
      <c r="B529" s="33"/>
      <c r="C529" s="33" t="s">
        <v>4189</v>
      </c>
      <c r="D529" s="33"/>
      <c r="E529" s="33" t="s">
        <v>4349</v>
      </c>
      <c r="F529" s="33"/>
      <c r="G529" s="55" t="s">
        <v>6444</v>
      </c>
      <c r="H529" s="33"/>
      <c r="I529" s="51" t="s">
        <v>6445</v>
      </c>
      <c r="J529" s="33"/>
      <c r="K529" s="51" t="s">
        <v>6446</v>
      </c>
      <c r="L529" s="33" t="s">
        <v>2454</v>
      </c>
      <c r="M529" s="55" t="s">
        <v>6447</v>
      </c>
      <c r="N529" s="55" t="s">
        <v>6448</v>
      </c>
      <c r="O529" s="33" t="s">
        <v>2272</v>
      </c>
      <c r="P529" s="33" t="s">
        <v>2251</v>
      </c>
      <c r="Q529" s="33"/>
      <c r="R529" s="33" t="s">
        <v>2263</v>
      </c>
      <c r="S529" s="56" t="s">
        <v>2277</v>
      </c>
      <c r="T529" s="56"/>
      <c r="U529" s="56"/>
      <c r="V529" s="33" t="s">
        <v>2456</v>
      </c>
      <c r="W529" s="94" t="s">
        <v>2457</v>
      </c>
      <c r="X529" s="94" t="s">
        <v>2474</v>
      </c>
      <c r="Y529" s="51"/>
      <c r="Z529" s="51"/>
      <c r="AA529" s="33" t="s">
        <v>2459</v>
      </c>
      <c r="AB529" s="33" t="s">
        <v>2460</v>
      </c>
      <c r="AC529" s="33"/>
      <c r="AD529" s="33" t="s">
        <v>2254</v>
      </c>
      <c r="AE529" s="33"/>
      <c r="AF529" s="33" t="s">
        <v>2267</v>
      </c>
      <c r="AG529" s="33" t="s">
        <v>2461</v>
      </c>
      <c r="AH529" s="33"/>
      <c r="AI529" s="33"/>
      <c r="AJ529" s="33" t="s">
        <v>6449</v>
      </c>
      <c r="AK529" s="94"/>
      <c r="AL529" s="33" t="s">
        <v>6450</v>
      </c>
      <c r="AM529" s="33"/>
      <c r="AN529" s="33" t="s">
        <v>3031</v>
      </c>
      <c r="AO529" s="51" t="s">
        <v>3572</v>
      </c>
      <c r="AP529" s="51" t="s">
        <v>207</v>
      </c>
      <c r="AQ529" s="33"/>
      <c r="AR529" s="54"/>
      <c r="AS529" s="54"/>
      <c r="AT529" s="54"/>
      <c r="AU529" s="54"/>
      <c r="AV529" s="54"/>
      <c r="AW529" s="54"/>
      <c r="AX529" s="54"/>
      <c r="AY529" s="54"/>
      <c r="AZ529" s="54"/>
      <c r="BA529" s="54"/>
      <c r="BB529" s="54"/>
      <c r="BC529" s="54"/>
      <c r="BD529" s="54" t="s">
        <v>2447</v>
      </c>
      <c r="BE529" s="54"/>
      <c r="BF529" s="54"/>
      <c r="BG529" s="54"/>
      <c r="BH529" s="54"/>
      <c r="BI529" s="54"/>
      <c r="BJ529" s="0"/>
      <c r="BK529" s="0"/>
      <c r="BL529" s="0"/>
      <c r="BM529" s="0"/>
      <c r="BN529" s="0"/>
      <c r="BO529" s="0"/>
      <c r="BP529"/>
      <c r="BQ529"/>
      <c r="BR529"/>
      <c r="BS529"/>
      <c r="BT529"/>
      <c r="BU529"/>
      <c r="BV529"/>
      <c r="BW529"/>
      <c r="BX529"/>
      <c r="BY529"/>
      <c r="BZ529"/>
      <c r="CA529"/>
      <c r="CB529"/>
    </row>
    <row r="530" ht="15.0" customHeight="true">
      <c r="A530" s="51" t="s">
        <v>2448</v>
      </c>
      <c r="B530" s="33"/>
      <c r="C530" s="33" t="s">
        <v>3666</v>
      </c>
      <c r="D530" s="33"/>
      <c r="E530" s="33" t="s">
        <v>3125</v>
      </c>
      <c r="F530" s="33"/>
      <c r="G530" s="55" t="s">
        <v>6451</v>
      </c>
      <c r="H530" s="33"/>
      <c r="I530" s="51" t="s">
        <v>6452</v>
      </c>
      <c r="J530" s="33"/>
      <c r="K530" s="51" t="s">
        <v>6453</v>
      </c>
      <c r="L530" s="33" t="s">
        <v>2454</v>
      </c>
      <c r="M530" s="55" t="s">
        <v>3194</v>
      </c>
      <c r="N530" s="55" t="s">
        <v>3591</v>
      </c>
      <c r="O530" s="33" t="s">
        <v>2272</v>
      </c>
      <c r="P530" s="33" t="s">
        <v>2251</v>
      </c>
      <c r="Q530" s="33"/>
      <c r="R530" s="33" t="s">
        <v>2263</v>
      </c>
      <c r="S530" s="56" t="s">
        <v>2277</v>
      </c>
      <c r="T530" s="56"/>
      <c r="U530" s="56"/>
      <c r="V530" s="33" t="s">
        <v>2456</v>
      </c>
      <c r="W530" s="94" t="s">
        <v>2457</v>
      </c>
      <c r="X530" s="94" t="s">
        <v>2458</v>
      </c>
      <c r="Y530" s="51"/>
      <c r="Z530" s="51"/>
      <c r="AA530" s="33" t="s">
        <v>2459</v>
      </c>
      <c r="AB530" s="33" t="s">
        <v>2460</v>
      </c>
      <c r="AC530" s="33"/>
      <c r="AD530" s="33" t="s">
        <v>2254</v>
      </c>
      <c r="AE530" s="33"/>
      <c r="AF530" s="33" t="s">
        <v>2267</v>
      </c>
      <c r="AG530" s="33" t="s">
        <v>2461</v>
      </c>
      <c r="AH530" s="33"/>
      <c r="AI530" s="33"/>
      <c r="AJ530" s="33" t="s">
        <v>6454</v>
      </c>
      <c r="AK530" s="94"/>
      <c r="AL530" s="33" t="s">
        <v>6455</v>
      </c>
      <c r="AM530" s="33"/>
      <c r="AN530" s="33" t="s">
        <v>2588</v>
      </c>
      <c r="AO530" s="51" t="s">
        <v>2589</v>
      </c>
      <c r="AP530" s="51" t="s">
        <v>207</v>
      </c>
      <c r="AQ530" s="33"/>
      <c r="AR530" s="54"/>
      <c r="AS530" s="54"/>
      <c r="AT530" s="54"/>
      <c r="AU530" s="54"/>
      <c r="AV530" s="54"/>
      <c r="AW530" s="54"/>
      <c r="AX530" s="54"/>
      <c r="AY530" s="54"/>
      <c r="AZ530" s="54"/>
      <c r="BA530" s="54"/>
      <c r="BB530" s="54"/>
      <c r="BC530" s="54"/>
      <c r="BD530" s="54" t="s">
        <v>2447</v>
      </c>
      <c r="BE530" s="54"/>
      <c r="BF530" s="54"/>
      <c r="BG530" s="54"/>
      <c r="BH530" s="54"/>
      <c r="BI530" s="54"/>
      <c r="BJ530" s="0"/>
      <c r="BK530" s="0"/>
      <c r="BL530" s="0"/>
      <c r="BM530" s="0"/>
      <c r="BN530" s="0"/>
      <c r="BO530" s="0"/>
      <c r="BP530"/>
      <c r="BQ530"/>
      <c r="BR530"/>
      <c r="BS530"/>
      <c r="BT530"/>
      <c r="BU530"/>
      <c r="BV530"/>
      <c r="BW530"/>
      <c r="BX530"/>
      <c r="BY530"/>
      <c r="BZ530"/>
      <c r="CA530"/>
      <c r="CB530"/>
    </row>
    <row r="531" ht="15.0" customHeight="true">
      <c r="A531" s="51" t="s">
        <v>2448</v>
      </c>
      <c r="B531" s="33"/>
      <c r="C531" s="33" t="s">
        <v>2636</v>
      </c>
      <c r="D531" s="33"/>
      <c r="E531" s="33" t="s">
        <v>6456</v>
      </c>
      <c r="F531" s="33"/>
      <c r="G531" s="55" t="s">
        <v>6457</v>
      </c>
      <c r="H531" s="33"/>
      <c r="I531" s="51" t="s">
        <v>6458</v>
      </c>
      <c r="J531" s="33"/>
      <c r="K531" s="51" t="s">
        <v>6459</v>
      </c>
      <c r="L531" s="33" t="s">
        <v>2454</v>
      </c>
      <c r="M531" s="55" t="s">
        <v>4080</v>
      </c>
      <c r="N531" s="55" t="s">
        <v>2868</v>
      </c>
      <c r="O531" s="33" t="s">
        <v>2272</v>
      </c>
      <c r="P531" s="33" t="s">
        <v>2251</v>
      </c>
      <c r="Q531" s="33"/>
      <c r="R531" s="33" t="s">
        <v>2263</v>
      </c>
      <c r="S531" s="56" t="s">
        <v>2277</v>
      </c>
      <c r="T531" s="56"/>
      <c r="U531" s="56"/>
      <c r="V531" s="33" t="s">
        <v>2456</v>
      </c>
      <c r="W531" s="94" t="s">
        <v>2457</v>
      </c>
      <c r="X531" s="94" t="s">
        <v>2458</v>
      </c>
      <c r="Y531" s="51"/>
      <c r="Z531" s="51"/>
      <c r="AA531" s="33" t="s">
        <v>2459</v>
      </c>
      <c r="AB531" s="33" t="s">
        <v>2460</v>
      </c>
      <c r="AC531" s="33"/>
      <c r="AD531" s="33" t="s">
        <v>2254</v>
      </c>
      <c r="AE531" s="33"/>
      <c r="AF531" s="33" t="s">
        <v>2267</v>
      </c>
      <c r="AG531" s="33" t="s">
        <v>2461</v>
      </c>
      <c r="AH531" s="33"/>
      <c r="AI531" s="33"/>
      <c r="AJ531" s="33" t="s">
        <v>6460</v>
      </c>
      <c r="AK531" s="94"/>
      <c r="AL531" s="33" t="s">
        <v>6461</v>
      </c>
      <c r="AM531" s="33"/>
      <c r="AN531" s="33" t="s">
        <v>2701</v>
      </c>
      <c r="AO531" s="51" t="s">
        <v>2628</v>
      </c>
      <c r="AP531" s="51" t="s">
        <v>207</v>
      </c>
      <c r="AQ531" s="33"/>
      <c r="AR531" s="54"/>
      <c r="AS531" s="54"/>
      <c r="AT531" s="54"/>
      <c r="AU531" s="54"/>
      <c r="AV531" s="54"/>
      <c r="AW531" s="54"/>
      <c r="AX531" s="54"/>
      <c r="AY531" s="54"/>
      <c r="AZ531" s="54"/>
      <c r="BA531" s="54"/>
      <c r="BB531" s="54"/>
      <c r="BC531" s="54"/>
      <c r="BD531" s="54" t="s">
        <v>2447</v>
      </c>
      <c r="BE531" s="54"/>
      <c r="BF531" s="54"/>
      <c r="BG531" s="54"/>
      <c r="BH531" s="54"/>
      <c r="BI531" s="54"/>
      <c r="BJ531" s="0"/>
      <c r="BK531" s="0"/>
      <c r="BL531" s="0"/>
      <c r="BM531" s="0"/>
      <c r="BN531" s="0"/>
      <c r="BO531" s="0"/>
      <c r="BP531"/>
      <c r="BQ531"/>
      <c r="BR531"/>
      <c r="BS531"/>
      <c r="BT531"/>
      <c r="BU531"/>
      <c r="BV531"/>
      <c r="BW531"/>
      <c r="BX531"/>
      <c r="BY531"/>
      <c r="BZ531"/>
      <c r="CA531"/>
      <c r="CB531"/>
    </row>
    <row r="532" ht="15.0" customHeight="true">
      <c r="A532" s="51" t="s">
        <v>2448</v>
      </c>
      <c r="B532" s="33"/>
      <c r="C532" s="33" t="s">
        <v>3538</v>
      </c>
      <c r="D532" s="33"/>
      <c r="E532" s="33" t="s">
        <v>6462</v>
      </c>
      <c r="F532" s="33"/>
      <c r="G532" s="55" t="s">
        <v>6463</v>
      </c>
      <c r="H532" s="33"/>
      <c r="I532" s="51" t="s">
        <v>6464</v>
      </c>
      <c r="J532" s="33"/>
      <c r="K532" s="51" t="s">
        <v>6465</v>
      </c>
      <c r="L532" s="33" t="s">
        <v>2454</v>
      </c>
      <c r="M532" s="55" t="s">
        <v>2815</v>
      </c>
      <c r="N532" s="55" t="s">
        <v>5090</v>
      </c>
      <c r="O532" s="33" t="s">
        <v>2272</v>
      </c>
      <c r="P532" s="33" t="s">
        <v>2251</v>
      </c>
      <c r="Q532" s="33"/>
      <c r="R532" s="33" t="s">
        <v>2263</v>
      </c>
      <c r="S532" s="56" t="s">
        <v>2277</v>
      </c>
      <c r="T532" s="56"/>
      <c r="U532" s="56"/>
      <c r="V532" s="33" t="s">
        <v>2456</v>
      </c>
      <c r="W532" s="94" t="s">
        <v>2457</v>
      </c>
      <c r="X532" s="94" t="s">
        <v>2458</v>
      </c>
      <c r="Y532" s="51"/>
      <c r="Z532" s="51"/>
      <c r="AA532" s="33" t="s">
        <v>2459</v>
      </c>
      <c r="AB532" s="33" t="s">
        <v>2460</v>
      </c>
      <c r="AC532" s="33"/>
      <c r="AD532" s="33" t="s">
        <v>2254</v>
      </c>
      <c r="AE532" s="33"/>
      <c r="AF532" s="33" t="s">
        <v>2267</v>
      </c>
      <c r="AG532" s="33" t="s">
        <v>2461</v>
      </c>
      <c r="AH532" s="33"/>
      <c r="AI532" s="33"/>
      <c r="AJ532" s="33" t="s">
        <v>6466</v>
      </c>
      <c r="AK532" s="94"/>
      <c r="AL532" s="33" t="s">
        <v>6467</v>
      </c>
      <c r="AM532" s="33"/>
      <c r="AN532" s="33" t="s">
        <v>2465</v>
      </c>
      <c r="AO532" s="51" t="s">
        <v>2466</v>
      </c>
      <c r="AP532" s="51" t="s">
        <v>207</v>
      </c>
      <c r="AQ532" s="33"/>
      <c r="AR532" s="54"/>
      <c r="AS532" s="54"/>
      <c r="AT532" s="54"/>
      <c r="AU532" s="54"/>
      <c r="AV532" s="54"/>
      <c r="AW532" s="54"/>
      <c r="AX532" s="54"/>
      <c r="AY532" s="54"/>
      <c r="AZ532" s="54"/>
      <c r="BA532" s="54"/>
      <c r="BB532" s="54"/>
      <c r="BC532" s="54"/>
      <c r="BD532" s="54" t="s">
        <v>2447</v>
      </c>
      <c r="BE532" s="54"/>
      <c r="BF532" s="54"/>
      <c r="BG532" s="54"/>
      <c r="BH532" s="54"/>
      <c r="BI532" s="54"/>
      <c r="BJ532" s="0"/>
      <c r="BK532" s="0"/>
      <c r="BL532" s="0"/>
      <c r="BM532" s="0"/>
      <c r="BN532" s="0"/>
      <c r="BO532" s="0"/>
      <c r="BP532"/>
      <c r="BQ532"/>
      <c r="BR532"/>
      <c r="BS532"/>
      <c r="BT532"/>
      <c r="BU532"/>
      <c r="BV532"/>
      <c r="BW532"/>
      <c r="BX532"/>
      <c r="BY532"/>
      <c r="BZ532"/>
      <c r="CA532"/>
      <c r="CB532"/>
    </row>
    <row r="533" ht="15.0" customHeight="true">
      <c r="A533" s="51" t="s">
        <v>2448</v>
      </c>
      <c r="B533" s="33"/>
      <c r="C533" s="33" t="s">
        <v>2692</v>
      </c>
      <c r="D533" s="33"/>
      <c r="E533" s="33" t="s">
        <v>4255</v>
      </c>
      <c r="F533" s="33"/>
      <c r="G533" s="55" t="s">
        <v>6468</v>
      </c>
      <c r="H533" s="33"/>
      <c r="I533" s="51" t="s">
        <v>6469</v>
      </c>
      <c r="J533" s="33"/>
      <c r="K533" s="51" t="s">
        <v>6470</v>
      </c>
      <c r="L533" s="33" t="s">
        <v>2484</v>
      </c>
      <c r="M533" s="55" t="s">
        <v>3366</v>
      </c>
      <c r="N533" s="55"/>
      <c r="O533" s="33"/>
      <c r="P533" s="33" t="s">
        <v>2251</v>
      </c>
      <c r="Q533" s="33"/>
      <c r="R533" s="33" t="s">
        <v>2263</v>
      </c>
      <c r="S533" s="56" t="s">
        <v>2277</v>
      </c>
      <c r="T533" s="56"/>
      <c r="U533" s="56"/>
      <c r="V533" s="33" t="s">
        <v>2456</v>
      </c>
      <c r="W533" s="94" t="s">
        <v>2457</v>
      </c>
      <c r="X533" s="94" t="s">
        <v>2474</v>
      </c>
      <c r="Y533" s="51"/>
      <c r="Z533" s="51"/>
      <c r="AA533" s="33" t="s">
        <v>2459</v>
      </c>
      <c r="AB533" s="33" t="s">
        <v>2460</v>
      </c>
      <c r="AC533" s="33" t="s">
        <v>2486</v>
      </c>
      <c r="AD533" s="33" t="s">
        <v>2254</v>
      </c>
      <c r="AE533" s="33"/>
      <c r="AF533" s="33" t="s">
        <v>2267</v>
      </c>
      <c r="AG533" s="33" t="s">
        <v>2461</v>
      </c>
      <c r="AH533" s="33"/>
      <c r="AI533" s="33" t="s">
        <v>6471</v>
      </c>
      <c r="AJ533" s="33" t="s">
        <v>6471</v>
      </c>
      <c r="AK533" s="94"/>
      <c r="AL533" s="33" t="s">
        <v>6472</v>
      </c>
      <c r="AM533" s="33"/>
      <c r="AN533" s="33" t="s">
        <v>2588</v>
      </c>
      <c r="AO533" s="51" t="s">
        <v>2911</v>
      </c>
      <c r="AP533" s="51" t="s">
        <v>207</v>
      </c>
      <c r="AQ533" s="33"/>
      <c r="AR533" s="54"/>
      <c r="AS533" s="54"/>
      <c r="AT533" s="54"/>
      <c r="AU533" s="54"/>
      <c r="AV533" s="54"/>
      <c r="AW533" s="54"/>
      <c r="AX533" s="54"/>
      <c r="AY533" s="54"/>
      <c r="AZ533" s="54"/>
      <c r="BA533" s="54"/>
      <c r="BB533" s="54"/>
      <c r="BC533" s="54"/>
      <c r="BD533" s="54" t="s">
        <v>2447</v>
      </c>
      <c r="BE533" s="54"/>
      <c r="BF533" s="54"/>
      <c r="BG533" s="54"/>
      <c r="BH533" s="54"/>
      <c r="BI533" s="54"/>
      <c r="BJ533" s="0"/>
      <c r="BK533" s="0"/>
      <c r="BL533" s="0"/>
      <c r="BM533" s="0"/>
      <c r="BN533" s="0"/>
      <c r="BO533" s="0"/>
      <c r="BP533"/>
      <c r="BQ533"/>
      <c r="BR533"/>
      <c r="BS533"/>
      <c r="BT533"/>
      <c r="BU533"/>
      <c r="BV533"/>
      <c r="BW533"/>
      <c r="BX533"/>
      <c r="BY533"/>
      <c r="BZ533"/>
      <c r="CA533"/>
      <c r="CB533"/>
    </row>
    <row r="534" ht="15.0" customHeight="true">
      <c r="A534" s="51" t="s">
        <v>2448</v>
      </c>
      <c r="B534" s="33"/>
      <c r="C534" s="33" t="s">
        <v>3900</v>
      </c>
      <c r="D534" s="33"/>
      <c r="E534" s="33" t="s">
        <v>6473</v>
      </c>
      <c r="F534" s="33"/>
      <c r="G534" s="55" t="s">
        <v>6474</v>
      </c>
      <c r="H534" s="33"/>
      <c r="I534" s="51" t="s">
        <v>6475</v>
      </c>
      <c r="J534" s="33"/>
      <c r="K534" s="51" t="s">
        <v>6476</v>
      </c>
      <c r="L534" s="33" t="s">
        <v>2454</v>
      </c>
      <c r="M534" s="55" t="s">
        <v>3151</v>
      </c>
      <c r="N534" s="55" t="s">
        <v>3325</v>
      </c>
      <c r="O534" s="33" t="s">
        <v>2272</v>
      </c>
      <c r="P534" s="33" t="s">
        <v>2251</v>
      </c>
      <c r="Q534" s="33"/>
      <c r="R534" s="33" t="s">
        <v>2263</v>
      </c>
      <c r="S534" s="56" t="s">
        <v>2277</v>
      </c>
      <c r="T534" s="56"/>
      <c r="U534" s="56"/>
      <c r="V534" s="33" t="s">
        <v>2456</v>
      </c>
      <c r="W534" s="94" t="s">
        <v>2457</v>
      </c>
      <c r="X534" s="94" t="s">
        <v>2458</v>
      </c>
      <c r="Y534" s="51"/>
      <c r="Z534" s="51"/>
      <c r="AA534" s="33" t="s">
        <v>2459</v>
      </c>
      <c r="AB534" s="33" t="s">
        <v>2460</v>
      </c>
      <c r="AC534" s="33"/>
      <c r="AD534" s="33" t="s">
        <v>2254</v>
      </c>
      <c r="AE534" s="33"/>
      <c r="AF534" s="33" t="s">
        <v>2267</v>
      </c>
      <c r="AG534" s="33" t="s">
        <v>2461</v>
      </c>
      <c r="AH534" s="33"/>
      <c r="AI534" s="33"/>
      <c r="AJ534" s="33" t="s">
        <v>6477</v>
      </c>
      <c r="AK534" s="94"/>
      <c r="AL534" s="33" t="s">
        <v>6478</v>
      </c>
      <c r="AM534" s="33"/>
      <c r="AN534" s="33" t="s">
        <v>2588</v>
      </c>
      <c r="AO534" s="51" t="s">
        <v>2589</v>
      </c>
      <c r="AP534" s="51" t="s">
        <v>207</v>
      </c>
      <c r="AQ534" s="33"/>
      <c r="AR534" s="54"/>
      <c r="AS534" s="54"/>
      <c r="AT534" s="54"/>
      <c r="AU534" s="54"/>
      <c r="AV534" s="54"/>
      <c r="AW534" s="54"/>
      <c r="AX534" s="54"/>
      <c r="AY534" s="54"/>
      <c r="AZ534" s="54"/>
      <c r="BA534" s="54"/>
      <c r="BB534" s="54"/>
      <c r="BC534" s="54"/>
      <c r="BD534" s="54" t="s">
        <v>2447</v>
      </c>
      <c r="BE534" s="54"/>
      <c r="BF534" s="54"/>
      <c r="BG534" s="54"/>
      <c r="BH534" s="54"/>
      <c r="BI534" s="54"/>
      <c r="BJ534" s="0"/>
      <c r="BK534" s="0"/>
      <c r="BL534" s="0"/>
      <c r="BM534" s="0"/>
      <c r="BN534" s="0"/>
      <c r="BO534" s="0"/>
      <c r="BP534"/>
      <c r="BQ534"/>
      <c r="BR534"/>
      <c r="BS534"/>
      <c r="BT534"/>
      <c r="BU534"/>
      <c r="BV534"/>
      <c r="BW534"/>
      <c r="BX534"/>
      <c r="BY534"/>
      <c r="BZ534"/>
      <c r="CA534"/>
      <c r="CB534"/>
    </row>
    <row r="535" ht="15.0" customHeight="true">
      <c r="A535" s="51" t="s">
        <v>2448</v>
      </c>
      <c r="B535" s="33"/>
      <c r="C535" s="33" t="s">
        <v>4217</v>
      </c>
      <c r="D535" s="33"/>
      <c r="E535" s="33" t="s">
        <v>6479</v>
      </c>
      <c r="F535" s="33"/>
      <c r="G535" s="55" t="s">
        <v>6480</v>
      </c>
      <c r="H535" s="33"/>
      <c r="I535" s="51" t="s">
        <v>6481</v>
      </c>
      <c r="J535" s="33"/>
      <c r="K535" s="51" t="s">
        <v>6482</v>
      </c>
      <c r="L535" s="33" t="s">
        <v>2484</v>
      </c>
      <c r="M535" s="55" t="s">
        <v>4898</v>
      </c>
      <c r="N535" s="55"/>
      <c r="O535" s="33"/>
      <c r="P535" s="33" t="s">
        <v>2251</v>
      </c>
      <c r="Q535" s="33"/>
      <c r="R535" s="33" t="s">
        <v>2263</v>
      </c>
      <c r="S535" s="56" t="s">
        <v>2277</v>
      </c>
      <c r="T535" s="56"/>
      <c r="U535" s="56"/>
      <c r="V535" s="33" t="s">
        <v>2456</v>
      </c>
      <c r="W535" s="94" t="s">
        <v>2457</v>
      </c>
      <c r="X535" s="94" t="s">
        <v>2474</v>
      </c>
      <c r="Y535" s="51"/>
      <c r="Z535" s="51"/>
      <c r="AA535" s="33" t="s">
        <v>2459</v>
      </c>
      <c r="AB535" s="33" t="s">
        <v>2460</v>
      </c>
      <c r="AC535" s="33" t="s">
        <v>2486</v>
      </c>
      <c r="AD535" s="33" t="s">
        <v>2254</v>
      </c>
      <c r="AE535" s="33"/>
      <c r="AF535" s="33" t="s">
        <v>2267</v>
      </c>
      <c r="AG535" s="33" t="s">
        <v>2461</v>
      </c>
      <c r="AH535" s="33"/>
      <c r="AI535" s="33"/>
      <c r="AJ535" s="33" t="s">
        <v>6483</v>
      </c>
      <c r="AK535" s="94"/>
      <c r="AL535" s="33" t="s">
        <v>6484</v>
      </c>
      <c r="AM535" s="33" t="s">
        <v>6485</v>
      </c>
      <c r="AN535" s="33" t="s">
        <v>2465</v>
      </c>
      <c r="AO535" s="51" t="s">
        <v>2466</v>
      </c>
      <c r="AP535" s="51" t="s">
        <v>207</v>
      </c>
      <c r="AQ535" s="33"/>
      <c r="AR535" s="54"/>
      <c r="AS535" s="54"/>
      <c r="AT535" s="54"/>
      <c r="AU535" s="54"/>
      <c r="AV535" s="54"/>
      <c r="AW535" s="54"/>
      <c r="AX535" s="54"/>
      <c r="AY535" s="54"/>
      <c r="AZ535" s="54"/>
      <c r="BA535" s="54"/>
      <c r="BB535" s="54"/>
      <c r="BC535" s="54"/>
      <c r="BD535" s="54" t="s">
        <v>2447</v>
      </c>
      <c r="BE535" s="54"/>
      <c r="BF535" s="54"/>
      <c r="BG535" s="54"/>
      <c r="BH535" s="54"/>
      <c r="BI535" s="54"/>
      <c r="BJ535" s="0"/>
      <c r="BK535" s="0"/>
      <c r="BL535" s="0"/>
      <c r="BM535" s="0"/>
      <c r="BN535" s="0"/>
      <c r="BO535" s="0"/>
      <c r="BP535"/>
      <c r="BQ535"/>
      <c r="BR535"/>
      <c r="BS535"/>
      <c r="BT535"/>
      <c r="BU535"/>
      <c r="BV535"/>
      <c r="BW535"/>
      <c r="BX535"/>
      <c r="BY535"/>
      <c r="BZ535"/>
      <c r="CA535"/>
      <c r="CB535"/>
    </row>
    <row r="536" ht="15.0" customHeight="true">
      <c r="A536" s="51" t="s">
        <v>2448</v>
      </c>
      <c r="B536" s="33"/>
      <c r="C536" s="33" t="s">
        <v>3060</v>
      </c>
      <c r="D536" s="33"/>
      <c r="E536" s="33" t="s">
        <v>6486</v>
      </c>
      <c r="F536" s="33"/>
      <c r="G536" s="55" t="s">
        <v>6487</v>
      </c>
      <c r="H536" s="33"/>
      <c r="I536" s="51" t="s">
        <v>6488</v>
      </c>
      <c r="J536" s="33"/>
      <c r="K536" s="51" t="s">
        <v>6489</v>
      </c>
      <c r="L536" s="33" t="s">
        <v>2454</v>
      </c>
      <c r="M536" s="55" t="s">
        <v>3010</v>
      </c>
      <c r="N536" s="55" t="s">
        <v>6490</v>
      </c>
      <c r="O536" s="33" t="s">
        <v>2272</v>
      </c>
      <c r="P536" s="33" t="s">
        <v>2251</v>
      </c>
      <c r="Q536" s="33"/>
      <c r="R536" s="33" t="s">
        <v>2263</v>
      </c>
      <c r="S536" s="56" t="s">
        <v>2277</v>
      </c>
      <c r="T536" s="56"/>
      <c r="U536" s="56"/>
      <c r="V536" s="33" t="s">
        <v>2456</v>
      </c>
      <c r="W536" s="94" t="s">
        <v>2457</v>
      </c>
      <c r="X536" s="94" t="s">
        <v>2458</v>
      </c>
      <c r="Y536" s="51"/>
      <c r="Z536" s="51"/>
      <c r="AA536" s="33" t="s">
        <v>2459</v>
      </c>
      <c r="AB536" s="33" t="s">
        <v>2460</v>
      </c>
      <c r="AC536" s="33"/>
      <c r="AD536" s="33" t="s">
        <v>2254</v>
      </c>
      <c r="AE536" s="33"/>
      <c r="AF536" s="33" t="s">
        <v>2267</v>
      </c>
      <c r="AG536" s="33" t="s">
        <v>2461</v>
      </c>
      <c r="AH536" s="33"/>
      <c r="AI536" s="33"/>
      <c r="AJ536" s="33" t="s">
        <v>6491</v>
      </c>
      <c r="AK536" s="94"/>
      <c r="AL536" s="33" t="s">
        <v>6492</v>
      </c>
      <c r="AM536" s="33"/>
      <c r="AN536" s="33" t="s">
        <v>2588</v>
      </c>
      <c r="AO536" s="51" t="s">
        <v>2589</v>
      </c>
      <c r="AP536" s="51" t="s">
        <v>207</v>
      </c>
      <c r="AQ536" s="33"/>
      <c r="AR536" s="54"/>
      <c r="AS536" s="54"/>
      <c r="AT536" s="54"/>
      <c r="AU536" s="54"/>
      <c r="AV536" s="54"/>
      <c r="AW536" s="54"/>
      <c r="AX536" s="54"/>
      <c r="AY536" s="54"/>
      <c r="AZ536" s="54"/>
      <c r="BA536" s="54"/>
      <c r="BB536" s="54"/>
      <c r="BC536" s="54"/>
      <c r="BD536" s="54" t="s">
        <v>2447</v>
      </c>
      <c r="BE536" s="54"/>
      <c r="BF536" s="54"/>
      <c r="BG536" s="54"/>
      <c r="BH536" s="54"/>
      <c r="BI536" s="54"/>
      <c r="BJ536" s="0"/>
      <c r="BK536" s="0"/>
      <c r="BL536" s="0"/>
      <c r="BM536" s="0"/>
      <c r="BN536" s="0"/>
      <c r="BO536" s="0"/>
      <c r="BP536"/>
      <c r="BQ536"/>
      <c r="BR536"/>
      <c r="BS536"/>
      <c r="BT536"/>
      <c r="BU536"/>
      <c r="BV536"/>
      <c r="BW536"/>
      <c r="BX536"/>
      <c r="BY536"/>
      <c r="BZ536"/>
      <c r="CA536"/>
      <c r="CB536"/>
    </row>
    <row r="537" ht="15.0" customHeight="true">
      <c r="A537" s="51" t="s">
        <v>2448</v>
      </c>
      <c r="B537" s="33"/>
      <c r="C537" s="33" t="s">
        <v>1012</v>
      </c>
      <c r="D537" s="33"/>
      <c r="E537" s="33" t="s">
        <v>1969</v>
      </c>
      <c r="F537" s="33"/>
      <c r="G537" s="55" t="s">
        <v>6493</v>
      </c>
      <c r="H537" s="33"/>
      <c r="I537" s="51" t="s">
        <v>6494</v>
      </c>
      <c r="J537" s="33"/>
      <c r="K537" s="51" t="s">
        <v>6495</v>
      </c>
      <c r="L537" s="33" t="s">
        <v>2484</v>
      </c>
      <c r="M537" s="55" t="s">
        <v>6496</v>
      </c>
      <c r="N537" s="55"/>
      <c r="O537" s="33"/>
      <c r="P537" s="33" t="s">
        <v>2251</v>
      </c>
      <c r="Q537" s="33"/>
      <c r="R537" s="33" t="s">
        <v>2263</v>
      </c>
      <c r="S537" s="56" t="s">
        <v>2277</v>
      </c>
      <c r="T537" s="56"/>
      <c r="U537" s="56"/>
      <c r="V537" s="33" t="s">
        <v>2456</v>
      </c>
      <c r="W537" s="94" t="s">
        <v>2457</v>
      </c>
      <c r="X537" s="94" t="s">
        <v>4376</v>
      </c>
      <c r="Y537" s="51"/>
      <c r="Z537" s="51"/>
      <c r="AA537" s="33" t="s">
        <v>2459</v>
      </c>
      <c r="AB537" s="33" t="s">
        <v>2460</v>
      </c>
      <c r="AC537" s="33" t="s">
        <v>2486</v>
      </c>
      <c r="AD537" s="33" t="s">
        <v>2254</v>
      </c>
      <c r="AE537" s="33"/>
      <c r="AF537" s="33" t="s">
        <v>2267</v>
      </c>
      <c r="AG537" s="33" t="s">
        <v>2461</v>
      </c>
      <c r="AH537" s="33"/>
      <c r="AI537" s="33"/>
      <c r="AJ537" s="33" t="s">
        <v>6497</v>
      </c>
      <c r="AK537" s="94"/>
      <c r="AL537" s="33" t="s">
        <v>6498</v>
      </c>
      <c r="AM537" s="33"/>
      <c r="AN537" s="33" t="s">
        <v>2465</v>
      </c>
      <c r="AO537" s="51" t="s">
        <v>2489</v>
      </c>
      <c r="AP537" s="51" t="s">
        <v>207</v>
      </c>
      <c r="AQ537" s="33"/>
      <c r="AR537" s="54"/>
      <c r="AS537" s="54"/>
      <c r="AT537" s="54"/>
      <c r="AU537" s="54"/>
      <c r="AV537" s="54"/>
      <c r="AW537" s="54"/>
      <c r="AX537" s="54"/>
      <c r="AY537" s="54"/>
      <c r="AZ537" s="54"/>
      <c r="BA537" s="54"/>
      <c r="BB537" s="54"/>
      <c r="BC537" s="54"/>
      <c r="BD537" s="54"/>
      <c r="BE537" s="54"/>
      <c r="BF537" s="54"/>
      <c r="BG537" s="54"/>
      <c r="BH537" s="54"/>
      <c r="BI537" s="54"/>
      <c r="BJ537" s="0"/>
      <c r="BK537" s="0"/>
      <c r="BL537" s="0"/>
      <c r="BM537" s="0"/>
      <c r="BN537" s="0"/>
      <c r="BO537" s="0"/>
      <c r="BP537"/>
      <c r="BQ537"/>
      <c r="BR537"/>
      <c r="BS537"/>
      <c r="BT537"/>
      <c r="BU537"/>
      <c r="BV537"/>
      <c r="BW537"/>
      <c r="BX537"/>
      <c r="BY537"/>
      <c r="BZ537"/>
      <c r="CA537"/>
      <c r="CB537"/>
    </row>
    <row r="538" ht="15.0" customHeight="true">
      <c r="A538" s="51" t="s">
        <v>2448</v>
      </c>
      <c r="B538" s="33"/>
      <c r="C538" s="33" t="s">
        <v>3538</v>
      </c>
      <c r="D538" s="33"/>
      <c r="E538" s="33" t="s">
        <v>6499</v>
      </c>
      <c r="F538" s="33"/>
      <c r="G538" s="55" t="s">
        <v>6500</v>
      </c>
      <c r="H538" s="33"/>
      <c r="I538" s="51" t="s">
        <v>6501</v>
      </c>
      <c r="J538" s="33"/>
      <c r="K538" s="51" t="s">
        <v>6502</v>
      </c>
      <c r="L538" s="33" t="s">
        <v>2454</v>
      </c>
      <c r="M538" s="55" t="s">
        <v>4534</v>
      </c>
      <c r="N538" s="55" t="s">
        <v>4037</v>
      </c>
      <c r="O538" s="33" t="s">
        <v>2276</v>
      </c>
      <c r="P538" s="33" t="s">
        <v>2251</v>
      </c>
      <c r="Q538" s="33"/>
      <c r="R538" s="33" t="s">
        <v>2263</v>
      </c>
      <c r="S538" s="56" t="s">
        <v>2277</v>
      </c>
      <c r="T538" s="56"/>
      <c r="U538" s="56"/>
      <c r="V538" s="33" t="s">
        <v>4534</v>
      </c>
      <c r="W538" s="94" t="s">
        <v>2574</v>
      </c>
      <c r="X538" s="94" t="s">
        <v>2474</v>
      </c>
      <c r="Y538" s="51"/>
      <c r="Z538" s="51"/>
      <c r="AA538" s="33" t="s">
        <v>2459</v>
      </c>
      <c r="AB538" s="33" t="s">
        <v>2460</v>
      </c>
      <c r="AC538" s="33" t="s">
        <v>2486</v>
      </c>
      <c r="AD538" s="33" t="s">
        <v>2254</v>
      </c>
      <c r="AE538" s="33"/>
      <c r="AF538" s="33" t="s">
        <v>2267</v>
      </c>
      <c r="AG538" s="33" t="s">
        <v>2461</v>
      </c>
      <c r="AH538" s="33"/>
      <c r="AI538" s="33"/>
      <c r="AJ538" s="33" t="s">
        <v>6503</v>
      </c>
      <c r="AK538" s="94"/>
      <c r="AL538" s="33" t="s">
        <v>6504</v>
      </c>
      <c r="AM538" s="33" t="s">
        <v>6505</v>
      </c>
      <c r="AN538" s="33" t="s">
        <v>2465</v>
      </c>
      <c r="AO538" s="51" t="s">
        <v>2538</v>
      </c>
      <c r="AP538" s="51" t="s">
        <v>207</v>
      </c>
      <c r="AQ538" s="33"/>
      <c r="AR538" s="54"/>
      <c r="AS538" s="54"/>
      <c r="AT538" s="54"/>
      <c r="AU538" s="54"/>
      <c r="AV538" s="54"/>
      <c r="AW538" s="54"/>
      <c r="AX538" s="54"/>
      <c r="AY538" s="54" t="s">
        <v>2269</v>
      </c>
      <c r="AZ538" s="54"/>
      <c r="BA538" s="54"/>
      <c r="BB538" s="54"/>
      <c r="BC538" s="54"/>
      <c r="BD538" s="54" t="s">
        <v>2447</v>
      </c>
      <c r="BE538" s="54"/>
      <c r="BF538" s="54"/>
      <c r="BG538" s="54"/>
      <c r="BH538" s="54"/>
      <c r="BI538" s="54"/>
      <c r="BJ538" s="0"/>
      <c r="BK538" s="0"/>
      <c r="BL538" s="0"/>
      <c r="BM538" s="0"/>
      <c r="BN538" s="0"/>
      <c r="BO538" s="0"/>
      <c r="BP538"/>
      <c r="BQ538"/>
      <c r="BR538"/>
      <c r="BS538"/>
      <c r="BT538"/>
      <c r="BU538"/>
      <c r="BV538"/>
      <c r="BW538"/>
      <c r="BX538"/>
      <c r="BY538"/>
      <c r="BZ538"/>
      <c r="CA538"/>
      <c r="CB538"/>
    </row>
    <row r="539" ht="15.0" customHeight="true">
      <c r="A539" s="51" t="s">
        <v>2448</v>
      </c>
      <c r="B539" s="33"/>
      <c r="C539" s="33" t="s">
        <v>6506</v>
      </c>
      <c r="D539" s="33"/>
      <c r="E539" s="33" t="s">
        <v>6507</v>
      </c>
      <c r="F539" s="33"/>
      <c r="G539" s="55" t="s">
        <v>6508</v>
      </c>
      <c r="H539" s="33"/>
      <c r="I539" s="51" t="s">
        <v>6509</v>
      </c>
      <c r="J539" s="33"/>
      <c r="K539" s="51" t="s">
        <v>6510</v>
      </c>
      <c r="L539" s="33" t="s">
        <v>2454</v>
      </c>
      <c r="M539" s="55" t="s">
        <v>2472</v>
      </c>
      <c r="N539" s="55" t="s">
        <v>3966</v>
      </c>
      <c r="O539" s="33" t="s">
        <v>2272</v>
      </c>
      <c r="P539" s="33" t="s">
        <v>2251</v>
      </c>
      <c r="Q539" s="33"/>
      <c r="R539" s="33" t="s">
        <v>2263</v>
      </c>
      <c r="S539" s="56" t="s">
        <v>2277</v>
      </c>
      <c r="T539" s="56"/>
      <c r="U539" s="56"/>
      <c r="V539" s="33" t="s">
        <v>2456</v>
      </c>
      <c r="W539" s="94" t="s">
        <v>2457</v>
      </c>
      <c r="X539" s="94" t="s">
        <v>2474</v>
      </c>
      <c r="Y539" s="51"/>
      <c r="Z539" s="51"/>
      <c r="AA539" s="33" t="s">
        <v>2459</v>
      </c>
      <c r="AB539" s="33" t="s">
        <v>2460</v>
      </c>
      <c r="AC539" s="33"/>
      <c r="AD539" s="33" t="s">
        <v>2254</v>
      </c>
      <c r="AE539" s="33"/>
      <c r="AF539" s="33" t="s">
        <v>2267</v>
      </c>
      <c r="AG539" s="33" t="s">
        <v>2461</v>
      </c>
      <c r="AH539" s="33"/>
      <c r="AI539" s="33"/>
      <c r="AJ539" s="33" t="s">
        <v>6511</v>
      </c>
      <c r="AK539" s="94"/>
      <c r="AL539" s="33" t="s">
        <v>6512</v>
      </c>
      <c r="AM539" s="33"/>
      <c r="AN539" s="33" t="s">
        <v>2465</v>
      </c>
      <c r="AO539" s="51" t="s">
        <v>2489</v>
      </c>
      <c r="AP539" s="51" t="s">
        <v>207</v>
      </c>
      <c r="AQ539" s="33"/>
      <c r="AR539" s="54"/>
      <c r="AS539" s="54"/>
      <c r="AT539" s="54"/>
      <c r="AU539" s="54"/>
      <c r="AV539" s="54"/>
      <c r="AW539" s="54"/>
      <c r="AX539" s="54"/>
      <c r="AY539" s="54"/>
      <c r="AZ539" s="54"/>
      <c r="BA539" s="54"/>
      <c r="BB539" s="54"/>
      <c r="BC539" s="54"/>
      <c r="BD539" s="54" t="s">
        <v>2447</v>
      </c>
      <c r="BE539" s="54"/>
      <c r="BF539" s="54"/>
      <c r="BG539" s="54"/>
      <c r="BH539" s="54"/>
      <c r="BI539" s="54"/>
      <c r="BJ539" s="0"/>
      <c r="BK539" s="0"/>
      <c r="BL539" s="0"/>
      <c r="BM539" s="0"/>
      <c r="BN539" s="0"/>
      <c r="BO539" s="0"/>
      <c r="BP539"/>
      <c r="BQ539"/>
      <c r="BR539"/>
      <c r="BS539"/>
      <c r="BT539"/>
      <c r="BU539"/>
      <c r="BV539"/>
      <c r="BW539"/>
      <c r="BX539"/>
      <c r="BY539"/>
      <c r="BZ539"/>
      <c r="CA539"/>
      <c r="CB539"/>
    </row>
    <row r="540" ht="15.0" customHeight="true">
      <c r="A540" s="51" t="s">
        <v>2448</v>
      </c>
      <c r="B540" s="33"/>
      <c r="C540" s="33" t="s">
        <v>4601</v>
      </c>
      <c r="D540" s="33"/>
      <c r="E540" s="33" t="s">
        <v>6513</v>
      </c>
      <c r="F540" s="33"/>
      <c r="G540" s="55" t="s">
        <v>6514</v>
      </c>
      <c r="H540" s="33"/>
      <c r="I540" s="51" t="s">
        <v>6515</v>
      </c>
      <c r="J540" s="33"/>
      <c r="K540" s="51" t="s">
        <v>6516</v>
      </c>
      <c r="L540" s="33" t="s">
        <v>2454</v>
      </c>
      <c r="M540" s="55" t="s">
        <v>3879</v>
      </c>
      <c r="N540" s="55" t="s">
        <v>6517</v>
      </c>
      <c r="O540" s="33" t="s">
        <v>2272</v>
      </c>
      <c r="P540" s="33" t="s">
        <v>2251</v>
      </c>
      <c r="Q540" s="33"/>
      <c r="R540" s="33" t="s">
        <v>2263</v>
      </c>
      <c r="S540" s="56" t="s">
        <v>2277</v>
      </c>
      <c r="T540" s="56"/>
      <c r="U540" s="56"/>
      <c r="V540" s="33" t="s">
        <v>2456</v>
      </c>
      <c r="W540" s="94" t="s">
        <v>2457</v>
      </c>
      <c r="X540" s="94" t="s">
        <v>2458</v>
      </c>
      <c r="Y540" s="51"/>
      <c r="Z540" s="51"/>
      <c r="AA540" s="33" t="s">
        <v>2459</v>
      </c>
      <c r="AB540" s="33" t="s">
        <v>2460</v>
      </c>
      <c r="AC540" s="33"/>
      <c r="AD540" s="33" t="s">
        <v>2254</v>
      </c>
      <c r="AE540" s="33"/>
      <c r="AF540" s="33" t="s">
        <v>2267</v>
      </c>
      <c r="AG540" s="33" t="s">
        <v>2461</v>
      </c>
      <c r="AH540" s="33"/>
      <c r="AI540" s="33"/>
      <c r="AJ540" s="33" t="s">
        <v>6518</v>
      </c>
      <c r="AK540" s="94"/>
      <c r="AL540" s="33" t="s">
        <v>6519</v>
      </c>
      <c r="AM540" s="33"/>
      <c r="AN540" s="33" t="s">
        <v>2465</v>
      </c>
      <c r="AO540" s="51" t="s">
        <v>2466</v>
      </c>
      <c r="AP540" s="51" t="s">
        <v>207</v>
      </c>
      <c r="AQ540" s="33"/>
      <c r="AR540" s="54"/>
      <c r="AS540" s="54"/>
      <c r="AT540" s="54"/>
      <c r="AU540" s="54"/>
      <c r="AV540" s="54"/>
      <c r="AW540" s="54"/>
      <c r="AX540" s="54"/>
      <c r="AY540" s="54"/>
      <c r="AZ540" s="54"/>
      <c r="BA540" s="54"/>
      <c r="BB540" s="54"/>
      <c r="BC540" s="54"/>
      <c r="BD540" s="54" t="s">
        <v>2447</v>
      </c>
      <c r="BE540" s="54"/>
      <c r="BF540" s="54"/>
      <c r="BG540" s="54"/>
      <c r="BH540" s="54"/>
      <c r="BI540" s="54"/>
      <c r="BJ540" s="0"/>
      <c r="BK540" s="0"/>
      <c r="BL540" s="0"/>
      <c r="BM540" s="0"/>
      <c r="BN540" s="0"/>
      <c r="BO540" s="0"/>
      <c r="BP540"/>
      <c r="BQ540"/>
      <c r="BR540"/>
      <c r="BS540"/>
      <c r="BT540"/>
      <c r="BU540"/>
      <c r="BV540"/>
      <c r="BW540"/>
      <c r="BX540"/>
      <c r="BY540"/>
      <c r="BZ540"/>
      <c r="CA540"/>
      <c r="CB540"/>
    </row>
    <row r="541" ht="15.0" customHeight="true">
      <c r="A541" s="51" t="s">
        <v>2448</v>
      </c>
      <c r="B541" s="33"/>
      <c r="C541" s="33" t="s">
        <v>5651</v>
      </c>
      <c r="D541" s="33"/>
      <c r="E541" s="33" t="s">
        <v>6520</v>
      </c>
      <c r="F541" s="33"/>
      <c r="G541" s="55" t="s">
        <v>6521</v>
      </c>
      <c r="H541" s="33"/>
      <c r="I541" s="51" t="s">
        <v>6522</v>
      </c>
      <c r="J541" s="33"/>
      <c r="K541" s="51" t="s">
        <v>6523</v>
      </c>
      <c r="L541" s="33" t="s">
        <v>2454</v>
      </c>
      <c r="M541" s="55" t="s">
        <v>3091</v>
      </c>
      <c r="N541" s="55" t="s">
        <v>3306</v>
      </c>
      <c r="O541" s="33" t="s">
        <v>2272</v>
      </c>
      <c r="P541" s="33" t="s">
        <v>2251</v>
      </c>
      <c r="Q541" s="33"/>
      <c r="R541" s="33" t="s">
        <v>2263</v>
      </c>
      <c r="S541" s="56" t="s">
        <v>2277</v>
      </c>
      <c r="T541" s="56"/>
      <c r="U541" s="56"/>
      <c r="V541" s="33" t="s">
        <v>2456</v>
      </c>
      <c r="W541" s="94" t="s">
        <v>2457</v>
      </c>
      <c r="X541" s="94" t="s">
        <v>2474</v>
      </c>
      <c r="Y541" s="51"/>
      <c r="Z541" s="51"/>
      <c r="AA541" s="33" t="s">
        <v>2459</v>
      </c>
      <c r="AB541" s="33" t="s">
        <v>2460</v>
      </c>
      <c r="AC541" s="33"/>
      <c r="AD541" s="33" t="s">
        <v>2254</v>
      </c>
      <c r="AE541" s="33"/>
      <c r="AF541" s="33" t="s">
        <v>2267</v>
      </c>
      <c r="AG541" s="33" t="s">
        <v>2461</v>
      </c>
      <c r="AH541" s="33"/>
      <c r="AI541" s="33"/>
      <c r="AJ541" s="33" t="s">
        <v>6524</v>
      </c>
      <c r="AK541" s="94"/>
      <c r="AL541" s="33" t="s">
        <v>6525</v>
      </c>
      <c r="AM541" s="33" t="s">
        <v>6526</v>
      </c>
      <c r="AN541" s="33" t="s">
        <v>2465</v>
      </c>
      <c r="AO541" s="51" t="s">
        <v>2618</v>
      </c>
      <c r="AP541" s="51" t="s">
        <v>207</v>
      </c>
      <c r="AQ541" s="33"/>
      <c r="AR541" s="54"/>
      <c r="AS541" s="54"/>
      <c r="AT541" s="54"/>
      <c r="AU541" s="54"/>
      <c r="AV541" s="54"/>
      <c r="AW541" s="54"/>
      <c r="AX541" s="54"/>
      <c r="AY541" s="54"/>
      <c r="AZ541" s="54"/>
      <c r="BA541" s="54"/>
      <c r="BB541" s="54"/>
      <c r="BC541" s="54"/>
      <c r="BD541" s="54" t="s">
        <v>2447</v>
      </c>
      <c r="BE541" s="54"/>
      <c r="BF541" s="54"/>
      <c r="BG541" s="54"/>
      <c r="BH541" s="54"/>
      <c r="BI541" s="54"/>
      <c r="BJ541" s="0"/>
      <c r="BK541" s="0"/>
      <c r="BL541" s="0"/>
      <c r="BM541" s="0"/>
      <c r="BN541" s="0"/>
      <c r="BO541" s="0"/>
      <c r="BP541"/>
      <c r="BQ541"/>
      <c r="BR541"/>
      <c r="BS541"/>
      <c r="BT541"/>
      <c r="BU541"/>
      <c r="BV541"/>
      <c r="BW541"/>
      <c r="BX541"/>
      <c r="BY541"/>
      <c r="BZ541"/>
      <c r="CA541"/>
      <c r="CB541"/>
    </row>
    <row r="542" ht="15.0" customHeight="true">
      <c r="A542" s="51" t="s">
        <v>2448</v>
      </c>
      <c r="B542" s="33"/>
      <c r="C542" s="33" t="s">
        <v>6527</v>
      </c>
      <c r="D542" s="33"/>
      <c r="E542" s="33" t="s">
        <v>6528</v>
      </c>
      <c r="F542" s="33"/>
      <c r="G542" s="55" t="s">
        <v>6529</v>
      </c>
      <c r="H542" s="33"/>
      <c r="I542" s="51" t="s">
        <v>6530</v>
      </c>
      <c r="J542" s="33"/>
      <c r="K542" s="51" t="s">
        <v>6531</v>
      </c>
      <c r="L542" s="33" t="s">
        <v>2454</v>
      </c>
      <c r="M542" s="55" t="s">
        <v>3772</v>
      </c>
      <c r="N542" s="55" t="s">
        <v>4992</v>
      </c>
      <c r="O542" s="33" t="s">
        <v>2272</v>
      </c>
      <c r="P542" s="33" t="s">
        <v>2251</v>
      </c>
      <c r="Q542" s="33"/>
      <c r="R542" s="33" t="s">
        <v>2263</v>
      </c>
      <c r="S542" s="56" t="s">
        <v>2277</v>
      </c>
      <c r="T542" s="56"/>
      <c r="U542" s="56"/>
      <c r="V542" s="33" t="s">
        <v>2456</v>
      </c>
      <c r="W542" s="94" t="s">
        <v>2457</v>
      </c>
      <c r="X542" s="94" t="s">
        <v>2458</v>
      </c>
      <c r="Y542" s="51"/>
      <c r="Z542" s="51"/>
      <c r="AA542" s="33" t="s">
        <v>2459</v>
      </c>
      <c r="AB542" s="33" t="s">
        <v>2460</v>
      </c>
      <c r="AC542" s="33"/>
      <c r="AD542" s="33" t="s">
        <v>2254</v>
      </c>
      <c r="AE542" s="33"/>
      <c r="AF542" s="33" t="s">
        <v>2267</v>
      </c>
      <c r="AG542" s="33" t="s">
        <v>2461</v>
      </c>
      <c r="AH542" s="33"/>
      <c r="AI542" s="33"/>
      <c r="AJ542" s="33" t="s">
        <v>6532</v>
      </c>
      <c r="AK542" s="94"/>
      <c r="AL542" s="33" t="s">
        <v>6533</v>
      </c>
      <c r="AM542" s="33"/>
      <c r="AN542" s="33" t="s">
        <v>6534</v>
      </c>
      <c r="AO542" s="51" t="s">
        <v>6535</v>
      </c>
      <c r="AP542" s="51" t="s">
        <v>217</v>
      </c>
      <c r="AQ542" s="33"/>
      <c r="AR542" s="54"/>
      <c r="AS542" s="54"/>
      <c r="AT542" s="54"/>
      <c r="AU542" s="54"/>
      <c r="AV542" s="54"/>
      <c r="AW542" s="54"/>
      <c r="AX542" s="54"/>
      <c r="AY542" s="54"/>
      <c r="AZ542" s="54"/>
      <c r="BA542" s="54"/>
      <c r="BB542" s="54"/>
      <c r="BC542" s="54"/>
      <c r="BD542" s="54" t="s">
        <v>2447</v>
      </c>
      <c r="BE542" s="54"/>
      <c r="BF542" s="54"/>
      <c r="BG542" s="54"/>
      <c r="BH542" s="54"/>
      <c r="BI542" s="54"/>
      <c r="BJ542" s="0"/>
      <c r="BK542" s="0"/>
      <c r="BL542" s="0"/>
      <c r="BM542" s="0"/>
      <c r="BN542" s="0"/>
      <c r="BO542" s="0"/>
      <c r="BP542"/>
      <c r="BQ542"/>
      <c r="BR542"/>
      <c r="BS542"/>
      <c r="BT542"/>
      <c r="BU542"/>
      <c r="BV542"/>
      <c r="BW542"/>
      <c r="BX542"/>
      <c r="BY542"/>
      <c r="BZ542"/>
      <c r="CA542"/>
      <c r="CB542"/>
    </row>
    <row r="543" ht="15.0" customHeight="true">
      <c r="A543" s="51" t="s">
        <v>2448</v>
      </c>
      <c r="B543" s="33"/>
      <c r="C543" s="33" t="s">
        <v>6536</v>
      </c>
      <c r="D543" s="33"/>
      <c r="E543" s="33" t="s">
        <v>6537</v>
      </c>
      <c r="F543" s="33"/>
      <c r="G543" s="55" t="s">
        <v>6538</v>
      </c>
      <c r="H543" s="33"/>
      <c r="I543" s="51" t="s">
        <v>6539</v>
      </c>
      <c r="J543" s="33"/>
      <c r="K543" s="51" t="s">
        <v>6540</v>
      </c>
      <c r="L543" s="33" t="s">
        <v>2454</v>
      </c>
      <c r="M543" s="55" t="s">
        <v>6541</v>
      </c>
      <c r="N543" s="55" t="s">
        <v>6541</v>
      </c>
      <c r="O543" s="33" t="s">
        <v>2272</v>
      </c>
      <c r="P543" s="33" t="s">
        <v>2251</v>
      </c>
      <c r="Q543" s="33"/>
      <c r="R543" s="33" t="s">
        <v>2263</v>
      </c>
      <c r="S543" s="56" t="s">
        <v>2277</v>
      </c>
      <c r="T543" s="56"/>
      <c r="U543" s="56"/>
      <c r="V543" s="33" t="s">
        <v>2456</v>
      </c>
      <c r="W543" s="94" t="s">
        <v>2457</v>
      </c>
      <c r="X543" s="94" t="s">
        <v>2458</v>
      </c>
      <c r="Y543" s="51"/>
      <c r="Z543" s="51"/>
      <c r="AA543" s="33" t="s">
        <v>2459</v>
      </c>
      <c r="AB543" s="33" t="s">
        <v>2460</v>
      </c>
      <c r="AC543" s="33"/>
      <c r="AD543" s="33" t="s">
        <v>2254</v>
      </c>
      <c r="AE543" s="33"/>
      <c r="AF543" s="33" t="s">
        <v>2267</v>
      </c>
      <c r="AG543" s="33" t="s">
        <v>2461</v>
      </c>
      <c r="AH543" s="33"/>
      <c r="AI543" s="33"/>
      <c r="AJ543" s="33" t="s">
        <v>6542</v>
      </c>
      <c r="AK543" s="94"/>
      <c r="AL543" s="33" t="s">
        <v>6543</v>
      </c>
      <c r="AM543" s="33" t="s">
        <v>6544</v>
      </c>
      <c r="AN543" s="33" t="s">
        <v>2465</v>
      </c>
      <c r="AO543" s="51" t="s">
        <v>2500</v>
      </c>
      <c r="AP543" s="51" t="s">
        <v>207</v>
      </c>
      <c r="AQ543" s="33"/>
      <c r="AR543" s="54"/>
      <c r="AS543" s="54"/>
      <c r="AT543" s="54"/>
      <c r="AU543" s="54"/>
      <c r="AV543" s="54"/>
      <c r="AW543" s="54"/>
      <c r="AX543" s="54"/>
      <c r="AY543" s="54"/>
      <c r="AZ543" s="54"/>
      <c r="BA543" s="54"/>
      <c r="BB543" s="54"/>
      <c r="BC543" s="54"/>
      <c r="BD543" s="54" t="s">
        <v>2447</v>
      </c>
      <c r="BE543" s="54"/>
      <c r="BF543" s="54"/>
      <c r="BG543" s="54"/>
      <c r="BH543" s="54"/>
      <c r="BI543" s="54"/>
      <c r="BJ543" s="0"/>
      <c r="BK543" s="0"/>
      <c r="BL543" s="0"/>
      <c r="BM543" s="0"/>
      <c r="BN543" s="0"/>
      <c r="BO543" s="0"/>
      <c r="BP543"/>
      <c r="BQ543"/>
      <c r="BR543"/>
      <c r="BS543"/>
      <c r="BT543"/>
      <c r="BU543"/>
      <c r="BV543"/>
      <c r="BW543"/>
      <c r="BX543"/>
      <c r="BY543"/>
      <c r="BZ543"/>
      <c r="CA543"/>
      <c r="CB543"/>
    </row>
    <row r="544" ht="15.0" customHeight="true">
      <c r="A544" s="51" t="s">
        <v>2448</v>
      </c>
      <c r="B544" s="33"/>
      <c r="C544" s="33" t="s">
        <v>4735</v>
      </c>
      <c r="D544" s="33"/>
      <c r="E544" s="33" t="s">
        <v>6545</v>
      </c>
      <c r="F544" s="33"/>
      <c r="G544" s="55" t="s">
        <v>6546</v>
      </c>
      <c r="H544" s="33"/>
      <c r="I544" s="51" t="s">
        <v>6547</v>
      </c>
      <c r="J544" s="33"/>
      <c r="K544" s="51" t="s">
        <v>6548</v>
      </c>
      <c r="L544" s="33" t="s">
        <v>2454</v>
      </c>
      <c r="M544" s="55" t="s">
        <v>5293</v>
      </c>
      <c r="N544" s="55" t="s">
        <v>2485</v>
      </c>
      <c r="O544" s="33" t="s">
        <v>2272</v>
      </c>
      <c r="P544" s="33" t="s">
        <v>2251</v>
      </c>
      <c r="Q544" s="33"/>
      <c r="R544" s="33" t="s">
        <v>2263</v>
      </c>
      <c r="S544" s="56" t="s">
        <v>2277</v>
      </c>
      <c r="T544" s="56"/>
      <c r="U544" s="56"/>
      <c r="V544" s="33" t="s">
        <v>2456</v>
      </c>
      <c r="W544" s="94" t="s">
        <v>2457</v>
      </c>
      <c r="X544" s="94" t="s">
        <v>2474</v>
      </c>
      <c r="Y544" s="51"/>
      <c r="Z544" s="51"/>
      <c r="AA544" s="33" t="s">
        <v>2459</v>
      </c>
      <c r="AB544" s="33" t="s">
        <v>2460</v>
      </c>
      <c r="AC544" s="33"/>
      <c r="AD544" s="33" t="s">
        <v>2254</v>
      </c>
      <c r="AE544" s="33"/>
      <c r="AF544" s="33" t="s">
        <v>2267</v>
      </c>
      <c r="AG544" s="33" t="s">
        <v>2461</v>
      </c>
      <c r="AH544" s="33"/>
      <c r="AI544" s="33"/>
      <c r="AJ544" s="33" t="s">
        <v>6549</v>
      </c>
      <c r="AK544" s="94"/>
      <c r="AL544" s="33" t="s">
        <v>6550</v>
      </c>
      <c r="AM544" s="33"/>
      <c r="AN544" s="33" t="s">
        <v>2828</v>
      </c>
      <c r="AO544" s="51" t="s">
        <v>2829</v>
      </c>
      <c r="AP544" s="51" t="s">
        <v>207</v>
      </c>
      <c r="AQ544" s="33"/>
      <c r="AR544" s="54"/>
      <c r="AS544" s="54"/>
      <c r="AT544" s="54"/>
      <c r="AU544" s="54"/>
      <c r="AV544" s="54"/>
      <c r="AW544" s="54"/>
      <c r="AX544" s="54"/>
      <c r="AY544" s="54"/>
      <c r="AZ544" s="54"/>
      <c r="BA544" s="54"/>
      <c r="BB544" s="54"/>
      <c r="BC544" s="54"/>
      <c r="BD544" s="54" t="s">
        <v>2447</v>
      </c>
      <c r="BE544" s="54"/>
      <c r="BF544" s="54"/>
      <c r="BG544" s="54"/>
      <c r="BH544" s="54"/>
      <c r="BI544" s="54"/>
      <c r="BJ544" s="0"/>
      <c r="BK544" s="0"/>
      <c r="BL544" s="0"/>
      <c r="BM544" s="0"/>
      <c r="BN544" s="0"/>
      <c r="BO544" s="0"/>
      <c r="BP544"/>
      <c r="BQ544"/>
      <c r="BR544"/>
      <c r="BS544"/>
      <c r="BT544"/>
      <c r="BU544"/>
      <c r="BV544"/>
      <c r="BW544"/>
      <c r="BX544"/>
      <c r="BY544"/>
      <c r="BZ544"/>
      <c r="CA544"/>
      <c r="CB544"/>
    </row>
    <row r="545" ht="15.0" customHeight="true">
      <c r="A545" s="51" t="s">
        <v>2448</v>
      </c>
      <c r="B545" s="33"/>
      <c r="C545" s="33" t="s">
        <v>6551</v>
      </c>
      <c r="D545" s="33"/>
      <c r="E545" s="33" t="s">
        <v>4779</v>
      </c>
      <c r="F545" s="33"/>
      <c r="G545" s="55" t="s">
        <v>6552</v>
      </c>
      <c r="H545" s="33"/>
      <c r="I545" s="51" t="s">
        <v>6553</v>
      </c>
      <c r="J545" s="33"/>
      <c r="K545" s="51" t="s">
        <v>6554</v>
      </c>
      <c r="L545" s="33" t="s">
        <v>2484</v>
      </c>
      <c r="M545" s="55" t="s">
        <v>3827</v>
      </c>
      <c r="N545" s="55"/>
      <c r="O545" s="33"/>
      <c r="P545" s="33" t="s">
        <v>2251</v>
      </c>
      <c r="Q545" s="33"/>
      <c r="R545" s="33" t="s">
        <v>2263</v>
      </c>
      <c r="S545" s="56" t="s">
        <v>2277</v>
      </c>
      <c r="T545" s="56"/>
      <c r="U545" s="56"/>
      <c r="V545" s="33" t="s">
        <v>2456</v>
      </c>
      <c r="W545" s="94" t="s">
        <v>2457</v>
      </c>
      <c r="X545" s="94" t="s">
        <v>2474</v>
      </c>
      <c r="Y545" s="51"/>
      <c r="Z545" s="51"/>
      <c r="AA545" s="33" t="s">
        <v>2459</v>
      </c>
      <c r="AB545" s="33" t="s">
        <v>2460</v>
      </c>
      <c r="AC545" s="33" t="s">
        <v>2486</v>
      </c>
      <c r="AD545" s="33" t="s">
        <v>2254</v>
      </c>
      <c r="AE545" s="33"/>
      <c r="AF545" s="33" t="s">
        <v>2267</v>
      </c>
      <c r="AG545" s="33" t="s">
        <v>2461</v>
      </c>
      <c r="AH545" s="33"/>
      <c r="AI545" s="33"/>
      <c r="AJ545" s="33" t="s">
        <v>6555</v>
      </c>
      <c r="AK545" s="94"/>
      <c r="AL545" s="33" t="s">
        <v>6556</v>
      </c>
      <c r="AM545" s="33"/>
      <c r="AN545" s="33" t="s">
        <v>2588</v>
      </c>
      <c r="AO545" s="51" t="s">
        <v>2911</v>
      </c>
      <c r="AP545" s="51" t="s">
        <v>207</v>
      </c>
      <c r="AQ545" s="33"/>
      <c r="AR545" s="54"/>
      <c r="AS545" s="54"/>
      <c r="AT545" s="54"/>
      <c r="AU545" s="54"/>
      <c r="AV545" s="54"/>
      <c r="AW545" s="54"/>
      <c r="AX545" s="54"/>
      <c r="AY545" s="54"/>
      <c r="AZ545" s="54"/>
      <c r="BA545" s="54"/>
      <c r="BB545" s="54"/>
      <c r="BC545" s="54"/>
      <c r="BD545" s="54" t="s">
        <v>2447</v>
      </c>
      <c r="BE545" s="54"/>
      <c r="BF545" s="54"/>
      <c r="BG545" s="54"/>
      <c r="BH545" s="54"/>
      <c r="BI545" s="54"/>
      <c r="BJ545" s="0"/>
      <c r="BK545" s="0"/>
      <c r="BL545" s="0"/>
      <c r="BM545" s="0"/>
      <c r="BN545" s="0"/>
      <c r="BO545" s="0"/>
      <c r="BP545"/>
      <c r="BQ545"/>
      <c r="BR545"/>
      <c r="BS545"/>
      <c r="BT545"/>
      <c r="BU545"/>
      <c r="BV545"/>
      <c r="BW545"/>
      <c r="BX545"/>
      <c r="BY545"/>
      <c r="BZ545"/>
      <c r="CA545"/>
      <c r="CB545"/>
    </row>
    <row r="546" ht="15.0" customHeight="true">
      <c r="A546" s="51" t="s">
        <v>2448</v>
      </c>
      <c r="B546" s="33"/>
      <c r="C546" s="33" t="s">
        <v>2651</v>
      </c>
      <c r="D546" s="33"/>
      <c r="E546" s="33" t="s">
        <v>6163</v>
      </c>
      <c r="F546" s="33"/>
      <c r="G546" s="55" t="s">
        <v>6164</v>
      </c>
      <c r="H546" s="33"/>
      <c r="I546" s="51" t="s">
        <v>6557</v>
      </c>
      <c r="J546" s="33"/>
      <c r="K546" s="51" t="s">
        <v>6558</v>
      </c>
      <c r="L546" s="33" t="s">
        <v>2484</v>
      </c>
      <c r="M546" s="55" t="s">
        <v>3186</v>
      </c>
      <c r="N546" s="55"/>
      <c r="O546" s="33"/>
      <c r="P546" s="33" t="s">
        <v>2251</v>
      </c>
      <c r="Q546" s="33"/>
      <c r="R546" s="33" t="s">
        <v>2263</v>
      </c>
      <c r="S546" s="56" t="s">
        <v>2277</v>
      </c>
      <c r="T546" s="56"/>
      <c r="U546" s="56"/>
      <c r="V546" s="33" t="s">
        <v>2456</v>
      </c>
      <c r="W546" s="94" t="s">
        <v>2457</v>
      </c>
      <c r="X546" s="94" t="s">
        <v>2474</v>
      </c>
      <c r="Y546" s="51"/>
      <c r="Z546" s="51"/>
      <c r="AA546" s="33" t="s">
        <v>2459</v>
      </c>
      <c r="AB546" s="33" t="s">
        <v>2460</v>
      </c>
      <c r="AC546" s="33" t="s">
        <v>2486</v>
      </c>
      <c r="AD546" s="33" t="s">
        <v>2254</v>
      </c>
      <c r="AE546" s="33"/>
      <c r="AF546" s="33" t="s">
        <v>2267</v>
      </c>
      <c r="AG546" s="33" t="s">
        <v>2461</v>
      </c>
      <c r="AH546" s="33"/>
      <c r="AI546" s="33"/>
      <c r="AJ546" s="33" t="s">
        <v>6559</v>
      </c>
      <c r="AK546" s="94"/>
      <c r="AL546" s="33" t="s">
        <v>6168</v>
      </c>
      <c r="AM546" s="33"/>
      <c r="AN546" s="33" t="s">
        <v>2465</v>
      </c>
      <c r="AO546" s="51" t="s">
        <v>2489</v>
      </c>
      <c r="AP546" s="51" t="s">
        <v>207</v>
      </c>
      <c r="AQ546" s="33"/>
      <c r="AR546" s="54"/>
      <c r="AS546" s="54"/>
      <c r="AT546" s="54"/>
      <c r="AU546" s="54"/>
      <c r="AV546" s="54"/>
      <c r="AW546" s="54"/>
      <c r="AX546" s="54"/>
      <c r="AY546" s="54"/>
      <c r="AZ546" s="54"/>
      <c r="BA546" s="54"/>
      <c r="BB546" s="54"/>
      <c r="BC546" s="54"/>
      <c r="BD546" s="54" t="s">
        <v>2447</v>
      </c>
      <c r="BE546" s="54"/>
      <c r="BF546" s="54"/>
      <c r="BG546" s="54"/>
      <c r="BH546" s="54"/>
      <c r="BI546" s="54"/>
      <c r="BJ546" s="0"/>
      <c r="BK546" s="0"/>
      <c r="BL546" s="0"/>
      <c r="BM546" s="0"/>
      <c r="BN546" s="0"/>
      <c r="BO546" s="0"/>
      <c r="BP546"/>
      <c r="BQ546"/>
      <c r="BR546"/>
      <c r="BS546"/>
      <c r="BT546"/>
      <c r="BU546"/>
      <c r="BV546"/>
      <c r="BW546"/>
      <c r="BX546"/>
      <c r="BY546"/>
      <c r="BZ546"/>
      <c r="CA546"/>
      <c r="CB546"/>
    </row>
    <row r="547" ht="15.0" customHeight="true">
      <c r="A547" s="51" t="s">
        <v>2448</v>
      </c>
      <c r="B547" s="33"/>
      <c r="C547" s="33" t="s">
        <v>2862</v>
      </c>
      <c r="D547" s="33"/>
      <c r="E547" s="33" t="s">
        <v>6560</v>
      </c>
      <c r="F547" s="33"/>
      <c r="G547" s="55" t="s">
        <v>5852</v>
      </c>
      <c r="H547" s="33"/>
      <c r="I547" s="51" t="s">
        <v>6561</v>
      </c>
      <c r="J547" s="33"/>
      <c r="K547" s="51" t="s">
        <v>6562</v>
      </c>
      <c r="L547" s="33" t="s">
        <v>2454</v>
      </c>
      <c r="M547" s="55" t="s">
        <v>6412</v>
      </c>
      <c r="N547" s="55" t="s">
        <v>5218</v>
      </c>
      <c r="O547" s="33" t="s">
        <v>2272</v>
      </c>
      <c r="P547" s="33" t="s">
        <v>2251</v>
      </c>
      <c r="Q547" s="33"/>
      <c r="R547" s="33" t="s">
        <v>2263</v>
      </c>
      <c r="S547" s="56" t="s">
        <v>2277</v>
      </c>
      <c r="T547" s="56"/>
      <c r="U547" s="56"/>
      <c r="V547" s="33" t="s">
        <v>2456</v>
      </c>
      <c r="W547" s="94" t="s">
        <v>2457</v>
      </c>
      <c r="X547" s="94" t="s">
        <v>2458</v>
      </c>
      <c r="Y547" s="51"/>
      <c r="Z547" s="51"/>
      <c r="AA547" s="33" t="s">
        <v>2459</v>
      </c>
      <c r="AB547" s="33" t="s">
        <v>2460</v>
      </c>
      <c r="AC547" s="33"/>
      <c r="AD547" s="33" t="s">
        <v>2254</v>
      </c>
      <c r="AE547" s="33"/>
      <c r="AF547" s="33" t="s">
        <v>2267</v>
      </c>
      <c r="AG547" s="33" t="s">
        <v>2461</v>
      </c>
      <c r="AH547" s="33"/>
      <c r="AI547" s="33"/>
      <c r="AJ547" s="33" t="s">
        <v>6563</v>
      </c>
      <c r="AK547" s="94"/>
      <c r="AL547" s="33" t="s">
        <v>6564</v>
      </c>
      <c r="AM547" s="33"/>
      <c r="AN547" s="33" t="s">
        <v>2465</v>
      </c>
      <c r="AO547" s="51" t="s">
        <v>2466</v>
      </c>
      <c r="AP547" s="51" t="s">
        <v>207</v>
      </c>
      <c r="AQ547" s="33"/>
      <c r="AR547" s="54"/>
      <c r="AS547" s="54"/>
      <c r="AT547" s="54"/>
      <c r="AU547" s="54"/>
      <c r="AV547" s="54"/>
      <c r="AW547" s="54"/>
      <c r="AX547" s="54"/>
      <c r="AY547" s="54"/>
      <c r="AZ547" s="54"/>
      <c r="BA547" s="54"/>
      <c r="BB547" s="54"/>
      <c r="BC547" s="54"/>
      <c r="BD547" s="54" t="s">
        <v>2447</v>
      </c>
      <c r="BE547" s="54"/>
      <c r="BF547" s="54"/>
      <c r="BG547" s="54"/>
      <c r="BH547" s="54"/>
      <c r="BI547" s="54"/>
      <c r="BJ547" s="0"/>
      <c r="BK547" s="0"/>
      <c r="BL547" s="0"/>
      <c r="BM547" s="0"/>
      <c r="BN547" s="0"/>
      <c r="BO547" s="0"/>
      <c r="BP547"/>
      <c r="BQ547"/>
      <c r="BR547"/>
      <c r="BS547"/>
      <c r="BT547"/>
      <c r="BU547"/>
      <c r="BV547"/>
      <c r="BW547"/>
      <c r="BX547"/>
      <c r="BY547"/>
      <c r="BZ547"/>
      <c r="CA547"/>
      <c r="CB547"/>
    </row>
    <row r="548" ht="15.0" customHeight="true">
      <c r="A548" s="51" t="s">
        <v>2448</v>
      </c>
      <c r="B548" s="33"/>
      <c r="C548" s="33" t="s">
        <v>6034</v>
      </c>
      <c r="D548" s="33"/>
      <c r="E548" s="33" t="s">
        <v>6565</v>
      </c>
      <c r="F548" s="33"/>
      <c r="G548" s="55" t="s">
        <v>6566</v>
      </c>
      <c r="H548" s="33"/>
      <c r="I548" s="51" t="s">
        <v>6567</v>
      </c>
      <c r="J548" s="33"/>
      <c r="K548" s="51" t="s">
        <v>6568</v>
      </c>
      <c r="L548" s="33" t="s">
        <v>2454</v>
      </c>
      <c r="M548" s="55" t="s">
        <v>4963</v>
      </c>
      <c r="N548" s="55" t="s">
        <v>2790</v>
      </c>
      <c r="O548" s="33" t="s">
        <v>2272</v>
      </c>
      <c r="P548" s="33" t="s">
        <v>2251</v>
      </c>
      <c r="Q548" s="33"/>
      <c r="R548" s="33" t="s">
        <v>2263</v>
      </c>
      <c r="S548" s="56" t="s">
        <v>2277</v>
      </c>
      <c r="T548" s="56"/>
      <c r="U548" s="56"/>
      <c r="V548" s="33" t="s">
        <v>2456</v>
      </c>
      <c r="W548" s="94" t="s">
        <v>2457</v>
      </c>
      <c r="X548" s="94" t="s">
        <v>2474</v>
      </c>
      <c r="Y548" s="51"/>
      <c r="Z548" s="51"/>
      <c r="AA548" s="33" t="s">
        <v>2459</v>
      </c>
      <c r="AB548" s="33" t="s">
        <v>2460</v>
      </c>
      <c r="AC548" s="33"/>
      <c r="AD548" s="33" t="s">
        <v>2254</v>
      </c>
      <c r="AE548" s="33"/>
      <c r="AF548" s="33" t="s">
        <v>2267</v>
      </c>
      <c r="AG548" s="33" t="s">
        <v>2461</v>
      </c>
      <c r="AH548" s="33"/>
      <c r="AI548" s="33"/>
      <c r="AJ548" s="33" t="s">
        <v>6569</v>
      </c>
      <c r="AK548" s="94"/>
      <c r="AL548" s="33" t="s">
        <v>5973</v>
      </c>
      <c r="AM548" s="33" t="s">
        <v>6570</v>
      </c>
      <c r="AN548" s="33" t="s">
        <v>2465</v>
      </c>
      <c r="AO548" s="51" t="s">
        <v>2538</v>
      </c>
      <c r="AP548" s="51" t="s">
        <v>207</v>
      </c>
      <c r="AQ548" s="33"/>
      <c r="AR548" s="54"/>
      <c r="AS548" s="54"/>
      <c r="AT548" s="54"/>
      <c r="AU548" s="54"/>
      <c r="AV548" s="54"/>
      <c r="AW548" s="54"/>
      <c r="AX548" s="54"/>
      <c r="AY548" s="54"/>
      <c r="AZ548" s="54"/>
      <c r="BA548" s="54"/>
      <c r="BB548" s="54"/>
      <c r="BC548" s="54"/>
      <c r="BD548" s="54" t="s">
        <v>2447</v>
      </c>
      <c r="BE548" s="54"/>
      <c r="BF548" s="54"/>
      <c r="BG548" s="54"/>
      <c r="BH548" s="54"/>
      <c r="BI548" s="54"/>
      <c r="BJ548" s="0"/>
      <c r="BK548" s="0"/>
      <c r="BL548" s="0"/>
      <c r="BM548" s="0"/>
      <c r="BN548" s="0"/>
      <c r="BO548" s="0"/>
      <c r="BP548"/>
      <c r="BQ548"/>
      <c r="BR548"/>
      <c r="BS548"/>
      <c r="BT548"/>
      <c r="BU548"/>
      <c r="BV548"/>
      <c r="BW548"/>
      <c r="BX548"/>
      <c r="BY548"/>
      <c r="BZ548"/>
      <c r="CA548"/>
      <c r="CB548"/>
    </row>
    <row r="549" ht="15.0" customHeight="true">
      <c r="A549" s="51" t="s">
        <v>2448</v>
      </c>
      <c r="B549" s="33"/>
      <c r="C549" s="33" t="s">
        <v>2539</v>
      </c>
      <c r="D549" s="33"/>
      <c r="E549" s="33" t="s">
        <v>6571</v>
      </c>
      <c r="F549" s="33"/>
      <c r="G549" s="55" t="s">
        <v>6572</v>
      </c>
      <c r="H549" s="33"/>
      <c r="I549" s="51" t="s">
        <v>6573</v>
      </c>
      <c r="J549" s="33"/>
      <c r="K549" s="51" t="s">
        <v>6574</v>
      </c>
      <c r="L549" s="33" t="s">
        <v>2484</v>
      </c>
      <c r="M549" s="55" t="s">
        <v>3027</v>
      </c>
      <c r="N549" s="55"/>
      <c r="O549" s="33"/>
      <c r="P549" s="33" t="s">
        <v>2251</v>
      </c>
      <c r="Q549" s="33"/>
      <c r="R549" s="33" t="s">
        <v>2263</v>
      </c>
      <c r="S549" s="56" t="s">
        <v>2277</v>
      </c>
      <c r="T549" s="56"/>
      <c r="U549" s="56"/>
      <c r="V549" s="33" t="s">
        <v>2456</v>
      </c>
      <c r="W549" s="94" t="s">
        <v>2457</v>
      </c>
      <c r="X549" s="94" t="s">
        <v>2474</v>
      </c>
      <c r="Y549" s="51"/>
      <c r="Z549" s="51"/>
      <c r="AA549" s="33" t="s">
        <v>2459</v>
      </c>
      <c r="AB549" s="33" t="s">
        <v>2460</v>
      </c>
      <c r="AC549" s="33" t="s">
        <v>2486</v>
      </c>
      <c r="AD549" s="33" t="s">
        <v>2254</v>
      </c>
      <c r="AE549" s="33"/>
      <c r="AF549" s="33" t="s">
        <v>2267</v>
      </c>
      <c r="AG549" s="33" t="s">
        <v>2461</v>
      </c>
      <c r="AH549" s="33"/>
      <c r="AI549" s="33"/>
      <c r="AJ549" s="33" t="s">
        <v>6575</v>
      </c>
      <c r="AK549" s="94" t="s">
        <v>6576</v>
      </c>
      <c r="AL549" s="33" t="s">
        <v>6577</v>
      </c>
      <c r="AM549" s="33"/>
      <c r="AN549" s="33" t="s">
        <v>2465</v>
      </c>
      <c r="AO549" s="51" t="s">
        <v>2489</v>
      </c>
      <c r="AP549" s="51" t="s">
        <v>207</v>
      </c>
      <c r="AQ549" s="33"/>
      <c r="AR549" s="54"/>
      <c r="AS549" s="54"/>
      <c r="AT549" s="54"/>
      <c r="AU549" s="54"/>
      <c r="AV549" s="54"/>
      <c r="AW549" s="54"/>
      <c r="AX549" s="54"/>
      <c r="AY549" s="54"/>
      <c r="AZ549" s="54"/>
      <c r="BA549" s="54"/>
      <c r="BB549" s="54"/>
      <c r="BC549" s="54"/>
      <c r="BD549" s="54" t="s">
        <v>2447</v>
      </c>
      <c r="BE549" s="54"/>
      <c r="BF549" s="54"/>
      <c r="BG549" s="54"/>
      <c r="BH549" s="54"/>
      <c r="BI549" s="54"/>
      <c r="BJ549" s="0"/>
      <c r="BK549" s="0"/>
      <c r="BL549" s="0"/>
      <c r="BM549" s="0"/>
      <c r="BN549" s="0"/>
      <c r="BO549" s="0"/>
      <c r="BP549"/>
      <c r="BQ549"/>
      <c r="BR549"/>
      <c r="BS549"/>
      <c r="BT549"/>
      <c r="BU549"/>
      <c r="BV549"/>
      <c r="BW549"/>
      <c r="BX549"/>
      <c r="BY549"/>
      <c r="BZ549"/>
      <c r="CA549"/>
      <c r="CB549"/>
    </row>
    <row r="550" ht="15.0" customHeight="true">
      <c r="A550" s="51" t="s">
        <v>2448</v>
      </c>
      <c r="B550" s="33"/>
      <c r="C550" s="33" t="s">
        <v>6578</v>
      </c>
      <c r="D550" s="33"/>
      <c r="E550" s="33" t="s">
        <v>3641</v>
      </c>
      <c r="F550" s="33"/>
      <c r="G550" s="55" t="s">
        <v>4687</v>
      </c>
      <c r="H550" s="33"/>
      <c r="I550" s="51" t="s">
        <v>6579</v>
      </c>
      <c r="J550" s="33"/>
      <c r="K550" s="51" t="s">
        <v>6580</v>
      </c>
      <c r="L550" s="33" t="s">
        <v>2454</v>
      </c>
      <c r="M550" s="55" t="s">
        <v>2976</v>
      </c>
      <c r="N550" s="55" t="s">
        <v>3827</v>
      </c>
      <c r="O550" s="33" t="s">
        <v>2272</v>
      </c>
      <c r="P550" s="33" t="s">
        <v>2251</v>
      </c>
      <c r="Q550" s="33"/>
      <c r="R550" s="33" t="s">
        <v>2263</v>
      </c>
      <c r="S550" s="56" t="s">
        <v>2277</v>
      </c>
      <c r="T550" s="56"/>
      <c r="U550" s="56"/>
      <c r="V550" s="33" t="s">
        <v>2456</v>
      </c>
      <c r="W550" s="94" t="s">
        <v>2457</v>
      </c>
      <c r="X550" s="94" t="s">
        <v>2474</v>
      </c>
      <c r="Y550" s="51"/>
      <c r="Z550" s="51"/>
      <c r="AA550" s="33" t="s">
        <v>2459</v>
      </c>
      <c r="AB550" s="33" t="s">
        <v>2460</v>
      </c>
      <c r="AC550" s="33"/>
      <c r="AD550" s="33" t="s">
        <v>2254</v>
      </c>
      <c r="AE550" s="33"/>
      <c r="AF550" s="33" t="s">
        <v>2267</v>
      </c>
      <c r="AG550" s="33" t="s">
        <v>2461</v>
      </c>
      <c r="AH550" s="33"/>
      <c r="AI550" s="33"/>
      <c r="AJ550" s="33" t="s">
        <v>6581</v>
      </c>
      <c r="AK550" s="94"/>
      <c r="AL550" s="33" t="s">
        <v>6582</v>
      </c>
      <c r="AM550" s="33"/>
      <c r="AN550" s="33" t="s">
        <v>2465</v>
      </c>
      <c r="AO550" s="51" t="s">
        <v>2466</v>
      </c>
      <c r="AP550" s="51" t="s">
        <v>207</v>
      </c>
      <c r="AQ550" s="33"/>
      <c r="AR550" s="54"/>
      <c r="AS550" s="54"/>
      <c r="AT550" s="54"/>
      <c r="AU550" s="54"/>
      <c r="AV550" s="54"/>
      <c r="AW550" s="54"/>
      <c r="AX550" s="54"/>
      <c r="AY550" s="54"/>
      <c r="AZ550" s="54"/>
      <c r="BA550" s="54"/>
      <c r="BB550" s="54"/>
      <c r="BC550" s="54"/>
      <c r="BD550" s="54" t="s">
        <v>2447</v>
      </c>
      <c r="BE550" s="54"/>
      <c r="BF550" s="54"/>
      <c r="BG550" s="54"/>
      <c r="BH550" s="54"/>
      <c r="BI550" s="54"/>
      <c r="BJ550" s="0"/>
      <c r="BK550" s="0"/>
      <c r="BL550" s="0"/>
      <c r="BM550" s="0"/>
      <c r="BN550" s="0"/>
      <c r="BO550" s="0"/>
      <c r="BP550"/>
      <c r="BQ550"/>
      <c r="BR550"/>
      <c r="BS550"/>
      <c r="BT550"/>
      <c r="BU550"/>
      <c r="BV550"/>
      <c r="BW550"/>
      <c r="BX550"/>
      <c r="BY550"/>
      <c r="BZ550"/>
      <c r="CA550"/>
      <c r="CB550"/>
    </row>
    <row r="551" ht="15.0" customHeight="true">
      <c r="A551" s="51" t="s">
        <v>2448</v>
      </c>
      <c r="B551" s="33"/>
      <c r="C551" s="33" t="s">
        <v>6359</v>
      </c>
      <c r="D551" s="33"/>
      <c r="E551" s="33" t="s">
        <v>6583</v>
      </c>
      <c r="F551" s="33"/>
      <c r="G551" s="55" t="s">
        <v>2973</v>
      </c>
      <c r="H551" s="33"/>
      <c r="I551" s="51" t="s">
        <v>6584</v>
      </c>
      <c r="J551" s="33"/>
      <c r="K551" s="51" t="s">
        <v>6585</v>
      </c>
      <c r="L551" s="33" t="s">
        <v>2454</v>
      </c>
      <c r="M551" s="55" t="s">
        <v>2554</v>
      </c>
      <c r="N551" s="55" t="s">
        <v>3452</v>
      </c>
      <c r="O551" s="33" t="s">
        <v>2272</v>
      </c>
      <c r="P551" s="33" t="s">
        <v>2251</v>
      </c>
      <c r="Q551" s="33"/>
      <c r="R551" s="33" t="s">
        <v>2263</v>
      </c>
      <c r="S551" s="56" t="s">
        <v>2277</v>
      </c>
      <c r="T551" s="56"/>
      <c r="U551" s="56"/>
      <c r="V551" s="33" t="s">
        <v>2456</v>
      </c>
      <c r="W551" s="94" t="s">
        <v>2457</v>
      </c>
      <c r="X551" s="94" t="s">
        <v>2474</v>
      </c>
      <c r="Y551" s="51"/>
      <c r="Z551" s="51"/>
      <c r="AA551" s="33" t="s">
        <v>2459</v>
      </c>
      <c r="AB551" s="33" t="s">
        <v>2460</v>
      </c>
      <c r="AC551" s="33"/>
      <c r="AD551" s="33" t="s">
        <v>2254</v>
      </c>
      <c r="AE551" s="33"/>
      <c r="AF551" s="33" t="s">
        <v>2267</v>
      </c>
      <c r="AG551" s="33" t="s">
        <v>2461</v>
      </c>
      <c r="AH551" s="33"/>
      <c r="AI551" s="33"/>
      <c r="AJ551" s="33" t="s">
        <v>6586</v>
      </c>
      <c r="AK551" s="94"/>
      <c r="AL551" s="33" t="s">
        <v>6587</v>
      </c>
      <c r="AM551" s="33"/>
      <c r="AN551" s="33" t="s">
        <v>6588</v>
      </c>
      <c r="AO551" s="51" t="s">
        <v>6589</v>
      </c>
      <c r="AP551" s="51" t="s">
        <v>177</v>
      </c>
      <c r="AQ551" s="33"/>
      <c r="AR551" s="54"/>
      <c r="AS551" s="54"/>
      <c r="AT551" s="54"/>
      <c r="AU551" s="54"/>
      <c r="AV551" s="54"/>
      <c r="AW551" s="54"/>
      <c r="AX551" s="54"/>
      <c r="AY551" s="54"/>
      <c r="AZ551" s="54"/>
      <c r="BA551" s="54"/>
      <c r="BB551" s="54"/>
      <c r="BC551" s="54"/>
      <c r="BD551" s="54" t="s">
        <v>2447</v>
      </c>
      <c r="BE551" s="54"/>
      <c r="BF551" s="54"/>
      <c r="BG551" s="54"/>
      <c r="BH551" s="54"/>
      <c r="BI551" s="54"/>
      <c r="BJ551" s="0"/>
      <c r="BK551" s="0"/>
      <c r="BL551" s="0"/>
      <c r="BM551" s="0"/>
      <c r="BN551" s="0"/>
      <c r="BO551" s="0"/>
      <c r="BP551"/>
      <c r="BQ551"/>
      <c r="BR551"/>
      <c r="BS551"/>
      <c r="BT551"/>
      <c r="BU551"/>
      <c r="BV551"/>
      <c r="BW551"/>
      <c r="BX551"/>
      <c r="BY551"/>
      <c r="BZ551"/>
      <c r="CA551"/>
      <c r="CB551"/>
    </row>
    <row r="552" ht="15.0" customHeight="true">
      <c r="A552" s="51" t="s">
        <v>2448</v>
      </c>
      <c r="B552" s="33"/>
      <c r="C552" s="33" t="s">
        <v>6590</v>
      </c>
      <c r="D552" s="33"/>
      <c r="E552" s="33" t="s">
        <v>6591</v>
      </c>
      <c r="F552" s="33"/>
      <c r="G552" s="55" t="s">
        <v>6592</v>
      </c>
      <c r="H552" s="33"/>
      <c r="I552" s="51" t="s">
        <v>6593</v>
      </c>
      <c r="J552" s="33"/>
      <c r="K552" s="51" t="s">
        <v>6594</v>
      </c>
      <c r="L552" s="33" t="s">
        <v>2454</v>
      </c>
      <c r="M552" s="55" t="s">
        <v>6595</v>
      </c>
      <c r="N552" s="55" t="s">
        <v>3623</v>
      </c>
      <c r="O552" s="33" t="s">
        <v>2272</v>
      </c>
      <c r="P552" s="33" t="s">
        <v>2251</v>
      </c>
      <c r="Q552" s="33"/>
      <c r="R552" s="33" t="s">
        <v>2263</v>
      </c>
      <c r="S552" s="56" t="s">
        <v>2277</v>
      </c>
      <c r="T552" s="56"/>
      <c r="U552" s="56"/>
      <c r="V552" s="33" t="s">
        <v>2456</v>
      </c>
      <c r="W552" s="94" t="s">
        <v>2457</v>
      </c>
      <c r="X552" s="94" t="s">
        <v>2458</v>
      </c>
      <c r="Y552" s="51"/>
      <c r="Z552" s="51"/>
      <c r="AA552" s="33" t="s">
        <v>2459</v>
      </c>
      <c r="AB552" s="33" t="s">
        <v>2460</v>
      </c>
      <c r="AC552" s="33"/>
      <c r="AD552" s="33" t="s">
        <v>2254</v>
      </c>
      <c r="AE552" s="33"/>
      <c r="AF552" s="33" t="s">
        <v>2267</v>
      </c>
      <c r="AG552" s="33" t="s">
        <v>2461</v>
      </c>
      <c r="AH552" s="33"/>
      <c r="AI552" s="33"/>
      <c r="AJ552" s="33" t="s">
        <v>6596</v>
      </c>
      <c r="AK552" s="94"/>
      <c r="AL552" s="33" t="s">
        <v>6597</v>
      </c>
      <c r="AM552" s="33"/>
      <c r="AN552" s="33" t="s">
        <v>2588</v>
      </c>
      <c r="AO552" s="51" t="s">
        <v>2628</v>
      </c>
      <c r="AP552" s="51" t="s">
        <v>207</v>
      </c>
      <c r="AQ552" s="33"/>
      <c r="AR552" s="54"/>
      <c r="AS552" s="54"/>
      <c r="AT552" s="54"/>
      <c r="AU552" s="54"/>
      <c r="AV552" s="54"/>
      <c r="AW552" s="54"/>
      <c r="AX552" s="54"/>
      <c r="AY552" s="54"/>
      <c r="AZ552" s="54"/>
      <c r="BA552" s="54"/>
      <c r="BB552" s="54"/>
      <c r="BC552" s="54"/>
      <c r="BD552" s="54" t="s">
        <v>2447</v>
      </c>
      <c r="BE552" s="54"/>
      <c r="BF552" s="54"/>
      <c r="BG552" s="54"/>
      <c r="BH552" s="54"/>
      <c r="BI552" s="54"/>
      <c r="BJ552" s="0"/>
      <c r="BK552" s="0"/>
      <c r="BL552" s="0"/>
      <c r="BM552" s="0"/>
      <c r="BN552" s="0"/>
      <c r="BO552" s="0"/>
      <c r="BP552"/>
      <c r="BQ552"/>
      <c r="BR552"/>
      <c r="BS552"/>
      <c r="BT552"/>
      <c r="BU552"/>
      <c r="BV552"/>
      <c r="BW552"/>
      <c r="BX552"/>
      <c r="BY552"/>
      <c r="BZ552"/>
      <c r="CA552"/>
      <c r="CB552"/>
    </row>
    <row r="553" ht="15.0" customHeight="true">
      <c r="A553" s="51" t="s">
        <v>2448</v>
      </c>
      <c r="B553" s="33"/>
      <c r="C553" s="33" t="s">
        <v>6598</v>
      </c>
      <c r="D553" s="33"/>
      <c r="E553" s="33" t="s">
        <v>6599</v>
      </c>
      <c r="F553" s="33"/>
      <c r="G553" s="55" t="s">
        <v>6600</v>
      </c>
      <c r="H553" s="33"/>
      <c r="I553" s="51" t="s">
        <v>6601</v>
      </c>
      <c r="J553" s="33"/>
      <c r="K553" s="51" t="s">
        <v>6602</v>
      </c>
      <c r="L553" s="33" t="s">
        <v>2454</v>
      </c>
      <c r="M553" s="55" t="s">
        <v>5826</v>
      </c>
      <c r="N553" s="55" t="s">
        <v>4534</v>
      </c>
      <c r="O553" s="33" t="s">
        <v>2276</v>
      </c>
      <c r="P553" s="33" t="s">
        <v>2251</v>
      </c>
      <c r="Q553" s="33"/>
      <c r="R553" s="33" t="s">
        <v>2263</v>
      </c>
      <c r="S553" s="56" t="s">
        <v>2277</v>
      </c>
      <c r="T553" s="56"/>
      <c r="U553" s="56"/>
      <c r="V553" s="33" t="s">
        <v>5826</v>
      </c>
      <c r="W553" s="94" t="s">
        <v>2574</v>
      </c>
      <c r="X553" s="94" t="s">
        <v>2474</v>
      </c>
      <c r="Y553" s="51"/>
      <c r="Z553" s="51"/>
      <c r="AA553" s="33" t="s">
        <v>2459</v>
      </c>
      <c r="AB553" s="33" t="s">
        <v>2460</v>
      </c>
      <c r="AC553" s="33" t="s">
        <v>2486</v>
      </c>
      <c r="AD553" s="33" t="s">
        <v>2254</v>
      </c>
      <c r="AE553" s="33"/>
      <c r="AF553" s="33" t="s">
        <v>2267</v>
      </c>
      <c r="AG553" s="33" t="s">
        <v>2461</v>
      </c>
      <c r="AH553" s="33"/>
      <c r="AI553" s="33"/>
      <c r="AJ553" s="33" t="s">
        <v>6603</v>
      </c>
      <c r="AK553" s="94"/>
      <c r="AL553" s="33" t="s">
        <v>6604</v>
      </c>
      <c r="AM553" s="33"/>
      <c r="AN553" s="33" t="s">
        <v>2465</v>
      </c>
      <c r="AO553" s="51" t="s">
        <v>2820</v>
      </c>
      <c r="AP553" s="51" t="s">
        <v>207</v>
      </c>
      <c r="AQ553" s="33"/>
      <c r="AR553" s="54"/>
      <c r="AS553" s="54"/>
      <c r="AT553" s="54"/>
      <c r="AU553" s="54"/>
      <c r="AV553" s="54"/>
      <c r="AW553" s="54"/>
      <c r="AX553" s="54"/>
      <c r="AY553" s="54" t="s">
        <v>2269</v>
      </c>
      <c r="AZ553" s="54"/>
      <c r="BA553" s="54"/>
      <c r="BB553" s="54"/>
      <c r="BC553" s="54"/>
      <c r="BD553" s="54" t="s">
        <v>2447</v>
      </c>
      <c r="BE553" s="54"/>
      <c r="BF553" s="54"/>
      <c r="BG553" s="54"/>
      <c r="BH553" s="54"/>
      <c r="BI553" s="54"/>
      <c r="BJ553" s="0"/>
      <c r="BK553" s="0"/>
      <c r="BL553" s="0"/>
      <c r="BM553" s="0"/>
      <c r="BN553" s="0"/>
      <c r="BO553" s="0"/>
      <c r="BP553"/>
      <c r="BQ553"/>
      <c r="BR553"/>
      <c r="BS553"/>
      <c r="BT553"/>
      <c r="BU553"/>
      <c r="BV553"/>
      <c r="BW553"/>
      <c r="BX553"/>
      <c r="BY553"/>
      <c r="BZ553"/>
      <c r="CA553"/>
      <c r="CB553"/>
    </row>
    <row r="554" ht="15.0" customHeight="true">
      <c r="A554" s="51" t="s">
        <v>2448</v>
      </c>
      <c r="B554" s="33"/>
      <c r="C554" s="33" t="s">
        <v>3900</v>
      </c>
      <c r="D554" s="33"/>
      <c r="E554" s="33" t="s">
        <v>6605</v>
      </c>
      <c r="F554" s="33"/>
      <c r="G554" s="55" t="s">
        <v>6606</v>
      </c>
      <c r="H554" s="33"/>
      <c r="I554" s="51" t="s">
        <v>6607</v>
      </c>
      <c r="J554" s="33"/>
      <c r="K554" s="51" t="s">
        <v>6608</v>
      </c>
      <c r="L554" s="33" t="s">
        <v>2454</v>
      </c>
      <c r="M554" s="55" t="s">
        <v>3151</v>
      </c>
      <c r="N554" s="55" t="s">
        <v>3151</v>
      </c>
      <c r="O554" s="33" t="s">
        <v>2272</v>
      </c>
      <c r="P554" s="33" t="s">
        <v>2251</v>
      </c>
      <c r="Q554" s="33"/>
      <c r="R554" s="33" t="s">
        <v>2263</v>
      </c>
      <c r="S554" s="56" t="s">
        <v>2277</v>
      </c>
      <c r="T554" s="56"/>
      <c r="U554" s="56"/>
      <c r="V554" s="33" t="s">
        <v>2456</v>
      </c>
      <c r="W554" s="94" t="s">
        <v>2457</v>
      </c>
      <c r="X554" s="94" t="s">
        <v>2458</v>
      </c>
      <c r="Y554" s="51"/>
      <c r="Z554" s="51"/>
      <c r="AA554" s="33" t="s">
        <v>2459</v>
      </c>
      <c r="AB554" s="33" t="s">
        <v>2460</v>
      </c>
      <c r="AC554" s="33"/>
      <c r="AD554" s="33" t="s">
        <v>2254</v>
      </c>
      <c r="AE554" s="33"/>
      <c r="AF554" s="33" t="s">
        <v>2267</v>
      </c>
      <c r="AG554" s="33" t="s">
        <v>2461</v>
      </c>
      <c r="AH554" s="33"/>
      <c r="AI554" s="33"/>
      <c r="AJ554" s="33" t="s">
        <v>6609</v>
      </c>
      <c r="AK554" s="94"/>
      <c r="AL554" s="33" t="s">
        <v>5973</v>
      </c>
      <c r="AM554" s="33"/>
      <c r="AN554" s="33" t="s">
        <v>2465</v>
      </c>
      <c r="AO554" s="51" t="s">
        <v>2538</v>
      </c>
      <c r="AP554" s="51" t="s">
        <v>207</v>
      </c>
      <c r="AQ554" s="33"/>
      <c r="AR554" s="54"/>
      <c r="AS554" s="54"/>
      <c r="AT554" s="54"/>
      <c r="AU554" s="54"/>
      <c r="AV554" s="54"/>
      <c r="AW554" s="54"/>
      <c r="AX554" s="54"/>
      <c r="AY554" s="54"/>
      <c r="AZ554" s="54"/>
      <c r="BA554" s="54"/>
      <c r="BB554" s="54"/>
      <c r="BC554" s="54"/>
      <c r="BD554" s="54" t="s">
        <v>2447</v>
      </c>
      <c r="BE554" s="54"/>
      <c r="BF554" s="54"/>
      <c r="BG554" s="54"/>
      <c r="BH554" s="54"/>
      <c r="BI554" s="54"/>
      <c r="BJ554" s="0"/>
      <c r="BK554" s="0"/>
      <c r="BL554" s="0"/>
      <c r="BM554" s="0"/>
      <c r="BN554" s="0"/>
      <c r="BO554" s="0"/>
      <c r="BP554"/>
      <c r="BQ554"/>
      <c r="BR554"/>
      <c r="BS554"/>
      <c r="BT554"/>
      <c r="BU554"/>
      <c r="BV554"/>
      <c r="BW554"/>
      <c r="BX554"/>
      <c r="BY554"/>
      <c r="BZ554"/>
      <c r="CA554"/>
      <c r="CB554"/>
    </row>
    <row r="555" ht="15.0" customHeight="true">
      <c r="A555" s="51" t="s">
        <v>2448</v>
      </c>
      <c r="B555" s="33"/>
      <c r="C555" s="33" t="s">
        <v>2887</v>
      </c>
      <c r="D555" s="33"/>
      <c r="E555" s="33" t="s">
        <v>6610</v>
      </c>
      <c r="F555" s="33"/>
      <c r="G555" s="55" t="s">
        <v>6611</v>
      </c>
      <c r="H555" s="33"/>
      <c r="I555" s="51" t="s">
        <v>6612</v>
      </c>
      <c r="J555" s="33"/>
      <c r="K555" s="51" t="s">
        <v>6613</v>
      </c>
      <c r="L555" s="33" t="s">
        <v>2484</v>
      </c>
      <c r="M555" s="55" t="s">
        <v>3057</v>
      </c>
      <c r="N555" s="55"/>
      <c r="O555" s="33"/>
      <c r="P555" s="33" t="s">
        <v>2251</v>
      </c>
      <c r="Q555" s="33"/>
      <c r="R555" s="33" t="s">
        <v>2263</v>
      </c>
      <c r="S555" s="56" t="s">
        <v>2277</v>
      </c>
      <c r="T555" s="56"/>
      <c r="U555" s="56"/>
      <c r="V555" s="33" t="s">
        <v>2456</v>
      </c>
      <c r="W555" s="94" t="s">
        <v>2457</v>
      </c>
      <c r="X555" s="94" t="s">
        <v>2474</v>
      </c>
      <c r="Y555" s="51"/>
      <c r="Z555" s="51"/>
      <c r="AA555" s="33" t="s">
        <v>2459</v>
      </c>
      <c r="AB555" s="33" t="s">
        <v>2460</v>
      </c>
      <c r="AC555" s="33" t="s">
        <v>2486</v>
      </c>
      <c r="AD555" s="33" t="s">
        <v>2254</v>
      </c>
      <c r="AE555" s="33"/>
      <c r="AF555" s="33" t="s">
        <v>2267</v>
      </c>
      <c r="AG555" s="33" t="s">
        <v>2461</v>
      </c>
      <c r="AH555" s="33"/>
      <c r="AI555" s="33"/>
      <c r="AJ555" s="33" t="s">
        <v>6614</v>
      </c>
      <c r="AK555" s="94"/>
      <c r="AL555" s="33" t="s">
        <v>6615</v>
      </c>
      <c r="AM555" s="33"/>
      <c r="AN555" s="33" t="s">
        <v>2701</v>
      </c>
      <c r="AO555" s="51" t="s">
        <v>2702</v>
      </c>
      <c r="AP555" s="51" t="s">
        <v>207</v>
      </c>
      <c r="AQ555" s="33"/>
      <c r="AR555" s="54"/>
      <c r="AS555" s="54"/>
      <c r="AT555" s="54"/>
      <c r="AU555" s="54"/>
      <c r="AV555" s="54"/>
      <c r="AW555" s="54"/>
      <c r="AX555" s="54"/>
      <c r="AY555" s="54"/>
      <c r="AZ555" s="54"/>
      <c r="BA555" s="54"/>
      <c r="BB555" s="54"/>
      <c r="BC555" s="54"/>
      <c r="BD555" s="54" t="s">
        <v>2447</v>
      </c>
      <c r="BE555" s="54"/>
      <c r="BF555" s="54"/>
      <c r="BG555" s="54"/>
      <c r="BH555" s="54"/>
      <c r="BI555" s="54"/>
      <c r="BJ555" s="0"/>
      <c r="BK555" s="0"/>
      <c r="BL555" s="0"/>
      <c r="BM555" s="0"/>
      <c r="BN555" s="0"/>
      <c r="BO555" s="0"/>
      <c r="BP555"/>
      <c r="BQ555"/>
      <c r="BR555"/>
      <c r="BS555"/>
      <c r="BT555"/>
      <c r="BU555"/>
      <c r="BV555"/>
      <c r="BW555"/>
      <c r="BX555"/>
      <c r="BY555"/>
      <c r="BZ555"/>
      <c r="CA555"/>
      <c r="CB555"/>
    </row>
    <row r="556" ht="15.0" customHeight="true">
      <c r="A556" s="51" t="s">
        <v>2448</v>
      </c>
      <c r="B556" s="33"/>
      <c r="C556" s="33" t="s">
        <v>6616</v>
      </c>
      <c r="D556" s="33"/>
      <c r="E556" s="33" t="s">
        <v>6617</v>
      </c>
      <c r="F556" s="33"/>
      <c r="G556" s="55" t="s">
        <v>6618</v>
      </c>
      <c r="H556" s="33"/>
      <c r="I556" s="51" t="s">
        <v>6619</v>
      </c>
      <c r="J556" s="33"/>
      <c r="K556" s="51" t="s">
        <v>6620</v>
      </c>
      <c r="L556" s="33" t="s">
        <v>2454</v>
      </c>
      <c r="M556" s="55" t="s">
        <v>2717</v>
      </c>
      <c r="N556" s="55" t="s">
        <v>2717</v>
      </c>
      <c r="O556" s="33" t="s">
        <v>2272</v>
      </c>
      <c r="P556" s="33" t="s">
        <v>2251</v>
      </c>
      <c r="Q556" s="33"/>
      <c r="R556" s="33" t="s">
        <v>2263</v>
      </c>
      <c r="S556" s="56" t="s">
        <v>2277</v>
      </c>
      <c r="T556" s="56"/>
      <c r="U556" s="56"/>
      <c r="V556" s="33" t="s">
        <v>2456</v>
      </c>
      <c r="W556" s="94" t="s">
        <v>2457</v>
      </c>
      <c r="X556" s="94" t="s">
        <v>2458</v>
      </c>
      <c r="Y556" s="51"/>
      <c r="Z556" s="51"/>
      <c r="AA556" s="33" t="s">
        <v>2459</v>
      </c>
      <c r="AB556" s="33" t="s">
        <v>2460</v>
      </c>
      <c r="AC556" s="33"/>
      <c r="AD556" s="33" t="s">
        <v>2254</v>
      </c>
      <c r="AE556" s="33"/>
      <c r="AF556" s="33" t="s">
        <v>2267</v>
      </c>
      <c r="AG556" s="33" t="s">
        <v>2461</v>
      </c>
      <c r="AH556" s="33"/>
      <c r="AI556" s="33"/>
      <c r="AJ556" s="33" t="s">
        <v>6621</v>
      </c>
      <c r="AK556" s="94"/>
      <c r="AL556" s="33" t="s">
        <v>6622</v>
      </c>
      <c r="AM556" s="33" t="s">
        <v>6623</v>
      </c>
      <c r="AN556" s="33" t="s">
        <v>2588</v>
      </c>
      <c r="AO556" s="51" t="s">
        <v>2628</v>
      </c>
      <c r="AP556" s="51" t="s">
        <v>207</v>
      </c>
      <c r="AQ556" s="33"/>
      <c r="AR556" s="54"/>
      <c r="AS556" s="54"/>
      <c r="AT556" s="54"/>
      <c r="AU556" s="54"/>
      <c r="AV556" s="54"/>
      <c r="AW556" s="54"/>
      <c r="AX556" s="54"/>
      <c r="AY556" s="54"/>
      <c r="AZ556" s="54"/>
      <c r="BA556" s="54"/>
      <c r="BB556" s="54"/>
      <c r="BC556" s="54"/>
      <c r="BD556" s="54" t="s">
        <v>2447</v>
      </c>
      <c r="BE556" s="54"/>
      <c r="BF556" s="54"/>
      <c r="BG556" s="54"/>
      <c r="BH556" s="54"/>
      <c r="BI556" s="54"/>
      <c r="BJ556" s="0"/>
      <c r="BK556" s="0"/>
      <c r="BL556" s="0"/>
      <c r="BM556" s="0"/>
      <c r="BN556" s="0"/>
      <c r="BO556" s="0"/>
      <c r="BP556"/>
      <c r="BQ556"/>
      <c r="BR556"/>
      <c r="BS556"/>
      <c r="BT556"/>
      <c r="BU556"/>
      <c r="BV556"/>
      <c r="BW556"/>
      <c r="BX556"/>
      <c r="BY556"/>
      <c r="BZ556"/>
      <c r="CA556"/>
      <c r="CB556"/>
    </row>
    <row r="557" ht="15.0" customHeight="true">
      <c r="A557" s="51" t="s">
        <v>2448</v>
      </c>
      <c r="B557" s="33"/>
      <c r="C557" s="33" t="s">
        <v>6624</v>
      </c>
      <c r="D557" s="33"/>
      <c r="E557" s="33" t="s">
        <v>6625</v>
      </c>
      <c r="F557" s="33"/>
      <c r="G557" s="55" t="s">
        <v>6626</v>
      </c>
      <c r="H557" s="33"/>
      <c r="I557" s="51" t="s">
        <v>6627</v>
      </c>
      <c r="J557" s="33"/>
      <c r="K557" s="51" t="s">
        <v>6628</v>
      </c>
      <c r="L557" s="33" t="s">
        <v>2484</v>
      </c>
      <c r="M557" s="55" t="s">
        <v>3258</v>
      </c>
      <c r="N557" s="55"/>
      <c r="O557" s="33"/>
      <c r="P557" s="33" t="s">
        <v>2251</v>
      </c>
      <c r="Q557" s="33"/>
      <c r="R557" s="33" t="s">
        <v>2263</v>
      </c>
      <c r="S557" s="56" t="s">
        <v>2277</v>
      </c>
      <c r="T557" s="56"/>
      <c r="U557" s="56"/>
      <c r="V557" s="33" t="s">
        <v>2456</v>
      </c>
      <c r="W557" s="94" t="s">
        <v>2457</v>
      </c>
      <c r="X557" s="94" t="s">
        <v>2474</v>
      </c>
      <c r="Y557" s="51"/>
      <c r="Z557" s="51"/>
      <c r="AA557" s="33" t="s">
        <v>2459</v>
      </c>
      <c r="AB557" s="33" t="s">
        <v>2460</v>
      </c>
      <c r="AC557" s="33" t="s">
        <v>2486</v>
      </c>
      <c r="AD557" s="33" t="s">
        <v>2254</v>
      </c>
      <c r="AE557" s="33"/>
      <c r="AF557" s="33" t="s">
        <v>2267</v>
      </c>
      <c r="AG557" s="33" t="s">
        <v>2461</v>
      </c>
      <c r="AH557" s="33"/>
      <c r="AI557" s="33"/>
      <c r="AJ557" s="33" t="s">
        <v>6629</v>
      </c>
      <c r="AK557" s="94"/>
      <c r="AL557" s="33" t="s">
        <v>5376</v>
      </c>
      <c r="AM557" s="33" t="s">
        <v>6630</v>
      </c>
      <c r="AN557" s="33" t="s">
        <v>2465</v>
      </c>
      <c r="AO557" s="51" t="s">
        <v>2489</v>
      </c>
      <c r="AP557" s="51" t="s">
        <v>207</v>
      </c>
      <c r="AQ557" s="33"/>
      <c r="AR557" s="54"/>
      <c r="AS557" s="54"/>
      <c r="AT557" s="54"/>
      <c r="AU557" s="54"/>
      <c r="AV557" s="54"/>
      <c r="AW557" s="54"/>
      <c r="AX557" s="54"/>
      <c r="AY557" s="54"/>
      <c r="AZ557" s="54"/>
      <c r="BA557" s="54"/>
      <c r="BB557" s="54"/>
      <c r="BC557" s="54"/>
      <c r="BD557" s="54" t="s">
        <v>2447</v>
      </c>
      <c r="BE557" s="54"/>
      <c r="BF557" s="54"/>
      <c r="BG557" s="54"/>
      <c r="BH557" s="54"/>
      <c r="BI557" s="54"/>
      <c r="BJ557" s="0"/>
      <c r="BK557" s="0"/>
      <c r="BL557" s="0"/>
      <c r="BM557" s="0"/>
      <c r="BN557" s="0"/>
      <c r="BO557" s="0"/>
      <c r="BP557"/>
      <c r="BQ557"/>
      <c r="BR557"/>
      <c r="BS557"/>
      <c r="BT557"/>
      <c r="BU557"/>
      <c r="BV557"/>
      <c r="BW557"/>
      <c r="BX557"/>
      <c r="BY557"/>
      <c r="BZ557"/>
      <c r="CA557"/>
      <c r="CB557"/>
    </row>
    <row r="558" ht="15.0" customHeight="true">
      <c r="A558" s="51" t="s">
        <v>2448</v>
      </c>
      <c r="B558" s="33"/>
      <c r="C558" s="33" t="s">
        <v>6631</v>
      </c>
      <c r="D558" s="33"/>
      <c r="E558" s="33" t="s">
        <v>6632</v>
      </c>
      <c r="F558" s="33"/>
      <c r="G558" s="55" t="s">
        <v>6633</v>
      </c>
      <c r="H558" s="33"/>
      <c r="I558" s="51" t="s">
        <v>6634</v>
      </c>
      <c r="J558" s="33"/>
      <c r="K558" s="51" t="s">
        <v>6635</v>
      </c>
      <c r="L558" s="33" t="s">
        <v>2454</v>
      </c>
      <c r="M558" s="55" t="s">
        <v>2544</v>
      </c>
      <c r="N558" s="55" t="s">
        <v>6403</v>
      </c>
      <c r="O558" s="33" t="s">
        <v>2272</v>
      </c>
      <c r="P558" s="33" t="s">
        <v>2251</v>
      </c>
      <c r="Q558" s="33"/>
      <c r="R558" s="33" t="s">
        <v>2263</v>
      </c>
      <c r="S558" s="56" t="s">
        <v>2277</v>
      </c>
      <c r="T558" s="56"/>
      <c r="U558" s="56"/>
      <c r="V558" s="33" t="s">
        <v>2456</v>
      </c>
      <c r="W558" s="94" t="s">
        <v>2457</v>
      </c>
      <c r="X558" s="94" t="s">
        <v>2474</v>
      </c>
      <c r="Y558" s="51"/>
      <c r="Z558" s="51"/>
      <c r="AA558" s="33" t="s">
        <v>2459</v>
      </c>
      <c r="AB558" s="33" t="s">
        <v>2460</v>
      </c>
      <c r="AC558" s="33"/>
      <c r="AD558" s="33" t="s">
        <v>2254</v>
      </c>
      <c r="AE558" s="33"/>
      <c r="AF558" s="33" t="s">
        <v>2267</v>
      </c>
      <c r="AG558" s="33" t="s">
        <v>2461</v>
      </c>
      <c r="AH558" s="33"/>
      <c r="AI558" s="33"/>
      <c r="AJ558" s="33" t="s">
        <v>6636</v>
      </c>
      <c r="AK558" s="94"/>
      <c r="AL558" s="33" t="s">
        <v>6637</v>
      </c>
      <c r="AM558" s="33"/>
      <c r="AN558" s="33" t="s">
        <v>2465</v>
      </c>
      <c r="AO558" s="51" t="s">
        <v>2538</v>
      </c>
      <c r="AP558" s="51" t="s">
        <v>207</v>
      </c>
      <c r="AQ558" s="33"/>
      <c r="AR558" s="54"/>
      <c r="AS558" s="54"/>
      <c r="AT558" s="54"/>
      <c r="AU558" s="54"/>
      <c r="AV558" s="54"/>
      <c r="AW558" s="54"/>
      <c r="AX558" s="54"/>
      <c r="AY558" s="54"/>
      <c r="AZ558" s="54"/>
      <c r="BA558" s="54"/>
      <c r="BB558" s="54"/>
      <c r="BC558" s="54"/>
      <c r="BD558" s="54" t="s">
        <v>2447</v>
      </c>
      <c r="BE558" s="54"/>
      <c r="BF558" s="54"/>
      <c r="BG558" s="54"/>
      <c r="BH558" s="54"/>
      <c r="BI558" s="54"/>
      <c r="BJ558" s="0"/>
      <c r="BK558" s="0"/>
      <c r="BL558" s="0"/>
      <c r="BM558" s="0"/>
      <c r="BN558" s="0"/>
      <c r="BO558" s="0"/>
      <c r="BP558"/>
      <c r="BQ558"/>
      <c r="BR558"/>
      <c r="BS558"/>
      <c r="BT558"/>
      <c r="BU558"/>
      <c r="BV558"/>
      <c r="BW558"/>
      <c r="BX558"/>
      <c r="BY558"/>
      <c r="BZ558"/>
      <c r="CA558"/>
      <c r="CB558"/>
    </row>
    <row r="559" ht="15.0" customHeight="true">
      <c r="A559" s="51" t="s">
        <v>2448</v>
      </c>
      <c r="B559" s="33"/>
      <c r="C559" s="33" t="s">
        <v>2887</v>
      </c>
      <c r="D559" s="33"/>
      <c r="E559" s="33" t="s">
        <v>6638</v>
      </c>
      <c r="F559" s="33"/>
      <c r="G559" s="55" t="s">
        <v>6639</v>
      </c>
      <c r="H559" s="33"/>
      <c r="I559" s="51" t="s">
        <v>6640</v>
      </c>
      <c r="J559" s="33"/>
      <c r="K559" s="51" t="s">
        <v>6641</v>
      </c>
      <c r="L559" s="33" t="s">
        <v>2484</v>
      </c>
      <c r="M559" s="55" t="s">
        <v>2764</v>
      </c>
      <c r="N559" s="55"/>
      <c r="O559" s="33"/>
      <c r="P559" s="33" t="s">
        <v>2251</v>
      </c>
      <c r="Q559" s="33"/>
      <c r="R559" s="33" t="s">
        <v>2263</v>
      </c>
      <c r="S559" s="56" t="s">
        <v>2277</v>
      </c>
      <c r="T559" s="56"/>
      <c r="U559" s="56"/>
      <c r="V559" s="33" t="s">
        <v>2456</v>
      </c>
      <c r="W559" s="94" t="s">
        <v>2457</v>
      </c>
      <c r="X559" s="94" t="s">
        <v>2474</v>
      </c>
      <c r="Y559" s="51"/>
      <c r="Z559" s="51"/>
      <c r="AA559" s="33" t="s">
        <v>2459</v>
      </c>
      <c r="AB559" s="33" t="s">
        <v>2460</v>
      </c>
      <c r="AC559" s="33" t="s">
        <v>2486</v>
      </c>
      <c r="AD559" s="33" t="s">
        <v>2254</v>
      </c>
      <c r="AE559" s="33"/>
      <c r="AF559" s="33" t="s">
        <v>2267</v>
      </c>
      <c r="AG559" s="33" t="s">
        <v>2461</v>
      </c>
      <c r="AH559" s="33"/>
      <c r="AI559" s="33"/>
      <c r="AJ559" s="33" t="s">
        <v>6642</v>
      </c>
      <c r="AK559" s="94"/>
      <c r="AL559" s="33" t="s">
        <v>6643</v>
      </c>
      <c r="AM559" s="33"/>
      <c r="AN559" s="33" t="s">
        <v>2588</v>
      </c>
      <c r="AO559" s="51" t="s">
        <v>2911</v>
      </c>
      <c r="AP559" s="51" t="s">
        <v>207</v>
      </c>
      <c r="AQ559" s="33"/>
      <c r="AR559" s="54"/>
      <c r="AS559" s="54"/>
      <c r="AT559" s="54"/>
      <c r="AU559" s="54"/>
      <c r="AV559" s="54"/>
      <c r="AW559" s="54"/>
      <c r="AX559" s="54"/>
      <c r="AY559" s="54"/>
      <c r="AZ559" s="54"/>
      <c r="BA559" s="54"/>
      <c r="BB559" s="54"/>
      <c r="BC559" s="54"/>
      <c r="BD559" s="54" t="s">
        <v>2447</v>
      </c>
      <c r="BE559" s="54"/>
      <c r="BF559" s="54"/>
      <c r="BG559" s="54"/>
      <c r="BH559" s="54"/>
      <c r="BI559" s="54"/>
      <c r="BJ559" s="0"/>
      <c r="BK559" s="0"/>
      <c r="BL559" s="0"/>
      <c r="BM559" s="0"/>
      <c r="BN559" s="0"/>
      <c r="BO559" s="0"/>
      <c r="BP559"/>
      <c r="BQ559"/>
      <c r="BR559"/>
      <c r="BS559"/>
      <c r="BT559"/>
      <c r="BU559"/>
      <c r="BV559"/>
      <c r="BW559"/>
      <c r="BX559"/>
      <c r="BY559"/>
      <c r="BZ559"/>
      <c r="CA559"/>
      <c r="CB559"/>
    </row>
    <row r="560" ht="15.0" customHeight="true">
      <c r="A560" s="51" t="s">
        <v>2448</v>
      </c>
      <c r="B560" s="33"/>
      <c r="C560" s="33" t="s">
        <v>6644</v>
      </c>
      <c r="D560" s="33"/>
      <c r="E560" s="33" t="s">
        <v>6645</v>
      </c>
      <c r="F560" s="33"/>
      <c r="G560" s="55" t="s">
        <v>6646</v>
      </c>
      <c r="H560" s="33"/>
      <c r="I560" s="51" t="s">
        <v>6647</v>
      </c>
      <c r="J560" s="33"/>
      <c r="K560" s="51" t="s">
        <v>6648</v>
      </c>
      <c r="L560" s="33" t="s">
        <v>2454</v>
      </c>
      <c r="M560" s="55" t="s">
        <v>3037</v>
      </c>
      <c r="N560" s="55" t="s">
        <v>6649</v>
      </c>
      <c r="O560" s="33" t="s">
        <v>2272</v>
      </c>
      <c r="P560" s="33" t="s">
        <v>2251</v>
      </c>
      <c r="Q560" s="33"/>
      <c r="R560" s="33" t="s">
        <v>2263</v>
      </c>
      <c r="S560" s="56" t="s">
        <v>2277</v>
      </c>
      <c r="T560" s="56"/>
      <c r="U560" s="56"/>
      <c r="V560" s="33" t="s">
        <v>2456</v>
      </c>
      <c r="W560" s="94" t="s">
        <v>2457</v>
      </c>
      <c r="X560" s="94" t="s">
        <v>2474</v>
      </c>
      <c r="Y560" s="51"/>
      <c r="Z560" s="51"/>
      <c r="AA560" s="33" t="s">
        <v>2459</v>
      </c>
      <c r="AB560" s="33" t="s">
        <v>2460</v>
      </c>
      <c r="AC560" s="33"/>
      <c r="AD560" s="33" t="s">
        <v>2254</v>
      </c>
      <c r="AE560" s="33"/>
      <c r="AF560" s="33" t="s">
        <v>2267</v>
      </c>
      <c r="AG560" s="33" t="s">
        <v>2461</v>
      </c>
      <c r="AH560" s="33"/>
      <c r="AI560" s="33"/>
      <c r="AJ560" s="33" t="s">
        <v>6650</v>
      </c>
      <c r="AK560" s="94"/>
      <c r="AL560" s="33" t="s">
        <v>6651</v>
      </c>
      <c r="AM560" s="33" t="s">
        <v>6652</v>
      </c>
      <c r="AN560" s="33" t="s">
        <v>2465</v>
      </c>
      <c r="AO560" s="51" t="s">
        <v>2528</v>
      </c>
      <c r="AP560" s="51" t="s">
        <v>207</v>
      </c>
      <c r="AQ560" s="33"/>
      <c r="AR560" s="54"/>
      <c r="AS560" s="54"/>
      <c r="AT560" s="54"/>
      <c r="AU560" s="54"/>
      <c r="AV560" s="54"/>
      <c r="AW560" s="54"/>
      <c r="AX560" s="54"/>
      <c r="AY560" s="54"/>
      <c r="AZ560" s="54"/>
      <c r="BA560" s="54"/>
      <c r="BB560" s="54"/>
      <c r="BC560" s="54"/>
      <c r="BD560" s="54" t="s">
        <v>2447</v>
      </c>
      <c r="BE560" s="54"/>
      <c r="BF560" s="54"/>
      <c r="BG560" s="54"/>
      <c r="BH560" s="54"/>
      <c r="BI560" s="54"/>
      <c r="BJ560" s="0"/>
      <c r="BK560" s="0"/>
      <c r="BL560" s="0"/>
      <c r="BM560" s="0"/>
      <c r="BN560" s="0"/>
      <c r="BO560" s="0"/>
      <c r="BP560"/>
      <c r="BQ560"/>
      <c r="BR560"/>
      <c r="BS560"/>
      <c r="BT560"/>
      <c r="BU560"/>
      <c r="BV560"/>
      <c r="BW560"/>
      <c r="BX560"/>
      <c r="BY560"/>
      <c r="BZ560"/>
      <c r="CA560"/>
      <c r="CB560"/>
    </row>
    <row r="561" ht="15.0" customHeight="true">
      <c r="A561" s="51" t="s">
        <v>2448</v>
      </c>
      <c r="B561" s="33"/>
      <c r="C561" s="33" t="s">
        <v>6653</v>
      </c>
      <c r="D561" s="33"/>
      <c r="E561" s="33" t="s">
        <v>3236</v>
      </c>
      <c r="F561" s="33"/>
      <c r="G561" s="55" t="s">
        <v>6654</v>
      </c>
      <c r="H561" s="33"/>
      <c r="I561" s="51" t="s">
        <v>6655</v>
      </c>
      <c r="J561" s="33"/>
      <c r="K561" s="51" t="s">
        <v>6656</v>
      </c>
      <c r="L561" s="33" t="s">
        <v>2454</v>
      </c>
      <c r="M561" s="55" t="s">
        <v>3999</v>
      </c>
      <c r="N561" s="55" t="s">
        <v>6657</v>
      </c>
      <c r="O561" s="33" t="s">
        <v>2272</v>
      </c>
      <c r="P561" s="33" t="s">
        <v>2251</v>
      </c>
      <c r="Q561" s="33"/>
      <c r="R561" s="33" t="s">
        <v>2263</v>
      </c>
      <c r="S561" s="56" t="s">
        <v>2277</v>
      </c>
      <c r="T561" s="56"/>
      <c r="U561" s="56"/>
      <c r="V561" s="33" t="s">
        <v>2456</v>
      </c>
      <c r="W561" s="94" t="s">
        <v>2457</v>
      </c>
      <c r="X561" s="94" t="s">
        <v>2458</v>
      </c>
      <c r="Y561" s="51"/>
      <c r="Z561" s="51"/>
      <c r="AA561" s="33" t="s">
        <v>2459</v>
      </c>
      <c r="AB561" s="33" t="s">
        <v>2460</v>
      </c>
      <c r="AC561" s="33"/>
      <c r="AD561" s="33" t="s">
        <v>2254</v>
      </c>
      <c r="AE561" s="33"/>
      <c r="AF561" s="33" t="s">
        <v>2267</v>
      </c>
      <c r="AG561" s="33" t="s">
        <v>2461</v>
      </c>
      <c r="AH561" s="33"/>
      <c r="AI561" s="33"/>
      <c r="AJ561" s="33" t="s">
        <v>6658</v>
      </c>
      <c r="AK561" s="94"/>
      <c r="AL561" s="33" t="s">
        <v>6659</v>
      </c>
      <c r="AM561" s="33"/>
      <c r="AN561" s="33" t="s">
        <v>2465</v>
      </c>
      <c r="AO561" s="51" t="s">
        <v>2538</v>
      </c>
      <c r="AP561" s="51" t="s">
        <v>207</v>
      </c>
      <c r="AQ561" s="33"/>
      <c r="AR561" s="54"/>
      <c r="AS561" s="54"/>
      <c r="AT561" s="54"/>
      <c r="AU561" s="54"/>
      <c r="AV561" s="54"/>
      <c r="AW561" s="54"/>
      <c r="AX561" s="54"/>
      <c r="AY561" s="54"/>
      <c r="AZ561" s="54"/>
      <c r="BA561" s="54"/>
      <c r="BB561" s="54"/>
      <c r="BC561" s="54"/>
      <c r="BD561" s="54" t="s">
        <v>2447</v>
      </c>
      <c r="BE561" s="54"/>
      <c r="BF561" s="54"/>
      <c r="BG561" s="54"/>
      <c r="BH561" s="54"/>
      <c r="BI561" s="54"/>
      <c r="BJ561" s="0"/>
      <c r="BK561" s="0"/>
      <c r="BL561" s="0"/>
      <c r="BM561" s="0"/>
      <c r="BN561" s="0"/>
      <c r="BO561" s="0"/>
      <c r="BP561"/>
      <c r="BQ561"/>
      <c r="BR561"/>
      <c r="BS561"/>
      <c r="BT561"/>
      <c r="BU561"/>
      <c r="BV561"/>
      <c r="BW561"/>
      <c r="BX561"/>
      <c r="BY561"/>
      <c r="BZ561"/>
      <c r="CA561"/>
      <c r="CB561"/>
    </row>
    <row r="562" ht="15.0" customHeight="true">
      <c r="A562" s="51" t="s">
        <v>2448</v>
      </c>
      <c r="B562" s="33"/>
      <c r="C562" s="33" t="s">
        <v>6660</v>
      </c>
      <c r="D562" s="33"/>
      <c r="E562" s="33" t="s">
        <v>6661</v>
      </c>
      <c r="F562" s="33"/>
      <c r="G562" s="55" t="s">
        <v>6662</v>
      </c>
      <c r="H562" s="33"/>
      <c r="I562" s="51" t="s">
        <v>6663</v>
      </c>
      <c r="J562" s="33"/>
      <c r="K562" s="51" t="s">
        <v>6664</v>
      </c>
      <c r="L562" s="33" t="s">
        <v>2454</v>
      </c>
      <c r="M562" s="55" t="s">
        <v>3281</v>
      </c>
      <c r="N562" s="55" t="s">
        <v>4462</v>
      </c>
      <c r="O562" s="33" t="s">
        <v>2272</v>
      </c>
      <c r="P562" s="33" t="s">
        <v>2251</v>
      </c>
      <c r="Q562" s="33"/>
      <c r="R562" s="33" t="s">
        <v>2263</v>
      </c>
      <c r="S562" s="56" t="s">
        <v>2277</v>
      </c>
      <c r="T562" s="56"/>
      <c r="U562" s="56"/>
      <c r="V562" s="33" t="s">
        <v>2456</v>
      </c>
      <c r="W562" s="94" t="s">
        <v>2457</v>
      </c>
      <c r="X562" s="94" t="s">
        <v>2458</v>
      </c>
      <c r="Y562" s="51"/>
      <c r="Z562" s="51"/>
      <c r="AA562" s="33" t="s">
        <v>2459</v>
      </c>
      <c r="AB562" s="33" t="s">
        <v>2460</v>
      </c>
      <c r="AC562" s="33"/>
      <c r="AD562" s="33" t="s">
        <v>2254</v>
      </c>
      <c r="AE562" s="33"/>
      <c r="AF562" s="33" t="s">
        <v>2267</v>
      </c>
      <c r="AG562" s="33" t="s">
        <v>2461</v>
      </c>
      <c r="AH562" s="33"/>
      <c r="AI562" s="33"/>
      <c r="AJ562" s="33" t="s">
        <v>6665</v>
      </c>
      <c r="AK562" s="94"/>
      <c r="AL562" s="33" t="s">
        <v>2617</v>
      </c>
      <c r="AM562" s="33" t="s">
        <v>6666</v>
      </c>
      <c r="AN562" s="33" t="s">
        <v>2465</v>
      </c>
      <c r="AO562" s="51" t="s">
        <v>2618</v>
      </c>
      <c r="AP562" s="51" t="s">
        <v>207</v>
      </c>
      <c r="AQ562" s="33"/>
      <c r="AR562" s="54"/>
      <c r="AS562" s="54"/>
      <c r="AT562" s="54"/>
      <c r="AU562" s="54"/>
      <c r="AV562" s="54"/>
      <c r="AW562" s="54"/>
      <c r="AX562" s="54"/>
      <c r="AY562" s="54"/>
      <c r="AZ562" s="54"/>
      <c r="BA562" s="54"/>
      <c r="BB562" s="54"/>
      <c r="BC562" s="54"/>
      <c r="BD562" s="54" t="s">
        <v>2447</v>
      </c>
      <c r="BE562" s="54"/>
      <c r="BF562" s="54"/>
      <c r="BG562" s="54"/>
      <c r="BH562" s="54"/>
      <c r="BI562" s="54"/>
      <c r="BJ562" s="0"/>
      <c r="BK562" s="0"/>
      <c r="BL562" s="0"/>
      <c r="BM562" s="0"/>
      <c r="BN562" s="0"/>
      <c r="BO562" s="0"/>
      <c r="BP562"/>
      <c r="BQ562"/>
      <c r="BR562"/>
      <c r="BS562"/>
      <c r="BT562"/>
      <c r="BU562"/>
      <c r="BV562"/>
      <c r="BW562"/>
      <c r="BX562"/>
      <c r="BY562"/>
      <c r="BZ562"/>
      <c r="CA562"/>
      <c r="CB562"/>
    </row>
    <row r="563" ht="15.0" customHeight="true">
      <c r="A563" s="51" t="s">
        <v>2448</v>
      </c>
      <c r="B563" s="33"/>
      <c r="C563" s="33" t="s">
        <v>6667</v>
      </c>
      <c r="D563" s="33"/>
      <c r="E563" s="33" t="s">
        <v>6668</v>
      </c>
      <c r="F563" s="33"/>
      <c r="G563" s="55" t="s">
        <v>6669</v>
      </c>
      <c r="H563" s="33"/>
      <c r="I563" s="51" t="s">
        <v>6670</v>
      </c>
      <c r="J563" s="33"/>
      <c r="K563" s="51" t="s">
        <v>6671</v>
      </c>
      <c r="L563" s="33" t="s">
        <v>2454</v>
      </c>
      <c r="M563" s="55" t="s">
        <v>3409</v>
      </c>
      <c r="N563" s="55" t="s">
        <v>3761</v>
      </c>
      <c r="O563" s="33" t="s">
        <v>2272</v>
      </c>
      <c r="P563" s="33" t="s">
        <v>2251</v>
      </c>
      <c r="Q563" s="33"/>
      <c r="R563" s="33" t="s">
        <v>2263</v>
      </c>
      <c r="S563" s="56" t="s">
        <v>2277</v>
      </c>
      <c r="T563" s="56"/>
      <c r="U563" s="56"/>
      <c r="V563" s="33" t="s">
        <v>2456</v>
      </c>
      <c r="W563" s="94" t="s">
        <v>2457</v>
      </c>
      <c r="X563" s="94" t="s">
        <v>2458</v>
      </c>
      <c r="Y563" s="51"/>
      <c r="Z563" s="51"/>
      <c r="AA563" s="33" t="s">
        <v>2459</v>
      </c>
      <c r="AB563" s="33" t="s">
        <v>2460</v>
      </c>
      <c r="AC563" s="33"/>
      <c r="AD563" s="33" t="s">
        <v>2254</v>
      </c>
      <c r="AE563" s="33"/>
      <c r="AF563" s="33" t="s">
        <v>2267</v>
      </c>
      <c r="AG563" s="33" t="s">
        <v>2461</v>
      </c>
      <c r="AH563" s="33"/>
      <c r="AI563" s="33"/>
      <c r="AJ563" s="33" t="s">
        <v>6672</v>
      </c>
      <c r="AK563" s="94"/>
      <c r="AL563" s="33" t="s">
        <v>6673</v>
      </c>
      <c r="AM563" s="33"/>
      <c r="AN563" s="33" t="s">
        <v>2465</v>
      </c>
      <c r="AO563" s="51" t="s">
        <v>2673</v>
      </c>
      <c r="AP563" s="51" t="s">
        <v>207</v>
      </c>
      <c r="AQ563" s="33"/>
      <c r="AR563" s="54"/>
      <c r="AS563" s="54"/>
      <c r="AT563" s="54"/>
      <c r="AU563" s="54"/>
      <c r="AV563" s="54"/>
      <c r="AW563" s="54"/>
      <c r="AX563" s="54"/>
      <c r="AY563" s="54"/>
      <c r="AZ563" s="54"/>
      <c r="BA563" s="54"/>
      <c r="BB563" s="54"/>
      <c r="BC563" s="54"/>
      <c r="BD563" s="54" t="s">
        <v>2447</v>
      </c>
      <c r="BE563" s="54"/>
      <c r="BF563" s="54"/>
      <c r="BG563" s="54"/>
      <c r="BH563" s="54"/>
      <c r="BI563" s="54"/>
      <c r="BJ563" s="0"/>
      <c r="BK563" s="0"/>
      <c r="BL563" s="0"/>
      <c r="BM563" s="0"/>
      <c r="BN563" s="0"/>
      <c r="BO563" s="0"/>
      <c r="BP563"/>
      <c r="BQ563"/>
      <c r="BR563"/>
      <c r="BS563"/>
      <c r="BT563"/>
      <c r="BU563"/>
      <c r="BV563"/>
      <c r="BW563"/>
      <c r="BX563"/>
      <c r="BY563"/>
      <c r="BZ563"/>
      <c r="CA563"/>
      <c r="CB563"/>
    </row>
    <row r="564" ht="15.0" customHeight="true">
      <c r="A564" s="51" t="s">
        <v>2448</v>
      </c>
      <c r="B564" s="33"/>
      <c r="C564" s="33" t="s">
        <v>6674</v>
      </c>
      <c r="D564" s="33"/>
      <c r="E564" s="33" t="s">
        <v>6675</v>
      </c>
      <c r="F564" s="33"/>
      <c r="G564" s="55" t="s">
        <v>6676</v>
      </c>
      <c r="H564" s="33"/>
      <c r="I564" s="51" t="s">
        <v>6677</v>
      </c>
      <c r="J564" s="33"/>
      <c r="K564" s="51" t="s">
        <v>6678</v>
      </c>
      <c r="L564" s="33" t="s">
        <v>2484</v>
      </c>
      <c r="M564" s="55" t="s">
        <v>2524</v>
      </c>
      <c r="N564" s="55"/>
      <c r="O564" s="33"/>
      <c r="P564" s="33" t="s">
        <v>2251</v>
      </c>
      <c r="Q564" s="33"/>
      <c r="R564" s="33" t="s">
        <v>2263</v>
      </c>
      <c r="S564" s="56" t="s">
        <v>2277</v>
      </c>
      <c r="T564" s="56"/>
      <c r="U564" s="56"/>
      <c r="V564" s="33" t="s">
        <v>2456</v>
      </c>
      <c r="W564" s="94" t="s">
        <v>2457</v>
      </c>
      <c r="X564" s="94" t="s">
        <v>2474</v>
      </c>
      <c r="Y564" s="51"/>
      <c r="Z564" s="51"/>
      <c r="AA564" s="33" t="s">
        <v>2459</v>
      </c>
      <c r="AB564" s="33" t="s">
        <v>2460</v>
      </c>
      <c r="AC564" s="33" t="s">
        <v>2486</v>
      </c>
      <c r="AD564" s="33" t="s">
        <v>2254</v>
      </c>
      <c r="AE564" s="33"/>
      <c r="AF564" s="33" t="s">
        <v>2267</v>
      </c>
      <c r="AG564" s="33" t="s">
        <v>2461</v>
      </c>
      <c r="AH564" s="33"/>
      <c r="AI564" s="33"/>
      <c r="AJ564" s="33" t="s">
        <v>6679</v>
      </c>
      <c r="AK564" s="94"/>
      <c r="AL564" s="33" t="s">
        <v>6680</v>
      </c>
      <c r="AM564" s="33"/>
      <c r="AN564" s="33" t="s">
        <v>2465</v>
      </c>
      <c r="AO564" s="51" t="s">
        <v>4150</v>
      </c>
      <c r="AP564" s="51" t="s">
        <v>207</v>
      </c>
      <c r="AQ564" s="33"/>
      <c r="AR564" s="54"/>
      <c r="AS564" s="54"/>
      <c r="AT564" s="54"/>
      <c r="AU564" s="54"/>
      <c r="AV564" s="54"/>
      <c r="AW564" s="54"/>
      <c r="AX564" s="54"/>
      <c r="AY564" s="54"/>
      <c r="AZ564" s="54"/>
      <c r="BA564" s="54"/>
      <c r="BB564" s="54"/>
      <c r="BC564" s="54"/>
      <c r="BD564" s="54" t="s">
        <v>2447</v>
      </c>
      <c r="BE564" s="54"/>
      <c r="BF564" s="54"/>
      <c r="BG564" s="54"/>
      <c r="BH564" s="54"/>
      <c r="BI564" s="54"/>
      <c r="BJ564" s="0"/>
      <c r="BK564" s="0"/>
      <c r="BL564" s="0"/>
      <c r="BM564" s="0"/>
      <c r="BN564" s="0"/>
      <c r="BO564" s="0"/>
      <c r="BP564"/>
      <c r="BQ564"/>
      <c r="BR564"/>
      <c r="BS564"/>
      <c r="BT564"/>
      <c r="BU564"/>
      <c r="BV564"/>
      <c r="BW564"/>
      <c r="BX564"/>
      <c r="BY564"/>
      <c r="BZ564"/>
      <c r="CA564"/>
      <c r="CB564"/>
    </row>
    <row r="565" ht="15.0" customHeight="true">
      <c r="A565" s="51" t="s">
        <v>2448</v>
      </c>
      <c r="B565" s="33"/>
      <c r="C565" s="33" t="s">
        <v>3900</v>
      </c>
      <c r="D565" s="33"/>
      <c r="E565" s="33" t="s">
        <v>6681</v>
      </c>
      <c r="F565" s="33"/>
      <c r="G565" s="55" t="s">
        <v>6682</v>
      </c>
      <c r="H565" s="33"/>
      <c r="I565" s="51" t="s">
        <v>6683</v>
      </c>
      <c r="J565" s="33"/>
      <c r="K565" s="51" t="s">
        <v>6684</v>
      </c>
      <c r="L565" s="33" t="s">
        <v>2454</v>
      </c>
      <c r="M565" s="55" t="s">
        <v>3065</v>
      </c>
      <c r="N565" s="55" t="s">
        <v>3325</v>
      </c>
      <c r="O565" s="33" t="s">
        <v>2272</v>
      </c>
      <c r="P565" s="33" t="s">
        <v>2251</v>
      </c>
      <c r="Q565" s="33"/>
      <c r="R565" s="33" t="s">
        <v>2263</v>
      </c>
      <c r="S565" s="56" t="s">
        <v>2277</v>
      </c>
      <c r="T565" s="56"/>
      <c r="U565" s="56"/>
      <c r="V565" s="33" t="s">
        <v>2456</v>
      </c>
      <c r="W565" s="94" t="s">
        <v>2457</v>
      </c>
      <c r="X565" s="94" t="s">
        <v>2458</v>
      </c>
      <c r="Y565" s="51"/>
      <c r="Z565" s="51"/>
      <c r="AA565" s="33" t="s">
        <v>2459</v>
      </c>
      <c r="AB565" s="33" t="s">
        <v>2460</v>
      </c>
      <c r="AC565" s="33"/>
      <c r="AD565" s="33" t="s">
        <v>2254</v>
      </c>
      <c r="AE565" s="33"/>
      <c r="AF565" s="33" t="s">
        <v>2267</v>
      </c>
      <c r="AG565" s="33" t="s">
        <v>2461</v>
      </c>
      <c r="AH565" s="33"/>
      <c r="AI565" s="33"/>
      <c r="AJ565" s="33" t="s">
        <v>6685</v>
      </c>
      <c r="AK565" s="94"/>
      <c r="AL565" s="33" t="s">
        <v>6686</v>
      </c>
      <c r="AM565" s="33" t="s">
        <v>6687</v>
      </c>
      <c r="AN565" s="33" t="s">
        <v>2465</v>
      </c>
      <c r="AO565" s="51" t="s">
        <v>2618</v>
      </c>
      <c r="AP565" s="51" t="s">
        <v>207</v>
      </c>
      <c r="AQ565" s="33"/>
      <c r="AR565" s="54"/>
      <c r="AS565" s="54"/>
      <c r="AT565" s="54"/>
      <c r="AU565" s="54"/>
      <c r="AV565" s="54"/>
      <c r="AW565" s="54"/>
      <c r="AX565" s="54"/>
      <c r="AY565" s="54"/>
      <c r="AZ565" s="54"/>
      <c r="BA565" s="54"/>
      <c r="BB565" s="54"/>
      <c r="BC565" s="54"/>
      <c r="BD565" s="54" t="s">
        <v>2447</v>
      </c>
      <c r="BE565" s="54"/>
      <c r="BF565" s="54"/>
      <c r="BG565" s="54"/>
      <c r="BH565" s="54"/>
      <c r="BI565" s="54"/>
      <c r="BJ565" s="0"/>
      <c r="BK565" s="0"/>
      <c r="BL565" s="0"/>
      <c r="BM565" s="0"/>
      <c r="BN565" s="0"/>
      <c r="BO565" s="0"/>
      <c r="BP565"/>
      <c r="BQ565"/>
      <c r="BR565"/>
      <c r="BS565"/>
      <c r="BT565"/>
      <c r="BU565"/>
      <c r="BV565"/>
      <c r="BW565"/>
      <c r="BX565"/>
      <c r="BY565"/>
      <c r="BZ565"/>
      <c r="CA565"/>
      <c r="CB565"/>
    </row>
    <row r="566" ht="15.0" customHeight="true">
      <c r="A566" s="51" t="s">
        <v>2448</v>
      </c>
      <c r="B566" s="33"/>
      <c r="C566" s="33" t="s">
        <v>4593</v>
      </c>
      <c r="D566" s="33"/>
      <c r="E566" s="33" t="s">
        <v>2863</v>
      </c>
      <c r="F566" s="33"/>
      <c r="G566" s="55" t="s">
        <v>6688</v>
      </c>
      <c r="H566" s="33"/>
      <c r="I566" s="51" t="s">
        <v>6689</v>
      </c>
      <c r="J566" s="33"/>
      <c r="K566" s="51" t="s">
        <v>6690</v>
      </c>
      <c r="L566" s="33" t="s">
        <v>2454</v>
      </c>
      <c r="M566" s="55" t="s">
        <v>2455</v>
      </c>
      <c r="N566" s="55" t="s">
        <v>5487</v>
      </c>
      <c r="O566" s="33" t="s">
        <v>2272</v>
      </c>
      <c r="P566" s="33" t="s">
        <v>2251</v>
      </c>
      <c r="Q566" s="33"/>
      <c r="R566" s="33" t="s">
        <v>2263</v>
      </c>
      <c r="S566" s="56" t="s">
        <v>2277</v>
      </c>
      <c r="T566" s="56"/>
      <c r="U566" s="56"/>
      <c r="V566" s="33" t="s">
        <v>2456</v>
      </c>
      <c r="W566" s="94" t="s">
        <v>2457</v>
      </c>
      <c r="X566" s="94" t="s">
        <v>2458</v>
      </c>
      <c r="Y566" s="51"/>
      <c r="Z566" s="51"/>
      <c r="AA566" s="33" t="s">
        <v>2459</v>
      </c>
      <c r="AB566" s="33" t="s">
        <v>2460</v>
      </c>
      <c r="AC566" s="33"/>
      <c r="AD566" s="33" t="s">
        <v>2254</v>
      </c>
      <c r="AE566" s="33"/>
      <c r="AF566" s="33" t="s">
        <v>2267</v>
      </c>
      <c r="AG566" s="33" t="s">
        <v>2461</v>
      </c>
      <c r="AH566" s="33"/>
      <c r="AI566" s="33"/>
      <c r="AJ566" s="33" t="s">
        <v>6691</v>
      </c>
      <c r="AK566" s="94"/>
      <c r="AL566" s="33" t="s">
        <v>6692</v>
      </c>
      <c r="AM566" s="33"/>
      <c r="AN566" s="33" t="s">
        <v>2588</v>
      </c>
      <c r="AO566" s="51" t="s">
        <v>2628</v>
      </c>
      <c r="AP566" s="51" t="s">
        <v>207</v>
      </c>
      <c r="AQ566" s="33"/>
      <c r="AR566" s="54"/>
      <c r="AS566" s="54"/>
      <c r="AT566" s="54"/>
      <c r="AU566" s="54"/>
      <c r="AV566" s="54"/>
      <c r="AW566" s="54"/>
      <c r="AX566" s="54"/>
      <c r="AY566" s="54"/>
      <c r="AZ566" s="54"/>
      <c r="BA566" s="54"/>
      <c r="BB566" s="54"/>
      <c r="BC566" s="54"/>
      <c r="BD566" s="54" t="s">
        <v>2447</v>
      </c>
      <c r="BE566" s="54"/>
      <c r="BF566" s="54"/>
      <c r="BG566" s="54"/>
      <c r="BH566" s="54"/>
      <c r="BI566" s="54"/>
      <c r="BJ566" s="0"/>
      <c r="BK566" s="0"/>
      <c r="BL566" s="0"/>
      <c r="BM566" s="0"/>
      <c r="BN566" s="0"/>
      <c r="BO566" s="0"/>
      <c r="BP566"/>
      <c r="BQ566"/>
      <c r="BR566"/>
      <c r="BS566"/>
      <c r="BT566"/>
      <c r="BU566"/>
      <c r="BV566"/>
      <c r="BW566"/>
      <c r="BX566"/>
      <c r="BY566"/>
      <c r="BZ566"/>
      <c r="CA566"/>
      <c r="CB566"/>
    </row>
    <row r="567" ht="15.0" customHeight="true">
      <c r="A567" s="51" t="s">
        <v>2448</v>
      </c>
      <c r="B567" s="33"/>
      <c r="C567" s="33" t="s">
        <v>4778</v>
      </c>
      <c r="D567" s="33"/>
      <c r="E567" s="33" t="s">
        <v>6693</v>
      </c>
      <c r="F567" s="33"/>
      <c r="G567" s="55" t="s">
        <v>6694</v>
      </c>
      <c r="H567" s="33"/>
      <c r="I567" s="51" t="s">
        <v>6695</v>
      </c>
      <c r="J567" s="33"/>
      <c r="K567" s="51" t="s">
        <v>6696</v>
      </c>
      <c r="L567" s="33" t="s">
        <v>2454</v>
      </c>
      <c r="M567" s="55" t="s">
        <v>6541</v>
      </c>
      <c r="N567" s="55" t="s">
        <v>6541</v>
      </c>
      <c r="O567" s="33" t="s">
        <v>2272</v>
      </c>
      <c r="P567" s="33" t="s">
        <v>2251</v>
      </c>
      <c r="Q567" s="33"/>
      <c r="R567" s="33" t="s">
        <v>2263</v>
      </c>
      <c r="S567" s="56" t="s">
        <v>2277</v>
      </c>
      <c r="T567" s="56"/>
      <c r="U567" s="56"/>
      <c r="V567" s="33" t="s">
        <v>2456</v>
      </c>
      <c r="W567" s="94" t="s">
        <v>2457</v>
      </c>
      <c r="X567" s="94" t="s">
        <v>2458</v>
      </c>
      <c r="Y567" s="51"/>
      <c r="Z567" s="51"/>
      <c r="AA567" s="33" t="s">
        <v>2459</v>
      </c>
      <c r="AB567" s="33" t="s">
        <v>2460</v>
      </c>
      <c r="AC567" s="33"/>
      <c r="AD567" s="33" t="s">
        <v>2254</v>
      </c>
      <c r="AE567" s="33"/>
      <c r="AF567" s="33" t="s">
        <v>2267</v>
      </c>
      <c r="AG567" s="33" t="s">
        <v>2461</v>
      </c>
      <c r="AH567" s="33"/>
      <c r="AI567" s="33"/>
      <c r="AJ567" s="33" t="s">
        <v>6697</v>
      </c>
      <c r="AK567" s="94"/>
      <c r="AL567" s="33" t="s">
        <v>6698</v>
      </c>
      <c r="AM567" s="33" t="s">
        <v>6699</v>
      </c>
      <c r="AN567" s="33" t="s">
        <v>2577</v>
      </c>
      <c r="AO567" s="51" t="s">
        <v>2578</v>
      </c>
      <c r="AP567" s="51" t="s">
        <v>207</v>
      </c>
      <c r="AQ567" s="33"/>
      <c r="AR567" s="54"/>
      <c r="AS567" s="54"/>
      <c r="AT567" s="54"/>
      <c r="AU567" s="54"/>
      <c r="AV567" s="54"/>
      <c r="AW567" s="54"/>
      <c r="AX567" s="54"/>
      <c r="AY567" s="54"/>
      <c r="AZ567" s="54"/>
      <c r="BA567" s="54"/>
      <c r="BB567" s="54"/>
      <c r="BC567" s="54"/>
      <c r="BD567" s="54" t="s">
        <v>2447</v>
      </c>
      <c r="BE567" s="54"/>
      <c r="BF567" s="54"/>
      <c r="BG567" s="54"/>
      <c r="BH567" s="54"/>
      <c r="BI567" s="54"/>
      <c r="BJ567" s="0"/>
      <c r="BK567" s="0"/>
      <c r="BL567" s="0"/>
      <c r="BM567" s="0"/>
      <c r="BN567" s="0"/>
      <c r="BO567" s="0"/>
      <c r="BP567"/>
      <c r="BQ567"/>
      <c r="BR567"/>
      <c r="BS567"/>
      <c r="BT567"/>
      <c r="BU567"/>
      <c r="BV567"/>
      <c r="BW567"/>
      <c r="BX567"/>
      <c r="BY567"/>
      <c r="BZ567"/>
      <c r="CA567"/>
      <c r="CB567"/>
    </row>
    <row r="568" ht="15.0" customHeight="true">
      <c r="A568" s="51" t="s">
        <v>2448</v>
      </c>
      <c r="B568" s="33"/>
      <c r="C568" s="33" t="s">
        <v>5235</v>
      </c>
      <c r="D568" s="33"/>
      <c r="E568" s="33" t="s">
        <v>6700</v>
      </c>
      <c r="F568" s="33"/>
      <c r="G568" s="55" t="s">
        <v>6701</v>
      </c>
      <c r="H568" s="33"/>
      <c r="I568" s="51" t="s">
        <v>6702</v>
      </c>
      <c r="J568" s="33"/>
      <c r="K568" s="51" t="s">
        <v>6703</v>
      </c>
      <c r="L568" s="33" t="s">
        <v>2454</v>
      </c>
      <c r="M568" s="55" t="s">
        <v>6704</v>
      </c>
      <c r="N568" s="55" t="s">
        <v>6704</v>
      </c>
      <c r="O568" s="33" t="s">
        <v>2272</v>
      </c>
      <c r="P568" s="33" t="s">
        <v>2251</v>
      </c>
      <c r="Q568" s="33"/>
      <c r="R568" s="33" t="s">
        <v>2263</v>
      </c>
      <c r="S568" s="56" t="s">
        <v>2277</v>
      </c>
      <c r="T568" s="56"/>
      <c r="U568" s="56"/>
      <c r="V568" s="33" t="s">
        <v>2456</v>
      </c>
      <c r="W568" s="94" t="s">
        <v>2457</v>
      </c>
      <c r="X568" s="94" t="s">
        <v>2458</v>
      </c>
      <c r="Y568" s="51"/>
      <c r="Z568" s="51"/>
      <c r="AA568" s="33" t="s">
        <v>2459</v>
      </c>
      <c r="AB568" s="33" t="s">
        <v>2460</v>
      </c>
      <c r="AC568" s="33"/>
      <c r="AD568" s="33" t="s">
        <v>2254</v>
      </c>
      <c r="AE568" s="33"/>
      <c r="AF568" s="33" t="s">
        <v>2267</v>
      </c>
      <c r="AG568" s="33" t="s">
        <v>2461</v>
      </c>
      <c r="AH568" s="33"/>
      <c r="AI568" s="33"/>
      <c r="AJ568" s="33" t="s">
        <v>6705</v>
      </c>
      <c r="AK568" s="94"/>
      <c r="AL568" s="33" t="s">
        <v>6706</v>
      </c>
      <c r="AM568" s="33"/>
      <c r="AN568" s="33" t="s">
        <v>2465</v>
      </c>
      <c r="AO568" s="51" t="s">
        <v>2466</v>
      </c>
      <c r="AP568" s="51" t="s">
        <v>207</v>
      </c>
      <c r="AQ568" s="33"/>
      <c r="AR568" s="54"/>
      <c r="AS568" s="54"/>
      <c r="AT568" s="54"/>
      <c r="AU568" s="54"/>
      <c r="AV568" s="54"/>
      <c r="AW568" s="54"/>
      <c r="AX568" s="54"/>
      <c r="AY568" s="54"/>
      <c r="AZ568" s="54"/>
      <c r="BA568" s="54"/>
      <c r="BB568" s="54"/>
      <c r="BC568" s="54"/>
      <c r="BD568" s="54" t="s">
        <v>2447</v>
      </c>
      <c r="BE568" s="54"/>
      <c r="BF568" s="54"/>
      <c r="BG568" s="54"/>
      <c r="BH568" s="54"/>
      <c r="BI568" s="54"/>
      <c r="BJ568" s="0"/>
      <c r="BK568" s="0"/>
      <c r="BL568" s="0"/>
      <c r="BM568" s="0"/>
      <c r="BN568" s="0"/>
      <c r="BO568" s="0"/>
      <c r="BP568"/>
      <c r="BQ568"/>
      <c r="BR568"/>
      <c r="BS568"/>
      <c r="BT568"/>
      <c r="BU568"/>
      <c r="BV568"/>
      <c r="BW568"/>
      <c r="BX568"/>
      <c r="BY568"/>
      <c r="BZ568"/>
      <c r="CA568"/>
      <c r="CB568"/>
    </row>
    <row r="569" ht="15.0" customHeight="true">
      <c r="A569" s="51" t="s">
        <v>2448</v>
      </c>
      <c r="B569" s="33"/>
      <c r="C569" s="33" t="s">
        <v>6707</v>
      </c>
      <c r="D569" s="33"/>
      <c r="E569" s="33" t="s">
        <v>6708</v>
      </c>
      <c r="F569" s="33"/>
      <c r="G569" s="55" t="s">
        <v>6709</v>
      </c>
      <c r="H569" s="33"/>
      <c r="I569" s="51" t="s">
        <v>6710</v>
      </c>
      <c r="J569" s="33"/>
      <c r="K569" s="51" t="s">
        <v>6711</v>
      </c>
      <c r="L569" s="33" t="s">
        <v>2454</v>
      </c>
      <c r="M569" s="55" t="s">
        <v>4722</v>
      </c>
      <c r="N569" s="55" t="s">
        <v>2899</v>
      </c>
      <c r="O569" s="33" t="s">
        <v>2272</v>
      </c>
      <c r="P569" s="33" t="s">
        <v>2251</v>
      </c>
      <c r="Q569" s="33"/>
      <c r="R569" s="33" t="s">
        <v>2263</v>
      </c>
      <c r="S569" s="56" t="s">
        <v>2277</v>
      </c>
      <c r="T569" s="56"/>
      <c r="U569" s="56"/>
      <c r="V569" s="33" t="s">
        <v>2456</v>
      </c>
      <c r="W569" s="94" t="s">
        <v>2457</v>
      </c>
      <c r="X569" s="94" t="s">
        <v>2458</v>
      </c>
      <c r="Y569" s="51"/>
      <c r="Z569" s="51"/>
      <c r="AA569" s="33" t="s">
        <v>2459</v>
      </c>
      <c r="AB569" s="33" t="s">
        <v>2460</v>
      </c>
      <c r="AC569" s="33"/>
      <c r="AD569" s="33" t="s">
        <v>2254</v>
      </c>
      <c r="AE569" s="33"/>
      <c r="AF569" s="33" t="s">
        <v>2267</v>
      </c>
      <c r="AG569" s="33" t="s">
        <v>2461</v>
      </c>
      <c r="AH569" s="33"/>
      <c r="AI569" s="33"/>
      <c r="AJ569" s="33" t="s">
        <v>6712</v>
      </c>
      <c r="AK569" s="94"/>
      <c r="AL569" s="33" t="s">
        <v>6713</v>
      </c>
      <c r="AM569" s="33"/>
      <c r="AN569" s="33" t="s">
        <v>3503</v>
      </c>
      <c r="AO569" s="51" t="s">
        <v>3104</v>
      </c>
      <c r="AP569" s="51" t="s">
        <v>207</v>
      </c>
      <c r="AQ569" s="33"/>
      <c r="AR569" s="54"/>
      <c r="AS569" s="54"/>
      <c r="AT569" s="54"/>
      <c r="AU569" s="54"/>
      <c r="AV569" s="54"/>
      <c r="AW569" s="54"/>
      <c r="AX569" s="54"/>
      <c r="AY569" s="54"/>
      <c r="AZ569" s="54"/>
      <c r="BA569" s="54"/>
      <c r="BB569" s="54"/>
      <c r="BC569" s="54"/>
      <c r="BD569" s="54" t="s">
        <v>4716</v>
      </c>
      <c r="BE569" s="54"/>
      <c r="BF569" s="54"/>
      <c r="BG569" s="54"/>
      <c r="BH569" s="54"/>
      <c r="BI569" s="54"/>
      <c r="BJ569" s="0"/>
      <c r="BK569" s="0"/>
      <c r="BL569" s="0"/>
      <c r="BM569" s="0"/>
      <c r="BN569" s="0"/>
      <c r="BO569" s="0"/>
      <c r="BP569"/>
      <c r="BQ569"/>
      <c r="BR569"/>
      <c r="BS569"/>
      <c r="BT569"/>
      <c r="BU569"/>
      <c r="BV569"/>
      <c r="BW569"/>
      <c r="BX569"/>
      <c r="BY569"/>
      <c r="BZ569"/>
      <c r="CA569"/>
      <c r="CB569"/>
    </row>
    <row r="570" ht="15.0" customHeight="true">
      <c r="A570" s="51" t="s">
        <v>2448</v>
      </c>
      <c r="B570" s="33"/>
      <c r="C570" s="33" t="s">
        <v>3947</v>
      </c>
      <c r="D570" s="33"/>
      <c r="E570" s="33" t="s">
        <v>6714</v>
      </c>
      <c r="F570" s="33"/>
      <c r="G570" s="55" t="s">
        <v>6715</v>
      </c>
      <c r="H570" s="33"/>
      <c r="I570" s="51" t="s">
        <v>6716</v>
      </c>
      <c r="J570" s="33"/>
      <c r="K570" s="51" t="s">
        <v>6717</v>
      </c>
      <c r="L570" s="33" t="s">
        <v>2454</v>
      </c>
      <c r="M570" s="55" t="s">
        <v>2936</v>
      </c>
      <c r="N570" s="55" t="s">
        <v>3663</v>
      </c>
      <c r="O570" s="33" t="s">
        <v>2272</v>
      </c>
      <c r="P570" s="33" t="s">
        <v>2251</v>
      </c>
      <c r="Q570" s="33"/>
      <c r="R570" s="33" t="s">
        <v>2263</v>
      </c>
      <c r="S570" s="56" t="s">
        <v>2277</v>
      </c>
      <c r="T570" s="56"/>
      <c r="U570" s="56"/>
      <c r="V570" s="33" t="s">
        <v>2456</v>
      </c>
      <c r="W570" s="94" t="s">
        <v>2457</v>
      </c>
      <c r="X570" s="94" t="s">
        <v>2474</v>
      </c>
      <c r="Y570" s="51"/>
      <c r="Z570" s="51"/>
      <c r="AA570" s="33" t="s">
        <v>2459</v>
      </c>
      <c r="AB570" s="33" t="s">
        <v>2460</v>
      </c>
      <c r="AC570" s="33"/>
      <c r="AD570" s="33" t="s">
        <v>2254</v>
      </c>
      <c r="AE570" s="33"/>
      <c r="AF570" s="33" t="s">
        <v>2267</v>
      </c>
      <c r="AG570" s="33" t="s">
        <v>2461</v>
      </c>
      <c r="AH570" s="33"/>
      <c r="AI570" s="33"/>
      <c r="AJ570" s="33" t="s">
        <v>6718</v>
      </c>
      <c r="AK570" s="94"/>
      <c r="AL570" s="33" t="s">
        <v>6719</v>
      </c>
      <c r="AM570" s="33" t="s">
        <v>2739</v>
      </c>
      <c r="AN570" s="33" t="s">
        <v>2465</v>
      </c>
      <c r="AO570" s="51" t="s">
        <v>2820</v>
      </c>
      <c r="AP570" s="51" t="s">
        <v>207</v>
      </c>
      <c r="AQ570" s="33"/>
      <c r="AR570" s="54"/>
      <c r="AS570" s="54"/>
      <c r="AT570" s="54"/>
      <c r="AU570" s="54"/>
      <c r="AV570" s="54"/>
      <c r="AW570" s="54"/>
      <c r="AX570" s="54"/>
      <c r="AY570" s="54"/>
      <c r="AZ570" s="54"/>
      <c r="BA570" s="54"/>
      <c r="BB570" s="54"/>
      <c r="BC570" s="54"/>
      <c r="BD570" s="54" t="s">
        <v>2447</v>
      </c>
      <c r="BE570" s="54"/>
      <c r="BF570" s="54"/>
      <c r="BG570" s="54"/>
      <c r="BH570" s="54"/>
      <c r="BI570" s="54"/>
      <c r="BJ570" s="0"/>
      <c r="BK570" s="0"/>
      <c r="BL570" s="0"/>
      <c r="BM570" s="0"/>
      <c r="BN570" s="0"/>
      <c r="BO570" s="0"/>
      <c r="BP570"/>
      <c r="BQ570"/>
      <c r="BR570"/>
      <c r="BS570"/>
      <c r="BT570"/>
      <c r="BU570"/>
      <c r="BV570"/>
      <c r="BW570"/>
      <c r="BX570"/>
      <c r="BY570"/>
      <c r="BZ570"/>
      <c r="CA570"/>
      <c r="CB570"/>
    </row>
    <row r="571" ht="15.0" customHeight="true">
      <c r="A571" s="51" t="s">
        <v>2448</v>
      </c>
      <c r="B571" s="33"/>
      <c r="C571" s="33" t="s">
        <v>6720</v>
      </c>
      <c r="D571" s="33"/>
      <c r="E571" s="33" t="s">
        <v>6721</v>
      </c>
      <c r="F571" s="33"/>
      <c r="G571" s="55" t="s">
        <v>6722</v>
      </c>
      <c r="H571" s="33"/>
      <c r="I571" s="51" t="s">
        <v>6723</v>
      </c>
      <c r="J571" s="33"/>
      <c r="K571" s="51" t="s">
        <v>6724</v>
      </c>
      <c r="L571" s="33" t="s">
        <v>2454</v>
      </c>
      <c r="M571" s="55" t="s">
        <v>5487</v>
      </c>
      <c r="N571" s="55" t="s">
        <v>4573</v>
      </c>
      <c r="O571" s="33" t="s">
        <v>2272</v>
      </c>
      <c r="P571" s="33" t="s">
        <v>2251</v>
      </c>
      <c r="Q571" s="33"/>
      <c r="R571" s="33" t="s">
        <v>2263</v>
      </c>
      <c r="S571" s="56" t="s">
        <v>2277</v>
      </c>
      <c r="T571" s="56"/>
      <c r="U571" s="56"/>
      <c r="V571" s="33" t="s">
        <v>2456</v>
      </c>
      <c r="W571" s="94" t="s">
        <v>2457</v>
      </c>
      <c r="X571" s="94" t="s">
        <v>2458</v>
      </c>
      <c r="Y571" s="51"/>
      <c r="Z571" s="51"/>
      <c r="AA571" s="33" t="s">
        <v>2459</v>
      </c>
      <c r="AB571" s="33" t="s">
        <v>2460</v>
      </c>
      <c r="AC571" s="33"/>
      <c r="AD571" s="33" t="s">
        <v>2254</v>
      </c>
      <c r="AE571" s="33"/>
      <c r="AF571" s="33" t="s">
        <v>2267</v>
      </c>
      <c r="AG571" s="33" t="s">
        <v>2461</v>
      </c>
      <c r="AH571" s="33"/>
      <c r="AI571" s="33"/>
      <c r="AJ571" s="33" t="s">
        <v>6725</v>
      </c>
      <c r="AK571" s="94"/>
      <c r="AL571" s="33" t="s">
        <v>6726</v>
      </c>
      <c r="AM571" s="33"/>
      <c r="AN571" s="33" t="s">
        <v>2588</v>
      </c>
      <c r="AO571" s="51" t="s">
        <v>2589</v>
      </c>
      <c r="AP571" s="51" t="s">
        <v>207</v>
      </c>
      <c r="AQ571" s="33"/>
      <c r="AR571" s="54"/>
      <c r="AS571" s="54"/>
      <c r="AT571" s="54"/>
      <c r="AU571" s="54"/>
      <c r="AV571" s="54"/>
      <c r="AW571" s="54"/>
      <c r="AX571" s="54"/>
      <c r="AY571" s="54"/>
      <c r="AZ571" s="54"/>
      <c r="BA571" s="54"/>
      <c r="BB571" s="54"/>
      <c r="BC571" s="54"/>
      <c r="BD571" s="54" t="s">
        <v>2447</v>
      </c>
      <c r="BE571" s="54"/>
      <c r="BF571" s="54"/>
      <c r="BG571" s="54"/>
      <c r="BH571" s="54"/>
      <c r="BI571" s="54"/>
      <c r="BJ571" s="0"/>
      <c r="BK571" s="0"/>
      <c r="BL571" s="0"/>
      <c r="BM571" s="0"/>
      <c r="BN571" s="0"/>
      <c r="BO571" s="0"/>
      <c r="BP571"/>
      <c r="BQ571"/>
      <c r="BR571"/>
      <c r="BS571"/>
      <c r="BT571"/>
      <c r="BU571"/>
      <c r="BV571"/>
      <c r="BW571"/>
      <c r="BX571"/>
      <c r="BY571"/>
      <c r="BZ571"/>
      <c r="CA571"/>
      <c r="CB571"/>
    </row>
    <row r="572" ht="15.0" customHeight="true">
      <c r="A572" s="51" t="s">
        <v>2448</v>
      </c>
      <c r="B572" s="33"/>
      <c r="C572" s="33" t="s">
        <v>443</v>
      </c>
      <c r="D572" s="33"/>
      <c r="E572" s="33" t="s">
        <v>6727</v>
      </c>
      <c r="F572" s="33"/>
      <c r="G572" s="55" t="s">
        <v>6728</v>
      </c>
      <c r="H572" s="33"/>
      <c r="I572" s="51" t="s">
        <v>6729</v>
      </c>
      <c r="J572" s="33"/>
      <c r="K572" s="51" t="s">
        <v>6730</v>
      </c>
      <c r="L572" s="33" t="s">
        <v>2484</v>
      </c>
      <c r="M572" s="55" t="s">
        <v>6731</v>
      </c>
      <c r="N572" s="55"/>
      <c r="O572" s="33"/>
      <c r="P572" s="33" t="s">
        <v>2251</v>
      </c>
      <c r="Q572" s="33"/>
      <c r="R572" s="33" t="s">
        <v>2263</v>
      </c>
      <c r="S572" s="56" t="s">
        <v>2277</v>
      </c>
      <c r="T572" s="56"/>
      <c r="U572" s="56"/>
      <c r="V572" s="33" t="s">
        <v>2456</v>
      </c>
      <c r="W572" s="94" t="s">
        <v>2457</v>
      </c>
      <c r="X572" s="94" t="s">
        <v>2474</v>
      </c>
      <c r="Y572" s="51"/>
      <c r="Z572" s="51"/>
      <c r="AA572" s="33" t="s">
        <v>2459</v>
      </c>
      <c r="AB572" s="33" t="s">
        <v>2460</v>
      </c>
      <c r="AC572" s="33" t="s">
        <v>2486</v>
      </c>
      <c r="AD572" s="33" t="s">
        <v>2254</v>
      </c>
      <c r="AE572" s="33"/>
      <c r="AF572" s="33" t="s">
        <v>2267</v>
      </c>
      <c r="AG572" s="33" t="s">
        <v>2461</v>
      </c>
      <c r="AH572" s="33"/>
      <c r="AI572" s="33"/>
      <c r="AJ572" s="33" t="s">
        <v>6732</v>
      </c>
      <c r="AK572" s="94"/>
      <c r="AL572" s="33" t="s">
        <v>6733</v>
      </c>
      <c r="AM572" s="33" t="s">
        <v>6734</v>
      </c>
      <c r="AN572" s="33" t="s">
        <v>2465</v>
      </c>
      <c r="AO572" s="51" t="s">
        <v>2820</v>
      </c>
      <c r="AP572" s="51" t="s">
        <v>207</v>
      </c>
      <c r="AQ572" s="33"/>
      <c r="AR572" s="54"/>
      <c r="AS572" s="54"/>
      <c r="AT572" s="54"/>
      <c r="AU572" s="54"/>
      <c r="AV572" s="54"/>
      <c r="AW572" s="54"/>
      <c r="AX572" s="54"/>
      <c r="AY572" s="54"/>
      <c r="AZ572" s="54"/>
      <c r="BA572" s="54"/>
      <c r="BB572" s="54"/>
      <c r="BC572" s="54"/>
      <c r="BD572" s="54" t="s">
        <v>2447</v>
      </c>
      <c r="BE572" s="54"/>
      <c r="BF572" s="54"/>
      <c r="BG572" s="54"/>
      <c r="BH572" s="54"/>
      <c r="BI572" s="54"/>
      <c r="BJ572" s="0"/>
      <c r="BK572" s="0"/>
      <c r="BL572" s="0"/>
      <c r="BM572" s="0"/>
      <c r="BN572" s="0"/>
      <c r="BO572" s="0"/>
      <c r="BP572"/>
      <c r="BQ572"/>
      <c r="BR572"/>
      <c r="BS572"/>
      <c r="BT572"/>
      <c r="BU572"/>
      <c r="BV572"/>
      <c r="BW572"/>
      <c r="BX572"/>
      <c r="BY572"/>
      <c r="BZ572"/>
      <c r="CA572"/>
      <c r="CB572"/>
    </row>
    <row r="573" ht="15.0" customHeight="true">
      <c r="A573" s="51" t="s">
        <v>2448</v>
      </c>
      <c r="B573" s="33"/>
      <c r="C573" s="33" t="s">
        <v>6735</v>
      </c>
      <c r="D573" s="33"/>
      <c r="E573" s="33" t="s">
        <v>6736</v>
      </c>
      <c r="F573" s="33"/>
      <c r="G573" s="55" t="s">
        <v>5756</v>
      </c>
      <c r="H573" s="33"/>
      <c r="I573" s="51" t="s">
        <v>6737</v>
      </c>
      <c r="J573" s="33"/>
      <c r="K573" s="51" t="s">
        <v>6738</v>
      </c>
      <c r="L573" s="33" t="s">
        <v>2484</v>
      </c>
      <c r="M573" s="55" t="s">
        <v>2936</v>
      </c>
      <c r="N573" s="55"/>
      <c r="O573" s="33"/>
      <c r="P573" s="33" t="s">
        <v>2251</v>
      </c>
      <c r="Q573" s="33"/>
      <c r="R573" s="33" t="s">
        <v>2263</v>
      </c>
      <c r="S573" s="56" t="s">
        <v>2277</v>
      </c>
      <c r="T573" s="56"/>
      <c r="U573" s="56"/>
      <c r="V573" s="33" t="s">
        <v>2456</v>
      </c>
      <c r="W573" s="94" t="s">
        <v>2457</v>
      </c>
      <c r="X573" s="94" t="s">
        <v>2474</v>
      </c>
      <c r="Y573" s="51"/>
      <c r="Z573" s="51"/>
      <c r="AA573" s="33" t="s">
        <v>2459</v>
      </c>
      <c r="AB573" s="33" t="s">
        <v>2460</v>
      </c>
      <c r="AC573" s="33" t="s">
        <v>2486</v>
      </c>
      <c r="AD573" s="33" t="s">
        <v>2254</v>
      </c>
      <c r="AE573" s="33"/>
      <c r="AF573" s="33" t="s">
        <v>2267</v>
      </c>
      <c r="AG573" s="33" t="s">
        <v>2461</v>
      </c>
      <c r="AH573" s="33"/>
      <c r="AI573" s="33"/>
      <c r="AJ573" s="33" t="s">
        <v>6739</v>
      </c>
      <c r="AK573" s="94"/>
      <c r="AL573" s="33" t="s">
        <v>6740</v>
      </c>
      <c r="AM573" s="33"/>
      <c r="AN573" s="33" t="s">
        <v>6741</v>
      </c>
      <c r="AO573" s="51" t="s">
        <v>6742</v>
      </c>
      <c r="AP573" s="51" t="s">
        <v>207</v>
      </c>
      <c r="AQ573" s="33"/>
      <c r="AR573" s="54"/>
      <c r="AS573" s="54"/>
      <c r="AT573" s="54"/>
      <c r="AU573" s="54"/>
      <c r="AV573" s="54"/>
      <c r="AW573" s="54"/>
      <c r="AX573" s="54"/>
      <c r="AY573" s="54"/>
      <c r="AZ573" s="54"/>
      <c r="BA573" s="54"/>
      <c r="BB573" s="54"/>
      <c r="BC573" s="54"/>
      <c r="BD573" s="54" t="s">
        <v>2447</v>
      </c>
      <c r="BE573" s="54"/>
      <c r="BF573" s="54"/>
      <c r="BG573" s="54"/>
      <c r="BH573" s="54"/>
      <c r="BI573" s="54"/>
      <c r="BJ573" s="0"/>
      <c r="BK573" s="0"/>
      <c r="BL573" s="0"/>
      <c r="BM573" s="0"/>
      <c r="BN573" s="0"/>
      <c r="BO573" s="0"/>
      <c r="BP573"/>
      <c r="BQ573"/>
      <c r="BR573"/>
      <c r="BS573"/>
      <c r="BT573"/>
      <c r="BU573"/>
      <c r="BV573"/>
      <c r="BW573"/>
      <c r="BX573"/>
      <c r="BY573"/>
      <c r="BZ573"/>
      <c r="CA573"/>
      <c r="CB573"/>
    </row>
    <row r="574" ht="15.0" customHeight="true">
      <c r="A574" s="51" t="s">
        <v>2448</v>
      </c>
      <c r="B574" s="33"/>
      <c r="C574" s="33" t="s">
        <v>6743</v>
      </c>
      <c r="D574" s="33"/>
      <c r="E574" s="33" t="s">
        <v>6744</v>
      </c>
      <c r="F574" s="33"/>
      <c r="G574" s="55" t="s">
        <v>6745</v>
      </c>
      <c r="H574" s="33"/>
      <c r="I574" s="51" t="s">
        <v>6746</v>
      </c>
      <c r="J574" s="33"/>
      <c r="K574" s="51" t="s">
        <v>6747</v>
      </c>
      <c r="L574" s="33" t="s">
        <v>2454</v>
      </c>
      <c r="M574" s="55" t="s">
        <v>2968</v>
      </c>
      <c r="N574" s="55" t="s">
        <v>2936</v>
      </c>
      <c r="O574" s="33" t="s">
        <v>2272</v>
      </c>
      <c r="P574" s="33" t="s">
        <v>2251</v>
      </c>
      <c r="Q574" s="33"/>
      <c r="R574" s="33" t="s">
        <v>2263</v>
      </c>
      <c r="S574" s="56" t="s">
        <v>2277</v>
      </c>
      <c r="T574" s="56"/>
      <c r="U574" s="56"/>
      <c r="V574" s="33" t="s">
        <v>2456</v>
      </c>
      <c r="W574" s="94" t="s">
        <v>2457</v>
      </c>
      <c r="X574" s="94" t="s">
        <v>2474</v>
      </c>
      <c r="Y574" s="51"/>
      <c r="Z574" s="51"/>
      <c r="AA574" s="33" t="s">
        <v>2459</v>
      </c>
      <c r="AB574" s="33" t="s">
        <v>2460</v>
      </c>
      <c r="AC574" s="33"/>
      <c r="AD574" s="33" t="s">
        <v>2254</v>
      </c>
      <c r="AE574" s="33"/>
      <c r="AF574" s="33" t="s">
        <v>2267</v>
      </c>
      <c r="AG574" s="33" t="s">
        <v>2461</v>
      </c>
      <c r="AH574" s="33"/>
      <c r="AI574" s="33"/>
      <c r="AJ574" s="33" t="s">
        <v>6748</v>
      </c>
      <c r="AK574" s="94"/>
      <c r="AL574" s="33" t="s">
        <v>3782</v>
      </c>
      <c r="AM574" s="33" t="s">
        <v>6749</v>
      </c>
      <c r="AN574" s="33" t="s">
        <v>2588</v>
      </c>
      <c r="AO574" s="51" t="s">
        <v>2911</v>
      </c>
      <c r="AP574" s="51" t="s">
        <v>207</v>
      </c>
      <c r="AQ574" s="33"/>
      <c r="AR574" s="54"/>
      <c r="AS574" s="54"/>
      <c r="AT574" s="54"/>
      <c r="AU574" s="54"/>
      <c r="AV574" s="54"/>
      <c r="AW574" s="54"/>
      <c r="AX574" s="54"/>
      <c r="AY574" s="54"/>
      <c r="AZ574" s="54"/>
      <c r="BA574" s="54"/>
      <c r="BB574" s="54"/>
      <c r="BC574" s="54"/>
      <c r="BD574" s="54" t="s">
        <v>2447</v>
      </c>
      <c r="BE574" s="54"/>
      <c r="BF574" s="54"/>
      <c r="BG574" s="54"/>
      <c r="BH574" s="54"/>
      <c r="BI574" s="54"/>
      <c r="BJ574" s="0"/>
      <c r="BK574" s="0"/>
      <c r="BL574" s="0"/>
      <c r="BM574" s="0"/>
      <c r="BN574" s="0"/>
      <c r="BO574" s="0"/>
      <c r="BP574"/>
      <c r="BQ574"/>
      <c r="BR574"/>
      <c r="BS574"/>
      <c r="BT574"/>
      <c r="BU574"/>
      <c r="BV574"/>
      <c r="BW574"/>
      <c r="BX574"/>
      <c r="BY574"/>
      <c r="BZ574"/>
      <c r="CA574"/>
      <c r="CB574"/>
    </row>
    <row r="575" ht="15.0" customHeight="true">
      <c r="A575" s="51" t="s">
        <v>2448</v>
      </c>
      <c r="B575" s="33"/>
      <c r="C575" s="33" t="s">
        <v>2838</v>
      </c>
      <c r="D575" s="33"/>
      <c r="E575" s="33" t="s">
        <v>5408</v>
      </c>
      <c r="F575" s="33"/>
      <c r="G575" s="55" t="s">
        <v>6750</v>
      </c>
      <c r="H575" s="33"/>
      <c r="I575" s="51" t="s">
        <v>6751</v>
      </c>
      <c r="J575" s="33"/>
      <c r="K575" s="51" t="s">
        <v>6752</v>
      </c>
      <c r="L575" s="33" t="s">
        <v>2454</v>
      </c>
      <c r="M575" s="55" t="s">
        <v>3742</v>
      </c>
      <c r="N575" s="55" t="s">
        <v>2835</v>
      </c>
      <c r="O575" s="33" t="s">
        <v>2272</v>
      </c>
      <c r="P575" s="33" t="s">
        <v>2251</v>
      </c>
      <c r="Q575" s="33"/>
      <c r="R575" s="33" t="s">
        <v>2263</v>
      </c>
      <c r="S575" s="56" t="s">
        <v>2277</v>
      </c>
      <c r="T575" s="56"/>
      <c r="U575" s="56"/>
      <c r="V575" s="33" t="s">
        <v>2456</v>
      </c>
      <c r="W575" s="94" t="s">
        <v>2457</v>
      </c>
      <c r="X575" s="94" t="s">
        <v>2474</v>
      </c>
      <c r="Y575" s="51"/>
      <c r="Z575" s="51"/>
      <c r="AA575" s="33" t="s">
        <v>2459</v>
      </c>
      <c r="AB575" s="33" t="s">
        <v>2460</v>
      </c>
      <c r="AC575" s="33"/>
      <c r="AD575" s="33" t="s">
        <v>2254</v>
      </c>
      <c r="AE575" s="33"/>
      <c r="AF575" s="33" t="s">
        <v>2267</v>
      </c>
      <c r="AG575" s="33" t="s">
        <v>2461</v>
      </c>
      <c r="AH575" s="33"/>
      <c r="AI575" s="33"/>
      <c r="AJ575" s="33" t="s">
        <v>6753</v>
      </c>
      <c r="AK575" s="94"/>
      <c r="AL575" s="33" t="s">
        <v>6754</v>
      </c>
      <c r="AM575" s="33" t="s">
        <v>6755</v>
      </c>
      <c r="AN575" s="33" t="s">
        <v>2465</v>
      </c>
      <c r="AO575" s="51" t="s">
        <v>2466</v>
      </c>
      <c r="AP575" s="51" t="s">
        <v>207</v>
      </c>
      <c r="AQ575" s="33"/>
      <c r="AR575" s="54"/>
      <c r="AS575" s="54"/>
      <c r="AT575" s="54"/>
      <c r="AU575" s="54"/>
      <c r="AV575" s="54"/>
      <c r="AW575" s="54"/>
      <c r="AX575" s="54"/>
      <c r="AY575" s="54"/>
      <c r="AZ575" s="54"/>
      <c r="BA575" s="54"/>
      <c r="BB575" s="54"/>
      <c r="BC575" s="54"/>
      <c r="BD575" s="54" t="s">
        <v>2447</v>
      </c>
      <c r="BE575" s="54"/>
      <c r="BF575" s="54"/>
      <c r="BG575" s="54"/>
      <c r="BH575" s="54"/>
      <c r="BI575" s="54"/>
      <c r="BJ575" s="0"/>
      <c r="BK575" s="0"/>
      <c r="BL575" s="0"/>
      <c r="BM575" s="0"/>
      <c r="BN575" s="0"/>
      <c r="BO575" s="0"/>
      <c r="BP575"/>
      <c r="BQ575"/>
      <c r="BR575"/>
      <c r="BS575"/>
      <c r="BT575"/>
      <c r="BU575"/>
      <c r="BV575"/>
      <c r="BW575"/>
      <c r="BX575"/>
      <c r="BY575"/>
      <c r="BZ575"/>
      <c r="CA575"/>
      <c r="CB575"/>
    </row>
    <row r="576" ht="15.0" customHeight="true">
      <c r="A576" s="51" t="s">
        <v>2448</v>
      </c>
      <c r="B576" s="33"/>
      <c r="C576" s="33" t="s">
        <v>6756</v>
      </c>
      <c r="D576" s="33"/>
      <c r="E576" s="33" t="s">
        <v>6757</v>
      </c>
      <c r="F576" s="33"/>
      <c r="G576" s="55" t="s">
        <v>6758</v>
      </c>
      <c r="H576" s="33"/>
      <c r="I576" s="51" t="s">
        <v>6759</v>
      </c>
      <c r="J576" s="33"/>
      <c r="K576" s="51" t="s">
        <v>6760</v>
      </c>
      <c r="L576" s="33" t="s">
        <v>2454</v>
      </c>
      <c r="M576" s="55" t="s">
        <v>6761</v>
      </c>
      <c r="N576" s="55" t="s">
        <v>6762</v>
      </c>
      <c r="O576" s="33" t="s">
        <v>2272</v>
      </c>
      <c r="P576" s="33" t="s">
        <v>2251</v>
      </c>
      <c r="Q576" s="33"/>
      <c r="R576" s="33" t="s">
        <v>2263</v>
      </c>
      <c r="S576" s="56" t="s">
        <v>2277</v>
      </c>
      <c r="T576" s="56"/>
      <c r="U576" s="56"/>
      <c r="V576" s="33" t="s">
        <v>2456</v>
      </c>
      <c r="W576" s="94" t="s">
        <v>2457</v>
      </c>
      <c r="X576" s="94" t="s">
        <v>2458</v>
      </c>
      <c r="Y576" s="51"/>
      <c r="Z576" s="51"/>
      <c r="AA576" s="33" t="s">
        <v>2459</v>
      </c>
      <c r="AB576" s="33" t="s">
        <v>2460</v>
      </c>
      <c r="AC576" s="33"/>
      <c r="AD576" s="33" t="s">
        <v>2254</v>
      </c>
      <c r="AE576" s="33"/>
      <c r="AF576" s="33" t="s">
        <v>2267</v>
      </c>
      <c r="AG576" s="33" t="s">
        <v>2461</v>
      </c>
      <c r="AH576" s="33"/>
      <c r="AI576" s="33"/>
      <c r="AJ576" s="33" t="s">
        <v>6763</v>
      </c>
      <c r="AK576" s="94"/>
      <c r="AL576" s="33" t="s">
        <v>6764</v>
      </c>
      <c r="AM576" s="33" t="s">
        <v>6765</v>
      </c>
      <c r="AN576" s="33" t="s">
        <v>2588</v>
      </c>
      <c r="AO576" s="51" t="s">
        <v>2628</v>
      </c>
      <c r="AP576" s="51" t="s">
        <v>207</v>
      </c>
      <c r="AQ576" s="33"/>
      <c r="AR576" s="54"/>
      <c r="AS576" s="54"/>
      <c r="AT576" s="54"/>
      <c r="AU576" s="54"/>
      <c r="AV576" s="54"/>
      <c r="AW576" s="54"/>
      <c r="AX576" s="54"/>
      <c r="AY576" s="54"/>
      <c r="AZ576" s="54"/>
      <c r="BA576" s="54"/>
      <c r="BB576" s="54"/>
      <c r="BC576" s="54"/>
      <c r="BD576" s="54" t="s">
        <v>2447</v>
      </c>
      <c r="BE576" s="54"/>
      <c r="BF576" s="54"/>
      <c r="BG576" s="54"/>
      <c r="BH576" s="54"/>
      <c r="BI576" s="54"/>
      <c r="BJ576" s="0"/>
      <c r="BK576" s="0"/>
      <c r="BL576" s="0"/>
      <c r="BM576" s="0"/>
      <c r="BN576" s="0"/>
      <c r="BO576" s="0"/>
      <c r="BP576"/>
      <c r="BQ576"/>
      <c r="BR576"/>
      <c r="BS576"/>
      <c r="BT576"/>
      <c r="BU576"/>
      <c r="BV576"/>
      <c r="BW576"/>
      <c r="BX576"/>
      <c r="BY576"/>
      <c r="BZ576"/>
      <c r="CA576"/>
      <c r="CB576"/>
    </row>
    <row r="577" ht="15.0" customHeight="true">
      <c r="A577" s="51" t="s">
        <v>2448</v>
      </c>
      <c r="B577" s="33"/>
      <c r="C577" s="33" t="s">
        <v>6766</v>
      </c>
      <c r="D577" s="33"/>
      <c r="E577" s="33" t="s">
        <v>6767</v>
      </c>
      <c r="F577" s="33"/>
      <c r="G577" s="55" t="s">
        <v>6768</v>
      </c>
      <c r="H577" s="33"/>
      <c r="I577" s="51" t="s">
        <v>6769</v>
      </c>
      <c r="J577" s="33"/>
      <c r="K577" s="51" t="s">
        <v>6770</v>
      </c>
      <c r="L577" s="33" t="s">
        <v>2454</v>
      </c>
      <c r="M577" s="55" t="s">
        <v>2554</v>
      </c>
      <c r="N577" s="55" t="s">
        <v>2554</v>
      </c>
      <c r="O577" s="33" t="s">
        <v>2272</v>
      </c>
      <c r="P577" s="33" t="s">
        <v>2251</v>
      </c>
      <c r="Q577" s="33"/>
      <c r="R577" s="33" t="s">
        <v>2263</v>
      </c>
      <c r="S577" s="56" t="s">
        <v>2277</v>
      </c>
      <c r="T577" s="56"/>
      <c r="U577" s="56"/>
      <c r="V577" s="33" t="s">
        <v>2456</v>
      </c>
      <c r="W577" s="94" t="s">
        <v>2457</v>
      </c>
      <c r="X577" s="94" t="s">
        <v>2474</v>
      </c>
      <c r="Y577" s="51"/>
      <c r="Z577" s="51"/>
      <c r="AA577" s="33" t="s">
        <v>2459</v>
      </c>
      <c r="AB577" s="33" t="s">
        <v>2460</v>
      </c>
      <c r="AC577" s="33"/>
      <c r="AD577" s="33" t="s">
        <v>2254</v>
      </c>
      <c r="AE577" s="33"/>
      <c r="AF577" s="33" t="s">
        <v>2267</v>
      </c>
      <c r="AG577" s="33" t="s">
        <v>2461</v>
      </c>
      <c r="AH577" s="33"/>
      <c r="AI577" s="33"/>
      <c r="AJ577" s="33" t="s">
        <v>6771</v>
      </c>
      <c r="AK577" s="94"/>
      <c r="AL577" s="33" t="s">
        <v>6772</v>
      </c>
      <c r="AM577" s="33"/>
      <c r="AN577" s="33" t="s">
        <v>2465</v>
      </c>
      <c r="AO577" s="51" t="s">
        <v>2489</v>
      </c>
      <c r="AP577" s="51" t="s">
        <v>207</v>
      </c>
      <c r="AQ577" s="33"/>
      <c r="AR577" s="54"/>
      <c r="AS577" s="54"/>
      <c r="AT577" s="54"/>
      <c r="AU577" s="54"/>
      <c r="AV577" s="54"/>
      <c r="AW577" s="54"/>
      <c r="AX577" s="54"/>
      <c r="AY577" s="54"/>
      <c r="AZ577" s="54"/>
      <c r="BA577" s="54"/>
      <c r="BB577" s="54"/>
      <c r="BC577" s="54"/>
      <c r="BD577" s="54" t="s">
        <v>2447</v>
      </c>
      <c r="BE577" s="54"/>
      <c r="BF577" s="54"/>
      <c r="BG577" s="54"/>
      <c r="BH577" s="54"/>
      <c r="BI577" s="54"/>
      <c r="BJ577" s="0"/>
      <c r="BK577" s="0"/>
      <c r="BL577" s="0"/>
      <c r="BM577" s="0"/>
      <c r="BN577" s="0"/>
      <c r="BO577" s="0"/>
      <c r="BP577"/>
      <c r="BQ577"/>
      <c r="BR577"/>
      <c r="BS577"/>
      <c r="BT577"/>
      <c r="BU577"/>
      <c r="BV577"/>
      <c r="BW577"/>
      <c r="BX577"/>
      <c r="BY577"/>
      <c r="BZ577"/>
      <c r="CA577"/>
      <c r="CB577"/>
    </row>
    <row r="578" ht="15.0" customHeight="true">
      <c r="A578" s="51" t="s">
        <v>2448</v>
      </c>
      <c r="B578" s="33"/>
      <c r="C578" s="33" t="s">
        <v>2862</v>
      </c>
      <c r="D578" s="33"/>
      <c r="E578" s="33" t="s">
        <v>6773</v>
      </c>
      <c r="F578" s="33"/>
      <c r="G578" s="55" t="s">
        <v>6774</v>
      </c>
      <c r="H578" s="33"/>
      <c r="I578" s="51" t="s">
        <v>6775</v>
      </c>
      <c r="J578" s="33"/>
      <c r="K578" s="51" t="s">
        <v>6776</v>
      </c>
      <c r="L578" s="33" t="s">
        <v>2484</v>
      </c>
      <c r="M578" s="55" t="s">
        <v>3367</v>
      </c>
      <c r="N578" s="55"/>
      <c r="O578" s="33"/>
      <c r="P578" s="33" t="s">
        <v>2251</v>
      </c>
      <c r="Q578" s="33"/>
      <c r="R578" s="33" t="s">
        <v>2263</v>
      </c>
      <c r="S578" s="56" t="s">
        <v>2277</v>
      </c>
      <c r="T578" s="56"/>
      <c r="U578" s="56"/>
      <c r="V578" s="33" t="s">
        <v>2456</v>
      </c>
      <c r="W578" s="94" t="s">
        <v>2457</v>
      </c>
      <c r="X578" s="94" t="s">
        <v>2474</v>
      </c>
      <c r="Y578" s="51"/>
      <c r="Z578" s="51"/>
      <c r="AA578" s="33" t="s">
        <v>2459</v>
      </c>
      <c r="AB578" s="33" t="s">
        <v>2460</v>
      </c>
      <c r="AC578" s="33" t="s">
        <v>2486</v>
      </c>
      <c r="AD578" s="33" t="s">
        <v>2254</v>
      </c>
      <c r="AE578" s="33"/>
      <c r="AF578" s="33" t="s">
        <v>2267</v>
      </c>
      <c r="AG578" s="33" t="s">
        <v>2461</v>
      </c>
      <c r="AH578" s="33"/>
      <c r="AI578" s="33" t="s">
        <v>6777</v>
      </c>
      <c r="AJ578" s="33" t="s">
        <v>6777</v>
      </c>
      <c r="AK578" s="94"/>
      <c r="AL578" s="33" t="s">
        <v>6778</v>
      </c>
      <c r="AM578" s="33"/>
      <c r="AN578" s="33" t="s">
        <v>4029</v>
      </c>
      <c r="AO578" s="51" t="s">
        <v>4030</v>
      </c>
      <c r="AP578" s="51" t="s">
        <v>207</v>
      </c>
      <c r="AQ578" s="33"/>
      <c r="AR578" s="54"/>
      <c r="AS578" s="54"/>
      <c r="AT578" s="54"/>
      <c r="AU578" s="54"/>
      <c r="AV578" s="54"/>
      <c r="AW578" s="54"/>
      <c r="AX578" s="54"/>
      <c r="AY578" s="54"/>
      <c r="AZ578" s="54"/>
      <c r="BA578" s="54"/>
      <c r="BB578" s="54"/>
      <c r="BC578" s="54"/>
      <c r="BD578" s="54" t="s">
        <v>2447</v>
      </c>
      <c r="BE578" s="54"/>
      <c r="BF578" s="54"/>
      <c r="BG578" s="54"/>
      <c r="BH578" s="54"/>
      <c r="BI578" s="54"/>
      <c r="BJ578" s="0"/>
      <c r="BK578" s="0"/>
      <c r="BL578" s="0"/>
      <c r="BM578" s="0"/>
      <c r="BN578" s="0"/>
      <c r="BO578" s="0"/>
      <c r="BP578"/>
      <c r="BQ578"/>
      <c r="BR578"/>
      <c r="BS578"/>
      <c r="BT578"/>
      <c r="BU578"/>
      <c r="BV578"/>
      <c r="BW578"/>
      <c r="BX578"/>
      <c r="BY578"/>
      <c r="BZ578"/>
      <c r="CA578"/>
      <c r="CB578"/>
    </row>
    <row r="579" ht="15.0" customHeight="true">
      <c r="A579" s="51" t="s">
        <v>2448</v>
      </c>
      <c r="B579" s="33"/>
      <c r="C579" s="33" t="s">
        <v>6631</v>
      </c>
      <c r="D579" s="33"/>
      <c r="E579" s="33" t="s">
        <v>6779</v>
      </c>
      <c r="F579" s="33"/>
      <c r="G579" s="55" t="s">
        <v>6780</v>
      </c>
      <c r="H579" s="33"/>
      <c r="I579" s="51" t="s">
        <v>6781</v>
      </c>
      <c r="J579" s="33"/>
      <c r="K579" s="51" t="s">
        <v>6782</v>
      </c>
      <c r="L579" s="33" t="s">
        <v>2454</v>
      </c>
      <c r="M579" s="55" t="s">
        <v>6783</v>
      </c>
      <c r="N579" s="55" t="s">
        <v>5634</v>
      </c>
      <c r="O579" s="33" t="s">
        <v>2272</v>
      </c>
      <c r="P579" s="33" t="s">
        <v>2251</v>
      </c>
      <c r="Q579" s="33"/>
      <c r="R579" s="33" t="s">
        <v>2263</v>
      </c>
      <c r="S579" s="56" t="s">
        <v>2277</v>
      </c>
      <c r="T579" s="56"/>
      <c r="U579" s="56"/>
      <c r="V579" s="33" t="s">
        <v>2456</v>
      </c>
      <c r="W579" s="94" t="s">
        <v>2457</v>
      </c>
      <c r="X579" s="94" t="s">
        <v>2474</v>
      </c>
      <c r="Y579" s="51"/>
      <c r="Z579" s="51"/>
      <c r="AA579" s="33" t="s">
        <v>2459</v>
      </c>
      <c r="AB579" s="33" t="s">
        <v>2460</v>
      </c>
      <c r="AC579" s="33"/>
      <c r="AD579" s="33" t="s">
        <v>2254</v>
      </c>
      <c r="AE579" s="33"/>
      <c r="AF579" s="33" t="s">
        <v>2267</v>
      </c>
      <c r="AG579" s="33" t="s">
        <v>2461</v>
      </c>
      <c r="AH579" s="33"/>
      <c r="AI579" s="33"/>
      <c r="AJ579" s="33" t="s">
        <v>6784</v>
      </c>
      <c r="AK579" s="94"/>
      <c r="AL579" s="33" t="s">
        <v>6785</v>
      </c>
      <c r="AM579" s="33"/>
      <c r="AN579" s="33" t="s">
        <v>2465</v>
      </c>
      <c r="AO579" s="51" t="s">
        <v>2538</v>
      </c>
      <c r="AP579" s="51" t="s">
        <v>207</v>
      </c>
      <c r="AQ579" s="33"/>
      <c r="AR579" s="54"/>
      <c r="AS579" s="54"/>
      <c r="AT579" s="54"/>
      <c r="AU579" s="54"/>
      <c r="AV579" s="54"/>
      <c r="AW579" s="54"/>
      <c r="AX579" s="54"/>
      <c r="AY579" s="54"/>
      <c r="AZ579" s="54"/>
      <c r="BA579" s="54"/>
      <c r="BB579" s="54"/>
      <c r="BC579" s="54"/>
      <c r="BD579" s="54" t="s">
        <v>2447</v>
      </c>
      <c r="BE579" s="54"/>
      <c r="BF579" s="54"/>
      <c r="BG579" s="54"/>
      <c r="BH579" s="54"/>
      <c r="BI579" s="54"/>
      <c r="BJ579" s="0"/>
      <c r="BK579" s="0"/>
      <c r="BL579" s="0"/>
      <c r="BM579" s="0"/>
      <c r="BN579" s="0"/>
      <c r="BO579" s="0"/>
      <c r="BP579"/>
      <c r="BQ579"/>
      <c r="BR579"/>
      <c r="BS579"/>
      <c r="BT579"/>
      <c r="BU579"/>
      <c r="BV579"/>
      <c r="BW579"/>
      <c r="BX579"/>
      <c r="BY579"/>
      <c r="BZ579"/>
      <c r="CA579"/>
      <c r="CB579"/>
    </row>
    <row r="580" ht="15.0" customHeight="true">
      <c r="A580" s="51" t="s">
        <v>2448</v>
      </c>
      <c r="B580" s="33"/>
      <c r="C580" s="33" t="s">
        <v>3131</v>
      </c>
      <c r="D580" s="33"/>
      <c r="E580" s="33" t="s">
        <v>3909</v>
      </c>
      <c r="F580" s="33"/>
      <c r="G580" s="55" t="s">
        <v>6786</v>
      </c>
      <c r="H580" s="33"/>
      <c r="I580" s="51" t="s">
        <v>6787</v>
      </c>
      <c r="J580" s="33"/>
      <c r="K580" s="51" t="s">
        <v>6788</v>
      </c>
      <c r="L580" s="33" t="s">
        <v>2454</v>
      </c>
      <c r="M580" s="55" t="s">
        <v>3662</v>
      </c>
      <c r="N580" s="55" t="s">
        <v>2606</v>
      </c>
      <c r="O580" s="33" t="s">
        <v>2272</v>
      </c>
      <c r="P580" s="33" t="s">
        <v>2251</v>
      </c>
      <c r="Q580" s="33"/>
      <c r="R580" s="33" t="s">
        <v>2263</v>
      </c>
      <c r="S580" s="56" t="s">
        <v>2277</v>
      </c>
      <c r="T580" s="56"/>
      <c r="U580" s="56"/>
      <c r="V580" s="33" t="s">
        <v>2456</v>
      </c>
      <c r="W580" s="94" t="s">
        <v>2457</v>
      </c>
      <c r="X580" s="94" t="s">
        <v>2474</v>
      </c>
      <c r="Y580" s="51"/>
      <c r="Z580" s="51"/>
      <c r="AA580" s="33" t="s">
        <v>2459</v>
      </c>
      <c r="AB580" s="33" t="s">
        <v>2460</v>
      </c>
      <c r="AC580" s="33"/>
      <c r="AD580" s="33" t="s">
        <v>2254</v>
      </c>
      <c r="AE580" s="33"/>
      <c r="AF580" s="33" t="s">
        <v>2267</v>
      </c>
      <c r="AG580" s="33" t="s">
        <v>2461</v>
      </c>
      <c r="AH580" s="33"/>
      <c r="AI580" s="33"/>
      <c r="AJ580" s="33" t="s">
        <v>6789</v>
      </c>
      <c r="AK580" s="94"/>
      <c r="AL580" s="33" t="s">
        <v>6790</v>
      </c>
      <c r="AM580" s="33" t="s">
        <v>5340</v>
      </c>
      <c r="AN580" s="33" t="s">
        <v>3031</v>
      </c>
      <c r="AO580" s="51" t="s">
        <v>3572</v>
      </c>
      <c r="AP580" s="51" t="s">
        <v>207</v>
      </c>
      <c r="AQ580" s="33"/>
      <c r="AR580" s="54"/>
      <c r="AS580" s="54"/>
      <c r="AT580" s="54"/>
      <c r="AU580" s="54"/>
      <c r="AV580" s="54"/>
      <c r="AW580" s="54"/>
      <c r="AX580" s="54"/>
      <c r="AY580" s="54"/>
      <c r="AZ580" s="54"/>
      <c r="BA580" s="54"/>
      <c r="BB580" s="54"/>
      <c r="BC580" s="54"/>
      <c r="BD580" s="54" t="s">
        <v>2447</v>
      </c>
      <c r="BE580" s="54"/>
      <c r="BF580" s="54"/>
      <c r="BG580" s="54"/>
      <c r="BH580" s="54"/>
      <c r="BI580" s="54"/>
      <c r="BJ580" s="0"/>
      <c r="BK580" s="0"/>
      <c r="BL580" s="0"/>
      <c r="BM580" s="0"/>
      <c r="BN580" s="0"/>
      <c r="BO580" s="0"/>
      <c r="BP580"/>
      <c r="BQ580"/>
      <c r="BR580"/>
      <c r="BS580"/>
      <c r="BT580"/>
      <c r="BU580"/>
      <c r="BV580"/>
      <c r="BW580"/>
      <c r="BX580"/>
      <c r="BY580"/>
      <c r="BZ580"/>
      <c r="CA580"/>
      <c r="CB580"/>
    </row>
    <row r="581" ht="15.0" customHeight="true">
      <c r="A581" s="51" t="s">
        <v>2448</v>
      </c>
      <c r="B581" s="33"/>
      <c r="C581" s="33" t="s">
        <v>6791</v>
      </c>
      <c r="D581" s="33"/>
      <c r="E581" s="33" t="s">
        <v>6792</v>
      </c>
      <c r="F581" s="33"/>
      <c r="G581" s="55" t="s">
        <v>6793</v>
      </c>
      <c r="H581" s="33"/>
      <c r="I581" s="51" t="s">
        <v>6794</v>
      </c>
      <c r="J581" s="33"/>
      <c r="K581" s="51" t="s">
        <v>6795</v>
      </c>
      <c r="L581" s="33" t="s">
        <v>2454</v>
      </c>
      <c r="M581" s="55" t="s">
        <v>3092</v>
      </c>
      <c r="N581" s="55" t="s">
        <v>5358</v>
      </c>
      <c r="O581" s="33" t="s">
        <v>2272</v>
      </c>
      <c r="P581" s="33" t="s">
        <v>2251</v>
      </c>
      <c r="Q581" s="33"/>
      <c r="R581" s="33" t="s">
        <v>2263</v>
      </c>
      <c r="S581" s="56" t="s">
        <v>2277</v>
      </c>
      <c r="T581" s="56"/>
      <c r="U581" s="56"/>
      <c r="V581" s="33" t="s">
        <v>2456</v>
      </c>
      <c r="W581" s="94" t="s">
        <v>2457</v>
      </c>
      <c r="X581" s="94" t="s">
        <v>2474</v>
      </c>
      <c r="Y581" s="51"/>
      <c r="Z581" s="51"/>
      <c r="AA581" s="33" t="s">
        <v>2459</v>
      </c>
      <c r="AB581" s="33" t="s">
        <v>2460</v>
      </c>
      <c r="AC581" s="33"/>
      <c r="AD581" s="33" t="s">
        <v>2254</v>
      </c>
      <c r="AE581" s="33"/>
      <c r="AF581" s="33" t="s">
        <v>2267</v>
      </c>
      <c r="AG581" s="33" t="s">
        <v>2461</v>
      </c>
      <c r="AH581" s="33"/>
      <c r="AI581" s="33"/>
      <c r="AJ581" s="33" t="s">
        <v>6796</v>
      </c>
      <c r="AK581" s="94"/>
      <c r="AL581" s="33" t="s">
        <v>6797</v>
      </c>
      <c r="AM581" s="33"/>
      <c r="AN581" s="33" t="s">
        <v>2465</v>
      </c>
      <c r="AO581" s="51" t="s">
        <v>2489</v>
      </c>
      <c r="AP581" s="51" t="s">
        <v>207</v>
      </c>
      <c r="AQ581" s="33"/>
      <c r="AR581" s="54"/>
      <c r="AS581" s="54"/>
      <c r="AT581" s="54"/>
      <c r="AU581" s="54"/>
      <c r="AV581" s="54"/>
      <c r="AW581" s="54"/>
      <c r="AX581" s="54"/>
      <c r="AY581" s="54"/>
      <c r="AZ581" s="54"/>
      <c r="BA581" s="54"/>
      <c r="BB581" s="54"/>
      <c r="BC581" s="54"/>
      <c r="BD581" s="54" t="s">
        <v>2447</v>
      </c>
      <c r="BE581" s="54"/>
      <c r="BF581" s="54"/>
      <c r="BG581" s="54"/>
      <c r="BH581" s="54"/>
      <c r="BI581" s="54"/>
      <c r="BJ581" s="0"/>
      <c r="BK581" s="0"/>
      <c r="BL581" s="0"/>
      <c r="BM581" s="0"/>
      <c r="BN581" s="0"/>
      <c r="BO581" s="0"/>
      <c r="BP581"/>
      <c r="BQ581"/>
      <c r="BR581"/>
      <c r="BS581"/>
      <c r="BT581"/>
      <c r="BU581"/>
      <c r="BV581"/>
      <c r="BW581"/>
      <c r="BX581"/>
      <c r="BY581"/>
      <c r="BZ581"/>
      <c r="CA581"/>
      <c r="CB581"/>
    </row>
    <row r="582" ht="15.0" customHeight="true">
      <c r="A582" s="51" t="s">
        <v>2448</v>
      </c>
      <c r="B582" s="33"/>
      <c r="C582" s="33" t="s">
        <v>6798</v>
      </c>
      <c r="D582" s="33"/>
      <c r="E582" s="33" t="s">
        <v>6799</v>
      </c>
      <c r="F582" s="33"/>
      <c r="G582" s="55" t="s">
        <v>6800</v>
      </c>
      <c r="H582" s="33"/>
      <c r="I582" s="51" t="s">
        <v>6801</v>
      </c>
      <c r="J582" s="33"/>
      <c r="K582" s="51" t="s">
        <v>2447</v>
      </c>
      <c r="L582" s="33" t="s">
        <v>2484</v>
      </c>
      <c r="M582" s="55" t="s">
        <v>6802</v>
      </c>
      <c r="N582" s="55"/>
      <c r="O582" s="33"/>
      <c r="P582" s="33" t="s">
        <v>2251</v>
      </c>
      <c r="Q582" s="33"/>
      <c r="R582" s="33" t="s">
        <v>2252</v>
      </c>
      <c r="S582" s="56" t="s">
        <v>2277</v>
      </c>
      <c r="T582" s="56"/>
      <c r="U582" s="56" t="s">
        <v>6803</v>
      </c>
      <c r="V582" s="33" t="s">
        <v>6802</v>
      </c>
      <c r="W582" s="94"/>
      <c r="X582" s="94"/>
      <c r="Y582" s="51"/>
      <c r="Z582" s="51"/>
      <c r="AA582" s="33" t="s">
        <v>2459</v>
      </c>
      <c r="AB582" s="33" t="s">
        <v>3863</v>
      </c>
      <c r="AC582" s="33" t="s">
        <v>6121</v>
      </c>
      <c r="AD582" s="33" t="s">
        <v>2254</v>
      </c>
      <c r="AE582" s="33"/>
      <c r="AF582" s="33" t="s">
        <v>2256</v>
      </c>
      <c r="AG582" s="33" t="s">
        <v>2461</v>
      </c>
      <c r="AH582" s="33"/>
      <c r="AI582" s="33"/>
      <c r="AJ582" s="33" t="s">
        <v>6804</v>
      </c>
      <c r="AK582" s="94"/>
      <c r="AL582" s="33" t="s">
        <v>6805</v>
      </c>
      <c r="AM582" s="33"/>
      <c r="AN582" s="33" t="s">
        <v>2465</v>
      </c>
      <c r="AO582" s="51" t="s">
        <v>2489</v>
      </c>
      <c r="AP582" s="51" t="s">
        <v>207</v>
      </c>
      <c r="AQ582" s="33"/>
      <c r="AR582" s="54"/>
      <c r="AS582" s="54"/>
      <c r="AT582" s="54"/>
      <c r="AU582" s="54"/>
      <c r="AV582" s="54"/>
      <c r="AW582" s="54"/>
      <c r="AX582" s="54"/>
      <c r="AY582" s="54" t="s">
        <v>2269</v>
      </c>
      <c r="AZ582" s="54"/>
      <c r="BA582" s="54"/>
      <c r="BB582" s="54"/>
      <c r="BC582" s="54"/>
      <c r="BD582" s="54"/>
      <c r="BE582" s="54"/>
      <c r="BF582" s="54"/>
      <c r="BG582" s="54"/>
      <c r="BH582" s="54"/>
      <c r="BI582" s="54"/>
      <c r="BJ582" s="0"/>
      <c r="BK582" s="0"/>
      <c r="BL582" s="0"/>
      <c r="BM582" s="0"/>
      <c r="BN582" s="0"/>
      <c r="BO582" s="0"/>
      <c r="BP582"/>
      <c r="BQ582"/>
      <c r="BR582"/>
      <c r="BS582"/>
      <c r="BT582"/>
      <c r="BU582"/>
      <c r="BV582"/>
      <c r="BW582"/>
      <c r="BX582"/>
      <c r="BY582"/>
      <c r="BZ582"/>
      <c r="CA582"/>
      <c r="CB582"/>
    </row>
    <row r="583" ht="15.0" customHeight="true">
      <c r="A583" s="51" t="s">
        <v>2448</v>
      </c>
      <c r="B583" s="33"/>
      <c r="C583" s="33" t="s">
        <v>6806</v>
      </c>
      <c r="D583" s="33"/>
      <c r="E583" s="33" t="s">
        <v>6807</v>
      </c>
      <c r="F583" s="33"/>
      <c r="G583" s="55" t="s">
        <v>2705</v>
      </c>
      <c r="H583" s="33"/>
      <c r="I583" s="51" t="s">
        <v>6808</v>
      </c>
      <c r="J583" s="33"/>
      <c r="K583" s="51" t="s">
        <v>6809</v>
      </c>
      <c r="L583" s="33" t="s">
        <v>2484</v>
      </c>
      <c r="M583" s="55" t="s">
        <v>4470</v>
      </c>
      <c r="N583" s="55"/>
      <c r="O583" s="33"/>
      <c r="P583" s="33" t="s">
        <v>2251</v>
      </c>
      <c r="Q583" s="33"/>
      <c r="R583" s="33" t="s">
        <v>2263</v>
      </c>
      <c r="S583" s="56" t="s">
        <v>2277</v>
      </c>
      <c r="T583" s="56"/>
      <c r="U583" s="56"/>
      <c r="V583" s="33" t="s">
        <v>2456</v>
      </c>
      <c r="W583" s="94" t="s">
        <v>2457</v>
      </c>
      <c r="X583" s="94" t="s">
        <v>2474</v>
      </c>
      <c r="Y583" s="51"/>
      <c r="Z583" s="51"/>
      <c r="AA583" s="33" t="s">
        <v>2459</v>
      </c>
      <c r="AB583" s="33" t="s">
        <v>2460</v>
      </c>
      <c r="AC583" s="33" t="s">
        <v>2486</v>
      </c>
      <c r="AD583" s="33" t="s">
        <v>2254</v>
      </c>
      <c r="AE583" s="33"/>
      <c r="AF583" s="33" t="s">
        <v>2267</v>
      </c>
      <c r="AG583" s="33" t="s">
        <v>2461</v>
      </c>
      <c r="AH583" s="33"/>
      <c r="AI583" s="33"/>
      <c r="AJ583" s="33" t="s">
        <v>6810</v>
      </c>
      <c r="AK583" s="94"/>
      <c r="AL583" s="33" t="s">
        <v>6811</v>
      </c>
      <c r="AM583" s="33"/>
      <c r="AN583" s="33" t="s">
        <v>2588</v>
      </c>
      <c r="AO583" s="51" t="s">
        <v>2911</v>
      </c>
      <c r="AP583" s="51" t="s">
        <v>207</v>
      </c>
      <c r="AQ583" s="33"/>
      <c r="AR583" s="54"/>
      <c r="AS583" s="54"/>
      <c r="AT583" s="54"/>
      <c r="AU583" s="54"/>
      <c r="AV583" s="54"/>
      <c r="AW583" s="54"/>
      <c r="AX583" s="54"/>
      <c r="AY583" s="54"/>
      <c r="AZ583" s="54"/>
      <c r="BA583" s="54"/>
      <c r="BB583" s="54"/>
      <c r="BC583" s="54"/>
      <c r="BD583" s="54" t="s">
        <v>2447</v>
      </c>
      <c r="BE583" s="54"/>
      <c r="BF583" s="54"/>
      <c r="BG583" s="54"/>
      <c r="BH583" s="54"/>
      <c r="BI583" s="54"/>
      <c r="BJ583" s="0"/>
      <c r="BK583" s="0"/>
      <c r="BL583" s="0"/>
      <c r="BM583" s="0"/>
      <c r="BN583" s="0"/>
      <c r="BO583" s="0"/>
      <c r="BP583"/>
      <c r="BQ583"/>
      <c r="BR583"/>
      <c r="BS583"/>
      <c r="BT583"/>
      <c r="BU583"/>
      <c r="BV583"/>
      <c r="BW583"/>
      <c r="BX583"/>
      <c r="BY583"/>
      <c r="BZ583"/>
      <c r="CA583"/>
      <c r="CB583"/>
    </row>
    <row r="584" ht="15.0" customHeight="true">
      <c r="A584" s="51" t="s">
        <v>2448</v>
      </c>
      <c r="B584" s="33"/>
      <c r="C584" s="33" t="s">
        <v>6812</v>
      </c>
      <c r="D584" s="33"/>
      <c r="E584" s="33" t="s">
        <v>6813</v>
      </c>
      <c r="F584" s="33"/>
      <c r="G584" s="55" t="s">
        <v>6814</v>
      </c>
      <c r="H584" s="33"/>
      <c r="I584" s="51" t="s">
        <v>6815</v>
      </c>
      <c r="J584" s="33"/>
      <c r="K584" s="51" t="s">
        <v>6816</v>
      </c>
      <c r="L584" s="33" t="s">
        <v>2454</v>
      </c>
      <c r="M584" s="55" t="s">
        <v>2976</v>
      </c>
      <c r="N584" s="55" t="s">
        <v>2976</v>
      </c>
      <c r="O584" s="33" t="s">
        <v>2272</v>
      </c>
      <c r="P584" s="33" t="s">
        <v>2251</v>
      </c>
      <c r="Q584" s="33"/>
      <c r="R584" s="33" t="s">
        <v>2263</v>
      </c>
      <c r="S584" s="56" t="s">
        <v>2277</v>
      </c>
      <c r="T584" s="56"/>
      <c r="U584" s="56"/>
      <c r="V584" s="33" t="s">
        <v>2456</v>
      </c>
      <c r="W584" s="94" t="s">
        <v>2457</v>
      </c>
      <c r="X584" s="94" t="s">
        <v>2474</v>
      </c>
      <c r="Y584" s="51"/>
      <c r="Z584" s="51"/>
      <c r="AA584" s="33" t="s">
        <v>2459</v>
      </c>
      <c r="AB584" s="33" t="s">
        <v>2460</v>
      </c>
      <c r="AC584" s="33"/>
      <c r="AD584" s="33" t="s">
        <v>2254</v>
      </c>
      <c r="AE584" s="33"/>
      <c r="AF584" s="33" t="s">
        <v>2267</v>
      </c>
      <c r="AG584" s="33" t="s">
        <v>2461</v>
      </c>
      <c r="AH584" s="33"/>
      <c r="AI584" s="33"/>
      <c r="AJ584" s="33" t="s">
        <v>6817</v>
      </c>
      <c r="AK584" s="94"/>
      <c r="AL584" s="33" t="s">
        <v>6818</v>
      </c>
      <c r="AM584" s="33" t="s">
        <v>3429</v>
      </c>
      <c r="AN584" s="33" t="s">
        <v>2465</v>
      </c>
      <c r="AO584" s="51" t="s">
        <v>2548</v>
      </c>
      <c r="AP584" s="51" t="s">
        <v>207</v>
      </c>
      <c r="AQ584" s="33"/>
      <c r="AR584" s="54"/>
      <c r="AS584" s="54"/>
      <c r="AT584" s="54"/>
      <c r="AU584" s="54"/>
      <c r="AV584" s="54"/>
      <c r="AW584" s="54"/>
      <c r="AX584" s="54"/>
      <c r="AY584" s="54"/>
      <c r="AZ584" s="54"/>
      <c r="BA584" s="54"/>
      <c r="BB584" s="54"/>
      <c r="BC584" s="54"/>
      <c r="BD584" s="54" t="s">
        <v>2447</v>
      </c>
      <c r="BE584" s="54"/>
      <c r="BF584" s="54"/>
      <c r="BG584" s="54"/>
      <c r="BH584" s="54"/>
      <c r="BI584" s="54"/>
      <c r="BJ584" s="0"/>
      <c r="BK584" s="0"/>
      <c r="BL584" s="0"/>
      <c r="BM584" s="0"/>
      <c r="BN584" s="0"/>
      <c r="BO584" s="0"/>
      <c r="BP584"/>
      <c r="BQ584"/>
      <c r="BR584"/>
      <c r="BS584"/>
      <c r="BT584"/>
      <c r="BU584"/>
      <c r="BV584"/>
      <c r="BW584"/>
      <c r="BX584"/>
      <c r="BY584"/>
      <c r="BZ584"/>
      <c r="CA584"/>
      <c r="CB584"/>
    </row>
    <row r="585" ht="15.0" customHeight="true">
      <c r="A585" s="51" t="s">
        <v>2448</v>
      </c>
      <c r="B585" s="33"/>
      <c r="C585" s="33" t="s">
        <v>6819</v>
      </c>
      <c r="D585" s="33"/>
      <c r="E585" s="33" t="s">
        <v>6820</v>
      </c>
      <c r="F585" s="33"/>
      <c r="G585" s="55" t="s">
        <v>6821</v>
      </c>
      <c r="H585" s="33"/>
      <c r="I585" s="51" t="s">
        <v>6822</v>
      </c>
      <c r="J585" s="33"/>
      <c r="K585" s="51" t="s">
        <v>6823</v>
      </c>
      <c r="L585" s="33" t="s">
        <v>2454</v>
      </c>
      <c r="M585" s="55" t="s">
        <v>4889</v>
      </c>
      <c r="N585" s="55" t="s">
        <v>6824</v>
      </c>
      <c r="O585" s="33" t="s">
        <v>2272</v>
      </c>
      <c r="P585" s="33" t="s">
        <v>2251</v>
      </c>
      <c r="Q585" s="33"/>
      <c r="R585" s="33" t="s">
        <v>2263</v>
      </c>
      <c r="S585" s="56" t="s">
        <v>2277</v>
      </c>
      <c r="T585" s="56"/>
      <c r="U585" s="56"/>
      <c r="V585" s="33" t="s">
        <v>2456</v>
      </c>
      <c r="W585" s="94" t="s">
        <v>2457</v>
      </c>
      <c r="X585" s="94" t="s">
        <v>2458</v>
      </c>
      <c r="Y585" s="51"/>
      <c r="Z585" s="51"/>
      <c r="AA585" s="33" t="s">
        <v>2459</v>
      </c>
      <c r="AB585" s="33" t="s">
        <v>2460</v>
      </c>
      <c r="AC585" s="33"/>
      <c r="AD585" s="33" t="s">
        <v>2254</v>
      </c>
      <c r="AE585" s="33"/>
      <c r="AF585" s="33" t="s">
        <v>2267</v>
      </c>
      <c r="AG585" s="33" t="s">
        <v>2461</v>
      </c>
      <c r="AH585" s="33"/>
      <c r="AI585" s="33"/>
      <c r="AJ585" s="33" t="s">
        <v>6825</v>
      </c>
      <c r="AK585" s="94"/>
      <c r="AL585" s="33" t="s">
        <v>6826</v>
      </c>
      <c r="AM585" s="33"/>
      <c r="AN585" s="33" t="s">
        <v>2465</v>
      </c>
      <c r="AO585" s="51" t="s">
        <v>4150</v>
      </c>
      <c r="AP585" s="51" t="s">
        <v>207</v>
      </c>
      <c r="AQ585" s="33"/>
      <c r="AR585" s="54"/>
      <c r="AS585" s="54"/>
      <c r="AT585" s="54"/>
      <c r="AU585" s="54"/>
      <c r="AV585" s="54"/>
      <c r="AW585" s="54"/>
      <c r="AX585" s="54"/>
      <c r="AY585" s="54"/>
      <c r="AZ585" s="54"/>
      <c r="BA585" s="54"/>
      <c r="BB585" s="54"/>
      <c r="BC585" s="54"/>
      <c r="BD585" s="54" t="s">
        <v>2447</v>
      </c>
      <c r="BE585" s="54"/>
      <c r="BF585" s="54"/>
      <c r="BG585" s="54"/>
      <c r="BH585" s="54"/>
      <c r="BI585" s="54"/>
      <c r="BJ585" s="0"/>
      <c r="BK585" s="0"/>
      <c r="BL585" s="0"/>
      <c r="BM585" s="0"/>
      <c r="BN585" s="0"/>
      <c r="BO585" s="0"/>
      <c r="BP585"/>
      <c r="BQ585"/>
      <c r="BR585"/>
      <c r="BS585"/>
      <c r="BT585"/>
      <c r="BU585"/>
      <c r="BV585"/>
      <c r="BW585"/>
      <c r="BX585"/>
      <c r="BY585"/>
      <c r="BZ585"/>
      <c r="CA585"/>
      <c r="CB585"/>
    </row>
    <row r="586" ht="15.0" customHeight="true">
      <c r="A586" s="51" t="s">
        <v>2448</v>
      </c>
      <c r="B586" s="33"/>
      <c r="C586" s="33" t="s">
        <v>6827</v>
      </c>
      <c r="D586" s="33"/>
      <c r="E586" s="33" t="s">
        <v>6828</v>
      </c>
      <c r="F586" s="33"/>
      <c r="G586" s="55" t="s">
        <v>6011</v>
      </c>
      <c r="H586" s="33"/>
      <c r="I586" s="51" t="s">
        <v>6829</v>
      </c>
      <c r="J586" s="33"/>
      <c r="K586" s="51" t="s">
        <v>6830</v>
      </c>
      <c r="L586" s="33" t="s">
        <v>2454</v>
      </c>
      <c r="M586" s="55" t="s">
        <v>4805</v>
      </c>
      <c r="N586" s="55" t="s">
        <v>5827</v>
      </c>
      <c r="O586" s="33" t="s">
        <v>2272</v>
      </c>
      <c r="P586" s="33" t="s">
        <v>2251</v>
      </c>
      <c r="Q586" s="33"/>
      <c r="R586" s="33" t="s">
        <v>2263</v>
      </c>
      <c r="S586" s="56" t="s">
        <v>2277</v>
      </c>
      <c r="T586" s="56"/>
      <c r="U586" s="56"/>
      <c r="V586" s="33" t="s">
        <v>2456</v>
      </c>
      <c r="W586" s="94" t="s">
        <v>2457</v>
      </c>
      <c r="X586" s="94" t="s">
        <v>2474</v>
      </c>
      <c r="Y586" s="51"/>
      <c r="Z586" s="51"/>
      <c r="AA586" s="33" t="s">
        <v>2459</v>
      </c>
      <c r="AB586" s="33" t="s">
        <v>2460</v>
      </c>
      <c r="AC586" s="33"/>
      <c r="AD586" s="33" t="s">
        <v>2254</v>
      </c>
      <c r="AE586" s="33"/>
      <c r="AF586" s="33" t="s">
        <v>2267</v>
      </c>
      <c r="AG586" s="33" t="s">
        <v>2461</v>
      </c>
      <c r="AH586" s="33"/>
      <c r="AI586" s="33"/>
      <c r="AJ586" s="33" t="s">
        <v>6831</v>
      </c>
      <c r="AK586" s="94"/>
      <c r="AL586" s="33" t="s">
        <v>6832</v>
      </c>
      <c r="AM586" s="33"/>
      <c r="AN586" s="33" t="s">
        <v>2588</v>
      </c>
      <c r="AO586" s="51" t="s">
        <v>2911</v>
      </c>
      <c r="AP586" s="51" t="s">
        <v>207</v>
      </c>
      <c r="AQ586" s="33"/>
      <c r="AR586" s="54"/>
      <c r="AS586" s="54"/>
      <c r="AT586" s="54"/>
      <c r="AU586" s="54"/>
      <c r="AV586" s="54"/>
      <c r="AW586" s="54"/>
      <c r="AX586" s="54"/>
      <c r="AY586" s="54"/>
      <c r="AZ586" s="54"/>
      <c r="BA586" s="54"/>
      <c r="BB586" s="54"/>
      <c r="BC586" s="54"/>
      <c r="BD586" s="54" t="s">
        <v>2447</v>
      </c>
      <c r="BE586" s="54"/>
      <c r="BF586" s="54"/>
      <c r="BG586" s="54"/>
      <c r="BH586" s="54"/>
      <c r="BI586" s="54"/>
      <c r="BJ586" s="0"/>
      <c r="BK586" s="0"/>
      <c r="BL586" s="0"/>
      <c r="BM586" s="0"/>
      <c r="BN586" s="0"/>
      <c r="BO586" s="0"/>
      <c r="BP586"/>
      <c r="BQ586"/>
      <c r="BR586"/>
      <c r="BS586"/>
      <c r="BT586"/>
      <c r="BU586"/>
      <c r="BV586"/>
      <c r="BW586"/>
      <c r="BX586"/>
      <c r="BY586"/>
      <c r="BZ586"/>
      <c r="CA586"/>
      <c r="CB586"/>
    </row>
    <row r="587" ht="15.0" customHeight="true">
      <c r="A587" s="51" t="s">
        <v>2448</v>
      </c>
      <c r="B587" s="33"/>
      <c r="C587" s="33" t="s">
        <v>6833</v>
      </c>
      <c r="D587" s="33"/>
      <c r="E587" s="33" t="s">
        <v>5007</v>
      </c>
      <c r="F587" s="33"/>
      <c r="G587" s="55" t="s">
        <v>6834</v>
      </c>
      <c r="H587" s="33"/>
      <c r="I587" s="51" t="s">
        <v>6835</v>
      </c>
      <c r="J587" s="33"/>
      <c r="K587" s="51" t="s">
        <v>6836</v>
      </c>
      <c r="L587" s="33" t="s">
        <v>2454</v>
      </c>
      <c r="M587" s="55" t="s">
        <v>3367</v>
      </c>
      <c r="N587" s="55" t="s">
        <v>2937</v>
      </c>
      <c r="O587" s="33" t="s">
        <v>2276</v>
      </c>
      <c r="P587" s="33" t="s">
        <v>2251</v>
      </c>
      <c r="Q587" s="33"/>
      <c r="R587" s="33" t="s">
        <v>2263</v>
      </c>
      <c r="S587" s="56" t="s">
        <v>2277</v>
      </c>
      <c r="T587" s="56"/>
      <c r="U587" s="56"/>
      <c r="V587" s="33" t="s">
        <v>3367</v>
      </c>
      <c r="W587" s="94" t="s">
        <v>2574</v>
      </c>
      <c r="X587" s="94" t="s">
        <v>2474</v>
      </c>
      <c r="Y587" s="51"/>
      <c r="Z587" s="51"/>
      <c r="AA587" s="33" t="s">
        <v>2459</v>
      </c>
      <c r="AB587" s="33" t="s">
        <v>2460</v>
      </c>
      <c r="AC587" s="33" t="s">
        <v>2486</v>
      </c>
      <c r="AD587" s="33" t="s">
        <v>2254</v>
      </c>
      <c r="AE587" s="33"/>
      <c r="AF587" s="33" t="s">
        <v>2267</v>
      </c>
      <c r="AG587" s="33" t="s">
        <v>2461</v>
      </c>
      <c r="AH587" s="33"/>
      <c r="AI587" s="33"/>
      <c r="AJ587" s="33" t="s">
        <v>6837</v>
      </c>
      <c r="AK587" s="94"/>
      <c r="AL587" s="33" t="s">
        <v>6838</v>
      </c>
      <c r="AM587" s="33"/>
      <c r="AN587" s="33" t="s">
        <v>2465</v>
      </c>
      <c r="AO587" s="51" t="s">
        <v>2466</v>
      </c>
      <c r="AP587" s="51" t="s">
        <v>207</v>
      </c>
      <c r="AQ587" s="33"/>
      <c r="AR587" s="54"/>
      <c r="AS587" s="54"/>
      <c r="AT587" s="54"/>
      <c r="AU587" s="54"/>
      <c r="AV587" s="54"/>
      <c r="AW587" s="54"/>
      <c r="AX587" s="54"/>
      <c r="AY587" s="54" t="s">
        <v>2269</v>
      </c>
      <c r="AZ587" s="54"/>
      <c r="BA587" s="54"/>
      <c r="BB587" s="54"/>
      <c r="BC587" s="54"/>
      <c r="BD587" s="54" t="s">
        <v>2447</v>
      </c>
      <c r="BE587" s="54"/>
      <c r="BF587" s="54"/>
      <c r="BG587" s="54"/>
      <c r="BH587" s="54"/>
      <c r="BI587" s="54"/>
      <c r="BJ587" s="0"/>
      <c r="BK587" s="0"/>
      <c r="BL587" s="0"/>
      <c r="BM587" s="0"/>
      <c r="BN587" s="0"/>
      <c r="BO587" s="0"/>
      <c r="BP587"/>
      <c r="BQ587"/>
      <c r="BR587"/>
      <c r="BS587"/>
      <c r="BT587"/>
      <c r="BU587"/>
      <c r="BV587"/>
      <c r="BW587"/>
      <c r="BX587"/>
      <c r="BY587"/>
      <c r="BZ587"/>
      <c r="CA587"/>
      <c r="CB587"/>
    </row>
    <row r="588" ht="15.0" customHeight="true">
      <c r="A588" s="51" t="s">
        <v>2448</v>
      </c>
      <c r="B588" s="33"/>
      <c r="C588" s="33" t="s">
        <v>2903</v>
      </c>
      <c r="D588" s="33"/>
      <c r="E588" s="33" t="s">
        <v>6170</v>
      </c>
      <c r="F588" s="33"/>
      <c r="G588" s="55" t="s">
        <v>6839</v>
      </c>
      <c r="H588" s="33"/>
      <c r="I588" s="51" t="s">
        <v>6840</v>
      </c>
      <c r="J588" s="33"/>
      <c r="K588" s="51" t="s">
        <v>6841</v>
      </c>
      <c r="L588" s="33" t="s">
        <v>2454</v>
      </c>
      <c r="M588" s="55" t="s">
        <v>3905</v>
      </c>
      <c r="N588" s="55" t="s">
        <v>3905</v>
      </c>
      <c r="O588" s="33" t="s">
        <v>2272</v>
      </c>
      <c r="P588" s="33" t="s">
        <v>2251</v>
      </c>
      <c r="Q588" s="33"/>
      <c r="R588" s="33" t="s">
        <v>2263</v>
      </c>
      <c r="S588" s="56" t="s">
        <v>2277</v>
      </c>
      <c r="T588" s="56"/>
      <c r="U588" s="56"/>
      <c r="V588" s="33" t="s">
        <v>2456</v>
      </c>
      <c r="W588" s="94" t="s">
        <v>2457</v>
      </c>
      <c r="X588" s="94" t="s">
        <v>2458</v>
      </c>
      <c r="Y588" s="51"/>
      <c r="Z588" s="51"/>
      <c r="AA588" s="33" t="s">
        <v>2459</v>
      </c>
      <c r="AB588" s="33" t="s">
        <v>2460</v>
      </c>
      <c r="AC588" s="33"/>
      <c r="AD588" s="33" t="s">
        <v>2254</v>
      </c>
      <c r="AE588" s="33"/>
      <c r="AF588" s="33" t="s">
        <v>2267</v>
      </c>
      <c r="AG588" s="33" t="s">
        <v>2461</v>
      </c>
      <c r="AH588" s="33"/>
      <c r="AI588" s="33"/>
      <c r="AJ588" s="33" t="s">
        <v>6842</v>
      </c>
      <c r="AK588" s="94"/>
      <c r="AL588" s="33" t="s">
        <v>6843</v>
      </c>
      <c r="AM588" s="33"/>
      <c r="AN588" s="33" t="s">
        <v>3031</v>
      </c>
      <c r="AO588" s="51" t="s">
        <v>6844</v>
      </c>
      <c r="AP588" s="51" t="s">
        <v>207</v>
      </c>
      <c r="AQ588" s="33"/>
      <c r="AR588" s="54"/>
      <c r="AS588" s="54"/>
      <c r="AT588" s="54"/>
      <c r="AU588" s="54"/>
      <c r="AV588" s="54"/>
      <c r="AW588" s="54"/>
      <c r="AX588" s="54"/>
      <c r="AY588" s="54"/>
      <c r="AZ588" s="54"/>
      <c r="BA588" s="54"/>
      <c r="BB588" s="54"/>
      <c r="BC588" s="54"/>
      <c r="BD588" s="54" t="s">
        <v>2447</v>
      </c>
      <c r="BE588" s="54"/>
      <c r="BF588" s="54"/>
      <c r="BG588" s="54"/>
      <c r="BH588" s="54"/>
      <c r="BI588" s="54"/>
      <c r="BJ588" s="0"/>
      <c r="BK588" s="0"/>
      <c r="BL588" s="0"/>
      <c r="BM588" s="0"/>
      <c r="BN588" s="0"/>
      <c r="BO588" s="0"/>
      <c r="BP588"/>
      <c r="BQ588"/>
      <c r="BR588"/>
      <c r="BS588"/>
      <c r="BT588"/>
      <c r="BU588"/>
      <c r="BV588"/>
      <c r="BW588"/>
      <c r="BX588"/>
      <c r="BY588"/>
      <c r="BZ588"/>
      <c r="CA588"/>
      <c r="CB588"/>
    </row>
    <row r="589" ht="15.0" customHeight="true">
      <c r="A589" s="51" t="s">
        <v>2448</v>
      </c>
      <c r="B589" s="33"/>
      <c r="C589" s="33" t="s">
        <v>3448</v>
      </c>
      <c r="D589" s="33"/>
      <c r="E589" s="33" t="s">
        <v>6845</v>
      </c>
      <c r="F589" s="33"/>
      <c r="G589" s="55" t="s">
        <v>6846</v>
      </c>
      <c r="H589" s="33"/>
      <c r="I589" s="51" t="s">
        <v>6847</v>
      </c>
      <c r="J589" s="33"/>
      <c r="K589" s="51" t="s">
        <v>6848</v>
      </c>
      <c r="L589" s="33" t="s">
        <v>2454</v>
      </c>
      <c r="M589" s="55" t="s">
        <v>3442</v>
      </c>
      <c r="N589" s="55" t="s">
        <v>3143</v>
      </c>
      <c r="O589" s="33" t="s">
        <v>2272</v>
      </c>
      <c r="P589" s="33" t="s">
        <v>2251</v>
      </c>
      <c r="Q589" s="33"/>
      <c r="R589" s="33" t="s">
        <v>2263</v>
      </c>
      <c r="S589" s="56" t="s">
        <v>2277</v>
      </c>
      <c r="T589" s="56"/>
      <c r="U589" s="56"/>
      <c r="V589" s="33" t="s">
        <v>2456</v>
      </c>
      <c r="W589" s="94" t="s">
        <v>2457</v>
      </c>
      <c r="X589" s="94" t="s">
        <v>2458</v>
      </c>
      <c r="Y589" s="51"/>
      <c r="Z589" s="51"/>
      <c r="AA589" s="33" t="s">
        <v>2459</v>
      </c>
      <c r="AB589" s="33" t="s">
        <v>2460</v>
      </c>
      <c r="AC589" s="33"/>
      <c r="AD589" s="33" t="s">
        <v>2254</v>
      </c>
      <c r="AE589" s="33"/>
      <c r="AF589" s="33" t="s">
        <v>2267</v>
      </c>
      <c r="AG589" s="33" t="s">
        <v>2461</v>
      </c>
      <c r="AH589" s="33"/>
      <c r="AI589" s="33"/>
      <c r="AJ589" s="33" t="s">
        <v>6849</v>
      </c>
      <c r="AK589" s="94"/>
      <c r="AL589" s="33" t="s">
        <v>6850</v>
      </c>
      <c r="AM589" s="33"/>
      <c r="AN589" s="33" t="s">
        <v>2465</v>
      </c>
      <c r="AO589" s="51" t="s">
        <v>2673</v>
      </c>
      <c r="AP589" s="51" t="s">
        <v>207</v>
      </c>
      <c r="AQ589" s="33"/>
      <c r="AR589" s="54"/>
      <c r="AS589" s="54"/>
      <c r="AT589" s="54"/>
      <c r="AU589" s="54"/>
      <c r="AV589" s="54"/>
      <c r="AW589" s="54"/>
      <c r="AX589" s="54"/>
      <c r="AY589" s="54"/>
      <c r="AZ589" s="54"/>
      <c r="BA589" s="54"/>
      <c r="BB589" s="54"/>
      <c r="BC589" s="54"/>
      <c r="BD589" s="54" t="s">
        <v>2447</v>
      </c>
      <c r="BE589" s="54"/>
      <c r="BF589" s="54"/>
      <c r="BG589" s="54"/>
      <c r="BH589" s="54"/>
      <c r="BI589" s="54"/>
      <c r="BJ589" s="0"/>
      <c r="BK589" s="0"/>
      <c r="BL589" s="0"/>
      <c r="BM589" s="0"/>
      <c r="BN589" s="0"/>
      <c r="BO589" s="0"/>
      <c r="BP589"/>
      <c r="BQ589"/>
      <c r="BR589"/>
      <c r="BS589"/>
      <c r="BT589"/>
      <c r="BU589"/>
      <c r="BV589"/>
      <c r="BW589"/>
      <c r="BX589"/>
      <c r="BY589"/>
      <c r="BZ589"/>
      <c r="CA589"/>
      <c r="CB589"/>
    </row>
    <row r="590" ht="15.0" customHeight="true">
      <c r="A590" s="51" t="s">
        <v>2448</v>
      </c>
      <c r="B590" s="33"/>
      <c r="C590" s="33" t="s">
        <v>3060</v>
      </c>
      <c r="D590" s="33"/>
      <c r="E590" s="33" t="s">
        <v>6241</v>
      </c>
      <c r="F590" s="33"/>
      <c r="G590" s="55" t="s">
        <v>4825</v>
      </c>
      <c r="H590" s="33"/>
      <c r="I590" s="51" t="s">
        <v>6851</v>
      </c>
      <c r="J590" s="33"/>
      <c r="K590" s="51" t="s">
        <v>6852</v>
      </c>
      <c r="L590" s="33" t="s">
        <v>2484</v>
      </c>
      <c r="M590" s="55" t="s">
        <v>4898</v>
      </c>
      <c r="N590" s="55"/>
      <c r="O590" s="33"/>
      <c r="P590" s="33" t="s">
        <v>2251</v>
      </c>
      <c r="Q590" s="33"/>
      <c r="R590" s="33" t="s">
        <v>2263</v>
      </c>
      <c r="S590" s="56" t="s">
        <v>2277</v>
      </c>
      <c r="T590" s="56"/>
      <c r="U590" s="56"/>
      <c r="V590" s="33" t="s">
        <v>2456</v>
      </c>
      <c r="W590" s="94" t="s">
        <v>2457</v>
      </c>
      <c r="X590" s="94" t="s">
        <v>2474</v>
      </c>
      <c r="Y590" s="51"/>
      <c r="Z590" s="51"/>
      <c r="AA590" s="33" t="s">
        <v>2459</v>
      </c>
      <c r="AB590" s="33" t="s">
        <v>2460</v>
      </c>
      <c r="AC590" s="33" t="s">
        <v>2486</v>
      </c>
      <c r="AD590" s="33" t="s">
        <v>2254</v>
      </c>
      <c r="AE590" s="33"/>
      <c r="AF590" s="33" t="s">
        <v>2267</v>
      </c>
      <c r="AG590" s="33" t="s">
        <v>2461</v>
      </c>
      <c r="AH590" s="33"/>
      <c r="AI590" s="33"/>
      <c r="AJ590" s="33" t="s">
        <v>6853</v>
      </c>
      <c r="AK590" s="94"/>
      <c r="AL590" s="33" t="s">
        <v>6854</v>
      </c>
      <c r="AM590" s="33"/>
      <c r="AN590" s="33" t="s">
        <v>2465</v>
      </c>
      <c r="AO590" s="51" t="s">
        <v>2489</v>
      </c>
      <c r="AP590" s="51" t="s">
        <v>207</v>
      </c>
      <c r="AQ590" s="33"/>
      <c r="AR590" s="54"/>
      <c r="AS590" s="54"/>
      <c r="AT590" s="54"/>
      <c r="AU590" s="54"/>
      <c r="AV590" s="54"/>
      <c r="AW590" s="54"/>
      <c r="AX590" s="54"/>
      <c r="AY590" s="54"/>
      <c r="AZ590" s="54"/>
      <c r="BA590" s="54"/>
      <c r="BB590" s="54"/>
      <c r="BC590" s="54"/>
      <c r="BD590" s="54" t="s">
        <v>2447</v>
      </c>
      <c r="BE590" s="54"/>
      <c r="BF590" s="54"/>
      <c r="BG590" s="54"/>
      <c r="BH590" s="54"/>
      <c r="BI590" s="54"/>
      <c r="BJ590" s="0"/>
      <c r="BK590" s="0"/>
      <c r="BL590" s="0"/>
      <c r="BM590" s="0"/>
      <c r="BN590" s="0"/>
      <c r="BO590" s="0"/>
      <c r="BP590"/>
      <c r="BQ590"/>
      <c r="BR590"/>
      <c r="BS590"/>
      <c r="BT590"/>
      <c r="BU590"/>
      <c r="BV590"/>
      <c r="BW590"/>
      <c r="BX590"/>
      <c r="BY590"/>
      <c r="BZ590"/>
      <c r="CA590"/>
      <c r="CB590"/>
    </row>
    <row r="591" ht="15.0" customHeight="true">
      <c r="A591" s="51" t="s">
        <v>2448</v>
      </c>
      <c r="B591" s="33"/>
      <c r="C591" s="33" t="s">
        <v>6855</v>
      </c>
      <c r="D591" s="33"/>
      <c r="E591" s="33" t="s">
        <v>6856</v>
      </c>
      <c r="F591" s="33"/>
      <c r="G591" s="55" t="s">
        <v>6857</v>
      </c>
      <c r="H591" s="33"/>
      <c r="I591" s="51" t="s">
        <v>6858</v>
      </c>
      <c r="J591" s="33"/>
      <c r="K591" s="51" t="s">
        <v>6859</v>
      </c>
      <c r="L591" s="33" t="s">
        <v>2454</v>
      </c>
      <c r="M591" s="55" t="s">
        <v>6447</v>
      </c>
      <c r="N591" s="55" t="s">
        <v>6860</v>
      </c>
      <c r="O591" s="33" t="s">
        <v>2272</v>
      </c>
      <c r="P591" s="33" t="s">
        <v>2251</v>
      </c>
      <c r="Q591" s="33"/>
      <c r="R591" s="33" t="s">
        <v>2263</v>
      </c>
      <c r="S591" s="56" t="s">
        <v>2277</v>
      </c>
      <c r="T591" s="56"/>
      <c r="U591" s="56"/>
      <c r="V591" s="33" t="s">
        <v>2456</v>
      </c>
      <c r="W591" s="94" t="s">
        <v>2457</v>
      </c>
      <c r="X591" s="94" t="s">
        <v>2474</v>
      </c>
      <c r="Y591" s="51"/>
      <c r="Z591" s="51"/>
      <c r="AA591" s="33" t="s">
        <v>2459</v>
      </c>
      <c r="AB591" s="33" t="s">
        <v>2460</v>
      </c>
      <c r="AC591" s="33"/>
      <c r="AD591" s="33" t="s">
        <v>2254</v>
      </c>
      <c r="AE591" s="33"/>
      <c r="AF591" s="33" t="s">
        <v>2267</v>
      </c>
      <c r="AG591" s="33" t="s">
        <v>2461</v>
      </c>
      <c r="AH591" s="33"/>
      <c r="AI591" s="33"/>
      <c r="AJ591" s="33" t="s">
        <v>6861</v>
      </c>
      <c r="AK591" s="94"/>
      <c r="AL591" s="33" t="s">
        <v>6862</v>
      </c>
      <c r="AM591" s="33"/>
      <c r="AN591" s="33" t="s">
        <v>2465</v>
      </c>
      <c r="AO591" s="51" t="s">
        <v>2618</v>
      </c>
      <c r="AP591" s="51" t="s">
        <v>207</v>
      </c>
      <c r="AQ591" s="33"/>
      <c r="AR591" s="54"/>
      <c r="AS591" s="54"/>
      <c r="AT591" s="54"/>
      <c r="AU591" s="54"/>
      <c r="AV591" s="54"/>
      <c r="AW591" s="54"/>
      <c r="AX591" s="54"/>
      <c r="AY591" s="54"/>
      <c r="AZ591" s="54"/>
      <c r="BA591" s="54"/>
      <c r="BB591" s="54"/>
      <c r="BC591" s="54"/>
      <c r="BD591" s="54" t="s">
        <v>2447</v>
      </c>
      <c r="BE591" s="54"/>
      <c r="BF591" s="54"/>
      <c r="BG591" s="54"/>
      <c r="BH591" s="54"/>
      <c r="BI591" s="54"/>
      <c r="BJ591" s="0"/>
      <c r="BK591" s="0"/>
      <c r="BL591" s="0"/>
      <c r="BM591" s="0"/>
      <c r="BN591" s="0"/>
      <c r="BO591" s="0"/>
      <c r="BP591"/>
      <c r="BQ591"/>
      <c r="BR591"/>
      <c r="BS591"/>
      <c r="BT591"/>
      <c r="BU591"/>
      <c r="BV591"/>
      <c r="BW591"/>
      <c r="BX591"/>
      <c r="BY591"/>
      <c r="BZ591"/>
      <c r="CA591"/>
      <c r="CB591"/>
    </row>
    <row r="592" ht="15.0" customHeight="true">
      <c r="A592" s="51" t="s">
        <v>2448</v>
      </c>
      <c r="B592" s="33"/>
      <c r="C592" s="33" t="s">
        <v>5469</v>
      </c>
      <c r="D592" s="33"/>
      <c r="E592" s="33" t="s">
        <v>6863</v>
      </c>
      <c r="F592" s="33"/>
      <c r="G592" s="55" t="s">
        <v>6864</v>
      </c>
      <c r="H592" s="33"/>
      <c r="I592" s="51" t="s">
        <v>6865</v>
      </c>
      <c r="J592" s="33"/>
      <c r="K592" s="51" t="s">
        <v>6866</v>
      </c>
      <c r="L592" s="33" t="s">
        <v>2454</v>
      </c>
      <c r="M592" s="55" t="s">
        <v>3662</v>
      </c>
      <c r="N592" s="55" t="s">
        <v>2485</v>
      </c>
      <c r="O592" s="33" t="s">
        <v>2272</v>
      </c>
      <c r="P592" s="33" t="s">
        <v>2251</v>
      </c>
      <c r="Q592" s="33"/>
      <c r="R592" s="33" t="s">
        <v>2263</v>
      </c>
      <c r="S592" s="56" t="s">
        <v>2277</v>
      </c>
      <c r="T592" s="56"/>
      <c r="U592" s="56"/>
      <c r="V592" s="33" t="s">
        <v>2456</v>
      </c>
      <c r="W592" s="94" t="s">
        <v>2457</v>
      </c>
      <c r="X592" s="94" t="s">
        <v>2474</v>
      </c>
      <c r="Y592" s="51"/>
      <c r="Z592" s="51"/>
      <c r="AA592" s="33" t="s">
        <v>2459</v>
      </c>
      <c r="AB592" s="33" t="s">
        <v>2460</v>
      </c>
      <c r="AC592" s="33"/>
      <c r="AD592" s="33" t="s">
        <v>2254</v>
      </c>
      <c r="AE592" s="33"/>
      <c r="AF592" s="33" t="s">
        <v>2267</v>
      </c>
      <c r="AG592" s="33" t="s">
        <v>2461</v>
      </c>
      <c r="AH592" s="33"/>
      <c r="AI592" s="33"/>
      <c r="AJ592" s="33" t="s">
        <v>6867</v>
      </c>
      <c r="AK592" s="94"/>
      <c r="AL592" s="33" t="s">
        <v>6868</v>
      </c>
      <c r="AM592" s="33"/>
      <c r="AN592" s="33" t="s">
        <v>6869</v>
      </c>
      <c r="AO592" s="51" t="s">
        <v>6870</v>
      </c>
      <c r="AP592" s="51" t="s">
        <v>206</v>
      </c>
      <c r="AQ592" s="33"/>
      <c r="AR592" s="54"/>
      <c r="AS592" s="54"/>
      <c r="AT592" s="54"/>
      <c r="AU592" s="54"/>
      <c r="AV592" s="54"/>
      <c r="AW592" s="54"/>
      <c r="AX592" s="54"/>
      <c r="AY592" s="54"/>
      <c r="AZ592" s="54"/>
      <c r="BA592" s="54"/>
      <c r="BB592" s="54"/>
      <c r="BC592" s="54"/>
      <c r="BD592" s="54" t="s">
        <v>2447</v>
      </c>
      <c r="BE592" s="54"/>
      <c r="BF592" s="54"/>
      <c r="BG592" s="54"/>
      <c r="BH592" s="54"/>
      <c r="BI592" s="54"/>
      <c r="BJ592" s="0"/>
      <c r="BK592" s="0"/>
      <c r="BL592" s="0"/>
      <c r="BM592" s="0"/>
      <c r="BN592" s="0"/>
      <c r="BO592" s="0"/>
      <c r="BP592"/>
      <c r="BQ592"/>
      <c r="BR592"/>
      <c r="BS592"/>
      <c r="BT592"/>
      <c r="BU592"/>
      <c r="BV592"/>
      <c r="BW592"/>
      <c r="BX592"/>
      <c r="BY592"/>
      <c r="BZ592"/>
      <c r="CA592"/>
      <c r="CB592"/>
    </row>
    <row r="593" ht="15.0" customHeight="true">
      <c r="A593" s="51" t="s">
        <v>2448</v>
      </c>
      <c r="B593" s="33"/>
      <c r="C593" s="33" t="s">
        <v>3766</v>
      </c>
      <c r="D593" s="33"/>
      <c r="E593" s="33" t="s">
        <v>6871</v>
      </c>
      <c r="F593" s="33"/>
      <c r="G593" s="55" t="s">
        <v>6872</v>
      </c>
      <c r="H593" s="33"/>
      <c r="I593" s="51" t="s">
        <v>6873</v>
      </c>
      <c r="J593" s="33"/>
      <c r="K593" s="51" t="s">
        <v>6874</v>
      </c>
      <c r="L593" s="33" t="s">
        <v>2454</v>
      </c>
      <c r="M593" s="55" t="s">
        <v>2727</v>
      </c>
      <c r="N593" s="55" t="s">
        <v>3828</v>
      </c>
      <c r="O593" s="33" t="s">
        <v>2272</v>
      </c>
      <c r="P593" s="33" t="s">
        <v>2251</v>
      </c>
      <c r="Q593" s="33"/>
      <c r="R593" s="33" t="s">
        <v>2263</v>
      </c>
      <c r="S593" s="56" t="s">
        <v>2277</v>
      </c>
      <c r="T593" s="56"/>
      <c r="U593" s="56"/>
      <c r="V593" s="33" t="s">
        <v>2456</v>
      </c>
      <c r="W593" s="94" t="s">
        <v>2457</v>
      </c>
      <c r="X593" s="94" t="s">
        <v>2474</v>
      </c>
      <c r="Y593" s="51"/>
      <c r="Z593" s="51"/>
      <c r="AA593" s="33" t="s">
        <v>2459</v>
      </c>
      <c r="AB593" s="33" t="s">
        <v>2460</v>
      </c>
      <c r="AC593" s="33"/>
      <c r="AD593" s="33" t="s">
        <v>2254</v>
      </c>
      <c r="AE593" s="33"/>
      <c r="AF593" s="33" t="s">
        <v>2267</v>
      </c>
      <c r="AG593" s="33" t="s">
        <v>2461</v>
      </c>
      <c r="AH593" s="33"/>
      <c r="AI593" s="33"/>
      <c r="AJ593" s="33" t="s">
        <v>6875</v>
      </c>
      <c r="AK593" s="94"/>
      <c r="AL593" s="33" t="s">
        <v>2598</v>
      </c>
      <c r="AM593" s="33" t="s">
        <v>6876</v>
      </c>
      <c r="AN593" s="33" t="s">
        <v>2465</v>
      </c>
      <c r="AO593" s="51" t="s">
        <v>2489</v>
      </c>
      <c r="AP593" s="51" t="s">
        <v>207</v>
      </c>
      <c r="AQ593" s="33"/>
      <c r="AR593" s="54"/>
      <c r="AS593" s="54"/>
      <c r="AT593" s="54"/>
      <c r="AU593" s="54"/>
      <c r="AV593" s="54"/>
      <c r="AW593" s="54"/>
      <c r="AX593" s="54"/>
      <c r="AY593" s="54"/>
      <c r="AZ593" s="54"/>
      <c r="BA593" s="54"/>
      <c r="BB593" s="54"/>
      <c r="BC593" s="54"/>
      <c r="BD593" s="54" t="s">
        <v>2447</v>
      </c>
      <c r="BE593" s="54"/>
      <c r="BF593" s="54"/>
      <c r="BG593" s="54"/>
      <c r="BH593" s="54"/>
      <c r="BI593" s="54"/>
      <c r="BJ593" s="0"/>
      <c r="BK593" s="0"/>
      <c r="BL593" s="0"/>
      <c r="BM593" s="0"/>
      <c r="BN593" s="0"/>
      <c r="BO593" s="0"/>
      <c r="BP593"/>
      <c r="BQ593"/>
      <c r="BR593"/>
      <c r="BS593"/>
      <c r="BT593"/>
      <c r="BU593"/>
      <c r="BV593"/>
      <c r="BW593"/>
      <c r="BX593"/>
      <c r="BY593"/>
      <c r="BZ593"/>
      <c r="CA593"/>
      <c r="CB593"/>
    </row>
    <row r="594" ht="15.0" customHeight="true">
      <c r="A594" s="51" t="s">
        <v>2448</v>
      </c>
      <c r="B594" s="33"/>
      <c r="C594" s="33" t="s">
        <v>6877</v>
      </c>
      <c r="D594" s="33"/>
      <c r="E594" s="33" t="s">
        <v>6878</v>
      </c>
      <c r="F594" s="33"/>
      <c r="G594" s="55" t="s">
        <v>6879</v>
      </c>
      <c r="H594" s="33"/>
      <c r="I594" s="51" t="s">
        <v>6880</v>
      </c>
      <c r="J594" s="33"/>
      <c r="K594" s="51" t="s">
        <v>6881</v>
      </c>
      <c r="L594" s="33" t="s">
        <v>2454</v>
      </c>
      <c r="M594" s="55" t="s">
        <v>3837</v>
      </c>
      <c r="N594" s="55" t="s">
        <v>5604</v>
      </c>
      <c r="O594" s="33" t="s">
        <v>2272</v>
      </c>
      <c r="P594" s="33" t="s">
        <v>2251</v>
      </c>
      <c r="Q594" s="33"/>
      <c r="R594" s="33" t="s">
        <v>2263</v>
      </c>
      <c r="S594" s="56" t="s">
        <v>2277</v>
      </c>
      <c r="T594" s="56"/>
      <c r="U594" s="56"/>
      <c r="V594" s="33" t="s">
        <v>2456</v>
      </c>
      <c r="W594" s="94" t="s">
        <v>2457</v>
      </c>
      <c r="X594" s="94" t="s">
        <v>2474</v>
      </c>
      <c r="Y594" s="51"/>
      <c r="Z594" s="51"/>
      <c r="AA594" s="33" t="s">
        <v>2459</v>
      </c>
      <c r="AB594" s="33" t="s">
        <v>2460</v>
      </c>
      <c r="AC594" s="33"/>
      <c r="AD594" s="33" t="s">
        <v>2254</v>
      </c>
      <c r="AE594" s="33"/>
      <c r="AF594" s="33" t="s">
        <v>2267</v>
      </c>
      <c r="AG594" s="33" t="s">
        <v>2461</v>
      </c>
      <c r="AH594" s="33"/>
      <c r="AI594" s="33"/>
      <c r="AJ594" s="33" t="s">
        <v>6882</v>
      </c>
      <c r="AK594" s="94"/>
      <c r="AL594" s="33" t="s">
        <v>6883</v>
      </c>
      <c r="AM594" s="33"/>
      <c r="AN594" s="33" t="s">
        <v>2465</v>
      </c>
      <c r="AO594" s="51" t="s">
        <v>2673</v>
      </c>
      <c r="AP594" s="51" t="s">
        <v>207</v>
      </c>
      <c r="AQ594" s="33"/>
      <c r="AR594" s="54"/>
      <c r="AS594" s="54"/>
      <c r="AT594" s="54"/>
      <c r="AU594" s="54"/>
      <c r="AV594" s="54"/>
      <c r="AW594" s="54"/>
      <c r="AX594" s="54"/>
      <c r="AY594" s="54"/>
      <c r="AZ594" s="54"/>
      <c r="BA594" s="54"/>
      <c r="BB594" s="54"/>
      <c r="BC594" s="54"/>
      <c r="BD594" s="54" t="s">
        <v>2447</v>
      </c>
      <c r="BE594" s="54"/>
      <c r="BF594" s="54"/>
      <c r="BG594" s="54"/>
      <c r="BH594" s="54"/>
      <c r="BI594" s="54"/>
      <c r="BJ594" s="0"/>
      <c r="BK594" s="0"/>
      <c r="BL594" s="0"/>
      <c r="BM594" s="0"/>
      <c r="BN594" s="0"/>
      <c r="BO594" s="0"/>
      <c r="BP594"/>
      <c r="BQ594"/>
      <c r="BR594"/>
      <c r="BS594"/>
      <c r="BT594"/>
      <c r="BU594"/>
      <c r="BV594"/>
      <c r="BW594"/>
      <c r="BX594"/>
      <c r="BY594"/>
      <c r="BZ594"/>
      <c r="CA594"/>
      <c r="CB594"/>
    </row>
    <row r="595" ht="15.0" customHeight="true">
      <c r="A595" s="51" t="s">
        <v>2448</v>
      </c>
      <c r="B595" s="33"/>
      <c r="C595" s="33" t="s">
        <v>3666</v>
      </c>
      <c r="D595" s="33"/>
      <c r="E595" s="33" t="s">
        <v>6887</v>
      </c>
      <c r="F595" s="33"/>
      <c r="G595" s="55" t="s">
        <v>6891</v>
      </c>
      <c r="H595" s="33" t="s">
        <v>2247</v>
      </c>
      <c r="I595" s="51" t="s">
        <v>6892</v>
      </c>
      <c r="J595" s="33" t="s">
        <v>2269</v>
      </c>
      <c r="K595" s="51" t="s">
        <v>6893</v>
      </c>
      <c r="L595" s="33" t="s">
        <v>2484</v>
      </c>
      <c r="M595" s="55" t="s">
        <v>6894</v>
      </c>
      <c r="N595" s="55"/>
      <c r="O595" s="33"/>
      <c r="P595" s="33" t="s">
        <v>2251</v>
      </c>
      <c r="Q595" s="33"/>
      <c r="R595" s="33" t="s">
        <v>2263</v>
      </c>
      <c r="S595" s="56" t="s">
        <v>2277</v>
      </c>
      <c r="T595" s="56"/>
      <c r="U595" s="56"/>
      <c r="V595" s="33" t="s">
        <v>2456</v>
      </c>
      <c r="W595" s="94" t="s">
        <v>2457</v>
      </c>
      <c r="X595" s="94" t="s">
        <v>2474</v>
      </c>
      <c r="Y595" s="51"/>
      <c r="Z595" s="51"/>
      <c r="AA595" s="33" t="s">
        <v>2459</v>
      </c>
      <c r="AB595" s="33" t="s">
        <v>2460</v>
      </c>
      <c r="AC595" s="33" t="s">
        <v>2486</v>
      </c>
      <c r="AD595" s="33" t="s">
        <v>2254</v>
      </c>
      <c r="AE595" s="33"/>
      <c r="AF595" s="33" t="s">
        <v>2267</v>
      </c>
      <c r="AG595" s="33" t="s">
        <v>2461</v>
      </c>
      <c r="AH595" s="33"/>
      <c r="AI595" s="33"/>
      <c r="AJ595" s="33" t="s">
        <v>6895</v>
      </c>
      <c r="AK595" s="94"/>
      <c r="AL595" s="33" t="s">
        <v>6896</v>
      </c>
      <c r="AM595" s="33"/>
      <c r="AN595" s="33" t="s">
        <v>2465</v>
      </c>
      <c r="AO595" s="51" t="s">
        <v>2466</v>
      </c>
      <c r="AP595" s="51" t="s">
        <v>207</v>
      </c>
      <c r="AQ595" s="33"/>
      <c r="AR595" s="54"/>
      <c r="AS595" s="54"/>
      <c r="AT595" s="54"/>
      <c r="AU595" s="54"/>
      <c r="AV595" s="54"/>
      <c r="AW595" s="54"/>
      <c r="AX595" s="54"/>
      <c r="AY595" s="54"/>
      <c r="AZ595" s="54"/>
      <c r="BA595" s="54"/>
      <c r="BB595" s="54"/>
      <c r="BC595" s="54"/>
      <c r="BD595" s="54" t="s">
        <v>2447</v>
      </c>
      <c r="BE595" s="54"/>
      <c r="BF595" s="54"/>
      <c r="BG595" s="54"/>
      <c r="BH595" s="54"/>
      <c r="BI595" s="54"/>
      <c r="BJ595" s="34"/>
      <c r="BK595" s="34" t="s">
        <v>3354</v>
      </c>
      <c r="BL595" s="34"/>
      <c r="BM595" s="34" t="s">
        <v>6884</v>
      </c>
      <c r="BN595" s="34"/>
      <c r="BO595" s="44" t="s">
        <v>6885</v>
      </c>
      <c r="BP595" s="34" t="s">
        <v>2258</v>
      </c>
      <c r="BQ595" s="34" t="s">
        <v>2269</v>
      </c>
      <c r="BR595" s="33" t="s">
        <v>2257</v>
      </c>
      <c r="BS595" s="33" t="s">
        <v>2269</v>
      </c>
      <c r="BT595" s="34"/>
      <c r="BU595" s="34" t="s">
        <v>6886</v>
      </c>
      <c r="BV595" s="34"/>
      <c r="BW595" s="34" t="s">
        <v>6887</v>
      </c>
      <c r="BX595" s="34"/>
      <c r="BY595" s="44" t="s">
        <v>6888</v>
      </c>
      <c r="BZ595" s="34" t="s">
        <v>2258</v>
      </c>
      <c r="CA595" s="34" t="s">
        <v>2269</v>
      </c>
      <c r="CB595" s="33" t="s">
        <v>2268</v>
      </c>
      <c r="CC595" s="33" t="s">
        <v>2269</v>
      </c>
      <c r="CD595" s="34"/>
      <c r="CE595" s="34" t="s">
        <v>6889</v>
      </c>
      <c r="CF595" s="34"/>
      <c r="CG595" s="34" t="s">
        <v>6887</v>
      </c>
      <c r="CH595" s="34"/>
      <c r="CI595" s="44" t="s">
        <v>6890</v>
      </c>
      <c r="CJ595" s="34" t="s">
        <v>2247</v>
      </c>
      <c r="CK595" s="34" t="s">
        <v>2269</v>
      </c>
      <c r="CL595" s="33" t="s">
        <v>2268</v>
      </c>
      <c r="CM595" s="33" t="s">
        <v>2269</v>
      </c>
      <c r="CN595" s="0"/>
      <c r="CO595" s="0"/>
      <c r="CP595" s="0"/>
      <c r="CQ595" s="0"/>
      <c r="CR595" s="0"/>
      <c r="CS595" s="0"/>
      <c r="CT595" s="0"/>
      <c r="CU595" s="0"/>
      <c r="CV595" s="0"/>
      <c r="CW595" s="0"/>
    </row>
    <row r="596" ht="15.0" customHeight="true">
      <c r="A596" s="51" t="s">
        <v>2448</v>
      </c>
      <c r="B596" s="33"/>
      <c r="C596" s="33" t="s">
        <v>2821</v>
      </c>
      <c r="D596" s="33"/>
      <c r="E596" s="33" t="s">
        <v>6897</v>
      </c>
      <c r="F596" s="33"/>
      <c r="G596" s="55" t="s">
        <v>6898</v>
      </c>
      <c r="H596" s="33"/>
      <c r="I596" s="51" t="s">
        <v>6899</v>
      </c>
      <c r="J596" s="33"/>
      <c r="K596" s="51" t="s">
        <v>6900</v>
      </c>
      <c r="L596" s="33" t="s">
        <v>2454</v>
      </c>
      <c r="M596" s="55" t="s">
        <v>4447</v>
      </c>
      <c r="N596" s="55" t="s">
        <v>3560</v>
      </c>
      <c r="O596" s="33" t="s">
        <v>2272</v>
      </c>
      <c r="P596" s="33" t="s">
        <v>2251</v>
      </c>
      <c r="Q596" s="33"/>
      <c r="R596" s="33" t="s">
        <v>2263</v>
      </c>
      <c r="S596" s="56" t="s">
        <v>2277</v>
      </c>
      <c r="T596" s="56"/>
      <c r="U596" s="56"/>
      <c r="V596" s="33" t="s">
        <v>2456</v>
      </c>
      <c r="W596" s="94" t="s">
        <v>2457</v>
      </c>
      <c r="X596" s="94" t="s">
        <v>2458</v>
      </c>
      <c r="Y596" s="51"/>
      <c r="Z596" s="51"/>
      <c r="AA596" s="33" t="s">
        <v>2459</v>
      </c>
      <c r="AB596" s="33" t="s">
        <v>2460</v>
      </c>
      <c r="AC596" s="33"/>
      <c r="AD596" s="33" t="s">
        <v>2254</v>
      </c>
      <c r="AE596" s="33"/>
      <c r="AF596" s="33" t="s">
        <v>2267</v>
      </c>
      <c r="AG596" s="33" t="s">
        <v>2461</v>
      </c>
      <c r="AH596" s="33"/>
      <c r="AI596" s="33"/>
      <c r="AJ596" s="33" t="s">
        <v>6901</v>
      </c>
      <c r="AK596" s="94"/>
      <c r="AL596" s="33" t="s">
        <v>5376</v>
      </c>
      <c r="AM596" s="33" t="s">
        <v>6902</v>
      </c>
      <c r="AN596" s="33" t="s">
        <v>2465</v>
      </c>
      <c r="AO596" s="51" t="s">
        <v>2489</v>
      </c>
      <c r="AP596" s="51" t="s">
        <v>207</v>
      </c>
      <c r="AQ596" s="33"/>
      <c r="AR596" s="54"/>
      <c r="AS596" s="54"/>
      <c r="AT596" s="54"/>
      <c r="AU596" s="54"/>
      <c r="AV596" s="54"/>
      <c r="AW596" s="54"/>
      <c r="AX596" s="54"/>
      <c r="AY596" s="54"/>
      <c r="AZ596" s="54"/>
      <c r="BA596" s="54"/>
      <c r="BB596" s="54"/>
      <c r="BC596" s="54"/>
      <c r="BD596" s="54" t="s">
        <v>2447</v>
      </c>
      <c r="BE596" s="54"/>
      <c r="BF596" s="54"/>
      <c r="BG596" s="54"/>
      <c r="BH596" s="54"/>
      <c r="BI596" s="54"/>
      <c r="BJ596" s="0"/>
      <c r="BK596" s="0"/>
      <c r="BL596" s="0"/>
      <c r="BM596" s="0"/>
      <c r="BN596" s="0"/>
      <c r="BO596" s="0"/>
      <c r="BP596"/>
      <c r="BQ596"/>
      <c r="BR596"/>
      <c r="BS596"/>
      <c r="BT596"/>
      <c r="BU596"/>
      <c r="BV596"/>
      <c r="BW596"/>
      <c r="BX596"/>
      <c r="BY596"/>
      <c r="BZ596"/>
      <c r="CA596"/>
      <c r="CB596"/>
    </row>
    <row r="597" ht="15.0" customHeight="true">
      <c r="A597" s="51" t="s">
        <v>2448</v>
      </c>
      <c r="B597" s="33"/>
      <c r="C597" s="33" t="s">
        <v>5719</v>
      </c>
      <c r="D597" s="33"/>
      <c r="E597" s="33" t="s">
        <v>6903</v>
      </c>
      <c r="F597" s="33"/>
      <c r="G597" s="55" t="s">
        <v>6904</v>
      </c>
      <c r="H597" s="33"/>
      <c r="I597" s="51" t="s">
        <v>6905</v>
      </c>
      <c r="J597" s="33"/>
      <c r="K597" s="51" t="s">
        <v>6906</v>
      </c>
      <c r="L597" s="33" t="s">
        <v>2454</v>
      </c>
      <c r="M597" s="55" t="s">
        <v>3671</v>
      </c>
      <c r="N597" s="55" t="s">
        <v>5278</v>
      </c>
      <c r="O597" s="33" t="s">
        <v>2272</v>
      </c>
      <c r="P597" s="33" t="s">
        <v>2251</v>
      </c>
      <c r="Q597" s="33"/>
      <c r="R597" s="33" t="s">
        <v>2263</v>
      </c>
      <c r="S597" s="56" t="s">
        <v>2277</v>
      </c>
      <c r="T597" s="56"/>
      <c r="U597" s="56"/>
      <c r="V597" s="33" t="s">
        <v>2456</v>
      </c>
      <c r="W597" s="94" t="s">
        <v>2457</v>
      </c>
      <c r="X597" s="94" t="s">
        <v>2474</v>
      </c>
      <c r="Y597" s="51"/>
      <c r="Z597" s="51"/>
      <c r="AA597" s="33" t="s">
        <v>2459</v>
      </c>
      <c r="AB597" s="33" t="s">
        <v>2460</v>
      </c>
      <c r="AC597" s="33"/>
      <c r="AD597" s="33" t="s">
        <v>2254</v>
      </c>
      <c r="AE597" s="33"/>
      <c r="AF597" s="33" t="s">
        <v>2267</v>
      </c>
      <c r="AG597" s="33" t="s">
        <v>2461</v>
      </c>
      <c r="AH597" s="33"/>
      <c r="AI597" s="33"/>
      <c r="AJ597" s="33" t="s">
        <v>6907</v>
      </c>
      <c r="AK597" s="94"/>
      <c r="AL597" s="33" t="s">
        <v>6908</v>
      </c>
      <c r="AM597" s="33"/>
      <c r="AN597" s="33" t="s">
        <v>2465</v>
      </c>
      <c r="AO597" s="51" t="s">
        <v>2538</v>
      </c>
      <c r="AP597" s="51" t="s">
        <v>207</v>
      </c>
      <c r="AQ597" s="33"/>
      <c r="AR597" s="54"/>
      <c r="AS597" s="54"/>
      <c r="AT597" s="54"/>
      <c r="AU597" s="54"/>
      <c r="AV597" s="54"/>
      <c r="AW597" s="54"/>
      <c r="AX597" s="54"/>
      <c r="AY597" s="54"/>
      <c r="AZ597" s="54"/>
      <c r="BA597" s="54"/>
      <c r="BB597" s="54"/>
      <c r="BC597" s="54"/>
      <c r="BD597" s="54" t="s">
        <v>2447</v>
      </c>
      <c r="BE597" s="54"/>
      <c r="BF597" s="54"/>
      <c r="BG597" s="54"/>
      <c r="BH597" s="54"/>
      <c r="BI597" s="54"/>
      <c r="BJ597" s="0"/>
      <c r="BK597" s="0"/>
      <c r="BL597" s="0"/>
      <c r="BM597" s="0"/>
      <c r="BN597" s="0"/>
      <c r="BO597" s="0"/>
      <c r="BP597"/>
      <c r="BQ597"/>
      <c r="BR597"/>
      <c r="BS597"/>
      <c r="BT597"/>
      <c r="BU597"/>
      <c r="BV597"/>
      <c r="BW597"/>
      <c r="BX597"/>
      <c r="BY597"/>
      <c r="BZ597"/>
      <c r="CA597"/>
      <c r="CB597"/>
    </row>
    <row r="598" ht="15.0" customHeight="true">
      <c r="A598" s="51" t="s">
        <v>2448</v>
      </c>
      <c r="B598" s="33"/>
      <c r="C598" s="33" t="s">
        <v>2529</v>
      </c>
      <c r="D598" s="33"/>
      <c r="E598" s="33" t="s">
        <v>6909</v>
      </c>
      <c r="F598" s="33"/>
      <c r="G598" s="55" t="s">
        <v>6910</v>
      </c>
      <c r="H598" s="33"/>
      <c r="I598" s="51" t="s">
        <v>6911</v>
      </c>
      <c r="J598" s="33"/>
      <c r="K598" s="51" t="s">
        <v>6912</v>
      </c>
      <c r="L598" s="33" t="s">
        <v>2454</v>
      </c>
      <c r="M598" s="55" t="s">
        <v>2790</v>
      </c>
      <c r="N598" s="55" t="s">
        <v>5278</v>
      </c>
      <c r="O598" s="33" t="s">
        <v>2272</v>
      </c>
      <c r="P598" s="33" t="s">
        <v>2251</v>
      </c>
      <c r="Q598" s="33"/>
      <c r="R598" s="33" t="s">
        <v>2263</v>
      </c>
      <c r="S598" s="56" t="s">
        <v>2277</v>
      </c>
      <c r="T598" s="56"/>
      <c r="U598" s="56"/>
      <c r="V598" s="33" t="s">
        <v>2456</v>
      </c>
      <c r="W598" s="94" t="s">
        <v>2457</v>
      </c>
      <c r="X598" s="94" t="s">
        <v>2474</v>
      </c>
      <c r="Y598" s="51"/>
      <c r="Z598" s="51"/>
      <c r="AA598" s="33" t="s">
        <v>2459</v>
      </c>
      <c r="AB598" s="33" t="s">
        <v>2460</v>
      </c>
      <c r="AC598" s="33"/>
      <c r="AD598" s="33" t="s">
        <v>2254</v>
      </c>
      <c r="AE598" s="33"/>
      <c r="AF598" s="33" t="s">
        <v>2267</v>
      </c>
      <c r="AG598" s="33" t="s">
        <v>2461</v>
      </c>
      <c r="AH598" s="33"/>
      <c r="AI598" s="33"/>
      <c r="AJ598" s="33" t="s">
        <v>6913</v>
      </c>
      <c r="AK598" s="94"/>
      <c r="AL598" s="33" t="s">
        <v>6914</v>
      </c>
      <c r="AM598" s="33"/>
      <c r="AN598" s="33" t="s">
        <v>2701</v>
      </c>
      <c r="AO598" s="51" t="s">
        <v>2628</v>
      </c>
      <c r="AP598" s="51" t="s">
        <v>207</v>
      </c>
      <c r="AQ598" s="33"/>
      <c r="AR598" s="54"/>
      <c r="AS598" s="54"/>
      <c r="AT598" s="54"/>
      <c r="AU598" s="54"/>
      <c r="AV598" s="54"/>
      <c r="AW598" s="54"/>
      <c r="AX598" s="54"/>
      <c r="AY598" s="54"/>
      <c r="AZ598" s="54"/>
      <c r="BA598" s="54"/>
      <c r="BB598" s="54"/>
      <c r="BC598" s="54"/>
      <c r="BD598" s="54" t="s">
        <v>2447</v>
      </c>
      <c r="BE598" s="54"/>
      <c r="BF598" s="54"/>
      <c r="BG598" s="54"/>
      <c r="BH598" s="54"/>
      <c r="BI598" s="54"/>
      <c r="BJ598" s="0"/>
      <c r="BK598" s="0"/>
      <c r="BL598" s="0"/>
      <c r="BM598" s="0"/>
      <c r="BN598" s="0"/>
      <c r="BO598" s="0"/>
      <c r="BP598"/>
      <c r="BQ598"/>
      <c r="BR598"/>
      <c r="BS598"/>
      <c r="BT598"/>
      <c r="BU598"/>
      <c r="BV598"/>
      <c r="BW598"/>
      <c r="BX598"/>
      <c r="BY598"/>
      <c r="BZ598"/>
      <c r="CA598"/>
      <c r="CB598"/>
    </row>
    <row r="599" ht="15.0" customHeight="true">
      <c r="A599" s="51" t="s">
        <v>2448</v>
      </c>
      <c r="B599" s="33"/>
      <c r="C599" s="33" t="s">
        <v>5944</v>
      </c>
      <c r="D599" s="33"/>
      <c r="E599" s="33" t="s">
        <v>6915</v>
      </c>
      <c r="F599" s="33"/>
      <c r="G599" s="55" t="s">
        <v>6916</v>
      </c>
      <c r="H599" s="33"/>
      <c r="I599" s="51" t="s">
        <v>6917</v>
      </c>
      <c r="J599" s="33"/>
      <c r="K599" s="51" t="s">
        <v>6918</v>
      </c>
      <c r="L599" s="33" t="s">
        <v>2454</v>
      </c>
      <c r="M599" s="55" t="s">
        <v>5167</v>
      </c>
      <c r="N599" s="55" t="s">
        <v>3224</v>
      </c>
      <c r="O599" s="33" t="s">
        <v>2272</v>
      </c>
      <c r="P599" s="33" t="s">
        <v>2251</v>
      </c>
      <c r="Q599" s="33"/>
      <c r="R599" s="33" t="s">
        <v>2263</v>
      </c>
      <c r="S599" s="56" t="s">
        <v>2277</v>
      </c>
      <c r="T599" s="56"/>
      <c r="U599" s="56"/>
      <c r="V599" s="33" t="s">
        <v>2456</v>
      </c>
      <c r="W599" s="94" t="s">
        <v>2457</v>
      </c>
      <c r="X599" s="94" t="s">
        <v>2458</v>
      </c>
      <c r="Y599" s="51"/>
      <c r="Z599" s="51"/>
      <c r="AA599" s="33" t="s">
        <v>2459</v>
      </c>
      <c r="AB599" s="33" t="s">
        <v>2460</v>
      </c>
      <c r="AC599" s="33"/>
      <c r="AD599" s="33" t="s">
        <v>2254</v>
      </c>
      <c r="AE599" s="33"/>
      <c r="AF599" s="33" t="s">
        <v>2267</v>
      </c>
      <c r="AG599" s="33" t="s">
        <v>2461</v>
      </c>
      <c r="AH599" s="33"/>
      <c r="AI599" s="33"/>
      <c r="AJ599" s="33" t="s">
        <v>6919</v>
      </c>
      <c r="AK599" s="94"/>
      <c r="AL599" s="33" t="s">
        <v>6920</v>
      </c>
      <c r="AM599" s="33"/>
      <c r="AN599" s="33" t="s">
        <v>2588</v>
      </c>
      <c r="AO599" s="51" t="s">
        <v>2702</v>
      </c>
      <c r="AP599" s="51" t="s">
        <v>207</v>
      </c>
      <c r="AQ599" s="33"/>
      <c r="AR599" s="54"/>
      <c r="AS599" s="54"/>
      <c r="AT599" s="54"/>
      <c r="AU599" s="54"/>
      <c r="AV599" s="54"/>
      <c r="AW599" s="54"/>
      <c r="AX599" s="54"/>
      <c r="AY599" s="54"/>
      <c r="AZ599" s="54"/>
      <c r="BA599" s="54"/>
      <c r="BB599" s="54"/>
      <c r="BC599" s="54"/>
      <c r="BD599" s="54" t="s">
        <v>2447</v>
      </c>
      <c r="BE599" s="54"/>
      <c r="BF599" s="54"/>
      <c r="BG599" s="54"/>
      <c r="BH599" s="54"/>
      <c r="BI599" s="54"/>
      <c r="BJ599" s="0"/>
      <c r="BK599" s="0"/>
      <c r="BL599" s="0"/>
      <c r="BM599" s="0"/>
      <c r="BN599" s="0"/>
      <c r="BO599" s="0"/>
      <c r="BP599"/>
      <c r="BQ599"/>
      <c r="BR599"/>
      <c r="BS599"/>
      <c r="BT599"/>
      <c r="BU599"/>
      <c r="BV599"/>
      <c r="BW599"/>
      <c r="BX599"/>
      <c r="BY599"/>
      <c r="BZ599"/>
      <c r="CA599"/>
      <c r="CB599"/>
    </row>
    <row r="600" ht="15.0" customHeight="true">
      <c r="A600" s="51" t="s">
        <v>2448</v>
      </c>
      <c r="B600" s="33"/>
      <c r="C600" s="33" t="s">
        <v>6921</v>
      </c>
      <c r="D600" s="33"/>
      <c r="E600" s="33" t="s">
        <v>4342</v>
      </c>
      <c r="F600" s="33"/>
      <c r="G600" s="55" t="s">
        <v>6922</v>
      </c>
      <c r="H600" s="33"/>
      <c r="I600" s="51" t="s">
        <v>6923</v>
      </c>
      <c r="J600" s="33"/>
      <c r="K600" s="51" t="s">
        <v>6924</v>
      </c>
      <c r="L600" s="33" t="s">
        <v>2454</v>
      </c>
      <c r="M600" s="55" t="s">
        <v>4963</v>
      </c>
      <c r="N600" s="55" t="s">
        <v>6925</v>
      </c>
      <c r="O600" s="33" t="s">
        <v>2272</v>
      </c>
      <c r="P600" s="33" t="s">
        <v>2251</v>
      </c>
      <c r="Q600" s="33"/>
      <c r="R600" s="33" t="s">
        <v>2263</v>
      </c>
      <c r="S600" s="56" t="s">
        <v>2277</v>
      </c>
      <c r="T600" s="56"/>
      <c r="U600" s="56"/>
      <c r="V600" s="33" t="s">
        <v>2456</v>
      </c>
      <c r="W600" s="94" t="s">
        <v>2457</v>
      </c>
      <c r="X600" s="94" t="s">
        <v>2474</v>
      </c>
      <c r="Y600" s="51"/>
      <c r="Z600" s="51"/>
      <c r="AA600" s="33" t="s">
        <v>2459</v>
      </c>
      <c r="AB600" s="33" t="s">
        <v>2460</v>
      </c>
      <c r="AC600" s="33"/>
      <c r="AD600" s="33" t="s">
        <v>2254</v>
      </c>
      <c r="AE600" s="33"/>
      <c r="AF600" s="33" t="s">
        <v>2267</v>
      </c>
      <c r="AG600" s="33" t="s">
        <v>2461</v>
      </c>
      <c r="AH600" s="33"/>
      <c r="AI600" s="33"/>
      <c r="AJ600" s="33" t="s">
        <v>6926</v>
      </c>
      <c r="AK600" s="94"/>
      <c r="AL600" s="33" t="s">
        <v>6352</v>
      </c>
      <c r="AM600" s="33"/>
      <c r="AN600" s="33" t="s">
        <v>2465</v>
      </c>
      <c r="AO600" s="51" t="s">
        <v>2548</v>
      </c>
      <c r="AP600" s="51" t="s">
        <v>207</v>
      </c>
      <c r="AQ600" s="33"/>
      <c r="AR600" s="54"/>
      <c r="AS600" s="54"/>
      <c r="AT600" s="54"/>
      <c r="AU600" s="54"/>
      <c r="AV600" s="54"/>
      <c r="AW600" s="54"/>
      <c r="AX600" s="54"/>
      <c r="AY600" s="54"/>
      <c r="AZ600" s="54"/>
      <c r="BA600" s="54"/>
      <c r="BB600" s="54"/>
      <c r="BC600" s="54"/>
      <c r="BD600" s="54" t="s">
        <v>2447</v>
      </c>
      <c r="BE600" s="54"/>
      <c r="BF600" s="54"/>
      <c r="BG600" s="54"/>
      <c r="BH600" s="54"/>
      <c r="BI600" s="54"/>
      <c r="BJ600" s="0"/>
      <c r="BK600" s="0"/>
      <c r="BL600" s="0"/>
      <c r="BM600" s="0"/>
      <c r="BN600" s="0"/>
      <c r="BO600" s="0"/>
      <c r="BP600"/>
      <c r="BQ600"/>
      <c r="BR600"/>
      <c r="BS600"/>
      <c r="BT600"/>
      <c r="BU600"/>
      <c r="BV600"/>
      <c r="BW600"/>
      <c r="BX600"/>
      <c r="BY600"/>
      <c r="BZ600"/>
      <c r="CA600"/>
      <c r="CB600"/>
    </row>
    <row r="601" ht="15.0" customHeight="true">
      <c r="A601" s="51" t="s">
        <v>2448</v>
      </c>
      <c r="B601" s="33"/>
      <c r="C601" s="33" t="s">
        <v>2666</v>
      </c>
      <c r="D601" s="33"/>
      <c r="E601" s="33" t="s">
        <v>6927</v>
      </c>
      <c r="F601" s="33"/>
      <c r="G601" s="55" t="s">
        <v>6928</v>
      </c>
      <c r="H601" s="33"/>
      <c r="I601" s="51" t="s">
        <v>6929</v>
      </c>
      <c r="J601" s="33"/>
      <c r="K601" s="51" t="s">
        <v>6930</v>
      </c>
      <c r="L601" s="33" t="s">
        <v>2454</v>
      </c>
      <c r="M601" s="55" t="s">
        <v>5487</v>
      </c>
      <c r="N601" s="55" t="s">
        <v>4102</v>
      </c>
      <c r="O601" s="33" t="s">
        <v>2272</v>
      </c>
      <c r="P601" s="33" t="s">
        <v>2251</v>
      </c>
      <c r="Q601" s="33"/>
      <c r="R601" s="33" t="s">
        <v>2263</v>
      </c>
      <c r="S601" s="56" t="s">
        <v>2277</v>
      </c>
      <c r="T601" s="56"/>
      <c r="U601" s="56"/>
      <c r="V601" s="33" t="s">
        <v>2456</v>
      </c>
      <c r="W601" s="94" t="s">
        <v>2457</v>
      </c>
      <c r="X601" s="94" t="s">
        <v>2458</v>
      </c>
      <c r="Y601" s="51"/>
      <c r="Z601" s="51"/>
      <c r="AA601" s="33" t="s">
        <v>2459</v>
      </c>
      <c r="AB601" s="33" t="s">
        <v>2460</v>
      </c>
      <c r="AC601" s="33"/>
      <c r="AD601" s="33" t="s">
        <v>2254</v>
      </c>
      <c r="AE601" s="33"/>
      <c r="AF601" s="33" t="s">
        <v>2267</v>
      </c>
      <c r="AG601" s="33" t="s">
        <v>2461</v>
      </c>
      <c r="AH601" s="33"/>
      <c r="AI601" s="33"/>
      <c r="AJ601" s="33" t="s">
        <v>6931</v>
      </c>
      <c r="AK601" s="94"/>
      <c r="AL601" s="33" t="s">
        <v>6932</v>
      </c>
      <c r="AM601" s="33" t="s">
        <v>6933</v>
      </c>
      <c r="AN601" s="33" t="s">
        <v>2465</v>
      </c>
      <c r="AO601" s="51" t="s">
        <v>2618</v>
      </c>
      <c r="AP601" s="51" t="s">
        <v>207</v>
      </c>
      <c r="AQ601" s="33"/>
      <c r="AR601" s="54"/>
      <c r="AS601" s="54"/>
      <c r="AT601" s="54"/>
      <c r="AU601" s="54"/>
      <c r="AV601" s="54"/>
      <c r="AW601" s="54"/>
      <c r="AX601" s="54"/>
      <c r="AY601" s="54"/>
      <c r="AZ601" s="54"/>
      <c r="BA601" s="54"/>
      <c r="BB601" s="54"/>
      <c r="BC601" s="54"/>
      <c r="BD601" s="54" t="s">
        <v>2447</v>
      </c>
      <c r="BE601" s="54"/>
      <c r="BF601" s="54"/>
      <c r="BG601" s="54"/>
      <c r="BH601" s="54"/>
      <c r="BI601" s="54"/>
      <c r="BJ601" s="0"/>
      <c r="BK601" s="0"/>
      <c r="BL601" s="0"/>
      <c r="BM601" s="0"/>
      <c r="BN601" s="0"/>
      <c r="BO601" s="0"/>
      <c r="BP601"/>
      <c r="BQ601"/>
      <c r="BR601"/>
      <c r="BS601"/>
      <c r="BT601"/>
      <c r="BU601"/>
      <c r="BV601"/>
      <c r="BW601"/>
      <c r="BX601"/>
      <c r="BY601"/>
      <c r="BZ601"/>
      <c r="CA601"/>
      <c r="CB601"/>
    </row>
    <row r="602" ht="15.0" customHeight="true">
      <c r="A602" s="51" t="s">
        <v>2448</v>
      </c>
      <c r="B602" s="33"/>
      <c r="C602" s="33" t="s">
        <v>6934</v>
      </c>
      <c r="D602" s="33"/>
      <c r="E602" s="33" t="s">
        <v>6935</v>
      </c>
      <c r="F602" s="33"/>
      <c r="G602" s="55" t="s">
        <v>6936</v>
      </c>
      <c r="H602" s="33"/>
      <c r="I602" s="51" t="s">
        <v>6937</v>
      </c>
      <c r="J602" s="33"/>
      <c r="K602" s="51" t="s">
        <v>6938</v>
      </c>
      <c r="L602" s="33" t="s">
        <v>2454</v>
      </c>
      <c r="M602" s="55" t="s">
        <v>3194</v>
      </c>
      <c r="N602" s="55" t="s">
        <v>2615</v>
      </c>
      <c r="O602" s="33" t="s">
        <v>2272</v>
      </c>
      <c r="P602" s="33" t="s">
        <v>2251</v>
      </c>
      <c r="Q602" s="33"/>
      <c r="R602" s="33" t="s">
        <v>2263</v>
      </c>
      <c r="S602" s="56" t="s">
        <v>2277</v>
      </c>
      <c r="T602" s="56"/>
      <c r="U602" s="56"/>
      <c r="V602" s="33" t="s">
        <v>2456</v>
      </c>
      <c r="W602" s="94" t="s">
        <v>2457</v>
      </c>
      <c r="X602" s="94" t="s">
        <v>2458</v>
      </c>
      <c r="Y602" s="51"/>
      <c r="Z602" s="51"/>
      <c r="AA602" s="33" t="s">
        <v>2459</v>
      </c>
      <c r="AB602" s="33" t="s">
        <v>2460</v>
      </c>
      <c r="AC602" s="33"/>
      <c r="AD602" s="33" t="s">
        <v>2254</v>
      </c>
      <c r="AE602" s="33"/>
      <c r="AF602" s="33" t="s">
        <v>2267</v>
      </c>
      <c r="AG602" s="33" t="s">
        <v>2461</v>
      </c>
      <c r="AH602" s="33"/>
      <c r="AI602" s="33"/>
      <c r="AJ602" s="33" t="s">
        <v>6939</v>
      </c>
      <c r="AK602" s="94"/>
      <c r="AL602" s="33" t="s">
        <v>3916</v>
      </c>
      <c r="AM602" s="33" t="s">
        <v>6940</v>
      </c>
      <c r="AN602" s="33" t="s">
        <v>2465</v>
      </c>
      <c r="AO602" s="51" t="s">
        <v>2528</v>
      </c>
      <c r="AP602" s="51" t="s">
        <v>207</v>
      </c>
      <c r="AQ602" s="33"/>
      <c r="AR602" s="54"/>
      <c r="AS602" s="54"/>
      <c r="AT602" s="54"/>
      <c r="AU602" s="54"/>
      <c r="AV602" s="54"/>
      <c r="AW602" s="54"/>
      <c r="AX602" s="54"/>
      <c r="AY602" s="54"/>
      <c r="AZ602" s="54"/>
      <c r="BA602" s="54"/>
      <c r="BB602" s="54"/>
      <c r="BC602" s="54"/>
      <c r="BD602" s="54" t="s">
        <v>2447</v>
      </c>
      <c r="BE602" s="54"/>
      <c r="BF602" s="54"/>
      <c r="BG602" s="54"/>
      <c r="BH602" s="54"/>
      <c r="BI602" s="54"/>
      <c r="BJ602" s="0"/>
      <c r="BK602" s="0"/>
      <c r="BL602" s="0"/>
      <c r="BM602" s="0"/>
      <c r="BN602" s="0"/>
      <c r="BO602" s="0"/>
      <c r="BP602"/>
      <c r="BQ602"/>
      <c r="BR602"/>
      <c r="BS602"/>
      <c r="BT602"/>
      <c r="BU602"/>
      <c r="BV602"/>
      <c r="BW602"/>
      <c r="BX602"/>
      <c r="BY602"/>
      <c r="BZ602"/>
      <c r="CA602"/>
      <c r="CB602"/>
    </row>
    <row r="603" ht="15.0" customHeight="true">
      <c r="A603" s="51" t="s">
        <v>2448</v>
      </c>
      <c r="B603" s="33"/>
      <c r="C603" s="33" t="s">
        <v>2948</v>
      </c>
      <c r="D603" s="33"/>
      <c r="E603" s="33" t="s">
        <v>6941</v>
      </c>
      <c r="F603" s="33"/>
      <c r="G603" s="55" t="s">
        <v>6942</v>
      </c>
      <c r="H603" s="33"/>
      <c r="I603" s="51" t="s">
        <v>6943</v>
      </c>
      <c r="J603" s="33"/>
      <c r="K603" s="51" t="s">
        <v>6944</v>
      </c>
      <c r="L603" s="33" t="s">
        <v>2454</v>
      </c>
      <c r="M603" s="55" t="s">
        <v>5535</v>
      </c>
      <c r="N603" s="55" t="s">
        <v>5535</v>
      </c>
      <c r="O603" s="33" t="s">
        <v>2272</v>
      </c>
      <c r="P603" s="33" t="s">
        <v>2251</v>
      </c>
      <c r="Q603" s="33"/>
      <c r="R603" s="33" t="s">
        <v>2263</v>
      </c>
      <c r="S603" s="56" t="s">
        <v>2277</v>
      </c>
      <c r="T603" s="56"/>
      <c r="U603" s="56"/>
      <c r="V603" s="33" t="s">
        <v>2456</v>
      </c>
      <c r="W603" s="94" t="s">
        <v>2457</v>
      </c>
      <c r="X603" s="94" t="s">
        <v>2458</v>
      </c>
      <c r="Y603" s="51"/>
      <c r="Z603" s="51"/>
      <c r="AA603" s="33" t="s">
        <v>2459</v>
      </c>
      <c r="AB603" s="33" t="s">
        <v>2460</v>
      </c>
      <c r="AC603" s="33"/>
      <c r="AD603" s="33" t="s">
        <v>2254</v>
      </c>
      <c r="AE603" s="33"/>
      <c r="AF603" s="33" t="s">
        <v>2267</v>
      </c>
      <c r="AG603" s="33" t="s">
        <v>2461</v>
      </c>
      <c r="AH603" s="33"/>
      <c r="AI603" s="33"/>
      <c r="AJ603" s="33" t="s">
        <v>6945</v>
      </c>
      <c r="AK603" s="94"/>
      <c r="AL603" s="33" t="s">
        <v>6946</v>
      </c>
      <c r="AM603" s="33" t="s">
        <v>6947</v>
      </c>
      <c r="AN603" s="33" t="s">
        <v>2465</v>
      </c>
      <c r="AO603" s="51" t="s">
        <v>2618</v>
      </c>
      <c r="AP603" s="51" t="s">
        <v>207</v>
      </c>
      <c r="AQ603" s="33"/>
      <c r="AR603" s="54"/>
      <c r="AS603" s="54"/>
      <c r="AT603" s="54"/>
      <c r="AU603" s="54"/>
      <c r="AV603" s="54"/>
      <c r="AW603" s="54"/>
      <c r="AX603" s="54"/>
      <c r="AY603" s="54"/>
      <c r="AZ603" s="54"/>
      <c r="BA603" s="54"/>
      <c r="BB603" s="54"/>
      <c r="BC603" s="54"/>
      <c r="BD603" s="54" t="s">
        <v>2447</v>
      </c>
      <c r="BE603" s="54"/>
      <c r="BF603" s="54"/>
      <c r="BG603" s="54"/>
      <c r="BH603" s="54"/>
      <c r="BI603" s="54"/>
      <c r="BJ603" s="0"/>
      <c r="BK603" s="0"/>
      <c r="BL603" s="0"/>
      <c r="BM603" s="0"/>
      <c r="BN603" s="0"/>
      <c r="BO603" s="0"/>
      <c r="BP603"/>
      <c r="BQ603"/>
      <c r="BR603"/>
      <c r="BS603"/>
      <c r="BT603"/>
      <c r="BU603"/>
      <c r="BV603"/>
      <c r="BW603"/>
      <c r="BX603"/>
      <c r="BY603"/>
      <c r="BZ603"/>
      <c r="CA603"/>
      <c r="CB603"/>
    </row>
    <row r="604" ht="15.0" customHeight="true">
      <c r="A604" s="51" t="s">
        <v>2448</v>
      </c>
      <c r="B604" s="33"/>
      <c r="C604" s="33" t="s">
        <v>6948</v>
      </c>
      <c r="D604" s="33"/>
      <c r="E604" s="33" t="s">
        <v>6949</v>
      </c>
      <c r="F604" s="33"/>
      <c r="G604" s="55" t="s">
        <v>6950</v>
      </c>
      <c r="H604" s="33"/>
      <c r="I604" s="51" t="s">
        <v>6951</v>
      </c>
      <c r="J604" s="33"/>
      <c r="K604" s="51" t="s">
        <v>6952</v>
      </c>
      <c r="L604" s="33" t="s">
        <v>2454</v>
      </c>
      <c r="M604" s="55" t="s">
        <v>2554</v>
      </c>
      <c r="N604" s="55" t="s">
        <v>2554</v>
      </c>
      <c r="O604" s="33" t="s">
        <v>2272</v>
      </c>
      <c r="P604" s="33" t="s">
        <v>2251</v>
      </c>
      <c r="Q604" s="33"/>
      <c r="R604" s="33" t="s">
        <v>2263</v>
      </c>
      <c r="S604" s="56" t="s">
        <v>2277</v>
      </c>
      <c r="T604" s="56"/>
      <c r="U604" s="56"/>
      <c r="V604" s="33" t="s">
        <v>2456</v>
      </c>
      <c r="W604" s="94" t="s">
        <v>2457</v>
      </c>
      <c r="X604" s="94" t="s">
        <v>2474</v>
      </c>
      <c r="Y604" s="51"/>
      <c r="Z604" s="51"/>
      <c r="AA604" s="33" t="s">
        <v>2459</v>
      </c>
      <c r="AB604" s="33" t="s">
        <v>2460</v>
      </c>
      <c r="AC604" s="33"/>
      <c r="AD604" s="33" t="s">
        <v>2254</v>
      </c>
      <c r="AE604" s="33"/>
      <c r="AF604" s="33" t="s">
        <v>2267</v>
      </c>
      <c r="AG604" s="33" t="s">
        <v>2461</v>
      </c>
      <c r="AH604" s="33"/>
      <c r="AI604" s="33"/>
      <c r="AJ604" s="33" t="s">
        <v>6953</v>
      </c>
      <c r="AK604" s="94"/>
      <c r="AL604" s="33" t="s">
        <v>6954</v>
      </c>
      <c r="AM604" s="33"/>
      <c r="AN604" s="33" t="s">
        <v>2465</v>
      </c>
      <c r="AO604" s="51" t="s">
        <v>2489</v>
      </c>
      <c r="AP604" s="51" t="s">
        <v>207</v>
      </c>
      <c r="AQ604" s="33"/>
      <c r="AR604" s="54"/>
      <c r="AS604" s="54"/>
      <c r="AT604" s="54"/>
      <c r="AU604" s="54"/>
      <c r="AV604" s="54"/>
      <c r="AW604" s="54"/>
      <c r="AX604" s="54"/>
      <c r="AY604" s="54"/>
      <c r="AZ604" s="54"/>
      <c r="BA604" s="54"/>
      <c r="BB604" s="54"/>
      <c r="BC604" s="54"/>
      <c r="BD604" s="54" t="s">
        <v>2447</v>
      </c>
      <c r="BE604" s="54"/>
      <c r="BF604" s="54"/>
      <c r="BG604" s="54"/>
      <c r="BH604" s="54"/>
      <c r="BI604" s="54"/>
      <c r="BJ604" s="0"/>
      <c r="BK604" s="0"/>
      <c r="BL604" s="0"/>
      <c r="BM604" s="0"/>
      <c r="BN604" s="0"/>
      <c r="BO604" s="0"/>
      <c r="BP604"/>
      <c r="BQ604"/>
      <c r="BR604"/>
      <c r="BS604"/>
      <c r="BT604"/>
      <c r="BU604"/>
      <c r="BV604"/>
      <c r="BW604"/>
      <c r="BX604"/>
      <c r="BY604"/>
      <c r="BZ604"/>
      <c r="CA604"/>
      <c r="CB604"/>
    </row>
    <row r="605" ht="15.0" customHeight="true">
      <c r="A605" s="51" t="s">
        <v>2448</v>
      </c>
      <c r="B605" s="33"/>
      <c r="C605" s="33" t="s">
        <v>6955</v>
      </c>
      <c r="D605" s="33"/>
      <c r="E605" s="33" t="s">
        <v>6956</v>
      </c>
      <c r="F605" s="33"/>
      <c r="G605" s="55" t="s">
        <v>6957</v>
      </c>
      <c r="H605" s="33"/>
      <c r="I605" s="51" t="s">
        <v>6958</v>
      </c>
      <c r="J605" s="33"/>
      <c r="K605" s="51" t="s">
        <v>6959</v>
      </c>
      <c r="L605" s="33" t="s">
        <v>2454</v>
      </c>
      <c r="M605" s="55" t="s">
        <v>3601</v>
      </c>
      <c r="N605" s="55" t="s">
        <v>3601</v>
      </c>
      <c r="O605" s="33" t="s">
        <v>2272</v>
      </c>
      <c r="P605" s="33" t="s">
        <v>2251</v>
      </c>
      <c r="Q605" s="33"/>
      <c r="R605" s="33" t="s">
        <v>2263</v>
      </c>
      <c r="S605" s="56" t="s">
        <v>2277</v>
      </c>
      <c r="T605" s="56"/>
      <c r="U605" s="56"/>
      <c r="V605" s="33" t="s">
        <v>2456</v>
      </c>
      <c r="W605" s="94" t="s">
        <v>2457</v>
      </c>
      <c r="X605" s="94" t="s">
        <v>2474</v>
      </c>
      <c r="Y605" s="51"/>
      <c r="Z605" s="51"/>
      <c r="AA605" s="33" t="s">
        <v>2459</v>
      </c>
      <c r="AB605" s="33" t="s">
        <v>2460</v>
      </c>
      <c r="AC605" s="33"/>
      <c r="AD605" s="33" t="s">
        <v>2254</v>
      </c>
      <c r="AE605" s="33"/>
      <c r="AF605" s="33" t="s">
        <v>2267</v>
      </c>
      <c r="AG605" s="33" t="s">
        <v>2461</v>
      </c>
      <c r="AH605" s="33"/>
      <c r="AI605" s="33"/>
      <c r="AJ605" s="33" t="s">
        <v>6960</v>
      </c>
      <c r="AK605" s="94"/>
      <c r="AL605" s="33" t="s">
        <v>6961</v>
      </c>
      <c r="AM605" s="33"/>
      <c r="AN605" s="33" t="s">
        <v>2465</v>
      </c>
      <c r="AO605" s="51" t="s">
        <v>2548</v>
      </c>
      <c r="AP605" s="51" t="s">
        <v>207</v>
      </c>
      <c r="AQ605" s="33"/>
      <c r="AR605" s="54"/>
      <c r="AS605" s="54"/>
      <c r="AT605" s="54"/>
      <c r="AU605" s="54"/>
      <c r="AV605" s="54"/>
      <c r="AW605" s="54"/>
      <c r="AX605" s="54"/>
      <c r="AY605" s="54"/>
      <c r="AZ605" s="54"/>
      <c r="BA605" s="54"/>
      <c r="BB605" s="54"/>
      <c r="BC605" s="54"/>
      <c r="BD605" s="54" t="s">
        <v>2447</v>
      </c>
      <c r="BE605" s="54"/>
      <c r="BF605" s="54"/>
      <c r="BG605" s="54"/>
      <c r="BH605" s="54"/>
      <c r="BI605" s="54"/>
      <c r="BJ605" s="0"/>
      <c r="BK605" s="0"/>
      <c r="BL605" s="0"/>
      <c r="BM605" s="0"/>
      <c r="BN605" s="0"/>
      <c r="BO605" s="0"/>
      <c r="BP605"/>
      <c r="BQ605"/>
      <c r="BR605"/>
      <c r="BS605"/>
      <c r="BT605"/>
      <c r="BU605"/>
      <c r="BV605"/>
      <c r="BW605"/>
      <c r="BX605"/>
      <c r="BY605"/>
      <c r="BZ605"/>
      <c r="CA605"/>
      <c r="CB605"/>
    </row>
    <row r="606" ht="15.0" customHeight="true">
      <c r="A606" s="51" t="s">
        <v>2448</v>
      </c>
      <c r="B606" s="33"/>
      <c r="C606" s="33" t="s">
        <v>6962</v>
      </c>
      <c r="D606" s="33"/>
      <c r="E606" s="33" t="s">
        <v>6963</v>
      </c>
      <c r="F606" s="33"/>
      <c r="G606" s="55" t="s">
        <v>6964</v>
      </c>
      <c r="H606" s="33"/>
      <c r="I606" s="51" t="s">
        <v>6965</v>
      </c>
      <c r="J606" s="33"/>
      <c r="K606" s="51" t="s">
        <v>6966</v>
      </c>
      <c r="L606" s="33" t="s">
        <v>2454</v>
      </c>
      <c r="M606" s="55" t="s">
        <v>6967</v>
      </c>
      <c r="N606" s="55" t="s">
        <v>5218</v>
      </c>
      <c r="O606" s="33" t="s">
        <v>2272</v>
      </c>
      <c r="P606" s="33" t="s">
        <v>2251</v>
      </c>
      <c r="Q606" s="33"/>
      <c r="R606" s="33" t="s">
        <v>2263</v>
      </c>
      <c r="S606" s="56" t="s">
        <v>2277</v>
      </c>
      <c r="T606" s="56"/>
      <c r="U606" s="56"/>
      <c r="V606" s="33" t="s">
        <v>2456</v>
      </c>
      <c r="W606" s="94" t="s">
        <v>2457</v>
      </c>
      <c r="X606" s="94" t="s">
        <v>2458</v>
      </c>
      <c r="Y606" s="51"/>
      <c r="Z606" s="51"/>
      <c r="AA606" s="33" t="s">
        <v>2459</v>
      </c>
      <c r="AB606" s="33" t="s">
        <v>2460</v>
      </c>
      <c r="AC606" s="33"/>
      <c r="AD606" s="33" t="s">
        <v>2254</v>
      </c>
      <c r="AE606" s="33"/>
      <c r="AF606" s="33" t="s">
        <v>2267</v>
      </c>
      <c r="AG606" s="33" t="s">
        <v>2461</v>
      </c>
      <c r="AH606" s="33"/>
      <c r="AI606" s="33"/>
      <c r="AJ606" s="33" t="s">
        <v>6968</v>
      </c>
      <c r="AK606" s="94"/>
      <c r="AL606" s="33" t="s">
        <v>6969</v>
      </c>
      <c r="AM606" s="33"/>
      <c r="AN606" s="33" t="s">
        <v>2465</v>
      </c>
      <c r="AO606" s="51" t="s">
        <v>2528</v>
      </c>
      <c r="AP606" s="51" t="s">
        <v>207</v>
      </c>
      <c r="AQ606" s="33"/>
      <c r="AR606" s="54"/>
      <c r="AS606" s="54"/>
      <c r="AT606" s="54"/>
      <c r="AU606" s="54"/>
      <c r="AV606" s="54"/>
      <c r="AW606" s="54"/>
      <c r="AX606" s="54"/>
      <c r="AY606" s="54"/>
      <c r="AZ606" s="54"/>
      <c r="BA606" s="54"/>
      <c r="BB606" s="54"/>
      <c r="BC606" s="54"/>
      <c r="BD606" s="54" t="s">
        <v>2447</v>
      </c>
      <c r="BE606" s="54"/>
      <c r="BF606" s="54"/>
      <c r="BG606" s="54"/>
      <c r="BH606" s="54"/>
      <c r="BI606" s="54"/>
      <c r="BJ606" s="0"/>
      <c r="BK606" s="0"/>
      <c r="BL606" s="0"/>
      <c r="BM606" s="0"/>
      <c r="BN606" s="0"/>
      <c r="BO606" s="0"/>
      <c r="BP606"/>
      <c r="BQ606"/>
      <c r="BR606"/>
      <c r="BS606"/>
      <c r="BT606"/>
      <c r="BU606"/>
      <c r="BV606"/>
      <c r="BW606"/>
      <c r="BX606"/>
      <c r="BY606"/>
      <c r="BZ606"/>
      <c r="CA606"/>
      <c r="CB606"/>
    </row>
    <row r="607" ht="15.0" customHeight="true">
      <c r="A607" s="51" t="s">
        <v>2448</v>
      </c>
      <c r="B607" s="33"/>
      <c r="C607" s="33" t="s">
        <v>2636</v>
      </c>
      <c r="D607" s="33"/>
      <c r="E607" s="33" t="s">
        <v>6970</v>
      </c>
      <c r="F607" s="33"/>
      <c r="G607" s="55" t="s">
        <v>6971</v>
      </c>
      <c r="H607" s="33"/>
      <c r="I607" s="51" t="s">
        <v>6972</v>
      </c>
      <c r="J607" s="33"/>
      <c r="K607" s="51" t="s">
        <v>6973</v>
      </c>
      <c r="L607" s="33" t="s">
        <v>2454</v>
      </c>
      <c r="M607" s="55" t="s">
        <v>3966</v>
      </c>
      <c r="N607" s="55" t="s">
        <v>3966</v>
      </c>
      <c r="O607" s="33" t="s">
        <v>2272</v>
      </c>
      <c r="P607" s="33" t="s">
        <v>2251</v>
      </c>
      <c r="Q607" s="33"/>
      <c r="R607" s="33" t="s">
        <v>2263</v>
      </c>
      <c r="S607" s="56" t="s">
        <v>2277</v>
      </c>
      <c r="T607" s="56"/>
      <c r="U607" s="56"/>
      <c r="V607" s="33" t="s">
        <v>2456</v>
      </c>
      <c r="W607" s="94" t="s">
        <v>2457</v>
      </c>
      <c r="X607" s="94" t="s">
        <v>2474</v>
      </c>
      <c r="Y607" s="51"/>
      <c r="Z607" s="51"/>
      <c r="AA607" s="33" t="s">
        <v>2459</v>
      </c>
      <c r="AB607" s="33" t="s">
        <v>2460</v>
      </c>
      <c r="AC607" s="33"/>
      <c r="AD607" s="33" t="s">
        <v>2254</v>
      </c>
      <c r="AE607" s="33"/>
      <c r="AF607" s="33" t="s">
        <v>2267</v>
      </c>
      <c r="AG607" s="33" t="s">
        <v>2461</v>
      </c>
      <c r="AH607" s="33"/>
      <c r="AI607" s="33"/>
      <c r="AJ607" s="33" t="s">
        <v>6974</v>
      </c>
      <c r="AK607" s="94"/>
      <c r="AL607" s="33" t="s">
        <v>6975</v>
      </c>
      <c r="AM607" s="33"/>
      <c r="AN607" s="33" t="s">
        <v>2465</v>
      </c>
      <c r="AO607" s="51" t="s">
        <v>2673</v>
      </c>
      <c r="AP607" s="51" t="s">
        <v>207</v>
      </c>
      <c r="AQ607" s="33"/>
      <c r="AR607" s="54"/>
      <c r="AS607" s="54"/>
      <c r="AT607" s="54"/>
      <c r="AU607" s="54"/>
      <c r="AV607" s="54"/>
      <c r="AW607" s="54"/>
      <c r="AX607" s="54"/>
      <c r="AY607" s="54"/>
      <c r="AZ607" s="54"/>
      <c r="BA607" s="54"/>
      <c r="BB607" s="54"/>
      <c r="BC607" s="54"/>
      <c r="BD607" s="54" t="s">
        <v>2447</v>
      </c>
      <c r="BE607" s="54"/>
      <c r="BF607" s="54"/>
      <c r="BG607" s="54"/>
      <c r="BH607" s="54"/>
      <c r="BI607" s="54"/>
      <c r="BJ607" s="0"/>
      <c r="BK607" s="0"/>
      <c r="BL607" s="0"/>
      <c r="BM607" s="0"/>
      <c r="BN607" s="0"/>
      <c r="BO607" s="0"/>
      <c r="BP607"/>
      <c r="BQ607"/>
      <c r="BR607"/>
      <c r="BS607"/>
      <c r="BT607"/>
      <c r="BU607"/>
      <c r="BV607"/>
      <c r="BW607"/>
      <c r="BX607"/>
      <c r="BY607"/>
      <c r="BZ607"/>
      <c r="CA607"/>
      <c r="CB607"/>
    </row>
    <row r="608" ht="15.0" customHeight="true">
      <c r="A608" s="51" t="s">
        <v>2448</v>
      </c>
      <c r="B608" s="33"/>
      <c r="C608" s="33" t="s">
        <v>5065</v>
      </c>
      <c r="D608" s="33"/>
      <c r="E608" s="33" t="s">
        <v>6976</v>
      </c>
      <c r="F608" s="33"/>
      <c r="G608" s="55" t="s">
        <v>6977</v>
      </c>
      <c r="H608" s="33"/>
      <c r="I608" s="51" t="s">
        <v>6978</v>
      </c>
      <c r="J608" s="33"/>
      <c r="K608" s="51" t="s">
        <v>6979</v>
      </c>
      <c r="L608" s="33" t="s">
        <v>2454</v>
      </c>
      <c r="M608" s="55" t="s">
        <v>3037</v>
      </c>
      <c r="N608" s="55" t="s">
        <v>3037</v>
      </c>
      <c r="O608" s="33" t="s">
        <v>2272</v>
      </c>
      <c r="P608" s="33" t="s">
        <v>2251</v>
      </c>
      <c r="Q608" s="33"/>
      <c r="R608" s="33" t="s">
        <v>2263</v>
      </c>
      <c r="S608" s="56" t="s">
        <v>2277</v>
      </c>
      <c r="T608" s="56"/>
      <c r="U608" s="56"/>
      <c r="V608" s="33" t="s">
        <v>2456</v>
      </c>
      <c r="W608" s="94" t="s">
        <v>2457</v>
      </c>
      <c r="X608" s="94" t="s">
        <v>2474</v>
      </c>
      <c r="Y608" s="51"/>
      <c r="Z608" s="51"/>
      <c r="AA608" s="33" t="s">
        <v>2459</v>
      </c>
      <c r="AB608" s="33" t="s">
        <v>2460</v>
      </c>
      <c r="AC608" s="33"/>
      <c r="AD608" s="33" t="s">
        <v>2254</v>
      </c>
      <c r="AE608" s="33"/>
      <c r="AF608" s="33" t="s">
        <v>2267</v>
      </c>
      <c r="AG608" s="33" t="s">
        <v>2461</v>
      </c>
      <c r="AH608" s="33"/>
      <c r="AI608" s="33"/>
      <c r="AJ608" s="33" t="s">
        <v>6980</v>
      </c>
      <c r="AK608" s="94"/>
      <c r="AL608" s="33" t="s">
        <v>6981</v>
      </c>
      <c r="AM608" s="33"/>
      <c r="AN608" s="33" t="s">
        <v>2588</v>
      </c>
      <c r="AO608" s="51" t="s">
        <v>2589</v>
      </c>
      <c r="AP608" s="51" t="s">
        <v>207</v>
      </c>
      <c r="AQ608" s="33"/>
      <c r="AR608" s="54"/>
      <c r="AS608" s="54"/>
      <c r="AT608" s="54"/>
      <c r="AU608" s="54"/>
      <c r="AV608" s="54"/>
      <c r="AW608" s="54"/>
      <c r="AX608" s="54"/>
      <c r="AY608" s="54"/>
      <c r="AZ608" s="54"/>
      <c r="BA608" s="54"/>
      <c r="BB608" s="54"/>
      <c r="BC608" s="54"/>
      <c r="BD608" s="54" t="s">
        <v>2447</v>
      </c>
      <c r="BE608" s="54"/>
      <c r="BF608" s="54"/>
      <c r="BG608" s="54"/>
      <c r="BH608" s="54"/>
      <c r="BI608" s="54"/>
      <c r="BJ608" s="0"/>
      <c r="BK608" s="0"/>
      <c r="BL608" s="0"/>
      <c r="BM608" s="0"/>
      <c r="BN608" s="0"/>
      <c r="BO608" s="0"/>
      <c r="BP608"/>
      <c r="BQ608"/>
      <c r="BR608"/>
      <c r="BS608"/>
      <c r="BT608"/>
      <c r="BU608"/>
      <c r="BV608"/>
      <c r="BW608"/>
      <c r="BX608"/>
      <c r="BY608"/>
      <c r="BZ608"/>
      <c r="CA608"/>
      <c r="CB608"/>
    </row>
    <row r="609" ht="15.0" customHeight="true">
      <c r="A609" s="51" t="s">
        <v>2448</v>
      </c>
      <c r="B609" s="33"/>
      <c r="C609" s="33" t="s">
        <v>6982</v>
      </c>
      <c r="D609" s="33"/>
      <c r="E609" s="33" t="s">
        <v>6983</v>
      </c>
      <c r="F609" s="33"/>
      <c r="G609" s="55" t="s">
        <v>6984</v>
      </c>
      <c r="H609" s="33"/>
      <c r="I609" s="51" t="s">
        <v>6985</v>
      </c>
      <c r="J609" s="33"/>
      <c r="K609" s="51" t="s">
        <v>6986</v>
      </c>
      <c r="L609" s="33" t="s">
        <v>2484</v>
      </c>
      <c r="M609" s="55" t="s">
        <v>2544</v>
      </c>
      <c r="N609" s="55"/>
      <c r="O609" s="33"/>
      <c r="P609" s="33" t="s">
        <v>2251</v>
      </c>
      <c r="Q609" s="33"/>
      <c r="R609" s="33" t="s">
        <v>2263</v>
      </c>
      <c r="S609" s="56" t="s">
        <v>2277</v>
      </c>
      <c r="T609" s="56"/>
      <c r="U609" s="56"/>
      <c r="V609" s="33" t="s">
        <v>2456</v>
      </c>
      <c r="W609" s="94" t="s">
        <v>2457</v>
      </c>
      <c r="X609" s="94" t="s">
        <v>2474</v>
      </c>
      <c r="Y609" s="51"/>
      <c r="Z609" s="51"/>
      <c r="AA609" s="33" t="s">
        <v>2459</v>
      </c>
      <c r="AB609" s="33" t="s">
        <v>2460</v>
      </c>
      <c r="AC609" s="33" t="s">
        <v>2486</v>
      </c>
      <c r="AD609" s="33" t="s">
        <v>2254</v>
      </c>
      <c r="AE609" s="33"/>
      <c r="AF609" s="33" t="s">
        <v>2267</v>
      </c>
      <c r="AG609" s="33" t="s">
        <v>2461</v>
      </c>
      <c r="AH609" s="33"/>
      <c r="AI609" s="33" t="s">
        <v>6987</v>
      </c>
      <c r="AJ609" s="33" t="s">
        <v>6988</v>
      </c>
      <c r="AK609" s="94"/>
      <c r="AL609" s="33" t="s">
        <v>6989</v>
      </c>
      <c r="AM609" s="33"/>
      <c r="AN609" s="33" t="s">
        <v>4029</v>
      </c>
      <c r="AO609" s="51" t="s">
        <v>4030</v>
      </c>
      <c r="AP609" s="51" t="s">
        <v>207</v>
      </c>
      <c r="AQ609" s="33"/>
      <c r="AR609" s="54"/>
      <c r="AS609" s="54"/>
      <c r="AT609" s="54"/>
      <c r="AU609" s="54"/>
      <c r="AV609" s="54"/>
      <c r="AW609" s="54"/>
      <c r="AX609" s="54"/>
      <c r="AY609" s="54"/>
      <c r="AZ609" s="54"/>
      <c r="BA609" s="54"/>
      <c r="BB609" s="54"/>
      <c r="BC609" s="54"/>
      <c r="BD609" s="54" t="s">
        <v>2447</v>
      </c>
      <c r="BE609" s="54"/>
      <c r="BF609" s="54"/>
      <c r="BG609" s="54"/>
      <c r="BH609" s="54"/>
      <c r="BI609" s="54"/>
      <c r="BJ609" s="0"/>
      <c r="BK609" s="0"/>
      <c r="BL609" s="0"/>
      <c r="BM609" s="0"/>
      <c r="BN609" s="0"/>
      <c r="BO609" s="0"/>
      <c r="BP609"/>
      <c r="BQ609"/>
      <c r="BR609"/>
      <c r="BS609"/>
      <c r="BT609"/>
      <c r="BU609"/>
      <c r="BV609"/>
      <c r="BW609"/>
      <c r="BX609"/>
      <c r="BY609"/>
      <c r="BZ609"/>
      <c r="CA609"/>
      <c r="CB609"/>
    </row>
    <row r="610" ht="15.0" customHeight="true">
      <c r="A610" s="51" t="s">
        <v>2448</v>
      </c>
      <c r="B610" s="33"/>
      <c r="C610" s="33" t="s">
        <v>2579</v>
      </c>
      <c r="D610" s="33"/>
      <c r="E610" s="33" t="s">
        <v>2480</v>
      </c>
      <c r="F610" s="33"/>
      <c r="G610" s="55" t="s">
        <v>4678</v>
      </c>
      <c r="H610" s="33"/>
      <c r="I610" s="51" t="s">
        <v>6990</v>
      </c>
      <c r="J610" s="33"/>
      <c r="K610" s="51" t="s">
        <v>6991</v>
      </c>
      <c r="L610" s="33" t="s">
        <v>2454</v>
      </c>
      <c r="M610" s="55" t="s">
        <v>3288</v>
      </c>
      <c r="N610" s="55" t="s">
        <v>3761</v>
      </c>
      <c r="O610" s="33" t="s">
        <v>2272</v>
      </c>
      <c r="P610" s="33" t="s">
        <v>2251</v>
      </c>
      <c r="Q610" s="33"/>
      <c r="R610" s="33" t="s">
        <v>2263</v>
      </c>
      <c r="S610" s="56" t="s">
        <v>2277</v>
      </c>
      <c r="T610" s="56"/>
      <c r="U610" s="56"/>
      <c r="V610" s="33" t="s">
        <v>2456</v>
      </c>
      <c r="W610" s="94" t="s">
        <v>2457</v>
      </c>
      <c r="X610" s="94" t="s">
        <v>2458</v>
      </c>
      <c r="Y610" s="51"/>
      <c r="Z610" s="51"/>
      <c r="AA610" s="33" t="s">
        <v>2459</v>
      </c>
      <c r="AB610" s="33" t="s">
        <v>2460</v>
      </c>
      <c r="AC610" s="33"/>
      <c r="AD610" s="33" t="s">
        <v>2254</v>
      </c>
      <c r="AE610" s="33"/>
      <c r="AF610" s="33" t="s">
        <v>2267</v>
      </c>
      <c r="AG610" s="33" t="s">
        <v>2461</v>
      </c>
      <c r="AH610" s="33"/>
      <c r="AI610" s="33"/>
      <c r="AJ610" s="33" t="s">
        <v>6992</v>
      </c>
      <c r="AK610" s="94"/>
      <c r="AL610" s="33" t="s">
        <v>6993</v>
      </c>
      <c r="AM610" s="33"/>
      <c r="AN610" s="33" t="s">
        <v>2465</v>
      </c>
      <c r="AO610" s="51" t="s">
        <v>2820</v>
      </c>
      <c r="AP610" s="51" t="s">
        <v>207</v>
      </c>
      <c r="AQ610" s="33"/>
      <c r="AR610" s="54"/>
      <c r="AS610" s="54"/>
      <c r="AT610" s="54"/>
      <c r="AU610" s="54"/>
      <c r="AV610" s="54"/>
      <c r="AW610" s="54"/>
      <c r="AX610" s="54"/>
      <c r="AY610" s="54"/>
      <c r="AZ610" s="54"/>
      <c r="BA610" s="54"/>
      <c r="BB610" s="54"/>
      <c r="BC610" s="54"/>
      <c r="BD610" s="54" t="s">
        <v>2447</v>
      </c>
      <c r="BE610" s="54"/>
      <c r="BF610" s="54"/>
      <c r="BG610" s="54"/>
      <c r="BH610" s="54"/>
      <c r="BI610" s="54"/>
      <c r="BJ610" s="0"/>
      <c r="BK610" s="0"/>
      <c r="BL610" s="0"/>
      <c r="BM610" s="0"/>
      <c r="BN610" s="0"/>
      <c r="BO610" s="0"/>
      <c r="BP610"/>
      <c r="BQ610"/>
      <c r="BR610"/>
      <c r="BS610"/>
      <c r="BT610"/>
      <c r="BU610"/>
      <c r="BV610"/>
      <c r="BW610"/>
      <c r="BX610"/>
      <c r="BY610"/>
      <c r="BZ610"/>
      <c r="CA610"/>
      <c r="CB610"/>
    </row>
    <row r="611" ht="15.0" customHeight="true">
      <c r="A611" s="51" t="s">
        <v>2448</v>
      </c>
      <c r="B611" s="33"/>
      <c r="C611" s="33" t="s">
        <v>6994</v>
      </c>
      <c r="D611" s="33"/>
      <c r="E611" s="33" t="s">
        <v>6995</v>
      </c>
      <c r="F611" s="33"/>
      <c r="G611" s="55" t="s">
        <v>6996</v>
      </c>
      <c r="H611" s="33"/>
      <c r="I611" s="51" t="s">
        <v>6997</v>
      </c>
      <c r="J611" s="33"/>
      <c r="K611" s="51" t="s">
        <v>6998</v>
      </c>
      <c r="L611" s="33" t="s">
        <v>2454</v>
      </c>
      <c r="M611" s="55" t="s">
        <v>3544</v>
      </c>
      <c r="N611" s="55" t="s">
        <v>6999</v>
      </c>
      <c r="O611" s="33" t="s">
        <v>2272</v>
      </c>
      <c r="P611" s="33" t="s">
        <v>2251</v>
      </c>
      <c r="Q611" s="33"/>
      <c r="R611" s="33" t="s">
        <v>2263</v>
      </c>
      <c r="S611" s="56" t="s">
        <v>2277</v>
      </c>
      <c r="T611" s="56"/>
      <c r="U611" s="56"/>
      <c r="V611" s="33" t="s">
        <v>2456</v>
      </c>
      <c r="W611" s="94" t="s">
        <v>2457</v>
      </c>
      <c r="X611" s="94" t="s">
        <v>2474</v>
      </c>
      <c r="Y611" s="51"/>
      <c r="Z611" s="51"/>
      <c r="AA611" s="33" t="s">
        <v>2459</v>
      </c>
      <c r="AB611" s="33" t="s">
        <v>2460</v>
      </c>
      <c r="AC611" s="33"/>
      <c r="AD611" s="33" t="s">
        <v>2254</v>
      </c>
      <c r="AE611" s="33"/>
      <c r="AF611" s="33" t="s">
        <v>2267</v>
      </c>
      <c r="AG611" s="33" t="s">
        <v>2461</v>
      </c>
      <c r="AH611" s="33"/>
      <c r="AI611" s="33"/>
      <c r="AJ611" s="33" t="s">
        <v>7000</v>
      </c>
      <c r="AK611" s="94"/>
      <c r="AL611" s="33" t="s">
        <v>7001</v>
      </c>
      <c r="AM611" s="33"/>
      <c r="AN611" s="33" t="s">
        <v>2828</v>
      </c>
      <c r="AO611" s="51" t="s">
        <v>2829</v>
      </c>
      <c r="AP611" s="51" t="s">
        <v>207</v>
      </c>
      <c r="AQ611" s="33"/>
      <c r="AR611" s="54"/>
      <c r="AS611" s="54"/>
      <c r="AT611" s="54"/>
      <c r="AU611" s="54"/>
      <c r="AV611" s="54"/>
      <c r="AW611" s="54"/>
      <c r="AX611" s="54"/>
      <c r="AY611" s="54"/>
      <c r="AZ611" s="54"/>
      <c r="BA611" s="54"/>
      <c r="BB611" s="54"/>
      <c r="BC611" s="54"/>
      <c r="BD611" s="54" t="s">
        <v>2447</v>
      </c>
      <c r="BE611" s="54"/>
      <c r="BF611" s="54"/>
      <c r="BG611" s="54"/>
      <c r="BH611" s="54"/>
      <c r="BI611" s="54"/>
      <c r="BJ611" s="0"/>
      <c r="BK611" s="0"/>
      <c r="BL611" s="0"/>
      <c r="BM611" s="0"/>
      <c r="BN611" s="0"/>
      <c r="BO611" s="0"/>
      <c r="BP611"/>
      <c r="BQ611"/>
      <c r="BR611"/>
      <c r="BS611"/>
      <c r="BT611"/>
      <c r="BU611"/>
      <c r="BV611"/>
      <c r="BW611"/>
      <c r="BX611"/>
      <c r="BY611"/>
      <c r="BZ611"/>
      <c r="CA611"/>
      <c r="CB611"/>
    </row>
    <row r="612" ht="15.0" customHeight="true">
      <c r="A612" s="51" t="s">
        <v>2448</v>
      </c>
      <c r="B612" s="33"/>
      <c r="C612" s="33" t="s">
        <v>7002</v>
      </c>
      <c r="D612" s="33"/>
      <c r="E612" s="33" t="s">
        <v>6241</v>
      </c>
      <c r="F612" s="33"/>
      <c r="G612" s="55" t="s">
        <v>7003</v>
      </c>
      <c r="H612" s="33"/>
      <c r="I612" s="51" t="s">
        <v>7004</v>
      </c>
      <c r="J612" s="33"/>
      <c r="K612" s="51" t="s">
        <v>7005</v>
      </c>
      <c r="L612" s="33" t="s">
        <v>2454</v>
      </c>
      <c r="M612" s="55" t="s">
        <v>3018</v>
      </c>
      <c r="N612" s="55" t="s">
        <v>5536</v>
      </c>
      <c r="O612" s="33" t="s">
        <v>2272</v>
      </c>
      <c r="P612" s="33" t="s">
        <v>2251</v>
      </c>
      <c r="Q612" s="33"/>
      <c r="R612" s="33" t="s">
        <v>2263</v>
      </c>
      <c r="S612" s="56" t="s">
        <v>2277</v>
      </c>
      <c r="T612" s="56"/>
      <c r="U612" s="56"/>
      <c r="V612" s="33" t="s">
        <v>2456</v>
      </c>
      <c r="W612" s="94" t="s">
        <v>2457</v>
      </c>
      <c r="X612" s="94" t="s">
        <v>2458</v>
      </c>
      <c r="Y612" s="51"/>
      <c r="Z612" s="51"/>
      <c r="AA612" s="33" t="s">
        <v>2459</v>
      </c>
      <c r="AB612" s="33" t="s">
        <v>2460</v>
      </c>
      <c r="AC612" s="33"/>
      <c r="AD612" s="33" t="s">
        <v>2254</v>
      </c>
      <c r="AE612" s="33"/>
      <c r="AF612" s="33" t="s">
        <v>2267</v>
      </c>
      <c r="AG612" s="33" t="s">
        <v>2461</v>
      </c>
      <c r="AH612" s="33"/>
      <c r="AI612" s="33"/>
      <c r="AJ612" s="33" t="s">
        <v>7006</v>
      </c>
      <c r="AK612" s="94"/>
      <c r="AL612" s="33" t="s">
        <v>7007</v>
      </c>
      <c r="AM612" s="33"/>
      <c r="AN612" s="33" t="s">
        <v>2465</v>
      </c>
      <c r="AO612" s="51" t="s">
        <v>2466</v>
      </c>
      <c r="AP612" s="51" t="s">
        <v>207</v>
      </c>
      <c r="AQ612" s="33"/>
      <c r="AR612" s="54"/>
      <c r="AS612" s="54"/>
      <c r="AT612" s="54"/>
      <c r="AU612" s="54"/>
      <c r="AV612" s="54"/>
      <c r="AW612" s="54"/>
      <c r="AX612" s="54"/>
      <c r="AY612" s="54"/>
      <c r="AZ612" s="54"/>
      <c r="BA612" s="54"/>
      <c r="BB612" s="54"/>
      <c r="BC612" s="54"/>
      <c r="BD612" s="54" t="s">
        <v>2447</v>
      </c>
      <c r="BE612" s="54"/>
      <c r="BF612" s="54"/>
      <c r="BG612" s="54"/>
      <c r="BH612" s="54"/>
      <c r="BI612" s="54"/>
      <c r="BJ612" s="0"/>
      <c r="BK612" s="0"/>
      <c r="BL612" s="0"/>
      <c r="BM612" s="0"/>
      <c r="BN612" s="0"/>
      <c r="BO612" s="0"/>
      <c r="BP612"/>
      <c r="BQ612"/>
      <c r="BR612"/>
      <c r="BS612"/>
      <c r="BT612"/>
      <c r="BU612"/>
      <c r="BV612"/>
      <c r="BW612"/>
      <c r="BX612"/>
      <c r="BY612"/>
      <c r="BZ612"/>
      <c r="CA612"/>
      <c r="CB612"/>
    </row>
    <row r="613" ht="15.0" customHeight="true">
      <c r="A613" s="51" t="s">
        <v>2448</v>
      </c>
      <c r="B613" s="33"/>
      <c r="C613" s="33" t="s">
        <v>7008</v>
      </c>
      <c r="D613" s="33"/>
      <c r="E613" s="33" t="s">
        <v>7009</v>
      </c>
      <c r="F613" s="33"/>
      <c r="G613" s="55" t="s">
        <v>7010</v>
      </c>
      <c r="H613" s="33"/>
      <c r="I613" s="51" t="s">
        <v>7011</v>
      </c>
      <c r="J613" s="33"/>
      <c r="K613" s="51" t="s">
        <v>7012</v>
      </c>
      <c r="L613" s="33" t="s">
        <v>2454</v>
      </c>
      <c r="M613" s="55" t="s">
        <v>2976</v>
      </c>
      <c r="N613" s="55" t="s">
        <v>7013</v>
      </c>
      <c r="O613" s="33" t="s">
        <v>2272</v>
      </c>
      <c r="P613" s="33" t="s">
        <v>2251</v>
      </c>
      <c r="Q613" s="33"/>
      <c r="R613" s="33" t="s">
        <v>2263</v>
      </c>
      <c r="S613" s="56" t="s">
        <v>2277</v>
      </c>
      <c r="T613" s="56"/>
      <c r="U613" s="56"/>
      <c r="V613" s="33" t="s">
        <v>2456</v>
      </c>
      <c r="W613" s="94" t="s">
        <v>2457</v>
      </c>
      <c r="X613" s="94" t="s">
        <v>2474</v>
      </c>
      <c r="Y613" s="51"/>
      <c r="Z613" s="51"/>
      <c r="AA613" s="33" t="s">
        <v>2459</v>
      </c>
      <c r="AB613" s="33" t="s">
        <v>2460</v>
      </c>
      <c r="AC613" s="33"/>
      <c r="AD613" s="33" t="s">
        <v>2254</v>
      </c>
      <c r="AE613" s="33"/>
      <c r="AF613" s="33" t="s">
        <v>2267</v>
      </c>
      <c r="AG613" s="33" t="s">
        <v>2461</v>
      </c>
      <c r="AH613" s="33"/>
      <c r="AI613" s="33"/>
      <c r="AJ613" s="33" t="s">
        <v>7014</v>
      </c>
      <c r="AK613" s="94"/>
      <c r="AL613" s="33" t="s">
        <v>7015</v>
      </c>
      <c r="AM613" s="33"/>
      <c r="AN613" s="33" t="s">
        <v>2465</v>
      </c>
      <c r="AO613" s="51" t="s">
        <v>2489</v>
      </c>
      <c r="AP613" s="51" t="s">
        <v>207</v>
      </c>
      <c r="AQ613" s="33"/>
      <c r="AR613" s="54"/>
      <c r="AS613" s="54"/>
      <c r="AT613" s="54"/>
      <c r="AU613" s="54"/>
      <c r="AV613" s="54"/>
      <c r="AW613" s="54"/>
      <c r="AX613" s="54"/>
      <c r="AY613" s="54"/>
      <c r="AZ613" s="54"/>
      <c r="BA613" s="54"/>
      <c r="BB613" s="54"/>
      <c r="BC613" s="54"/>
      <c r="BD613" s="54" t="s">
        <v>2447</v>
      </c>
      <c r="BE613" s="54"/>
      <c r="BF613" s="54"/>
      <c r="BG613" s="54"/>
      <c r="BH613" s="54"/>
      <c r="BI613" s="54"/>
      <c r="BJ613" s="0"/>
      <c r="BK613" s="0"/>
      <c r="BL613" s="0"/>
      <c r="BM613" s="0"/>
      <c r="BN613" s="0"/>
      <c r="BO613" s="0"/>
      <c r="BP613"/>
      <c r="BQ613"/>
      <c r="BR613"/>
      <c r="BS613"/>
      <c r="BT613"/>
      <c r="BU613"/>
      <c r="BV613"/>
      <c r="BW613"/>
      <c r="BX613"/>
      <c r="BY613"/>
      <c r="BZ613"/>
      <c r="CA613"/>
      <c r="CB613"/>
    </row>
    <row r="614" ht="15.0" customHeight="true">
      <c r="A614" s="51" t="s">
        <v>2448</v>
      </c>
      <c r="B614" s="33"/>
      <c r="C614" s="33" t="s">
        <v>7016</v>
      </c>
      <c r="D614" s="33"/>
      <c r="E614" s="33" t="s">
        <v>7017</v>
      </c>
      <c r="F614" s="33"/>
      <c r="G614" s="55" t="s">
        <v>7018</v>
      </c>
      <c r="H614" s="33"/>
      <c r="I614" s="51" t="s">
        <v>7019</v>
      </c>
      <c r="J614" s="33"/>
      <c r="K614" s="51" t="s">
        <v>7020</v>
      </c>
      <c r="L614" s="33" t="s">
        <v>2484</v>
      </c>
      <c r="M614" s="55" t="s">
        <v>2917</v>
      </c>
      <c r="N614" s="55"/>
      <c r="O614" s="33"/>
      <c r="P614" s="33" t="s">
        <v>2251</v>
      </c>
      <c r="Q614" s="33"/>
      <c r="R614" s="33" t="s">
        <v>2263</v>
      </c>
      <c r="S614" s="56" t="s">
        <v>2277</v>
      </c>
      <c r="T614" s="56"/>
      <c r="U614" s="56"/>
      <c r="V614" s="33" t="s">
        <v>2456</v>
      </c>
      <c r="W614" s="94" t="s">
        <v>2457</v>
      </c>
      <c r="X614" s="94" t="s">
        <v>2474</v>
      </c>
      <c r="Y614" s="51"/>
      <c r="Z614" s="51"/>
      <c r="AA614" s="33" t="s">
        <v>2459</v>
      </c>
      <c r="AB614" s="33" t="s">
        <v>2460</v>
      </c>
      <c r="AC614" s="33" t="s">
        <v>2486</v>
      </c>
      <c r="AD614" s="33" t="s">
        <v>2254</v>
      </c>
      <c r="AE614" s="33"/>
      <c r="AF614" s="33" t="s">
        <v>2267</v>
      </c>
      <c r="AG614" s="33" t="s">
        <v>2461</v>
      </c>
      <c r="AH614" s="33"/>
      <c r="AI614" s="33"/>
      <c r="AJ614" s="33" t="s">
        <v>7021</v>
      </c>
      <c r="AK614" s="94"/>
      <c r="AL614" s="33" t="s">
        <v>7022</v>
      </c>
      <c r="AM614" s="33"/>
      <c r="AN614" s="33" t="s">
        <v>2465</v>
      </c>
      <c r="AO614" s="51" t="s">
        <v>2538</v>
      </c>
      <c r="AP614" s="51" t="s">
        <v>207</v>
      </c>
      <c r="AQ614" s="33"/>
      <c r="AR614" s="54"/>
      <c r="AS614" s="54"/>
      <c r="AT614" s="54"/>
      <c r="AU614" s="54"/>
      <c r="AV614" s="54"/>
      <c r="AW614" s="54"/>
      <c r="AX614" s="54"/>
      <c r="AY614" s="54"/>
      <c r="AZ614" s="54"/>
      <c r="BA614" s="54"/>
      <c r="BB614" s="54"/>
      <c r="BC614" s="54"/>
      <c r="BD614" s="54" t="s">
        <v>2447</v>
      </c>
      <c r="BE614" s="54"/>
      <c r="BF614" s="54"/>
      <c r="BG614" s="54"/>
      <c r="BH614" s="54"/>
      <c r="BI614" s="54"/>
      <c r="BJ614" s="0"/>
      <c r="BK614" s="0"/>
      <c r="BL614" s="0"/>
      <c r="BM614" s="0"/>
      <c r="BN614" s="0"/>
      <c r="BO614" s="0"/>
      <c r="BP614"/>
      <c r="BQ614"/>
      <c r="BR614"/>
      <c r="BS614"/>
      <c r="BT614"/>
      <c r="BU614"/>
      <c r="BV614"/>
      <c r="BW614"/>
      <c r="BX614"/>
      <c r="BY614"/>
      <c r="BZ614"/>
      <c r="CA614"/>
      <c r="CB614"/>
    </row>
    <row r="615" ht="15.0" customHeight="true">
      <c r="A615" s="51" t="s">
        <v>2448</v>
      </c>
      <c r="B615" s="33"/>
      <c r="C615" s="33" t="s">
        <v>4735</v>
      </c>
      <c r="D615" s="33"/>
      <c r="E615" s="33" t="s">
        <v>3641</v>
      </c>
      <c r="F615" s="33"/>
      <c r="G615" s="55" t="s">
        <v>7023</v>
      </c>
      <c r="H615" s="33"/>
      <c r="I615" s="51" t="s">
        <v>7024</v>
      </c>
      <c r="J615" s="33"/>
      <c r="K615" s="51" t="s">
        <v>7025</v>
      </c>
      <c r="L615" s="33" t="s">
        <v>2454</v>
      </c>
      <c r="M615" s="55" t="s">
        <v>4368</v>
      </c>
      <c r="N615" s="55" t="s">
        <v>4368</v>
      </c>
      <c r="O615" s="33" t="s">
        <v>2272</v>
      </c>
      <c r="P615" s="33" t="s">
        <v>2251</v>
      </c>
      <c r="Q615" s="33"/>
      <c r="R615" s="33" t="s">
        <v>2263</v>
      </c>
      <c r="S615" s="56" t="s">
        <v>2277</v>
      </c>
      <c r="T615" s="56"/>
      <c r="U615" s="56"/>
      <c r="V615" s="33" t="s">
        <v>2456</v>
      </c>
      <c r="W615" s="94" t="s">
        <v>2457</v>
      </c>
      <c r="X615" s="94" t="s">
        <v>2474</v>
      </c>
      <c r="Y615" s="51"/>
      <c r="Z615" s="51"/>
      <c r="AA615" s="33" t="s">
        <v>2459</v>
      </c>
      <c r="AB615" s="33" t="s">
        <v>2460</v>
      </c>
      <c r="AC615" s="33"/>
      <c r="AD615" s="33" t="s">
        <v>2254</v>
      </c>
      <c r="AE615" s="33"/>
      <c r="AF615" s="33" t="s">
        <v>2267</v>
      </c>
      <c r="AG615" s="33" t="s">
        <v>2461</v>
      </c>
      <c r="AH615" s="33"/>
      <c r="AI615" s="33"/>
      <c r="AJ615" s="33" t="s">
        <v>7026</v>
      </c>
      <c r="AK615" s="94"/>
      <c r="AL615" s="33" t="s">
        <v>3226</v>
      </c>
      <c r="AM615" s="33" t="s">
        <v>7027</v>
      </c>
      <c r="AN615" s="33" t="s">
        <v>2465</v>
      </c>
      <c r="AO615" s="51" t="s">
        <v>2489</v>
      </c>
      <c r="AP615" s="51" t="s">
        <v>207</v>
      </c>
      <c r="AQ615" s="33"/>
      <c r="AR615" s="54"/>
      <c r="AS615" s="54"/>
      <c r="AT615" s="54"/>
      <c r="AU615" s="54"/>
      <c r="AV615" s="54"/>
      <c r="AW615" s="54"/>
      <c r="AX615" s="54"/>
      <c r="AY615" s="54"/>
      <c r="AZ615" s="54"/>
      <c r="BA615" s="54"/>
      <c r="BB615" s="54"/>
      <c r="BC615" s="54"/>
      <c r="BD615" s="54" t="s">
        <v>2447</v>
      </c>
      <c r="BE615" s="54"/>
      <c r="BF615" s="54"/>
      <c r="BG615" s="54"/>
      <c r="BH615" s="54"/>
      <c r="BI615" s="54"/>
      <c r="BJ615" s="0"/>
      <c r="BK615" s="0"/>
      <c r="BL615" s="0"/>
      <c r="BM615" s="0"/>
      <c r="BN615" s="0"/>
      <c r="BO615" s="0"/>
      <c r="BP615"/>
      <c r="BQ615"/>
      <c r="BR615"/>
      <c r="BS615"/>
      <c r="BT615"/>
      <c r="BU615"/>
      <c r="BV615"/>
      <c r="BW615"/>
      <c r="BX615"/>
      <c r="BY615"/>
      <c r="BZ615"/>
      <c r="CA615"/>
      <c r="CB615"/>
    </row>
    <row r="616" ht="15.0" customHeight="true">
      <c r="A616" s="51" t="s">
        <v>2448</v>
      </c>
      <c r="B616" s="33"/>
      <c r="C616" s="33" t="s">
        <v>2529</v>
      </c>
      <c r="D616" s="33"/>
      <c r="E616" s="33" t="s">
        <v>7028</v>
      </c>
      <c r="F616" s="33"/>
      <c r="G616" s="55" t="s">
        <v>7029</v>
      </c>
      <c r="H616" s="33"/>
      <c r="I616" s="51" t="s">
        <v>7030</v>
      </c>
      <c r="J616" s="33"/>
      <c r="K616" s="51" t="s">
        <v>7031</v>
      </c>
      <c r="L616" s="33" t="s">
        <v>2484</v>
      </c>
      <c r="M616" s="55" t="s">
        <v>3091</v>
      </c>
      <c r="N616" s="55"/>
      <c r="O616" s="33"/>
      <c r="P616" s="33" t="s">
        <v>2251</v>
      </c>
      <c r="Q616" s="33"/>
      <c r="R616" s="33" t="s">
        <v>2263</v>
      </c>
      <c r="S616" s="56" t="s">
        <v>2277</v>
      </c>
      <c r="T616" s="56"/>
      <c r="U616" s="56"/>
      <c r="V616" s="33" t="s">
        <v>2456</v>
      </c>
      <c r="W616" s="94" t="s">
        <v>2457</v>
      </c>
      <c r="X616" s="94" t="s">
        <v>2474</v>
      </c>
      <c r="Y616" s="51"/>
      <c r="Z616" s="51"/>
      <c r="AA616" s="33" t="s">
        <v>2459</v>
      </c>
      <c r="AB616" s="33" t="s">
        <v>2460</v>
      </c>
      <c r="AC616" s="33" t="s">
        <v>2486</v>
      </c>
      <c r="AD616" s="33" t="s">
        <v>2254</v>
      </c>
      <c r="AE616" s="33"/>
      <c r="AF616" s="33" t="s">
        <v>2267</v>
      </c>
      <c r="AG616" s="33" t="s">
        <v>2461</v>
      </c>
      <c r="AH616" s="33"/>
      <c r="AI616" s="33" t="s">
        <v>7032</v>
      </c>
      <c r="AJ616" s="33" t="s">
        <v>7032</v>
      </c>
      <c r="AK616" s="94"/>
      <c r="AL616" s="33" t="s">
        <v>7033</v>
      </c>
      <c r="AM616" s="33"/>
      <c r="AN616" s="33" t="s">
        <v>2465</v>
      </c>
      <c r="AO616" s="51" t="s">
        <v>2489</v>
      </c>
      <c r="AP616" s="51" t="s">
        <v>207</v>
      </c>
      <c r="AQ616" s="33"/>
      <c r="AR616" s="54"/>
      <c r="AS616" s="54"/>
      <c r="AT616" s="54"/>
      <c r="AU616" s="54"/>
      <c r="AV616" s="54"/>
      <c r="AW616" s="54"/>
      <c r="AX616" s="54"/>
      <c r="AY616" s="54"/>
      <c r="AZ616" s="54"/>
      <c r="BA616" s="54"/>
      <c r="BB616" s="54"/>
      <c r="BC616" s="54"/>
      <c r="BD616" s="54" t="s">
        <v>2447</v>
      </c>
      <c r="BE616" s="54"/>
      <c r="BF616" s="54"/>
      <c r="BG616" s="54"/>
      <c r="BH616" s="54"/>
      <c r="BI616" s="54"/>
      <c r="BJ616" s="0"/>
      <c r="BK616" s="0"/>
      <c r="BL616" s="0"/>
      <c r="BM616" s="0"/>
      <c r="BN616" s="0"/>
      <c r="BO616" s="0"/>
      <c r="BP616"/>
      <c r="BQ616"/>
      <c r="BR616"/>
      <c r="BS616"/>
      <c r="BT616"/>
      <c r="BU616"/>
      <c r="BV616"/>
      <c r="BW616"/>
      <c r="BX616"/>
      <c r="BY616"/>
      <c r="BZ616"/>
      <c r="CA616"/>
      <c r="CB616"/>
    </row>
    <row r="617" ht="15.0" customHeight="true">
      <c r="A617" s="51" t="s">
        <v>2448</v>
      </c>
      <c r="B617" s="33"/>
      <c r="C617" s="33" t="s">
        <v>7034</v>
      </c>
      <c r="D617" s="33"/>
      <c r="E617" s="33" t="s">
        <v>7035</v>
      </c>
      <c r="F617" s="33"/>
      <c r="G617" s="55" t="s">
        <v>7036</v>
      </c>
      <c r="H617" s="33"/>
      <c r="I617" s="51" t="s">
        <v>7037</v>
      </c>
      <c r="J617" s="33"/>
      <c r="K617" s="51" t="s">
        <v>7038</v>
      </c>
      <c r="L617" s="33" t="s">
        <v>2454</v>
      </c>
      <c r="M617" s="55" t="s">
        <v>3258</v>
      </c>
      <c r="N617" s="55" t="s">
        <v>4010</v>
      </c>
      <c r="O617" s="33" t="s">
        <v>2272</v>
      </c>
      <c r="P617" s="33" t="s">
        <v>2251</v>
      </c>
      <c r="Q617" s="33"/>
      <c r="R617" s="33" t="s">
        <v>2263</v>
      </c>
      <c r="S617" s="56" t="s">
        <v>2277</v>
      </c>
      <c r="T617" s="56"/>
      <c r="U617" s="56"/>
      <c r="V617" s="33" t="s">
        <v>2456</v>
      </c>
      <c r="W617" s="94" t="s">
        <v>2457</v>
      </c>
      <c r="X617" s="94" t="s">
        <v>2474</v>
      </c>
      <c r="Y617" s="51"/>
      <c r="Z617" s="51"/>
      <c r="AA617" s="33" t="s">
        <v>2459</v>
      </c>
      <c r="AB617" s="33" t="s">
        <v>2460</v>
      </c>
      <c r="AC617" s="33"/>
      <c r="AD617" s="33" t="s">
        <v>2254</v>
      </c>
      <c r="AE617" s="33"/>
      <c r="AF617" s="33" t="s">
        <v>2267</v>
      </c>
      <c r="AG617" s="33" t="s">
        <v>2461</v>
      </c>
      <c r="AH617" s="33"/>
      <c r="AI617" s="33"/>
      <c r="AJ617" s="33" t="s">
        <v>7039</v>
      </c>
      <c r="AK617" s="94"/>
      <c r="AL617" s="33" t="s">
        <v>7040</v>
      </c>
      <c r="AM617" s="33"/>
      <c r="AN617" s="33" t="s">
        <v>2465</v>
      </c>
      <c r="AO617" s="51" t="s">
        <v>2466</v>
      </c>
      <c r="AP617" s="51" t="s">
        <v>207</v>
      </c>
      <c r="AQ617" s="33"/>
      <c r="AR617" s="54"/>
      <c r="AS617" s="54"/>
      <c r="AT617" s="54"/>
      <c r="AU617" s="54"/>
      <c r="AV617" s="54"/>
      <c r="AW617" s="54"/>
      <c r="AX617" s="54"/>
      <c r="AY617" s="54"/>
      <c r="AZ617" s="54"/>
      <c r="BA617" s="54"/>
      <c r="BB617" s="54"/>
      <c r="BC617" s="54"/>
      <c r="BD617" s="54" t="s">
        <v>2447</v>
      </c>
      <c r="BE617" s="54"/>
      <c r="BF617" s="54"/>
      <c r="BG617" s="54"/>
      <c r="BH617" s="54"/>
      <c r="BI617" s="54"/>
      <c r="BJ617" s="0"/>
      <c r="BK617" s="0"/>
      <c r="BL617" s="0"/>
      <c r="BM617" s="0"/>
      <c r="BN617" s="0"/>
      <c r="BO617" s="0"/>
      <c r="BP617"/>
      <c r="BQ617"/>
      <c r="BR617"/>
      <c r="BS617"/>
      <c r="BT617"/>
      <c r="BU617"/>
      <c r="BV617"/>
      <c r="BW617"/>
      <c r="BX617"/>
      <c r="BY617"/>
      <c r="BZ617"/>
      <c r="CA617"/>
      <c r="CB617"/>
    </row>
    <row r="618" ht="15.0" customHeight="true">
      <c r="A618" s="51" t="s">
        <v>2448</v>
      </c>
      <c r="B618" s="33"/>
      <c r="C618" s="33" t="s">
        <v>3106</v>
      </c>
      <c r="D618" s="33"/>
      <c r="E618" s="33" t="s">
        <v>7041</v>
      </c>
      <c r="F618" s="33"/>
      <c r="G618" s="55" t="s">
        <v>7042</v>
      </c>
      <c r="H618" s="33"/>
      <c r="I618" s="51" t="s">
        <v>7043</v>
      </c>
      <c r="J618" s="33"/>
      <c r="K618" s="51" t="s">
        <v>7044</v>
      </c>
      <c r="L618" s="33" t="s">
        <v>2454</v>
      </c>
      <c r="M618" s="55" t="s">
        <v>3047</v>
      </c>
      <c r="N618" s="55" t="s">
        <v>3152</v>
      </c>
      <c r="O618" s="33" t="s">
        <v>2272</v>
      </c>
      <c r="P618" s="33" t="s">
        <v>2251</v>
      </c>
      <c r="Q618" s="33"/>
      <c r="R618" s="33" t="s">
        <v>2263</v>
      </c>
      <c r="S618" s="56" t="s">
        <v>2277</v>
      </c>
      <c r="T618" s="56"/>
      <c r="U618" s="56"/>
      <c r="V618" s="33" t="s">
        <v>2456</v>
      </c>
      <c r="W618" s="94" t="s">
        <v>2457</v>
      </c>
      <c r="X618" s="94" t="s">
        <v>2458</v>
      </c>
      <c r="Y618" s="51"/>
      <c r="Z618" s="51"/>
      <c r="AA618" s="33" t="s">
        <v>2459</v>
      </c>
      <c r="AB618" s="33" t="s">
        <v>2460</v>
      </c>
      <c r="AC618" s="33"/>
      <c r="AD618" s="33" t="s">
        <v>2254</v>
      </c>
      <c r="AE618" s="33"/>
      <c r="AF618" s="33" t="s">
        <v>2267</v>
      </c>
      <c r="AG618" s="33" t="s">
        <v>2461</v>
      </c>
      <c r="AH618" s="33"/>
      <c r="AI618" s="33"/>
      <c r="AJ618" s="33" t="s">
        <v>7045</v>
      </c>
      <c r="AK618" s="94"/>
      <c r="AL618" s="33" t="s">
        <v>7046</v>
      </c>
      <c r="AM618" s="33" t="s">
        <v>7047</v>
      </c>
      <c r="AN618" s="33" t="s">
        <v>2465</v>
      </c>
      <c r="AO618" s="51" t="s">
        <v>2500</v>
      </c>
      <c r="AP618" s="51" t="s">
        <v>207</v>
      </c>
      <c r="AQ618" s="33"/>
      <c r="AR618" s="54"/>
      <c r="AS618" s="54"/>
      <c r="AT618" s="54"/>
      <c r="AU618" s="54"/>
      <c r="AV618" s="54"/>
      <c r="AW618" s="54"/>
      <c r="AX618" s="54"/>
      <c r="AY618" s="54"/>
      <c r="AZ618" s="54"/>
      <c r="BA618" s="54"/>
      <c r="BB618" s="54"/>
      <c r="BC618" s="54"/>
      <c r="BD618" s="54" t="s">
        <v>2447</v>
      </c>
      <c r="BE618" s="54"/>
      <c r="BF618" s="54"/>
      <c r="BG618" s="54"/>
      <c r="BH618" s="54"/>
      <c r="BI618" s="54"/>
      <c r="BJ618" s="0"/>
      <c r="BK618" s="0"/>
      <c r="BL618" s="0"/>
      <c r="BM618" s="0"/>
      <c r="BN618" s="0"/>
      <c r="BO618" s="0"/>
      <c r="BP618"/>
      <c r="BQ618"/>
      <c r="BR618"/>
      <c r="BS618"/>
      <c r="BT618"/>
      <c r="BU618"/>
      <c r="BV618"/>
      <c r="BW618"/>
      <c r="BX618"/>
      <c r="BY618"/>
      <c r="BZ618"/>
      <c r="CA618"/>
      <c r="CB618"/>
    </row>
    <row r="619" ht="15.0" customHeight="true">
      <c r="A619" s="51" t="s">
        <v>2448</v>
      </c>
      <c r="B619" s="33"/>
      <c r="C619" s="33" t="s">
        <v>7048</v>
      </c>
      <c r="D619" s="33"/>
      <c r="E619" s="33" t="s">
        <v>7049</v>
      </c>
      <c r="F619" s="33"/>
      <c r="G619" s="55" t="s">
        <v>7050</v>
      </c>
      <c r="H619" s="33"/>
      <c r="I619" s="51" t="s">
        <v>7051</v>
      </c>
      <c r="J619" s="33"/>
      <c r="K619" s="51" t="s">
        <v>7052</v>
      </c>
      <c r="L619" s="33" t="s">
        <v>2454</v>
      </c>
      <c r="M619" s="55" t="s">
        <v>2780</v>
      </c>
      <c r="N619" s="55" t="s">
        <v>3259</v>
      </c>
      <c r="O619" s="33" t="s">
        <v>2272</v>
      </c>
      <c r="P619" s="33" t="s">
        <v>2251</v>
      </c>
      <c r="Q619" s="33"/>
      <c r="R619" s="33" t="s">
        <v>2263</v>
      </c>
      <c r="S619" s="56" t="s">
        <v>2277</v>
      </c>
      <c r="T619" s="56"/>
      <c r="U619" s="56"/>
      <c r="V619" s="33" t="s">
        <v>2456</v>
      </c>
      <c r="W619" s="94" t="s">
        <v>2457</v>
      </c>
      <c r="X619" s="94" t="s">
        <v>2474</v>
      </c>
      <c r="Y619" s="51"/>
      <c r="Z619" s="51"/>
      <c r="AA619" s="33" t="s">
        <v>2459</v>
      </c>
      <c r="AB619" s="33" t="s">
        <v>2460</v>
      </c>
      <c r="AC619" s="33"/>
      <c r="AD619" s="33" t="s">
        <v>2254</v>
      </c>
      <c r="AE619" s="33"/>
      <c r="AF619" s="33" t="s">
        <v>2267</v>
      </c>
      <c r="AG619" s="33" t="s">
        <v>2461</v>
      </c>
      <c r="AH619" s="33"/>
      <c r="AI619" s="33"/>
      <c r="AJ619" s="33" t="s">
        <v>7053</v>
      </c>
      <c r="AK619" s="94"/>
      <c r="AL619" s="33" t="s">
        <v>7054</v>
      </c>
      <c r="AM619" s="33"/>
      <c r="AN619" s="33" t="s">
        <v>2465</v>
      </c>
      <c r="AO619" s="51" t="s">
        <v>2489</v>
      </c>
      <c r="AP619" s="51" t="s">
        <v>207</v>
      </c>
      <c r="AQ619" s="33"/>
      <c r="AR619" s="54"/>
      <c r="AS619" s="54"/>
      <c r="AT619" s="54"/>
      <c r="AU619" s="54"/>
      <c r="AV619" s="54"/>
      <c r="AW619" s="54"/>
      <c r="AX619" s="54"/>
      <c r="AY619" s="54"/>
      <c r="AZ619" s="54"/>
      <c r="BA619" s="54"/>
      <c r="BB619" s="54"/>
      <c r="BC619" s="54"/>
      <c r="BD619" s="54" t="s">
        <v>2447</v>
      </c>
      <c r="BE619" s="54"/>
      <c r="BF619" s="54"/>
      <c r="BG619" s="54"/>
      <c r="BH619" s="54"/>
      <c r="BI619" s="54"/>
      <c r="BJ619" s="0"/>
      <c r="BK619" s="0"/>
      <c r="BL619" s="0"/>
      <c r="BM619" s="0"/>
      <c r="BN619" s="0"/>
      <c r="BO619" s="0"/>
      <c r="BP619"/>
      <c r="BQ619"/>
      <c r="BR619"/>
      <c r="BS619"/>
      <c r="BT619"/>
      <c r="BU619"/>
      <c r="BV619"/>
      <c r="BW619"/>
      <c r="BX619"/>
      <c r="BY619"/>
      <c r="BZ619"/>
      <c r="CA619"/>
      <c r="CB619"/>
    </row>
    <row r="620" ht="15.0" customHeight="true">
      <c r="A620" s="51" t="s">
        <v>2448</v>
      </c>
      <c r="B620" s="33"/>
      <c r="C620" s="33" t="s">
        <v>7055</v>
      </c>
      <c r="D620" s="33"/>
      <c r="E620" s="33" t="s">
        <v>5525</v>
      </c>
      <c r="F620" s="33"/>
      <c r="G620" s="55" t="s">
        <v>7056</v>
      </c>
      <c r="H620" s="33"/>
      <c r="I620" s="51" t="s">
        <v>7057</v>
      </c>
      <c r="J620" s="33"/>
      <c r="K620" s="51" t="s">
        <v>7058</v>
      </c>
      <c r="L620" s="33" t="s">
        <v>2454</v>
      </c>
      <c r="M620" s="55" t="s">
        <v>7059</v>
      </c>
      <c r="N620" s="55" t="s">
        <v>2698</v>
      </c>
      <c r="O620" s="33" t="s">
        <v>2272</v>
      </c>
      <c r="P620" s="33" t="s">
        <v>2251</v>
      </c>
      <c r="Q620" s="33"/>
      <c r="R620" s="33" t="s">
        <v>2263</v>
      </c>
      <c r="S620" s="56" t="s">
        <v>2277</v>
      </c>
      <c r="T620" s="56"/>
      <c r="U620" s="56"/>
      <c r="V620" s="33" t="s">
        <v>2456</v>
      </c>
      <c r="W620" s="94" t="s">
        <v>2457</v>
      </c>
      <c r="X620" s="94" t="s">
        <v>2458</v>
      </c>
      <c r="Y620" s="51"/>
      <c r="Z620" s="51"/>
      <c r="AA620" s="33" t="s">
        <v>2459</v>
      </c>
      <c r="AB620" s="33" t="s">
        <v>2460</v>
      </c>
      <c r="AC620" s="33"/>
      <c r="AD620" s="33" t="s">
        <v>2254</v>
      </c>
      <c r="AE620" s="33"/>
      <c r="AF620" s="33" t="s">
        <v>2267</v>
      </c>
      <c r="AG620" s="33" t="s">
        <v>2461</v>
      </c>
      <c r="AH620" s="33"/>
      <c r="AI620" s="33"/>
      <c r="AJ620" s="33" t="s">
        <v>7060</v>
      </c>
      <c r="AK620" s="94"/>
      <c r="AL620" s="33" t="s">
        <v>7061</v>
      </c>
      <c r="AM620" s="33"/>
      <c r="AN620" s="33" t="s">
        <v>2465</v>
      </c>
      <c r="AO620" s="51" t="s">
        <v>2548</v>
      </c>
      <c r="AP620" s="51" t="s">
        <v>207</v>
      </c>
      <c r="AQ620" s="33"/>
      <c r="AR620" s="54"/>
      <c r="AS620" s="54"/>
      <c r="AT620" s="54"/>
      <c r="AU620" s="54"/>
      <c r="AV620" s="54"/>
      <c r="AW620" s="54"/>
      <c r="AX620" s="54"/>
      <c r="AY620" s="54"/>
      <c r="AZ620" s="54"/>
      <c r="BA620" s="54"/>
      <c r="BB620" s="54"/>
      <c r="BC620" s="54"/>
      <c r="BD620" s="54" t="s">
        <v>2447</v>
      </c>
      <c r="BE620" s="54"/>
      <c r="BF620" s="54"/>
      <c r="BG620" s="54"/>
      <c r="BH620" s="54"/>
      <c r="BI620" s="54"/>
      <c r="BJ620" s="0"/>
      <c r="BK620" s="0"/>
      <c r="BL620" s="0"/>
      <c r="BM620" s="0"/>
      <c r="BN620" s="0"/>
      <c r="BO620" s="0"/>
      <c r="BP620"/>
      <c r="BQ620"/>
      <c r="BR620"/>
      <c r="BS620"/>
      <c r="BT620"/>
      <c r="BU620"/>
      <c r="BV620"/>
      <c r="BW620"/>
      <c r="BX620"/>
      <c r="BY620"/>
      <c r="BZ620"/>
      <c r="CA620"/>
      <c r="CB620"/>
    </row>
    <row r="621" ht="15.0" customHeight="true">
      <c r="A621" s="51" t="s">
        <v>2448</v>
      </c>
      <c r="B621" s="33"/>
      <c r="C621" s="33" t="s">
        <v>7062</v>
      </c>
      <c r="D621" s="33"/>
      <c r="E621" s="33" t="s">
        <v>7063</v>
      </c>
      <c r="F621" s="33"/>
      <c r="G621" s="55" t="s">
        <v>4264</v>
      </c>
      <c r="H621" s="33"/>
      <c r="I621" s="51" t="s">
        <v>7064</v>
      </c>
      <c r="J621" s="33"/>
      <c r="K621" s="51" t="s">
        <v>7065</v>
      </c>
      <c r="L621" s="33" t="s">
        <v>2454</v>
      </c>
      <c r="M621" s="55" t="s">
        <v>3418</v>
      </c>
      <c r="N621" s="55" t="s">
        <v>3418</v>
      </c>
      <c r="O621" s="33" t="s">
        <v>2272</v>
      </c>
      <c r="P621" s="33" t="s">
        <v>2251</v>
      </c>
      <c r="Q621" s="33"/>
      <c r="R621" s="33" t="s">
        <v>2263</v>
      </c>
      <c r="S621" s="56" t="s">
        <v>2277</v>
      </c>
      <c r="T621" s="56"/>
      <c r="U621" s="56"/>
      <c r="V621" s="33" t="s">
        <v>2456</v>
      </c>
      <c r="W621" s="94" t="s">
        <v>2457</v>
      </c>
      <c r="X621" s="94" t="s">
        <v>2474</v>
      </c>
      <c r="Y621" s="51"/>
      <c r="Z621" s="51"/>
      <c r="AA621" s="33" t="s">
        <v>2459</v>
      </c>
      <c r="AB621" s="33" t="s">
        <v>2460</v>
      </c>
      <c r="AC621" s="33"/>
      <c r="AD621" s="33" t="s">
        <v>2254</v>
      </c>
      <c r="AE621" s="33"/>
      <c r="AF621" s="33" t="s">
        <v>2267</v>
      </c>
      <c r="AG621" s="33" t="s">
        <v>2461</v>
      </c>
      <c r="AH621" s="33"/>
      <c r="AI621" s="33"/>
      <c r="AJ621" s="33" t="s">
        <v>7066</v>
      </c>
      <c r="AK621" s="94"/>
      <c r="AL621" s="33" t="s">
        <v>7067</v>
      </c>
      <c r="AM621" s="33"/>
      <c r="AN621" s="33" t="s">
        <v>2465</v>
      </c>
      <c r="AO621" s="51" t="s">
        <v>2673</v>
      </c>
      <c r="AP621" s="51" t="s">
        <v>207</v>
      </c>
      <c r="AQ621" s="33"/>
      <c r="AR621" s="54"/>
      <c r="AS621" s="54"/>
      <c r="AT621" s="54"/>
      <c r="AU621" s="54"/>
      <c r="AV621" s="54"/>
      <c r="AW621" s="54"/>
      <c r="AX621" s="54"/>
      <c r="AY621" s="54"/>
      <c r="AZ621" s="54"/>
      <c r="BA621" s="54"/>
      <c r="BB621" s="54"/>
      <c r="BC621" s="54"/>
      <c r="BD621" s="54" t="s">
        <v>2447</v>
      </c>
      <c r="BE621" s="54"/>
      <c r="BF621" s="54"/>
      <c r="BG621" s="54"/>
      <c r="BH621" s="54"/>
      <c r="BI621" s="54"/>
      <c r="BJ621" s="0"/>
      <c r="BK621" s="0"/>
      <c r="BL621" s="0"/>
      <c r="BM621" s="0"/>
      <c r="BN621" s="0"/>
      <c r="BO621" s="0"/>
      <c r="BP621"/>
      <c r="BQ621"/>
      <c r="BR621"/>
      <c r="BS621"/>
      <c r="BT621"/>
      <c r="BU621"/>
      <c r="BV621"/>
      <c r="BW621"/>
      <c r="BX621"/>
      <c r="BY621"/>
      <c r="BZ621"/>
      <c r="CA621"/>
      <c r="CB621"/>
    </row>
    <row r="622" ht="15.0" customHeight="true">
      <c r="A622" s="51" t="s">
        <v>2448</v>
      </c>
      <c r="B622" s="33"/>
      <c r="C622" s="33" t="s">
        <v>4530</v>
      </c>
      <c r="D622" s="33"/>
      <c r="E622" s="33" t="s">
        <v>6941</v>
      </c>
      <c r="F622" s="33"/>
      <c r="G622" s="55" t="s">
        <v>7068</v>
      </c>
      <c r="H622" s="33"/>
      <c r="I622" s="51" t="s">
        <v>7069</v>
      </c>
      <c r="J622" s="33"/>
      <c r="K622" s="51" t="s">
        <v>7070</v>
      </c>
      <c r="L622" s="33" t="s">
        <v>2484</v>
      </c>
      <c r="M622" s="55" t="s">
        <v>3175</v>
      </c>
      <c r="N622" s="55"/>
      <c r="O622" s="33"/>
      <c r="P622" s="33" t="s">
        <v>2251</v>
      </c>
      <c r="Q622" s="33"/>
      <c r="R622" s="33" t="s">
        <v>2263</v>
      </c>
      <c r="S622" s="56" t="s">
        <v>2277</v>
      </c>
      <c r="T622" s="56"/>
      <c r="U622" s="56"/>
      <c r="V622" s="33" t="s">
        <v>2456</v>
      </c>
      <c r="W622" s="94" t="s">
        <v>2457</v>
      </c>
      <c r="X622" s="94" t="s">
        <v>2474</v>
      </c>
      <c r="Y622" s="51"/>
      <c r="Z622" s="51"/>
      <c r="AA622" s="33" t="s">
        <v>2459</v>
      </c>
      <c r="AB622" s="33" t="s">
        <v>2460</v>
      </c>
      <c r="AC622" s="33" t="s">
        <v>2486</v>
      </c>
      <c r="AD622" s="33" t="s">
        <v>2254</v>
      </c>
      <c r="AE622" s="33"/>
      <c r="AF622" s="33" t="s">
        <v>2267</v>
      </c>
      <c r="AG622" s="33" t="s">
        <v>2461</v>
      </c>
      <c r="AH622" s="33"/>
      <c r="AI622" s="33"/>
      <c r="AJ622" s="33" t="s">
        <v>7071</v>
      </c>
      <c r="AK622" s="94"/>
      <c r="AL622" s="33" t="s">
        <v>7072</v>
      </c>
      <c r="AM622" s="33"/>
      <c r="AN622" s="33" t="s">
        <v>2701</v>
      </c>
      <c r="AO622" s="51" t="s">
        <v>2702</v>
      </c>
      <c r="AP622" s="51" t="s">
        <v>207</v>
      </c>
      <c r="AQ622" s="33"/>
      <c r="AR622" s="54"/>
      <c r="AS622" s="54"/>
      <c r="AT622" s="54"/>
      <c r="AU622" s="54"/>
      <c r="AV622" s="54"/>
      <c r="AW622" s="54"/>
      <c r="AX622" s="54"/>
      <c r="AY622" s="54"/>
      <c r="AZ622" s="54"/>
      <c r="BA622" s="54"/>
      <c r="BB622" s="54"/>
      <c r="BC622" s="54"/>
      <c r="BD622" s="54" t="s">
        <v>2447</v>
      </c>
      <c r="BE622" s="54"/>
      <c r="BF622" s="54"/>
      <c r="BG622" s="54"/>
      <c r="BH622" s="54"/>
      <c r="BI622" s="54"/>
      <c r="BJ622" s="0"/>
      <c r="BK622" s="0"/>
      <c r="BL622" s="0"/>
      <c r="BM622" s="0"/>
      <c r="BN622" s="0"/>
      <c r="BO622" s="0"/>
      <c r="BP622"/>
      <c r="BQ622"/>
      <c r="BR622"/>
      <c r="BS622"/>
      <c r="BT622"/>
      <c r="BU622"/>
      <c r="BV622"/>
      <c r="BW622"/>
      <c r="BX622"/>
      <c r="BY622"/>
      <c r="BZ622"/>
      <c r="CA622"/>
      <c r="CB622"/>
    </row>
    <row r="623" ht="15.0" customHeight="true">
      <c r="A623" s="51" t="s">
        <v>2448</v>
      </c>
      <c r="B623" s="33"/>
      <c r="C623" s="33" t="s">
        <v>5207</v>
      </c>
      <c r="D623" s="33"/>
      <c r="E623" s="33" t="s">
        <v>7073</v>
      </c>
      <c r="F623" s="33"/>
      <c r="G623" s="55" t="s">
        <v>7074</v>
      </c>
      <c r="H623" s="33"/>
      <c r="I623" s="51" t="s">
        <v>7075</v>
      </c>
      <c r="J623" s="33"/>
      <c r="K623" s="51" t="s">
        <v>7076</v>
      </c>
      <c r="L623" s="33" t="s">
        <v>2454</v>
      </c>
      <c r="M623" s="55" t="s">
        <v>3110</v>
      </c>
      <c r="N623" s="55" t="s">
        <v>6657</v>
      </c>
      <c r="O623" s="33" t="s">
        <v>2272</v>
      </c>
      <c r="P623" s="33" t="s">
        <v>2251</v>
      </c>
      <c r="Q623" s="33"/>
      <c r="R623" s="33" t="s">
        <v>2263</v>
      </c>
      <c r="S623" s="56" t="s">
        <v>2277</v>
      </c>
      <c r="T623" s="56"/>
      <c r="U623" s="56"/>
      <c r="V623" s="33" t="s">
        <v>2456</v>
      </c>
      <c r="W623" s="94" t="s">
        <v>2457</v>
      </c>
      <c r="X623" s="94" t="s">
        <v>2458</v>
      </c>
      <c r="Y623" s="51"/>
      <c r="Z623" s="51"/>
      <c r="AA623" s="33" t="s">
        <v>2459</v>
      </c>
      <c r="AB623" s="33" t="s">
        <v>2460</v>
      </c>
      <c r="AC623" s="33"/>
      <c r="AD623" s="33" t="s">
        <v>2254</v>
      </c>
      <c r="AE623" s="33"/>
      <c r="AF623" s="33" t="s">
        <v>2267</v>
      </c>
      <c r="AG623" s="33" t="s">
        <v>2461</v>
      </c>
      <c r="AH623" s="33"/>
      <c r="AI623" s="33"/>
      <c r="AJ623" s="33" t="s">
        <v>7077</v>
      </c>
      <c r="AK623" s="94"/>
      <c r="AL623" s="33" t="s">
        <v>3703</v>
      </c>
      <c r="AM623" s="33" t="s">
        <v>7078</v>
      </c>
      <c r="AN623" s="33" t="s">
        <v>2465</v>
      </c>
      <c r="AO623" s="51" t="s">
        <v>2466</v>
      </c>
      <c r="AP623" s="51" t="s">
        <v>207</v>
      </c>
      <c r="AQ623" s="33"/>
      <c r="AR623" s="54"/>
      <c r="AS623" s="54"/>
      <c r="AT623" s="54"/>
      <c r="AU623" s="54"/>
      <c r="AV623" s="54"/>
      <c r="AW623" s="54"/>
      <c r="AX623" s="54"/>
      <c r="AY623" s="54"/>
      <c r="AZ623" s="54"/>
      <c r="BA623" s="54"/>
      <c r="BB623" s="54"/>
      <c r="BC623" s="54"/>
      <c r="BD623" s="54" t="s">
        <v>2447</v>
      </c>
      <c r="BE623" s="54"/>
      <c r="BF623" s="54"/>
      <c r="BG623" s="54"/>
      <c r="BH623" s="54"/>
      <c r="BI623" s="54"/>
      <c r="BJ623" s="0"/>
      <c r="BK623" s="0"/>
      <c r="BL623" s="0"/>
      <c r="BM623" s="0"/>
      <c r="BN623" s="0"/>
      <c r="BO623" s="0"/>
      <c r="BP623"/>
      <c r="BQ623"/>
      <c r="BR623"/>
      <c r="BS623"/>
      <c r="BT623"/>
      <c r="BU623"/>
      <c r="BV623"/>
      <c r="BW623"/>
      <c r="BX623"/>
      <c r="BY623"/>
      <c r="BZ623"/>
      <c r="CA623"/>
      <c r="CB623"/>
    </row>
    <row r="624" ht="15.0" customHeight="true">
      <c r="A624" s="51" t="s">
        <v>2448</v>
      </c>
      <c r="B624" s="33"/>
      <c r="C624" s="33" t="s">
        <v>7079</v>
      </c>
      <c r="D624" s="33"/>
      <c r="E624" s="33" t="s">
        <v>7080</v>
      </c>
      <c r="F624" s="33"/>
      <c r="G624" s="55" t="s">
        <v>7081</v>
      </c>
      <c r="H624" s="33"/>
      <c r="I624" s="51" t="s">
        <v>7082</v>
      </c>
      <c r="J624" s="33"/>
      <c r="K624" s="51" t="s">
        <v>7083</v>
      </c>
      <c r="L624" s="33" t="s">
        <v>2454</v>
      </c>
      <c r="M624" s="55" t="s">
        <v>4745</v>
      </c>
      <c r="N624" s="55" t="s">
        <v>4898</v>
      </c>
      <c r="O624" s="33" t="s">
        <v>2272</v>
      </c>
      <c r="P624" s="33" t="s">
        <v>2251</v>
      </c>
      <c r="Q624" s="33"/>
      <c r="R624" s="33" t="s">
        <v>2263</v>
      </c>
      <c r="S624" s="56" t="s">
        <v>2277</v>
      </c>
      <c r="T624" s="56"/>
      <c r="U624" s="56"/>
      <c r="V624" s="33" t="s">
        <v>2456</v>
      </c>
      <c r="W624" s="94" t="s">
        <v>2457</v>
      </c>
      <c r="X624" s="94" t="s">
        <v>2474</v>
      </c>
      <c r="Y624" s="51"/>
      <c r="Z624" s="51"/>
      <c r="AA624" s="33" t="s">
        <v>2459</v>
      </c>
      <c r="AB624" s="33" t="s">
        <v>2460</v>
      </c>
      <c r="AC624" s="33"/>
      <c r="AD624" s="33" t="s">
        <v>2254</v>
      </c>
      <c r="AE624" s="33"/>
      <c r="AF624" s="33" t="s">
        <v>2267</v>
      </c>
      <c r="AG624" s="33" t="s">
        <v>2461</v>
      </c>
      <c r="AH624" s="33"/>
      <c r="AI624" s="33"/>
      <c r="AJ624" s="33" t="s">
        <v>7084</v>
      </c>
      <c r="AK624" s="94"/>
      <c r="AL624" s="33" t="s">
        <v>7085</v>
      </c>
      <c r="AM624" s="33"/>
      <c r="AN624" s="33" t="s">
        <v>2588</v>
      </c>
      <c r="AO624" s="51" t="s">
        <v>2628</v>
      </c>
      <c r="AP624" s="51" t="s">
        <v>207</v>
      </c>
      <c r="AQ624" s="33"/>
      <c r="AR624" s="54"/>
      <c r="AS624" s="54"/>
      <c r="AT624" s="54"/>
      <c r="AU624" s="54"/>
      <c r="AV624" s="54"/>
      <c r="AW624" s="54"/>
      <c r="AX624" s="54"/>
      <c r="AY624" s="54"/>
      <c r="AZ624" s="54"/>
      <c r="BA624" s="54"/>
      <c r="BB624" s="54"/>
      <c r="BC624" s="54"/>
      <c r="BD624" s="54" t="s">
        <v>2447</v>
      </c>
      <c r="BE624" s="54"/>
      <c r="BF624" s="54"/>
      <c r="BG624" s="54"/>
      <c r="BH624" s="54"/>
      <c r="BI624" s="54"/>
      <c r="BJ624" s="0"/>
      <c r="BK624" s="0"/>
      <c r="BL624" s="0"/>
      <c r="BM624" s="0"/>
      <c r="BN624" s="0"/>
      <c r="BO624" s="0"/>
      <c r="BP624"/>
      <c r="BQ624"/>
      <c r="BR624"/>
      <c r="BS624"/>
      <c r="BT624"/>
      <c r="BU624"/>
      <c r="BV624"/>
      <c r="BW624"/>
      <c r="BX624"/>
      <c r="BY624"/>
      <c r="BZ624"/>
      <c r="CA624"/>
      <c r="CB624"/>
    </row>
    <row r="625" ht="15.0" customHeight="true">
      <c r="A625" s="51" t="s">
        <v>2448</v>
      </c>
      <c r="B625" s="33"/>
      <c r="C625" s="33" t="s">
        <v>7086</v>
      </c>
      <c r="D625" s="33"/>
      <c r="E625" s="33" t="s">
        <v>7087</v>
      </c>
      <c r="F625" s="33"/>
      <c r="G625" s="55" t="s">
        <v>7088</v>
      </c>
      <c r="H625" s="33"/>
      <c r="I625" s="51" t="s">
        <v>7089</v>
      </c>
      <c r="J625" s="33"/>
      <c r="K625" s="51" t="s">
        <v>7090</v>
      </c>
      <c r="L625" s="33" t="s">
        <v>2454</v>
      </c>
      <c r="M625" s="55" t="s">
        <v>7091</v>
      </c>
      <c r="N625" s="55" t="s">
        <v>4095</v>
      </c>
      <c r="O625" s="33" t="s">
        <v>2272</v>
      </c>
      <c r="P625" s="33" t="s">
        <v>2251</v>
      </c>
      <c r="Q625" s="33"/>
      <c r="R625" s="33" t="s">
        <v>2263</v>
      </c>
      <c r="S625" s="56" t="s">
        <v>2277</v>
      </c>
      <c r="T625" s="56"/>
      <c r="U625" s="56"/>
      <c r="V625" s="33" t="s">
        <v>2456</v>
      </c>
      <c r="W625" s="94" t="s">
        <v>2457</v>
      </c>
      <c r="X625" s="94" t="s">
        <v>2458</v>
      </c>
      <c r="Y625" s="51"/>
      <c r="Z625" s="51"/>
      <c r="AA625" s="33" t="s">
        <v>2459</v>
      </c>
      <c r="AB625" s="33" t="s">
        <v>2460</v>
      </c>
      <c r="AC625" s="33"/>
      <c r="AD625" s="33" t="s">
        <v>2254</v>
      </c>
      <c r="AE625" s="33"/>
      <c r="AF625" s="33" t="s">
        <v>2267</v>
      </c>
      <c r="AG625" s="33" t="s">
        <v>2461</v>
      </c>
      <c r="AH625" s="33"/>
      <c r="AI625" s="33"/>
      <c r="AJ625" s="33" t="s">
        <v>7092</v>
      </c>
      <c r="AK625" s="94"/>
      <c r="AL625" s="33" t="s">
        <v>7093</v>
      </c>
      <c r="AM625" s="33"/>
      <c r="AN625" s="33" t="s">
        <v>2465</v>
      </c>
      <c r="AO625" s="51" t="s">
        <v>2489</v>
      </c>
      <c r="AP625" s="51" t="s">
        <v>207</v>
      </c>
      <c r="AQ625" s="33"/>
      <c r="AR625" s="54"/>
      <c r="AS625" s="54"/>
      <c r="AT625" s="54"/>
      <c r="AU625" s="54"/>
      <c r="AV625" s="54"/>
      <c r="AW625" s="54"/>
      <c r="AX625" s="54"/>
      <c r="AY625" s="54"/>
      <c r="AZ625" s="54"/>
      <c r="BA625" s="54"/>
      <c r="BB625" s="54"/>
      <c r="BC625" s="54"/>
      <c r="BD625" s="54" t="s">
        <v>2447</v>
      </c>
      <c r="BE625" s="54"/>
      <c r="BF625" s="54"/>
      <c r="BG625" s="54"/>
      <c r="BH625" s="54"/>
      <c r="BI625" s="54"/>
      <c r="BJ625" s="0"/>
      <c r="BK625" s="0"/>
      <c r="BL625" s="0"/>
      <c r="BM625" s="0"/>
      <c r="BN625" s="0"/>
      <c r="BO625" s="0"/>
      <c r="BP625"/>
      <c r="BQ625"/>
      <c r="BR625"/>
      <c r="BS625"/>
      <c r="BT625"/>
      <c r="BU625"/>
      <c r="BV625"/>
      <c r="BW625"/>
      <c r="BX625"/>
      <c r="BY625"/>
      <c r="BZ625"/>
      <c r="CA625"/>
      <c r="CB625"/>
    </row>
    <row r="626" ht="15.0" customHeight="true">
      <c r="A626" s="51" t="s">
        <v>2448</v>
      </c>
      <c r="B626" s="33"/>
      <c r="C626" s="33" t="s">
        <v>7094</v>
      </c>
      <c r="D626" s="33"/>
      <c r="E626" s="33" t="s">
        <v>4710</v>
      </c>
      <c r="F626" s="33"/>
      <c r="G626" s="55" t="s">
        <v>7095</v>
      </c>
      <c r="H626" s="33"/>
      <c r="I626" s="51" t="s">
        <v>7096</v>
      </c>
      <c r="J626" s="33"/>
      <c r="K626" s="51" t="s">
        <v>7097</v>
      </c>
      <c r="L626" s="33" t="s">
        <v>2454</v>
      </c>
      <c r="M626" s="55" t="s">
        <v>3057</v>
      </c>
      <c r="N626" s="55" t="s">
        <v>3057</v>
      </c>
      <c r="O626" s="33" t="s">
        <v>2272</v>
      </c>
      <c r="P626" s="33" t="s">
        <v>2251</v>
      </c>
      <c r="Q626" s="33"/>
      <c r="R626" s="33" t="s">
        <v>2263</v>
      </c>
      <c r="S626" s="56" t="s">
        <v>2277</v>
      </c>
      <c r="T626" s="56"/>
      <c r="U626" s="56"/>
      <c r="V626" s="33" t="s">
        <v>2456</v>
      </c>
      <c r="W626" s="94" t="s">
        <v>2457</v>
      </c>
      <c r="X626" s="94" t="s">
        <v>2458</v>
      </c>
      <c r="Y626" s="51"/>
      <c r="Z626" s="51"/>
      <c r="AA626" s="33" t="s">
        <v>2459</v>
      </c>
      <c r="AB626" s="33" t="s">
        <v>2460</v>
      </c>
      <c r="AC626" s="33"/>
      <c r="AD626" s="33" t="s">
        <v>2254</v>
      </c>
      <c r="AE626" s="33"/>
      <c r="AF626" s="33" t="s">
        <v>2267</v>
      </c>
      <c r="AG626" s="33" t="s">
        <v>2461</v>
      </c>
      <c r="AH626" s="33"/>
      <c r="AI626" s="33"/>
      <c r="AJ626" s="33" t="s">
        <v>7098</v>
      </c>
      <c r="AK626" s="94"/>
      <c r="AL626" s="33" t="s">
        <v>7099</v>
      </c>
      <c r="AM626" s="33"/>
      <c r="AN626" s="33" t="s">
        <v>2588</v>
      </c>
      <c r="AO626" s="51" t="s">
        <v>2628</v>
      </c>
      <c r="AP626" s="51" t="s">
        <v>207</v>
      </c>
      <c r="AQ626" s="33"/>
      <c r="AR626" s="54"/>
      <c r="AS626" s="54"/>
      <c r="AT626" s="54"/>
      <c r="AU626" s="54"/>
      <c r="AV626" s="54"/>
      <c r="AW626" s="54"/>
      <c r="AX626" s="54"/>
      <c r="AY626" s="54"/>
      <c r="AZ626" s="54"/>
      <c r="BA626" s="54"/>
      <c r="BB626" s="54"/>
      <c r="BC626" s="54"/>
      <c r="BD626" s="54" t="s">
        <v>2447</v>
      </c>
      <c r="BE626" s="54"/>
      <c r="BF626" s="54"/>
      <c r="BG626" s="54"/>
      <c r="BH626" s="54"/>
      <c r="BI626" s="54"/>
      <c r="BJ626" s="0"/>
      <c r="BK626" s="0"/>
      <c r="BL626" s="0"/>
      <c r="BM626" s="0"/>
      <c r="BN626" s="0"/>
      <c r="BO626" s="0"/>
      <c r="BP626"/>
      <c r="BQ626"/>
      <c r="BR626"/>
      <c r="BS626"/>
      <c r="BT626"/>
      <c r="BU626"/>
      <c r="BV626"/>
      <c r="BW626"/>
      <c r="BX626"/>
      <c r="BY626"/>
      <c r="BZ626"/>
      <c r="CA626"/>
      <c r="CB626"/>
    </row>
    <row r="627" ht="15.0" customHeight="true">
      <c r="A627" s="51" t="s">
        <v>2448</v>
      </c>
      <c r="B627" s="33"/>
      <c r="C627" s="33" t="s">
        <v>2730</v>
      </c>
      <c r="D627" s="33"/>
      <c r="E627" s="33" t="s">
        <v>7100</v>
      </c>
      <c r="F627" s="33"/>
      <c r="G627" s="55" t="s">
        <v>7101</v>
      </c>
      <c r="H627" s="33"/>
      <c r="I627" s="51" t="s">
        <v>7102</v>
      </c>
      <c r="J627" s="33"/>
      <c r="K627" s="51" t="s">
        <v>7103</v>
      </c>
      <c r="L627" s="33" t="s">
        <v>2484</v>
      </c>
      <c r="M627" s="55" t="s">
        <v>2573</v>
      </c>
      <c r="N627" s="55"/>
      <c r="O627" s="33"/>
      <c r="P627" s="33" t="s">
        <v>2251</v>
      </c>
      <c r="Q627" s="33"/>
      <c r="R627" s="33" t="s">
        <v>2263</v>
      </c>
      <c r="S627" s="56" t="s">
        <v>2277</v>
      </c>
      <c r="T627" s="56"/>
      <c r="U627" s="56"/>
      <c r="V627" s="33" t="s">
        <v>2456</v>
      </c>
      <c r="W627" s="94" t="s">
        <v>2457</v>
      </c>
      <c r="X627" s="94" t="s">
        <v>2474</v>
      </c>
      <c r="Y627" s="51"/>
      <c r="Z627" s="51"/>
      <c r="AA627" s="33" t="s">
        <v>2459</v>
      </c>
      <c r="AB627" s="33" t="s">
        <v>2460</v>
      </c>
      <c r="AC627" s="33" t="s">
        <v>2486</v>
      </c>
      <c r="AD627" s="33" t="s">
        <v>2254</v>
      </c>
      <c r="AE627" s="33"/>
      <c r="AF627" s="33" t="s">
        <v>2267</v>
      </c>
      <c r="AG627" s="33" t="s">
        <v>2461</v>
      </c>
      <c r="AH627" s="33"/>
      <c r="AI627" s="33"/>
      <c r="AJ627" s="33" t="s">
        <v>7104</v>
      </c>
      <c r="AK627" s="94"/>
      <c r="AL627" s="33" t="s">
        <v>7105</v>
      </c>
      <c r="AM627" s="33"/>
      <c r="AN627" s="33" t="s">
        <v>2588</v>
      </c>
      <c r="AO627" s="51" t="s">
        <v>2589</v>
      </c>
      <c r="AP627" s="51" t="s">
        <v>207</v>
      </c>
      <c r="AQ627" s="33"/>
      <c r="AR627" s="54"/>
      <c r="AS627" s="54"/>
      <c r="AT627" s="54"/>
      <c r="AU627" s="54"/>
      <c r="AV627" s="54"/>
      <c r="AW627" s="54"/>
      <c r="AX627" s="54"/>
      <c r="AY627" s="54"/>
      <c r="AZ627" s="54"/>
      <c r="BA627" s="54"/>
      <c r="BB627" s="54"/>
      <c r="BC627" s="54"/>
      <c r="BD627" s="54" t="s">
        <v>2447</v>
      </c>
      <c r="BE627" s="54"/>
      <c r="BF627" s="54"/>
      <c r="BG627" s="54"/>
      <c r="BH627" s="54"/>
      <c r="BI627" s="54"/>
      <c r="BJ627" s="0"/>
      <c r="BK627" s="0"/>
      <c r="BL627" s="0"/>
      <c r="BM627" s="0"/>
      <c r="BN627" s="0"/>
      <c r="BO627" s="0"/>
      <c r="BP627"/>
      <c r="BQ627"/>
      <c r="BR627"/>
      <c r="BS627"/>
      <c r="BT627"/>
      <c r="BU627"/>
      <c r="BV627"/>
      <c r="BW627"/>
      <c r="BX627"/>
      <c r="BY627"/>
      <c r="BZ627"/>
      <c r="CA627"/>
      <c r="CB627"/>
    </row>
    <row r="628" ht="15.0" customHeight="true">
      <c r="A628" s="51" t="s">
        <v>2448</v>
      </c>
      <c r="B628" s="33"/>
      <c r="C628" s="33" t="s">
        <v>7106</v>
      </c>
      <c r="D628" s="33"/>
      <c r="E628" s="33" t="s">
        <v>7107</v>
      </c>
      <c r="F628" s="33"/>
      <c r="G628" s="55" t="s">
        <v>7108</v>
      </c>
      <c r="H628" s="33"/>
      <c r="I628" s="51" t="s">
        <v>7109</v>
      </c>
      <c r="J628" s="33"/>
      <c r="K628" s="51" t="s">
        <v>7110</v>
      </c>
      <c r="L628" s="33" t="s">
        <v>2484</v>
      </c>
      <c r="M628" s="55" t="s">
        <v>4411</v>
      </c>
      <c r="N628" s="55"/>
      <c r="O628" s="33"/>
      <c r="P628" s="33" t="s">
        <v>2251</v>
      </c>
      <c r="Q628" s="33"/>
      <c r="R628" s="33" t="s">
        <v>2263</v>
      </c>
      <c r="S628" s="56" t="s">
        <v>2277</v>
      </c>
      <c r="T628" s="56"/>
      <c r="U628" s="56"/>
      <c r="V628" s="33" t="s">
        <v>2456</v>
      </c>
      <c r="W628" s="94" t="s">
        <v>2457</v>
      </c>
      <c r="X628" s="94" t="s">
        <v>2474</v>
      </c>
      <c r="Y628" s="51"/>
      <c r="Z628" s="51"/>
      <c r="AA628" s="33" t="s">
        <v>2459</v>
      </c>
      <c r="AB628" s="33" t="s">
        <v>2460</v>
      </c>
      <c r="AC628" s="33" t="s">
        <v>2486</v>
      </c>
      <c r="AD628" s="33" t="s">
        <v>2254</v>
      </c>
      <c r="AE628" s="33"/>
      <c r="AF628" s="33" t="s">
        <v>2267</v>
      </c>
      <c r="AG628" s="33" t="s">
        <v>2461</v>
      </c>
      <c r="AH628" s="33"/>
      <c r="AI628" s="33"/>
      <c r="AJ628" s="33" t="s">
        <v>7111</v>
      </c>
      <c r="AK628" s="94"/>
      <c r="AL628" s="33" t="s">
        <v>7112</v>
      </c>
      <c r="AM628" s="33"/>
      <c r="AN628" s="33" t="s">
        <v>2465</v>
      </c>
      <c r="AO628" s="51" t="s">
        <v>2478</v>
      </c>
      <c r="AP628" s="51" t="s">
        <v>207</v>
      </c>
      <c r="AQ628" s="33"/>
      <c r="AR628" s="54"/>
      <c r="AS628" s="54"/>
      <c r="AT628" s="54"/>
      <c r="AU628" s="54"/>
      <c r="AV628" s="54"/>
      <c r="AW628" s="54"/>
      <c r="AX628" s="54"/>
      <c r="AY628" s="54"/>
      <c r="AZ628" s="54"/>
      <c r="BA628" s="54"/>
      <c r="BB628" s="54"/>
      <c r="BC628" s="54"/>
      <c r="BD628" s="54" t="s">
        <v>2447</v>
      </c>
      <c r="BE628" s="54"/>
      <c r="BF628" s="54"/>
      <c r="BG628" s="54"/>
      <c r="BH628" s="54"/>
      <c r="BI628" s="54"/>
      <c r="BJ628" s="0"/>
      <c r="BK628" s="0"/>
      <c r="BL628" s="0"/>
      <c r="BM628" s="0"/>
      <c r="BN628" s="0"/>
      <c r="BO628" s="0"/>
      <c r="BP628"/>
      <c r="BQ628"/>
      <c r="BR628"/>
      <c r="BS628"/>
      <c r="BT628"/>
      <c r="BU628"/>
      <c r="BV628"/>
      <c r="BW628"/>
      <c r="BX628"/>
      <c r="BY628"/>
      <c r="BZ628"/>
      <c r="CA628"/>
      <c r="CB628"/>
    </row>
    <row r="629" ht="15.0" customHeight="true">
      <c r="A629" s="51" t="s">
        <v>2448</v>
      </c>
      <c r="B629" s="33"/>
      <c r="C629" s="33" t="s">
        <v>7113</v>
      </c>
      <c r="D629" s="33"/>
      <c r="E629" s="33" t="s">
        <v>7114</v>
      </c>
      <c r="F629" s="33"/>
      <c r="G629" s="55" t="s">
        <v>7115</v>
      </c>
      <c r="H629" s="33"/>
      <c r="I629" s="51" t="s">
        <v>7116</v>
      </c>
      <c r="J629" s="33"/>
      <c r="K629" s="51" t="s">
        <v>7117</v>
      </c>
      <c r="L629" s="33" t="s">
        <v>2484</v>
      </c>
      <c r="M629" s="55" t="s">
        <v>4094</v>
      </c>
      <c r="N629" s="55"/>
      <c r="O629" s="33"/>
      <c r="P629" s="33" t="s">
        <v>2251</v>
      </c>
      <c r="Q629" s="33"/>
      <c r="R629" s="33" t="s">
        <v>2263</v>
      </c>
      <c r="S629" s="56" t="s">
        <v>2277</v>
      </c>
      <c r="T629" s="56"/>
      <c r="U629" s="56"/>
      <c r="V629" s="33" t="s">
        <v>2456</v>
      </c>
      <c r="W629" s="94" t="s">
        <v>2457</v>
      </c>
      <c r="X629" s="94" t="s">
        <v>2474</v>
      </c>
      <c r="Y629" s="51"/>
      <c r="Z629" s="51"/>
      <c r="AA629" s="33" t="s">
        <v>2459</v>
      </c>
      <c r="AB629" s="33" t="s">
        <v>2460</v>
      </c>
      <c r="AC629" s="33" t="s">
        <v>2486</v>
      </c>
      <c r="AD629" s="33" t="s">
        <v>2254</v>
      </c>
      <c r="AE629" s="33"/>
      <c r="AF629" s="33" t="s">
        <v>2267</v>
      </c>
      <c r="AG629" s="33" t="s">
        <v>2461</v>
      </c>
      <c r="AH629" s="33"/>
      <c r="AI629" s="33"/>
      <c r="AJ629" s="33" t="s">
        <v>7118</v>
      </c>
      <c r="AK629" s="94"/>
      <c r="AL629" s="33" t="s">
        <v>7119</v>
      </c>
      <c r="AM629" s="33" t="s">
        <v>7120</v>
      </c>
      <c r="AN629" s="33" t="s">
        <v>2465</v>
      </c>
      <c r="AO629" s="51" t="s">
        <v>2618</v>
      </c>
      <c r="AP629" s="51" t="s">
        <v>207</v>
      </c>
      <c r="AQ629" s="33"/>
      <c r="AR629" s="54"/>
      <c r="AS629" s="54"/>
      <c r="AT629" s="54"/>
      <c r="AU629" s="54"/>
      <c r="AV629" s="54"/>
      <c r="AW629" s="54"/>
      <c r="AX629" s="54"/>
      <c r="AY629" s="54"/>
      <c r="AZ629" s="54"/>
      <c r="BA629" s="54"/>
      <c r="BB629" s="54"/>
      <c r="BC629" s="54"/>
      <c r="BD629" s="54" t="s">
        <v>2447</v>
      </c>
      <c r="BE629" s="54"/>
      <c r="BF629" s="54"/>
      <c r="BG629" s="54"/>
      <c r="BH629" s="54"/>
      <c r="BI629" s="54"/>
      <c r="BJ629" s="0"/>
      <c r="BK629" s="0"/>
      <c r="BL629" s="0"/>
      <c r="BM629" s="0"/>
      <c r="BN629" s="0"/>
      <c r="BO629" s="0"/>
      <c r="BP629"/>
      <c r="BQ629"/>
      <c r="BR629"/>
      <c r="BS629"/>
      <c r="BT629"/>
      <c r="BU629"/>
      <c r="BV629"/>
      <c r="BW629"/>
      <c r="BX629"/>
      <c r="BY629"/>
      <c r="BZ629"/>
      <c r="CA629"/>
      <c r="CB629"/>
    </row>
    <row r="630" ht="15.0" customHeight="true">
      <c r="A630" s="51" t="s">
        <v>2448</v>
      </c>
      <c r="B630" s="33"/>
      <c r="C630" s="33" t="s">
        <v>7121</v>
      </c>
      <c r="D630" s="33"/>
      <c r="E630" s="33" t="s">
        <v>7122</v>
      </c>
      <c r="F630" s="33"/>
      <c r="G630" s="55" t="s">
        <v>3910</v>
      </c>
      <c r="H630" s="33" t="s">
        <v>2258</v>
      </c>
      <c r="I630" s="51" t="s">
        <v>7123</v>
      </c>
      <c r="J630" s="33" t="s">
        <v>2269</v>
      </c>
      <c r="K630" s="51" t="s">
        <v>7124</v>
      </c>
      <c r="L630" s="33" t="s">
        <v>2484</v>
      </c>
      <c r="M630" s="55" t="s">
        <v>7125</v>
      </c>
      <c r="N630" s="55"/>
      <c r="O630" s="33"/>
      <c r="P630" s="33" t="s">
        <v>2251</v>
      </c>
      <c r="Q630" s="33"/>
      <c r="R630" s="33" t="s">
        <v>2252</v>
      </c>
      <c r="S630" s="56" t="s">
        <v>2277</v>
      </c>
      <c r="T630" s="56"/>
      <c r="U630" s="56" t="s">
        <v>7126</v>
      </c>
      <c r="V630" s="33" t="s">
        <v>7125</v>
      </c>
      <c r="W630" s="94"/>
      <c r="X630" s="94"/>
      <c r="Y630" s="51"/>
      <c r="Z630" s="51"/>
      <c r="AA630" s="33" t="s">
        <v>2459</v>
      </c>
      <c r="AB630" s="33" t="s">
        <v>7127</v>
      </c>
      <c r="AC630" s="33" t="s">
        <v>6121</v>
      </c>
      <c r="AD630" s="33" t="s">
        <v>2254</v>
      </c>
      <c r="AE630" s="33"/>
      <c r="AF630" s="33" t="s">
        <v>2256</v>
      </c>
      <c r="AG630" s="33" t="s">
        <v>2461</v>
      </c>
      <c r="AH630" s="33"/>
      <c r="AI630" s="33"/>
      <c r="AJ630" s="33" t="s">
        <v>7128</v>
      </c>
      <c r="AK630" s="94"/>
      <c r="AL630" s="33" t="s">
        <v>7129</v>
      </c>
      <c r="AM630" s="33"/>
      <c r="AN630" s="33" t="s">
        <v>2465</v>
      </c>
      <c r="AO630" s="51" t="s">
        <v>2466</v>
      </c>
      <c r="AP630" s="51" t="s">
        <v>207</v>
      </c>
      <c r="AQ630" s="33"/>
      <c r="AR630" s="54"/>
      <c r="AS630" s="54"/>
      <c r="AT630" s="54"/>
      <c r="AU630" s="54"/>
      <c r="AV630" s="54"/>
      <c r="AW630" s="54"/>
      <c r="AX630" s="54"/>
      <c r="AY630" s="54" t="s">
        <v>2269</v>
      </c>
      <c r="AZ630" s="54"/>
      <c r="BA630" s="54"/>
      <c r="BB630" s="54"/>
      <c r="BC630" s="54"/>
      <c r="BD630" s="54"/>
      <c r="BE630" s="54"/>
      <c r="BF630" s="54"/>
      <c r="BG630" s="54"/>
      <c r="BH630" s="54"/>
      <c r="BI630" s="54"/>
      <c r="BJ630" s="0"/>
      <c r="BK630" s="0"/>
      <c r="BL630" s="0"/>
      <c r="BM630" s="0"/>
      <c r="BN630" s="0"/>
      <c r="BO630" s="0"/>
      <c r="BP630"/>
      <c r="BQ630"/>
      <c r="BR630"/>
      <c r="BS630"/>
      <c r="BT630"/>
      <c r="BU630"/>
      <c r="BV630"/>
      <c r="BW630"/>
      <c r="BX630"/>
      <c r="BY630"/>
      <c r="BZ630"/>
      <c r="CA630"/>
      <c r="CB630"/>
    </row>
    <row r="631" ht="15.0" customHeight="true">
      <c r="A631" s="51" t="s">
        <v>2448</v>
      </c>
      <c r="B631" s="33"/>
      <c r="C631" s="33" t="s">
        <v>7130</v>
      </c>
      <c r="D631" s="33"/>
      <c r="E631" s="33" t="s">
        <v>7131</v>
      </c>
      <c r="F631" s="33"/>
      <c r="G631" s="55" t="s">
        <v>7132</v>
      </c>
      <c r="H631" s="33"/>
      <c r="I631" s="51" t="s">
        <v>7133</v>
      </c>
      <c r="J631" s="33"/>
      <c r="K631" s="51" t="s">
        <v>7134</v>
      </c>
      <c r="L631" s="33" t="s">
        <v>2454</v>
      </c>
      <c r="M631" s="55" t="s">
        <v>3175</v>
      </c>
      <c r="N631" s="55" t="s">
        <v>4392</v>
      </c>
      <c r="O631" s="33" t="s">
        <v>2276</v>
      </c>
      <c r="P631" s="33" t="s">
        <v>2251</v>
      </c>
      <c r="Q631" s="33"/>
      <c r="R631" s="33" t="s">
        <v>2263</v>
      </c>
      <c r="S631" s="56" t="s">
        <v>2277</v>
      </c>
      <c r="T631" s="56"/>
      <c r="U631" s="56"/>
      <c r="V631" s="33" t="s">
        <v>3175</v>
      </c>
      <c r="W631" s="94" t="s">
        <v>2574</v>
      </c>
      <c r="X631" s="94" t="s">
        <v>2474</v>
      </c>
      <c r="Y631" s="51"/>
      <c r="Z631" s="51"/>
      <c r="AA631" s="33" t="s">
        <v>2459</v>
      </c>
      <c r="AB631" s="33" t="s">
        <v>2460</v>
      </c>
      <c r="AC631" s="33" t="s">
        <v>7135</v>
      </c>
      <c r="AD631" s="33" t="s">
        <v>2254</v>
      </c>
      <c r="AE631" s="33"/>
      <c r="AF631" s="33" t="s">
        <v>2267</v>
      </c>
      <c r="AG631" s="33" t="s">
        <v>2461</v>
      </c>
      <c r="AH631" s="33"/>
      <c r="AI631" s="33"/>
      <c r="AJ631" s="33" t="s">
        <v>7136</v>
      </c>
      <c r="AK631" s="94"/>
      <c r="AL631" s="33" t="s">
        <v>7137</v>
      </c>
      <c r="AM631" s="33"/>
      <c r="AN631" s="33" t="s">
        <v>2465</v>
      </c>
      <c r="AO631" s="51" t="s">
        <v>2489</v>
      </c>
      <c r="AP631" s="51" t="s">
        <v>207</v>
      </c>
      <c r="AQ631" s="33"/>
      <c r="AR631" s="54"/>
      <c r="AS631" s="54"/>
      <c r="AT631" s="54"/>
      <c r="AU631" s="54"/>
      <c r="AV631" s="54"/>
      <c r="AW631" s="54"/>
      <c r="AX631" s="54"/>
      <c r="AY631" s="54" t="s">
        <v>2269</v>
      </c>
      <c r="AZ631" s="54"/>
      <c r="BA631" s="54"/>
      <c r="BB631" s="54"/>
      <c r="BC631" s="54"/>
      <c r="BD631" s="54" t="s">
        <v>2447</v>
      </c>
      <c r="BE631" s="54"/>
      <c r="BF631" s="54"/>
      <c r="BG631" s="54"/>
      <c r="BH631" s="54"/>
      <c r="BI631" s="54"/>
      <c r="BJ631" s="0"/>
      <c r="BK631" s="0"/>
      <c r="BL631" s="0"/>
      <c r="BM631" s="0"/>
      <c r="BN631" s="0"/>
      <c r="BO631" s="0"/>
      <c r="BP631"/>
      <c r="BQ631"/>
      <c r="BR631"/>
      <c r="BS631"/>
      <c r="BT631"/>
      <c r="BU631"/>
      <c r="BV631"/>
      <c r="BW631"/>
      <c r="BX631"/>
      <c r="BY631"/>
      <c r="BZ631"/>
      <c r="CA631"/>
      <c r="CB631"/>
    </row>
    <row r="632" ht="15.0" customHeight="true">
      <c r="A632" s="51" t="s">
        <v>2448</v>
      </c>
      <c r="B632" s="33"/>
      <c r="C632" s="33" t="s">
        <v>7138</v>
      </c>
      <c r="D632" s="33"/>
      <c r="E632" s="33" t="s">
        <v>7139</v>
      </c>
      <c r="F632" s="33"/>
      <c r="G632" s="55" t="s">
        <v>7140</v>
      </c>
      <c r="H632" s="33"/>
      <c r="I632" s="51" t="s">
        <v>7141</v>
      </c>
      <c r="J632" s="33"/>
      <c r="K632" s="51" t="s">
        <v>7142</v>
      </c>
      <c r="L632" s="33" t="s">
        <v>2454</v>
      </c>
      <c r="M632" s="55" t="s">
        <v>3074</v>
      </c>
      <c r="N632" s="55" t="s">
        <v>4992</v>
      </c>
      <c r="O632" s="33" t="s">
        <v>2272</v>
      </c>
      <c r="P632" s="33" t="s">
        <v>2251</v>
      </c>
      <c r="Q632" s="33"/>
      <c r="R632" s="33" t="s">
        <v>2263</v>
      </c>
      <c r="S632" s="56" t="s">
        <v>2277</v>
      </c>
      <c r="T632" s="56"/>
      <c r="U632" s="56"/>
      <c r="V632" s="33" t="s">
        <v>2456</v>
      </c>
      <c r="W632" s="94" t="s">
        <v>2457</v>
      </c>
      <c r="X632" s="94" t="s">
        <v>2458</v>
      </c>
      <c r="Y632" s="51"/>
      <c r="Z632" s="51"/>
      <c r="AA632" s="33" t="s">
        <v>2459</v>
      </c>
      <c r="AB632" s="33" t="s">
        <v>7143</v>
      </c>
      <c r="AC632" s="33"/>
      <c r="AD632" s="33" t="s">
        <v>2254</v>
      </c>
      <c r="AE632" s="33"/>
      <c r="AF632" s="33" t="s">
        <v>2267</v>
      </c>
      <c r="AG632" s="33" t="s">
        <v>2461</v>
      </c>
      <c r="AH632" s="33"/>
      <c r="AI632" s="33"/>
      <c r="AJ632" s="33" t="s">
        <v>7144</v>
      </c>
      <c r="AK632" s="94"/>
      <c r="AL632" s="33" t="s">
        <v>7145</v>
      </c>
      <c r="AM632" s="33"/>
      <c r="AN632" s="33" t="s">
        <v>2465</v>
      </c>
      <c r="AO632" s="51" t="s">
        <v>2618</v>
      </c>
      <c r="AP632" s="51" t="s">
        <v>207</v>
      </c>
      <c r="AQ632" s="33"/>
      <c r="AR632" s="54"/>
      <c r="AS632" s="54"/>
      <c r="AT632" s="54"/>
      <c r="AU632" s="54"/>
      <c r="AV632" s="54"/>
      <c r="AW632" s="54"/>
      <c r="AX632" s="54"/>
      <c r="AY632" s="54"/>
      <c r="AZ632" s="54"/>
      <c r="BA632" s="54"/>
      <c r="BB632" s="54"/>
      <c r="BC632" s="54"/>
      <c r="BD632" s="54" t="s">
        <v>2447</v>
      </c>
      <c r="BE632" s="54"/>
      <c r="BF632" s="54"/>
      <c r="BG632" s="54"/>
      <c r="BH632" s="54"/>
      <c r="BI632" s="54"/>
      <c r="BJ632" s="0"/>
      <c r="BK632" s="0"/>
      <c r="BL632" s="0"/>
      <c r="BM632" s="0"/>
      <c r="BN632" s="0"/>
      <c r="BO632" s="0"/>
      <c r="BP632"/>
      <c r="BQ632"/>
      <c r="BR632"/>
      <c r="BS632"/>
      <c r="BT632"/>
      <c r="BU632"/>
      <c r="BV632"/>
      <c r="BW632"/>
      <c r="BX632"/>
      <c r="BY632"/>
      <c r="BZ632"/>
      <c r="CA632"/>
      <c r="CB632"/>
    </row>
    <row r="633" ht="15.0" customHeight="true">
      <c r="A633" s="51" t="s">
        <v>2448</v>
      </c>
      <c r="B633" s="33"/>
      <c r="C633" s="33" t="s">
        <v>6707</v>
      </c>
      <c r="D633" s="33"/>
      <c r="E633" s="33" t="s">
        <v>7146</v>
      </c>
      <c r="F633" s="33"/>
      <c r="G633" s="55" t="s">
        <v>7147</v>
      </c>
      <c r="H633" s="33"/>
      <c r="I633" s="51" t="s">
        <v>7148</v>
      </c>
      <c r="J633" s="33"/>
      <c r="K633" s="51" t="s">
        <v>7149</v>
      </c>
      <c r="L633" s="33" t="s">
        <v>2484</v>
      </c>
      <c r="M633" s="55" t="s">
        <v>2679</v>
      </c>
      <c r="N633" s="55"/>
      <c r="O633" s="33"/>
      <c r="P633" s="33" t="s">
        <v>2251</v>
      </c>
      <c r="Q633" s="33"/>
      <c r="R633" s="33" t="s">
        <v>2263</v>
      </c>
      <c r="S633" s="56" t="s">
        <v>2277</v>
      </c>
      <c r="T633" s="56"/>
      <c r="U633" s="56"/>
      <c r="V633" s="33" t="s">
        <v>2456</v>
      </c>
      <c r="W633" s="94" t="s">
        <v>2457</v>
      </c>
      <c r="X633" s="94" t="s">
        <v>2474</v>
      </c>
      <c r="Y633" s="51"/>
      <c r="Z633" s="51"/>
      <c r="AA633" s="33" t="s">
        <v>2459</v>
      </c>
      <c r="AB633" s="33" t="s">
        <v>2460</v>
      </c>
      <c r="AC633" s="33" t="s">
        <v>2486</v>
      </c>
      <c r="AD633" s="33" t="s">
        <v>2254</v>
      </c>
      <c r="AE633" s="33"/>
      <c r="AF633" s="33" t="s">
        <v>2267</v>
      </c>
      <c r="AG633" s="33" t="s">
        <v>2461</v>
      </c>
      <c r="AH633" s="33"/>
      <c r="AI633" s="33"/>
      <c r="AJ633" s="33" t="s">
        <v>7150</v>
      </c>
      <c r="AK633" s="94"/>
      <c r="AL633" s="33" t="s">
        <v>7151</v>
      </c>
      <c r="AM633" s="33"/>
      <c r="AN633" s="33" t="s">
        <v>2588</v>
      </c>
      <c r="AO633" s="51" t="s">
        <v>2628</v>
      </c>
      <c r="AP633" s="51" t="s">
        <v>207</v>
      </c>
      <c r="AQ633" s="33"/>
      <c r="AR633" s="54"/>
      <c r="AS633" s="54"/>
      <c r="AT633" s="54"/>
      <c r="AU633" s="54"/>
      <c r="AV633" s="54"/>
      <c r="AW633" s="54"/>
      <c r="AX633" s="54"/>
      <c r="AY633" s="54"/>
      <c r="AZ633" s="54"/>
      <c r="BA633" s="54"/>
      <c r="BB633" s="54"/>
      <c r="BC633" s="54"/>
      <c r="BD633" s="54" t="s">
        <v>2447</v>
      </c>
      <c r="BE633" s="54"/>
      <c r="BF633" s="54"/>
      <c r="BG633" s="54"/>
      <c r="BH633" s="54"/>
      <c r="BI633" s="54"/>
      <c r="BJ633" s="0"/>
      <c r="BK633" s="0"/>
      <c r="BL633" s="0"/>
      <c r="BM633" s="0"/>
      <c r="BN633" s="0"/>
      <c r="BO633" s="0"/>
      <c r="BP633"/>
      <c r="BQ633"/>
      <c r="BR633"/>
      <c r="BS633"/>
      <c r="BT633"/>
      <c r="BU633"/>
      <c r="BV633"/>
      <c r="BW633"/>
      <c r="BX633"/>
      <c r="BY633"/>
      <c r="BZ633"/>
      <c r="CA633"/>
      <c r="CB633"/>
    </row>
    <row r="634" ht="15.0" customHeight="true">
      <c r="A634" s="51" t="s">
        <v>2448</v>
      </c>
      <c r="B634" s="33"/>
      <c r="C634" s="33" t="s">
        <v>3447</v>
      </c>
      <c r="D634" s="33"/>
      <c r="E634" s="33" t="s">
        <v>7152</v>
      </c>
      <c r="F634" s="33"/>
      <c r="G634" s="55" t="s">
        <v>5660</v>
      </c>
      <c r="H634" s="33"/>
      <c r="I634" s="51" t="s">
        <v>7153</v>
      </c>
      <c r="J634" s="33"/>
      <c r="K634" s="51" t="s">
        <v>7154</v>
      </c>
      <c r="L634" s="33" t="s">
        <v>2454</v>
      </c>
      <c r="M634" s="55" t="s">
        <v>2455</v>
      </c>
      <c r="N634" s="55" t="s">
        <v>2455</v>
      </c>
      <c r="O634" s="33" t="s">
        <v>2272</v>
      </c>
      <c r="P634" s="33" t="s">
        <v>2251</v>
      </c>
      <c r="Q634" s="33"/>
      <c r="R634" s="33" t="s">
        <v>2263</v>
      </c>
      <c r="S634" s="56" t="s">
        <v>2277</v>
      </c>
      <c r="T634" s="56"/>
      <c r="U634" s="56"/>
      <c r="V634" s="33" t="s">
        <v>2456</v>
      </c>
      <c r="W634" s="94" t="s">
        <v>2457</v>
      </c>
      <c r="X634" s="94" t="s">
        <v>2458</v>
      </c>
      <c r="Y634" s="51"/>
      <c r="Z634" s="51"/>
      <c r="AA634" s="33" t="s">
        <v>2459</v>
      </c>
      <c r="AB634" s="33" t="s">
        <v>2460</v>
      </c>
      <c r="AC634" s="33"/>
      <c r="AD634" s="33" t="s">
        <v>2254</v>
      </c>
      <c r="AE634" s="33"/>
      <c r="AF634" s="33" t="s">
        <v>2267</v>
      </c>
      <c r="AG634" s="33" t="s">
        <v>2461</v>
      </c>
      <c r="AH634" s="33"/>
      <c r="AI634" s="33"/>
      <c r="AJ634" s="33" t="s">
        <v>7155</v>
      </c>
      <c r="AK634" s="94"/>
      <c r="AL634" s="33" t="s">
        <v>7156</v>
      </c>
      <c r="AM634" s="33"/>
      <c r="AN634" s="33" t="s">
        <v>2577</v>
      </c>
      <c r="AO634" s="51" t="s">
        <v>2578</v>
      </c>
      <c r="AP634" s="51" t="s">
        <v>207</v>
      </c>
      <c r="AQ634" s="33"/>
      <c r="AR634" s="54"/>
      <c r="AS634" s="54"/>
      <c r="AT634" s="54"/>
      <c r="AU634" s="54"/>
      <c r="AV634" s="54"/>
      <c r="AW634" s="54"/>
      <c r="AX634" s="54"/>
      <c r="AY634" s="54"/>
      <c r="AZ634" s="54"/>
      <c r="BA634" s="54"/>
      <c r="BB634" s="54"/>
      <c r="BC634" s="54"/>
      <c r="BD634" s="54" t="s">
        <v>2447</v>
      </c>
      <c r="BE634" s="54"/>
      <c r="BF634" s="54"/>
      <c r="BG634" s="54"/>
      <c r="BH634" s="54"/>
      <c r="BI634" s="54"/>
      <c r="BJ634" s="0"/>
      <c r="BK634" s="0"/>
      <c r="BL634" s="0"/>
      <c r="BM634" s="0"/>
      <c r="BN634" s="0"/>
      <c r="BO634" s="0"/>
      <c r="BP634"/>
      <c r="BQ634"/>
      <c r="BR634"/>
      <c r="BS634"/>
      <c r="BT634"/>
      <c r="BU634"/>
      <c r="BV634"/>
      <c r="BW634"/>
      <c r="BX634"/>
      <c r="BY634"/>
      <c r="BZ634"/>
      <c r="CA634"/>
      <c r="CB634"/>
    </row>
    <row r="635" ht="15.0" customHeight="true">
      <c r="A635" s="51" t="s">
        <v>2448</v>
      </c>
      <c r="B635" s="33"/>
      <c r="C635" s="33" t="s">
        <v>3925</v>
      </c>
      <c r="D635" s="33"/>
      <c r="E635" s="33" t="s">
        <v>4255</v>
      </c>
      <c r="F635" s="33"/>
      <c r="G635" s="55" t="s">
        <v>7157</v>
      </c>
      <c r="H635" s="33"/>
      <c r="I635" s="51" t="s">
        <v>7158</v>
      </c>
      <c r="J635" s="33"/>
      <c r="K635" s="51" t="s">
        <v>7159</v>
      </c>
      <c r="L635" s="33" t="s">
        <v>2454</v>
      </c>
      <c r="M635" s="55" t="s">
        <v>4918</v>
      </c>
      <c r="N635" s="55" t="s">
        <v>4918</v>
      </c>
      <c r="O635" s="33" t="s">
        <v>2272</v>
      </c>
      <c r="P635" s="33" t="s">
        <v>2251</v>
      </c>
      <c r="Q635" s="33"/>
      <c r="R635" s="33" t="s">
        <v>2263</v>
      </c>
      <c r="S635" s="56" t="s">
        <v>2277</v>
      </c>
      <c r="T635" s="56"/>
      <c r="U635" s="56"/>
      <c r="V635" s="33" t="s">
        <v>2456</v>
      </c>
      <c r="W635" s="94" t="s">
        <v>2457</v>
      </c>
      <c r="X635" s="94" t="s">
        <v>2458</v>
      </c>
      <c r="Y635" s="51"/>
      <c r="Z635" s="51"/>
      <c r="AA635" s="33" t="s">
        <v>2459</v>
      </c>
      <c r="AB635" s="33" t="s">
        <v>2460</v>
      </c>
      <c r="AC635" s="33"/>
      <c r="AD635" s="33" t="s">
        <v>2254</v>
      </c>
      <c r="AE635" s="33"/>
      <c r="AF635" s="33" t="s">
        <v>2267</v>
      </c>
      <c r="AG635" s="33" t="s">
        <v>2461</v>
      </c>
      <c r="AH635" s="33"/>
      <c r="AI635" s="33"/>
      <c r="AJ635" s="33" t="s">
        <v>7160</v>
      </c>
      <c r="AK635" s="94"/>
      <c r="AL635" s="33" t="s">
        <v>7161</v>
      </c>
      <c r="AM635" s="33"/>
      <c r="AN635" s="33" t="s">
        <v>2465</v>
      </c>
      <c r="AO635" s="51" t="s">
        <v>2548</v>
      </c>
      <c r="AP635" s="51" t="s">
        <v>207</v>
      </c>
      <c r="AQ635" s="33"/>
      <c r="AR635" s="54"/>
      <c r="AS635" s="54"/>
      <c r="AT635" s="54"/>
      <c r="AU635" s="54"/>
      <c r="AV635" s="54"/>
      <c r="AW635" s="54"/>
      <c r="AX635" s="54"/>
      <c r="AY635" s="54"/>
      <c r="AZ635" s="54"/>
      <c r="BA635" s="54"/>
      <c r="BB635" s="54"/>
      <c r="BC635" s="54"/>
      <c r="BD635" s="54" t="s">
        <v>2447</v>
      </c>
      <c r="BE635" s="54"/>
      <c r="BF635" s="54"/>
      <c r="BG635" s="54"/>
      <c r="BH635" s="54"/>
      <c r="BI635" s="54"/>
      <c r="BJ635" s="0"/>
      <c r="BK635" s="0"/>
      <c r="BL635" s="0"/>
      <c r="BM635" s="0"/>
      <c r="BN635" s="0"/>
      <c r="BO635" s="0"/>
      <c r="BP635"/>
      <c r="BQ635"/>
      <c r="BR635"/>
      <c r="BS635"/>
      <c r="BT635"/>
      <c r="BU635"/>
      <c r="BV635"/>
      <c r="BW635"/>
      <c r="BX635"/>
      <c r="BY635"/>
      <c r="BZ635"/>
      <c r="CA635"/>
      <c r="CB635"/>
    </row>
    <row r="636" ht="15.0" customHeight="true">
      <c r="A636" s="51" t="s">
        <v>2448</v>
      </c>
      <c r="B636" s="33"/>
      <c r="C636" s="33" t="s">
        <v>3766</v>
      </c>
      <c r="D636" s="33"/>
      <c r="E636" s="33" t="s">
        <v>7162</v>
      </c>
      <c r="F636" s="33"/>
      <c r="G636" s="55" t="s">
        <v>7163</v>
      </c>
      <c r="H636" s="33"/>
      <c r="I636" s="51" t="s">
        <v>7164</v>
      </c>
      <c r="J636" s="33"/>
      <c r="K636" s="51" t="s">
        <v>7165</v>
      </c>
      <c r="L636" s="33" t="s">
        <v>2454</v>
      </c>
      <c r="M636" s="55" t="s">
        <v>4411</v>
      </c>
      <c r="N636" s="55" t="s">
        <v>2835</v>
      </c>
      <c r="O636" s="33" t="s">
        <v>2272</v>
      </c>
      <c r="P636" s="33" t="s">
        <v>2251</v>
      </c>
      <c r="Q636" s="33"/>
      <c r="R636" s="33" t="s">
        <v>2263</v>
      </c>
      <c r="S636" s="56" t="s">
        <v>2277</v>
      </c>
      <c r="T636" s="56"/>
      <c r="U636" s="56"/>
      <c r="V636" s="33" t="s">
        <v>2456</v>
      </c>
      <c r="W636" s="94" t="s">
        <v>2457</v>
      </c>
      <c r="X636" s="94" t="s">
        <v>2474</v>
      </c>
      <c r="Y636" s="51"/>
      <c r="Z636" s="51"/>
      <c r="AA636" s="33" t="s">
        <v>2459</v>
      </c>
      <c r="AB636" s="33" t="s">
        <v>2460</v>
      </c>
      <c r="AC636" s="33"/>
      <c r="AD636" s="33" t="s">
        <v>2254</v>
      </c>
      <c r="AE636" s="33"/>
      <c r="AF636" s="33" t="s">
        <v>2267</v>
      </c>
      <c r="AG636" s="33" t="s">
        <v>2461</v>
      </c>
      <c r="AH636" s="33"/>
      <c r="AI636" s="33"/>
      <c r="AJ636" s="33" t="s">
        <v>7166</v>
      </c>
      <c r="AK636" s="94"/>
      <c r="AL636" s="33" t="s">
        <v>7167</v>
      </c>
      <c r="AM636" s="33"/>
      <c r="AN636" s="33" t="s">
        <v>2465</v>
      </c>
      <c r="AO636" s="51" t="s">
        <v>2489</v>
      </c>
      <c r="AP636" s="51" t="s">
        <v>207</v>
      </c>
      <c r="AQ636" s="33"/>
      <c r="AR636" s="54"/>
      <c r="AS636" s="54"/>
      <c r="AT636" s="54"/>
      <c r="AU636" s="54"/>
      <c r="AV636" s="54"/>
      <c r="AW636" s="54"/>
      <c r="AX636" s="54"/>
      <c r="AY636" s="54"/>
      <c r="AZ636" s="54"/>
      <c r="BA636" s="54"/>
      <c r="BB636" s="54"/>
      <c r="BC636" s="54"/>
      <c r="BD636" s="54" t="s">
        <v>2447</v>
      </c>
      <c r="BE636" s="54"/>
      <c r="BF636" s="54"/>
      <c r="BG636" s="54"/>
      <c r="BH636" s="54"/>
      <c r="BI636" s="54"/>
      <c r="BJ636" s="0"/>
      <c r="BK636" s="0"/>
      <c r="BL636" s="0"/>
      <c r="BM636" s="0"/>
      <c r="BN636" s="0"/>
      <c r="BO636" s="0"/>
      <c r="BP636"/>
      <c r="BQ636"/>
      <c r="BR636"/>
      <c r="BS636"/>
      <c r="BT636"/>
      <c r="BU636"/>
      <c r="BV636"/>
      <c r="BW636"/>
      <c r="BX636"/>
      <c r="BY636"/>
      <c r="BZ636"/>
      <c r="CA636"/>
      <c r="CB636"/>
    </row>
    <row r="637" ht="15.0" customHeight="true">
      <c r="A637" s="51" t="s">
        <v>2448</v>
      </c>
      <c r="B637" s="33"/>
      <c r="C637" s="33" t="s">
        <v>2948</v>
      </c>
      <c r="D637" s="33"/>
      <c r="E637" s="33" t="s">
        <v>7168</v>
      </c>
      <c r="F637" s="33"/>
      <c r="G637" s="55" t="s">
        <v>7169</v>
      </c>
      <c r="H637" s="33"/>
      <c r="I637" s="51" t="s">
        <v>7170</v>
      </c>
      <c r="J637" s="33"/>
      <c r="K637" s="51" t="s">
        <v>7171</v>
      </c>
      <c r="L637" s="33" t="s">
        <v>2454</v>
      </c>
      <c r="M637" s="55" t="s">
        <v>3710</v>
      </c>
      <c r="N637" s="55" t="s">
        <v>7172</v>
      </c>
      <c r="O637" s="33" t="s">
        <v>2272</v>
      </c>
      <c r="P637" s="33" t="s">
        <v>2251</v>
      </c>
      <c r="Q637" s="33"/>
      <c r="R637" s="33" t="s">
        <v>2263</v>
      </c>
      <c r="S637" s="56" t="s">
        <v>2277</v>
      </c>
      <c r="T637" s="56"/>
      <c r="U637" s="56"/>
      <c r="V637" s="33" t="s">
        <v>2456</v>
      </c>
      <c r="W637" s="94" t="s">
        <v>2457</v>
      </c>
      <c r="X637" s="94" t="s">
        <v>2458</v>
      </c>
      <c r="Y637" s="51"/>
      <c r="Z637" s="51"/>
      <c r="AA637" s="33" t="s">
        <v>2459</v>
      </c>
      <c r="AB637" s="33" t="s">
        <v>2460</v>
      </c>
      <c r="AC637" s="33"/>
      <c r="AD637" s="33" t="s">
        <v>2254</v>
      </c>
      <c r="AE637" s="33"/>
      <c r="AF637" s="33" t="s">
        <v>2267</v>
      </c>
      <c r="AG637" s="33" t="s">
        <v>2461</v>
      </c>
      <c r="AH637" s="33"/>
      <c r="AI637" s="33"/>
      <c r="AJ637" s="33" t="s">
        <v>7173</v>
      </c>
      <c r="AK637" s="94"/>
      <c r="AL637" s="33" t="s">
        <v>7174</v>
      </c>
      <c r="AM637" s="33"/>
      <c r="AN637" s="33" t="s">
        <v>2465</v>
      </c>
      <c r="AO637" s="51" t="s">
        <v>2820</v>
      </c>
      <c r="AP637" s="51" t="s">
        <v>207</v>
      </c>
      <c r="AQ637" s="33"/>
      <c r="AR637" s="54"/>
      <c r="AS637" s="54"/>
      <c r="AT637" s="54"/>
      <c r="AU637" s="54"/>
      <c r="AV637" s="54"/>
      <c r="AW637" s="54"/>
      <c r="AX637" s="54"/>
      <c r="AY637" s="54"/>
      <c r="AZ637" s="54"/>
      <c r="BA637" s="54"/>
      <c r="BB637" s="54"/>
      <c r="BC637" s="54"/>
      <c r="BD637" s="54" t="s">
        <v>2447</v>
      </c>
      <c r="BE637" s="54"/>
      <c r="BF637" s="54"/>
      <c r="BG637" s="54"/>
      <c r="BH637" s="54"/>
      <c r="BI637" s="54"/>
      <c r="BJ637" s="0"/>
      <c r="BK637" s="0"/>
      <c r="BL637" s="0"/>
      <c r="BM637" s="0"/>
      <c r="BN637" s="0"/>
      <c r="BO637" s="0"/>
      <c r="BP637"/>
      <c r="BQ637"/>
      <c r="BR637"/>
      <c r="BS637"/>
      <c r="BT637"/>
      <c r="BU637"/>
      <c r="BV637"/>
      <c r="BW637"/>
      <c r="BX637"/>
      <c r="BY637"/>
      <c r="BZ637"/>
      <c r="CA637"/>
      <c r="CB637"/>
    </row>
    <row r="638" ht="15.0" customHeight="true">
      <c r="A638" s="51" t="s">
        <v>2448</v>
      </c>
      <c r="B638" s="33"/>
      <c r="C638" s="33" t="s">
        <v>4523</v>
      </c>
      <c r="D638" s="33"/>
      <c r="E638" s="33" t="s">
        <v>2879</v>
      </c>
      <c r="F638" s="33"/>
      <c r="G638" s="55" t="s">
        <v>7175</v>
      </c>
      <c r="H638" s="33"/>
      <c r="I638" s="51" t="s">
        <v>7176</v>
      </c>
      <c r="J638" s="33"/>
      <c r="K638" s="51" t="s">
        <v>7177</v>
      </c>
      <c r="L638" s="33" t="s">
        <v>2454</v>
      </c>
      <c r="M638" s="55" t="s">
        <v>4722</v>
      </c>
      <c r="N638" s="55" t="s">
        <v>3367</v>
      </c>
      <c r="O638" s="33" t="s">
        <v>2272</v>
      </c>
      <c r="P638" s="33" t="s">
        <v>2251</v>
      </c>
      <c r="Q638" s="33"/>
      <c r="R638" s="33" t="s">
        <v>2263</v>
      </c>
      <c r="S638" s="56" t="s">
        <v>2277</v>
      </c>
      <c r="T638" s="56"/>
      <c r="U638" s="56"/>
      <c r="V638" s="33" t="s">
        <v>2456</v>
      </c>
      <c r="W638" s="94" t="s">
        <v>2457</v>
      </c>
      <c r="X638" s="94" t="s">
        <v>2474</v>
      </c>
      <c r="Y638" s="51"/>
      <c r="Z638" s="51"/>
      <c r="AA638" s="33" t="s">
        <v>2459</v>
      </c>
      <c r="AB638" s="33" t="s">
        <v>2460</v>
      </c>
      <c r="AC638" s="33"/>
      <c r="AD638" s="33" t="s">
        <v>2254</v>
      </c>
      <c r="AE638" s="33"/>
      <c r="AF638" s="33" t="s">
        <v>2267</v>
      </c>
      <c r="AG638" s="33" t="s">
        <v>2461</v>
      </c>
      <c r="AH638" s="33"/>
      <c r="AI638" s="33"/>
      <c r="AJ638" s="33" t="s">
        <v>7178</v>
      </c>
      <c r="AK638" s="94"/>
      <c r="AL638" s="33" t="s">
        <v>7179</v>
      </c>
      <c r="AM638" s="33"/>
      <c r="AN638" s="33" t="s">
        <v>2577</v>
      </c>
      <c r="AO638" s="51" t="s">
        <v>2578</v>
      </c>
      <c r="AP638" s="51" t="s">
        <v>207</v>
      </c>
      <c r="AQ638" s="33"/>
      <c r="AR638" s="54"/>
      <c r="AS638" s="54"/>
      <c r="AT638" s="54"/>
      <c r="AU638" s="54"/>
      <c r="AV638" s="54"/>
      <c r="AW638" s="54"/>
      <c r="AX638" s="54"/>
      <c r="AY638" s="54"/>
      <c r="AZ638" s="54"/>
      <c r="BA638" s="54"/>
      <c r="BB638" s="54"/>
      <c r="BC638" s="54"/>
      <c r="BD638" s="54" t="s">
        <v>2447</v>
      </c>
      <c r="BE638" s="54"/>
      <c r="BF638" s="54"/>
      <c r="BG638" s="54"/>
      <c r="BH638" s="54"/>
      <c r="BI638" s="54"/>
      <c r="BJ638" s="0"/>
      <c r="BK638" s="0"/>
      <c r="BL638" s="0"/>
      <c r="BM638" s="0"/>
      <c r="BN638" s="0"/>
      <c r="BO638" s="0"/>
      <c r="BP638"/>
      <c r="BQ638"/>
      <c r="BR638"/>
      <c r="BS638"/>
      <c r="BT638"/>
      <c r="BU638"/>
      <c r="BV638"/>
      <c r="BW638"/>
      <c r="BX638"/>
      <c r="BY638"/>
      <c r="BZ638"/>
      <c r="CA638"/>
      <c r="CB638"/>
    </row>
    <row r="639" ht="15.0" customHeight="true">
      <c r="A639" s="51" t="s">
        <v>2448</v>
      </c>
      <c r="B639" s="33"/>
      <c r="C639" s="33" t="s">
        <v>4335</v>
      </c>
      <c r="D639" s="33"/>
      <c r="E639" s="33" t="s">
        <v>7180</v>
      </c>
      <c r="F639" s="33"/>
      <c r="G639" s="55" t="s">
        <v>7181</v>
      </c>
      <c r="H639" s="33"/>
      <c r="I639" s="51" t="s">
        <v>7182</v>
      </c>
      <c r="J639" s="33"/>
      <c r="K639" s="51" t="s">
        <v>7183</v>
      </c>
      <c r="L639" s="33" t="s">
        <v>2454</v>
      </c>
      <c r="M639" s="55" t="s">
        <v>3622</v>
      </c>
      <c r="N639" s="55" t="s">
        <v>3710</v>
      </c>
      <c r="O639" s="33" t="s">
        <v>2272</v>
      </c>
      <c r="P639" s="33" t="s">
        <v>2251</v>
      </c>
      <c r="Q639" s="33"/>
      <c r="R639" s="33" t="s">
        <v>2263</v>
      </c>
      <c r="S639" s="56" t="s">
        <v>2277</v>
      </c>
      <c r="T639" s="56"/>
      <c r="U639" s="56"/>
      <c r="V639" s="33" t="s">
        <v>2456</v>
      </c>
      <c r="W639" s="94" t="s">
        <v>2457</v>
      </c>
      <c r="X639" s="94" t="s">
        <v>2458</v>
      </c>
      <c r="Y639" s="51"/>
      <c r="Z639" s="51"/>
      <c r="AA639" s="33" t="s">
        <v>2459</v>
      </c>
      <c r="AB639" s="33" t="s">
        <v>2460</v>
      </c>
      <c r="AC639" s="33"/>
      <c r="AD639" s="33" t="s">
        <v>2254</v>
      </c>
      <c r="AE639" s="33"/>
      <c r="AF639" s="33" t="s">
        <v>2267</v>
      </c>
      <c r="AG639" s="33" t="s">
        <v>2461</v>
      </c>
      <c r="AH639" s="33"/>
      <c r="AI639" s="33"/>
      <c r="AJ639" s="33" t="s">
        <v>7184</v>
      </c>
      <c r="AK639" s="94"/>
      <c r="AL639" s="33" t="s">
        <v>7185</v>
      </c>
      <c r="AM639" s="33"/>
      <c r="AN639" s="33" t="s">
        <v>2465</v>
      </c>
      <c r="AO639" s="51" t="s">
        <v>2478</v>
      </c>
      <c r="AP639" s="51" t="s">
        <v>207</v>
      </c>
      <c r="AQ639" s="33"/>
      <c r="AR639" s="54"/>
      <c r="AS639" s="54"/>
      <c r="AT639" s="54"/>
      <c r="AU639" s="54"/>
      <c r="AV639" s="54"/>
      <c r="AW639" s="54"/>
      <c r="AX639" s="54"/>
      <c r="AY639" s="54"/>
      <c r="AZ639" s="54"/>
      <c r="BA639" s="54"/>
      <c r="BB639" s="54"/>
      <c r="BC639" s="54"/>
      <c r="BD639" s="54" t="s">
        <v>2447</v>
      </c>
      <c r="BE639" s="54"/>
      <c r="BF639" s="54"/>
      <c r="BG639" s="54"/>
      <c r="BH639" s="54"/>
      <c r="BI639" s="54"/>
      <c r="BJ639" s="0"/>
      <c r="BK639" s="0"/>
      <c r="BL639" s="0"/>
      <c r="BM639" s="0"/>
      <c r="BN639" s="0"/>
      <c r="BO639" s="0"/>
      <c r="BP639"/>
      <c r="BQ639"/>
      <c r="BR639"/>
      <c r="BS639"/>
      <c r="BT639"/>
      <c r="BU639"/>
      <c r="BV639"/>
      <c r="BW639"/>
      <c r="BX639"/>
      <c r="BY639"/>
      <c r="BZ639"/>
      <c r="CA639"/>
      <c r="CB639"/>
    </row>
    <row r="640" ht="15.0" customHeight="true">
      <c r="A640" s="51" t="s">
        <v>2448</v>
      </c>
      <c r="B640" s="33"/>
      <c r="C640" s="33" t="s">
        <v>7186</v>
      </c>
      <c r="D640" s="33"/>
      <c r="E640" s="33" t="s">
        <v>7187</v>
      </c>
      <c r="F640" s="33"/>
      <c r="G640" s="55" t="s">
        <v>7188</v>
      </c>
      <c r="H640" s="33"/>
      <c r="I640" s="51" t="s">
        <v>7189</v>
      </c>
      <c r="J640" s="33"/>
      <c r="K640" s="51" t="s">
        <v>7190</v>
      </c>
      <c r="L640" s="33" t="s">
        <v>2454</v>
      </c>
      <c r="M640" s="55" t="s">
        <v>2727</v>
      </c>
      <c r="N640" s="55" t="s">
        <v>3827</v>
      </c>
      <c r="O640" s="33" t="s">
        <v>2272</v>
      </c>
      <c r="P640" s="33" t="s">
        <v>2251</v>
      </c>
      <c r="Q640" s="33"/>
      <c r="R640" s="33" t="s">
        <v>2263</v>
      </c>
      <c r="S640" s="56" t="s">
        <v>2277</v>
      </c>
      <c r="T640" s="56"/>
      <c r="U640" s="56"/>
      <c r="V640" s="33" t="s">
        <v>2456</v>
      </c>
      <c r="W640" s="94" t="s">
        <v>2457</v>
      </c>
      <c r="X640" s="94" t="s">
        <v>2474</v>
      </c>
      <c r="Y640" s="51"/>
      <c r="Z640" s="51"/>
      <c r="AA640" s="33" t="s">
        <v>2459</v>
      </c>
      <c r="AB640" s="33" t="s">
        <v>2460</v>
      </c>
      <c r="AC640" s="33"/>
      <c r="AD640" s="33" t="s">
        <v>2254</v>
      </c>
      <c r="AE640" s="33"/>
      <c r="AF640" s="33" t="s">
        <v>2267</v>
      </c>
      <c r="AG640" s="33" t="s">
        <v>2461</v>
      </c>
      <c r="AH640" s="33"/>
      <c r="AI640" s="33"/>
      <c r="AJ640" s="33" t="s">
        <v>7191</v>
      </c>
      <c r="AK640" s="94"/>
      <c r="AL640" s="33" t="s">
        <v>4493</v>
      </c>
      <c r="AM640" s="33"/>
      <c r="AN640" s="33" t="s">
        <v>2465</v>
      </c>
      <c r="AO640" s="51" t="s">
        <v>2466</v>
      </c>
      <c r="AP640" s="51" t="s">
        <v>207</v>
      </c>
      <c r="AQ640" s="33"/>
      <c r="AR640" s="54"/>
      <c r="AS640" s="54"/>
      <c r="AT640" s="54"/>
      <c r="AU640" s="54"/>
      <c r="AV640" s="54"/>
      <c r="AW640" s="54"/>
      <c r="AX640" s="54"/>
      <c r="AY640" s="54"/>
      <c r="AZ640" s="54"/>
      <c r="BA640" s="54"/>
      <c r="BB640" s="54"/>
      <c r="BC640" s="54"/>
      <c r="BD640" s="54" t="s">
        <v>2447</v>
      </c>
      <c r="BE640" s="54"/>
      <c r="BF640" s="54"/>
      <c r="BG640" s="54"/>
      <c r="BH640" s="54"/>
      <c r="BI640" s="54"/>
      <c r="BJ640" s="0"/>
      <c r="BK640" s="0"/>
      <c r="BL640" s="0"/>
      <c r="BM640" s="0"/>
      <c r="BN640" s="0"/>
      <c r="BO640" s="0"/>
      <c r="BP640"/>
      <c r="BQ640"/>
      <c r="BR640"/>
      <c r="BS640"/>
      <c r="BT640"/>
      <c r="BU640"/>
      <c r="BV640"/>
      <c r="BW640"/>
      <c r="BX640"/>
      <c r="BY640"/>
      <c r="BZ640"/>
      <c r="CA640"/>
      <c r="CB640"/>
    </row>
    <row r="641" ht="15.0" customHeight="true">
      <c r="A641" s="51" t="s">
        <v>2448</v>
      </c>
      <c r="B641" s="33"/>
      <c r="C641" s="33" t="s">
        <v>3447</v>
      </c>
      <c r="D641" s="33"/>
      <c r="E641" s="33" t="s">
        <v>7192</v>
      </c>
      <c r="F641" s="33"/>
      <c r="G641" s="55" t="s">
        <v>7193</v>
      </c>
      <c r="H641" s="33"/>
      <c r="I641" s="51" t="s">
        <v>7194</v>
      </c>
      <c r="J641" s="33"/>
      <c r="K641" s="51" t="s">
        <v>7195</v>
      </c>
      <c r="L641" s="33" t="s">
        <v>2454</v>
      </c>
      <c r="M641" s="55" t="s">
        <v>4094</v>
      </c>
      <c r="N641" s="55" t="s">
        <v>3224</v>
      </c>
      <c r="O641" s="33" t="s">
        <v>2272</v>
      </c>
      <c r="P641" s="33" t="s">
        <v>2251</v>
      </c>
      <c r="Q641" s="33"/>
      <c r="R641" s="33" t="s">
        <v>2263</v>
      </c>
      <c r="S641" s="56" t="s">
        <v>2277</v>
      </c>
      <c r="T641" s="56"/>
      <c r="U641" s="56"/>
      <c r="V641" s="33" t="s">
        <v>2456</v>
      </c>
      <c r="W641" s="94" t="s">
        <v>2457</v>
      </c>
      <c r="X641" s="94" t="s">
        <v>2458</v>
      </c>
      <c r="Y641" s="51"/>
      <c r="Z641" s="51"/>
      <c r="AA641" s="33" t="s">
        <v>2459</v>
      </c>
      <c r="AB641" s="33" t="s">
        <v>2460</v>
      </c>
      <c r="AC641" s="33"/>
      <c r="AD641" s="33" t="s">
        <v>2254</v>
      </c>
      <c r="AE641" s="33"/>
      <c r="AF641" s="33" t="s">
        <v>2267</v>
      </c>
      <c r="AG641" s="33" t="s">
        <v>2461</v>
      </c>
      <c r="AH641" s="33"/>
      <c r="AI641" s="33"/>
      <c r="AJ641" s="33" t="s">
        <v>7196</v>
      </c>
      <c r="AK641" s="94"/>
      <c r="AL641" s="33" t="s">
        <v>3226</v>
      </c>
      <c r="AM641" s="33" t="s">
        <v>7197</v>
      </c>
      <c r="AN641" s="33" t="s">
        <v>2465</v>
      </c>
      <c r="AO641" s="51" t="s">
        <v>2489</v>
      </c>
      <c r="AP641" s="51" t="s">
        <v>207</v>
      </c>
      <c r="AQ641" s="33"/>
      <c r="AR641" s="54"/>
      <c r="AS641" s="54"/>
      <c r="AT641" s="54"/>
      <c r="AU641" s="54"/>
      <c r="AV641" s="54"/>
      <c r="AW641" s="54"/>
      <c r="AX641" s="54"/>
      <c r="AY641" s="54"/>
      <c r="AZ641" s="54"/>
      <c r="BA641" s="54"/>
      <c r="BB641" s="54"/>
      <c r="BC641" s="54"/>
      <c r="BD641" s="54" t="s">
        <v>2447</v>
      </c>
      <c r="BE641" s="54"/>
      <c r="BF641" s="54"/>
      <c r="BG641" s="54"/>
      <c r="BH641" s="54"/>
      <c r="BI641" s="54"/>
      <c r="BJ641" s="0"/>
      <c r="BK641" s="0"/>
      <c r="BL641" s="0"/>
      <c r="BM641" s="0"/>
      <c r="BN641" s="0"/>
      <c r="BO641" s="0"/>
      <c r="BP641"/>
      <c r="BQ641"/>
      <c r="BR641"/>
      <c r="BS641"/>
      <c r="BT641"/>
      <c r="BU641"/>
      <c r="BV641"/>
      <c r="BW641"/>
      <c r="BX641"/>
      <c r="BY641"/>
      <c r="BZ641"/>
      <c r="CA641"/>
      <c r="CB641"/>
    </row>
    <row r="642" ht="15.0" customHeight="true">
      <c r="A642" s="51" t="s">
        <v>2448</v>
      </c>
      <c r="B642" s="33"/>
      <c r="C642" s="33" t="s">
        <v>3766</v>
      </c>
      <c r="D642" s="33"/>
      <c r="E642" s="33" t="s">
        <v>3651</v>
      </c>
      <c r="F642" s="33"/>
      <c r="G642" s="55" t="s">
        <v>7198</v>
      </c>
      <c r="H642" s="33"/>
      <c r="I642" s="51" t="s">
        <v>7199</v>
      </c>
      <c r="J642" s="33"/>
      <c r="K642" s="51" t="s">
        <v>7200</v>
      </c>
      <c r="L642" s="33" t="s">
        <v>2454</v>
      </c>
      <c r="M642" s="55" t="s">
        <v>3082</v>
      </c>
      <c r="N642" s="55" t="s">
        <v>2917</v>
      </c>
      <c r="O642" s="33" t="s">
        <v>2272</v>
      </c>
      <c r="P642" s="33" t="s">
        <v>2251</v>
      </c>
      <c r="Q642" s="33"/>
      <c r="R642" s="33" t="s">
        <v>2263</v>
      </c>
      <c r="S642" s="56" t="s">
        <v>2277</v>
      </c>
      <c r="T642" s="56"/>
      <c r="U642" s="56"/>
      <c r="V642" s="33" t="s">
        <v>2456</v>
      </c>
      <c r="W642" s="94" t="s">
        <v>2457</v>
      </c>
      <c r="X642" s="94" t="s">
        <v>2474</v>
      </c>
      <c r="Y642" s="51"/>
      <c r="Z642" s="51"/>
      <c r="AA642" s="33" t="s">
        <v>2459</v>
      </c>
      <c r="AB642" s="33" t="s">
        <v>2460</v>
      </c>
      <c r="AC642" s="33"/>
      <c r="AD642" s="33" t="s">
        <v>2254</v>
      </c>
      <c r="AE642" s="33"/>
      <c r="AF642" s="33" t="s">
        <v>2267</v>
      </c>
      <c r="AG642" s="33" t="s">
        <v>2461</v>
      </c>
      <c r="AH642" s="33"/>
      <c r="AI642" s="33"/>
      <c r="AJ642" s="33" t="s">
        <v>7201</v>
      </c>
      <c r="AK642" s="94"/>
      <c r="AL642" s="33" t="s">
        <v>7202</v>
      </c>
      <c r="AM642" s="33"/>
      <c r="AN642" s="33" t="s">
        <v>2465</v>
      </c>
      <c r="AO642" s="51" t="s">
        <v>2538</v>
      </c>
      <c r="AP642" s="51" t="s">
        <v>207</v>
      </c>
      <c r="AQ642" s="33"/>
      <c r="AR642" s="54"/>
      <c r="AS642" s="54"/>
      <c r="AT642" s="54"/>
      <c r="AU642" s="54"/>
      <c r="AV642" s="54"/>
      <c r="AW642" s="54"/>
      <c r="AX642" s="54"/>
      <c r="AY642" s="54"/>
      <c r="AZ642" s="54"/>
      <c r="BA642" s="54"/>
      <c r="BB642" s="54"/>
      <c r="BC642" s="54"/>
      <c r="BD642" s="54" t="s">
        <v>2447</v>
      </c>
      <c r="BE642" s="54"/>
      <c r="BF642" s="54"/>
      <c r="BG642" s="54"/>
      <c r="BH642" s="54"/>
      <c r="BI642" s="54"/>
      <c r="BJ642" s="0"/>
      <c r="BK642" s="0"/>
      <c r="BL642" s="0"/>
      <c r="BM642" s="0"/>
      <c r="BN642" s="0"/>
      <c r="BO642" s="0"/>
      <c r="BP642"/>
      <c r="BQ642"/>
      <c r="BR642"/>
      <c r="BS642"/>
      <c r="BT642"/>
      <c r="BU642"/>
      <c r="BV642"/>
      <c r="BW642"/>
      <c r="BX642"/>
      <c r="BY642"/>
      <c r="BZ642"/>
      <c r="CA642"/>
      <c r="CB642"/>
    </row>
    <row r="643" ht="15.0" customHeight="true">
      <c r="A643" s="51" t="s">
        <v>2448</v>
      </c>
      <c r="B643" s="33"/>
      <c r="C643" s="33" t="s">
        <v>7203</v>
      </c>
      <c r="D643" s="33"/>
      <c r="E643" s="33" t="s">
        <v>7204</v>
      </c>
      <c r="F643" s="33"/>
      <c r="G643" s="55" t="s">
        <v>7205</v>
      </c>
      <c r="H643" s="33"/>
      <c r="I643" s="51" t="s">
        <v>7206</v>
      </c>
      <c r="J643" s="33"/>
      <c r="K643" s="51" t="s">
        <v>7207</v>
      </c>
      <c r="L643" s="33" t="s">
        <v>2454</v>
      </c>
      <c r="M643" s="55" t="s">
        <v>3057</v>
      </c>
      <c r="N643" s="55" t="s">
        <v>2496</v>
      </c>
      <c r="O643" s="33" t="s">
        <v>2272</v>
      </c>
      <c r="P643" s="33" t="s">
        <v>2251</v>
      </c>
      <c r="Q643" s="33"/>
      <c r="R643" s="33" t="s">
        <v>2263</v>
      </c>
      <c r="S643" s="56" t="s">
        <v>2277</v>
      </c>
      <c r="T643" s="56"/>
      <c r="U643" s="56"/>
      <c r="V643" s="33" t="s">
        <v>2456</v>
      </c>
      <c r="W643" s="94" t="s">
        <v>2457</v>
      </c>
      <c r="X643" s="94" t="s">
        <v>2474</v>
      </c>
      <c r="Y643" s="51"/>
      <c r="Z643" s="51"/>
      <c r="AA643" s="33" t="s">
        <v>2459</v>
      </c>
      <c r="AB643" s="33" t="s">
        <v>2460</v>
      </c>
      <c r="AC643" s="33"/>
      <c r="AD643" s="33" t="s">
        <v>2254</v>
      </c>
      <c r="AE643" s="33"/>
      <c r="AF643" s="33" t="s">
        <v>2267</v>
      </c>
      <c r="AG643" s="33" t="s">
        <v>2461</v>
      </c>
      <c r="AH643" s="33"/>
      <c r="AI643" s="33"/>
      <c r="AJ643" s="33" t="s">
        <v>7208</v>
      </c>
      <c r="AK643" s="94"/>
      <c r="AL643" s="33" t="s">
        <v>7209</v>
      </c>
      <c r="AM643" s="33"/>
      <c r="AN643" s="33" t="s">
        <v>2783</v>
      </c>
      <c r="AO643" s="51" t="s">
        <v>7210</v>
      </c>
      <c r="AP643" s="51" t="s">
        <v>207</v>
      </c>
      <c r="AQ643" s="33"/>
      <c r="AR643" s="54"/>
      <c r="AS643" s="54"/>
      <c r="AT643" s="54"/>
      <c r="AU643" s="54"/>
      <c r="AV643" s="54"/>
      <c r="AW643" s="54"/>
      <c r="AX643" s="54"/>
      <c r="AY643" s="54"/>
      <c r="AZ643" s="54"/>
      <c r="BA643" s="54"/>
      <c r="BB643" s="54"/>
      <c r="BC643" s="54"/>
      <c r="BD643" s="54" t="s">
        <v>2447</v>
      </c>
      <c r="BE643" s="54"/>
      <c r="BF643" s="54"/>
      <c r="BG643" s="54"/>
      <c r="BH643" s="54"/>
      <c r="BI643" s="54"/>
      <c r="BJ643" s="0"/>
      <c r="BK643" s="0"/>
      <c r="BL643" s="0"/>
      <c r="BM643" s="0"/>
      <c r="BN643" s="0"/>
      <c r="BO643" s="0"/>
      <c r="BP643"/>
      <c r="BQ643"/>
      <c r="BR643"/>
      <c r="BS643"/>
      <c r="BT643"/>
      <c r="BU643"/>
      <c r="BV643"/>
      <c r="BW643"/>
      <c r="BX643"/>
      <c r="BY643"/>
      <c r="BZ643"/>
      <c r="CA643"/>
      <c r="CB643"/>
    </row>
    <row r="644" ht="15.0" customHeight="true">
      <c r="A644" s="51" t="s">
        <v>2448</v>
      </c>
      <c r="B644" s="33"/>
      <c r="C644" s="33" t="s">
        <v>3529</v>
      </c>
      <c r="D644" s="33"/>
      <c r="E644" s="33" t="s">
        <v>4006</v>
      </c>
      <c r="F644" s="33"/>
      <c r="G644" s="55" t="s">
        <v>7211</v>
      </c>
      <c r="H644" s="33"/>
      <c r="I644" s="51" t="s">
        <v>7212</v>
      </c>
      <c r="J644" s="33"/>
      <c r="K644" s="51" t="s">
        <v>7213</v>
      </c>
      <c r="L644" s="33" t="s">
        <v>2454</v>
      </c>
      <c r="M644" s="55" t="s">
        <v>3590</v>
      </c>
      <c r="N644" s="55" t="s">
        <v>5648</v>
      </c>
      <c r="O644" s="33" t="s">
        <v>2272</v>
      </c>
      <c r="P644" s="33" t="s">
        <v>2251</v>
      </c>
      <c r="Q644" s="33"/>
      <c r="R644" s="33" t="s">
        <v>2263</v>
      </c>
      <c r="S644" s="56" t="s">
        <v>2277</v>
      </c>
      <c r="T644" s="56"/>
      <c r="U644" s="56"/>
      <c r="V644" s="33" t="s">
        <v>2456</v>
      </c>
      <c r="W644" s="94" t="s">
        <v>2457</v>
      </c>
      <c r="X644" s="94" t="s">
        <v>2458</v>
      </c>
      <c r="Y644" s="51"/>
      <c r="Z644" s="51"/>
      <c r="AA644" s="33" t="s">
        <v>2459</v>
      </c>
      <c r="AB644" s="33" t="s">
        <v>2460</v>
      </c>
      <c r="AC644" s="33"/>
      <c r="AD644" s="33" t="s">
        <v>2254</v>
      </c>
      <c r="AE644" s="33"/>
      <c r="AF644" s="33" t="s">
        <v>2267</v>
      </c>
      <c r="AG644" s="33" t="s">
        <v>2461</v>
      </c>
      <c r="AH644" s="33"/>
      <c r="AI644" s="33"/>
      <c r="AJ644" s="33" t="s">
        <v>7214</v>
      </c>
      <c r="AK644" s="94"/>
      <c r="AL644" s="33" t="s">
        <v>6079</v>
      </c>
      <c r="AM644" s="33" t="s">
        <v>7215</v>
      </c>
      <c r="AN644" s="33" t="s">
        <v>2465</v>
      </c>
      <c r="AO644" s="51" t="s">
        <v>2548</v>
      </c>
      <c r="AP644" s="51" t="s">
        <v>207</v>
      </c>
      <c r="AQ644" s="33"/>
      <c r="AR644" s="54"/>
      <c r="AS644" s="54"/>
      <c r="AT644" s="54"/>
      <c r="AU644" s="54"/>
      <c r="AV644" s="54"/>
      <c r="AW644" s="54"/>
      <c r="AX644" s="54"/>
      <c r="AY644" s="54"/>
      <c r="AZ644" s="54"/>
      <c r="BA644" s="54"/>
      <c r="BB644" s="54"/>
      <c r="BC644" s="54"/>
      <c r="BD644" s="54" t="s">
        <v>2447</v>
      </c>
      <c r="BE644" s="54"/>
      <c r="BF644" s="54"/>
      <c r="BG644" s="54"/>
      <c r="BH644" s="54"/>
      <c r="BI644" s="54"/>
      <c r="BJ644" s="0"/>
      <c r="BK644" s="0"/>
      <c r="BL644" s="0"/>
      <c r="BM644" s="0"/>
      <c r="BN644" s="0"/>
      <c r="BO644" s="0"/>
      <c r="BP644"/>
      <c r="BQ644"/>
      <c r="BR644"/>
      <c r="BS644"/>
      <c r="BT644"/>
      <c r="BU644"/>
      <c r="BV644"/>
      <c r="BW644"/>
      <c r="BX644"/>
      <c r="BY644"/>
      <c r="BZ644"/>
      <c r="CA644"/>
      <c r="CB644"/>
    </row>
    <row r="645" ht="15.0" customHeight="true">
      <c r="A645" s="51" t="s">
        <v>2448</v>
      </c>
      <c r="B645" s="33"/>
      <c r="C645" s="33" t="s">
        <v>7216</v>
      </c>
      <c r="D645" s="33"/>
      <c r="E645" s="33" t="s">
        <v>7217</v>
      </c>
      <c r="F645" s="33"/>
      <c r="G645" s="55" t="s">
        <v>4843</v>
      </c>
      <c r="H645" s="33"/>
      <c r="I645" s="51" t="s">
        <v>7218</v>
      </c>
      <c r="J645" s="33"/>
      <c r="K645" s="51" t="s">
        <v>7219</v>
      </c>
      <c r="L645" s="33" t="s">
        <v>2484</v>
      </c>
      <c r="M645" s="55" t="s">
        <v>7220</v>
      </c>
      <c r="N645" s="55"/>
      <c r="O645" s="33"/>
      <c r="P645" s="33" t="s">
        <v>2251</v>
      </c>
      <c r="Q645" s="33"/>
      <c r="R645" s="33" t="s">
        <v>2263</v>
      </c>
      <c r="S645" s="56" t="s">
        <v>2277</v>
      </c>
      <c r="T645" s="56"/>
      <c r="U645" s="56"/>
      <c r="V645" s="33" t="s">
        <v>2456</v>
      </c>
      <c r="W645" s="94" t="s">
        <v>2457</v>
      </c>
      <c r="X645" s="94" t="s">
        <v>2474</v>
      </c>
      <c r="Y645" s="51"/>
      <c r="Z645" s="51"/>
      <c r="AA645" s="33" t="s">
        <v>2459</v>
      </c>
      <c r="AB645" s="33" t="s">
        <v>2460</v>
      </c>
      <c r="AC645" s="33" t="s">
        <v>2486</v>
      </c>
      <c r="AD645" s="33" t="s">
        <v>2254</v>
      </c>
      <c r="AE645" s="33"/>
      <c r="AF645" s="33" t="s">
        <v>2267</v>
      </c>
      <c r="AG645" s="33" t="s">
        <v>2461</v>
      </c>
      <c r="AH645" s="33"/>
      <c r="AI645" s="33"/>
      <c r="AJ645" s="33" t="s">
        <v>7221</v>
      </c>
      <c r="AK645" s="94"/>
      <c r="AL645" s="33" t="s">
        <v>7222</v>
      </c>
      <c r="AM645" s="33"/>
      <c r="AN645" s="33" t="s">
        <v>2465</v>
      </c>
      <c r="AO645" s="51" t="s">
        <v>2528</v>
      </c>
      <c r="AP645" s="51" t="s">
        <v>207</v>
      </c>
      <c r="AQ645" s="33"/>
      <c r="AR645" s="54"/>
      <c r="AS645" s="54"/>
      <c r="AT645" s="54"/>
      <c r="AU645" s="54"/>
      <c r="AV645" s="54"/>
      <c r="AW645" s="54"/>
      <c r="AX645" s="54"/>
      <c r="AY645" s="54"/>
      <c r="AZ645" s="54"/>
      <c r="BA645" s="54"/>
      <c r="BB645" s="54"/>
      <c r="BC645" s="54"/>
      <c r="BD645" s="54" t="s">
        <v>2447</v>
      </c>
      <c r="BE645" s="54"/>
      <c r="BF645" s="54"/>
      <c r="BG645" s="54"/>
      <c r="BH645" s="54"/>
      <c r="BI645" s="54"/>
      <c r="BJ645" s="0"/>
      <c r="BK645" s="0"/>
      <c r="BL645" s="0"/>
      <c r="BM645" s="0"/>
      <c r="BN645" s="0"/>
      <c r="BO645" s="0"/>
      <c r="BP645"/>
      <c r="BQ645"/>
      <c r="BR645"/>
      <c r="BS645"/>
      <c r="BT645"/>
      <c r="BU645"/>
      <c r="BV645"/>
      <c r="BW645"/>
      <c r="BX645"/>
      <c r="BY645"/>
      <c r="BZ645"/>
      <c r="CA645"/>
      <c r="CB645"/>
    </row>
    <row r="646" ht="15.0" customHeight="true">
      <c r="A646" s="51" t="s">
        <v>2448</v>
      </c>
      <c r="B646" s="33"/>
      <c r="C646" s="33" t="s">
        <v>7223</v>
      </c>
      <c r="D646" s="33"/>
      <c r="E646" s="33" t="s">
        <v>7224</v>
      </c>
      <c r="F646" s="33"/>
      <c r="G646" s="55" t="s">
        <v>7225</v>
      </c>
      <c r="H646" s="33"/>
      <c r="I646" s="51" t="s">
        <v>7226</v>
      </c>
      <c r="J646" s="33"/>
      <c r="K646" s="51" t="s">
        <v>7227</v>
      </c>
      <c r="L646" s="33" t="s">
        <v>2484</v>
      </c>
      <c r="M646" s="55" t="s">
        <v>3258</v>
      </c>
      <c r="N646" s="55"/>
      <c r="O646" s="33"/>
      <c r="P646" s="33" t="s">
        <v>2251</v>
      </c>
      <c r="Q646" s="33"/>
      <c r="R646" s="33" t="s">
        <v>2263</v>
      </c>
      <c r="S646" s="56" t="s">
        <v>2277</v>
      </c>
      <c r="T646" s="56"/>
      <c r="U646" s="56"/>
      <c r="V646" s="33" t="s">
        <v>2456</v>
      </c>
      <c r="W646" s="94" t="s">
        <v>2457</v>
      </c>
      <c r="X646" s="94" t="s">
        <v>2474</v>
      </c>
      <c r="Y646" s="51"/>
      <c r="Z646" s="51"/>
      <c r="AA646" s="33" t="s">
        <v>2459</v>
      </c>
      <c r="AB646" s="33" t="s">
        <v>2460</v>
      </c>
      <c r="AC646" s="33" t="s">
        <v>2486</v>
      </c>
      <c r="AD646" s="33" t="s">
        <v>2254</v>
      </c>
      <c r="AE646" s="33"/>
      <c r="AF646" s="33" t="s">
        <v>2267</v>
      </c>
      <c r="AG646" s="33" t="s">
        <v>2461</v>
      </c>
      <c r="AH646" s="33"/>
      <c r="AI646" s="33"/>
      <c r="AJ646" s="33" t="s">
        <v>7228</v>
      </c>
      <c r="AK646" s="94"/>
      <c r="AL646" s="33" t="s">
        <v>7229</v>
      </c>
      <c r="AM646" s="33" t="s">
        <v>7230</v>
      </c>
      <c r="AN646" s="33" t="s">
        <v>2588</v>
      </c>
      <c r="AO646" s="51" t="s">
        <v>2589</v>
      </c>
      <c r="AP646" s="51" t="s">
        <v>207</v>
      </c>
      <c r="AQ646" s="33"/>
      <c r="AR646" s="54"/>
      <c r="AS646" s="54"/>
      <c r="AT646" s="54"/>
      <c r="AU646" s="54"/>
      <c r="AV646" s="54"/>
      <c r="AW646" s="54"/>
      <c r="AX646" s="54"/>
      <c r="AY646" s="54"/>
      <c r="AZ646" s="54"/>
      <c r="BA646" s="54"/>
      <c r="BB646" s="54"/>
      <c r="BC646" s="54"/>
      <c r="BD646" s="54" t="s">
        <v>2447</v>
      </c>
      <c r="BE646" s="54"/>
      <c r="BF646" s="54"/>
      <c r="BG646" s="54"/>
      <c r="BH646" s="54"/>
      <c r="BI646" s="54"/>
      <c r="BJ646" s="0"/>
      <c r="BK646" s="0"/>
      <c r="BL646" s="0"/>
      <c r="BM646" s="0"/>
      <c r="BN646" s="0"/>
      <c r="BO646" s="0"/>
      <c r="BP646"/>
      <c r="BQ646"/>
      <c r="BR646"/>
      <c r="BS646"/>
      <c r="BT646"/>
      <c r="BU646"/>
      <c r="BV646"/>
      <c r="BW646"/>
      <c r="BX646"/>
      <c r="BY646"/>
      <c r="BZ646"/>
      <c r="CA646"/>
      <c r="CB646"/>
    </row>
    <row r="647" ht="15.0" customHeight="true">
      <c r="A647" s="51" t="s">
        <v>2448</v>
      </c>
      <c r="B647" s="33"/>
      <c r="C647" s="33" t="s">
        <v>7231</v>
      </c>
      <c r="D647" s="33"/>
      <c r="E647" s="33" t="s">
        <v>7232</v>
      </c>
      <c r="F647" s="33"/>
      <c r="G647" s="55" t="s">
        <v>7233</v>
      </c>
      <c r="H647" s="33"/>
      <c r="I647" s="51" t="s">
        <v>7234</v>
      </c>
      <c r="J647" s="33"/>
      <c r="K647" s="51" t="s">
        <v>7235</v>
      </c>
      <c r="L647" s="33" t="s">
        <v>2454</v>
      </c>
      <c r="M647" s="55" t="s">
        <v>2926</v>
      </c>
      <c r="N647" s="55" t="s">
        <v>2507</v>
      </c>
      <c r="O647" s="33" t="s">
        <v>2272</v>
      </c>
      <c r="P647" s="33" t="s">
        <v>2251</v>
      </c>
      <c r="Q647" s="33"/>
      <c r="R647" s="33" t="s">
        <v>2263</v>
      </c>
      <c r="S647" s="56" t="s">
        <v>2277</v>
      </c>
      <c r="T647" s="56"/>
      <c r="U647" s="56"/>
      <c r="V647" s="33" t="s">
        <v>2456</v>
      </c>
      <c r="W647" s="94" t="s">
        <v>2457</v>
      </c>
      <c r="X647" s="94" t="s">
        <v>2458</v>
      </c>
      <c r="Y647" s="51"/>
      <c r="Z647" s="51"/>
      <c r="AA647" s="33" t="s">
        <v>2459</v>
      </c>
      <c r="AB647" s="33" t="s">
        <v>2460</v>
      </c>
      <c r="AC647" s="33"/>
      <c r="AD647" s="33" t="s">
        <v>2254</v>
      </c>
      <c r="AE647" s="33"/>
      <c r="AF647" s="33" t="s">
        <v>2267</v>
      </c>
      <c r="AG647" s="33" t="s">
        <v>2461</v>
      </c>
      <c r="AH647" s="33"/>
      <c r="AI647" s="33"/>
      <c r="AJ647" s="33" t="s">
        <v>7236</v>
      </c>
      <c r="AK647" s="94"/>
      <c r="AL647" s="33" t="s">
        <v>3308</v>
      </c>
      <c r="AM647" s="33" t="s">
        <v>7237</v>
      </c>
      <c r="AN647" s="33" t="s">
        <v>2465</v>
      </c>
      <c r="AO647" s="51" t="s">
        <v>2478</v>
      </c>
      <c r="AP647" s="51" t="s">
        <v>207</v>
      </c>
      <c r="AQ647" s="33"/>
      <c r="AR647" s="54"/>
      <c r="AS647" s="54"/>
      <c r="AT647" s="54"/>
      <c r="AU647" s="54"/>
      <c r="AV647" s="54"/>
      <c r="AW647" s="54"/>
      <c r="AX647" s="54"/>
      <c r="AY647" s="54"/>
      <c r="AZ647" s="54"/>
      <c r="BA647" s="54"/>
      <c r="BB647" s="54"/>
      <c r="BC647" s="54"/>
      <c r="BD647" s="54" t="s">
        <v>2447</v>
      </c>
      <c r="BE647" s="54"/>
      <c r="BF647" s="54"/>
      <c r="BG647" s="54"/>
      <c r="BH647" s="54"/>
      <c r="BI647" s="54"/>
      <c r="BJ647" s="0"/>
      <c r="BK647" s="0"/>
      <c r="BL647" s="0"/>
      <c r="BM647" s="0"/>
      <c r="BN647" s="0"/>
      <c r="BO647" s="0"/>
      <c r="BP647"/>
      <c r="BQ647"/>
      <c r="BR647"/>
      <c r="BS647"/>
      <c r="BT647"/>
      <c r="BU647"/>
      <c r="BV647"/>
      <c r="BW647"/>
      <c r="BX647"/>
      <c r="BY647"/>
      <c r="BZ647"/>
      <c r="CA647"/>
      <c r="CB647"/>
    </row>
    <row r="648" ht="15.0" customHeight="true">
      <c r="A648" s="51" t="s">
        <v>2448</v>
      </c>
      <c r="B648" s="33"/>
      <c r="C648" s="33" t="s">
        <v>7238</v>
      </c>
      <c r="D648" s="33"/>
      <c r="E648" s="33" t="s">
        <v>7239</v>
      </c>
      <c r="F648" s="33"/>
      <c r="G648" s="55" t="s">
        <v>7240</v>
      </c>
      <c r="H648" s="33"/>
      <c r="I648" s="51" t="s">
        <v>7241</v>
      </c>
      <c r="J648" s="33"/>
      <c r="K648" s="51" t="s">
        <v>7242</v>
      </c>
      <c r="L648" s="33" t="s">
        <v>2454</v>
      </c>
      <c r="M648" s="55" t="s">
        <v>2563</v>
      </c>
      <c r="N648" s="55" t="s">
        <v>3152</v>
      </c>
      <c r="O648" s="33" t="s">
        <v>2272</v>
      </c>
      <c r="P648" s="33" t="s">
        <v>2251</v>
      </c>
      <c r="Q648" s="33"/>
      <c r="R648" s="33" t="s">
        <v>2263</v>
      </c>
      <c r="S648" s="56" t="s">
        <v>2277</v>
      </c>
      <c r="T648" s="56"/>
      <c r="U648" s="56"/>
      <c r="V648" s="33" t="s">
        <v>2456</v>
      </c>
      <c r="W648" s="94" t="s">
        <v>2457</v>
      </c>
      <c r="X648" s="94" t="s">
        <v>2458</v>
      </c>
      <c r="Y648" s="51"/>
      <c r="Z648" s="51"/>
      <c r="AA648" s="33" t="s">
        <v>2459</v>
      </c>
      <c r="AB648" s="33" t="s">
        <v>2460</v>
      </c>
      <c r="AC648" s="33"/>
      <c r="AD648" s="33" t="s">
        <v>2254</v>
      </c>
      <c r="AE648" s="33"/>
      <c r="AF648" s="33" t="s">
        <v>2267</v>
      </c>
      <c r="AG648" s="33" t="s">
        <v>2461</v>
      </c>
      <c r="AH648" s="33"/>
      <c r="AI648" s="33"/>
      <c r="AJ648" s="33" t="s">
        <v>7243</v>
      </c>
      <c r="AK648" s="94"/>
      <c r="AL648" s="33" t="s">
        <v>4857</v>
      </c>
      <c r="AM648" s="33" t="s">
        <v>7244</v>
      </c>
      <c r="AN648" s="33" t="s">
        <v>2465</v>
      </c>
      <c r="AO648" s="51" t="s">
        <v>2500</v>
      </c>
      <c r="AP648" s="51" t="s">
        <v>207</v>
      </c>
      <c r="AQ648" s="33"/>
      <c r="AR648" s="54"/>
      <c r="AS648" s="54"/>
      <c r="AT648" s="54"/>
      <c r="AU648" s="54"/>
      <c r="AV648" s="54"/>
      <c r="AW648" s="54"/>
      <c r="AX648" s="54"/>
      <c r="AY648" s="54"/>
      <c r="AZ648" s="54"/>
      <c r="BA648" s="54"/>
      <c r="BB648" s="54"/>
      <c r="BC648" s="54"/>
      <c r="BD648" s="54" t="s">
        <v>2447</v>
      </c>
      <c r="BE648" s="54"/>
      <c r="BF648" s="54"/>
      <c r="BG648" s="54"/>
      <c r="BH648" s="54"/>
      <c r="BI648" s="54"/>
      <c r="BJ648" s="0"/>
      <c r="BK648" s="0"/>
      <c r="BL648" s="0"/>
      <c r="BM648" s="0"/>
      <c r="BN648" s="0"/>
      <c r="BO648" s="0"/>
      <c r="BP648"/>
      <c r="BQ648"/>
      <c r="BR648"/>
      <c r="BS648"/>
      <c r="BT648"/>
      <c r="BU648"/>
      <c r="BV648"/>
      <c r="BW648"/>
      <c r="BX648"/>
      <c r="BY648"/>
      <c r="BZ648"/>
      <c r="CA648"/>
      <c r="CB648"/>
    </row>
    <row r="649" ht="15.0" customHeight="true">
      <c r="A649" s="51" t="s">
        <v>2448</v>
      </c>
      <c r="B649" s="33"/>
      <c r="C649" s="33" t="s">
        <v>2887</v>
      </c>
      <c r="D649" s="33"/>
      <c r="E649" s="33" t="s">
        <v>7245</v>
      </c>
      <c r="F649" s="33"/>
      <c r="G649" s="55" t="s">
        <v>7246</v>
      </c>
      <c r="H649" s="33"/>
      <c r="I649" s="51" t="s">
        <v>7247</v>
      </c>
      <c r="J649" s="33"/>
      <c r="K649" s="51" t="s">
        <v>7248</v>
      </c>
      <c r="L649" s="33" t="s">
        <v>2454</v>
      </c>
      <c r="M649" s="55" t="s">
        <v>2585</v>
      </c>
      <c r="N649" s="55" t="s">
        <v>3743</v>
      </c>
      <c r="O649" s="33" t="s">
        <v>2272</v>
      </c>
      <c r="P649" s="33" t="s">
        <v>2251</v>
      </c>
      <c r="Q649" s="33"/>
      <c r="R649" s="33" t="s">
        <v>2263</v>
      </c>
      <c r="S649" s="56" t="s">
        <v>2277</v>
      </c>
      <c r="T649" s="56"/>
      <c r="U649" s="56"/>
      <c r="V649" s="33" t="s">
        <v>2456</v>
      </c>
      <c r="W649" s="94" t="s">
        <v>2457</v>
      </c>
      <c r="X649" s="94" t="s">
        <v>2474</v>
      </c>
      <c r="Y649" s="51"/>
      <c r="Z649" s="51"/>
      <c r="AA649" s="33" t="s">
        <v>2459</v>
      </c>
      <c r="AB649" s="33" t="s">
        <v>2460</v>
      </c>
      <c r="AC649" s="33"/>
      <c r="AD649" s="33" t="s">
        <v>2254</v>
      </c>
      <c r="AE649" s="33"/>
      <c r="AF649" s="33" t="s">
        <v>2267</v>
      </c>
      <c r="AG649" s="33" t="s">
        <v>2461</v>
      </c>
      <c r="AH649" s="33"/>
      <c r="AI649" s="33"/>
      <c r="AJ649" s="33" t="s">
        <v>7249</v>
      </c>
      <c r="AK649" s="94"/>
      <c r="AL649" s="33" t="s">
        <v>7250</v>
      </c>
      <c r="AM649" s="33"/>
      <c r="AN649" s="33" t="s">
        <v>4029</v>
      </c>
      <c r="AO649" s="51" t="s">
        <v>4030</v>
      </c>
      <c r="AP649" s="51" t="s">
        <v>207</v>
      </c>
      <c r="AQ649" s="33"/>
      <c r="AR649" s="54"/>
      <c r="AS649" s="54"/>
      <c r="AT649" s="54"/>
      <c r="AU649" s="54"/>
      <c r="AV649" s="54"/>
      <c r="AW649" s="54"/>
      <c r="AX649" s="54"/>
      <c r="AY649" s="54"/>
      <c r="AZ649" s="54"/>
      <c r="BA649" s="54"/>
      <c r="BB649" s="54"/>
      <c r="BC649" s="54"/>
      <c r="BD649" s="54" t="s">
        <v>2447</v>
      </c>
      <c r="BE649" s="54"/>
      <c r="BF649" s="54"/>
      <c r="BG649" s="54"/>
      <c r="BH649" s="54"/>
      <c r="BI649" s="54"/>
      <c r="BJ649" s="0"/>
      <c r="BK649" s="0"/>
      <c r="BL649" s="0"/>
      <c r="BM649" s="0"/>
      <c r="BN649" s="0"/>
      <c r="BO649" s="0"/>
      <c r="BP649"/>
      <c r="BQ649"/>
      <c r="BR649"/>
      <c r="BS649"/>
      <c r="BT649"/>
      <c r="BU649"/>
      <c r="BV649"/>
      <c r="BW649"/>
      <c r="BX649"/>
      <c r="BY649"/>
      <c r="BZ649"/>
      <c r="CA649"/>
      <c r="CB649"/>
    </row>
    <row r="650" ht="15.0" customHeight="true">
      <c r="A650" s="51" t="s">
        <v>2448</v>
      </c>
      <c r="B650" s="33"/>
      <c r="C650" s="33" t="s">
        <v>7251</v>
      </c>
      <c r="D650" s="33"/>
      <c r="E650" s="33" t="s">
        <v>7252</v>
      </c>
      <c r="F650" s="33"/>
      <c r="G650" s="55" t="s">
        <v>7253</v>
      </c>
      <c r="H650" s="33"/>
      <c r="I650" s="51" t="s">
        <v>7254</v>
      </c>
      <c r="J650" s="33"/>
      <c r="K650" s="51" t="s">
        <v>7255</v>
      </c>
      <c r="L650" s="33" t="s">
        <v>2454</v>
      </c>
      <c r="M650" s="55" t="s">
        <v>2968</v>
      </c>
      <c r="N650" s="55" t="s">
        <v>7256</v>
      </c>
      <c r="O650" s="33" t="s">
        <v>2272</v>
      </c>
      <c r="P650" s="33" t="s">
        <v>2251</v>
      </c>
      <c r="Q650" s="33"/>
      <c r="R650" s="33" t="s">
        <v>2263</v>
      </c>
      <c r="S650" s="56" t="s">
        <v>2277</v>
      </c>
      <c r="T650" s="56"/>
      <c r="U650" s="56"/>
      <c r="V650" s="33" t="s">
        <v>2456</v>
      </c>
      <c r="W650" s="94" t="s">
        <v>2457</v>
      </c>
      <c r="X650" s="94" t="s">
        <v>2474</v>
      </c>
      <c r="Y650" s="51"/>
      <c r="Z650" s="51"/>
      <c r="AA650" s="33" t="s">
        <v>2459</v>
      </c>
      <c r="AB650" s="33" t="s">
        <v>2460</v>
      </c>
      <c r="AC650" s="33"/>
      <c r="AD650" s="33" t="s">
        <v>2254</v>
      </c>
      <c r="AE650" s="33"/>
      <c r="AF650" s="33" t="s">
        <v>2267</v>
      </c>
      <c r="AG650" s="33" t="s">
        <v>2461</v>
      </c>
      <c r="AH650" s="33"/>
      <c r="AI650" s="33"/>
      <c r="AJ650" s="33" t="s">
        <v>7257</v>
      </c>
      <c r="AK650" s="94"/>
      <c r="AL650" s="33" t="s">
        <v>7258</v>
      </c>
      <c r="AM650" s="33" t="s">
        <v>7259</v>
      </c>
      <c r="AN650" s="33" t="s">
        <v>2465</v>
      </c>
      <c r="AO650" s="51" t="s">
        <v>6373</v>
      </c>
      <c r="AP650" s="51" t="s">
        <v>207</v>
      </c>
      <c r="AQ650" s="33"/>
      <c r="AR650" s="54"/>
      <c r="AS650" s="54"/>
      <c r="AT650" s="54"/>
      <c r="AU650" s="54"/>
      <c r="AV650" s="54"/>
      <c r="AW650" s="54"/>
      <c r="AX650" s="54"/>
      <c r="AY650" s="54"/>
      <c r="AZ650" s="54"/>
      <c r="BA650" s="54"/>
      <c r="BB650" s="54"/>
      <c r="BC650" s="54"/>
      <c r="BD650" s="54" t="s">
        <v>2447</v>
      </c>
      <c r="BE650" s="54"/>
      <c r="BF650" s="54"/>
      <c r="BG650" s="54"/>
      <c r="BH650" s="54"/>
      <c r="BI650" s="54"/>
      <c r="BJ650" s="0"/>
      <c r="BK650" s="0"/>
      <c r="BL650" s="0"/>
      <c r="BM650" s="0"/>
      <c r="BN650" s="0"/>
      <c r="BO650" s="0"/>
      <c r="BP650"/>
      <c r="BQ650"/>
      <c r="BR650"/>
      <c r="BS650"/>
      <c r="BT650"/>
      <c r="BU650"/>
      <c r="BV650"/>
      <c r="BW650"/>
      <c r="BX650"/>
      <c r="BY650"/>
      <c r="BZ650"/>
      <c r="CA650"/>
      <c r="CB650"/>
    </row>
    <row r="651" ht="15.0" customHeight="true">
      <c r="A651" s="51" t="s">
        <v>2448</v>
      </c>
      <c r="B651" s="33"/>
      <c r="C651" s="33" t="s">
        <v>3918</v>
      </c>
      <c r="D651" s="33"/>
      <c r="E651" s="33" t="s">
        <v>7260</v>
      </c>
      <c r="F651" s="33"/>
      <c r="G651" s="55" t="s">
        <v>7261</v>
      </c>
      <c r="H651" s="33"/>
      <c r="I651" s="51" t="s">
        <v>7262</v>
      </c>
      <c r="J651" s="33"/>
      <c r="K651" s="51" t="s">
        <v>7263</v>
      </c>
      <c r="L651" s="33" t="s">
        <v>2484</v>
      </c>
      <c r="M651" s="55" t="s">
        <v>2554</v>
      </c>
      <c r="N651" s="55"/>
      <c r="O651" s="33"/>
      <c r="P651" s="33" t="s">
        <v>2251</v>
      </c>
      <c r="Q651" s="33"/>
      <c r="R651" s="33" t="s">
        <v>2263</v>
      </c>
      <c r="S651" s="56" t="s">
        <v>2277</v>
      </c>
      <c r="T651" s="56"/>
      <c r="U651" s="56"/>
      <c r="V651" s="33" t="s">
        <v>2456</v>
      </c>
      <c r="W651" s="94" t="s">
        <v>2457</v>
      </c>
      <c r="X651" s="94" t="s">
        <v>2474</v>
      </c>
      <c r="Y651" s="51"/>
      <c r="Z651" s="51"/>
      <c r="AA651" s="33" t="s">
        <v>2459</v>
      </c>
      <c r="AB651" s="33" t="s">
        <v>2460</v>
      </c>
      <c r="AC651" s="33" t="s">
        <v>2486</v>
      </c>
      <c r="AD651" s="33" t="s">
        <v>2254</v>
      </c>
      <c r="AE651" s="33"/>
      <c r="AF651" s="33" t="s">
        <v>2267</v>
      </c>
      <c r="AG651" s="33" t="s">
        <v>2461</v>
      </c>
      <c r="AH651" s="33"/>
      <c r="AI651" s="33"/>
      <c r="AJ651" s="33" t="s">
        <v>7264</v>
      </c>
      <c r="AK651" s="94"/>
      <c r="AL651" s="33" t="s">
        <v>7265</v>
      </c>
      <c r="AM651" s="33"/>
      <c r="AN651" s="33" t="s">
        <v>2465</v>
      </c>
      <c r="AO651" s="51" t="s">
        <v>2673</v>
      </c>
      <c r="AP651" s="51" t="s">
        <v>207</v>
      </c>
      <c r="AQ651" s="33"/>
      <c r="AR651" s="54"/>
      <c r="AS651" s="54"/>
      <c r="AT651" s="54"/>
      <c r="AU651" s="54"/>
      <c r="AV651" s="54"/>
      <c r="AW651" s="54"/>
      <c r="AX651" s="54"/>
      <c r="AY651" s="54"/>
      <c r="AZ651" s="54"/>
      <c r="BA651" s="54"/>
      <c r="BB651" s="54"/>
      <c r="BC651" s="54"/>
      <c r="BD651" s="54" t="s">
        <v>2447</v>
      </c>
      <c r="BE651" s="54"/>
      <c r="BF651" s="54"/>
      <c r="BG651" s="54"/>
      <c r="BH651" s="54"/>
      <c r="BI651" s="54"/>
      <c r="BJ651" s="0"/>
      <c r="BK651" s="0"/>
      <c r="BL651" s="0"/>
      <c r="BM651" s="0"/>
      <c r="BN651" s="0"/>
      <c r="BO651" s="0"/>
      <c r="BP651"/>
      <c r="BQ651"/>
      <c r="BR651"/>
      <c r="BS651"/>
      <c r="BT651"/>
      <c r="BU651"/>
      <c r="BV651"/>
      <c r="BW651"/>
      <c r="BX651"/>
      <c r="BY651"/>
      <c r="BZ651"/>
      <c r="CA651"/>
      <c r="CB651"/>
    </row>
    <row r="652" ht="15.0" customHeight="true">
      <c r="A652" s="51" t="s">
        <v>2448</v>
      </c>
      <c r="B652" s="33"/>
      <c r="C652" s="33" t="s">
        <v>3060</v>
      </c>
      <c r="D652" s="33"/>
      <c r="E652" s="33" t="s">
        <v>7266</v>
      </c>
      <c r="F652" s="33"/>
      <c r="G652" s="55" t="s">
        <v>7267</v>
      </c>
      <c r="H652" s="33"/>
      <c r="I652" s="51" t="s">
        <v>7268</v>
      </c>
      <c r="J652" s="33"/>
      <c r="K652" s="51" t="s">
        <v>7269</v>
      </c>
      <c r="L652" s="33" t="s">
        <v>2454</v>
      </c>
      <c r="M652" s="55" t="s">
        <v>7270</v>
      </c>
      <c r="N652" s="55" t="s">
        <v>2927</v>
      </c>
      <c r="O652" s="33" t="s">
        <v>2272</v>
      </c>
      <c r="P652" s="33" t="s">
        <v>2251</v>
      </c>
      <c r="Q652" s="33"/>
      <c r="R652" s="33" t="s">
        <v>2263</v>
      </c>
      <c r="S652" s="56" t="s">
        <v>2277</v>
      </c>
      <c r="T652" s="56"/>
      <c r="U652" s="56"/>
      <c r="V652" s="33" t="s">
        <v>2456</v>
      </c>
      <c r="W652" s="94" t="s">
        <v>2457</v>
      </c>
      <c r="X652" s="94" t="s">
        <v>2458</v>
      </c>
      <c r="Y652" s="51"/>
      <c r="Z652" s="51"/>
      <c r="AA652" s="33" t="s">
        <v>2459</v>
      </c>
      <c r="AB652" s="33" t="s">
        <v>2460</v>
      </c>
      <c r="AC652" s="33"/>
      <c r="AD652" s="33" t="s">
        <v>2254</v>
      </c>
      <c r="AE652" s="33"/>
      <c r="AF652" s="33" t="s">
        <v>2267</v>
      </c>
      <c r="AG652" s="33" t="s">
        <v>2461</v>
      </c>
      <c r="AH652" s="33"/>
      <c r="AI652" s="33"/>
      <c r="AJ652" s="33" t="s">
        <v>7271</v>
      </c>
      <c r="AK652" s="94"/>
      <c r="AL652" s="33" t="s">
        <v>4900</v>
      </c>
      <c r="AM652" s="33" t="s">
        <v>7272</v>
      </c>
      <c r="AN652" s="33" t="s">
        <v>2465</v>
      </c>
      <c r="AO652" s="51" t="s">
        <v>2820</v>
      </c>
      <c r="AP652" s="51" t="s">
        <v>207</v>
      </c>
      <c r="AQ652" s="33"/>
      <c r="AR652" s="54"/>
      <c r="AS652" s="54"/>
      <c r="AT652" s="54"/>
      <c r="AU652" s="54"/>
      <c r="AV652" s="54"/>
      <c r="AW652" s="54"/>
      <c r="AX652" s="54"/>
      <c r="AY652" s="54"/>
      <c r="AZ652" s="54"/>
      <c r="BA652" s="54"/>
      <c r="BB652" s="54"/>
      <c r="BC652" s="54"/>
      <c r="BD652" s="54" t="s">
        <v>2447</v>
      </c>
      <c r="BE652" s="54"/>
      <c r="BF652" s="54"/>
      <c r="BG652" s="54"/>
      <c r="BH652" s="54"/>
      <c r="BI652" s="54"/>
      <c r="BJ652" s="0"/>
      <c r="BK652" s="0"/>
      <c r="BL652" s="0"/>
      <c r="BM652" s="0"/>
      <c r="BN652" s="0"/>
      <c r="BO652" s="0"/>
      <c r="BP652"/>
      <c r="BQ652"/>
      <c r="BR652"/>
      <c r="BS652"/>
      <c r="BT652"/>
      <c r="BU652"/>
      <c r="BV652"/>
      <c r="BW652"/>
      <c r="BX652"/>
      <c r="BY652"/>
      <c r="BZ652"/>
      <c r="CA652"/>
      <c r="CB652"/>
    </row>
    <row r="653" ht="15.0" customHeight="true">
      <c r="A653" s="51" t="s">
        <v>2448</v>
      </c>
      <c r="B653" s="33"/>
      <c r="C653" s="33" t="s">
        <v>2651</v>
      </c>
      <c r="D653" s="33"/>
      <c r="E653" s="33" t="s">
        <v>7273</v>
      </c>
      <c r="F653" s="33"/>
      <c r="G653" s="55" t="s">
        <v>7274</v>
      </c>
      <c r="H653" s="33"/>
      <c r="I653" s="51" t="s">
        <v>7275</v>
      </c>
      <c r="J653" s="33"/>
      <c r="K653" s="51" t="s">
        <v>7276</v>
      </c>
      <c r="L653" s="33" t="s">
        <v>2454</v>
      </c>
      <c r="M653" s="55" t="s">
        <v>3569</v>
      </c>
      <c r="N653" s="55" t="s">
        <v>3569</v>
      </c>
      <c r="O653" s="33" t="s">
        <v>2272</v>
      </c>
      <c r="P653" s="33" t="s">
        <v>2251</v>
      </c>
      <c r="Q653" s="33"/>
      <c r="R653" s="33" t="s">
        <v>2263</v>
      </c>
      <c r="S653" s="56" t="s">
        <v>2277</v>
      </c>
      <c r="T653" s="56"/>
      <c r="U653" s="56"/>
      <c r="V653" s="33" t="s">
        <v>2456</v>
      </c>
      <c r="W653" s="94" t="s">
        <v>2457</v>
      </c>
      <c r="X653" s="94" t="s">
        <v>2458</v>
      </c>
      <c r="Y653" s="51"/>
      <c r="Z653" s="51"/>
      <c r="AA653" s="33" t="s">
        <v>2459</v>
      </c>
      <c r="AB653" s="33" t="s">
        <v>2460</v>
      </c>
      <c r="AC653" s="33"/>
      <c r="AD653" s="33" t="s">
        <v>2254</v>
      </c>
      <c r="AE653" s="33"/>
      <c r="AF653" s="33" t="s">
        <v>2267</v>
      </c>
      <c r="AG653" s="33" t="s">
        <v>2461</v>
      </c>
      <c r="AH653" s="33"/>
      <c r="AI653" s="33"/>
      <c r="AJ653" s="33" t="s">
        <v>7277</v>
      </c>
      <c r="AK653" s="94"/>
      <c r="AL653" s="33" t="s">
        <v>7278</v>
      </c>
      <c r="AM653" s="33"/>
      <c r="AN653" s="33" t="s">
        <v>2465</v>
      </c>
      <c r="AO653" s="51" t="s">
        <v>2489</v>
      </c>
      <c r="AP653" s="51" t="s">
        <v>207</v>
      </c>
      <c r="AQ653" s="33"/>
      <c r="AR653" s="54"/>
      <c r="AS653" s="54"/>
      <c r="AT653" s="54"/>
      <c r="AU653" s="54"/>
      <c r="AV653" s="54"/>
      <c r="AW653" s="54"/>
      <c r="AX653" s="54"/>
      <c r="AY653" s="54"/>
      <c r="AZ653" s="54"/>
      <c r="BA653" s="54"/>
      <c r="BB653" s="54"/>
      <c r="BC653" s="54"/>
      <c r="BD653" s="54" t="s">
        <v>2447</v>
      </c>
      <c r="BE653" s="54"/>
      <c r="BF653" s="54"/>
      <c r="BG653" s="54"/>
      <c r="BH653" s="54"/>
      <c r="BI653" s="54"/>
      <c r="BJ653" s="0"/>
      <c r="BK653" s="0"/>
      <c r="BL653" s="0"/>
      <c r="BM653" s="0"/>
      <c r="BN653" s="0"/>
      <c r="BO653" s="0"/>
      <c r="BP653"/>
      <c r="BQ653"/>
      <c r="BR653"/>
      <c r="BS653"/>
      <c r="BT653"/>
      <c r="BU653"/>
      <c r="BV653"/>
      <c r="BW653"/>
      <c r="BX653"/>
      <c r="BY653"/>
      <c r="BZ653"/>
      <c r="CA653"/>
      <c r="CB653"/>
    </row>
    <row r="654" ht="15.0" customHeight="true">
      <c r="A654" s="51" t="s">
        <v>2448</v>
      </c>
      <c r="B654" s="33"/>
      <c r="C654" s="33" t="s">
        <v>6169</v>
      </c>
      <c r="D654" s="33"/>
      <c r="E654" s="33" t="s">
        <v>7279</v>
      </c>
      <c r="F654" s="33"/>
      <c r="G654" s="55" t="s">
        <v>7280</v>
      </c>
      <c r="H654" s="33"/>
      <c r="I654" s="51" t="s">
        <v>7281</v>
      </c>
      <c r="J654" s="33"/>
      <c r="K654" s="51" t="s">
        <v>7282</v>
      </c>
      <c r="L654" s="33" t="s">
        <v>2454</v>
      </c>
      <c r="M654" s="55" t="s">
        <v>2790</v>
      </c>
      <c r="N654" s="55" t="s">
        <v>2976</v>
      </c>
      <c r="O654" s="33" t="s">
        <v>2272</v>
      </c>
      <c r="P654" s="33" t="s">
        <v>2251</v>
      </c>
      <c r="Q654" s="33"/>
      <c r="R654" s="33" t="s">
        <v>2263</v>
      </c>
      <c r="S654" s="56" t="s">
        <v>2277</v>
      </c>
      <c r="T654" s="56"/>
      <c r="U654" s="56"/>
      <c r="V654" s="33" t="s">
        <v>2456</v>
      </c>
      <c r="W654" s="94" t="s">
        <v>2457</v>
      </c>
      <c r="X654" s="94" t="s">
        <v>2474</v>
      </c>
      <c r="Y654" s="51"/>
      <c r="Z654" s="51"/>
      <c r="AA654" s="33" t="s">
        <v>2459</v>
      </c>
      <c r="AB654" s="33" t="s">
        <v>2460</v>
      </c>
      <c r="AC654" s="33"/>
      <c r="AD654" s="33" t="s">
        <v>2254</v>
      </c>
      <c r="AE654" s="33"/>
      <c r="AF654" s="33" t="s">
        <v>2267</v>
      </c>
      <c r="AG654" s="33" t="s">
        <v>2461</v>
      </c>
      <c r="AH654" s="33"/>
      <c r="AI654" s="33"/>
      <c r="AJ654" s="33" t="s">
        <v>7283</v>
      </c>
      <c r="AK654" s="94"/>
      <c r="AL654" s="33" t="s">
        <v>7284</v>
      </c>
      <c r="AM654" s="33" t="s">
        <v>6379</v>
      </c>
      <c r="AN654" s="33" t="s">
        <v>2465</v>
      </c>
      <c r="AO654" s="51" t="s">
        <v>2820</v>
      </c>
      <c r="AP654" s="51" t="s">
        <v>207</v>
      </c>
      <c r="AQ654" s="33"/>
      <c r="AR654" s="54"/>
      <c r="AS654" s="54"/>
      <c r="AT654" s="54"/>
      <c r="AU654" s="54"/>
      <c r="AV654" s="54"/>
      <c r="AW654" s="54"/>
      <c r="AX654" s="54"/>
      <c r="AY654" s="54"/>
      <c r="AZ654" s="54"/>
      <c r="BA654" s="54"/>
      <c r="BB654" s="54"/>
      <c r="BC654" s="54"/>
      <c r="BD654" s="54" t="s">
        <v>2447</v>
      </c>
      <c r="BE654" s="54"/>
      <c r="BF654" s="54"/>
      <c r="BG654" s="54"/>
      <c r="BH654" s="54"/>
      <c r="BI654" s="54"/>
      <c r="BJ654" s="0"/>
      <c r="BK654" s="0"/>
      <c r="BL654" s="0"/>
      <c r="BM654" s="0"/>
      <c r="BN654" s="0"/>
      <c r="BO654" s="0"/>
      <c r="BP654"/>
      <c r="BQ654"/>
      <c r="BR654"/>
      <c r="BS654"/>
      <c r="BT654"/>
      <c r="BU654"/>
      <c r="BV654"/>
      <c r="BW654"/>
      <c r="BX654"/>
      <c r="BY654"/>
      <c r="BZ654"/>
      <c r="CA654"/>
      <c r="CB654"/>
    </row>
    <row r="655" ht="15.0" customHeight="true">
      <c r="A655" s="51" t="s">
        <v>2448</v>
      </c>
      <c r="B655" s="33"/>
      <c r="C655" s="33" t="s">
        <v>3801</v>
      </c>
      <c r="D655" s="33"/>
      <c r="E655" s="33" t="s">
        <v>3014</v>
      </c>
      <c r="F655" s="33"/>
      <c r="G655" s="55" t="s">
        <v>7285</v>
      </c>
      <c r="H655" s="33"/>
      <c r="I655" s="51" t="s">
        <v>7286</v>
      </c>
      <c r="J655" s="33"/>
      <c r="K655" s="51" t="s">
        <v>7287</v>
      </c>
      <c r="L655" s="33" t="s">
        <v>2454</v>
      </c>
      <c r="M655" s="55" t="s">
        <v>7288</v>
      </c>
      <c r="N655" s="55" t="s">
        <v>7288</v>
      </c>
      <c r="O655" s="33" t="s">
        <v>2272</v>
      </c>
      <c r="P655" s="33" t="s">
        <v>2251</v>
      </c>
      <c r="Q655" s="33"/>
      <c r="R655" s="33" t="s">
        <v>2263</v>
      </c>
      <c r="S655" s="56" t="s">
        <v>2277</v>
      </c>
      <c r="T655" s="56"/>
      <c r="U655" s="56"/>
      <c r="V655" s="33" t="s">
        <v>2456</v>
      </c>
      <c r="W655" s="94" t="s">
        <v>2457</v>
      </c>
      <c r="X655" s="94" t="s">
        <v>2458</v>
      </c>
      <c r="Y655" s="51"/>
      <c r="Z655" s="51"/>
      <c r="AA655" s="33" t="s">
        <v>2459</v>
      </c>
      <c r="AB655" s="33" t="s">
        <v>2460</v>
      </c>
      <c r="AC655" s="33"/>
      <c r="AD655" s="33" t="s">
        <v>2254</v>
      </c>
      <c r="AE655" s="33"/>
      <c r="AF655" s="33" t="s">
        <v>2267</v>
      </c>
      <c r="AG655" s="33" t="s">
        <v>2461</v>
      </c>
      <c r="AH655" s="33"/>
      <c r="AI655" s="33"/>
      <c r="AJ655" s="33" t="s">
        <v>7289</v>
      </c>
      <c r="AK655" s="94"/>
      <c r="AL655" s="33" t="s">
        <v>7290</v>
      </c>
      <c r="AM655" s="33" t="s">
        <v>7291</v>
      </c>
      <c r="AN655" s="33" t="s">
        <v>2465</v>
      </c>
      <c r="AO655" s="51" t="s">
        <v>2466</v>
      </c>
      <c r="AP655" s="51" t="s">
        <v>207</v>
      </c>
      <c r="AQ655" s="33"/>
      <c r="AR655" s="54"/>
      <c r="AS655" s="54"/>
      <c r="AT655" s="54"/>
      <c r="AU655" s="54"/>
      <c r="AV655" s="54"/>
      <c r="AW655" s="54"/>
      <c r="AX655" s="54"/>
      <c r="AY655" s="54"/>
      <c r="AZ655" s="54"/>
      <c r="BA655" s="54"/>
      <c r="BB655" s="54"/>
      <c r="BC655" s="54"/>
      <c r="BD655" s="54" t="s">
        <v>2447</v>
      </c>
      <c r="BE655" s="54"/>
      <c r="BF655" s="54"/>
      <c r="BG655" s="54"/>
      <c r="BH655" s="54"/>
      <c r="BI655" s="54"/>
      <c r="BJ655" s="0"/>
      <c r="BK655" s="0"/>
      <c r="BL655" s="0"/>
      <c r="BM655" s="0"/>
      <c r="BN655" s="0"/>
      <c r="BO655" s="0"/>
      <c r="BP655"/>
      <c r="BQ655"/>
      <c r="BR655"/>
      <c r="BS655"/>
      <c r="BT655"/>
      <c r="BU655"/>
      <c r="BV655"/>
      <c r="BW655"/>
      <c r="BX655"/>
      <c r="BY655"/>
      <c r="BZ655"/>
      <c r="CA655"/>
      <c r="CB655"/>
    </row>
    <row r="656" ht="15.0" customHeight="true">
      <c r="A656" s="51" t="s">
        <v>2448</v>
      </c>
      <c r="B656" s="33"/>
      <c r="C656" s="33" t="s">
        <v>7292</v>
      </c>
      <c r="D656" s="33"/>
      <c r="E656" s="33" t="s">
        <v>3487</v>
      </c>
      <c r="F656" s="33"/>
      <c r="G656" s="55" t="s">
        <v>7293</v>
      </c>
      <c r="H656" s="33"/>
      <c r="I656" s="51" t="s">
        <v>7294</v>
      </c>
      <c r="J656" s="33"/>
      <c r="K656" s="51" t="s">
        <v>7295</v>
      </c>
      <c r="L656" s="33" t="s">
        <v>2484</v>
      </c>
      <c r="M656" s="55" t="s">
        <v>6403</v>
      </c>
      <c r="N656" s="55"/>
      <c r="O656" s="33"/>
      <c r="P656" s="33" t="s">
        <v>2251</v>
      </c>
      <c r="Q656" s="33"/>
      <c r="R656" s="33" t="s">
        <v>2263</v>
      </c>
      <c r="S656" s="56" t="s">
        <v>2277</v>
      </c>
      <c r="T656" s="56"/>
      <c r="U656" s="56"/>
      <c r="V656" s="33" t="s">
        <v>2456</v>
      </c>
      <c r="W656" s="94" t="s">
        <v>2457</v>
      </c>
      <c r="X656" s="94" t="s">
        <v>2474</v>
      </c>
      <c r="Y656" s="51"/>
      <c r="Z656" s="51"/>
      <c r="AA656" s="33" t="s">
        <v>2459</v>
      </c>
      <c r="AB656" s="33" t="s">
        <v>2460</v>
      </c>
      <c r="AC656" s="33" t="s">
        <v>2486</v>
      </c>
      <c r="AD656" s="33" t="s">
        <v>2254</v>
      </c>
      <c r="AE656" s="33"/>
      <c r="AF656" s="33" t="s">
        <v>2267</v>
      </c>
      <c r="AG656" s="33" t="s">
        <v>2461</v>
      </c>
      <c r="AH656" s="33"/>
      <c r="AI656" s="33"/>
      <c r="AJ656" s="33" t="s">
        <v>7296</v>
      </c>
      <c r="AK656" s="94"/>
      <c r="AL656" s="33" t="s">
        <v>7297</v>
      </c>
      <c r="AM656" s="33"/>
      <c r="AN656" s="33" t="s">
        <v>2577</v>
      </c>
      <c r="AO656" s="51" t="s">
        <v>2578</v>
      </c>
      <c r="AP656" s="51" t="s">
        <v>207</v>
      </c>
      <c r="AQ656" s="33"/>
      <c r="AR656" s="54"/>
      <c r="AS656" s="54"/>
      <c r="AT656" s="54"/>
      <c r="AU656" s="54"/>
      <c r="AV656" s="54"/>
      <c r="AW656" s="54"/>
      <c r="AX656" s="54"/>
      <c r="AY656" s="54"/>
      <c r="AZ656" s="54"/>
      <c r="BA656" s="54"/>
      <c r="BB656" s="54"/>
      <c r="BC656" s="54"/>
      <c r="BD656" s="54" t="s">
        <v>2447</v>
      </c>
      <c r="BE656" s="54"/>
      <c r="BF656" s="54"/>
      <c r="BG656" s="54"/>
      <c r="BH656" s="54"/>
      <c r="BI656" s="54"/>
      <c r="BJ656" s="0"/>
      <c r="BK656" s="0"/>
      <c r="BL656" s="0"/>
      <c r="BM656" s="0"/>
      <c r="BN656" s="0"/>
      <c r="BO656" s="0"/>
      <c r="BP656"/>
      <c r="BQ656"/>
      <c r="BR656"/>
      <c r="BS656"/>
      <c r="BT656"/>
      <c r="BU656"/>
      <c r="BV656"/>
      <c r="BW656"/>
      <c r="BX656"/>
      <c r="BY656"/>
      <c r="BZ656"/>
      <c r="CA656"/>
      <c r="CB656"/>
    </row>
    <row r="657" ht="15.0" customHeight="true">
      <c r="A657" s="51" t="s">
        <v>2448</v>
      </c>
      <c r="B657" s="33"/>
      <c r="C657" s="33" t="s">
        <v>7298</v>
      </c>
      <c r="D657" s="33"/>
      <c r="E657" s="33" t="s">
        <v>2879</v>
      </c>
      <c r="F657" s="33"/>
      <c r="G657" s="55" t="s">
        <v>4396</v>
      </c>
      <c r="H657" s="33"/>
      <c r="I657" s="51" t="s">
        <v>7299</v>
      </c>
      <c r="J657" s="33"/>
      <c r="K657" s="51" t="s">
        <v>7300</v>
      </c>
      <c r="L657" s="33" t="s">
        <v>2484</v>
      </c>
      <c r="M657" s="55" t="s">
        <v>3590</v>
      </c>
      <c r="N657" s="55"/>
      <c r="O657" s="33"/>
      <c r="P657" s="33" t="s">
        <v>2251</v>
      </c>
      <c r="Q657" s="33"/>
      <c r="R657" s="33" t="s">
        <v>2263</v>
      </c>
      <c r="S657" s="56" t="s">
        <v>2277</v>
      </c>
      <c r="T657" s="56"/>
      <c r="U657" s="56"/>
      <c r="V657" s="33" t="s">
        <v>2456</v>
      </c>
      <c r="W657" s="94" t="s">
        <v>2457</v>
      </c>
      <c r="X657" s="94" t="s">
        <v>4376</v>
      </c>
      <c r="Y657" s="51"/>
      <c r="Z657" s="51"/>
      <c r="AA657" s="33" t="s">
        <v>2459</v>
      </c>
      <c r="AB657" s="33" t="s">
        <v>2460</v>
      </c>
      <c r="AC657" s="33" t="s">
        <v>2486</v>
      </c>
      <c r="AD657" s="33" t="s">
        <v>2254</v>
      </c>
      <c r="AE657" s="33"/>
      <c r="AF657" s="33" t="s">
        <v>2267</v>
      </c>
      <c r="AG657" s="33" t="s">
        <v>2461</v>
      </c>
      <c r="AH657" s="33"/>
      <c r="AI657" s="33"/>
      <c r="AJ657" s="33" t="s">
        <v>7301</v>
      </c>
      <c r="AK657" s="94"/>
      <c r="AL657" s="33" t="s">
        <v>7302</v>
      </c>
      <c r="AM657" s="33"/>
      <c r="AN657" s="33" t="s">
        <v>2465</v>
      </c>
      <c r="AO657" s="51" t="s">
        <v>2466</v>
      </c>
      <c r="AP657" s="51" t="s">
        <v>207</v>
      </c>
      <c r="AQ657" s="33"/>
      <c r="AR657" s="54"/>
      <c r="AS657" s="54"/>
      <c r="AT657" s="54"/>
      <c r="AU657" s="54"/>
      <c r="AV657" s="54"/>
      <c r="AW657" s="54"/>
      <c r="AX657" s="54"/>
      <c r="AY657" s="54"/>
      <c r="AZ657" s="54"/>
      <c r="BA657" s="54"/>
      <c r="BB657" s="54"/>
      <c r="BC657" s="54"/>
      <c r="BD657" s="54" t="s">
        <v>2447</v>
      </c>
      <c r="BE657" s="54"/>
      <c r="BF657" s="54"/>
      <c r="BG657" s="54"/>
      <c r="BH657" s="54"/>
      <c r="BI657" s="54"/>
      <c r="BJ657" s="0"/>
      <c r="BK657" s="0"/>
      <c r="BL657" s="0"/>
      <c r="BM657" s="0"/>
      <c r="BN657" s="0"/>
      <c r="BO657" s="0"/>
      <c r="BP657"/>
      <c r="BQ657"/>
      <c r="BR657"/>
      <c r="BS657"/>
      <c r="BT657"/>
      <c r="BU657"/>
      <c r="BV657"/>
      <c r="BW657"/>
      <c r="BX657"/>
      <c r="BY657"/>
      <c r="BZ657"/>
      <c r="CA657"/>
      <c r="CB657"/>
    </row>
    <row r="658" ht="15.0" customHeight="true">
      <c r="A658" s="51" t="s">
        <v>2448</v>
      </c>
      <c r="B658" s="33"/>
      <c r="C658" s="33" t="s">
        <v>5078</v>
      </c>
      <c r="D658" s="33"/>
      <c r="E658" s="33" t="s">
        <v>7303</v>
      </c>
      <c r="F658" s="33"/>
      <c r="G658" s="55" t="s">
        <v>7304</v>
      </c>
      <c r="H658" s="33"/>
      <c r="I658" s="51" t="s">
        <v>7305</v>
      </c>
      <c r="J658" s="33"/>
      <c r="K658" s="51" t="s">
        <v>7306</v>
      </c>
      <c r="L658" s="33" t="s">
        <v>2454</v>
      </c>
      <c r="M658" s="55" t="s">
        <v>2858</v>
      </c>
      <c r="N658" s="55" t="s">
        <v>2858</v>
      </c>
      <c r="O658" s="33" t="s">
        <v>2272</v>
      </c>
      <c r="P658" s="33" t="s">
        <v>2251</v>
      </c>
      <c r="Q658" s="33"/>
      <c r="R658" s="33" t="s">
        <v>2263</v>
      </c>
      <c r="S658" s="56" t="s">
        <v>2277</v>
      </c>
      <c r="T658" s="56"/>
      <c r="U658" s="56"/>
      <c r="V658" s="33" t="s">
        <v>2456</v>
      </c>
      <c r="W658" s="94" t="s">
        <v>2457</v>
      </c>
      <c r="X658" s="94" t="s">
        <v>2458</v>
      </c>
      <c r="Y658" s="51"/>
      <c r="Z658" s="51"/>
      <c r="AA658" s="33" t="s">
        <v>2459</v>
      </c>
      <c r="AB658" s="33" t="s">
        <v>2460</v>
      </c>
      <c r="AC658" s="33"/>
      <c r="AD658" s="33" t="s">
        <v>2254</v>
      </c>
      <c r="AE658" s="33"/>
      <c r="AF658" s="33" t="s">
        <v>2267</v>
      </c>
      <c r="AG658" s="33" t="s">
        <v>2461</v>
      </c>
      <c r="AH658" s="33"/>
      <c r="AI658" s="33"/>
      <c r="AJ658" s="33" t="s">
        <v>7307</v>
      </c>
      <c r="AK658" s="94"/>
      <c r="AL658" s="33" t="s">
        <v>6206</v>
      </c>
      <c r="AM658" s="33" t="s">
        <v>7308</v>
      </c>
      <c r="AN658" s="33" t="s">
        <v>2465</v>
      </c>
      <c r="AO658" s="51" t="s">
        <v>2478</v>
      </c>
      <c r="AP658" s="51" t="s">
        <v>207</v>
      </c>
      <c r="AQ658" s="33"/>
      <c r="AR658" s="54"/>
      <c r="AS658" s="54"/>
      <c r="AT658" s="54"/>
      <c r="AU658" s="54"/>
      <c r="AV658" s="54"/>
      <c r="AW658" s="54"/>
      <c r="AX658" s="54"/>
      <c r="AY658" s="54"/>
      <c r="AZ658" s="54"/>
      <c r="BA658" s="54"/>
      <c r="BB658" s="54"/>
      <c r="BC658" s="54"/>
      <c r="BD658" s="54" t="s">
        <v>2447</v>
      </c>
      <c r="BE658" s="54"/>
      <c r="BF658" s="54"/>
      <c r="BG658" s="54"/>
      <c r="BH658" s="54"/>
      <c r="BI658" s="54"/>
      <c r="BJ658" s="0"/>
      <c r="BK658" s="0"/>
      <c r="BL658" s="0"/>
      <c r="BM658" s="0"/>
      <c r="BN658" s="0"/>
      <c r="BO658" s="0"/>
      <c r="BP658"/>
      <c r="BQ658"/>
      <c r="BR658"/>
      <c r="BS658"/>
      <c r="BT658"/>
      <c r="BU658"/>
      <c r="BV658"/>
      <c r="BW658"/>
      <c r="BX658"/>
      <c r="BY658"/>
      <c r="BZ658"/>
      <c r="CA658"/>
      <c r="CB658"/>
    </row>
    <row r="659" ht="15.0" customHeight="true">
      <c r="A659" s="51" t="s">
        <v>2448</v>
      </c>
      <c r="B659" s="33"/>
      <c r="C659" s="33" t="s">
        <v>7309</v>
      </c>
      <c r="D659" s="33"/>
      <c r="E659" s="33" t="s">
        <v>6241</v>
      </c>
      <c r="F659" s="33"/>
      <c r="G659" s="55" t="s">
        <v>7056</v>
      </c>
      <c r="H659" s="33"/>
      <c r="I659" s="51" t="s">
        <v>7310</v>
      </c>
      <c r="J659" s="33"/>
      <c r="K659" s="51" t="s">
        <v>7311</v>
      </c>
      <c r="L659" s="33" t="s">
        <v>2454</v>
      </c>
      <c r="M659" s="55" t="s">
        <v>4722</v>
      </c>
      <c r="N659" s="55" t="s">
        <v>3734</v>
      </c>
      <c r="O659" s="33" t="s">
        <v>2272</v>
      </c>
      <c r="P659" s="33" t="s">
        <v>2251</v>
      </c>
      <c r="Q659" s="33"/>
      <c r="R659" s="33" t="s">
        <v>2263</v>
      </c>
      <c r="S659" s="56" t="s">
        <v>2277</v>
      </c>
      <c r="T659" s="56"/>
      <c r="U659" s="56"/>
      <c r="V659" s="33" t="s">
        <v>2456</v>
      </c>
      <c r="W659" s="94" t="s">
        <v>2457</v>
      </c>
      <c r="X659" s="94" t="s">
        <v>2458</v>
      </c>
      <c r="Y659" s="51"/>
      <c r="Z659" s="51"/>
      <c r="AA659" s="33" t="s">
        <v>2459</v>
      </c>
      <c r="AB659" s="33" t="s">
        <v>2460</v>
      </c>
      <c r="AC659" s="33"/>
      <c r="AD659" s="33" t="s">
        <v>2254</v>
      </c>
      <c r="AE659" s="33"/>
      <c r="AF659" s="33" t="s">
        <v>2267</v>
      </c>
      <c r="AG659" s="33" t="s">
        <v>2461</v>
      </c>
      <c r="AH659" s="33"/>
      <c r="AI659" s="33"/>
      <c r="AJ659" s="33" t="s">
        <v>7312</v>
      </c>
      <c r="AK659" s="94"/>
      <c r="AL659" s="33" t="s">
        <v>7313</v>
      </c>
      <c r="AM659" s="33" t="s">
        <v>7314</v>
      </c>
      <c r="AN659" s="33" t="s">
        <v>7315</v>
      </c>
      <c r="AO659" s="51" t="s">
        <v>2489</v>
      </c>
      <c r="AP659" s="51" t="s">
        <v>207</v>
      </c>
      <c r="AQ659" s="33"/>
      <c r="AR659" s="54"/>
      <c r="AS659" s="54"/>
      <c r="AT659" s="54"/>
      <c r="AU659" s="54"/>
      <c r="AV659" s="54"/>
      <c r="AW659" s="54"/>
      <c r="AX659" s="54"/>
      <c r="AY659" s="54"/>
      <c r="AZ659" s="54"/>
      <c r="BA659" s="54"/>
      <c r="BB659" s="54"/>
      <c r="BC659" s="54"/>
      <c r="BD659" s="54" t="s">
        <v>4716</v>
      </c>
      <c r="BE659" s="54"/>
      <c r="BF659" s="54"/>
      <c r="BG659" s="54"/>
      <c r="BH659" s="54"/>
      <c r="BI659" s="54"/>
      <c r="BJ659" s="0"/>
      <c r="BK659" s="0"/>
      <c r="BL659" s="0"/>
      <c r="BM659" s="0"/>
      <c r="BN659" s="0"/>
      <c r="BO659" s="0"/>
      <c r="BP659"/>
      <c r="BQ659"/>
      <c r="BR659"/>
      <c r="BS659"/>
      <c r="BT659"/>
      <c r="BU659"/>
      <c r="BV659"/>
      <c r="BW659"/>
      <c r="BX659"/>
      <c r="BY659"/>
      <c r="BZ659"/>
      <c r="CA659"/>
      <c r="CB659"/>
    </row>
    <row r="660" ht="15.0" customHeight="true">
      <c r="A660" s="51" t="s">
        <v>2448</v>
      </c>
      <c r="B660" s="33"/>
      <c r="C660" s="33" t="s">
        <v>7316</v>
      </c>
      <c r="D660" s="33"/>
      <c r="E660" s="33" t="s">
        <v>7316</v>
      </c>
      <c r="F660" s="33"/>
      <c r="G660" s="55" t="s">
        <v>7317</v>
      </c>
      <c r="H660" s="33"/>
      <c r="I660" s="51" t="s">
        <v>7318</v>
      </c>
      <c r="J660" s="33"/>
      <c r="K660" s="51" t="s">
        <v>7319</v>
      </c>
      <c r="L660" s="33" t="s">
        <v>2454</v>
      </c>
      <c r="M660" s="55" t="s">
        <v>3999</v>
      </c>
      <c r="N660" s="55" t="s">
        <v>7320</v>
      </c>
      <c r="O660" s="33" t="s">
        <v>2272</v>
      </c>
      <c r="P660" s="33" t="s">
        <v>2251</v>
      </c>
      <c r="Q660" s="33"/>
      <c r="R660" s="33" t="s">
        <v>2263</v>
      </c>
      <c r="S660" s="56" t="s">
        <v>2277</v>
      </c>
      <c r="T660" s="56"/>
      <c r="U660" s="56"/>
      <c r="V660" s="33" t="s">
        <v>2456</v>
      </c>
      <c r="W660" s="94" t="s">
        <v>2457</v>
      </c>
      <c r="X660" s="94" t="s">
        <v>2458</v>
      </c>
      <c r="Y660" s="51"/>
      <c r="Z660" s="51"/>
      <c r="AA660" s="33" t="s">
        <v>2459</v>
      </c>
      <c r="AB660" s="33" t="s">
        <v>2460</v>
      </c>
      <c r="AC660" s="33"/>
      <c r="AD660" s="33" t="s">
        <v>2254</v>
      </c>
      <c r="AE660" s="33"/>
      <c r="AF660" s="33" t="s">
        <v>2267</v>
      </c>
      <c r="AG660" s="33" t="s">
        <v>2461</v>
      </c>
      <c r="AH660" s="33"/>
      <c r="AI660" s="33"/>
      <c r="AJ660" s="33" t="s">
        <v>7321</v>
      </c>
      <c r="AK660" s="94"/>
      <c r="AL660" s="33" t="s">
        <v>4985</v>
      </c>
      <c r="AM660" s="33" t="s">
        <v>7322</v>
      </c>
      <c r="AN660" s="33" t="s">
        <v>2465</v>
      </c>
      <c r="AO660" s="51" t="s">
        <v>2489</v>
      </c>
      <c r="AP660" s="51" t="s">
        <v>207</v>
      </c>
      <c r="AQ660" s="33"/>
      <c r="AR660" s="54"/>
      <c r="AS660" s="54"/>
      <c r="AT660" s="54"/>
      <c r="AU660" s="54"/>
      <c r="AV660" s="54"/>
      <c r="AW660" s="54"/>
      <c r="AX660" s="54"/>
      <c r="AY660" s="54"/>
      <c r="AZ660" s="54"/>
      <c r="BA660" s="54"/>
      <c r="BB660" s="54"/>
      <c r="BC660" s="54"/>
      <c r="BD660" s="54" t="s">
        <v>2447</v>
      </c>
      <c r="BE660" s="54"/>
      <c r="BF660" s="54"/>
      <c r="BG660" s="54"/>
      <c r="BH660" s="54"/>
      <c r="BI660" s="54"/>
      <c r="BJ660" s="0"/>
      <c r="BK660" s="0"/>
      <c r="BL660" s="0"/>
      <c r="BM660" s="0"/>
      <c r="BN660" s="0"/>
      <c r="BO660" s="0"/>
      <c r="BP660"/>
      <c r="BQ660"/>
      <c r="BR660"/>
      <c r="BS660"/>
      <c r="BT660"/>
      <c r="BU660"/>
      <c r="BV660"/>
      <c r="BW660"/>
      <c r="BX660"/>
      <c r="BY660"/>
      <c r="BZ660"/>
      <c r="CA660"/>
      <c r="CB660"/>
    </row>
    <row r="661" ht="15.0" customHeight="true">
      <c r="A661" s="51" t="s">
        <v>2448</v>
      </c>
      <c r="B661" s="33"/>
      <c r="C661" s="33" t="s">
        <v>7323</v>
      </c>
      <c r="D661" s="33"/>
      <c r="E661" s="33" t="s">
        <v>7324</v>
      </c>
      <c r="F661" s="33"/>
      <c r="G661" s="55" t="s">
        <v>7325</v>
      </c>
      <c r="H661" s="33"/>
      <c r="I661" s="51" t="s">
        <v>7326</v>
      </c>
      <c r="J661" s="33"/>
      <c r="K661" s="51" t="s">
        <v>7327</v>
      </c>
      <c r="L661" s="33" t="s">
        <v>2454</v>
      </c>
      <c r="M661" s="55" t="s">
        <v>4889</v>
      </c>
      <c r="N661" s="55" t="s">
        <v>2717</v>
      </c>
      <c r="O661" s="33" t="s">
        <v>2272</v>
      </c>
      <c r="P661" s="33" t="s">
        <v>2251</v>
      </c>
      <c r="Q661" s="33"/>
      <c r="R661" s="33" t="s">
        <v>2263</v>
      </c>
      <c r="S661" s="56" t="s">
        <v>2277</v>
      </c>
      <c r="T661" s="56"/>
      <c r="U661" s="56"/>
      <c r="V661" s="33" t="s">
        <v>2456</v>
      </c>
      <c r="W661" s="94" t="s">
        <v>2457</v>
      </c>
      <c r="X661" s="94" t="s">
        <v>2458</v>
      </c>
      <c r="Y661" s="51"/>
      <c r="Z661" s="51"/>
      <c r="AA661" s="33" t="s">
        <v>2459</v>
      </c>
      <c r="AB661" s="33" t="s">
        <v>2460</v>
      </c>
      <c r="AC661" s="33"/>
      <c r="AD661" s="33" t="s">
        <v>2254</v>
      </c>
      <c r="AE661" s="33"/>
      <c r="AF661" s="33" t="s">
        <v>2267</v>
      </c>
      <c r="AG661" s="33" t="s">
        <v>2461</v>
      </c>
      <c r="AH661" s="33"/>
      <c r="AI661" s="33"/>
      <c r="AJ661" s="33" t="s">
        <v>7328</v>
      </c>
      <c r="AK661" s="94"/>
      <c r="AL661" s="33" t="s">
        <v>7329</v>
      </c>
      <c r="AM661" s="33"/>
      <c r="AN661" s="33" t="s">
        <v>2465</v>
      </c>
      <c r="AO661" s="51" t="s">
        <v>2538</v>
      </c>
      <c r="AP661" s="51" t="s">
        <v>207</v>
      </c>
      <c r="AQ661" s="33"/>
      <c r="AR661" s="54"/>
      <c r="AS661" s="54"/>
      <c r="AT661" s="54"/>
      <c r="AU661" s="54"/>
      <c r="AV661" s="54"/>
      <c r="AW661" s="54"/>
      <c r="AX661" s="54"/>
      <c r="AY661" s="54"/>
      <c r="AZ661" s="54"/>
      <c r="BA661" s="54"/>
      <c r="BB661" s="54"/>
      <c r="BC661" s="54"/>
      <c r="BD661" s="54" t="s">
        <v>2447</v>
      </c>
      <c r="BE661" s="54"/>
      <c r="BF661" s="54"/>
      <c r="BG661" s="54"/>
      <c r="BH661" s="54"/>
      <c r="BI661" s="54"/>
      <c r="BJ661" s="0"/>
      <c r="BK661" s="0"/>
      <c r="BL661" s="0"/>
      <c r="BM661" s="0"/>
      <c r="BN661" s="0"/>
      <c r="BO661" s="0"/>
      <c r="BP661"/>
      <c r="BQ661"/>
      <c r="BR661"/>
      <c r="BS661"/>
      <c r="BT661"/>
      <c r="BU661"/>
      <c r="BV661"/>
      <c r="BW661"/>
      <c r="BX661"/>
      <c r="BY661"/>
      <c r="BZ661"/>
      <c r="CA661"/>
      <c r="CB661"/>
    </row>
    <row r="662" ht="15.0" customHeight="true">
      <c r="A662" s="51" t="s">
        <v>2448</v>
      </c>
      <c r="B662" s="33"/>
      <c r="C662" s="33" t="s">
        <v>7330</v>
      </c>
      <c r="D662" s="33"/>
      <c r="E662" s="33" t="s">
        <v>7331</v>
      </c>
      <c r="F662" s="33"/>
      <c r="G662" s="55" t="s">
        <v>6463</v>
      </c>
      <c r="H662" s="33"/>
      <c r="I662" s="51" t="s">
        <v>7332</v>
      </c>
      <c r="J662" s="33"/>
      <c r="K662" s="51" t="s">
        <v>7333</v>
      </c>
      <c r="L662" s="33" t="s">
        <v>2454</v>
      </c>
      <c r="M662" s="55" t="s">
        <v>3418</v>
      </c>
      <c r="N662" s="55" t="s">
        <v>3418</v>
      </c>
      <c r="O662" s="33" t="s">
        <v>2272</v>
      </c>
      <c r="P662" s="33" t="s">
        <v>2251</v>
      </c>
      <c r="Q662" s="33"/>
      <c r="R662" s="33" t="s">
        <v>2263</v>
      </c>
      <c r="S662" s="56" t="s">
        <v>2277</v>
      </c>
      <c r="T662" s="56"/>
      <c r="U662" s="56"/>
      <c r="V662" s="33" t="s">
        <v>2456</v>
      </c>
      <c r="W662" s="94" t="s">
        <v>2457</v>
      </c>
      <c r="X662" s="94" t="s">
        <v>2458</v>
      </c>
      <c r="Y662" s="51"/>
      <c r="Z662" s="51"/>
      <c r="AA662" s="33" t="s">
        <v>2459</v>
      </c>
      <c r="AB662" s="33" t="s">
        <v>2460</v>
      </c>
      <c r="AC662" s="33"/>
      <c r="AD662" s="33" t="s">
        <v>2254</v>
      </c>
      <c r="AE662" s="33"/>
      <c r="AF662" s="33" t="s">
        <v>2267</v>
      </c>
      <c r="AG662" s="33" t="s">
        <v>2461</v>
      </c>
      <c r="AH662" s="33"/>
      <c r="AI662" s="33"/>
      <c r="AJ662" s="33" t="s">
        <v>7334</v>
      </c>
      <c r="AK662" s="94"/>
      <c r="AL662" s="33" t="s">
        <v>7335</v>
      </c>
      <c r="AM662" s="33" t="s">
        <v>7336</v>
      </c>
      <c r="AN662" s="33" t="s">
        <v>2465</v>
      </c>
      <c r="AO662" s="51" t="s">
        <v>2618</v>
      </c>
      <c r="AP662" s="51" t="s">
        <v>207</v>
      </c>
      <c r="AQ662" s="33"/>
      <c r="AR662" s="54"/>
      <c r="AS662" s="54"/>
      <c r="AT662" s="54"/>
      <c r="AU662" s="54"/>
      <c r="AV662" s="54"/>
      <c r="AW662" s="54"/>
      <c r="AX662" s="54"/>
      <c r="AY662" s="54"/>
      <c r="AZ662" s="54"/>
      <c r="BA662" s="54"/>
      <c r="BB662" s="54"/>
      <c r="BC662" s="54"/>
      <c r="BD662" s="54" t="s">
        <v>2447</v>
      </c>
      <c r="BE662" s="54"/>
      <c r="BF662" s="54"/>
      <c r="BG662" s="54"/>
      <c r="BH662" s="54"/>
      <c r="BI662" s="54"/>
      <c r="BJ662" s="0"/>
      <c r="BK662" s="0"/>
      <c r="BL662" s="0"/>
      <c r="BM662" s="0"/>
      <c r="BN662" s="0"/>
      <c r="BO662" s="0"/>
      <c r="BP662"/>
      <c r="BQ662"/>
      <c r="BR662"/>
      <c r="BS662"/>
      <c r="BT662"/>
      <c r="BU662"/>
      <c r="BV662"/>
      <c r="BW662"/>
      <c r="BX662"/>
      <c r="BY662"/>
      <c r="BZ662"/>
      <c r="CA662"/>
      <c r="CB662"/>
    </row>
    <row r="663" ht="15.0" customHeight="true">
      <c r="A663" s="51" t="s">
        <v>2448</v>
      </c>
      <c r="B663" s="33"/>
      <c r="C663" s="33" t="s">
        <v>7337</v>
      </c>
      <c r="D663" s="33"/>
      <c r="E663" s="33" t="s">
        <v>7338</v>
      </c>
      <c r="F663" s="33"/>
      <c r="G663" s="55" t="s">
        <v>7339</v>
      </c>
      <c r="H663" s="33"/>
      <c r="I663" s="51" t="s">
        <v>7340</v>
      </c>
      <c r="J663" s="33"/>
      <c r="K663" s="51" t="s">
        <v>7341</v>
      </c>
      <c r="L663" s="33" t="s">
        <v>2454</v>
      </c>
      <c r="M663" s="55" t="s">
        <v>3056</v>
      </c>
      <c r="N663" s="55" t="s">
        <v>7342</v>
      </c>
      <c r="O663" s="33" t="s">
        <v>2272</v>
      </c>
      <c r="P663" s="33" t="s">
        <v>2251</v>
      </c>
      <c r="Q663" s="33"/>
      <c r="R663" s="33" t="s">
        <v>2263</v>
      </c>
      <c r="S663" s="56" t="s">
        <v>2277</v>
      </c>
      <c r="T663" s="56"/>
      <c r="U663" s="56"/>
      <c r="V663" s="33" t="s">
        <v>2456</v>
      </c>
      <c r="W663" s="94" t="s">
        <v>2457</v>
      </c>
      <c r="X663" s="94" t="s">
        <v>2458</v>
      </c>
      <c r="Y663" s="51"/>
      <c r="Z663" s="51"/>
      <c r="AA663" s="33" t="s">
        <v>2459</v>
      </c>
      <c r="AB663" s="33" t="s">
        <v>2460</v>
      </c>
      <c r="AC663" s="33"/>
      <c r="AD663" s="33" t="s">
        <v>2254</v>
      </c>
      <c r="AE663" s="33"/>
      <c r="AF663" s="33" t="s">
        <v>2267</v>
      </c>
      <c r="AG663" s="33" t="s">
        <v>2461</v>
      </c>
      <c r="AH663" s="33"/>
      <c r="AI663" s="33"/>
      <c r="AJ663" s="33" t="s">
        <v>7343</v>
      </c>
      <c r="AK663" s="94"/>
      <c r="AL663" s="33" t="s">
        <v>7344</v>
      </c>
      <c r="AM663" s="33"/>
      <c r="AN663" s="33" t="s">
        <v>2465</v>
      </c>
      <c r="AO663" s="51" t="s">
        <v>2489</v>
      </c>
      <c r="AP663" s="51" t="s">
        <v>207</v>
      </c>
      <c r="AQ663" s="33"/>
      <c r="AR663" s="54"/>
      <c r="AS663" s="54"/>
      <c r="AT663" s="54"/>
      <c r="AU663" s="54"/>
      <c r="AV663" s="54"/>
      <c r="AW663" s="54"/>
      <c r="AX663" s="54"/>
      <c r="AY663" s="54"/>
      <c r="AZ663" s="54"/>
      <c r="BA663" s="54"/>
      <c r="BB663" s="54"/>
      <c r="BC663" s="54"/>
      <c r="BD663" s="54" t="s">
        <v>2447</v>
      </c>
      <c r="BE663" s="54"/>
      <c r="BF663" s="54"/>
      <c r="BG663" s="54"/>
      <c r="BH663" s="54"/>
      <c r="BI663" s="54"/>
      <c r="BJ663" s="0"/>
      <c r="BK663" s="0"/>
      <c r="BL663" s="0"/>
      <c r="BM663" s="0"/>
      <c r="BN663" s="0"/>
      <c r="BO663" s="0"/>
      <c r="BP663"/>
      <c r="BQ663"/>
      <c r="BR663"/>
      <c r="BS663"/>
      <c r="BT663"/>
      <c r="BU663"/>
      <c r="BV663"/>
      <c r="BW663"/>
      <c r="BX663"/>
      <c r="BY663"/>
      <c r="BZ663"/>
      <c r="CA663"/>
      <c r="CB663"/>
    </row>
    <row r="664" ht="15.0" customHeight="true">
      <c r="A664" s="51" t="s">
        <v>2448</v>
      </c>
      <c r="B664" s="33"/>
      <c r="C664" s="33" t="s">
        <v>4420</v>
      </c>
      <c r="D664" s="33"/>
      <c r="E664" s="33" t="s">
        <v>7345</v>
      </c>
      <c r="F664" s="33"/>
      <c r="G664" s="55" t="s">
        <v>7346</v>
      </c>
      <c r="H664" s="33"/>
      <c r="I664" s="51" t="s">
        <v>7347</v>
      </c>
      <c r="J664" s="33"/>
      <c r="K664" s="51" t="s">
        <v>7348</v>
      </c>
      <c r="L664" s="33" t="s">
        <v>2454</v>
      </c>
      <c r="M664" s="55" t="s">
        <v>5175</v>
      </c>
      <c r="N664" s="55" t="s">
        <v>6448</v>
      </c>
      <c r="O664" s="33" t="s">
        <v>2272</v>
      </c>
      <c r="P664" s="33" t="s">
        <v>2251</v>
      </c>
      <c r="Q664" s="33"/>
      <c r="R664" s="33" t="s">
        <v>2263</v>
      </c>
      <c r="S664" s="56" t="s">
        <v>2277</v>
      </c>
      <c r="T664" s="56"/>
      <c r="U664" s="56"/>
      <c r="V664" s="33" t="s">
        <v>2456</v>
      </c>
      <c r="W664" s="94" t="s">
        <v>2457</v>
      </c>
      <c r="X664" s="94" t="s">
        <v>2474</v>
      </c>
      <c r="Y664" s="51"/>
      <c r="Z664" s="51"/>
      <c r="AA664" s="33" t="s">
        <v>2459</v>
      </c>
      <c r="AB664" s="33" t="s">
        <v>2460</v>
      </c>
      <c r="AC664" s="33"/>
      <c r="AD664" s="33" t="s">
        <v>2254</v>
      </c>
      <c r="AE664" s="33"/>
      <c r="AF664" s="33" t="s">
        <v>2267</v>
      </c>
      <c r="AG664" s="33" t="s">
        <v>2461</v>
      </c>
      <c r="AH664" s="33"/>
      <c r="AI664" s="33"/>
      <c r="AJ664" s="33" t="s">
        <v>7349</v>
      </c>
      <c r="AK664" s="94"/>
      <c r="AL664" s="33" t="s">
        <v>5331</v>
      </c>
      <c r="AM664" s="33" t="s">
        <v>7350</v>
      </c>
      <c r="AN664" s="33" t="s">
        <v>2465</v>
      </c>
      <c r="AO664" s="51" t="s">
        <v>2618</v>
      </c>
      <c r="AP664" s="51" t="s">
        <v>207</v>
      </c>
      <c r="AQ664" s="33"/>
      <c r="AR664" s="54"/>
      <c r="AS664" s="54"/>
      <c r="AT664" s="54"/>
      <c r="AU664" s="54"/>
      <c r="AV664" s="54"/>
      <c r="AW664" s="54"/>
      <c r="AX664" s="54"/>
      <c r="AY664" s="54"/>
      <c r="AZ664" s="54"/>
      <c r="BA664" s="54"/>
      <c r="BB664" s="54"/>
      <c r="BC664" s="54"/>
      <c r="BD664" s="54" t="s">
        <v>2447</v>
      </c>
      <c r="BE664" s="54"/>
      <c r="BF664" s="54"/>
      <c r="BG664" s="54"/>
      <c r="BH664" s="54"/>
      <c r="BI664" s="54"/>
      <c r="BJ664" s="0"/>
      <c r="BK664" s="0"/>
      <c r="BL664" s="0"/>
      <c r="BM664" s="0"/>
      <c r="BN664" s="0"/>
      <c r="BO664" s="0"/>
      <c r="BP664"/>
      <c r="BQ664"/>
      <c r="BR664"/>
      <c r="BS664"/>
      <c r="BT664"/>
      <c r="BU664"/>
      <c r="BV664"/>
      <c r="BW664"/>
      <c r="BX664"/>
      <c r="BY664"/>
      <c r="BZ664"/>
      <c r="CA664"/>
      <c r="CB664"/>
    </row>
    <row r="665" ht="15.0" customHeight="true">
      <c r="A665" s="51" t="s">
        <v>2448</v>
      </c>
      <c r="B665" s="33"/>
      <c r="C665" s="33" t="s">
        <v>4420</v>
      </c>
      <c r="D665" s="33"/>
      <c r="E665" s="33" t="s">
        <v>7351</v>
      </c>
      <c r="F665" s="33"/>
      <c r="G665" s="55" t="s">
        <v>7352</v>
      </c>
      <c r="H665" s="33"/>
      <c r="I665" s="51" t="s">
        <v>7353</v>
      </c>
      <c r="J665" s="33"/>
      <c r="K665" s="51" t="s">
        <v>7354</v>
      </c>
      <c r="L665" s="33" t="s">
        <v>2454</v>
      </c>
      <c r="M665" s="55" t="s">
        <v>3442</v>
      </c>
      <c r="N665" s="55" t="s">
        <v>4095</v>
      </c>
      <c r="O665" s="33" t="s">
        <v>2272</v>
      </c>
      <c r="P665" s="33" t="s">
        <v>2251</v>
      </c>
      <c r="Q665" s="33"/>
      <c r="R665" s="33" t="s">
        <v>2263</v>
      </c>
      <c r="S665" s="56" t="s">
        <v>2277</v>
      </c>
      <c r="T665" s="56"/>
      <c r="U665" s="56"/>
      <c r="V665" s="33" t="s">
        <v>2456</v>
      </c>
      <c r="W665" s="94" t="s">
        <v>2457</v>
      </c>
      <c r="X665" s="94" t="s">
        <v>2458</v>
      </c>
      <c r="Y665" s="51"/>
      <c r="Z665" s="51"/>
      <c r="AA665" s="33" t="s">
        <v>2459</v>
      </c>
      <c r="AB665" s="33" t="s">
        <v>2460</v>
      </c>
      <c r="AC665" s="33"/>
      <c r="AD665" s="33" t="s">
        <v>2254</v>
      </c>
      <c r="AE665" s="33"/>
      <c r="AF665" s="33" t="s">
        <v>2267</v>
      </c>
      <c r="AG665" s="33" t="s">
        <v>2461</v>
      </c>
      <c r="AH665" s="33"/>
      <c r="AI665" s="33"/>
      <c r="AJ665" s="33" t="s">
        <v>7355</v>
      </c>
      <c r="AK665" s="94"/>
      <c r="AL665" s="33" t="s">
        <v>7356</v>
      </c>
      <c r="AM665" s="33"/>
      <c r="AN665" s="33" t="s">
        <v>2465</v>
      </c>
      <c r="AO665" s="51" t="s">
        <v>2548</v>
      </c>
      <c r="AP665" s="51" t="s">
        <v>207</v>
      </c>
      <c r="AQ665" s="33"/>
      <c r="AR665" s="54"/>
      <c r="AS665" s="54"/>
      <c r="AT665" s="54"/>
      <c r="AU665" s="54"/>
      <c r="AV665" s="54"/>
      <c r="AW665" s="54"/>
      <c r="AX665" s="54"/>
      <c r="AY665" s="54"/>
      <c r="AZ665" s="54"/>
      <c r="BA665" s="54"/>
      <c r="BB665" s="54"/>
      <c r="BC665" s="54"/>
      <c r="BD665" s="54" t="s">
        <v>2447</v>
      </c>
      <c r="BE665" s="54"/>
      <c r="BF665" s="54"/>
      <c r="BG665" s="54"/>
      <c r="BH665" s="54"/>
      <c r="BI665" s="54"/>
      <c r="BJ665" s="0"/>
      <c r="BK665" s="0"/>
      <c r="BL665" s="0"/>
      <c r="BM665" s="0"/>
      <c r="BN665" s="0"/>
      <c r="BO665" s="0"/>
      <c r="BP665"/>
      <c r="BQ665"/>
      <c r="BR665"/>
      <c r="BS665"/>
      <c r="BT665"/>
      <c r="BU665"/>
      <c r="BV665"/>
      <c r="BW665"/>
      <c r="BX665"/>
      <c r="BY665"/>
      <c r="BZ665"/>
      <c r="CA665"/>
      <c r="CB665"/>
    </row>
    <row r="666" ht="15.0" customHeight="true">
      <c r="A666" s="51" t="s">
        <v>2448</v>
      </c>
      <c r="B666" s="33"/>
      <c r="C666" s="33" t="s">
        <v>7357</v>
      </c>
      <c r="D666" s="33"/>
      <c r="E666" s="33" t="s">
        <v>7358</v>
      </c>
      <c r="F666" s="33"/>
      <c r="G666" s="55" t="s">
        <v>7359</v>
      </c>
      <c r="H666" s="33"/>
      <c r="I666" s="51" t="s">
        <v>7360</v>
      </c>
      <c r="J666" s="33"/>
      <c r="K666" s="51" t="s">
        <v>7361</v>
      </c>
      <c r="L666" s="33" t="s">
        <v>2454</v>
      </c>
      <c r="M666" s="55" t="s">
        <v>3249</v>
      </c>
      <c r="N666" s="55" t="s">
        <v>4992</v>
      </c>
      <c r="O666" s="33" t="s">
        <v>2272</v>
      </c>
      <c r="P666" s="33" t="s">
        <v>2251</v>
      </c>
      <c r="Q666" s="33"/>
      <c r="R666" s="33" t="s">
        <v>2263</v>
      </c>
      <c r="S666" s="56" t="s">
        <v>2277</v>
      </c>
      <c r="T666" s="56"/>
      <c r="U666" s="56"/>
      <c r="V666" s="33" t="s">
        <v>2456</v>
      </c>
      <c r="W666" s="94" t="s">
        <v>2457</v>
      </c>
      <c r="X666" s="94" t="s">
        <v>2458</v>
      </c>
      <c r="Y666" s="51"/>
      <c r="Z666" s="51"/>
      <c r="AA666" s="33" t="s">
        <v>2459</v>
      </c>
      <c r="AB666" s="33" t="s">
        <v>2460</v>
      </c>
      <c r="AC666" s="33"/>
      <c r="AD666" s="33" t="s">
        <v>2254</v>
      </c>
      <c r="AE666" s="33"/>
      <c r="AF666" s="33" t="s">
        <v>2267</v>
      </c>
      <c r="AG666" s="33" t="s">
        <v>2461</v>
      </c>
      <c r="AH666" s="33"/>
      <c r="AI666" s="33"/>
      <c r="AJ666" s="33" t="s">
        <v>7362</v>
      </c>
      <c r="AK666" s="94"/>
      <c r="AL666" s="33" t="s">
        <v>7363</v>
      </c>
      <c r="AM666" s="33"/>
      <c r="AN666" s="33" t="s">
        <v>2588</v>
      </c>
      <c r="AO666" s="51" t="s">
        <v>2589</v>
      </c>
      <c r="AP666" s="51" t="s">
        <v>207</v>
      </c>
      <c r="AQ666" s="33"/>
      <c r="AR666" s="54"/>
      <c r="AS666" s="54"/>
      <c r="AT666" s="54"/>
      <c r="AU666" s="54"/>
      <c r="AV666" s="54"/>
      <c r="AW666" s="54"/>
      <c r="AX666" s="54"/>
      <c r="AY666" s="54"/>
      <c r="AZ666" s="54"/>
      <c r="BA666" s="54"/>
      <c r="BB666" s="54"/>
      <c r="BC666" s="54"/>
      <c r="BD666" s="54" t="s">
        <v>2447</v>
      </c>
      <c r="BE666" s="54"/>
      <c r="BF666" s="54"/>
      <c r="BG666" s="54"/>
      <c r="BH666" s="54"/>
      <c r="BI666" s="54"/>
      <c r="BJ666" s="0"/>
      <c r="BK666" s="0"/>
      <c r="BL666" s="0"/>
      <c r="BM666" s="0"/>
      <c r="BN666" s="0"/>
      <c r="BO666" s="0"/>
      <c r="BP666"/>
      <c r="BQ666"/>
      <c r="BR666"/>
      <c r="BS666"/>
      <c r="BT666"/>
      <c r="BU666"/>
      <c r="BV666"/>
      <c r="BW666"/>
      <c r="BX666"/>
      <c r="BY666"/>
      <c r="BZ666"/>
      <c r="CA666"/>
      <c r="CB666"/>
    </row>
    <row r="667" ht="15.0" customHeight="true">
      <c r="A667" s="51" t="s">
        <v>2448</v>
      </c>
      <c r="B667" s="33"/>
      <c r="C667" s="33" t="s">
        <v>4348</v>
      </c>
      <c r="D667" s="33"/>
      <c r="E667" s="33" t="s">
        <v>3294</v>
      </c>
      <c r="F667" s="33"/>
      <c r="G667" s="55" t="s">
        <v>7364</v>
      </c>
      <c r="H667" s="33"/>
      <c r="I667" s="51" t="s">
        <v>7365</v>
      </c>
      <c r="J667" s="33"/>
      <c r="K667" s="51" t="s">
        <v>7366</v>
      </c>
      <c r="L667" s="33" t="s">
        <v>2454</v>
      </c>
      <c r="M667" s="55" t="s">
        <v>2595</v>
      </c>
      <c r="N667" s="55" t="s">
        <v>4682</v>
      </c>
      <c r="O667" s="33" t="s">
        <v>2272</v>
      </c>
      <c r="P667" s="33" t="s">
        <v>2251</v>
      </c>
      <c r="Q667" s="33"/>
      <c r="R667" s="33" t="s">
        <v>2263</v>
      </c>
      <c r="S667" s="56" t="s">
        <v>2277</v>
      </c>
      <c r="T667" s="56"/>
      <c r="U667" s="56"/>
      <c r="V667" s="33" t="s">
        <v>2456</v>
      </c>
      <c r="W667" s="94" t="s">
        <v>2457</v>
      </c>
      <c r="X667" s="94" t="s">
        <v>2474</v>
      </c>
      <c r="Y667" s="51"/>
      <c r="Z667" s="51"/>
      <c r="AA667" s="33" t="s">
        <v>2459</v>
      </c>
      <c r="AB667" s="33" t="s">
        <v>2460</v>
      </c>
      <c r="AC667" s="33"/>
      <c r="AD667" s="33" t="s">
        <v>2254</v>
      </c>
      <c r="AE667" s="33"/>
      <c r="AF667" s="33" t="s">
        <v>2267</v>
      </c>
      <c r="AG667" s="33" t="s">
        <v>2461</v>
      </c>
      <c r="AH667" s="33"/>
      <c r="AI667" s="33"/>
      <c r="AJ667" s="33" t="s">
        <v>7367</v>
      </c>
      <c r="AK667" s="94"/>
      <c r="AL667" s="33" t="s">
        <v>7368</v>
      </c>
      <c r="AM667" s="33"/>
      <c r="AN667" s="33" t="s">
        <v>2577</v>
      </c>
      <c r="AO667" s="51" t="s">
        <v>2578</v>
      </c>
      <c r="AP667" s="51" t="s">
        <v>207</v>
      </c>
      <c r="AQ667" s="33"/>
      <c r="AR667" s="54"/>
      <c r="AS667" s="54"/>
      <c r="AT667" s="54"/>
      <c r="AU667" s="54"/>
      <c r="AV667" s="54"/>
      <c r="AW667" s="54"/>
      <c r="AX667" s="54"/>
      <c r="AY667" s="54"/>
      <c r="AZ667" s="54"/>
      <c r="BA667" s="54"/>
      <c r="BB667" s="54"/>
      <c r="BC667" s="54"/>
      <c r="BD667" s="54" t="s">
        <v>2447</v>
      </c>
      <c r="BE667" s="54"/>
      <c r="BF667" s="54"/>
      <c r="BG667" s="54"/>
      <c r="BH667" s="54"/>
      <c r="BI667" s="54"/>
      <c r="BJ667" s="0"/>
      <c r="BK667" s="0"/>
      <c r="BL667" s="0"/>
      <c r="BM667" s="0"/>
      <c r="BN667" s="0"/>
      <c r="BO667" s="0"/>
      <c r="BP667"/>
      <c r="BQ667"/>
      <c r="BR667"/>
      <c r="BS667"/>
      <c r="BT667"/>
      <c r="BU667"/>
      <c r="BV667"/>
      <c r="BW667"/>
      <c r="BX667"/>
      <c r="BY667"/>
      <c r="BZ667"/>
      <c r="CA667"/>
      <c r="CB667"/>
    </row>
    <row r="668" ht="15.0" customHeight="true">
      <c r="A668" s="51" t="s">
        <v>2448</v>
      </c>
      <c r="B668" s="33"/>
      <c r="C668" s="33" t="s">
        <v>4450</v>
      </c>
      <c r="D668" s="33"/>
      <c r="E668" s="33" t="s">
        <v>7369</v>
      </c>
      <c r="F668" s="33"/>
      <c r="G668" s="55" t="s">
        <v>7370</v>
      </c>
      <c r="H668" s="33"/>
      <c r="I668" s="51" t="s">
        <v>7371</v>
      </c>
      <c r="J668" s="33"/>
      <c r="K668" s="51" t="s">
        <v>7372</v>
      </c>
      <c r="L668" s="33" t="s">
        <v>2454</v>
      </c>
      <c r="M668" s="55" t="s">
        <v>4094</v>
      </c>
      <c r="N668" s="55" t="s">
        <v>5384</v>
      </c>
      <c r="O668" s="33" t="s">
        <v>2272</v>
      </c>
      <c r="P668" s="33" t="s">
        <v>2251</v>
      </c>
      <c r="Q668" s="33"/>
      <c r="R668" s="33" t="s">
        <v>2263</v>
      </c>
      <c r="S668" s="56" t="s">
        <v>2277</v>
      </c>
      <c r="T668" s="56"/>
      <c r="U668" s="56"/>
      <c r="V668" s="33" t="s">
        <v>2456</v>
      </c>
      <c r="W668" s="94" t="s">
        <v>2457</v>
      </c>
      <c r="X668" s="94" t="s">
        <v>2458</v>
      </c>
      <c r="Y668" s="51"/>
      <c r="Z668" s="51"/>
      <c r="AA668" s="33" t="s">
        <v>2459</v>
      </c>
      <c r="AB668" s="33" t="s">
        <v>2460</v>
      </c>
      <c r="AC668" s="33"/>
      <c r="AD668" s="33" t="s">
        <v>2254</v>
      </c>
      <c r="AE668" s="33"/>
      <c r="AF668" s="33" t="s">
        <v>2267</v>
      </c>
      <c r="AG668" s="33" t="s">
        <v>2461</v>
      </c>
      <c r="AH668" s="33"/>
      <c r="AI668" s="33"/>
      <c r="AJ668" s="33" t="s">
        <v>7373</v>
      </c>
      <c r="AK668" s="94"/>
      <c r="AL668" s="33" t="s">
        <v>7374</v>
      </c>
      <c r="AM668" s="33"/>
      <c r="AN668" s="33" t="s">
        <v>3764</v>
      </c>
      <c r="AO668" s="51" t="s">
        <v>3765</v>
      </c>
      <c r="AP668" s="51" t="s">
        <v>207</v>
      </c>
      <c r="AQ668" s="33"/>
      <c r="AR668" s="54"/>
      <c r="AS668" s="54"/>
      <c r="AT668" s="54"/>
      <c r="AU668" s="54"/>
      <c r="AV668" s="54"/>
      <c r="AW668" s="54"/>
      <c r="AX668" s="54"/>
      <c r="AY668" s="54"/>
      <c r="AZ668" s="54"/>
      <c r="BA668" s="54"/>
      <c r="BB668" s="54"/>
      <c r="BC668" s="54"/>
      <c r="BD668" s="54" t="s">
        <v>2447</v>
      </c>
      <c r="BE668" s="54"/>
      <c r="BF668" s="54"/>
      <c r="BG668" s="54"/>
      <c r="BH668" s="54"/>
      <c r="BI668" s="54"/>
      <c r="BJ668" s="0"/>
      <c r="BK668" s="0"/>
      <c r="BL668" s="0"/>
      <c r="BM668" s="0"/>
      <c r="BN668" s="0"/>
      <c r="BO668" s="0"/>
      <c r="BP668"/>
      <c r="BQ668"/>
      <c r="BR668"/>
      <c r="BS668"/>
      <c r="BT668"/>
      <c r="BU668"/>
      <c r="BV668"/>
      <c r="BW668"/>
      <c r="BX668"/>
      <c r="BY668"/>
      <c r="BZ668"/>
      <c r="CA668"/>
      <c r="CB668"/>
    </row>
    <row r="669" ht="15.0" customHeight="true">
      <c r="A669" s="51" t="s">
        <v>2448</v>
      </c>
      <c r="B669" s="33"/>
      <c r="C669" s="33" t="s">
        <v>7375</v>
      </c>
      <c r="D669" s="33"/>
      <c r="E669" s="33" t="s">
        <v>7376</v>
      </c>
      <c r="F669" s="33"/>
      <c r="G669" s="55" t="s">
        <v>4293</v>
      </c>
      <c r="H669" s="33"/>
      <c r="I669" s="51" t="s">
        <v>7377</v>
      </c>
      <c r="J669" s="33"/>
      <c r="K669" s="51" t="s">
        <v>7378</v>
      </c>
      <c r="L669" s="33" t="s">
        <v>2454</v>
      </c>
      <c r="M669" s="55" t="s">
        <v>7379</v>
      </c>
      <c r="N669" s="55" t="s">
        <v>6412</v>
      </c>
      <c r="O669" s="33" t="s">
        <v>2272</v>
      </c>
      <c r="P669" s="33" t="s">
        <v>2251</v>
      </c>
      <c r="Q669" s="33"/>
      <c r="R669" s="33" t="s">
        <v>2263</v>
      </c>
      <c r="S669" s="56" t="s">
        <v>2277</v>
      </c>
      <c r="T669" s="56"/>
      <c r="U669" s="56"/>
      <c r="V669" s="33" t="s">
        <v>2456</v>
      </c>
      <c r="W669" s="94" t="s">
        <v>2457</v>
      </c>
      <c r="X669" s="94" t="s">
        <v>2458</v>
      </c>
      <c r="Y669" s="51"/>
      <c r="Z669" s="51"/>
      <c r="AA669" s="33" t="s">
        <v>2459</v>
      </c>
      <c r="AB669" s="33" t="s">
        <v>2460</v>
      </c>
      <c r="AC669" s="33"/>
      <c r="AD669" s="33" t="s">
        <v>2254</v>
      </c>
      <c r="AE669" s="33"/>
      <c r="AF669" s="33" t="s">
        <v>2267</v>
      </c>
      <c r="AG669" s="33" t="s">
        <v>2461</v>
      </c>
      <c r="AH669" s="33"/>
      <c r="AI669" s="33"/>
      <c r="AJ669" s="33" t="s">
        <v>7380</v>
      </c>
      <c r="AK669" s="94"/>
      <c r="AL669" s="33" t="s">
        <v>7381</v>
      </c>
      <c r="AM669" s="33"/>
      <c r="AN669" s="33" t="s">
        <v>2465</v>
      </c>
      <c r="AO669" s="51" t="s">
        <v>2538</v>
      </c>
      <c r="AP669" s="51" t="s">
        <v>207</v>
      </c>
      <c r="AQ669" s="33"/>
      <c r="AR669" s="54"/>
      <c r="AS669" s="54"/>
      <c r="AT669" s="54"/>
      <c r="AU669" s="54"/>
      <c r="AV669" s="54"/>
      <c r="AW669" s="54"/>
      <c r="AX669" s="54"/>
      <c r="AY669" s="54"/>
      <c r="AZ669" s="54"/>
      <c r="BA669" s="54"/>
      <c r="BB669" s="54"/>
      <c r="BC669" s="54"/>
      <c r="BD669" s="54" t="s">
        <v>2447</v>
      </c>
      <c r="BE669" s="54"/>
      <c r="BF669" s="54"/>
      <c r="BG669" s="54"/>
      <c r="BH669" s="54"/>
      <c r="BI669" s="54"/>
      <c r="BJ669" s="0"/>
      <c r="BK669" s="0"/>
      <c r="BL669" s="0"/>
      <c r="BM669" s="0"/>
      <c r="BN669" s="0"/>
      <c r="BO669" s="0"/>
      <c r="BP669"/>
      <c r="BQ669"/>
      <c r="BR669"/>
      <c r="BS669"/>
      <c r="BT669"/>
      <c r="BU669"/>
      <c r="BV669"/>
      <c r="BW669"/>
      <c r="BX669"/>
      <c r="BY669"/>
      <c r="BZ669"/>
      <c r="CA669"/>
      <c r="CB669"/>
    </row>
    <row r="670" ht="15.0" customHeight="true">
      <c r="A670" s="51" t="s">
        <v>2448</v>
      </c>
      <c r="B670" s="33"/>
      <c r="C670" s="33" t="s">
        <v>4420</v>
      </c>
      <c r="D670" s="33"/>
      <c r="E670" s="33" t="s">
        <v>7382</v>
      </c>
      <c r="F670" s="33"/>
      <c r="G670" s="55" t="s">
        <v>7383</v>
      </c>
      <c r="H670" s="33"/>
      <c r="I670" s="51" t="s">
        <v>7384</v>
      </c>
      <c r="J670" s="33"/>
      <c r="K670" s="51" t="s">
        <v>7385</v>
      </c>
      <c r="L670" s="33" t="s">
        <v>2454</v>
      </c>
      <c r="M670" s="55" t="s">
        <v>4470</v>
      </c>
      <c r="N670" s="55" t="s">
        <v>7013</v>
      </c>
      <c r="O670" s="33" t="s">
        <v>2272</v>
      </c>
      <c r="P670" s="33" t="s">
        <v>2251</v>
      </c>
      <c r="Q670" s="33"/>
      <c r="R670" s="33" t="s">
        <v>2263</v>
      </c>
      <c r="S670" s="56" t="s">
        <v>2277</v>
      </c>
      <c r="T670" s="56"/>
      <c r="U670" s="56"/>
      <c r="V670" s="33" t="s">
        <v>2456</v>
      </c>
      <c r="W670" s="94" t="s">
        <v>2457</v>
      </c>
      <c r="X670" s="94" t="s">
        <v>2474</v>
      </c>
      <c r="Y670" s="51"/>
      <c r="Z670" s="51"/>
      <c r="AA670" s="33" t="s">
        <v>2459</v>
      </c>
      <c r="AB670" s="33" t="s">
        <v>2460</v>
      </c>
      <c r="AC670" s="33"/>
      <c r="AD670" s="33" t="s">
        <v>2254</v>
      </c>
      <c r="AE670" s="33"/>
      <c r="AF670" s="33" t="s">
        <v>2267</v>
      </c>
      <c r="AG670" s="33" t="s">
        <v>2461</v>
      </c>
      <c r="AH670" s="33"/>
      <c r="AI670" s="33"/>
      <c r="AJ670" s="33" t="s">
        <v>7386</v>
      </c>
      <c r="AK670" s="94"/>
      <c r="AL670" s="33" t="s">
        <v>3212</v>
      </c>
      <c r="AM670" s="33" t="s">
        <v>7387</v>
      </c>
      <c r="AN670" s="33" t="s">
        <v>2465</v>
      </c>
      <c r="AO670" s="51" t="s">
        <v>2528</v>
      </c>
      <c r="AP670" s="51" t="s">
        <v>207</v>
      </c>
      <c r="AQ670" s="33"/>
      <c r="AR670" s="54"/>
      <c r="AS670" s="54"/>
      <c r="AT670" s="54"/>
      <c r="AU670" s="54"/>
      <c r="AV670" s="54"/>
      <c r="AW670" s="54"/>
      <c r="AX670" s="54"/>
      <c r="AY670" s="54"/>
      <c r="AZ670" s="54"/>
      <c r="BA670" s="54"/>
      <c r="BB670" s="54"/>
      <c r="BC670" s="54"/>
      <c r="BD670" s="54" t="s">
        <v>2447</v>
      </c>
      <c r="BE670" s="54"/>
      <c r="BF670" s="54"/>
      <c r="BG670" s="54"/>
      <c r="BH670" s="54"/>
      <c r="BI670" s="54"/>
      <c r="BJ670" s="0"/>
      <c r="BK670" s="0"/>
      <c r="BL670" s="0"/>
      <c r="BM670" s="0"/>
      <c r="BN670" s="0"/>
      <c r="BO670" s="0"/>
      <c r="BP670"/>
      <c r="BQ670"/>
      <c r="BR670"/>
      <c r="BS670"/>
      <c r="BT670"/>
      <c r="BU670"/>
      <c r="BV670"/>
      <c r="BW670"/>
      <c r="BX670"/>
      <c r="BY670"/>
      <c r="BZ670"/>
      <c r="CA670"/>
      <c r="CB670"/>
    </row>
    <row r="671" ht="15.0" customHeight="true">
      <c r="A671" s="51" t="s">
        <v>2448</v>
      </c>
      <c r="B671" s="33"/>
      <c r="C671" s="33" t="s">
        <v>3900</v>
      </c>
      <c r="D671" s="33"/>
      <c r="E671" s="33" t="s">
        <v>7388</v>
      </c>
      <c r="F671" s="33"/>
      <c r="G671" s="55" t="s">
        <v>7389</v>
      </c>
      <c r="H671" s="33"/>
      <c r="I671" s="51" t="s">
        <v>7390</v>
      </c>
      <c r="J671" s="33"/>
      <c r="K671" s="51" t="s">
        <v>7391</v>
      </c>
      <c r="L671" s="33" t="s">
        <v>2454</v>
      </c>
      <c r="M671" s="55" t="s">
        <v>3780</v>
      </c>
      <c r="N671" s="55" t="s">
        <v>2961</v>
      </c>
      <c r="O671" s="33" t="s">
        <v>2272</v>
      </c>
      <c r="P671" s="33" t="s">
        <v>2251</v>
      </c>
      <c r="Q671" s="33"/>
      <c r="R671" s="33" t="s">
        <v>2263</v>
      </c>
      <c r="S671" s="56" t="s">
        <v>2277</v>
      </c>
      <c r="T671" s="56"/>
      <c r="U671" s="56"/>
      <c r="V671" s="33" t="s">
        <v>2456</v>
      </c>
      <c r="W671" s="94" t="s">
        <v>2457</v>
      </c>
      <c r="X671" s="94" t="s">
        <v>2458</v>
      </c>
      <c r="Y671" s="51"/>
      <c r="Z671" s="51"/>
      <c r="AA671" s="33" t="s">
        <v>2459</v>
      </c>
      <c r="AB671" s="33" t="s">
        <v>2460</v>
      </c>
      <c r="AC671" s="33"/>
      <c r="AD671" s="33" t="s">
        <v>2254</v>
      </c>
      <c r="AE671" s="33"/>
      <c r="AF671" s="33" t="s">
        <v>2267</v>
      </c>
      <c r="AG671" s="33" t="s">
        <v>2461</v>
      </c>
      <c r="AH671" s="33"/>
      <c r="AI671" s="33"/>
      <c r="AJ671" s="33" t="s">
        <v>7392</v>
      </c>
      <c r="AK671" s="94"/>
      <c r="AL671" s="33" t="s">
        <v>3085</v>
      </c>
      <c r="AM671" s="33" t="s">
        <v>7393</v>
      </c>
      <c r="AN671" s="33" t="s">
        <v>2465</v>
      </c>
      <c r="AO671" s="51" t="s">
        <v>2538</v>
      </c>
      <c r="AP671" s="51" t="s">
        <v>207</v>
      </c>
      <c r="AQ671" s="33"/>
      <c r="AR671" s="54"/>
      <c r="AS671" s="54"/>
      <c r="AT671" s="54"/>
      <c r="AU671" s="54"/>
      <c r="AV671" s="54"/>
      <c r="AW671" s="54"/>
      <c r="AX671" s="54"/>
      <c r="AY671" s="54"/>
      <c r="AZ671" s="54"/>
      <c r="BA671" s="54"/>
      <c r="BB671" s="54"/>
      <c r="BC671" s="54"/>
      <c r="BD671" s="54" t="s">
        <v>2447</v>
      </c>
      <c r="BE671" s="54"/>
      <c r="BF671" s="54"/>
      <c r="BG671" s="54"/>
      <c r="BH671" s="54"/>
      <c r="BI671" s="54"/>
      <c r="BJ671" s="0"/>
      <c r="BK671" s="0"/>
      <c r="BL671" s="0"/>
      <c r="BM671" s="0"/>
      <c r="BN671" s="0"/>
      <c r="BO671" s="0"/>
      <c r="BP671"/>
      <c r="BQ671"/>
      <c r="BR671"/>
      <c r="BS671"/>
      <c r="BT671"/>
      <c r="BU671"/>
      <c r="BV671"/>
      <c r="BW671"/>
      <c r="BX671"/>
      <c r="BY671"/>
      <c r="BZ671"/>
      <c r="CA671"/>
      <c r="CB671"/>
    </row>
    <row r="672" ht="15.0" customHeight="true">
      <c r="A672" s="51" t="s">
        <v>2448</v>
      </c>
      <c r="B672" s="33"/>
      <c r="C672" s="33" t="s">
        <v>3918</v>
      </c>
      <c r="D672" s="33"/>
      <c r="E672" s="33" t="s">
        <v>7394</v>
      </c>
      <c r="F672" s="33"/>
      <c r="G672" s="55" t="s">
        <v>7395</v>
      </c>
      <c r="H672" s="33"/>
      <c r="I672" s="51" t="s">
        <v>7396</v>
      </c>
      <c r="J672" s="33"/>
      <c r="K672" s="51" t="s">
        <v>7397</v>
      </c>
      <c r="L672" s="33" t="s">
        <v>2454</v>
      </c>
      <c r="M672" s="55" t="s">
        <v>2927</v>
      </c>
      <c r="N672" s="55" t="s">
        <v>3249</v>
      </c>
      <c r="O672" s="33" t="s">
        <v>2272</v>
      </c>
      <c r="P672" s="33" t="s">
        <v>2251</v>
      </c>
      <c r="Q672" s="33"/>
      <c r="R672" s="33" t="s">
        <v>2263</v>
      </c>
      <c r="S672" s="56" t="s">
        <v>2277</v>
      </c>
      <c r="T672" s="56"/>
      <c r="U672" s="56"/>
      <c r="V672" s="33" t="s">
        <v>2456</v>
      </c>
      <c r="W672" s="94" t="s">
        <v>2457</v>
      </c>
      <c r="X672" s="94" t="s">
        <v>2458</v>
      </c>
      <c r="Y672" s="51"/>
      <c r="Z672" s="51"/>
      <c r="AA672" s="33" t="s">
        <v>2459</v>
      </c>
      <c r="AB672" s="33" t="s">
        <v>2460</v>
      </c>
      <c r="AC672" s="33"/>
      <c r="AD672" s="33" t="s">
        <v>2254</v>
      </c>
      <c r="AE672" s="33"/>
      <c r="AF672" s="33" t="s">
        <v>2267</v>
      </c>
      <c r="AG672" s="33" t="s">
        <v>2461</v>
      </c>
      <c r="AH672" s="33"/>
      <c r="AI672" s="33"/>
      <c r="AJ672" s="33" t="s">
        <v>7398</v>
      </c>
      <c r="AK672" s="94"/>
      <c r="AL672" s="33" t="s">
        <v>7399</v>
      </c>
      <c r="AM672" s="33" t="s">
        <v>7400</v>
      </c>
      <c r="AN672" s="33" t="s">
        <v>2465</v>
      </c>
      <c r="AO672" s="51" t="s">
        <v>2820</v>
      </c>
      <c r="AP672" s="51" t="s">
        <v>207</v>
      </c>
      <c r="AQ672" s="33"/>
      <c r="AR672" s="54"/>
      <c r="AS672" s="54"/>
      <c r="AT672" s="54"/>
      <c r="AU672" s="54"/>
      <c r="AV672" s="54"/>
      <c r="AW672" s="54"/>
      <c r="AX672" s="54"/>
      <c r="AY672" s="54"/>
      <c r="AZ672" s="54"/>
      <c r="BA672" s="54"/>
      <c r="BB672" s="54"/>
      <c r="BC672" s="54"/>
      <c r="BD672" s="54" t="s">
        <v>2447</v>
      </c>
      <c r="BE672" s="54"/>
      <c r="BF672" s="54"/>
      <c r="BG672" s="54"/>
      <c r="BH672" s="54"/>
      <c r="BI672" s="54"/>
      <c r="BJ672" s="0"/>
      <c r="BK672" s="0"/>
      <c r="BL672" s="0"/>
      <c r="BM672" s="0"/>
      <c r="BN672" s="0"/>
      <c r="BO672" s="0"/>
      <c r="BP672"/>
      <c r="BQ672"/>
      <c r="BR672"/>
      <c r="BS672"/>
      <c r="BT672"/>
      <c r="BU672"/>
      <c r="BV672"/>
      <c r="BW672"/>
      <c r="BX672"/>
      <c r="BY672"/>
      <c r="BZ672"/>
      <c r="CA672"/>
      <c r="CB672"/>
    </row>
    <row r="673" ht="15.0" customHeight="true">
      <c r="A673" s="51" t="s">
        <v>2448</v>
      </c>
      <c r="B673" s="33"/>
      <c r="C673" s="33" t="s">
        <v>7401</v>
      </c>
      <c r="D673" s="33"/>
      <c r="E673" s="33" t="s">
        <v>7402</v>
      </c>
      <c r="F673" s="33"/>
      <c r="G673" s="55" t="s">
        <v>7403</v>
      </c>
      <c r="H673" s="33"/>
      <c r="I673" s="51" t="s">
        <v>7404</v>
      </c>
      <c r="J673" s="33"/>
      <c r="K673" s="51" t="s">
        <v>7405</v>
      </c>
      <c r="L673" s="33" t="s">
        <v>2454</v>
      </c>
      <c r="M673" s="55" t="s">
        <v>3772</v>
      </c>
      <c r="N673" s="55" t="s">
        <v>3110</v>
      </c>
      <c r="O673" s="33" t="s">
        <v>2272</v>
      </c>
      <c r="P673" s="33" t="s">
        <v>2251</v>
      </c>
      <c r="Q673" s="33"/>
      <c r="R673" s="33" t="s">
        <v>2263</v>
      </c>
      <c r="S673" s="56" t="s">
        <v>2277</v>
      </c>
      <c r="T673" s="56"/>
      <c r="U673" s="56"/>
      <c r="V673" s="33" t="s">
        <v>2456</v>
      </c>
      <c r="W673" s="94" t="s">
        <v>2457</v>
      </c>
      <c r="X673" s="94" t="s">
        <v>2458</v>
      </c>
      <c r="Y673" s="51"/>
      <c r="Z673" s="51"/>
      <c r="AA673" s="33" t="s">
        <v>2459</v>
      </c>
      <c r="AB673" s="33" t="s">
        <v>2460</v>
      </c>
      <c r="AC673" s="33"/>
      <c r="AD673" s="33" t="s">
        <v>2254</v>
      </c>
      <c r="AE673" s="33"/>
      <c r="AF673" s="33" t="s">
        <v>2267</v>
      </c>
      <c r="AG673" s="33" t="s">
        <v>2461</v>
      </c>
      <c r="AH673" s="33"/>
      <c r="AI673" s="33"/>
      <c r="AJ673" s="33" t="s">
        <v>7406</v>
      </c>
      <c r="AK673" s="94"/>
      <c r="AL673" s="33" t="s">
        <v>7407</v>
      </c>
      <c r="AM673" s="33"/>
      <c r="AN673" s="33" t="s">
        <v>2588</v>
      </c>
      <c r="AO673" s="51" t="s">
        <v>2589</v>
      </c>
      <c r="AP673" s="51" t="s">
        <v>207</v>
      </c>
      <c r="AQ673" s="33"/>
      <c r="AR673" s="54"/>
      <c r="AS673" s="54"/>
      <c r="AT673" s="54"/>
      <c r="AU673" s="54"/>
      <c r="AV673" s="54"/>
      <c r="AW673" s="54"/>
      <c r="AX673" s="54"/>
      <c r="AY673" s="54"/>
      <c r="AZ673" s="54"/>
      <c r="BA673" s="54"/>
      <c r="BB673" s="54"/>
      <c r="BC673" s="54"/>
      <c r="BD673" s="54" t="s">
        <v>2447</v>
      </c>
      <c r="BE673" s="54"/>
      <c r="BF673" s="54"/>
      <c r="BG673" s="54"/>
      <c r="BH673" s="54"/>
      <c r="BI673" s="54"/>
      <c r="BJ673" s="0"/>
      <c r="BK673" s="0"/>
      <c r="BL673" s="0"/>
      <c r="BM673" s="0"/>
      <c r="BN673" s="0"/>
      <c r="BO673" s="0"/>
      <c r="BP673"/>
      <c r="BQ673"/>
      <c r="BR673"/>
      <c r="BS673"/>
      <c r="BT673"/>
      <c r="BU673"/>
      <c r="BV673"/>
      <c r="BW673"/>
      <c r="BX673"/>
      <c r="BY673"/>
      <c r="BZ673"/>
      <c r="CA673"/>
      <c r="CB673"/>
    </row>
    <row r="674" ht="15.0" customHeight="true">
      <c r="A674" s="51" t="s">
        <v>2448</v>
      </c>
      <c r="B674" s="33"/>
      <c r="C674" s="33" t="s">
        <v>2674</v>
      </c>
      <c r="D674" s="33"/>
      <c r="E674" s="33" t="s">
        <v>7408</v>
      </c>
      <c r="F674" s="33"/>
      <c r="G674" s="55" t="s">
        <v>7409</v>
      </c>
      <c r="H674" s="33"/>
      <c r="I674" s="51" t="s">
        <v>7410</v>
      </c>
      <c r="J674" s="33"/>
      <c r="K674" s="51" t="s">
        <v>7411</v>
      </c>
      <c r="L674" s="33" t="s">
        <v>2454</v>
      </c>
      <c r="M674" s="55" t="s">
        <v>5535</v>
      </c>
      <c r="N674" s="55" t="s">
        <v>7412</v>
      </c>
      <c r="O674" s="33" t="s">
        <v>2272</v>
      </c>
      <c r="P674" s="33" t="s">
        <v>2251</v>
      </c>
      <c r="Q674" s="33"/>
      <c r="R674" s="33" t="s">
        <v>2263</v>
      </c>
      <c r="S674" s="56" t="s">
        <v>2277</v>
      </c>
      <c r="T674" s="56"/>
      <c r="U674" s="56"/>
      <c r="V674" s="33" t="s">
        <v>2456</v>
      </c>
      <c r="W674" s="94" t="s">
        <v>2457</v>
      </c>
      <c r="X674" s="94" t="s">
        <v>2474</v>
      </c>
      <c r="Y674" s="51"/>
      <c r="Z674" s="51"/>
      <c r="AA674" s="33" t="s">
        <v>2459</v>
      </c>
      <c r="AB674" s="33" t="s">
        <v>2460</v>
      </c>
      <c r="AC674" s="33"/>
      <c r="AD674" s="33" t="s">
        <v>2254</v>
      </c>
      <c r="AE674" s="33"/>
      <c r="AF674" s="33" t="s">
        <v>2267</v>
      </c>
      <c r="AG674" s="33" t="s">
        <v>2461</v>
      </c>
      <c r="AH674" s="33"/>
      <c r="AI674" s="33"/>
      <c r="AJ674" s="33" t="s">
        <v>7413</v>
      </c>
      <c r="AK674" s="94"/>
      <c r="AL674" s="33" t="s">
        <v>7414</v>
      </c>
      <c r="AM674" s="33"/>
      <c r="AN674" s="33" t="s">
        <v>3031</v>
      </c>
      <c r="AO674" s="51" t="s">
        <v>3032</v>
      </c>
      <c r="AP674" s="51" t="s">
        <v>207</v>
      </c>
      <c r="AQ674" s="33"/>
      <c r="AR674" s="54"/>
      <c r="AS674" s="54"/>
      <c r="AT674" s="54"/>
      <c r="AU674" s="54"/>
      <c r="AV674" s="54"/>
      <c r="AW674" s="54"/>
      <c r="AX674" s="54"/>
      <c r="AY674" s="54"/>
      <c r="AZ674" s="54"/>
      <c r="BA674" s="54"/>
      <c r="BB674" s="54"/>
      <c r="BC674" s="54"/>
      <c r="BD674" s="54" t="s">
        <v>2447</v>
      </c>
      <c r="BE674" s="54"/>
      <c r="BF674" s="54"/>
      <c r="BG674" s="54"/>
      <c r="BH674" s="54"/>
      <c r="BI674" s="54"/>
      <c r="BJ674" s="0"/>
      <c r="BK674" s="0"/>
      <c r="BL674" s="0"/>
      <c r="BM674" s="0"/>
      <c r="BN674" s="0"/>
      <c r="BO674" s="0"/>
      <c r="BP674"/>
      <c r="BQ674"/>
      <c r="BR674"/>
      <c r="BS674"/>
      <c r="BT674"/>
      <c r="BU674"/>
      <c r="BV674"/>
      <c r="BW674"/>
      <c r="BX674"/>
      <c r="BY674"/>
      <c r="BZ674"/>
      <c r="CA674"/>
      <c r="CB674"/>
    </row>
    <row r="675" ht="15.0" customHeight="true">
      <c r="A675" s="51" t="s">
        <v>2448</v>
      </c>
      <c r="B675" s="33"/>
      <c r="C675" s="33" t="s">
        <v>7415</v>
      </c>
      <c r="D675" s="33"/>
      <c r="E675" s="33" t="s">
        <v>5909</v>
      </c>
      <c r="F675" s="33"/>
      <c r="G675" s="55" t="s">
        <v>7416</v>
      </c>
      <c r="H675" s="33"/>
      <c r="I675" s="51" t="s">
        <v>7417</v>
      </c>
      <c r="J675" s="33"/>
      <c r="K675" s="51" t="s">
        <v>7418</v>
      </c>
      <c r="L675" s="33" t="s">
        <v>2454</v>
      </c>
      <c r="M675" s="55" t="s">
        <v>5949</v>
      </c>
      <c r="N675" s="55" t="s">
        <v>6783</v>
      </c>
      <c r="O675" s="33" t="s">
        <v>2272</v>
      </c>
      <c r="P675" s="33" t="s">
        <v>2251</v>
      </c>
      <c r="Q675" s="33"/>
      <c r="R675" s="33" t="s">
        <v>2263</v>
      </c>
      <c r="S675" s="56" t="s">
        <v>2277</v>
      </c>
      <c r="T675" s="56"/>
      <c r="U675" s="56"/>
      <c r="V675" s="33" t="s">
        <v>2456</v>
      </c>
      <c r="W675" s="94" t="s">
        <v>2457</v>
      </c>
      <c r="X675" s="94" t="s">
        <v>2458</v>
      </c>
      <c r="Y675" s="51"/>
      <c r="Z675" s="51"/>
      <c r="AA675" s="33" t="s">
        <v>2459</v>
      </c>
      <c r="AB675" s="33" t="s">
        <v>2460</v>
      </c>
      <c r="AC675" s="33"/>
      <c r="AD675" s="33" t="s">
        <v>2254</v>
      </c>
      <c r="AE675" s="33"/>
      <c r="AF675" s="33" t="s">
        <v>2267</v>
      </c>
      <c r="AG675" s="33" t="s">
        <v>2461</v>
      </c>
      <c r="AH675" s="33"/>
      <c r="AI675" s="33"/>
      <c r="AJ675" s="33" t="s">
        <v>7419</v>
      </c>
      <c r="AK675" s="94"/>
      <c r="AL675" s="33" t="s">
        <v>7420</v>
      </c>
      <c r="AM675" s="33"/>
      <c r="AN675" s="33" t="s">
        <v>2465</v>
      </c>
      <c r="AO675" s="51" t="s">
        <v>2673</v>
      </c>
      <c r="AP675" s="51" t="s">
        <v>207</v>
      </c>
      <c r="AQ675" s="33"/>
      <c r="AR675" s="54"/>
      <c r="AS675" s="54"/>
      <c r="AT675" s="54"/>
      <c r="AU675" s="54"/>
      <c r="AV675" s="54"/>
      <c r="AW675" s="54"/>
      <c r="AX675" s="54"/>
      <c r="AY675" s="54"/>
      <c r="AZ675" s="54"/>
      <c r="BA675" s="54"/>
      <c r="BB675" s="54"/>
      <c r="BC675" s="54"/>
      <c r="BD675" s="54" t="s">
        <v>2447</v>
      </c>
      <c r="BE675" s="54"/>
      <c r="BF675" s="54"/>
      <c r="BG675" s="54"/>
      <c r="BH675" s="54"/>
      <c r="BI675" s="54"/>
      <c r="BJ675" s="0"/>
      <c r="BK675" s="0"/>
      <c r="BL675" s="0"/>
      <c r="BM675" s="0"/>
      <c r="BN675" s="0"/>
      <c r="BO675" s="0"/>
      <c r="BP675"/>
      <c r="BQ675"/>
      <c r="BR675"/>
      <c r="BS675"/>
      <c r="BT675"/>
      <c r="BU675"/>
      <c r="BV675"/>
      <c r="BW675"/>
      <c r="BX675"/>
      <c r="BY675"/>
      <c r="BZ675"/>
      <c r="CA675"/>
      <c r="CB675"/>
    </row>
    <row r="676" ht="15.0" customHeight="true">
      <c r="A676" s="51" t="s">
        <v>2448</v>
      </c>
      <c r="B676" s="33"/>
      <c r="C676" s="33" t="s">
        <v>3353</v>
      </c>
      <c r="D676" s="33"/>
      <c r="E676" s="33" t="s">
        <v>7421</v>
      </c>
      <c r="F676" s="33"/>
      <c r="G676" s="55" t="s">
        <v>7422</v>
      </c>
      <c r="H676" s="33"/>
      <c r="I676" s="51" t="s">
        <v>7423</v>
      </c>
      <c r="J676" s="33"/>
      <c r="K676" s="51" t="s">
        <v>7424</v>
      </c>
      <c r="L676" s="33" t="s">
        <v>2454</v>
      </c>
      <c r="M676" s="55" t="s">
        <v>3671</v>
      </c>
      <c r="N676" s="55" t="s">
        <v>3306</v>
      </c>
      <c r="O676" s="33" t="s">
        <v>2272</v>
      </c>
      <c r="P676" s="33" t="s">
        <v>2251</v>
      </c>
      <c r="Q676" s="33"/>
      <c r="R676" s="33" t="s">
        <v>2263</v>
      </c>
      <c r="S676" s="56" t="s">
        <v>2277</v>
      </c>
      <c r="T676" s="56"/>
      <c r="U676" s="56"/>
      <c r="V676" s="33" t="s">
        <v>2456</v>
      </c>
      <c r="W676" s="94" t="s">
        <v>2457</v>
      </c>
      <c r="X676" s="94" t="s">
        <v>2474</v>
      </c>
      <c r="Y676" s="51"/>
      <c r="Z676" s="51"/>
      <c r="AA676" s="33" t="s">
        <v>2459</v>
      </c>
      <c r="AB676" s="33" t="s">
        <v>2460</v>
      </c>
      <c r="AC676" s="33"/>
      <c r="AD676" s="33" t="s">
        <v>2254</v>
      </c>
      <c r="AE676" s="33"/>
      <c r="AF676" s="33" t="s">
        <v>2267</v>
      </c>
      <c r="AG676" s="33" t="s">
        <v>2461</v>
      </c>
      <c r="AH676" s="33"/>
      <c r="AI676" s="33"/>
      <c r="AJ676" s="33" t="s">
        <v>7425</v>
      </c>
      <c r="AK676" s="94"/>
      <c r="AL676" s="33" t="s">
        <v>7426</v>
      </c>
      <c r="AM676" s="33" t="s">
        <v>7427</v>
      </c>
      <c r="AN676" s="33" t="s">
        <v>2465</v>
      </c>
      <c r="AO676" s="51" t="s">
        <v>2538</v>
      </c>
      <c r="AP676" s="51" t="s">
        <v>207</v>
      </c>
      <c r="AQ676" s="33"/>
      <c r="AR676" s="54"/>
      <c r="AS676" s="54"/>
      <c r="AT676" s="54"/>
      <c r="AU676" s="54"/>
      <c r="AV676" s="54"/>
      <c r="AW676" s="54"/>
      <c r="AX676" s="54"/>
      <c r="AY676" s="54"/>
      <c r="AZ676" s="54"/>
      <c r="BA676" s="54"/>
      <c r="BB676" s="54"/>
      <c r="BC676" s="54"/>
      <c r="BD676" s="54" t="s">
        <v>2447</v>
      </c>
      <c r="BE676" s="54"/>
      <c r="BF676" s="54"/>
      <c r="BG676" s="54"/>
      <c r="BH676" s="54"/>
      <c r="BI676" s="54"/>
      <c r="BJ676" s="0"/>
      <c r="BK676" s="0"/>
      <c r="BL676" s="0"/>
      <c r="BM676" s="0"/>
      <c r="BN676" s="0"/>
      <c r="BO676" s="0"/>
      <c r="BP676"/>
      <c r="BQ676"/>
      <c r="BR676"/>
      <c r="BS676"/>
      <c r="BT676"/>
      <c r="BU676"/>
      <c r="BV676"/>
      <c r="BW676"/>
      <c r="BX676"/>
      <c r="BY676"/>
      <c r="BZ676"/>
      <c r="CA676"/>
      <c r="CB676"/>
    </row>
    <row r="677" ht="15.0" customHeight="true">
      <c r="A677" s="51" t="s">
        <v>2448</v>
      </c>
      <c r="B677" s="33"/>
      <c r="C677" s="33" t="s">
        <v>3555</v>
      </c>
      <c r="D677" s="33"/>
      <c r="E677" s="33" t="s">
        <v>7428</v>
      </c>
      <c r="F677" s="33"/>
      <c r="G677" s="55" t="s">
        <v>7429</v>
      </c>
      <c r="H677" s="33"/>
      <c r="I677" s="51" t="s">
        <v>7430</v>
      </c>
      <c r="J677" s="33"/>
      <c r="K677" s="51" t="s">
        <v>7431</v>
      </c>
      <c r="L677" s="33" t="s">
        <v>2454</v>
      </c>
      <c r="M677" s="55" t="s">
        <v>4722</v>
      </c>
      <c r="N677" s="55" t="s">
        <v>3100</v>
      </c>
      <c r="O677" s="33" t="s">
        <v>2272</v>
      </c>
      <c r="P677" s="33" t="s">
        <v>2251</v>
      </c>
      <c r="Q677" s="33"/>
      <c r="R677" s="33" t="s">
        <v>2263</v>
      </c>
      <c r="S677" s="56" t="s">
        <v>2277</v>
      </c>
      <c r="T677" s="56"/>
      <c r="U677" s="56"/>
      <c r="V677" s="33" t="s">
        <v>2456</v>
      </c>
      <c r="W677" s="94" t="s">
        <v>2457</v>
      </c>
      <c r="X677" s="94" t="s">
        <v>2458</v>
      </c>
      <c r="Y677" s="51"/>
      <c r="Z677" s="51"/>
      <c r="AA677" s="33" t="s">
        <v>2459</v>
      </c>
      <c r="AB677" s="33" t="s">
        <v>2460</v>
      </c>
      <c r="AC677" s="33"/>
      <c r="AD677" s="33" t="s">
        <v>2254</v>
      </c>
      <c r="AE677" s="33"/>
      <c r="AF677" s="33" t="s">
        <v>2267</v>
      </c>
      <c r="AG677" s="33" t="s">
        <v>2461</v>
      </c>
      <c r="AH677" s="33"/>
      <c r="AI677" s="33"/>
      <c r="AJ677" s="33" t="s">
        <v>7432</v>
      </c>
      <c r="AK677" s="94"/>
      <c r="AL677" s="33" t="s">
        <v>7433</v>
      </c>
      <c r="AM677" s="33"/>
      <c r="AN677" s="33" t="s">
        <v>2465</v>
      </c>
      <c r="AO677" s="51" t="s">
        <v>2478</v>
      </c>
      <c r="AP677" s="51" t="s">
        <v>207</v>
      </c>
      <c r="AQ677" s="33"/>
      <c r="AR677" s="54"/>
      <c r="AS677" s="54"/>
      <c r="AT677" s="54"/>
      <c r="AU677" s="54"/>
      <c r="AV677" s="54"/>
      <c r="AW677" s="54"/>
      <c r="AX677" s="54"/>
      <c r="AY677" s="54"/>
      <c r="AZ677" s="54"/>
      <c r="BA677" s="54"/>
      <c r="BB677" s="54"/>
      <c r="BC677" s="54"/>
      <c r="BD677" s="54" t="s">
        <v>4716</v>
      </c>
      <c r="BE677" s="54"/>
      <c r="BF677" s="54"/>
      <c r="BG677" s="54"/>
      <c r="BH677" s="54"/>
      <c r="BI677" s="54"/>
      <c r="BJ677" s="0"/>
      <c r="BK677" s="0"/>
      <c r="BL677" s="0"/>
      <c r="BM677" s="0"/>
      <c r="BN677" s="0"/>
      <c r="BO677" s="0"/>
      <c r="BP677"/>
      <c r="BQ677"/>
      <c r="BR677"/>
      <c r="BS677"/>
      <c r="BT677"/>
      <c r="BU677"/>
      <c r="BV677"/>
      <c r="BW677"/>
      <c r="BX677"/>
      <c r="BY677"/>
      <c r="BZ677"/>
      <c r="CA677"/>
      <c r="CB677"/>
    </row>
    <row r="678" ht="15.0" customHeight="true">
      <c r="A678" s="51" t="s">
        <v>2448</v>
      </c>
      <c r="B678" s="33"/>
      <c r="C678" s="33" t="s">
        <v>7434</v>
      </c>
      <c r="D678" s="33"/>
      <c r="E678" s="33" t="s">
        <v>7435</v>
      </c>
      <c r="F678" s="33"/>
      <c r="G678" s="55" t="s">
        <v>7436</v>
      </c>
      <c r="H678" s="33"/>
      <c r="I678" s="51" t="s">
        <v>7437</v>
      </c>
      <c r="J678" s="33"/>
      <c r="K678" s="51" t="s">
        <v>7438</v>
      </c>
      <c r="L678" s="33" t="s">
        <v>2484</v>
      </c>
      <c r="M678" s="55" t="s">
        <v>3288</v>
      </c>
      <c r="N678" s="55"/>
      <c r="O678" s="33"/>
      <c r="P678" s="33" t="s">
        <v>2251</v>
      </c>
      <c r="Q678" s="33"/>
      <c r="R678" s="33" t="s">
        <v>2263</v>
      </c>
      <c r="S678" s="56" t="s">
        <v>2277</v>
      </c>
      <c r="T678" s="56"/>
      <c r="U678" s="56"/>
      <c r="V678" s="33" t="s">
        <v>2456</v>
      </c>
      <c r="W678" s="94" t="s">
        <v>2457</v>
      </c>
      <c r="X678" s="94" t="s">
        <v>2474</v>
      </c>
      <c r="Y678" s="51"/>
      <c r="Z678" s="51"/>
      <c r="AA678" s="33" t="s">
        <v>2459</v>
      </c>
      <c r="AB678" s="33" t="s">
        <v>2460</v>
      </c>
      <c r="AC678" s="33" t="s">
        <v>2486</v>
      </c>
      <c r="AD678" s="33" t="s">
        <v>2254</v>
      </c>
      <c r="AE678" s="33"/>
      <c r="AF678" s="33" t="s">
        <v>2267</v>
      </c>
      <c r="AG678" s="33" t="s">
        <v>2461</v>
      </c>
      <c r="AH678" s="33"/>
      <c r="AI678" s="33"/>
      <c r="AJ678" s="33" t="s">
        <v>7439</v>
      </c>
      <c r="AK678" s="94"/>
      <c r="AL678" s="33" t="s">
        <v>3890</v>
      </c>
      <c r="AM678" s="33" t="s">
        <v>3891</v>
      </c>
      <c r="AN678" s="33" t="s">
        <v>2465</v>
      </c>
      <c r="AO678" s="51" t="s">
        <v>2466</v>
      </c>
      <c r="AP678" s="51" t="s">
        <v>207</v>
      </c>
      <c r="AQ678" s="33"/>
      <c r="AR678" s="54"/>
      <c r="AS678" s="54"/>
      <c r="AT678" s="54"/>
      <c r="AU678" s="54"/>
      <c r="AV678" s="54"/>
      <c r="AW678" s="54"/>
      <c r="AX678" s="54"/>
      <c r="AY678" s="54"/>
      <c r="AZ678" s="54"/>
      <c r="BA678" s="54"/>
      <c r="BB678" s="54"/>
      <c r="BC678" s="54"/>
      <c r="BD678" s="54" t="s">
        <v>2447</v>
      </c>
      <c r="BE678" s="54"/>
      <c r="BF678" s="54"/>
      <c r="BG678" s="54"/>
      <c r="BH678" s="54"/>
      <c r="BI678" s="54"/>
      <c r="BJ678" s="0"/>
      <c r="BK678" s="0"/>
      <c r="BL678" s="0"/>
      <c r="BM678" s="0"/>
      <c r="BN678" s="0"/>
      <c r="BO678" s="0"/>
      <c r="BP678"/>
      <c r="BQ678"/>
      <c r="BR678"/>
      <c r="BS678"/>
      <c r="BT678"/>
      <c r="BU678"/>
      <c r="BV678"/>
      <c r="BW678"/>
      <c r="BX678"/>
      <c r="BY678"/>
      <c r="BZ678"/>
      <c r="CA678"/>
      <c r="CB678"/>
    </row>
    <row r="679" ht="15.0" customHeight="true">
      <c r="A679" s="51" t="s">
        <v>2448</v>
      </c>
      <c r="B679" s="33"/>
      <c r="C679" s="33" t="s">
        <v>5031</v>
      </c>
      <c r="D679" s="33"/>
      <c r="E679" s="33" t="s">
        <v>7440</v>
      </c>
      <c r="F679" s="33"/>
      <c r="G679" s="55" t="s">
        <v>7441</v>
      </c>
      <c r="H679" s="33"/>
      <c r="I679" s="51" t="s">
        <v>7442</v>
      </c>
      <c r="J679" s="33"/>
      <c r="K679" s="51" t="s">
        <v>7443</v>
      </c>
      <c r="L679" s="33" t="s">
        <v>2484</v>
      </c>
      <c r="M679" s="55" t="s">
        <v>3240</v>
      </c>
      <c r="N679" s="55"/>
      <c r="O679" s="33"/>
      <c r="P679" s="33" t="s">
        <v>2251</v>
      </c>
      <c r="Q679" s="33"/>
      <c r="R679" s="33" t="s">
        <v>2263</v>
      </c>
      <c r="S679" s="56" t="s">
        <v>2277</v>
      </c>
      <c r="T679" s="56"/>
      <c r="U679" s="56"/>
      <c r="V679" s="33" t="s">
        <v>2456</v>
      </c>
      <c r="W679" s="94" t="s">
        <v>2457</v>
      </c>
      <c r="X679" s="94" t="s">
        <v>2474</v>
      </c>
      <c r="Y679" s="51"/>
      <c r="Z679" s="51"/>
      <c r="AA679" s="33" t="s">
        <v>2459</v>
      </c>
      <c r="AB679" s="33" t="s">
        <v>2460</v>
      </c>
      <c r="AC679" s="33" t="s">
        <v>2486</v>
      </c>
      <c r="AD679" s="33" t="s">
        <v>2254</v>
      </c>
      <c r="AE679" s="33"/>
      <c r="AF679" s="33" t="s">
        <v>2267</v>
      </c>
      <c r="AG679" s="33" t="s">
        <v>2461</v>
      </c>
      <c r="AH679" s="33"/>
      <c r="AI679" s="33"/>
      <c r="AJ679" s="33" t="s">
        <v>7444</v>
      </c>
      <c r="AK679" s="94"/>
      <c r="AL679" s="33" t="s">
        <v>7445</v>
      </c>
      <c r="AM679" s="33"/>
      <c r="AN679" s="33" t="s">
        <v>2588</v>
      </c>
      <c r="AO679" s="51" t="s">
        <v>2628</v>
      </c>
      <c r="AP679" s="51" t="s">
        <v>207</v>
      </c>
      <c r="AQ679" s="33"/>
      <c r="AR679" s="54"/>
      <c r="AS679" s="54"/>
      <c r="AT679" s="54"/>
      <c r="AU679" s="54"/>
      <c r="AV679" s="54"/>
      <c r="AW679" s="54"/>
      <c r="AX679" s="54"/>
      <c r="AY679" s="54"/>
      <c r="AZ679" s="54"/>
      <c r="BA679" s="54"/>
      <c r="BB679" s="54"/>
      <c r="BC679" s="54"/>
      <c r="BD679" s="54" t="s">
        <v>2447</v>
      </c>
      <c r="BE679" s="54"/>
      <c r="BF679" s="54"/>
      <c r="BG679" s="54"/>
      <c r="BH679" s="54"/>
      <c r="BI679" s="54"/>
      <c r="BJ679" s="0"/>
      <c r="BK679" s="0"/>
      <c r="BL679" s="0"/>
      <c r="BM679" s="0"/>
      <c r="BN679" s="0"/>
      <c r="BO679" s="0"/>
      <c r="BP679"/>
      <c r="BQ679"/>
      <c r="BR679"/>
      <c r="BS679"/>
      <c r="BT679"/>
      <c r="BU679"/>
      <c r="BV679"/>
      <c r="BW679"/>
      <c r="BX679"/>
      <c r="BY679"/>
      <c r="BZ679"/>
      <c r="CA679"/>
      <c r="CB679"/>
    </row>
    <row r="680" ht="15.0" customHeight="true">
      <c r="A680" s="51" t="s">
        <v>2448</v>
      </c>
      <c r="B680" s="33"/>
      <c r="C680" s="33" t="s">
        <v>7446</v>
      </c>
      <c r="D680" s="33"/>
      <c r="E680" s="33" t="s">
        <v>7447</v>
      </c>
      <c r="F680" s="33"/>
      <c r="G680" s="55" t="s">
        <v>7448</v>
      </c>
      <c r="H680" s="33"/>
      <c r="I680" s="51" t="s">
        <v>7449</v>
      </c>
      <c r="J680" s="33"/>
      <c r="K680" s="51" t="s">
        <v>7450</v>
      </c>
      <c r="L680" s="33" t="s">
        <v>2454</v>
      </c>
      <c r="M680" s="55" t="s">
        <v>6967</v>
      </c>
      <c r="N680" s="55" t="s">
        <v>3019</v>
      </c>
      <c r="O680" s="33" t="s">
        <v>2272</v>
      </c>
      <c r="P680" s="33" t="s">
        <v>2251</v>
      </c>
      <c r="Q680" s="33"/>
      <c r="R680" s="33" t="s">
        <v>2263</v>
      </c>
      <c r="S680" s="56" t="s">
        <v>2277</v>
      </c>
      <c r="T680" s="56"/>
      <c r="U680" s="56"/>
      <c r="V680" s="33" t="s">
        <v>2456</v>
      </c>
      <c r="W680" s="94" t="s">
        <v>2457</v>
      </c>
      <c r="X680" s="94" t="s">
        <v>2458</v>
      </c>
      <c r="Y680" s="51"/>
      <c r="Z680" s="51"/>
      <c r="AA680" s="33" t="s">
        <v>2459</v>
      </c>
      <c r="AB680" s="33" t="s">
        <v>2460</v>
      </c>
      <c r="AC680" s="33"/>
      <c r="AD680" s="33" t="s">
        <v>2254</v>
      </c>
      <c r="AE680" s="33"/>
      <c r="AF680" s="33" t="s">
        <v>2267</v>
      </c>
      <c r="AG680" s="33" t="s">
        <v>2461</v>
      </c>
      <c r="AH680" s="33"/>
      <c r="AI680" s="33"/>
      <c r="AJ680" s="33" t="s">
        <v>7451</v>
      </c>
      <c r="AK680" s="94"/>
      <c r="AL680" s="33" t="s">
        <v>7452</v>
      </c>
      <c r="AM680" s="33"/>
      <c r="AN680" s="33" t="s">
        <v>2465</v>
      </c>
      <c r="AO680" s="51" t="s">
        <v>2820</v>
      </c>
      <c r="AP680" s="51" t="s">
        <v>207</v>
      </c>
      <c r="AQ680" s="33"/>
      <c r="AR680" s="54"/>
      <c r="AS680" s="54"/>
      <c r="AT680" s="54"/>
      <c r="AU680" s="54"/>
      <c r="AV680" s="54"/>
      <c r="AW680" s="54"/>
      <c r="AX680" s="54"/>
      <c r="AY680" s="54"/>
      <c r="AZ680" s="54"/>
      <c r="BA680" s="54"/>
      <c r="BB680" s="54"/>
      <c r="BC680" s="54"/>
      <c r="BD680" s="54" t="s">
        <v>2447</v>
      </c>
      <c r="BE680" s="54"/>
      <c r="BF680" s="54"/>
      <c r="BG680" s="54"/>
      <c r="BH680" s="54"/>
      <c r="BI680" s="54"/>
      <c r="BJ680" s="0"/>
      <c r="BK680" s="0"/>
      <c r="BL680" s="0"/>
      <c r="BM680" s="0"/>
      <c r="BN680" s="0"/>
      <c r="BO680" s="0"/>
      <c r="BP680"/>
      <c r="BQ680"/>
      <c r="BR680"/>
      <c r="BS680"/>
      <c r="BT680"/>
      <c r="BU680"/>
      <c r="BV680"/>
      <c r="BW680"/>
      <c r="BX680"/>
      <c r="BY680"/>
      <c r="BZ680"/>
      <c r="CA680"/>
      <c r="CB680"/>
    </row>
    <row r="681" ht="15.0" customHeight="true">
      <c r="A681" s="51" t="s">
        <v>2448</v>
      </c>
      <c r="B681" s="33"/>
      <c r="C681" s="33" t="s">
        <v>2651</v>
      </c>
      <c r="D681" s="33"/>
      <c r="E681" s="33" t="s">
        <v>7453</v>
      </c>
      <c r="F681" s="33"/>
      <c r="G681" s="55" t="s">
        <v>7454</v>
      </c>
      <c r="H681" s="33"/>
      <c r="I681" s="51" t="s">
        <v>7455</v>
      </c>
      <c r="J681" s="33"/>
      <c r="K681" s="51" t="s">
        <v>7456</v>
      </c>
      <c r="L681" s="33" t="s">
        <v>2454</v>
      </c>
      <c r="M681" s="55" t="s">
        <v>4745</v>
      </c>
      <c r="N681" s="55" t="s">
        <v>2709</v>
      </c>
      <c r="O681" s="33" t="s">
        <v>2271</v>
      </c>
      <c r="P681" s="33" t="s">
        <v>2251</v>
      </c>
      <c r="Q681" s="33"/>
      <c r="R681" s="33" t="s">
        <v>2263</v>
      </c>
      <c r="S681" s="56" t="s">
        <v>2277</v>
      </c>
      <c r="T681" s="56"/>
      <c r="U681" s="56"/>
      <c r="V681" s="33" t="s">
        <v>4745</v>
      </c>
      <c r="W681" s="94" t="s">
        <v>2574</v>
      </c>
      <c r="X681" s="94" t="s">
        <v>2474</v>
      </c>
      <c r="Y681" s="51"/>
      <c r="Z681" s="51"/>
      <c r="AA681" s="33" t="s">
        <v>2459</v>
      </c>
      <c r="AB681" s="33" t="s">
        <v>2460</v>
      </c>
      <c r="AC681" s="33" t="s">
        <v>2486</v>
      </c>
      <c r="AD681" s="33" t="s">
        <v>2254</v>
      </c>
      <c r="AE681" s="33"/>
      <c r="AF681" s="33" t="s">
        <v>2267</v>
      </c>
      <c r="AG681" s="33" t="s">
        <v>2461</v>
      </c>
      <c r="AH681" s="33"/>
      <c r="AI681" s="33"/>
      <c r="AJ681" s="33" t="s">
        <v>7457</v>
      </c>
      <c r="AK681" s="94"/>
      <c r="AL681" s="33" t="s">
        <v>7458</v>
      </c>
      <c r="AM681" s="33"/>
      <c r="AN681" s="33" t="s">
        <v>2465</v>
      </c>
      <c r="AO681" s="51" t="s">
        <v>2478</v>
      </c>
      <c r="AP681" s="51" t="s">
        <v>207</v>
      </c>
      <c r="AQ681" s="33"/>
      <c r="AR681" s="54"/>
      <c r="AS681" s="54"/>
      <c r="AT681" s="54"/>
      <c r="AU681" s="54"/>
      <c r="AV681" s="54"/>
      <c r="AW681" s="54"/>
      <c r="AX681" s="54"/>
      <c r="AY681" s="54" t="s">
        <v>2269</v>
      </c>
      <c r="AZ681" s="54"/>
      <c r="BA681" s="54"/>
      <c r="BB681" s="54"/>
      <c r="BC681" s="54"/>
      <c r="BD681" s="54" t="s">
        <v>2447</v>
      </c>
      <c r="BE681" s="54"/>
      <c r="BF681" s="54"/>
      <c r="BG681" s="54"/>
      <c r="BH681" s="54"/>
      <c r="BI681" s="54"/>
      <c r="BJ681" s="0"/>
      <c r="BK681" s="0"/>
      <c r="BL681" s="0"/>
      <c r="BM681" s="0"/>
      <c r="BN681" s="0"/>
      <c r="BO681" s="0"/>
      <c r="BP681"/>
      <c r="BQ681"/>
      <c r="BR681"/>
      <c r="BS681"/>
      <c r="BT681"/>
      <c r="BU681"/>
      <c r="BV681"/>
      <c r="BW681"/>
      <c r="BX681"/>
      <c r="BY681"/>
      <c r="BZ681"/>
      <c r="CA681"/>
      <c r="CB681"/>
    </row>
    <row r="682" ht="15.0" customHeight="true">
      <c r="A682" s="51" t="s">
        <v>2448</v>
      </c>
      <c r="B682" s="33"/>
      <c r="C682" s="33" t="s">
        <v>7106</v>
      </c>
      <c r="D682" s="33"/>
      <c r="E682" s="33" t="s">
        <v>7459</v>
      </c>
      <c r="F682" s="33"/>
      <c r="G682" s="55" t="s">
        <v>7460</v>
      </c>
      <c r="H682" s="33"/>
      <c r="I682" s="51" t="s">
        <v>7461</v>
      </c>
      <c r="J682" s="33"/>
      <c r="K682" s="51" t="s">
        <v>7462</v>
      </c>
      <c r="L682" s="33" t="s">
        <v>2454</v>
      </c>
      <c r="M682" s="55" t="s">
        <v>4305</v>
      </c>
      <c r="N682" s="55" t="s">
        <v>4682</v>
      </c>
      <c r="O682" s="33" t="s">
        <v>2272</v>
      </c>
      <c r="P682" s="33" t="s">
        <v>2251</v>
      </c>
      <c r="Q682" s="33"/>
      <c r="R682" s="33" t="s">
        <v>2263</v>
      </c>
      <c r="S682" s="56" t="s">
        <v>2277</v>
      </c>
      <c r="T682" s="56"/>
      <c r="U682" s="56"/>
      <c r="V682" s="33" t="s">
        <v>2456</v>
      </c>
      <c r="W682" s="94" t="s">
        <v>2457</v>
      </c>
      <c r="X682" s="94" t="s">
        <v>2474</v>
      </c>
      <c r="Y682" s="51"/>
      <c r="Z682" s="51"/>
      <c r="AA682" s="33" t="s">
        <v>2459</v>
      </c>
      <c r="AB682" s="33" t="s">
        <v>2460</v>
      </c>
      <c r="AC682" s="33"/>
      <c r="AD682" s="33" t="s">
        <v>2254</v>
      </c>
      <c r="AE682" s="33"/>
      <c r="AF682" s="33" t="s">
        <v>2267</v>
      </c>
      <c r="AG682" s="33" t="s">
        <v>2461</v>
      </c>
      <c r="AH682" s="33"/>
      <c r="AI682" s="33"/>
      <c r="AJ682" s="33" t="s">
        <v>7463</v>
      </c>
      <c r="AK682" s="94"/>
      <c r="AL682" s="33" t="s">
        <v>7464</v>
      </c>
      <c r="AM682" s="33"/>
      <c r="AN682" s="33" t="s">
        <v>976</v>
      </c>
      <c r="AO682" s="51" t="s">
        <v>2673</v>
      </c>
      <c r="AP682" s="51" t="s">
        <v>207</v>
      </c>
      <c r="AQ682" s="33"/>
      <c r="AR682" s="54"/>
      <c r="AS682" s="54"/>
      <c r="AT682" s="54"/>
      <c r="AU682" s="54"/>
      <c r="AV682" s="54"/>
      <c r="AW682" s="54"/>
      <c r="AX682" s="54"/>
      <c r="AY682" s="54"/>
      <c r="AZ682" s="54"/>
      <c r="BA682" s="54"/>
      <c r="BB682" s="54"/>
      <c r="BC682" s="54"/>
      <c r="BD682" s="54" t="s">
        <v>2447</v>
      </c>
      <c r="BE682" s="54"/>
      <c r="BF682" s="54"/>
      <c r="BG682" s="54"/>
      <c r="BH682" s="54"/>
      <c r="BI682" s="54"/>
      <c r="BJ682" s="0"/>
      <c r="BK682" s="0"/>
      <c r="BL682" s="0"/>
      <c r="BM682" s="0"/>
      <c r="BN682" s="0"/>
      <c r="BO682" s="0"/>
      <c r="BP682"/>
      <c r="BQ682"/>
      <c r="BR682"/>
      <c r="BS682"/>
      <c r="BT682"/>
      <c r="BU682"/>
      <c r="BV682"/>
      <c r="BW682"/>
      <c r="BX682"/>
      <c r="BY682"/>
      <c r="BZ682"/>
      <c r="CA682"/>
      <c r="CB682"/>
    </row>
    <row r="683" ht="15.0" customHeight="true">
      <c r="A683" s="51" t="s">
        <v>2448</v>
      </c>
      <c r="B683" s="33"/>
      <c r="C683" s="33" t="s">
        <v>7465</v>
      </c>
      <c r="D683" s="33"/>
      <c r="E683" s="33" t="s">
        <v>7466</v>
      </c>
      <c r="F683" s="33"/>
      <c r="G683" s="55" t="s">
        <v>7467</v>
      </c>
      <c r="H683" s="33"/>
      <c r="I683" s="51" t="s">
        <v>7468</v>
      </c>
      <c r="J683" s="33"/>
      <c r="K683" s="51" t="s">
        <v>7469</v>
      </c>
      <c r="L683" s="33" t="s">
        <v>2454</v>
      </c>
      <c r="M683" s="55" t="s">
        <v>3852</v>
      </c>
      <c r="N683" s="55" t="s">
        <v>2937</v>
      </c>
      <c r="O683" s="33" t="s">
        <v>2272</v>
      </c>
      <c r="P683" s="33" t="s">
        <v>2251</v>
      </c>
      <c r="Q683" s="33"/>
      <c r="R683" s="33" t="s">
        <v>2263</v>
      </c>
      <c r="S683" s="56" t="s">
        <v>2277</v>
      </c>
      <c r="T683" s="56"/>
      <c r="U683" s="56"/>
      <c r="V683" s="33" t="s">
        <v>2456</v>
      </c>
      <c r="W683" s="94" t="s">
        <v>2457</v>
      </c>
      <c r="X683" s="94" t="s">
        <v>2474</v>
      </c>
      <c r="Y683" s="51"/>
      <c r="Z683" s="51"/>
      <c r="AA683" s="33" t="s">
        <v>2459</v>
      </c>
      <c r="AB683" s="33" t="s">
        <v>2460</v>
      </c>
      <c r="AC683" s="33"/>
      <c r="AD683" s="33" t="s">
        <v>2254</v>
      </c>
      <c r="AE683" s="33"/>
      <c r="AF683" s="33" t="s">
        <v>2267</v>
      </c>
      <c r="AG683" s="33" t="s">
        <v>2461</v>
      </c>
      <c r="AH683" s="33"/>
      <c r="AI683" s="33"/>
      <c r="AJ683" s="33" t="s">
        <v>7470</v>
      </c>
      <c r="AK683" s="94"/>
      <c r="AL683" s="33" t="s">
        <v>7471</v>
      </c>
      <c r="AM683" s="33"/>
      <c r="AN683" s="33" t="s">
        <v>4839</v>
      </c>
      <c r="AO683" s="51" t="s">
        <v>4840</v>
      </c>
      <c r="AP683" s="51" t="s">
        <v>207</v>
      </c>
      <c r="AQ683" s="33"/>
      <c r="AR683" s="54"/>
      <c r="AS683" s="54"/>
      <c r="AT683" s="54"/>
      <c r="AU683" s="54"/>
      <c r="AV683" s="54"/>
      <c r="AW683" s="54"/>
      <c r="AX683" s="54"/>
      <c r="AY683" s="54"/>
      <c r="AZ683" s="54"/>
      <c r="BA683" s="54"/>
      <c r="BB683" s="54"/>
      <c r="BC683" s="54"/>
      <c r="BD683" s="54" t="s">
        <v>2447</v>
      </c>
      <c r="BE683" s="54"/>
      <c r="BF683" s="54"/>
      <c r="BG683" s="54"/>
      <c r="BH683" s="54"/>
      <c r="BI683" s="54"/>
      <c r="BJ683" s="0"/>
      <c r="BK683" s="0"/>
      <c r="BL683" s="0"/>
      <c r="BM683" s="0"/>
      <c r="BN683" s="0"/>
      <c r="BO683" s="0"/>
      <c r="BP683"/>
      <c r="BQ683"/>
      <c r="BR683"/>
      <c r="BS683"/>
      <c r="BT683"/>
      <c r="BU683"/>
      <c r="BV683"/>
      <c r="BW683"/>
      <c r="BX683"/>
      <c r="BY683"/>
      <c r="BZ683"/>
      <c r="CA683"/>
      <c r="CB683"/>
    </row>
    <row r="684" ht="15.0" customHeight="true">
      <c r="A684" s="51" t="s">
        <v>2448</v>
      </c>
      <c r="B684" s="33"/>
      <c r="C684" s="33" t="s">
        <v>7472</v>
      </c>
      <c r="D684" s="33"/>
      <c r="E684" s="33" t="s">
        <v>7473</v>
      </c>
      <c r="F684" s="33"/>
      <c r="G684" s="55" t="s">
        <v>7474</v>
      </c>
      <c r="H684" s="33"/>
      <c r="I684" s="51" t="s">
        <v>7475</v>
      </c>
      <c r="J684" s="33"/>
      <c r="K684" s="51" t="s">
        <v>7476</v>
      </c>
      <c r="L684" s="33" t="s">
        <v>2454</v>
      </c>
      <c r="M684" s="55" t="s">
        <v>7477</v>
      </c>
      <c r="N684" s="55" t="s">
        <v>3167</v>
      </c>
      <c r="O684" s="33" t="s">
        <v>2276</v>
      </c>
      <c r="P684" s="33" t="s">
        <v>2251</v>
      </c>
      <c r="Q684" s="33"/>
      <c r="R684" s="33" t="s">
        <v>2263</v>
      </c>
      <c r="S684" s="56" t="s">
        <v>2277</v>
      </c>
      <c r="T684" s="56"/>
      <c r="U684" s="56"/>
      <c r="V684" s="33" t="s">
        <v>7477</v>
      </c>
      <c r="W684" s="94" t="s">
        <v>2574</v>
      </c>
      <c r="X684" s="94" t="s">
        <v>3535</v>
      </c>
      <c r="Y684" s="51"/>
      <c r="Z684" s="51"/>
      <c r="AA684" s="33" t="s">
        <v>2459</v>
      </c>
      <c r="AB684" s="33" t="s">
        <v>2460</v>
      </c>
      <c r="AC684" s="33" t="s">
        <v>2486</v>
      </c>
      <c r="AD684" s="33" t="s">
        <v>2254</v>
      </c>
      <c r="AE684" s="33"/>
      <c r="AF684" s="33" t="s">
        <v>2267</v>
      </c>
      <c r="AG684" s="33" t="s">
        <v>2461</v>
      </c>
      <c r="AH684" s="33"/>
      <c r="AI684" s="33"/>
      <c r="AJ684" s="33" t="s">
        <v>7478</v>
      </c>
      <c r="AK684" s="94"/>
      <c r="AL684" s="33" t="s">
        <v>7479</v>
      </c>
      <c r="AM684" s="33" t="s">
        <v>7480</v>
      </c>
      <c r="AN684" s="33" t="s">
        <v>2465</v>
      </c>
      <c r="AO684" s="51" t="s">
        <v>2618</v>
      </c>
      <c r="AP684" s="51" t="s">
        <v>207</v>
      </c>
      <c r="AQ684" s="33"/>
      <c r="AR684" s="54"/>
      <c r="AS684" s="54"/>
      <c r="AT684" s="54"/>
      <c r="AU684" s="54"/>
      <c r="AV684" s="54"/>
      <c r="AW684" s="54"/>
      <c r="AX684" s="54"/>
      <c r="AY684" s="54" t="s">
        <v>2269</v>
      </c>
      <c r="AZ684" s="54"/>
      <c r="BA684" s="54"/>
      <c r="BB684" s="54"/>
      <c r="BC684" s="54"/>
      <c r="BD684" s="54" t="s">
        <v>2447</v>
      </c>
      <c r="BE684" s="54"/>
      <c r="BF684" s="54"/>
      <c r="BG684" s="54"/>
      <c r="BH684" s="54"/>
      <c r="BI684" s="54"/>
      <c r="BJ684" s="0"/>
      <c r="BK684" s="0"/>
      <c r="BL684" s="0"/>
      <c r="BM684" s="0"/>
      <c r="BN684" s="0"/>
      <c r="BO684" s="0"/>
      <c r="BP684"/>
      <c r="BQ684"/>
      <c r="BR684"/>
      <c r="BS684"/>
      <c r="BT684"/>
      <c r="BU684"/>
      <c r="BV684"/>
      <c r="BW684"/>
      <c r="BX684"/>
      <c r="BY684"/>
      <c r="BZ684"/>
      <c r="CA684"/>
      <c r="CB684"/>
    </row>
    <row r="685" ht="15.0" customHeight="true">
      <c r="A685" s="51" t="s">
        <v>2448</v>
      </c>
      <c r="B685" s="33"/>
      <c r="C685" s="33" t="s">
        <v>7481</v>
      </c>
      <c r="D685" s="33"/>
      <c r="E685" s="33" t="s">
        <v>7482</v>
      </c>
      <c r="F685" s="33"/>
      <c r="G685" s="55" t="s">
        <v>7483</v>
      </c>
      <c r="H685" s="33"/>
      <c r="I685" s="51" t="s">
        <v>7484</v>
      </c>
      <c r="J685" s="33"/>
      <c r="K685" s="51" t="s">
        <v>7485</v>
      </c>
      <c r="L685" s="33" t="s">
        <v>2454</v>
      </c>
      <c r="M685" s="55" t="s">
        <v>3167</v>
      </c>
      <c r="N685" s="55" t="s">
        <v>3167</v>
      </c>
      <c r="O685" s="33" t="s">
        <v>2272</v>
      </c>
      <c r="P685" s="33" t="s">
        <v>2251</v>
      </c>
      <c r="Q685" s="33"/>
      <c r="R685" s="33" t="s">
        <v>2263</v>
      </c>
      <c r="S685" s="56" t="s">
        <v>2277</v>
      </c>
      <c r="T685" s="56"/>
      <c r="U685" s="56"/>
      <c r="V685" s="33" t="s">
        <v>2456</v>
      </c>
      <c r="W685" s="94" t="s">
        <v>2457</v>
      </c>
      <c r="X685" s="94" t="s">
        <v>2458</v>
      </c>
      <c r="Y685" s="51"/>
      <c r="Z685" s="51"/>
      <c r="AA685" s="33" t="s">
        <v>2459</v>
      </c>
      <c r="AB685" s="33" t="s">
        <v>2460</v>
      </c>
      <c r="AC685" s="33"/>
      <c r="AD685" s="33" t="s">
        <v>2254</v>
      </c>
      <c r="AE685" s="33"/>
      <c r="AF685" s="33" t="s">
        <v>2267</v>
      </c>
      <c r="AG685" s="33" t="s">
        <v>2461</v>
      </c>
      <c r="AH685" s="33"/>
      <c r="AI685" s="33"/>
      <c r="AJ685" s="33" t="s">
        <v>7486</v>
      </c>
      <c r="AK685" s="94"/>
      <c r="AL685" s="33" t="s">
        <v>7487</v>
      </c>
      <c r="AM685" s="33"/>
      <c r="AN685" s="33" t="s">
        <v>2588</v>
      </c>
      <c r="AO685" s="51" t="s">
        <v>2589</v>
      </c>
      <c r="AP685" s="51" t="s">
        <v>207</v>
      </c>
      <c r="AQ685" s="33"/>
      <c r="AR685" s="54"/>
      <c r="AS685" s="54"/>
      <c r="AT685" s="54"/>
      <c r="AU685" s="54"/>
      <c r="AV685" s="54"/>
      <c r="AW685" s="54"/>
      <c r="AX685" s="54"/>
      <c r="AY685" s="54"/>
      <c r="AZ685" s="54"/>
      <c r="BA685" s="54"/>
      <c r="BB685" s="54"/>
      <c r="BC685" s="54"/>
      <c r="BD685" s="54" t="s">
        <v>2447</v>
      </c>
      <c r="BE685" s="54"/>
      <c r="BF685" s="54"/>
      <c r="BG685" s="54"/>
      <c r="BH685" s="54"/>
      <c r="BI685" s="54"/>
      <c r="BJ685" s="0"/>
      <c r="BK685" s="0"/>
      <c r="BL685" s="0"/>
      <c r="BM685" s="0"/>
      <c r="BN685" s="0"/>
      <c r="BO685" s="0"/>
      <c r="BP685"/>
      <c r="BQ685"/>
      <c r="BR685"/>
      <c r="BS685"/>
      <c r="BT685"/>
      <c r="BU685"/>
      <c r="BV685"/>
      <c r="BW685"/>
      <c r="BX685"/>
      <c r="BY685"/>
      <c r="BZ685"/>
      <c r="CA685"/>
      <c r="CB685"/>
    </row>
    <row r="686" ht="15.0" customHeight="true">
      <c r="A686" s="51" t="s">
        <v>2448</v>
      </c>
      <c r="B686" s="33"/>
      <c r="C686" s="33" t="s">
        <v>5274</v>
      </c>
      <c r="D686" s="33"/>
      <c r="E686" s="33" t="s">
        <v>7488</v>
      </c>
      <c r="F686" s="33"/>
      <c r="G686" s="55" t="s">
        <v>7489</v>
      </c>
      <c r="H686" s="33"/>
      <c r="I686" s="51" t="s">
        <v>7490</v>
      </c>
      <c r="J686" s="33"/>
      <c r="K686" s="51" t="s">
        <v>7491</v>
      </c>
      <c r="L686" s="33" t="s">
        <v>2484</v>
      </c>
      <c r="M686" s="55" t="s">
        <v>2573</v>
      </c>
      <c r="N686" s="55"/>
      <c r="O686" s="33"/>
      <c r="P686" s="33" t="s">
        <v>2251</v>
      </c>
      <c r="Q686" s="33"/>
      <c r="R686" s="33" t="s">
        <v>2263</v>
      </c>
      <c r="S686" s="56" t="s">
        <v>2277</v>
      </c>
      <c r="T686" s="56"/>
      <c r="U686" s="56"/>
      <c r="V686" s="33" t="s">
        <v>2456</v>
      </c>
      <c r="W686" s="94" t="s">
        <v>2457</v>
      </c>
      <c r="X686" s="94" t="s">
        <v>2474</v>
      </c>
      <c r="Y686" s="51"/>
      <c r="Z686" s="51"/>
      <c r="AA686" s="33" t="s">
        <v>2459</v>
      </c>
      <c r="AB686" s="33" t="s">
        <v>2460</v>
      </c>
      <c r="AC686" s="33" t="s">
        <v>2486</v>
      </c>
      <c r="AD686" s="33" t="s">
        <v>2254</v>
      </c>
      <c r="AE686" s="33"/>
      <c r="AF686" s="33" t="s">
        <v>2267</v>
      </c>
      <c r="AG686" s="33" t="s">
        <v>2461</v>
      </c>
      <c r="AH686" s="33"/>
      <c r="AI686" s="33"/>
      <c r="AJ686" s="33" t="s">
        <v>7492</v>
      </c>
      <c r="AK686" s="94"/>
      <c r="AL686" s="33" t="s">
        <v>4829</v>
      </c>
      <c r="AM686" s="33" t="s">
        <v>7493</v>
      </c>
      <c r="AN686" s="33" t="s">
        <v>2465</v>
      </c>
      <c r="AO686" s="51" t="s">
        <v>2478</v>
      </c>
      <c r="AP686" s="51" t="s">
        <v>207</v>
      </c>
      <c r="AQ686" s="33"/>
      <c r="AR686" s="54"/>
      <c r="AS686" s="54"/>
      <c r="AT686" s="54"/>
      <c r="AU686" s="54"/>
      <c r="AV686" s="54"/>
      <c r="AW686" s="54"/>
      <c r="AX686" s="54"/>
      <c r="AY686" s="54"/>
      <c r="AZ686" s="54"/>
      <c r="BA686" s="54"/>
      <c r="BB686" s="54"/>
      <c r="BC686" s="54"/>
      <c r="BD686" s="54" t="s">
        <v>2447</v>
      </c>
      <c r="BE686" s="54"/>
      <c r="BF686" s="54"/>
      <c r="BG686" s="54"/>
      <c r="BH686" s="54"/>
      <c r="BI686" s="54"/>
      <c r="BJ686" s="0"/>
      <c r="BK686" s="0"/>
      <c r="BL686" s="0"/>
      <c r="BM686" s="0"/>
      <c r="BN686" s="0"/>
      <c r="BO686" s="0"/>
      <c r="BP686"/>
      <c r="BQ686"/>
      <c r="BR686"/>
      <c r="BS686"/>
      <c r="BT686"/>
      <c r="BU686"/>
      <c r="BV686"/>
      <c r="BW686"/>
      <c r="BX686"/>
      <c r="BY686"/>
      <c r="BZ686"/>
      <c r="CA686"/>
      <c r="CB686"/>
    </row>
    <row r="687" ht="15.0" customHeight="true">
      <c r="A687" s="51" t="s">
        <v>2448</v>
      </c>
      <c r="B687" s="33"/>
      <c r="C687" s="33" t="s">
        <v>1116</v>
      </c>
      <c r="D687" s="33" t="s">
        <v>7494</v>
      </c>
      <c r="E687" s="33" t="s">
        <v>7495</v>
      </c>
      <c r="F687" s="33"/>
      <c r="G687" s="55" t="s">
        <v>7496</v>
      </c>
      <c r="H687" s="33"/>
      <c r="I687" s="51" t="s">
        <v>7497</v>
      </c>
      <c r="J687" s="33"/>
      <c r="K687" s="51" t="s">
        <v>7498</v>
      </c>
      <c r="L687" s="33" t="s">
        <v>2454</v>
      </c>
      <c r="M687" s="55" t="s">
        <v>7499</v>
      </c>
      <c r="N687" s="55" t="s">
        <v>2606</v>
      </c>
      <c r="O687" s="33" t="s">
        <v>2271</v>
      </c>
      <c r="P687" s="33" t="s">
        <v>2251</v>
      </c>
      <c r="Q687" s="33"/>
      <c r="R687" s="33" t="s">
        <v>2263</v>
      </c>
      <c r="S687" s="56" t="s">
        <v>2277</v>
      </c>
      <c r="T687" s="56"/>
      <c r="U687" s="56"/>
      <c r="V687" s="33" t="s">
        <v>7499</v>
      </c>
      <c r="W687" s="94" t="s">
        <v>2574</v>
      </c>
      <c r="X687" s="94" t="s">
        <v>2458</v>
      </c>
      <c r="Y687" s="51"/>
      <c r="Z687" s="51"/>
      <c r="AA687" s="33" t="s">
        <v>2459</v>
      </c>
      <c r="AB687" s="33" t="s">
        <v>2460</v>
      </c>
      <c r="AC687" s="33" t="s">
        <v>2486</v>
      </c>
      <c r="AD687" s="33" t="s">
        <v>2254</v>
      </c>
      <c r="AE687" s="33"/>
      <c r="AF687" s="33" t="s">
        <v>2267</v>
      </c>
      <c r="AG687" s="33" t="s">
        <v>2461</v>
      </c>
      <c r="AH687" s="33"/>
      <c r="AI687" s="33"/>
      <c r="AJ687" s="33" t="s">
        <v>7500</v>
      </c>
      <c r="AK687" s="94"/>
      <c r="AL687" s="33" t="s">
        <v>7501</v>
      </c>
      <c r="AM687" s="33"/>
      <c r="AN687" s="33" t="s">
        <v>2588</v>
      </c>
      <c r="AO687" s="51" t="s">
        <v>2589</v>
      </c>
      <c r="AP687" s="51" t="s">
        <v>207</v>
      </c>
      <c r="AQ687" s="33"/>
      <c r="AR687" s="54"/>
      <c r="AS687" s="54"/>
      <c r="AT687" s="54"/>
      <c r="AU687" s="54"/>
      <c r="AV687" s="54"/>
      <c r="AW687" s="54"/>
      <c r="AX687" s="54"/>
      <c r="AY687" s="54" t="s">
        <v>2269</v>
      </c>
      <c r="AZ687" s="54"/>
      <c r="BA687" s="54" t="s">
        <v>3747</v>
      </c>
      <c r="BB687" s="54"/>
      <c r="BC687" s="54"/>
      <c r="BD687" s="54" t="s">
        <v>2447</v>
      </c>
      <c r="BE687" s="54"/>
      <c r="BF687" s="54"/>
      <c r="BG687" s="54"/>
      <c r="BH687" s="54"/>
      <c r="BI687" s="54"/>
      <c r="BJ687" s="0"/>
      <c r="BK687" s="0"/>
      <c r="BL687" s="0"/>
      <c r="BM687" s="0"/>
      <c r="BN687" s="0"/>
      <c r="BO687" s="0"/>
      <c r="BP687"/>
      <c r="BQ687"/>
      <c r="BR687"/>
      <c r="BS687"/>
      <c r="BT687"/>
      <c r="BU687"/>
      <c r="BV687"/>
      <c r="BW687"/>
      <c r="BX687"/>
      <c r="BY687"/>
      <c r="BZ687"/>
      <c r="CA687"/>
      <c r="CB687"/>
    </row>
    <row r="688" ht="15.0" customHeight="true">
      <c r="A688" s="51" t="s">
        <v>2448</v>
      </c>
      <c r="B688" s="33"/>
      <c r="C688" s="33" t="s">
        <v>7502</v>
      </c>
      <c r="D688" s="33"/>
      <c r="E688" s="33" t="s">
        <v>5427</v>
      </c>
      <c r="F688" s="33"/>
      <c r="G688" s="55" t="s">
        <v>7503</v>
      </c>
      <c r="H688" s="33"/>
      <c r="I688" s="51" t="s">
        <v>7504</v>
      </c>
      <c r="J688" s="33"/>
      <c r="K688" s="51" t="s">
        <v>7505</v>
      </c>
      <c r="L688" s="33" t="s">
        <v>2454</v>
      </c>
      <c r="M688" s="55" t="s">
        <v>2850</v>
      </c>
      <c r="N688" s="55" t="s">
        <v>4573</v>
      </c>
      <c r="O688" s="33" t="s">
        <v>2272</v>
      </c>
      <c r="P688" s="33" t="s">
        <v>2251</v>
      </c>
      <c r="Q688" s="33"/>
      <c r="R688" s="33" t="s">
        <v>2263</v>
      </c>
      <c r="S688" s="56" t="s">
        <v>2277</v>
      </c>
      <c r="T688" s="56"/>
      <c r="U688" s="56"/>
      <c r="V688" s="33" t="s">
        <v>2456</v>
      </c>
      <c r="W688" s="94" t="s">
        <v>2457</v>
      </c>
      <c r="X688" s="94" t="s">
        <v>2458</v>
      </c>
      <c r="Y688" s="51"/>
      <c r="Z688" s="51"/>
      <c r="AA688" s="33" t="s">
        <v>2459</v>
      </c>
      <c r="AB688" s="33" t="s">
        <v>2460</v>
      </c>
      <c r="AC688" s="33"/>
      <c r="AD688" s="33" t="s">
        <v>2254</v>
      </c>
      <c r="AE688" s="33"/>
      <c r="AF688" s="33" t="s">
        <v>2267</v>
      </c>
      <c r="AG688" s="33" t="s">
        <v>2461</v>
      </c>
      <c r="AH688" s="33"/>
      <c r="AI688" s="33"/>
      <c r="AJ688" s="33" t="s">
        <v>7506</v>
      </c>
      <c r="AK688" s="94"/>
      <c r="AL688" s="33" t="s">
        <v>7507</v>
      </c>
      <c r="AM688" s="33"/>
      <c r="AN688" s="33" t="s">
        <v>2465</v>
      </c>
      <c r="AO688" s="51" t="s">
        <v>2489</v>
      </c>
      <c r="AP688" s="51" t="s">
        <v>207</v>
      </c>
      <c r="AQ688" s="33"/>
      <c r="AR688" s="54"/>
      <c r="AS688" s="54"/>
      <c r="AT688" s="54"/>
      <c r="AU688" s="54"/>
      <c r="AV688" s="54"/>
      <c r="AW688" s="54"/>
      <c r="AX688" s="54"/>
      <c r="AY688" s="54"/>
      <c r="AZ688" s="54"/>
      <c r="BA688" s="54"/>
      <c r="BB688" s="54"/>
      <c r="BC688" s="54"/>
      <c r="BD688" s="54" t="s">
        <v>2447</v>
      </c>
      <c r="BE688" s="54"/>
      <c r="BF688" s="54"/>
      <c r="BG688" s="54"/>
      <c r="BH688" s="54"/>
      <c r="BI688" s="54"/>
      <c r="BJ688" s="0"/>
      <c r="BK688" s="0"/>
      <c r="BL688" s="0"/>
      <c r="BM688" s="0"/>
      <c r="BN688" s="0"/>
      <c r="BO688" s="0"/>
      <c r="BP688"/>
      <c r="BQ688"/>
      <c r="BR688"/>
      <c r="BS688"/>
      <c r="BT688"/>
      <c r="BU688"/>
      <c r="BV688"/>
      <c r="BW688"/>
      <c r="BX688"/>
      <c r="BY688"/>
      <c r="BZ688"/>
      <c r="CA688"/>
      <c r="CB688"/>
    </row>
    <row r="689" ht="15.0" customHeight="true">
      <c r="A689" s="51" t="s">
        <v>2448</v>
      </c>
      <c r="B689" s="33"/>
      <c r="C689" s="33" t="s">
        <v>4014</v>
      </c>
      <c r="D689" s="33"/>
      <c r="E689" s="33" t="s">
        <v>7508</v>
      </c>
      <c r="F689" s="33"/>
      <c r="G689" s="55" t="s">
        <v>4474</v>
      </c>
      <c r="H689" s="33"/>
      <c r="I689" s="51" t="s">
        <v>7509</v>
      </c>
      <c r="J689" s="33"/>
      <c r="K689" s="51" t="s">
        <v>7510</v>
      </c>
      <c r="L689" s="33" t="s">
        <v>2454</v>
      </c>
      <c r="M689" s="55" t="s">
        <v>2573</v>
      </c>
      <c r="N689" s="55" t="s">
        <v>3367</v>
      </c>
      <c r="O689" s="33" t="s">
        <v>2272</v>
      </c>
      <c r="P689" s="33" t="s">
        <v>2251</v>
      </c>
      <c r="Q689" s="33"/>
      <c r="R689" s="33" t="s">
        <v>2263</v>
      </c>
      <c r="S689" s="56" t="s">
        <v>2277</v>
      </c>
      <c r="T689" s="56"/>
      <c r="U689" s="56"/>
      <c r="V689" s="33" t="s">
        <v>2456</v>
      </c>
      <c r="W689" s="94" t="s">
        <v>2457</v>
      </c>
      <c r="X689" s="94" t="s">
        <v>2474</v>
      </c>
      <c r="Y689" s="51"/>
      <c r="Z689" s="51"/>
      <c r="AA689" s="33" t="s">
        <v>2459</v>
      </c>
      <c r="AB689" s="33" t="s">
        <v>2460</v>
      </c>
      <c r="AC689" s="33"/>
      <c r="AD689" s="33" t="s">
        <v>2254</v>
      </c>
      <c r="AE689" s="33"/>
      <c r="AF689" s="33" t="s">
        <v>2267</v>
      </c>
      <c r="AG689" s="33" t="s">
        <v>2461</v>
      </c>
      <c r="AH689" s="33"/>
      <c r="AI689" s="33"/>
      <c r="AJ689" s="33" t="s">
        <v>7511</v>
      </c>
      <c r="AK689" s="94"/>
      <c r="AL689" s="33" t="s">
        <v>7512</v>
      </c>
      <c r="AM689" s="33"/>
      <c r="AN689" s="33" t="s">
        <v>2588</v>
      </c>
      <c r="AO689" s="51" t="s">
        <v>2589</v>
      </c>
      <c r="AP689" s="51" t="s">
        <v>207</v>
      </c>
      <c r="AQ689" s="33"/>
      <c r="AR689" s="54"/>
      <c r="AS689" s="54"/>
      <c r="AT689" s="54"/>
      <c r="AU689" s="54"/>
      <c r="AV689" s="54"/>
      <c r="AW689" s="54"/>
      <c r="AX689" s="54"/>
      <c r="AY689" s="54"/>
      <c r="AZ689" s="54"/>
      <c r="BA689" s="54"/>
      <c r="BB689" s="54"/>
      <c r="BC689" s="54"/>
      <c r="BD689" s="54" t="s">
        <v>2447</v>
      </c>
      <c r="BE689" s="54"/>
      <c r="BF689" s="54"/>
      <c r="BG689" s="54"/>
      <c r="BH689" s="54"/>
      <c r="BI689" s="54"/>
      <c r="BJ689" s="0"/>
      <c r="BK689" s="0"/>
      <c r="BL689" s="0"/>
      <c r="BM689" s="0"/>
      <c r="BN689" s="0"/>
      <c r="BO689" s="0"/>
      <c r="BP689"/>
      <c r="BQ689"/>
      <c r="BR689"/>
      <c r="BS689"/>
      <c r="BT689"/>
      <c r="BU689"/>
      <c r="BV689"/>
      <c r="BW689"/>
      <c r="BX689"/>
      <c r="BY689"/>
      <c r="BZ689"/>
      <c r="CA689"/>
      <c r="CB689"/>
    </row>
    <row r="690" ht="15.0" customHeight="true">
      <c r="A690" s="51" t="s">
        <v>2448</v>
      </c>
      <c r="B690" s="33"/>
      <c r="C690" s="33" t="s">
        <v>7513</v>
      </c>
      <c r="D690" s="33"/>
      <c r="E690" s="33" t="s">
        <v>7514</v>
      </c>
      <c r="F690" s="33"/>
      <c r="G690" s="55" t="s">
        <v>7515</v>
      </c>
      <c r="H690" s="33"/>
      <c r="I690" s="51" t="s">
        <v>7516</v>
      </c>
      <c r="J690" s="33"/>
      <c r="K690" s="51" t="s">
        <v>7517</v>
      </c>
      <c r="L690" s="33" t="s">
        <v>2454</v>
      </c>
      <c r="M690" s="55" t="s">
        <v>7518</v>
      </c>
      <c r="N690" s="55" t="s">
        <v>3879</v>
      </c>
      <c r="O690" s="33" t="s">
        <v>2272</v>
      </c>
      <c r="P690" s="33" t="s">
        <v>2251</v>
      </c>
      <c r="Q690" s="33"/>
      <c r="R690" s="33" t="s">
        <v>2263</v>
      </c>
      <c r="S690" s="56" t="s">
        <v>2277</v>
      </c>
      <c r="T690" s="56"/>
      <c r="U690" s="56"/>
      <c r="V690" s="33" t="s">
        <v>2456</v>
      </c>
      <c r="W690" s="94" t="s">
        <v>2457</v>
      </c>
      <c r="X690" s="94" t="s">
        <v>2458</v>
      </c>
      <c r="Y690" s="51"/>
      <c r="Z690" s="51"/>
      <c r="AA690" s="33" t="s">
        <v>2459</v>
      </c>
      <c r="AB690" s="33" t="s">
        <v>2460</v>
      </c>
      <c r="AC690" s="33"/>
      <c r="AD690" s="33" t="s">
        <v>2254</v>
      </c>
      <c r="AE690" s="33"/>
      <c r="AF690" s="33" t="s">
        <v>2267</v>
      </c>
      <c r="AG690" s="33" t="s">
        <v>2461</v>
      </c>
      <c r="AH690" s="33"/>
      <c r="AI690" s="33"/>
      <c r="AJ690" s="33" t="s">
        <v>7519</v>
      </c>
      <c r="AK690" s="94"/>
      <c r="AL690" s="33" t="s">
        <v>7520</v>
      </c>
      <c r="AM690" s="33"/>
      <c r="AN690" s="33" t="s">
        <v>2465</v>
      </c>
      <c r="AO690" s="51" t="s">
        <v>2466</v>
      </c>
      <c r="AP690" s="51" t="s">
        <v>207</v>
      </c>
      <c r="AQ690" s="33"/>
      <c r="AR690" s="54"/>
      <c r="AS690" s="54"/>
      <c r="AT690" s="54"/>
      <c r="AU690" s="54"/>
      <c r="AV690" s="54"/>
      <c r="AW690" s="54"/>
      <c r="AX690" s="54"/>
      <c r="AY690" s="54"/>
      <c r="AZ690" s="54"/>
      <c r="BA690" s="54"/>
      <c r="BB690" s="54"/>
      <c r="BC690" s="54"/>
      <c r="BD690" s="54" t="s">
        <v>2447</v>
      </c>
      <c r="BE690" s="54"/>
      <c r="BF690" s="54"/>
      <c r="BG690" s="54"/>
      <c r="BH690" s="54"/>
      <c r="BI690" s="54"/>
      <c r="BJ690" s="0"/>
      <c r="BK690" s="0"/>
      <c r="BL690" s="0"/>
      <c r="BM690" s="0"/>
      <c r="BN690" s="0"/>
      <c r="BO690" s="0"/>
      <c r="BP690"/>
      <c r="BQ690"/>
      <c r="BR690"/>
      <c r="BS690"/>
      <c r="BT690"/>
      <c r="BU690"/>
      <c r="BV690"/>
      <c r="BW690"/>
      <c r="BX690"/>
      <c r="BY690"/>
      <c r="BZ690"/>
      <c r="CA690"/>
      <c r="CB690"/>
    </row>
    <row r="691" ht="15.0" customHeight="true">
      <c r="A691" s="51" t="s">
        <v>2448</v>
      </c>
      <c r="B691" s="33"/>
      <c r="C691" s="33" t="s">
        <v>3816</v>
      </c>
      <c r="D691" s="33"/>
      <c r="E691" s="33" t="s">
        <v>7521</v>
      </c>
      <c r="F691" s="33"/>
      <c r="G691" s="55" t="s">
        <v>7522</v>
      </c>
      <c r="H691" s="33"/>
      <c r="I691" s="51" t="s">
        <v>7523</v>
      </c>
      <c r="J691" s="33"/>
      <c r="K691" s="51" t="s">
        <v>7524</v>
      </c>
      <c r="L691" s="33" t="s">
        <v>2454</v>
      </c>
      <c r="M691" s="55" t="s">
        <v>6967</v>
      </c>
      <c r="N691" s="55" t="s">
        <v>4462</v>
      </c>
      <c r="O691" s="33" t="s">
        <v>2271</v>
      </c>
      <c r="P691" s="33" t="s">
        <v>2251</v>
      </c>
      <c r="Q691" s="33"/>
      <c r="R691" s="33" t="s">
        <v>2263</v>
      </c>
      <c r="S691" s="56" t="s">
        <v>2277</v>
      </c>
      <c r="T691" s="56"/>
      <c r="U691" s="56"/>
      <c r="V691" s="33" t="s">
        <v>6967</v>
      </c>
      <c r="W691" s="94" t="s">
        <v>2574</v>
      </c>
      <c r="X691" s="94" t="s">
        <v>2458</v>
      </c>
      <c r="Y691" s="51"/>
      <c r="Z691" s="51"/>
      <c r="AA691" s="33" t="s">
        <v>2459</v>
      </c>
      <c r="AB691" s="33" t="s">
        <v>2460</v>
      </c>
      <c r="AC691" s="33" t="s">
        <v>2486</v>
      </c>
      <c r="AD691" s="33" t="s">
        <v>2254</v>
      </c>
      <c r="AE691" s="33"/>
      <c r="AF691" s="33" t="s">
        <v>2267</v>
      </c>
      <c r="AG691" s="33" t="s">
        <v>2461</v>
      </c>
      <c r="AH691" s="33"/>
      <c r="AI691" s="33"/>
      <c r="AJ691" s="33" t="s">
        <v>7525</v>
      </c>
      <c r="AK691" s="94"/>
      <c r="AL691" s="33" t="s">
        <v>7526</v>
      </c>
      <c r="AM691" s="33"/>
      <c r="AN691" s="33" t="s">
        <v>2588</v>
      </c>
      <c r="AO691" s="51" t="s">
        <v>2628</v>
      </c>
      <c r="AP691" s="51" t="s">
        <v>207</v>
      </c>
      <c r="AQ691" s="33"/>
      <c r="AR691" s="54"/>
      <c r="AS691" s="54"/>
      <c r="AT691" s="54"/>
      <c r="AU691" s="54"/>
      <c r="AV691" s="54"/>
      <c r="AW691" s="54"/>
      <c r="AX691" s="54"/>
      <c r="AY691" s="54" t="s">
        <v>2269</v>
      </c>
      <c r="AZ691" s="54"/>
      <c r="BA691" s="54"/>
      <c r="BB691" s="54"/>
      <c r="BC691" s="54"/>
      <c r="BD691" s="54" t="s">
        <v>2447</v>
      </c>
      <c r="BE691" s="54"/>
      <c r="BF691" s="54"/>
      <c r="BG691" s="54"/>
      <c r="BH691" s="54"/>
      <c r="BI691" s="54"/>
      <c r="BJ691" s="0"/>
      <c r="BK691" s="0"/>
      <c r="BL691" s="0"/>
      <c r="BM691" s="0"/>
      <c r="BN691" s="0"/>
      <c r="BO691" s="0"/>
      <c r="BP691"/>
      <c r="BQ691"/>
      <c r="BR691"/>
      <c r="BS691"/>
      <c r="BT691"/>
      <c r="BU691"/>
      <c r="BV691"/>
      <c r="BW691"/>
      <c r="BX691"/>
      <c r="BY691"/>
      <c r="BZ691"/>
      <c r="CA691"/>
      <c r="CB691"/>
    </row>
    <row r="692" ht="15.0" customHeight="true">
      <c r="A692" s="51" t="s">
        <v>2448</v>
      </c>
      <c r="B692" s="33"/>
      <c r="C692" s="33" t="s">
        <v>3060</v>
      </c>
      <c r="D692" s="33"/>
      <c r="E692" s="33" t="s">
        <v>3521</v>
      </c>
      <c r="F692" s="33"/>
      <c r="G692" s="55" t="s">
        <v>7527</v>
      </c>
      <c r="H692" s="33"/>
      <c r="I692" s="51" t="s">
        <v>7528</v>
      </c>
      <c r="J692" s="33"/>
      <c r="K692" s="51" t="s">
        <v>7529</v>
      </c>
      <c r="L692" s="33" t="s">
        <v>2454</v>
      </c>
      <c r="M692" s="55" t="s">
        <v>7530</v>
      </c>
      <c r="N692" s="55" t="s">
        <v>2835</v>
      </c>
      <c r="O692" s="33" t="s">
        <v>2272</v>
      </c>
      <c r="P692" s="33" t="s">
        <v>2251</v>
      </c>
      <c r="Q692" s="33"/>
      <c r="R692" s="33" t="s">
        <v>2263</v>
      </c>
      <c r="S692" s="56" t="s">
        <v>2277</v>
      </c>
      <c r="T692" s="56"/>
      <c r="U692" s="56"/>
      <c r="V692" s="33" t="s">
        <v>2456</v>
      </c>
      <c r="W692" s="94" t="s">
        <v>2457</v>
      </c>
      <c r="X692" s="94" t="s">
        <v>2474</v>
      </c>
      <c r="Y692" s="51"/>
      <c r="Z692" s="51"/>
      <c r="AA692" s="33" t="s">
        <v>2459</v>
      </c>
      <c r="AB692" s="33" t="s">
        <v>2460</v>
      </c>
      <c r="AC692" s="33"/>
      <c r="AD692" s="33" t="s">
        <v>2254</v>
      </c>
      <c r="AE692" s="33"/>
      <c r="AF692" s="33" t="s">
        <v>2267</v>
      </c>
      <c r="AG692" s="33" t="s">
        <v>2461</v>
      </c>
      <c r="AH692" s="33"/>
      <c r="AI692" s="33"/>
      <c r="AJ692" s="33" t="s">
        <v>7531</v>
      </c>
      <c r="AK692" s="94"/>
      <c r="AL692" s="33" t="s">
        <v>7532</v>
      </c>
      <c r="AM692" s="33" t="s">
        <v>7533</v>
      </c>
      <c r="AN692" s="33" t="s">
        <v>2465</v>
      </c>
      <c r="AO692" s="51" t="s">
        <v>2466</v>
      </c>
      <c r="AP692" s="51" t="s">
        <v>207</v>
      </c>
      <c r="AQ692" s="33"/>
      <c r="AR692" s="54"/>
      <c r="AS692" s="54"/>
      <c r="AT692" s="54"/>
      <c r="AU692" s="54"/>
      <c r="AV692" s="54"/>
      <c r="AW692" s="54"/>
      <c r="AX692" s="54"/>
      <c r="AY692" s="54"/>
      <c r="AZ692" s="54"/>
      <c r="BA692" s="54"/>
      <c r="BB692" s="54"/>
      <c r="BC692" s="54"/>
      <c r="BD692" s="54" t="s">
        <v>2447</v>
      </c>
      <c r="BE692" s="54"/>
      <c r="BF692" s="54"/>
      <c r="BG692" s="54"/>
      <c r="BH692" s="54"/>
      <c r="BI692" s="54"/>
      <c r="BJ692" s="0"/>
      <c r="BK692" s="0"/>
      <c r="BL692" s="0"/>
      <c r="BM692" s="0"/>
      <c r="BN692" s="0"/>
      <c r="BO692" s="0"/>
      <c r="BP692"/>
      <c r="BQ692"/>
      <c r="BR692"/>
      <c r="BS692"/>
      <c r="BT692"/>
      <c r="BU692"/>
      <c r="BV692"/>
      <c r="BW692"/>
      <c r="BX692"/>
      <c r="BY692"/>
      <c r="BZ692"/>
      <c r="CA692"/>
      <c r="CB692"/>
    </row>
    <row r="693" ht="15.0" customHeight="true">
      <c r="A693" s="51" t="s">
        <v>2448</v>
      </c>
      <c r="B693" s="33"/>
      <c r="C693" s="33" t="s">
        <v>5107</v>
      </c>
      <c r="D693" s="33"/>
      <c r="E693" s="33" t="s">
        <v>7534</v>
      </c>
      <c r="F693" s="33"/>
      <c r="G693" s="55" t="s">
        <v>7535</v>
      </c>
      <c r="H693" s="33"/>
      <c r="I693" s="51" t="s">
        <v>7536</v>
      </c>
      <c r="J693" s="33"/>
      <c r="K693" s="51" t="s">
        <v>7537</v>
      </c>
      <c r="L693" s="33" t="s">
        <v>2454</v>
      </c>
      <c r="M693" s="55" t="s">
        <v>3118</v>
      </c>
      <c r="N693" s="55" t="s">
        <v>5635</v>
      </c>
      <c r="O693" s="33" t="s">
        <v>2272</v>
      </c>
      <c r="P693" s="33" t="s">
        <v>2251</v>
      </c>
      <c r="Q693" s="33"/>
      <c r="R693" s="33" t="s">
        <v>2263</v>
      </c>
      <c r="S693" s="56" t="s">
        <v>2277</v>
      </c>
      <c r="T693" s="56"/>
      <c r="U693" s="56"/>
      <c r="V693" s="33" t="s">
        <v>2456</v>
      </c>
      <c r="W693" s="94" t="s">
        <v>2457</v>
      </c>
      <c r="X693" s="94" t="s">
        <v>2474</v>
      </c>
      <c r="Y693" s="51"/>
      <c r="Z693" s="51"/>
      <c r="AA693" s="33" t="s">
        <v>2459</v>
      </c>
      <c r="AB693" s="33" t="s">
        <v>2460</v>
      </c>
      <c r="AC693" s="33"/>
      <c r="AD693" s="33" t="s">
        <v>2254</v>
      </c>
      <c r="AE693" s="33"/>
      <c r="AF693" s="33" t="s">
        <v>2267</v>
      </c>
      <c r="AG693" s="33" t="s">
        <v>2461</v>
      </c>
      <c r="AH693" s="33"/>
      <c r="AI693" s="33"/>
      <c r="AJ693" s="33" t="s">
        <v>7538</v>
      </c>
      <c r="AK693" s="94"/>
      <c r="AL693" s="33" t="s">
        <v>7539</v>
      </c>
      <c r="AM693" s="33"/>
      <c r="AN693" s="33" t="s">
        <v>2577</v>
      </c>
      <c r="AO693" s="51" t="s">
        <v>2578</v>
      </c>
      <c r="AP693" s="51" t="s">
        <v>207</v>
      </c>
      <c r="AQ693" s="33"/>
      <c r="AR693" s="54"/>
      <c r="AS693" s="54"/>
      <c r="AT693" s="54"/>
      <c r="AU693" s="54"/>
      <c r="AV693" s="54"/>
      <c r="AW693" s="54"/>
      <c r="AX693" s="54"/>
      <c r="AY693" s="54"/>
      <c r="AZ693" s="54"/>
      <c r="BA693" s="54"/>
      <c r="BB693" s="54"/>
      <c r="BC693" s="54"/>
      <c r="BD693" s="54" t="s">
        <v>2447</v>
      </c>
      <c r="BE693" s="54"/>
      <c r="BF693" s="54"/>
      <c r="BG693" s="54"/>
      <c r="BH693" s="54"/>
      <c r="BI693" s="54"/>
      <c r="BJ693" s="0"/>
      <c r="BK693" s="0"/>
      <c r="BL693" s="0"/>
      <c r="BM693" s="0"/>
      <c r="BN693" s="0"/>
      <c r="BO693" s="0"/>
      <c r="BP693"/>
      <c r="BQ693"/>
      <c r="BR693"/>
      <c r="BS693"/>
      <c r="BT693"/>
      <c r="BU693"/>
      <c r="BV693"/>
      <c r="BW693"/>
      <c r="BX693"/>
      <c r="BY693"/>
      <c r="BZ693"/>
      <c r="CA693"/>
      <c r="CB693"/>
    </row>
    <row r="694" ht="15.0" customHeight="true">
      <c r="A694" s="51" t="s">
        <v>2448</v>
      </c>
      <c r="B694" s="33"/>
      <c r="C694" s="33" t="s">
        <v>7540</v>
      </c>
      <c r="D694" s="33"/>
      <c r="E694" s="33" t="s">
        <v>7541</v>
      </c>
      <c r="F694" s="33"/>
      <c r="G694" s="55" t="s">
        <v>7115</v>
      </c>
      <c r="H694" s="33"/>
      <c r="I694" s="51" t="s">
        <v>7542</v>
      </c>
      <c r="J694" s="33"/>
      <c r="K694" s="51" t="s">
        <v>7543</v>
      </c>
      <c r="L694" s="33" t="s">
        <v>2454</v>
      </c>
      <c r="M694" s="55" t="s">
        <v>7544</v>
      </c>
      <c r="N694" s="55" t="s">
        <v>3591</v>
      </c>
      <c r="O694" s="33" t="s">
        <v>2272</v>
      </c>
      <c r="P694" s="33" t="s">
        <v>2251</v>
      </c>
      <c r="Q694" s="33"/>
      <c r="R694" s="33" t="s">
        <v>2263</v>
      </c>
      <c r="S694" s="56" t="s">
        <v>2277</v>
      </c>
      <c r="T694" s="56"/>
      <c r="U694" s="56"/>
      <c r="V694" s="33" t="s">
        <v>2456</v>
      </c>
      <c r="W694" s="94" t="s">
        <v>2457</v>
      </c>
      <c r="X694" s="94" t="s">
        <v>2458</v>
      </c>
      <c r="Y694" s="51"/>
      <c r="Z694" s="51"/>
      <c r="AA694" s="33" t="s">
        <v>2459</v>
      </c>
      <c r="AB694" s="33" t="s">
        <v>2460</v>
      </c>
      <c r="AC694" s="33"/>
      <c r="AD694" s="33" t="s">
        <v>2254</v>
      </c>
      <c r="AE694" s="33"/>
      <c r="AF694" s="33" t="s">
        <v>2267</v>
      </c>
      <c r="AG694" s="33" t="s">
        <v>2461</v>
      </c>
      <c r="AH694" s="33"/>
      <c r="AI694" s="33"/>
      <c r="AJ694" s="33" t="s">
        <v>7545</v>
      </c>
      <c r="AK694" s="94"/>
      <c r="AL694" s="33" t="s">
        <v>2756</v>
      </c>
      <c r="AM694" s="33" t="s">
        <v>7546</v>
      </c>
      <c r="AN694" s="33" t="s">
        <v>2465</v>
      </c>
      <c r="AO694" s="51" t="s">
        <v>2618</v>
      </c>
      <c r="AP694" s="51" t="s">
        <v>207</v>
      </c>
      <c r="AQ694" s="33"/>
      <c r="AR694" s="54"/>
      <c r="AS694" s="54"/>
      <c r="AT694" s="54"/>
      <c r="AU694" s="54"/>
      <c r="AV694" s="54"/>
      <c r="AW694" s="54"/>
      <c r="AX694" s="54"/>
      <c r="AY694" s="54"/>
      <c r="AZ694" s="54"/>
      <c r="BA694" s="54"/>
      <c r="BB694" s="54"/>
      <c r="BC694" s="54"/>
      <c r="BD694" s="54" t="s">
        <v>2447</v>
      </c>
      <c r="BE694" s="54"/>
      <c r="BF694" s="54"/>
      <c r="BG694" s="54"/>
      <c r="BH694" s="54"/>
      <c r="BI694" s="54"/>
      <c r="BJ694" s="0"/>
      <c r="BK694" s="0"/>
      <c r="BL694" s="0"/>
      <c r="BM694" s="0"/>
      <c r="BN694" s="0"/>
      <c r="BO694" s="0"/>
      <c r="BP694"/>
      <c r="BQ694"/>
      <c r="BR694"/>
      <c r="BS694"/>
      <c r="BT694"/>
      <c r="BU694"/>
      <c r="BV694"/>
      <c r="BW694"/>
      <c r="BX694"/>
      <c r="BY694"/>
      <c r="BZ694"/>
      <c r="CA694"/>
      <c r="CB694"/>
    </row>
    <row r="695" ht="15.0" customHeight="true">
      <c r="A695" s="51" t="s">
        <v>2448</v>
      </c>
      <c r="B695" s="33"/>
      <c r="C695" s="33" t="s">
        <v>5929</v>
      </c>
      <c r="D695" s="33"/>
      <c r="E695" s="33" t="s">
        <v>3641</v>
      </c>
      <c r="F695" s="33"/>
      <c r="G695" s="55" t="s">
        <v>7547</v>
      </c>
      <c r="H695" s="33"/>
      <c r="I695" s="51" t="s">
        <v>7548</v>
      </c>
      <c r="J695" s="33"/>
      <c r="K695" s="51" t="s">
        <v>7549</v>
      </c>
      <c r="L695" s="33" t="s">
        <v>2454</v>
      </c>
      <c r="M695" s="55" t="s">
        <v>3110</v>
      </c>
      <c r="N695" s="55" t="s">
        <v>3110</v>
      </c>
      <c r="O695" s="33" t="s">
        <v>2272</v>
      </c>
      <c r="P695" s="33" t="s">
        <v>2251</v>
      </c>
      <c r="Q695" s="33"/>
      <c r="R695" s="33" t="s">
        <v>2263</v>
      </c>
      <c r="S695" s="56" t="s">
        <v>2277</v>
      </c>
      <c r="T695" s="56"/>
      <c r="U695" s="56"/>
      <c r="V695" s="33" t="s">
        <v>2456</v>
      </c>
      <c r="W695" s="94" t="s">
        <v>2457</v>
      </c>
      <c r="X695" s="94" t="s">
        <v>2458</v>
      </c>
      <c r="Y695" s="51"/>
      <c r="Z695" s="51"/>
      <c r="AA695" s="33" t="s">
        <v>2459</v>
      </c>
      <c r="AB695" s="33" t="s">
        <v>2460</v>
      </c>
      <c r="AC695" s="33"/>
      <c r="AD695" s="33" t="s">
        <v>2254</v>
      </c>
      <c r="AE695" s="33"/>
      <c r="AF695" s="33" t="s">
        <v>2267</v>
      </c>
      <c r="AG695" s="33" t="s">
        <v>2461</v>
      </c>
      <c r="AH695" s="33"/>
      <c r="AI695" s="33"/>
      <c r="AJ695" s="33" t="s">
        <v>7550</v>
      </c>
      <c r="AK695" s="94"/>
      <c r="AL695" s="33" t="s">
        <v>7551</v>
      </c>
      <c r="AM695" s="33"/>
      <c r="AN695" s="33" t="s">
        <v>7552</v>
      </c>
      <c r="AO695" s="51" t="s">
        <v>7553</v>
      </c>
      <c r="AP695" s="51" t="s">
        <v>178</v>
      </c>
      <c r="AQ695" s="33"/>
      <c r="AR695" s="54"/>
      <c r="AS695" s="54"/>
      <c r="AT695" s="54"/>
      <c r="AU695" s="54"/>
      <c r="AV695" s="54"/>
      <c r="AW695" s="54"/>
      <c r="AX695" s="54"/>
      <c r="AY695" s="54"/>
      <c r="AZ695" s="54"/>
      <c r="BA695" s="54"/>
      <c r="BB695" s="54"/>
      <c r="BC695" s="54"/>
      <c r="BD695" s="54" t="s">
        <v>2447</v>
      </c>
      <c r="BE695" s="54"/>
      <c r="BF695" s="54"/>
      <c r="BG695" s="54"/>
      <c r="BH695" s="54"/>
      <c r="BI695" s="54"/>
      <c r="BJ695" s="0"/>
      <c r="BK695" s="0"/>
      <c r="BL695" s="0"/>
      <c r="BM695" s="0"/>
      <c r="BN695" s="0"/>
      <c r="BO695" s="0"/>
      <c r="BP695"/>
      <c r="BQ695"/>
      <c r="BR695"/>
      <c r="BS695"/>
      <c r="BT695"/>
      <c r="BU695"/>
      <c r="BV695"/>
      <c r="BW695"/>
      <c r="BX695"/>
      <c r="BY695"/>
      <c r="BZ695"/>
      <c r="CA695"/>
      <c r="CB695"/>
    </row>
    <row r="696" ht="15.0" customHeight="true">
      <c r="A696" s="51" t="s">
        <v>2448</v>
      </c>
      <c r="B696" s="33"/>
      <c r="C696" s="33" t="s">
        <v>7554</v>
      </c>
      <c r="D696" s="33"/>
      <c r="E696" s="33" t="s">
        <v>7555</v>
      </c>
      <c r="F696" s="33"/>
      <c r="G696" s="55" t="s">
        <v>7556</v>
      </c>
      <c r="H696" s="33"/>
      <c r="I696" s="51" t="s">
        <v>7557</v>
      </c>
      <c r="J696" s="33"/>
      <c r="K696" s="51" t="s">
        <v>7558</v>
      </c>
      <c r="L696" s="33" t="s">
        <v>2484</v>
      </c>
      <c r="M696" s="55" t="s">
        <v>4625</v>
      </c>
      <c r="N696" s="55"/>
      <c r="O696" s="33"/>
      <c r="P696" s="33" t="s">
        <v>2251</v>
      </c>
      <c r="Q696" s="33"/>
      <c r="R696" s="33" t="s">
        <v>2263</v>
      </c>
      <c r="S696" s="56" t="s">
        <v>2277</v>
      </c>
      <c r="T696" s="56"/>
      <c r="U696" s="56"/>
      <c r="V696" s="33" t="s">
        <v>2456</v>
      </c>
      <c r="W696" s="94" t="s">
        <v>2457</v>
      </c>
      <c r="X696" s="94" t="s">
        <v>2474</v>
      </c>
      <c r="Y696" s="51"/>
      <c r="Z696" s="51"/>
      <c r="AA696" s="33" t="s">
        <v>2459</v>
      </c>
      <c r="AB696" s="33" t="s">
        <v>2460</v>
      </c>
      <c r="AC696" s="33" t="s">
        <v>2486</v>
      </c>
      <c r="AD696" s="33" t="s">
        <v>2254</v>
      </c>
      <c r="AE696" s="33"/>
      <c r="AF696" s="33" t="s">
        <v>2267</v>
      </c>
      <c r="AG696" s="33" t="s">
        <v>2461</v>
      </c>
      <c r="AH696" s="33"/>
      <c r="AI696" s="33"/>
      <c r="AJ696" s="33" t="s">
        <v>7559</v>
      </c>
      <c r="AK696" s="94"/>
      <c r="AL696" s="33" t="s">
        <v>7560</v>
      </c>
      <c r="AM696" s="33"/>
      <c r="AN696" s="33" t="s">
        <v>7561</v>
      </c>
      <c r="AO696" s="51" t="s">
        <v>7562</v>
      </c>
      <c r="AP696" s="51" t="s">
        <v>207</v>
      </c>
      <c r="AQ696" s="33"/>
      <c r="AR696" s="54"/>
      <c r="AS696" s="54"/>
      <c r="AT696" s="54"/>
      <c r="AU696" s="54"/>
      <c r="AV696" s="54"/>
      <c r="AW696" s="54"/>
      <c r="AX696" s="54"/>
      <c r="AY696" s="54"/>
      <c r="AZ696" s="54"/>
      <c r="BA696" s="54"/>
      <c r="BB696" s="54"/>
      <c r="BC696" s="54"/>
      <c r="BD696" s="54" t="s">
        <v>2447</v>
      </c>
      <c r="BE696" s="54"/>
      <c r="BF696" s="54"/>
      <c r="BG696" s="54"/>
      <c r="BH696" s="54"/>
      <c r="BI696" s="54"/>
      <c r="BJ696" s="0"/>
      <c r="BK696" s="0"/>
      <c r="BL696" s="0"/>
      <c r="BM696" s="0"/>
      <c r="BN696" s="0"/>
      <c r="BO696" s="0"/>
      <c r="BP696"/>
      <c r="BQ696"/>
      <c r="BR696"/>
      <c r="BS696"/>
      <c r="BT696"/>
      <c r="BU696"/>
      <c r="BV696"/>
      <c r="BW696"/>
      <c r="BX696"/>
      <c r="BY696"/>
      <c r="BZ696"/>
      <c r="CA696"/>
      <c r="CB696"/>
    </row>
    <row r="697" ht="15.0" customHeight="true">
      <c r="A697" s="51" t="s">
        <v>2448</v>
      </c>
      <c r="B697" s="33"/>
      <c r="C697" s="33" t="s">
        <v>2651</v>
      </c>
      <c r="D697" s="33"/>
      <c r="E697" s="33" t="s">
        <v>7563</v>
      </c>
      <c r="F697" s="33"/>
      <c r="G697" s="55" t="s">
        <v>7564</v>
      </c>
      <c r="H697" s="33"/>
      <c r="I697" s="51" t="s">
        <v>7565</v>
      </c>
      <c r="J697" s="33"/>
      <c r="K697" s="51" t="s">
        <v>7566</v>
      </c>
      <c r="L697" s="33" t="s">
        <v>2484</v>
      </c>
      <c r="M697" s="55" t="s">
        <v>2790</v>
      </c>
      <c r="N697" s="55"/>
      <c r="O697" s="33"/>
      <c r="P697" s="33" t="s">
        <v>2251</v>
      </c>
      <c r="Q697" s="33"/>
      <c r="R697" s="33" t="s">
        <v>2263</v>
      </c>
      <c r="S697" s="56" t="s">
        <v>2277</v>
      </c>
      <c r="T697" s="56"/>
      <c r="U697" s="56"/>
      <c r="V697" s="33" t="s">
        <v>2456</v>
      </c>
      <c r="W697" s="94" t="s">
        <v>2457</v>
      </c>
      <c r="X697" s="94" t="s">
        <v>2474</v>
      </c>
      <c r="Y697" s="51"/>
      <c r="Z697" s="51"/>
      <c r="AA697" s="33" t="s">
        <v>2459</v>
      </c>
      <c r="AB697" s="33" t="s">
        <v>2460</v>
      </c>
      <c r="AC697" s="33" t="s">
        <v>2486</v>
      </c>
      <c r="AD697" s="33" t="s">
        <v>2254</v>
      </c>
      <c r="AE697" s="33"/>
      <c r="AF697" s="33" t="s">
        <v>2267</v>
      </c>
      <c r="AG697" s="33" t="s">
        <v>2461</v>
      </c>
      <c r="AH697" s="33"/>
      <c r="AI697" s="33"/>
      <c r="AJ697" s="33" t="s">
        <v>7567</v>
      </c>
      <c r="AK697" s="94"/>
      <c r="AL697" s="33" t="s">
        <v>7568</v>
      </c>
      <c r="AM697" s="33" t="s">
        <v>7569</v>
      </c>
      <c r="AN697" s="33" t="s">
        <v>2465</v>
      </c>
      <c r="AO697" s="51" t="s">
        <v>2466</v>
      </c>
      <c r="AP697" s="51" t="s">
        <v>207</v>
      </c>
      <c r="AQ697" s="33"/>
      <c r="AR697" s="54"/>
      <c r="AS697" s="54"/>
      <c r="AT697" s="54"/>
      <c r="AU697" s="54"/>
      <c r="AV697" s="54"/>
      <c r="AW697" s="54"/>
      <c r="AX697" s="54"/>
      <c r="AY697" s="54"/>
      <c r="AZ697" s="54"/>
      <c r="BA697" s="54"/>
      <c r="BB697" s="54"/>
      <c r="BC697" s="54"/>
      <c r="BD697" s="54" t="s">
        <v>2447</v>
      </c>
      <c r="BE697" s="54"/>
      <c r="BF697" s="54"/>
      <c r="BG697" s="54"/>
      <c r="BH697" s="54"/>
      <c r="BI697" s="54"/>
      <c r="BJ697" s="0"/>
      <c r="BK697" s="0"/>
      <c r="BL697" s="0"/>
      <c r="BM697" s="0"/>
      <c r="BN697" s="0"/>
      <c r="BO697" s="0"/>
      <c r="BP697"/>
      <c r="BQ697"/>
      <c r="BR697"/>
      <c r="BS697"/>
      <c r="BT697"/>
      <c r="BU697"/>
      <c r="BV697"/>
      <c r="BW697"/>
      <c r="BX697"/>
      <c r="BY697"/>
      <c r="BZ697"/>
      <c r="CA697"/>
      <c r="CB697"/>
    </row>
    <row r="698" ht="15.0" customHeight="true">
      <c r="A698" s="51" t="s">
        <v>2448</v>
      </c>
      <c r="B698" s="33"/>
      <c r="C698" s="33" t="s">
        <v>7266</v>
      </c>
      <c r="D698" s="33"/>
      <c r="E698" s="33" t="s">
        <v>4792</v>
      </c>
      <c r="F698" s="33"/>
      <c r="G698" s="55" t="s">
        <v>7570</v>
      </c>
      <c r="H698" s="33"/>
      <c r="I698" s="51" t="s">
        <v>7571</v>
      </c>
      <c r="J698" s="33"/>
      <c r="K698" s="51" t="s">
        <v>7572</v>
      </c>
      <c r="L698" s="33" t="s">
        <v>2454</v>
      </c>
      <c r="M698" s="55" t="s">
        <v>3888</v>
      </c>
      <c r="N698" s="55" t="s">
        <v>3734</v>
      </c>
      <c r="O698" s="33" t="s">
        <v>2272</v>
      </c>
      <c r="P698" s="33" t="s">
        <v>2251</v>
      </c>
      <c r="Q698" s="33"/>
      <c r="R698" s="33" t="s">
        <v>2263</v>
      </c>
      <c r="S698" s="56" t="s">
        <v>2277</v>
      </c>
      <c r="T698" s="56"/>
      <c r="U698" s="56"/>
      <c r="V698" s="33" t="s">
        <v>2456</v>
      </c>
      <c r="W698" s="94" t="s">
        <v>2457</v>
      </c>
      <c r="X698" s="94" t="s">
        <v>2458</v>
      </c>
      <c r="Y698" s="51"/>
      <c r="Z698" s="51"/>
      <c r="AA698" s="33" t="s">
        <v>2459</v>
      </c>
      <c r="AB698" s="33" t="s">
        <v>2460</v>
      </c>
      <c r="AC698" s="33"/>
      <c r="AD698" s="33" t="s">
        <v>2254</v>
      </c>
      <c r="AE698" s="33"/>
      <c r="AF698" s="33" t="s">
        <v>2267</v>
      </c>
      <c r="AG698" s="33" t="s">
        <v>2461</v>
      </c>
      <c r="AH698" s="33"/>
      <c r="AI698" s="33"/>
      <c r="AJ698" s="33" t="s">
        <v>7573</v>
      </c>
      <c r="AK698" s="94"/>
      <c r="AL698" s="33" t="s">
        <v>7161</v>
      </c>
      <c r="AM698" s="33" t="s">
        <v>7574</v>
      </c>
      <c r="AN698" s="33" t="s">
        <v>2465</v>
      </c>
      <c r="AO698" s="51" t="s">
        <v>2548</v>
      </c>
      <c r="AP698" s="51" t="s">
        <v>207</v>
      </c>
      <c r="AQ698" s="33"/>
      <c r="AR698" s="54"/>
      <c r="AS698" s="54"/>
      <c r="AT698" s="54"/>
      <c r="AU698" s="54"/>
      <c r="AV698" s="54"/>
      <c r="AW698" s="54"/>
      <c r="AX698" s="54"/>
      <c r="AY698" s="54"/>
      <c r="AZ698" s="54"/>
      <c r="BA698" s="54"/>
      <c r="BB698" s="54"/>
      <c r="BC698" s="54"/>
      <c r="BD698" s="54" t="s">
        <v>2447</v>
      </c>
      <c r="BE698" s="54"/>
      <c r="BF698" s="54"/>
      <c r="BG698" s="54"/>
      <c r="BH698" s="54"/>
      <c r="BI698" s="54"/>
      <c r="BJ698" s="0"/>
      <c r="BK698" s="0"/>
      <c r="BL698" s="0"/>
      <c r="BM698" s="0"/>
      <c r="BN698" s="0"/>
      <c r="BO698" s="0"/>
      <c r="BP698"/>
      <c r="BQ698"/>
      <c r="BR698"/>
      <c r="BS698"/>
      <c r="BT698"/>
      <c r="BU698"/>
      <c r="BV698"/>
      <c r="BW698"/>
      <c r="BX698"/>
      <c r="BY698"/>
      <c r="BZ698"/>
      <c r="CA698"/>
      <c r="CB698"/>
    </row>
    <row r="699" ht="15.0" customHeight="true">
      <c r="A699" s="51" t="s">
        <v>2448</v>
      </c>
      <c r="B699" s="33"/>
      <c r="C699" s="33" t="s">
        <v>7575</v>
      </c>
      <c r="D699" s="33"/>
      <c r="E699" s="33" t="s">
        <v>7576</v>
      </c>
      <c r="F699" s="33"/>
      <c r="G699" s="55" t="s">
        <v>7577</v>
      </c>
      <c r="H699" s="33"/>
      <c r="I699" s="51" t="s">
        <v>7578</v>
      </c>
      <c r="J699" s="33"/>
      <c r="K699" s="51" t="s">
        <v>7579</v>
      </c>
      <c r="L699" s="33" t="s">
        <v>2484</v>
      </c>
      <c r="M699" s="55" t="s">
        <v>7580</v>
      </c>
      <c r="N699" s="55"/>
      <c r="O699" s="33"/>
      <c r="P699" s="33" t="s">
        <v>2251</v>
      </c>
      <c r="Q699" s="33"/>
      <c r="R699" s="33" t="s">
        <v>2263</v>
      </c>
      <c r="S699" s="56" t="s">
        <v>2277</v>
      </c>
      <c r="T699" s="56"/>
      <c r="U699" s="56"/>
      <c r="V699" s="33" t="s">
        <v>2456</v>
      </c>
      <c r="W699" s="94" t="s">
        <v>2457</v>
      </c>
      <c r="X699" s="94" t="s">
        <v>2474</v>
      </c>
      <c r="Y699" s="51"/>
      <c r="Z699" s="51"/>
      <c r="AA699" s="33" t="s">
        <v>2459</v>
      </c>
      <c r="AB699" s="33" t="s">
        <v>2460</v>
      </c>
      <c r="AC699" s="33" t="s">
        <v>2486</v>
      </c>
      <c r="AD699" s="33" t="s">
        <v>2254</v>
      </c>
      <c r="AE699" s="33"/>
      <c r="AF699" s="33" t="s">
        <v>2267</v>
      </c>
      <c r="AG699" s="33" t="s">
        <v>2461</v>
      </c>
      <c r="AH699" s="33"/>
      <c r="AI699" s="33"/>
      <c r="AJ699" s="33" t="s">
        <v>7581</v>
      </c>
      <c r="AK699" s="94"/>
      <c r="AL699" s="33" t="s">
        <v>7582</v>
      </c>
      <c r="AM699" s="33"/>
      <c r="AN699" s="33" t="s">
        <v>2588</v>
      </c>
      <c r="AO699" s="51" t="s">
        <v>2628</v>
      </c>
      <c r="AP699" s="51" t="s">
        <v>207</v>
      </c>
      <c r="AQ699" s="33"/>
      <c r="AR699" s="54"/>
      <c r="AS699" s="54"/>
      <c r="AT699" s="54"/>
      <c r="AU699" s="54"/>
      <c r="AV699" s="54"/>
      <c r="AW699" s="54"/>
      <c r="AX699" s="54"/>
      <c r="AY699" s="54"/>
      <c r="AZ699" s="54"/>
      <c r="BA699" s="54"/>
      <c r="BB699" s="54"/>
      <c r="BC699" s="54"/>
      <c r="BD699" s="54" t="s">
        <v>2447</v>
      </c>
      <c r="BE699" s="54"/>
      <c r="BF699" s="54"/>
      <c r="BG699" s="54"/>
      <c r="BH699" s="54"/>
      <c r="BI699" s="54"/>
      <c r="BJ699" s="0"/>
      <c r="BK699" s="0"/>
      <c r="BL699" s="0"/>
      <c r="BM699" s="0"/>
      <c r="BN699" s="0"/>
      <c r="BO699" s="0"/>
      <c r="BP699"/>
      <c r="BQ699"/>
      <c r="BR699"/>
      <c r="BS699"/>
      <c r="BT699"/>
      <c r="BU699"/>
      <c r="BV699"/>
      <c r="BW699"/>
      <c r="BX699"/>
      <c r="BY699"/>
      <c r="BZ699"/>
      <c r="CA699"/>
      <c r="CB699"/>
    </row>
    <row r="700" ht="15.0" customHeight="true">
      <c r="A700" s="51" t="s">
        <v>2448</v>
      </c>
      <c r="B700" s="33"/>
      <c r="C700" s="33" t="s">
        <v>7583</v>
      </c>
      <c r="D700" s="33"/>
      <c r="E700" s="33" t="s">
        <v>7584</v>
      </c>
      <c r="F700" s="33"/>
      <c r="G700" s="55" t="s">
        <v>7585</v>
      </c>
      <c r="H700" s="33"/>
      <c r="I700" s="51" t="s">
        <v>7586</v>
      </c>
      <c r="J700" s="33"/>
      <c r="K700" s="51" t="s">
        <v>7587</v>
      </c>
      <c r="L700" s="33" t="s">
        <v>2454</v>
      </c>
      <c r="M700" s="55" t="s">
        <v>3913</v>
      </c>
      <c r="N700" s="55" t="s">
        <v>5919</v>
      </c>
      <c r="O700" s="33" t="s">
        <v>2272</v>
      </c>
      <c r="P700" s="33" t="s">
        <v>2251</v>
      </c>
      <c r="Q700" s="33"/>
      <c r="R700" s="33" t="s">
        <v>2263</v>
      </c>
      <c r="S700" s="56" t="s">
        <v>2277</v>
      </c>
      <c r="T700" s="56"/>
      <c r="U700" s="56"/>
      <c r="V700" s="33" t="s">
        <v>2456</v>
      </c>
      <c r="W700" s="94" t="s">
        <v>2457</v>
      </c>
      <c r="X700" s="94" t="s">
        <v>2474</v>
      </c>
      <c r="Y700" s="51"/>
      <c r="Z700" s="51"/>
      <c r="AA700" s="33" t="s">
        <v>2459</v>
      </c>
      <c r="AB700" s="33" t="s">
        <v>2460</v>
      </c>
      <c r="AC700" s="33"/>
      <c r="AD700" s="33" t="s">
        <v>2254</v>
      </c>
      <c r="AE700" s="33"/>
      <c r="AF700" s="33" t="s">
        <v>2267</v>
      </c>
      <c r="AG700" s="33" t="s">
        <v>2461</v>
      </c>
      <c r="AH700" s="33"/>
      <c r="AI700" s="33"/>
      <c r="AJ700" s="33" t="s">
        <v>7588</v>
      </c>
      <c r="AK700" s="94"/>
      <c r="AL700" s="33" t="s">
        <v>7589</v>
      </c>
      <c r="AM700" s="33" t="s">
        <v>7590</v>
      </c>
      <c r="AN700" s="33" t="s">
        <v>2465</v>
      </c>
      <c r="AO700" s="51" t="s">
        <v>2538</v>
      </c>
      <c r="AP700" s="51" t="s">
        <v>207</v>
      </c>
      <c r="AQ700" s="33"/>
      <c r="AR700" s="54"/>
      <c r="AS700" s="54"/>
      <c r="AT700" s="54"/>
      <c r="AU700" s="54"/>
      <c r="AV700" s="54"/>
      <c r="AW700" s="54"/>
      <c r="AX700" s="54"/>
      <c r="AY700" s="54"/>
      <c r="AZ700" s="54"/>
      <c r="BA700" s="54"/>
      <c r="BB700" s="54"/>
      <c r="BC700" s="54"/>
      <c r="BD700" s="54" t="s">
        <v>2447</v>
      </c>
      <c r="BE700" s="54"/>
      <c r="BF700" s="54"/>
      <c r="BG700" s="54"/>
      <c r="BH700" s="54"/>
      <c r="BI700" s="54"/>
      <c r="BJ700" s="0"/>
      <c r="BK700" s="0"/>
      <c r="BL700" s="0"/>
      <c r="BM700" s="0"/>
      <c r="BN700" s="0"/>
      <c r="BO700" s="0"/>
      <c r="BP700"/>
      <c r="BQ700"/>
      <c r="BR700"/>
      <c r="BS700"/>
      <c r="BT700"/>
      <c r="BU700"/>
      <c r="BV700"/>
      <c r="BW700"/>
      <c r="BX700"/>
      <c r="BY700"/>
      <c r="BZ700"/>
      <c r="CA700"/>
      <c r="CB700"/>
    </row>
    <row r="701" ht="15.0" customHeight="true">
      <c r="A701" s="51" t="s">
        <v>2448</v>
      </c>
      <c r="B701" s="33"/>
      <c r="C701" s="33" t="s">
        <v>3918</v>
      </c>
      <c r="D701" s="33"/>
      <c r="E701" s="33" t="s">
        <v>7591</v>
      </c>
      <c r="F701" s="33"/>
      <c r="G701" s="55" t="s">
        <v>7592</v>
      </c>
      <c r="H701" s="33"/>
      <c r="I701" s="51" t="s">
        <v>7593</v>
      </c>
      <c r="J701" s="33"/>
      <c r="K701" s="51" t="s">
        <v>7594</v>
      </c>
      <c r="L701" s="33" t="s">
        <v>2454</v>
      </c>
      <c r="M701" s="55" t="s">
        <v>7595</v>
      </c>
      <c r="N701" s="55" t="s">
        <v>5465</v>
      </c>
      <c r="O701" s="33" t="s">
        <v>2272</v>
      </c>
      <c r="P701" s="33" t="s">
        <v>2251</v>
      </c>
      <c r="Q701" s="33"/>
      <c r="R701" s="33" t="s">
        <v>2263</v>
      </c>
      <c r="S701" s="56" t="s">
        <v>2277</v>
      </c>
      <c r="T701" s="56"/>
      <c r="U701" s="56"/>
      <c r="V701" s="33" t="s">
        <v>2456</v>
      </c>
      <c r="W701" s="94" t="s">
        <v>2457</v>
      </c>
      <c r="X701" s="94" t="s">
        <v>2458</v>
      </c>
      <c r="Y701" s="51"/>
      <c r="Z701" s="51"/>
      <c r="AA701" s="33" t="s">
        <v>2459</v>
      </c>
      <c r="AB701" s="33" t="s">
        <v>2460</v>
      </c>
      <c r="AC701" s="33"/>
      <c r="AD701" s="33" t="s">
        <v>2254</v>
      </c>
      <c r="AE701" s="33"/>
      <c r="AF701" s="33" t="s">
        <v>2267</v>
      </c>
      <c r="AG701" s="33" t="s">
        <v>2461</v>
      </c>
      <c r="AH701" s="33"/>
      <c r="AI701" s="33"/>
      <c r="AJ701" s="33" t="s">
        <v>7596</v>
      </c>
      <c r="AK701" s="94"/>
      <c r="AL701" s="33" t="s">
        <v>7597</v>
      </c>
      <c r="AM701" s="33" t="s">
        <v>7598</v>
      </c>
      <c r="AN701" s="33" t="s">
        <v>2465</v>
      </c>
      <c r="AO701" s="51" t="s">
        <v>2478</v>
      </c>
      <c r="AP701" s="51" t="s">
        <v>207</v>
      </c>
      <c r="AQ701" s="33"/>
      <c r="AR701" s="54"/>
      <c r="AS701" s="54"/>
      <c r="AT701" s="54"/>
      <c r="AU701" s="54"/>
      <c r="AV701" s="54"/>
      <c r="AW701" s="54"/>
      <c r="AX701" s="54"/>
      <c r="AY701" s="54"/>
      <c r="AZ701" s="54"/>
      <c r="BA701" s="54"/>
      <c r="BB701" s="54"/>
      <c r="BC701" s="54"/>
      <c r="BD701" s="54" t="s">
        <v>2447</v>
      </c>
      <c r="BE701" s="54"/>
      <c r="BF701" s="54"/>
      <c r="BG701" s="54"/>
      <c r="BH701" s="54"/>
      <c r="BI701" s="54"/>
      <c r="BJ701" s="0"/>
      <c r="BK701" s="0"/>
      <c r="BL701" s="0"/>
      <c r="BM701" s="0"/>
      <c r="BN701" s="0"/>
      <c r="BO701" s="0"/>
      <c r="BP701"/>
      <c r="BQ701"/>
      <c r="BR701"/>
      <c r="BS701"/>
      <c r="BT701"/>
      <c r="BU701"/>
      <c r="BV701"/>
      <c r="BW701"/>
      <c r="BX701"/>
      <c r="BY701"/>
      <c r="BZ701"/>
      <c r="CA701"/>
      <c r="CB701"/>
    </row>
    <row r="702" ht="15.0" customHeight="true">
      <c r="A702" s="51" t="s">
        <v>2448</v>
      </c>
      <c r="B702" s="33"/>
      <c r="C702" s="33" t="s">
        <v>3925</v>
      </c>
      <c r="D702" s="33"/>
      <c r="E702" s="33" t="s">
        <v>7599</v>
      </c>
      <c r="F702" s="33"/>
      <c r="G702" s="55" t="s">
        <v>6082</v>
      </c>
      <c r="H702" s="33"/>
      <c r="I702" s="51" t="s">
        <v>7600</v>
      </c>
      <c r="J702" s="33"/>
      <c r="K702" s="51" t="s">
        <v>7601</v>
      </c>
      <c r="L702" s="33" t="s">
        <v>2454</v>
      </c>
      <c r="M702" s="55" t="s">
        <v>3543</v>
      </c>
      <c r="N702" s="55" t="s">
        <v>2473</v>
      </c>
      <c r="O702" s="33" t="s">
        <v>2272</v>
      </c>
      <c r="P702" s="33" t="s">
        <v>2251</v>
      </c>
      <c r="Q702" s="33"/>
      <c r="R702" s="33" t="s">
        <v>2263</v>
      </c>
      <c r="S702" s="56" t="s">
        <v>2277</v>
      </c>
      <c r="T702" s="56"/>
      <c r="U702" s="56"/>
      <c r="V702" s="33" t="s">
        <v>2456</v>
      </c>
      <c r="W702" s="94" t="s">
        <v>2457</v>
      </c>
      <c r="X702" s="94" t="s">
        <v>2474</v>
      </c>
      <c r="Y702" s="51"/>
      <c r="Z702" s="51"/>
      <c r="AA702" s="33" t="s">
        <v>2459</v>
      </c>
      <c r="AB702" s="33" t="s">
        <v>2460</v>
      </c>
      <c r="AC702" s="33"/>
      <c r="AD702" s="33" t="s">
        <v>2254</v>
      </c>
      <c r="AE702" s="33"/>
      <c r="AF702" s="33" t="s">
        <v>2267</v>
      </c>
      <c r="AG702" s="33" t="s">
        <v>2461</v>
      </c>
      <c r="AH702" s="33"/>
      <c r="AI702" s="33"/>
      <c r="AJ702" s="33" t="s">
        <v>7602</v>
      </c>
      <c r="AK702" s="94"/>
      <c r="AL702" s="33" t="s">
        <v>7603</v>
      </c>
      <c r="AM702" s="33"/>
      <c r="AN702" s="33" t="s">
        <v>2465</v>
      </c>
      <c r="AO702" s="51" t="s">
        <v>2618</v>
      </c>
      <c r="AP702" s="51" t="s">
        <v>207</v>
      </c>
      <c r="AQ702" s="33"/>
      <c r="AR702" s="54"/>
      <c r="AS702" s="54"/>
      <c r="AT702" s="54"/>
      <c r="AU702" s="54"/>
      <c r="AV702" s="54"/>
      <c r="AW702" s="54"/>
      <c r="AX702" s="54"/>
      <c r="AY702" s="54"/>
      <c r="AZ702" s="54"/>
      <c r="BA702" s="54"/>
      <c r="BB702" s="54"/>
      <c r="BC702" s="54"/>
      <c r="BD702" s="54" t="s">
        <v>2447</v>
      </c>
      <c r="BE702" s="54"/>
      <c r="BF702" s="54"/>
      <c r="BG702" s="54"/>
      <c r="BH702" s="54"/>
      <c r="BI702" s="54"/>
      <c r="BJ702" s="0"/>
      <c r="BK702" s="0"/>
      <c r="BL702" s="0"/>
      <c r="BM702" s="0"/>
      <c r="BN702" s="0"/>
      <c r="BO702" s="0"/>
      <c r="BP702"/>
      <c r="BQ702"/>
      <c r="BR702"/>
      <c r="BS702"/>
      <c r="BT702"/>
      <c r="BU702"/>
      <c r="BV702"/>
      <c r="BW702"/>
      <c r="BX702"/>
      <c r="BY702"/>
      <c r="BZ702"/>
      <c r="CA702"/>
      <c r="CB702"/>
    </row>
    <row r="703" ht="15.0" customHeight="true">
      <c r="A703" s="51" t="s">
        <v>2448</v>
      </c>
      <c r="B703" s="33"/>
      <c r="C703" s="33" t="s">
        <v>2490</v>
      </c>
      <c r="D703" s="33"/>
      <c r="E703" s="33" t="s">
        <v>7604</v>
      </c>
      <c r="F703" s="33"/>
      <c r="G703" s="55" t="s">
        <v>7605</v>
      </c>
      <c r="H703" s="33"/>
      <c r="I703" s="51" t="s">
        <v>7606</v>
      </c>
      <c r="J703" s="33"/>
      <c r="K703" s="51" t="s">
        <v>7607</v>
      </c>
      <c r="L703" s="33" t="s">
        <v>2484</v>
      </c>
      <c r="M703" s="55" t="s">
        <v>4036</v>
      </c>
      <c r="N703" s="55"/>
      <c r="O703" s="33"/>
      <c r="P703" s="33" t="s">
        <v>2251</v>
      </c>
      <c r="Q703" s="33"/>
      <c r="R703" s="33" t="s">
        <v>2263</v>
      </c>
      <c r="S703" s="56" t="s">
        <v>2277</v>
      </c>
      <c r="T703" s="56"/>
      <c r="U703" s="56"/>
      <c r="V703" s="33" t="s">
        <v>2456</v>
      </c>
      <c r="W703" s="94" t="s">
        <v>2457</v>
      </c>
      <c r="X703" s="94" t="s">
        <v>2474</v>
      </c>
      <c r="Y703" s="51"/>
      <c r="Z703" s="51"/>
      <c r="AA703" s="33" t="s">
        <v>2459</v>
      </c>
      <c r="AB703" s="33" t="s">
        <v>2460</v>
      </c>
      <c r="AC703" s="33" t="s">
        <v>2486</v>
      </c>
      <c r="AD703" s="33" t="s">
        <v>2254</v>
      </c>
      <c r="AE703" s="33"/>
      <c r="AF703" s="33" t="s">
        <v>2267</v>
      </c>
      <c r="AG703" s="33" t="s">
        <v>2461</v>
      </c>
      <c r="AH703" s="33"/>
      <c r="AI703" s="33"/>
      <c r="AJ703" s="33" t="s">
        <v>7608</v>
      </c>
      <c r="AK703" s="94"/>
      <c r="AL703" s="33" t="s">
        <v>2650</v>
      </c>
      <c r="AM703" s="33"/>
      <c r="AN703" s="33" t="s">
        <v>2577</v>
      </c>
      <c r="AO703" s="51" t="s">
        <v>2578</v>
      </c>
      <c r="AP703" s="51" t="s">
        <v>207</v>
      </c>
      <c r="AQ703" s="33"/>
      <c r="AR703" s="54"/>
      <c r="AS703" s="54"/>
      <c r="AT703" s="54"/>
      <c r="AU703" s="54"/>
      <c r="AV703" s="54"/>
      <c r="AW703" s="54"/>
      <c r="AX703" s="54"/>
      <c r="AY703" s="54"/>
      <c r="AZ703" s="54"/>
      <c r="BA703" s="54"/>
      <c r="BB703" s="54"/>
      <c r="BC703" s="54"/>
      <c r="BD703" s="54" t="s">
        <v>2447</v>
      </c>
      <c r="BE703" s="54"/>
      <c r="BF703" s="54"/>
      <c r="BG703" s="54"/>
      <c r="BH703" s="54"/>
      <c r="BI703" s="54"/>
      <c r="BJ703" s="0"/>
      <c r="BK703" s="0"/>
      <c r="BL703" s="0"/>
      <c r="BM703" s="0"/>
      <c r="BN703" s="0"/>
      <c r="BO703" s="0"/>
      <c r="BP703"/>
      <c r="BQ703"/>
      <c r="BR703"/>
      <c r="BS703"/>
      <c r="BT703"/>
      <c r="BU703"/>
      <c r="BV703"/>
      <c r="BW703"/>
      <c r="BX703"/>
      <c r="BY703"/>
      <c r="BZ703"/>
      <c r="CA703"/>
      <c r="CB703"/>
    </row>
    <row r="704" ht="15.0" customHeight="true">
      <c r="A704" s="51" t="s">
        <v>2448</v>
      </c>
      <c r="B704" s="33"/>
      <c r="C704" s="33" t="s">
        <v>2651</v>
      </c>
      <c r="D704" s="33"/>
      <c r="E704" s="33" t="s">
        <v>4380</v>
      </c>
      <c r="F704" s="33"/>
      <c r="G704" s="55" t="s">
        <v>7609</v>
      </c>
      <c r="H704" s="33"/>
      <c r="I704" s="51" t="s">
        <v>7610</v>
      </c>
      <c r="J704" s="33"/>
      <c r="K704" s="51" t="s">
        <v>7611</v>
      </c>
      <c r="L704" s="33" t="s">
        <v>2454</v>
      </c>
      <c r="M704" s="55" t="s">
        <v>3037</v>
      </c>
      <c r="N704" s="55" t="s">
        <v>5175</v>
      </c>
      <c r="O704" s="33" t="s">
        <v>2272</v>
      </c>
      <c r="P704" s="33" t="s">
        <v>2251</v>
      </c>
      <c r="Q704" s="33"/>
      <c r="R704" s="33" t="s">
        <v>2263</v>
      </c>
      <c r="S704" s="56" t="s">
        <v>2277</v>
      </c>
      <c r="T704" s="56"/>
      <c r="U704" s="56"/>
      <c r="V704" s="33" t="s">
        <v>2456</v>
      </c>
      <c r="W704" s="94" t="s">
        <v>2457</v>
      </c>
      <c r="X704" s="94" t="s">
        <v>2474</v>
      </c>
      <c r="Y704" s="51"/>
      <c r="Z704" s="51"/>
      <c r="AA704" s="33" t="s">
        <v>2459</v>
      </c>
      <c r="AB704" s="33" t="s">
        <v>2460</v>
      </c>
      <c r="AC704" s="33"/>
      <c r="AD704" s="33" t="s">
        <v>2254</v>
      </c>
      <c r="AE704" s="33"/>
      <c r="AF704" s="33" t="s">
        <v>2267</v>
      </c>
      <c r="AG704" s="33" t="s">
        <v>2461</v>
      </c>
      <c r="AH704" s="33"/>
      <c r="AI704" s="33"/>
      <c r="AJ704" s="33" t="s">
        <v>7612</v>
      </c>
      <c r="AK704" s="94"/>
      <c r="AL704" s="33" t="s">
        <v>7613</v>
      </c>
      <c r="AM704" s="33"/>
      <c r="AN704" s="33" t="s">
        <v>2465</v>
      </c>
      <c r="AO704" s="51" t="s">
        <v>2548</v>
      </c>
      <c r="AP704" s="51" t="s">
        <v>207</v>
      </c>
      <c r="AQ704" s="33"/>
      <c r="AR704" s="54"/>
      <c r="AS704" s="54"/>
      <c r="AT704" s="54"/>
      <c r="AU704" s="54"/>
      <c r="AV704" s="54"/>
      <c r="AW704" s="54"/>
      <c r="AX704" s="54"/>
      <c r="AY704" s="54"/>
      <c r="AZ704" s="54"/>
      <c r="BA704" s="54"/>
      <c r="BB704" s="54"/>
      <c r="BC704" s="54"/>
      <c r="BD704" s="54" t="s">
        <v>2447</v>
      </c>
      <c r="BE704" s="54"/>
      <c r="BF704" s="54"/>
      <c r="BG704" s="54"/>
      <c r="BH704" s="54"/>
      <c r="BI704" s="54"/>
      <c r="BJ704" s="0"/>
      <c r="BK704" s="0"/>
      <c r="BL704" s="0"/>
      <c r="BM704" s="0"/>
      <c r="BN704" s="0"/>
      <c r="BO704" s="0"/>
      <c r="BP704"/>
      <c r="BQ704"/>
      <c r="BR704"/>
      <c r="BS704"/>
      <c r="BT704"/>
      <c r="BU704"/>
      <c r="BV704"/>
      <c r="BW704"/>
      <c r="BX704"/>
      <c r="BY704"/>
      <c r="BZ704"/>
      <c r="CA704"/>
      <c r="CB704"/>
    </row>
    <row r="705" ht="15.0" customHeight="true">
      <c r="A705" s="51" t="s">
        <v>2448</v>
      </c>
      <c r="B705" s="33"/>
      <c r="C705" s="33" t="s">
        <v>7614</v>
      </c>
      <c r="D705" s="33"/>
      <c r="E705" s="33" t="s">
        <v>3823</v>
      </c>
      <c r="F705" s="33"/>
      <c r="G705" s="55" t="s">
        <v>6393</v>
      </c>
      <c r="H705" s="33"/>
      <c r="I705" s="51" t="s">
        <v>7615</v>
      </c>
      <c r="J705" s="33"/>
      <c r="K705" s="51" t="s">
        <v>7616</v>
      </c>
      <c r="L705" s="33" t="s">
        <v>2454</v>
      </c>
      <c r="M705" s="55" t="s">
        <v>4534</v>
      </c>
      <c r="N705" s="55" t="s">
        <v>4534</v>
      </c>
      <c r="O705" s="33" t="s">
        <v>2272</v>
      </c>
      <c r="P705" s="33" t="s">
        <v>2251</v>
      </c>
      <c r="Q705" s="33"/>
      <c r="R705" s="33" t="s">
        <v>2263</v>
      </c>
      <c r="S705" s="56" t="s">
        <v>2277</v>
      </c>
      <c r="T705" s="56"/>
      <c r="U705" s="56"/>
      <c r="V705" s="33" t="s">
        <v>2456</v>
      </c>
      <c r="W705" s="94" t="s">
        <v>2457</v>
      </c>
      <c r="X705" s="94" t="s">
        <v>2474</v>
      </c>
      <c r="Y705" s="51"/>
      <c r="Z705" s="51"/>
      <c r="AA705" s="33" t="s">
        <v>2459</v>
      </c>
      <c r="AB705" s="33" t="s">
        <v>2460</v>
      </c>
      <c r="AC705" s="33"/>
      <c r="AD705" s="33" t="s">
        <v>2254</v>
      </c>
      <c r="AE705" s="33"/>
      <c r="AF705" s="33" t="s">
        <v>2267</v>
      </c>
      <c r="AG705" s="33" t="s">
        <v>2461</v>
      </c>
      <c r="AH705" s="33"/>
      <c r="AI705" s="33"/>
      <c r="AJ705" s="33" t="s">
        <v>7617</v>
      </c>
      <c r="AK705" s="94"/>
      <c r="AL705" s="33" t="s">
        <v>5995</v>
      </c>
      <c r="AM705" s="33" t="s">
        <v>7618</v>
      </c>
      <c r="AN705" s="33" t="s">
        <v>2465</v>
      </c>
      <c r="AO705" s="51" t="s">
        <v>2466</v>
      </c>
      <c r="AP705" s="51" t="s">
        <v>207</v>
      </c>
      <c r="AQ705" s="33"/>
      <c r="AR705" s="54"/>
      <c r="AS705" s="54"/>
      <c r="AT705" s="54"/>
      <c r="AU705" s="54"/>
      <c r="AV705" s="54"/>
      <c r="AW705" s="54"/>
      <c r="AX705" s="54"/>
      <c r="AY705" s="54"/>
      <c r="AZ705" s="54"/>
      <c r="BA705" s="54"/>
      <c r="BB705" s="54"/>
      <c r="BC705" s="54"/>
      <c r="BD705" s="54" t="s">
        <v>2447</v>
      </c>
      <c r="BE705" s="54"/>
      <c r="BF705" s="54"/>
      <c r="BG705" s="54"/>
      <c r="BH705" s="54"/>
      <c r="BI705" s="54"/>
      <c r="BJ705" s="0"/>
      <c r="BK705" s="0"/>
      <c r="BL705" s="0"/>
      <c r="BM705" s="0"/>
      <c r="BN705" s="0"/>
      <c r="BO705" s="0"/>
      <c r="BP705"/>
      <c r="BQ705"/>
      <c r="BR705"/>
      <c r="BS705"/>
      <c r="BT705"/>
      <c r="BU705"/>
      <c r="BV705"/>
      <c r="BW705"/>
      <c r="BX705"/>
      <c r="BY705"/>
      <c r="BZ705"/>
      <c r="CA705"/>
      <c r="CB705"/>
    </row>
    <row r="706" ht="15.0" customHeight="true">
      <c r="A706" s="51" t="s">
        <v>2448</v>
      </c>
      <c r="B706" s="33"/>
      <c r="C706" s="33" t="s">
        <v>3131</v>
      </c>
      <c r="D706" s="33"/>
      <c r="E706" s="33" t="s">
        <v>7619</v>
      </c>
      <c r="F706" s="33"/>
      <c r="G706" s="55" t="s">
        <v>7620</v>
      </c>
      <c r="H706" s="33"/>
      <c r="I706" s="51" t="s">
        <v>7621</v>
      </c>
      <c r="J706" s="33"/>
      <c r="K706" s="51" t="s">
        <v>7622</v>
      </c>
      <c r="L706" s="33" t="s">
        <v>2454</v>
      </c>
      <c r="M706" s="55" t="s">
        <v>3935</v>
      </c>
      <c r="N706" s="55" t="s">
        <v>3935</v>
      </c>
      <c r="O706" s="33" t="s">
        <v>2272</v>
      </c>
      <c r="P706" s="33" t="s">
        <v>2251</v>
      </c>
      <c r="Q706" s="33"/>
      <c r="R706" s="33" t="s">
        <v>2263</v>
      </c>
      <c r="S706" s="56" t="s">
        <v>2277</v>
      </c>
      <c r="T706" s="56"/>
      <c r="U706" s="56"/>
      <c r="V706" s="33" t="s">
        <v>2456</v>
      </c>
      <c r="W706" s="94" t="s">
        <v>2457</v>
      </c>
      <c r="X706" s="94" t="s">
        <v>2458</v>
      </c>
      <c r="Y706" s="51"/>
      <c r="Z706" s="51"/>
      <c r="AA706" s="33" t="s">
        <v>2459</v>
      </c>
      <c r="AB706" s="33" t="s">
        <v>2460</v>
      </c>
      <c r="AC706" s="33"/>
      <c r="AD706" s="33" t="s">
        <v>2254</v>
      </c>
      <c r="AE706" s="33"/>
      <c r="AF706" s="33" t="s">
        <v>2267</v>
      </c>
      <c r="AG706" s="33" t="s">
        <v>2461</v>
      </c>
      <c r="AH706" s="33"/>
      <c r="AI706" s="33"/>
      <c r="AJ706" s="33" t="s">
        <v>7623</v>
      </c>
      <c r="AK706" s="94"/>
      <c r="AL706" s="33" t="s">
        <v>7624</v>
      </c>
      <c r="AM706" s="33" t="s">
        <v>7625</v>
      </c>
      <c r="AN706" s="33" t="s">
        <v>2465</v>
      </c>
      <c r="AO706" s="51" t="s">
        <v>2538</v>
      </c>
      <c r="AP706" s="51" t="s">
        <v>207</v>
      </c>
      <c r="AQ706" s="33"/>
      <c r="AR706" s="54"/>
      <c r="AS706" s="54"/>
      <c r="AT706" s="54"/>
      <c r="AU706" s="54"/>
      <c r="AV706" s="54"/>
      <c r="AW706" s="54"/>
      <c r="AX706" s="54"/>
      <c r="AY706" s="54"/>
      <c r="AZ706" s="54"/>
      <c r="BA706" s="54"/>
      <c r="BB706" s="54"/>
      <c r="BC706" s="54"/>
      <c r="BD706" s="54" t="s">
        <v>2447</v>
      </c>
      <c r="BE706" s="54"/>
      <c r="BF706" s="54"/>
      <c r="BG706" s="54"/>
      <c r="BH706" s="54"/>
      <c r="BI706" s="54"/>
      <c r="BJ706" s="0"/>
      <c r="BK706" s="0"/>
      <c r="BL706" s="0"/>
      <c r="BM706" s="0"/>
      <c r="BN706" s="0"/>
      <c r="BO706" s="0"/>
      <c r="BP706"/>
      <c r="BQ706"/>
      <c r="BR706"/>
      <c r="BS706"/>
      <c r="BT706"/>
      <c r="BU706"/>
      <c r="BV706"/>
      <c r="BW706"/>
      <c r="BX706"/>
      <c r="BY706"/>
      <c r="BZ706"/>
      <c r="CA706"/>
      <c r="CB706"/>
    </row>
    <row r="707" ht="15.0" customHeight="true">
      <c r="A707" s="51" t="s">
        <v>2448</v>
      </c>
      <c r="B707" s="33"/>
      <c r="C707" s="33" t="s">
        <v>3131</v>
      </c>
      <c r="D707" s="33"/>
      <c r="E707" s="33" t="s">
        <v>7626</v>
      </c>
      <c r="F707" s="33"/>
      <c r="G707" s="55" t="s">
        <v>7627</v>
      </c>
      <c r="H707" s="33"/>
      <c r="I707" s="51" t="s">
        <v>7628</v>
      </c>
      <c r="J707" s="33"/>
      <c r="K707" s="51" t="s">
        <v>7629</v>
      </c>
      <c r="L707" s="33" t="s">
        <v>2454</v>
      </c>
      <c r="M707" s="55" t="s">
        <v>3092</v>
      </c>
      <c r="N707" s="55" t="s">
        <v>3966</v>
      </c>
      <c r="O707" s="33" t="s">
        <v>2272</v>
      </c>
      <c r="P707" s="33" t="s">
        <v>2251</v>
      </c>
      <c r="Q707" s="33"/>
      <c r="R707" s="33" t="s">
        <v>2263</v>
      </c>
      <c r="S707" s="56" t="s">
        <v>2277</v>
      </c>
      <c r="T707" s="56"/>
      <c r="U707" s="56"/>
      <c r="V707" s="33" t="s">
        <v>2456</v>
      </c>
      <c r="W707" s="94" t="s">
        <v>2457</v>
      </c>
      <c r="X707" s="94" t="s">
        <v>2474</v>
      </c>
      <c r="Y707" s="51"/>
      <c r="Z707" s="51"/>
      <c r="AA707" s="33" t="s">
        <v>2459</v>
      </c>
      <c r="AB707" s="33" t="s">
        <v>2460</v>
      </c>
      <c r="AC707" s="33"/>
      <c r="AD707" s="33" t="s">
        <v>2254</v>
      </c>
      <c r="AE707" s="33"/>
      <c r="AF707" s="33" t="s">
        <v>2267</v>
      </c>
      <c r="AG707" s="33" t="s">
        <v>2461</v>
      </c>
      <c r="AH707" s="33"/>
      <c r="AI707" s="33"/>
      <c r="AJ707" s="33" t="s">
        <v>7630</v>
      </c>
      <c r="AK707" s="94"/>
      <c r="AL707" s="33" t="s">
        <v>7631</v>
      </c>
      <c r="AM707" s="33"/>
      <c r="AN707" s="33" t="s">
        <v>2828</v>
      </c>
      <c r="AO707" s="51" t="s">
        <v>2829</v>
      </c>
      <c r="AP707" s="51" t="s">
        <v>207</v>
      </c>
      <c r="AQ707" s="33"/>
      <c r="AR707" s="54"/>
      <c r="AS707" s="54"/>
      <c r="AT707" s="54"/>
      <c r="AU707" s="54"/>
      <c r="AV707" s="54"/>
      <c r="AW707" s="54"/>
      <c r="AX707" s="54"/>
      <c r="AY707" s="54"/>
      <c r="AZ707" s="54"/>
      <c r="BA707" s="54"/>
      <c r="BB707" s="54"/>
      <c r="BC707" s="54"/>
      <c r="BD707" s="54" t="s">
        <v>2447</v>
      </c>
      <c r="BE707" s="54"/>
      <c r="BF707" s="54"/>
      <c r="BG707" s="54"/>
      <c r="BH707" s="54"/>
      <c r="BI707" s="54"/>
      <c r="BJ707" s="0"/>
      <c r="BK707" s="0"/>
      <c r="BL707" s="0"/>
      <c r="BM707" s="0"/>
      <c r="BN707" s="0"/>
      <c r="BO707" s="0"/>
      <c r="BP707"/>
      <c r="BQ707"/>
      <c r="BR707"/>
      <c r="BS707"/>
      <c r="BT707"/>
      <c r="BU707"/>
      <c r="BV707"/>
      <c r="BW707"/>
      <c r="BX707"/>
      <c r="BY707"/>
      <c r="BZ707"/>
      <c r="CA707"/>
      <c r="CB707"/>
    </row>
    <row r="708" ht="15.0" customHeight="true">
      <c r="A708" s="51" t="s">
        <v>2448</v>
      </c>
      <c r="B708" s="33"/>
      <c r="C708" s="33" t="s">
        <v>7632</v>
      </c>
      <c r="D708" s="33"/>
      <c r="E708" s="33" t="s">
        <v>7633</v>
      </c>
      <c r="F708" s="33"/>
      <c r="G708" s="55" t="s">
        <v>7634</v>
      </c>
      <c r="H708" s="33"/>
      <c r="I708" s="51" t="s">
        <v>7635</v>
      </c>
      <c r="J708" s="33"/>
      <c r="K708" s="51" t="s">
        <v>7636</v>
      </c>
      <c r="L708" s="33" t="s">
        <v>2454</v>
      </c>
      <c r="M708" s="55" t="s">
        <v>4368</v>
      </c>
      <c r="N708" s="55" t="s">
        <v>5827</v>
      </c>
      <c r="O708" s="33" t="s">
        <v>2272</v>
      </c>
      <c r="P708" s="33" t="s">
        <v>2251</v>
      </c>
      <c r="Q708" s="33"/>
      <c r="R708" s="33" t="s">
        <v>2263</v>
      </c>
      <c r="S708" s="56" t="s">
        <v>2277</v>
      </c>
      <c r="T708" s="56"/>
      <c r="U708" s="56"/>
      <c r="V708" s="33" t="s">
        <v>2456</v>
      </c>
      <c r="W708" s="94" t="s">
        <v>2457</v>
      </c>
      <c r="X708" s="94" t="s">
        <v>2474</v>
      </c>
      <c r="Y708" s="51"/>
      <c r="Z708" s="51"/>
      <c r="AA708" s="33" t="s">
        <v>2459</v>
      </c>
      <c r="AB708" s="33" t="s">
        <v>2460</v>
      </c>
      <c r="AC708" s="33"/>
      <c r="AD708" s="33" t="s">
        <v>2254</v>
      </c>
      <c r="AE708" s="33"/>
      <c r="AF708" s="33" t="s">
        <v>2267</v>
      </c>
      <c r="AG708" s="33" t="s">
        <v>2461</v>
      </c>
      <c r="AH708" s="33"/>
      <c r="AI708" s="33"/>
      <c r="AJ708" s="33" t="s">
        <v>7637</v>
      </c>
      <c r="AK708" s="94"/>
      <c r="AL708" s="33" t="s">
        <v>7638</v>
      </c>
      <c r="AM708" s="33"/>
      <c r="AN708" s="33" t="s">
        <v>2465</v>
      </c>
      <c r="AO708" s="51" t="s">
        <v>2538</v>
      </c>
      <c r="AP708" s="51" t="s">
        <v>207</v>
      </c>
      <c r="AQ708" s="33"/>
      <c r="AR708" s="54"/>
      <c r="AS708" s="54"/>
      <c r="AT708" s="54"/>
      <c r="AU708" s="54"/>
      <c r="AV708" s="54"/>
      <c r="AW708" s="54"/>
      <c r="AX708" s="54"/>
      <c r="AY708" s="54"/>
      <c r="AZ708" s="54"/>
      <c r="BA708" s="54"/>
      <c r="BB708" s="54"/>
      <c r="BC708" s="54"/>
      <c r="BD708" s="54" t="s">
        <v>2447</v>
      </c>
      <c r="BE708" s="54"/>
      <c r="BF708" s="54"/>
      <c r="BG708" s="54"/>
      <c r="BH708" s="54"/>
      <c r="BI708" s="54"/>
      <c r="BJ708" s="0"/>
      <c r="BK708" s="0"/>
      <c r="BL708" s="0"/>
      <c r="BM708" s="0"/>
      <c r="BN708" s="0"/>
      <c r="BO708" s="0"/>
      <c r="BP708"/>
      <c r="BQ708"/>
      <c r="BR708"/>
      <c r="BS708"/>
      <c r="BT708"/>
      <c r="BU708"/>
      <c r="BV708"/>
      <c r="BW708"/>
      <c r="BX708"/>
      <c r="BY708"/>
      <c r="BZ708"/>
      <c r="CA708"/>
      <c r="CB708"/>
    </row>
    <row r="709" ht="15.0" customHeight="true">
      <c r="A709" s="51" t="s">
        <v>2448</v>
      </c>
      <c r="B709" s="33"/>
      <c r="C709" s="33" t="s">
        <v>5274</v>
      </c>
      <c r="D709" s="33"/>
      <c r="E709" s="33" t="s">
        <v>7639</v>
      </c>
      <c r="F709" s="33"/>
      <c r="G709" s="55" t="s">
        <v>7640</v>
      </c>
      <c r="H709" s="33"/>
      <c r="I709" s="51" t="s">
        <v>7641</v>
      </c>
      <c r="J709" s="33"/>
      <c r="K709" s="51" t="s">
        <v>7642</v>
      </c>
      <c r="L709" s="33" t="s">
        <v>2454</v>
      </c>
      <c r="M709" s="55" t="s">
        <v>3837</v>
      </c>
      <c r="N709" s="55" t="s">
        <v>7412</v>
      </c>
      <c r="O709" s="33" t="s">
        <v>2271</v>
      </c>
      <c r="P709" s="33" t="s">
        <v>2251</v>
      </c>
      <c r="Q709" s="33"/>
      <c r="R709" s="33" t="s">
        <v>2263</v>
      </c>
      <c r="S709" s="56" t="s">
        <v>2277</v>
      </c>
      <c r="T709" s="56"/>
      <c r="U709" s="56"/>
      <c r="V709" s="33" t="s">
        <v>3837</v>
      </c>
      <c r="W709" s="94" t="s">
        <v>2574</v>
      </c>
      <c r="X709" s="94" t="s">
        <v>2474</v>
      </c>
      <c r="Y709" s="51"/>
      <c r="Z709" s="51"/>
      <c r="AA709" s="33" t="s">
        <v>2459</v>
      </c>
      <c r="AB709" s="33" t="s">
        <v>2460</v>
      </c>
      <c r="AC709" s="33" t="s">
        <v>2486</v>
      </c>
      <c r="AD709" s="33" t="s">
        <v>2254</v>
      </c>
      <c r="AE709" s="33"/>
      <c r="AF709" s="33" t="s">
        <v>2267</v>
      </c>
      <c r="AG709" s="33" t="s">
        <v>2461</v>
      </c>
      <c r="AH709" s="33"/>
      <c r="AI709" s="33"/>
      <c r="AJ709" s="33" t="s">
        <v>7643</v>
      </c>
      <c r="AK709" s="94"/>
      <c r="AL709" s="33" t="s">
        <v>7644</v>
      </c>
      <c r="AM709" s="33"/>
      <c r="AN709" s="33" t="s">
        <v>2588</v>
      </c>
      <c r="AO709" s="51" t="s">
        <v>2911</v>
      </c>
      <c r="AP709" s="51" t="s">
        <v>207</v>
      </c>
      <c r="AQ709" s="33"/>
      <c r="AR709" s="54"/>
      <c r="AS709" s="54"/>
      <c r="AT709" s="54"/>
      <c r="AU709" s="54"/>
      <c r="AV709" s="54"/>
      <c r="AW709" s="54"/>
      <c r="AX709" s="54"/>
      <c r="AY709" s="54" t="s">
        <v>2269</v>
      </c>
      <c r="AZ709" s="54"/>
      <c r="BA709" s="54" t="s">
        <v>3747</v>
      </c>
      <c r="BB709" s="54"/>
      <c r="BC709" s="54"/>
      <c r="BD709" s="54" t="s">
        <v>2447</v>
      </c>
      <c r="BE709" s="54"/>
      <c r="BF709" s="54"/>
      <c r="BG709" s="54"/>
      <c r="BH709" s="54"/>
      <c r="BI709" s="54"/>
      <c r="BJ709" s="0"/>
      <c r="BK709" s="0"/>
      <c r="BL709" s="0"/>
      <c r="BM709" s="0"/>
      <c r="BN709" s="0"/>
      <c r="BO709" s="0"/>
      <c r="BP709"/>
      <c r="BQ709"/>
      <c r="BR709"/>
      <c r="BS709"/>
      <c r="BT709"/>
      <c r="BU709"/>
      <c r="BV709"/>
      <c r="BW709"/>
      <c r="BX709"/>
      <c r="BY709"/>
      <c r="BZ709"/>
      <c r="CA709"/>
      <c r="CB709"/>
    </row>
    <row r="710" ht="15.0" customHeight="true">
      <c r="A710" s="51" t="s">
        <v>2448</v>
      </c>
      <c r="B710" s="33"/>
      <c r="C710" s="33" t="s">
        <v>4189</v>
      </c>
      <c r="D710" s="33"/>
      <c r="E710" s="33" t="s">
        <v>7645</v>
      </c>
      <c r="F710" s="33"/>
      <c r="G710" s="55" t="s">
        <v>7646</v>
      </c>
      <c r="H710" s="33"/>
      <c r="I710" s="51" t="s">
        <v>7647</v>
      </c>
      <c r="J710" s="33"/>
      <c r="K710" s="51" t="s">
        <v>7648</v>
      </c>
      <c r="L710" s="33" t="s">
        <v>2454</v>
      </c>
      <c r="M710" s="55" t="s">
        <v>3358</v>
      </c>
      <c r="N710" s="55" t="s">
        <v>4573</v>
      </c>
      <c r="O710" s="33" t="s">
        <v>2272</v>
      </c>
      <c r="P710" s="33" t="s">
        <v>2251</v>
      </c>
      <c r="Q710" s="33"/>
      <c r="R710" s="33" t="s">
        <v>2263</v>
      </c>
      <c r="S710" s="56" t="s">
        <v>2277</v>
      </c>
      <c r="T710" s="56"/>
      <c r="U710" s="56"/>
      <c r="V710" s="33" t="s">
        <v>2456</v>
      </c>
      <c r="W710" s="94" t="s">
        <v>2457</v>
      </c>
      <c r="X710" s="94" t="s">
        <v>2458</v>
      </c>
      <c r="Y710" s="51"/>
      <c r="Z710" s="51"/>
      <c r="AA710" s="33" t="s">
        <v>2459</v>
      </c>
      <c r="AB710" s="33" t="s">
        <v>2460</v>
      </c>
      <c r="AC710" s="33"/>
      <c r="AD710" s="33" t="s">
        <v>2254</v>
      </c>
      <c r="AE710" s="33"/>
      <c r="AF710" s="33" t="s">
        <v>2267</v>
      </c>
      <c r="AG710" s="33" t="s">
        <v>2461</v>
      </c>
      <c r="AH710" s="33"/>
      <c r="AI710" s="33"/>
      <c r="AJ710" s="33" t="s">
        <v>7649</v>
      </c>
      <c r="AK710" s="94"/>
      <c r="AL710" s="33" t="s">
        <v>2792</v>
      </c>
      <c r="AM710" s="33" t="s">
        <v>7650</v>
      </c>
      <c r="AN710" s="33" t="s">
        <v>2465</v>
      </c>
      <c r="AO710" s="51" t="s">
        <v>2466</v>
      </c>
      <c r="AP710" s="51" t="s">
        <v>207</v>
      </c>
      <c r="AQ710" s="33"/>
      <c r="AR710" s="54"/>
      <c r="AS710" s="54"/>
      <c r="AT710" s="54"/>
      <c r="AU710" s="54"/>
      <c r="AV710" s="54"/>
      <c r="AW710" s="54"/>
      <c r="AX710" s="54"/>
      <c r="AY710" s="54"/>
      <c r="AZ710" s="54"/>
      <c r="BA710" s="54"/>
      <c r="BB710" s="54"/>
      <c r="BC710" s="54"/>
      <c r="BD710" s="54" t="s">
        <v>2447</v>
      </c>
      <c r="BE710" s="54"/>
      <c r="BF710" s="54"/>
      <c r="BG710" s="54"/>
      <c r="BH710" s="54"/>
      <c r="BI710" s="54"/>
      <c r="BJ710" s="0"/>
      <c r="BK710" s="0"/>
      <c r="BL710" s="0"/>
      <c r="BM710" s="0"/>
      <c r="BN710" s="0"/>
      <c r="BO710" s="0"/>
      <c r="BP710"/>
      <c r="BQ710"/>
      <c r="BR710"/>
      <c r="BS710"/>
      <c r="BT710"/>
      <c r="BU710"/>
      <c r="BV710"/>
      <c r="BW710"/>
      <c r="BX710"/>
      <c r="BY710"/>
      <c r="BZ710"/>
      <c r="CA710"/>
      <c r="CB710"/>
    </row>
    <row r="711" ht="15.0" customHeight="true">
      <c r="A711" s="51" t="s">
        <v>2448</v>
      </c>
      <c r="B711" s="33"/>
      <c r="C711" s="33" t="s">
        <v>3604</v>
      </c>
      <c r="D711" s="33"/>
      <c r="E711" s="33" t="s">
        <v>7651</v>
      </c>
      <c r="F711" s="33"/>
      <c r="G711" s="55" t="s">
        <v>7652</v>
      </c>
      <c r="H711" s="33"/>
      <c r="I711" s="51" t="s">
        <v>7653</v>
      </c>
      <c r="J711" s="33"/>
      <c r="K711" s="51" t="s">
        <v>7654</v>
      </c>
      <c r="L711" s="33" t="s">
        <v>2454</v>
      </c>
      <c r="M711" s="55" t="s">
        <v>3966</v>
      </c>
      <c r="N711" s="55" t="s">
        <v>6925</v>
      </c>
      <c r="O711" s="33" t="s">
        <v>2272</v>
      </c>
      <c r="P711" s="33" t="s">
        <v>2251</v>
      </c>
      <c r="Q711" s="33"/>
      <c r="R711" s="33" t="s">
        <v>2263</v>
      </c>
      <c r="S711" s="56" t="s">
        <v>2277</v>
      </c>
      <c r="T711" s="56"/>
      <c r="U711" s="56"/>
      <c r="V711" s="33" t="s">
        <v>2456</v>
      </c>
      <c r="W711" s="94" t="s">
        <v>2457</v>
      </c>
      <c r="X711" s="94" t="s">
        <v>2474</v>
      </c>
      <c r="Y711" s="51"/>
      <c r="Z711" s="51"/>
      <c r="AA711" s="33" t="s">
        <v>2459</v>
      </c>
      <c r="AB711" s="33" t="s">
        <v>2460</v>
      </c>
      <c r="AC711" s="33"/>
      <c r="AD711" s="33" t="s">
        <v>2254</v>
      </c>
      <c r="AE711" s="33"/>
      <c r="AF711" s="33" t="s">
        <v>2267</v>
      </c>
      <c r="AG711" s="33" t="s">
        <v>2461</v>
      </c>
      <c r="AH711" s="33"/>
      <c r="AI711" s="33"/>
      <c r="AJ711" s="33" t="s">
        <v>7655</v>
      </c>
      <c r="AK711" s="94"/>
      <c r="AL711" s="33" t="s">
        <v>7656</v>
      </c>
      <c r="AM711" s="33"/>
      <c r="AN711" s="33" t="s">
        <v>2465</v>
      </c>
      <c r="AO711" s="51" t="s">
        <v>2538</v>
      </c>
      <c r="AP711" s="51" t="s">
        <v>207</v>
      </c>
      <c r="AQ711" s="33"/>
      <c r="AR711" s="54"/>
      <c r="AS711" s="54"/>
      <c r="AT711" s="54"/>
      <c r="AU711" s="54"/>
      <c r="AV711" s="54"/>
      <c r="AW711" s="54"/>
      <c r="AX711" s="54"/>
      <c r="AY711" s="54"/>
      <c r="AZ711" s="54"/>
      <c r="BA711" s="54"/>
      <c r="BB711" s="54"/>
      <c r="BC711" s="54"/>
      <c r="BD711" s="54" t="s">
        <v>2447</v>
      </c>
      <c r="BE711" s="54"/>
      <c r="BF711" s="54"/>
      <c r="BG711" s="54"/>
      <c r="BH711" s="54"/>
      <c r="BI711" s="54"/>
      <c r="BJ711" s="0"/>
      <c r="BK711" s="0"/>
      <c r="BL711" s="0"/>
      <c r="BM711" s="0"/>
      <c r="BN711" s="0"/>
      <c r="BO711" s="0"/>
      <c r="BP711"/>
      <c r="BQ711"/>
      <c r="BR711"/>
      <c r="BS711"/>
      <c r="BT711"/>
      <c r="BU711"/>
      <c r="BV711"/>
      <c r="BW711"/>
      <c r="BX711"/>
      <c r="BY711"/>
      <c r="BZ711"/>
      <c r="CA711"/>
      <c r="CB711"/>
    </row>
    <row r="712" ht="15.0" customHeight="true">
      <c r="A712" s="51" t="s">
        <v>2448</v>
      </c>
      <c r="B712" s="33"/>
      <c r="C712" s="33" t="s">
        <v>7657</v>
      </c>
      <c r="D712" s="33"/>
      <c r="E712" s="33" t="s">
        <v>3014</v>
      </c>
      <c r="F712" s="33"/>
      <c r="G712" s="55" t="s">
        <v>7658</v>
      </c>
      <c r="H712" s="33"/>
      <c r="I712" s="51" t="s">
        <v>7659</v>
      </c>
      <c r="J712" s="33"/>
      <c r="K712" s="51" t="s">
        <v>7660</v>
      </c>
      <c r="L712" s="33" t="s">
        <v>2454</v>
      </c>
      <c r="M712" s="55" t="s">
        <v>3761</v>
      </c>
      <c r="N712" s="55" t="s">
        <v>4846</v>
      </c>
      <c r="O712" s="33" t="s">
        <v>2272</v>
      </c>
      <c r="P712" s="33" t="s">
        <v>2251</v>
      </c>
      <c r="Q712" s="33"/>
      <c r="R712" s="33" t="s">
        <v>2263</v>
      </c>
      <c r="S712" s="56" t="s">
        <v>2277</v>
      </c>
      <c r="T712" s="56"/>
      <c r="U712" s="56"/>
      <c r="V712" s="33" t="s">
        <v>2456</v>
      </c>
      <c r="W712" s="94" t="s">
        <v>2457</v>
      </c>
      <c r="X712" s="94" t="s">
        <v>2474</v>
      </c>
      <c r="Y712" s="51"/>
      <c r="Z712" s="51"/>
      <c r="AA712" s="33" t="s">
        <v>2459</v>
      </c>
      <c r="AB712" s="33" t="s">
        <v>2460</v>
      </c>
      <c r="AC712" s="33"/>
      <c r="AD712" s="33" t="s">
        <v>2254</v>
      </c>
      <c r="AE712" s="33"/>
      <c r="AF712" s="33" t="s">
        <v>2267</v>
      </c>
      <c r="AG712" s="33" t="s">
        <v>2461</v>
      </c>
      <c r="AH712" s="33"/>
      <c r="AI712" s="33"/>
      <c r="AJ712" s="33" t="s">
        <v>7661</v>
      </c>
      <c r="AK712" s="94"/>
      <c r="AL712" s="33" t="s">
        <v>7662</v>
      </c>
      <c r="AM712" s="33"/>
      <c r="AN712" s="33" t="s">
        <v>2465</v>
      </c>
      <c r="AO712" s="51" t="s">
        <v>2673</v>
      </c>
      <c r="AP712" s="51" t="s">
        <v>207</v>
      </c>
      <c r="AQ712" s="33"/>
      <c r="AR712" s="54"/>
      <c r="AS712" s="54"/>
      <c r="AT712" s="54"/>
      <c r="AU712" s="54"/>
      <c r="AV712" s="54"/>
      <c r="AW712" s="54"/>
      <c r="AX712" s="54"/>
      <c r="AY712" s="54"/>
      <c r="AZ712" s="54"/>
      <c r="BA712" s="54"/>
      <c r="BB712" s="54"/>
      <c r="BC712" s="54"/>
      <c r="BD712" s="54" t="s">
        <v>2447</v>
      </c>
      <c r="BE712" s="54"/>
      <c r="BF712" s="54"/>
      <c r="BG712" s="54"/>
      <c r="BH712" s="54"/>
      <c r="BI712" s="54"/>
      <c r="BJ712" s="0"/>
      <c r="BK712" s="0"/>
      <c r="BL712" s="0"/>
      <c r="BM712" s="0"/>
      <c r="BN712" s="0"/>
      <c r="BO712" s="0"/>
      <c r="BP712"/>
      <c r="BQ712"/>
      <c r="BR712"/>
      <c r="BS712"/>
      <c r="BT712"/>
      <c r="BU712"/>
      <c r="BV712"/>
      <c r="BW712"/>
      <c r="BX712"/>
      <c r="BY712"/>
      <c r="BZ712"/>
      <c r="CA712"/>
      <c r="CB712"/>
    </row>
    <row r="713" ht="15.0" customHeight="true">
      <c r="A713" s="51" t="s">
        <v>2448</v>
      </c>
      <c r="B713" s="33"/>
      <c r="C713" s="33" t="s">
        <v>7663</v>
      </c>
      <c r="D713" s="33"/>
      <c r="E713" s="33" t="s">
        <v>7664</v>
      </c>
      <c r="F713" s="33"/>
      <c r="G713" s="55" t="s">
        <v>7665</v>
      </c>
      <c r="H713" s="33"/>
      <c r="I713" s="51" t="s">
        <v>7666</v>
      </c>
      <c r="J713" s="33"/>
      <c r="K713" s="51" t="s">
        <v>7667</v>
      </c>
      <c r="L713" s="33" t="s">
        <v>2454</v>
      </c>
      <c r="M713" s="55" t="s">
        <v>6092</v>
      </c>
      <c r="N713" s="55" t="s">
        <v>4118</v>
      </c>
      <c r="O713" s="33" t="s">
        <v>2272</v>
      </c>
      <c r="P713" s="33" t="s">
        <v>2251</v>
      </c>
      <c r="Q713" s="33"/>
      <c r="R713" s="33" t="s">
        <v>2263</v>
      </c>
      <c r="S713" s="56" t="s">
        <v>2277</v>
      </c>
      <c r="T713" s="56"/>
      <c r="U713" s="56"/>
      <c r="V713" s="33" t="s">
        <v>2456</v>
      </c>
      <c r="W713" s="94" t="s">
        <v>2457</v>
      </c>
      <c r="X713" s="94" t="s">
        <v>2458</v>
      </c>
      <c r="Y713" s="51"/>
      <c r="Z713" s="51"/>
      <c r="AA713" s="33" t="s">
        <v>2459</v>
      </c>
      <c r="AB713" s="33" t="s">
        <v>2460</v>
      </c>
      <c r="AC713" s="33"/>
      <c r="AD713" s="33" t="s">
        <v>2254</v>
      </c>
      <c r="AE713" s="33"/>
      <c r="AF713" s="33" t="s">
        <v>2267</v>
      </c>
      <c r="AG713" s="33" t="s">
        <v>2461</v>
      </c>
      <c r="AH713" s="33"/>
      <c r="AI713" s="33"/>
      <c r="AJ713" s="33" t="s">
        <v>7668</v>
      </c>
      <c r="AK713" s="94"/>
      <c r="AL713" s="33" t="s">
        <v>3274</v>
      </c>
      <c r="AM713" s="33"/>
      <c r="AN713" s="33" t="s">
        <v>2465</v>
      </c>
      <c r="AO713" s="51" t="s">
        <v>2618</v>
      </c>
      <c r="AP713" s="51" t="s">
        <v>207</v>
      </c>
      <c r="AQ713" s="33"/>
      <c r="AR713" s="54"/>
      <c r="AS713" s="54"/>
      <c r="AT713" s="54"/>
      <c r="AU713" s="54"/>
      <c r="AV713" s="54"/>
      <c r="AW713" s="54"/>
      <c r="AX713" s="54"/>
      <c r="AY713" s="54"/>
      <c r="AZ713" s="54"/>
      <c r="BA713" s="54"/>
      <c r="BB713" s="54"/>
      <c r="BC713" s="54"/>
      <c r="BD713" s="54" t="s">
        <v>2447</v>
      </c>
      <c r="BE713" s="54"/>
      <c r="BF713" s="54"/>
      <c r="BG713" s="54"/>
      <c r="BH713" s="54"/>
      <c r="BI713" s="54"/>
      <c r="BJ713" s="0"/>
      <c r="BK713" s="0"/>
      <c r="BL713" s="0"/>
      <c r="BM713" s="0"/>
      <c r="BN713" s="0"/>
      <c r="BO713" s="0"/>
      <c r="BP713"/>
      <c r="BQ713"/>
      <c r="BR713"/>
      <c r="BS713"/>
      <c r="BT713"/>
      <c r="BU713"/>
      <c r="BV713"/>
      <c r="BW713"/>
      <c r="BX713"/>
      <c r="BY713"/>
      <c r="BZ713"/>
      <c r="CA713"/>
      <c r="CB713"/>
    </row>
    <row r="714" ht="15.0" customHeight="true">
      <c r="A714" s="51" t="s">
        <v>2448</v>
      </c>
      <c r="B714" s="33"/>
      <c r="C714" s="33" t="s">
        <v>3404</v>
      </c>
      <c r="D714" s="33"/>
      <c r="E714" s="33" t="s">
        <v>7669</v>
      </c>
      <c r="F714" s="33"/>
      <c r="G714" s="55" t="s">
        <v>5041</v>
      </c>
      <c r="H714" s="33"/>
      <c r="I714" s="51" t="s">
        <v>7670</v>
      </c>
      <c r="J714" s="33"/>
      <c r="K714" s="51" t="s">
        <v>7671</v>
      </c>
      <c r="L714" s="33" t="s">
        <v>2484</v>
      </c>
      <c r="M714" s="55" t="s">
        <v>2708</v>
      </c>
      <c r="N714" s="55"/>
      <c r="O714" s="33"/>
      <c r="P714" s="33" t="s">
        <v>2251</v>
      </c>
      <c r="Q714" s="33"/>
      <c r="R714" s="33" t="s">
        <v>2263</v>
      </c>
      <c r="S714" s="56" t="s">
        <v>2277</v>
      </c>
      <c r="T714" s="56"/>
      <c r="U714" s="56"/>
      <c r="V714" s="33" t="s">
        <v>2456</v>
      </c>
      <c r="W714" s="94" t="s">
        <v>2457</v>
      </c>
      <c r="X714" s="94" t="s">
        <v>2474</v>
      </c>
      <c r="Y714" s="51"/>
      <c r="Z714" s="51"/>
      <c r="AA714" s="33" t="s">
        <v>2459</v>
      </c>
      <c r="AB714" s="33" t="s">
        <v>2460</v>
      </c>
      <c r="AC714" s="33" t="s">
        <v>2486</v>
      </c>
      <c r="AD714" s="33" t="s">
        <v>2254</v>
      </c>
      <c r="AE714" s="33"/>
      <c r="AF714" s="33" t="s">
        <v>2267</v>
      </c>
      <c r="AG714" s="33" t="s">
        <v>2461</v>
      </c>
      <c r="AH714" s="33"/>
      <c r="AI714" s="33"/>
      <c r="AJ714" s="33" t="s">
        <v>7672</v>
      </c>
      <c r="AK714" s="94"/>
      <c r="AL714" s="33" t="s">
        <v>7673</v>
      </c>
      <c r="AM714" s="33"/>
      <c r="AN714" s="33" t="s">
        <v>2465</v>
      </c>
      <c r="AO714" s="51" t="s">
        <v>2478</v>
      </c>
      <c r="AP714" s="51" t="s">
        <v>207</v>
      </c>
      <c r="AQ714" s="33"/>
      <c r="AR714" s="54"/>
      <c r="AS714" s="54"/>
      <c r="AT714" s="54"/>
      <c r="AU714" s="54"/>
      <c r="AV714" s="54"/>
      <c r="AW714" s="54"/>
      <c r="AX714" s="54"/>
      <c r="AY714" s="54"/>
      <c r="AZ714" s="54"/>
      <c r="BA714" s="54"/>
      <c r="BB714" s="54"/>
      <c r="BC714" s="54"/>
      <c r="BD714" s="54" t="s">
        <v>2447</v>
      </c>
      <c r="BE714" s="54"/>
      <c r="BF714" s="54"/>
      <c r="BG714" s="54"/>
      <c r="BH714" s="54"/>
      <c r="BI714" s="54"/>
      <c r="BJ714" s="0"/>
      <c r="BK714" s="0"/>
      <c r="BL714" s="0"/>
      <c r="BM714" s="0"/>
      <c r="BN714" s="0"/>
      <c r="BO714" s="0"/>
      <c r="BP714"/>
      <c r="BQ714"/>
      <c r="BR714"/>
      <c r="BS714"/>
      <c r="BT714"/>
      <c r="BU714"/>
      <c r="BV714"/>
      <c r="BW714"/>
      <c r="BX714"/>
      <c r="BY714"/>
      <c r="BZ714"/>
      <c r="CA714"/>
      <c r="CB714"/>
    </row>
    <row r="715" ht="15.0" customHeight="true">
      <c r="A715" s="51" t="s">
        <v>2448</v>
      </c>
      <c r="B715" s="33"/>
      <c r="C715" s="33" t="s">
        <v>4328</v>
      </c>
      <c r="D715" s="33"/>
      <c r="E715" s="33" t="s">
        <v>3354</v>
      </c>
      <c r="F715" s="33"/>
      <c r="G715" s="55" t="s">
        <v>7674</v>
      </c>
      <c r="H715" s="33"/>
      <c r="I715" s="51" t="s">
        <v>7675</v>
      </c>
      <c r="J715" s="33"/>
      <c r="K715" s="51" t="s">
        <v>7676</v>
      </c>
      <c r="L715" s="33" t="s">
        <v>2484</v>
      </c>
      <c r="M715" s="55" t="s">
        <v>3552</v>
      </c>
      <c r="N715" s="55"/>
      <c r="O715" s="33"/>
      <c r="P715" s="33" t="s">
        <v>2251</v>
      </c>
      <c r="Q715" s="33"/>
      <c r="R715" s="33" t="s">
        <v>2263</v>
      </c>
      <c r="S715" s="56" t="s">
        <v>2277</v>
      </c>
      <c r="T715" s="56"/>
      <c r="U715" s="56"/>
      <c r="V715" s="33" t="s">
        <v>2456</v>
      </c>
      <c r="W715" s="94" t="s">
        <v>2457</v>
      </c>
      <c r="X715" s="94" t="s">
        <v>2474</v>
      </c>
      <c r="Y715" s="51"/>
      <c r="Z715" s="51"/>
      <c r="AA715" s="33" t="s">
        <v>2459</v>
      </c>
      <c r="AB715" s="33" t="s">
        <v>2460</v>
      </c>
      <c r="AC715" s="33" t="s">
        <v>2486</v>
      </c>
      <c r="AD715" s="33" t="s">
        <v>2254</v>
      </c>
      <c r="AE715" s="33"/>
      <c r="AF715" s="33" t="s">
        <v>2267</v>
      </c>
      <c r="AG715" s="33" t="s">
        <v>2461</v>
      </c>
      <c r="AH715" s="33"/>
      <c r="AI715" s="33"/>
      <c r="AJ715" s="33" t="s">
        <v>7677</v>
      </c>
      <c r="AK715" s="94"/>
      <c r="AL715" s="33" t="s">
        <v>7678</v>
      </c>
      <c r="AM715" s="33" t="s">
        <v>7679</v>
      </c>
      <c r="AN715" s="33" t="s">
        <v>2465</v>
      </c>
      <c r="AO715" s="51" t="s">
        <v>2618</v>
      </c>
      <c r="AP715" s="51" t="s">
        <v>207</v>
      </c>
      <c r="AQ715" s="33"/>
      <c r="AR715" s="54"/>
      <c r="AS715" s="54"/>
      <c r="AT715" s="54"/>
      <c r="AU715" s="54"/>
      <c r="AV715" s="54"/>
      <c r="AW715" s="54"/>
      <c r="AX715" s="54"/>
      <c r="AY715" s="54"/>
      <c r="AZ715" s="54"/>
      <c r="BA715" s="54"/>
      <c r="BB715" s="54"/>
      <c r="BC715" s="54"/>
      <c r="BD715" s="54" t="s">
        <v>2447</v>
      </c>
      <c r="BE715" s="54"/>
      <c r="BF715" s="54"/>
      <c r="BG715" s="54"/>
      <c r="BH715" s="54"/>
      <c r="BI715" s="54"/>
      <c r="BJ715" s="0"/>
      <c r="BK715" s="0"/>
      <c r="BL715" s="0"/>
      <c r="BM715" s="0"/>
      <c r="BN715" s="0"/>
      <c r="BO715" s="0"/>
      <c r="BP715"/>
      <c r="BQ715"/>
      <c r="BR715"/>
      <c r="BS715"/>
      <c r="BT715"/>
      <c r="BU715"/>
      <c r="BV715"/>
      <c r="BW715"/>
      <c r="BX715"/>
      <c r="BY715"/>
      <c r="BZ715"/>
      <c r="CA715"/>
      <c r="CB715"/>
    </row>
    <row r="716" ht="15.0" customHeight="true">
      <c r="A716" s="51" t="s">
        <v>2448</v>
      </c>
      <c r="B716" s="33"/>
      <c r="C716" s="33" t="s">
        <v>3547</v>
      </c>
      <c r="D716" s="33"/>
      <c r="E716" s="33" t="s">
        <v>3823</v>
      </c>
      <c r="F716" s="33"/>
      <c r="G716" s="55" t="s">
        <v>7680</v>
      </c>
      <c r="H716" s="33"/>
      <c r="I716" s="51" t="s">
        <v>7681</v>
      </c>
      <c r="J716" s="33"/>
      <c r="K716" s="51" t="s">
        <v>7682</v>
      </c>
      <c r="L716" s="33" t="s">
        <v>2454</v>
      </c>
      <c r="M716" s="55" t="s">
        <v>4589</v>
      </c>
      <c r="N716" s="55" t="s">
        <v>4661</v>
      </c>
      <c r="O716" s="33" t="s">
        <v>2272</v>
      </c>
      <c r="P716" s="33" t="s">
        <v>2251</v>
      </c>
      <c r="Q716" s="33"/>
      <c r="R716" s="33" t="s">
        <v>2263</v>
      </c>
      <c r="S716" s="56" t="s">
        <v>2277</v>
      </c>
      <c r="T716" s="56"/>
      <c r="U716" s="56"/>
      <c r="V716" s="33" t="s">
        <v>2456</v>
      </c>
      <c r="W716" s="94" t="s">
        <v>2457</v>
      </c>
      <c r="X716" s="94" t="s">
        <v>2458</v>
      </c>
      <c r="Y716" s="51"/>
      <c r="Z716" s="51"/>
      <c r="AA716" s="33" t="s">
        <v>2459</v>
      </c>
      <c r="AB716" s="33" t="s">
        <v>2460</v>
      </c>
      <c r="AC716" s="33"/>
      <c r="AD716" s="33" t="s">
        <v>2254</v>
      </c>
      <c r="AE716" s="33"/>
      <c r="AF716" s="33" t="s">
        <v>2267</v>
      </c>
      <c r="AG716" s="33" t="s">
        <v>2461</v>
      </c>
      <c r="AH716" s="33"/>
      <c r="AI716" s="33"/>
      <c r="AJ716" s="33" t="s">
        <v>7683</v>
      </c>
      <c r="AK716" s="94"/>
      <c r="AL716" s="33" t="s">
        <v>7684</v>
      </c>
      <c r="AM716" s="33"/>
      <c r="AN716" s="33" t="s">
        <v>2588</v>
      </c>
      <c r="AO716" s="51" t="s">
        <v>2628</v>
      </c>
      <c r="AP716" s="51" t="s">
        <v>207</v>
      </c>
      <c r="AQ716" s="33"/>
      <c r="AR716" s="54"/>
      <c r="AS716" s="54"/>
      <c r="AT716" s="54"/>
      <c r="AU716" s="54"/>
      <c r="AV716" s="54"/>
      <c r="AW716" s="54"/>
      <c r="AX716" s="54"/>
      <c r="AY716" s="54"/>
      <c r="AZ716" s="54"/>
      <c r="BA716" s="54"/>
      <c r="BB716" s="54"/>
      <c r="BC716" s="54"/>
      <c r="BD716" s="54" t="s">
        <v>2447</v>
      </c>
      <c r="BE716" s="54"/>
      <c r="BF716" s="54"/>
      <c r="BG716" s="54"/>
      <c r="BH716" s="54"/>
      <c r="BI716" s="54"/>
      <c r="BJ716" s="0"/>
      <c r="BK716" s="0"/>
      <c r="BL716" s="0"/>
      <c r="BM716" s="0"/>
      <c r="BN716" s="0"/>
      <c r="BO716" s="0"/>
      <c r="BP716"/>
      <c r="BQ716"/>
      <c r="BR716"/>
      <c r="BS716"/>
      <c r="BT716"/>
      <c r="BU716"/>
      <c r="BV716"/>
      <c r="BW716"/>
      <c r="BX716"/>
      <c r="BY716"/>
      <c r="BZ716"/>
      <c r="CA716"/>
      <c r="CB716"/>
    </row>
    <row r="717" ht="15.0" customHeight="true">
      <c r="A717" s="51" t="s">
        <v>2448</v>
      </c>
      <c r="B717" s="33"/>
      <c r="C717" s="33" t="s">
        <v>7685</v>
      </c>
      <c r="D717" s="33"/>
      <c r="E717" s="33" t="s">
        <v>6055</v>
      </c>
      <c r="F717" s="33"/>
      <c r="G717" s="55" t="s">
        <v>7686</v>
      </c>
      <c r="H717" s="33"/>
      <c r="I717" s="51" t="s">
        <v>7687</v>
      </c>
      <c r="J717" s="33"/>
      <c r="K717" s="51" t="s">
        <v>7688</v>
      </c>
      <c r="L717" s="33" t="s">
        <v>2454</v>
      </c>
      <c r="M717" s="55" t="s">
        <v>7689</v>
      </c>
      <c r="N717" s="55" t="s">
        <v>3499</v>
      </c>
      <c r="O717" s="33" t="s">
        <v>2272</v>
      </c>
      <c r="P717" s="33" t="s">
        <v>2251</v>
      </c>
      <c r="Q717" s="33"/>
      <c r="R717" s="33" t="s">
        <v>2263</v>
      </c>
      <c r="S717" s="56" t="s">
        <v>2277</v>
      </c>
      <c r="T717" s="56"/>
      <c r="U717" s="56"/>
      <c r="V717" s="33" t="s">
        <v>2456</v>
      </c>
      <c r="W717" s="94" t="s">
        <v>2457</v>
      </c>
      <c r="X717" s="94" t="s">
        <v>2458</v>
      </c>
      <c r="Y717" s="51"/>
      <c r="Z717" s="51"/>
      <c r="AA717" s="33" t="s">
        <v>2459</v>
      </c>
      <c r="AB717" s="33" t="s">
        <v>2460</v>
      </c>
      <c r="AC717" s="33"/>
      <c r="AD717" s="33" t="s">
        <v>2254</v>
      </c>
      <c r="AE717" s="33"/>
      <c r="AF717" s="33" t="s">
        <v>2267</v>
      </c>
      <c r="AG717" s="33" t="s">
        <v>2461</v>
      </c>
      <c r="AH717" s="33"/>
      <c r="AI717" s="33"/>
      <c r="AJ717" s="33" t="s">
        <v>7690</v>
      </c>
      <c r="AK717" s="94"/>
      <c r="AL717" s="33" t="s">
        <v>7691</v>
      </c>
      <c r="AM717" s="33"/>
      <c r="AN717" s="33" t="s">
        <v>2465</v>
      </c>
      <c r="AO717" s="51" t="s">
        <v>2466</v>
      </c>
      <c r="AP717" s="51" t="s">
        <v>207</v>
      </c>
      <c r="AQ717" s="33"/>
      <c r="AR717" s="54"/>
      <c r="AS717" s="54"/>
      <c r="AT717" s="54"/>
      <c r="AU717" s="54"/>
      <c r="AV717" s="54"/>
      <c r="AW717" s="54"/>
      <c r="AX717" s="54"/>
      <c r="AY717" s="54"/>
      <c r="AZ717" s="54"/>
      <c r="BA717" s="54"/>
      <c r="BB717" s="54"/>
      <c r="BC717" s="54"/>
      <c r="BD717" s="54" t="s">
        <v>2447</v>
      </c>
      <c r="BE717" s="54"/>
      <c r="BF717" s="54"/>
      <c r="BG717" s="54"/>
      <c r="BH717" s="54"/>
      <c r="BI717" s="54"/>
      <c r="BJ717" s="0"/>
      <c r="BK717" s="0"/>
      <c r="BL717" s="0"/>
      <c r="BM717" s="0"/>
      <c r="BN717" s="0"/>
      <c r="BO717" s="0"/>
      <c r="BP717"/>
      <c r="BQ717"/>
      <c r="BR717"/>
      <c r="BS717"/>
      <c r="BT717"/>
      <c r="BU717"/>
      <c r="BV717"/>
      <c r="BW717"/>
      <c r="BX717"/>
      <c r="BY717"/>
      <c r="BZ717"/>
      <c r="CA717"/>
      <c r="CB717"/>
    </row>
    <row r="718" ht="15.0" customHeight="true">
      <c r="A718" s="51" t="s">
        <v>2448</v>
      </c>
      <c r="B718" s="33"/>
      <c r="C718" s="33" t="s">
        <v>7692</v>
      </c>
      <c r="D718" s="33"/>
      <c r="E718" s="33" t="s">
        <v>7693</v>
      </c>
      <c r="F718" s="33"/>
      <c r="G718" s="55" t="s">
        <v>7694</v>
      </c>
      <c r="H718" s="33"/>
      <c r="I718" s="51" t="s">
        <v>7695</v>
      </c>
      <c r="J718" s="33"/>
      <c r="K718" s="51" t="s">
        <v>7696</v>
      </c>
      <c r="L718" s="33" t="s">
        <v>2454</v>
      </c>
      <c r="M718" s="55" t="s">
        <v>3897</v>
      </c>
      <c r="N718" s="55" t="s">
        <v>6390</v>
      </c>
      <c r="O718" s="33" t="s">
        <v>2272</v>
      </c>
      <c r="P718" s="33" t="s">
        <v>2251</v>
      </c>
      <c r="Q718" s="33"/>
      <c r="R718" s="33" t="s">
        <v>2263</v>
      </c>
      <c r="S718" s="56" t="s">
        <v>2277</v>
      </c>
      <c r="T718" s="56"/>
      <c r="U718" s="56"/>
      <c r="V718" s="33" t="s">
        <v>2456</v>
      </c>
      <c r="W718" s="94" t="s">
        <v>2457</v>
      </c>
      <c r="X718" s="94" t="s">
        <v>2458</v>
      </c>
      <c r="Y718" s="51"/>
      <c r="Z718" s="51"/>
      <c r="AA718" s="33" t="s">
        <v>2459</v>
      </c>
      <c r="AB718" s="33" t="s">
        <v>2460</v>
      </c>
      <c r="AC718" s="33"/>
      <c r="AD718" s="33" t="s">
        <v>2254</v>
      </c>
      <c r="AE718" s="33"/>
      <c r="AF718" s="33" t="s">
        <v>2267</v>
      </c>
      <c r="AG718" s="33" t="s">
        <v>2461</v>
      </c>
      <c r="AH718" s="33"/>
      <c r="AI718" s="33"/>
      <c r="AJ718" s="33" t="s">
        <v>7697</v>
      </c>
      <c r="AK718" s="94"/>
      <c r="AL718" s="33" t="s">
        <v>7119</v>
      </c>
      <c r="AM718" s="33" t="s">
        <v>5125</v>
      </c>
      <c r="AN718" s="33" t="s">
        <v>2465</v>
      </c>
      <c r="AO718" s="51" t="s">
        <v>2618</v>
      </c>
      <c r="AP718" s="51" t="s">
        <v>207</v>
      </c>
      <c r="AQ718" s="33"/>
      <c r="AR718" s="54"/>
      <c r="AS718" s="54"/>
      <c r="AT718" s="54"/>
      <c r="AU718" s="54"/>
      <c r="AV718" s="54"/>
      <c r="AW718" s="54"/>
      <c r="AX718" s="54"/>
      <c r="AY718" s="54"/>
      <c r="AZ718" s="54"/>
      <c r="BA718" s="54"/>
      <c r="BB718" s="54"/>
      <c r="BC718" s="54"/>
      <c r="BD718" s="54" t="s">
        <v>2447</v>
      </c>
      <c r="BE718" s="54"/>
      <c r="BF718" s="54"/>
      <c r="BG718" s="54"/>
      <c r="BH718" s="54"/>
      <c r="BI718" s="54"/>
      <c r="BJ718" s="0"/>
      <c r="BK718" s="0"/>
      <c r="BL718" s="0"/>
      <c r="BM718" s="0"/>
      <c r="BN718" s="0"/>
      <c r="BO718" s="0"/>
      <c r="BP718"/>
      <c r="BQ718"/>
      <c r="BR718"/>
      <c r="BS718"/>
      <c r="BT718"/>
      <c r="BU718"/>
      <c r="BV718"/>
      <c r="BW718"/>
      <c r="BX718"/>
      <c r="BY718"/>
      <c r="BZ718"/>
      <c r="CA718"/>
      <c r="CB718"/>
    </row>
    <row r="719" ht="15.0" customHeight="true">
      <c r="A719" s="51" t="s">
        <v>2448</v>
      </c>
      <c r="B719" s="33"/>
      <c r="C719" s="33" t="s">
        <v>4278</v>
      </c>
      <c r="D719" s="33"/>
      <c r="E719" s="33" t="s">
        <v>7698</v>
      </c>
      <c r="F719" s="33"/>
      <c r="G719" s="55" t="s">
        <v>7699</v>
      </c>
      <c r="H719" s="33"/>
      <c r="I719" s="51" t="s">
        <v>7700</v>
      </c>
      <c r="J719" s="33"/>
      <c r="K719" s="51" t="s">
        <v>7701</v>
      </c>
      <c r="L719" s="33" t="s">
        <v>2454</v>
      </c>
      <c r="M719" s="55" t="s">
        <v>3194</v>
      </c>
      <c r="N719" s="55" t="s">
        <v>2816</v>
      </c>
      <c r="O719" s="33" t="s">
        <v>2272</v>
      </c>
      <c r="P719" s="33" t="s">
        <v>2251</v>
      </c>
      <c r="Q719" s="33"/>
      <c r="R719" s="33" t="s">
        <v>2263</v>
      </c>
      <c r="S719" s="56" t="s">
        <v>2277</v>
      </c>
      <c r="T719" s="56"/>
      <c r="U719" s="56"/>
      <c r="V719" s="33" t="s">
        <v>2456</v>
      </c>
      <c r="W719" s="94" t="s">
        <v>2457</v>
      </c>
      <c r="X719" s="94" t="s">
        <v>2458</v>
      </c>
      <c r="Y719" s="51"/>
      <c r="Z719" s="51"/>
      <c r="AA719" s="33" t="s">
        <v>2459</v>
      </c>
      <c r="AB719" s="33" t="s">
        <v>2460</v>
      </c>
      <c r="AC719" s="33"/>
      <c r="AD719" s="33" t="s">
        <v>2254</v>
      </c>
      <c r="AE719" s="33"/>
      <c r="AF719" s="33" t="s">
        <v>2267</v>
      </c>
      <c r="AG719" s="33" t="s">
        <v>2461</v>
      </c>
      <c r="AH719" s="33"/>
      <c r="AI719" s="33"/>
      <c r="AJ719" s="33" t="s">
        <v>7702</v>
      </c>
      <c r="AK719" s="94"/>
      <c r="AL719" s="33" t="s">
        <v>7703</v>
      </c>
      <c r="AM719" s="33"/>
      <c r="AN719" s="33" t="s">
        <v>2465</v>
      </c>
      <c r="AO719" s="51" t="s">
        <v>2489</v>
      </c>
      <c r="AP719" s="51" t="s">
        <v>207</v>
      </c>
      <c r="AQ719" s="33"/>
      <c r="AR719" s="54"/>
      <c r="AS719" s="54"/>
      <c r="AT719" s="54"/>
      <c r="AU719" s="54"/>
      <c r="AV719" s="54"/>
      <c r="AW719" s="54"/>
      <c r="AX719" s="54"/>
      <c r="AY719" s="54"/>
      <c r="AZ719" s="54"/>
      <c r="BA719" s="54"/>
      <c r="BB719" s="54"/>
      <c r="BC719" s="54"/>
      <c r="BD719" s="54" t="s">
        <v>2447</v>
      </c>
      <c r="BE719" s="54"/>
      <c r="BF719" s="54"/>
      <c r="BG719" s="54"/>
      <c r="BH719" s="54"/>
      <c r="BI719" s="54"/>
      <c r="BJ719" s="0"/>
      <c r="BK719" s="0"/>
      <c r="BL719" s="0"/>
      <c r="BM719" s="0"/>
      <c r="BN719" s="0"/>
      <c r="BO719" s="0"/>
      <c r="BP719"/>
      <c r="BQ719"/>
      <c r="BR719"/>
      <c r="BS719"/>
      <c r="BT719"/>
      <c r="BU719"/>
      <c r="BV719"/>
      <c r="BW719"/>
      <c r="BX719"/>
      <c r="BY719"/>
      <c r="BZ719"/>
      <c r="CA719"/>
      <c r="CB719"/>
    </row>
    <row r="720" ht="15.0" customHeight="true">
      <c r="A720" s="51" t="s">
        <v>2448</v>
      </c>
      <c r="B720" s="33"/>
      <c r="C720" s="33" t="s">
        <v>7704</v>
      </c>
      <c r="D720" s="33"/>
      <c r="E720" s="33" t="s">
        <v>7705</v>
      </c>
      <c r="F720" s="33"/>
      <c r="G720" s="55" t="s">
        <v>7706</v>
      </c>
      <c r="H720" s="33"/>
      <c r="I720" s="51" t="s">
        <v>7707</v>
      </c>
      <c r="J720" s="33"/>
      <c r="K720" s="51" t="s">
        <v>7708</v>
      </c>
      <c r="L720" s="33" t="s">
        <v>2454</v>
      </c>
      <c r="M720" s="55" t="s">
        <v>7709</v>
      </c>
      <c r="N720" s="55" t="s">
        <v>4094</v>
      </c>
      <c r="O720" s="33" t="s">
        <v>2272</v>
      </c>
      <c r="P720" s="33" t="s">
        <v>2251</v>
      </c>
      <c r="Q720" s="33"/>
      <c r="R720" s="33" t="s">
        <v>2263</v>
      </c>
      <c r="S720" s="56" t="s">
        <v>2277</v>
      </c>
      <c r="T720" s="56"/>
      <c r="U720" s="56"/>
      <c r="V720" s="33" t="s">
        <v>2456</v>
      </c>
      <c r="W720" s="94" t="s">
        <v>2457</v>
      </c>
      <c r="X720" s="94" t="s">
        <v>2458</v>
      </c>
      <c r="Y720" s="51"/>
      <c r="Z720" s="51"/>
      <c r="AA720" s="33" t="s">
        <v>2459</v>
      </c>
      <c r="AB720" s="33" t="s">
        <v>2460</v>
      </c>
      <c r="AC720" s="33"/>
      <c r="AD720" s="33" t="s">
        <v>2254</v>
      </c>
      <c r="AE720" s="33"/>
      <c r="AF720" s="33" t="s">
        <v>2267</v>
      </c>
      <c r="AG720" s="33" t="s">
        <v>2461</v>
      </c>
      <c r="AH720" s="33"/>
      <c r="AI720" s="33"/>
      <c r="AJ720" s="33" t="s">
        <v>7710</v>
      </c>
      <c r="AK720" s="94"/>
      <c r="AL720" s="33" t="s">
        <v>7711</v>
      </c>
      <c r="AM720" s="33"/>
      <c r="AN720" s="33" t="s">
        <v>2465</v>
      </c>
      <c r="AO720" s="51" t="s">
        <v>2478</v>
      </c>
      <c r="AP720" s="51" t="s">
        <v>207</v>
      </c>
      <c r="AQ720" s="33"/>
      <c r="AR720" s="54"/>
      <c r="AS720" s="54"/>
      <c r="AT720" s="54"/>
      <c r="AU720" s="54"/>
      <c r="AV720" s="54"/>
      <c r="AW720" s="54"/>
      <c r="AX720" s="54"/>
      <c r="AY720" s="54"/>
      <c r="AZ720" s="54"/>
      <c r="BA720" s="54"/>
      <c r="BB720" s="54"/>
      <c r="BC720" s="54"/>
      <c r="BD720" s="54" t="s">
        <v>2447</v>
      </c>
      <c r="BE720" s="54"/>
      <c r="BF720" s="54"/>
      <c r="BG720" s="54"/>
      <c r="BH720" s="54"/>
      <c r="BI720" s="54"/>
      <c r="BJ720" s="0"/>
      <c r="BK720" s="0"/>
      <c r="BL720" s="0"/>
      <c r="BM720" s="0"/>
      <c r="BN720" s="0"/>
      <c r="BO720" s="0"/>
      <c r="BP720"/>
      <c r="BQ720"/>
      <c r="BR720"/>
      <c r="BS720"/>
      <c r="BT720"/>
      <c r="BU720"/>
      <c r="BV720"/>
      <c r="BW720"/>
      <c r="BX720"/>
      <c r="BY720"/>
      <c r="BZ720"/>
      <c r="CA720"/>
      <c r="CB720"/>
    </row>
    <row r="721" ht="15.0" customHeight="true">
      <c r="A721" s="51" t="s">
        <v>2448</v>
      </c>
      <c r="B721" s="33"/>
      <c r="C721" s="33" t="s">
        <v>3538</v>
      </c>
      <c r="D721" s="33"/>
      <c r="E721" s="33" t="s">
        <v>2879</v>
      </c>
      <c r="F721" s="33"/>
      <c r="G721" s="55" t="s">
        <v>7712</v>
      </c>
      <c r="H721" s="33"/>
      <c r="I721" s="51" t="s">
        <v>7713</v>
      </c>
      <c r="J721" s="33"/>
      <c r="K721" s="51" t="s">
        <v>7714</v>
      </c>
      <c r="L721" s="33" t="s">
        <v>2484</v>
      </c>
      <c r="M721" s="55" t="s">
        <v>2708</v>
      </c>
      <c r="N721" s="55"/>
      <c r="O721" s="33"/>
      <c r="P721" s="33" t="s">
        <v>2251</v>
      </c>
      <c r="Q721" s="33"/>
      <c r="R721" s="33" t="s">
        <v>2263</v>
      </c>
      <c r="S721" s="56" t="s">
        <v>2277</v>
      </c>
      <c r="T721" s="56"/>
      <c r="U721" s="56"/>
      <c r="V721" s="33" t="s">
        <v>2456</v>
      </c>
      <c r="W721" s="94" t="s">
        <v>2457</v>
      </c>
      <c r="X721" s="94" t="s">
        <v>2474</v>
      </c>
      <c r="Y721" s="51"/>
      <c r="Z721" s="51"/>
      <c r="AA721" s="33" t="s">
        <v>2459</v>
      </c>
      <c r="AB721" s="33" t="s">
        <v>2460</v>
      </c>
      <c r="AC721" s="33" t="s">
        <v>2486</v>
      </c>
      <c r="AD721" s="33" t="s">
        <v>2254</v>
      </c>
      <c r="AE721" s="33"/>
      <c r="AF721" s="33" t="s">
        <v>2267</v>
      </c>
      <c r="AG721" s="33" t="s">
        <v>2461</v>
      </c>
      <c r="AH721" s="33"/>
      <c r="AI721" s="33"/>
      <c r="AJ721" s="33" t="s">
        <v>7715</v>
      </c>
      <c r="AK721" s="94"/>
      <c r="AL721" s="33" t="s">
        <v>7716</v>
      </c>
      <c r="AM721" s="33"/>
      <c r="AN721" s="33" t="s">
        <v>2465</v>
      </c>
      <c r="AO721" s="51" t="s">
        <v>2528</v>
      </c>
      <c r="AP721" s="51" t="s">
        <v>207</v>
      </c>
      <c r="AQ721" s="33"/>
      <c r="AR721" s="54"/>
      <c r="AS721" s="54"/>
      <c r="AT721" s="54"/>
      <c r="AU721" s="54"/>
      <c r="AV721" s="54"/>
      <c r="AW721" s="54"/>
      <c r="AX721" s="54"/>
      <c r="AY721" s="54"/>
      <c r="AZ721" s="54"/>
      <c r="BA721" s="54"/>
      <c r="BB721" s="54"/>
      <c r="BC721" s="54"/>
      <c r="BD721" s="54" t="s">
        <v>2447</v>
      </c>
      <c r="BE721" s="54"/>
      <c r="BF721" s="54"/>
      <c r="BG721" s="54"/>
      <c r="BH721" s="54"/>
      <c r="BI721" s="54"/>
      <c r="BJ721" s="0"/>
      <c r="BK721" s="0"/>
      <c r="BL721" s="0"/>
      <c r="BM721" s="0"/>
      <c r="BN721" s="0"/>
      <c r="BO721" s="0"/>
      <c r="BP721"/>
      <c r="BQ721"/>
      <c r="BR721"/>
      <c r="BS721"/>
      <c r="BT721"/>
      <c r="BU721"/>
      <c r="BV721"/>
      <c r="BW721"/>
      <c r="BX721"/>
      <c r="BY721"/>
      <c r="BZ721"/>
      <c r="CA721"/>
      <c r="CB721"/>
    </row>
    <row r="722" ht="15.0" customHeight="true">
      <c r="A722" s="51" t="s">
        <v>2448</v>
      </c>
      <c r="B722" s="33"/>
      <c r="C722" s="33" t="s">
        <v>7717</v>
      </c>
      <c r="D722" s="33"/>
      <c r="E722" s="33" t="s">
        <v>7718</v>
      </c>
      <c r="F722" s="33"/>
      <c r="G722" s="55" t="s">
        <v>7719</v>
      </c>
      <c r="H722" s="33"/>
      <c r="I722" s="51" t="s">
        <v>7720</v>
      </c>
      <c r="J722" s="33"/>
      <c r="K722" s="51" t="s">
        <v>7721</v>
      </c>
      <c r="L722" s="33" t="s">
        <v>2454</v>
      </c>
      <c r="M722" s="55" t="s">
        <v>2850</v>
      </c>
      <c r="N722" s="55" t="s">
        <v>7722</v>
      </c>
      <c r="O722" s="33" t="s">
        <v>2271</v>
      </c>
      <c r="P722" s="33" t="s">
        <v>2251</v>
      </c>
      <c r="Q722" s="33"/>
      <c r="R722" s="33" t="s">
        <v>2263</v>
      </c>
      <c r="S722" s="56" t="s">
        <v>2277</v>
      </c>
      <c r="T722" s="56"/>
      <c r="U722" s="56"/>
      <c r="V722" s="33" t="s">
        <v>2850</v>
      </c>
      <c r="W722" s="94" t="s">
        <v>2574</v>
      </c>
      <c r="X722" s="94" t="s">
        <v>2458</v>
      </c>
      <c r="Y722" s="51"/>
      <c r="Z722" s="51"/>
      <c r="AA722" s="33" t="s">
        <v>2459</v>
      </c>
      <c r="AB722" s="33" t="s">
        <v>2460</v>
      </c>
      <c r="AC722" s="33" t="s">
        <v>2486</v>
      </c>
      <c r="AD722" s="33" t="s">
        <v>2254</v>
      </c>
      <c r="AE722" s="33"/>
      <c r="AF722" s="33" t="s">
        <v>2267</v>
      </c>
      <c r="AG722" s="33" t="s">
        <v>2461</v>
      </c>
      <c r="AH722" s="33"/>
      <c r="AI722" s="33"/>
      <c r="AJ722" s="33" t="s">
        <v>7723</v>
      </c>
      <c r="AK722" s="94"/>
      <c r="AL722" s="33" t="s">
        <v>7724</v>
      </c>
      <c r="AM722" s="33"/>
      <c r="AN722" s="33" t="s">
        <v>2588</v>
      </c>
      <c r="AO722" s="51" t="s">
        <v>2589</v>
      </c>
      <c r="AP722" s="51" t="s">
        <v>207</v>
      </c>
      <c r="AQ722" s="33"/>
      <c r="AR722" s="54"/>
      <c r="AS722" s="54"/>
      <c r="AT722" s="54"/>
      <c r="AU722" s="54"/>
      <c r="AV722" s="54"/>
      <c r="AW722" s="54"/>
      <c r="AX722" s="54"/>
      <c r="AY722" s="54" t="s">
        <v>2269</v>
      </c>
      <c r="AZ722" s="54"/>
      <c r="BA722" s="54"/>
      <c r="BB722" s="54"/>
      <c r="BC722" s="54"/>
      <c r="BD722" s="54" t="s">
        <v>2447</v>
      </c>
      <c r="BE722" s="54"/>
      <c r="BF722" s="54"/>
      <c r="BG722" s="54"/>
      <c r="BH722" s="54"/>
      <c r="BI722" s="54"/>
      <c r="BJ722" s="0"/>
      <c r="BK722" s="0"/>
      <c r="BL722" s="0"/>
      <c r="BM722" s="0"/>
      <c r="BN722" s="0"/>
      <c r="BO722" s="0"/>
      <c r="BP722"/>
      <c r="BQ722"/>
      <c r="BR722"/>
      <c r="BS722"/>
      <c r="BT722"/>
      <c r="BU722"/>
      <c r="BV722"/>
      <c r="BW722"/>
      <c r="BX722"/>
      <c r="BY722"/>
      <c r="BZ722"/>
      <c r="CA722"/>
      <c r="CB722"/>
    </row>
    <row r="723" ht="15.0" customHeight="true">
      <c r="A723" s="51" t="s">
        <v>2448</v>
      </c>
      <c r="B723" s="33"/>
      <c r="C723" s="33" t="s">
        <v>3900</v>
      </c>
      <c r="D723" s="33"/>
      <c r="E723" s="33" t="s">
        <v>6023</v>
      </c>
      <c r="F723" s="33"/>
      <c r="G723" s="55" t="s">
        <v>7725</v>
      </c>
      <c r="H723" s="33"/>
      <c r="I723" s="51" t="s">
        <v>7726</v>
      </c>
      <c r="J723" s="33"/>
      <c r="K723" s="51" t="s">
        <v>7727</v>
      </c>
      <c r="L723" s="33" t="s">
        <v>2454</v>
      </c>
      <c r="M723" s="55" t="s">
        <v>4805</v>
      </c>
      <c r="N723" s="55" t="s">
        <v>2772</v>
      </c>
      <c r="O723" s="33" t="s">
        <v>2276</v>
      </c>
      <c r="P723" s="33" t="s">
        <v>2251</v>
      </c>
      <c r="Q723" s="33"/>
      <c r="R723" s="33" t="s">
        <v>2263</v>
      </c>
      <c r="S723" s="56" t="s">
        <v>2277</v>
      </c>
      <c r="T723" s="56"/>
      <c r="U723" s="56"/>
      <c r="V723" s="33" t="s">
        <v>4805</v>
      </c>
      <c r="W723" s="94" t="s">
        <v>2574</v>
      </c>
      <c r="X723" s="94" t="s">
        <v>2474</v>
      </c>
      <c r="Y723" s="51"/>
      <c r="Z723" s="51"/>
      <c r="AA723" s="33" t="s">
        <v>2459</v>
      </c>
      <c r="AB723" s="33" t="s">
        <v>2460</v>
      </c>
      <c r="AC723" s="33" t="s">
        <v>2486</v>
      </c>
      <c r="AD723" s="33" t="s">
        <v>2254</v>
      </c>
      <c r="AE723" s="33"/>
      <c r="AF723" s="33" t="s">
        <v>2267</v>
      </c>
      <c r="AG723" s="33" t="s">
        <v>2461</v>
      </c>
      <c r="AH723" s="33"/>
      <c r="AI723" s="33"/>
      <c r="AJ723" s="33" t="s">
        <v>7728</v>
      </c>
      <c r="AK723" s="94"/>
      <c r="AL723" s="33" t="s">
        <v>7729</v>
      </c>
      <c r="AM723" s="33"/>
      <c r="AN723" s="33" t="s">
        <v>2465</v>
      </c>
      <c r="AO723" s="51" t="s">
        <v>2548</v>
      </c>
      <c r="AP723" s="51" t="s">
        <v>207</v>
      </c>
      <c r="AQ723" s="33"/>
      <c r="AR723" s="54"/>
      <c r="AS723" s="54"/>
      <c r="AT723" s="54"/>
      <c r="AU723" s="54"/>
      <c r="AV723" s="54"/>
      <c r="AW723" s="54"/>
      <c r="AX723" s="54"/>
      <c r="AY723" s="54" t="s">
        <v>2269</v>
      </c>
      <c r="AZ723" s="54"/>
      <c r="BA723" s="54"/>
      <c r="BB723" s="54"/>
      <c r="BC723" s="54"/>
      <c r="BD723" s="54" t="s">
        <v>2447</v>
      </c>
      <c r="BE723" s="54"/>
      <c r="BF723" s="54"/>
      <c r="BG723" s="54"/>
      <c r="BH723" s="54"/>
      <c r="BI723" s="54"/>
      <c r="BJ723" s="0"/>
      <c r="BK723" s="0"/>
      <c r="BL723" s="0"/>
      <c r="BM723" s="0"/>
      <c r="BN723" s="0"/>
      <c r="BO723" s="0"/>
      <c r="BP723"/>
      <c r="BQ723"/>
      <c r="BR723"/>
      <c r="BS723"/>
      <c r="BT723"/>
      <c r="BU723"/>
      <c r="BV723"/>
      <c r="BW723"/>
      <c r="BX723"/>
      <c r="BY723"/>
      <c r="BZ723"/>
      <c r="CA723"/>
      <c r="CB723"/>
    </row>
    <row r="724" ht="15.0" customHeight="true">
      <c r="A724" s="51" t="s">
        <v>2448</v>
      </c>
      <c r="B724" s="33"/>
      <c r="C724" s="33" t="s">
        <v>7730</v>
      </c>
      <c r="D724" s="33"/>
      <c r="E724" s="33" t="s">
        <v>7731</v>
      </c>
      <c r="F724" s="33"/>
      <c r="G724" s="55" t="s">
        <v>7732</v>
      </c>
      <c r="H724" s="33"/>
      <c r="I724" s="51" t="s">
        <v>7733</v>
      </c>
      <c r="J724" s="33"/>
      <c r="K724" s="51" t="s">
        <v>7734</v>
      </c>
      <c r="L724" s="33" t="s">
        <v>2454</v>
      </c>
      <c r="M724" s="55" t="s">
        <v>7735</v>
      </c>
      <c r="N724" s="55" t="s">
        <v>5521</v>
      </c>
      <c r="O724" s="33" t="s">
        <v>2272</v>
      </c>
      <c r="P724" s="33" t="s">
        <v>2251</v>
      </c>
      <c r="Q724" s="33"/>
      <c r="R724" s="33" t="s">
        <v>2263</v>
      </c>
      <c r="S724" s="56" t="s">
        <v>2277</v>
      </c>
      <c r="T724" s="56"/>
      <c r="U724" s="56"/>
      <c r="V724" s="33" t="s">
        <v>2456</v>
      </c>
      <c r="W724" s="94" t="s">
        <v>2457</v>
      </c>
      <c r="X724" s="94" t="s">
        <v>2458</v>
      </c>
      <c r="Y724" s="51"/>
      <c r="Z724" s="51"/>
      <c r="AA724" s="33" t="s">
        <v>2459</v>
      </c>
      <c r="AB724" s="33" t="s">
        <v>2460</v>
      </c>
      <c r="AC724" s="33"/>
      <c r="AD724" s="33" t="s">
        <v>2254</v>
      </c>
      <c r="AE724" s="33"/>
      <c r="AF724" s="33" t="s">
        <v>2267</v>
      </c>
      <c r="AG724" s="33" t="s">
        <v>2461</v>
      </c>
      <c r="AH724" s="33"/>
      <c r="AI724" s="33"/>
      <c r="AJ724" s="33" t="s">
        <v>7736</v>
      </c>
      <c r="AK724" s="94"/>
      <c r="AL724" s="33" t="s">
        <v>7737</v>
      </c>
      <c r="AM724" s="33"/>
      <c r="AN724" s="33" t="s">
        <v>2465</v>
      </c>
      <c r="AO724" s="51" t="s">
        <v>2489</v>
      </c>
      <c r="AP724" s="51" t="s">
        <v>207</v>
      </c>
      <c r="AQ724" s="33"/>
      <c r="AR724" s="54"/>
      <c r="AS724" s="54"/>
      <c r="AT724" s="54"/>
      <c r="AU724" s="54"/>
      <c r="AV724" s="54"/>
      <c r="AW724" s="54"/>
      <c r="AX724" s="54"/>
      <c r="AY724" s="54"/>
      <c r="AZ724" s="54"/>
      <c r="BA724" s="54"/>
      <c r="BB724" s="54"/>
      <c r="BC724" s="54"/>
      <c r="BD724" s="54" t="s">
        <v>2447</v>
      </c>
      <c r="BE724" s="54"/>
      <c r="BF724" s="54"/>
      <c r="BG724" s="54"/>
      <c r="BH724" s="54"/>
      <c r="BI724" s="54"/>
      <c r="BJ724" s="0"/>
      <c r="BK724" s="0"/>
      <c r="BL724" s="0"/>
      <c r="BM724" s="0"/>
      <c r="BN724" s="0"/>
      <c r="BO724" s="0"/>
      <c r="BP724"/>
      <c r="BQ724"/>
      <c r="BR724"/>
      <c r="BS724"/>
      <c r="BT724"/>
      <c r="BU724"/>
      <c r="BV724"/>
      <c r="BW724"/>
      <c r="BX724"/>
      <c r="BY724"/>
      <c r="BZ724"/>
      <c r="CA724"/>
      <c r="CB724"/>
    </row>
    <row r="725" ht="15.0" customHeight="true">
      <c r="A725" s="51" t="s">
        <v>2448</v>
      </c>
      <c r="B725" s="33"/>
      <c r="C725" s="33" t="s">
        <v>5108</v>
      </c>
      <c r="D725" s="33"/>
      <c r="E725" s="33" t="s">
        <v>3302</v>
      </c>
      <c r="F725" s="33"/>
      <c r="G725" s="55" t="s">
        <v>7738</v>
      </c>
      <c r="H725" s="33"/>
      <c r="I725" s="51" t="s">
        <v>7739</v>
      </c>
      <c r="J725" s="33"/>
      <c r="K725" s="51" t="s">
        <v>7740</v>
      </c>
      <c r="L725" s="33" t="s">
        <v>2454</v>
      </c>
      <c r="M725" s="55" t="s">
        <v>6783</v>
      </c>
      <c r="N725" s="55" t="s">
        <v>2937</v>
      </c>
      <c r="O725" s="33" t="s">
        <v>2272</v>
      </c>
      <c r="P725" s="33" t="s">
        <v>2251</v>
      </c>
      <c r="Q725" s="33"/>
      <c r="R725" s="33" t="s">
        <v>2263</v>
      </c>
      <c r="S725" s="56" t="s">
        <v>2277</v>
      </c>
      <c r="T725" s="56"/>
      <c r="U725" s="56"/>
      <c r="V725" s="33" t="s">
        <v>2456</v>
      </c>
      <c r="W725" s="94" t="s">
        <v>2457</v>
      </c>
      <c r="X725" s="94" t="s">
        <v>2474</v>
      </c>
      <c r="Y725" s="51"/>
      <c r="Z725" s="51"/>
      <c r="AA725" s="33" t="s">
        <v>2459</v>
      </c>
      <c r="AB725" s="33" t="s">
        <v>2460</v>
      </c>
      <c r="AC725" s="33"/>
      <c r="AD725" s="33" t="s">
        <v>2254</v>
      </c>
      <c r="AE725" s="33"/>
      <c r="AF725" s="33" t="s">
        <v>2267</v>
      </c>
      <c r="AG725" s="33" t="s">
        <v>2461</v>
      </c>
      <c r="AH725" s="33"/>
      <c r="AI725" s="33"/>
      <c r="AJ725" s="33" t="s">
        <v>7741</v>
      </c>
      <c r="AK725" s="94"/>
      <c r="AL725" s="33" t="s">
        <v>7742</v>
      </c>
      <c r="AM725" s="33"/>
      <c r="AN725" s="33" t="s">
        <v>2465</v>
      </c>
      <c r="AO725" s="51" t="s">
        <v>2489</v>
      </c>
      <c r="AP725" s="51" t="s">
        <v>207</v>
      </c>
      <c r="AQ725" s="33"/>
      <c r="AR725" s="54"/>
      <c r="AS725" s="54"/>
      <c r="AT725" s="54"/>
      <c r="AU725" s="54"/>
      <c r="AV725" s="54"/>
      <c r="AW725" s="54"/>
      <c r="AX725" s="54"/>
      <c r="AY725" s="54"/>
      <c r="AZ725" s="54"/>
      <c r="BA725" s="54"/>
      <c r="BB725" s="54"/>
      <c r="BC725" s="54"/>
      <c r="BD725" s="54" t="s">
        <v>2447</v>
      </c>
      <c r="BE725" s="54"/>
      <c r="BF725" s="54"/>
      <c r="BG725" s="54"/>
      <c r="BH725" s="54"/>
      <c r="BI725" s="54"/>
      <c r="BJ725" s="0"/>
      <c r="BK725" s="0"/>
      <c r="BL725" s="0"/>
      <c r="BM725" s="0"/>
      <c r="BN725" s="0"/>
      <c r="BO725" s="0"/>
      <c r="BP725"/>
      <c r="BQ725"/>
      <c r="BR725"/>
      <c r="BS725"/>
      <c r="BT725"/>
      <c r="BU725"/>
      <c r="BV725"/>
      <c r="BW725"/>
      <c r="BX725"/>
      <c r="BY725"/>
      <c r="BZ725"/>
      <c r="CA725"/>
      <c r="CB725"/>
    </row>
    <row r="726" ht="15.0" customHeight="true">
      <c r="A726" s="51" t="s">
        <v>2448</v>
      </c>
      <c r="B726" s="33"/>
      <c r="C726" s="33" t="s">
        <v>7743</v>
      </c>
      <c r="D726" s="33"/>
      <c r="E726" s="33" t="s">
        <v>7744</v>
      </c>
      <c r="F726" s="33"/>
      <c r="G726" s="55" t="s">
        <v>7745</v>
      </c>
      <c r="H726" s="33"/>
      <c r="I726" s="51" t="s">
        <v>7746</v>
      </c>
      <c r="J726" s="33"/>
      <c r="K726" s="51" t="s">
        <v>7747</v>
      </c>
      <c r="L726" s="33" t="s">
        <v>2454</v>
      </c>
      <c r="M726" s="55" t="s">
        <v>2772</v>
      </c>
      <c r="N726" s="55" t="s">
        <v>4392</v>
      </c>
      <c r="O726" s="33" t="s">
        <v>2276</v>
      </c>
      <c r="P726" s="33" t="s">
        <v>2251</v>
      </c>
      <c r="Q726" s="33"/>
      <c r="R726" s="33" t="s">
        <v>2263</v>
      </c>
      <c r="S726" s="56" t="s">
        <v>2277</v>
      </c>
      <c r="T726" s="56"/>
      <c r="U726" s="56"/>
      <c r="V726" s="33" t="s">
        <v>2772</v>
      </c>
      <c r="W726" s="94" t="s">
        <v>2574</v>
      </c>
      <c r="X726" s="94" t="s">
        <v>2474</v>
      </c>
      <c r="Y726" s="51"/>
      <c r="Z726" s="51"/>
      <c r="AA726" s="33" t="s">
        <v>2459</v>
      </c>
      <c r="AB726" s="33" t="s">
        <v>2460</v>
      </c>
      <c r="AC726" s="33" t="s">
        <v>7748</v>
      </c>
      <c r="AD726" s="33" t="s">
        <v>2254</v>
      </c>
      <c r="AE726" s="33"/>
      <c r="AF726" s="33" t="s">
        <v>2267</v>
      </c>
      <c r="AG726" s="33" t="s">
        <v>2461</v>
      </c>
      <c r="AH726" s="33"/>
      <c r="AI726" s="33"/>
      <c r="AJ726" s="33" t="s">
        <v>7749</v>
      </c>
      <c r="AK726" s="94"/>
      <c r="AL726" s="33" t="s">
        <v>7750</v>
      </c>
      <c r="AM726" s="33"/>
      <c r="AN726" s="33" t="s">
        <v>7751</v>
      </c>
      <c r="AO726" s="51" t="s">
        <v>7752</v>
      </c>
      <c r="AP726" s="51" t="s">
        <v>207</v>
      </c>
      <c r="AQ726" s="33"/>
      <c r="AR726" s="54"/>
      <c r="AS726" s="54"/>
      <c r="AT726" s="54"/>
      <c r="AU726" s="54"/>
      <c r="AV726" s="54"/>
      <c r="AW726" s="54"/>
      <c r="AX726" s="54"/>
      <c r="AY726" s="54" t="s">
        <v>2269</v>
      </c>
      <c r="AZ726" s="54"/>
      <c r="BA726" s="54"/>
      <c r="BB726" s="54"/>
      <c r="BC726" s="54"/>
      <c r="BD726" s="54" t="s">
        <v>2447</v>
      </c>
      <c r="BE726" s="54"/>
      <c r="BF726" s="54"/>
      <c r="BG726" s="54"/>
      <c r="BH726" s="54"/>
      <c r="BI726" s="54"/>
      <c r="BJ726" s="0"/>
      <c r="BK726" s="0"/>
      <c r="BL726" s="0"/>
      <c r="BM726" s="0"/>
      <c r="BN726" s="0"/>
      <c r="BO726" s="0"/>
      <c r="BP726"/>
      <c r="BQ726"/>
      <c r="BR726"/>
      <c r="BS726"/>
      <c r="BT726"/>
      <c r="BU726"/>
      <c r="BV726"/>
      <c r="BW726"/>
      <c r="BX726"/>
      <c r="BY726"/>
      <c r="BZ726"/>
      <c r="CA726"/>
      <c r="CB726"/>
    </row>
    <row r="727" ht="15.0" customHeight="true">
      <c r="A727" s="51" t="s">
        <v>2448</v>
      </c>
      <c r="B727" s="33"/>
      <c r="C727" s="33" t="s">
        <v>7753</v>
      </c>
      <c r="D727" s="33"/>
      <c r="E727" s="33" t="s">
        <v>7754</v>
      </c>
      <c r="F727" s="33"/>
      <c r="G727" s="55" t="s">
        <v>7755</v>
      </c>
      <c r="H727" s="33"/>
      <c r="I727" s="51" t="s">
        <v>7756</v>
      </c>
      <c r="J727" s="33"/>
      <c r="K727" s="51" t="s">
        <v>7757</v>
      </c>
      <c r="L727" s="33" t="s">
        <v>2454</v>
      </c>
      <c r="M727" s="55" t="s">
        <v>4080</v>
      </c>
      <c r="N727" s="55" t="s">
        <v>3999</v>
      </c>
      <c r="O727" s="33" t="s">
        <v>2272</v>
      </c>
      <c r="P727" s="33" t="s">
        <v>2251</v>
      </c>
      <c r="Q727" s="33"/>
      <c r="R727" s="33" t="s">
        <v>2263</v>
      </c>
      <c r="S727" s="56" t="s">
        <v>2277</v>
      </c>
      <c r="T727" s="56"/>
      <c r="U727" s="56"/>
      <c r="V727" s="33" t="s">
        <v>2456</v>
      </c>
      <c r="W727" s="94" t="s">
        <v>2457</v>
      </c>
      <c r="X727" s="94" t="s">
        <v>2458</v>
      </c>
      <c r="Y727" s="51"/>
      <c r="Z727" s="51"/>
      <c r="AA727" s="33" t="s">
        <v>2459</v>
      </c>
      <c r="AB727" s="33" t="s">
        <v>2460</v>
      </c>
      <c r="AC727" s="33"/>
      <c r="AD727" s="33" t="s">
        <v>2254</v>
      </c>
      <c r="AE727" s="33"/>
      <c r="AF727" s="33" t="s">
        <v>2267</v>
      </c>
      <c r="AG727" s="33" t="s">
        <v>2461</v>
      </c>
      <c r="AH727" s="33"/>
      <c r="AI727" s="33"/>
      <c r="AJ727" s="33" t="s">
        <v>7758</v>
      </c>
      <c r="AK727" s="94"/>
      <c r="AL727" s="33" t="s">
        <v>7759</v>
      </c>
      <c r="AM727" s="33" t="s">
        <v>7760</v>
      </c>
      <c r="AN727" s="33" t="s">
        <v>2465</v>
      </c>
      <c r="AO727" s="51" t="s">
        <v>2589</v>
      </c>
      <c r="AP727" s="51" t="s">
        <v>207</v>
      </c>
      <c r="AQ727" s="33"/>
      <c r="AR727" s="54"/>
      <c r="AS727" s="54"/>
      <c r="AT727" s="54"/>
      <c r="AU727" s="54"/>
      <c r="AV727" s="54"/>
      <c r="AW727" s="54"/>
      <c r="AX727" s="54"/>
      <c r="AY727" s="54"/>
      <c r="AZ727" s="54"/>
      <c r="BA727" s="54"/>
      <c r="BB727" s="54"/>
      <c r="BC727" s="54"/>
      <c r="BD727" s="54" t="s">
        <v>2447</v>
      </c>
      <c r="BE727" s="54"/>
      <c r="BF727" s="54"/>
      <c r="BG727" s="54"/>
      <c r="BH727" s="54"/>
      <c r="BI727" s="54"/>
      <c r="BJ727" s="0"/>
      <c r="BK727" s="0"/>
      <c r="BL727" s="0"/>
      <c r="BM727" s="0"/>
      <c r="BN727" s="0"/>
      <c r="BO727" s="0"/>
      <c r="BP727"/>
      <c r="BQ727"/>
      <c r="BR727"/>
      <c r="BS727"/>
      <c r="BT727"/>
      <c r="BU727"/>
      <c r="BV727"/>
      <c r="BW727"/>
      <c r="BX727"/>
      <c r="BY727"/>
      <c r="BZ727"/>
      <c r="CA727"/>
      <c r="CB727"/>
    </row>
    <row r="728" ht="15.0" customHeight="true">
      <c r="A728" s="51" t="s">
        <v>2448</v>
      </c>
      <c r="B728" s="33"/>
      <c r="C728" s="33" t="s">
        <v>7761</v>
      </c>
      <c r="D728" s="33"/>
      <c r="E728" s="33" t="s">
        <v>7482</v>
      </c>
      <c r="F728" s="33"/>
      <c r="G728" s="55" t="s">
        <v>7762</v>
      </c>
      <c r="H728" s="33"/>
      <c r="I728" s="51" t="s">
        <v>7763</v>
      </c>
      <c r="J728" s="33"/>
      <c r="K728" s="51" t="s">
        <v>7764</v>
      </c>
      <c r="L728" s="33" t="s">
        <v>2454</v>
      </c>
      <c r="M728" s="55" t="s">
        <v>3151</v>
      </c>
      <c r="N728" s="55" t="s">
        <v>3092</v>
      </c>
      <c r="O728" s="33" t="s">
        <v>2272</v>
      </c>
      <c r="P728" s="33" t="s">
        <v>2251</v>
      </c>
      <c r="Q728" s="33"/>
      <c r="R728" s="33" t="s">
        <v>2263</v>
      </c>
      <c r="S728" s="56" t="s">
        <v>2277</v>
      </c>
      <c r="T728" s="56"/>
      <c r="U728" s="56"/>
      <c r="V728" s="33" t="s">
        <v>2456</v>
      </c>
      <c r="W728" s="94" t="s">
        <v>2457</v>
      </c>
      <c r="X728" s="94" t="s">
        <v>2474</v>
      </c>
      <c r="Y728" s="51"/>
      <c r="Z728" s="51"/>
      <c r="AA728" s="33" t="s">
        <v>2459</v>
      </c>
      <c r="AB728" s="33" t="s">
        <v>2460</v>
      </c>
      <c r="AC728" s="33"/>
      <c r="AD728" s="33" t="s">
        <v>2254</v>
      </c>
      <c r="AE728" s="33"/>
      <c r="AF728" s="33" t="s">
        <v>2267</v>
      </c>
      <c r="AG728" s="33" t="s">
        <v>2461</v>
      </c>
      <c r="AH728" s="33"/>
      <c r="AI728" s="33"/>
      <c r="AJ728" s="33" t="s">
        <v>7765</v>
      </c>
      <c r="AK728" s="94"/>
      <c r="AL728" s="33" t="s">
        <v>7766</v>
      </c>
      <c r="AM728" s="33"/>
      <c r="AN728" s="33" t="s">
        <v>2465</v>
      </c>
      <c r="AO728" s="51" t="s">
        <v>2538</v>
      </c>
      <c r="AP728" s="51" t="s">
        <v>207</v>
      </c>
      <c r="AQ728" s="33"/>
      <c r="AR728" s="54"/>
      <c r="AS728" s="54"/>
      <c r="AT728" s="54"/>
      <c r="AU728" s="54"/>
      <c r="AV728" s="54"/>
      <c r="AW728" s="54"/>
      <c r="AX728" s="54"/>
      <c r="AY728" s="54"/>
      <c r="AZ728" s="54"/>
      <c r="BA728" s="54"/>
      <c r="BB728" s="54"/>
      <c r="BC728" s="54"/>
      <c r="BD728" s="54" t="s">
        <v>2447</v>
      </c>
      <c r="BE728" s="54"/>
      <c r="BF728" s="54"/>
      <c r="BG728" s="54"/>
      <c r="BH728" s="54"/>
      <c r="BI728" s="54"/>
      <c r="BJ728" s="0"/>
      <c r="BK728" s="0"/>
      <c r="BL728" s="0"/>
      <c r="BM728" s="0"/>
      <c r="BN728" s="0"/>
      <c r="BO728" s="0"/>
      <c r="BP728"/>
      <c r="BQ728"/>
      <c r="BR728"/>
      <c r="BS728"/>
      <c r="BT728"/>
      <c r="BU728"/>
      <c r="BV728"/>
      <c r="BW728"/>
      <c r="BX728"/>
      <c r="BY728"/>
      <c r="BZ728"/>
      <c r="CA728"/>
      <c r="CB728"/>
    </row>
    <row r="729" ht="15.0" customHeight="true">
      <c r="A729" s="51" t="s">
        <v>2448</v>
      </c>
      <c r="B729" s="33"/>
      <c r="C729" s="33" t="s">
        <v>2490</v>
      </c>
      <c r="D729" s="33"/>
      <c r="E729" s="33" t="s">
        <v>7767</v>
      </c>
      <c r="F729" s="33"/>
      <c r="G729" s="55" t="s">
        <v>7768</v>
      </c>
      <c r="H729" s="33"/>
      <c r="I729" s="51" t="s">
        <v>7769</v>
      </c>
      <c r="J729" s="33"/>
      <c r="K729" s="51" t="s">
        <v>7770</v>
      </c>
      <c r="L729" s="33" t="s">
        <v>2454</v>
      </c>
      <c r="M729" s="55" t="s">
        <v>6403</v>
      </c>
      <c r="N729" s="55" t="s">
        <v>3742</v>
      </c>
      <c r="O729" s="33" t="s">
        <v>2272</v>
      </c>
      <c r="P729" s="33" t="s">
        <v>2251</v>
      </c>
      <c r="Q729" s="33"/>
      <c r="R729" s="33" t="s">
        <v>2263</v>
      </c>
      <c r="S729" s="56" t="s">
        <v>2277</v>
      </c>
      <c r="T729" s="56"/>
      <c r="U729" s="56"/>
      <c r="V729" s="33" t="s">
        <v>2456</v>
      </c>
      <c r="W729" s="94" t="s">
        <v>2457</v>
      </c>
      <c r="X729" s="94" t="s">
        <v>2474</v>
      </c>
      <c r="Y729" s="51"/>
      <c r="Z729" s="51"/>
      <c r="AA729" s="33" t="s">
        <v>2459</v>
      </c>
      <c r="AB729" s="33" t="s">
        <v>2460</v>
      </c>
      <c r="AC729" s="33"/>
      <c r="AD729" s="33" t="s">
        <v>2254</v>
      </c>
      <c r="AE729" s="33"/>
      <c r="AF729" s="33" t="s">
        <v>2267</v>
      </c>
      <c r="AG729" s="33" t="s">
        <v>2461</v>
      </c>
      <c r="AH729" s="33"/>
      <c r="AI729" s="33"/>
      <c r="AJ729" s="33" t="s">
        <v>7771</v>
      </c>
      <c r="AK729" s="94"/>
      <c r="AL729" s="33" t="s">
        <v>7772</v>
      </c>
      <c r="AM729" s="33"/>
      <c r="AN729" s="33" t="s">
        <v>2465</v>
      </c>
      <c r="AO729" s="51" t="s">
        <v>6373</v>
      </c>
      <c r="AP729" s="51" t="s">
        <v>207</v>
      </c>
      <c r="AQ729" s="33"/>
      <c r="AR729" s="54"/>
      <c r="AS729" s="54"/>
      <c r="AT729" s="54"/>
      <c r="AU729" s="54"/>
      <c r="AV729" s="54"/>
      <c r="AW729" s="54"/>
      <c r="AX729" s="54"/>
      <c r="AY729" s="54"/>
      <c r="AZ729" s="54"/>
      <c r="BA729" s="54"/>
      <c r="BB729" s="54"/>
      <c r="BC729" s="54"/>
      <c r="BD729" s="54" t="s">
        <v>2447</v>
      </c>
      <c r="BE729" s="54"/>
      <c r="BF729" s="54"/>
      <c r="BG729" s="54"/>
      <c r="BH729" s="54"/>
      <c r="BI729" s="54"/>
      <c r="BJ729" s="0"/>
      <c r="BK729" s="0"/>
      <c r="BL729" s="0"/>
      <c r="BM729" s="0"/>
      <c r="BN729" s="0"/>
      <c r="BO729" s="0"/>
      <c r="BP729"/>
      <c r="BQ729"/>
      <c r="BR729"/>
      <c r="BS729"/>
      <c r="BT729"/>
      <c r="BU729"/>
      <c r="BV729"/>
      <c r="BW729"/>
      <c r="BX729"/>
      <c r="BY729"/>
      <c r="BZ729"/>
      <c r="CA729"/>
      <c r="CB729"/>
    </row>
    <row r="730" ht="15.0" customHeight="true">
      <c r="A730" s="51" t="s">
        <v>2448</v>
      </c>
      <c r="B730" s="33"/>
      <c r="C730" s="33" t="s">
        <v>3538</v>
      </c>
      <c r="D730" s="33"/>
      <c r="E730" s="33" t="s">
        <v>7773</v>
      </c>
      <c r="F730" s="33"/>
      <c r="G730" s="55" t="s">
        <v>7774</v>
      </c>
      <c r="H730" s="33"/>
      <c r="I730" s="51" t="s">
        <v>7775</v>
      </c>
      <c r="J730" s="33"/>
      <c r="K730" s="51" t="s">
        <v>7776</v>
      </c>
      <c r="L730" s="33" t="s">
        <v>2454</v>
      </c>
      <c r="M730" s="55" t="s">
        <v>7595</v>
      </c>
      <c r="N730" s="55" t="s">
        <v>3623</v>
      </c>
      <c r="O730" s="33" t="s">
        <v>2272</v>
      </c>
      <c r="P730" s="33" t="s">
        <v>2251</v>
      </c>
      <c r="Q730" s="33"/>
      <c r="R730" s="33" t="s">
        <v>2263</v>
      </c>
      <c r="S730" s="56" t="s">
        <v>2277</v>
      </c>
      <c r="T730" s="56"/>
      <c r="U730" s="56"/>
      <c r="V730" s="33" t="s">
        <v>2456</v>
      </c>
      <c r="W730" s="94" t="s">
        <v>2457</v>
      </c>
      <c r="X730" s="94" t="s">
        <v>2458</v>
      </c>
      <c r="Y730" s="51"/>
      <c r="Z730" s="51"/>
      <c r="AA730" s="33" t="s">
        <v>2459</v>
      </c>
      <c r="AB730" s="33" t="s">
        <v>2460</v>
      </c>
      <c r="AC730" s="33"/>
      <c r="AD730" s="33" t="s">
        <v>2254</v>
      </c>
      <c r="AE730" s="33"/>
      <c r="AF730" s="33" t="s">
        <v>2267</v>
      </c>
      <c r="AG730" s="33" t="s">
        <v>2461</v>
      </c>
      <c r="AH730" s="33"/>
      <c r="AI730" s="33"/>
      <c r="AJ730" s="33" t="s">
        <v>7777</v>
      </c>
      <c r="AK730" s="94"/>
      <c r="AL730" s="33" t="s">
        <v>4876</v>
      </c>
      <c r="AM730" s="33" t="s">
        <v>7778</v>
      </c>
      <c r="AN730" s="33" t="s">
        <v>2465</v>
      </c>
      <c r="AO730" s="51" t="s">
        <v>2618</v>
      </c>
      <c r="AP730" s="51" t="s">
        <v>207</v>
      </c>
      <c r="AQ730" s="33"/>
      <c r="AR730" s="54"/>
      <c r="AS730" s="54"/>
      <c r="AT730" s="54"/>
      <c r="AU730" s="54"/>
      <c r="AV730" s="54"/>
      <c r="AW730" s="54"/>
      <c r="AX730" s="54"/>
      <c r="AY730" s="54"/>
      <c r="AZ730" s="54"/>
      <c r="BA730" s="54"/>
      <c r="BB730" s="54"/>
      <c r="BC730" s="54"/>
      <c r="BD730" s="54" t="s">
        <v>2447</v>
      </c>
      <c r="BE730" s="54"/>
      <c r="BF730" s="54"/>
      <c r="BG730" s="54"/>
      <c r="BH730" s="54"/>
      <c r="BI730" s="54"/>
      <c r="BJ730" s="0"/>
      <c r="BK730" s="0"/>
      <c r="BL730" s="0"/>
      <c r="BM730" s="0"/>
      <c r="BN730" s="0"/>
      <c r="BO730" s="0"/>
      <c r="BP730"/>
      <c r="BQ730"/>
      <c r="BR730"/>
      <c r="BS730"/>
      <c r="BT730"/>
      <c r="BU730"/>
      <c r="BV730"/>
      <c r="BW730"/>
      <c r="BX730"/>
      <c r="BY730"/>
      <c r="BZ730"/>
      <c r="CA730"/>
      <c r="CB730"/>
    </row>
    <row r="731" ht="15.0" customHeight="true">
      <c r="A731" s="51" t="s">
        <v>2448</v>
      </c>
      <c r="B731" s="33"/>
      <c r="C731" s="33" t="s">
        <v>4979</v>
      </c>
      <c r="D731" s="33"/>
      <c r="E731" s="33" t="s">
        <v>7779</v>
      </c>
      <c r="F731" s="33"/>
      <c r="G731" s="55" t="s">
        <v>7780</v>
      </c>
      <c r="H731" s="33"/>
      <c r="I731" s="51" t="s">
        <v>7781</v>
      </c>
      <c r="J731" s="33"/>
      <c r="K731" s="51" t="s">
        <v>7782</v>
      </c>
      <c r="L731" s="33" t="s">
        <v>2454</v>
      </c>
      <c r="M731" s="55" t="s">
        <v>3966</v>
      </c>
      <c r="N731" s="55" t="s">
        <v>5635</v>
      </c>
      <c r="O731" s="33" t="s">
        <v>2272</v>
      </c>
      <c r="P731" s="33" t="s">
        <v>2251</v>
      </c>
      <c r="Q731" s="33"/>
      <c r="R731" s="33" t="s">
        <v>2263</v>
      </c>
      <c r="S731" s="56" t="s">
        <v>2277</v>
      </c>
      <c r="T731" s="56"/>
      <c r="U731" s="56"/>
      <c r="V731" s="33" t="s">
        <v>2456</v>
      </c>
      <c r="W731" s="94" t="s">
        <v>2457</v>
      </c>
      <c r="X731" s="94" t="s">
        <v>2474</v>
      </c>
      <c r="Y731" s="51"/>
      <c r="Z731" s="51"/>
      <c r="AA731" s="33" t="s">
        <v>2459</v>
      </c>
      <c r="AB731" s="33" t="s">
        <v>2460</v>
      </c>
      <c r="AC731" s="33"/>
      <c r="AD731" s="33" t="s">
        <v>2254</v>
      </c>
      <c r="AE731" s="33"/>
      <c r="AF731" s="33" t="s">
        <v>2267</v>
      </c>
      <c r="AG731" s="33" t="s">
        <v>2461</v>
      </c>
      <c r="AH731" s="33"/>
      <c r="AI731" s="33"/>
      <c r="AJ731" s="33" t="s">
        <v>7783</v>
      </c>
      <c r="AK731" s="94"/>
      <c r="AL731" s="33" t="s">
        <v>7784</v>
      </c>
      <c r="AM731" s="33" t="s">
        <v>7785</v>
      </c>
      <c r="AN731" s="33" t="s">
        <v>2588</v>
      </c>
      <c r="AO731" s="51" t="s">
        <v>2589</v>
      </c>
      <c r="AP731" s="51" t="s">
        <v>207</v>
      </c>
      <c r="AQ731" s="33"/>
      <c r="AR731" s="54"/>
      <c r="AS731" s="54"/>
      <c r="AT731" s="54"/>
      <c r="AU731" s="54"/>
      <c r="AV731" s="54"/>
      <c r="AW731" s="54"/>
      <c r="AX731" s="54"/>
      <c r="AY731" s="54"/>
      <c r="AZ731" s="54"/>
      <c r="BA731" s="54"/>
      <c r="BB731" s="54"/>
      <c r="BC731" s="54"/>
      <c r="BD731" s="54" t="s">
        <v>2447</v>
      </c>
      <c r="BE731" s="54"/>
      <c r="BF731" s="54"/>
      <c r="BG731" s="54"/>
      <c r="BH731" s="54"/>
      <c r="BI731" s="54"/>
      <c r="BJ731" s="0"/>
      <c r="BK731" s="0"/>
      <c r="BL731" s="0"/>
      <c r="BM731" s="0"/>
      <c r="BN731" s="0"/>
      <c r="BO731" s="0"/>
      <c r="BP731"/>
      <c r="BQ731"/>
      <c r="BR731"/>
      <c r="BS731"/>
      <c r="BT731"/>
      <c r="BU731"/>
      <c r="BV731"/>
      <c r="BW731"/>
      <c r="BX731"/>
      <c r="BY731"/>
      <c r="BZ731"/>
      <c r="CA731"/>
      <c r="CB731"/>
    </row>
    <row r="732" ht="15.0" customHeight="true">
      <c r="A732" s="51" t="s">
        <v>2448</v>
      </c>
      <c r="B732" s="33"/>
      <c r="C732" s="33" t="s">
        <v>2579</v>
      </c>
      <c r="D732" s="33"/>
      <c r="E732" s="33" t="s">
        <v>7786</v>
      </c>
      <c r="F732" s="33"/>
      <c r="G732" s="55" t="s">
        <v>7787</v>
      </c>
      <c r="H732" s="33"/>
      <c r="I732" s="51" t="s">
        <v>7788</v>
      </c>
      <c r="J732" s="33"/>
      <c r="K732" s="51" t="s">
        <v>7789</v>
      </c>
      <c r="L732" s="33" t="s">
        <v>2454</v>
      </c>
      <c r="M732" s="55" t="s">
        <v>2727</v>
      </c>
      <c r="N732" s="55" t="s">
        <v>5919</v>
      </c>
      <c r="O732" s="33" t="s">
        <v>2271</v>
      </c>
      <c r="P732" s="33" t="s">
        <v>2251</v>
      </c>
      <c r="Q732" s="33"/>
      <c r="R732" s="33" t="s">
        <v>2263</v>
      </c>
      <c r="S732" s="56" t="s">
        <v>2277</v>
      </c>
      <c r="T732" s="56"/>
      <c r="U732" s="56"/>
      <c r="V732" s="33" t="s">
        <v>2727</v>
      </c>
      <c r="W732" s="94" t="s">
        <v>2574</v>
      </c>
      <c r="X732" s="94" t="s">
        <v>2474</v>
      </c>
      <c r="Y732" s="51"/>
      <c r="Z732" s="51"/>
      <c r="AA732" s="33" t="s">
        <v>2459</v>
      </c>
      <c r="AB732" s="33" t="s">
        <v>2460</v>
      </c>
      <c r="AC732" s="33" t="s">
        <v>2486</v>
      </c>
      <c r="AD732" s="33" t="s">
        <v>2254</v>
      </c>
      <c r="AE732" s="33"/>
      <c r="AF732" s="33" t="s">
        <v>2267</v>
      </c>
      <c r="AG732" s="33" t="s">
        <v>2461</v>
      </c>
      <c r="AH732" s="33"/>
      <c r="AI732" s="33"/>
      <c r="AJ732" s="33" t="s">
        <v>7790</v>
      </c>
      <c r="AK732" s="94"/>
      <c r="AL732" s="33" t="s">
        <v>7791</v>
      </c>
      <c r="AM732" s="33"/>
      <c r="AN732" s="33" t="s">
        <v>2465</v>
      </c>
      <c r="AO732" s="51" t="s">
        <v>2548</v>
      </c>
      <c r="AP732" s="51" t="s">
        <v>207</v>
      </c>
      <c r="AQ732" s="33"/>
      <c r="AR732" s="54"/>
      <c r="AS732" s="54"/>
      <c r="AT732" s="54"/>
      <c r="AU732" s="54"/>
      <c r="AV732" s="54"/>
      <c r="AW732" s="54"/>
      <c r="AX732" s="54"/>
      <c r="AY732" s="54" t="s">
        <v>2269</v>
      </c>
      <c r="AZ732" s="54"/>
      <c r="BA732" s="54"/>
      <c r="BB732" s="54"/>
      <c r="BC732" s="54"/>
      <c r="BD732" s="54" t="s">
        <v>2447</v>
      </c>
      <c r="BE732" s="54"/>
      <c r="BF732" s="54"/>
      <c r="BG732" s="54"/>
      <c r="BH732" s="54"/>
      <c r="BI732" s="54"/>
      <c r="BJ732" s="0"/>
      <c r="BK732" s="0"/>
      <c r="BL732" s="0"/>
      <c r="BM732" s="0"/>
      <c r="BN732" s="0"/>
      <c r="BO732" s="0"/>
      <c r="BP732"/>
      <c r="BQ732"/>
      <c r="BR732"/>
      <c r="BS732"/>
      <c r="BT732"/>
      <c r="BU732"/>
      <c r="BV732"/>
      <c r="BW732"/>
      <c r="BX732"/>
      <c r="BY732"/>
      <c r="BZ732"/>
      <c r="CA732"/>
      <c r="CB732"/>
    </row>
    <row r="733" ht="15.0" customHeight="true">
      <c r="A733" s="51" t="s">
        <v>2448</v>
      </c>
      <c r="B733" s="33"/>
      <c r="C733" s="33" t="s">
        <v>2722</v>
      </c>
      <c r="D733" s="33"/>
      <c r="E733" s="33" t="s">
        <v>7792</v>
      </c>
      <c r="F733" s="33"/>
      <c r="G733" s="55" t="s">
        <v>7793</v>
      </c>
      <c r="H733" s="33"/>
      <c r="I733" s="51" t="s">
        <v>7794</v>
      </c>
      <c r="J733" s="33"/>
      <c r="K733" s="51" t="s">
        <v>7795</v>
      </c>
      <c r="L733" s="33" t="s">
        <v>2454</v>
      </c>
      <c r="M733" s="55" t="s">
        <v>7796</v>
      </c>
      <c r="N733" s="55" t="s">
        <v>6412</v>
      </c>
      <c r="O733" s="33" t="s">
        <v>2272</v>
      </c>
      <c r="P733" s="33" t="s">
        <v>2251</v>
      </c>
      <c r="Q733" s="33"/>
      <c r="R733" s="33" t="s">
        <v>2263</v>
      </c>
      <c r="S733" s="56" t="s">
        <v>2277</v>
      </c>
      <c r="T733" s="56"/>
      <c r="U733" s="56"/>
      <c r="V733" s="33" t="s">
        <v>2456</v>
      </c>
      <c r="W733" s="94" t="s">
        <v>2457</v>
      </c>
      <c r="X733" s="94" t="s">
        <v>2458</v>
      </c>
      <c r="Y733" s="51"/>
      <c r="Z733" s="51"/>
      <c r="AA733" s="33" t="s">
        <v>2459</v>
      </c>
      <c r="AB733" s="33" t="s">
        <v>2460</v>
      </c>
      <c r="AC733" s="33"/>
      <c r="AD733" s="33" t="s">
        <v>2254</v>
      </c>
      <c r="AE733" s="33"/>
      <c r="AF733" s="33" t="s">
        <v>2267</v>
      </c>
      <c r="AG733" s="33" t="s">
        <v>2461</v>
      </c>
      <c r="AH733" s="33"/>
      <c r="AI733" s="33"/>
      <c r="AJ733" s="33" t="s">
        <v>7797</v>
      </c>
      <c r="AK733" s="94"/>
      <c r="AL733" s="33" t="s">
        <v>7798</v>
      </c>
      <c r="AM733" s="33"/>
      <c r="AN733" s="33" t="s">
        <v>2465</v>
      </c>
      <c r="AO733" s="51" t="s">
        <v>2466</v>
      </c>
      <c r="AP733" s="51" t="s">
        <v>207</v>
      </c>
      <c r="AQ733" s="33"/>
      <c r="AR733" s="54"/>
      <c r="AS733" s="54"/>
      <c r="AT733" s="54"/>
      <c r="AU733" s="54"/>
      <c r="AV733" s="54"/>
      <c r="AW733" s="54"/>
      <c r="AX733" s="54"/>
      <c r="AY733" s="54"/>
      <c r="AZ733" s="54"/>
      <c r="BA733" s="54"/>
      <c r="BB733" s="54"/>
      <c r="BC733" s="54"/>
      <c r="BD733" s="54" t="s">
        <v>2447</v>
      </c>
      <c r="BE733" s="54"/>
      <c r="BF733" s="54"/>
      <c r="BG733" s="54"/>
      <c r="BH733" s="54"/>
      <c r="BI733" s="54"/>
      <c r="BJ733" s="0"/>
      <c r="BK733" s="0"/>
      <c r="BL733" s="0"/>
      <c r="BM733" s="0"/>
      <c r="BN733" s="0"/>
      <c r="BO733" s="0"/>
      <c r="BP733"/>
      <c r="BQ733"/>
      <c r="BR733"/>
      <c r="BS733"/>
      <c r="BT733"/>
      <c r="BU733"/>
      <c r="BV733"/>
      <c r="BW733"/>
      <c r="BX733"/>
      <c r="BY733"/>
      <c r="BZ733"/>
      <c r="CA733"/>
      <c r="CB733"/>
    </row>
    <row r="734" ht="15.0" customHeight="true">
      <c r="A734" s="51" t="s">
        <v>2448</v>
      </c>
      <c r="B734" s="33"/>
      <c r="C734" s="33" t="s">
        <v>4650</v>
      </c>
      <c r="D734" s="33"/>
      <c r="E734" s="33" t="s">
        <v>7799</v>
      </c>
      <c r="F734" s="33"/>
      <c r="G734" s="55" t="s">
        <v>7800</v>
      </c>
      <c r="H734" s="33"/>
      <c r="I734" s="51" t="s">
        <v>7801</v>
      </c>
      <c r="J734" s="33"/>
      <c r="K734" s="51" t="s">
        <v>7802</v>
      </c>
      <c r="L734" s="33" t="s">
        <v>2484</v>
      </c>
      <c r="M734" s="55" t="s">
        <v>3552</v>
      </c>
      <c r="N734" s="55"/>
      <c r="O734" s="33"/>
      <c r="P734" s="33" t="s">
        <v>2251</v>
      </c>
      <c r="Q734" s="33"/>
      <c r="R734" s="33" t="s">
        <v>2263</v>
      </c>
      <c r="S734" s="56" t="s">
        <v>2277</v>
      </c>
      <c r="T734" s="56"/>
      <c r="U734" s="56"/>
      <c r="V734" s="33" t="s">
        <v>2456</v>
      </c>
      <c r="W734" s="94" t="s">
        <v>2457</v>
      </c>
      <c r="X734" s="94" t="s">
        <v>2474</v>
      </c>
      <c r="Y734" s="51"/>
      <c r="Z734" s="51"/>
      <c r="AA734" s="33" t="s">
        <v>2459</v>
      </c>
      <c r="AB734" s="33" t="s">
        <v>2460</v>
      </c>
      <c r="AC734" s="33" t="s">
        <v>2486</v>
      </c>
      <c r="AD734" s="33" t="s">
        <v>2254</v>
      </c>
      <c r="AE734" s="33"/>
      <c r="AF734" s="33" t="s">
        <v>2267</v>
      </c>
      <c r="AG734" s="33" t="s">
        <v>2461</v>
      </c>
      <c r="AH734" s="33"/>
      <c r="AI734" s="33"/>
      <c r="AJ734" s="33" t="s">
        <v>7803</v>
      </c>
      <c r="AK734" s="94"/>
      <c r="AL734" s="33" t="s">
        <v>7804</v>
      </c>
      <c r="AM734" s="33"/>
      <c r="AN734" s="33" t="s">
        <v>2588</v>
      </c>
      <c r="AO734" s="51" t="s">
        <v>2628</v>
      </c>
      <c r="AP734" s="51" t="s">
        <v>207</v>
      </c>
      <c r="AQ734" s="33"/>
      <c r="AR734" s="54"/>
      <c r="AS734" s="54"/>
      <c r="AT734" s="54"/>
      <c r="AU734" s="54"/>
      <c r="AV734" s="54"/>
      <c r="AW734" s="54"/>
      <c r="AX734" s="54"/>
      <c r="AY734" s="54"/>
      <c r="AZ734" s="54"/>
      <c r="BA734" s="54"/>
      <c r="BB734" s="54"/>
      <c r="BC734" s="54"/>
      <c r="BD734" s="54" t="s">
        <v>2447</v>
      </c>
      <c r="BE734" s="54"/>
      <c r="BF734" s="54"/>
      <c r="BG734" s="54"/>
      <c r="BH734" s="54"/>
      <c r="BI734" s="54"/>
      <c r="BJ734" s="0"/>
      <c r="BK734" s="0"/>
      <c r="BL734" s="0"/>
      <c r="BM734" s="0"/>
      <c r="BN734" s="0"/>
      <c r="BO734" s="0"/>
      <c r="BP734"/>
      <c r="BQ734"/>
      <c r="BR734"/>
      <c r="BS734"/>
      <c r="BT734"/>
      <c r="BU734"/>
      <c r="BV734"/>
      <c r="BW734"/>
      <c r="BX734"/>
      <c r="BY734"/>
      <c r="BZ734"/>
      <c r="CA734"/>
      <c r="CB734"/>
    </row>
    <row r="735" ht="15.0" customHeight="true">
      <c r="A735" s="51" t="s">
        <v>2448</v>
      </c>
      <c r="B735" s="33"/>
      <c r="C735" s="33" t="s">
        <v>7805</v>
      </c>
      <c r="D735" s="33"/>
      <c r="E735" s="33" t="s">
        <v>7806</v>
      </c>
      <c r="F735" s="33"/>
      <c r="G735" s="55" t="s">
        <v>7807</v>
      </c>
      <c r="H735" s="33"/>
      <c r="I735" s="51" t="s">
        <v>7808</v>
      </c>
      <c r="J735" s="33"/>
      <c r="K735" s="51" t="s">
        <v>7809</v>
      </c>
      <c r="L735" s="33" t="s">
        <v>2454</v>
      </c>
      <c r="M735" s="55" t="s">
        <v>6092</v>
      </c>
      <c r="N735" s="55" t="s">
        <v>3341</v>
      </c>
      <c r="O735" s="33" t="s">
        <v>2272</v>
      </c>
      <c r="P735" s="33" t="s">
        <v>2251</v>
      </c>
      <c r="Q735" s="33"/>
      <c r="R735" s="33" t="s">
        <v>2263</v>
      </c>
      <c r="S735" s="56" t="s">
        <v>2277</v>
      </c>
      <c r="T735" s="56"/>
      <c r="U735" s="56"/>
      <c r="V735" s="33" t="s">
        <v>2456</v>
      </c>
      <c r="W735" s="94" t="s">
        <v>2457</v>
      </c>
      <c r="X735" s="94" t="s">
        <v>2458</v>
      </c>
      <c r="Y735" s="51"/>
      <c r="Z735" s="51"/>
      <c r="AA735" s="33" t="s">
        <v>2459</v>
      </c>
      <c r="AB735" s="33" t="s">
        <v>2460</v>
      </c>
      <c r="AC735" s="33"/>
      <c r="AD735" s="33" t="s">
        <v>2254</v>
      </c>
      <c r="AE735" s="33"/>
      <c r="AF735" s="33" t="s">
        <v>2267</v>
      </c>
      <c r="AG735" s="33" t="s">
        <v>2461</v>
      </c>
      <c r="AH735" s="33"/>
      <c r="AI735" s="33"/>
      <c r="AJ735" s="33" t="s">
        <v>7810</v>
      </c>
      <c r="AK735" s="94"/>
      <c r="AL735" s="33" t="s">
        <v>7811</v>
      </c>
      <c r="AM735" s="33"/>
      <c r="AN735" s="33" t="s">
        <v>2465</v>
      </c>
      <c r="AO735" s="51" t="s">
        <v>2489</v>
      </c>
      <c r="AP735" s="51" t="s">
        <v>207</v>
      </c>
      <c r="AQ735" s="33"/>
      <c r="AR735" s="54"/>
      <c r="AS735" s="54"/>
      <c r="AT735" s="54"/>
      <c r="AU735" s="54"/>
      <c r="AV735" s="54"/>
      <c r="AW735" s="54"/>
      <c r="AX735" s="54"/>
      <c r="AY735" s="54"/>
      <c r="AZ735" s="54"/>
      <c r="BA735" s="54"/>
      <c r="BB735" s="54"/>
      <c r="BC735" s="54"/>
      <c r="BD735" s="54" t="s">
        <v>2447</v>
      </c>
      <c r="BE735" s="54"/>
      <c r="BF735" s="54"/>
      <c r="BG735" s="54"/>
      <c r="BH735" s="54"/>
      <c r="BI735" s="54"/>
      <c r="BJ735" s="0"/>
      <c r="BK735" s="0"/>
      <c r="BL735" s="0"/>
      <c r="BM735" s="0"/>
      <c r="BN735" s="0"/>
      <c r="BO735" s="0"/>
      <c r="BP735"/>
      <c r="BQ735"/>
      <c r="BR735"/>
      <c r="BS735"/>
      <c r="BT735"/>
      <c r="BU735"/>
      <c r="BV735"/>
      <c r="BW735"/>
      <c r="BX735"/>
      <c r="BY735"/>
      <c r="BZ735"/>
      <c r="CA735"/>
      <c r="CB735"/>
    </row>
    <row r="736" ht="15.0" customHeight="true">
      <c r="A736" s="51" t="s">
        <v>2448</v>
      </c>
      <c r="B736" s="33"/>
      <c r="C736" s="33" t="s">
        <v>7812</v>
      </c>
      <c r="D736" s="33"/>
      <c r="E736" s="33" t="s">
        <v>7813</v>
      </c>
      <c r="F736" s="33"/>
      <c r="G736" s="55" t="s">
        <v>7814</v>
      </c>
      <c r="H736" s="33"/>
      <c r="I736" s="51" t="s">
        <v>7815</v>
      </c>
      <c r="J736" s="33"/>
      <c r="K736" s="51" t="s">
        <v>7816</v>
      </c>
      <c r="L736" s="33" t="s">
        <v>2454</v>
      </c>
      <c r="M736" s="55" t="s">
        <v>2717</v>
      </c>
      <c r="N736" s="55" t="s">
        <v>3359</v>
      </c>
      <c r="O736" s="33" t="s">
        <v>2272</v>
      </c>
      <c r="P736" s="33" t="s">
        <v>2251</v>
      </c>
      <c r="Q736" s="33"/>
      <c r="R736" s="33" t="s">
        <v>2263</v>
      </c>
      <c r="S736" s="56" t="s">
        <v>2277</v>
      </c>
      <c r="T736" s="56"/>
      <c r="U736" s="56"/>
      <c r="V736" s="33" t="s">
        <v>2456</v>
      </c>
      <c r="W736" s="94" t="s">
        <v>2457</v>
      </c>
      <c r="X736" s="94" t="s">
        <v>2458</v>
      </c>
      <c r="Y736" s="51"/>
      <c r="Z736" s="51"/>
      <c r="AA736" s="33" t="s">
        <v>2459</v>
      </c>
      <c r="AB736" s="33" t="s">
        <v>2460</v>
      </c>
      <c r="AC736" s="33"/>
      <c r="AD736" s="33" t="s">
        <v>2254</v>
      </c>
      <c r="AE736" s="33"/>
      <c r="AF736" s="33" t="s">
        <v>2267</v>
      </c>
      <c r="AG736" s="33" t="s">
        <v>2461</v>
      </c>
      <c r="AH736" s="33"/>
      <c r="AI736" s="33"/>
      <c r="AJ736" s="33" t="s">
        <v>7817</v>
      </c>
      <c r="AK736" s="94"/>
      <c r="AL736" s="33" t="s">
        <v>7818</v>
      </c>
      <c r="AM736" s="33"/>
      <c r="AN736" s="33" t="s">
        <v>3764</v>
      </c>
      <c r="AO736" s="51" t="s">
        <v>3765</v>
      </c>
      <c r="AP736" s="51" t="s">
        <v>207</v>
      </c>
      <c r="AQ736" s="33"/>
      <c r="AR736" s="54"/>
      <c r="AS736" s="54"/>
      <c r="AT736" s="54"/>
      <c r="AU736" s="54"/>
      <c r="AV736" s="54"/>
      <c r="AW736" s="54"/>
      <c r="AX736" s="54"/>
      <c r="AY736" s="54"/>
      <c r="AZ736" s="54"/>
      <c r="BA736" s="54"/>
      <c r="BB736" s="54"/>
      <c r="BC736" s="54"/>
      <c r="BD736" s="54" t="s">
        <v>2447</v>
      </c>
      <c r="BE736" s="54"/>
      <c r="BF736" s="54"/>
      <c r="BG736" s="54"/>
      <c r="BH736" s="54"/>
      <c r="BI736" s="54"/>
      <c r="BJ736" s="0"/>
      <c r="BK736" s="0"/>
      <c r="BL736" s="0"/>
      <c r="BM736" s="0"/>
      <c r="BN736" s="0"/>
      <c r="BO736" s="0"/>
      <c r="BP736"/>
      <c r="BQ736"/>
      <c r="BR736"/>
      <c r="BS736"/>
      <c r="BT736"/>
      <c r="BU736"/>
      <c r="BV736"/>
      <c r="BW736"/>
      <c r="BX736"/>
      <c r="BY736"/>
      <c r="BZ736"/>
      <c r="CA736"/>
      <c r="CB736"/>
    </row>
    <row r="737" ht="15.0" customHeight="true">
      <c r="A737" s="51" t="s">
        <v>2448</v>
      </c>
      <c r="B737" s="33"/>
      <c r="C737" s="33" t="s">
        <v>7819</v>
      </c>
      <c r="D737" s="33"/>
      <c r="E737" s="33" t="s">
        <v>7820</v>
      </c>
      <c r="F737" s="33"/>
      <c r="G737" s="55" t="s">
        <v>7821</v>
      </c>
      <c r="H737" s="33"/>
      <c r="I737" s="51" t="s">
        <v>7822</v>
      </c>
      <c r="J737" s="33"/>
      <c r="K737" s="51" t="s">
        <v>7823</v>
      </c>
      <c r="L737" s="33" t="s">
        <v>2454</v>
      </c>
      <c r="M737" s="55" t="s">
        <v>5358</v>
      </c>
      <c r="N737" s="55" t="s">
        <v>3267</v>
      </c>
      <c r="O737" s="33" t="s">
        <v>2272</v>
      </c>
      <c r="P737" s="33" t="s">
        <v>2251</v>
      </c>
      <c r="Q737" s="33"/>
      <c r="R737" s="33" t="s">
        <v>2263</v>
      </c>
      <c r="S737" s="56" t="s">
        <v>2277</v>
      </c>
      <c r="T737" s="56"/>
      <c r="U737" s="56"/>
      <c r="V737" s="33" t="s">
        <v>2456</v>
      </c>
      <c r="W737" s="94" t="s">
        <v>2457</v>
      </c>
      <c r="X737" s="94" t="s">
        <v>2474</v>
      </c>
      <c r="Y737" s="51"/>
      <c r="Z737" s="51"/>
      <c r="AA737" s="33" t="s">
        <v>2459</v>
      </c>
      <c r="AB737" s="33" t="s">
        <v>2460</v>
      </c>
      <c r="AC737" s="33"/>
      <c r="AD737" s="33" t="s">
        <v>2254</v>
      </c>
      <c r="AE737" s="33"/>
      <c r="AF737" s="33" t="s">
        <v>2267</v>
      </c>
      <c r="AG737" s="33" t="s">
        <v>2461</v>
      </c>
      <c r="AH737" s="33"/>
      <c r="AI737" s="33"/>
      <c r="AJ737" s="33" t="s">
        <v>7824</v>
      </c>
      <c r="AK737" s="94"/>
      <c r="AL737" s="33" t="s">
        <v>2893</v>
      </c>
      <c r="AM737" s="33" t="s">
        <v>4634</v>
      </c>
      <c r="AN737" s="33" t="s">
        <v>2465</v>
      </c>
      <c r="AO737" s="51" t="s">
        <v>2478</v>
      </c>
      <c r="AP737" s="51" t="s">
        <v>207</v>
      </c>
      <c r="AQ737" s="33"/>
      <c r="AR737" s="54"/>
      <c r="AS737" s="54"/>
      <c r="AT737" s="54"/>
      <c r="AU737" s="54"/>
      <c r="AV737" s="54"/>
      <c r="AW737" s="54"/>
      <c r="AX737" s="54"/>
      <c r="AY737" s="54"/>
      <c r="AZ737" s="54"/>
      <c r="BA737" s="54"/>
      <c r="BB737" s="54"/>
      <c r="BC737" s="54"/>
      <c r="BD737" s="54" t="s">
        <v>2447</v>
      </c>
      <c r="BE737" s="54"/>
      <c r="BF737" s="54"/>
      <c r="BG737" s="54"/>
      <c r="BH737" s="54"/>
      <c r="BI737" s="54"/>
      <c r="BJ737" s="0"/>
      <c r="BK737" s="0"/>
      <c r="BL737" s="0"/>
      <c r="BM737" s="0"/>
      <c r="BN737" s="0"/>
      <c r="BO737" s="0"/>
      <c r="BP737"/>
      <c r="BQ737"/>
      <c r="BR737"/>
      <c r="BS737"/>
      <c r="BT737"/>
      <c r="BU737"/>
      <c r="BV737"/>
      <c r="BW737"/>
      <c r="BX737"/>
      <c r="BY737"/>
      <c r="BZ737"/>
      <c r="CA737"/>
      <c r="CB737"/>
    </row>
    <row r="738" ht="15.0" customHeight="true">
      <c r="A738" s="51" t="s">
        <v>2448</v>
      </c>
      <c r="B738" s="33"/>
      <c r="C738" s="33" t="s">
        <v>4255</v>
      </c>
      <c r="D738" s="33"/>
      <c r="E738" s="33" t="s">
        <v>7825</v>
      </c>
      <c r="F738" s="33"/>
      <c r="G738" s="55" t="s">
        <v>7826</v>
      </c>
      <c r="H738" s="33"/>
      <c r="I738" s="51" t="s">
        <v>7827</v>
      </c>
      <c r="J738" s="33"/>
      <c r="K738" s="51" t="s">
        <v>7828</v>
      </c>
      <c r="L738" s="33" t="s">
        <v>2454</v>
      </c>
      <c r="M738" s="55" t="s">
        <v>3590</v>
      </c>
      <c r="N738" s="55" t="s">
        <v>7829</v>
      </c>
      <c r="O738" s="33" t="s">
        <v>2272</v>
      </c>
      <c r="P738" s="33" t="s">
        <v>2251</v>
      </c>
      <c r="Q738" s="33"/>
      <c r="R738" s="33" t="s">
        <v>2263</v>
      </c>
      <c r="S738" s="56" t="s">
        <v>2277</v>
      </c>
      <c r="T738" s="56"/>
      <c r="U738" s="56"/>
      <c r="V738" s="33" t="s">
        <v>2456</v>
      </c>
      <c r="W738" s="94" t="s">
        <v>2457</v>
      </c>
      <c r="X738" s="94" t="s">
        <v>2458</v>
      </c>
      <c r="Y738" s="51"/>
      <c r="Z738" s="51"/>
      <c r="AA738" s="33" t="s">
        <v>2459</v>
      </c>
      <c r="AB738" s="33" t="s">
        <v>2460</v>
      </c>
      <c r="AC738" s="33"/>
      <c r="AD738" s="33" t="s">
        <v>2254</v>
      </c>
      <c r="AE738" s="33"/>
      <c r="AF738" s="33" t="s">
        <v>2267</v>
      </c>
      <c r="AG738" s="33" t="s">
        <v>2461</v>
      </c>
      <c r="AH738" s="33"/>
      <c r="AI738" s="33"/>
      <c r="AJ738" s="33" t="s">
        <v>7830</v>
      </c>
      <c r="AK738" s="94"/>
      <c r="AL738" s="33" t="s">
        <v>7831</v>
      </c>
      <c r="AM738" s="33"/>
      <c r="AN738" s="33" t="s">
        <v>2465</v>
      </c>
      <c r="AO738" s="51" t="s">
        <v>2618</v>
      </c>
      <c r="AP738" s="51" t="s">
        <v>207</v>
      </c>
      <c r="AQ738" s="33"/>
      <c r="AR738" s="54"/>
      <c r="AS738" s="54"/>
      <c r="AT738" s="54"/>
      <c r="AU738" s="54"/>
      <c r="AV738" s="54"/>
      <c r="AW738" s="54"/>
      <c r="AX738" s="54"/>
      <c r="AY738" s="54"/>
      <c r="AZ738" s="54"/>
      <c r="BA738" s="54"/>
      <c r="BB738" s="54"/>
      <c r="BC738" s="54"/>
      <c r="BD738" s="54" t="s">
        <v>2447</v>
      </c>
      <c r="BE738" s="54"/>
      <c r="BF738" s="54"/>
      <c r="BG738" s="54"/>
      <c r="BH738" s="54"/>
      <c r="BI738" s="54"/>
      <c r="BJ738" s="0"/>
      <c r="BK738" s="0"/>
      <c r="BL738" s="0"/>
      <c r="BM738" s="0"/>
      <c r="BN738" s="0"/>
      <c r="BO738" s="0"/>
      <c r="BP738"/>
      <c r="BQ738"/>
      <c r="BR738"/>
      <c r="BS738"/>
      <c r="BT738"/>
      <c r="BU738"/>
      <c r="BV738"/>
      <c r="BW738"/>
      <c r="BX738"/>
      <c r="BY738"/>
      <c r="BZ738"/>
      <c r="CA738"/>
      <c r="CB738"/>
    </row>
    <row r="739" ht="15.0" customHeight="true">
      <c r="A739" s="51" t="s">
        <v>2448</v>
      </c>
      <c r="B739" s="33"/>
      <c r="C739" s="33" t="s">
        <v>5851</v>
      </c>
      <c r="D739" s="33"/>
      <c r="E739" s="33" t="s">
        <v>7832</v>
      </c>
      <c r="F739" s="33"/>
      <c r="G739" s="55" t="s">
        <v>7833</v>
      </c>
      <c r="H739" s="33"/>
      <c r="I739" s="51" t="s">
        <v>7834</v>
      </c>
      <c r="J739" s="33"/>
      <c r="K739" s="51" t="s">
        <v>7835</v>
      </c>
      <c r="L739" s="33" t="s">
        <v>2454</v>
      </c>
      <c r="M739" s="55" t="s">
        <v>4535</v>
      </c>
      <c r="N739" s="55" t="s">
        <v>6441</v>
      </c>
      <c r="O739" s="33" t="s">
        <v>2271</v>
      </c>
      <c r="P739" s="33" t="s">
        <v>2251</v>
      </c>
      <c r="Q739" s="33"/>
      <c r="R739" s="33" t="s">
        <v>2263</v>
      </c>
      <c r="S739" s="56" t="s">
        <v>2277</v>
      </c>
      <c r="T739" s="56"/>
      <c r="U739" s="56"/>
      <c r="V739" s="33" t="s">
        <v>4535</v>
      </c>
      <c r="W739" s="94" t="s">
        <v>2574</v>
      </c>
      <c r="X739" s="94" t="s">
        <v>2474</v>
      </c>
      <c r="Y739" s="51"/>
      <c r="Z739" s="51"/>
      <c r="AA739" s="33" t="s">
        <v>2459</v>
      </c>
      <c r="AB739" s="33" t="s">
        <v>2460</v>
      </c>
      <c r="AC739" s="33" t="s">
        <v>2486</v>
      </c>
      <c r="AD739" s="33" t="s">
        <v>2254</v>
      </c>
      <c r="AE739" s="33"/>
      <c r="AF739" s="33" t="s">
        <v>2267</v>
      </c>
      <c r="AG739" s="33" t="s">
        <v>2461</v>
      </c>
      <c r="AH739" s="33"/>
      <c r="AI739" s="33"/>
      <c r="AJ739" s="33" t="s">
        <v>7836</v>
      </c>
      <c r="AK739" s="94"/>
      <c r="AL739" s="33" t="s">
        <v>7837</v>
      </c>
      <c r="AM739" s="33"/>
      <c r="AN739" s="33" t="s">
        <v>4839</v>
      </c>
      <c r="AO739" s="51" t="s">
        <v>4840</v>
      </c>
      <c r="AP739" s="51" t="s">
        <v>207</v>
      </c>
      <c r="AQ739" s="33"/>
      <c r="AR739" s="54"/>
      <c r="AS739" s="54"/>
      <c r="AT739" s="54"/>
      <c r="AU739" s="54"/>
      <c r="AV739" s="54"/>
      <c r="AW739" s="54"/>
      <c r="AX739" s="54"/>
      <c r="AY739" s="54" t="s">
        <v>2269</v>
      </c>
      <c r="AZ739" s="54"/>
      <c r="BA739" s="54"/>
      <c r="BB739" s="54"/>
      <c r="BC739" s="54"/>
      <c r="BD739" s="54" t="s">
        <v>2447</v>
      </c>
      <c r="BE739" s="54"/>
      <c r="BF739" s="54"/>
      <c r="BG739" s="54"/>
      <c r="BH739" s="54"/>
      <c r="BI739" s="54"/>
      <c r="BJ739" s="0"/>
      <c r="BK739" s="0"/>
      <c r="BL739" s="0"/>
      <c r="BM739" s="0"/>
      <c r="BN739" s="0"/>
      <c r="BO739" s="0"/>
      <c r="BP739"/>
      <c r="BQ739"/>
      <c r="BR739"/>
      <c r="BS739"/>
      <c r="BT739"/>
      <c r="BU739"/>
      <c r="BV739"/>
      <c r="BW739"/>
      <c r="BX739"/>
      <c r="BY739"/>
      <c r="BZ739"/>
      <c r="CA739"/>
      <c r="CB739"/>
    </row>
    <row r="740" ht="15.0" customHeight="true">
      <c r="A740" s="51" t="s">
        <v>2448</v>
      </c>
      <c r="B740" s="33"/>
      <c r="C740" s="33" t="s">
        <v>3925</v>
      </c>
      <c r="D740" s="33"/>
      <c r="E740" s="33" t="s">
        <v>7838</v>
      </c>
      <c r="F740" s="33"/>
      <c r="G740" s="55" t="s">
        <v>7839</v>
      </c>
      <c r="H740" s="33"/>
      <c r="I740" s="51" t="s">
        <v>7840</v>
      </c>
      <c r="J740" s="33"/>
      <c r="K740" s="51" t="s">
        <v>7841</v>
      </c>
      <c r="L740" s="33" t="s">
        <v>2484</v>
      </c>
      <c r="M740" s="55" t="s">
        <v>3333</v>
      </c>
      <c r="N740" s="55"/>
      <c r="O740" s="33"/>
      <c r="P740" s="33" t="s">
        <v>2251</v>
      </c>
      <c r="Q740" s="33"/>
      <c r="R740" s="33" t="s">
        <v>2263</v>
      </c>
      <c r="S740" s="56" t="s">
        <v>2277</v>
      </c>
      <c r="T740" s="56"/>
      <c r="U740" s="56"/>
      <c r="V740" s="33" t="s">
        <v>2456</v>
      </c>
      <c r="W740" s="94" t="s">
        <v>2457</v>
      </c>
      <c r="X740" s="94" t="s">
        <v>2474</v>
      </c>
      <c r="Y740" s="51"/>
      <c r="Z740" s="51"/>
      <c r="AA740" s="33" t="s">
        <v>2459</v>
      </c>
      <c r="AB740" s="33" t="s">
        <v>2460</v>
      </c>
      <c r="AC740" s="33" t="s">
        <v>2486</v>
      </c>
      <c r="AD740" s="33" t="s">
        <v>2254</v>
      </c>
      <c r="AE740" s="33"/>
      <c r="AF740" s="33" t="s">
        <v>2267</v>
      </c>
      <c r="AG740" s="33" t="s">
        <v>2461</v>
      </c>
      <c r="AH740" s="33"/>
      <c r="AI740" s="33"/>
      <c r="AJ740" s="33" t="s">
        <v>7842</v>
      </c>
      <c r="AK740" s="94"/>
      <c r="AL740" s="33" t="s">
        <v>6365</v>
      </c>
      <c r="AM740" s="33"/>
      <c r="AN740" s="33" t="s">
        <v>2465</v>
      </c>
      <c r="AO740" s="51" t="s">
        <v>2538</v>
      </c>
      <c r="AP740" s="51" t="s">
        <v>207</v>
      </c>
      <c r="AQ740" s="33"/>
      <c r="AR740" s="54"/>
      <c r="AS740" s="54"/>
      <c r="AT740" s="54"/>
      <c r="AU740" s="54"/>
      <c r="AV740" s="54"/>
      <c r="AW740" s="54"/>
      <c r="AX740" s="54"/>
      <c r="AY740" s="54"/>
      <c r="AZ740" s="54"/>
      <c r="BA740" s="54"/>
      <c r="BB740" s="54"/>
      <c r="BC740" s="54"/>
      <c r="BD740" s="54" t="s">
        <v>2447</v>
      </c>
      <c r="BE740" s="54"/>
      <c r="BF740" s="54"/>
      <c r="BG740" s="54"/>
      <c r="BH740" s="54"/>
      <c r="BI740" s="54"/>
      <c r="BJ740" s="0"/>
      <c r="BK740" s="0"/>
      <c r="BL740" s="0"/>
      <c r="BM740" s="0"/>
      <c r="BN740" s="0"/>
      <c r="BO740" s="0"/>
      <c r="BP740"/>
      <c r="BQ740"/>
      <c r="BR740"/>
      <c r="BS740"/>
      <c r="BT740"/>
      <c r="BU740"/>
      <c r="BV740"/>
      <c r="BW740"/>
      <c r="BX740"/>
      <c r="BY740"/>
      <c r="BZ740"/>
      <c r="CA740"/>
      <c r="CB740"/>
    </row>
    <row r="741" ht="15.0" customHeight="true">
      <c r="A741" s="51" t="s">
        <v>2448</v>
      </c>
      <c r="B741" s="33"/>
      <c r="C741" s="33" t="s">
        <v>3455</v>
      </c>
      <c r="D741" s="33"/>
      <c r="E741" s="33" t="s">
        <v>7843</v>
      </c>
      <c r="F741" s="33"/>
      <c r="G741" s="55" t="s">
        <v>7844</v>
      </c>
      <c r="H741" s="33"/>
      <c r="I741" s="51" t="s">
        <v>7845</v>
      </c>
      <c r="J741" s="33"/>
      <c r="K741" s="51" t="s">
        <v>7846</v>
      </c>
      <c r="L741" s="33" t="s">
        <v>2454</v>
      </c>
      <c r="M741" s="55" t="s">
        <v>3780</v>
      </c>
      <c r="N741" s="55" t="s">
        <v>3935</v>
      </c>
      <c r="O741" s="33" t="s">
        <v>2272</v>
      </c>
      <c r="P741" s="33" t="s">
        <v>2251</v>
      </c>
      <c r="Q741" s="33"/>
      <c r="R741" s="33" t="s">
        <v>2263</v>
      </c>
      <c r="S741" s="56" t="s">
        <v>2277</v>
      </c>
      <c r="T741" s="56"/>
      <c r="U741" s="56"/>
      <c r="V741" s="33" t="s">
        <v>2456</v>
      </c>
      <c r="W741" s="94" t="s">
        <v>2457</v>
      </c>
      <c r="X741" s="94" t="s">
        <v>2458</v>
      </c>
      <c r="Y741" s="51"/>
      <c r="Z741" s="51"/>
      <c r="AA741" s="33" t="s">
        <v>2459</v>
      </c>
      <c r="AB741" s="33" t="s">
        <v>2460</v>
      </c>
      <c r="AC741" s="33"/>
      <c r="AD741" s="33" t="s">
        <v>2254</v>
      </c>
      <c r="AE741" s="33"/>
      <c r="AF741" s="33" t="s">
        <v>2267</v>
      </c>
      <c r="AG741" s="33" t="s">
        <v>2461</v>
      </c>
      <c r="AH741" s="33"/>
      <c r="AI741" s="33"/>
      <c r="AJ741" s="33" t="s">
        <v>7847</v>
      </c>
      <c r="AK741" s="94"/>
      <c r="AL741" s="33" t="s">
        <v>7848</v>
      </c>
      <c r="AM741" s="33"/>
      <c r="AN741" s="33" t="s">
        <v>2465</v>
      </c>
      <c r="AO741" s="51" t="s">
        <v>2548</v>
      </c>
      <c r="AP741" s="51" t="s">
        <v>207</v>
      </c>
      <c r="AQ741" s="33"/>
      <c r="AR741" s="54"/>
      <c r="AS741" s="54"/>
      <c r="AT741" s="54"/>
      <c r="AU741" s="54"/>
      <c r="AV741" s="54"/>
      <c r="AW741" s="54"/>
      <c r="AX741" s="54"/>
      <c r="AY741" s="54"/>
      <c r="AZ741" s="54"/>
      <c r="BA741" s="54"/>
      <c r="BB741" s="54"/>
      <c r="BC741" s="54"/>
      <c r="BD741" s="54" t="s">
        <v>2447</v>
      </c>
      <c r="BE741" s="54"/>
      <c r="BF741" s="54"/>
      <c r="BG741" s="54"/>
      <c r="BH741" s="54"/>
      <c r="BI741" s="54"/>
      <c r="BJ741" s="0"/>
      <c r="BK741" s="0"/>
      <c r="BL741" s="0"/>
      <c r="BM741" s="0"/>
      <c r="BN741" s="0"/>
      <c r="BO741" s="0"/>
      <c r="BP741"/>
      <c r="BQ741"/>
      <c r="BR741"/>
      <c r="BS741"/>
      <c r="BT741"/>
      <c r="BU741"/>
      <c r="BV741"/>
      <c r="BW741"/>
      <c r="BX741"/>
      <c r="BY741"/>
      <c r="BZ741"/>
      <c r="CA741"/>
      <c r="CB741"/>
    </row>
    <row r="742" ht="15.0" customHeight="true">
      <c r="A742" s="51" t="s">
        <v>2448</v>
      </c>
      <c r="B742" s="33"/>
      <c r="C742" s="33" t="s">
        <v>7849</v>
      </c>
      <c r="D742" s="33"/>
      <c r="E742" s="33" t="s">
        <v>7850</v>
      </c>
      <c r="F742" s="33"/>
      <c r="G742" s="55" t="s">
        <v>7851</v>
      </c>
      <c r="H742" s="33"/>
      <c r="I742" s="51" t="s">
        <v>7852</v>
      </c>
      <c r="J742" s="33"/>
      <c r="K742" s="51" t="s">
        <v>7853</v>
      </c>
      <c r="L742" s="33" t="s">
        <v>2484</v>
      </c>
      <c r="M742" s="55" t="s">
        <v>3827</v>
      </c>
      <c r="N742" s="55"/>
      <c r="O742" s="33"/>
      <c r="P742" s="33" t="s">
        <v>2251</v>
      </c>
      <c r="Q742" s="33"/>
      <c r="R742" s="33" t="s">
        <v>2263</v>
      </c>
      <c r="S742" s="56" t="s">
        <v>2277</v>
      </c>
      <c r="T742" s="56"/>
      <c r="U742" s="56"/>
      <c r="V742" s="33" t="s">
        <v>2456</v>
      </c>
      <c r="W742" s="94" t="s">
        <v>2457</v>
      </c>
      <c r="X742" s="94" t="s">
        <v>2474</v>
      </c>
      <c r="Y742" s="51"/>
      <c r="Z742" s="51"/>
      <c r="AA742" s="33" t="s">
        <v>2459</v>
      </c>
      <c r="AB742" s="33" t="s">
        <v>2460</v>
      </c>
      <c r="AC742" s="33" t="s">
        <v>2486</v>
      </c>
      <c r="AD742" s="33" t="s">
        <v>2254</v>
      </c>
      <c r="AE742" s="33"/>
      <c r="AF742" s="33" t="s">
        <v>2267</v>
      </c>
      <c r="AG742" s="33" t="s">
        <v>2461</v>
      </c>
      <c r="AH742" s="33"/>
      <c r="AI742" s="33"/>
      <c r="AJ742" s="33" t="s">
        <v>7854</v>
      </c>
      <c r="AK742" s="94"/>
      <c r="AL742" s="33" t="s">
        <v>6764</v>
      </c>
      <c r="AM742" s="33" t="s">
        <v>7855</v>
      </c>
      <c r="AN742" s="33" t="s">
        <v>2588</v>
      </c>
      <c r="AO742" s="51" t="s">
        <v>2628</v>
      </c>
      <c r="AP742" s="51" t="s">
        <v>207</v>
      </c>
      <c r="AQ742" s="33"/>
      <c r="AR742" s="54"/>
      <c r="AS742" s="54"/>
      <c r="AT742" s="54"/>
      <c r="AU742" s="54"/>
      <c r="AV742" s="54"/>
      <c r="AW742" s="54"/>
      <c r="AX742" s="54"/>
      <c r="AY742" s="54"/>
      <c r="AZ742" s="54"/>
      <c r="BA742" s="54"/>
      <c r="BB742" s="54"/>
      <c r="BC742" s="54"/>
      <c r="BD742" s="54" t="s">
        <v>2447</v>
      </c>
      <c r="BE742" s="54"/>
      <c r="BF742" s="54"/>
      <c r="BG742" s="54"/>
      <c r="BH742" s="54"/>
      <c r="BI742" s="54"/>
      <c r="BJ742" s="0"/>
      <c r="BK742" s="0"/>
      <c r="BL742" s="0"/>
      <c r="BM742" s="0"/>
      <c r="BN742" s="0"/>
      <c r="BO742" s="0"/>
      <c r="BP742"/>
      <c r="BQ742"/>
      <c r="BR742"/>
      <c r="BS742"/>
      <c r="BT742"/>
      <c r="BU742"/>
      <c r="BV742"/>
      <c r="BW742"/>
      <c r="BX742"/>
      <c r="BY742"/>
      <c r="BZ742"/>
      <c r="CA742"/>
      <c r="CB742"/>
    </row>
    <row r="743" ht="15.0" customHeight="true">
      <c r="A743" s="51" t="s">
        <v>2448</v>
      </c>
      <c r="B743" s="33"/>
      <c r="C743" s="33" t="s">
        <v>7856</v>
      </c>
      <c r="D743" s="33"/>
      <c r="E743" s="33" t="s">
        <v>7857</v>
      </c>
      <c r="F743" s="33"/>
      <c r="G743" s="55" t="s">
        <v>7858</v>
      </c>
      <c r="H743" s="33"/>
      <c r="I743" s="51" t="s">
        <v>7859</v>
      </c>
      <c r="J743" s="33"/>
      <c r="K743" s="51" t="s">
        <v>7860</v>
      </c>
      <c r="L743" s="33" t="s">
        <v>2454</v>
      </c>
      <c r="M743" s="55" t="s">
        <v>4992</v>
      </c>
      <c r="N743" s="55" t="s">
        <v>4992</v>
      </c>
      <c r="O743" s="33" t="s">
        <v>2272</v>
      </c>
      <c r="P743" s="33" t="s">
        <v>2251</v>
      </c>
      <c r="Q743" s="33"/>
      <c r="R743" s="33" t="s">
        <v>2263</v>
      </c>
      <c r="S743" s="56" t="s">
        <v>2277</v>
      </c>
      <c r="T743" s="56"/>
      <c r="U743" s="56"/>
      <c r="V743" s="33" t="s">
        <v>2456</v>
      </c>
      <c r="W743" s="94" t="s">
        <v>2457</v>
      </c>
      <c r="X743" s="94" t="s">
        <v>2458</v>
      </c>
      <c r="Y743" s="51"/>
      <c r="Z743" s="51"/>
      <c r="AA743" s="33" t="s">
        <v>2459</v>
      </c>
      <c r="AB743" s="33" t="s">
        <v>2460</v>
      </c>
      <c r="AC743" s="33"/>
      <c r="AD743" s="33" t="s">
        <v>2254</v>
      </c>
      <c r="AE743" s="33"/>
      <c r="AF743" s="33" t="s">
        <v>2267</v>
      </c>
      <c r="AG743" s="33" t="s">
        <v>2461</v>
      </c>
      <c r="AH743" s="33"/>
      <c r="AI743" s="33"/>
      <c r="AJ743" s="33" t="s">
        <v>7861</v>
      </c>
      <c r="AK743" s="94"/>
      <c r="AL743" s="33" t="s">
        <v>4985</v>
      </c>
      <c r="AM743" s="33" t="s">
        <v>7862</v>
      </c>
      <c r="AN743" s="33" t="s">
        <v>2465</v>
      </c>
      <c r="AO743" s="51" t="s">
        <v>2489</v>
      </c>
      <c r="AP743" s="51" t="s">
        <v>207</v>
      </c>
      <c r="AQ743" s="33"/>
      <c r="AR743" s="54"/>
      <c r="AS743" s="54"/>
      <c r="AT743" s="54"/>
      <c r="AU743" s="54"/>
      <c r="AV743" s="54"/>
      <c r="AW743" s="54"/>
      <c r="AX743" s="54"/>
      <c r="AY743" s="54"/>
      <c r="AZ743" s="54"/>
      <c r="BA743" s="54"/>
      <c r="BB743" s="54"/>
      <c r="BC743" s="54"/>
      <c r="BD743" s="54" t="s">
        <v>2447</v>
      </c>
      <c r="BE743" s="54"/>
      <c r="BF743" s="54"/>
      <c r="BG743" s="54"/>
      <c r="BH743" s="54"/>
      <c r="BI743" s="54"/>
      <c r="BJ743" s="0"/>
      <c r="BK743" s="0"/>
      <c r="BL743" s="0"/>
      <c r="BM743" s="0"/>
      <c r="BN743" s="0"/>
      <c r="BO743" s="0"/>
      <c r="BP743"/>
      <c r="BQ743"/>
      <c r="BR743"/>
      <c r="BS743"/>
      <c r="BT743"/>
      <c r="BU743"/>
      <c r="BV743"/>
      <c r="BW743"/>
      <c r="BX743"/>
      <c r="BY743"/>
      <c r="BZ743"/>
      <c r="CA743"/>
      <c r="CB743"/>
    </row>
    <row r="744" ht="15.0" customHeight="true">
      <c r="A744" s="51" t="s">
        <v>2448</v>
      </c>
      <c r="B744" s="33"/>
      <c r="C744" s="33" t="s">
        <v>7863</v>
      </c>
      <c r="D744" s="33"/>
      <c r="E744" s="33" t="s">
        <v>7864</v>
      </c>
      <c r="F744" s="33"/>
      <c r="G744" s="55" t="s">
        <v>7865</v>
      </c>
      <c r="H744" s="33"/>
      <c r="I744" s="51" t="s">
        <v>7866</v>
      </c>
      <c r="J744" s="33"/>
      <c r="K744" s="51" t="s">
        <v>7867</v>
      </c>
      <c r="L744" s="33" t="s">
        <v>2454</v>
      </c>
      <c r="M744" s="55" t="s">
        <v>3914</v>
      </c>
      <c r="N744" s="55" t="s">
        <v>2709</v>
      </c>
      <c r="O744" s="33" t="s">
        <v>2272</v>
      </c>
      <c r="P744" s="33" t="s">
        <v>2251</v>
      </c>
      <c r="Q744" s="33"/>
      <c r="R744" s="33" t="s">
        <v>2263</v>
      </c>
      <c r="S744" s="56" t="s">
        <v>2277</v>
      </c>
      <c r="T744" s="56"/>
      <c r="U744" s="56"/>
      <c r="V744" s="33" t="s">
        <v>2456</v>
      </c>
      <c r="W744" s="94" t="s">
        <v>2457</v>
      </c>
      <c r="X744" s="94" t="s">
        <v>2474</v>
      </c>
      <c r="Y744" s="51"/>
      <c r="Z744" s="51"/>
      <c r="AA744" s="33" t="s">
        <v>2459</v>
      </c>
      <c r="AB744" s="33" t="s">
        <v>2460</v>
      </c>
      <c r="AC744" s="33"/>
      <c r="AD744" s="33" t="s">
        <v>2254</v>
      </c>
      <c r="AE744" s="33"/>
      <c r="AF744" s="33" t="s">
        <v>2267</v>
      </c>
      <c r="AG744" s="33" t="s">
        <v>2461</v>
      </c>
      <c r="AH744" s="33"/>
      <c r="AI744" s="33"/>
      <c r="AJ744" s="33" t="s">
        <v>7868</v>
      </c>
      <c r="AK744" s="94"/>
      <c r="AL744" s="33" t="s">
        <v>7869</v>
      </c>
      <c r="AM744" s="33"/>
      <c r="AN744" s="33" t="s">
        <v>2588</v>
      </c>
      <c r="AO744" s="51" t="s">
        <v>2589</v>
      </c>
      <c r="AP744" s="51" t="s">
        <v>207</v>
      </c>
      <c r="AQ744" s="33"/>
      <c r="AR744" s="54"/>
      <c r="AS744" s="54"/>
      <c r="AT744" s="54"/>
      <c r="AU744" s="54"/>
      <c r="AV744" s="54"/>
      <c r="AW744" s="54"/>
      <c r="AX744" s="54"/>
      <c r="AY744" s="54"/>
      <c r="AZ744" s="54"/>
      <c r="BA744" s="54"/>
      <c r="BB744" s="54"/>
      <c r="BC744" s="54"/>
      <c r="BD744" s="54" t="s">
        <v>2447</v>
      </c>
      <c r="BE744" s="54"/>
      <c r="BF744" s="54"/>
      <c r="BG744" s="54"/>
      <c r="BH744" s="54"/>
      <c r="BI744" s="54"/>
      <c r="BJ744" s="0"/>
      <c r="BK744" s="0"/>
      <c r="BL744" s="0"/>
      <c r="BM744" s="0"/>
      <c r="BN744" s="0"/>
      <c r="BO744" s="0"/>
      <c r="BP744"/>
      <c r="BQ744"/>
      <c r="BR744"/>
      <c r="BS744"/>
      <c r="BT744"/>
      <c r="BU744"/>
      <c r="BV744"/>
      <c r="BW744"/>
      <c r="BX744"/>
      <c r="BY744"/>
      <c r="BZ744"/>
      <c r="CA744"/>
      <c r="CB744"/>
    </row>
    <row r="745" ht="15.0" customHeight="true">
      <c r="A745" s="51" t="s">
        <v>2448</v>
      </c>
      <c r="B745" s="33"/>
      <c r="C745" s="33" t="s">
        <v>7870</v>
      </c>
      <c r="D745" s="33"/>
      <c r="E745" s="33" t="s">
        <v>7871</v>
      </c>
      <c r="F745" s="33"/>
      <c r="G745" s="55" t="s">
        <v>7872</v>
      </c>
      <c r="H745" s="33"/>
      <c r="I745" s="51" t="s">
        <v>7873</v>
      </c>
      <c r="J745" s="33"/>
      <c r="K745" s="51" t="s">
        <v>7874</v>
      </c>
      <c r="L745" s="33" t="s">
        <v>2454</v>
      </c>
      <c r="M745" s="55" t="s">
        <v>4661</v>
      </c>
      <c r="N745" s="55" t="s">
        <v>4661</v>
      </c>
      <c r="O745" s="33" t="s">
        <v>2272</v>
      </c>
      <c r="P745" s="33" t="s">
        <v>2251</v>
      </c>
      <c r="Q745" s="33"/>
      <c r="R745" s="33" t="s">
        <v>2263</v>
      </c>
      <c r="S745" s="56" t="s">
        <v>2277</v>
      </c>
      <c r="T745" s="56"/>
      <c r="U745" s="56"/>
      <c r="V745" s="33" t="s">
        <v>2456</v>
      </c>
      <c r="W745" s="94" t="s">
        <v>2457</v>
      </c>
      <c r="X745" s="94" t="s">
        <v>2458</v>
      </c>
      <c r="Y745" s="51"/>
      <c r="Z745" s="51"/>
      <c r="AA745" s="33" t="s">
        <v>2459</v>
      </c>
      <c r="AB745" s="33" t="s">
        <v>2460</v>
      </c>
      <c r="AC745" s="33"/>
      <c r="AD745" s="33" t="s">
        <v>2254</v>
      </c>
      <c r="AE745" s="33"/>
      <c r="AF745" s="33" t="s">
        <v>2267</v>
      </c>
      <c r="AG745" s="33" t="s">
        <v>2461</v>
      </c>
      <c r="AH745" s="33"/>
      <c r="AI745" s="33"/>
      <c r="AJ745" s="33" t="s">
        <v>7875</v>
      </c>
      <c r="AK745" s="94"/>
      <c r="AL745" s="33" t="s">
        <v>7876</v>
      </c>
      <c r="AM745" s="33" t="s">
        <v>5039</v>
      </c>
      <c r="AN745" s="33" t="s">
        <v>6741</v>
      </c>
      <c r="AO745" s="51" t="s">
        <v>7877</v>
      </c>
      <c r="AP745" s="51" t="s">
        <v>207</v>
      </c>
      <c r="AQ745" s="33"/>
      <c r="AR745" s="54"/>
      <c r="AS745" s="54"/>
      <c r="AT745" s="54"/>
      <c r="AU745" s="54"/>
      <c r="AV745" s="54"/>
      <c r="AW745" s="54"/>
      <c r="AX745" s="54"/>
      <c r="AY745" s="54"/>
      <c r="AZ745" s="54"/>
      <c r="BA745" s="54"/>
      <c r="BB745" s="54"/>
      <c r="BC745" s="54"/>
      <c r="BD745" s="54" t="s">
        <v>2447</v>
      </c>
      <c r="BE745" s="54"/>
      <c r="BF745" s="54"/>
      <c r="BG745" s="54"/>
      <c r="BH745" s="54"/>
      <c r="BI745" s="54"/>
      <c r="BJ745" s="0"/>
      <c r="BK745" s="0"/>
      <c r="BL745" s="0"/>
      <c r="BM745" s="0"/>
      <c r="BN745" s="0"/>
      <c r="BO745" s="0"/>
      <c r="BP745"/>
      <c r="BQ745"/>
      <c r="BR745"/>
      <c r="BS745"/>
      <c r="BT745"/>
      <c r="BU745"/>
      <c r="BV745"/>
      <c r="BW745"/>
      <c r="BX745"/>
      <c r="BY745"/>
      <c r="BZ745"/>
      <c r="CA745"/>
      <c r="CB745"/>
    </row>
    <row r="746" ht="15.0" customHeight="true">
      <c r="A746" s="51" t="s">
        <v>2448</v>
      </c>
      <c r="B746" s="33"/>
      <c r="C746" s="33" t="s">
        <v>7878</v>
      </c>
      <c r="D746" s="33"/>
      <c r="E746" s="33" t="s">
        <v>6708</v>
      </c>
      <c r="F746" s="33"/>
      <c r="G746" s="55" t="s">
        <v>7879</v>
      </c>
      <c r="H746" s="33"/>
      <c r="I746" s="51" t="s">
        <v>7880</v>
      </c>
      <c r="J746" s="33"/>
      <c r="K746" s="51" t="s">
        <v>7881</v>
      </c>
      <c r="L746" s="33" t="s">
        <v>2454</v>
      </c>
      <c r="M746" s="55" t="s">
        <v>3958</v>
      </c>
      <c r="N746" s="55" t="s">
        <v>3066</v>
      </c>
      <c r="O746" s="33" t="s">
        <v>2272</v>
      </c>
      <c r="P746" s="33" t="s">
        <v>2251</v>
      </c>
      <c r="Q746" s="33"/>
      <c r="R746" s="33" t="s">
        <v>2263</v>
      </c>
      <c r="S746" s="56" t="s">
        <v>2277</v>
      </c>
      <c r="T746" s="56"/>
      <c r="U746" s="56"/>
      <c r="V746" s="33" t="s">
        <v>2456</v>
      </c>
      <c r="W746" s="94" t="s">
        <v>2457</v>
      </c>
      <c r="X746" s="94" t="s">
        <v>2458</v>
      </c>
      <c r="Y746" s="51"/>
      <c r="Z746" s="51"/>
      <c r="AA746" s="33" t="s">
        <v>2459</v>
      </c>
      <c r="AB746" s="33" t="s">
        <v>2460</v>
      </c>
      <c r="AC746" s="33"/>
      <c r="AD746" s="33" t="s">
        <v>2254</v>
      </c>
      <c r="AE746" s="33"/>
      <c r="AF746" s="33" t="s">
        <v>2267</v>
      </c>
      <c r="AG746" s="33" t="s">
        <v>2461</v>
      </c>
      <c r="AH746" s="33"/>
      <c r="AI746" s="33"/>
      <c r="AJ746" s="33" t="s">
        <v>7882</v>
      </c>
      <c r="AK746" s="94"/>
      <c r="AL746" s="33" t="s">
        <v>3085</v>
      </c>
      <c r="AM746" s="33" t="s">
        <v>7883</v>
      </c>
      <c r="AN746" s="33" t="s">
        <v>2465</v>
      </c>
      <c r="AO746" s="51" t="s">
        <v>2538</v>
      </c>
      <c r="AP746" s="51" t="s">
        <v>207</v>
      </c>
      <c r="AQ746" s="33"/>
      <c r="AR746" s="54"/>
      <c r="AS746" s="54"/>
      <c r="AT746" s="54"/>
      <c r="AU746" s="54"/>
      <c r="AV746" s="54"/>
      <c r="AW746" s="54"/>
      <c r="AX746" s="54"/>
      <c r="AY746" s="54"/>
      <c r="AZ746" s="54"/>
      <c r="BA746" s="54"/>
      <c r="BB746" s="54"/>
      <c r="BC746" s="54"/>
      <c r="BD746" s="54" t="s">
        <v>2447</v>
      </c>
      <c r="BE746" s="54"/>
      <c r="BF746" s="54"/>
      <c r="BG746" s="54"/>
      <c r="BH746" s="54"/>
      <c r="BI746" s="54"/>
      <c r="BJ746" s="0"/>
      <c r="BK746" s="0"/>
      <c r="BL746" s="0"/>
      <c r="BM746" s="0"/>
      <c r="BN746" s="0"/>
      <c r="BO746" s="0"/>
      <c r="BP746"/>
      <c r="BQ746"/>
      <c r="BR746"/>
      <c r="BS746"/>
      <c r="BT746"/>
      <c r="BU746"/>
      <c r="BV746"/>
      <c r="BW746"/>
      <c r="BX746"/>
      <c r="BY746"/>
      <c r="BZ746"/>
      <c r="CA746"/>
      <c r="CB746"/>
    </row>
    <row r="747" ht="15.0" customHeight="true">
      <c r="A747" s="51" t="s">
        <v>2448</v>
      </c>
      <c r="B747" s="33"/>
      <c r="C747" s="33" t="s">
        <v>3666</v>
      </c>
      <c r="D747" s="33"/>
      <c r="E747" s="33" t="s">
        <v>7884</v>
      </c>
      <c r="F747" s="33"/>
      <c r="G747" s="55" t="s">
        <v>7885</v>
      </c>
      <c r="H747" s="33"/>
      <c r="I747" s="51" t="s">
        <v>7886</v>
      </c>
      <c r="J747" s="33"/>
      <c r="K747" s="51" t="s">
        <v>7887</v>
      </c>
      <c r="L747" s="33" t="s">
        <v>2454</v>
      </c>
      <c r="M747" s="55" t="s">
        <v>3056</v>
      </c>
      <c r="N747" s="55" t="s">
        <v>2496</v>
      </c>
      <c r="O747" s="33" t="s">
        <v>2272</v>
      </c>
      <c r="P747" s="33" t="s">
        <v>2251</v>
      </c>
      <c r="Q747" s="33"/>
      <c r="R747" s="33" t="s">
        <v>2263</v>
      </c>
      <c r="S747" s="56" t="s">
        <v>2277</v>
      </c>
      <c r="T747" s="56"/>
      <c r="U747" s="56"/>
      <c r="V747" s="33" t="s">
        <v>2456</v>
      </c>
      <c r="W747" s="94" t="s">
        <v>2457</v>
      </c>
      <c r="X747" s="94" t="s">
        <v>2474</v>
      </c>
      <c r="Y747" s="51"/>
      <c r="Z747" s="51"/>
      <c r="AA747" s="33" t="s">
        <v>2459</v>
      </c>
      <c r="AB747" s="33" t="s">
        <v>2460</v>
      </c>
      <c r="AC747" s="33"/>
      <c r="AD747" s="33" t="s">
        <v>2254</v>
      </c>
      <c r="AE747" s="33"/>
      <c r="AF747" s="33" t="s">
        <v>2267</v>
      </c>
      <c r="AG747" s="33" t="s">
        <v>2461</v>
      </c>
      <c r="AH747" s="33"/>
      <c r="AI747" s="33"/>
      <c r="AJ747" s="33" t="s">
        <v>7888</v>
      </c>
      <c r="AK747" s="94"/>
      <c r="AL747" s="33" t="s">
        <v>7889</v>
      </c>
      <c r="AM747" s="33"/>
      <c r="AN747" s="33" t="s">
        <v>2465</v>
      </c>
      <c r="AO747" s="51" t="s">
        <v>2489</v>
      </c>
      <c r="AP747" s="51" t="s">
        <v>207</v>
      </c>
      <c r="AQ747" s="33"/>
      <c r="AR747" s="54"/>
      <c r="AS747" s="54"/>
      <c r="AT747" s="54"/>
      <c r="AU747" s="54"/>
      <c r="AV747" s="54"/>
      <c r="AW747" s="54"/>
      <c r="AX747" s="54"/>
      <c r="AY747" s="54"/>
      <c r="AZ747" s="54"/>
      <c r="BA747" s="54"/>
      <c r="BB747" s="54"/>
      <c r="BC747" s="54"/>
      <c r="BD747" s="54" t="s">
        <v>2447</v>
      </c>
      <c r="BE747" s="54"/>
      <c r="BF747" s="54"/>
      <c r="BG747" s="54"/>
      <c r="BH747" s="54"/>
      <c r="BI747" s="54"/>
      <c r="BJ747" s="0"/>
      <c r="BK747" s="0"/>
      <c r="BL747" s="0"/>
      <c r="BM747" s="0"/>
      <c r="BN747" s="0"/>
      <c r="BO747" s="0"/>
      <c r="BP747"/>
      <c r="BQ747"/>
      <c r="BR747"/>
      <c r="BS747"/>
      <c r="BT747"/>
      <c r="BU747"/>
      <c r="BV747"/>
      <c r="BW747"/>
      <c r="BX747"/>
      <c r="BY747"/>
      <c r="BZ747"/>
      <c r="CA747"/>
      <c r="CB747"/>
    </row>
    <row r="748" ht="15.0" customHeight="true">
      <c r="A748" s="51" t="s">
        <v>2448</v>
      </c>
      <c r="B748" s="33"/>
      <c r="C748" s="33" t="s">
        <v>7890</v>
      </c>
      <c r="D748" s="33"/>
      <c r="E748" s="33" t="s">
        <v>7891</v>
      </c>
      <c r="F748" s="33"/>
      <c r="G748" s="55" t="s">
        <v>7892</v>
      </c>
      <c r="H748" s="33"/>
      <c r="I748" s="51" t="s">
        <v>7893</v>
      </c>
      <c r="J748" s="33"/>
      <c r="K748" s="51" t="s">
        <v>7894</v>
      </c>
      <c r="L748" s="33" t="s">
        <v>2454</v>
      </c>
      <c r="M748" s="55" t="s">
        <v>5949</v>
      </c>
      <c r="N748" s="55" t="s">
        <v>7895</v>
      </c>
      <c r="O748" s="33" t="s">
        <v>2272</v>
      </c>
      <c r="P748" s="33" t="s">
        <v>2251</v>
      </c>
      <c r="Q748" s="33"/>
      <c r="R748" s="33" t="s">
        <v>2263</v>
      </c>
      <c r="S748" s="56" t="s">
        <v>2277</v>
      </c>
      <c r="T748" s="56"/>
      <c r="U748" s="56"/>
      <c r="V748" s="33" t="s">
        <v>2456</v>
      </c>
      <c r="W748" s="94" t="s">
        <v>2457</v>
      </c>
      <c r="X748" s="94" t="s">
        <v>2458</v>
      </c>
      <c r="Y748" s="51"/>
      <c r="Z748" s="51"/>
      <c r="AA748" s="33" t="s">
        <v>2459</v>
      </c>
      <c r="AB748" s="33" t="s">
        <v>2460</v>
      </c>
      <c r="AC748" s="33"/>
      <c r="AD748" s="33" t="s">
        <v>2254</v>
      </c>
      <c r="AE748" s="33"/>
      <c r="AF748" s="33" t="s">
        <v>2267</v>
      </c>
      <c r="AG748" s="33" t="s">
        <v>2461</v>
      </c>
      <c r="AH748" s="33"/>
      <c r="AI748" s="33"/>
      <c r="AJ748" s="33" t="s">
        <v>7896</v>
      </c>
      <c r="AK748" s="94"/>
      <c r="AL748" s="33" t="s">
        <v>7897</v>
      </c>
      <c r="AM748" s="33"/>
      <c r="AN748" s="33" t="s">
        <v>2465</v>
      </c>
      <c r="AO748" s="51" t="s">
        <v>2478</v>
      </c>
      <c r="AP748" s="51" t="s">
        <v>207</v>
      </c>
      <c r="AQ748" s="33"/>
      <c r="AR748" s="54"/>
      <c r="AS748" s="54"/>
      <c r="AT748" s="54"/>
      <c r="AU748" s="54"/>
      <c r="AV748" s="54"/>
      <c r="AW748" s="54"/>
      <c r="AX748" s="54"/>
      <c r="AY748" s="54"/>
      <c r="AZ748" s="54"/>
      <c r="BA748" s="54"/>
      <c r="BB748" s="54"/>
      <c r="BC748" s="54"/>
      <c r="BD748" s="54" t="s">
        <v>2447</v>
      </c>
      <c r="BE748" s="54"/>
      <c r="BF748" s="54"/>
      <c r="BG748" s="54"/>
      <c r="BH748" s="54"/>
      <c r="BI748" s="54"/>
      <c r="BJ748" s="0"/>
      <c r="BK748" s="0"/>
      <c r="BL748" s="0"/>
      <c r="BM748" s="0"/>
      <c r="BN748" s="0"/>
      <c r="BO748" s="0"/>
      <c r="BP748"/>
      <c r="BQ748"/>
      <c r="BR748"/>
      <c r="BS748"/>
      <c r="BT748"/>
      <c r="BU748"/>
      <c r="BV748"/>
      <c r="BW748"/>
      <c r="BX748"/>
      <c r="BY748"/>
      <c r="BZ748"/>
      <c r="CA748"/>
      <c r="CB748"/>
    </row>
    <row r="749" ht="15.0" customHeight="true">
      <c r="A749" s="51" t="s">
        <v>2448</v>
      </c>
      <c r="B749" s="33"/>
      <c r="C749" s="33" t="s">
        <v>6002</v>
      </c>
      <c r="D749" s="33"/>
      <c r="E749" s="33" t="s">
        <v>7898</v>
      </c>
      <c r="F749" s="33"/>
      <c r="G749" s="55" t="s">
        <v>7899</v>
      </c>
      <c r="H749" s="33"/>
      <c r="I749" s="51" t="s">
        <v>7900</v>
      </c>
      <c r="J749" s="33"/>
      <c r="K749" s="51" t="s">
        <v>7901</v>
      </c>
      <c r="L749" s="33" t="s">
        <v>2454</v>
      </c>
      <c r="M749" s="55" t="s">
        <v>3151</v>
      </c>
      <c r="N749" s="55" t="s">
        <v>3151</v>
      </c>
      <c r="O749" s="33" t="s">
        <v>2272</v>
      </c>
      <c r="P749" s="33" t="s">
        <v>2251</v>
      </c>
      <c r="Q749" s="33"/>
      <c r="R749" s="33" t="s">
        <v>2263</v>
      </c>
      <c r="S749" s="56" t="s">
        <v>2277</v>
      </c>
      <c r="T749" s="56"/>
      <c r="U749" s="56"/>
      <c r="V749" s="33" t="s">
        <v>2456</v>
      </c>
      <c r="W749" s="94" t="s">
        <v>2457</v>
      </c>
      <c r="X749" s="94" t="s">
        <v>2458</v>
      </c>
      <c r="Y749" s="51"/>
      <c r="Z749" s="51"/>
      <c r="AA749" s="33" t="s">
        <v>2459</v>
      </c>
      <c r="AB749" s="33" t="s">
        <v>2460</v>
      </c>
      <c r="AC749" s="33"/>
      <c r="AD749" s="33" t="s">
        <v>2254</v>
      </c>
      <c r="AE749" s="33"/>
      <c r="AF749" s="33" t="s">
        <v>2267</v>
      </c>
      <c r="AG749" s="33" t="s">
        <v>2461</v>
      </c>
      <c r="AH749" s="33"/>
      <c r="AI749" s="33"/>
      <c r="AJ749" s="33" t="s">
        <v>7902</v>
      </c>
      <c r="AK749" s="94"/>
      <c r="AL749" s="33" t="s">
        <v>7903</v>
      </c>
      <c r="AM749" s="33" t="s">
        <v>7904</v>
      </c>
      <c r="AN749" s="33" t="s">
        <v>2588</v>
      </c>
      <c r="AO749" s="51" t="s">
        <v>2589</v>
      </c>
      <c r="AP749" s="51" t="s">
        <v>207</v>
      </c>
      <c r="AQ749" s="33"/>
      <c r="AR749" s="54"/>
      <c r="AS749" s="54"/>
      <c r="AT749" s="54"/>
      <c r="AU749" s="54"/>
      <c r="AV749" s="54"/>
      <c r="AW749" s="54"/>
      <c r="AX749" s="54"/>
      <c r="AY749" s="54"/>
      <c r="AZ749" s="54"/>
      <c r="BA749" s="54"/>
      <c r="BB749" s="54"/>
      <c r="BC749" s="54"/>
      <c r="BD749" s="54" t="s">
        <v>2447</v>
      </c>
      <c r="BE749" s="54"/>
      <c r="BF749" s="54"/>
      <c r="BG749" s="54"/>
      <c r="BH749" s="54"/>
      <c r="BI749" s="54"/>
      <c r="BJ749" s="0"/>
      <c r="BK749" s="0"/>
      <c r="BL749" s="0"/>
      <c r="BM749" s="0"/>
      <c r="BN749" s="0"/>
      <c r="BO749" s="0"/>
      <c r="BP749"/>
      <c r="BQ749"/>
      <c r="BR749"/>
      <c r="BS749"/>
      <c r="BT749"/>
      <c r="BU749"/>
      <c r="BV749"/>
      <c r="BW749"/>
      <c r="BX749"/>
      <c r="BY749"/>
      <c r="BZ749"/>
      <c r="CA749"/>
      <c r="CB749"/>
    </row>
    <row r="750" ht="15.0" customHeight="true">
      <c r="A750" s="51" t="s">
        <v>2448</v>
      </c>
      <c r="B750" s="33"/>
      <c r="C750" s="33" t="s">
        <v>3875</v>
      </c>
      <c r="D750" s="33"/>
      <c r="E750" s="33" t="s">
        <v>7905</v>
      </c>
      <c r="F750" s="33"/>
      <c r="G750" s="55" t="s">
        <v>7906</v>
      </c>
      <c r="H750" s="33"/>
      <c r="I750" s="51" t="s">
        <v>7907</v>
      </c>
      <c r="J750" s="33"/>
      <c r="K750" s="51" t="s">
        <v>7908</v>
      </c>
      <c r="L750" s="33" t="s">
        <v>2454</v>
      </c>
      <c r="M750" s="55" t="s">
        <v>3194</v>
      </c>
      <c r="N750" s="55" t="s">
        <v>7909</v>
      </c>
      <c r="O750" s="33" t="s">
        <v>2272</v>
      </c>
      <c r="P750" s="33" t="s">
        <v>2251</v>
      </c>
      <c r="Q750" s="33"/>
      <c r="R750" s="33" t="s">
        <v>2263</v>
      </c>
      <c r="S750" s="56" t="s">
        <v>2277</v>
      </c>
      <c r="T750" s="56"/>
      <c r="U750" s="56"/>
      <c r="V750" s="33" t="s">
        <v>2456</v>
      </c>
      <c r="W750" s="94" t="s">
        <v>2457</v>
      </c>
      <c r="X750" s="94" t="s">
        <v>2458</v>
      </c>
      <c r="Y750" s="51"/>
      <c r="Z750" s="51"/>
      <c r="AA750" s="33" t="s">
        <v>2459</v>
      </c>
      <c r="AB750" s="33" t="s">
        <v>2460</v>
      </c>
      <c r="AC750" s="33"/>
      <c r="AD750" s="33" t="s">
        <v>2254</v>
      </c>
      <c r="AE750" s="33"/>
      <c r="AF750" s="33" t="s">
        <v>2267</v>
      </c>
      <c r="AG750" s="33" t="s">
        <v>2461</v>
      </c>
      <c r="AH750" s="33"/>
      <c r="AI750" s="33"/>
      <c r="AJ750" s="33" t="s">
        <v>7910</v>
      </c>
      <c r="AK750" s="94"/>
      <c r="AL750" s="33" t="s">
        <v>4900</v>
      </c>
      <c r="AM750" s="33" t="s">
        <v>7911</v>
      </c>
      <c r="AN750" s="33" t="s">
        <v>2465</v>
      </c>
      <c r="AO750" s="51" t="s">
        <v>2820</v>
      </c>
      <c r="AP750" s="51" t="s">
        <v>207</v>
      </c>
      <c r="AQ750" s="33"/>
      <c r="AR750" s="54"/>
      <c r="AS750" s="54"/>
      <c r="AT750" s="54"/>
      <c r="AU750" s="54"/>
      <c r="AV750" s="54"/>
      <c r="AW750" s="54"/>
      <c r="AX750" s="54"/>
      <c r="AY750" s="54"/>
      <c r="AZ750" s="54"/>
      <c r="BA750" s="54"/>
      <c r="BB750" s="54"/>
      <c r="BC750" s="54"/>
      <c r="BD750" s="54" t="s">
        <v>2447</v>
      </c>
      <c r="BE750" s="54"/>
      <c r="BF750" s="54"/>
      <c r="BG750" s="54"/>
      <c r="BH750" s="54"/>
      <c r="BI750" s="54"/>
      <c r="BJ750" s="0"/>
      <c r="BK750" s="0"/>
      <c r="BL750" s="0"/>
      <c r="BM750" s="0"/>
      <c r="BN750" s="0"/>
      <c r="BO750" s="0"/>
      <c r="BP750"/>
      <c r="BQ750"/>
      <c r="BR750"/>
      <c r="BS750"/>
      <c r="BT750"/>
      <c r="BU750"/>
      <c r="BV750"/>
      <c r="BW750"/>
      <c r="BX750"/>
      <c r="BY750"/>
      <c r="BZ750"/>
      <c r="CA750"/>
      <c r="CB750"/>
    </row>
    <row r="751" ht="15.0" customHeight="true">
      <c r="A751" s="51" t="s">
        <v>2448</v>
      </c>
      <c r="B751" s="33"/>
      <c r="C751" s="33" t="s">
        <v>7912</v>
      </c>
      <c r="D751" s="33"/>
      <c r="E751" s="33" t="s">
        <v>7913</v>
      </c>
      <c r="F751" s="33"/>
      <c r="G751" s="55" t="s">
        <v>7914</v>
      </c>
      <c r="H751" s="33"/>
      <c r="I751" s="51" t="s">
        <v>7915</v>
      </c>
      <c r="J751" s="33"/>
      <c r="K751" s="51" t="s">
        <v>7916</v>
      </c>
      <c r="L751" s="33" t="s">
        <v>2454</v>
      </c>
      <c r="M751" s="55" t="s">
        <v>6783</v>
      </c>
      <c r="N751" s="55" t="s">
        <v>2918</v>
      </c>
      <c r="O751" s="33" t="s">
        <v>2272</v>
      </c>
      <c r="P751" s="33" t="s">
        <v>2251</v>
      </c>
      <c r="Q751" s="33"/>
      <c r="R751" s="33" t="s">
        <v>2263</v>
      </c>
      <c r="S751" s="56" t="s">
        <v>2277</v>
      </c>
      <c r="T751" s="56"/>
      <c r="U751" s="56"/>
      <c r="V751" s="33" t="s">
        <v>2456</v>
      </c>
      <c r="W751" s="94" t="s">
        <v>2457</v>
      </c>
      <c r="X751" s="94" t="s">
        <v>2474</v>
      </c>
      <c r="Y751" s="51"/>
      <c r="Z751" s="51"/>
      <c r="AA751" s="33" t="s">
        <v>2459</v>
      </c>
      <c r="AB751" s="33" t="s">
        <v>2460</v>
      </c>
      <c r="AC751" s="33"/>
      <c r="AD751" s="33" t="s">
        <v>2254</v>
      </c>
      <c r="AE751" s="33"/>
      <c r="AF751" s="33" t="s">
        <v>2267</v>
      </c>
      <c r="AG751" s="33" t="s">
        <v>2461</v>
      </c>
      <c r="AH751" s="33"/>
      <c r="AI751" s="33"/>
      <c r="AJ751" s="33" t="s">
        <v>7917</v>
      </c>
      <c r="AK751" s="94"/>
      <c r="AL751" s="33" t="s">
        <v>7918</v>
      </c>
      <c r="AM751" s="33"/>
      <c r="AN751" s="33" t="s">
        <v>7919</v>
      </c>
      <c r="AO751" s="51" t="s">
        <v>7920</v>
      </c>
      <c r="AP751" s="51" t="s">
        <v>197</v>
      </c>
      <c r="AQ751" s="33"/>
      <c r="AR751" s="54"/>
      <c r="AS751" s="54"/>
      <c r="AT751" s="54"/>
      <c r="AU751" s="54"/>
      <c r="AV751" s="54"/>
      <c r="AW751" s="54"/>
      <c r="AX751" s="54"/>
      <c r="AY751" s="54"/>
      <c r="AZ751" s="54"/>
      <c r="BA751" s="54"/>
      <c r="BB751" s="54"/>
      <c r="BC751" s="54"/>
      <c r="BD751" s="54" t="s">
        <v>2447</v>
      </c>
      <c r="BE751" s="54"/>
      <c r="BF751" s="54"/>
      <c r="BG751" s="54"/>
      <c r="BH751" s="54"/>
      <c r="BI751" s="54"/>
      <c r="BJ751" s="0"/>
      <c r="BK751" s="0"/>
      <c r="BL751" s="0"/>
      <c r="BM751" s="0"/>
      <c r="BN751" s="0"/>
      <c r="BO751" s="0"/>
      <c r="BP751"/>
      <c r="BQ751"/>
      <c r="BR751"/>
      <c r="BS751"/>
      <c r="BT751"/>
      <c r="BU751"/>
      <c r="BV751"/>
      <c r="BW751"/>
      <c r="BX751"/>
      <c r="BY751"/>
      <c r="BZ751"/>
      <c r="CA751"/>
      <c r="CB751"/>
    </row>
    <row r="752" ht="15.0" customHeight="true">
      <c r="A752" s="51" t="s">
        <v>2448</v>
      </c>
      <c r="B752" s="33"/>
      <c r="C752" s="33" t="s">
        <v>2651</v>
      </c>
      <c r="D752" s="33"/>
      <c r="E752" s="33" t="s">
        <v>7921</v>
      </c>
      <c r="F752" s="33"/>
      <c r="G752" s="55" t="s">
        <v>7922</v>
      </c>
      <c r="H752" s="33"/>
      <c r="I752" s="51" t="s">
        <v>7923</v>
      </c>
      <c r="J752" s="33"/>
      <c r="K752" s="51" t="s">
        <v>7924</v>
      </c>
      <c r="L752" s="33" t="s">
        <v>2484</v>
      </c>
      <c r="M752" s="55" t="s">
        <v>4470</v>
      </c>
      <c r="N752" s="55"/>
      <c r="O752" s="33"/>
      <c r="P752" s="33" t="s">
        <v>2251</v>
      </c>
      <c r="Q752" s="33"/>
      <c r="R752" s="33" t="s">
        <v>2263</v>
      </c>
      <c r="S752" s="56" t="s">
        <v>2277</v>
      </c>
      <c r="T752" s="56"/>
      <c r="U752" s="56"/>
      <c r="V752" s="33" t="s">
        <v>2456</v>
      </c>
      <c r="W752" s="94" t="s">
        <v>2457</v>
      </c>
      <c r="X752" s="94" t="s">
        <v>2474</v>
      </c>
      <c r="Y752" s="51"/>
      <c r="Z752" s="51"/>
      <c r="AA752" s="33" t="s">
        <v>2459</v>
      </c>
      <c r="AB752" s="33" t="s">
        <v>2460</v>
      </c>
      <c r="AC752" s="33" t="s">
        <v>2486</v>
      </c>
      <c r="AD752" s="33" t="s">
        <v>2254</v>
      </c>
      <c r="AE752" s="33"/>
      <c r="AF752" s="33" t="s">
        <v>2267</v>
      </c>
      <c r="AG752" s="33" t="s">
        <v>2461</v>
      </c>
      <c r="AH752" s="33"/>
      <c r="AI752" s="33"/>
      <c r="AJ752" s="33" t="s">
        <v>7925</v>
      </c>
      <c r="AK752" s="94"/>
      <c r="AL752" s="33" t="s">
        <v>7926</v>
      </c>
      <c r="AM752" s="33"/>
      <c r="AN752" s="33" t="s">
        <v>2588</v>
      </c>
      <c r="AO752" s="51" t="s">
        <v>2628</v>
      </c>
      <c r="AP752" s="51" t="s">
        <v>207</v>
      </c>
      <c r="AQ752" s="33"/>
      <c r="AR752" s="54"/>
      <c r="AS752" s="54"/>
      <c r="AT752" s="54"/>
      <c r="AU752" s="54"/>
      <c r="AV752" s="54"/>
      <c r="AW752" s="54"/>
      <c r="AX752" s="54"/>
      <c r="AY752" s="54"/>
      <c r="AZ752" s="54"/>
      <c r="BA752" s="54"/>
      <c r="BB752" s="54"/>
      <c r="BC752" s="54"/>
      <c r="BD752" s="54" t="s">
        <v>2447</v>
      </c>
      <c r="BE752" s="54"/>
      <c r="BF752" s="54"/>
      <c r="BG752" s="54"/>
      <c r="BH752" s="54"/>
      <c r="BI752" s="54"/>
      <c r="BJ752" s="0"/>
      <c r="BK752" s="0"/>
      <c r="BL752" s="0"/>
      <c r="BM752" s="0"/>
      <c r="BN752" s="0"/>
      <c r="BO752" s="0"/>
      <c r="BP752"/>
      <c r="BQ752"/>
      <c r="BR752"/>
      <c r="BS752"/>
      <c r="BT752"/>
      <c r="BU752"/>
      <c r="BV752"/>
      <c r="BW752"/>
      <c r="BX752"/>
      <c r="BY752"/>
      <c r="BZ752"/>
      <c r="CA752"/>
      <c r="CB752"/>
    </row>
    <row r="753" ht="15.0" customHeight="true">
      <c r="A753" s="51" t="s">
        <v>2448</v>
      </c>
      <c r="B753" s="33"/>
      <c r="C753" s="33" t="s">
        <v>7927</v>
      </c>
      <c r="D753" s="33"/>
      <c r="E753" s="33" t="s">
        <v>7928</v>
      </c>
      <c r="F753" s="33"/>
      <c r="G753" s="55" t="s">
        <v>3208</v>
      </c>
      <c r="H753" s="33"/>
      <c r="I753" s="51" t="s">
        <v>7929</v>
      </c>
      <c r="J753" s="33"/>
      <c r="K753" s="51" t="s">
        <v>7930</v>
      </c>
      <c r="L753" s="33" t="s">
        <v>2454</v>
      </c>
      <c r="M753" s="55" t="s">
        <v>2735</v>
      </c>
      <c r="N753" s="55" t="s">
        <v>2735</v>
      </c>
      <c r="O753" s="33" t="s">
        <v>2272</v>
      </c>
      <c r="P753" s="33" t="s">
        <v>2251</v>
      </c>
      <c r="Q753" s="33"/>
      <c r="R753" s="33" t="s">
        <v>2263</v>
      </c>
      <c r="S753" s="56" t="s">
        <v>2277</v>
      </c>
      <c r="T753" s="56"/>
      <c r="U753" s="56"/>
      <c r="V753" s="33" t="s">
        <v>2456</v>
      </c>
      <c r="W753" s="94" t="s">
        <v>2457</v>
      </c>
      <c r="X753" s="94" t="s">
        <v>2474</v>
      </c>
      <c r="Y753" s="51"/>
      <c r="Z753" s="51"/>
      <c r="AA753" s="33" t="s">
        <v>2459</v>
      </c>
      <c r="AB753" s="33" t="s">
        <v>2460</v>
      </c>
      <c r="AC753" s="33"/>
      <c r="AD753" s="33" t="s">
        <v>2254</v>
      </c>
      <c r="AE753" s="33"/>
      <c r="AF753" s="33" t="s">
        <v>2267</v>
      </c>
      <c r="AG753" s="33" t="s">
        <v>2461</v>
      </c>
      <c r="AH753" s="33"/>
      <c r="AI753" s="33"/>
      <c r="AJ753" s="33" t="s">
        <v>7931</v>
      </c>
      <c r="AK753" s="94"/>
      <c r="AL753" s="33" t="s">
        <v>7932</v>
      </c>
      <c r="AM753" s="33"/>
      <c r="AN753" s="33" t="s">
        <v>3031</v>
      </c>
      <c r="AO753" s="51" t="s">
        <v>3032</v>
      </c>
      <c r="AP753" s="51" t="s">
        <v>207</v>
      </c>
      <c r="AQ753" s="33"/>
      <c r="AR753" s="54"/>
      <c r="AS753" s="54"/>
      <c r="AT753" s="54"/>
      <c r="AU753" s="54"/>
      <c r="AV753" s="54"/>
      <c r="AW753" s="54"/>
      <c r="AX753" s="54"/>
      <c r="AY753" s="54"/>
      <c r="AZ753" s="54"/>
      <c r="BA753" s="54"/>
      <c r="BB753" s="54"/>
      <c r="BC753" s="54"/>
      <c r="BD753" s="54" t="s">
        <v>2447</v>
      </c>
      <c r="BE753" s="54"/>
      <c r="BF753" s="54"/>
      <c r="BG753" s="54"/>
      <c r="BH753" s="54"/>
      <c r="BI753" s="54"/>
      <c r="BJ753" s="0"/>
      <c r="BK753" s="0"/>
      <c r="BL753" s="0"/>
      <c r="BM753" s="0"/>
      <c r="BN753" s="0"/>
      <c r="BO753" s="0"/>
      <c r="BP753"/>
      <c r="BQ753"/>
      <c r="BR753"/>
      <c r="BS753"/>
      <c r="BT753"/>
      <c r="BU753"/>
      <c r="BV753"/>
      <c r="BW753"/>
      <c r="BX753"/>
      <c r="BY753"/>
      <c r="BZ753"/>
      <c r="CA753"/>
      <c r="CB753"/>
    </row>
    <row r="754" ht="15.0" customHeight="true">
      <c r="A754" s="51" t="s">
        <v>2448</v>
      </c>
      <c r="B754" s="33"/>
      <c r="C754" s="33" t="s">
        <v>7933</v>
      </c>
      <c r="D754" s="33"/>
      <c r="E754" s="33" t="s">
        <v>3651</v>
      </c>
      <c r="F754" s="33"/>
      <c r="G754" s="55" t="s">
        <v>7934</v>
      </c>
      <c r="H754" s="33"/>
      <c r="I754" s="51" t="s">
        <v>7935</v>
      </c>
      <c r="J754" s="33"/>
      <c r="K754" s="51" t="s">
        <v>7936</v>
      </c>
      <c r="L754" s="33" t="s">
        <v>2454</v>
      </c>
      <c r="M754" s="55" t="s">
        <v>5358</v>
      </c>
      <c r="N754" s="55" t="s">
        <v>3743</v>
      </c>
      <c r="O754" s="33" t="s">
        <v>2272</v>
      </c>
      <c r="P754" s="33" t="s">
        <v>2251</v>
      </c>
      <c r="Q754" s="33"/>
      <c r="R754" s="33" t="s">
        <v>2263</v>
      </c>
      <c r="S754" s="56" t="s">
        <v>2277</v>
      </c>
      <c r="T754" s="56"/>
      <c r="U754" s="56"/>
      <c r="V754" s="33" t="s">
        <v>2456</v>
      </c>
      <c r="W754" s="94" t="s">
        <v>2457</v>
      </c>
      <c r="X754" s="94" t="s">
        <v>2474</v>
      </c>
      <c r="Y754" s="51"/>
      <c r="Z754" s="51"/>
      <c r="AA754" s="33" t="s">
        <v>2459</v>
      </c>
      <c r="AB754" s="33" t="s">
        <v>2460</v>
      </c>
      <c r="AC754" s="33"/>
      <c r="AD754" s="33" t="s">
        <v>2254</v>
      </c>
      <c r="AE754" s="33"/>
      <c r="AF754" s="33" t="s">
        <v>2267</v>
      </c>
      <c r="AG754" s="33" t="s">
        <v>2461</v>
      </c>
      <c r="AH754" s="33"/>
      <c r="AI754" s="33"/>
      <c r="AJ754" s="33" t="s">
        <v>7937</v>
      </c>
      <c r="AK754" s="94"/>
      <c r="AL754" s="33" t="s">
        <v>4985</v>
      </c>
      <c r="AM754" s="33" t="s">
        <v>7938</v>
      </c>
      <c r="AN754" s="33" t="s">
        <v>2465</v>
      </c>
      <c r="AO754" s="51" t="s">
        <v>2489</v>
      </c>
      <c r="AP754" s="51" t="s">
        <v>207</v>
      </c>
      <c r="AQ754" s="33"/>
      <c r="AR754" s="54"/>
      <c r="AS754" s="54"/>
      <c r="AT754" s="54"/>
      <c r="AU754" s="54"/>
      <c r="AV754" s="54"/>
      <c r="AW754" s="54"/>
      <c r="AX754" s="54"/>
      <c r="AY754" s="54"/>
      <c r="AZ754" s="54"/>
      <c r="BA754" s="54"/>
      <c r="BB754" s="54"/>
      <c r="BC754" s="54"/>
      <c r="BD754" s="54" t="s">
        <v>2447</v>
      </c>
      <c r="BE754" s="54"/>
      <c r="BF754" s="54"/>
      <c r="BG754" s="54"/>
      <c r="BH754" s="54"/>
      <c r="BI754" s="54"/>
      <c r="BJ754" s="0"/>
      <c r="BK754" s="0"/>
      <c r="BL754" s="0"/>
      <c r="BM754" s="0"/>
      <c r="BN754" s="0"/>
      <c r="BO754" s="0"/>
      <c r="BP754"/>
      <c r="BQ754"/>
      <c r="BR754"/>
      <c r="BS754"/>
      <c r="BT754"/>
      <c r="BU754"/>
      <c r="BV754"/>
      <c r="BW754"/>
      <c r="BX754"/>
      <c r="BY754"/>
      <c r="BZ754"/>
      <c r="CA754"/>
      <c r="CB754"/>
    </row>
    <row r="755" ht="15.0" customHeight="true">
      <c r="A755" s="51" t="s">
        <v>2448</v>
      </c>
      <c r="B755" s="33"/>
      <c r="C755" s="33" t="s">
        <v>4420</v>
      </c>
      <c r="D755" s="33"/>
      <c r="E755" s="33" t="s">
        <v>7939</v>
      </c>
      <c r="F755" s="33"/>
      <c r="G755" s="55" t="s">
        <v>7940</v>
      </c>
      <c r="H755" s="33"/>
      <c r="I755" s="51" t="s">
        <v>7941</v>
      </c>
      <c r="J755" s="33"/>
      <c r="K755" s="51" t="s">
        <v>7942</v>
      </c>
      <c r="L755" s="33" t="s">
        <v>2454</v>
      </c>
      <c r="M755" s="55" t="s">
        <v>6783</v>
      </c>
      <c r="N755" s="55" t="s">
        <v>5634</v>
      </c>
      <c r="O755" s="33" t="s">
        <v>2272</v>
      </c>
      <c r="P755" s="33" t="s">
        <v>2251</v>
      </c>
      <c r="Q755" s="33"/>
      <c r="R755" s="33" t="s">
        <v>2263</v>
      </c>
      <c r="S755" s="56" t="s">
        <v>2277</v>
      </c>
      <c r="T755" s="56"/>
      <c r="U755" s="56"/>
      <c r="V755" s="33" t="s">
        <v>2456</v>
      </c>
      <c r="W755" s="94" t="s">
        <v>2457</v>
      </c>
      <c r="X755" s="94" t="s">
        <v>2474</v>
      </c>
      <c r="Y755" s="51"/>
      <c r="Z755" s="51"/>
      <c r="AA755" s="33" t="s">
        <v>2459</v>
      </c>
      <c r="AB755" s="33" t="s">
        <v>2460</v>
      </c>
      <c r="AC755" s="33"/>
      <c r="AD755" s="33" t="s">
        <v>2254</v>
      </c>
      <c r="AE755" s="33"/>
      <c r="AF755" s="33" t="s">
        <v>2267</v>
      </c>
      <c r="AG755" s="33" t="s">
        <v>2461</v>
      </c>
      <c r="AH755" s="33"/>
      <c r="AI755" s="33"/>
      <c r="AJ755" s="33" t="s">
        <v>7943</v>
      </c>
      <c r="AK755" s="94"/>
      <c r="AL755" s="33" t="s">
        <v>3916</v>
      </c>
      <c r="AM755" s="33" t="s">
        <v>7944</v>
      </c>
      <c r="AN755" s="33" t="s">
        <v>2465</v>
      </c>
      <c r="AO755" s="51" t="s">
        <v>2528</v>
      </c>
      <c r="AP755" s="51" t="s">
        <v>207</v>
      </c>
      <c r="AQ755" s="33"/>
      <c r="AR755" s="54"/>
      <c r="AS755" s="54"/>
      <c r="AT755" s="54"/>
      <c r="AU755" s="54"/>
      <c r="AV755" s="54"/>
      <c r="AW755" s="54"/>
      <c r="AX755" s="54"/>
      <c r="AY755" s="54"/>
      <c r="AZ755" s="54"/>
      <c r="BA755" s="54"/>
      <c r="BB755" s="54"/>
      <c r="BC755" s="54"/>
      <c r="BD755" s="54" t="s">
        <v>2447</v>
      </c>
      <c r="BE755" s="54"/>
      <c r="BF755" s="54"/>
      <c r="BG755" s="54"/>
      <c r="BH755" s="54"/>
      <c r="BI755" s="54"/>
      <c r="BJ755" s="0"/>
      <c r="BK755" s="0"/>
      <c r="BL755" s="0"/>
      <c r="BM755" s="0"/>
      <c r="BN755" s="0"/>
      <c r="BO755" s="0"/>
      <c r="BP755"/>
      <c r="BQ755"/>
      <c r="BR755"/>
      <c r="BS755"/>
      <c r="BT755"/>
      <c r="BU755"/>
      <c r="BV755"/>
      <c r="BW755"/>
      <c r="BX755"/>
      <c r="BY755"/>
      <c r="BZ755"/>
      <c r="CA755"/>
      <c r="CB755"/>
    </row>
    <row r="756" ht="15.0" customHeight="true">
      <c r="A756" s="51" t="s">
        <v>2448</v>
      </c>
      <c r="B756" s="33"/>
      <c r="C756" s="33" t="s">
        <v>7945</v>
      </c>
      <c r="D756" s="33"/>
      <c r="E756" s="33" t="s">
        <v>4614</v>
      </c>
      <c r="F756" s="33"/>
      <c r="G756" s="55" t="s">
        <v>7946</v>
      </c>
      <c r="H756" s="33"/>
      <c r="I756" s="51" t="s">
        <v>7947</v>
      </c>
      <c r="J756" s="33"/>
      <c r="K756" s="51" t="s">
        <v>7948</v>
      </c>
      <c r="L756" s="33" t="s">
        <v>2454</v>
      </c>
      <c r="M756" s="55" t="s">
        <v>6403</v>
      </c>
      <c r="N756" s="55" t="s">
        <v>2763</v>
      </c>
      <c r="O756" s="33" t="s">
        <v>2272</v>
      </c>
      <c r="P756" s="33" t="s">
        <v>2251</v>
      </c>
      <c r="Q756" s="33"/>
      <c r="R756" s="33" t="s">
        <v>2263</v>
      </c>
      <c r="S756" s="56" t="s">
        <v>2277</v>
      </c>
      <c r="T756" s="56"/>
      <c r="U756" s="56"/>
      <c r="V756" s="33" t="s">
        <v>2456</v>
      </c>
      <c r="W756" s="94" t="s">
        <v>2457</v>
      </c>
      <c r="X756" s="94" t="s">
        <v>2474</v>
      </c>
      <c r="Y756" s="51"/>
      <c r="Z756" s="51"/>
      <c r="AA756" s="33" t="s">
        <v>2459</v>
      </c>
      <c r="AB756" s="33" t="s">
        <v>2460</v>
      </c>
      <c r="AC756" s="33"/>
      <c r="AD756" s="33" t="s">
        <v>2254</v>
      </c>
      <c r="AE756" s="33"/>
      <c r="AF756" s="33" t="s">
        <v>2267</v>
      </c>
      <c r="AG756" s="33" t="s">
        <v>2461</v>
      </c>
      <c r="AH756" s="33"/>
      <c r="AI756" s="33"/>
      <c r="AJ756" s="33" t="s">
        <v>7949</v>
      </c>
      <c r="AK756" s="94"/>
      <c r="AL756" s="33" t="s">
        <v>7950</v>
      </c>
      <c r="AM756" s="33" t="s">
        <v>7951</v>
      </c>
      <c r="AN756" s="33" t="s">
        <v>2465</v>
      </c>
      <c r="AO756" s="51" t="s">
        <v>2548</v>
      </c>
      <c r="AP756" s="51" t="s">
        <v>207</v>
      </c>
      <c r="AQ756" s="33"/>
      <c r="AR756" s="54"/>
      <c r="AS756" s="54"/>
      <c r="AT756" s="54"/>
      <c r="AU756" s="54"/>
      <c r="AV756" s="54"/>
      <c r="AW756" s="54"/>
      <c r="AX756" s="54"/>
      <c r="AY756" s="54"/>
      <c r="AZ756" s="54"/>
      <c r="BA756" s="54"/>
      <c r="BB756" s="54"/>
      <c r="BC756" s="54"/>
      <c r="BD756" s="54" t="s">
        <v>2447</v>
      </c>
      <c r="BE756" s="54"/>
      <c r="BF756" s="54"/>
      <c r="BG756" s="54"/>
      <c r="BH756" s="54"/>
      <c r="BI756" s="54"/>
      <c r="BJ756" s="0"/>
      <c r="BK756" s="0"/>
      <c r="BL756" s="0"/>
      <c r="BM756" s="0"/>
      <c r="BN756" s="0"/>
      <c r="BO756" s="0"/>
      <c r="BP756"/>
      <c r="BQ756"/>
      <c r="BR756"/>
      <c r="BS756"/>
      <c r="BT756"/>
      <c r="BU756"/>
      <c r="BV756"/>
      <c r="BW756"/>
      <c r="BX756"/>
      <c r="BY756"/>
      <c r="BZ756"/>
      <c r="CA756"/>
      <c r="CB756"/>
    </row>
    <row r="757" ht="15.0" customHeight="true">
      <c r="A757" s="51" t="s">
        <v>2448</v>
      </c>
      <c r="B757" s="33"/>
      <c r="C757" s="33" t="s">
        <v>4040</v>
      </c>
      <c r="D757" s="33"/>
      <c r="E757" s="33" t="s">
        <v>5007</v>
      </c>
      <c r="F757" s="33"/>
      <c r="G757" s="55" t="s">
        <v>7952</v>
      </c>
      <c r="H757" s="33"/>
      <c r="I757" s="51" t="s">
        <v>7953</v>
      </c>
      <c r="J757" s="33"/>
      <c r="K757" s="51" t="s">
        <v>7954</v>
      </c>
      <c r="L757" s="33" t="s">
        <v>2454</v>
      </c>
      <c r="M757" s="55" t="s">
        <v>3623</v>
      </c>
      <c r="N757" s="55" t="s">
        <v>3623</v>
      </c>
      <c r="O757" s="33" t="s">
        <v>2272</v>
      </c>
      <c r="P757" s="33" t="s">
        <v>2251</v>
      </c>
      <c r="Q757" s="33"/>
      <c r="R757" s="33" t="s">
        <v>2263</v>
      </c>
      <c r="S757" s="56" t="s">
        <v>2277</v>
      </c>
      <c r="T757" s="56"/>
      <c r="U757" s="56"/>
      <c r="V757" s="33" t="s">
        <v>2456</v>
      </c>
      <c r="W757" s="94" t="s">
        <v>2457</v>
      </c>
      <c r="X757" s="94" t="s">
        <v>2458</v>
      </c>
      <c r="Y757" s="51"/>
      <c r="Z757" s="51"/>
      <c r="AA757" s="33" t="s">
        <v>2459</v>
      </c>
      <c r="AB757" s="33" t="s">
        <v>2460</v>
      </c>
      <c r="AC757" s="33"/>
      <c r="AD757" s="33" t="s">
        <v>2254</v>
      </c>
      <c r="AE757" s="33"/>
      <c r="AF757" s="33" t="s">
        <v>2267</v>
      </c>
      <c r="AG757" s="33" t="s">
        <v>2461</v>
      </c>
      <c r="AH757" s="33"/>
      <c r="AI757" s="33"/>
      <c r="AJ757" s="33" t="s">
        <v>7955</v>
      </c>
      <c r="AK757" s="94"/>
      <c r="AL757" s="33" t="s">
        <v>7956</v>
      </c>
      <c r="AM757" s="33" t="s">
        <v>7957</v>
      </c>
      <c r="AN757" s="33" t="s">
        <v>2588</v>
      </c>
      <c r="AO757" s="51" t="s">
        <v>2589</v>
      </c>
      <c r="AP757" s="51" t="s">
        <v>207</v>
      </c>
      <c r="AQ757" s="33"/>
      <c r="AR757" s="54"/>
      <c r="AS757" s="54"/>
      <c r="AT757" s="54"/>
      <c r="AU757" s="54"/>
      <c r="AV757" s="54"/>
      <c r="AW757" s="54"/>
      <c r="AX757" s="54"/>
      <c r="AY757" s="54"/>
      <c r="AZ757" s="54"/>
      <c r="BA757" s="54"/>
      <c r="BB757" s="54"/>
      <c r="BC757" s="54"/>
      <c r="BD757" s="54" t="s">
        <v>2447</v>
      </c>
      <c r="BE757" s="54"/>
      <c r="BF757" s="54"/>
      <c r="BG757" s="54"/>
      <c r="BH757" s="54"/>
      <c r="BI757" s="54"/>
      <c r="BJ757" s="0"/>
      <c r="BK757" s="0"/>
      <c r="BL757" s="0"/>
      <c r="BM757" s="0"/>
      <c r="BN757" s="0"/>
      <c r="BO757" s="0"/>
      <c r="BP757"/>
      <c r="BQ757"/>
      <c r="BR757"/>
      <c r="BS757"/>
      <c r="BT757"/>
      <c r="BU757"/>
      <c r="BV757"/>
      <c r="BW757"/>
      <c r="BX757"/>
      <c r="BY757"/>
      <c r="BZ757"/>
      <c r="CA757"/>
      <c r="CB757"/>
    </row>
    <row r="758" ht="15.0" customHeight="true">
      <c r="A758" s="51" t="s">
        <v>2448</v>
      </c>
      <c r="B758" s="33"/>
      <c r="C758" s="33" t="s">
        <v>7958</v>
      </c>
      <c r="D758" s="33"/>
      <c r="E758" s="33" t="s">
        <v>7959</v>
      </c>
      <c r="F758" s="33"/>
      <c r="G758" s="55" t="s">
        <v>7960</v>
      </c>
      <c r="H758" s="33"/>
      <c r="I758" s="51" t="s">
        <v>7961</v>
      </c>
      <c r="J758" s="33"/>
      <c r="K758" s="51" t="s">
        <v>7962</v>
      </c>
      <c r="L758" s="33" t="s">
        <v>2454</v>
      </c>
      <c r="M758" s="55" t="s">
        <v>7963</v>
      </c>
      <c r="N758" s="55" t="s">
        <v>2698</v>
      </c>
      <c r="O758" s="33" t="s">
        <v>2272</v>
      </c>
      <c r="P758" s="33" t="s">
        <v>2251</v>
      </c>
      <c r="Q758" s="33"/>
      <c r="R758" s="33" t="s">
        <v>2263</v>
      </c>
      <c r="S758" s="56" t="s">
        <v>2277</v>
      </c>
      <c r="T758" s="56"/>
      <c r="U758" s="56"/>
      <c r="V758" s="33" t="s">
        <v>2456</v>
      </c>
      <c r="W758" s="94" t="s">
        <v>2457</v>
      </c>
      <c r="X758" s="94" t="s">
        <v>2458</v>
      </c>
      <c r="Y758" s="51"/>
      <c r="Z758" s="51"/>
      <c r="AA758" s="33" t="s">
        <v>2459</v>
      </c>
      <c r="AB758" s="33" t="s">
        <v>2460</v>
      </c>
      <c r="AC758" s="33"/>
      <c r="AD758" s="33" t="s">
        <v>2254</v>
      </c>
      <c r="AE758" s="33"/>
      <c r="AF758" s="33" t="s">
        <v>2267</v>
      </c>
      <c r="AG758" s="33" t="s">
        <v>2461</v>
      </c>
      <c r="AH758" s="33"/>
      <c r="AI758" s="33"/>
      <c r="AJ758" s="33" t="s">
        <v>7964</v>
      </c>
      <c r="AK758" s="94"/>
      <c r="AL758" s="33" t="s">
        <v>7965</v>
      </c>
      <c r="AM758" s="33"/>
      <c r="AN758" s="33" t="s">
        <v>2465</v>
      </c>
      <c r="AO758" s="51" t="s">
        <v>2489</v>
      </c>
      <c r="AP758" s="51" t="s">
        <v>207</v>
      </c>
      <c r="AQ758" s="33"/>
      <c r="AR758" s="54"/>
      <c r="AS758" s="54"/>
      <c r="AT758" s="54"/>
      <c r="AU758" s="54"/>
      <c r="AV758" s="54"/>
      <c r="AW758" s="54"/>
      <c r="AX758" s="54"/>
      <c r="AY758" s="54"/>
      <c r="AZ758" s="54"/>
      <c r="BA758" s="54"/>
      <c r="BB758" s="54"/>
      <c r="BC758" s="54"/>
      <c r="BD758" s="54" t="s">
        <v>2447</v>
      </c>
      <c r="BE758" s="54"/>
      <c r="BF758" s="54"/>
      <c r="BG758" s="54"/>
      <c r="BH758" s="54"/>
      <c r="BI758" s="54"/>
      <c r="BJ758" s="0"/>
      <c r="BK758" s="0"/>
      <c r="BL758" s="0"/>
      <c r="BM758" s="0"/>
      <c r="BN758" s="0"/>
      <c r="BO758" s="0"/>
      <c r="BP758"/>
      <c r="BQ758"/>
      <c r="BR758"/>
      <c r="BS758"/>
      <c r="BT758"/>
      <c r="BU758"/>
      <c r="BV758"/>
      <c r="BW758"/>
      <c r="BX758"/>
      <c r="BY758"/>
      <c r="BZ758"/>
      <c r="CA758"/>
      <c r="CB758"/>
    </row>
    <row r="759" ht="15.0" customHeight="true">
      <c r="A759" s="51" t="s">
        <v>2448</v>
      </c>
      <c r="B759" s="33"/>
      <c r="C759" s="33" t="s">
        <v>7446</v>
      </c>
      <c r="D759" s="33"/>
      <c r="E759" s="33" t="s">
        <v>6241</v>
      </c>
      <c r="F759" s="33"/>
      <c r="G759" s="55" t="s">
        <v>5202</v>
      </c>
      <c r="H759" s="33"/>
      <c r="I759" s="51" t="s">
        <v>7966</v>
      </c>
      <c r="J759" s="33"/>
      <c r="K759" s="51" t="s">
        <v>7967</v>
      </c>
      <c r="L759" s="33" t="s">
        <v>2454</v>
      </c>
      <c r="M759" s="55" t="s">
        <v>4855</v>
      </c>
      <c r="N759" s="55" t="s">
        <v>4855</v>
      </c>
      <c r="O759" s="33" t="s">
        <v>2272</v>
      </c>
      <c r="P759" s="33" t="s">
        <v>2251</v>
      </c>
      <c r="Q759" s="33"/>
      <c r="R759" s="33" t="s">
        <v>2263</v>
      </c>
      <c r="S759" s="56" t="s">
        <v>2277</v>
      </c>
      <c r="T759" s="56"/>
      <c r="U759" s="56"/>
      <c r="V759" s="33" t="s">
        <v>2456</v>
      </c>
      <c r="W759" s="94" t="s">
        <v>2457</v>
      </c>
      <c r="X759" s="94" t="s">
        <v>2458</v>
      </c>
      <c r="Y759" s="51"/>
      <c r="Z759" s="51"/>
      <c r="AA759" s="33" t="s">
        <v>2459</v>
      </c>
      <c r="AB759" s="33" t="s">
        <v>2460</v>
      </c>
      <c r="AC759" s="33"/>
      <c r="AD759" s="33" t="s">
        <v>2254</v>
      </c>
      <c r="AE759" s="33"/>
      <c r="AF759" s="33" t="s">
        <v>2267</v>
      </c>
      <c r="AG759" s="33" t="s">
        <v>2461</v>
      </c>
      <c r="AH759" s="33"/>
      <c r="AI759" s="33"/>
      <c r="AJ759" s="33" t="s">
        <v>7968</v>
      </c>
      <c r="AK759" s="94"/>
      <c r="AL759" s="33" t="s">
        <v>7969</v>
      </c>
      <c r="AM759" s="33"/>
      <c r="AN759" s="33" t="s">
        <v>2465</v>
      </c>
      <c r="AO759" s="51" t="s">
        <v>2618</v>
      </c>
      <c r="AP759" s="51" t="s">
        <v>207</v>
      </c>
      <c r="AQ759" s="33"/>
      <c r="AR759" s="54"/>
      <c r="AS759" s="54"/>
      <c r="AT759" s="54"/>
      <c r="AU759" s="54"/>
      <c r="AV759" s="54"/>
      <c r="AW759" s="54"/>
      <c r="AX759" s="54"/>
      <c r="AY759" s="54"/>
      <c r="AZ759" s="54"/>
      <c r="BA759" s="54"/>
      <c r="BB759" s="54"/>
      <c r="BC759" s="54"/>
      <c r="BD759" s="54" t="s">
        <v>2447</v>
      </c>
      <c r="BE759" s="54"/>
      <c r="BF759" s="54"/>
      <c r="BG759" s="54"/>
      <c r="BH759" s="54"/>
      <c r="BI759" s="54"/>
      <c r="BJ759" s="0"/>
      <c r="BK759" s="0"/>
      <c r="BL759" s="0"/>
      <c r="BM759" s="0"/>
      <c r="BN759" s="0"/>
      <c r="BO759" s="0"/>
      <c r="BP759"/>
      <c r="BQ759"/>
      <c r="BR759"/>
      <c r="BS759"/>
      <c r="BT759"/>
      <c r="BU759"/>
      <c r="BV759"/>
      <c r="BW759"/>
      <c r="BX759"/>
      <c r="BY759"/>
      <c r="BZ759"/>
      <c r="CA759"/>
      <c r="CB759"/>
    </row>
    <row r="760" ht="15.0" customHeight="true">
      <c r="A760" s="51" t="s">
        <v>2448</v>
      </c>
      <c r="B760" s="33"/>
      <c r="C760" s="33" t="s">
        <v>3940</v>
      </c>
      <c r="D760" s="33"/>
      <c r="E760" s="33" t="s">
        <v>7970</v>
      </c>
      <c r="F760" s="33"/>
      <c r="G760" s="55" t="s">
        <v>7971</v>
      </c>
      <c r="H760" s="33"/>
      <c r="I760" s="51" t="s">
        <v>7972</v>
      </c>
      <c r="J760" s="33"/>
      <c r="K760" s="51" t="s">
        <v>7973</v>
      </c>
      <c r="L760" s="33" t="s">
        <v>2454</v>
      </c>
      <c r="M760" s="55" t="s">
        <v>5624</v>
      </c>
      <c r="N760" s="55" t="s">
        <v>2736</v>
      </c>
      <c r="O760" s="33" t="s">
        <v>2272</v>
      </c>
      <c r="P760" s="33" t="s">
        <v>2251</v>
      </c>
      <c r="Q760" s="33"/>
      <c r="R760" s="33" t="s">
        <v>2263</v>
      </c>
      <c r="S760" s="56" t="s">
        <v>2277</v>
      </c>
      <c r="T760" s="56"/>
      <c r="U760" s="56"/>
      <c r="V760" s="33" t="s">
        <v>2456</v>
      </c>
      <c r="W760" s="94" t="s">
        <v>2457</v>
      </c>
      <c r="X760" s="94" t="s">
        <v>2474</v>
      </c>
      <c r="Y760" s="51"/>
      <c r="Z760" s="51"/>
      <c r="AA760" s="33" t="s">
        <v>2459</v>
      </c>
      <c r="AB760" s="33" t="s">
        <v>2460</v>
      </c>
      <c r="AC760" s="33"/>
      <c r="AD760" s="33" t="s">
        <v>2254</v>
      </c>
      <c r="AE760" s="33"/>
      <c r="AF760" s="33" t="s">
        <v>2267</v>
      </c>
      <c r="AG760" s="33" t="s">
        <v>2461</v>
      </c>
      <c r="AH760" s="33"/>
      <c r="AI760" s="33"/>
      <c r="AJ760" s="33" t="s">
        <v>7974</v>
      </c>
      <c r="AK760" s="94"/>
      <c r="AL760" s="33" t="s">
        <v>7975</v>
      </c>
      <c r="AM760" s="33"/>
      <c r="AN760" s="33" t="s">
        <v>2465</v>
      </c>
      <c r="AO760" s="51" t="s">
        <v>2538</v>
      </c>
      <c r="AP760" s="51" t="s">
        <v>207</v>
      </c>
      <c r="AQ760" s="33"/>
      <c r="AR760" s="54"/>
      <c r="AS760" s="54"/>
      <c r="AT760" s="54"/>
      <c r="AU760" s="54"/>
      <c r="AV760" s="54"/>
      <c r="AW760" s="54"/>
      <c r="AX760" s="54"/>
      <c r="AY760" s="54"/>
      <c r="AZ760" s="54"/>
      <c r="BA760" s="54"/>
      <c r="BB760" s="54"/>
      <c r="BC760" s="54"/>
      <c r="BD760" s="54" t="s">
        <v>2447</v>
      </c>
      <c r="BE760" s="54"/>
      <c r="BF760" s="54"/>
      <c r="BG760" s="54"/>
      <c r="BH760" s="54"/>
      <c r="BI760" s="54"/>
      <c r="BJ760" s="0"/>
      <c r="BK760" s="0"/>
      <c r="BL760" s="0"/>
      <c r="BM760" s="0"/>
      <c r="BN760" s="0"/>
      <c r="BO760" s="0"/>
      <c r="BP760"/>
      <c r="BQ760"/>
      <c r="BR760"/>
      <c r="BS760"/>
      <c r="BT760"/>
      <c r="BU760"/>
      <c r="BV760"/>
      <c r="BW760"/>
      <c r="BX760"/>
      <c r="BY760"/>
      <c r="BZ760"/>
      <c r="CA760"/>
      <c r="CB760"/>
    </row>
    <row r="761" ht="15.0" customHeight="true">
      <c r="A761" s="51" t="s">
        <v>2448</v>
      </c>
      <c r="B761" s="33"/>
      <c r="C761" s="33" t="s">
        <v>7976</v>
      </c>
      <c r="D761" s="33"/>
      <c r="E761" s="33" t="s">
        <v>4349</v>
      </c>
      <c r="F761" s="33"/>
      <c r="G761" s="55" t="s">
        <v>7436</v>
      </c>
      <c r="H761" s="33"/>
      <c r="I761" s="51" t="s">
        <v>7977</v>
      </c>
      <c r="J761" s="33"/>
      <c r="K761" s="51" t="s">
        <v>7978</v>
      </c>
      <c r="L761" s="33" t="s">
        <v>2454</v>
      </c>
      <c r="M761" s="55" t="s">
        <v>6441</v>
      </c>
      <c r="N761" s="55" t="s">
        <v>6441</v>
      </c>
      <c r="O761" s="33" t="s">
        <v>2272</v>
      </c>
      <c r="P761" s="33" t="s">
        <v>2251</v>
      </c>
      <c r="Q761" s="33"/>
      <c r="R761" s="33" t="s">
        <v>2263</v>
      </c>
      <c r="S761" s="56" t="s">
        <v>2277</v>
      </c>
      <c r="T761" s="56"/>
      <c r="U761" s="56"/>
      <c r="V761" s="33" t="s">
        <v>2456</v>
      </c>
      <c r="W761" s="94" t="s">
        <v>2457</v>
      </c>
      <c r="X761" s="94" t="s">
        <v>2474</v>
      </c>
      <c r="Y761" s="51"/>
      <c r="Z761" s="51"/>
      <c r="AA761" s="33" t="s">
        <v>2459</v>
      </c>
      <c r="AB761" s="33" t="s">
        <v>2460</v>
      </c>
      <c r="AC761" s="33"/>
      <c r="AD761" s="33" t="s">
        <v>2254</v>
      </c>
      <c r="AE761" s="33"/>
      <c r="AF761" s="33" t="s">
        <v>2267</v>
      </c>
      <c r="AG761" s="33" t="s">
        <v>2461</v>
      </c>
      <c r="AH761" s="33"/>
      <c r="AI761" s="33"/>
      <c r="AJ761" s="33" t="s">
        <v>7979</v>
      </c>
      <c r="AK761" s="94"/>
      <c r="AL761" s="33" t="s">
        <v>7980</v>
      </c>
      <c r="AM761" s="33"/>
      <c r="AN761" s="33" t="s">
        <v>2465</v>
      </c>
      <c r="AO761" s="51" t="s">
        <v>2538</v>
      </c>
      <c r="AP761" s="51" t="s">
        <v>207</v>
      </c>
      <c r="AQ761" s="33"/>
      <c r="AR761" s="54"/>
      <c r="AS761" s="54"/>
      <c r="AT761" s="54"/>
      <c r="AU761" s="54"/>
      <c r="AV761" s="54"/>
      <c r="AW761" s="54"/>
      <c r="AX761" s="54"/>
      <c r="AY761" s="54"/>
      <c r="AZ761" s="54"/>
      <c r="BA761" s="54"/>
      <c r="BB761" s="54"/>
      <c r="BC761" s="54"/>
      <c r="BD761" s="54" t="s">
        <v>2447</v>
      </c>
      <c r="BE761" s="54"/>
      <c r="BF761" s="54"/>
      <c r="BG761" s="54"/>
      <c r="BH761" s="54"/>
      <c r="BI761" s="54"/>
      <c r="BJ761" s="0"/>
      <c r="BK761" s="0"/>
      <c r="BL761" s="0"/>
      <c r="BM761" s="0"/>
      <c r="BN761" s="0"/>
      <c r="BO761" s="0"/>
      <c r="BP761"/>
      <c r="BQ761"/>
      <c r="BR761"/>
      <c r="BS761"/>
      <c r="BT761"/>
      <c r="BU761"/>
      <c r="BV761"/>
      <c r="BW761"/>
      <c r="BX761"/>
      <c r="BY761"/>
      <c r="BZ761"/>
      <c r="CA761"/>
      <c r="CB761"/>
    </row>
    <row r="762" ht="15.0" customHeight="true">
      <c r="A762" s="51" t="s">
        <v>2448</v>
      </c>
      <c r="B762" s="33"/>
      <c r="C762" s="33" t="s">
        <v>3979</v>
      </c>
      <c r="D762" s="33"/>
      <c r="E762" s="33" t="s">
        <v>7981</v>
      </c>
      <c r="F762" s="33"/>
      <c r="G762" s="55" t="s">
        <v>7982</v>
      </c>
      <c r="H762" s="33"/>
      <c r="I762" s="51" t="s">
        <v>7983</v>
      </c>
      <c r="J762" s="33"/>
      <c r="K762" s="51" t="s">
        <v>7984</v>
      </c>
      <c r="L762" s="33" t="s">
        <v>2454</v>
      </c>
      <c r="M762" s="55" t="s">
        <v>6412</v>
      </c>
      <c r="N762" s="55" t="s">
        <v>3359</v>
      </c>
      <c r="O762" s="33" t="s">
        <v>2272</v>
      </c>
      <c r="P762" s="33" t="s">
        <v>2251</v>
      </c>
      <c r="Q762" s="33"/>
      <c r="R762" s="33" t="s">
        <v>2263</v>
      </c>
      <c r="S762" s="56" t="s">
        <v>2277</v>
      </c>
      <c r="T762" s="56"/>
      <c r="U762" s="56"/>
      <c r="V762" s="33" t="s">
        <v>2456</v>
      </c>
      <c r="W762" s="94" t="s">
        <v>2457</v>
      </c>
      <c r="X762" s="94" t="s">
        <v>2458</v>
      </c>
      <c r="Y762" s="51"/>
      <c r="Z762" s="51"/>
      <c r="AA762" s="33" t="s">
        <v>2459</v>
      </c>
      <c r="AB762" s="33" t="s">
        <v>2460</v>
      </c>
      <c r="AC762" s="33"/>
      <c r="AD762" s="33" t="s">
        <v>2254</v>
      </c>
      <c r="AE762" s="33"/>
      <c r="AF762" s="33" t="s">
        <v>2267</v>
      </c>
      <c r="AG762" s="33" t="s">
        <v>2461</v>
      </c>
      <c r="AH762" s="33"/>
      <c r="AI762" s="33"/>
      <c r="AJ762" s="33" t="s">
        <v>7985</v>
      </c>
      <c r="AK762" s="94"/>
      <c r="AL762" s="33" t="s">
        <v>7986</v>
      </c>
      <c r="AM762" s="33"/>
      <c r="AN762" s="33" t="s">
        <v>2588</v>
      </c>
      <c r="AO762" s="51" t="s">
        <v>2911</v>
      </c>
      <c r="AP762" s="51" t="s">
        <v>207</v>
      </c>
      <c r="AQ762" s="33"/>
      <c r="AR762" s="54"/>
      <c r="AS762" s="54"/>
      <c r="AT762" s="54"/>
      <c r="AU762" s="54"/>
      <c r="AV762" s="54"/>
      <c r="AW762" s="54"/>
      <c r="AX762" s="54"/>
      <c r="AY762" s="54"/>
      <c r="AZ762" s="54"/>
      <c r="BA762" s="54"/>
      <c r="BB762" s="54"/>
      <c r="BC762" s="54"/>
      <c r="BD762" s="54" t="s">
        <v>2447</v>
      </c>
      <c r="BE762" s="54"/>
      <c r="BF762" s="54"/>
      <c r="BG762" s="54"/>
      <c r="BH762" s="54"/>
      <c r="BI762" s="54"/>
      <c r="BJ762" s="0"/>
      <c r="BK762" s="0"/>
      <c r="BL762" s="0"/>
      <c r="BM762" s="0"/>
      <c r="BN762" s="0"/>
      <c r="BO762" s="0"/>
      <c r="BP762"/>
      <c r="BQ762"/>
      <c r="BR762"/>
      <c r="BS762"/>
      <c r="BT762"/>
      <c r="BU762"/>
      <c r="BV762"/>
      <c r="BW762"/>
      <c r="BX762"/>
      <c r="BY762"/>
      <c r="BZ762"/>
      <c r="CA762"/>
      <c r="CB762"/>
    </row>
    <row r="763" ht="15.0" customHeight="true">
      <c r="A763" s="51" t="s">
        <v>2448</v>
      </c>
      <c r="B763" s="33"/>
      <c r="C763" s="33" t="s">
        <v>7987</v>
      </c>
      <c r="D763" s="33"/>
      <c r="E763" s="33" t="s">
        <v>7988</v>
      </c>
      <c r="F763" s="33"/>
      <c r="G763" s="55" t="s">
        <v>4742</v>
      </c>
      <c r="H763" s="33"/>
      <c r="I763" s="51" t="s">
        <v>7989</v>
      </c>
      <c r="J763" s="33"/>
      <c r="K763" s="51" t="s">
        <v>7990</v>
      </c>
      <c r="L763" s="33" t="s">
        <v>2454</v>
      </c>
      <c r="M763" s="55" t="s">
        <v>3442</v>
      </c>
      <c r="N763" s="55" t="s">
        <v>3442</v>
      </c>
      <c r="O763" s="33" t="s">
        <v>2272</v>
      </c>
      <c r="P763" s="33" t="s">
        <v>2251</v>
      </c>
      <c r="Q763" s="33"/>
      <c r="R763" s="33" t="s">
        <v>2263</v>
      </c>
      <c r="S763" s="56" t="s">
        <v>2277</v>
      </c>
      <c r="T763" s="56"/>
      <c r="U763" s="56"/>
      <c r="V763" s="33" t="s">
        <v>2456</v>
      </c>
      <c r="W763" s="94" t="s">
        <v>2457</v>
      </c>
      <c r="X763" s="94" t="s">
        <v>2458</v>
      </c>
      <c r="Y763" s="51"/>
      <c r="Z763" s="51"/>
      <c r="AA763" s="33" t="s">
        <v>2459</v>
      </c>
      <c r="AB763" s="33" t="s">
        <v>2460</v>
      </c>
      <c r="AC763" s="33"/>
      <c r="AD763" s="33" t="s">
        <v>2254</v>
      </c>
      <c r="AE763" s="33"/>
      <c r="AF763" s="33" t="s">
        <v>2267</v>
      </c>
      <c r="AG763" s="33" t="s">
        <v>2461</v>
      </c>
      <c r="AH763" s="33"/>
      <c r="AI763" s="33"/>
      <c r="AJ763" s="33" t="s">
        <v>7991</v>
      </c>
      <c r="AK763" s="94"/>
      <c r="AL763" s="33" t="s">
        <v>5481</v>
      </c>
      <c r="AM763" s="33" t="s">
        <v>7992</v>
      </c>
      <c r="AN763" s="33" t="s">
        <v>2465</v>
      </c>
      <c r="AO763" s="51" t="s">
        <v>2489</v>
      </c>
      <c r="AP763" s="51" t="s">
        <v>207</v>
      </c>
      <c r="AQ763" s="33"/>
      <c r="AR763" s="54"/>
      <c r="AS763" s="54"/>
      <c r="AT763" s="54"/>
      <c r="AU763" s="54"/>
      <c r="AV763" s="54"/>
      <c r="AW763" s="54"/>
      <c r="AX763" s="54"/>
      <c r="AY763" s="54"/>
      <c r="AZ763" s="54"/>
      <c r="BA763" s="54"/>
      <c r="BB763" s="54"/>
      <c r="BC763" s="54"/>
      <c r="BD763" s="54" t="s">
        <v>2447</v>
      </c>
      <c r="BE763" s="54"/>
      <c r="BF763" s="54"/>
      <c r="BG763" s="54"/>
      <c r="BH763" s="54"/>
      <c r="BI763" s="54"/>
      <c r="BJ763" s="0"/>
      <c r="BK763" s="0"/>
      <c r="BL763" s="0"/>
      <c r="BM763" s="0"/>
      <c r="BN763" s="0"/>
      <c r="BO763" s="0"/>
      <c r="BP763"/>
      <c r="BQ763"/>
      <c r="BR763"/>
      <c r="BS763"/>
      <c r="BT763"/>
      <c r="BU763"/>
      <c r="BV763"/>
      <c r="BW763"/>
      <c r="BX763"/>
      <c r="BY763"/>
      <c r="BZ763"/>
      <c r="CA763"/>
      <c r="CB763"/>
    </row>
    <row r="764" ht="15.0" customHeight="true">
      <c r="A764" s="51" t="s">
        <v>2448</v>
      </c>
      <c r="B764" s="33"/>
      <c r="C764" s="33" t="s">
        <v>2838</v>
      </c>
      <c r="D764" s="33"/>
      <c r="E764" s="33" t="s">
        <v>7993</v>
      </c>
      <c r="F764" s="33"/>
      <c r="G764" s="55" t="s">
        <v>7994</v>
      </c>
      <c r="H764" s="33"/>
      <c r="I764" s="51" t="s">
        <v>7995</v>
      </c>
      <c r="J764" s="33"/>
      <c r="K764" s="51" t="s">
        <v>7996</v>
      </c>
      <c r="L764" s="33" t="s">
        <v>2454</v>
      </c>
      <c r="M764" s="55" t="s">
        <v>2858</v>
      </c>
      <c r="N764" s="55" t="s">
        <v>2858</v>
      </c>
      <c r="O764" s="33" t="s">
        <v>2272</v>
      </c>
      <c r="P764" s="33" t="s">
        <v>2251</v>
      </c>
      <c r="Q764" s="33"/>
      <c r="R764" s="33" t="s">
        <v>2263</v>
      </c>
      <c r="S764" s="56" t="s">
        <v>2277</v>
      </c>
      <c r="T764" s="56"/>
      <c r="U764" s="56"/>
      <c r="V764" s="33" t="s">
        <v>2456</v>
      </c>
      <c r="W764" s="94" t="s">
        <v>2457</v>
      </c>
      <c r="X764" s="94" t="s">
        <v>2458</v>
      </c>
      <c r="Y764" s="51"/>
      <c r="Z764" s="51"/>
      <c r="AA764" s="33" t="s">
        <v>2459</v>
      </c>
      <c r="AB764" s="33" t="s">
        <v>2460</v>
      </c>
      <c r="AC764" s="33"/>
      <c r="AD764" s="33" t="s">
        <v>2254</v>
      </c>
      <c r="AE764" s="33"/>
      <c r="AF764" s="33" t="s">
        <v>2267</v>
      </c>
      <c r="AG764" s="33" t="s">
        <v>2461</v>
      </c>
      <c r="AH764" s="33"/>
      <c r="AI764" s="33"/>
      <c r="AJ764" s="33" t="s">
        <v>7997</v>
      </c>
      <c r="AK764" s="94"/>
      <c r="AL764" s="33" t="s">
        <v>7998</v>
      </c>
      <c r="AM764" s="33"/>
      <c r="AN764" s="33" t="s">
        <v>2465</v>
      </c>
      <c r="AO764" s="51" t="s">
        <v>2466</v>
      </c>
      <c r="AP764" s="51" t="s">
        <v>207</v>
      </c>
      <c r="AQ764" s="33"/>
      <c r="AR764" s="54"/>
      <c r="AS764" s="54"/>
      <c r="AT764" s="54"/>
      <c r="AU764" s="54"/>
      <c r="AV764" s="54"/>
      <c r="AW764" s="54"/>
      <c r="AX764" s="54"/>
      <c r="AY764" s="54"/>
      <c r="AZ764" s="54"/>
      <c r="BA764" s="54"/>
      <c r="BB764" s="54"/>
      <c r="BC764" s="54"/>
      <c r="BD764" s="54" t="s">
        <v>2447</v>
      </c>
      <c r="BE764" s="54"/>
      <c r="BF764" s="54"/>
      <c r="BG764" s="54"/>
      <c r="BH764" s="54"/>
      <c r="BI764" s="54"/>
      <c r="BJ764" s="0"/>
      <c r="BK764" s="0"/>
      <c r="BL764" s="0"/>
      <c r="BM764" s="0"/>
      <c r="BN764" s="0"/>
      <c r="BO764" s="0"/>
      <c r="BP764"/>
      <c r="BQ764"/>
      <c r="BR764"/>
      <c r="BS764"/>
      <c r="BT764"/>
      <c r="BU764"/>
      <c r="BV764"/>
      <c r="BW764"/>
      <c r="BX764"/>
      <c r="BY764"/>
      <c r="BZ764"/>
      <c r="CA764"/>
      <c r="CB764"/>
    </row>
    <row r="765" ht="15.0" customHeight="true">
      <c r="A765" s="51" t="s">
        <v>2448</v>
      </c>
      <c r="B765" s="33"/>
      <c r="C765" s="33" t="s">
        <v>7999</v>
      </c>
      <c r="D765" s="33"/>
      <c r="E765" s="33" t="s">
        <v>3948</v>
      </c>
      <c r="F765" s="33"/>
      <c r="G765" s="55" t="s">
        <v>8000</v>
      </c>
      <c r="H765" s="33"/>
      <c r="I765" s="51" t="s">
        <v>8001</v>
      </c>
      <c r="J765" s="33"/>
      <c r="K765" s="51" t="s">
        <v>8002</v>
      </c>
      <c r="L765" s="33" t="s">
        <v>2454</v>
      </c>
      <c r="M765" s="55" t="s">
        <v>2790</v>
      </c>
      <c r="N765" s="55" t="s">
        <v>2496</v>
      </c>
      <c r="O765" s="33" t="s">
        <v>2272</v>
      </c>
      <c r="P765" s="33" t="s">
        <v>2251</v>
      </c>
      <c r="Q765" s="33"/>
      <c r="R765" s="33" t="s">
        <v>2263</v>
      </c>
      <c r="S765" s="56" t="s">
        <v>2277</v>
      </c>
      <c r="T765" s="56"/>
      <c r="U765" s="56"/>
      <c r="V765" s="33" t="s">
        <v>2456</v>
      </c>
      <c r="W765" s="94" t="s">
        <v>2457</v>
      </c>
      <c r="X765" s="94" t="s">
        <v>2474</v>
      </c>
      <c r="Y765" s="51"/>
      <c r="Z765" s="51"/>
      <c r="AA765" s="33" t="s">
        <v>2459</v>
      </c>
      <c r="AB765" s="33" t="s">
        <v>2460</v>
      </c>
      <c r="AC765" s="33"/>
      <c r="AD765" s="33" t="s">
        <v>2254</v>
      </c>
      <c r="AE765" s="33"/>
      <c r="AF765" s="33" t="s">
        <v>2267</v>
      </c>
      <c r="AG765" s="33" t="s">
        <v>2461</v>
      </c>
      <c r="AH765" s="33"/>
      <c r="AI765" s="33"/>
      <c r="AJ765" s="33" t="s">
        <v>8003</v>
      </c>
      <c r="AK765" s="94"/>
      <c r="AL765" s="33" t="s">
        <v>7119</v>
      </c>
      <c r="AM765" s="33" t="s">
        <v>8004</v>
      </c>
      <c r="AN765" s="33" t="s">
        <v>2465</v>
      </c>
      <c r="AO765" s="51" t="s">
        <v>2618</v>
      </c>
      <c r="AP765" s="51" t="s">
        <v>207</v>
      </c>
      <c r="AQ765" s="33"/>
      <c r="AR765" s="54"/>
      <c r="AS765" s="54"/>
      <c r="AT765" s="54"/>
      <c r="AU765" s="54"/>
      <c r="AV765" s="54"/>
      <c r="AW765" s="54"/>
      <c r="AX765" s="54"/>
      <c r="AY765" s="54"/>
      <c r="AZ765" s="54"/>
      <c r="BA765" s="54"/>
      <c r="BB765" s="54"/>
      <c r="BC765" s="54"/>
      <c r="BD765" s="54" t="s">
        <v>2447</v>
      </c>
      <c r="BE765" s="54"/>
      <c r="BF765" s="54"/>
      <c r="BG765" s="54"/>
      <c r="BH765" s="54"/>
      <c r="BI765" s="54"/>
      <c r="BJ765" s="0"/>
      <c r="BK765" s="0"/>
      <c r="BL765" s="0"/>
      <c r="BM765" s="0"/>
      <c r="BN765" s="0"/>
      <c r="BO765" s="0"/>
      <c r="BP765"/>
      <c r="BQ765"/>
      <c r="BR765"/>
      <c r="BS765"/>
      <c r="BT765"/>
      <c r="BU765"/>
      <c r="BV765"/>
      <c r="BW765"/>
      <c r="BX765"/>
      <c r="BY765"/>
      <c r="BZ765"/>
      <c r="CA765"/>
      <c r="CB765"/>
    </row>
    <row r="766" ht="15.0" customHeight="true">
      <c r="A766" s="51" t="s">
        <v>2448</v>
      </c>
      <c r="B766" s="33"/>
      <c r="C766" s="33" t="s">
        <v>4523</v>
      </c>
      <c r="D766" s="33"/>
      <c r="E766" s="33" t="s">
        <v>8005</v>
      </c>
      <c r="F766" s="33"/>
      <c r="G766" s="55" t="s">
        <v>8006</v>
      </c>
      <c r="H766" s="33"/>
      <c r="I766" s="51" t="s">
        <v>8007</v>
      </c>
      <c r="J766" s="33"/>
      <c r="K766" s="51" t="s">
        <v>8008</v>
      </c>
      <c r="L766" s="33" t="s">
        <v>2454</v>
      </c>
      <c r="M766" s="55" t="s">
        <v>4102</v>
      </c>
      <c r="N766" s="55" t="s">
        <v>4102</v>
      </c>
      <c r="O766" s="33" t="s">
        <v>2272</v>
      </c>
      <c r="P766" s="33" t="s">
        <v>2251</v>
      </c>
      <c r="Q766" s="33"/>
      <c r="R766" s="33" t="s">
        <v>2263</v>
      </c>
      <c r="S766" s="56" t="s">
        <v>2277</v>
      </c>
      <c r="T766" s="56"/>
      <c r="U766" s="56"/>
      <c r="V766" s="33" t="s">
        <v>2456</v>
      </c>
      <c r="W766" s="94" t="s">
        <v>2457</v>
      </c>
      <c r="X766" s="94" t="s">
        <v>2458</v>
      </c>
      <c r="Y766" s="51"/>
      <c r="Z766" s="51"/>
      <c r="AA766" s="33" t="s">
        <v>2459</v>
      </c>
      <c r="AB766" s="33" t="s">
        <v>2460</v>
      </c>
      <c r="AC766" s="33"/>
      <c r="AD766" s="33" t="s">
        <v>2254</v>
      </c>
      <c r="AE766" s="33"/>
      <c r="AF766" s="33" t="s">
        <v>2267</v>
      </c>
      <c r="AG766" s="33" t="s">
        <v>2461</v>
      </c>
      <c r="AH766" s="33"/>
      <c r="AI766" s="33"/>
      <c r="AJ766" s="33" t="s">
        <v>8009</v>
      </c>
      <c r="AK766" s="94"/>
      <c r="AL766" s="33" t="s">
        <v>8010</v>
      </c>
      <c r="AM766" s="33" t="s">
        <v>4179</v>
      </c>
      <c r="AN766" s="33" t="s">
        <v>2465</v>
      </c>
      <c r="AO766" s="51" t="s">
        <v>2820</v>
      </c>
      <c r="AP766" s="51" t="s">
        <v>207</v>
      </c>
      <c r="AQ766" s="33"/>
      <c r="AR766" s="54"/>
      <c r="AS766" s="54"/>
      <c r="AT766" s="54"/>
      <c r="AU766" s="54"/>
      <c r="AV766" s="54"/>
      <c r="AW766" s="54"/>
      <c r="AX766" s="54"/>
      <c r="AY766" s="54"/>
      <c r="AZ766" s="54"/>
      <c r="BA766" s="54"/>
      <c r="BB766" s="54"/>
      <c r="BC766" s="54"/>
      <c r="BD766" s="54" t="s">
        <v>2447</v>
      </c>
      <c r="BE766" s="54"/>
      <c r="BF766" s="54"/>
      <c r="BG766" s="54"/>
      <c r="BH766" s="54"/>
      <c r="BI766" s="54"/>
      <c r="BJ766" s="0"/>
      <c r="BK766" s="0"/>
      <c r="BL766" s="0"/>
      <c r="BM766" s="0"/>
      <c r="BN766" s="0"/>
      <c r="BO766" s="0"/>
      <c r="BP766"/>
      <c r="BQ766"/>
      <c r="BR766"/>
      <c r="BS766"/>
      <c r="BT766"/>
      <c r="BU766"/>
      <c r="BV766"/>
      <c r="BW766"/>
      <c r="BX766"/>
      <c r="BY766"/>
      <c r="BZ766"/>
      <c r="CA766"/>
      <c r="CB766"/>
    </row>
    <row r="767" ht="15.0" customHeight="true">
      <c r="A767" s="51" t="s">
        <v>2448</v>
      </c>
      <c r="B767" s="33"/>
      <c r="C767" s="33" t="s">
        <v>8011</v>
      </c>
      <c r="D767" s="33"/>
      <c r="E767" s="33" t="s">
        <v>8012</v>
      </c>
      <c r="F767" s="33"/>
      <c r="G767" s="55" t="s">
        <v>8013</v>
      </c>
      <c r="H767" s="33"/>
      <c r="I767" s="51" t="s">
        <v>8014</v>
      </c>
      <c r="J767" s="33"/>
      <c r="K767" s="51" t="s">
        <v>8015</v>
      </c>
      <c r="L767" s="33" t="s">
        <v>2484</v>
      </c>
      <c r="M767" s="55" t="s">
        <v>8016</v>
      </c>
      <c r="N767" s="55"/>
      <c r="O767" s="33"/>
      <c r="P767" s="33" t="s">
        <v>2251</v>
      </c>
      <c r="Q767" s="33"/>
      <c r="R767" s="33" t="s">
        <v>2263</v>
      </c>
      <c r="S767" s="56" t="s">
        <v>2277</v>
      </c>
      <c r="T767" s="56"/>
      <c r="U767" s="56"/>
      <c r="V767" s="33" t="s">
        <v>2456</v>
      </c>
      <c r="W767" s="94" t="s">
        <v>2457</v>
      </c>
      <c r="X767" s="94" t="s">
        <v>2474</v>
      </c>
      <c r="Y767" s="51"/>
      <c r="Z767" s="51"/>
      <c r="AA767" s="33" t="s">
        <v>2459</v>
      </c>
      <c r="AB767" s="33" t="s">
        <v>2460</v>
      </c>
      <c r="AC767" s="33" t="s">
        <v>2486</v>
      </c>
      <c r="AD767" s="33" t="s">
        <v>2254</v>
      </c>
      <c r="AE767" s="33"/>
      <c r="AF767" s="33" t="s">
        <v>2267</v>
      </c>
      <c r="AG767" s="33" t="s">
        <v>2461</v>
      </c>
      <c r="AH767" s="33"/>
      <c r="AI767" s="33"/>
      <c r="AJ767" s="33" t="s">
        <v>8017</v>
      </c>
      <c r="AK767" s="94"/>
      <c r="AL767" s="33" t="s">
        <v>4740</v>
      </c>
      <c r="AM767" s="33" t="s">
        <v>8018</v>
      </c>
      <c r="AN767" s="33" t="s">
        <v>2465</v>
      </c>
      <c r="AO767" s="51" t="s">
        <v>2489</v>
      </c>
      <c r="AP767" s="51" t="s">
        <v>207</v>
      </c>
      <c r="AQ767" s="33"/>
      <c r="AR767" s="54"/>
      <c r="AS767" s="54"/>
      <c r="AT767" s="54"/>
      <c r="AU767" s="54"/>
      <c r="AV767" s="54"/>
      <c r="AW767" s="54"/>
      <c r="AX767" s="54"/>
      <c r="AY767" s="54"/>
      <c r="AZ767" s="54"/>
      <c r="BA767" s="54"/>
      <c r="BB767" s="54"/>
      <c r="BC767" s="54"/>
      <c r="BD767" s="54" t="s">
        <v>4716</v>
      </c>
      <c r="BE767" s="54"/>
      <c r="BF767" s="54"/>
      <c r="BG767" s="54"/>
      <c r="BH767" s="54"/>
      <c r="BI767" s="54"/>
      <c r="BJ767" s="0"/>
      <c r="BK767" s="0"/>
      <c r="BL767" s="0"/>
      <c r="BM767" s="0"/>
      <c r="BN767" s="0"/>
      <c r="BO767" s="0"/>
      <c r="BP767"/>
      <c r="BQ767"/>
      <c r="BR767"/>
      <c r="BS767"/>
      <c r="BT767"/>
      <c r="BU767"/>
      <c r="BV767"/>
      <c r="BW767"/>
      <c r="BX767"/>
      <c r="BY767"/>
      <c r="BZ767"/>
      <c r="CA767"/>
      <c r="CB767"/>
    </row>
    <row r="768" ht="15.0" customHeight="true">
      <c r="A768" s="51" t="s">
        <v>2448</v>
      </c>
      <c r="B768" s="33"/>
      <c r="C768" s="33" t="s">
        <v>8019</v>
      </c>
      <c r="D768" s="33"/>
      <c r="E768" s="33" t="s">
        <v>8020</v>
      </c>
      <c r="F768" s="33"/>
      <c r="G768" s="55" t="s">
        <v>8021</v>
      </c>
      <c r="H768" s="33"/>
      <c r="I768" s="51" t="s">
        <v>8022</v>
      </c>
      <c r="J768" s="33"/>
      <c r="K768" s="51" t="s">
        <v>8023</v>
      </c>
      <c r="L768" s="33" t="s">
        <v>2454</v>
      </c>
      <c r="M768" s="55" t="s">
        <v>4625</v>
      </c>
      <c r="N768" s="55" t="s">
        <v>4470</v>
      </c>
      <c r="O768" s="33" t="s">
        <v>2272</v>
      </c>
      <c r="P768" s="33" t="s">
        <v>2251</v>
      </c>
      <c r="Q768" s="33"/>
      <c r="R768" s="33" t="s">
        <v>2263</v>
      </c>
      <c r="S768" s="56" t="s">
        <v>2277</v>
      </c>
      <c r="T768" s="56"/>
      <c r="U768" s="56"/>
      <c r="V768" s="33" t="s">
        <v>2456</v>
      </c>
      <c r="W768" s="94" t="s">
        <v>2457</v>
      </c>
      <c r="X768" s="94" t="s">
        <v>2474</v>
      </c>
      <c r="Y768" s="51"/>
      <c r="Z768" s="51"/>
      <c r="AA768" s="33" t="s">
        <v>2459</v>
      </c>
      <c r="AB768" s="33" t="s">
        <v>2460</v>
      </c>
      <c r="AC768" s="33"/>
      <c r="AD768" s="33" t="s">
        <v>2254</v>
      </c>
      <c r="AE768" s="33"/>
      <c r="AF768" s="33" t="s">
        <v>2267</v>
      </c>
      <c r="AG768" s="33" t="s">
        <v>2461</v>
      </c>
      <c r="AH768" s="33"/>
      <c r="AI768" s="33"/>
      <c r="AJ768" s="33" t="s">
        <v>8024</v>
      </c>
      <c r="AK768" s="94"/>
      <c r="AL768" s="33" t="s">
        <v>8025</v>
      </c>
      <c r="AM768" s="33"/>
      <c r="AN768" s="33" t="s">
        <v>2465</v>
      </c>
      <c r="AO768" s="51" t="s">
        <v>2820</v>
      </c>
      <c r="AP768" s="51" t="s">
        <v>207</v>
      </c>
      <c r="AQ768" s="33"/>
      <c r="AR768" s="54"/>
      <c r="AS768" s="54"/>
      <c r="AT768" s="54"/>
      <c r="AU768" s="54"/>
      <c r="AV768" s="54"/>
      <c r="AW768" s="54"/>
      <c r="AX768" s="54"/>
      <c r="AY768" s="54"/>
      <c r="AZ768" s="54"/>
      <c r="BA768" s="54"/>
      <c r="BB768" s="54"/>
      <c r="BC768" s="54"/>
      <c r="BD768" s="54" t="s">
        <v>2447</v>
      </c>
      <c r="BE768" s="54"/>
      <c r="BF768" s="54"/>
      <c r="BG768" s="54"/>
      <c r="BH768" s="54"/>
      <c r="BI768" s="54"/>
      <c r="BJ768" s="0"/>
      <c r="BK768" s="0"/>
      <c r="BL768" s="0"/>
      <c r="BM768" s="0"/>
      <c r="BN768" s="0"/>
      <c r="BO768" s="0"/>
      <c r="BP768"/>
      <c r="BQ768"/>
      <c r="BR768"/>
      <c r="BS768"/>
      <c r="BT768"/>
      <c r="BU768"/>
      <c r="BV768"/>
      <c r="BW768"/>
      <c r="BX768"/>
      <c r="BY768"/>
      <c r="BZ768"/>
      <c r="CA768"/>
      <c r="CB768"/>
    </row>
    <row r="769" ht="15.0" customHeight="true">
      <c r="A769" s="51" t="s">
        <v>2448</v>
      </c>
      <c r="B769" s="33"/>
      <c r="C769" s="33" t="s">
        <v>2821</v>
      </c>
      <c r="D769" s="33"/>
      <c r="E769" s="33" t="s">
        <v>8026</v>
      </c>
      <c r="F769" s="33"/>
      <c r="G769" s="55" t="s">
        <v>8027</v>
      </c>
      <c r="H769" s="33"/>
      <c r="I769" s="51" t="s">
        <v>8028</v>
      </c>
      <c r="J769" s="33"/>
      <c r="K769" s="51" t="s">
        <v>8029</v>
      </c>
      <c r="L769" s="33" t="s">
        <v>2454</v>
      </c>
      <c r="M769" s="55" t="s">
        <v>3018</v>
      </c>
      <c r="N769" s="55" t="s">
        <v>3376</v>
      </c>
      <c r="O769" s="33" t="s">
        <v>2272</v>
      </c>
      <c r="P769" s="33" t="s">
        <v>2251</v>
      </c>
      <c r="Q769" s="33"/>
      <c r="R769" s="33" t="s">
        <v>2263</v>
      </c>
      <c r="S769" s="56" t="s">
        <v>2277</v>
      </c>
      <c r="T769" s="56"/>
      <c r="U769" s="56"/>
      <c r="V769" s="33" t="s">
        <v>2456</v>
      </c>
      <c r="W769" s="94" t="s">
        <v>2457</v>
      </c>
      <c r="X769" s="94" t="s">
        <v>2458</v>
      </c>
      <c r="Y769" s="51"/>
      <c r="Z769" s="51"/>
      <c r="AA769" s="33" t="s">
        <v>2459</v>
      </c>
      <c r="AB769" s="33" t="s">
        <v>2460</v>
      </c>
      <c r="AC769" s="33"/>
      <c r="AD769" s="33" t="s">
        <v>2254</v>
      </c>
      <c r="AE769" s="33"/>
      <c r="AF769" s="33" t="s">
        <v>2267</v>
      </c>
      <c r="AG769" s="33" t="s">
        <v>2461</v>
      </c>
      <c r="AH769" s="33"/>
      <c r="AI769" s="33"/>
      <c r="AJ769" s="33" t="s">
        <v>8030</v>
      </c>
      <c r="AK769" s="94"/>
      <c r="AL769" s="33" t="s">
        <v>8031</v>
      </c>
      <c r="AM769" s="33"/>
      <c r="AN769" s="33" t="s">
        <v>2465</v>
      </c>
      <c r="AO769" s="51" t="s">
        <v>2489</v>
      </c>
      <c r="AP769" s="51" t="s">
        <v>207</v>
      </c>
      <c r="AQ769" s="33"/>
      <c r="AR769" s="54"/>
      <c r="AS769" s="54"/>
      <c r="AT769" s="54"/>
      <c r="AU769" s="54"/>
      <c r="AV769" s="54"/>
      <c r="AW769" s="54"/>
      <c r="AX769" s="54"/>
      <c r="AY769" s="54"/>
      <c r="AZ769" s="54"/>
      <c r="BA769" s="54"/>
      <c r="BB769" s="54"/>
      <c r="BC769" s="54"/>
      <c r="BD769" s="54" t="s">
        <v>2447</v>
      </c>
      <c r="BE769" s="54"/>
      <c r="BF769" s="54"/>
      <c r="BG769" s="54"/>
      <c r="BH769" s="54"/>
      <c r="BI769" s="54"/>
      <c r="BJ769" s="0"/>
      <c r="BK769" s="0"/>
      <c r="BL769" s="0"/>
      <c r="BM769" s="0"/>
      <c r="BN769" s="0"/>
      <c r="BO769" s="0"/>
      <c r="BP769"/>
      <c r="BQ769"/>
      <c r="BR769"/>
      <c r="BS769"/>
      <c r="BT769"/>
      <c r="BU769"/>
      <c r="BV769"/>
      <c r="BW769"/>
      <c r="BX769"/>
      <c r="BY769"/>
      <c r="BZ769"/>
      <c r="CA769"/>
      <c r="CB769"/>
    </row>
    <row r="770" ht="15.0" customHeight="true">
      <c r="A770" s="51" t="s">
        <v>2448</v>
      </c>
      <c r="B770" s="33"/>
      <c r="C770" s="33" t="s">
        <v>8032</v>
      </c>
      <c r="D770" s="33"/>
      <c r="E770" s="33" t="s">
        <v>8033</v>
      </c>
      <c r="F770" s="33"/>
      <c r="G770" s="55" t="s">
        <v>8034</v>
      </c>
      <c r="H770" s="33"/>
      <c r="I770" s="51" t="s">
        <v>8035</v>
      </c>
      <c r="J770" s="33"/>
      <c r="K770" s="51" t="s">
        <v>8036</v>
      </c>
      <c r="L770" s="33" t="s">
        <v>2454</v>
      </c>
      <c r="M770" s="55" t="s">
        <v>2780</v>
      </c>
      <c r="N770" s="55" t="s">
        <v>2807</v>
      </c>
      <c r="O770" s="33" t="s">
        <v>2272</v>
      </c>
      <c r="P770" s="33" t="s">
        <v>2251</v>
      </c>
      <c r="Q770" s="33"/>
      <c r="R770" s="33" t="s">
        <v>2263</v>
      </c>
      <c r="S770" s="56" t="s">
        <v>2277</v>
      </c>
      <c r="T770" s="56"/>
      <c r="U770" s="56"/>
      <c r="V770" s="33" t="s">
        <v>2456</v>
      </c>
      <c r="W770" s="94" t="s">
        <v>2457</v>
      </c>
      <c r="X770" s="94" t="s">
        <v>2474</v>
      </c>
      <c r="Y770" s="51"/>
      <c r="Z770" s="51"/>
      <c r="AA770" s="33" t="s">
        <v>2459</v>
      </c>
      <c r="AB770" s="33" t="s">
        <v>2460</v>
      </c>
      <c r="AC770" s="33"/>
      <c r="AD770" s="33" t="s">
        <v>2254</v>
      </c>
      <c r="AE770" s="33"/>
      <c r="AF770" s="33" t="s">
        <v>2267</v>
      </c>
      <c r="AG770" s="33" t="s">
        <v>2461</v>
      </c>
      <c r="AH770" s="33"/>
      <c r="AI770" s="33"/>
      <c r="AJ770" s="33" t="s">
        <v>8037</v>
      </c>
      <c r="AK770" s="94"/>
      <c r="AL770" s="33" t="s">
        <v>8038</v>
      </c>
      <c r="AM770" s="33"/>
      <c r="AN770" s="33" t="s">
        <v>2465</v>
      </c>
      <c r="AO770" s="51" t="s">
        <v>2618</v>
      </c>
      <c r="AP770" s="51" t="s">
        <v>207</v>
      </c>
      <c r="AQ770" s="33"/>
      <c r="AR770" s="54"/>
      <c r="AS770" s="54"/>
      <c r="AT770" s="54"/>
      <c r="AU770" s="54"/>
      <c r="AV770" s="54"/>
      <c r="AW770" s="54"/>
      <c r="AX770" s="54"/>
      <c r="AY770" s="54"/>
      <c r="AZ770" s="54"/>
      <c r="BA770" s="54"/>
      <c r="BB770" s="54"/>
      <c r="BC770" s="54"/>
      <c r="BD770" s="54" t="s">
        <v>2447</v>
      </c>
      <c r="BE770" s="54"/>
      <c r="BF770" s="54"/>
      <c r="BG770" s="54"/>
      <c r="BH770" s="54"/>
      <c r="BI770" s="54"/>
      <c r="BJ770" s="0"/>
      <c r="BK770" s="0"/>
      <c r="BL770" s="0"/>
      <c r="BM770" s="0"/>
      <c r="BN770" s="0"/>
      <c r="BO770" s="0"/>
      <c r="BP770"/>
      <c r="BQ770"/>
      <c r="BR770"/>
      <c r="BS770"/>
      <c r="BT770"/>
      <c r="BU770"/>
      <c r="BV770"/>
      <c r="BW770"/>
      <c r="BX770"/>
      <c r="BY770"/>
      <c r="BZ770"/>
      <c r="CA770"/>
      <c r="CB770"/>
    </row>
    <row r="771" ht="15.0" customHeight="true">
      <c r="A771" s="51" t="s">
        <v>2448</v>
      </c>
      <c r="B771" s="33"/>
      <c r="C771" s="33" t="s">
        <v>3404</v>
      </c>
      <c r="D771" s="33"/>
      <c r="E771" s="33" t="s">
        <v>8039</v>
      </c>
      <c r="F771" s="33"/>
      <c r="G771" s="55" t="s">
        <v>2982</v>
      </c>
      <c r="H771" s="33"/>
      <c r="I771" s="51" t="s">
        <v>8040</v>
      </c>
      <c r="J771" s="33"/>
      <c r="K771" s="51" t="s">
        <v>8041</v>
      </c>
      <c r="L771" s="33" t="s">
        <v>2484</v>
      </c>
      <c r="M771" s="55" t="s">
        <v>7256</v>
      </c>
      <c r="N771" s="55"/>
      <c r="O771" s="33"/>
      <c r="P771" s="33" t="s">
        <v>2251</v>
      </c>
      <c r="Q771" s="33"/>
      <c r="R771" s="33" t="s">
        <v>2263</v>
      </c>
      <c r="S771" s="56" t="s">
        <v>2277</v>
      </c>
      <c r="T771" s="56"/>
      <c r="U771" s="56"/>
      <c r="V771" s="33" t="s">
        <v>2456</v>
      </c>
      <c r="W771" s="94" t="s">
        <v>2457</v>
      </c>
      <c r="X771" s="94" t="s">
        <v>2474</v>
      </c>
      <c r="Y771" s="51"/>
      <c r="Z771" s="51"/>
      <c r="AA771" s="33" t="s">
        <v>2459</v>
      </c>
      <c r="AB771" s="33" t="s">
        <v>2460</v>
      </c>
      <c r="AC771" s="33" t="s">
        <v>2486</v>
      </c>
      <c r="AD771" s="33" t="s">
        <v>2254</v>
      </c>
      <c r="AE771" s="33"/>
      <c r="AF771" s="33" t="s">
        <v>2267</v>
      </c>
      <c r="AG771" s="33" t="s">
        <v>2461</v>
      </c>
      <c r="AH771" s="33"/>
      <c r="AI771" s="33"/>
      <c r="AJ771" s="33" t="s">
        <v>8042</v>
      </c>
      <c r="AK771" s="94"/>
      <c r="AL771" s="33" t="s">
        <v>8043</v>
      </c>
      <c r="AM771" s="33"/>
      <c r="AN771" s="33" t="s">
        <v>2465</v>
      </c>
      <c r="AO771" s="51" t="s">
        <v>2489</v>
      </c>
      <c r="AP771" s="51" t="s">
        <v>207</v>
      </c>
      <c r="AQ771" s="33"/>
      <c r="AR771" s="54"/>
      <c r="AS771" s="54"/>
      <c r="AT771" s="54"/>
      <c r="AU771" s="54"/>
      <c r="AV771" s="54"/>
      <c r="AW771" s="54"/>
      <c r="AX771" s="54"/>
      <c r="AY771" s="54"/>
      <c r="AZ771" s="54"/>
      <c r="BA771" s="54"/>
      <c r="BB771" s="54"/>
      <c r="BC771" s="54"/>
      <c r="BD771" s="54" t="s">
        <v>2447</v>
      </c>
      <c r="BE771" s="54"/>
      <c r="BF771" s="54"/>
      <c r="BG771" s="54"/>
      <c r="BH771" s="54"/>
      <c r="BI771" s="54"/>
      <c r="BJ771" s="0"/>
      <c r="BK771" s="0"/>
      <c r="BL771" s="0"/>
      <c r="BM771" s="0"/>
      <c r="BN771" s="0"/>
      <c r="BO771" s="0"/>
      <c r="BP771"/>
      <c r="BQ771"/>
      <c r="BR771"/>
      <c r="BS771"/>
      <c r="BT771"/>
      <c r="BU771"/>
      <c r="BV771"/>
      <c r="BW771"/>
      <c r="BX771"/>
      <c r="BY771"/>
      <c r="BZ771"/>
      <c r="CA771"/>
      <c r="CB771"/>
    </row>
    <row r="772" ht="15.0" customHeight="true">
      <c r="A772" s="51" t="s">
        <v>2448</v>
      </c>
      <c r="B772" s="33"/>
      <c r="C772" s="33" t="s">
        <v>8044</v>
      </c>
      <c r="D772" s="33"/>
      <c r="E772" s="33" t="s">
        <v>8045</v>
      </c>
      <c r="F772" s="33"/>
      <c r="G772" s="55" t="s">
        <v>8046</v>
      </c>
      <c r="H772" s="33"/>
      <c r="I772" s="51" t="s">
        <v>8047</v>
      </c>
      <c r="J772" s="33"/>
      <c r="K772" s="51" t="s">
        <v>8048</v>
      </c>
      <c r="L772" s="33" t="s">
        <v>2454</v>
      </c>
      <c r="M772" s="55" t="s">
        <v>4411</v>
      </c>
      <c r="N772" s="55" t="s">
        <v>3913</v>
      </c>
      <c r="O772" s="33" t="s">
        <v>2276</v>
      </c>
      <c r="P772" s="33" t="s">
        <v>2251</v>
      </c>
      <c r="Q772" s="33"/>
      <c r="R772" s="33" t="s">
        <v>2263</v>
      </c>
      <c r="S772" s="56" t="s">
        <v>2277</v>
      </c>
      <c r="T772" s="56"/>
      <c r="U772" s="56"/>
      <c r="V772" s="33" t="s">
        <v>4411</v>
      </c>
      <c r="W772" s="94" t="s">
        <v>2574</v>
      </c>
      <c r="X772" s="94" t="s">
        <v>2474</v>
      </c>
      <c r="Y772" s="51"/>
      <c r="Z772" s="51"/>
      <c r="AA772" s="33" t="s">
        <v>2459</v>
      </c>
      <c r="AB772" s="33" t="s">
        <v>2460</v>
      </c>
      <c r="AC772" s="33" t="s">
        <v>2486</v>
      </c>
      <c r="AD772" s="33" t="s">
        <v>2254</v>
      </c>
      <c r="AE772" s="33"/>
      <c r="AF772" s="33" t="s">
        <v>2267</v>
      </c>
      <c r="AG772" s="33" t="s">
        <v>2461</v>
      </c>
      <c r="AH772" s="33"/>
      <c r="AI772" s="33"/>
      <c r="AJ772" s="33" t="s">
        <v>8049</v>
      </c>
      <c r="AK772" s="94"/>
      <c r="AL772" s="33" t="s">
        <v>8050</v>
      </c>
      <c r="AM772" s="33"/>
      <c r="AN772" s="33" t="s">
        <v>2588</v>
      </c>
      <c r="AO772" s="51" t="s">
        <v>2702</v>
      </c>
      <c r="AP772" s="51" t="s">
        <v>207</v>
      </c>
      <c r="AQ772" s="33"/>
      <c r="AR772" s="54"/>
      <c r="AS772" s="54"/>
      <c r="AT772" s="54"/>
      <c r="AU772" s="54"/>
      <c r="AV772" s="54"/>
      <c r="AW772" s="54"/>
      <c r="AX772" s="54"/>
      <c r="AY772" s="54" t="s">
        <v>2269</v>
      </c>
      <c r="AZ772" s="54"/>
      <c r="BA772" s="54"/>
      <c r="BB772" s="54"/>
      <c r="BC772" s="54"/>
      <c r="BD772" s="54" t="s">
        <v>2447</v>
      </c>
      <c r="BE772" s="54"/>
      <c r="BF772" s="54"/>
      <c r="BG772" s="54"/>
      <c r="BH772" s="54"/>
      <c r="BI772" s="54"/>
      <c r="BJ772" s="0"/>
      <c r="BK772" s="0"/>
      <c r="BL772" s="0"/>
      <c r="BM772" s="0"/>
      <c r="BN772" s="0"/>
      <c r="BO772" s="0"/>
      <c r="BP772"/>
      <c r="BQ772"/>
      <c r="BR772"/>
      <c r="BS772"/>
      <c r="BT772"/>
      <c r="BU772"/>
      <c r="BV772"/>
      <c r="BW772"/>
      <c r="BX772"/>
      <c r="BY772"/>
      <c r="BZ772"/>
      <c r="CA772"/>
      <c r="CB772"/>
    </row>
    <row r="773" ht="15.0" customHeight="true">
      <c r="A773" s="51" t="s">
        <v>2448</v>
      </c>
      <c r="B773" s="33"/>
      <c r="C773" s="33" t="s">
        <v>8051</v>
      </c>
      <c r="D773" s="33"/>
      <c r="E773" s="33" t="s">
        <v>8052</v>
      </c>
      <c r="F773" s="33"/>
      <c r="G773" s="55" t="s">
        <v>8053</v>
      </c>
      <c r="H773" s="33"/>
      <c r="I773" s="51" t="s">
        <v>8054</v>
      </c>
      <c r="J773" s="33"/>
      <c r="K773" s="51" t="s">
        <v>8055</v>
      </c>
      <c r="L773" s="33" t="s">
        <v>2454</v>
      </c>
      <c r="M773" s="55" t="s">
        <v>3772</v>
      </c>
      <c r="N773" s="55" t="s">
        <v>8056</v>
      </c>
      <c r="O773" s="33" t="s">
        <v>2272</v>
      </c>
      <c r="P773" s="33" t="s">
        <v>2251</v>
      </c>
      <c r="Q773" s="33"/>
      <c r="R773" s="33" t="s">
        <v>2263</v>
      </c>
      <c r="S773" s="56" t="s">
        <v>2277</v>
      </c>
      <c r="T773" s="56"/>
      <c r="U773" s="56"/>
      <c r="V773" s="33" t="s">
        <v>2456</v>
      </c>
      <c r="W773" s="94" t="s">
        <v>2457</v>
      </c>
      <c r="X773" s="94" t="s">
        <v>2458</v>
      </c>
      <c r="Y773" s="51"/>
      <c r="Z773" s="51"/>
      <c r="AA773" s="33" t="s">
        <v>2459</v>
      </c>
      <c r="AB773" s="33" t="s">
        <v>2460</v>
      </c>
      <c r="AC773" s="33"/>
      <c r="AD773" s="33" t="s">
        <v>2254</v>
      </c>
      <c r="AE773" s="33"/>
      <c r="AF773" s="33" t="s">
        <v>2267</v>
      </c>
      <c r="AG773" s="33" t="s">
        <v>2461</v>
      </c>
      <c r="AH773" s="33"/>
      <c r="AI773" s="33"/>
      <c r="AJ773" s="33" t="s">
        <v>8057</v>
      </c>
      <c r="AK773" s="94"/>
      <c r="AL773" s="33" t="s">
        <v>8058</v>
      </c>
      <c r="AM773" s="33"/>
      <c r="AN773" s="33" t="s">
        <v>2465</v>
      </c>
      <c r="AO773" s="51" t="s">
        <v>2466</v>
      </c>
      <c r="AP773" s="51" t="s">
        <v>207</v>
      </c>
      <c r="AQ773" s="33"/>
      <c r="AR773" s="54"/>
      <c r="AS773" s="54"/>
      <c r="AT773" s="54"/>
      <c r="AU773" s="54"/>
      <c r="AV773" s="54"/>
      <c r="AW773" s="54"/>
      <c r="AX773" s="54"/>
      <c r="AY773" s="54"/>
      <c r="AZ773" s="54"/>
      <c r="BA773" s="54"/>
      <c r="BB773" s="54"/>
      <c r="BC773" s="54"/>
      <c r="BD773" s="54" t="s">
        <v>2447</v>
      </c>
      <c r="BE773" s="54"/>
      <c r="BF773" s="54"/>
      <c r="BG773" s="54"/>
      <c r="BH773" s="54"/>
      <c r="BI773" s="54"/>
      <c r="BJ773" s="0"/>
      <c r="BK773" s="0"/>
      <c r="BL773" s="0"/>
      <c r="BM773" s="0"/>
      <c r="BN773" s="0"/>
      <c r="BO773" s="0"/>
      <c r="BP773"/>
      <c r="BQ773"/>
      <c r="BR773"/>
      <c r="BS773"/>
      <c r="BT773"/>
      <c r="BU773"/>
      <c r="BV773"/>
      <c r="BW773"/>
      <c r="BX773"/>
      <c r="BY773"/>
      <c r="BZ773"/>
      <c r="CA773"/>
      <c r="CB773"/>
    </row>
    <row r="774" ht="15.0" customHeight="true">
      <c r="A774" s="51" t="s">
        <v>2448</v>
      </c>
      <c r="B774" s="33"/>
      <c r="C774" s="33" t="s">
        <v>8059</v>
      </c>
      <c r="D774" s="33"/>
      <c r="E774" s="33" t="s">
        <v>8060</v>
      </c>
      <c r="F774" s="33"/>
      <c r="G774" s="55" t="s">
        <v>8061</v>
      </c>
      <c r="H774" s="33"/>
      <c r="I774" s="51" t="s">
        <v>8062</v>
      </c>
      <c r="J774" s="33"/>
      <c r="K774" s="51" t="s">
        <v>8063</v>
      </c>
      <c r="L774" s="33" t="s">
        <v>2454</v>
      </c>
      <c r="M774" s="55" t="s">
        <v>3914</v>
      </c>
      <c r="N774" s="55" t="s">
        <v>5198</v>
      </c>
      <c r="O774" s="33" t="s">
        <v>2272</v>
      </c>
      <c r="P774" s="33" t="s">
        <v>2251</v>
      </c>
      <c r="Q774" s="33"/>
      <c r="R774" s="33" t="s">
        <v>2263</v>
      </c>
      <c r="S774" s="56" t="s">
        <v>2277</v>
      </c>
      <c r="T774" s="56"/>
      <c r="U774" s="56"/>
      <c r="V774" s="33" t="s">
        <v>2456</v>
      </c>
      <c r="W774" s="94" t="s">
        <v>2457</v>
      </c>
      <c r="X774" s="94" t="s">
        <v>2474</v>
      </c>
      <c r="Y774" s="51"/>
      <c r="Z774" s="51"/>
      <c r="AA774" s="33" t="s">
        <v>2459</v>
      </c>
      <c r="AB774" s="33" t="s">
        <v>2460</v>
      </c>
      <c r="AC774" s="33"/>
      <c r="AD774" s="33" t="s">
        <v>2254</v>
      </c>
      <c r="AE774" s="33"/>
      <c r="AF774" s="33" t="s">
        <v>2267</v>
      </c>
      <c r="AG774" s="33" t="s">
        <v>2461</v>
      </c>
      <c r="AH774" s="33"/>
      <c r="AI774" s="33"/>
      <c r="AJ774" s="33" t="s">
        <v>8064</v>
      </c>
      <c r="AK774" s="94"/>
      <c r="AL774" s="33" t="s">
        <v>8065</v>
      </c>
      <c r="AM774" s="33"/>
      <c r="AN774" s="33" t="s">
        <v>2588</v>
      </c>
      <c r="AO774" s="51" t="s">
        <v>2911</v>
      </c>
      <c r="AP774" s="51" t="s">
        <v>207</v>
      </c>
      <c r="AQ774" s="33"/>
      <c r="AR774" s="54"/>
      <c r="AS774" s="54"/>
      <c r="AT774" s="54"/>
      <c r="AU774" s="54"/>
      <c r="AV774" s="54"/>
      <c r="AW774" s="54"/>
      <c r="AX774" s="54"/>
      <c r="AY774" s="54"/>
      <c r="AZ774" s="54"/>
      <c r="BA774" s="54"/>
      <c r="BB774" s="54"/>
      <c r="BC774" s="54"/>
      <c r="BD774" s="54" t="s">
        <v>2447</v>
      </c>
      <c r="BE774" s="54"/>
      <c r="BF774" s="54"/>
      <c r="BG774" s="54"/>
      <c r="BH774" s="54"/>
      <c r="BI774" s="54"/>
      <c r="BJ774" s="0"/>
      <c r="BK774" s="0"/>
      <c r="BL774" s="0"/>
      <c r="BM774" s="0"/>
      <c r="BN774" s="0"/>
      <c r="BO774" s="0"/>
      <c r="BP774"/>
      <c r="BQ774"/>
      <c r="BR774"/>
      <c r="BS774"/>
      <c r="BT774"/>
      <c r="BU774"/>
      <c r="BV774"/>
      <c r="BW774"/>
      <c r="BX774"/>
      <c r="BY774"/>
      <c r="BZ774"/>
      <c r="CA774"/>
      <c r="CB774"/>
    </row>
    <row r="775" ht="15.0" customHeight="true">
      <c r="A775" s="51" t="s">
        <v>2448</v>
      </c>
      <c r="B775" s="33"/>
      <c r="C775" s="33" t="s">
        <v>2674</v>
      </c>
      <c r="D775" s="33"/>
      <c r="E775" s="33" t="s">
        <v>8066</v>
      </c>
      <c r="F775" s="33"/>
      <c r="G775" s="55" t="s">
        <v>8067</v>
      </c>
      <c r="H775" s="33"/>
      <c r="I775" s="51" t="s">
        <v>8068</v>
      </c>
      <c r="J775" s="33"/>
      <c r="K775" s="51" t="s">
        <v>8069</v>
      </c>
      <c r="L775" s="33" t="s">
        <v>2454</v>
      </c>
      <c r="M775" s="55" t="s">
        <v>6541</v>
      </c>
      <c r="N775" s="55" t="s">
        <v>6541</v>
      </c>
      <c r="O775" s="33" t="s">
        <v>2272</v>
      </c>
      <c r="P775" s="33" t="s">
        <v>2251</v>
      </c>
      <c r="Q775" s="33"/>
      <c r="R775" s="33" t="s">
        <v>2263</v>
      </c>
      <c r="S775" s="56" t="s">
        <v>2277</v>
      </c>
      <c r="T775" s="56"/>
      <c r="U775" s="56"/>
      <c r="V775" s="33" t="s">
        <v>2456</v>
      </c>
      <c r="W775" s="94" t="s">
        <v>2457</v>
      </c>
      <c r="X775" s="94" t="s">
        <v>2458</v>
      </c>
      <c r="Y775" s="51"/>
      <c r="Z775" s="51"/>
      <c r="AA775" s="33" t="s">
        <v>2459</v>
      </c>
      <c r="AB775" s="33" t="s">
        <v>2460</v>
      </c>
      <c r="AC775" s="33"/>
      <c r="AD775" s="33" t="s">
        <v>2254</v>
      </c>
      <c r="AE775" s="33"/>
      <c r="AF775" s="33" t="s">
        <v>2267</v>
      </c>
      <c r="AG775" s="33" t="s">
        <v>2461</v>
      </c>
      <c r="AH775" s="33"/>
      <c r="AI775" s="33"/>
      <c r="AJ775" s="33" t="s">
        <v>8070</v>
      </c>
      <c r="AK775" s="94"/>
      <c r="AL775" s="33" t="s">
        <v>7161</v>
      </c>
      <c r="AM775" s="33" t="s">
        <v>8071</v>
      </c>
      <c r="AN775" s="33" t="s">
        <v>2465</v>
      </c>
      <c r="AO775" s="51" t="s">
        <v>2548</v>
      </c>
      <c r="AP775" s="51" t="s">
        <v>207</v>
      </c>
      <c r="AQ775" s="33"/>
      <c r="AR775" s="54"/>
      <c r="AS775" s="54"/>
      <c r="AT775" s="54"/>
      <c r="AU775" s="54"/>
      <c r="AV775" s="54"/>
      <c r="AW775" s="54"/>
      <c r="AX775" s="54"/>
      <c r="AY775" s="54"/>
      <c r="AZ775" s="54"/>
      <c r="BA775" s="54"/>
      <c r="BB775" s="54"/>
      <c r="BC775" s="54"/>
      <c r="BD775" s="54" t="s">
        <v>2447</v>
      </c>
      <c r="BE775" s="54"/>
      <c r="BF775" s="54"/>
      <c r="BG775" s="54"/>
      <c r="BH775" s="54"/>
      <c r="BI775" s="54"/>
      <c r="BJ775" s="0"/>
      <c r="BK775" s="0"/>
      <c r="BL775" s="0"/>
      <c r="BM775" s="0"/>
      <c r="BN775" s="0"/>
      <c r="BO775" s="0"/>
      <c r="BP775"/>
      <c r="BQ775"/>
      <c r="BR775"/>
      <c r="BS775"/>
      <c r="BT775"/>
      <c r="BU775"/>
      <c r="BV775"/>
      <c r="BW775"/>
      <c r="BX775"/>
      <c r="BY775"/>
      <c r="BZ775"/>
      <c r="CA775"/>
      <c r="CB775"/>
    </row>
    <row r="776" ht="15.0" customHeight="true">
      <c r="A776" s="51" t="s">
        <v>2448</v>
      </c>
      <c r="B776" s="33"/>
      <c r="C776" s="33" t="s">
        <v>4569</v>
      </c>
      <c r="D776" s="33"/>
      <c r="E776" s="33" t="s">
        <v>8072</v>
      </c>
      <c r="F776" s="33"/>
      <c r="G776" s="55" t="s">
        <v>8073</v>
      </c>
      <c r="H776" s="33"/>
      <c r="I776" s="51" t="s">
        <v>8074</v>
      </c>
      <c r="J776" s="33"/>
      <c r="K776" s="51" t="s">
        <v>8075</v>
      </c>
      <c r="L776" s="33" t="s">
        <v>2454</v>
      </c>
      <c r="M776" s="55" t="s">
        <v>3631</v>
      </c>
      <c r="N776" s="55" t="s">
        <v>2790</v>
      </c>
      <c r="O776" s="33" t="s">
        <v>2272</v>
      </c>
      <c r="P776" s="33" t="s">
        <v>2251</v>
      </c>
      <c r="Q776" s="33"/>
      <c r="R776" s="33" t="s">
        <v>2263</v>
      </c>
      <c r="S776" s="56" t="s">
        <v>2277</v>
      </c>
      <c r="T776" s="56"/>
      <c r="U776" s="56"/>
      <c r="V776" s="33" t="s">
        <v>2456</v>
      </c>
      <c r="W776" s="94" t="s">
        <v>2457</v>
      </c>
      <c r="X776" s="94" t="s">
        <v>2474</v>
      </c>
      <c r="Y776" s="51"/>
      <c r="Z776" s="51"/>
      <c r="AA776" s="33" t="s">
        <v>2459</v>
      </c>
      <c r="AB776" s="33" t="s">
        <v>2460</v>
      </c>
      <c r="AC776" s="33"/>
      <c r="AD776" s="33" t="s">
        <v>2254</v>
      </c>
      <c r="AE776" s="33"/>
      <c r="AF776" s="33" t="s">
        <v>2267</v>
      </c>
      <c r="AG776" s="33" t="s">
        <v>2461</v>
      </c>
      <c r="AH776" s="33"/>
      <c r="AI776" s="33"/>
      <c r="AJ776" s="33" t="s">
        <v>8076</v>
      </c>
      <c r="AK776" s="94"/>
      <c r="AL776" s="33" t="s">
        <v>8077</v>
      </c>
      <c r="AM776" s="33" t="s">
        <v>3891</v>
      </c>
      <c r="AN776" s="33" t="s">
        <v>2465</v>
      </c>
      <c r="AO776" s="51" t="s">
        <v>2820</v>
      </c>
      <c r="AP776" s="51" t="s">
        <v>207</v>
      </c>
      <c r="AQ776" s="33"/>
      <c r="AR776" s="54"/>
      <c r="AS776" s="54"/>
      <c r="AT776" s="54"/>
      <c r="AU776" s="54"/>
      <c r="AV776" s="54"/>
      <c r="AW776" s="54"/>
      <c r="AX776" s="54"/>
      <c r="AY776" s="54"/>
      <c r="AZ776" s="54"/>
      <c r="BA776" s="54"/>
      <c r="BB776" s="54"/>
      <c r="BC776" s="54"/>
      <c r="BD776" s="54" t="s">
        <v>2447</v>
      </c>
      <c r="BE776" s="54"/>
      <c r="BF776" s="54"/>
      <c r="BG776" s="54"/>
      <c r="BH776" s="54"/>
      <c r="BI776" s="54"/>
      <c r="BJ776" s="0"/>
      <c r="BK776" s="0"/>
      <c r="BL776" s="0"/>
      <c r="BM776" s="0"/>
      <c r="BN776" s="0"/>
      <c r="BO776" s="0"/>
      <c r="BP776"/>
      <c r="BQ776"/>
      <c r="BR776"/>
      <c r="BS776"/>
      <c r="BT776"/>
      <c r="BU776"/>
      <c r="BV776"/>
      <c r="BW776"/>
      <c r="BX776"/>
      <c r="BY776"/>
      <c r="BZ776"/>
      <c r="CA776"/>
      <c r="CB776"/>
    </row>
    <row r="777" ht="15.0" customHeight="true">
      <c r="A777" s="51" t="s">
        <v>2448</v>
      </c>
      <c r="B777" s="33"/>
      <c r="C777" s="33" t="s">
        <v>8078</v>
      </c>
      <c r="D777" s="33"/>
      <c r="E777" s="33" t="s">
        <v>5392</v>
      </c>
      <c r="F777" s="33"/>
      <c r="G777" s="55" t="s">
        <v>8079</v>
      </c>
      <c r="H777" s="33"/>
      <c r="I777" s="51" t="s">
        <v>8080</v>
      </c>
      <c r="J777" s="33"/>
      <c r="K777" s="51" t="s">
        <v>8081</v>
      </c>
      <c r="L777" s="33" t="s">
        <v>2454</v>
      </c>
      <c r="M777" s="55" t="s">
        <v>4411</v>
      </c>
      <c r="N777" s="55" t="s">
        <v>4618</v>
      </c>
      <c r="O777" s="33" t="s">
        <v>2272</v>
      </c>
      <c r="P777" s="33" t="s">
        <v>2251</v>
      </c>
      <c r="Q777" s="33"/>
      <c r="R777" s="33" t="s">
        <v>2263</v>
      </c>
      <c r="S777" s="56" t="s">
        <v>2277</v>
      </c>
      <c r="T777" s="56"/>
      <c r="U777" s="56"/>
      <c r="V777" s="33" t="s">
        <v>2456</v>
      </c>
      <c r="W777" s="94" t="s">
        <v>2457</v>
      </c>
      <c r="X777" s="94" t="s">
        <v>2474</v>
      </c>
      <c r="Y777" s="51"/>
      <c r="Z777" s="51"/>
      <c r="AA777" s="33" t="s">
        <v>2459</v>
      </c>
      <c r="AB777" s="33" t="s">
        <v>2460</v>
      </c>
      <c r="AC777" s="33"/>
      <c r="AD777" s="33" t="s">
        <v>2254</v>
      </c>
      <c r="AE777" s="33"/>
      <c r="AF777" s="33" t="s">
        <v>2267</v>
      </c>
      <c r="AG777" s="33" t="s">
        <v>2461</v>
      </c>
      <c r="AH777" s="33"/>
      <c r="AI777" s="33"/>
      <c r="AJ777" s="33" t="s">
        <v>8082</v>
      </c>
      <c r="AK777" s="94"/>
      <c r="AL777" s="33" t="s">
        <v>3830</v>
      </c>
      <c r="AM777" s="33" t="s">
        <v>8083</v>
      </c>
      <c r="AN777" s="33" t="s">
        <v>2465</v>
      </c>
      <c r="AO777" s="51" t="s">
        <v>2528</v>
      </c>
      <c r="AP777" s="51" t="s">
        <v>207</v>
      </c>
      <c r="AQ777" s="33"/>
      <c r="AR777" s="54"/>
      <c r="AS777" s="54"/>
      <c r="AT777" s="54"/>
      <c r="AU777" s="54"/>
      <c r="AV777" s="54"/>
      <c r="AW777" s="54"/>
      <c r="AX777" s="54"/>
      <c r="AY777" s="54"/>
      <c r="AZ777" s="54"/>
      <c r="BA777" s="54"/>
      <c r="BB777" s="54"/>
      <c r="BC777" s="54"/>
      <c r="BD777" s="54" t="s">
        <v>2447</v>
      </c>
      <c r="BE777" s="54"/>
      <c r="BF777" s="54"/>
      <c r="BG777" s="54"/>
      <c r="BH777" s="54"/>
      <c r="BI777" s="54"/>
      <c r="BJ777" s="0"/>
      <c r="BK777" s="0"/>
      <c r="BL777" s="0"/>
      <c r="BM777" s="0"/>
      <c r="BN777" s="0"/>
      <c r="BO777" s="0"/>
      <c r="BP777"/>
      <c r="BQ777"/>
      <c r="BR777"/>
      <c r="BS777"/>
      <c r="BT777"/>
      <c r="BU777"/>
      <c r="BV777"/>
      <c r="BW777"/>
      <c r="BX777"/>
      <c r="BY777"/>
      <c r="BZ777"/>
      <c r="CA777"/>
      <c r="CB777"/>
    </row>
    <row r="778" ht="15.0" customHeight="true">
      <c r="A778" s="51" t="s">
        <v>2448</v>
      </c>
      <c r="B778" s="33"/>
      <c r="C778" s="33" t="s">
        <v>4172</v>
      </c>
      <c r="D778" s="33"/>
      <c r="E778" s="33" t="s">
        <v>8084</v>
      </c>
      <c r="F778" s="33"/>
      <c r="G778" s="55" t="s">
        <v>8085</v>
      </c>
      <c r="H778" s="33"/>
      <c r="I778" s="51" t="s">
        <v>8086</v>
      </c>
      <c r="J778" s="33"/>
      <c r="K778" s="51" t="s">
        <v>8087</v>
      </c>
      <c r="L778" s="33" t="s">
        <v>2454</v>
      </c>
      <c r="M778" s="55" t="s">
        <v>8088</v>
      </c>
      <c r="N778" s="55" t="s">
        <v>3143</v>
      </c>
      <c r="O778" s="33" t="s">
        <v>2276</v>
      </c>
      <c r="P778" s="33" t="s">
        <v>2251</v>
      </c>
      <c r="Q778" s="33"/>
      <c r="R778" s="33" t="s">
        <v>2263</v>
      </c>
      <c r="S778" s="56" t="s">
        <v>2277</v>
      </c>
      <c r="T778" s="56"/>
      <c r="U778" s="56"/>
      <c r="V778" s="33" t="s">
        <v>8088</v>
      </c>
      <c r="W778" s="94" t="s">
        <v>2574</v>
      </c>
      <c r="X778" s="94" t="s">
        <v>2458</v>
      </c>
      <c r="Y778" s="51"/>
      <c r="Z778" s="51"/>
      <c r="AA778" s="33" t="s">
        <v>2459</v>
      </c>
      <c r="AB778" s="33" t="s">
        <v>2460</v>
      </c>
      <c r="AC778" s="33" t="s">
        <v>2486</v>
      </c>
      <c r="AD778" s="33" t="s">
        <v>2254</v>
      </c>
      <c r="AE778" s="33"/>
      <c r="AF778" s="33" t="s">
        <v>2267</v>
      </c>
      <c r="AG778" s="33" t="s">
        <v>2461</v>
      </c>
      <c r="AH778" s="33"/>
      <c r="AI778" s="33"/>
      <c r="AJ778" s="33" t="s">
        <v>8089</v>
      </c>
      <c r="AK778" s="94"/>
      <c r="AL778" s="33" t="s">
        <v>8090</v>
      </c>
      <c r="AM778" s="33"/>
      <c r="AN778" s="33" t="s">
        <v>2588</v>
      </c>
      <c r="AO778" s="51" t="s">
        <v>2589</v>
      </c>
      <c r="AP778" s="51" t="s">
        <v>207</v>
      </c>
      <c r="AQ778" s="33"/>
      <c r="AR778" s="54"/>
      <c r="AS778" s="54"/>
      <c r="AT778" s="54"/>
      <c r="AU778" s="54"/>
      <c r="AV778" s="54"/>
      <c r="AW778" s="54"/>
      <c r="AX778" s="54"/>
      <c r="AY778" s="54" t="s">
        <v>2269</v>
      </c>
      <c r="AZ778" s="54"/>
      <c r="BA778" s="54"/>
      <c r="BB778" s="54"/>
      <c r="BC778" s="54"/>
      <c r="BD778" s="54" t="s">
        <v>2447</v>
      </c>
      <c r="BE778" s="54"/>
      <c r="BF778" s="54"/>
      <c r="BG778" s="54"/>
      <c r="BH778" s="54"/>
      <c r="BI778" s="54"/>
      <c r="BJ778" s="0"/>
      <c r="BK778" s="0"/>
      <c r="BL778" s="0"/>
      <c r="BM778" s="0"/>
      <c r="BN778" s="0"/>
      <c r="BO778" s="0"/>
      <c r="BP778"/>
      <c r="BQ778"/>
      <c r="BR778"/>
      <c r="BS778"/>
      <c r="BT778"/>
      <c r="BU778"/>
      <c r="BV778"/>
      <c r="BW778"/>
      <c r="BX778"/>
      <c r="BY778"/>
      <c r="BZ778"/>
      <c r="CA778"/>
      <c r="CB778"/>
    </row>
    <row r="779" ht="15.0" customHeight="true">
      <c r="A779" s="51" t="s">
        <v>2448</v>
      </c>
      <c r="B779" s="33" t="s">
        <v>2358</v>
      </c>
      <c r="C779" s="33" t="s">
        <v>8091</v>
      </c>
      <c r="D779" s="33"/>
      <c r="E779" s="33" t="s">
        <v>8092</v>
      </c>
      <c r="F779" s="33"/>
      <c r="G779" s="55" t="s">
        <v>8093</v>
      </c>
      <c r="H779" s="33"/>
      <c r="I779" s="51" t="s">
        <v>8094</v>
      </c>
      <c r="J779" s="33"/>
      <c r="K779" s="51" t="s">
        <v>8095</v>
      </c>
      <c r="L779" s="33" t="s">
        <v>2454</v>
      </c>
      <c r="M779" s="55" t="s">
        <v>4745</v>
      </c>
      <c r="N779" s="55" t="s">
        <v>4745</v>
      </c>
      <c r="O779" s="33" t="s">
        <v>2276</v>
      </c>
      <c r="P779" s="33" t="s">
        <v>2251</v>
      </c>
      <c r="Q779" s="33"/>
      <c r="R779" s="33" t="s">
        <v>2263</v>
      </c>
      <c r="S779" s="56" t="s">
        <v>2277</v>
      </c>
      <c r="T779" s="56"/>
      <c r="U779" s="56"/>
      <c r="V779" s="33" t="s">
        <v>4745</v>
      </c>
      <c r="W779" s="94" t="s">
        <v>2574</v>
      </c>
      <c r="X779" s="94" t="s">
        <v>2474</v>
      </c>
      <c r="Y779" s="51"/>
      <c r="Z779" s="51"/>
      <c r="AA779" s="33" t="s">
        <v>2459</v>
      </c>
      <c r="AB779" s="33" t="s">
        <v>2460</v>
      </c>
      <c r="AC779" s="33" t="s">
        <v>2486</v>
      </c>
      <c r="AD779" s="33" t="s">
        <v>2254</v>
      </c>
      <c r="AE779" s="33"/>
      <c r="AF779" s="33" t="s">
        <v>2267</v>
      </c>
      <c r="AG779" s="33" t="s">
        <v>2461</v>
      </c>
      <c r="AH779" s="33"/>
      <c r="AI779" s="33"/>
      <c r="AJ779" s="33" t="s">
        <v>8096</v>
      </c>
      <c r="AK779" s="94"/>
      <c r="AL779" s="33" t="s">
        <v>8097</v>
      </c>
      <c r="AM779" s="33"/>
      <c r="AN779" s="33" t="s">
        <v>2465</v>
      </c>
      <c r="AO779" s="51" t="s">
        <v>2618</v>
      </c>
      <c r="AP779" s="51" t="s">
        <v>207</v>
      </c>
      <c r="AQ779" s="33"/>
      <c r="AR779" s="54"/>
      <c r="AS779" s="54"/>
      <c r="AT779" s="54"/>
      <c r="AU779" s="54"/>
      <c r="AV779" s="54"/>
      <c r="AW779" s="54"/>
      <c r="AX779" s="54"/>
      <c r="AY779" s="54" t="s">
        <v>2269</v>
      </c>
      <c r="AZ779" s="54"/>
      <c r="BA779" s="54" t="s">
        <v>3747</v>
      </c>
      <c r="BB779" s="54"/>
      <c r="BC779" s="54"/>
      <c r="BD779" s="54" t="s">
        <v>2447</v>
      </c>
      <c r="BE779" s="54"/>
      <c r="BF779" s="54"/>
      <c r="BG779" s="54"/>
      <c r="BH779" s="54"/>
      <c r="BI779" s="54"/>
      <c r="BJ779" s="0"/>
      <c r="BK779" s="0"/>
      <c r="BL779" s="0"/>
      <c r="BM779" s="0"/>
      <c r="BN779" s="0"/>
      <c r="BO779" s="0"/>
      <c r="BP779"/>
      <c r="BQ779"/>
      <c r="BR779"/>
      <c r="BS779"/>
      <c r="BT779"/>
      <c r="BU779"/>
      <c r="BV779"/>
      <c r="BW779"/>
      <c r="BX779"/>
      <c r="BY779"/>
      <c r="BZ779"/>
      <c r="CA779"/>
      <c r="CB779"/>
    </row>
    <row r="780" ht="15.0" customHeight="true">
      <c r="A780" s="51" t="s">
        <v>2448</v>
      </c>
      <c r="B780" s="33"/>
      <c r="C780" s="33" t="s">
        <v>4877</v>
      </c>
      <c r="D780" s="33"/>
      <c r="E780" s="33" t="s">
        <v>8098</v>
      </c>
      <c r="F780" s="33"/>
      <c r="G780" s="55" t="s">
        <v>3015</v>
      </c>
      <c r="H780" s="33"/>
      <c r="I780" s="51" t="s">
        <v>8099</v>
      </c>
      <c r="J780" s="33"/>
      <c r="K780" s="51" t="s">
        <v>8100</v>
      </c>
      <c r="L780" s="33" t="s">
        <v>2454</v>
      </c>
      <c r="M780" s="55" t="s">
        <v>3442</v>
      </c>
      <c r="N780" s="55" t="s">
        <v>5090</v>
      </c>
      <c r="O780" s="33" t="s">
        <v>2272</v>
      </c>
      <c r="P780" s="33" t="s">
        <v>2251</v>
      </c>
      <c r="Q780" s="33"/>
      <c r="R780" s="33" t="s">
        <v>2263</v>
      </c>
      <c r="S780" s="56" t="s">
        <v>2277</v>
      </c>
      <c r="T780" s="56"/>
      <c r="U780" s="56"/>
      <c r="V780" s="33" t="s">
        <v>2456</v>
      </c>
      <c r="W780" s="94" t="s">
        <v>2457</v>
      </c>
      <c r="X780" s="94" t="s">
        <v>2458</v>
      </c>
      <c r="Y780" s="51"/>
      <c r="Z780" s="51"/>
      <c r="AA780" s="33" t="s">
        <v>2459</v>
      </c>
      <c r="AB780" s="33" t="s">
        <v>2460</v>
      </c>
      <c r="AC780" s="33"/>
      <c r="AD780" s="33" t="s">
        <v>2254</v>
      </c>
      <c r="AE780" s="33"/>
      <c r="AF780" s="33" t="s">
        <v>2267</v>
      </c>
      <c r="AG780" s="33" t="s">
        <v>2461</v>
      </c>
      <c r="AH780" s="33"/>
      <c r="AI780" s="33"/>
      <c r="AJ780" s="33" t="s">
        <v>8101</v>
      </c>
      <c r="AK780" s="94"/>
      <c r="AL780" s="33" t="s">
        <v>8102</v>
      </c>
      <c r="AM780" s="33"/>
      <c r="AN780" s="33" t="s">
        <v>2465</v>
      </c>
      <c r="AO780" s="51" t="s">
        <v>2489</v>
      </c>
      <c r="AP780" s="51" t="s">
        <v>207</v>
      </c>
      <c r="AQ780" s="33"/>
      <c r="AR780" s="54"/>
      <c r="AS780" s="54"/>
      <c r="AT780" s="54"/>
      <c r="AU780" s="54"/>
      <c r="AV780" s="54"/>
      <c r="AW780" s="54"/>
      <c r="AX780" s="54"/>
      <c r="AY780" s="54"/>
      <c r="AZ780" s="54"/>
      <c r="BA780" s="54"/>
      <c r="BB780" s="54"/>
      <c r="BC780" s="54"/>
      <c r="BD780" s="54" t="s">
        <v>2447</v>
      </c>
      <c r="BE780" s="54"/>
      <c r="BF780" s="54"/>
      <c r="BG780" s="54"/>
      <c r="BH780" s="54"/>
      <c r="BI780" s="54"/>
      <c r="BJ780" s="0"/>
      <c r="BK780" s="0"/>
      <c r="BL780" s="0"/>
      <c r="BM780" s="0"/>
      <c r="BN780" s="0"/>
      <c r="BO780" s="0"/>
      <c r="BP780"/>
      <c r="BQ780"/>
      <c r="BR780"/>
      <c r="BS780"/>
      <c r="BT780"/>
      <c r="BU780"/>
      <c r="BV780"/>
      <c r="BW780"/>
      <c r="BX780"/>
      <c r="BY780"/>
      <c r="BZ780"/>
      <c r="CA780"/>
      <c r="CB780"/>
    </row>
    <row r="781" ht="15.0" customHeight="true">
      <c r="A781" s="51" t="s">
        <v>2448</v>
      </c>
      <c r="B781" s="33"/>
      <c r="C781" s="33" t="s">
        <v>4538</v>
      </c>
      <c r="D781" s="33"/>
      <c r="E781" s="33" t="s">
        <v>8103</v>
      </c>
      <c r="F781" s="33"/>
      <c r="G781" s="55" t="s">
        <v>8104</v>
      </c>
      <c r="H781" s="33"/>
      <c r="I781" s="51" t="s">
        <v>8105</v>
      </c>
      <c r="J781" s="33"/>
      <c r="K781" s="51" t="s">
        <v>8106</v>
      </c>
      <c r="L781" s="33" t="s">
        <v>2454</v>
      </c>
      <c r="M781" s="55" t="s">
        <v>3057</v>
      </c>
      <c r="N781" s="55" t="s">
        <v>3057</v>
      </c>
      <c r="O781" s="33" t="s">
        <v>2272</v>
      </c>
      <c r="P781" s="33" t="s">
        <v>2251</v>
      </c>
      <c r="Q781" s="33"/>
      <c r="R781" s="33" t="s">
        <v>2263</v>
      </c>
      <c r="S781" s="56" t="s">
        <v>2277</v>
      </c>
      <c r="T781" s="56"/>
      <c r="U781" s="56"/>
      <c r="V781" s="33" t="s">
        <v>2456</v>
      </c>
      <c r="W781" s="94" t="s">
        <v>2457</v>
      </c>
      <c r="X781" s="94" t="s">
        <v>2458</v>
      </c>
      <c r="Y781" s="51"/>
      <c r="Z781" s="51"/>
      <c r="AA781" s="33" t="s">
        <v>2459</v>
      </c>
      <c r="AB781" s="33" t="s">
        <v>2460</v>
      </c>
      <c r="AC781" s="33"/>
      <c r="AD781" s="33" t="s">
        <v>2254</v>
      </c>
      <c r="AE781" s="33"/>
      <c r="AF781" s="33" t="s">
        <v>2267</v>
      </c>
      <c r="AG781" s="33" t="s">
        <v>2461</v>
      </c>
      <c r="AH781" s="33"/>
      <c r="AI781" s="33"/>
      <c r="AJ781" s="33" t="s">
        <v>8107</v>
      </c>
      <c r="AK781" s="94"/>
      <c r="AL781" s="33" t="s">
        <v>8108</v>
      </c>
      <c r="AM781" s="33"/>
      <c r="AN781" s="33" t="s">
        <v>2701</v>
      </c>
      <c r="AO781" s="51" t="s">
        <v>2628</v>
      </c>
      <c r="AP781" s="51" t="s">
        <v>207</v>
      </c>
      <c r="AQ781" s="33"/>
      <c r="AR781" s="54"/>
      <c r="AS781" s="54"/>
      <c r="AT781" s="54"/>
      <c r="AU781" s="54"/>
      <c r="AV781" s="54"/>
      <c r="AW781" s="54"/>
      <c r="AX781" s="54"/>
      <c r="AY781" s="54"/>
      <c r="AZ781" s="54"/>
      <c r="BA781" s="54"/>
      <c r="BB781" s="54"/>
      <c r="BC781" s="54"/>
      <c r="BD781" s="54" t="s">
        <v>2447</v>
      </c>
      <c r="BE781" s="54"/>
      <c r="BF781" s="54"/>
      <c r="BG781" s="54"/>
      <c r="BH781" s="54"/>
      <c r="BI781" s="54"/>
      <c r="BJ781" s="0"/>
      <c r="BK781" s="0"/>
      <c r="BL781" s="0"/>
      <c r="BM781" s="0"/>
      <c r="BN781" s="0"/>
      <c r="BO781" s="0"/>
      <c r="BP781"/>
      <c r="BQ781"/>
      <c r="BR781"/>
      <c r="BS781"/>
      <c r="BT781"/>
      <c r="BU781"/>
      <c r="BV781"/>
      <c r="BW781"/>
      <c r="BX781"/>
      <c r="BY781"/>
      <c r="BZ781"/>
      <c r="CA781"/>
      <c r="CB781"/>
    </row>
    <row r="782" ht="15.0" customHeight="true">
      <c r="A782" s="51" t="s">
        <v>2448</v>
      </c>
      <c r="B782" s="33"/>
      <c r="C782" s="33" t="s">
        <v>8109</v>
      </c>
      <c r="D782" s="33"/>
      <c r="E782" s="33" t="s">
        <v>8110</v>
      </c>
      <c r="F782" s="33"/>
      <c r="G782" s="55" t="s">
        <v>8111</v>
      </c>
      <c r="H782" s="33"/>
      <c r="I782" s="51" t="s">
        <v>8112</v>
      </c>
      <c r="J782" s="33"/>
      <c r="K782" s="51" t="s">
        <v>8113</v>
      </c>
      <c r="L782" s="33" t="s">
        <v>2484</v>
      </c>
      <c r="M782" s="55" t="s">
        <v>2534</v>
      </c>
      <c r="N782" s="55"/>
      <c r="O782" s="33"/>
      <c r="P782" s="33" t="s">
        <v>2251</v>
      </c>
      <c r="Q782" s="33"/>
      <c r="R782" s="33" t="s">
        <v>2263</v>
      </c>
      <c r="S782" s="56" t="s">
        <v>2277</v>
      </c>
      <c r="T782" s="56"/>
      <c r="U782" s="56"/>
      <c r="V782" s="33" t="s">
        <v>2456</v>
      </c>
      <c r="W782" s="94" t="s">
        <v>2457</v>
      </c>
      <c r="X782" s="94" t="s">
        <v>2474</v>
      </c>
      <c r="Y782" s="51"/>
      <c r="Z782" s="51"/>
      <c r="AA782" s="33" t="s">
        <v>2459</v>
      </c>
      <c r="AB782" s="33" t="s">
        <v>2460</v>
      </c>
      <c r="AC782" s="33" t="s">
        <v>2486</v>
      </c>
      <c r="AD782" s="33" t="s">
        <v>2254</v>
      </c>
      <c r="AE782" s="33"/>
      <c r="AF782" s="33" t="s">
        <v>2267</v>
      </c>
      <c r="AG782" s="33" t="s">
        <v>2461</v>
      </c>
      <c r="AH782" s="33"/>
      <c r="AI782" s="33"/>
      <c r="AJ782" s="33" t="s">
        <v>8114</v>
      </c>
      <c r="AK782" s="94"/>
      <c r="AL782" s="33" t="s">
        <v>8115</v>
      </c>
      <c r="AM782" s="33"/>
      <c r="AN782" s="33" t="s">
        <v>2588</v>
      </c>
      <c r="AO782" s="51" t="s">
        <v>2589</v>
      </c>
      <c r="AP782" s="51" t="s">
        <v>207</v>
      </c>
      <c r="AQ782" s="33"/>
      <c r="AR782" s="54"/>
      <c r="AS782" s="54"/>
      <c r="AT782" s="54"/>
      <c r="AU782" s="54"/>
      <c r="AV782" s="54"/>
      <c r="AW782" s="54"/>
      <c r="AX782" s="54"/>
      <c r="AY782" s="54"/>
      <c r="AZ782" s="54"/>
      <c r="BA782" s="54"/>
      <c r="BB782" s="54"/>
      <c r="BC782" s="54"/>
      <c r="BD782" s="54" t="s">
        <v>2447</v>
      </c>
      <c r="BE782" s="54"/>
      <c r="BF782" s="54"/>
      <c r="BG782" s="54"/>
      <c r="BH782" s="54"/>
      <c r="BI782" s="54"/>
      <c r="BJ782" s="0"/>
      <c r="BK782" s="0"/>
      <c r="BL782" s="0"/>
      <c r="BM782" s="0"/>
      <c r="BN782" s="0"/>
      <c r="BO782" s="0"/>
      <c r="BP782"/>
      <c r="BQ782"/>
      <c r="BR782"/>
      <c r="BS782"/>
      <c r="BT782"/>
      <c r="BU782"/>
      <c r="BV782"/>
      <c r="BW782"/>
      <c r="BX782"/>
      <c r="BY782"/>
      <c r="BZ782"/>
      <c r="CA782"/>
      <c r="CB782"/>
    </row>
    <row r="783" ht="15.0" customHeight="true">
      <c r="A783" s="51" t="s">
        <v>2448</v>
      </c>
      <c r="B783" s="33"/>
      <c r="C783" s="33" t="s">
        <v>3328</v>
      </c>
      <c r="D783" s="33"/>
      <c r="E783" s="33" t="s">
        <v>8116</v>
      </c>
      <c r="F783" s="33"/>
      <c r="G783" s="55" t="s">
        <v>8117</v>
      </c>
      <c r="H783" s="33"/>
      <c r="I783" s="51" t="s">
        <v>8118</v>
      </c>
      <c r="J783" s="33"/>
      <c r="K783" s="51" t="s">
        <v>8119</v>
      </c>
      <c r="L783" s="33" t="s">
        <v>2454</v>
      </c>
      <c r="M783" s="55" t="s">
        <v>3710</v>
      </c>
      <c r="N783" s="55" t="s">
        <v>3710</v>
      </c>
      <c r="O783" s="33" t="s">
        <v>2272</v>
      </c>
      <c r="P783" s="33" t="s">
        <v>2251</v>
      </c>
      <c r="Q783" s="33"/>
      <c r="R783" s="33" t="s">
        <v>2263</v>
      </c>
      <c r="S783" s="56" t="s">
        <v>2277</v>
      </c>
      <c r="T783" s="56"/>
      <c r="U783" s="56"/>
      <c r="V783" s="33" t="s">
        <v>2456</v>
      </c>
      <c r="W783" s="94" t="s">
        <v>2457</v>
      </c>
      <c r="X783" s="94" t="s">
        <v>2458</v>
      </c>
      <c r="Y783" s="51"/>
      <c r="Z783" s="51"/>
      <c r="AA783" s="33" t="s">
        <v>2459</v>
      </c>
      <c r="AB783" s="33" t="s">
        <v>2460</v>
      </c>
      <c r="AC783" s="33"/>
      <c r="AD783" s="33" t="s">
        <v>2254</v>
      </c>
      <c r="AE783" s="33"/>
      <c r="AF783" s="33" t="s">
        <v>2267</v>
      </c>
      <c r="AG783" s="33" t="s">
        <v>2461</v>
      </c>
      <c r="AH783" s="33"/>
      <c r="AI783" s="33"/>
      <c r="AJ783" s="33" t="s">
        <v>8120</v>
      </c>
      <c r="AK783" s="94"/>
      <c r="AL783" s="33" t="s">
        <v>8121</v>
      </c>
      <c r="AM783" s="33"/>
      <c r="AN783" s="33" t="s">
        <v>2588</v>
      </c>
      <c r="AO783" s="51" t="s">
        <v>2589</v>
      </c>
      <c r="AP783" s="51" t="s">
        <v>207</v>
      </c>
      <c r="AQ783" s="33"/>
      <c r="AR783" s="54"/>
      <c r="AS783" s="54"/>
      <c r="AT783" s="54"/>
      <c r="AU783" s="54"/>
      <c r="AV783" s="54"/>
      <c r="AW783" s="54"/>
      <c r="AX783" s="54"/>
      <c r="AY783" s="54"/>
      <c r="AZ783" s="54"/>
      <c r="BA783" s="54"/>
      <c r="BB783" s="54"/>
      <c r="BC783" s="54"/>
      <c r="BD783" s="54" t="s">
        <v>2447</v>
      </c>
      <c r="BE783" s="54"/>
      <c r="BF783" s="54"/>
      <c r="BG783" s="54"/>
      <c r="BH783" s="54"/>
      <c r="BI783" s="54"/>
      <c r="BJ783" s="0"/>
      <c r="BK783" s="0"/>
      <c r="BL783" s="0"/>
      <c r="BM783" s="0"/>
      <c r="BN783" s="0"/>
      <c r="BO783" s="0"/>
      <c r="BP783"/>
      <c r="BQ783"/>
      <c r="BR783"/>
      <c r="BS783"/>
      <c r="BT783"/>
      <c r="BU783"/>
      <c r="BV783"/>
      <c r="BW783"/>
      <c r="BX783"/>
      <c r="BY783"/>
      <c r="BZ783"/>
      <c r="CA783"/>
      <c r="CB783"/>
    </row>
    <row r="784" ht="15.0" customHeight="true">
      <c r="A784" s="51" t="s">
        <v>2448</v>
      </c>
      <c r="B784" s="33"/>
      <c r="C784" s="33" t="s">
        <v>3137</v>
      </c>
      <c r="D784" s="33"/>
      <c r="E784" s="33" t="s">
        <v>3810</v>
      </c>
      <c r="F784" s="33"/>
      <c r="G784" s="55" t="s">
        <v>8122</v>
      </c>
      <c r="H784" s="33"/>
      <c r="I784" s="51" t="s">
        <v>8123</v>
      </c>
      <c r="J784" s="33"/>
      <c r="K784" s="51" t="s">
        <v>8124</v>
      </c>
      <c r="L784" s="33" t="s">
        <v>2484</v>
      </c>
      <c r="M784" s="55" t="s">
        <v>7270</v>
      </c>
      <c r="N784" s="55"/>
      <c r="O784" s="33"/>
      <c r="P784" s="33" t="s">
        <v>2251</v>
      </c>
      <c r="Q784" s="33"/>
      <c r="R784" s="33" t="s">
        <v>2263</v>
      </c>
      <c r="S784" s="56" t="s">
        <v>2277</v>
      </c>
      <c r="T784" s="56"/>
      <c r="U784" s="56"/>
      <c r="V784" s="33" t="s">
        <v>2456</v>
      </c>
      <c r="W784" s="94" t="s">
        <v>2457</v>
      </c>
      <c r="X784" s="94" t="s">
        <v>2474</v>
      </c>
      <c r="Y784" s="51"/>
      <c r="Z784" s="51"/>
      <c r="AA784" s="33" t="s">
        <v>2459</v>
      </c>
      <c r="AB784" s="33" t="s">
        <v>2460</v>
      </c>
      <c r="AC784" s="33" t="s">
        <v>2486</v>
      </c>
      <c r="AD784" s="33" t="s">
        <v>2254</v>
      </c>
      <c r="AE784" s="33"/>
      <c r="AF784" s="33" t="s">
        <v>2267</v>
      </c>
      <c r="AG784" s="33" t="s">
        <v>2461</v>
      </c>
      <c r="AH784" s="33"/>
      <c r="AI784" s="33"/>
      <c r="AJ784" s="33" t="s">
        <v>8125</v>
      </c>
      <c r="AK784" s="94"/>
      <c r="AL784" s="33" t="s">
        <v>6176</v>
      </c>
      <c r="AM784" s="33" t="s">
        <v>8126</v>
      </c>
      <c r="AN784" s="33" t="s">
        <v>2465</v>
      </c>
      <c r="AO784" s="51" t="s">
        <v>2538</v>
      </c>
      <c r="AP784" s="51" t="s">
        <v>207</v>
      </c>
      <c r="AQ784" s="33"/>
      <c r="AR784" s="54"/>
      <c r="AS784" s="54"/>
      <c r="AT784" s="54"/>
      <c r="AU784" s="54"/>
      <c r="AV784" s="54"/>
      <c r="AW784" s="54"/>
      <c r="AX784" s="54"/>
      <c r="AY784" s="54"/>
      <c r="AZ784" s="54"/>
      <c r="BA784" s="54"/>
      <c r="BB784" s="54"/>
      <c r="BC784" s="54"/>
      <c r="BD784" s="54" t="s">
        <v>2447</v>
      </c>
      <c r="BE784" s="54"/>
      <c r="BF784" s="54"/>
      <c r="BG784" s="54"/>
      <c r="BH784" s="54"/>
      <c r="BI784" s="54"/>
      <c r="BJ784" s="0"/>
      <c r="BK784" s="0"/>
      <c r="BL784" s="0"/>
      <c r="BM784" s="0"/>
      <c r="BN784" s="0"/>
      <c r="BO784" s="0"/>
      <c r="BP784"/>
      <c r="BQ784"/>
      <c r="BR784"/>
      <c r="BS784"/>
      <c r="BT784"/>
      <c r="BU784"/>
      <c r="BV784"/>
      <c r="BW784"/>
      <c r="BX784"/>
      <c r="BY784"/>
      <c r="BZ784"/>
      <c r="CA784"/>
      <c r="CB784"/>
    </row>
    <row r="785" ht="15.0" customHeight="true">
      <c r="A785" s="51" t="s">
        <v>2448</v>
      </c>
      <c r="B785" s="33"/>
      <c r="C785" s="33" t="s">
        <v>3867</v>
      </c>
      <c r="D785" s="33"/>
      <c r="E785" s="33" t="s">
        <v>8127</v>
      </c>
      <c r="F785" s="33"/>
      <c r="G785" s="55" t="s">
        <v>8128</v>
      </c>
      <c r="H785" s="33"/>
      <c r="I785" s="51" t="s">
        <v>8129</v>
      </c>
      <c r="J785" s="33"/>
      <c r="K785" s="51" t="s">
        <v>8130</v>
      </c>
      <c r="L785" s="33" t="s">
        <v>2484</v>
      </c>
      <c r="M785" s="55" t="s">
        <v>6383</v>
      </c>
      <c r="N785" s="55"/>
      <c r="O785" s="33"/>
      <c r="P785" s="33" t="s">
        <v>2251</v>
      </c>
      <c r="Q785" s="33"/>
      <c r="R785" s="33" t="s">
        <v>2263</v>
      </c>
      <c r="S785" s="56" t="s">
        <v>2277</v>
      </c>
      <c r="T785" s="56"/>
      <c r="U785" s="56"/>
      <c r="V785" s="33" t="s">
        <v>2456</v>
      </c>
      <c r="W785" s="94" t="s">
        <v>2457</v>
      </c>
      <c r="X785" s="94" t="s">
        <v>2474</v>
      </c>
      <c r="Y785" s="51"/>
      <c r="Z785" s="51"/>
      <c r="AA785" s="33" t="s">
        <v>2459</v>
      </c>
      <c r="AB785" s="33" t="s">
        <v>2460</v>
      </c>
      <c r="AC785" s="33" t="s">
        <v>2486</v>
      </c>
      <c r="AD785" s="33" t="s">
        <v>2254</v>
      </c>
      <c r="AE785" s="33"/>
      <c r="AF785" s="33" t="s">
        <v>2267</v>
      </c>
      <c r="AG785" s="33" t="s">
        <v>2461</v>
      </c>
      <c r="AH785" s="33"/>
      <c r="AI785" s="33"/>
      <c r="AJ785" s="33" t="s">
        <v>8131</v>
      </c>
      <c r="AK785" s="94"/>
      <c r="AL785" s="33" t="s">
        <v>8132</v>
      </c>
      <c r="AM785" s="33"/>
      <c r="AN785" s="33" t="s">
        <v>2465</v>
      </c>
      <c r="AO785" s="51" t="s">
        <v>4150</v>
      </c>
      <c r="AP785" s="51" t="s">
        <v>207</v>
      </c>
      <c r="AQ785" s="33"/>
      <c r="AR785" s="54"/>
      <c r="AS785" s="54"/>
      <c r="AT785" s="54"/>
      <c r="AU785" s="54"/>
      <c r="AV785" s="54"/>
      <c r="AW785" s="54"/>
      <c r="AX785" s="54"/>
      <c r="AY785" s="54"/>
      <c r="AZ785" s="54"/>
      <c r="BA785" s="54"/>
      <c r="BB785" s="54"/>
      <c r="BC785" s="54"/>
      <c r="BD785" s="54" t="s">
        <v>2447</v>
      </c>
      <c r="BE785" s="54"/>
      <c r="BF785" s="54"/>
      <c r="BG785" s="54"/>
      <c r="BH785" s="54"/>
      <c r="BI785" s="54"/>
      <c r="BJ785" s="0"/>
      <c r="BK785" s="0"/>
      <c r="BL785" s="0"/>
      <c r="BM785" s="0"/>
      <c r="BN785" s="0"/>
      <c r="BO785" s="0"/>
      <c r="BP785"/>
      <c r="BQ785"/>
      <c r="BR785"/>
      <c r="BS785"/>
      <c r="BT785"/>
      <c r="BU785"/>
      <c r="BV785"/>
      <c r="BW785"/>
      <c r="BX785"/>
      <c r="BY785"/>
      <c r="BZ785"/>
      <c r="CA785"/>
      <c r="CB785"/>
    </row>
    <row r="786" ht="15.0" customHeight="true">
      <c r="A786" s="51" t="s">
        <v>2448</v>
      </c>
      <c r="B786" s="33"/>
      <c r="C786" s="33" t="s">
        <v>3228</v>
      </c>
      <c r="D786" s="33"/>
      <c r="E786" s="33" t="s">
        <v>3641</v>
      </c>
      <c r="F786" s="33"/>
      <c r="G786" s="55" t="s">
        <v>8133</v>
      </c>
      <c r="H786" s="33"/>
      <c r="I786" s="51" t="s">
        <v>8134</v>
      </c>
      <c r="J786" s="33"/>
      <c r="K786" s="51" t="s">
        <v>8135</v>
      </c>
      <c r="L786" s="33" t="s">
        <v>2484</v>
      </c>
      <c r="M786" s="55" t="s">
        <v>6441</v>
      </c>
      <c r="N786" s="55"/>
      <c r="O786" s="33"/>
      <c r="P786" s="33" t="s">
        <v>2251</v>
      </c>
      <c r="Q786" s="33"/>
      <c r="R786" s="33" t="s">
        <v>2263</v>
      </c>
      <c r="S786" s="56" t="s">
        <v>2277</v>
      </c>
      <c r="T786" s="56"/>
      <c r="U786" s="56"/>
      <c r="V786" s="33" t="s">
        <v>2456</v>
      </c>
      <c r="W786" s="94" t="s">
        <v>2457</v>
      </c>
      <c r="X786" s="94" t="s">
        <v>2474</v>
      </c>
      <c r="Y786" s="51"/>
      <c r="Z786" s="51"/>
      <c r="AA786" s="33" t="s">
        <v>2459</v>
      </c>
      <c r="AB786" s="33" t="s">
        <v>2460</v>
      </c>
      <c r="AC786" s="33" t="s">
        <v>2486</v>
      </c>
      <c r="AD786" s="33" t="s">
        <v>2254</v>
      </c>
      <c r="AE786" s="33"/>
      <c r="AF786" s="33" t="s">
        <v>2267</v>
      </c>
      <c r="AG786" s="33" t="s">
        <v>2461</v>
      </c>
      <c r="AH786" s="33"/>
      <c r="AI786" s="33"/>
      <c r="AJ786" s="33" t="s">
        <v>8136</v>
      </c>
      <c r="AK786" s="94"/>
      <c r="AL786" s="33" t="s">
        <v>8137</v>
      </c>
      <c r="AM786" s="33" t="s">
        <v>8138</v>
      </c>
      <c r="AN786" s="33" t="s">
        <v>2577</v>
      </c>
      <c r="AO786" s="51" t="s">
        <v>2578</v>
      </c>
      <c r="AP786" s="51" t="s">
        <v>207</v>
      </c>
      <c r="AQ786" s="33"/>
      <c r="AR786" s="54"/>
      <c r="AS786" s="54"/>
      <c r="AT786" s="54"/>
      <c r="AU786" s="54"/>
      <c r="AV786" s="54"/>
      <c r="AW786" s="54"/>
      <c r="AX786" s="54"/>
      <c r="AY786" s="54"/>
      <c r="AZ786" s="54"/>
      <c r="BA786" s="54"/>
      <c r="BB786" s="54"/>
      <c r="BC786" s="54"/>
      <c r="BD786" s="54" t="s">
        <v>2447</v>
      </c>
      <c r="BE786" s="54"/>
      <c r="BF786" s="54"/>
      <c r="BG786" s="54"/>
      <c r="BH786" s="54"/>
      <c r="BI786" s="54"/>
      <c r="BJ786" s="0"/>
      <c r="BK786" s="0"/>
      <c r="BL786" s="0"/>
      <c r="BM786" s="0"/>
      <c r="BN786" s="0"/>
      <c r="BO786" s="0"/>
      <c r="BP786"/>
      <c r="BQ786"/>
      <c r="BR786"/>
      <c r="BS786"/>
      <c r="BT786"/>
      <c r="BU786"/>
      <c r="BV786"/>
      <c r="BW786"/>
      <c r="BX786"/>
      <c r="BY786"/>
      <c r="BZ786"/>
      <c r="CA786"/>
      <c r="CB786"/>
    </row>
    <row r="787" ht="15.0" customHeight="true">
      <c r="A787" s="51" t="s">
        <v>2448</v>
      </c>
      <c r="B787" s="33"/>
      <c r="C787" s="33" t="s">
        <v>3925</v>
      </c>
      <c r="D787" s="33"/>
      <c r="E787" s="33" t="s">
        <v>8139</v>
      </c>
      <c r="F787" s="33"/>
      <c r="G787" s="55" t="s">
        <v>8140</v>
      </c>
      <c r="H787" s="33"/>
      <c r="I787" s="51" t="s">
        <v>8141</v>
      </c>
      <c r="J787" s="33"/>
      <c r="K787" s="51" t="s">
        <v>8142</v>
      </c>
      <c r="L787" s="33" t="s">
        <v>2454</v>
      </c>
      <c r="M787" s="55" t="s">
        <v>3249</v>
      </c>
      <c r="N787" s="55" t="s">
        <v>4095</v>
      </c>
      <c r="O787" s="33" t="s">
        <v>2272</v>
      </c>
      <c r="P787" s="33" t="s">
        <v>2251</v>
      </c>
      <c r="Q787" s="33"/>
      <c r="R787" s="33" t="s">
        <v>2263</v>
      </c>
      <c r="S787" s="56" t="s">
        <v>2277</v>
      </c>
      <c r="T787" s="56"/>
      <c r="U787" s="56"/>
      <c r="V787" s="33" t="s">
        <v>2456</v>
      </c>
      <c r="W787" s="94" t="s">
        <v>2457</v>
      </c>
      <c r="X787" s="94" t="s">
        <v>2458</v>
      </c>
      <c r="Y787" s="51"/>
      <c r="Z787" s="51"/>
      <c r="AA787" s="33" t="s">
        <v>2459</v>
      </c>
      <c r="AB787" s="33" t="s">
        <v>2460</v>
      </c>
      <c r="AC787" s="33"/>
      <c r="AD787" s="33" t="s">
        <v>2254</v>
      </c>
      <c r="AE787" s="33"/>
      <c r="AF787" s="33" t="s">
        <v>2267</v>
      </c>
      <c r="AG787" s="33" t="s">
        <v>2461</v>
      </c>
      <c r="AH787" s="33"/>
      <c r="AI787" s="33"/>
      <c r="AJ787" s="33" t="s">
        <v>8143</v>
      </c>
      <c r="AK787" s="94"/>
      <c r="AL787" s="33" t="s">
        <v>8144</v>
      </c>
      <c r="AM787" s="33"/>
      <c r="AN787" s="33" t="s">
        <v>2577</v>
      </c>
      <c r="AO787" s="51" t="s">
        <v>2578</v>
      </c>
      <c r="AP787" s="51" t="s">
        <v>207</v>
      </c>
      <c r="AQ787" s="33"/>
      <c r="AR787" s="54"/>
      <c r="AS787" s="54"/>
      <c r="AT787" s="54"/>
      <c r="AU787" s="54"/>
      <c r="AV787" s="54"/>
      <c r="AW787" s="54"/>
      <c r="AX787" s="54"/>
      <c r="AY787" s="54"/>
      <c r="AZ787" s="54"/>
      <c r="BA787" s="54"/>
      <c r="BB787" s="54"/>
      <c r="BC787" s="54"/>
      <c r="BD787" s="54" t="s">
        <v>2447</v>
      </c>
      <c r="BE787" s="54"/>
      <c r="BF787" s="54"/>
      <c r="BG787" s="54"/>
      <c r="BH787" s="54"/>
      <c r="BI787" s="54"/>
      <c r="BJ787" s="0"/>
      <c r="BK787" s="0"/>
      <c r="BL787" s="0"/>
      <c r="BM787" s="0"/>
      <c r="BN787" s="0"/>
      <c r="BO787" s="0"/>
      <c r="BP787"/>
      <c r="BQ787"/>
      <c r="BR787"/>
      <c r="BS787"/>
      <c r="BT787"/>
      <c r="BU787"/>
      <c r="BV787"/>
      <c r="BW787"/>
      <c r="BX787"/>
      <c r="BY787"/>
      <c r="BZ787"/>
      <c r="CA787"/>
      <c r="CB787"/>
    </row>
    <row r="788" ht="15.0" customHeight="true">
      <c r="A788" s="51" t="s">
        <v>2448</v>
      </c>
      <c r="B788" s="33"/>
      <c r="C788" s="33" t="s">
        <v>2887</v>
      </c>
      <c r="D788" s="33"/>
      <c r="E788" s="33" t="s">
        <v>8145</v>
      </c>
      <c r="F788" s="33"/>
      <c r="G788" s="55" t="s">
        <v>8146</v>
      </c>
      <c r="H788" s="33"/>
      <c r="I788" s="51" t="s">
        <v>8147</v>
      </c>
      <c r="J788" s="33"/>
      <c r="K788" s="51" t="s">
        <v>8148</v>
      </c>
      <c r="L788" s="33" t="s">
        <v>2454</v>
      </c>
      <c r="M788" s="55" t="s">
        <v>3203</v>
      </c>
      <c r="N788" s="55" t="s">
        <v>8149</v>
      </c>
      <c r="O788" s="33" t="s">
        <v>2272</v>
      </c>
      <c r="P788" s="33" t="s">
        <v>2251</v>
      </c>
      <c r="Q788" s="33"/>
      <c r="R788" s="33" t="s">
        <v>2263</v>
      </c>
      <c r="S788" s="56" t="s">
        <v>2277</v>
      </c>
      <c r="T788" s="56"/>
      <c r="U788" s="56"/>
      <c r="V788" s="33" t="s">
        <v>2456</v>
      </c>
      <c r="W788" s="94" t="s">
        <v>2457</v>
      </c>
      <c r="X788" s="94" t="s">
        <v>2458</v>
      </c>
      <c r="Y788" s="51"/>
      <c r="Z788" s="51"/>
      <c r="AA788" s="33" t="s">
        <v>2459</v>
      </c>
      <c r="AB788" s="33" t="s">
        <v>2460</v>
      </c>
      <c r="AC788" s="33"/>
      <c r="AD788" s="33" t="s">
        <v>2254</v>
      </c>
      <c r="AE788" s="33"/>
      <c r="AF788" s="33" t="s">
        <v>2267</v>
      </c>
      <c r="AG788" s="33" t="s">
        <v>2461</v>
      </c>
      <c r="AH788" s="33"/>
      <c r="AI788" s="33"/>
      <c r="AJ788" s="33" t="s">
        <v>8150</v>
      </c>
      <c r="AK788" s="94"/>
      <c r="AL788" s="33" t="s">
        <v>8151</v>
      </c>
      <c r="AM788" s="33"/>
      <c r="AN788" s="33" t="s">
        <v>2701</v>
      </c>
      <c r="AO788" s="51" t="s">
        <v>2702</v>
      </c>
      <c r="AP788" s="51" t="s">
        <v>207</v>
      </c>
      <c r="AQ788" s="33"/>
      <c r="AR788" s="54"/>
      <c r="AS788" s="54"/>
      <c r="AT788" s="54"/>
      <c r="AU788" s="54"/>
      <c r="AV788" s="54"/>
      <c r="AW788" s="54"/>
      <c r="AX788" s="54"/>
      <c r="AY788" s="54"/>
      <c r="AZ788" s="54"/>
      <c r="BA788" s="54"/>
      <c r="BB788" s="54"/>
      <c r="BC788" s="54"/>
      <c r="BD788" s="54" t="s">
        <v>2447</v>
      </c>
      <c r="BE788" s="54"/>
      <c r="BF788" s="54"/>
      <c r="BG788" s="54"/>
      <c r="BH788" s="54"/>
      <c r="BI788" s="54"/>
      <c r="BJ788" s="0"/>
      <c r="BK788" s="0"/>
      <c r="BL788" s="0"/>
      <c r="BM788" s="0"/>
      <c r="BN788" s="0"/>
      <c r="BO788" s="0"/>
      <c r="BP788"/>
      <c r="BQ788"/>
      <c r="BR788"/>
      <c r="BS788"/>
      <c r="BT788"/>
      <c r="BU788"/>
      <c r="BV788"/>
      <c r="BW788"/>
      <c r="BX788"/>
      <c r="BY788"/>
      <c r="BZ788"/>
      <c r="CA788"/>
      <c r="CB788"/>
    </row>
    <row r="789" ht="15.0" customHeight="true">
      <c r="A789" s="51" t="s">
        <v>2448</v>
      </c>
      <c r="B789" s="33"/>
      <c r="C789" s="33" t="s">
        <v>8152</v>
      </c>
      <c r="D789" s="33"/>
      <c r="E789" s="33" t="s">
        <v>8153</v>
      </c>
      <c r="F789" s="33"/>
      <c r="G789" s="55" t="s">
        <v>8154</v>
      </c>
      <c r="H789" s="33"/>
      <c r="I789" s="51" t="s">
        <v>8155</v>
      </c>
      <c r="J789" s="33"/>
      <c r="K789" s="51" t="s">
        <v>8156</v>
      </c>
      <c r="L789" s="33" t="s">
        <v>2454</v>
      </c>
      <c r="M789" s="55" t="s">
        <v>3074</v>
      </c>
      <c r="N789" s="55" t="s">
        <v>3074</v>
      </c>
      <c r="O789" s="33" t="s">
        <v>2272</v>
      </c>
      <c r="P789" s="33" t="s">
        <v>2251</v>
      </c>
      <c r="Q789" s="33"/>
      <c r="R789" s="33" t="s">
        <v>2263</v>
      </c>
      <c r="S789" s="56" t="s">
        <v>2277</v>
      </c>
      <c r="T789" s="56"/>
      <c r="U789" s="56"/>
      <c r="V789" s="33" t="s">
        <v>2456</v>
      </c>
      <c r="W789" s="94" t="s">
        <v>2457</v>
      </c>
      <c r="X789" s="94" t="s">
        <v>2458</v>
      </c>
      <c r="Y789" s="51"/>
      <c r="Z789" s="51"/>
      <c r="AA789" s="33" t="s">
        <v>2459</v>
      </c>
      <c r="AB789" s="33" t="s">
        <v>2460</v>
      </c>
      <c r="AC789" s="33"/>
      <c r="AD789" s="33" t="s">
        <v>2254</v>
      </c>
      <c r="AE789" s="33"/>
      <c r="AF789" s="33" t="s">
        <v>2267</v>
      </c>
      <c r="AG789" s="33" t="s">
        <v>2461</v>
      </c>
      <c r="AH789" s="33"/>
      <c r="AI789" s="33"/>
      <c r="AJ789" s="33" t="s">
        <v>8157</v>
      </c>
      <c r="AK789" s="94"/>
      <c r="AL789" s="33" t="s">
        <v>8158</v>
      </c>
      <c r="AM789" s="33"/>
      <c r="AN789" s="33" t="s">
        <v>2588</v>
      </c>
      <c r="AO789" s="51" t="s">
        <v>2589</v>
      </c>
      <c r="AP789" s="51" t="s">
        <v>207</v>
      </c>
      <c r="AQ789" s="33"/>
      <c r="AR789" s="54"/>
      <c r="AS789" s="54"/>
      <c r="AT789" s="54"/>
      <c r="AU789" s="54"/>
      <c r="AV789" s="54"/>
      <c r="AW789" s="54"/>
      <c r="AX789" s="54"/>
      <c r="AY789" s="54"/>
      <c r="AZ789" s="54"/>
      <c r="BA789" s="54"/>
      <c r="BB789" s="54"/>
      <c r="BC789" s="54"/>
      <c r="BD789" s="54" t="s">
        <v>2447</v>
      </c>
      <c r="BE789" s="54"/>
      <c r="BF789" s="54"/>
      <c r="BG789" s="54"/>
      <c r="BH789" s="54"/>
      <c r="BI789" s="54"/>
      <c r="BJ789" s="0"/>
      <c r="BK789" s="0"/>
      <c r="BL789" s="0"/>
      <c r="BM789" s="0"/>
      <c r="BN789" s="0"/>
      <c r="BO789" s="0"/>
      <c r="BP789"/>
      <c r="BQ789"/>
      <c r="BR789"/>
      <c r="BS789"/>
      <c r="BT789"/>
      <c r="BU789"/>
      <c r="BV789"/>
      <c r="BW789"/>
      <c r="BX789"/>
      <c r="BY789"/>
      <c r="BZ789"/>
      <c r="CA789"/>
      <c r="CB789"/>
    </row>
    <row r="790" ht="15.0" customHeight="true">
      <c r="A790" s="51" t="s">
        <v>2448</v>
      </c>
      <c r="B790" s="33"/>
      <c r="C790" s="33" t="s">
        <v>8159</v>
      </c>
      <c r="D790" s="33" t="s">
        <v>8160</v>
      </c>
      <c r="E790" s="33" t="s">
        <v>8161</v>
      </c>
      <c r="F790" s="33"/>
      <c r="G790" s="55" t="s">
        <v>8162</v>
      </c>
      <c r="H790" s="33"/>
      <c r="I790" s="51" t="s">
        <v>8163</v>
      </c>
      <c r="J790" s="33"/>
      <c r="K790" s="51" t="s">
        <v>8164</v>
      </c>
      <c r="L790" s="33" t="s">
        <v>2454</v>
      </c>
      <c r="M790" s="55" t="s">
        <v>4455</v>
      </c>
      <c r="N790" s="55" t="s">
        <v>8165</v>
      </c>
      <c r="O790" s="33" t="s">
        <v>2276</v>
      </c>
      <c r="P790" s="33" t="s">
        <v>2251</v>
      </c>
      <c r="Q790" s="33"/>
      <c r="R790" s="33" t="s">
        <v>2263</v>
      </c>
      <c r="S790" s="56" t="s">
        <v>2277</v>
      </c>
      <c r="T790" s="56"/>
      <c r="U790" s="56"/>
      <c r="V790" s="33" t="s">
        <v>4455</v>
      </c>
      <c r="W790" s="94" t="s">
        <v>2574</v>
      </c>
      <c r="X790" s="94" t="s">
        <v>2458</v>
      </c>
      <c r="Y790" s="51"/>
      <c r="Z790" s="51"/>
      <c r="AA790" s="33" t="s">
        <v>2459</v>
      </c>
      <c r="AB790" s="33" t="s">
        <v>2460</v>
      </c>
      <c r="AC790" s="33" t="s">
        <v>2486</v>
      </c>
      <c r="AD790" s="33" t="s">
        <v>2254</v>
      </c>
      <c r="AE790" s="33"/>
      <c r="AF790" s="33" t="s">
        <v>2267</v>
      </c>
      <c r="AG790" s="33" t="s">
        <v>2461</v>
      </c>
      <c r="AH790" s="33"/>
      <c r="AI790" s="33"/>
      <c r="AJ790" s="33" t="s">
        <v>8166</v>
      </c>
      <c r="AK790" s="94"/>
      <c r="AL790" s="33" t="s">
        <v>8167</v>
      </c>
      <c r="AM790" s="33"/>
      <c r="AN790" s="33" t="s">
        <v>2465</v>
      </c>
      <c r="AO790" s="51" t="s">
        <v>2538</v>
      </c>
      <c r="AP790" s="51" t="s">
        <v>207</v>
      </c>
      <c r="AQ790" s="33"/>
      <c r="AR790" s="54"/>
      <c r="AS790" s="54"/>
      <c r="AT790" s="54"/>
      <c r="AU790" s="54"/>
      <c r="AV790" s="54"/>
      <c r="AW790" s="54"/>
      <c r="AX790" s="54"/>
      <c r="AY790" s="54" t="s">
        <v>2269</v>
      </c>
      <c r="AZ790" s="54"/>
      <c r="BA790" s="54"/>
      <c r="BB790" s="54"/>
      <c r="BC790" s="54"/>
      <c r="BD790" s="54" t="s">
        <v>2447</v>
      </c>
      <c r="BE790" s="54"/>
      <c r="BF790" s="54"/>
      <c r="BG790" s="54"/>
      <c r="BH790" s="54"/>
      <c r="BI790" s="54"/>
      <c r="BJ790" s="0"/>
      <c r="BK790" s="0"/>
      <c r="BL790" s="0"/>
      <c r="BM790" s="0"/>
      <c r="BN790" s="0"/>
      <c r="BO790" s="0"/>
      <c r="BP790"/>
      <c r="BQ790"/>
      <c r="BR790"/>
      <c r="BS790"/>
      <c r="BT790"/>
      <c r="BU790"/>
      <c r="BV790"/>
      <c r="BW790"/>
      <c r="BX790"/>
      <c r="BY790"/>
      <c r="BZ790"/>
      <c r="CA790"/>
      <c r="CB790"/>
    </row>
    <row r="791" ht="15.0" customHeight="true">
      <c r="A791" s="51" t="s">
        <v>2448</v>
      </c>
      <c r="B791" s="33"/>
      <c r="C791" s="33" t="s">
        <v>5711</v>
      </c>
      <c r="D791" s="33"/>
      <c r="E791" s="33" t="s">
        <v>8168</v>
      </c>
      <c r="F791" s="33"/>
      <c r="G791" s="55" t="s">
        <v>8169</v>
      </c>
      <c r="H791" s="33"/>
      <c r="I791" s="51" t="s">
        <v>8170</v>
      </c>
      <c r="J791" s="33"/>
      <c r="K791" s="51" t="s">
        <v>8171</v>
      </c>
      <c r="L791" s="33" t="s">
        <v>2454</v>
      </c>
      <c r="M791" s="55" t="s">
        <v>2927</v>
      </c>
      <c r="N791" s="55" t="s">
        <v>6325</v>
      </c>
      <c r="O791" s="33" t="s">
        <v>2276</v>
      </c>
      <c r="P791" s="33" t="s">
        <v>2251</v>
      </c>
      <c r="Q791" s="33"/>
      <c r="R791" s="33" t="s">
        <v>2263</v>
      </c>
      <c r="S791" s="56" t="s">
        <v>2277</v>
      </c>
      <c r="T791" s="56"/>
      <c r="U791" s="56"/>
      <c r="V791" s="33" t="s">
        <v>2927</v>
      </c>
      <c r="W791" s="94" t="s">
        <v>2574</v>
      </c>
      <c r="X791" s="94" t="s">
        <v>2458</v>
      </c>
      <c r="Y791" s="51"/>
      <c r="Z791" s="51"/>
      <c r="AA791" s="33" t="s">
        <v>2459</v>
      </c>
      <c r="AB791" s="33" t="s">
        <v>2460</v>
      </c>
      <c r="AC791" s="33" t="s">
        <v>2486</v>
      </c>
      <c r="AD791" s="33" t="s">
        <v>2254</v>
      </c>
      <c r="AE791" s="33"/>
      <c r="AF791" s="33" t="s">
        <v>2267</v>
      </c>
      <c r="AG791" s="33" t="s">
        <v>2461</v>
      </c>
      <c r="AH791" s="33"/>
      <c r="AI791" s="33"/>
      <c r="AJ791" s="33" t="s">
        <v>8172</v>
      </c>
      <c r="AK791" s="94"/>
      <c r="AL791" s="33" t="s">
        <v>3003</v>
      </c>
      <c r="AM791" s="33" t="s">
        <v>8173</v>
      </c>
      <c r="AN791" s="33" t="s">
        <v>2465</v>
      </c>
      <c r="AO791" s="51" t="s">
        <v>2673</v>
      </c>
      <c r="AP791" s="51" t="s">
        <v>207</v>
      </c>
      <c r="AQ791" s="33"/>
      <c r="AR791" s="54"/>
      <c r="AS791" s="54"/>
      <c r="AT791" s="54"/>
      <c r="AU791" s="54"/>
      <c r="AV791" s="54"/>
      <c r="AW791" s="54"/>
      <c r="AX791" s="54"/>
      <c r="AY791" s="54" t="s">
        <v>2269</v>
      </c>
      <c r="AZ791" s="54"/>
      <c r="BA791" s="54" t="s">
        <v>3747</v>
      </c>
      <c r="BB791" s="54"/>
      <c r="BC791" s="54"/>
      <c r="BD791" s="54" t="s">
        <v>2447</v>
      </c>
      <c r="BE791" s="54"/>
      <c r="BF791" s="54"/>
      <c r="BG791" s="54"/>
      <c r="BH791" s="54"/>
      <c r="BI791" s="54"/>
      <c r="BJ791" s="0"/>
      <c r="BK791" s="0"/>
      <c r="BL791" s="0"/>
      <c r="BM791" s="0"/>
      <c r="BN791" s="0"/>
      <c r="BO791" s="0"/>
      <c r="BP791"/>
      <c r="BQ791"/>
      <c r="BR791"/>
      <c r="BS791"/>
      <c r="BT791"/>
      <c r="BU791"/>
      <c r="BV791"/>
      <c r="BW791"/>
      <c r="BX791"/>
      <c r="BY791"/>
      <c r="BZ791"/>
      <c r="CA791"/>
      <c r="CB791"/>
    </row>
    <row r="792" ht="15.0" customHeight="true">
      <c r="A792" s="51" t="s">
        <v>2448</v>
      </c>
      <c r="B792" s="33"/>
      <c r="C792" s="33" t="s">
        <v>8174</v>
      </c>
      <c r="D792" s="33"/>
      <c r="E792" s="33" t="s">
        <v>8175</v>
      </c>
      <c r="F792" s="33"/>
      <c r="G792" s="55" t="s">
        <v>8176</v>
      </c>
      <c r="H792" s="33"/>
      <c r="I792" s="51" t="s">
        <v>8177</v>
      </c>
      <c r="J792" s="33"/>
      <c r="K792" s="51" t="s">
        <v>8178</v>
      </c>
      <c r="L792" s="33" t="s">
        <v>2454</v>
      </c>
      <c r="M792" s="55" t="s">
        <v>5919</v>
      </c>
      <c r="N792" s="55" t="s">
        <v>5307</v>
      </c>
      <c r="O792" s="33" t="s">
        <v>2272</v>
      </c>
      <c r="P792" s="33" t="s">
        <v>2251</v>
      </c>
      <c r="Q792" s="33"/>
      <c r="R792" s="33" t="s">
        <v>2263</v>
      </c>
      <c r="S792" s="56" t="s">
        <v>2277</v>
      </c>
      <c r="T792" s="56"/>
      <c r="U792" s="56"/>
      <c r="V792" s="33" t="s">
        <v>2456</v>
      </c>
      <c r="W792" s="94" t="s">
        <v>2457</v>
      </c>
      <c r="X792" s="94" t="s">
        <v>2474</v>
      </c>
      <c r="Y792" s="51"/>
      <c r="Z792" s="51"/>
      <c r="AA792" s="33" t="s">
        <v>2459</v>
      </c>
      <c r="AB792" s="33" t="s">
        <v>2460</v>
      </c>
      <c r="AC792" s="33"/>
      <c r="AD792" s="33" t="s">
        <v>2254</v>
      </c>
      <c r="AE792" s="33"/>
      <c r="AF792" s="33" t="s">
        <v>2267</v>
      </c>
      <c r="AG792" s="33" t="s">
        <v>2461</v>
      </c>
      <c r="AH792" s="33"/>
      <c r="AI792" s="33"/>
      <c r="AJ792" s="33" t="s">
        <v>8179</v>
      </c>
      <c r="AK792" s="94"/>
      <c r="AL792" s="33" t="s">
        <v>7105</v>
      </c>
      <c r="AM792" s="33"/>
      <c r="AN792" s="33" t="s">
        <v>2588</v>
      </c>
      <c r="AO792" s="51" t="s">
        <v>2589</v>
      </c>
      <c r="AP792" s="51" t="s">
        <v>207</v>
      </c>
      <c r="AQ792" s="33"/>
      <c r="AR792" s="54"/>
      <c r="AS792" s="54"/>
      <c r="AT792" s="54"/>
      <c r="AU792" s="54"/>
      <c r="AV792" s="54"/>
      <c r="AW792" s="54"/>
      <c r="AX792" s="54"/>
      <c r="AY792" s="54"/>
      <c r="AZ792" s="54"/>
      <c r="BA792" s="54"/>
      <c r="BB792" s="54"/>
      <c r="BC792" s="54"/>
      <c r="BD792" s="54" t="s">
        <v>2447</v>
      </c>
      <c r="BE792" s="54"/>
      <c r="BF792" s="54"/>
      <c r="BG792" s="54"/>
      <c r="BH792" s="54"/>
      <c r="BI792" s="54"/>
      <c r="BJ792" s="0"/>
      <c r="BK792" s="0"/>
      <c r="BL792" s="0"/>
      <c r="BM792" s="0"/>
      <c r="BN792" s="0"/>
      <c r="BO792" s="0"/>
      <c r="BP792"/>
      <c r="BQ792"/>
      <c r="BR792"/>
      <c r="BS792"/>
      <c r="BT792"/>
      <c r="BU792"/>
      <c r="BV792"/>
      <c r="BW792"/>
      <c r="BX792"/>
      <c r="BY792"/>
      <c r="BZ792"/>
      <c r="CA792"/>
      <c r="CB792"/>
    </row>
    <row r="793" ht="15.0" customHeight="true">
      <c r="A793" s="51" t="s">
        <v>2448</v>
      </c>
      <c r="B793" s="33"/>
      <c r="C793" s="33" t="s">
        <v>8180</v>
      </c>
      <c r="D793" s="33"/>
      <c r="E793" s="33" t="s">
        <v>5427</v>
      </c>
      <c r="F793" s="33"/>
      <c r="G793" s="55" t="s">
        <v>8181</v>
      </c>
      <c r="H793" s="33"/>
      <c r="I793" s="51" t="s">
        <v>8182</v>
      </c>
      <c r="J793" s="33"/>
      <c r="K793" s="51" t="s">
        <v>8183</v>
      </c>
      <c r="L793" s="33" t="s">
        <v>2454</v>
      </c>
      <c r="M793" s="55" t="s">
        <v>3879</v>
      </c>
      <c r="N793" s="55" t="s">
        <v>3047</v>
      </c>
      <c r="O793" s="33" t="s">
        <v>2272</v>
      </c>
      <c r="P793" s="33" t="s">
        <v>2251</v>
      </c>
      <c r="Q793" s="33"/>
      <c r="R793" s="33" t="s">
        <v>2263</v>
      </c>
      <c r="S793" s="56" t="s">
        <v>2277</v>
      </c>
      <c r="T793" s="56"/>
      <c r="U793" s="56"/>
      <c r="V793" s="33" t="s">
        <v>2456</v>
      </c>
      <c r="W793" s="94" t="s">
        <v>2457</v>
      </c>
      <c r="X793" s="94" t="s">
        <v>2458</v>
      </c>
      <c r="Y793" s="51"/>
      <c r="Z793" s="51"/>
      <c r="AA793" s="33" t="s">
        <v>2459</v>
      </c>
      <c r="AB793" s="33" t="s">
        <v>2460</v>
      </c>
      <c r="AC793" s="33"/>
      <c r="AD793" s="33" t="s">
        <v>2254</v>
      </c>
      <c r="AE793" s="33"/>
      <c r="AF793" s="33" t="s">
        <v>2267</v>
      </c>
      <c r="AG793" s="33" t="s">
        <v>2461</v>
      </c>
      <c r="AH793" s="33"/>
      <c r="AI793" s="33"/>
      <c r="AJ793" s="33" t="s">
        <v>8184</v>
      </c>
      <c r="AK793" s="94"/>
      <c r="AL793" s="33" t="s">
        <v>8185</v>
      </c>
      <c r="AM793" s="33"/>
      <c r="AN793" s="33" t="s">
        <v>2465</v>
      </c>
      <c r="AO793" s="51" t="s">
        <v>2548</v>
      </c>
      <c r="AP793" s="51" t="s">
        <v>207</v>
      </c>
      <c r="AQ793" s="33"/>
      <c r="AR793" s="54"/>
      <c r="AS793" s="54"/>
      <c r="AT793" s="54"/>
      <c r="AU793" s="54"/>
      <c r="AV793" s="54"/>
      <c r="AW793" s="54"/>
      <c r="AX793" s="54"/>
      <c r="AY793" s="54"/>
      <c r="AZ793" s="54"/>
      <c r="BA793" s="54"/>
      <c r="BB793" s="54"/>
      <c r="BC793" s="54"/>
      <c r="BD793" s="54" t="s">
        <v>2447</v>
      </c>
      <c r="BE793" s="54"/>
      <c r="BF793" s="54"/>
      <c r="BG793" s="54"/>
      <c r="BH793" s="54"/>
      <c r="BI793" s="54"/>
      <c r="BJ793" s="0"/>
      <c r="BK793" s="0"/>
      <c r="BL793" s="0"/>
      <c r="BM793" s="0"/>
      <c r="BN793" s="0"/>
      <c r="BO793" s="0"/>
      <c r="BP793"/>
      <c r="BQ793"/>
      <c r="BR793"/>
      <c r="BS793"/>
      <c r="BT793"/>
      <c r="BU793"/>
      <c r="BV793"/>
      <c r="BW793"/>
      <c r="BX793"/>
      <c r="BY793"/>
      <c r="BZ793"/>
      <c r="CA793"/>
      <c r="CB793"/>
    </row>
    <row r="794" ht="15.0" customHeight="true">
      <c r="A794" s="51" t="s">
        <v>2448</v>
      </c>
      <c r="B794" s="33"/>
      <c r="C794" s="33" t="s">
        <v>8186</v>
      </c>
      <c r="D794" s="33"/>
      <c r="E794" s="33" t="s">
        <v>2879</v>
      </c>
      <c r="F794" s="33"/>
      <c r="G794" s="55" t="s">
        <v>8187</v>
      </c>
      <c r="H794" s="33"/>
      <c r="I794" s="51" t="s">
        <v>8188</v>
      </c>
      <c r="J794" s="33"/>
      <c r="K794" s="51" t="s">
        <v>8189</v>
      </c>
      <c r="L794" s="33" t="s">
        <v>2454</v>
      </c>
      <c r="M794" s="55" t="s">
        <v>3753</v>
      </c>
      <c r="N794" s="55" t="s">
        <v>3753</v>
      </c>
      <c r="O794" s="33" t="s">
        <v>2272</v>
      </c>
      <c r="P794" s="33" t="s">
        <v>2251</v>
      </c>
      <c r="Q794" s="33"/>
      <c r="R794" s="33" t="s">
        <v>2263</v>
      </c>
      <c r="S794" s="56" t="s">
        <v>2277</v>
      </c>
      <c r="T794" s="56"/>
      <c r="U794" s="56"/>
      <c r="V794" s="33" t="s">
        <v>2456</v>
      </c>
      <c r="W794" s="94" t="s">
        <v>2457</v>
      </c>
      <c r="X794" s="94" t="s">
        <v>2474</v>
      </c>
      <c r="Y794" s="51"/>
      <c r="Z794" s="51"/>
      <c r="AA794" s="33" t="s">
        <v>2459</v>
      </c>
      <c r="AB794" s="33" t="s">
        <v>2460</v>
      </c>
      <c r="AC794" s="33"/>
      <c r="AD794" s="33" t="s">
        <v>2254</v>
      </c>
      <c r="AE794" s="33"/>
      <c r="AF794" s="33" t="s">
        <v>2267</v>
      </c>
      <c r="AG794" s="33" t="s">
        <v>2461</v>
      </c>
      <c r="AH794" s="33"/>
      <c r="AI794" s="33"/>
      <c r="AJ794" s="33" t="s">
        <v>8190</v>
      </c>
      <c r="AK794" s="94"/>
      <c r="AL794" s="33" t="s">
        <v>8191</v>
      </c>
      <c r="AM794" s="33" t="s">
        <v>7904</v>
      </c>
      <c r="AN794" s="33" t="s">
        <v>2465</v>
      </c>
      <c r="AO794" s="51" t="s">
        <v>2538</v>
      </c>
      <c r="AP794" s="51" t="s">
        <v>207</v>
      </c>
      <c r="AQ794" s="33"/>
      <c r="AR794" s="54"/>
      <c r="AS794" s="54"/>
      <c r="AT794" s="54"/>
      <c r="AU794" s="54"/>
      <c r="AV794" s="54"/>
      <c r="AW794" s="54"/>
      <c r="AX794" s="54"/>
      <c r="AY794" s="54"/>
      <c r="AZ794" s="54"/>
      <c r="BA794" s="54"/>
      <c r="BB794" s="54"/>
      <c r="BC794" s="54"/>
      <c r="BD794" s="54" t="s">
        <v>2447</v>
      </c>
      <c r="BE794" s="54"/>
      <c r="BF794" s="54"/>
      <c r="BG794" s="54"/>
      <c r="BH794" s="54"/>
      <c r="BI794" s="54"/>
      <c r="BJ794" s="0"/>
      <c r="BK794" s="0"/>
      <c r="BL794" s="0"/>
      <c r="BM794" s="0"/>
      <c r="BN794" s="0"/>
      <c r="BO794" s="0"/>
      <c r="BP794"/>
      <c r="BQ794"/>
      <c r="BR794"/>
      <c r="BS794"/>
      <c r="BT794"/>
      <c r="BU794"/>
      <c r="BV794"/>
      <c r="BW794"/>
      <c r="BX794"/>
      <c r="BY794"/>
      <c r="BZ794"/>
      <c r="CA794"/>
      <c r="CB794"/>
    </row>
    <row r="795" ht="15.0" customHeight="true">
      <c r="A795" s="51" t="s">
        <v>2448</v>
      </c>
      <c r="B795" s="33"/>
      <c r="C795" s="33" t="s">
        <v>3875</v>
      </c>
      <c r="D795" s="33"/>
      <c r="E795" s="33" t="s">
        <v>8192</v>
      </c>
      <c r="F795" s="33"/>
      <c r="G795" s="55" t="s">
        <v>8193</v>
      </c>
      <c r="H795" s="33"/>
      <c r="I795" s="51" t="s">
        <v>8194</v>
      </c>
      <c r="J795" s="33"/>
      <c r="K795" s="51" t="s">
        <v>8195</v>
      </c>
      <c r="L795" s="33" t="s">
        <v>2484</v>
      </c>
      <c r="M795" s="55" t="s">
        <v>3057</v>
      </c>
      <c r="N795" s="55"/>
      <c r="O795" s="33"/>
      <c r="P795" s="33" t="s">
        <v>2251</v>
      </c>
      <c r="Q795" s="33"/>
      <c r="R795" s="33" t="s">
        <v>2263</v>
      </c>
      <c r="S795" s="56" t="s">
        <v>2277</v>
      </c>
      <c r="T795" s="56"/>
      <c r="U795" s="56"/>
      <c r="V795" s="33" t="s">
        <v>2456</v>
      </c>
      <c r="W795" s="94" t="s">
        <v>2457</v>
      </c>
      <c r="X795" s="94" t="s">
        <v>2474</v>
      </c>
      <c r="Y795" s="51"/>
      <c r="Z795" s="51"/>
      <c r="AA795" s="33" t="s">
        <v>2459</v>
      </c>
      <c r="AB795" s="33" t="s">
        <v>2460</v>
      </c>
      <c r="AC795" s="33" t="s">
        <v>2486</v>
      </c>
      <c r="AD795" s="33" t="s">
        <v>2254</v>
      </c>
      <c r="AE795" s="33"/>
      <c r="AF795" s="33" t="s">
        <v>2267</v>
      </c>
      <c r="AG795" s="33" t="s">
        <v>2461</v>
      </c>
      <c r="AH795" s="33"/>
      <c r="AI795" s="33"/>
      <c r="AJ795" s="33" t="s">
        <v>8196</v>
      </c>
      <c r="AK795" s="94"/>
      <c r="AL795" s="33" t="s">
        <v>8197</v>
      </c>
      <c r="AM795" s="33"/>
      <c r="AN795" s="33" t="s">
        <v>2465</v>
      </c>
      <c r="AO795" s="51" t="s">
        <v>2478</v>
      </c>
      <c r="AP795" s="51" t="s">
        <v>207</v>
      </c>
      <c r="AQ795" s="33"/>
      <c r="AR795" s="54"/>
      <c r="AS795" s="54"/>
      <c r="AT795" s="54"/>
      <c r="AU795" s="54"/>
      <c r="AV795" s="54"/>
      <c r="AW795" s="54"/>
      <c r="AX795" s="54"/>
      <c r="AY795" s="54"/>
      <c r="AZ795" s="54"/>
      <c r="BA795" s="54"/>
      <c r="BB795" s="54"/>
      <c r="BC795" s="54"/>
      <c r="BD795" s="54" t="s">
        <v>2447</v>
      </c>
      <c r="BE795" s="54"/>
      <c r="BF795" s="54"/>
      <c r="BG795" s="54"/>
      <c r="BH795" s="54"/>
      <c r="BI795" s="54"/>
      <c r="BJ795" s="0"/>
      <c r="BK795" s="0"/>
      <c r="BL795" s="0"/>
      <c r="BM795" s="0"/>
      <c r="BN795" s="0"/>
      <c r="BO795" s="0"/>
      <c r="BP795"/>
      <c r="BQ795"/>
      <c r="BR795"/>
      <c r="BS795"/>
      <c r="BT795"/>
      <c r="BU795"/>
      <c r="BV795"/>
      <c r="BW795"/>
      <c r="BX795"/>
      <c r="BY795"/>
      <c r="BZ795"/>
      <c r="CA795"/>
      <c r="CB795"/>
    </row>
    <row r="796" ht="15.0" customHeight="true">
      <c r="A796" s="51" t="s">
        <v>2448</v>
      </c>
      <c r="B796" s="33"/>
      <c r="C796" s="33" t="s">
        <v>3404</v>
      </c>
      <c r="D796" s="33"/>
      <c r="E796" s="33" t="s">
        <v>2879</v>
      </c>
      <c r="F796" s="33"/>
      <c r="G796" s="55" t="s">
        <v>8198</v>
      </c>
      <c r="H796" s="33"/>
      <c r="I796" s="51" t="s">
        <v>8199</v>
      </c>
      <c r="J796" s="33"/>
      <c r="K796" s="51" t="s">
        <v>8200</v>
      </c>
      <c r="L796" s="33" t="s">
        <v>2454</v>
      </c>
      <c r="M796" s="55" t="s">
        <v>8201</v>
      </c>
      <c r="N796" s="55" t="s">
        <v>8202</v>
      </c>
      <c r="O796" s="33" t="s">
        <v>2272</v>
      </c>
      <c r="P796" s="33" t="s">
        <v>2251</v>
      </c>
      <c r="Q796" s="33"/>
      <c r="R796" s="33" t="s">
        <v>2263</v>
      </c>
      <c r="S796" s="56" t="s">
        <v>2277</v>
      </c>
      <c r="T796" s="56"/>
      <c r="U796" s="56"/>
      <c r="V796" s="33" t="s">
        <v>2456</v>
      </c>
      <c r="W796" s="94" t="s">
        <v>2457</v>
      </c>
      <c r="X796" s="94" t="s">
        <v>2458</v>
      </c>
      <c r="Y796" s="51"/>
      <c r="Z796" s="51"/>
      <c r="AA796" s="33" t="s">
        <v>2459</v>
      </c>
      <c r="AB796" s="33" t="s">
        <v>2460</v>
      </c>
      <c r="AC796" s="33"/>
      <c r="AD796" s="33" t="s">
        <v>2254</v>
      </c>
      <c r="AE796" s="33"/>
      <c r="AF796" s="33" t="s">
        <v>2267</v>
      </c>
      <c r="AG796" s="33" t="s">
        <v>2461</v>
      </c>
      <c r="AH796" s="33"/>
      <c r="AI796" s="33"/>
      <c r="AJ796" s="33" t="s">
        <v>8203</v>
      </c>
      <c r="AK796" s="94"/>
      <c r="AL796" s="33" t="s">
        <v>8204</v>
      </c>
      <c r="AM796" s="33"/>
      <c r="AN796" s="33" t="s">
        <v>2465</v>
      </c>
      <c r="AO796" s="51" t="s">
        <v>2673</v>
      </c>
      <c r="AP796" s="51" t="s">
        <v>207</v>
      </c>
      <c r="AQ796" s="33"/>
      <c r="AR796" s="54"/>
      <c r="AS796" s="54"/>
      <c r="AT796" s="54"/>
      <c r="AU796" s="54"/>
      <c r="AV796" s="54"/>
      <c r="AW796" s="54"/>
      <c r="AX796" s="54"/>
      <c r="AY796" s="54"/>
      <c r="AZ796" s="54"/>
      <c r="BA796" s="54"/>
      <c r="BB796" s="54"/>
      <c r="BC796" s="54"/>
      <c r="BD796" s="54" t="s">
        <v>2447</v>
      </c>
      <c r="BE796" s="54"/>
      <c r="BF796" s="54"/>
      <c r="BG796" s="54"/>
      <c r="BH796" s="54"/>
      <c r="BI796" s="54"/>
      <c r="BJ796" s="0"/>
      <c r="BK796" s="0"/>
      <c r="BL796" s="0"/>
      <c r="BM796" s="0"/>
      <c r="BN796" s="0"/>
      <c r="BO796" s="0"/>
      <c r="BP796"/>
      <c r="BQ796"/>
      <c r="BR796"/>
      <c r="BS796"/>
      <c r="BT796"/>
      <c r="BU796"/>
      <c r="BV796"/>
      <c r="BW796"/>
      <c r="BX796"/>
      <c r="BY796"/>
      <c r="BZ796"/>
      <c r="CA796"/>
      <c r="CB796"/>
    </row>
    <row r="797" ht="15.0" customHeight="true">
      <c r="A797" s="51" t="s">
        <v>2448</v>
      </c>
      <c r="B797" s="33"/>
      <c r="C797" s="33" t="s">
        <v>8205</v>
      </c>
      <c r="D797" s="33"/>
      <c r="E797" s="33" t="s">
        <v>8206</v>
      </c>
      <c r="F797" s="33"/>
      <c r="G797" s="55" t="s">
        <v>5969</v>
      </c>
      <c r="H797" s="33"/>
      <c r="I797" s="51" t="s">
        <v>8207</v>
      </c>
      <c r="J797" s="33"/>
      <c r="K797" s="51" t="s">
        <v>8208</v>
      </c>
      <c r="L797" s="33" t="s">
        <v>2454</v>
      </c>
      <c r="M797" s="55" t="s">
        <v>3710</v>
      </c>
      <c r="N797" s="55" t="s">
        <v>3852</v>
      </c>
      <c r="O797" s="33" t="s">
        <v>2272</v>
      </c>
      <c r="P797" s="33" t="s">
        <v>2251</v>
      </c>
      <c r="Q797" s="33"/>
      <c r="R797" s="33" t="s">
        <v>2263</v>
      </c>
      <c r="S797" s="56" t="s">
        <v>2277</v>
      </c>
      <c r="T797" s="56"/>
      <c r="U797" s="56"/>
      <c r="V797" s="33" t="s">
        <v>2456</v>
      </c>
      <c r="W797" s="94" t="s">
        <v>2457</v>
      </c>
      <c r="X797" s="94" t="s">
        <v>2458</v>
      </c>
      <c r="Y797" s="51"/>
      <c r="Z797" s="51"/>
      <c r="AA797" s="33" t="s">
        <v>2459</v>
      </c>
      <c r="AB797" s="33" t="s">
        <v>2460</v>
      </c>
      <c r="AC797" s="33"/>
      <c r="AD797" s="33" t="s">
        <v>2254</v>
      </c>
      <c r="AE797" s="33"/>
      <c r="AF797" s="33" t="s">
        <v>2267</v>
      </c>
      <c r="AG797" s="33" t="s">
        <v>2461</v>
      </c>
      <c r="AH797" s="33"/>
      <c r="AI797" s="33"/>
      <c r="AJ797" s="33" t="s">
        <v>8209</v>
      </c>
      <c r="AK797" s="94"/>
      <c r="AL797" s="33" t="s">
        <v>8210</v>
      </c>
      <c r="AM797" s="33"/>
      <c r="AN797" s="33" t="s">
        <v>2465</v>
      </c>
      <c r="AO797" s="51" t="s">
        <v>2673</v>
      </c>
      <c r="AP797" s="51" t="s">
        <v>207</v>
      </c>
      <c r="AQ797" s="33"/>
      <c r="AR797" s="54"/>
      <c r="AS797" s="54"/>
      <c r="AT797" s="54"/>
      <c r="AU797" s="54"/>
      <c r="AV797" s="54"/>
      <c r="AW797" s="54"/>
      <c r="AX797" s="54"/>
      <c r="AY797" s="54"/>
      <c r="AZ797" s="54"/>
      <c r="BA797" s="54"/>
      <c r="BB797" s="54"/>
      <c r="BC797" s="54"/>
      <c r="BD797" s="54" t="s">
        <v>2447</v>
      </c>
      <c r="BE797" s="54"/>
      <c r="BF797" s="54"/>
      <c r="BG797" s="54"/>
      <c r="BH797" s="54"/>
      <c r="BI797" s="54"/>
      <c r="BJ797" s="0"/>
      <c r="BK797" s="0"/>
      <c r="BL797" s="0"/>
      <c r="BM797" s="0"/>
      <c r="BN797" s="0"/>
      <c r="BO797" s="0"/>
      <c r="BP797"/>
      <c r="BQ797"/>
      <c r="BR797"/>
      <c r="BS797"/>
      <c r="BT797"/>
      <c r="BU797"/>
      <c r="BV797"/>
      <c r="BW797"/>
      <c r="BX797"/>
      <c r="BY797"/>
      <c r="BZ797"/>
      <c r="CA797"/>
      <c r="CB797"/>
    </row>
    <row r="798" ht="15.0" customHeight="true">
      <c r="A798" s="51" t="s">
        <v>2448</v>
      </c>
      <c r="B798" s="33"/>
      <c r="C798" s="33" t="s">
        <v>8211</v>
      </c>
      <c r="D798" s="33"/>
      <c r="E798" s="33" t="s">
        <v>4614</v>
      </c>
      <c r="F798" s="33"/>
      <c r="G798" s="55" t="s">
        <v>6468</v>
      </c>
      <c r="H798" s="33"/>
      <c r="I798" s="51" t="s">
        <v>8212</v>
      </c>
      <c r="J798" s="33"/>
      <c r="K798" s="51" t="s">
        <v>8213</v>
      </c>
      <c r="L798" s="33" t="s">
        <v>2454</v>
      </c>
      <c r="M798" s="55" t="s">
        <v>8214</v>
      </c>
      <c r="N798" s="55" t="s">
        <v>8215</v>
      </c>
      <c r="O798" s="33" t="s">
        <v>2272</v>
      </c>
      <c r="P798" s="33" t="s">
        <v>2251</v>
      </c>
      <c r="Q798" s="33"/>
      <c r="R798" s="33" t="s">
        <v>2263</v>
      </c>
      <c r="S798" s="56" t="s">
        <v>2277</v>
      </c>
      <c r="T798" s="56"/>
      <c r="U798" s="56"/>
      <c r="V798" s="33" t="s">
        <v>2456</v>
      </c>
      <c r="W798" s="94" t="s">
        <v>2457</v>
      </c>
      <c r="X798" s="94" t="s">
        <v>2458</v>
      </c>
      <c r="Y798" s="51"/>
      <c r="Z798" s="51"/>
      <c r="AA798" s="33" t="s">
        <v>2459</v>
      </c>
      <c r="AB798" s="33" t="s">
        <v>2460</v>
      </c>
      <c r="AC798" s="33"/>
      <c r="AD798" s="33" t="s">
        <v>2254</v>
      </c>
      <c r="AE798" s="33"/>
      <c r="AF798" s="33" t="s">
        <v>2267</v>
      </c>
      <c r="AG798" s="33" t="s">
        <v>2461</v>
      </c>
      <c r="AH798" s="33"/>
      <c r="AI798" s="33"/>
      <c r="AJ798" s="33" t="s">
        <v>8216</v>
      </c>
      <c r="AK798" s="94"/>
      <c r="AL798" s="33" t="s">
        <v>8217</v>
      </c>
      <c r="AM798" s="33"/>
      <c r="AN798" s="33" t="s">
        <v>2465</v>
      </c>
      <c r="AO798" s="51" t="s">
        <v>2466</v>
      </c>
      <c r="AP798" s="51" t="s">
        <v>207</v>
      </c>
      <c r="AQ798" s="33"/>
      <c r="AR798" s="54"/>
      <c r="AS798" s="54"/>
      <c r="AT798" s="54"/>
      <c r="AU798" s="54"/>
      <c r="AV798" s="54"/>
      <c r="AW798" s="54"/>
      <c r="AX798" s="54"/>
      <c r="AY798" s="54"/>
      <c r="AZ798" s="54"/>
      <c r="BA798" s="54"/>
      <c r="BB798" s="54"/>
      <c r="BC798" s="54"/>
      <c r="BD798" s="54" t="s">
        <v>2447</v>
      </c>
      <c r="BE798" s="54"/>
      <c r="BF798" s="54"/>
      <c r="BG798" s="54"/>
      <c r="BH798" s="54"/>
      <c r="BI798" s="54"/>
      <c r="BJ798" s="0"/>
      <c r="BK798" s="0"/>
      <c r="BL798" s="0"/>
      <c r="BM798" s="0"/>
      <c r="BN798" s="0"/>
      <c r="BO798" s="0"/>
      <c r="BP798"/>
      <c r="BQ798"/>
      <c r="BR798"/>
      <c r="BS798"/>
      <c r="BT798"/>
      <c r="BU798"/>
      <c r="BV798"/>
      <c r="BW798"/>
      <c r="BX798"/>
      <c r="BY798"/>
      <c r="BZ798"/>
      <c r="CA798"/>
      <c r="CB798"/>
    </row>
    <row r="799" ht="15.0" customHeight="true">
      <c r="A799" s="51" t="s">
        <v>2448</v>
      </c>
      <c r="B799" s="33"/>
      <c r="C799" s="33" t="s">
        <v>8218</v>
      </c>
      <c r="D799" s="33"/>
      <c r="E799" s="33" t="s">
        <v>5793</v>
      </c>
      <c r="F799" s="33"/>
      <c r="G799" s="55" t="s">
        <v>8219</v>
      </c>
      <c r="H799" s="33"/>
      <c r="I799" s="51" t="s">
        <v>8220</v>
      </c>
      <c r="J799" s="33"/>
      <c r="K799" s="51" t="s">
        <v>8221</v>
      </c>
      <c r="L799" s="33" t="s">
        <v>2454</v>
      </c>
      <c r="M799" s="55" t="s">
        <v>6266</v>
      </c>
      <c r="N799" s="55" t="s">
        <v>2754</v>
      </c>
      <c r="O799" s="33" t="s">
        <v>2272</v>
      </c>
      <c r="P799" s="33" t="s">
        <v>2251</v>
      </c>
      <c r="Q799" s="33"/>
      <c r="R799" s="33" t="s">
        <v>2263</v>
      </c>
      <c r="S799" s="56" t="s">
        <v>2277</v>
      </c>
      <c r="T799" s="56"/>
      <c r="U799" s="56"/>
      <c r="V799" s="33" t="s">
        <v>2456</v>
      </c>
      <c r="W799" s="94" t="s">
        <v>2457</v>
      </c>
      <c r="X799" s="94" t="s">
        <v>2458</v>
      </c>
      <c r="Y799" s="51"/>
      <c r="Z799" s="51"/>
      <c r="AA799" s="33" t="s">
        <v>2459</v>
      </c>
      <c r="AB799" s="33" t="s">
        <v>2460</v>
      </c>
      <c r="AC799" s="33"/>
      <c r="AD799" s="33" t="s">
        <v>2254</v>
      </c>
      <c r="AE799" s="33"/>
      <c r="AF799" s="33" t="s">
        <v>2267</v>
      </c>
      <c r="AG799" s="33" t="s">
        <v>2461</v>
      </c>
      <c r="AH799" s="33"/>
      <c r="AI799" s="33"/>
      <c r="AJ799" s="33" t="s">
        <v>8222</v>
      </c>
      <c r="AK799" s="94"/>
      <c r="AL799" s="33" t="s">
        <v>8223</v>
      </c>
      <c r="AM799" s="33"/>
      <c r="AN799" s="33" t="s">
        <v>2588</v>
      </c>
      <c r="AO799" s="51" t="s">
        <v>2589</v>
      </c>
      <c r="AP799" s="51" t="s">
        <v>207</v>
      </c>
      <c r="AQ799" s="33"/>
      <c r="AR799" s="54"/>
      <c r="AS799" s="54"/>
      <c r="AT799" s="54"/>
      <c r="AU799" s="54"/>
      <c r="AV799" s="54"/>
      <c r="AW799" s="54"/>
      <c r="AX799" s="54"/>
      <c r="AY799" s="54"/>
      <c r="AZ799" s="54"/>
      <c r="BA799" s="54"/>
      <c r="BB799" s="54"/>
      <c r="BC799" s="54"/>
      <c r="BD799" s="54" t="s">
        <v>2447</v>
      </c>
      <c r="BE799" s="54"/>
      <c r="BF799" s="54"/>
      <c r="BG799" s="54"/>
      <c r="BH799" s="54"/>
      <c r="BI799" s="54"/>
      <c r="BJ799" s="0"/>
      <c r="BK799" s="0"/>
      <c r="BL799" s="0"/>
      <c r="BM799" s="0"/>
      <c r="BN799" s="0"/>
      <c r="BO799" s="0"/>
      <c r="BP799"/>
      <c r="BQ799"/>
      <c r="BR799"/>
      <c r="BS799"/>
      <c r="BT799"/>
      <c r="BU799"/>
      <c r="BV799"/>
      <c r="BW799"/>
      <c r="BX799"/>
      <c r="BY799"/>
      <c r="BZ799"/>
      <c r="CA799"/>
      <c r="CB799"/>
    </row>
    <row r="800" ht="15.0" customHeight="true">
      <c r="A800" s="51" t="s">
        <v>2448</v>
      </c>
      <c r="B800" s="33"/>
      <c r="C800" s="33" t="s">
        <v>5774</v>
      </c>
      <c r="D800" s="33"/>
      <c r="E800" s="33" t="s">
        <v>2879</v>
      </c>
      <c r="F800" s="33"/>
      <c r="G800" s="55" t="s">
        <v>8224</v>
      </c>
      <c r="H800" s="33"/>
      <c r="I800" s="51" t="s">
        <v>8225</v>
      </c>
      <c r="J800" s="33"/>
      <c r="K800" s="51" t="s">
        <v>8226</v>
      </c>
      <c r="L800" s="33" t="s">
        <v>2484</v>
      </c>
      <c r="M800" s="55" t="s">
        <v>3484</v>
      </c>
      <c r="N800" s="55"/>
      <c r="O800" s="33"/>
      <c r="P800" s="33" t="s">
        <v>2251</v>
      </c>
      <c r="Q800" s="33"/>
      <c r="R800" s="33" t="s">
        <v>2263</v>
      </c>
      <c r="S800" s="56" t="s">
        <v>2277</v>
      </c>
      <c r="T800" s="56"/>
      <c r="U800" s="56"/>
      <c r="V800" s="33" t="s">
        <v>2456</v>
      </c>
      <c r="W800" s="94" t="s">
        <v>2457</v>
      </c>
      <c r="X800" s="94" t="s">
        <v>2474</v>
      </c>
      <c r="Y800" s="51"/>
      <c r="Z800" s="51"/>
      <c r="AA800" s="33" t="s">
        <v>2459</v>
      </c>
      <c r="AB800" s="33" t="s">
        <v>2460</v>
      </c>
      <c r="AC800" s="33" t="s">
        <v>2486</v>
      </c>
      <c r="AD800" s="33" t="s">
        <v>2254</v>
      </c>
      <c r="AE800" s="33"/>
      <c r="AF800" s="33" t="s">
        <v>2267</v>
      </c>
      <c r="AG800" s="33" t="s">
        <v>2461</v>
      </c>
      <c r="AH800" s="33"/>
      <c r="AI800" s="33"/>
      <c r="AJ800" s="33" t="s">
        <v>8227</v>
      </c>
      <c r="AK800" s="94"/>
      <c r="AL800" s="33" t="s">
        <v>8228</v>
      </c>
      <c r="AM800" s="33"/>
      <c r="AN800" s="33" t="s">
        <v>2588</v>
      </c>
      <c r="AO800" s="51" t="s">
        <v>2589</v>
      </c>
      <c r="AP800" s="51" t="s">
        <v>207</v>
      </c>
      <c r="AQ800" s="33"/>
      <c r="AR800" s="54"/>
      <c r="AS800" s="54"/>
      <c r="AT800" s="54"/>
      <c r="AU800" s="54"/>
      <c r="AV800" s="54"/>
      <c r="AW800" s="54"/>
      <c r="AX800" s="54"/>
      <c r="AY800" s="54"/>
      <c r="AZ800" s="54"/>
      <c r="BA800" s="54"/>
      <c r="BB800" s="54"/>
      <c r="BC800" s="54"/>
      <c r="BD800" s="54" t="s">
        <v>2447</v>
      </c>
      <c r="BE800" s="54"/>
      <c r="BF800" s="54"/>
      <c r="BG800" s="54"/>
      <c r="BH800" s="54"/>
      <c r="BI800" s="54"/>
      <c r="BJ800" s="0"/>
      <c r="BK800" s="0"/>
      <c r="BL800" s="0"/>
      <c r="BM800" s="0"/>
      <c r="BN800" s="0"/>
      <c r="BO800" s="0"/>
      <c r="BP800"/>
      <c r="BQ800"/>
      <c r="BR800"/>
      <c r="BS800"/>
      <c r="BT800"/>
      <c r="BU800"/>
      <c r="BV800"/>
      <c r="BW800"/>
      <c r="BX800"/>
      <c r="BY800"/>
      <c r="BZ800"/>
      <c r="CA800"/>
      <c r="CB800"/>
    </row>
    <row r="801" ht="15.0" customHeight="true">
      <c r="A801" s="51" t="s">
        <v>2448</v>
      </c>
      <c r="B801" s="33"/>
      <c r="C801" s="33" t="s">
        <v>3328</v>
      </c>
      <c r="D801" s="33"/>
      <c r="E801" s="33" t="s">
        <v>8229</v>
      </c>
      <c r="F801" s="33"/>
      <c r="G801" s="55" t="s">
        <v>8230</v>
      </c>
      <c r="H801" s="33"/>
      <c r="I801" s="51" t="s">
        <v>8231</v>
      </c>
      <c r="J801" s="33"/>
      <c r="K801" s="51" t="s">
        <v>8232</v>
      </c>
      <c r="L801" s="33" t="s">
        <v>2454</v>
      </c>
      <c r="M801" s="55" t="s">
        <v>4455</v>
      </c>
      <c r="N801" s="55" t="s">
        <v>4455</v>
      </c>
      <c r="O801" s="33" t="s">
        <v>2272</v>
      </c>
      <c r="P801" s="33" t="s">
        <v>2251</v>
      </c>
      <c r="Q801" s="33"/>
      <c r="R801" s="33" t="s">
        <v>2263</v>
      </c>
      <c r="S801" s="56" t="s">
        <v>2277</v>
      </c>
      <c r="T801" s="56"/>
      <c r="U801" s="56"/>
      <c r="V801" s="33" t="s">
        <v>2456</v>
      </c>
      <c r="W801" s="94" t="s">
        <v>2457</v>
      </c>
      <c r="X801" s="94" t="s">
        <v>2458</v>
      </c>
      <c r="Y801" s="51"/>
      <c r="Z801" s="51"/>
      <c r="AA801" s="33" t="s">
        <v>2459</v>
      </c>
      <c r="AB801" s="33" t="s">
        <v>2460</v>
      </c>
      <c r="AC801" s="33"/>
      <c r="AD801" s="33" t="s">
        <v>2254</v>
      </c>
      <c r="AE801" s="33"/>
      <c r="AF801" s="33" t="s">
        <v>2267</v>
      </c>
      <c r="AG801" s="33" t="s">
        <v>2461</v>
      </c>
      <c r="AH801" s="33"/>
      <c r="AI801" s="33"/>
      <c r="AJ801" s="33" t="s">
        <v>8233</v>
      </c>
      <c r="AK801" s="94"/>
      <c r="AL801" s="33" t="s">
        <v>8234</v>
      </c>
      <c r="AM801" s="33"/>
      <c r="AN801" s="33" t="s">
        <v>2465</v>
      </c>
      <c r="AO801" s="51" t="s">
        <v>2820</v>
      </c>
      <c r="AP801" s="51" t="s">
        <v>207</v>
      </c>
      <c r="AQ801" s="33"/>
      <c r="AR801" s="54"/>
      <c r="AS801" s="54"/>
      <c r="AT801" s="54"/>
      <c r="AU801" s="54"/>
      <c r="AV801" s="54"/>
      <c r="AW801" s="54"/>
      <c r="AX801" s="54"/>
      <c r="AY801" s="54"/>
      <c r="AZ801" s="54"/>
      <c r="BA801" s="54"/>
      <c r="BB801" s="54"/>
      <c r="BC801" s="54"/>
      <c r="BD801" s="54" t="s">
        <v>2447</v>
      </c>
      <c r="BE801" s="54"/>
      <c r="BF801" s="54"/>
      <c r="BG801" s="54"/>
      <c r="BH801" s="54"/>
      <c r="BI801" s="54"/>
      <c r="BJ801" s="0"/>
      <c r="BK801" s="0"/>
      <c r="BL801" s="0"/>
      <c r="BM801" s="0"/>
      <c r="BN801" s="0"/>
      <c r="BO801" s="0"/>
      <c r="BP801"/>
      <c r="BQ801"/>
      <c r="BR801"/>
      <c r="BS801"/>
      <c r="BT801"/>
      <c r="BU801"/>
      <c r="BV801"/>
      <c r="BW801"/>
      <c r="BX801"/>
      <c r="BY801"/>
      <c r="BZ801"/>
      <c r="CA801"/>
      <c r="CB801"/>
    </row>
    <row r="802" ht="15.0" customHeight="true">
      <c r="A802" s="51" t="s">
        <v>2448</v>
      </c>
      <c r="B802" s="33"/>
      <c r="C802" s="33" t="s">
        <v>3925</v>
      </c>
      <c r="D802" s="33"/>
      <c r="E802" s="33" t="s">
        <v>8235</v>
      </c>
      <c r="F802" s="33"/>
      <c r="G802" s="55" t="s">
        <v>8236</v>
      </c>
      <c r="H802" s="33"/>
      <c r="I802" s="51" t="s">
        <v>8237</v>
      </c>
      <c r="J802" s="33"/>
      <c r="K802" s="51" t="s">
        <v>8238</v>
      </c>
      <c r="L802" s="33" t="s">
        <v>2454</v>
      </c>
      <c r="M802" s="55" t="s">
        <v>4094</v>
      </c>
      <c r="N802" s="55" t="s">
        <v>5868</v>
      </c>
      <c r="O802" s="33" t="s">
        <v>2272</v>
      </c>
      <c r="P802" s="33" t="s">
        <v>2251</v>
      </c>
      <c r="Q802" s="33"/>
      <c r="R802" s="33" t="s">
        <v>2263</v>
      </c>
      <c r="S802" s="56" t="s">
        <v>2277</v>
      </c>
      <c r="T802" s="56"/>
      <c r="U802" s="56"/>
      <c r="V802" s="33" t="s">
        <v>2456</v>
      </c>
      <c r="W802" s="94" t="s">
        <v>2457</v>
      </c>
      <c r="X802" s="94" t="s">
        <v>2458</v>
      </c>
      <c r="Y802" s="51"/>
      <c r="Z802" s="51"/>
      <c r="AA802" s="33" t="s">
        <v>2459</v>
      </c>
      <c r="AB802" s="33" t="s">
        <v>2460</v>
      </c>
      <c r="AC802" s="33"/>
      <c r="AD802" s="33" t="s">
        <v>2254</v>
      </c>
      <c r="AE802" s="33"/>
      <c r="AF802" s="33" t="s">
        <v>2267</v>
      </c>
      <c r="AG802" s="33" t="s">
        <v>2461</v>
      </c>
      <c r="AH802" s="33"/>
      <c r="AI802" s="33"/>
      <c r="AJ802" s="33" t="s">
        <v>8239</v>
      </c>
      <c r="AK802" s="94"/>
      <c r="AL802" s="33" t="s">
        <v>8240</v>
      </c>
      <c r="AM802" s="33"/>
      <c r="AN802" s="33" t="s">
        <v>2465</v>
      </c>
      <c r="AO802" s="51" t="s">
        <v>2548</v>
      </c>
      <c r="AP802" s="51" t="s">
        <v>207</v>
      </c>
      <c r="AQ802" s="33"/>
      <c r="AR802" s="54"/>
      <c r="AS802" s="54"/>
      <c r="AT802" s="54"/>
      <c r="AU802" s="54"/>
      <c r="AV802" s="54"/>
      <c r="AW802" s="54"/>
      <c r="AX802" s="54"/>
      <c r="AY802" s="54"/>
      <c r="AZ802" s="54"/>
      <c r="BA802" s="54"/>
      <c r="BB802" s="54"/>
      <c r="BC802" s="54"/>
      <c r="BD802" s="54" t="s">
        <v>2447</v>
      </c>
      <c r="BE802" s="54"/>
      <c r="BF802" s="54"/>
      <c r="BG802" s="54"/>
      <c r="BH802" s="54"/>
      <c r="BI802" s="54"/>
      <c r="BJ802" s="0"/>
      <c r="BK802" s="0"/>
      <c r="BL802" s="0"/>
      <c r="BM802" s="0"/>
      <c r="BN802" s="0"/>
      <c r="BO802" s="0"/>
      <c r="BP802"/>
      <c r="BQ802"/>
      <c r="BR802"/>
      <c r="BS802"/>
      <c r="BT802"/>
      <c r="BU802"/>
      <c r="BV802"/>
      <c r="BW802"/>
      <c r="BX802"/>
      <c r="BY802"/>
      <c r="BZ802"/>
      <c r="CA802"/>
      <c r="CB802"/>
    </row>
    <row r="803" ht="15.0" customHeight="true">
      <c r="A803" s="51" t="s">
        <v>2448</v>
      </c>
      <c r="B803" s="33"/>
      <c r="C803" s="33" t="s">
        <v>8241</v>
      </c>
      <c r="D803" s="33"/>
      <c r="E803" s="33" t="s">
        <v>2480</v>
      </c>
      <c r="F803" s="33"/>
      <c r="G803" s="55" t="s">
        <v>8242</v>
      </c>
      <c r="H803" s="33"/>
      <c r="I803" s="51" t="s">
        <v>8243</v>
      </c>
      <c r="J803" s="33"/>
      <c r="K803" s="51" t="s">
        <v>8244</v>
      </c>
      <c r="L803" s="33" t="s">
        <v>2484</v>
      </c>
      <c r="M803" s="55" t="s">
        <v>3203</v>
      </c>
      <c r="N803" s="55"/>
      <c r="O803" s="33"/>
      <c r="P803" s="33" t="s">
        <v>2251</v>
      </c>
      <c r="Q803" s="33"/>
      <c r="R803" s="33" t="s">
        <v>2263</v>
      </c>
      <c r="S803" s="56" t="s">
        <v>2277</v>
      </c>
      <c r="T803" s="56"/>
      <c r="U803" s="56"/>
      <c r="V803" s="33" t="s">
        <v>2456</v>
      </c>
      <c r="W803" s="94" t="s">
        <v>2457</v>
      </c>
      <c r="X803" s="94" t="s">
        <v>2474</v>
      </c>
      <c r="Y803" s="51"/>
      <c r="Z803" s="51"/>
      <c r="AA803" s="33" t="s">
        <v>2459</v>
      </c>
      <c r="AB803" s="33" t="s">
        <v>2460</v>
      </c>
      <c r="AC803" s="33" t="s">
        <v>2486</v>
      </c>
      <c r="AD803" s="33" t="s">
        <v>2254</v>
      </c>
      <c r="AE803" s="33"/>
      <c r="AF803" s="33" t="s">
        <v>2267</v>
      </c>
      <c r="AG803" s="33" t="s">
        <v>2461</v>
      </c>
      <c r="AH803" s="33"/>
      <c r="AI803" s="33"/>
      <c r="AJ803" s="33" t="s">
        <v>8245</v>
      </c>
      <c r="AK803" s="94"/>
      <c r="AL803" s="33" t="s">
        <v>8246</v>
      </c>
      <c r="AM803" s="33"/>
      <c r="AN803" s="33" t="s">
        <v>2588</v>
      </c>
      <c r="AO803" s="51" t="s">
        <v>2589</v>
      </c>
      <c r="AP803" s="51" t="s">
        <v>207</v>
      </c>
      <c r="AQ803" s="33"/>
      <c r="AR803" s="54"/>
      <c r="AS803" s="54"/>
      <c r="AT803" s="54"/>
      <c r="AU803" s="54"/>
      <c r="AV803" s="54"/>
      <c r="AW803" s="54"/>
      <c r="AX803" s="54"/>
      <c r="AY803" s="54"/>
      <c r="AZ803" s="54"/>
      <c r="BA803" s="54"/>
      <c r="BB803" s="54"/>
      <c r="BC803" s="54"/>
      <c r="BD803" s="54" t="s">
        <v>2447</v>
      </c>
      <c r="BE803" s="54"/>
      <c r="BF803" s="54"/>
      <c r="BG803" s="54"/>
      <c r="BH803" s="54"/>
      <c r="BI803" s="54"/>
      <c r="BJ803" s="0"/>
      <c r="BK803" s="0"/>
      <c r="BL803" s="0"/>
      <c r="BM803" s="0"/>
      <c r="BN803" s="0"/>
      <c r="BO803" s="0"/>
      <c r="BP803"/>
      <c r="BQ803"/>
      <c r="BR803"/>
      <c r="BS803"/>
      <c r="BT803"/>
      <c r="BU803"/>
      <c r="BV803"/>
      <c r="BW803"/>
      <c r="BX803"/>
      <c r="BY803"/>
      <c r="BZ803"/>
      <c r="CA803"/>
      <c r="CB803"/>
    </row>
    <row r="804" ht="15.0" customHeight="true">
      <c r="A804" s="51" t="s">
        <v>2448</v>
      </c>
      <c r="B804" s="33"/>
      <c r="C804" s="33" t="s">
        <v>8247</v>
      </c>
      <c r="D804" s="33"/>
      <c r="E804" s="33" t="s">
        <v>8248</v>
      </c>
      <c r="F804" s="33"/>
      <c r="G804" s="55" t="s">
        <v>8249</v>
      </c>
      <c r="H804" s="33"/>
      <c r="I804" s="51" t="s">
        <v>8250</v>
      </c>
      <c r="J804" s="33"/>
      <c r="K804" s="51" t="s">
        <v>8251</v>
      </c>
      <c r="L804" s="33" t="s">
        <v>2454</v>
      </c>
      <c r="M804" s="55" t="s">
        <v>3914</v>
      </c>
      <c r="N804" s="55" t="s">
        <v>7256</v>
      </c>
      <c r="O804" s="33" t="s">
        <v>2272</v>
      </c>
      <c r="P804" s="33" t="s">
        <v>2251</v>
      </c>
      <c r="Q804" s="33"/>
      <c r="R804" s="33" t="s">
        <v>2263</v>
      </c>
      <c r="S804" s="56" t="s">
        <v>2277</v>
      </c>
      <c r="T804" s="56"/>
      <c r="U804" s="56"/>
      <c r="V804" s="33" t="s">
        <v>2456</v>
      </c>
      <c r="W804" s="94" t="s">
        <v>2457</v>
      </c>
      <c r="X804" s="94" t="s">
        <v>2474</v>
      </c>
      <c r="Y804" s="51"/>
      <c r="Z804" s="51"/>
      <c r="AA804" s="33" t="s">
        <v>2459</v>
      </c>
      <c r="AB804" s="33" t="s">
        <v>2460</v>
      </c>
      <c r="AC804" s="33"/>
      <c r="AD804" s="33" t="s">
        <v>2254</v>
      </c>
      <c r="AE804" s="33"/>
      <c r="AF804" s="33" t="s">
        <v>2267</v>
      </c>
      <c r="AG804" s="33" t="s">
        <v>2461</v>
      </c>
      <c r="AH804" s="33"/>
      <c r="AI804" s="33"/>
      <c r="AJ804" s="33" t="s">
        <v>8252</v>
      </c>
      <c r="AK804" s="94"/>
      <c r="AL804" s="33" t="s">
        <v>3656</v>
      </c>
      <c r="AM804" s="33" t="s">
        <v>8253</v>
      </c>
      <c r="AN804" s="33" t="s">
        <v>2465</v>
      </c>
      <c r="AO804" s="51" t="s">
        <v>2548</v>
      </c>
      <c r="AP804" s="51" t="s">
        <v>207</v>
      </c>
      <c r="AQ804" s="33"/>
      <c r="AR804" s="54"/>
      <c r="AS804" s="54"/>
      <c r="AT804" s="54"/>
      <c r="AU804" s="54"/>
      <c r="AV804" s="54"/>
      <c r="AW804" s="54"/>
      <c r="AX804" s="54"/>
      <c r="AY804" s="54"/>
      <c r="AZ804" s="54"/>
      <c r="BA804" s="54"/>
      <c r="BB804" s="54"/>
      <c r="BC804" s="54"/>
      <c r="BD804" s="54" t="s">
        <v>2447</v>
      </c>
      <c r="BE804" s="54"/>
      <c r="BF804" s="54"/>
      <c r="BG804" s="54"/>
      <c r="BH804" s="54"/>
      <c r="BI804" s="54"/>
      <c r="BJ804" s="0"/>
      <c r="BK804" s="0"/>
      <c r="BL804" s="0"/>
      <c r="BM804" s="0"/>
      <c r="BN804" s="0"/>
      <c r="BO804" s="0"/>
      <c r="BP804"/>
      <c r="BQ804"/>
      <c r="BR804"/>
      <c r="BS804"/>
      <c r="BT804"/>
      <c r="BU804"/>
      <c r="BV804"/>
      <c r="BW804"/>
      <c r="BX804"/>
      <c r="BY804"/>
      <c r="BZ804"/>
      <c r="CA804"/>
      <c r="CB804"/>
    </row>
    <row r="805" ht="15.0" customHeight="true">
      <c r="A805" s="51" t="s">
        <v>2448</v>
      </c>
      <c r="B805" s="33"/>
      <c r="C805" s="33" t="s">
        <v>3756</v>
      </c>
      <c r="D805" s="33"/>
      <c r="E805" s="33" t="s">
        <v>8254</v>
      </c>
      <c r="F805" s="33"/>
      <c r="G805" s="55" t="s">
        <v>8255</v>
      </c>
      <c r="H805" s="33"/>
      <c r="I805" s="51" t="s">
        <v>8256</v>
      </c>
      <c r="J805" s="33"/>
      <c r="K805" s="51" t="s">
        <v>8257</v>
      </c>
      <c r="L805" s="33" t="s">
        <v>2454</v>
      </c>
      <c r="M805" s="55" t="s">
        <v>2679</v>
      </c>
      <c r="N805" s="55" t="s">
        <v>2679</v>
      </c>
      <c r="O805" s="33" t="s">
        <v>2272</v>
      </c>
      <c r="P805" s="33" t="s">
        <v>2251</v>
      </c>
      <c r="Q805" s="33"/>
      <c r="R805" s="33" t="s">
        <v>2263</v>
      </c>
      <c r="S805" s="56" t="s">
        <v>2277</v>
      </c>
      <c r="T805" s="56"/>
      <c r="U805" s="56"/>
      <c r="V805" s="33" t="s">
        <v>2456</v>
      </c>
      <c r="W805" s="94" t="s">
        <v>2457</v>
      </c>
      <c r="X805" s="94" t="s">
        <v>2458</v>
      </c>
      <c r="Y805" s="51"/>
      <c r="Z805" s="51"/>
      <c r="AA805" s="33" t="s">
        <v>2459</v>
      </c>
      <c r="AB805" s="33" t="s">
        <v>2460</v>
      </c>
      <c r="AC805" s="33"/>
      <c r="AD805" s="33" t="s">
        <v>2254</v>
      </c>
      <c r="AE805" s="33"/>
      <c r="AF805" s="33" t="s">
        <v>2267</v>
      </c>
      <c r="AG805" s="33" t="s">
        <v>2461</v>
      </c>
      <c r="AH805" s="33"/>
      <c r="AI805" s="33"/>
      <c r="AJ805" s="33" t="s">
        <v>8258</v>
      </c>
      <c r="AK805" s="94"/>
      <c r="AL805" s="33" t="s">
        <v>8259</v>
      </c>
      <c r="AM805" s="33"/>
      <c r="AN805" s="33" t="s">
        <v>2588</v>
      </c>
      <c r="AO805" s="51" t="s">
        <v>2702</v>
      </c>
      <c r="AP805" s="51" t="s">
        <v>207</v>
      </c>
      <c r="AQ805" s="33"/>
      <c r="AR805" s="54"/>
      <c r="AS805" s="54"/>
      <c r="AT805" s="54"/>
      <c r="AU805" s="54"/>
      <c r="AV805" s="54"/>
      <c r="AW805" s="54"/>
      <c r="AX805" s="54"/>
      <c r="AY805" s="54"/>
      <c r="AZ805" s="54"/>
      <c r="BA805" s="54"/>
      <c r="BB805" s="54"/>
      <c r="BC805" s="54"/>
      <c r="BD805" s="54" t="s">
        <v>2447</v>
      </c>
      <c r="BE805" s="54"/>
      <c r="BF805" s="54"/>
      <c r="BG805" s="54"/>
      <c r="BH805" s="54"/>
      <c r="BI805" s="54"/>
      <c r="BJ805" s="0"/>
      <c r="BK805" s="0"/>
      <c r="BL805" s="0"/>
      <c r="BM805" s="0"/>
      <c r="BN805" s="0"/>
      <c r="BO805" s="0"/>
      <c r="BP805"/>
      <c r="BQ805"/>
      <c r="BR805"/>
      <c r="BS805"/>
      <c r="BT805"/>
      <c r="BU805"/>
      <c r="BV805"/>
      <c r="BW805"/>
      <c r="BX805"/>
      <c r="BY805"/>
      <c r="BZ805"/>
      <c r="CA805"/>
      <c r="CB805"/>
    </row>
    <row r="806" ht="15.0" customHeight="true">
      <c r="A806" s="51" t="s">
        <v>2448</v>
      </c>
      <c r="B806" s="33"/>
      <c r="C806" s="33" t="s">
        <v>3131</v>
      </c>
      <c r="D806" s="33"/>
      <c r="E806" s="33" t="s">
        <v>8260</v>
      </c>
      <c r="F806" s="33"/>
      <c r="G806" s="55" t="s">
        <v>8261</v>
      </c>
      <c r="H806" s="33"/>
      <c r="I806" s="51" t="s">
        <v>8262</v>
      </c>
      <c r="J806" s="33"/>
      <c r="K806" s="51" t="s">
        <v>8263</v>
      </c>
      <c r="L806" s="33" t="s">
        <v>2454</v>
      </c>
      <c r="M806" s="55" t="s">
        <v>3249</v>
      </c>
      <c r="N806" s="55" t="s">
        <v>3152</v>
      </c>
      <c r="O806" s="33" t="s">
        <v>2272</v>
      </c>
      <c r="P806" s="33" t="s">
        <v>2251</v>
      </c>
      <c r="Q806" s="33"/>
      <c r="R806" s="33" t="s">
        <v>2263</v>
      </c>
      <c r="S806" s="56" t="s">
        <v>2277</v>
      </c>
      <c r="T806" s="56"/>
      <c r="U806" s="56"/>
      <c r="V806" s="33" t="s">
        <v>2456</v>
      </c>
      <c r="W806" s="94" t="s">
        <v>2457</v>
      </c>
      <c r="X806" s="94" t="s">
        <v>2458</v>
      </c>
      <c r="Y806" s="51"/>
      <c r="Z806" s="51"/>
      <c r="AA806" s="33" t="s">
        <v>2459</v>
      </c>
      <c r="AB806" s="33" t="s">
        <v>2460</v>
      </c>
      <c r="AC806" s="33"/>
      <c r="AD806" s="33" t="s">
        <v>2254</v>
      </c>
      <c r="AE806" s="33"/>
      <c r="AF806" s="33" t="s">
        <v>2267</v>
      </c>
      <c r="AG806" s="33" t="s">
        <v>2461</v>
      </c>
      <c r="AH806" s="33"/>
      <c r="AI806" s="33"/>
      <c r="AJ806" s="33" t="s">
        <v>8264</v>
      </c>
      <c r="AK806" s="94"/>
      <c r="AL806" s="33" t="s">
        <v>8265</v>
      </c>
      <c r="AM806" s="33"/>
      <c r="AN806" s="33" t="s">
        <v>2465</v>
      </c>
      <c r="AO806" s="51" t="s">
        <v>2618</v>
      </c>
      <c r="AP806" s="51" t="s">
        <v>207</v>
      </c>
      <c r="AQ806" s="33"/>
      <c r="AR806" s="54"/>
      <c r="AS806" s="54"/>
      <c r="AT806" s="54"/>
      <c r="AU806" s="54"/>
      <c r="AV806" s="54"/>
      <c r="AW806" s="54"/>
      <c r="AX806" s="54"/>
      <c r="AY806" s="54"/>
      <c r="AZ806" s="54"/>
      <c r="BA806" s="54"/>
      <c r="BB806" s="54"/>
      <c r="BC806" s="54"/>
      <c r="BD806" s="54" t="s">
        <v>2447</v>
      </c>
      <c r="BE806" s="54"/>
      <c r="BF806" s="54"/>
      <c r="BG806" s="54"/>
      <c r="BH806" s="54"/>
      <c r="BI806" s="54"/>
      <c r="BJ806" s="0"/>
      <c r="BK806" s="0"/>
      <c r="BL806" s="0"/>
      <c r="BM806" s="0"/>
      <c r="BN806" s="0"/>
      <c r="BO806" s="0"/>
      <c r="BP806"/>
      <c r="BQ806"/>
      <c r="BR806"/>
      <c r="BS806"/>
      <c r="BT806"/>
      <c r="BU806"/>
      <c r="BV806"/>
      <c r="BW806"/>
      <c r="BX806"/>
      <c r="BY806"/>
      <c r="BZ806"/>
      <c r="CA806"/>
      <c r="CB806"/>
    </row>
    <row r="807" ht="15.0" customHeight="true">
      <c r="A807" s="51" t="s">
        <v>2448</v>
      </c>
      <c r="B807" s="33"/>
      <c r="C807" s="33" t="s">
        <v>8266</v>
      </c>
      <c r="D807" s="33"/>
      <c r="E807" s="33" t="s">
        <v>8267</v>
      </c>
      <c r="F807" s="33"/>
      <c r="G807" s="55" t="s">
        <v>4482</v>
      </c>
      <c r="H807" s="33"/>
      <c r="I807" s="51" t="s">
        <v>8268</v>
      </c>
      <c r="J807" s="33"/>
      <c r="K807" s="51" t="s">
        <v>8269</v>
      </c>
      <c r="L807" s="33" t="s">
        <v>2454</v>
      </c>
      <c r="M807" s="55" t="s">
        <v>2790</v>
      </c>
      <c r="N807" s="55" t="s">
        <v>2596</v>
      </c>
      <c r="O807" s="33" t="s">
        <v>2272</v>
      </c>
      <c r="P807" s="33" t="s">
        <v>2251</v>
      </c>
      <c r="Q807" s="33"/>
      <c r="R807" s="33" t="s">
        <v>2263</v>
      </c>
      <c r="S807" s="56" t="s">
        <v>2277</v>
      </c>
      <c r="T807" s="56"/>
      <c r="U807" s="56"/>
      <c r="V807" s="33" t="s">
        <v>2456</v>
      </c>
      <c r="W807" s="94" t="s">
        <v>2457</v>
      </c>
      <c r="X807" s="94" t="s">
        <v>2474</v>
      </c>
      <c r="Y807" s="51"/>
      <c r="Z807" s="51"/>
      <c r="AA807" s="33" t="s">
        <v>2459</v>
      </c>
      <c r="AB807" s="33" t="s">
        <v>2460</v>
      </c>
      <c r="AC807" s="33"/>
      <c r="AD807" s="33" t="s">
        <v>2254</v>
      </c>
      <c r="AE807" s="33"/>
      <c r="AF807" s="33" t="s">
        <v>2267</v>
      </c>
      <c r="AG807" s="33" t="s">
        <v>2461</v>
      </c>
      <c r="AH807" s="33"/>
      <c r="AI807" s="33"/>
      <c r="AJ807" s="33" t="s">
        <v>8270</v>
      </c>
      <c r="AK807" s="94"/>
      <c r="AL807" s="33" t="s">
        <v>8271</v>
      </c>
      <c r="AM807" s="33"/>
      <c r="AN807" s="33" t="s">
        <v>2465</v>
      </c>
      <c r="AO807" s="51" t="s">
        <v>2538</v>
      </c>
      <c r="AP807" s="51" t="s">
        <v>207</v>
      </c>
      <c r="AQ807" s="33"/>
      <c r="AR807" s="54"/>
      <c r="AS807" s="54"/>
      <c r="AT807" s="54"/>
      <c r="AU807" s="54"/>
      <c r="AV807" s="54"/>
      <c r="AW807" s="54"/>
      <c r="AX807" s="54"/>
      <c r="AY807" s="54"/>
      <c r="AZ807" s="54"/>
      <c r="BA807" s="54"/>
      <c r="BB807" s="54"/>
      <c r="BC807" s="54"/>
      <c r="BD807" s="54" t="s">
        <v>2447</v>
      </c>
      <c r="BE807" s="54"/>
      <c r="BF807" s="54"/>
      <c r="BG807" s="54"/>
      <c r="BH807" s="54"/>
      <c r="BI807" s="54"/>
      <c r="BJ807" s="0"/>
      <c r="BK807" s="0"/>
      <c r="BL807" s="0"/>
      <c r="BM807" s="0"/>
      <c r="BN807" s="0"/>
      <c r="BO807" s="0"/>
      <c r="BP807"/>
      <c r="BQ807"/>
      <c r="BR807"/>
      <c r="BS807"/>
      <c r="BT807"/>
      <c r="BU807"/>
      <c r="BV807"/>
      <c r="BW807"/>
      <c r="BX807"/>
      <c r="BY807"/>
      <c r="BZ807"/>
      <c r="CA807"/>
      <c r="CB807"/>
    </row>
    <row r="808" ht="15.0" customHeight="true">
      <c r="A808" s="51" t="s">
        <v>2448</v>
      </c>
      <c r="B808" s="33"/>
      <c r="C808" s="33" t="s">
        <v>8274</v>
      </c>
      <c r="D808" s="33"/>
      <c r="E808" s="33" t="s">
        <v>6055</v>
      </c>
      <c r="F808" s="33"/>
      <c r="G808" s="55" t="s">
        <v>8275</v>
      </c>
      <c r="H808" s="33" t="s">
        <v>2258</v>
      </c>
      <c r="I808" s="51" t="s">
        <v>8276</v>
      </c>
      <c r="J808" s="33" t="s">
        <v>2269</v>
      </c>
      <c r="K808" s="51" t="s">
        <v>8277</v>
      </c>
      <c r="L808" s="33" t="s">
        <v>2484</v>
      </c>
      <c r="M808" s="55" t="s">
        <v>8278</v>
      </c>
      <c r="N808" s="55"/>
      <c r="O808" s="33"/>
      <c r="P808" s="33" t="s">
        <v>2251</v>
      </c>
      <c r="Q808" s="33"/>
      <c r="R808" s="33" t="s">
        <v>2263</v>
      </c>
      <c r="S808" s="56" t="s">
        <v>2277</v>
      </c>
      <c r="T808" s="56"/>
      <c r="U808" s="56"/>
      <c r="V808" s="33" t="s">
        <v>2456</v>
      </c>
      <c r="W808" s="94" t="s">
        <v>2457</v>
      </c>
      <c r="X808" s="94" t="s">
        <v>2474</v>
      </c>
      <c r="Y808" s="51"/>
      <c r="Z808" s="51"/>
      <c r="AA808" s="33" t="s">
        <v>2459</v>
      </c>
      <c r="AB808" s="33" t="s">
        <v>2460</v>
      </c>
      <c r="AC808" s="33" t="s">
        <v>2486</v>
      </c>
      <c r="AD808" s="33" t="s">
        <v>2254</v>
      </c>
      <c r="AE808" s="33"/>
      <c r="AF808" s="33" t="s">
        <v>2267</v>
      </c>
      <c r="AG808" s="33" t="s">
        <v>2461</v>
      </c>
      <c r="AH808" s="33"/>
      <c r="AI808" s="33"/>
      <c r="AJ808" s="33" t="s">
        <v>8279</v>
      </c>
      <c r="AK808" s="94"/>
      <c r="AL808" s="33" t="s">
        <v>8280</v>
      </c>
      <c r="AM808" s="33"/>
      <c r="AN808" s="33" t="s">
        <v>2465</v>
      </c>
      <c r="AO808" s="51" t="s">
        <v>2489</v>
      </c>
      <c r="AP808" s="51" t="s">
        <v>207</v>
      </c>
      <c r="AQ808" s="33"/>
      <c r="AR808" s="54"/>
      <c r="AS808" s="54"/>
      <c r="AT808" s="54"/>
      <c r="AU808" s="54"/>
      <c r="AV808" s="54"/>
      <c r="AW808" s="54"/>
      <c r="AX808" s="54"/>
      <c r="AY808" s="54"/>
      <c r="AZ808" s="54"/>
      <c r="BA808" s="54"/>
      <c r="BB808" s="54"/>
      <c r="BC808" s="54"/>
      <c r="BD808" s="54" t="s">
        <v>2447</v>
      </c>
      <c r="BE808" s="54"/>
      <c r="BF808" s="54"/>
      <c r="BG808" s="54"/>
      <c r="BH808" s="54"/>
      <c r="BI808" s="54"/>
      <c r="BJ808" s="34"/>
      <c r="BK808" s="34" t="s">
        <v>8272</v>
      </c>
      <c r="BL808" s="34"/>
      <c r="BM808" s="34" t="s">
        <v>3236</v>
      </c>
      <c r="BN808" s="34"/>
      <c r="BO808" s="44" t="s">
        <v>8273</v>
      </c>
      <c r="BP808" s="34" t="s">
        <v>2258</v>
      </c>
      <c r="BQ808" s="34" t="s">
        <v>2269</v>
      </c>
      <c r="BR808" s="33" t="s">
        <v>2268</v>
      </c>
      <c r="BS808" s="33" t="s">
        <v>2269</v>
      </c>
      <c r="BT808" s="0"/>
      <c r="BU808" s="0"/>
      <c r="BV808" s="0"/>
      <c r="BW808" s="0"/>
      <c r="BX808" s="0"/>
      <c r="BY808" s="0"/>
      <c r="BZ808" s="0"/>
      <c r="CA808" s="0"/>
      <c r="CB808"/>
    </row>
    <row r="809" ht="15.0" customHeight="true">
      <c r="A809" s="51" t="s">
        <v>2448</v>
      </c>
      <c r="B809" s="33"/>
      <c r="C809" s="33" t="s">
        <v>2644</v>
      </c>
      <c r="D809" s="33"/>
      <c r="E809" s="33" t="s">
        <v>8281</v>
      </c>
      <c r="F809" s="33"/>
      <c r="G809" s="55" t="s">
        <v>8282</v>
      </c>
      <c r="H809" s="33"/>
      <c r="I809" s="51" t="s">
        <v>8283</v>
      </c>
      <c r="J809" s="33"/>
      <c r="K809" s="51" t="s">
        <v>8284</v>
      </c>
      <c r="L809" s="33" t="s">
        <v>2454</v>
      </c>
      <c r="M809" s="55" t="s">
        <v>2764</v>
      </c>
      <c r="N809" s="55" t="s">
        <v>2534</v>
      </c>
      <c r="O809" s="33" t="s">
        <v>2276</v>
      </c>
      <c r="P809" s="33" t="s">
        <v>2251</v>
      </c>
      <c r="Q809" s="33"/>
      <c r="R809" s="33" t="s">
        <v>2263</v>
      </c>
      <c r="S809" s="56" t="s">
        <v>2277</v>
      </c>
      <c r="T809" s="56"/>
      <c r="U809" s="56"/>
      <c r="V809" s="33" t="s">
        <v>2764</v>
      </c>
      <c r="W809" s="94" t="s">
        <v>2574</v>
      </c>
      <c r="X809" s="94" t="s">
        <v>2474</v>
      </c>
      <c r="Y809" s="51"/>
      <c r="Z809" s="51"/>
      <c r="AA809" s="33" t="s">
        <v>2459</v>
      </c>
      <c r="AB809" s="33" t="s">
        <v>2460</v>
      </c>
      <c r="AC809" s="33" t="s">
        <v>2486</v>
      </c>
      <c r="AD809" s="33" t="s">
        <v>2254</v>
      </c>
      <c r="AE809" s="33"/>
      <c r="AF809" s="33" t="s">
        <v>2267</v>
      </c>
      <c r="AG809" s="33" t="s">
        <v>2461</v>
      </c>
      <c r="AH809" s="33"/>
      <c r="AI809" s="33"/>
      <c r="AJ809" s="33" t="s">
        <v>8285</v>
      </c>
      <c r="AK809" s="94"/>
      <c r="AL809" s="33" t="s">
        <v>8286</v>
      </c>
      <c r="AM809" s="33"/>
      <c r="AN809" s="33" t="s">
        <v>2828</v>
      </c>
      <c r="AO809" s="51" t="s">
        <v>2829</v>
      </c>
      <c r="AP809" s="51" t="s">
        <v>207</v>
      </c>
      <c r="AQ809" s="33"/>
      <c r="AR809" s="54"/>
      <c r="AS809" s="54"/>
      <c r="AT809" s="54"/>
      <c r="AU809" s="54"/>
      <c r="AV809" s="54"/>
      <c r="AW809" s="54"/>
      <c r="AX809" s="54"/>
      <c r="AY809" s="54" t="s">
        <v>2269</v>
      </c>
      <c r="AZ809" s="54"/>
      <c r="BA809" s="54"/>
      <c r="BB809" s="54"/>
      <c r="BC809" s="54"/>
      <c r="BD809" s="54" t="s">
        <v>2447</v>
      </c>
      <c r="BE809" s="54"/>
      <c r="BF809" s="54"/>
      <c r="BG809" s="54"/>
      <c r="BH809" s="54"/>
      <c r="BI809" s="54"/>
      <c r="BJ809" s="0"/>
      <c r="BK809" s="0"/>
      <c r="BL809" s="0"/>
      <c r="BM809" s="0"/>
      <c r="BN809" s="0"/>
      <c r="BO809" s="0"/>
      <c r="BP809"/>
      <c r="BQ809"/>
      <c r="BR809"/>
      <c r="BS809"/>
      <c r="BT809"/>
      <c r="BU809"/>
      <c r="BV809"/>
      <c r="BW809"/>
      <c r="BX809"/>
      <c r="BY809"/>
      <c r="BZ809"/>
      <c r="CA809"/>
      <c r="CB809"/>
    </row>
    <row r="810" ht="15.0" customHeight="true">
      <c r="A810" s="51" t="s">
        <v>2448</v>
      </c>
      <c r="B810" s="33"/>
      <c r="C810" s="33" t="s">
        <v>6034</v>
      </c>
      <c r="D810" s="33"/>
      <c r="E810" s="33" t="s">
        <v>8287</v>
      </c>
      <c r="F810" s="33"/>
      <c r="G810" s="55" t="s">
        <v>8288</v>
      </c>
      <c r="H810" s="33"/>
      <c r="I810" s="51" t="s">
        <v>8289</v>
      </c>
      <c r="J810" s="33"/>
      <c r="K810" s="51" t="s">
        <v>8290</v>
      </c>
      <c r="L810" s="33" t="s">
        <v>2454</v>
      </c>
      <c r="M810" s="55" t="s">
        <v>4094</v>
      </c>
      <c r="N810" s="55" t="s">
        <v>2858</v>
      </c>
      <c r="O810" s="33" t="s">
        <v>2272</v>
      </c>
      <c r="P810" s="33" t="s">
        <v>2251</v>
      </c>
      <c r="Q810" s="33"/>
      <c r="R810" s="33" t="s">
        <v>2263</v>
      </c>
      <c r="S810" s="56" t="s">
        <v>2277</v>
      </c>
      <c r="T810" s="56"/>
      <c r="U810" s="56"/>
      <c r="V810" s="33" t="s">
        <v>2456</v>
      </c>
      <c r="W810" s="94" t="s">
        <v>2457</v>
      </c>
      <c r="X810" s="94" t="s">
        <v>2458</v>
      </c>
      <c r="Y810" s="51"/>
      <c r="Z810" s="51"/>
      <c r="AA810" s="33" t="s">
        <v>2459</v>
      </c>
      <c r="AB810" s="33" t="s">
        <v>2460</v>
      </c>
      <c r="AC810" s="33"/>
      <c r="AD810" s="33" t="s">
        <v>2254</v>
      </c>
      <c r="AE810" s="33"/>
      <c r="AF810" s="33" t="s">
        <v>2267</v>
      </c>
      <c r="AG810" s="33" t="s">
        <v>2461</v>
      </c>
      <c r="AH810" s="33"/>
      <c r="AI810" s="33"/>
      <c r="AJ810" s="33" t="s">
        <v>8291</v>
      </c>
      <c r="AK810" s="94"/>
      <c r="AL810" s="33" t="s">
        <v>8292</v>
      </c>
      <c r="AM810" s="33"/>
      <c r="AN810" s="33" t="s">
        <v>2465</v>
      </c>
      <c r="AO810" s="51" t="s">
        <v>2618</v>
      </c>
      <c r="AP810" s="51" t="s">
        <v>207</v>
      </c>
      <c r="AQ810" s="33"/>
      <c r="AR810" s="54"/>
      <c r="AS810" s="54"/>
      <c r="AT810" s="54"/>
      <c r="AU810" s="54"/>
      <c r="AV810" s="54"/>
      <c r="AW810" s="54"/>
      <c r="AX810" s="54"/>
      <c r="AY810" s="54"/>
      <c r="AZ810" s="54"/>
      <c r="BA810" s="54"/>
      <c r="BB810" s="54"/>
      <c r="BC810" s="54"/>
      <c r="BD810" s="54" t="s">
        <v>2447</v>
      </c>
      <c r="BE810" s="54"/>
      <c r="BF810" s="54"/>
      <c r="BG810" s="54"/>
      <c r="BH810" s="54"/>
      <c r="BI810" s="54"/>
      <c r="BJ810" s="0"/>
      <c r="BK810" s="0"/>
      <c r="BL810" s="0"/>
      <c r="BM810" s="0"/>
      <c r="BN810" s="0"/>
      <c r="BO810" s="0"/>
      <c r="BP810"/>
      <c r="BQ810"/>
      <c r="BR810"/>
      <c r="BS810"/>
      <c r="BT810"/>
      <c r="BU810"/>
      <c r="BV810"/>
      <c r="BW810"/>
      <c r="BX810"/>
      <c r="BY810"/>
      <c r="BZ810"/>
      <c r="CA810"/>
      <c r="CB810"/>
    </row>
    <row r="811" ht="15.0" customHeight="true">
      <c r="A811" s="51" t="s">
        <v>2448</v>
      </c>
      <c r="B811" s="33"/>
      <c r="C811" s="33" t="s">
        <v>8293</v>
      </c>
      <c r="D811" s="33"/>
      <c r="E811" s="33" t="s">
        <v>8294</v>
      </c>
      <c r="F811" s="33"/>
      <c r="G811" s="55" t="s">
        <v>8295</v>
      </c>
      <c r="H811" s="33"/>
      <c r="I811" s="51" t="s">
        <v>8296</v>
      </c>
      <c r="J811" s="33"/>
      <c r="K811" s="51" t="s">
        <v>8297</v>
      </c>
      <c r="L811" s="33" t="s">
        <v>2454</v>
      </c>
      <c r="M811" s="55" t="s">
        <v>3499</v>
      </c>
      <c r="N811" s="55" t="s">
        <v>3333</v>
      </c>
      <c r="O811" s="33" t="s">
        <v>2272</v>
      </c>
      <c r="P811" s="33" t="s">
        <v>2251</v>
      </c>
      <c r="Q811" s="33"/>
      <c r="R811" s="33" t="s">
        <v>2263</v>
      </c>
      <c r="S811" s="56" t="s">
        <v>2277</v>
      </c>
      <c r="T811" s="56"/>
      <c r="U811" s="56"/>
      <c r="V811" s="33" t="s">
        <v>2456</v>
      </c>
      <c r="W811" s="94" t="s">
        <v>2457</v>
      </c>
      <c r="X811" s="94" t="s">
        <v>2474</v>
      </c>
      <c r="Y811" s="51"/>
      <c r="Z811" s="51"/>
      <c r="AA811" s="33" t="s">
        <v>2459</v>
      </c>
      <c r="AB811" s="33" t="s">
        <v>2460</v>
      </c>
      <c r="AC811" s="33"/>
      <c r="AD811" s="33" t="s">
        <v>2254</v>
      </c>
      <c r="AE811" s="33"/>
      <c r="AF811" s="33" t="s">
        <v>2267</v>
      </c>
      <c r="AG811" s="33" t="s">
        <v>2461</v>
      </c>
      <c r="AH811" s="33"/>
      <c r="AI811" s="33"/>
      <c r="AJ811" s="33" t="s">
        <v>8298</v>
      </c>
      <c r="AK811" s="94"/>
      <c r="AL811" s="33" t="s">
        <v>4900</v>
      </c>
      <c r="AM811" s="33" t="s">
        <v>8299</v>
      </c>
      <c r="AN811" s="33" t="s">
        <v>2465</v>
      </c>
      <c r="AO811" s="51" t="s">
        <v>2820</v>
      </c>
      <c r="AP811" s="51" t="s">
        <v>207</v>
      </c>
      <c r="AQ811" s="33"/>
      <c r="AR811" s="54"/>
      <c r="AS811" s="54"/>
      <c r="AT811" s="54"/>
      <c r="AU811" s="54"/>
      <c r="AV811" s="54"/>
      <c r="AW811" s="54"/>
      <c r="AX811" s="54"/>
      <c r="AY811" s="54"/>
      <c r="AZ811" s="54"/>
      <c r="BA811" s="54"/>
      <c r="BB811" s="54"/>
      <c r="BC811" s="54"/>
      <c r="BD811" s="54" t="s">
        <v>2447</v>
      </c>
      <c r="BE811" s="54"/>
      <c r="BF811" s="54"/>
      <c r="BG811" s="54"/>
      <c r="BH811" s="54"/>
      <c r="BI811" s="54"/>
      <c r="BJ811" s="0"/>
      <c r="BK811" s="0"/>
      <c r="BL811" s="0"/>
      <c r="BM811" s="0"/>
      <c r="BN811" s="0"/>
      <c r="BO811" s="0"/>
      <c r="BP811"/>
      <c r="BQ811"/>
      <c r="BR811"/>
      <c r="BS811"/>
      <c r="BT811"/>
      <c r="BU811"/>
      <c r="BV811"/>
      <c r="BW811"/>
      <c r="BX811"/>
      <c r="BY811"/>
      <c r="BZ811"/>
      <c r="CA811"/>
      <c r="CB811"/>
    </row>
    <row r="812" ht="15.0" customHeight="true">
      <c r="A812" s="51" t="s">
        <v>2448</v>
      </c>
      <c r="B812" s="33"/>
      <c r="C812" s="33" t="s">
        <v>5162</v>
      </c>
      <c r="D812" s="33"/>
      <c r="E812" s="33" t="s">
        <v>6708</v>
      </c>
      <c r="F812" s="33"/>
      <c r="G812" s="55" t="s">
        <v>8300</v>
      </c>
      <c r="H812" s="33"/>
      <c r="I812" s="51" t="s">
        <v>8301</v>
      </c>
      <c r="J812" s="33"/>
      <c r="K812" s="51" t="s">
        <v>8302</v>
      </c>
      <c r="L812" s="33" t="s">
        <v>2484</v>
      </c>
      <c r="M812" s="55" t="s">
        <v>2544</v>
      </c>
      <c r="N812" s="55"/>
      <c r="O812" s="33"/>
      <c r="P812" s="33" t="s">
        <v>2251</v>
      </c>
      <c r="Q812" s="33"/>
      <c r="R812" s="33" t="s">
        <v>2263</v>
      </c>
      <c r="S812" s="56" t="s">
        <v>2277</v>
      </c>
      <c r="T812" s="56"/>
      <c r="U812" s="56"/>
      <c r="V812" s="33" t="s">
        <v>2456</v>
      </c>
      <c r="W812" s="94" t="s">
        <v>2457</v>
      </c>
      <c r="X812" s="94" t="s">
        <v>2474</v>
      </c>
      <c r="Y812" s="51"/>
      <c r="Z812" s="51"/>
      <c r="AA812" s="33" t="s">
        <v>2459</v>
      </c>
      <c r="AB812" s="33" t="s">
        <v>2460</v>
      </c>
      <c r="AC812" s="33" t="s">
        <v>2486</v>
      </c>
      <c r="AD812" s="33" t="s">
        <v>2254</v>
      </c>
      <c r="AE812" s="33"/>
      <c r="AF812" s="33" t="s">
        <v>2267</v>
      </c>
      <c r="AG812" s="33" t="s">
        <v>2461</v>
      </c>
      <c r="AH812" s="33"/>
      <c r="AI812" s="33"/>
      <c r="AJ812" s="33" t="s">
        <v>8303</v>
      </c>
      <c r="AK812" s="94"/>
      <c r="AL812" s="33" t="s">
        <v>8304</v>
      </c>
      <c r="AM812" s="33"/>
      <c r="AN812" s="33" t="s">
        <v>3503</v>
      </c>
      <c r="AO812" s="51" t="s">
        <v>3104</v>
      </c>
      <c r="AP812" s="51" t="s">
        <v>207</v>
      </c>
      <c r="AQ812" s="33"/>
      <c r="AR812" s="54"/>
      <c r="AS812" s="54"/>
      <c r="AT812" s="54"/>
      <c r="AU812" s="54"/>
      <c r="AV812" s="54"/>
      <c r="AW812" s="54"/>
      <c r="AX812" s="54"/>
      <c r="AY812" s="54"/>
      <c r="AZ812" s="54"/>
      <c r="BA812" s="54"/>
      <c r="BB812" s="54"/>
      <c r="BC812" s="54"/>
      <c r="BD812" s="54" t="s">
        <v>2447</v>
      </c>
      <c r="BE812" s="54"/>
      <c r="BF812" s="54"/>
      <c r="BG812" s="54"/>
      <c r="BH812" s="54"/>
      <c r="BI812" s="54"/>
      <c r="BJ812" s="0"/>
      <c r="BK812" s="0"/>
      <c r="BL812" s="0"/>
      <c r="BM812" s="0"/>
      <c r="BN812" s="0"/>
      <c r="BO812" s="0"/>
      <c r="BP812"/>
      <c r="BQ812"/>
      <c r="BR812"/>
      <c r="BS812"/>
      <c r="BT812"/>
      <c r="BU812"/>
      <c r="BV812"/>
      <c r="BW812"/>
      <c r="BX812"/>
      <c r="BY812"/>
      <c r="BZ812"/>
      <c r="CA812"/>
      <c r="CB812"/>
    </row>
    <row r="813" ht="15.0" customHeight="true">
      <c r="A813" s="51" t="s">
        <v>2448</v>
      </c>
      <c r="B813" s="33"/>
      <c r="C813" s="33" t="s">
        <v>2887</v>
      </c>
      <c r="D813" s="33"/>
      <c r="E813" s="33" t="s">
        <v>3245</v>
      </c>
      <c r="F813" s="33"/>
      <c r="G813" s="55" t="s">
        <v>5788</v>
      </c>
      <c r="H813" s="33"/>
      <c r="I813" s="51" t="s">
        <v>8305</v>
      </c>
      <c r="J813" s="33"/>
      <c r="K813" s="51" t="s">
        <v>8306</v>
      </c>
      <c r="L813" s="33" t="s">
        <v>2454</v>
      </c>
      <c r="M813" s="55" t="s">
        <v>4625</v>
      </c>
      <c r="N813" s="55" t="s">
        <v>4535</v>
      </c>
      <c r="O813" s="33" t="s">
        <v>2272</v>
      </c>
      <c r="P813" s="33" t="s">
        <v>2251</v>
      </c>
      <c r="Q813" s="33"/>
      <c r="R813" s="33" t="s">
        <v>2263</v>
      </c>
      <c r="S813" s="56" t="s">
        <v>2277</v>
      </c>
      <c r="T813" s="56"/>
      <c r="U813" s="56"/>
      <c r="V813" s="33" t="s">
        <v>2456</v>
      </c>
      <c r="W813" s="94" t="s">
        <v>2457</v>
      </c>
      <c r="X813" s="94" t="s">
        <v>2474</v>
      </c>
      <c r="Y813" s="51"/>
      <c r="Z813" s="51"/>
      <c r="AA813" s="33" t="s">
        <v>2459</v>
      </c>
      <c r="AB813" s="33" t="s">
        <v>2460</v>
      </c>
      <c r="AC813" s="33"/>
      <c r="AD813" s="33" t="s">
        <v>2254</v>
      </c>
      <c r="AE813" s="33"/>
      <c r="AF813" s="33" t="s">
        <v>2267</v>
      </c>
      <c r="AG813" s="33" t="s">
        <v>2461</v>
      </c>
      <c r="AH813" s="33"/>
      <c r="AI813" s="33"/>
      <c r="AJ813" s="33" t="s">
        <v>8307</v>
      </c>
      <c r="AK813" s="94"/>
      <c r="AL813" s="33" t="s">
        <v>8308</v>
      </c>
      <c r="AM813" s="33"/>
      <c r="AN813" s="33" t="s">
        <v>2465</v>
      </c>
      <c r="AO813" s="51" t="s">
        <v>2673</v>
      </c>
      <c r="AP813" s="51" t="s">
        <v>207</v>
      </c>
      <c r="AQ813" s="33"/>
      <c r="AR813" s="54"/>
      <c r="AS813" s="54"/>
      <c r="AT813" s="54"/>
      <c r="AU813" s="54"/>
      <c r="AV813" s="54"/>
      <c r="AW813" s="54"/>
      <c r="AX813" s="54"/>
      <c r="AY813" s="54"/>
      <c r="AZ813" s="54"/>
      <c r="BA813" s="54"/>
      <c r="BB813" s="54"/>
      <c r="BC813" s="54"/>
      <c r="BD813" s="54" t="s">
        <v>2447</v>
      </c>
      <c r="BE813" s="54"/>
      <c r="BF813" s="54"/>
      <c r="BG813" s="54"/>
      <c r="BH813" s="54"/>
      <c r="BI813" s="54"/>
      <c r="BJ813" s="0"/>
      <c r="BK813" s="0"/>
      <c r="BL813" s="0"/>
      <c r="BM813" s="0"/>
      <c r="BN813" s="0"/>
      <c r="BO813" s="0"/>
      <c r="BP813"/>
      <c r="BQ813"/>
      <c r="BR813"/>
      <c r="BS813"/>
      <c r="BT813"/>
      <c r="BU813"/>
      <c r="BV813"/>
      <c r="BW813"/>
      <c r="BX813"/>
      <c r="BY813"/>
      <c r="BZ813"/>
      <c r="CA813"/>
      <c r="CB813"/>
    </row>
    <row r="814" ht="15.0" customHeight="true">
      <c r="A814" s="51" t="s">
        <v>2448</v>
      </c>
      <c r="B814" s="33"/>
      <c r="C814" s="33" t="s">
        <v>8309</v>
      </c>
      <c r="D814" s="33"/>
      <c r="E814" s="33" t="s">
        <v>8310</v>
      </c>
      <c r="F814" s="33"/>
      <c r="G814" s="55" t="s">
        <v>8311</v>
      </c>
      <c r="H814" s="33"/>
      <c r="I814" s="51" t="s">
        <v>8312</v>
      </c>
      <c r="J814" s="33"/>
      <c r="K814" s="51" t="s">
        <v>8313</v>
      </c>
      <c r="L814" s="33" t="s">
        <v>2454</v>
      </c>
      <c r="M814" s="55" t="s">
        <v>3771</v>
      </c>
      <c r="N814" s="55" t="s">
        <v>3771</v>
      </c>
      <c r="O814" s="33" t="s">
        <v>2272</v>
      </c>
      <c r="P814" s="33" t="s">
        <v>2251</v>
      </c>
      <c r="Q814" s="33"/>
      <c r="R814" s="33" t="s">
        <v>2263</v>
      </c>
      <c r="S814" s="56" t="s">
        <v>2277</v>
      </c>
      <c r="T814" s="56"/>
      <c r="U814" s="56"/>
      <c r="V814" s="33" t="s">
        <v>2456</v>
      </c>
      <c r="W814" s="94" t="s">
        <v>2457</v>
      </c>
      <c r="X814" s="94" t="s">
        <v>2458</v>
      </c>
      <c r="Y814" s="51"/>
      <c r="Z814" s="51"/>
      <c r="AA814" s="33" t="s">
        <v>2459</v>
      </c>
      <c r="AB814" s="33" t="s">
        <v>2460</v>
      </c>
      <c r="AC814" s="33"/>
      <c r="AD814" s="33" t="s">
        <v>2254</v>
      </c>
      <c r="AE814" s="33"/>
      <c r="AF814" s="33" t="s">
        <v>2267</v>
      </c>
      <c r="AG814" s="33" t="s">
        <v>2461</v>
      </c>
      <c r="AH814" s="33"/>
      <c r="AI814" s="33"/>
      <c r="AJ814" s="33" t="s">
        <v>8314</v>
      </c>
      <c r="AK814" s="94"/>
      <c r="AL814" s="33" t="s">
        <v>8315</v>
      </c>
      <c r="AM814" s="33"/>
      <c r="AN814" s="33" t="s">
        <v>2465</v>
      </c>
      <c r="AO814" s="51" t="s">
        <v>2489</v>
      </c>
      <c r="AP814" s="51" t="s">
        <v>207</v>
      </c>
      <c r="AQ814" s="33"/>
      <c r="AR814" s="54"/>
      <c r="AS814" s="54"/>
      <c r="AT814" s="54"/>
      <c r="AU814" s="54"/>
      <c r="AV814" s="54"/>
      <c r="AW814" s="54"/>
      <c r="AX814" s="54"/>
      <c r="AY814" s="54"/>
      <c r="AZ814" s="54"/>
      <c r="BA814" s="54"/>
      <c r="BB814" s="54"/>
      <c r="BC814" s="54"/>
      <c r="BD814" s="54" t="s">
        <v>2447</v>
      </c>
      <c r="BE814" s="54"/>
      <c r="BF814" s="54"/>
      <c r="BG814" s="54"/>
      <c r="BH814" s="54"/>
      <c r="BI814" s="54"/>
      <c r="BJ814" s="0"/>
      <c r="BK814" s="0"/>
      <c r="BL814" s="0"/>
      <c r="BM814" s="0"/>
      <c r="BN814" s="0"/>
      <c r="BO814" s="0"/>
      <c r="BP814"/>
      <c r="BQ814"/>
      <c r="BR814"/>
      <c r="BS814"/>
      <c r="BT814"/>
      <c r="BU814"/>
      <c r="BV814"/>
      <c r="BW814"/>
      <c r="BX814"/>
      <c r="BY814"/>
      <c r="BZ814"/>
      <c r="CA814"/>
      <c r="CB814"/>
    </row>
    <row r="815" ht="15.0" customHeight="true">
      <c r="A815" s="51" t="s">
        <v>2448</v>
      </c>
      <c r="B815" s="33"/>
      <c r="C815" s="33" t="s">
        <v>5107</v>
      </c>
      <c r="D815" s="33"/>
      <c r="E815" s="33" t="s">
        <v>8316</v>
      </c>
      <c r="F815" s="33"/>
      <c r="G815" s="55" t="s">
        <v>8317</v>
      </c>
      <c r="H815" s="33"/>
      <c r="I815" s="51" t="s">
        <v>8318</v>
      </c>
      <c r="J815" s="33"/>
      <c r="K815" s="51" t="s">
        <v>8319</v>
      </c>
      <c r="L815" s="33" t="s">
        <v>2454</v>
      </c>
      <c r="M815" s="55" t="s">
        <v>2944</v>
      </c>
      <c r="N815" s="55" t="s">
        <v>8320</v>
      </c>
      <c r="O815" s="33" t="s">
        <v>2272</v>
      </c>
      <c r="P815" s="33" t="s">
        <v>2251</v>
      </c>
      <c r="Q815" s="33"/>
      <c r="R815" s="33" t="s">
        <v>2263</v>
      </c>
      <c r="S815" s="56" t="s">
        <v>2277</v>
      </c>
      <c r="T815" s="56"/>
      <c r="U815" s="56"/>
      <c r="V815" s="33" t="s">
        <v>2456</v>
      </c>
      <c r="W815" s="94" t="s">
        <v>2457</v>
      </c>
      <c r="X815" s="94" t="s">
        <v>2458</v>
      </c>
      <c r="Y815" s="51"/>
      <c r="Z815" s="51"/>
      <c r="AA815" s="33" t="s">
        <v>2459</v>
      </c>
      <c r="AB815" s="33" t="s">
        <v>2460</v>
      </c>
      <c r="AC815" s="33"/>
      <c r="AD815" s="33" t="s">
        <v>2254</v>
      </c>
      <c r="AE815" s="33"/>
      <c r="AF815" s="33" t="s">
        <v>2267</v>
      </c>
      <c r="AG815" s="33" t="s">
        <v>2461</v>
      </c>
      <c r="AH815" s="33"/>
      <c r="AI815" s="33"/>
      <c r="AJ815" s="33" t="s">
        <v>8321</v>
      </c>
      <c r="AK815" s="94"/>
      <c r="AL815" s="33" t="s">
        <v>8322</v>
      </c>
      <c r="AM815" s="33"/>
      <c r="AN815" s="33" t="s">
        <v>2465</v>
      </c>
      <c r="AO815" s="51" t="s">
        <v>2489</v>
      </c>
      <c r="AP815" s="51" t="s">
        <v>207</v>
      </c>
      <c r="AQ815" s="33"/>
      <c r="AR815" s="54"/>
      <c r="AS815" s="54"/>
      <c r="AT815" s="54"/>
      <c r="AU815" s="54"/>
      <c r="AV815" s="54"/>
      <c r="AW815" s="54"/>
      <c r="AX815" s="54"/>
      <c r="AY815" s="54"/>
      <c r="AZ815" s="54"/>
      <c r="BA815" s="54"/>
      <c r="BB815" s="54"/>
      <c r="BC815" s="54"/>
      <c r="BD815" s="54" t="s">
        <v>2447</v>
      </c>
      <c r="BE815" s="54"/>
      <c r="BF815" s="54"/>
      <c r="BG815" s="54"/>
      <c r="BH815" s="54"/>
      <c r="BI815" s="54"/>
      <c r="BJ815" s="0"/>
      <c r="BK815" s="0"/>
      <c r="BL815" s="0"/>
      <c r="BM815" s="0"/>
      <c r="BN815" s="0"/>
      <c r="BO815" s="0"/>
      <c r="BP815"/>
      <c r="BQ815"/>
      <c r="BR815"/>
      <c r="BS815"/>
      <c r="BT815"/>
      <c r="BU815"/>
      <c r="BV815"/>
      <c r="BW815"/>
      <c r="BX815"/>
      <c r="BY815"/>
      <c r="BZ815"/>
      <c r="CA815"/>
      <c r="CB815"/>
    </row>
    <row r="816" ht="15.0" customHeight="true">
      <c r="A816" s="51" t="s">
        <v>2448</v>
      </c>
      <c r="B816" s="33"/>
      <c r="C816" s="33" t="s">
        <v>6962</v>
      </c>
      <c r="D816" s="33"/>
      <c r="E816" s="33" t="s">
        <v>8323</v>
      </c>
      <c r="F816" s="33"/>
      <c r="G816" s="55" t="s">
        <v>8324</v>
      </c>
      <c r="H816" s="33"/>
      <c r="I816" s="51" t="s">
        <v>8325</v>
      </c>
      <c r="J816" s="33"/>
      <c r="K816" s="51" t="s">
        <v>8326</v>
      </c>
      <c r="L816" s="33" t="s">
        <v>2454</v>
      </c>
      <c r="M816" s="55" t="s">
        <v>6447</v>
      </c>
      <c r="N816" s="55" t="s">
        <v>5848</v>
      </c>
      <c r="O816" s="33" t="s">
        <v>2272</v>
      </c>
      <c r="P816" s="33" t="s">
        <v>2251</v>
      </c>
      <c r="Q816" s="33"/>
      <c r="R816" s="33" t="s">
        <v>2263</v>
      </c>
      <c r="S816" s="56" t="s">
        <v>2277</v>
      </c>
      <c r="T816" s="56"/>
      <c r="U816" s="56"/>
      <c r="V816" s="33" t="s">
        <v>2456</v>
      </c>
      <c r="W816" s="94" t="s">
        <v>2457</v>
      </c>
      <c r="X816" s="94" t="s">
        <v>2474</v>
      </c>
      <c r="Y816" s="51"/>
      <c r="Z816" s="51"/>
      <c r="AA816" s="33" t="s">
        <v>2459</v>
      </c>
      <c r="AB816" s="33" t="s">
        <v>2460</v>
      </c>
      <c r="AC816" s="33"/>
      <c r="AD816" s="33" t="s">
        <v>2254</v>
      </c>
      <c r="AE816" s="33"/>
      <c r="AF816" s="33" t="s">
        <v>2267</v>
      </c>
      <c r="AG816" s="33" t="s">
        <v>2461</v>
      </c>
      <c r="AH816" s="33"/>
      <c r="AI816" s="33"/>
      <c r="AJ816" s="33" t="s">
        <v>8327</v>
      </c>
      <c r="AK816" s="94"/>
      <c r="AL816" s="33" t="s">
        <v>8328</v>
      </c>
      <c r="AM816" s="33"/>
      <c r="AN816" s="33" t="s">
        <v>2588</v>
      </c>
      <c r="AO816" s="51" t="s">
        <v>2911</v>
      </c>
      <c r="AP816" s="51" t="s">
        <v>207</v>
      </c>
      <c r="AQ816" s="33"/>
      <c r="AR816" s="54"/>
      <c r="AS816" s="54"/>
      <c r="AT816" s="54"/>
      <c r="AU816" s="54"/>
      <c r="AV816" s="54"/>
      <c r="AW816" s="54"/>
      <c r="AX816" s="54"/>
      <c r="AY816" s="54"/>
      <c r="AZ816" s="54"/>
      <c r="BA816" s="54"/>
      <c r="BB816" s="54"/>
      <c r="BC816" s="54"/>
      <c r="BD816" s="54" t="s">
        <v>2447</v>
      </c>
      <c r="BE816" s="54"/>
      <c r="BF816" s="54"/>
      <c r="BG816" s="54"/>
      <c r="BH816" s="54"/>
      <c r="BI816" s="54"/>
      <c r="BJ816" s="0"/>
      <c r="BK816" s="0"/>
      <c r="BL816" s="0"/>
      <c r="BM816" s="0"/>
      <c r="BN816" s="0"/>
      <c r="BO816" s="0"/>
      <c r="BP816"/>
      <c r="BQ816"/>
      <c r="BR816"/>
      <c r="BS816"/>
      <c r="BT816"/>
      <c r="BU816"/>
      <c r="BV816"/>
      <c r="BW816"/>
      <c r="BX816"/>
      <c r="BY816"/>
      <c r="BZ816"/>
      <c r="CA816"/>
      <c r="CB816"/>
    </row>
    <row r="817" ht="15.0" customHeight="true">
      <c r="A817" s="51" t="s">
        <v>2448</v>
      </c>
      <c r="B817" s="33"/>
      <c r="C817" s="33" t="s">
        <v>8329</v>
      </c>
      <c r="D817" s="33"/>
      <c r="E817" s="33" t="s">
        <v>2723</v>
      </c>
      <c r="F817" s="33"/>
      <c r="G817" s="55" t="s">
        <v>8330</v>
      </c>
      <c r="H817" s="33"/>
      <c r="I817" s="51" t="s">
        <v>8331</v>
      </c>
      <c r="J817" s="33"/>
      <c r="K817" s="51" t="s">
        <v>8332</v>
      </c>
      <c r="L817" s="33" t="s">
        <v>2454</v>
      </c>
      <c r="M817" s="55" t="s">
        <v>7320</v>
      </c>
      <c r="N817" s="55" t="s">
        <v>3037</v>
      </c>
      <c r="O817" s="33" t="s">
        <v>2272</v>
      </c>
      <c r="P817" s="33" t="s">
        <v>2251</v>
      </c>
      <c r="Q817" s="33"/>
      <c r="R817" s="33" t="s">
        <v>2263</v>
      </c>
      <c r="S817" s="56" t="s">
        <v>2277</v>
      </c>
      <c r="T817" s="56"/>
      <c r="U817" s="56"/>
      <c r="V817" s="33" t="s">
        <v>2456</v>
      </c>
      <c r="W817" s="94" t="s">
        <v>2457</v>
      </c>
      <c r="X817" s="94" t="s">
        <v>2474</v>
      </c>
      <c r="Y817" s="51"/>
      <c r="Z817" s="51"/>
      <c r="AA817" s="33" t="s">
        <v>2459</v>
      </c>
      <c r="AB817" s="33" t="s">
        <v>2460</v>
      </c>
      <c r="AC817" s="33"/>
      <c r="AD817" s="33" t="s">
        <v>2254</v>
      </c>
      <c r="AE817" s="33"/>
      <c r="AF817" s="33" t="s">
        <v>2267</v>
      </c>
      <c r="AG817" s="33" t="s">
        <v>2461</v>
      </c>
      <c r="AH817" s="33"/>
      <c r="AI817" s="33"/>
      <c r="AJ817" s="33" t="s">
        <v>8333</v>
      </c>
      <c r="AK817" s="94"/>
      <c r="AL817" s="33" t="s">
        <v>3386</v>
      </c>
      <c r="AM817" s="33" t="s">
        <v>8334</v>
      </c>
      <c r="AN817" s="33" t="s">
        <v>2465</v>
      </c>
      <c r="AO817" s="51" t="s">
        <v>2500</v>
      </c>
      <c r="AP817" s="51" t="s">
        <v>207</v>
      </c>
      <c r="AQ817" s="33"/>
      <c r="AR817" s="54"/>
      <c r="AS817" s="54"/>
      <c r="AT817" s="54"/>
      <c r="AU817" s="54"/>
      <c r="AV817" s="54"/>
      <c r="AW817" s="54"/>
      <c r="AX817" s="54"/>
      <c r="AY817" s="54"/>
      <c r="AZ817" s="54"/>
      <c r="BA817" s="54"/>
      <c r="BB817" s="54"/>
      <c r="BC817" s="54"/>
      <c r="BD817" s="54" t="s">
        <v>2447</v>
      </c>
      <c r="BE817" s="54"/>
      <c r="BF817" s="54"/>
      <c r="BG817" s="54"/>
      <c r="BH817" s="54"/>
      <c r="BI817" s="54"/>
      <c r="BJ817" s="0"/>
      <c r="BK817" s="0"/>
      <c r="BL817" s="0"/>
      <c r="BM817" s="0"/>
      <c r="BN817" s="0"/>
      <c r="BO817" s="0"/>
      <c r="BP817"/>
      <c r="BQ817"/>
      <c r="BR817"/>
      <c r="BS817"/>
      <c r="BT817"/>
      <c r="BU817"/>
      <c r="BV817"/>
      <c r="BW817"/>
      <c r="BX817"/>
      <c r="BY817"/>
      <c r="BZ817"/>
      <c r="CA817"/>
      <c r="CB817"/>
    </row>
    <row r="818" ht="15.0" customHeight="true">
      <c r="A818" s="51" t="s">
        <v>2448</v>
      </c>
      <c r="B818" s="33"/>
      <c r="C818" s="33" t="s">
        <v>8335</v>
      </c>
      <c r="D818" s="33"/>
      <c r="E818" s="33" t="s">
        <v>3641</v>
      </c>
      <c r="F818" s="33"/>
      <c r="G818" s="55" t="s">
        <v>8336</v>
      </c>
      <c r="H818" s="33"/>
      <c r="I818" s="51" t="s">
        <v>8337</v>
      </c>
      <c r="J818" s="33"/>
      <c r="K818" s="51" t="s">
        <v>8338</v>
      </c>
      <c r="L818" s="33" t="s">
        <v>2454</v>
      </c>
      <c r="M818" s="55" t="s">
        <v>3601</v>
      </c>
      <c r="N818" s="55" t="s">
        <v>4368</v>
      </c>
      <c r="O818" s="33" t="s">
        <v>2272</v>
      </c>
      <c r="P818" s="33" t="s">
        <v>2251</v>
      </c>
      <c r="Q818" s="33"/>
      <c r="R818" s="33" t="s">
        <v>2263</v>
      </c>
      <c r="S818" s="56" t="s">
        <v>2277</v>
      </c>
      <c r="T818" s="56"/>
      <c r="U818" s="56"/>
      <c r="V818" s="33" t="s">
        <v>2456</v>
      </c>
      <c r="W818" s="94" t="s">
        <v>2457</v>
      </c>
      <c r="X818" s="94" t="s">
        <v>2474</v>
      </c>
      <c r="Y818" s="51"/>
      <c r="Z818" s="51"/>
      <c r="AA818" s="33" t="s">
        <v>2459</v>
      </c>
      <c r="AB818" s="33" t="s">
        <v>2460</v>
      </c>
      <c r="AC818" s="33"/>
      <c r="AD818" s="33" t="s">
        <v>2254</v>
      </c>
      <c r="AE818" s="33"/>
      <c r="AF818" s="33" t="s">
        <v>2267</v>
      </c>
      <c r="AG818" s="33" t="s">
        <v>2461</v>
      </c>
      <c r="AH818" s="33"/>
      <c r="AI818" s="33"/>
      <c r="AJ818" s="33" t="s">
        <v>8339</v>
      </c>
      <c r="AK818" s="94"/>
      <c r="AL818" s="33" t="s">
        <v>8340</v>
      </c>
      <c r="AM818" s="33" t="s">
        <v>8341</v>
      </c>
      <c r="AN818" s="33" t="s">
        <v>2588</v>
      </c>
      <c r="AO818" s="51" t="s">
        <v>2589</v>
      </c>
      <c r="AP818" s="51" t="s">
        <v>207</v>
      </c>
      <c r="AQ818" s="33"/>
      <c r="AR818" s="54"/>
      <c r="AS818" s="54"/>
      <c r="AT818" s="54"/>
      <c r="AU818" s="54"/>
      <c r="AV818" s="54"/>
      <c r="AW818" s="54"/>
      <c r="AX818" s="54"/>
      <c r="AY818" s="54"/>
      <c r="AZ818" s="54"/>
      <c r="BA818" s="54"/>
      <c r="BB818" s="54"/>
      <c r="BC818" s="54"/>
      <c r="BD818" s="54" t="s">
        <v>2447</v>
      </c>
      <c r="BE818" s="54"/>
      <c r="BF818" s="54"/>
      <c r="BG818" s="54"/>
      <c r="BH818" s="54"/>
      <c r="BI818" s="54"/>
      <c r="BJ818" s="0"/>
      <c r="BK818" s="0"/>
      <c r="BL818" s="0"/>
      <c r="BM818" s="0"/>
      <c r="BN818" s="0"/>
      <c r="BO818" s="0"/>
      <c r="BP818"/>
      <c r="BQ818"/>
      <c r="BR818"/>
      <c r="BS818"/>
      <c r="BT818"/>
      <c r="BU818"/>
      <c r="BV818"/>
      <c r="BW818"/>
      <c r="BX818"/>
      <c r="BY818"/>
      <c r="BZ818"/>
      <c r="CA818"/>
      <c r="CB818"/>
    </row>
    <row r="819" ht="15.0" customHeight="true">
      <c r="A819" s="51" t="s">
        <v>2448</v>
      </c>
      <c r="B819" s="33"/>
      <c r="C819" s="33" t="s">
        <v>4254</v>
      </c>
      <c r="D819" s="33"/>
      <c r="E819" s="33" t="s">
        <v>8342</v>
      </c>
      <c r="F819" s="33"/>
      <c r="G819" s="55" t="s">
        <v>8343</v>
      </c>
      <c r="H819" s="33"/>
      <c r="I819" s="51" t="s">
        <v>8344</v>
      </c>
      <c r="J819" s="33"/>
      <c r="K819" s="51" t="s">
        <v>8345</v>
      </c>
      <c r="L819" s="33" t="s">
        <v>2454</v>
      </c>
      <c r="M819" s="55" t="s">
        <v>2455</v>
      </c>
      <c r="N819" s="55" t="s">
        <v>8346</v>
      </c>
      <c r="O819" s="33" t="s">
        <v>2272</v>
      </c>
      <c r="P819" s="33" t="s">
        <v>2251</v>
      </c>
      <c r="Q819" s="33"/>
      <c r="R819" s="33" t="s">
        <v>2263</v>
      </c>
      <c r="S819" s="56" t="s">
        <v>2277</v>
      </c>
      <c r="T819" s="56"/>
      <c r="U819" s="56"/>
      <c r="V819" s="33" t="s">
        <v>2456</v>
      </c>
      <c r="W819" s="94" t="s">
        <v>2457</v>
      </c>
      <c r="X819" s="94" t="s">
        <v>2458</v>
      </c>
      <c r="Y819" s="51"/>
      <c r="Z819" s="51"/>
      <c r="AA819" s="33" t="s">
        <v>2459</v>
      </c>
      <c r="AB819" s="33" t="s">
        <v>2460</v>
      </c>
      <c r="AC819" s="33"/>
      <c r="AD819" s="33" t="s">
        <v>2254</v>
      </c>
      <c r="AE819" s="33"/>
      <c r="AF819" s="33" t="s">
        <v>2267</v>
      </c>
      <c r="AG819" s="33" t="s">
        <v>2461</v>
      </c>
      <c r="AH819" s="33"/>
      <c r="AI819" s="33"/>
      <c r="AJ819" s="33" t="s">
        <v>8347</v>
      </c>
      <c r="AK819" s="94"/>
      <c r="AL819" s="33" t="s">
        <v>8348</v>
      </c>
      <c r="AM819" s="33"/>
      <c r="AN819" s="33" t="s">
        <v>8349</v>
      </c>
      <c r="AO819" s="51" t="s">
        <v>8350</v>
      </c>
      <c r="AP819" s="51" t="s">
        <v>211</v>
      </c>
      <c r="AQ819" s="33"/>
      <c r="AR819" s="54"/>
      <c r="AS819" s="54"/>
      <c r="AT819" s="54"/>
      <c r="AU819" s="54"/>
      <c r="AV819" s="54"/>
      <c r="AW819" s="54"/>
      <c r="AX819" s="54"/>
      <c r="AY819" s="54"/>
      <c r="AZ819" s="54"/>
      <c r="BA819" s="54"/>
      <c r="BB819" s="54"/>
      <c r="BC819" s="54"/>
      <c r="BD819" s="54" t="s">
        <v>2447</v>
      </c>
      <c r="BE819" s="54"/>
      <c r="BF819" s="54"/>
      <c r="BG819" s="54"/>
      <c r="BH819" s="54"/>
      <c r="BI819" s="54"/>
      <c r="BJ819" s="0"/>
      <c r="BK819" s="0"/>
      <c r="BL819" s="0"/>
      <c r="BM819" s="0"/>
      <c r="BN819" s="0"/>
      <c r="BO819" s="0"/>
      <c r="BP819"/>
      <c r="BQ819"/>
      <c r="BR819"/>
      <c r="BS819"/>
      <c r="BT819"/>
      <c r="BU819"/>
      <c r="BV819"/>
      <c r="BW819"/>
      <c r="BX819"/>
      <c r="BY819"/>
      <c r="BZ819"/>
      <c r="CA819"/>
      <c r="CB819"/>
    </row>
    <row r="820" ht="15.0" customHeight="true">
      <c r="A820" s="51" t="s">
        <v>2448</v>
      </c>
      <c r="B820" s="33"/>
      <c r="C820" s="33" t="s">
        <v>4335</v>
      </c>
      <c r="D820" s="33"/>
      <c r="E820" s="33" t="s">
        <v>3014</v>
      </c>
      <c r="F820" s="33"/>
      <c r="G820" s="55" t="s">
        <v>8351</v>
      </c>
      <c r="H820" s="33"/>
      <c r="I820" s="51" t="s">
        <v>8352</v>
      </c>
      <c r="J820" s="33"/>
      <c r="K820" s="51" t="s">
        <v>8353</v>
      </c>
      <c r="L820" s="33" t="s">
        <v>2454</v>
      </c>
      <c r="M820" s="55" t="s">
        <v>4590</v>
      </c>
      <c r="N820" s="55" t="s">
        <v>4102</v>
      </c>
      <c r="O820" s="33" t="s">
        <v>2272</v>
      </c>
      <c r="P820" s="33" t="s">
        <v>2251</v>
      </c>
      <c r="Q820" s="33"/>
      <c r="R820" s="33" t="s">
        <v>2263</v>
      </c>
      <c r="S820" s="56" t="s">
        <v>2277</v>
      </c>
      <c r="T820" s="56"/>
      <c r="U820" s="56"/>
      <c r="V820" s="33" t="s">
        <v>2456</v>
      </c>
      <c r="W820" s="94" t="s">
        <v>2457</v>
      </c>
      <c r="X820" s="94" t="s">
        <v>2458</v>
      </c>
      <c r="Y820" s="51"/>
      <c r="Z820" s="51"/>
      <c r="AA820" s="33" t="s">
        <v>2459</v>
      </c>
      <c r="AB820" s="33" t="s">
        <v>2460</v>
      </c>
      <c r="AC820" s="33"/>
      <c r="AD820" s="33" t="s">
        <v>2254</v>
      </c>
      <c r="AE820" s="33"/>
      <c r="AF820" s="33" t="s">
        <v>2267</v>
      </c>
      <c r="AG820" s="33" t="s">
        <v>2461</v>
      </c>
      <c r="AH820" s="33"/>
      <c r="AI820" s="33"/>
      <c r="AJ820" s="33" t="s">
        <v>8354</v>
      </c>
      <c r="AK820" s="94"/>
      <c r="AL820" s="33" t="s">
        <v>6419</v>
      </c>
      <c r="AM820" s="33" t="s">
        <v>8355</v>
      </c>
      <c r="AN820" s="33" t="s">
        <v>2465</v>
      </c>
      <c r="AO820" s="51" t="s">
        <v>2618</v>
      </c>
      <c r="AP820" s="51" t="s">
        <v>207</v>
      </c>
      <c r="AQ820" s="33"/>
      <c r="AR820" s="54"/>
      <c r="AS820" s="54"/>
      <c r="AT820" s="54"/>
      <c r="AU820" s="54"/>
      <c r="AV820" s="54"/>
      <c r="AW820" s="54"/>
      <c r="AX820" s="54"/>
      <c r="AY820" s="54"/>
      <c r="AZ820" s="54"/>
      <c r="BA820" s="54"/>
      <c r="BB820" s="54"/>
      <c r="BC820" s="54"/>
      <c r="BD820" s="54" t="s">
        <v>2447</v>
      </c>
      <c r="BE820" s="54"/>
      <c r="BF820" s="54"/>
      <c r="BG820" s="54"/>
      <c r="BH820" s="54"/>
      <c r="BI820" s="54"/>
      <c r="BJ820" s="0"/>
      <c r="BK820" s="0"/>
      <c r="BL820" s="0"/>
      <c r="BM820" s="0"/>
      <c r="BN820" s="0"/>
      <c r="BO820" s="0"/>
      <c r="BP820"/>
      <c r="BQ820"/>
      <c r="BR820"/>
      <c r="BS820"/>
      <c r="BT820"/>
      <c r="BU820"/>
      <c r="BV820"/>
      <c r="BW820"/>
      <c r="BX820"/>
      <c r="BY820"/>
      <c r="BZ820"/>
      <c r="CA820"/>
      <c r="CB820"/>
    </row>
    <row r="821" ht="15.0" customHeight="true">
      <c r="A821" s="51" t="s">
        <v>2448</v>
      </c>
      <c r="B821" s="33"/>
      <c r="C821" s="33" t="s">
        <v>8356</v>
      </c>
      <c r="D821" s="33"/>
      <c r="E821" s="33" t="s">
        <v>2659</v>
      </c>
      <c r="F821" s="33"/>
      <c r="G821" s="55" t="s">
        <v>8357</v>
      </c>
      <c r="H821" s="33"/>
      <c r="I821" s="51" t="s">
        <v>8358</v>
      </c>
      <c r="J821" s="33"/>
      <c r="K821" s="51" t="s">
        <v>8359</v>
      </c>
      <c r="L821" s="33" t="s">
        <v>2484</v>
      </c>
      <c r="M821" s="55" t="s">
        <v>2937</v>
      </c>
      <c r="N821" s="55"/>
      <c r="O821" s="33"/>
      <c r="P821" s="33" t="s">
        <v>2251</v>
      </c>
      <c r="Q821" s="33"/>
      <c r="R821" s="33" t="s">
        <v>2263</v>
      </c>
      <c r="S821" s="56" t="s">
        <v>2277</v>
      </c>
      <c r="T821" s="56"/>
      <c r="U821" s="56"/>
      <c r="V821" s="33" t="s">
        <v>2456</v>
      </c>
      <c r="W821" s="94" t="s">
        <v>2457</v>
      </c>
      <c r="X821" s="94" t="s">
        <v>2474</v>
      </c>
      <c r="Y821" s="51"/>
      <c r="Z821" s="51"/>
      <c r="AA821" s="33" t="s">
        <v>2459</v>
      </c>
      <c r="AB821" s="33" t="s">
        <v>2460</v>
      </c>
      <c r="AC821" s="33" t="s">
        <v>2486</v>
      </c>
      <c r="AD821" s="33" t="s">
        <v>2254</v>
      </c>
      <c r="AE821" s="33"/>
      <c r="AF821" s="33" t="s">
        <v>2267</v>
      </c>
      <c r="AG821" s="33" t="s">
        <v>2461</v>
      </c>
      <c r="AH821" s="33"/>
      <c r="AI821" s="33"/>
      <c r="AJ821" s="33" t="s">
        <v>8360</v>
      </c>
      <c r="AK821" s="94"/>
      <c r="AL821" s="33" t="s">
        <v>8361</v>
      </c>
      <c r="AM821" s="33" t="s">
        <v>8362</v>
      </c>
      <c r="AN821" s="33" t="s">
        <v>2465</v>
      </c>
      <c r="AO821" s="51" t="s">
        <v>2466</v>
      </c>
      <c r="AP821" s="51" t="s">
        <v>207</v>
      </c>
      <c r="AQ821" s="33"/>
      <c r="AR821" s="54"/>
      <c r="AS821" s="54"/>
      <c r="AT821" s="54"/>
      <c r="AU821" s="54"/>
      <c r="AV821" s="54"/>
      <c r="AW821" s="54"/>
      <c r="AX821" s="54"/>
      <c r="AY821" s="54"/>
      <c r="AZ821" s="54"/>
      <c r="BA821" s="54"/>
      <c r="BB821" s="54"/>
      <c r="BC821" s="54"/>
      <c r="BD821" s="54" t="s">
        <v>2447</v>
      </c>
      <c r="BE821" s="54"/>
      <c r="BF821" s="54"/>
      <c r="BG821" s="54"/>
      <c r="BH821" s="54"/>
      <c r="BI821" s="54"/>
      <c r="BJ821" s="0"/>
      <c r="BK821" s="0"/>
      <c r="BL821" s="0"/>
      <c r="BM821" s="0"/>
      <c r="BN821" s="0"/>
      <c r="BO821" s="0"/>
      <c r="BP821"/>
      <c r="BQ821"/>
      <c r="BR821"/>
      <c r="BS821"/>
      <c r="BT821"/>
      <c r="BU821"/>
      <c r="BV821"/>
      <c r="BW821"/>
      <c r="BX821"/>
      <c r="BY821"/>
      <c r="BZ821"/>
      <c r="CA821"/>
      <c r="CB821"/>
    </row>
    <row r="822" ht="15.0" customHeight="true">
      <c r="A822" s="51" t="s">
        <v>2448</v>
      </c>
      <c r="B822" s="33"/>
      <c r="C822" s="33" t="s">
        <v>8363</v>
      </c>
      <c r="D822" s="33"/>
      <c r="E822" s="33" t="s">
        <v>8364</v>
      </c>
      <c r="F822" s="33"/>
      <c r="G822" s="55" t="s">
        <v>8365</v>
      </c>
      <c r="H822" s="33"/>
      <c r="I822" s="51" t="s">
        <v>8366</v>
      </c>
      <c r="J822" s="33"/>
      <c r="K822" s="51" t="s">
        <v>8367</v>
      </c>
      <c r="L822" s="33" t="s">
        <v>2484</v>
      </c>
      <c r="M822" s="55" t="s">
        <v>2572</v>
      </c>
      <c r="N822" s="55"/>
      <c r="O822" s="33"/>
      <c r="P822" s="33" t="s">
        <v>2251</v>
      </c>
      <c r="Q822" s="33"/>
      <c r="R822" s="33" t="s">
        <v>2263</v>
      </c>
      <c r="S822" s="56" t="s">
        <v>2277</v>
      </c>
      <c r="T822" s="56"/>
      <c r="U822" s="56"/>
      <c r="V822" s="33" t="s">
        <v>2456</v>
      </c>
      <c r="W822" s="94" t="s">
        <v>2457</v>
      </c>
      <c r="X822" s="94" t="s">
        <v>2474</v>
      </c>
      <c r="Y822" s="51"/>
      <c r="Z822" s="51"/>
      <c r="AA822" s="33" t="s">
        <v>2459</v>
      </c>
      <c r="AB822" s="33" t="s">
        <v>2460</v>
      </c>
      <c r="AC822" s="33" t="s">
        <v>2486</v>
      </c>
      <c r="AD822" s="33" t="s">
        <v>2254</v>
      </c>
      <c r="AE822" s="33"/>
      <c r="AF822" s="33" t="s">
        <v>2267</v>
      </c>
      <c r="AG822" s="33" t="s">
        <v>2461</v>
      </c>
      <c r="AH822" s="33"/>
      <c r="AI822" s="33"/>
      <c r="AJ822" s="33" t="s">
        <v>8368</v>
      </c>
      <c r="AK822" s="94"/>
      <c r="AL822" s="33" t="s">
        <v>8369</v>
      </c>
      <c r="AM822" s="33"/>
      <c r="AN822" s="33" t="s">
        <v>3031</v>
      </c>
      <c r="AO822" s="51" t="s">
        <v>4142</v>
      </c>
      <c r="AP822" s="51" t="s">
        <v>207</v>
      </c>
      <c r="AQ822" s="33"/>
      <c r="AR822" s="54"/>
      <c r="AS822" s="54"/>
      <c r="AT822" s="54"/>
      <c r="AU822" s="54"/>
      <c r="AV822" s="54"/>
      <c r="AW822" s="54"/>
      <c r="AX822" s="54"/>
      <c r="AY822" s="54"/>
      <c r="AZ822" s="54"/>
      <c r="BA822" s="54"/>
      <c r="BB822" s="54"/>
      <c r="BC822" s="54"/>
      <c r="BD822" s="54" t="s">
        <v>2447</v>
      </c>
      <c r="BE822" s="54"/>
      <c r="BF822" s="54"/>
      <c r="BG822" s="54"/>
      <c r="BH822" s="54"/>
      <c r="BI822" s="54"/>
      <c r="BJ822" s="0"/>
      <c r="BK822" s="0"/>
      <c r="BL822" s="0"/>
      <c r="BM822" s="0"/>
      <c r="BN822" s="0"/>
      <c r="BO822" s="0"/>
      <c r="BP822"/>
      <c r="BQ822"/>
      <c r="BR822"/>
      <c r="BS822"/>
      <c r="BT822"/>
      <c r="BU822"/>
      <c r="BV822"/>
      <c r="BW822"/>
      <c r="BX822"/>
      <c r="BY822"/>
      <c r="BZ822"/>
      <c r="CA822"/>
      <c r="CB822"/>
    </row>
    <row r="823" ht="15.0" customHeight="true">
      <c r="A823" s="51" t="s">
        <v>2448</v>
      </c>
      <c r="B823" s="33"/>
      <c r="C823" s="33" t="s">
        <v>8370</v>
      </c>
      <c r="D823" s="33"/>
      <c r="E823" s="33" t="s">
        <v>8371</v>
      </c>
      <c r="F823" s="33"/>
      <c r="G823" s="55" t="s">
        <v>2965</v>
      </c>
      <c r="H823" s="33"/>
      <c r="I823" s="51" t="s">
        <v>8372</v>
      </c>
      <c r="J823" s="33"/>
      <c r="K823" s="51" t="s">
        <v>8373</v>
      </c>
      <c r="L823" s="33" t="s">
        <v>2454</v>
      </c>
      <c r="M823" s="55" t="s">
        <v>2745</v>
      </c>
      <c r="N823" s="55" t="s">
        <v>3609</v>
      </c>
      <c r="O823" s="33" t="s">
        <v>2272</v>
      </c>
      <c r="P823" s="33" t="s">
        <v>2251</v>
      </c>
      <c r="Q823" s="33"/>
      <c r="R823" s="33" t="s">
        <v>2252</v>
      </c>
      <c r="S823" s="56" t="s">
        <v>2277</v>
      </c>
      <c r="T823" s="56"/>
      <c r="U823" s="56" t="s">
        <v>8374</v>
      </c>
      <c r="V823" s="33" t="s">
        <v>2745</v>
      </c>
      <c r="W823" s="94"/>
      <c r="X823" s="94"/>
      <c r="Y823" s="51"/>
      <c r="Z823" s="51"/>
      <c r="AA823" s="33" t="s">
        <v>2459</v>
      </c>
      <c r="AB823" s="33" t="s">
        <v>3863</v>
      </c>
      <c r="AC823" s="33"/>
      <c r="AD823" s="33" t="s">
        <v>2254</v>
      </c>
      <c r="AE823" s="33"/>
      <c r="AF823" s="33" t="s">
        <v>2256</v>
      </c>
      <c r="AG823" s="33" t="s">
        <v>2461</v>
      </c>
      <c r="AH823" s="33"/>
      <c r="AI823" s="33"/>
      <c r="AJ823" s="33" t="s">
        <v>8375</v>
      </c>
      <c r="AK823" s="94"/>
      <c r="AL823" s="33" t="s">
        <v>8376</v>
      </c>
      <c r="AM823" s="33"/>
      <c r="AN823" s="33" t="s">
        <v>2465</v>
      </c>
      <c r="AO823" s="51" t="s">
        <v>2489</v>
      </c>
      <c r="AP823" s="51" t="s">
        <v>207</v>
      </c>
      <c r="AQ823" s="33"/>
      <c r="AR823" s="54"/>
      <c r="AS823" s="54"/>
      <c r="AT823" s="54"/>
      <c r="AU823" s="54"/>
      <c r="AV823" s="54"/>
      <c r="AW823" s="54"/>
      <c r="AX823" s="54"/>
      <c r="AY823" s="54"/>
      <c r="AZ823" s="54"/>
      <c r="BA823" s="54"/>
      <c r="BB823" s="54"/>
      <c r="BC823" s="54"/>
      <c r="BD823" s="54" t="s">
        <v>2447</v>
      </c>
      <c r="BE823" s="54"/>
      <c r="BF823" s="54"/>
      <c r="BG823" s="54"/>
      <c r="BH823" s="54"/>
      <c r="BI823" s="54"/>
      <c r="BJ823" s="0"/>
      <c r="BK823" s="0"/>
      <c r="BL823" s="0"/>
      <c r="BM823" s="0"/>
      <c r="BN823" s="0"/>
      <c r="BO823" s="0"/>
      <c r="BP823"/>
      <c r="BQ823"/>
      <c r="BR823"/>
      <c r="BS823"/>
      <c r="BT823"/>
      <c r="BU823"/>
      <c r="BV823"/>
      <c r="BW823"/>
      <c r="BX823"/>
      <c r="BY823"/>
      <c r="BZ823"/>
      <c r="CA823"/>
      <c r="CB823"/>
    </row>
    <row r="824" ht="15.0" customHeight="true">
      <c r="A824" s="51" t="s">
        <v>2448</v>
      </c>
      <c r="B824" s="33"/>
      <c r="C824" s="33" t="s">
        <v>8377</v>
      </c>
      <c r="D824" s="33"/>
      <c r="E824" s="33" t="s">
        <v>8378</v>
      </c>
      <c r="F824" s="33"/>
      <c r="G824" s="55" t="s">
        <v>8379</v>
      </c>
      <c r="H824" s="33"/>
      <c r="I824" s="51" t="s">
        <v>8380</v>
      </c>
      <c r="J824" s="33"/>
      <c r="K824" s="51" t="s">
        <v>8381</v>
      </c>
      <c r="L824" s="33" t="s">
        <v>2484</v>
      </c>
      <c r="M824" s="55" t="s">
        <v>4942</v>
      </c>
      <c r="N824" s="55"/>
      <c r="O824" s="33"/>
      <c r="P824" s="33" t="s">
        <v>2251</v>
      </c>
      <c r="Q824" s="33"/>
      <c r="R824" s="33" t="s">
        <v>2263</v>
      </c>
      <c r="S824" s="56" t="s">
        <v>2277</v>
      </c>
      <c r="T824" s="56"/>
      <c r="U824" s="56"/>
      <c r="V824" s="33" t="s">
        <v>2456</v>
      </c>
      <c r="W824" s="94" t="s">
        <v>2457</v>
      </c>
      <c r="X824" s="94" t="s">
        <v>2474</v>
      </c>
      <c r="Y824" s="51"/>
      <c r="Z824" s="51"/>
      <c r="AA824" s="33" t="s">
        <v>2459</v>
      </c>
      <c r="AB824" s="33" t="s">
        <v>2460</v>
      </c>
      <c r="AC824" s="33" t="s">
        <v>2486</v>
      </c>
      <c r="AD824" s="33" t="s">
        <v>2254</v>
      </c>
      <c r="AE824" s="33"/>
      <c r="AF824" s="33" t="s">
        <v>2267</v>
      </c>
      <c r="AG824" s="33" t="s">
        <v>2461</v>
      </c>
      <c r="AH824" s="33"/>
      <c r="AI824" s="33"/>
      <c r="AJ824" s="33" t="s">
        <v>8382</v>
      </c>
      <c r="AK824" s="94"/>
      <c r="AL824" s="33" t="s">
        <v>8383</v>
      </c>
      <c r="AM824" s="33"/>
      <c r="AN824" s="33" t="s">
        <v>2465</v>
      </c>
      <c r="AO824" s="51" t="s">
        <v>2548</v>
      </c>
      <c r="AP824" s="51" t="s">
        <v>207</v>
      </c>
      <c r="AQ824" s="33"/>
      <c r="AR824" s="54"/>
      <c r="AS824" s="54"/>
      <c r="AT824" s="54"/>
      <c r="AU824" s="54"/>
      <c r="AV824" s="54"/>
      <c r="AW824" s="54"/>
      <c r="AX824" s="54"/>
      <c r="AY824" s="54"/>
      <c r="AZ824" s="54"/>
      <c r="BA824" s="54"/>
      <c r="BB824" s="54"/>
      <c r="BC824" s="54"/>
      <c r="BD824" s="54" t="s">
        <v>2447</v>
      </c>
      <c r="BE824" s="54"/>
      <c r="BF824" s="54"/>
      <c r="BG824" s="54"/>
      <c r="BH824" s="54"/>
      <c r="BI824" s="54"/>
      <c r="BJ824" s="0"/>
      <c r="BK824" s="0"/>
      <c r="BL824" s="0"/>
      <c r="BM824" s="0"/>
      <c r="BN824" s="0"/>
      <c r="BO824" s="0"/>
      <c r="BP824"/>
      <c r="BQ824"/>
      <c r="BR824"/>
      <c r="BS824"/>
      <c r="BT824"/>
      <c r="BU824"/>
      <c r="BV824"/>
      <c r="BW824"/>
      <c r="BX824"/>
      <c r="BY824"/>
      <c r="BZ824"/>
      <c r="CA824"/>
      <c r="CB824"/>
    </row>
    <row r="825" spans="1:58" x14ac:dyDescent="0.35" ht="15.0" customHeight="true">
      <c r="A825" s="51"/>
      <c r="F825" s="33"/>
      <c r="H825" s="33"/>
      <c r="I825" s="51"/>
      <c r="J825" s="33"/>
      <c r="K825" s="51"/>
      <c r="L825" s="33"/>
      <c r="U825" s="56"/>
      <c r="Y825" s="51"/>
      <c r="Z825" s="51"/>
      <c r="AN825" s="33"/>
      <c r="AO825" s="51"/>
      <c r="AR825" s="51"/>
      <c r="AS825" s="54"/>
      <c r="AT825" s="54"/>
      <c r="AU825" s="54"/>
      <c r="AV825" s="34"/>
      <c r="AW825" s="34"/>
      <c r="AX825" s="34"/>
      <c r="AY825" s="34"/>
      <c r="AZ825" s="34"/>
      <c r="BA825" s="44"/>
      <c r="BB825" s="34"/>
      <c r="BC825" s="34"/>
    </row>
    <row r="826" spans="1:58" x14ac:dyDescent="0.35" ht="15.0" customHeight="true">
      <c r="A826" s="51"/>
      <c r="F826" s="33"/>
      <c r="H826" s="33"/>
      <c r="I826" s="51"/>
      <c r="J826" s="33"/>
      <c r="K826" s="51"/>
      <c r="L826" s="33"/>
      <c r="U826" s="56"/>
      <c r="Y826" s="51"/>
      <c r="Z826" s="51"/>
      <c r="AN826" s="33"/>
      <c r="AO826" s="51"/>
      <c r="AR826" s="51"/>
      <c r="AS826" s="54"/>
      <c r="AT826" s="54"/>
      <c r="AU826" s="54"/>
      <c r="AV826" s="34"/>
      <c r="AW826" s="34"/>
      <c r="AX826" s="34"/>
      <c r="AY826" s="34"/>
      <c r="AZ826" s="34"/>
      <c r="BA826" s="44"/>
      <c r="BB826" s="34"/>
      <c r="BC826" s="34"/>
    </row>
    <row r="827" spans="1:58" x14ac:dyDescent="0.35" ht="15.0" customHeight="true">
      <c r="A827" s="51"/>
      <c r="F827" s="33"/>
      <c r="H827" s="33"/>
      <c r="I827" s="51"/>
      <c r="J827" s="33"/>
      <c r="K827" s="51"/>
      <c r="L827" s="33"/>
      <c r="U827" s="56"/>
      <c r="Y827" s="51"/>
      <c r="Z827" s="51"/>
      <c r="AN827" s="33"/>
      <c r="AO827" s="51"/>
      <c r="AR827" s="51"/>
      <c r="AS827" s="54"/>
      <c r="AT827" s="54"/>
      <c r="AU827" s="54"/>
      <c r="AV827" s="34"/>
      <c r="AW827" s="34"/>
      <c r="AX827" s="34"/>
      <c r="AY827" s="34"/>
      <c r="AZ827" s="34"/>
      <c r="BA827" s="44"/>
      <c r="BB827" s="34"/>
      <c r="BC827" s="34"/>
    </row>
    <row r="828" spans="1:58" x14ac:dyDescent="0.35" ht="15.0" customHeight="true">
      <c r="A828" s="51"/>
      <c r="F828" s="33"/>
      <c r="H828" s="33"/>
      <c r="I828" s="51"/>
      <c r="J828" s="33"/>
      <c r="K828" s="51"/>
      <c r="L828" s="33"/>
      <c r="U828" s="56"/>
      <c r="Y828" s="51"/>
      <c r="Z828" s="51"/>
      <c r="AN828" s="33"/>
      <c r="AO828" s="51"/>
      <c r="AR828" s="51"/>
      <c r="AS828" s="54"/>
      <c r="AT828" s="54"/>
      <c r="AU828" s="54"/>
      <c r="AV828" s="34"/>
      <c r="AW828" s="34"/>
      <c r="AX828" s="34"/>
      <c r="AY828" s="34"/>
      <c r="AZ828" s="34"/>
      <c r="BA828" s="44"/>
      <c r="BB828" s="34"/>
      <c r="BC828" s="34"/>
    </row>
    <row r="829" spans="1:58" x14ac:dyDescent="0.35" ht="15.0" customHeight="true">
      <c r="A829" s="51"/>
      <c r="F829" s="33"/>
      <c r="H829" s="33"/>
      <c r="I829" s="51"/>
      <c r="J829" s="33"/>
      <c r="K829" s="51"/>
      <c r="L829" s="33"/>
      <c r="U829" s="56"/>
      <c r="Y829" s="51"/>
      <c r="Z829" s="51"/>
      <c r="AN829" s="33"/>
      <c r="AO829" s="51"/>
      <c r="AR829" s="51"/>
      <c r="AS829" s="54"/>
      <c r="AT829" s="54"/>
      <c r="AU829" s="54"/>
      <c r="AV829" s="34"/>
      <c r="AW829" s="34"/>
      <c r="AX829" s="34"/>
      <c r="AY829" s="34"/>
      <c r="AZ829" s="34"/>
      <c r="BA829" s="44"/>
      <c r="BB829" s="34"/>
      <c r="BC829" s="34"/>
    </row>
    <row r="830" spans="1:58" x14ac:dyDescent="0.35" ht="15.0" customHeight="true">
      <c r="A830" s="51"/>
      <c r="F830" s="33"/>
      <c r="H830" s="33"/>
      <c r="I830" s="51"/>
      <c r="J830" s="33"/>
      <c r="K830" s="51"/>
      <c r="L830" s="33"/>
      <c r="U830" s="56"/>
      <c r="Y830" s="51"/>
      <c r="Z830" s="51"/>
      <c r="AN830" s="33"/>
      <c r="AO830" s="51"/>
      <c r="AR830" s="51"/>
      <c r="AS830" s="54"/>
      <c r="AT830" s="54"/>
      <c r="AU830" s="54"/>
      <c r="AV830" s="34"/>
      <c r="AW830" s="34"/>
      <c r="AX830" s="34"/>
      <c r="AY830" s="34"/>
      <c r="AZ830" s="34"/>
      <c r="BA830" s="44"/>
      <c r="BB830" s="34"/>
      <c r="BC830" s="34"/>
    </row>
    <row r="831" spans="1:58" x14ac:dyDescent="0.35" ht="15.0" customHeight="true">
      <c r="A831" s="51"/>
      <c r="F831" s="33"/>
      <c r="H831" s="33"/>
      <c r="I831" s="51"/>
      <c r="J831" s="33"/>
      <c r="K831" s="51"/>
      <c r="L831" s="33"/>
      <c r="U831" s="56"/>
      <c r="Y831" s="51"/>
      <c r="Z831" s="51"/>
      <c r="AN831" s="33"/>
      <c r="AO831" s="51"/>
      <c r="AR831" s="51"/>
      <c r="AS831" s="54"/>
      <c r="AT831" s="54"/>
      <c r="AU831" s="54"/>
      <c r="AV831" s="34"/>
      <c r="AW831" s="34"/>
      <c r="AX831" s="34"/>
      <c r="AY831" s="34"/>
      <c r="AZ831" s="34"/>
      <c r="BA831" s="44"/>
      <c r="BB831" s="34"/>
      <c r="BC831" s="34"/>
    </row>
    <row r="832" spans="1:58" x14ac:dyDescent="0.35" ht="15.0" customHeight="true">
      <c r="A832" s="51"/>
      <c r="F832" s="33"/>
      <c r="H832" s="33"/>
      <c r="I832" s="51"/>
      <c r="J832" s="33"/>
      <c r="K832" s="51"/>
      <c r="L832" s="33"/>
      <c r="U832" s="56"/>
      <c r="Y832" s="51"/>
      <c r="Z832" s="51"/>
      <c r="AN832" s="33"/>
      <c r="AO832" s="51"/>
      <c r="AR832" s="51"/>
      <c r="AS832" s="54"/>
      <c r="AT832" s="54"/>
      <c r="AU832" s="54"/>
      <c r="AV832" s="34"/>
      <c r="AW832" s="34"/>
      <c r="AX832" s="34"/>
      <c r="AY832" s="34"/>
      <c r="AZ832" s="34"/>
      <c r="BA832" s="44"/>
      <c r="BB832" s="34"/>
      <c r="BC832" s="34"/>
    </row>
    <row r="833" spans="1:58" x14ac:dyDescent="0.35" ht="15.0" customHeight="true">
      <c r="A833" s="51"/>
      <c r="F833" s="33"/>
      <c r="H833" s="33"/>
      <c r="I833" s="51"/>
      <c r="J833" s="33"/>
      <c r="K833" s="51"/>
      <c r="L833" s="33"/>
      <c r="U833" s="56"/>
      <c r="Y833" s="51"/>
      <c r="Z833" s="51"/>
      <c r="AN833" s="33"/>
      <c r="AO833" s="51"/>
      <c r="AR833" s="51"/>
      <c r="AS833" s="54"/>
      <c r="AT833" s="54"/>
      <c r="AU833" s="54"/>
      <c r="AV833" s="34"/>
      <c r="AW833" s="34"/>
      <c r="AX833" s="34"/>
      <c r="AY833" s="34"/>
      <c r="AZ833" s="34"/>
      <c r="BA833" s="44"/>
      <c r="BB833" s="34"/>
      <c r="BC833" s="34"/>
    </row>
    <row r="834" spans="1:55" x14ac:dyDescent="0.35" ht="15.0" customHeight="true">
      <c r="A834" s="51"/>
      <c r="F834" s="33"/>
      <c r="H834" s="33"/>
      <c r="I834" s="51"/>
      <c r="J834" s="33"/>
      <c r="K834" s="51"/>
      <c r="L834" s="33"/>
      <c r="U834" s="56"/>
      <c r="Y834" s="51"/>
      <c r="Z834" s="51"/>
      <c r="AN834" s="33"/>
      <c r="AO834" s="51"/>
      <c r="AR834" s="51"/>
      <c r="AS834" s="54"/>
      <c r="AT834" s="54"/>
      <c r="AU834" s="54"/>
      <c r="AV834" s="34"/>
      <c r="AW834" s="34"/>
      <c r="AX834" s="34"/>
      <c r="AY834" s="34"/>
      <c r="AZ834" s="34"/>
      <c r="BA834" s="44"/>
      <c r="BB834" s="34"/>
      <c r="BC834" s="34"/>
    </row>
    <row r="835" spans="1:55" x14ac:dyDescent="0.35" ht="15.0" customHeight="true">
      <c r="A835" s="51"/>
      <c r="F835" s="33"/>
      <c r="H835" s="33"/>
      <c r="I835" s="51"/>
      <c r="J835" s="33"/>
      <c r="K835" s="51"/>
      <c r="L835" s="33"/>
      <c r="U835" s="56"/>
      <c r="Y835" s="51"/>
      <c r="Z835" s="51"/>
      <c r="AN835" s="33"/>
      <c r="AO835" s="51"/>
      <c r="AR835" s="51"/>
      <c r="AS835" s="54"/>
      <c r="AT835" s="54"/>
      <c r="AU835" s="54"/>
      <c r="AV835" s="34"/>
      <c r="AW835" s="34"/>
      <c r="AX835" s="34"/>
      <c r="AY835" s="34"/>
      <c r="AZ835" s="34"/>
      <c r="BA835" s="44"/>
      <c r="BB835" s="34"/>
      <c r="BC835" s="34"/>
    </row>
    <row r="836" spans="1:55" x14ac:dyDescent="0.35" ht="15.0" customHeight="true">
      <c r="A836" s="51"/>
      <c r="F836" s="33"/>
      <c r="H836" s="33"/>
      <c r="I836" s="51"/>
      <c r="J836" s="33"/>
      <c r="K836" s="51"/>
      <c r="L836" s="33"/>
      <c r="U836" s="56"/>
      <c r="Y836" s="51"/>
      <c r="Z836" s="51"/>
      <c r="AN836" s="33"/>
      <c r="AO836" s="51"/>
      <c r="AR836" s="51"/>
      <c r="AS836" s="54"/>
      <c r="AT836" s="54"/>
      <c r="AU836" s="54"/>
      <c r="AV836" s="34"/>
      <c r="AW836" s="34"/>
      <c r="AX836" s="34"/>
      <c r="AY836" s="34"/>
      <c r="AZ836" s="34"/>
      <c r="BA836" s="44"/>
      <c r="BB836" s="34"/>
      <c r="BC836" s="34"/>
    </row>
    <row r="837" spans="1:55" x14ac:dyDescent="0.35" ht="15.0" customHeight="true">
      <c r="A837" s="51"/>
      <c r="F837" s="33"/>
      <c r="H837" s="33"/>
      <c r="I837" s="51"/>
      <c r="J837" s="33"/>
      <c r="K837" s="51"/>
      <c r="L837" s="33"/>
      <c r="U837" s="56"/>
      <c r="Y837" s="51"/>
      <c r="Z837" s="51"/>
      <c r="AN837" s="33"/>
      <c r="AO837" s="51"/>
      <c r="AR837" s="51"/>
      <c r="AS837" s="54"/>
      <c r="AT837" s="54"/>
      <c r="AU837" s="54"/>
      <c r="AV837" s="34"/>
      <c r="AW837" s="34"/>
      <c r="AX837" s="34"/>
      <c r="AY837" s="34"/>
      <c r="AZ837" s="34"/>
      <c r="BA837" s="44"/>
      <c r="BB837" s="34"/>
      <c r="BC837" s="34"/>
    </row>
    <row r="838" spans="1:55" x14ac:dyDescent="0.35" ht="15.0" customHeight="true">
      <c r="A838" s="51"/>
      <c r="F838" s="33"/>
      <c r="H838" s="33"/>
      <c r="I838" s="51"/>
      <c r="J838" s="33"/>
      <c r="K838" s="51"/>
      <c r="L838" s="33"/>
      <c r="U838" s="56"/>
      <c r="Y838" s="51"/>
      <c r="Z838" s="51"/>
      <c r="AN838" s="33"/>
      <c r="AO838" s="51"/>
      <c r="AR838" s="51"/>
      <c r="AS838" s="54"/>
      <c r="AT838" s="54"/>
      <c r="AU838" s="54"/>
      <c r="AV838" s="34"/>
      <c r="AW838" s="34"/>
      <c r="AX838" s="34"/>
      <c r="AY838" s="34"/>
      <c r="AZ838" s="34"/>
      <c r="BA838" s="44"/>
      <c r="BB838" s="34"/>
      <c r="BC838" s="34"/>
    </row>
    <row r="839" spans="1:55" x14ac:dyDescent="0.35" ht="15.0" customHeight="true">
      <c r="A839" s="51"/>
      <c r="F839" s="33"/>
      <c r="H839" s="33"/>
      <c r="I839" s="51"/>
      <c r="J839" s="33"/>
      <c r="K839" s="51"/>
      <c r="L839" s="33"/>
      <c r="U839" s="56"/>
      <c r="Y839" s="51"/>
      <c r="Z839" s="51"/>
      <c r="AN839" s="33"/>
      <c r="AO839" s="51"/>
      <c r="AR839" s="51"/>
      <c r="AS839" s="54"/>
      <c r="AT839" s="54"/>
      <c r="AU839" s="54"/>
      <c r="AV839" s="34"/>
      <c r="AW839" s="34"/>
      <c r="AX839" s="34"/>
      <c r="AY839" s="34"/>
      <c r="AZ839" s="34"/>
      <c r="BA839" s="44"/>
      <c r="BB839" s="34"/>
      <c r="BC839" s="34"/>
    </row>
    <row r="840" spans="1:55" x14ac:dyDescent="0.35" ht="15.0" customHeight="true">
      <c r="A840" s="51"/>
      <c r="F840" s="33"/>
      <c r="H840" s="33"/>
      <c r="I840" s="51"/>
      <c r="J840" s="33"/>
      <c r="K840" s="51"/>
      <c r="L840" s="33"/>
      <c r="U840" s="56"/>
      <c r="Y840" s="51"/>
      <c r="Z840" s="51"/>
      <c r="AN840" s="33"/>
      <c r="AO840" s="51"/>
      <c r="AR840" s="51"/>
      <c r="AS840" s="54"/>
      <c r="AT840" s="54"/>
      <c r="AU840" s="54"/>
      <c r="AV840" s="34"/>
      <c r="AW840" s="34"/>
      <c r="AX840" s="34"/>
      <c r="AY840" s="34"/>
      <c r="AZ840" s="34"/>
      <c r="BA840" s="44"/>
      <c r="BB840" s="34"/>
      <c r="BC840" s="34"/>
    </row>
    <row r="841" spans="1:55" x14ac:dyDescent="0.35" ht="15.0" customHeight="true">
      <c r="A841" s="51"/>
      <c r="F841" s="33"/>
      <c r="H841" s="33"/>
      <c r="I841" s="51"/>
      <c r="J841" s="33"/>
      <c r="K841" s="51"/>
      <c r="L841" s="33"/>
      <c r="U841" s="56"/>
      <c r="Y841" s="51"/>
      <c r="Z841" s="51"/>
      <c r="AN841" s="33"/>
      <c r="AO841" s="51"/>
      <c r="AR841" s="51"/>
      <c r="AS841" s="54"/>
      <c r="AT841" s="54"/>
      <c r="AU841" s="54"/>
      <c r="AV841" s="34"/>
      <c r="AW841" s="34"/>
      <c r="AX841" s="34"/>
      <c r="AY841" s="34"/>
      <c r="AZ841" s="34"/>
      <c r="BA841" s="44"/>
      <c r="BB841" s="34"/>
      <c r="BC841" s="34"/>
    </row>
    <row r="842" spans="1:55" x14ac:dyDescent="0.35" ht="15.0" customHeight="true">
      <c r="A842" s="51"/>
      <c r="F842" s="33"/>
      <c r="H842" s="33"/>
      <c r="I842" s="51"/>
      <c r="J842" s="33"/>
      <c r="K842" s="51"/>
      <c r="L842" s="33"/>
      <c r="U842" s="56"/>
      <c r="Y842" s="51"/>
      <c r="Z842" s="51"/>
      <c r="AN842" s="33"/>
      <c r="AO842" s="51"/>
      <c r="AR842" s="51"/>
      <c r="AS842" s="54"/>
      <c r="AT842" s="54"/>
      <c r="AU842" s="54"/>
      <c r="AV842" s="34"/>
      <c r="AW842" s="34"/>
      <c r="AX842" s="34"/>
      <c r="AY842" s="34"/>
      <c r="AZ842" s="34"/>
      <c r="BA842" s="44"/>
      <c r="BB842" s="34"/>
      <c r="BC842" s="34"/>
    </row>
    <row r="843" spans="1:55" x14ac:dyDescent="0.35" ht="15.0" customHeight="true">
      <c r="A843" s="51"/>
      <c r="F843" s="33"/>
      <c r="H843" s="33"/>
      <c r="I843" s="51"/>
      <c r="J843" s="33"/>
      <c r="K843" s="51"/>
      <c r="L843" s="33"/>
      <c r="U843" s="56"/>
      <c r="Y843" s="51"/>
      <c r="Z843" s="51"/>
      <c r="AN843" s="33"/>
      <c r="AO843" s="51"/>
      <c r="AR843" s="51"/>
      <c r="AS843" s="54"/>
      <c r="AT843" s="54"/>
      <c r="AU843" s="54"/>
      <c r="AV843" s="34"/>
      <c r="AW843" s="34"/>
      <c r="AX843" s="34"/>
      <c r="AY843" s="34"/>
      <c r="AZ843" s="34"/>
      <c r="BA843" s="44"/>
      <c r="BB843" s="34"/>
      <c r="BC843" s="34"/>
    </row>
    <row r="844" spans="1:55" x14ac:dyDescent="0.35" ht="15.0" customHeight="true">
      <c r="A844" s="51"/>
      <c r="F844" s="33"/>
      <c r="H844" s="33"/>
      <c r="I844" s="51"/>
      <c r="J844" s="33"/>
      <c r="K844" s="51"/>
      <c r="L844" s="33"/>
      <c r="U844" s="56"/>
      <c r="Y844" s="51"/>
      <c r="Z844" s="51"/>
      <c r="AN844" s="33"/>
      <c r="AO844" s="51"/>
      <c r="AR844" s="51"/>
      <c r="AS844" s="54"/>
      <c r="AT844" s="54"/>
      <c r="AU844" s="54"/>
      <c r="AV844" s="34"/>
      <c r="AW844" s="34"/>
      <c r="AX844" s="34"/>
      <c r="AY844" s="34"/>
      <c r="AZ844" s="34"/>
      <c r="BA844" s="44"/>
      <c r="BB844" s="34"/>
      <c r="BC844" s="34"/>
    </row>
    <row r="845" spans="1:55" x14ac:dyDescent="0.35" ht="15.0" customHeight="true">
      <c r="A845" s="51"/>
      <c r="F845" s="33"/>
      <c r="H845" s="33"/>
      <c r="I845" s="51"/>
      <c r="J845" s="33"/>
      <c r="K845" s="51"/>
      <c r="L845" s="33"/>
      <c r="U845" s="56"/>
      <c r="Y845" s="51"/>
      <c r="Z845" s="51"/>
      <c r="AN845" s="33"/>
      <c r="AO845" s="51"/>
      <c r="AR845" s="51"/>
      <c r="AS845" s="54"/>
      <c r="AT845" s="54"/>
      <c r="AU845" s="54"/>
      <c r="AV845" s="34"/>
      <c r="AW845" s="34"/>
      <c r="AX845" s="34"/>
      <c r="AY845" s="34"/>
      <c r="AZ845" s="34"/>
      <c r="BA845" s="44"/>
      <c r="BB845" s="34"/>
      <c r="BC845" s="34"/>
    </row>
    <row r="846" spans="1:55" x14ac:dyDescent="0.35" ht="15.0" customHeight="true">
      <c r="A846" s="51"/>
      <c r="F846" s="33"/>
      <c r="H846" s="33"/>
      <c r="I846" s="51"/>
      <c r="J846" s="33"/>
      <c r="K846" s="51"/>
      <c r="L846" s="33"/>
      <c r="U846" s="56"/>
      <c r="Y846" s="51"/>
      <c r="Z846" s="51"/>
      <c r="AN846" s="33"/>
      <c r="AO846" s="51"/>
      <c r="AR846" s="51"/>
      <c r="AS846" s="54"/>
      <c r="AT846" s="54"/>
      <c r="AU846" s="54"/>
      <c r="AV846" s="34"/>
      <c r="AW846" s="34"/>
      <c r="AX846" s="34"/>
      <c r="AY846" s="34"/>
      <c r="AZ846" s="34"/>
      <c r="BA846" s="44"/>
      <c r="BB846" s="34"/>
      <c r="BC846" s="34"/>
    </row>
    <row r="847" spans="1:55" x14ac:dyDescent="0.35" ht="15.0" customHeight="true">
      <c r="A847" s="51"/>
      <c r="F847" s="33"/>
      <c r="H847" s="33"/>
      <c r="I847" s="51"/>
      <c r="J847" s="33"/>
      <c r="K847" s="51"/>
      <c r="L847" s="33"/>
      <c r="U847" s="56"/>
      <c r="Y847" s="51"/>
      <c r="Z847" s="51"/>
      <c r="AN847" s="33"/>
      <c r="AO847" s="51"/>
      <c r="AR847" s="51"/>
      <c r="AS847" s="54"/>
      <c r="AT847" s="54"/>
      <c r="AU847" s="54"/>
      <c r="AV847" s="34"/>
      <c r="AW847" s="34"/>
      <c r="AX847" s="34"/>
      <c r="AY847" s="34"/>
      <c r="AZ847" s="34"/>
      <c r="BA847" s="44"/>
      <c r="BB847" s="34"/>
      <c r="BC847" s="34"/>
    </row>
    <row r="848" spans="1:55" x14ac:dyDescent="0.35" ht="15.0" customHeight="true">
      <c r="A848" s="51"/>
      <c r="F848" s="33"/>
      <c r="H848" s="33"/>
      <c r="I848" s="51"/>
      <c r="J848" s="33"/>
      <c r="K848" s="51"/>
      <c r="L848" s="33"/>
      <c r="U848" s="56"/>
      <c r="Y848" s="51"/>
      <c r="Z848" s="51"/>
      <c r="AN848" s="33"/>
      <c r="AO848" s="51"/>
      <c r="AR848" s="51"/>
      <c r="AS848" s="54"/>
      <c r="AT848" s="54"/>
      <c r="AU848" s="54"/>
      <c r="AV848" s="34"/>
      <c r="AW848" s="34"/>
      <c r="AX848" s="34"/>
      <c r="AY848" s="34"/>
      <c r="AZ848" s="34"/>
      <c r="BA848" s="44"/>
      <c r="BB848" s="34"/>
      <c r="BC848" s="34"/>
    </row>
    <row r="849" spans="1:55" x14ac:dyDescent="0.35" ht="15.0" customHeight="true">
      <c r="A849" s="51"/>
      <c r="F849" s="33"/>
      <c r="H849" s="33"/>
      <c r="I849" s="51"/>
      <c r="J849" s="33"/>
      <c r="K849" s="51"/>
      <c r="L849" s="33"/>
      <c r="U849" s="56"/>
      <c r="Y849" s="51"/>
      <c r="Z849" s="51"/>
      <c r="AN849" s="33"/>
      <c r="AO849" s="51"/>
      <c r="AR849" s="51"/>
      <c r="AS849" s="54"/>
      <c r="AT849" s="54"/>
      <c r="AU849" s="54"/>
      <c r="AV849" s="34"/>
      <c r="AW849" s="34"/>
      <c r="AX849" s="34"/>
      <c r="AY849" s="34"/>
      <c r="AZ849" s="34"/>
      <c r="BA849" s="44"/>
      <c r="BB849" s="34"/>
      <c r="BC849" s="34"/>
    </row>
    <row r="850" spans="1:55" x14ac:dyDescent="0.35" ht="15.0" customHeight="true">
      <c r="A850" s="51"/>
      <c r="F850" s="33"/>
      <c r="H850" s="33"/>
      <c r="I850" s="51"/>
      <c r="J850" s="33"/>
      <c r="K850" s="51"/>
      <c r="L850" s="33"/>
      <c r="U850" s="56"/>
      <c r="Y850" s="51"/>
      <c r="Z850" s="51"/>
      <c r="AN850" s="33"/>
      <c r="AO850" s="51"/>
      <c r="AR850" s="51"/>
      <c r="AS850" s="54"/>
      <c r="AT850" s="54"/>
      <c r="AU850" s="54"/>
      <c r="AV850" s="34"/>
      <c r="AW850" s="34"/>
      <c r="AX850" s="34"/>
      <c r="AY850" s="34"/>
      <c r="AZ850" s="34"/>
      <c r="BA850" s="44"/>
      <c r="BB850" s="34"/>
      <c r="BC850" s="34"/>
    </row>
    <row r="851" spans="1:55" x14ac:dyDescent="0.35" ht="15.0" customHeight="true">
      <c r="A851" s="51"/>
      <c r="F851" s="33"/>
      <c r="H851" s="33"/>
      <c r="I851" s="51"/>
      <c r="J851" s="33"/>
      <c r="K851" s="51"/>
      <c r="L851" s="33"/>
      <c r="U851" s="56"/>
      <c r="Y851" s="51"/>
      <c r="Z851" s="51"/>
      <c r="AN851" s="33"/>
      <c r="AO851" s="51"/>
      <c r="AR851" s="51"/>
      <c r="AS851" s="54"/>
      <c r="AT851" s="54"/>
      <c r="AU851" s="54"/>
      <c r="AV851" s="34"/>
      <c r="AW851" s="34"/>
      <c r="AX851" s="34"/>
      <c r="AY851" s="34"/>
      <c r="AZ851" s="34"/>
      <c r="BA851" s="44"/>
      <c r="BB851" s="34"/>
      <c r="BC851" s="34"/>
    </row>
    <row r="852" spans="1:55" x14ac:dyDescent="0.35" ht="15.0" customHeight="true">
      <c r="A852" s="51"/>
      <c r="F852" s="33"/>
      <c r="H852" s="33"/>
      <c r="I852" s="51"/>
      <c r="J852" s="33"/>
      <c r="K852" s="51"/>
      <c r="L852" s="33"/>
      <c r="U852" s="56"/>
      <c r="Y852" s="51"/>
      <c r="Z852" s="51"/>
      <c r="AN852" s="33"/>
      <c r="AO852" s="51"/>
      <c r="AR852" s="51"/>
      <c r="AS852" s="54"/>
      <c r="AT852" s="54"/>
      <c r="AU852" s="54"/>
      <c r="AV852" s="34"/>
      <c r="AW852" s="34"/>
      <c r="AX852" s="34"/>
      <c r="AY852" s="34"/>
      <c r="AZ852" s="34"/>
      <c r="BA852" s="44"/>
      <c r="BB852" s="34"/>
      <c r="BC852" s="34"/>
    </row>
    <row r="853" spans="1:55" x14ac:dyDescent="0.35" ht="15.0" customHeight="true">
      <c r="A853" s="51"/>
      <c r="F853" s="33"/>
      <c r="H853" s="33"/>
      <c r="I853" s="51"/>
      <c r="J853" s="33"/>
      <c r="K853" s="51"/>
      <c r="L853" s="33"/>
      <c r="U853" s="56"/>
      <c r="Y853" s="51"/>
      <c r="Z853" s="51"/>
      <c r="AN853" s="33"/>
      <c r="AO853" s="51"/>
      <c r="AR853" s="51"/>
      <c r="AS853" s="54"/>
      <c r="AT853" s="54"/>
      <c r="AU853" s="54"/>
      <c r="AV853" s="34"/>
      <c r="AW853" s="34"/>
      <c r="AX853" s="34"/>
      <c r="AY853" s="34"/>
      <c r="AZ853" s="34"/>
      <c r="BA853" s="44"/>
      <c r="BB853" s="34"/>
      <c r="BC853" s="34"/>
    </row>
    <row r="854" spans="1:55" x14ac:dyDescent="0.35" ht="15.0" customHeight="true">
      <c r="A854" s="51"/>
      <c r="F854" s="33"/>
      <c r="H854" s="33"/>
      <c r="I854" s="51"/>
      <c r="J854" s="33"/>
      <c r="K854" s="51"/>
      <c r="L854" s="33"/>
      <c r="U854" s="56"/>
      <c r="Y854" s="51"/>
      <c r="Z854" s="51"/>
      <c r="AN854" s="33"/>
      <c r="AO854" s="51"/>
      <c r="AR854" s="51"/>
      <c r="AS854" s="54"/>
      <c r="AT854" s="54"/>
      <c r="AU854" s="54"/>
      <c r="AV854" s="34"/>
      <c r="AW854" s="34"/>
      <c r="AX854" s="34"/>
      <c r="AY854" s="34"/>
      <c r="AZ854" s="34"/>
      <c r="BA854" s="44"/>
      <c r="BB854" s="34"/>
      <c r="BC854" s="34"/>
    </row>
    <row r="855" spans="1:55" x14ac:dyDescent="0.35" ht="15.0" customHeight="true">
      <c r="A855" s="51"/>
      <c r="B855" s="34"/>
      <c r="C855" s="34"/>
      <c r="D855" s="34"/>
      <c r="E855" s="34"/>
      <c r="F855" s="34"/>
      <c r="G855" s="44"/>
      <c r="H855" s="34"/>
      <c r="I855" s="54"/>
      <c r="J855" s="34"/>
      <c r="K855" s="54"/>
      <c r="L855" s="34"/>
      <c r="M855" s="44"/>
      <c r="N855" s="44"/>
      <c r="O855" s="34"/>
      <c r="P855" s="34"/>
      <c r="Q855" s="34"/>
      <c r="R855" s="34"/>
      <c r="V855" s="44"/>
      <c r="X855" s="95"/>
      <c r="Y855" s="54"/>
      <c r="Z855" s="54"/>
      <c r="AA855" s="34"/>
      <c r="AB855" s="34"/>
      <c r="AC855" s="34"/>
      <c r="AD855" s="34"/>
      <c r="AE855" s="34"/>
      <c r="AF855" s="34"/>
      <c r="AG855" s="34"/>
      <c r="AH855" s="34"/>
      <c r="AI855" s="52"/>
      <c r="AJ855" s="52"/>
      <c r="AL855" s="34"/>
      <c r="AM855" s="34"/>
      <c r="AN855" s="34"/>
      <c r="AO855" s="54"/>
      <c r="AP855" s="34"/>
      <c r="AQ855" s="34"/>
      <c r="AR855" s="54"/>
      <c r="AS855" s="54"/>
      <c r="AT855" s="54"/>
      <c r="AU855" s="54"/>
      <c r="AV855" s="34"/>
      <c r="AW855" s="34"/>
      <c r="AX855" s="34"/>
      <c r="AY855" s="34"/>
      <c r="AZ855" s="34"/>
      <c r="BA855" s="44"/>
      <c r="BB855" s="34"/>
      <c r="BC855" s="34"/>
    </row>
    <row r="856" spans="1:55" x14ac:dyDescent="0.35" ht="15.0" customHeight="true">
      <c r="A856" s="51"/>
      <c r="B856" s="34"/>
      <c r="C856" s="34"/>
      <c r="D856" s="34"/>
      <c r="E856" s="34"/>
      <c r="F856" s="34"/>
      <c r="G856" s="44"/>
      <c r="H856" s="34"/>
      <c r="I856" s="54"/>
      <c r="J856" s="34"/>
      <c r="K856" s="54"/>
      <c r="L856" s="34"/>
      <c r="M856" s="44"/>
      <c r="N856" s="44"/>
      <c r="O856" s="34"/>
      <c r="P856" s="34"/>
      <c r="Q856" s="34"/>
      <c r="R856" s="34"/>
      <c r="V856" s="44"/>
      <c r="X856" s="95"/>
      <c r="Y856" s="54"/>
      <c r="Z856" s="54"/>
      <c r="AA856" s="34"/>
      <c r="AB856" s="34"/>
      <c r="AC856" s="34"/>
      <c r="AD856" s="34"/>
      <c r="AE856" s="34"/>
      <c r="AF856" s="34"/>
      <c r="AG856" s="34"/>
      <c r="AH856" s="34"/>
      <c r="AI856" s="52"/>
      <c r="AJ856" s="52"/>
      <c r="AL856" s="34"/>
      <c r="AM856" s="34"/>
      <c r="AN856" s="34"/>
      <c r="AO856" s="54"/>
      <c r="AP856" s="34"/>
      <c r="AQ856" s="34"/>
      <c r="AR856" s="54"/>
      <c r="AS856" s="54"/>
      <c r="AT856" s="54"/>
      <c r="AU856" s="54"/>
      <c r="AV856" s="34"/>
      <c r="AW856" s="34"/>
      <c r="AX856" s="34"/>
      <c r="AY856" s="34"/>
      <c r="AZ856" s="34"/>
      <c r="BA856" s="44"/>
      <c r="BB856" s="34"/>
      <c r="BC856" s="34"/>
    </row>
    <row r="857" spans="1:55" x14ac:dyDescent="0.35" ht="15.0" customHeight="true">
      <c r="A857" s="51"/>
      <c r="B857" s="34"/>
      <c r="C857" s="34"/>
      <c r="D857" s="34"/>
      <c r="E857" s="34"/>
      <c r="F857" s="34"/>
      <c r="G857" s="44"/>
      <c r="H857" s="34"/>
      <c r="I857" s="54"/>
      <c r="J857" s="34"/>
      <c r="K857" s="54"/>
      <c r="L857" s="34"/>
      <c r="M857" s="44"/>
      <c r="N857" s="44"/>
      <c r="O857" s="34"/>
      <c r="P857" s="34"/>
      <c r="Q857" s="34"/>
      <c r="R857" s="34"/>
      <c r="V857" s="44"/>
      <c r="X857" s="95"/>
      <c r="Y857" s="54"/>
      <c r="Z857" s="54"/>
      <c r="AA857" s="34"/>
      <c r="AB857" s="34"/>
      <c r="AC857" s="34"/>
      <c r="AD857" s="34"/>
      <c r="AE857" s="34"/>
      <c r="AF857" s="34"/>
      <c r="AG857" s="34"/>
      <c r="AH857" s="34"/>
      <c r="AI857" s="52"/>
      <c r="AJ857" s="52"/>
      <c r="AL857" s="34"/>
      <c r="AM857" s="34"/>
      <c r="AN857" s="34"/>
      <c r="AO857" s="54"/>
      <c r="AP857" s="34"/>
      <c r="AQ857" s="34"/>
      <c r="AR857" s="54"/>
      <c r="AS857" s="54"/>
      <c r="AT857" s="54"/>
      <c r="AU857" s="54"/>
      <c r="AV857" s="34"/>
      <c r="AW857" s="34"/>
      <c r="AX857" s="34"/>
      <c r="AY857" s="34"/>
      <c r="AZ857" s="34"/>
      <c r="BA857" s="44"/>
      <c r="BB857" s="34"/>
      <c r="BC857" s="34"/>
    </row>
    <row r="858" spans="1:55" x14ac:dyDescent="0.35" ht="15.0" customHeight="true">
      <c r="A858" s="51"/>
      <c r="B858" s="34"/>
      <c r="C858" s="34"/>
      <c r="D858" s="34"/>
      <c r="E858" s="34"/>
      <c r="F858" s="34"/>
      <c r="G858" s="44"/>
      <c r="H858" s="34"/>
      <c r="I858" s="54"/>
      <c r="J858" s="34"/>
      <c r="K858" s="54"/>
      <c r="L858" s="34"/>
      <c r="M858" s="44"/>
      <c r="N858" s="44"/>
      <c r="O858" s="34"/>
      <c r="P858" s="34"/>
      <c r="Q858" s="34"/>
      <c r="R858" s="34"/>
      <c r="V858" s="44"/>
      <c r="X858" s="95"/>
      <c r="Y858" s="54"/>
      <c r="Z858" s="54"/>
      <c r="AA858" s="34"/>
      <c r="AB858" s="34"/>
      <c r="AC858" s="34"/>
      <c r="AD858" s="34"/>
      <c r="AE858" s="34"/>
      <c r="AF858" s="34"/>
      <c r="AG858" s="34"/>
      <c r="AH858" s="34"/>
      <c r="AI858" s="52"/>
      <c r="AJ858" s="52"/>
      <c r="AL858" s="34"/>
      <c r="AM858" s="34"/>
      <c r="AN858" s="34"/>
      <c r="AO858" s="54"/>
      <c r="AP858" s="34"/>
      <c r="AQ858" s="34"/>
      <c r="AR858" s="54"/>
      <c r="AS858" s="54"/>
      <c r="AT858" s="54"/>
      <c r="AU858" s="54"/>
      <c r="AV858" s="34"/>
      <c r="AW858" s="34"/>
      <c r="AX858" s="34"/>
      <c r="AY858" s="34"/>
      <c r="AZ858" s="34"/>
      <c r="BA858" s="44"/>
      <c r="BB858" s="34"/>
      <c r="BC858" s="34"/>
    </row>
    <row r="859" spans="1:55" x14ac:dyDescent="0.35" ht="15.0" customHeight="true">
      <c r="A859" s="51"/>
      <c r="B859" s="34"/>
      <c r="C859" s="34"/>
      <c r="D859" s="34"/>
      <c r="E859" s="34"/>
      <c r="F859" s="34"/>
      <c r="G859" s="44"/>
      <c r="H859" s="34"/>
      <c r="I859" s="54"/>
      <c r="J859" s="34"/>
      <c r="K859" s="54"/>
      <c r="L859" s="34"/>
      <c r="M859" s="44"/>
      <c r="N859" s="44"/>
      <c r="O859" s="34"/>
      <c r="P859" s="34"/>
      <c r="Q859" s="34"/>
      <c r="R859" s="34"/>
      <c r="V859" s="44"/>
      <c r="X859" s="95"/>
      <c r="Y859" s="54"/>
      <c r="Z859" s="54"/>
      <c r="AA859" s="34"/>
      <c r="AB859" s="34"/>
      <c r="AC859" s="34"/>
      <c r="AD859" s="34"/>
      <c r="AE859" s="34"/>
      <c r="AF859" s="34"/>
      <c r="AG859" s="34"/>
      <c r="AH859" s="34"/>
      <c r="AI859" s="52"/>
      <c r="AJ859" s="52"/>
      <c r="AL859" s="34"/>
      <c r="AM859" s="34"/>
      <c r="AN859" s="34"/>
      <c r="AO859" s="54"/>
      <c r="AP859" s="34"/>
      <c r="AQ859" s="34"/>
      <c r="AR859" s="54"/>
      <c r="AS859" s="54"/>
      <c r="AT859" s="54"/>
      <c r="AU859" s="54"/>
      <c r="AV859" s="34"/>
      <c r="AW859" s="34"/>
      <c r="AX859" s="34"/>
      <c r="AY859" s="34"/>
      <c r="AZ859" s="34"/>
      <c r="BA859" s="44"/>
      <c r="BB859" s="34"/>
      <c r="BC859" s="34"/>
    </row>
    <row r="860" spans="1:55" x14ac:dyDescent="0.35" ht="15.0" customHeight="true">
      <c r="A860" s="51"/>
      <c r="B860" s="34"/>
      <c r="C860" s="34"/>
      <c r="D860" s="34"/>
      <c r="E860" s="34"/>
      <c r="F860" s="34"/>
      <c r="G860" s="44"/>
      <c r="H860" s="34"/>
      <c r="I860" s="54"/>
      <c r="J860" s="34"/>
      <c r="K860" s="54"/>
      <c r="L860" s="34"/>
      <c r="M860" s="44"/>
      <c r="N860" s="44"/>
      <c r="O860" s="34"/>
      <c r="P860" s="34"/>
      <c r="Q860" s="34"/>
      <c r="R860" s="34"/>
      <c r="V860" s="44"/>
      <c r="X860" s="95"/>
      <c r="Y860" s="54"/>
      <c r="Z860" s="54"/>
      <c r="AA860" s="34"/>
      <c r="AB860" s="34"/>
      <c r="AC860" s="34"/>
      <c r="AD860" s="34"/>
      <c r="AE860" s="34"/>
      <c r="AF860" s="34"/>
      <c r="AG860" s="34"/>
      <c r="AH860" s="34"/>
      <c r="AI860" s="52"/>
      <c r="AJ860" s="52"/>
      <c r="AL860" s="34"/>
      <c r="AM860" s="34"/>
      <c r="AN860" s="34"/>
      <c r="AO860" s="54"/>
      <c r="AP860" s="34"/>
      <c r="AQ860" s="34"/>
      <c r="AR860" s="54"/>
      <c r="AS860" s="54"/>
      <c r="AT860" s="54"/>
      <c r="AU860" s="54"/>
      <c r="AV860" s="34"/>
      <c r="AW860" s="34"/>
      <c r="AX860" s="34"/>
      <c r="AY860" s="34"/>
      <c r="AZ860" s="34"/>
      <c r="BA860" s="44"/>
      <c r="BB860" s="34"/>
      <c r="BC860" s="34"/>
    </row>
    <row r="861" spans="1:55" x14ac:dyDescent="0.35" ht="15.0" customHeight="true">
      <c r="A861" s="51"/>
      <c r="B861" s="34"/>
      <c r="C861" s="34"/>
      <c r="D861" s="34"/>
      <c r="E861" s="34"/>
      <c r="F861" s="34"/>
      <c r="G861" s="44"/>
      <c r="H861" s="34"/>
      <c r="I861" s="54"/>
      <c r="J861" s="34"/>
      <c r="K861" s="54"/>
      <c r="L861" s="34"/>
      <c r="M861" s="44"/>
      <c r="N861" s="44"/>
      <c r="O861" s="34"/>
      <c r="P861" s="34"/>
      <c r="Q861" s="34"/>
      <c r="R861" s="34"/>
      <c r="V861" s="44"/>
      <c r="X861" s="95"/>
      <c r="Y861" s="54"/>
      <c r="Z861" s="54"/>
      <c r="AA861" s="34"/>
      <c r="AB861" s="34"/>
      <c r="AC861" s="34"/>
      <c r="AD861" s="34"/>
      <c r="AE861" s="34"/>
      <c r="AF861" s="34"/>
      <c r="AG861" s="34"/>
      <c r="AH861" s="34"/>
      <c r="AI861" s="52"/>
      <c r="AJ861" s="52"/>
      <c r="AL861" s="34"/>
      <c r="AM861" s="34"/>
      <c r="AN861" s="34"/>
      <c r="AO861" s="54"/>
      <c r="AP861" s="34"/>
      <c r="AQ861" s="34"/>
      <c r="AR861" s="54"/>
      <c r="AS861" s="54"/>
      <c r="AT861" s="54"/>
      <c r="AU861" s="54"/>
      <c r="AV861" s="34"/>
      <c r="AW861" s="34"/>
      <c r="AX861" s="34"/>
      <c r="AY861" s="34"/>
      <c r="AZ861" s="34"/>
      <c r="BA861" s="44"/>
      <c r="BB861" s="34"/>
      <c r="BC861" s="34"/>
    </row>
    <row r="862" spans="1:55" x14ac:dyDescent="0.35" ht="15.0" customHeight="true">
      <c r="A862" s="51"/>
      <c r="B862" s="34"/>
      <c r="C862" s="34"/>
      <c r="D862" s="34"/>
      <c r="E862" s="34"/>
      <c r="F862" s="34"/>
      <c r="G862" s="44"/>
      <c r="H862" s="34"/>
      <c r="I862" s="54"/>
      <c r="J862" s="34"/>
      <c r="K862" s="54"/>
      <c r="L862" s="34"/>
      <c r="M862" s="44"/>
      <c r="N862" s="44"/>
      <c r="O862" s="34"/>
      <c r="P862" s="34"/>
      <c r="Q862" s="34"/>
      <c r="R862" s="34"/>
      <c r="V862" s="44"/>
      <c r="X862" s="95"/>
      <c r="Y862" s="54"/>
      <c r="Z862" s="54"/>
      <c r="AA862" s="34"/>
      <c r="AB862" s="34"/>
      <c r="AC862" s="34"/>
      <c r="AD862" s="34"/>
      <c r="AE862" s="34"/>
      <c r="AF862" s="34"/>
      <c r="AG862" s="34"/>
      <c r="AH862" s="34"/>
      <c r="AI862" s="52"/>
      <c r="AJ862" s="52"/>
      <c r="AL862" s="34"/>
      <c r="AM862" s="34"/>
      <c r="AN862" s="34"/>
      <c r="AO862" s="54"/>
      <c r="AP862" s="34"/>
      <c r="AQ862" s="34"/>
      <c r="AR862" s="54"/>
      <c r="AS862" s="54"/>
      <c r="AT862" s="54"/>
      <c r="AU862" s="54"/>
      <c r="AV862" s="34"/>
      <c r="AW862" s="34"/>
      <c r="AX862" s="34"/>
      <c r="AY862" s="34"/>
      <c r="AZ862" s="34"/>
      <c r="BA862" s="44"/>
      <c r="BB862" s="34"/>
      <c r="BC862" s="34"/>
    </row>
    <row r="863" spans="1:55" x14ac:dyDescent="0.35" ht="15.0" customHeight="true">
      <c r="A863" s="51"/>
      <c r="B863" s="34"/>
      <c r="C863" s="34"/>
      <c r="D863" s="34"/>
      <c r="E863" s="34"/>
      <c r="F863" s="34"/>
      <c r="G863" s="44"/>
      <c r="H863" s="34"/>
      <c r="I863" s="54"/>
      <c r="J863" s="34"/>
      <c r="K863" s="54"/>
      <c r="L863" s="34"/>
      <c r="M863" s="44"/>
      <c r="N863" s="44"/>
      <c r="O863" s="34"/>
      <c r="P863" s="34"/>
      <c r="Q863" s="34"/>
      <c r="R863" s="34"/>
      <c r="V863" s="44"/>
      <c r="X863" s="95"/>
      <c r="Y863" s="54"/>
      <c r="Z863" s="54"/>
      <c r="AA863" s="34"/>
      <c r="AB863" s="34"/>
      <c r="AC863" s="34"/>
      <c r="AD863" s="34"/>
      <c r="AE863" s="34"/>
      <c r="AF863" s="34"/>
      <c r="AG863" s="34"/>
      <c r="AH863" s="34"/>
      <c r="AI863" s="52"/>
      <c r="AJ863" s="52"/>
      <c r="AL863" s="34"/>
      <c r="AM863" s="34"/>
      <c r="AN863" s="34"/>
      <c r="AO863" s="54"/>
      <c r="AP863" s="34"/>
      <c r="AQ863" s="34"/>
      <c r="AR863" s="54"/>
      <c r="AS863" s="54"/>
      <c r="AT863" s="54"/>
      <c r="AU863" s="54"/>
      <c r="AV863" s="34"/>
      <c r="AW863" s="34"/>
      <c r="AX863" s="34"/>
      <c r="AY863" s="34"/>
      <c r="AZ863" s="34"/>
      <c r="BA863" s="44"/>
      <c r="BB863" s="34"/>
      <c r="BC863" s="34"/>
    </row>
    <row r="864" spans="1:55" x14ac:dyDescent="0.35" ht="15.0" customHeight="true">
      <c r="A864" s="51"/>
      <c r="B864" s="34"/>
      <c r="C864" s="34"/>
      <c r="D864" s="34"/>
      <c r="E864" s="34"/>
      <c r="F864" s="34"/>
      <c r="G864" s="44"/>
      <c r="H864" s="34"/>
      <c r="I864" s="54"/>
      <c r="J864" s="34"/>
      <c r="K864" s="54"/>
      <c r="L864" s="34"/>
      <c r="M864" s="44"/>
      <c r="N864" s="44"/>
      <c r="O864" s="34"/>
      <c r="P864" s="34"/>
      <c r="Q864" s="34"/>
      <c r="R864" s="34"/>
      <c r="V864" s="44"/>
      <c r="X864" s="95"/>
      <c r="Y864" s="54"/>
      <c r="Z864" s="54"/>
      <c r="AA864" s="34"/>
      <c r="AB864" s="34"/>
      <c r="AC864" s="34"/>
      <c r="AD864" s="34"/>
      <c r="AE864" s="34"/>
      <c r="AF864" s="34"/>
      <c r="AG864" s="34"/>
      <c r="AH864" s="34"/>
      <c r="AI864" s="52"/>
      <c r="AJ864" s="52"/>
      <c r="AL864" s="34"/>
      <c r="AM864" s="34"/>
      <c r="AN864" s="34"/>
      <c r="AO864" s="54"/>
      <c r="AP864" s="34"/>
      <c r="AQ864" s="34"/>
      <c r="AR864" s="54"/>
      <c r="AS864" s="54"/>
      <c r="AT864" s="54"/>
      <c r="AU864" s="54"/>
      <c r="AV864" s="34"/>
      <c r="AW864" s="34"/>
      <c r="AX864" s="34"/>
      <c r="AY864" s="34"/>
      <c r="AZ864" s="34"/>
      <c r="BA864" s="44"/>
      <c r="BB864" s="34"/>
      <c r="BC864" s="34"/>
    </row>
    <row r="865" spans="1:55" x14ac:dyDescent="0.35" ht="15.0" customHeight="true">
      <c r="A865" s="51"/>
      <c r="B865" s="34"/>
      <c r="C865" s="34"/>
      <c r="D865" s="34"/>
      <c r="E865" s="34"/>
      <c r="F865" s="34"/>
      <c r="G865" s="44"/>
      <c r="H865" s="34"/>
      <c r="I865" s="54"/>
      <c r="J865" s="34"/>
      <c r="K865" s="54"/>
      <c r="L865" s="34"/>
      <c r="M865" s="44"/>
      <c r="N865" s="44"/>
      <c r="O865" s="34"/>
      <c r="P865" s="34"/>
      <c r="Q865" s="34"/>
      <c r="R865" s="34"/>
      <c r="V865" s="44"/>
      <c r="X865" s="95"/>
      <c r="Y865" s="54"/>
      <c r="Z865" s="54"/>
      <c r="AA865" s="34"/>
      <c r="AB865" s="34"/>
      <c r="AC865" s="34"/>
      <c r="AD865" s="34"/>
      <c r="AE865" s="34"/>
      <c r="AF865" s="34"/>
      <c r="AG865" s="34"/>
      <c r="AH865" s="34"/>
      <c r="AI865" s="52"/>
      <c r="AJ865" s="52"/>
      <c r="AL865" s="34"/>
      <c r="AM865" s="34"/>
      <c r="AN865" s="34"/>
      <c r="AO865" s="54"/>
      <c r="AP865" s="34"/>
      <c r="AQ865" s="34"/>
      <c r="AR865" s="54"/>
      <c r="AS865" s="54"/>
      <c r="AT865" s="54"/>
      <c r="AU865" s="54"/>
      <c r="AV865" s="34"/>
      <c r="AW865" s="34"/>
      <c r="AX865" s="34"/>
      <c r="AY865" s="34"/>
      <c r="AZ865" s="34"/>
      <c r="BA865" s="44"/>
      <c r="BB865" s="34"/>
      <c r="BC865" s="34"/>
    </row>
    <row r="866" spans="1:55" x14ac:dyDescent="0.35" ht="15.0" customHeight="true">
      <c r="A866" s="51"/>
      <c r="B866" s="34"/>
      <c r="C866" s="34"/>
      <c r="D866" s="34"/>
      <c r="E866" s="34"/>
      <c r="F866" s="34"/>
      <c r="G866" s="44"/>
      <c r="H866" s="34"/>
      <c r="I866" s="54"/>
      <c r="J866" s="34"/>
      <c r="K866" s="54"/>
      <c r="L866" s="34"/>
      <c r="M866" s="44"/>
      <c r="N866" s="44"/>
      <c r="O866" s="34"/>
      <c r="P866" s="34"/>
      <c r="Q866" s="34"/>
      <c r="R866" s="34"/>
      <c r="V866" s="44"/>
      <c r="X866" s="95"/>
      <c r="Y866" s="54"/>
      <c r="Z866" s="54"/>
      <c r="AA866" s="34"/>
      <c r="AB866" s="34"/>
      <c r="AC866" s="34"/>
      <c r="AD866" s="34"/>
      <c r="AE866" s="34"/>
      <c r="AF866" s="34"/>
      <c r="AG866" s="34"/>
      <c r="AH866" s="34"/>
      <c r="AI866" s="52"/>
      <c r="AJ866" s="52"/>
      <c r="AL866" s="34"/>
      <c r="AM866" s="34"/>
      <c r="AN866" s="34"/>
      <c r="AO866" s="54"/>
      <c r="AP866" s="34"/>
      <c r="AQ866" s="34"/>
      <c r="AR866" s="54"/>
      <c r="AS866" s="54"/>
      <c r="AT866" s="54"/>
      <c r="AU866" s="54"/>
      <c r="AV866" s="34"/>
      <c r="AW866" s="34"/>
      <c r="AX866" s="34"/>
      <c r="AY866" s="34"/>
      <c r="AZ866" s="34"/>
      <c r="BA866" s="44"/>
      <c r="BB866" s="34"/>
      <c r="BC866" s="34"/>
    </row>
    <row r="867" spans="1:55" x14ac:dyDescent="0.35" ht="15.0" customHeight="true">
      <c r="A867" s="51"/>
      <c r="B867" s="34"/>
      <c r="C867" s="34"/>
      <c r="D867" s="34"/>
      <c r="E867" s="34"/>
      <c r="F867" s="34"/>
      <c r="G867" s="44"/>
      <c r="H867" s="34"/>
      <c r="I867" s="54"/>
      <c r="J867" s="34"/>
      <c r="K867" s="54"/>
      <c r="L867" s="34"/>
      <c r="M867" s="44"/>
      <c r="N867" s="44"/>
      <c r="O867" s="34"/>
      <c r="P867" s="34"/>
      <c r="Q867" s="34"/>
      <c r="R867" s="34"/>
      <c r="V867" s="44"/>
      <c r="X867" s="95"/>
      <c r="Y867" s="54"/>
      <c r="Z867" s="54"/>
      <c r="AA867" s="34"/>
      <c r="AB867" s="34"/>
      <c r="AC867" s="34"/>
      <c r="AD867" s="34"/>
      <c r="AE867" s="34"/>
      <c r="AF867" s="34"/>
      <c r="AG867" s="34"/>
      <c r="AH867" s="34"/>
      <c r="AI867" s="52"/>
      <c r="AJ867" s="52"/>
      <c r="AL867" s="34"/>
      <c r="AM867" s="34"/>
      <c r="AN867" s="34"/>
      <c r="AO867" s="54"/>
      <c r="AP867" s="34"/>
      <c r="AQ867" s="34"/>
      <c r="AR867" s="54"/>
      <c r="AS867" s="54"/>
      <c r="AT867" s="54"/>
      <c r="AU867" s="54"/>
      <c r="AV867" s="34"/>
      <c r="AW867" s="34"/>
      <c r="AX867" s="34"/>
      <c r="AY867" s="34"/>
      <c r="AZ867" s="34"/>
      <c r="BA867" s="44"/>
      <c r="BB867" s="34"/>
      <c r="BC867" s="34"/>
    </row>
    <row r="868" spans="1:55" x14ac:dyDescent="0.35" ht="15.0" customHeight="true">
      <c r="A868" s="51"/>
      <c r="B868" s="34"/>
      <c r="C868" s="34"/>
      <c r="D868" s="34"/>
      <c r="E868" s="34"/>
      <c r="F868" s="34"/>
      <c r="G868" s="44"/>
      <c r="H868" s="34"/>
      <c r="I868" s="54"/>
      <c r="J868" s="34"/>
      <c r="K868" s="54"/>
      <c r="L868" s="34"/>
      <c r="M868" s="44"/>
      <c r="N868" s="44"/>
      <c r="O868" s="34"/>
      <c r="P868" s="34"/>
      <c r="Q868" s="34"/>
      <c r="R868" s="34"/>
      <c r="V868" s="44"/>
      <c r="X868" s="95"/>
      <c r="Y868" s="54"/>
      <c r="Z868" s="54"/>
      <c r="AA868" s="34"/>
      <c r="AB868" s="34"/>
      <c r="AC868" s="34"/>
      <c r="AD868" s="34"/>
      <c r="AE868" s="34"/>
      <c r="AF868" s="34"/>
      <c r="AG868" s="34"/>
      <c r="AH868" s="34"/>
      <c r="AI868" s="52"/>
      <c r="AJ868" s="52"/>
      <c r="AL868" s="34"/>
      <c r="AM868" s="34"/>
      <c r="AN868" s="34"/>
      <c r="AO868" s="54"/>
      <c r="AP868" s="34"/>
      <c r="AQ868" s="34"/>
      <c r="AR868" s="54"/>
      <c r="AS868" s="54"/>
      <c r="AT868" s="54"/>
      <c r="AU868" s="54"/>
      <c r="AV868" s="34"/>
      <c r="AW868" s="34"/>
      <c r="AX868" s="34"/>
      <c r="AY868" s="34"/>
      <c r="AZ868" s="34"/>
      <c r="BA868" s="44"/>
      <c r="BB868" s="34"/>
      <c r="BC868" s="34"/>
    </row>
    <row r="869" spans="1:55" x14ac:dyDescent="0.35" ht="15.0" customHeight="true">
      <c r="A869" s="51"/>
      <c r="B869" s="34"/>
      <c r="C869" s="34"/>
      <c r="D869" s="34"/>
      <c r="E869" s="34"/>
      <c r="F869" s="34"/>
      <c r="G869" s="44"/>
      <c r="H869" s="34"/>
      <c r="I869" s="54"/>
      <c r="J869" s="34"/>
      <c r="K869" s="54"/>
      <c r="L869" s="34"/>
      <c r="M869" s="44"/>
      <c r="N869" s="44"/>
      <c r="O869" s="34"/>
      <c r="P869" s="34"/>
      <c r="Q869" s="34"/>
      <c r="R869" s="34"/>
      <c r="V869" s="44"/>
      <c r="X869" s="95"/>
      <c r="Y869" s="54"/>
      <c r="Z869" s="54"/>
      <c r="AA869" s="34"/>
      <c r="AB869" s="34"/>
      <c r="AC869" s="34"/>
      <c r="AD869" s="34"/>
      <c r="AE869" s="34"/>
      <c r="AF869" s="34"/>
      <c r="AG869" s="34"/>
      <c r="AH869" s="34"/>
      <c r="AI869" s="52"/>
      <c r="AJ869" s="52"/>
      <c r="AL869" s="34"/>
      <c r="AM869" s="34"/>
      <c r="AN869" s="34"/>
      <c r="AO869" s="54"/>
      <c r="AP869" s="34"/>
      <c r="AQ869" s="34"/>
      <c r="AR869" s="54"/>
      <c r="AS869" s="54"/>
      <c r="AT869" s="54"/>
      <c r="AU869" s="54"/>
      <c r="AV869" s="34"/>
      <c r="AW869" s="34"/>
      <c r="AX869" s="34"/>
      <c r="AY869" s="34"/>
      <c r="AZ869" s="34"/>
      <c r="BA869" s="44"/>
      <c r="BB869" s="34"/>
      <c r="BC869" s="34"/>
    </row>
    <row r="870" spans="1:55" x14ac:dyDescent="0.35" ht="15.0" customHeight="true">
      <c r="A870" s="51"/>
      <c r="B870" s="34"/>
      <c r="C870" s="34"/>
      <c r="D870" s="34"/>
      <c r="E870" s="34"/>
      <c r="F870" s="34"/>
      <c r="G870" s="44"/>
      <c r="H870" s="34"/>
      <c r="I870" s="54"/>
      <c r="J870" s="34"/>
      <c r="K870" s="54"/>
      <c r="L870" s="34"/>
      <c r="M870" s="44"/>
      <c r="N870" s="44"/>
      <c r="O870" s="34"/>
      <c r="P870" s="34"/>
      <c r="Q870" s="34"/>
      <c r="R870" s="34"/>
      <c r="V870" s="44"/>
      <c r="X870" s="95"/>
      <c r="Y870" s="54"/>
      <c r="Z870" s="54"/>
      <c r="AA870" s="34"/>
      <c r="AB870" s="34"/>
      <c r="AC870" s="34"/>
      <c r="AD870" s="34"/>
      <c r="AE870" s="34"/>
      <c r="AF870" s="34"/>
      <c r="AG870" s="34"/>
      <c r="AH870" s="34"/>
      <c r="AI870" s="52"/>
      <c r="AJ870" s="52"/>
      <c r="AL870" s="34"/>
      <c r="AM870" s="34"/>
      <c r="AN870" s="34"/>
      <c r="AO870" s="54"/>
      <c r="AP870" s="34"/>
      <c r="AQ870" s="34"/>
      <c r="AR870" s="54"/>
      <c r="AS870" s="54"/>
      <c r="AT870" s="54"/>
      <c r="AU870" s="54"/>
      <c r="AV870" s="34"/>
      <c r="AW870" s="34"/>
      <c r="AX870" s="34"/>
      <c r="AY870" s="34"/>
      <c r="AZ870" s="34"/>
      <c r="BA870" s="44"/>
      <c r="BB870" s="34"/>
      <c r="BC870" s="34"/>
    </row>
    <row r="871" spans="1:55" x14ac:dyDescent="0.35" ht="15.0" customHeight="true">
      <c r="A871" s="51"/>
      <c r="B871" s="34"/>
      <c r="C871" s="34"/>
      <c r="D871" s="34"/>
      <c r="E871" s="34"/>
      <c r="F871" s="34"/>
      <c r="G871" s="44"/>
      <c r="H871" s="34"/>
      <c r="I871" s="54"/>
      <c r="J871" s="34"/>
      <c r="K871" s="54"/>
      <c r="L871" s="34"/>
      <c r="M871" s="44"/>
      <c r="N871" s="44"/>
      <c r="O871" s="34"/>
      <c r="P871" s="34"/>
      <c r="Q871" s="34"/>
      <c r="R871" s="34"/>
      <c r="V871" s="44"/>
      <c r="X871" s="95"/>
      <c r="Y871" s="54"/>
      <c r="Z871" s="54"/>
      <c r="AA871" s="34"/>
      <c r="AB871" s="34"/>
      <c r="AC871" s="34"/>
      <c r="AD871" s="34"/>
      <c r="AE871" s="34"/>
      <c r="AF871" s="34"/>
      <c r="AG871" s="34"/>
      <c r="AH871" s="34"/>
      <c r="AI871" s="52"/>
      <c r="AJ871" s="52"/>
      <c r="AL871" s="34"/>
      <c r="AM871" s="34"/>
      <c r="AN871" s="34"/>
      <c r="AO871" s="54"/>
      <c r="AP871" s="34"/>
      <c r="AQ871" s="34"/>
      <c r="AR871" s="54"/>
      <c r="AS871" s="54"/>
      <c r="AT871" s="54"/>
      <c r="AU871" s="54"/>
      <c r="AV871" s="34"/>
      <c r="AW871" s="34"/>
      <c r="AX871" s="34"/>
      <c r="AY871" s="34"/>
      <c r="AZ871" s="34"/>
      <c r="BA871" s="44"/>
      <c r="BB871" s="34"/>
      <c r="BC871" s="34"/>
    </row>
    <row r="872" spans="1:55" x14ac:dyDescent="0.35" ht="15.0" customHeight="true">
      <c r="A872" s="51"/>
      <c r="B872" s="34"/>
      <c r="C872" s="34"/>
      <c r="D872" s="34"/>
      <c r="E872" s="34"/>
      <c r="F872" s="34"/>
      <c r="G872" s="44"/>
      <c r="H872" s="34"/>
      <c r="I872" s="54"/>
      <c r="J872" s="34"/>
      <c r="K872" s="54"/>
      <c r="L872" s="34"/>
      <c r="M872" s="44"/>
      <c r="N872" s="44"/>
      <c r="O872" s="34"/>
      <c r="P872" s="34"/>
      <c r="Q872" s="34"/>
      <c r="R872" s="34"/>
      <c r="V872" s="44"/>
      <c r="X872" s="95"/>
      <c r="Y872" s="54"/>
      <c r="Z872" s="54"/>
      <c r="AA872" s="34"/>
      <c r="AB872" s="34"/>
      <c r="AC872" s="34"/>
      <c r="AD872" s="34"/>
      <c r="AE872" s="34"/>
      <c r="AF872" s="34"/>
      <c r="AG872" s="34"/>
      <c r="AH872" s="34"/>
      <c r="AI872" s="52"/>
      <c r="AJ872" s="52"/>
      <c r="AL872" s="34"/>
      <c r="AM872" s="34"/>
      <c r="AN872" s="34"/>
      <c r="AO872" s="54"/>
      <c r="AP872" s="34"/>
      <c r="AQ872" s="34"/>
      <c r="AR872" s="54"/>
      <c r="AS872" s="54"/>
      <c r="AT872" s="54"/>
      <c r="AU872" s="54"/>
      <c r="AV872" s="34"/>
      <c r="AW872" s="34"/>
      <c r="AX872" s="34"/>
      <c r="AY872" s="34"/>
      <c r="AZ872" s="34"/>
      <c r="BA872" s="44"/>
      <c r="BB872" s="34"/>
      <c r="BC872" s="34"/>
    </row>
    <row r="873" spans="1:55" x14ac:dyDescent="0.35" ht="15.0" customHeight="true">
      <c r="A873" s="51"/>
      <c r="B873" s="34"/>
      <c r="C873" s="34"/>
      <c r="D873" s="34"/>
      <c r="E873" s="34"/>
      <c r="F873" s="34"/>
      <c r="G873" s="44"/>
      <c r="H873" s="34"/>
      <c r="I873" s="54"/>
      <c r="J873" s="34"/>
      <c r="K873" s="54"/>
      <c r="L873" s="34"/>
      <c r="M873" s="44"/>
      <c r="N873" s="44"/>
      <c r="O873" s="34"/>
      <c r="P873" s="34"/>
      <c r="Q873" s="34"/>
      <c r="R873" s="34"/>
      <c r="V873" s="44"/>
      <c r="X873" s="95"/>
      <c r="Y873" s="54"/>
      <c r="Z873" s="54"/>
      <c r="AA873" s="34"/>
      <c r="AB873" s="34"/>
      <c r="AC873" s="34"/>
      <c r="AD873" s="34"/>
      <c r="AE873" s="34"/>
      <c r="AF873" s="34"/>
      <c r="AG873" s="34"/>
      <c r="AH873" s="34"/>
      <c r="AI873" s="52"/>
      <c r="AJ873" s="52"/>
      <c r="AL873" s="34"/>
      <c r="AM873" s="34"/>
      <c r="AN873" s="34"/>
      <c r="AO873" s="54"/>
      <c r="AP873" s="34"/>
      <c r="AQ873" s="34"/>
      <c r="AR873" s="54"/>
      <c r="AS873" s="54"/>
      <c r="AT873" s="54"/>
      <c r="AU873" s="54"/>
      <c r="AV873" s="34"/>
      <c r="AW873" s="34"/>
      <c r="AX873" s="34"/>
      <c r="AY873" s="34"/>
      <c r="AZ873" s="34"/>
      <c r="BA873" s="44"/>
      <c r="BB873" s="34"/>
      <c r="BC873" s="34"/>
    </row>
    <row r="874" spans="1:55" x14ac:dyDescent="0.35" ht="15.0" customHeight="true">
      <c r="A874" s="51"/>
      <c r="B874" s="34"/>
      <c r="C874" s="34"/>
      <c r="D874" s="34"/>
      <c r="E874" s="34"/>
      <c r="F874" s="34"/>
      <c r="G874" s="44"/>
      <c r="H874" s="34"/>
      <c r="I874" s="54"/>
      <c r="J874" s="34"/>
      <c r="K874" s="54"/>
      <c r="L874" s="34"/>
      <c r="M874" s="44"/>
      <c r="N874" s="44"/>
      <c r="O874" s="34"/>
      <c r="P874" s="34"/>
      <c r="Q874" s="34"/>
      <c r="R874" s="34"/>
      <c r="V874" s="44"/>
      <c r="X874" s="95"/>
      <c r="Y874" s="54"/>
      <c r="Z874" s="54"/>
      <c r="AA874" s="34"/>
      <c r="AB874" s="34"/>
      <c r="AC874" s="34"/>
      <c r="AD874" s="34"/>
      <c r="AE874" s="34"/>
      <c r="AF874" s="34"/>
      <c r="AG874" s="34"/>
      <c r="AH874" s="34"/>
      <c r="AI874" s="52"/>
      <c r="AJ874" s="52"/>
      <c r="AL874" s="34"/>
      <c r="AM874" s="34"/>
      <c r="AN874" s="34"/>
      <c r="AO874" s="54"/>
      <c r="AP874" s="34"/>
      <c r="AQ874" s="34"/>
      <c r="AR874" s="54"/>
      <c r="AS874" s="54"/>
      <c r="AT874" s="54"/>
      <c r="AU874" s="54"/>
      <c r="AV874" s="34"/>
      <c r="AW874" s="34"/>
      <c r="AX874" s="34"/>
      <c r="AY874" s="34"/>
      <c r="AZ874" s="34"/>
      <c r="BA874" s="44"/>
      <c r="BB874" s="34"/>
      <c r="BC874" s="34"/>
    </row>
    <row r="875" spans="1:55" x14ac:dyDescent="0.35" ht="15.0" customHeight="true">
      <c r="A875" s="51"/>
      <c r="B875" s="34"/>
      <c r="C875" s="34"/>
      <c r="D875" s="34"/>
      <c r="E875" s="34"/>
      <c r="F875" s="34"/>
      <c r="G875" s="44"/>
      <c r="H875" s="34"/>
      <c r="I875" s="54"/>
      <c r="J875" s="34"/>
      <c r="K875" s="54"/>
      <c r="L875" s="34"/>
      <c r="M875" s="44"/>
      <c r="N875" s="44"/>
      <c r="O875" s="34"/>
      <c r="P875" s="34"/>
      <c r="Q875" s="34"/>
      <c r="R875" s="34"/>
      <c r="V875" s="44"/>
      <c r="X875" s="95"/>
      <c r="Y875" s="54"/>
      <c r="Z875" s="54"/>
      <c r="AA875" s="34"/>
      <c r="AB875" s="34"/>
      <c r="AC875" s="34"/>
      <c r="AD875" s="34"/>
      <c r="AE875" s="34"/>
      <c r="AF875" s="34"/>
      <c r="AG875" s="34"/>
      <c r="AH875" s="34"/>
      <c r="AI875" s="52"/>
      <c r="AJ875" s="52"/>
      <c r="AL875" s="34"/>
      <c r="AM875" s="34"/>
      <c r="AN875" s="34"/>
      <c r="AO875" s="54"/>
      <c r="AP875" s="34"/>
      <c r="AQ875" s="34"/>
      <c r="AR875" s="54"/>
      <c r="AS875" s="54"/>
      <c r="AT875" s="54"/>
      <c r="AU875" s="54"/>
      <c r="AV875" s="34"/>
      <c r="AW875" s="34"/>
      <c r="AX875" s="34"/>
      <c r="AY875" s="34"/>
      <c r="AZ875" s="34"/>
      <c r="BA875" s="44"/>
      <c r="BB875" s="34"/>
      <c r="BC875" s="34"/>
    </row>
    <row r="876" spans="1:55" x14ac:dyDescent="0.35" ht="15.0" customHeight="true">
      <c r="A876" s="51"/>
      <c r="B876" s="34"/>
      <c r="C876" s="34"/>
      <c r="D876" s="34"/>
      <c r="E876" s="34"/>
      <c r="F876" s="34"/>
      <c r="G876" s="44"/>
      <c r="H876" s="34"/>
      <c r="I876" s="54"/>
      <c r="J876" s="34"/>
      <c r="K876" s="54"/>
      <c r="L876" s="34"/>
      <c r="M876" s="44"/>
      <c r="N876" s="44"/>
      <c r="O876" s="34"/>
      <c r="P876" s="34"/>
      <c r="Q876" s="34"/>
      <c r="R876" s="34"/>
      <c r="V876" s="44"/>
      <c r="X876" s="95"/>
      <c r="Y876" s="54"/>
      <c r="Z876" s="54"/>
      <c r="AA876" s="34"/>
      <c r="AB876" s="34"/>
      <c r="AC876" s="34"/>
      <c r="AD876" s="34"/>
      <c r="AE876" s="34"/>
      <c r="AF876" s="34"/>
      <c r="AG876" s="34"/>
      <c r="AH876" s="34"/>
      <c r="AI876" s="52"/>
      <c r="AJ876" s="52"/>
      <c r="AL876" s="34"/>
      <c r="AM876" s="34"/>
      <c r="AN876" s="34"/>
      <c r="AO876" s="54"/>
      <c r="AP876" s="34"/>
      <c r="AQ876" s="34"/>
      <c r="AR876" s="54"/>
      <c r="AS876" s="54"/>
      <c r="AT876" s="54"/>
      <c r="AU876" s="54"/>
      <c r="AV876" s="34"/>
      <c r="AW876" s="34"/>
      <c r="AX876" s="34"/>
      <c r="AY876" s="34"/>
      <c r="AZ876" s="34"/>
      <c r="BA876" s="44"/>
      <c r="BB876" s="34"/>
      <c r="BC876" s="34"/>
    </row>
    <row r="877" spans="1:55" x14ac:dyDescent="0.35" ht="15.0" customHeight="true">
      <c r="A877" s="51"/>
      <c r="B877" s="34"/>
      <c r="C877" s="34"/>
      <c r="D877" s="34"/>
      <c r="E877" s="34"/>
      <c r="F877" s="34"/>
      <c r="G877" s="44"/>
      <c r="H877" s="34"/>
      <c r="I877" s="54"/>
      <c r="J877" s="34"/>
      <c r="K877" s="54"/>
      <c r="L877" s="34"/>
      <c r="M877" s="44"/>
      <c r="N877" s="44"/>
      <c r="O877" s="34"/>
      <c r="P877" s="34"/>
      <c r="Q877" s="34"/>
      <c r="R877" s="34"/>
      <c r="V877" s="44"/>
      <c r="X877" s="95"/>
      <c r="Y877" s="54"/>
      <c r="Z877" s="54"/>
      <c r="AA877" s="34"/>
      <c r="AB877" s="34"/>
      <c r="AC877" s="34"/>
      <c r="AD877" s="34"/>
      <c r="AE877" s="34"/>
      <c r="AF877" s="34"/>
      <c r="AG877" s="34"/>
      <c r="AH877" s="34"/>
      <c r="AI877" s="52"/>
      <c r="AJ877" s="52"/>
      <c r="AL877" s="34"/>
      <c r="AM877" s="34"/>
      <c r="AN877" s="34"/>
      <c r="AO877" s="54"/>
      <c r="AP877" s="34"/>
      <c r="AQ877" s="34"/>
      <c r="AR877" s="54"/>
      <c r="AS877" s="54"/>
      <c r="AT877" s="54"/>
      <c r="AU877" s="54"/>
      <c r="AV877" s="34"/>
      <c r="AW877" s="34"/>
      <c r="AX877" s="34"/>
      <c r="AY877" s="34"/>
      <c r="AZ877" s="34"/>
      <c r="BA877" s="44"/>
      <c r="BB877" s="34"/>
      <c r="BC877" s="34"/>
    </row>
    <row r="878" spans="1:55" x14ac:dyDescent="0.35" ht="15.0" customHeight="true">
      <c r="A878" s="51"/>
      <c r="B878" s="34"/>
      <c r="C878" s="34"/>
      <c r="D878" s="34"/>
      <c r="E878" s="34"/>
      <c r="F878" s="34"/>
      <c r="G878" s="44"/>
      <c r="H878" s="34"/>
      <c r="I878" s="54"/>
      <c r="J878" s="34"/>
      <c r="K878" s="54"/>
      <c r="L878" s="34"/>
      <c r="M878" s="44"/>
      <c r="N878" s="44"/>
      <c r="O878" s="34"/>
      <c r="P878" s="34"/>
      <c r="Q878" s="34"/>
      <c r="R878" s="34"/>
      <c r="V878" s="44"/>
      <c r="X878" s="95"/>
      <c r="Y878" s="54"/>
      <c r="Z878" s="54"/>
      <c r="AA878" s="34"/>
      <c r="AB878" s="34"/>
      <c r="AC878" s="34"/>
      <c r="AD878" s="34"/>
      <c r="AE878" s="34"/>
      <c r="AF878" s="34"/>
      <c r="AG878" s="34"/>
      <c r="AH878" s="34"/>
      <c r="AI878" s="52"/>
      <c r="AJ878" s="52"/>
      <c r="AL878" s="34"/>
      <c r="AM878" s="34"/>
      <c r="AN878" s="34"/>
      <c r="AO878" s="54"/>
      <c r="AP878" s="34"/>
      <c r="AQ878" s="34"/>
      <c r="AR878" s="54"/>
      <c r="AS878" s="54"/>
      <c r="AT878" s="54"/>
      <c r="AU878" s="54"/>
      <c r="AV878" s="34"/>
      <c r="AW878" s="34"/>
      <c r="AX878" s="34"/>
      <c r="AY878" s="34"/>
      <c r="AZ878" s="34"/>
      <c r="BA878" s="44"/>
      <c r="BB878" s="34"/>
      <c r="BC878" s="34"/>
    </row>
    <row r="879" spans="1:55" x14ac:dyDescent="0.35" ht="15.0" customHeight="true">
      <c r="A879" s="51"/>
      <c r="B879" s="34"/>
      <c r="C879" s="34"/>
      <c r="D879" s="34"/>
      <c r="E879" s="34"/>
      <c r="F879" s="34"/>
      <c r="G879" s="44"/>
      <c r="H879" s="34"/>
      <c r="I879" s="54"/>
      <c r="J879" s="34"/>
      <c r="K879" s="54"/>
      <c r="L879" s="34"/>
      <c r="M879" s="44"/>
      <c r="N879" s="44"/>
      <c r="O879" s="34"/>
      <c r="P879" s="34"/>
      <c r="Q879" s="34"/>
      <c r="R879" s="34"/>
      <c r="V879" s="44"/>
      <c r="X879" s="95"/>
      <c r="Y879" s="54"/>
      <c r="Z879" s="54"/>
      <c r="AA879" s="34"/>
      <c r="AB879" s="34"/>
      <c r="AC879" s="34"/>
      <c r="AD879" s="34"/>
      <c r="AE879" s="34"/>
      <c r="AF879" s="34"/>
      <c r="AG879" s="34"/>
      <c r="AH879" s="34"/>
      <c r="AI879" s="52"/>
      <c r="AJ879" s="52"/>
      <c r="AL879" s="34"/>
      <c r="AM879" s="34"/>
      <c r="AN879" s="34"/>
      <c r="AO879" s="54"/>
      <c r="AP879" s="34"/>
      <c r="AQ879" s="34"/>
      <c r="AR879" s="54"/>
      <c r="AS879" s="54"/>
      <c r="AT879" s="54"/>
      <c r="AU879" s="54"/>
      <c r="AV879" s="34"/>
      <c r="AW879" s="34"/>
      <c r="AX879" s="34"/>
      <c r="AY879" s="34"/>
      <c r="AZ879" s="34"/>
      <c r="BA879" s="44"/>
      <c r="BB879" s="34"/>
      <c r="BC879" s="34"/>
    </row>
    <row r="880" spans="1:55" x14ac:dyDescent="0.35" ht="15.0" customHeight="true">
      <c r="A880" s="51"/>
      <c r="B880" s="34"/>
      <c r="C880" s="34"/>
      <c r="D880" s="34"/>
      <c r="E880" s="34"/>
      <c r="F880" s="34"/>
      <c r="G880" s="44"/>
      <c r="H880" s="34"/>
      <c r="I880" s="54"/>
      <c r="J880" s="34"/>
      <c r="K880" s="54"/>
      <c r="L880" s="34"/>
      <c r="M880" s="44"/>
      <c r="N880" s="44"/>
      <c r="O880" s="34"/>
      <c r="P880" s="34"/>
      <c r="Q880" s="34"/>
      <c r="R880" s="34"/>
      <c r="V880" s="44"/>
      <c r="X880" s="95"/>
      <c r="Y880" s="54"/>
      <c r="Z880" s="54"/>
      <c r="AA880" s="34"/>
      <c r="AB880" s="34"/>
      <c r="AC880" s="34"/>
      <c r="AD880" s="34"/>
      <c r="AE880" s="34"/>
      <c r="AF880" s="34"/>
      <c r="AG880" s="34"/>
      <c r="AH880" s="34"/>
      <c r="AI880" s="52"/>
      <c r="AJ880" s="52"/>
      <c r="AL880" s="34"/>
      <c r="AM880" s="34"/>
      <c r="AN880" s="34"/>
      <c r="AO880" s="54"/>
      <c r="AP880" s="34"/>
      <c r="AQ880" s="34"/>
      <c r="AR880" s="54"/>
      <c r="AS880" s="54"/>
      <c r="AT880" s="54"/>
      <c r="AU880" s="54"/>
      <c r="AV880" s="34"/>
      <c r="AW880" s="34"/>
      <c r="AX880" s="34"/>
      <c r="AY880" s="34"/>
      <c r="AZ880" s="34"/>
      <c r="BA880" s="44"/>
      <c r="BB880" s="34"/>
      <c r="BC880" s="34"/>
    </row>
    <row r="881" spans="1:55" x14ac:dyDescent="0.35" ht="15.0" customHeight="true">
      <c r="A881" s="51"/>
      <c r="B881" s="34"/>
      <c r="C881" s="34"/>
      <c r="D881" s="34"/>
      <c r="E881" s="34"/>
      <c r="F881" s="34"/>
      <c r="G881" s="44"/>
      <c r="H881" s="34"/>
      <c r="I881" s="54"/>
      <c r="J881" s="34"/>
      <c r="K881" s="54"/>
      <c r="L881" s="34"/>
      <c r="M881" s="44"/>
      <c r="N881" s="44"/>
      <c r="O881" s="34"/>
      <c r="P881" s="34"/>
      <c r="Q881" s="34"/>
      <c r="R881" s="34"/>
      <c r="V881" s="44"/>
      <c r="X881" s="95"/>
      <c r="Y881" s="54"/>
      <c r="Z881" s="54"/>
      <c r="AA881" s="34"/>
      <c r="AB881" s="34"/>
      <c r="AC881" s="34"/>
      <c r="AD881" s="34"/>
      <c r="AE881" s="34"/>
      <c r="AF881" s="34"/>
      <c r="AG881" s="34"/>
      <c r="AH881" s="34"/>
      <c r="AI881" s="52"/>
      <c r="AJ881" s="52"/>
      <c r="AL881" s="34"/>
      <c r="AM881" s="34"/>
      <c r="AN881" s="34"/>
      <c r="AO881" s="54"/>
      <c r="AP881" s="34"/>
      <c r="AQ881" s="34"/>
      <c r="AR881" s="54"/>
      <c r="AS881" s="54"/>
      <c r="AT881" s="54"/>
      <c r="AU881" s="54"/>
      <c r="AV881" s="34"/>
      <c r="AW881" s="34"/>
      <c r="AX881" s="34"/>
      <c r="AY881" s="34"/>
      <c r="AZ881" s="34"/>
      <c r="BA881" s="44"/>
      <c r="BB881" s="34"/>
      <c r="BC881" s="34"/>
    </row>
    <row r="882" spans="1:55" x14ac:dyDescent="0.35" ht="15.0" customHeight="true">
      <c r="A882" s="51"/>
      <c r="B882" s="34"/>
      <c r="C882" s="34"/>
      <c r="D882" s="34"/>
      <c r="E882" s="34"/>
      <c r="F882" s="34"/>
      <c r="G882" s="44"/>
      <c r="H882" s="34"/>
      <c r="I882" s="54"/>
      <c r="J882" s="34"/>
      <c r="K882" s="54"/>
      <c r="L882" s="34"/>
      <c r="M882" s="44"/>
      <c r="N882" s="44"/>
      <c r="O882" s="34"/>
      <c r="P882" s="34"/>
      <c r="Q882" s="34"/>
      <c r="R882" s="34"/>
      <c r="V882" s="44"/>
      <c r="X882" s="95"/>
      <c r="Y882" s="54"/>
      <c r="Z882" s="54"/>
      <c r="AA882" s="34"/>
      <c r="AB882" s="34"/>
      <c r="AC882" s="34"/>
      <c r="AD882" s="34"/>
      <c r="AE882" s="34"/>
      <c r="AF882" s="34"/>
      <c r="AG882" s="34"/>
      <c r="AH882" s="34"/>
      <c r="AI882" s="52"/>
      <c r="AJ882" s="52"/>
      <c r="AL882" s="34"/>
      <c r="AM882" s="34"/>
      <c r="AN882" s="34"/>
      <c r="AO882" s="54"/>
      <c r="AP882" s="34"/>
      <c r="AQ882" s="34"/>
      <c r="AR882" s="54"/>
      <c r="AS882" s="54"/>
      <c r="AT882" s="54"/>
      <c r="AU882" s="54"/>
      <c r="AV882" s="34"/>
      <c r="AW882" s="34"/>
      <c r="AX882" s="34"/>
      <c r="AY882" s="34"/>
      <c r="AZ882" s="34"/>
      <c r="BA882" s="44"/>
      <c r="BB882" s="34"/>
      <c r="BC882" s="34"/>
    </row>
    <row r="883" spans="1:55" x14ac:dyDescent="0.35" ht="15.0" customHeight="true">
      <c r="A883" s="51"/>
      <c r="B883" s="34"/>
      <c r="C883" s="34"/>
      <c r="D883" s="34"/>
      <c r="E883" s="34"/>
      <c r="F883" s="34"/>
      <c r="G883" s="44"/>
      <c r="H883" s="34"/>
      <c r="I883" s="54"/>
      <c r="J883" s="34"/>
      <c r="K883" s="54"/>
      <c r="L883" s="34"/>
      <c r="M883" s="44"/>
      <c r="N883" s="44"/>
      <c r="O883" s="34"/>
      <c r="P883" s="34"/>
      <c r="Q883" s="34"/>
      <c r="R883" s="34"/>
      <c r="V883" s="44"/>
      <c r="X883" s="95"/>
      <c r="Y883" s="54"/>
      <c r="Z883" s="54"/>
      <c r="AA883" s="34"/>
      <c r="AB883" s="34"/>
      <c r="AC883" s="34"/>
      <c r="AD883" s="34"/>
      <c r="AE883" s="34"/>
      <c r="AF883" s="34"/>
      <c r="AG883" s="34"/>
      <c r="AH883" s="34"/>
      <c r="AI883" s="52"/>
      <c r="AJ883" s="52"/>
      <c r="AL883" s="34"/>
      <c r="AM883" s="34"/>
      <c r="AN883" s="34"/>
      <c r="AO883" s="54"/>
      <c r="AP883" s="34"/>
      <c r="AQ883" s="34"/>
      <c r="AR883" s="54"/>
      <c r="AS883" s="54"/>
      <c r="AT883" s="54"/>
      <c r="AU883" s="54"/>
      <c r="AV883" s="34"/>
      <c r="AW883" s="34"/>
      <c r="AX883" s="34"/>
      <c r="AY883" s="34"/>
      <c r="AZ883" s="34"/>
      <c r="BA883" s="44"/>
      <c r="BB883" s="34"/>
      <c r="BC883" s="34"/>
    </row>
    <row r="884" spans="1:55" x14ac:dyDescent="0.35" ht="15.0" customHeight="true">
      <c r="A884" s="51"/>
      <c r="B884" s="34"/>
      <c r="C884" s="34"/>
      <c r="D884" s="34"/>
      <c r="E884" s="34"/>
      <c r="F884" s="34"/>
      <c r="G884" s="44"/>
      <c r="H884" s="34"/>
      <c r="I884" s="54"/>
      <c r="J884" s="34"/>
      <c r="K884" s="54"/>
      <c r="L884" s="34"/>
      <c r="M884" s="44"/>
      <c r="N884" s="44"/>
      <c r="O884" s="34"/>
      <c r="P884" s="34"/>
      <c r="Q884" s="34"/>
      <c r="R884" s="34"/>
      <c r="V884" s="44"/>
      <c r="X884" s="95"/>
      <c r="Y884" s="54"/>
      <c r="Z884" s="54"/>
      <c r="AA884" s="34"/>
      <c r="AB884" s="34"/>
      <c r="AC884" s="34"/>
      <c r="AD884" s="34"/>
      <c r="AE884" s="34"/>
      <c r="AF884" s="34"/>
      <c r="AG884" s="34"/>
      <c r="AH884" s="34"/>
      <c r="AI884" s="52"/>
      <c r="AJ884" s="52"/>
      <c r="AL884" s="34"/>
      <c r="AM884" s="34"/>
      <c r="AN884" s="34"/>
      <c r="AO884" s="54"/>
      <c r="AP884" s="34"/>
      <c r="AQ884" s="34"/>
      <c r="AR884" s="54"/>
      <c r="AS884" s="54"/>
      <c r="AT884" s="54"/>
      <c r="AU884" s="54"/>
      <c r="AV884" s="34"/>
      <c r="AW884" s="34"/>
      <c r="AX884" s="34"/>
      <c r="AY884" s="34"/>
      <c r="AZ884" s="34"/>
      <c r="BA884" s="44"/>
      <c r="BB884" s="34"/>
      <c r="BC884" s="34"/>
    </row>
    <row r="885" spans="1:55" x14ac:dyDescent="0.35" ht="15.0" customHeight="true">
      <c r="A885" s="51"/>
      <c r="B885" s="34"/>
      <c r="C885" s="34"/>
      <c r="D885" s="34"/>
      <c r="E885" s="34"/>
      <c r="F885" s="34"/>
      <c r="G885" s="44"/>
      <c r="H885" s="34"/>
      <c r="I885" s="54"/>
      <c r="J885" s="34"/>
      <c r="K885" s="54"/>
      <c r="L885" s="34"/>
      <c r="M885" s="44"/>
      <c r="N885" s="44"/>
      <c r="O885" s="34"/>
      <c r="P885" s="34"/>
      <c r="Q885" s="34"/>
      <c r="R885" s="34"/>
      <c r="V885" s="44"/>
      <c r="X885" s="95"/>
      <c r="Y885" s="54"/>
      <c r="Z885" s="54"/>
      <c r="AA885" s="34"/>
      <c r="AB885" s="34"/>
      <c r="AC885" s="34"/>
      <c r="AD885" s="34"/>
      <c r="AE885" s="34"/>
      <c r="AF885" s="34"/>
      <c r="AG885" s="34"/>
      <c r="AH885" s="34"/>
      <c r="AI885" s="52"/>
      <c r="AJ885" s="52"/>
      <c r="AL885" s="34"/>
      <c r="AM885" s="34"/>
      <c r="AN885" s="34"/>
      <c r="AO885" s="54"/>
      <c r="AP885" s="34"/>
      <c r="AQ885" s="34"/>
      <c r="AR885" s="54"/>
      <c r="AS885" s="54"/>
      <c r="AT885" s="54"/>
      <c r="AU885" s="54"/>
      <c r="AV885" s="34"/>
      <c r="AW885" s="34"/>
      <c r="AX885" s="34"/>
      <c r="AY885" s="34"/>
      <c r="AZ885" s="34"/>
      <c r="BA885" s="44"/>
      <c r="BB885" s="34"/>
      <c r="BC885" s="34"/>
    </row>
    <row r="886" spans="1:55" x14ac:dyDescent="0.35" ht="15.0" customHeight="true">
      <c r="A886" s="51"/>
      <c r="B886" s="34"/>
      <c r="C886" s="34"/>
      <c r="D886" s="34"/>
      <c r="E886" s="34"/>
      <c r="F886" s="34"/>
      <c r="G886" s="44"/>
      <c r="H886" s="34"/>
      <c r="I886" s="54"/>
      <c r="J886" s="34"/>
      <c r="K886" s="54"/>
      <c r="L886" s="34"/>
      <c r="M886" s="44"/>
      <c r="N886" s="44"/>
      <c r="O886" s="34"/>
      <c r="P886" s="34"/>
      <c r="Q886" s="34"/>
      <c r="R886" s="34"/>
      <c r="V886" s="44"/>
      <c r="X886" s="95"/>
      <c r="Y886" s="54"/>
      <c r="Z886" s="54"/>
      <c r="AA886" s="34"/>
      <c r="AB886" s="34"/>
      <c r="AC886" s="34"/>
      <c r="AD886" s="34"/>
      <c r="AE886" s="34"/>
      <c r="AF886" s="34"/>
      <c r="AG886" s="34"/>
      <c r="AH886" s="34"/>
      <c r="AI886" s="52"/>
      <c r="AJ886" s="52"/>
      <c r="AL886" s="34"/>
      <c r="AM886" s="34"/>
      <c r="AN886" s="34"/>
      <c r="AO886" s="54"/>
      <c r="AP886" s="34"/>
      <c r="AQ886" s="34"/>
      <c r="AR886" s="54"/>
      <c r="AS886" s="54"/>
      <c r="AT886" s="54"/>
      <c r="AU886" s="54"/>
      <c r="AV886" s="34"/>
      <c r="AW886" s="34"/>
      <c r="AX886" s="34"/>
      <c r="AY886" s="34"/>
      <c r="AZ886" s="34"/>
      <c r="BA886" s="44"/>
      <c r="BB886" s="34"/>
      <c r="BC886" s="34"/>
    </row>
    <row r="887" spans="1:55" x14ac:dyDescent="0.35" ht="15.0" customHeight="true">
      <c r="A887" s="51"/>
      <c r="B887" s="34"/>
      <c r="C887" s="34"/>
      <c r="D887" s="34"/>
      <c r="E887" s="34"/>
      <c r="F887" s="34"/>
      <c r="G887" s="44"/>
      <c r="H887" s="34"/>
      <c r="I887" s="54"/>
      <c r="J887" s="34"/>
      <c r="K887" s="54"/>
      <c r="L887" s="34"/>
      <c r="M887" s="44"/>
      <c r="N887" s="44"/>
      <c r="O887" s="34"/>
      <c r="P887" s="34"/>
      <c r="Q887" s="34"/>
      <c r="R887" s="34"/>
      <c r="V887" s="44"/>
      <c r="X887" s="95"/>
      <c r="Y887" s="54"/>
      <c r="Z887" s="54"/>
      <c r="AA887" s="34"/>
      <c r="AB887" s="34"/>
      <c r="AC887" s="34"/>
      <c r="AD887" s="34"/>
      <c r="AE887" s="34"/>
      <c r="AF887" s="34"/>
      <c r="AG887" s="34"/>
      <c r="AH887" s="34"/>
      <c r="AI887" s="52"/>
      <c r="AJ887" s="52"/>
      <c r="AL887" s="34"/>
      <c r="AM887" s="34"/>
      <c r="AN887" s="34"/>
      <c r="AO887" s="54"/>
      <c r="AP887" s="34"/>
      <c r="AQ887" s="34"/>
      <c r="AR887" s="54"/>
      <c r="AS887" s="54"/>
      <c r="AT887" s="54"/>
      <c r="AU887" s="54"/>
      <c r="AV887" s="34"/>
      <c r="AW887" s="34"/>
      <c r="AX887" s="34"/>
      <c r="AY887" s="34"/>
      <c r="AZ887" s="34"/>
      <c r="BA887" s="44"/>
      <c r="BB887" s="34"/>
      <c r="BC887" s="34"/>
    </row>
    <row r="888" spans="1:55" x14ac:dyDescent="0.35" ht="15.0" customHeight="true">
      <c r="A888" s="51"/>
      <c r="B888" s="34"/>
      <c r="C888" s="34"/>
      <c r="D888" s="34"/>
      <c r="E888" s="34"/>
      <c r="F888" s="34"/>
      <c r="G888" s="44"/>
      <c r="H888" s="34"/>
      <c r="I888" s="54"/>
      <c r="J888" s="34"/>
      <c r="K888" s="54"/>
      <c r="L888" s="34"/>
      <c r="M888" s="44"/>
      <c r="N888" s="44"/>
      <c r="O888" s="34"/>
      <c r="P888" s="34"/>
      <c r="Q888" s="34"/>
      <c r="R888" s="34"/>
      <c r="V888" s="44"/>
      <c r="X888" s="95"/>
      <c r="Y888" s="54"/>
      <c r="Z888" s="54"/>
      <c r="AA888" s="34"/>
      <c r="AB888" s="34"/>
      <c r="AC888" s="34"/>
      <c r="AD888" s="34"/>
      <c r="AE888" s="34"/>
      <c r="AF888" s="34"/>
      <c r="AG888" s="34"/>
      <c r="AH888" s="34"/>
      <c r="AI888" s="52"/>
      <c r="AJ888" s="52"/>
      <c r="AL888" s="34"/>
      <c r="AM888" s="34"/>
      <c r="AN888" s="34"/>
      <c r="AO888" s="54"/>
      <c r="AP888" s="34"/>
      <c r="AQ888" s="34"/>
      <c r="AR888" s="54"/>
      <c r="AS888" s="54"/>
      <c r="AT888" s="54"/>
      <c r="AU888" s="54"/>
      <c r="AV888" s="34"/>
      <c r="AW888" s="34"/>
      <c r="AX888" s="34"/>
      <c r="AY888" s="34"/>
      <c r="AZ888" s="34"/>
      <c r="BA888" s="44"/>
      <c r="BB888" s="34"/>
      <c r="BC888" s="34"/>
    </row>
    <row r="889" spans="1:55" x14ac:dyDescent="0.35" ht="15.0" customHeight="true">
      <c r="A889" s="51"/>
      <c r="B889" s="34"/>
      <c r="C889" s="34"/>
      <c r="D889" s="34"/>
      <c r="E889" s="34"/>
      <c r="F889" s="34"/>
      <c r="G889" s="44"/>
      <c r="H889" s="34"/>
      <c r="I889" s="54"/>
      <c r="J889" s="34"/>
      <c r="K889" s="54"/>
      <c r="L889" s="34"/>
      <c r="M889" s="44"/>
      <c r="N889" s="44"/>
      <c r="O889" s="34"/>
      <c r="P889" s="34"/>
      <c r="Q889" s="34"/>
      <c r="R889" s="34"/>
      <c r="V889" s="44"/>
      <c r="X889" s="95"/>
      <c r="Y889" s="54"/>
      <c r="Z889" s="54"/>
      <c r="AA889" s="34"/>
      <c r="AB889" s="34"/>
      <c r="AC889" s="34"/>
      <c r="AD889" s="34"/>
      <c r="AE889" s="34"/>
      <c r="AF889" s="34"/>
      <c r="AG889" s="34"/>
      <c r="AH889" s="34"/>
      <c r="AI889" s="52"/>
      <c r="AJ889" s="52"/>
      <c r="AL889" s="34"/>
      <c r="AM889" s="34"/>
      <c r="AN889" s="34"/>
      <c r="AO889" s="54"/>
      <c r="AP889" s="34"/>
      <c r="AQ889" s="34"/>
      <c r="AR889" s="54"/>
      <c r="AS889" s="54"/>
      <c r="AT889" s="54"/>
      <c r="AU889" s="54"/>
      <c r="AV889" s="34"/>
      <c r="AW889" s="34"/>
      <c r="AX889" s="34"/>
      <c r="AY889" s="34"/>
      <c r="AZ889" s="34"/>
      <c r="BA889" s="44"/>
      <c r="BB889" s="34"/>
      <c r="BC889" s="34"/>
    </row>
    <row r="890" spans="1:55" x14ac:dyDescent="0.35" ht="15.0" customHeight="true">
      <c r="A890" s="51"/>
      <c r="B890" s="34"/>
      <c r="C890" s="34"/>
      <c r="D890" s="34"/>
      <c r="E890" s="34"/>
      <c r="F890" s="34"/>
      <c r="G890" s="44"/>
      <c r="H890" s="34"/>
      <c r="I890" s="54"/>
      <c r="J890" s="34"/>
      <c r="K890" s="54"/>
      <c r="L890" s="34"/>
      <c r="M890" s="44"/>
      <c r="N890" s="44"/>
      <c r="O890" s="34"/>
      <c r="P890" s="34"/>
      <c r="Q890" s="34"/>
      <c r="R890" s="34"/>
      <c r="V890" s="44"/>
      <c r="X890" s="95"/>
      <c r="Y890" s="54"/>
      <c r="Z890" s="54"/>
      <c r="AA890" s="34"/>
      <c r="AB890" s="34"/>
      <c r="AC890" s="34"/>
      <c r="AD890" s="34"/>
      <c r="AE890" s="34"/>
      <c r="AF890" s="34"/>
      <c r="AG890" s="34"/>
      <c r="AH890" s="34"/>
      <c r="AI890" s="52"/>
      <c r="AJ890" s="52"/>
      <c r="AL890" s="34"/>
      <c r="AM890" s="34"/>
      <c r="AN890" s="34"/>
      <c r="AO890" s="54"/>
      <c r="AP890" s="34"/>
      <c r="AQ890" s="34"/>
      <c r="AR890" s="54"/>
      <c r="AS890" s="54"/>
      <c r="AT890" s="54"/>
      <c r="AU890" s="54"/>
      <c r="AV890" s="34"/>
      <c r="AW890" s="34"/>
      <c r="AX890" s="34"/>
      <c r="AY890" s="34"/>
      <c r="AZ890" s="34"/>
      <c r="BA890" s="44"/>
      <c r="BB890" s="34"/>
      <c r="BC890" s="34"/>
    </row>
    <row r="891" spans="1:55" x14ac:dyDescent="0.35" ht="15.0" customHeight="true">
      <c r="A891" s="51"/>
      <c r="B891" s="34"/>
      <c r="C891" s="34"/>
      <c r="D891" s="34"/>
      <c r="E891" s="34"/>
      <c r="F891" s="34"/>
      <c r="G891" s="44"/>
      <c r="H891" s="34"/>
      <c r="I891" s="54"/>
      <c r="J891" s="34"/>
      <c r="K891" s="54"/>
      <c r="L891" s="34"/>
      <c r="M891" s="44"/>
      <c r="N891" s="44"/>
      <c r="O891" s="34"/>
      <c r="P891" s="34"/>
      <c r="Q891" s="34"/>
      <c r="R891" s="34"/>
      <c r="V891" s="44"/>
      <c r="X891" s="95"/>
      <c r="Y891" s="54"/>
      <c r="Z891" s="54"/>
      <c r="AA891" s="34"/>
      <c r="AB891" s="34"/>
      <c r="AC891" s="34"/>
      <c r="AD891" s="34"/>
      <c r="AE891" s="34"/>
      <c r="AF891" s="34"/>
      <c r="AG891" s="34"/>
      <c r="AH891" s="34"/>
      <c r="AI891" s="52"/>
      <c r="AJ891" s="52"/>
      <c r="AL891" s="34"/>
      <c r="AM891" s="34"/>
      <c r="AN891" s="34"/>
      <c r="AO891" s="54"/>
      <c r="AP891" s="34"/>
      <c r="AQ891" s="34"/>
      <c r="AR891" s="54"/>
      <c r="AS891" s="54"/>
      <c r="AT891" s="54"/>
      <c r="AU891" s="54"/>
      <c r="AV891" s="34"/>
      <c r="AW891" s="34"/>
      <c r="AX891" s="34"/>
      <c r="AY891" s="34"/>
      <c r="AZ891" s="34"/>
      <c r="BA891" s="44"/>
      <c r="BB891" s="34"/>
      <c r="BC891" s="34"/>
    </row>
    <row r="892" spans="1:55" x14ac:dyDescent="0.35" ht="15.0" customHeight="true">
      <c r="A892" s="51"/>
      <c r="B892" s="34"/>
      <c r="C892" s="34"/>
      <c r="D892" s="34"/>
      <c r="E892" s="34"/>
      <c r="F892" s="34"/>
      <c r="G892" s="44"/>
      <c r="H892" s="34"/>
      <c r="I892" s="54"/>
      <c r="J892" s="34"/>
      <c r="K892" s="54"/>
      <c r="L892" s="34"/>
      <c r="M892" s="44"/>
      <c r="N892" s="44"/>
      <c r="O892" s="34"/>
      <c r="P892" s="34"/>
      <c r="Q892" s="34"/>
      <c r="R892" s="34"/>
      <c r="V892" s="44"/>
      <c r="X892" s="95"/>
      <c r="Y892" s="54"/>
      <c r="Z892" s="54"/>
      <c r="AA892" s="34"/>
      <c r="AB892" s="34"/>
      <c r="AC892" s="34"/>
      <c r="AD892" s="34"/>
      <c r="AE892" s="34"/>
      <c r="AF892" s="34"/>
      <c r="AG892" s="34"/>
      <c r="AH892" s="34"/>
      <c r="AI892" s="52"/>
      <c r="AJ892" s="52"/>
      <c r="AL892" s="34"/>
      <c r="AM892" s="34"/>
      <c r="AN892" s="34"/>
      <c r="AO892" s="54"/>
      <c r="AP892" s="34"/>
      <c r="AQ892" s="34"/>
      <c r="AR892" s="54"/>
      <c r="AS892" s="54"/>
      <c r="AT892" s="54"/>
      <c r="AU892" s="54"/>
      <c r="AV892" s="34"/>
      <c r="AW892" s="34"/>
      <c r="AX892" s="34"/>
      <c r="AY892" s="34"/>
      <c r="AZ892" s="34"/>
      <c r="BA892" s="44"/>
      <c r="BB892" s="34"/>
      <c r="BC892" s="34"/>
    </row>
    <row r="893" spans="1:55" x14ac:dyDescent="0.35" ht="15.0" customHeight="true">
      <c r="A893" s="51"/>
      <c r="B893" s="34"/>
      <c r="C893" s="34"/>
      <c r="D893" s="34"/>
      <c r="E893" s="34"/>
      <c r="F893" s="34"/>
      <c r="G893" s="44"/>
      <c r="H893" s="34"/>
      <c r="I893" s="54"/>
      <c r="J893" s="34"/>
      <c r="K893" s="54"/>
      <c r="L893" s="34"/>
      <c r="M893" s="44"/>
      <c r="N893" s="44"/>
      <c r="O893" s="34"/>
      <c r="P893" s="34"/>
      <c r="Q893" s="34"/>
      <c r="R893" s="34"/>
      <c r="V893" s="44"/>
      <c r="X893" s="95"/>
      <c r="Y893" s="54"/>
      <c r="Z893" s="54"/>
      <c r="AA893" s="34"/>
      <c r="AB893" s="34"/>
      <c r="AC893" s="34"/>
      <c r="AD893" s="34"/>
      <c r="AE893" s="34"/>
      <c r="AF893" s="34"/>
      <c r="AG893" s="34"/>
      <c r="AH893" s="34"/>
      <c r="AI893" s="52"/>
      <c r="AJ893" s="52"/>
      <c r="AL893" s="34"/>
      <c r="AM893" s="34"/>
      <c r="AN893" s="34"/>
      <c r="AO893" s="54"/>
      <c r="AP893" s="34"/>
      <c r="AQ893" s="34"/>
      <c r="AR893" s="54"/>
      <c r="AS893" s="54"/>
      <c r="AT893" s="54"/>
      <c r="AU893" s="54"/>
      <c r="AV893" s="34"/>
      <c r="AW893" s="34"/>
      <c r="AX893" s="34"/>
      <c r="AY893" s="34"/>
      <c r="AZ893" s="34"/>
      <c r="BA893" s="44"/>
      <c r="BB893" s="34"/>
      <c r="BC893" s="34"/>
    </row>
    <row r="894" spans="1:55" x14ac:dyDescent="0.35" ht="15.0" customHeight="true">
      <c r="A894" s="51"/>
      <c r="B894" s="34"/>
      <c r="C894" s="34"/>
      <c r="D894" s="34"/>
      <c r="E894" s="34"/>
      <c r="F894" s="34"/>
      <c r="G894" s="44"/>
      <c r="H894" s="34"/>
      <c r="I894" s="54"/>
      <c r="J894" s="34"/>
      <c r="K894" s="54"/>
      <c r="L894" s="34"/>
      <c r="M894" s="44"/>
      <c r="N894" s="44"/>
      <c r="O894" s="34"/>
      <c r="P894" s="34"/>
      <c r="Q894" s="34"/>
      <c r="R894" s="34"/>
      <c r="V894" s="44"/>
      <c r="X894" s="95"/>
      <c r="Y894" s="54"/>
      <c r="Z894" s="54"/>
      <c r="AA894" s="34"/>
      <c r="AB894" s="34"/>
      <c r="AC894" s="34"/>
      <c r="AD894" s="34"/>
      <c r="AE894" s="34"/>
      <c r="AF894" s="34"/>
      <c r="AG894" s="34"/>
      <c r="AH894" s="34"/>
      <c r="AI894" s="52"/>
      <c r="AJ894" s="52"/>
      <c r="AL894" s="34"/>
      <c r="AM894" s="34"/>
      <c r="AN894" s="34"/>
      <c r="AO894" s="54"/>
      <c r="AP894" s="34"/>
      <c r="AQ894" s="34"/>
      <c r="AR894" s="54"/>
      <c r="AS894" s="54"/>
      <c r="AT894" s="54"/>
      <c r="AU894" s="54"/>
      <c r="AV894" s="34"/>
      <c r="AW894" s="34"/>
      <c r="AX894" s="34"/>
      <c r="AY894" s="34"/>
      <c r="AZ894" s="34"/>
      <c r="BA894" s="44"/>
      <c r="BB894" s="34"/>
      <c r="BC894" s="34"/>
    </row>
    <row r="895" spans="1:55" x14ac:dyDescent="0.35" ht="15.0" customHeight="true">
      <c r="A895" s="51"/>
      <c r="B895" s="34"/>
      <c r="C895" s="34"/>
      <c r="D895" s="34"/>
      <c r="E895" s="34"/>
      <c r="F895" s="34"/>
      <c r="G895" s="44"/>
      <c r="H895" s="34"/>
      <c r="I895" s="54"/>
      <c r="J895" s="34"/>
      <c r="K895" s="54"/>
      <c r="L895" s="34"/>
      <c r="M895" s="44"/>
      <c r="N895" s="44"/>
      <c r="O895" s="34"/>
      <c r="P895" s="34"/>
      <c r="Q895" s="34"/>
      <c r="R895" s="34"/>
      <c r="V895" s="44"/>
      <c r="X895" s="95"/>
      <c r="Y895" s="54"/>
      <c r="Z895" s="54"/>
      <c r="AA895" s="34"/>
      <c r="AB895" s="34"/>
      <c r="AC895" s="34"/>
      <c r="AD895" s="34"/>
      <c r="AE895" s="34"/>
      <c r="AF895" s="34"/>
      <c r="AG895" s="34"/>
      <c r="AH895" s="34"/>
      <c r="AI895" s="52"/>
      <c r="AJ895" s="52"/>
      <c r="AL895" s="34"/>
      <c r="AM895" s="34"/>
      <c r="AN895" s="34"/>
      <c r="AO895" s="54"/>
      <c r="AP895" s="34"/>
      <c r="AQ895" s="34"/>
      <c r="AR895" s="54"/>
      <c r="AS895" s="54"/>
      <c r="AT895" s="54"/>
      <c r="AU895" s="54"/>
      <c r="AV895" s="34"/>
      <c r="AW895" s="34"/>
      <c r="AX895" s="34"/>
      <c r="AY895" s="34"/>
      <c r="AZ895" s="34"/>
      <c r="BA895" s="44"/>
      <c r="BB895" s="34"/>
      <c r="BC895" s="34"/>
    </row>
    <row r="896" spans="1:55" x14ac:dyDescent="0.35" ht="15.0" customHeight="true">
      <c r="A896" s="51"/>
      <c r="B896" s="34"/>
      <c r="C896" s="34"/>
      <c r="D896" s="34"/>
      <c r="E896" s="34"/>
      <c r="F896" s="34"/>
      <c r="G896" s="44"/>
      <c r="H896" s="34"/>
      <c r="I896" s="54"/>
      <c r="J896" s="34"/>
      <c r="K896" s="54"/>
      <c r="L896" s="34"/>
      <c r="M896" s="44"/>
      <c r="N896" s="44"/>
      <c r="O896" s="34"/>
      <c r="P896" s="34"/>
      <c r="Q896" s="34"/>
      <c r="R896" s="34"/>
      <c r="V896" s="44"/>
      <c r="X896" s="95"/>
      <c r="Y896" s="54"/>
      <c r="Z896" s="54"/>
      <c r="AA896" s="34"/>
      <c r="AB896" s="34"/>
      <c r="AC896" s="34"/>
      <c r="AD896" s="34"/>
      <c r="AE896" s="34"/>
      <c r="AF896" s="34"/>
      <c r="AG896" s="34"/>
      <c r="AH896" s="34"/>
      <c r="AI896" s="52"/>
      <c r="AJ896" s="52"/>
      <c r="AL896" s="34"/>
      <c r="AM896" s="34"/>
      <c r="AN896" s="34"/>
      <c r="AO896" s="54"/>
      <c r="AP896" s="34"/>
      <c r="AQ896" s="34"/>
      <c r="AR896" s="54"/>
      <c r="AS896" s="54"/>
      <c r="AT896" s="54"/>
      <c r="AU896" s="54"/>
      <c r="AV896" s="34"/>
      <c r="AW896" s="34"/>
      <c r="AX896" s="34"/>
      <c r="AY896" s="34"/>
      <c r="AZ896" s="34"/>
      <c r="BA896" s="44"/>
      <c r="BB896" s="34"/>
      <c r="BC896" s="34"/>
    </row>
    <row r="897" spans="1:55" x14ac:dyDescent="0.35" ht="15.0" customHeight="true">
      <c r="A897" s="51"/>
      <c r="B897" s="34"/>
      <c r="C897" s="34"/>
      <c r="D897" s="34"/>
      <c r="E897" s="34"/>
      <c r="F897" s="34"/>
      <c r="G897" s="44"/>
      <c r="H897" s="34"/>
      <c r="I897" s="54"/>
      <c r="J897" s="34"/>
      <c r="K897" s="54"/>
      <c r="L897" s="34"/>
      <c r="M897" s="44"/>
      <c r="N897" s="44"/>
      <c r="O897" s="34"/>
      <c r="P897" s="34"/>
      <c r="Q897" s="34"/>
      <c r="R897" s="34"/>
      <c r="V897" s="44"/>
      <c r="X897" s="95"/>
      <c r="Y897" s="54"/>
      <c r="Z897" s="54"/>
      <c r="AA897" s="34"/>
      <c r="AB897" s="34"/>
      <c r="AC897" s="34"/>
      <c r="AD897" s="34"/>
      <c r="AE897" s="34"/>
      <c r="AF897" s="34"/>
      <c r="AG897" s="34"/>
      <c r="AH897" s="34"/>
      <c r="AI897" s="52"/>
      <c r="AJ897" s="52"/>
      <c r="AL897" s="34"/>
      <c r="AM897" s="34"/>
      <c r="AN897" s="34"/>
      <c r="AO897" s="54"/>
      <c r="AP897" s="34"/>
      <c r="AQ897" s="34"/>
      <c r="AR897" s="54"/>
      <c r="AS897" s="54"/>
      <c r="AT897" s="54"/>
      <c r="AU897" s="54"/>
      <c r="AV897" s="34"/>
      <c r="AW897" s="34"/>
      <c r="AX897" s="34"/>
      <c r="AY897" s="34"/>
      <c r="AZ897" s="34"/>
      <c r="BA897" s="44"/>
      <c r="BB897" s="34"/>
      <c r="BC897" s="34"/>
    </row>
    <row r="898" spans="1:55" x14ac:dyDescent="0.35" ht="15.0" customHeight="true">
      <c r="A898" s="51"/>
      <c r="B898" s="34"/>
      <c r="C898" s="34"/>
      <c r="D898" s="34"/>
      <c r="E898" s="34"/>
      <c r="F898" s="34"/>
      <c r="G898" s="44"/>
      <c r="H898" s="34"/>
      <c r="I898" s="54"/>
      <c r="J898" s="34"/>
      <c r="K898" s="54"/>
      <c r="L898" s="34"/>
      <c r="M898" s="44"/>
      <c r="N898" s="44"/>
      <c r="O898" s="34"/>
      <c r="P898" s="34"/>
      <c r="Q898" s="34"/>
      <c r="R898" s="34"/>
      <c r="V898" s="44"/>
      <c r="X898" s="95"/>
      <c r="Y898" s="54"/>
      <c r="Z898" s="54"/>
      <c r="AA898" s="34"/>
      <c r="AB898" s="34"/>
      <c r="AC898" s="34"/>
      <c r="AD898" s="34"/>
      <c r="AE898" s="34"/>
      <c r="AF898" s="34"/>
      <c r="AG898" s="34"/>
      <c r="AH898" s="34"/>
      <c r="AI898" s="52"/>
      <c r="AJ898" s="52"/>
      <c r="AL898" s="34"/>
      <c r="AM898" s="34"/>
      <c r="AN898" s="34"/>
      <c r="AO898" s="54"/>
      <c r="AP898" s="34"/>
      <c r="AQ898" s="34"/>
      <c r="AR898" s="54"/>
      <c r="AS898" s="54"/>
      <c r="AT898" s="54"/>
      <c r="AU898" s="54"/>
      <c r="AV898" s="34"/>
      <c r="AW898" s="34"/>
      <c r="AX898" s="34"/>
      <c r="AY898" s="34"/>
      <c r="AZ898" s="34"/>
      <c r="BA898" s="44"/>
      <c r="BB898" s="34"/>
      <c r="BC898" s="34"/>
    </row>
    <row r="899" spans="1:55" x14ac:dyDescent="0.35" ht="15.0" customHeight="true">
      <c r="A899" s="51"/>
      <c r="B899" s="34"/>
      <c r="C899" s="34"/>
      <c r="D899" s="34"/>
      <c r="E899" s="34"/>
      <c r="F899" s="34"/>
      <c r="G899" s="44"/>
      <c r="H899" s="34"/>
      <c r="I899" s="54"/>
      <c r="J899" s="34"/>
      <c r="K899" s="54"/>
      <c r="L899" s="34"/>
      <c r="M899" s="44"/>
      <c r="N899" s="44"/>
      <c r="O899" s="34"/>
      <c r="P899" s="34"/>
      <c r="Q899" s="34"/>
      <c r="R899" s="34"/>
      <c r="V899" s="44"/>
      <c r="X899" s="95"/>
      <c r="Y899" s="54"/>
      <c r="Z899" s="54"/>
      <c r="AA899" s="34"/>
      <c r="AB899" s="34"/>
      <c r="AC899" s="34"/>
      <c r="AD899" s="34"/>
      <c r="AE899" s="34"/>
      <c r="AF899" s="34"/>
      <c r="AG899" s="34"/>
      <c r="AH899" s="34"/>
      <c r="AI899" s="52"/>
      <c r="AJ899" s="52"/>
      <c r="AL899" s="34"/>
      <c r="AM899" s="34"/>
      <c r="AN899" s="34"/>
      <c r="AO899" s="54"/>
      <c r="AP899" s="34"/>
      <c r="AQ899" s="34"/>
      <c r="AR899" s="54"/>
      <c r="AS899" s="54"/>
      <c r="AT899" s="54"/>
      <c r="AU899" s="54"/>
      <c r="AV899" s="34"/>
      <c r="AW899" s="34"/>
      <c r="AX899" s="34"/>
      <c r="AY899" s="34"/>
      <c r="AZ899" s="34"/>
      <c r="BA899" s="44"/>
      <c r="BB899" s="34"/>
      <c r="BC899" s="34"/>
    </row>
    <row r="900" spans="1:55" x14ac:dyDescent="0.35" ht="15.0" customHeight="true">
      <c r="A900" s="51"/>
      <c r="B900" s="34"/>
      <c r="C900" s="34"/>
      <c r="D900" s="34"/>
      <c r="E900" s="34"/>
      <c r="F900" s="34"/>
      <c r="G900" s="44"/>
      <c r="H900" s="34"/>
      <c r="I900" s="54"/>
      <c r="J900" s="34"/>
      <c r="K900" s="54"/>
      <c r="L900" s="34"/>
      <c r="M900" s="44"/>
      <c r="N900" s="44"/>
      <c r="O900" s="34"/>
      <c r="P900" s="34"/>
      <c r="Q900" s="34"/>
      <c r="R900" s="34"/>
      <c r="V900" s="44"/>
      <c r="X900" s="95"/>
      <c r="Y900" s="54"/>
      <c r="Z900" s="54"/>
      <c r="AA900" s="34"/>
      <c r="AB900" s="34"/>
      <c r="AC900" s="34"/>
      <c r="AD900" s="34"/>
      <c r="AE900" s="34"/>
      <c r="AF900" s="34"/>
      <c r="AG900" s="34"/>
      <c r="AH900" s="34"/>
      <c r="AI900" s="52"/>
      <c r="AJ900" s="52"/>
      <c r="AL900" s="34"/>
      <c r="AM900" s="34"/>
      <c r="AN900" s="34"/>
      <c r="AO900" s="54"/>
      <c r="AP900" s="34"/>
      <c r="AQ900" s="34"/>
      <c r="AR900" s="54"/>
      <c r="AS900" s="54"/>
      <c r="AT900" s="54"/>
      <c r="AU900" s="54"/>
      <c r="AV900" s="34"/>
      <c r="AW900" s="34"/>
      <c r="AX900" s="34"/>
      <c r="AY900" s="34"/>
      <c r="AZ900" s="34"/>
      <c r="BA900" s="44"/>
      <c r="BB900" s="34"/>
      <c r="BC900" s="34"/>
    </row>
    <row r="901" spans="1:55" x14ac:dyDescent="0.35" ht="15.0" customHeight="true">
      <c r="A901" s="51"/>
      <c r="B901" s="34"/>
      <c r="C901" s="34"/>
      <c r="D901" s="34"/>
      <c r="E901" s="34"/>
      <c r="F901" s="34"/>
      <c r="G901" s="44"/>
      <c r="H901" s="34"/>
      <c r="I901" s="54"/>
      <c r="J901" s="34"/>
      <c r="K901" s="54"/>
      <c r="L901" s="34"/>
      <c r="M901" s="44"/>
      <c r="N901" s="44"/>
      <c r="O901" s="34"/>
      <c r="P901" s="34"/>
      <c r="Q901" s="34"/>
      <c r="R901" s="34"/>
      <c r="V901" s="44"/>
      <c r="X901" s="95"/>
      <c r="Y901" s="54"/>
      <c r="Z901" s="54"/>
      <c r="AA901" s="34"/>
      <c r="AB901" s="34"/>
      <c r="AC901" s="34"/>
      <c r="AD901" s="34"/>
      <c r="AE901" s="34"/>
      <c r="AF901" s="34"/>
      <c r="AG901" s="34"/>
      <c r="AH901" s="34"/>
      <c r="AI901" s="52"/>
      <c r="AJ901" s="52"/>
      <c r="AL901" s="34"/>
      <c r="AM901" s="34"/>
      <c r="AN901" s="34"/>
      <c r="AO901" s="54"/>
      <c r="AP901" s="34"/>
      <c r="AQ901" s="34"/>
      <c r="AR901" s="54"/>
      <c r="AS901" s="54"/>
      <c r="AT901" s="54"/>
      <c r="AU901" s="54"/>
      <c r="AV901" s="34"/>
      <c r="AW901" s="34"/>
      <c r="AX901" s="34"/>
      <c r="AY901" s="34"/>
      <c r="AZ901" s="34"/>
      <c r="BA901" s="44"/>
      <c r="BB901" s="34"/>
      <c r="BC901" s="34"/>
    </row>
    <row r="902" spans="1:55" x14ac:dyDescent="0.35" ht="15.0" customHeight="true">
      <c r="A902" s="51"/>
      <c r="B902" s="34"/>
      <c r="C902" s="34"/>
      <c r="D902" s="34"/>
      <c r="E902" s="34"/>
      <c r="F902" s="34"/>
      <c r="G902" s="44"/>
      <c r="H902" s="34"/>
      <c r="I902" s="54"/>
      <c r="J902" s="34"/>
      <c r="K902" s="54"/>
      <c r="L902" s="34"/>
      <c r="M902" s="44"/>
      <c r="N902" s="44"/>
      <c r="O902" s="34"/>
      <c r="P902" s="34"/>
      <c r="Q902" s="34"/>
      <c r="R902" s="34"/>
      <c r="V902" s="44"/>
      <c r="X902" s="95"/>
      <c r="Y902" s="54"/>
      <c r="Z902" s="54"/>
      <c r="AA902" s="34"/>
      <c r="AB902" s="34"/>
      <c r="AC902" s="34"/>
      <c r="AD902" s="34"/>
      <c r="AE902" s="34"/>
      <c r="AF902" s="34"/>
      <c r="AG902" s="34"/>
      <c r="AH902" s="34"/>
      <c r="AI902" s="52"/>
      <c r="AJ902" s="52"/>
      <c r="AL902" s="34"/>
      <c r="AM902" s="34"/>
      <c r="AN902" s="34"/>
      <c r="AO902" s="54"/>
      <c r="AP902" s="34"/>
      <c r="AQ902" s="34"/>
      <c r="AR902" s="54"/>
      <c r="AS902" s="54"/>
      <c r="AT902" s="54"/>
      <c r="AU902" s="54"/>
      <c r="AV902" s="34"/>
      <c r="AW902" s="34"/>
      <c r="AX902" s="34"/>
      <c r="AY902" s="34"/>
      <c r="AZ902" s="34"/>
      <c r="BA902" s="44"/>
      <c r="BB902" s="34"/>
      <c r="BC902" s="34"/>
    </row>
    <row r="903" spans="1:55" x14ac:dyDescent="0.35" ht="15.0" customHeight="true">
      <c r="A903" s="51"/>
      <c r="B903" s="34"/>
      <c r="C903" s="34"/>
      <c r="D903" s="34"/>
      <c r="E903" s="34"/>
      <c r="F903" s="34"/>
      <c r="G903" s="44"/>
      <c r="H903" s="34"/>
      <c r="I903" s="54"/>
      <c r="J903" s="34"/>
      <c r="K903" s="54"/>
      <c r="L903" s="34"/>
      <c r="M903" s="44"/>
      <c r="N903" s="44"/>
      <c r="O903" s="34"/>
      <c r="P903" s="34"/>
      <c r="Q903" s="34"/>
      <c r="R903" s="34"/>
      <c r="V903" s="44"/>
      <c r="X903" s="95"/>
      <c r="Y903" s="54"/>
      <c r="Z903" s="54"/>
      <c r="AA903" s="34"/>
      <c r="AB903" s="34"/>
      <c r="AC903" s="34"/>
      <c r="AD903" s="34"/>
      <c r="AE903" s="34"/>
      <c r="AF903" s="34"/>
      <c r="AG903" s="34"/>
      <c r="AH903" s="34"/>
      <c r="AI903" s="52"/>
      <c r="AJ903" s="52"/>
      <c r="AL903" s="34"/>
      <c r="AM903" s="34"/>
      <c r="AN903" s="34"/>
      <c r="AO903" s="54"/>
      <c r="AP903" s="34"/>
      <c r="AQ903" s="34"/>
      <c r="AR903" s="54"/>
      <c r="AS903" s="54"/>
      <c r="AT903" s="54"/>
      <c r="AU903" s="54"/>
      <c r="AV903" s="34"/>
      <c r="AW903" s="34"/>
      <c r="AX903" s="34"/>
      <c r="AY903" s="34"/>
      <c r="AZ903" s="34"/>
      <c r="BA903" s="44"/>
      <c r="BB903" s="34"/>
      <c r="BC903" s="34"/>
    </row>
    <row r="904" spans="1:55" x14ac:dyDescent="0.35" ht="15.0" customHeight="true">
      <c r="A904" s="51"/>
      <c r="B904" s="34"/>
      <c r="C904" s="34"/>
      <c r="D904" s="34"/>
      <c r="E904" s="34"/>
      <c r="F904" s="34"/>
      <c r="G904" s="44"/>
      <c r="H904" s="34"/>
      <c r="I904" s="54"/>
      <c r="J904" s="34"/>
      <c r="K904" s="54"/>
      <c r="L904" s="34"/>
      <c r="M904" s="44"/>
      <c r="N904" s="44"/>
      <c r="O904" s="34"/>
      <c r="P904" s="34"/>
      <c r="Q904" s="34"/>
      <c r="R904" s="34"/>
      <c r="V904" s="44"/>
      <c r="X904" s="95"/>
      <c r="Y904" s="54"/>
      <c r="Z904" s="54"/>
      <c r="AA904" s="34"/>
      <c r="AB904" s="34"/>
      <c r="AC904" s="34"/>
      <c r="AD904" s="34"/>
      <c r="AE904" s="34"/>
      <c r="AF904" s="34"/>
      <c r="AG904" s="34"/>
      <c r="AH904" s="34"/>
      <c r="AI904" s="52"/>
      <c r="AJ904" s="52"/>
      <c r="AL904" s="34"/>
      <c r="AM904" s="34"/>
      <c r="AN904" s="34"/>
      <c r="AO904" s="54"/>
      <c r="AP904" s="34"/>
      <c r="AQ904" s="34"/>
      <c r="AR904" s="54"/>
      <c r="AS904" s="54"/>
      <c r="AT904" s="54"/>
      <c r="AU904" s="54"/>
      <c r="AV904" s="34"/>
      <c r="AW904" s="34"/>
      <c r="AX904" s="34"/>
      <c r="AY904" s="34"/>
      <c r="AZ904" s="34"/>
      <c r="BA904" s="44"/>
      <c r="BB904" s="34"/>
      <c r="BC904" s="34"/>
    </row>
    <row r="905" spans="1:55" x14ac:dyDescent="0.35" ht="15.0" customHeight="true">
      <c r="A905" s="51"/>
      <c r="B905" s="34"/>
      <c r="C905" s="34"/>
      <c r="D905" s="34"/>
      <c r="E905" s="34"/>
      <c r="F905" s="34"/>
      <c r="G905" s="44"/>
      <c r="H905" s="34"/>
      <c r="I905" s="54"/>
      <c r="J905" s="34"/>
      <c r="K905" s="54"/>
      <c r="L905" s="34"/>
      <c r="M905" s="44"/>
      <c r="N905" s="44"/>
      <c r="O905" s="34"/>
      <c r="P905" s="34"/>
      <c r="Q905" s="34"/>
      <c r="R905" s="34"/>
      <c r="V905" s="44"/>
      <c r="X905" s="95"/>
      <c r="Y905" s="54"/>
      <c r="Z905" s="54"/>
      <c r="AA905" s="34"/>
      <c r="AB905" s="34"/>
      <c r="AC905" s="34"/>
      <c r="AD905" s="34"/>
      <c r="AE905" s="34"/>
      <c r="AF905" s="34"/>
      <c r="AG905" s="34"/>
      <c r="AH905" s="34"/>
      <c r="AI905" s="52"/>
      <c r="AJ905" s="52"/>
      <c r="AL905" s="34"/>
      <c r="AM905" s="34"/>
      <c r="AN905" s="34"/>
      <c r="AO905" s="54"/>
      <c r="AP905" s="34"/>
      <c r="AQ905" s="34"/>
      <c r="AR905" s="54"/>
      <c r="AS905" s="54"/>
      <c r="AT905" s="54"/>
      <c r="AU905" s="54"/>
      <c r="AV905" s="34"/>
      <c r="AW905" s="34"/>
      <c r="AX905" s="34"/>
      <c r="AY905" s="34"/>
      <c r="AZ905" s="34"/>
      <c r="BA905" s="44"/>
      <c r="BB905" s="34"/>
      <c r="BC905" s="34"/>
    </row>
    <row r="906" spans="1:55" x14ac:dyDescent="0.35" ht="15.0" customHeight="true">
      <c r="A906" s="51"/>
      <c r="B906" s="34"/>
      <c r="C906" s="34"/>
      <c r="D906" s="34"/>
      <c r="E906" s="34"/>
      <c r="F906" s="34"/>
      <c r="G906" s="44"/>
      <c r="H906" s="34"/>
      <c r="I906" s="54"/>
      <c r="J906" s="34"/>
      <c r="K906" s="54"/>
      <c r="L906" s="34"/>
      <c r="M906" s="44"/>
      <c r="N906" s="44"/>
      <c r="O906" s="34"/>
      <c r="P906" s="34"/>
      <c r="Q906" s="34"/>
      <c r="R906" s="34"/>
      <c r="V906" s="44"/>
      <c r="X906" s="95"/>
      <c r="Y906" s="54"/>
      <c r="Z906" s="54"/>
      <c r="AA906" s="34"/>
      <c r="AB906" s="34"/>
      <c r="AC906" s="34"/>
      <c r="AD906" s="34"/>
      <c r="AE906" s="34"/>
      <c r="AF906" s="34"/>
      <c r="AG906" s="34"/>
      <c r="AH906" s="34"/>
      <c r="AI906" s="52"/>
      <c r="AJ906" s="52"/>
      <c r="AL906" s="34"/>
      <c r="AM906" s="34"/>
      <c r="AN906" s="34"/>
      <c r="AO906" s="54"/>
      <c r="AP906" s="34"/>
      <c r="AQ906" s="34"/>
      <c r="AR906" s="54"/>
      <c r="AS906" s="54"/>
      <c r="AT906" s="54"/>
      <c r="AU906" s="54"/>
      <c r="AV906" s="34"/>
      <c r="AW906" s="34"/>
      <c r="AX906" s="34"/>
      <c r="AY906" s="34"/>
      <c r="AZ906" s="34"/>
      <c r="BA906" s="44"/>
      <c r="BB906" s="34"/>
      <c r="BC906" s="34"/>
    </row>
    <row r="907" spans="1:55" x14ac:dyDescent="0.35" ht="15.0" customHeight="true">
      <c r="A907" s="51"/>
      <c r="B907" s="34"/>
      <c r="C907" s="34"/>
      <c r="D907" s="34"/>
      <c r="E907" s="34"/>
      <c r="F907" s="34"/>
      <c r="G907" s="44"/>
      <c r="H907" s="34"/>
      <c r="I907" s="54"/>
      <c r="J907" s="34"/>
      <c r="K907" s="54"/>
      <c r="L907" s="34"/>
      <c r="M907" s="44"/>
      <c r="N907" s="44"/>
      <c r="O907" s="34"/>
      <c r="P907" s="34"/>
      <c r="Q907" s="34"/>
      <c r="R907" s="34"/>
      <c r="V907" s="44"/>
      <c r="X907" s="95"/>
      <c r="Y907" s="54"/>
      <c r="Z907" s="54"/>
      <c r="AA907" s="34"/>
      <c r="AB907" s="34"/>
      <c r="AC907" s="34"/>
      <c r="AD907" s="34"/>
      <c r="AE907" s="34"/>
      <c r="AF907" s="34"/>
      <c r="AG907" s="34"/>
      <c r="AH907" s="34"/>
      <c r="AI907" s="52"/>
      <c r="AJ907" s="52"/>
      <c r="AL907" s="34"/>
      <c r="AM907" s="34"/>
      <c r="AN907" s="34"/>
      <c r="AO907" s="54"/>
      <c r="AP907" s="34"/>
      <c r="AQ907" s="34"/>
      <c r="AR907" s="54"/>
      <c r="AS907" s="54"/>
      <c r="AT907" s="54"/>
      <c r="AU907" s="54"/>
      <c r="AV907" s="34"/>
      <c r="AW907" s="34"/>
      <c r="AX907" s="34"/>
      <c r="AY907" s="34"/>
      <c r="AZ907" s="34"/>
      <c r="BA907" s="44"/>
      <c r="BB907" s="34"/>
      <c r="BC907" s="34"/>
    </row>
    <row r="908" spans="1:55" x14ac:dyDescent="0.35" ht="15.0" customHeight="true">
      <c r="A908" s="51"/>
      <c r="B908" s="34"/>
      <c r="C908" s="34"/>
      <c r="D908" s="34"/>
      <c r="E908" s="34"/>
      <c r="F908" s="34"/>
      <c r="G908" s="44"/>
      <c r="H908" s="34"/>
      <c r="I908" s="54"/>
      <c r="J908" s="34"/>
      <c r="K908" s="54"/>
      <c r="L908" s="34"/>
      <c r="M908" s="44"/>
      <c r="N908" s="44"/>
      <c r="O908" s="34"/>
      <c r="P908" s="34"/>
      <c r="Q908" s="34"/>
      <c r="R908" s="34"/>
      <c r="V908" s="44"/>
      <c r="X908" s="95"/>
      <c r="Y908" s="54"/>
      <c r="Z908" s="54"/>
      <c r="AA908" s="34"/>
      <c r="AB908" s="34"/>
      <c r="AC908" s="34"/>
      <c r="AD908" s="34"/>
      <c r="AE908" s="34"/>
      <c r="AF908" s="34"/>
      <c r="AG908" s="34"/>
      <c r="AH908" s="34"/>
      <c r="AI908" s="52"/>
      <c r="AJ908" s="52"/>
      <c r="AL908" s="34"/>
      <c r="AM908" s="34"/>
      <c r="AN908" s="34"/>
      <c r="AO908" s="54"/>
      <c r="AP908" s="34"/>
      <c r="AQ908" s="34"/>
      <c r="AR908" s="54"/>
      <c r="AS908" s="54"/>
      <c r="AT908" s="54"/>
      <c r="AU908" s="54"/>
      <c r="AV908" s="34"/>
      <c r="AW908" s="34"/>
      <c r="AX908" s="34"/>
      <c r="AY908" s="34"/>
      <c r="AZ908" s="34"/>
      <c r="BA908" s="44"/>
      <c r="BB908" s="34"/>
      <c r="BC908" s="34"/>
    </row>
    <row r="909" spans="1:55" x14ac:dyDescent="0.35" ht="15.0" customHeight="true">
      <c r="A909" s="51"/>
      <c r="B909" s="34"/>
      <c r="C909" s="34"/>
      <c r="D909" s="34"/>
      <c r="E909" s="34"/>
      <c r="F909" s="34"/>
      <c r="G909" s="44"/>
      <c r="H909" s="34"/>
      <c r="I909" s="54"/>
      <c r="J909" s="34"/>
      <c r="K909" s="54"/>
      <c r="L909" s="34"/>
      <c r="M909" s="44"/>
      <c r="N909" s="44"/>
      <c r="O909" s="34"/>
      <c r="P909" s="34"/>
      <c r="Q909" s="34"/>
      <c r="R909" s="34"/>
      <c r="V909" s="44"/>
      <c r="X909" s="95"/>
      <c r="Y909" s="54"/>
      <c r="Z909" s="54"/>
      <c r="AA909" s="34"/>
      <c r="AB909" s="34"/>
      <c r="AC909" s="34"/>
      <c r="AD909" s="34"/>
      <c r="AE909" s="34"/>
      <c r="AF909" s="34"/>
      <c r="AG909" s="34"/>
      <c r="AH909" s="34"/>
      <c r="AI909" s="52"/>
      <c r="AJ909" s="52"/>
      <c r="AL909" s="34"/>
      <c r="AM909" s="34"/>
      <c r="AN909" s="34"/>
      <c r="AO909" s="54"/>
      <c r="AP909" s="34"/>
      <c r="AQ909" s="34"/>
      <c r="AR909" s="54"/>
      <c r="AS909" s="54"/>
      <c r="AT909" s="54"/>
      <c r="AU909" s="54"/>
      <c r="AV909" s="34"/>
      <c r="AW909" s="34"/>
      <c r="AX909" s="34"/>
      <c r="AY909" s="34"/>
      <c r="AZ909" s="34"/>
      <c r="BA909" s="44"/>
      <c r="BB909" s="34"/>
      <c r="BC909" s="34"/>
    </row>
    <row r="910" spans="1:55" x14ac:dyDescent="0.35" ht="15.0" customHeight="true">
      <c r="A910" s="51"/>
      <c r="B910" s="34"/>
      <c r="C910" s="34"/>
      <c r="D910" s="34"/>
      <c r="E910" s="34"/>
      <c r="F910" s="34"/>
      <c r="G910" s="44"/>
      <c r="H910" s="34"/>
      <c r="I910" s="54"/>
      <c r="J910" s="34"/>
      <c r="K910" s="54"/>
      <c r="L910" s="34"/>
      <c r="M910" s="44"/>
      <c r="N910" s="44"/>
      <c r="O910" s="34"/>
      <c r="P910" s="34"/>
      <c r="Q910" s="34"/>
      <c r="R910" s="34"/>
      <c r="V910" s="44"/>
      <c r="X910" s="95"/>
      <c r="Y910" s="54"/>
      <c r="Z910" s="54"/>
      <c r="AA910" s="34"/>
      <c r="AB910" s="34"/>
      <c r="AC910" s="34"/>
      <c r="AD910" s="34"/>
      <c r="AE910" s="34"/>
      <c r="AF910" s="34"/>
      <c r="AG910" s="34"/>
      <c r="AH910" s="34"/>
      <c r="AI910" s="52"/>
      <c r="AJ910" s="52"/>
      <c r="AL910" s="34"/>
      <c r="AM910" s="34"/>
      <c r="AN910" s="34"/>
      <c r="AO910" s="54"/>
      <c r="AP910" s="34"/>
      <c r="AQ910" s="34"/>
      <c r="AR910" s="54"/>
      <c r="AS910" s="54"/>
      <c r="AT910" s="54"/>
      <c r="AU910" s="54"/>
      <c r="AV910" s="34"/>
      <c r="AW910" s="34"/>
      <c r="AX910" s="34"/>
      <c r="AY910" s="34"/>
      <c r="AZ910" s="34"/>
      <c r="BA910" s="44"/>
      <c r="BB910" s="34"/>
      <c r="BC910" s="34"/>
    </row>
    <row r="911" spans="1:55" x14ac:dyDescent="0.35" ht="15.0" customHeight="true">
      <c r="A911" s="51"/>
      <c r="B911" s="34"/>
      <c r="C911" s="34"/>
      <c r="D911" s="34"/>
      <c r="E911" s="34"/>
      <c r="F911" s="34"/>
      <c r="G911" s="44"/>
      <c r="H911" s="34"/>
      <c r="I911" s="54"/>
      <c r="J911" s="34"/>
      <c r="K911" s="54"/>
      <c r="L911" s="34"/>
      <c r="M911" s="44"/>
      <c r="N911" s="44"/>
      <c r="O911" s="34"/>
      <c r="P911" s="34"/>
      <c r="Q911" s="34"/>
      <c r="R911" s="34"/>
      <c r="V911" s="44"/>
      <c r="X911" s="95"/>
      <c r="Y911" s="54"/>
      <c r="Z911" s="54"/>
      <c r="AA911" s="34"/>
      <c r="AB911" s="34"/>
      <c r="AC911" s="34"/>
      <c r="AD911" s="34"/>
      <c r="AE911" s="34"/>
      <c r="AF911" s="34"/>
      <c r="AG911" s="34"/>
      <c r="AH911" s="34"/>
      <c r="AI911" s="52"/>
      <c r="AJ911" s="52"/>
      <c r="AL911" s="34"/>
      <c r="AM911" s="34"/>
      <c r="AN911" s="34"/>
      <c r="AO911" s="54"/>
      <c r="AP911" s="34"/>
      <c r="AQ911" s="34"/>
      <c r="AR911" s="54"/>
      <c r="AS911" s="54"/>
      <c r="AT911" s="54"/>
      <c r="AU911" s="54"/>
      <c r="AV911" s="34"/>
      <c r="AW911" s="34"/>
      <c r="AX911" s="34"/>
      <c r="AY911" s="34"/>
      <c r="AZ911" s="34"/>
      <c r="BA911" s="44"/>
      <c r="BB911" s="34"/>
      <c r="BC911" s="34"/>
    </row>
    <row r="912" spans="1:55" x14ac:dyDescent="0.35" ht="15.0" customHeight="true">
      <c r="A912" s="51"/>
      <c r="B912" s="34"/>
      <c r="C912" s="34"/>
      <c r="D912" s="34"/>
      <c r="E912" s="34"/>
      <c r="F912" s="34"/>
      <c r="G912" s="44"/>
      <c r="H912" s="34"/>
      <c r="I912" s="54"/>
      <c r="J912" s="34"/>
      <c r="K912" s="54"/>
      <c r="L912" s="34"/>
      <c r="M912" s="44"/>
      <c r="N912" s="44"/>
      <c r="O912" s="34"/>
      <c r="P912" s="34"/>
      <c r="Q912" s="34"/>
      <c r="R912" s="34"/>
      <c r="V912" s="44"/>
      <c r="X912" s="95"/>
      <c r="Y912" s="54"/>
      <c r="Z912" s="54"/>
      <c r="AA912" s="34"/>
      <c r="AB912" s="34"/>
      <c r="AC912" s="34"/>
      <c r="AD912" s="34"/>
      <c r="AE912" s="34"/>
      <c r="AF912" s="34"/>
      <c r="AG912" s="34"/>
      <c r="AH912" s="34"/>
      <c r="AI912" s="52"/>
      <c r="AJ912" s="52"/>
      <c r="AL912" s="34"/>
      <c r="AM912" s="34"/>
      <c r="AN912" s="34"/>
      <c r="AO912" s="54"/>
      <c r="AP912" s="34"/>
      <c r="AQ912" s="34"/>
      <c r="AR912" s="54"/>
      <c r="AS912" s="54"/>
      <c r="AT912" s="54"/>
      <c r="AU912" s="54"/>
      <c r="AV912" s="34"/>
      <c r="AW912" s="34"/>
      <c r="AX912" s="34"/>
      <c r="AY912" s="34"/>
      <c r="AZ912" s="34"/>
      <c r="BA912" s="44"/>
      <c r="BB912" s="34"/>
      <c r="BC912" s="34"/>
    </row>
    <row r="913" spans="1:55" x14ac:dyDescent="0.35" ht="15.0" customHeight="true">
      <c r="A913" s="51"/>
      <c r="B913" s="34"/>
      <c r="C913" s="34"/>
      <c r="D913" s="34"/>
      <c r="E913" s="34"/>
      <c r="F913" s="34"/>
      <c r="G913" s="44"/>
      <c r="H913" s="34"/>
      <c r="I913" s="54"/>
      <c r="J913" s="34"/>
      <c r="K913" s="54"/>
      <c r="L913" s="34"/>
      <c r="M913" s="44"/>
      <c r="N913" s="44"/>
      <c r="O913" s="34"/>
      <c r="P913" s="34"/>
      <c r="Q913" s="34"/>
      <c r="R913" s="34"/>
      <c r="V913" s="44"/>
      <c r="X913" s="95"/>
      <c r="Y913" s="54"/>
      <c r="Z913" s="54"/>
      <c r="AA913" s="34"/>
      <c r="AB913" s="34"/>
      <c r="AC913" s="34"/>
      <c r="AD913" s="34"/>
      <c r="AE913" s="34"/>
      <c r="AF913" s="34"/>
      <c r="AG913" s="34"/>
      <c r="AH913" s="34"/>
      <c r="AI913" s="52"/>
      <c r="AJ913" s="52"/>
      <c r="AL913" s="34"/>
      <c r="AM913" s="34"/>
      <c r="AN913" s="34"/>
      <c r="AO913" s="54"/>
      <c r="AP913" s="34"/>
      <c r="AQ913" s="34"/>
      <c r="AR913" s="54"/>
      <c r="AS913" s="54"/>
      <c r="AT913" s="54"/>
      <c r="AU913" s="54"/>
      <c r="AV913" s="34"/>
      <c r="AW913" s="34"/>
      <c r="AX913" s="34"/>
      <c r="AY913" s="34"/>
      <c r="AZ913" s="34"/>
      <c r="BA913" s="44"/>
      <c r="BB913" s="34"/>
      <c r="BC913" s="34"/>
    </row>
    <row r="914" spans="1:55" x14ac:dyDescent="0.35" ht="15.0" customHeight="true">
      <c r="A914" s="51"/>
      <c r="B914" s="34"/>
      <c r="C914" s="34"/>
      <c r="D914" s="34"/>
      <c r="E914" s="34"/>
      <c r="F914" s="34"/>
      <c r="G914" s="44"/>
      <c r="H914" s="34"/>
      <c r="I914" s="54"/>
      <c r="J914" s="34"/>
      <c r="K914" s="54"/>
      <c r="L914" s="34"/>
      <c r="M914" s="44"/>
      <c r="N914" s="44"/>
      <c r="O914" s="34"/>
      <c r="P914" s="34"/>
      <c r="Q914" s="34"/>
      <c r="R914" s="34"/>
      <c r="V914" s="44"/>
      <c r="X914" s="95"/>
      <c r="Y914" s="54"/>
      <c r="Z914" s="54"/>
      <c r="AA914" s="34"/>
      <c r="AB914" s="34"/>
      <c r="AC914" s="34"/>
      <c r="AD914" s="34"/>
      <c r="AE914" s="34"/>
      <c r="AF914" s="34"/>
      <c r="AG914" s="34"/>
      <c r="AH914" s="34"/>
      <c r="AI914" s="52"/>
      <c r="AJ914" s="52"/>
      <c r="AL914" s="34"/>
      <c r="AM914" s="34"/>
      <c r="AN914" s="34"/>
      <c r="AO914" s="54"/>
      <c r="AP914" s="34"/>
      <c r="AQ914" s="34"/>
      <c r="AR914" s="54"/>
      <c r="AS914" s="54"/>
      <c r="AT914" s="54"/>
      <c r="AU914" s="54"/>
      <c r="AV914" s="34"/>
      <c r="AW914" s="34"/>
      <c r="AX914" s="34"/>
      <c r="AY914" s="34"/>
      <c r="AZ914" s="34"/>
      <c r="BA914" s="44"/>
      <c r="BB914" s="34"/>
      <c r="BC914" s="34"/>
    </row>
    <row r="915" spans="1:55" x14ac:dyDescent="0.35" ht="15.0" customHeight="true">
      <c r="A915" s="51"/>
      <c r="B915" s="34"/>
      <c r="C915" s="34"/>
      <c r="D915" s="34"/>
      <c r="E915" s="34"/>
      <c r="F915" s="34"/>
      <c r="G915" s="44"/>
      <c r="H915" s="34"/>
      <c r="I915" s="54"/>
      <c r="J915" s="34"/>
      <c r="K915" s="54"/>
      <c r="L915" s="34"/>
      <c r="M915" s="44"/>
      <c r="N915" s="44"/>
      <c r="O915" s="34"/>
      <c r="P915" s="34"/>
      <c r="Q915" s="34"/>
      <c r="R915" s="34"/>
      <c r="V915" s="44"/>
      <c r="X915" s="95"/>
      <c r="Y915" s="54"/>
      <c r="Z915" s="54"/>
      <c r="AA915" s="34"/>
      <c r="AB915" s="34"/>
      <c r="AC915" s="34"/>
      <c r="AD915" s="34"/>
      <c r="AE915" s="34"/>
      <c r="AF915" s="34"/>
      <c r="AG915" s="34"/>
      <c r="AH915" s="34"/>
      <c r="AI915" s="52"/>
      <c r="AJ915" s="52"/>
      <c r="AL915" s="34"/>
      <c r="AM915" s="34"/>
      <c r="AN915" s="34"/>
      <c r="AO915" s="54"/>
      <c r="AP915" s="34"/>
      <c r="AQ915" s="34"/>
      <c r="AR915" s="54"/>
      <c r="AS915" s="54"/>
      <c r="AT915" s="54"/>
      <c r="AU915" s="54"/>
      <c r="AV915" s="34"/>
      <c r="AW915" s="34"/>
      <c r="AX915" s="34"/>
      <c r="AY915" s="34"/>
      <c r="AZ915" s="34"/>
      <c r="BA915" s="44"/>
      <c r="BB915" s="34"/>
      <c r="BC915" s="34"/>
    </row>
    <row r="916" spans="1:55" x14ac:dyDescent="0.35" ht="15.0" customHeight="true">
      <c r="A916" s="51"/>
      <c r="B916" s="34"/>
      <c r="C916" s="34"/>
      <c r="D916" s="34"/>
      <c r="E916" s="34"/>
      <c r="F916" s="34"/>
      <c r="G916" s="44"/>
      <c r="H916" s="34"/>
      <c r="I916" s="54"/>
      <c r="J916" s="34"/>
      <c r="K916" s="54"/>
      <c r="L916" s="34"/>
      <c r="M916" s="44"/>
      <c r="N916" s="44"/>
      <c r="O916" s="34"/>
      <c r="P916" s="34"/>
      <c r="Q916" s="34"/>
      <c r="R916" s="34"/>
      <c r="V916" s="44"/>
      <c r="X916" s="95"/>
      <c r="Y916" s="54"/>
      <c r="Z916" s="54"/>
      <c r="AA916" s="34"/>
      <c r="AB916" s="34"/>
      <c r="AC916" s="34"/>
      <c r="AD916" s="34"/>
      <c r="AE916" s="34"/>
      <c r="AF916" s="34"/>
      <c r="AG916" s="34"/>
      <c r="AH916" s="34"/>
      <c r="AI916" s="52"/>
      <c r="AJ916" s="52"/>
      <c r="AL916" s="34"/>
      <c r="AM916" s="34"/>
      <c r="AN916" s="34"/>
      <c r="AO916" s="54"/>
      <c r="AP916" s="34"/>
      <c r="AQ916" s="34"/>
      <c r="AR916" s="54"/>
      <c r="AS916" s="54"/>
      <c r="AT916" s="54"/>
      <c r="AU916" s="54"/>
      <c r="AV916" s="34"/>
      <c r="AW916" s="34"/>
      <c r="AX916" s="34"/>
      <c r="AY916" s="34"/>
      <c r="AZ916" s="34"/>
      <c r="BA916" s="44"/>
      <c r="BB916" s="34"/>
      <c r="BC916" s="34"/>
    </row>
    <row r="917" spans="1:55" x14ac:dyDescent="0.35" ht="15.0" customHeight="true">
      <c r="A917" s="51"/>
      <c r="B917" s="34"/>
      <c r="C917" s="34"/>
      <c r="D917" s="34"/>
      <c r="E917" s="34"/>
      <c r="F917" s="34"/>
      <c r="G917" s="44"/>
      <c r="H917" s="34"/>
      <c r="I917" s="54"/>
      <c r="J917" s="34"/>
      <c r="K917" s="54"/>
      <c r="L917" s="34"/>
      <c r="M917" s="44"/>
      <c r="N917" s="44"/>
      <c r="O917" s="34"/>
      <c r="P917" s="34"/>
      <c r="Q917" s="34"/>
      <c r="R917" s="34"/>
      <c r="V917" s="44"/>
      <c r="X917" s="95"/>
      <c r="Y917" s="54"/>
      <c r="Z917" s="54"/>
      <c r="AA917" s="34"/>
      <c r="AB917" s="34"/>
      <c r="AC917" s="34"/>
      <c r="AD917" s="34"/>
      <c r="AE917" s="34"/>
      <c r="AF917" s="34"/>
      <c r="AG917" s="34"/>
      <c r="AH917" s="34"/>
      <c r="AI917" s="52"/>
      <c r="AJ917" s="52"/>
      <c r="AL917" s="34"/>
      <c r="AM917" s="34"/>
      <c r="AN917" s="34"/>
      <c r="AO917" s="54"/>
      <c r="AP917" s="34"/>
      <c r="AQ917" s="34"/>
      <c r="AR917" s="54"/>
      <c r="AS917" s="54"/>
      <c r="AT917" s="54"/>
      <c r="AU917" s="54"/>
      <c r="AV917" s="34"/>
      <c r="AW917" s="34"/>
      <c r="AX917" s="34"/>
      <c r="AY917" s="34"/>
      <c r="AZ917" s="34"/>
      <c r="BA917" s="44"/>
      <c r="BB917" s="34"/>
      <c r="BC917" s="34"/>
    </row>
    <row r="918" spans="1:55" x14ac:dyDescent="0.35" ht="15.0" customHeight="true">
      <c r="A918" s="51"/>
      <c r="B918" s="34"/>
      <c r="C918" s="34"/>
      <c r="D918" s="34"/>
      <c r="E918" s="34"/>
      <c r="F918" s="34"/>
      <c r="G918" s="44"/>
      <c r="H918" s="34"/>
      <c r="I918" s="54"/>
      <c r="J918" s="34"/>
      <c r="K918" s="54"/>
      <c r="L918" s="34"/>
      <c r="M918" s="44"/>
      <c r="N918" s="44"/>
      <c r="O918" s="34"/>
      <c r="P918" s="34"/>
      <c r="Q918" s="34"/>
      <c r="R918" s="34"/>
      <c r="V918" s="44"/>
      <c r="X918" s="95"/>
      <c r="Y918" s="54"/>
      <c r="Z918" s="54"/>
      <c r="AA918" s="34"/>
      <c r="AB918" s="34"/>
      <c r="AC918" s="34"/>
      <c r="AD918" s="34"/>
      <c r="AE918" s="34"/>
      <c r="AF918" s="34"/>
      <c r="AG918" s="34"/>
      <c r="AH918" s="34"/>
      <c r="AI918" s="52"/>
      <c r="AJ918" s="52"/>
      <c r="AL918" s="34"/>
      <c r="AM918" s="34"/>
      <c r="AN918" s="34"/>
      <c r="AO918" s="54"/>
      <c r="AP918" s="34"/>
      <c r="AQ918" s="34"/>
      <c r="AR918" s="54"/>
      <c r="AS918" s="54"/>
      <c r="AT918" s="54"/>
      <c r="AU918" s="54"/>
      <c r="AV918" s="34"/>
      <c r="AW918" s="34"/>
      <c r="AX918" s="34"/>
      <c r="AY918" s="34"/>
      <c r="AZ918" s="34"/>
      <c r="BA918" s="44"/>
      <c r="BB918" s="34"/>
      <c r="BC918" s="34"/>
    </row>
    <row r="919" spans="1:55" x14ac:dyDescent="0.35" ht="15.0" customHeight="true">
      <c r="A919" s="51"/>
      <c r="B919" s="34"/>
      <c r="C919" s="34"/>
      <c r="D919" s="34"/>
      <c r="E919" s="34"/>
      <c r="F919" s="34"/>
      <c r="G919" s="44"/>
      <c r="H919" s="34"/>
      <c r="I919" s="54"/>
      <c r="J919" s="34"/>
      <c r="K919" s="54"/>
      <c r="L919" s="34"/>
      <c r="M919" s="44"/>
      <c r="N919" s="44"/>
      <c r="O919" s="34"/>
      <c r="P919" s="34"/>
      <c r="Q919" s="34"/>
      <c r="R919" s="34"/>
      <c r="V919" s="44"/>
      <c r="X919" s="95"/>
      <c r="Y919" s="54"/>
      <c r="Z919" s="54"/>
      <c r="AA919" s="34"/>
      <c r="AB919" s="34"/>
      <c r="AC919" s="34"/>
      <c r="AD919" s="34"/>
      <c r="AE919" s="34"/>
      <c r="AF919" s="34"/>
      <c r="AG919" s="34"/>
      <c r="AH919" s="34"/>
      <c r="AI919" s="52"/>
      <c r="AJ919" s="52"/>
      <c r="AL919" s="34"/>
      <c r="AM919" s="34"/>
      <c r="AN919" s="34"/>
      <c r="AO919" s="54"/>
      <c r="AP919" s="34"/>
      <c r="AQ919" s="34"/>
      <c r="AR919" s="54"/>
      <c r="AS919" s="54"/>
      <c r="AT919" s="54"/>
      <c r="AU919" s="54"/>
      <c r="AV919" s="34"/>
      <c r="AW919" s="34"/>
      <c r="AX919" s="34"/>
      <c r="AY919" s="34"/>
      <c r="AZ919" s="34"/>
      <c r="BA919" s="44"/>
      <c r="BB919" s="34"/>
      <c r="BC919" s="34"/>
    </row>
    <row r="920" spans="1:55" x14ac:dyDescent="0.35" ht="15.0" customHeight="true">
      <c r="A920" s="51"/>
      <c r="B920" s="34"/>
      <c r="C920" s="34"/>
      <c r="D920" s="34"/>
      <c r="E920" s="34"/>
      <c r="F920" s="34"/>
      <c r="G920" s="44"/>
      <c r="H920" s="34"/>
      <c r="I920" s="54"/>
      <c r="J920" s="34"/>
      <c r="K920" s="54"/>
      <c r="L920" s="34"/>
      <c r="M920" s="44"/>
      <c r="N920" s="44"/>
      <c r="O920" s="34"/>
      <c r="P920" s="34"/>
      <c r="Q920" s="34"/>
      <c r="R920" s="34"/>
      <c r="V920" s="44"/>
      <c r="X920" s="95"/>
      <c r="Y920" s="54"/>
      <c r="Z920" s="54"/>
      <c r="AA920" s="34"/>
      <c r="AB920" s="34"/>
      <c r="AC920" s="34"/>
      <c r="AD920" s="34"/>
      <c r="AE920" s="34"/>
      <c r="AF920" s="34"/>
      <c r="AG920" s="34"/>
      <c r="AH920" s="34"/>
      <c r="AI920" s="52"/>
      <c r="AJ920" s="52"/>
      <c r="AL920" s="34"/>
      <c r="AM920" s="34"/>
      <c r="AN920" s="34"/>
      <c r="AO920" s="54"/>
      <c r="AP920" s="34"/>
      <c r="AQ920" s="34"/>
      <c r="AR920" s="54"/>
      <c r="AS920" s="54"/>
      <c r="AT920" s="54"/>
      <c r="AU920" s="54"/>
      <c r="AV920" s="34"/>
      <c r="AW920" s="34"/>
      <c r="AX920" s="34"/>
      <c r="AY920" s="34"/>
      <c r="AZ920" s="34"/>
      <c r="BA920" s="44"/>
      <c r="BB920" s="34"/>
      <c r="BC920" s="34"/>
    </row>
    <row r="921" spans="1:55" x14ac:dyDescent="0.35" ht="15.0" customHeight="true">
      <c r="A921" s="51"/>
      <c r="B921" s="34"/>
      <c r="C921" s="34"/>
      <c r="D921" s="34"/>
      <c r="E921" s="34"/>
      <c r="F921" s="34"/>
      <c r="G921" s="44"/>
      <c r="H921" s="34"/>
      <c r="I921" s="54"/>
      <c r="J921" s="34"/>
      <c r="K921" s="54"/>
      <c r="L921" s="34"/>
      <c r="M921" s="44"/>
      <c r="N921" s="44"/>
      <c r="O921" s="34"/>
      <c r="P921" s="34"/>
      <c r="Q921" s="34"/>
      <c r="R921" s="34"/>
      <c r="V921" s="44"/>
      <c r="X921" s="95"/>
      <c r="Y921" s="54"/>
      <c r="Z921" s="54"/>
      <c r="AA921" s="34"/>
      <c r="AB921" s="34"/>
      <c r="AC921" s="34"/>
      <c r="AD921" s="34"/>
      <c r="AE921" s="34"/>
      <c r="AF921" s="34"/>
      <c r="AG921" s="34"/>
      <c r="AH921" s="34"/>
      <c r="AI921" s="52"/>
      <c r="AJ921" s="52"/>
      <c r="AL921" s="34"/>
      <c r="AM921" s="34"/>
      <c r="AN921" s="34"/>
      <c r="AO921" s="54"/>
      <c r="AP921" s="34"/>
      <c r="AQ921" s="34"/>
      <c r="AR921" s="54"/>
      <c r="AS921" s="54"/>
      <c r="AT921" s="54"/>
      <c r="AU921" s="54"/>
      <c r="AV921" s="34"/>
      <c r="AW921" s="34"/>
      <c r="AX921" s="34"/>
      <c r="AY921" s="34"/>
      <c r="AZ921" s="34"/>
      <c r="BA921" s="44"/>
      <c r="BB921" s="34"/>
      <c r="BC921" s="34"/>
    </row>
    <row r="922" spans="1:55" x14ac:dyDescent="0.35" ht="15.0" customHeight="true">
      <c r="A922" s="51"/>
      <c r="B922" s="34"/>
      <c r="C922" s="34"/>
      <c r="D922" s="34"/>
      <c r="E922" s="34"/>
      <c r="F922" s="34"/>
      <c r="G922" s="44"/>
      <c r="H922" s="34"/>
      <c r="I922" s="54"/>
      <c r="J922" s="34"/>
      <c r="K922" s="54"/>
      <c r="L922" s="34"/>
      <c r="M922" s="44"/>
      <c r="N922" s="44"/>
      <c r="O922" s="34"/>
      <c r="P922" s="34"/>
      <c r="Q922" s="34"/>
      <c r="R922" s="34"/>
      <c r="V922" s="44"/>
      <c r="X922" s="95"/>
      <c r="Y922" s="54"/>
      <c r="Z922" s="54"/>
      <c r="AA922" s="34"/>
      <c r="AB922" s="34"/>
      <c r="AC922" s="34"/>
      <c r="AD922" s="34"/>
      <c r="AE922" s="34"/>
      <c r="AF922" s="34"/>
      <c r="AG922" s="34"/>
      <c r="AH922" s="34"/>
      <c r="AI922" s="52"/>
      <c r="AJ922" s="52"/>
      <c r="AL922" s="34"/>
      <c r="AM922" s="34"/>
      <c r="AN922" s="34"/>
      <c r="AO922" s="54"/>
      <c r="AP922" s="34"/>
      <c r="AQ922" s="34"/>
      <c r="AR922" s="54"/>
      <c r="AS922" s="54"/>
      <c r="AT922" s="54"/>
      <c r="AU922" s="54"/>
      <c r="AV922" s="34"/>
      <c r="AW922" s="34"/>
      <c r="AX922" s="34"/>
      <c r="AY922" s="34"/>
      <c r="AZ922" s="34"/>
      <c r="BA922" s="44"/>
      <c r="BB922" s="34"/>
      <c r="BC922" s="34"/>
    </row>
    <row r="923" spans="1:55" x14ac:dyDescent="0.35" ht="15.0" customHeight="true">
      <c r="A923" s="51"/>
      <c r="B923" s="34"/>
      <c r="C923" s="34"/>
      <c r="D923" s="34"/>
      <c r="E923" s="34"/>
      <c r="F923" s="34"/>
      <c r="G923" s="44"/>
      <c r="H923" s="34"/>
      <c r="I923" s="54"/>
      <c r="J923" s="34"/>
      <c r="K923" s="54"/>
      <c r="L923" s="34"/>
      <c r="M923" s="44"/>
      <c r="N923" s="44"/>
      <c r="O923" s="34"/>
      <c r="P923" s="34"/>
      <c r="Q923" s="34"/>
      <c r="R923" s="34"/>
      <c r="V923" s="44"/>
      <c r="X923" s="95"/>
      <c r="Y923" s="54"/>
      <c r="Z923" s="54"/>
      <c r="AA923" s="34"/>
      <c r="AB923" s="34"/>
      <c r="AC923" s="34"/>
      <c r="AD923" s="34"/>
      <c r="AE923" s="34"/>
      <c r="AF923" s="34"/>
      <c r="AG923" s="34"/>
      <c r="AH923" s="34"/>
      <c r="AI923" s="52"/>
      <c r="AJ923" s="52"/>
      <c r="AL923" s="34"/>
      <c r="AM923" s="34"/>
      <c r="AN923" s="34"/>
      <c r="AO923" s="54"/>
      <c r="AP923" s="34"/>
      <c r="AQ923" s="34"/>
      <c r="AR923" s="54"/>
      <c r="AS923" s="54"/>
      <c r="AT923" s="54"/>
      <c r="AU923" s="54"/>
      <c r="AV923" s="34"/>
      <c r="AW923" s="34"/>
      <c r="AX923" s="34"/>
      <c r="AY923" s="34"/>
      <c r="AZ923" s="34"/>
      <c r="BA923" s="44"/>
      <c r="BB923" s="34"/>
      <c r="BC923" s="34"/>
    </row>
    <row r="924" spans="1:55" x14ac:dyDescent="0.35" ht="15.0" customHeight="true">
      <c r="A924" s="51"/>
      <c r="B924" s="34"/>
      <c r="C924" s="34"/>
      <c r="D924" s="34"/>
      <c r="E924" s="34"/>
      <c r="F924" s="34"/>
      <c r="G924" s="44"/>
      <c r="H924" s="34"/>
      <c r="I924" s="54"/>
      <c r="J924" s="34"/>
      <c r="K924" s="54"/>
      <c r="L924" s="34"/>
      <c r="M924" s="44"/>
      <c r="N924" s="44"/>
      <c r="O924" s="34"/>
      <c r="P924" s="34"/>
      <c r="Q924" s="34"/>
      <c r="R924" s="34"/>
      <c r="V924" s="44"/>
      <c r="X924" s="95"/>
      <c r="Y924" s="54"/>
      <c r="Z924" s="54"/>
      <c r="AA924" s="34"/>
      <c r="AB924" s="34"/>
      <c r="AC924" s="34"/>
      <c r="AD924" s="34"/>
      <c r="AE924" s="34"/>
      <c r="AF924" s="34"/>
      <c r="AG924" s="34"/>
      <c r="AH924" s="34"/>
      <c r="AI924" s="52"/>
      <c r="AJ924" s="52"/>
      <c r="AL924" s="34"/>
      <c r="AM924" s="34"/>
      <c r="AN924" s="34"/>
      <c r="AO924" s="54"/>
      <c r="AP924" s="34"/>
      <c r="AQ924" s="34"/>
      <c r="AR924" s="54"/>
      <c r="AS924" s="54"/>
      <c r="AT924" s="54"/>
      <c r="AU924" s="54"/>
      <c r="AV924" s="34"/>
      <c r="AW924" s="34"/>
      <c r="AX924" s="34"/>
      <c r="AY924" s="34"/>
      <c r="AZ924" s="34"/>
      <c r="BA924" s="44"/>
      <c r="BB924" s="34"/>
      <c r="BC924" s="34"/>
    </row>
    <row r="925" spans="1:55" x14ac:dyDescent="0.35" ht="15.0" customHeight="true">
      <c r="A925" s="51"/>
      <c r="B925" s="34"/>
      <c r="C925" s="34"/>
      <c r="D925" s="34"/>
      <c r="E925" s="34"/>
      <c r="F925" s="34"/>
      <c r="G925" s="44"/>
      <c r="H925" s="34"/>
      <c r="I925" s="54"/>
      <c r="J925" s="34"/>
      <c r="K925" s="54"/>
      <c r="L925" s="34"/>
      <c r="M925" s="44"/>
      <c r="N925" s="44"/>
      <c r="O925" s="34"/>
      <c r="P925" s="34"/>
      <c r="Q925" s="34"/>
      <c r="R925" s="34"/>
      <c r="V925" s="44"/>
      <c r="X925" s="95"/>
      <c r="Y925" s="54"/>
      <c r="Z925" s="54"/>
      <c r="AA925" s="34"/>
      <c r="AB925" s="34"/>
      <c r="AC925" s="34"/>
      <c r="AD925" s="34"/>
      <c r="AE925" s="34"/>
      <c r="AF925" s="34"/>
      <c r="AG925" s="34"/>
      <c r="AH925" s="34"/>
      <c r="AI925" s="52"/>
      <c r="AJ925" s="52"/>
      <c r="AL925" s="34"/>
      <c r="AM925" s="34"/>
      <c r="AN925" s="34"/>
      <c r="AO925" s="54"/>
      <c r="AP925" s="34"/>
      <c r="AQ925" s="34"/>
      <c r="AR925" s="54"/>
      <c r="AS925" s="54"/>
      <c r="AT925" s="54"/>
      <c r="AU925" s="54"/>
      <c r="AV925" s="34"/>
      <c r="AW925" s="34"/>
      <c r="AX925" s="34"/>
      <c r="AY925" s="34"/>
      <c r="AZ925" s="34"/>
      <c r="BA925" s="44"/>
      <c r="BB925" s="34"/>
      <c r="BC925" s="34"/>
    </row>
    <row r="926" spans="1:55" x14ac:dyDescent="0.35" ht="15.0" customHeight="true">
      <c r="A926" s="51"/>
      <c r="B926" s="34"/>
      <c r="C926" s="34"/>
      <c r="D926" s="34"/>
      <c r="E926" s="34"/>
      <c r="F926" s="34"/>
      <c r="G926" s="44"/>
      <c r="H926" s="34"/>
      <c r="I926" s="54"/>
      <c r="J926" s="34"/>
      <c r="K926" s="54"/>
      <c r="L926" s="34"/>
      <c r="M926" s="44"/>
      <c r="N926" s="44"/>
      <c r="O926" s="34"/>
      <c r="P926" s="34"/>
      <c r="Q926" s="34"/>
      <c r="R926" s="34"/>
      <c r="V926" s="44"/>
      <c r="X926" s="95"/>
      <c r="Y926" s="54"/>
      <c r="Z926" s="54"/>
      <c r="AA926" s="34"/>
      <c r="AB926" s="34"/>
      <c r="AC926" s="34"/>
      <c r="AD926" s="34"/>
      <c r="AE926" s="34"/>
      <c r="AF926" s="34"/>
      <c r="AG926" s="34"/>
      <c r="AH926" s="34"/>
      <c r="AI926" s="52"/>
      <c r="AJ926" s="52"/>
      <c r="AL926" s="34"/>
      <c r="AM926" s="34"/>
      <c r="AN926" s="34"/>
      <c r="AO926" s="54"/>
      <c r="AP926" s="34"/>
      <c r="AQ926" s="34"/>
      <c r="AR926" s="54"/>
      <c r="AS926" s="54"/>
      <c r="AT926" s="54"/>
      <c r="AU926" s="54"/>
      <c r="AV926" s="34"/>
      <c r="AW926" s="34"/>
      <c r="AX926" s="34"/>
      <c r="AY926" s="34"/>
      <c r="AZ926" s="34"/>
      <c r="BA926" s="44"/>
      <c r="BB926" s="34"/>
      <c r="BC926" s="34"/>
    </row>
    <row r="927" spans="1:55" x14ac:dyDescent="0.35" ht="15.0" customHeight="true">
      <c r="A927" s="51"/>
      <c r="B927" s="34"/>
      <c r="C927" s="34"/>
      <c r="D927" s="34"/>
      <c r="E927" s="34"/>
      <c r="F927" s="34"/>
      <c r="G927" s="44"/>
      <c r="H927" s="34"/>
      <c r="I927" s="54"/>
      <c r="J927" s="34"/>
      <c r="K927" s="54"/>
      <c r="L927" s="34"/>
      <c r="M927" s="44"/>
      <c r="N927" s="44"/>
      <c r="O927" s="34"/>
      <c r="P927" s="34"/>
      <c r="Q927" s="34"/>
      <c r="R927" s="34"/>
      <c r="V927" s="44"/>
      <c r="X927" s="95"/>
      <c r="Y927" s="54"/>
      <c r="Z927" s="54"/>
      <c r="AA927" s="34"/>
      <c r="AB927" s="34"/>
      <c r="AC927" s="34"/>
      <c r="AD927" s="34"/>
      <c r="AE927" s="34"/>
      <c r="AF927" s="34"/>
      <c r="AG927" s="34"/>
      <c r="AH927" s="34"/>
      <c r="AI927" s="52"/>
      <c r="AJ927" s="52"/>
      <c r="AL927" s="34"/>
      <c r="AM927" s="34"/>
      <c r="AN927" s="34"/>
      <c r="AO927" s="54"/>
      <c r="AP927" s="34"/>
      <c r="AQ927" s="34"/>
      <c r="AR927" s="54"/>
      <c r="AS927" s="54"/>
      <c r="AT927" s="54"/>
      <c r="AU927" s="54"/>
      <c r="AV927" s="34"/>
      <c r="AW927" s="34"/>
      <c r="AX927" s="34"/>
      <c r="AY927" s="34"/>
      <c r="AZ927" s="34"/>
      <c r="BA927" s="44"/>
      <c r="BB927" s="34"/>
      <c r="BC927" s="34"/>
    </row>
    <row r="928" spans="1:55" x14ac:dyDescent="0.35" ht="15.0" customHeight="true">
      <c r="A928" s="51"/>
      <c r="B928" s="34"/>
      <c r="C928" s="34"/>
      <c r="D928" s="34"/>
      <c r="E928" s="34"/>
      <c r="F928" s="34"/>
      <c r="G928" s="44"/>
      <c r="H928" s="34"/>
      <c r="I928" s="54"/>
      <c r="J928" s="34"/>
      <c r="K928" s="54"/>
      <c r="L928" s="34"/>
      <c r="M928" s="44"/>
      <c r="N928" s="44"/>
      <c r="O928" s="34"/>
      <c r="P928" s="34"/>
      <c r="Q928" s="34"/>
      <c r="R928" s="34"/>
      <c r="V928" s="44"/>
      <c r="X928" s="95"/>
      <c r="Y928" s="54"/>
      <c r="Z928" s="54"/>
      <c r="AA928" s="34"/>
      <c r="AB928" s="34"/>
      <c r="AC928" s="34"/>
      <c r="AD928" s="34"/>
      <c r="AE928" s="34"/>
      <c r="AF928" s="34"/>
      <c r="AG928" s="34"/>
      <c r="AH928" s="34"/>
      <c r="AI928" s="52"/>
      <c r="AJ928" s="52"/>
      <c r="AL928" s="34"/>
      <c r="AM928" s="34"/>
      <c r="AN928" s="34"/>
      <c r="AO928" s="54"/>
      <c r="AP928" s="34"/>
      <c r="AQ928" s="34"/>
      <c r="AR928" s="54"/>
      <c r="AS928" s="54"/>
      <c r="AT928" s="54"/>
      <c r="AU928" s="54"/>
      <c r="AV928" s="34"/>
      <c r="AW928" s="34"/>
      <c r="AX928" s="34"/>
      <c r="AY928" s="34"/>
      <c r="AZ928" s="34"/>
      <c r="BA928" s="44"/>
      <c r="BB928" s="34"/>
      <c r="BC928" s="34"/>
    </row>
    <row r="929" spans="1:55" x14ac:dyDescent="0.35" ht="15.0" customHeight="true">
      <c r="A929" s="51"/>
      <c r="B929" s="34"/>
      <c r="C929" s="34"/>
      <c r="D929" s="34"/>
      <c r="E929" s="34"/>
      <c r="F929" s="34"/>
      <c r="G929" s="44"/>
      <c r="H929" s="34"/>
      <c r="I929" s="54"/>
      <c r="J929" s="34"/>
      <c r="K929" s="54"/>
      <c r="L929" s="34"/>
      <c r="M929" s="44"/>
      <c r="N929" s="44"/>
      <c r="O929" s="34"/>
      <c r="P929" s="34"/>
      <c r="Q929" s="34"/>
      <c r="R929" s="34"/>
      <c r="V929" s="44"/>
      <c r="X929" s="95"/>
      <c r="Y929" s="54"/>
      <c r="Z929" s="54"/>
      <c r="AA929" s="34"/>
      <c r="AB929" s="34"/>
      <c r="AC929" s="34"/>
      <c r="AD929" s="34"/>
      <c r="AE929" s="34"/>
      <c r="AF929" s="34"/>
      <c r="AG929" s="34"/>
      <c r="AH929" s="34"/>
      <c r="AI929" s="52"/>
      <c r="AJ929" s="52"/>
      <c r="AL929" s="34"/>
      <c r="AM929" s="34"/>
      <c r="AN929" s="34"/>
      <c r="AO929" s="54"/>
      <c r="AP929" s="34"/>
      <c r="AQ929" s="34"/>
      <c r="AR929" s="54"/>
      <c r="AS929" s="54"/>
      <c r="AT929" s="54"/>
      <c r="AU929" s="54"/>
      <c r="AV929" s="34"/>
      <c r="AW929" s="34"/>
      <c r="AX929" s="34"/>
      <c r="AY929" s="34"/>
      <c r="AZ929" s="34"/>
      <c r="BA929" s="44"/>
      <c r="BB929" s="34"/>
      <c r="BC929" s="34"/>
    </row>
    <row r="930" spans="1:55" x14ac:dyDescent="0.35" ht="15.0" customHeight="true">
      <c r="A930" s="51"/>
      <c r="B930" s="34"/>
      <c r="C930" s="34"/>
      <c r="D930" s="34"/>
      <c r="E930" s="34"/>
      <c r="F930" s="34"/>
      <c r="G930" s="44"/>
      <c r="H930" s="34"/>
      <c r="I930" s="54"/>
      <c r="J930" s="34"/>
      <c r="K930" s="54"/>
      <c r="L930" s="34"/>
      <c r="M930" s="44"/>
      <c r="N930" s="44"/>
      <c r="O930" s="34"/>
      <c r="P930" s="34"/>
      <c r="Q930" s="34"/>
      <c r="R930" s="34"/>
      <c r="V930" s="44"/>
      <c r="X930" s="95"/>
      <c r="Y930" s="54"/>
      <c r="Z930" s="54"/>
      <c r="AA930" s="34"/>
      <c r="AB930" s="34"/>
      <c r="AC930" s="34"/>
      <c r="AD930" s="34"/>
      <c r="AE930" s="34"/>
      <c r="AF930" s="34"/>
      <c r="AG930" s="34"/>
      <c r="AH930" s="34"/>
      <c r="AI930" s="52"/>
      <c r="AJ930" s="52"/>
      <c r="AL930" s="34"/>
      <c r="AM930" s="34"/>
      <c r="AN930" s="34"/>
      <c r="AO930" s="54"/>
      <c r="AP930" s="34"/>
      <c r="AQ930" s="34"/>
      <c r="AR930" s="54"/>
      <c r="AS930" s="54"/>
      <c r="AT930" s="54"/>
      <c r="AU930" s="54"/>
      <c r="AV930" s="34"/>
      <c r="AW930" s="34"/>
      <c r="AX930" s="34"/>
      <c r="AY930" s="34"/>
      <c r="AZ930" s="34"/>
      <c r="BA930" s="44"/>
      <c r="BB930" s="34"/>
      <c r="BC930" s="34"/>
    </row>
    <row r="931" spans="1:55" x14ac:dyDescent="0.35" ht="15.0" customHeight="true">
      <c r="A931" s="51"/>
      <c r="B931" s="34"/>
      <c r="C931" s="34"/>
      <c r="D931" s="34"/>
      <c r="E931" s="34"/>
      <c r="F931" s="34"/>
      <c r="G931" s="44"/>
      <c r="H931" s="34"/>
      <c r="I931" s="54"/>
      <c r="J931" s="34"/>
      <c r="K931" s="54"/>
      <c r="L931" s="34"/>
      <c r="M931" s="44"/>
      <c r="N931" s="44"/>
      <c r="O931" s="34"/>
      <c r="P931" s="34"/>
      <c r="Q931" s="34"/>
      <c r="R931" s="34"/>
      <c r="V931" s="44"/>
      <c r="X931" s="95"/>
      <c r="Y931" s="54"/>
      <c r="Z931" s="54"/>
      <c r="AA931" s="34"/>
      <c r="AB931" s="34"/>
      <c r="AC931" s="34"/>
      <c r="AD931" s="34"/>
      <c r="AE931" s="34"/>
      <c r="AF931" s="34"/>
      <c r="AG931" s="34"/>
      <c r="AH931" s="34"/>
      <c r="AI931" s="52"/>
      <c r="AJ931" s="52"/>
      <c r="AL931" s="34"/>
      <c r="AM931" s="34"/>
      <c r="AN931" s="34"/>
      <c r="AO931" s="54"/>
      <c r="AP931" s="34"/>
      <c r="AQ931" s="34"/>
      <c r="AR931" s="54"/>
      <c r="AS931" s="54"/>
      <c r="AT931" s="54"/>
      <c r="AU931" s="54"/>
      <c r="AV931" s="34"/>
      <c r="AW931" s="34"/>
      <c r="AX931" s="34"/>
      <c r="AY931" s="34"/>
      <c r="AZ931" s="34"/>
      <c r="BA931" s="44"/>
      <c r="BB931" s="34"/>
      <c r="BC931" s="34"/>
    </row>
    <row r="932" spans="1:55" x14ac:dyDescent="0.35" ht="15.0" customHeight="true">
      <c r="A932" s="51"/>
      <c r="B932" s="34"/>
      <c r="C932" s="34"/>
      <c r="D932" s="34"/>
      <c r="E932" s="34"/>
      <c r="F932" s="34"/>
      <c r="G932" s="44"/>
      <c r="H932" s="34"/>
      <c r="I932" s="54"/>
      <c r="J932" s="34"/>
      <c r="K932" s="54"/>
      <c r="L932" s="34"/>
      <c r="M932" s="44"/>
      <c r="N932" s="44"/>
      <c r="O932" s="34"/>
      <c r="P932" s="34"/>
      <c r="Q932" s="34"/>
      <c r="R932" s="34"/>
      <c r="V932" s="44"/>
      <c r="X932" s="95"/>
      <c r="Y932" s="54"/>
      <c r="Z932" s="54"/>
      <c r="AA932" s="34"/>
      <c r="AB932" s="34"/>
      <c r="AC932" s="34"/>
      <c r="AD932" s="34"/>
      <c r="AE932" s="34"/>
      <c r="AF932" s="34"/>
      <c r="AG932" s="34"/>
      <c r="AH932" s="34"/>
      <c r="AI932" s="52"/>
      <c r="AJ932" s="52"/>
      <c r="AL932" s="34"/>
      <c r="AM932" s="34"/>
      <c r="AN932" s="34"/>
      <c r="AO932" s="54"/>
      <c r="AP932" s="34"/>
      <c r="AQ932" s="34"/>
      <c r="AR932" s="54"/>
      <c r="AS932" s="54"/>
      <c r="AT932" s="54"/>
      <c r="AU932" s="54"/>
      <c r="AV932" s="34"/>
      <c r="AW932" s="34"/>
      <c r="AX932" s="34"/>
      <c r="AY932" s="34"/>
      <c r="AZ932" s="34"/>
      <c r="BA932" s="44"/>
      <c r="BB932" s="34"/>
      <c r="BC932" s="34"/>
    </row>
    <row r="933" spans="1:55" x14ac:dyDescent="0.35" ht="15.0" customHeight="true">
      <c r="A933" s="51"/>
      <c r="B933" s="34"/>
      <c r="C933" s="34"/>
      <c r="D933" s="34"/>
      <c r="E933" s="34"/>
      <c r="F933" s="34"/>
      <c r="G933" s="44"/>
      <c r="H933" s="34"/>
      <c r="I933" s="54"/>
      <c r="J933" s="34"/>
      <c r="K933" s="54"/>
      <c r="L933" s="34"/>
      <c r="M933" s="44"/>
      <c r="N933" s="44"/>
      <c r="O933" s="34"/>
      <c r="P933" s="34"/>
      <c r="Q933" s="34"/>
      <c r="R933" s="34"/>
      <c r="V933" s="44"/>
      <c r="X933" s="95"/>
      <c r="Y933" s="54"/>
      <c r="Z933" s="54"/>
      <c r="AA933" s="34"/>
      <c r="AB933" s="34"/>
      <c r="AC933" s="34"/>
      <c r="AD933" s="34"/>
      <c r="AE933" s="34"/>
      <c r="AF933" s="34"/>
      <c r="AG933" s="34"/>
      <c r="AH933" s="34"/>
      <c r="AI933" s="52"/>
      <c r="AJ933" s="52"/>
      <c r="AL933" s="34"/>
      <c r="AM933" s="34"/>
      <c r="AN933" s="34"/>
      <c r="AO933" s="54"/>
      <c r="AP933" s="34"/>
      <c r="AQ933" s="34"/>
      <c r="AR933" s="54"/>
      <c r="AS933" s="54"/>
      <c r="AT933" s="54"/>
      <c r="AU933" s="54"/>
      <c r="AV933" s="34"/>
      <c r="AW933" s="34"/>
      <c r="AX933" s="34"/>
      <c r="AY933" s="34"/>
      <c r="AZ933" s="34"/>
      <c r="BA933" s="44"/>
      <c r="BB933" s="34"/>
      <c r="BC933" s="34"/>
    </row>
    <row r="934" spans="1:55" x14ac:dyDescent="0.35" ht="15.0" customHeight="true">
      <c r="A934" s="51"/>
      <c r="B934" s="34"/>
      <c r="C934" s="34"/>
      <c r="D934" s="34"/>
      <c r="E934" s="34"/>
      <c r="F934" s="34"/>
      <c r="G934" s="44"/>
      <c r="H934" s="34"/>
      <c r="I934" s="54"/>
      <c r="J934" s="34"/>
      <c r="K934" s="54"/>
      <c r="L934" s="34"/>
      <c r="M934" s="44"/>
      <c r="N934" s="44"/>
      <c r="O934" s="34"/>
      <c r="P934" s="34"/>
      <c r="Q934" s="34"/>
      <c r="R934" s="34"/>
      <c r="V934" s="44"/>
      <c r="X934" s="95"/>
      <c r="Y934" s="54"/>
      <c r="Z934" s="54"/>
      <c r="AA934" s="34"/>
      <c r="AB934" s="34"/>
      <c r="AC934" s="34"/>
      <c r="AD934" s="34"/>
      <c r="AE934" s="34"/>
      <c r="AF934" s="34"/>
      <c r="AG934" s="34"/>
      <c r="AH934" s="34"/>
      <c r="AI934" s="52"/>
      <c r="AJ934" s="52"/>
      <c r="AL934" s="34"/>
      <c r="AM934" s="34"/>
      <c r="AN934" s="34"/>
      <c r="AO934" s="54"/>
      <c r="AP934" s="34"/>
      <c r="AQ934" s="34"/>
      <c r="AR934" s="54"/>
      <c r="AS934" s="54"/>
      <c r="AT934" s="54"/>
      <c r="AU934" s="54"/>
      <c r="AV934" s="34"/>
      <c r="AW934" s="34"/>
      <c r="AX934" s="34"/>
      <c r="AY934" s="34"/>
      <c r="AZ934" s="34"/>
      <c r="BA934" s="44"/>
      <c r="BB934" s="34"/>
      <c r="BC934" s="34"/>
    </row>
    <row r="935" spans="1:55" x14ac:dyDescent="0.35" ht="15.0" customHeight="true">
      <c r="A935" s="51"/>
      <c r="B935" s="34"/>
      <c r="C935" s="34"/>
      <c r="D935" s="34"/>
      <c r="E935" s="34"/>
      <c r="F935" s="34"/>
      <c r="G935" s="44"/>
      <c r="H935" s="34"/>
      <c r="I935" s="54"/>
      <c r="J935" s="34"/>
      <c r="K935" s="54"/>
      <c r="L935" s="34"/>
      <c r="M935" s="44"/>
      <c r="N935" s="44"/>
      <c r="O935" s="34"/>
      <c r="P935" s="34"/>
      <c r="Q935" s="34"/>
      <c r="R935" s="34"/>
      <c r="V935" s="44"/>
      <c r="X935" s="95"/>
      <c r="Y935" s="54"/>
      <c r="Z935" s="54"/>
      <c r="AA935" s="34"/>
      <c r="AB935" s="34"/>
      <c r="AC935" s="34"/>
      <c r="AD935" s="34"/>
      <c r="AE935" s="34"/>
      <c r="AF935" s="34"/>
      <c r="AG935" s="34"/>
      <c r="AH935" s="34"/>
      <c r="AI935" s="52"/>
      <c r="AJ935" s="52"/>
      <c r="AL935" s="34"/>
      <c r="AM935" s="34"/>
      <c r="AN935" s="34"/>
      <c r="AO935" s="54"/>
      <c r="AP935" s="34"/>
      <c r="AQ935" s="34"/>
      <c r="AR935" s="54"/>
      <c r="AS935" s="54"/>
      <c r="AT935" s="54"/>
      <c r="AU935" s="54"/>
      <c r="AV935" s="34"/>
      <c r="AW935" s="34"/>
      <c r="AX935" s="34"/>
      <c r="AY935" s="34"/>
      <c r="AZ935" s="34"/>
      <c r="BA935" s="44"/>
      <c r="BB935" s="34"/>
      <c r="BC935" s="34"/>
    </row>
    <row r="936" spans="1:55" x14ac:dyDescent="0.35" ht="15.0" customHeight="true">
      <c r="A936" s="51"/>
      <c r="B936" s="34"/>
      <c r="C936" s="34"/>
      <c r="D936" s="34"/>
      <c r="E936" s="34"/>
      <c r="F936" s="34"/>
      <c r="G936" s="44"/>
      <c r="H936" s="34"/>
      <c r="I936" s="54"/>
      <c r="J936" s="34"/>
      <c r="K936" s="54"/>
      <c r="L936" s="34"/>
      <c r="M936" s="44"/>
      <c r="N936" s="44"/>
      <c r="O936" s="34"/>
      <c r="P936" s="34"/>
      <c r="Q936" s="34"/>
      <c r="R936" s="34"/>
      <c r="V936" s="44"/>
      <c r="X936" s="95"/>
      <c r="Y936" s="54"/>
      <c r="Z936" s="54"/>
      <c r="AA936" s="34"/>
      <c r="AB936" s="34"/>
      <c r="AC936" s="34"/>
      <c r="AD936" s="34"/>
      <c r="AE936" s="34"/>
      <c r="AF936" s="34"/>
      <c r="AG936" s="34"/>
      <c r="AH936" s="34"/>
      <c r="AI936" s="52"/>
      <c r="AJ936" s="52"/>
      <c r="AL936" s="34"/>
      <c r="AM936" s="34"/>
      <c r="AN936" s="34"/>
      <c r="AO936" s="54"/>
      <c r="AP936" s="34"/>
      <c r="AQ936" s="34"/>
      <c r="AR936" s="54"/>
      <c r="AS936" s="54"/>
      <c r="AT936" s="54"/>
      <c r="AU936" s="54"/>
      <c r="AV936" s="34"/>
      <c r="AW936" s="34"/>
      <c r="AX936" s="34"/>
      <c r="AY936" s="34"/>
      <c r="AZ936" s="34"/>
      <c r="BA936" s="44"/>
      <c r="BB936" s="34"/>
      <c r="BC936" s="34"/>
    </row>
    <row r="937" spans="1:55" x14ac:dyDescent="0.35" ht="15.0" customHeight="true">
      <c r="A937" s="51"/>
      <c r="B937" s="34"/>
      <c r="C937" s="34"/>
      <c r="D937" s="34"/>
      <c r="E937" s="34"/>
      <c r="F937" s="34"/>
      <c r="G937" s="44"/>
      <c r="H937" s="34"/>
      <c r="I937" s="54"/>
      <c r="J937" s="34"/>
      <c r="K937" s="54"/>
      <c r="L937" s="34"/>
      <c r="M937" s="44"/>
      <c r="N937" s="44"/>
      <c r="O937" s="34"/>
      <c r="P937" s="34"/>
      <c r="Q937" s="34"/>
      <c r="R937" s="34"/>
      <c r="V937" s="44"/>
      <c r="X937" s="95"/>
      <c r="Y937" s="54"/>
      <c r="Z937" s="54"/>
      <c r="AA937" s="34"/>
      <c r="AB937" s="34"/>
      <c r="AC937" s="34"/>
      <c r="AD937" s="34"/>
      <c r="AE937" s="34"/>
      <c r="AF937" s="34"/>
      <c r="AG937" s="34"/>
      <c r="AH937" s="34"/>
      <c r="AI937" s="52"/>
      <c r="AJ937" s="52"/>
      <c r="AL937" s="34"/>
      <c r="AM937" s="34"/>
      <c r="AN937" s="34"/>
      <c r="AO937" s="54"/>
      <c r="AP937" s="34"/>
      <c r="AQ937" s="34"/>
      <c r="AR937" s="54"/>
      <c r="AS937" s="54"/>
      <c r="AT937" s="54"/>
      <c r="AU937" s="54"/>
      <c r="AV937" s="34"/>
      <c r="AW937" s="34"/>
      <c r="AX937" s="34"/>
      <c r="AY937" s="34"/>
      <c r="AZ937" s="34"/>
      <c r="BA937" s="44"/>
      <c r="BB937" s="34"/>
      <c r="BC937" s="34"/>
    </row>
    <row r="938" spans="1:55" x14ac:dyDescent="0.35" ht="15.0" customHeight="true">
      <c r="A938" s="51"/>
      <c r="B938" s="34"/>
      <c r="C938" s="34"/>
      <c r="D938" s="34"/>
      <c r="E938" s="34"/>
      <c r="F938" s="34"/>
      <c r="G938" s="44"/>
      <c r="H938" s="34"/>
      <c r="I938" s="54"/>
      <c r="J938" s="34"/>
      <c r="K938" s="54"/>
      <c r="L938" s="34"/>
      <c r="M938" s="44"/>
      <c r="N938" s="44"/>
      <c r="O938" s="34"/>
      <c r="P938" s="34"/>
      <c r="Q938" s="34"/>
      <c r="R938" s="34"/>
      <c r="V938" s="44"/>
      <c r="X938" s="95"/>
      <c r="Y938" s="54"/>
      <c r="Z938" s="54"/>
      <c r="AA938" s="34"/>
      <c r="AB938" s="34"/>
      <c r="AC938" s="34"/>
      <c r="AD938" s="34"/>
      <c r="AE938" s="34"/>
      <c r="AF938" s="34"/>
      <c r="AG938" s="34"/>
      <c r="AH938" s="34"/>
      <c r="AI938" s="52"/>
      <c r="AJ938" s="52"/>
      <c r="AL938" s="34"/>
      <c r="AM938" s="34"/>
      <c r="AN938" s="34"/>
      <c r="AO938" s="54"/>
      <c r="AP938" s="34"/>
      <c r="AQ938" s="34"/>
      <c r="AR938" s="54"/>
      <c r="AS938" s="54"/>
      <c r="AT938" s="54"/>
      <c r="AU938" s="54"/>
      <c r="AV938" s="34"/>
      <c r="AW938" s="34"/>
      <c r="AX938" s="34"/>
      <c r="AY938" s="34"/>
      <c r="AZ938" s="34"/>
      <c r="BA938" s="44"/>
      <c r="BB938" s="34"/>
      <c r="BC938" s="34"/>
    </row>
    <row r="939" spans="1:55" x14ac:dyDescent="0.35" ht="15.0" customHeight="true">
      <c r="A939" s="51"/>
      <c r="B939" s="34"/>
      <c r="C939" s="34"/>
      <c r="D939" s="34"/>
      <c r="E939" s="34"/>
      <c r="F939" s="34"/>
      <c r="G939" s="44"/>
      <c r="H939" s="34"/>
      <c r="I939" s="54"/>
      <c r="J939" s="34"/>
      <c r="K939" s="54"/>
      <c r="L939" s="34"/>
      <c r="M939" s="44"/>
      <c r="N939" s="44"/>
      <c r="O939" s="34"/>
      <c r="P939" s="34"/>
      <c r="Q939" s="34"/>
      <c r="R939" s="34"/>
      <c r="V939" s="44"/>
      <c r="X939" s="95"/>
      <c r="Y939" s="54"/>
      <c r="Z939" s="54"/>
      <c r="AA939" s="34"/>
      <c r="AB939" s="34"/>
      <c r="AC939" s="34"/>
      <c r="AD939" s="34"/>
      <c r="AE939" s="34"/>
      <c r="AF939" s="34"/>
      <c r="AG939" s="34"/>
      <c r="AH939" s="34"/>
      <c r="AI939" s="52"/>
      <c r="AJ939" s="52"/>
      <c r="AL939" s="34"/>
      <c r="AM939" s="34"/>
      <c r="AN939" s="34"/>
      <c r="AO939" s="54"/>
      <c r="AP939" s="34"/>
      <c r="AQ939" s="34"/>
      <c r="AR939" s="54"/>
      <c r="AS939" s="54"/>
      <c r="AT939" s="54"/>
      <c r="AU939" s="54"/>
      <c r="AV939" s="34"/>
      <c r="AW939" s="34"/>
      <c r="AX939" s="34"/>
      <c r="AY939" s="34"/>
      <c r="AZ939" s="34"/>
      <c r="BA939" s="44"/>
      <c r="BB939" s="34"/>
      <c r="BC939" s="34"/>
    </row>
    <row r="940" spans="1:55" x14ac:dyDescent="0.35" ht="15.0" customHeight="true">
      <c r="A940" s="51"/>
      <c r="B940" s="34"/>
      <c r="C940" s="34"/>
      <c r="D940" s="34"/>
      <c r="E940" s="34"/>
      <c r="F940" s="34"/>
      <c r="G940" s="44"/>
      <c r="H940" s="34"/>
      <c r="I940" s="54"/>
      <c r="J940" s="34"/>
      <c r="K940" s="54"/>
      <c r="L940" s="34"/>
      <c r="M940" s="44"/>
      <c r="N940" s="44"/>
      <c r="O940" s="34"/>
      <c r="P940" s="34"/>
      <c r="Q940" s="34"/>
      <c r="R940" s="34"/>
      <c r="V940" s="44"/>
      <c r="X940" s="95"/>
      <c r="Y940" s="54"/>
      <c r="Z940" s="54"/>
      <c r="AA940" s="34"/>
      <c r="AB940" s="34"/>
      <c r="AC940" s="34"/>
      <c r="AD940" s="34"/>
      <c r="AE940" s="34"/>
      <c r="AF940" s="34"/>
      <c r="AG940" s="34"/>
      <c r="AH940" s="34"/>
      <c r="AI940" s="52"/>
      <c r="AJ940" s="52"/>
      <c r="AL940" s="34"/>
      <c r="AM940" s="34"/>
      <c r="AN940" s="34"/>
      <c r="AO940" s="54"/>
      <c r="AP940" s="34"/>
      <c r="AQ940" s="34"/>
      <c r="AR940" s="54"/>
      <c r="AS940" s="54"/>
      <c r="AT940" s="54"/>
      <c r="AU940" s="54"/>
      <c r="AV940" s="34"/>
      <c r="AW940" s="34"/>
      <c r="AX940" s="34"/>
      <c r="AY940" s="34"/>
      <c r="AZ940" s="34"/>
      <c r="BA940" s="44"/>
      <c r="BB940" s="34"/>
      <c r="BC940" s="34"/>
    </row>
    <row r="941" spans="1:55" x14ac:dyDescent="0.35" ht="15.0" customHeight="true">
      <c r="A941" s="51"/>
      <c r="B941" s="34"/>
      <c r="C941" s="34"/>
      <c r="D941" s="34"/>
      <c r="E941" s="34"/>
      <c r="F941" s="34"/>
      <c r="G941" s="44"/>
      <c r="H941" s="34"/>
      <c r="I941" s="54"/>
      <c r="J941" s="34"/>
      <c r="K941" s="54"/>
      <c r="L941" s="34"/>
      <c r="M941" s="44"/>
      <c r="N941" s="44"/>
      <c r="O941" s="34"/>
      <c r="P941" s="34"/>
      <c r="Q941" s="34"/>
      <c r="R941" s="34"/>
      <c r="V941" s="44"/>
      <c r="X941" s="95"/>
      <c r="Y941" s="54"/>
      <c r="Z941" s="54"/>
      <c r="AA941" s="34"/>
      <c r="AB941" s="34"/>
      <c r="AC941" s="34"/>
      <c r="AD941" s="34"/>
      <c r="AE941" s="34"/>
      <c r="AF941" s="34"/>
      <c r="AG941" s="34"/>
      <c r="AH941" s="34"/>
      <c r="AI941" s="52"/>
      <c r="AJ941" s="52"/>
      <c r="AL941" s="34"/>
      <c r="AM941" s="34"/>
      <c r="AN941" s="34"/>
      <c r="AO941" s="54"/>
      <c r="AP941" s="34"/>
      <c r="AQ941" s="34"/>
      <c r="AR941" s="54"/>
      <c r="AS941" s="54"/>
      <c r="AT941" s="54"/>
      <c r="AU941" s="54"/>
      <c r="AV941" s="34"/>
      <c r="AW941" s="34"/>
      <c r="AX941" s="34"/>
      <c r="AY941" s="34"/>
      <c r="AZ941" s="34"/>
      <c r="BA941" s="44"/>
      <c r="BB941" s="34"/>
      <c r="BC941" s="34"/>
    </row>
    <row r="942" spans="1:55" x14ac:dyDescent="0.35" ht="15.0" customHeight="true">
      <c r="A942" s="51"/>
      <c r="B942" s="34"/>
      <c r="C942" s="34"/>
      <c r="D942" s="34"/>
      <c r="E942" s="34"/>
      <c r="F942" s="34"/>
      <c r="G942" s="44"/>
      <c r="H942" s="34"/>
      <c r="I942" s="54"/>
      <c r="J942" s="34"/>
      <c r="K942" s="54"/>
      <c r="L942" s="34"/>
      <c r="M942" s="44"/>
      <c r="N942" s="44"/>
      <c r="O942" s="34"/>
      <c r="P942" s="34"/>
      <c r="Q942" s="34"/>
      <c r="R942" s="34"/>
      <c r="V942" s="44"/>
      <c r="X942" s="95"/>
      <c r="Y942" s="54"/>
      <c r="Z942" s="54"/>
      <c r="AA942" s="34"/>
      <c r="AB942" s="34"/>
      <c r="AC942" s="34"/>
      <c r="AD942" s="34"/>
      <c r="AE942" s="34"/>
      <c r="AF942" s="34"/>
      <c r="AG942" s="34"/>
      <c r="AH942" s="34"/>
      <c r="AI942" s="52"/>
      <c r="AJ942" s="52"/>
      <c r="AL942" s="34"/>
      <c r="AM942" s="34"/>
      <c r="AN942" s="34"/>
      <c r="AO942" s="54"/>
      <c r="AP942" s="34"/>
      <c r="AQ942" s="34"/>
      <c r="AR942" s="54"/>
      <c r="AS942" s="54"/>
      <c r="AT942" s="54"/>
      <c r="AU942" s="54"/>
      <c r="AV942" s="34"/>
      <c r="AW942" s="34"/>
      <c r="AX942" s="34"/>
      <c r="AY942" s="34"/>
      <c r="AZ942" s="34"/>
      <c r="BA942" s="44"/>
      <c r="BB942" s="34"/>
      <c r="BC942" s="34"/>
    </row>
    <row r="943" spans="1:55" x14ac:dyDescent="0.35" ht="15.0" customHeight="true">
      <c r="A943" s="51"/>
      <c r="B943" s="34"/>
      <c r="C943" s="34"/>
      <c r="D943" s="34"/>
      <c r="E943" s="34"/>
      <c r="F943" s="34"/>
      <c r="G943" s="44"/>
      <c r="H943" s="34"/>
      <c r="I943" s="54"/>
      <c r="J943" s="34"/>
      <c r="K943" s="54"/>
      <c r="L943" s="34"/>
      <c r="M943" s="44"/>
      <c r="N943" s="44"/>
      <c r="O943" s="34"/>
      <c r="P943" s="34"/>
      <c r="Q943" s="34"/>
      <c r="R943" s="34"/>
      <c r="V943" s="44"/>
      <c r="X943" s="95"/>
      <c r="Y943" s="54"/>
      <c r="Z943" s="54"/>
      <c r="AA943" s="34"/>
      <c r="AB943" s="34"/>
      <c r="AC943" s="34"/>
      <c r="AD943" s="34"/>
      <c r="AE943" s="34"/>
      <c r="AF943" s="34"/>
      <c r="AG943" s="34"/>
      <c r="AH943" s="34"/>
      <c r="AI943" s="52"/>
      <c r="AJ943" s="52"/>
      <c r="AL943" s="34"/>
      <c r="AM943" s="34"/>
      <c r="AN943" s="34"/>
      <c r="AO943" s="54"/>
      <c r="AP943" s="34"/>
      <c r="AQ943" s="34"/>
      <c r="AR943" s="54"/>
      <c r="AS943" s="54"/>
      <c r="AT943" s="54"/>
      <c r="AU943" s="54"/>
      <c r="AV943" s="34"/>
      <c r="AW943" s="34"/>
      <c r="AX943" s="34"/>
      <c r="AY943" s="34"/>
      <c r="AZ943" s="34"/>
      <c r="BA943" s="44"/>
      <c r="BB943" s="34"/>
      <c r="BC943" s="34"/>
    </row>
    <row r="944" spans="1:55" x14ac:dyDescent="0.35" ht="15.0" customHeight="true">
      <c r="A944" s="51"/>
      <c r="B944" s="34"/>
      <c r="C944" s="34"/>
      <c r="D944" s="34"/>
      <c r="E944" s="34"/>
      <c r="F944" s="34"/>
      <c r="G944" s="44"/>
      <c r="H944" s="34"/>
      <c r="I944" s="54"/>
      <c r="J944" s="34"/>
      <c r="K944" s="54"/>
      <c r="L944" s="34"/>
      <c r="M944" s="44"/>
      <c r="N944" s="44"/>
      <c r="O944" s="34"/>
      <c r="P944" s="34"/>
      <c r="Q944" s="34"/>
      <c r="R944" s="34"/>
      <c r="V944" s="44"/>
      <c r="X944" s="95"/>
      <c r="Y944" s="54"/>
      <c r="Z944" s="54"/>
      <c r="AA944" s="34"/>
      <c r="AB944" s="34"/>
      <c r="AC944" s="34"/>
      <c r="AD944" s="34"/>
      <c r="AE944" s="34"/>
      <c r="AF944" s="34"/>
      <c r="AG944" s="34"/>
      <c r="AH944" s="34"/>
      <c r="AI944" s="52"/>
      <c r="AJ944" s="52"/>
      <c r="AL944" s="34"/>
      <c r="AM944" s="34"/>
      <c r="AN944" s="34"/>
      <c r="AO944" s="54"/>
      <c r="AP944" s="34"/>
      <c r="AQ944" s="34"/>
      <c r="AR944" s="54"/>
      <c r="AS944" s="54"/>
      <c r="AT944" s="54"/>
      <c r="AU944" s="54"/>
      <c r="AV944" s="34"/>
      <c r="AW944" s="34"/>
      <c r="AX944" s="34"/>
      <c r="AY944" s="34"/>
      <c r="AZ944" s="34"/>
      <c r="BA944" s="44"/>
      <c r="BB944" s="34"/>
      <c r="BC944" s="34"/>
    </row>
    <row r="945" spans="1:55" x14ac:dyDescent="0.35" ht="15.0" customHeight="true">
      <c r="A945" s="51"/>
      <c r="B945" s="34"/>
      <c r="C945" s="34"/>
      <c r="D945" s="34"/>
      <c r="E945" s="34"/>
      <c r="F945" s="34"/>
      <c r="G945" s="44"/>
      <c r="H945" s="34"/>
      <c r="I945" s="54"/>
      <c r="J945" s="34"/>
      <c r="K945" s="54"/>
      <c r="L945" s="34"/>
      <c r="M945" s="44"/>
      <c r="N945" s="44"/>
      <c r="O945" s="34"/>
      <c r="P945" s="34"/>
      <c r="Q945" s="34"/>
      <c r="R945" s="34"/>
      <c r="V945" s="44"/>
      <c r="X945" s="95"/>
      <c r="Y945" s="54"/>
      <c r="Z945" s="54"/>
      <c r="AA945" s="34"/>
      <c r="AB945" s="34"/>
      <c r="AC945" s="34"/>
      <c r="AD945" s="34"/>
      <c r="AE945" s="34"/>
      <c r="AF945" s="34"/>
      <c r="AG945" s="34"/>
      <c r="AH945" s="34"/>
      <c r="AI945" s="52"/>
      <c r="AJ945" s="52"/>
      <c r="AL945" s="34"/>
      <c r="AM945" s="34"/>
      <c r="AN945" s="34"/>
      <c r="AO945" s="54"/>
      <c r="AP945" s="34"/>
      <c r="AQ945" s="34"/>
      <c r="AR945" s="54"/>
      <c r="AS945" s="54"/>
      <c r="AT945" s="54"/>
      <c r="AU945" s="54"/>
      <c r="AV945" s="34"/>
      <c r="AW945" s="34"/>
      <c r="AX945" s="34"/>
      <c r="AY945" s="34"/>
      <c r="AZ945" s="34"/>
      <c r="BA945" s="44"/>
      <c r="BB945" s="34"/>
      <c r="BC945" s="34"/>
    </row>
    <row r="946" spans="1:55" x14ac:dyDescent="0.35" ht="15.0" customHeight="true">
      <c r="A946" s="51"/>
      <c r="B946" s="34"/>
      <c r="C946" s="34"/>
      <c r="D946" s="34"/>
      <c r="E946" s="34"/>
      <c r="F946" s="34"/>
      <c r="G946" s="44"/>
      <c r="H946" s="34"/>
      <c r="I946" s="54"/>
      <c r="J946" s="34"/>
      <c r="K946" s="54"/>
      <c r="L946" s="34"/>
      <c r="M946" s="44"/>
      <c r="N946" s="44"/>
      <c r="O946" s="34"/>
      <c r="P946" s="34"/>
      <c r="Q946" s="34"/>
      <c r="R946" s="34"/>
      <c r="V946" s="44"/>
      <c r="X946" s="95"/>
      <c r="Y946" s="54"/>
      <c r="Z946" s="54"/>
      <c r="AA946" s="34"/>
      <c r="AB946" s="34"/>
      <c r="AC946" s="34"/>
      <c r="AD946" s="34"/>
      <c r="AE946" s="34"/>
      <c r="AF946" s="34"/>
      <c r="AG946" s="34"/>
      <c r="AH946" s="34"/>
      <c r="AI946" s="52"/>
      <c r="AJ946" s="52"/>
      <c r="AL946" s="34"/>
      <c r="AM946" s="34"/>
      <c r="AN946" s="34"/>
      <c r="AO946" s="54"/>
      <c r="AP946" s="34"/>
      <c r="AQ946" s="34"/>
      <c r="AR946" s="54"/>
      <c r="AS946" s="54"/>
      <c r="AT946" s="54"/>
      <c r="AU946" s="54"/>
      <c r="AV946" s="34"/>
      <c r="AW946" s="34"/>
      <c r="AX946" s="34"/>
      <c r="AY946" s="34"/>
      <c r="AZ946" s="34"/>
      <c r="BA946" s="44"/>
      <c r="BB946" s="34"/>
      <c r="BC946" s="34"/>
    </row>
    <row r="947" spans="1:55" x14ac:dyDescent="0.35" ht="15.0" customHeight="true">
      <c r="A947" s="51"/>
      <c r="B947" s="34"/>
      <c r="C947" s="34"/>
      <c r="D947" s="34"/>
      <c r="E947" s="34"/>
      <c r="F947" s="34"/>
      <c r="G947" s="44"/>
      <c r="H947" s="34"/>
      <c r="I947" s="54"/>
      <c r="J947" s="34"/>
      <c r="K947" s="54"/>
      <c r="L947" s="34"/>
      <c r="M947" s="44"/>
      <c r="N947" s="44"/>
      <c r="O947" s="34"/>
      <c r="P947" s="34"/>
      <c r="Q947" s="34"/>
      <c r="R947" s="34"/>
      <c r="V947" s="44"/>
      <c r="X947" s="95"/>
      <c r="Y947" s="54"/>
      <c r="Z947" s="54"/>
      <c r="AA947" s="34"/>
      <c r="AB947" s="34"/>
      <c r="AC947" s="34"/>
      <c r="AD947" s="34"/>
      <c r="AE947" s="34"/>
      <c r="AF947" s="34"/>
      <c r="AG947" s="34"/>
      <c r="AH947" s="34"/>
      <c r="AI947" s="52"/>
      <c r="AJ947" s="52"/>
      <c r="AL947" s="34"/>
      <c r="AM947" s="34"/>
      <c r="AN947" s="34"/>
      <c r="AO947" s="54"/>
      <c r="AP947" s="34"/>
      <c r="AQ947" s="34"/>
      <c r="AR947" s="54"/>
      <c r="AS947" s="54"/>
      <c r="AT947" s="54"/>
      <c r="AU947" s="54"/>
      <c r="AV947" s="34"/>
      <c r="AW947" s="34"/>
      <c r="AX947" s="34"/>
      <c r="AY947" s="34"/>
      <c r="AZ947" s="34"/>
      <c r="BA947" s="44"/>
      <c r="BB947" s="34"/>
      <c r="BC947" s="34"/>
    </row>
    <row r="948" spans="1:55" x14ac:dyDescent="0.35" ht="15.0" customHeight="true">
      <c r="A948" s="51"/>
      <c r="B948" s="34"/>
      <c r="C948" s="34"/>
      <c r="D948" s="34"/>
      <c r="E948" s="34"/>
      <c r="F948" s="34"/>
      <c r="G948" s="44"/>
      <c r="H948" s="34"/>
      <c r="I948" s="54"/>
      <c r="J948" s="34"/>
      <c r="K948" s="54"/>
      <c r="L948" s="34"/>
      <c r="M948" s="44"/>
      <c r="N948" s="44"/>
      <c r="O948" s="34"/>
      <c r="P948" s="34"/>
      <c r="Q948" s="34"/>
      <c r="R948" s="34"/>
      <c r="V948" s="44"/>
      <c r="X948" s="95"/>
      <c r="Y948" s="54"/>
      <c r="Z948" s="54"/>
      <c r="AA948" s="34"/>
      <c r="AB948" s="34"/>
      <c r="AC948" s="34"/>
      <c r="AD948" s="34"/>
      <c r="AE948" s="34"/>
      <c r="AF948" s="34"/>
      <c r="AG948" s="34"/>
      <c r="AH948" s="34"/>
      <c r="AI948" s="52"/>
      <c r="AJ948" s="52"/>
      <c r="AL948" s="34"/>
      <c r="AM948" s="34"/>
      <c r="AN948" s="34"/>
      <c r="AO948" s="54"/>
      <c r="AP948" s="34"/>
      <c r="AQ948" s="34"/>
      <c r="AR948" s="54"/>
      <c r="AS948" s="54"/>
      <c r="AT948" s="54"/>
      <c r="AU948" s="54"/>
      <c r="AV948" s="34"/>
      <c r="AW948" s="34"/>
      <c r="AX948" s="34"/>
      <c r="AY948" s="34"/>
      <c r="AZ948" s="34"/>
      <c r="BA948" s="44"/>
      <c r="BB948" s="34"/>
      <c r="BC948" s="34"/>
    </row>
    <row r="949" spans="1:55" x14ac:dyDescent="0.35" ht="15.0" customHeight="true">
      <c r="A949" s="51"/>
      <c r="B949" s="34"/>
      <c r="C949" s="34"/>
      <c r="D949" s="34"/>
      <c r="E949" s="34"/>
      <c r="F949" s="34"/>
      <c r="G949" s="44"/>
      <c r="H949" s="34"/>
      <c r="I949" s="54"/>
      <c r="J949" s="34"/>
      <c r="K949" s="54"/>
      <c r="L949" s="34"/>
      <c r="M949" s="44"/>
      <c r="N949" s="44"/>
      <c r="O949" s="34"/>
      <c r="P949" s="34"/>
      <c r="Q949" s="34"/>
      <c r="R949" s="34"/>
      <c r="V949" s="44"/>
      <c r="X949" s="95"/>
      <c r="Y949" s="54"/>
      <c r="Z949" s="54"/>
      <c r="AA949" s="34"/>
      <c r="AB949" s="34"/>
      <c r="AC949" s="34"/>
      <c r="AD949" s="34"/>
      <c r="AE949" s="34"/>
      <c r="AF949" s="34"/>
      <c r="AG949" s="34"/>
      <c r="AH949" s="34"/>
      <c r="AI949" s="52"/>
      <c r="AJ949" s="52"/>
      <c r="AL949" s="34"/>
      <c r="AM949" s="34"/>
      <c r="AN949" s="34"/>
      <c r="AO949" s="54"/>
      <c r="AP949" s="34"/>
      <c r="AQ949" s="34"/>
      <c r="AR949" s="54"/>
      <c r="AS949" s="54"/>
      <c r="AT949" s="54"/>
      <c r="AU949" s="54"/>
      <c r="AV949" s="34"/>
      <c r="AW949" s="34"/>
      <c r="AX949" s="34"/>
      <c r="AY949" s="34"/>
      <c r="AZ949" s="34"/>
      <c r="BA949" s="44"/>
      <c r="BB949" s="34"/>
      <c r="BC949" s="34"/>
    </row>
    <row r="950" spans="1:55" x14ac:dyDescent="0.35" ht="15.0" customHeight="true">
      <c r="A950" s="51"/>
      <c r="B950" s="34"/>
      <c r="C950" s="34"/>
      <c r="D950" s="34"/>
      <c r="E950" s="34"/>
      <c r="F950" s="34"/>
      <c r="G950" s="44"/>
      <c r="H950" s="34"/>
      <c r="I950" s="54"/>
      <c r="J950" s="34"/>
      <c r="K950" s="54"/>
      <c r="L950" s="34"/>
      <c r="M950" s="44"/>
      <c r="N950" s="44"/>
      <c r="O950" s="34"/>
      <c r="P950" s="34"/>
      <c r="Q950" s="34"/>
      <c r="R950" s="34"/>
      <c r="V950" s="44"/>
      <c r="X950" s="95"/>
      <c r="Y950" s="54"/>
      <c r="Z950" s="54"/>
      <c r="AA950" s="34"/>
      <c r="AB950" s="34"/>
      <c r="AC950" s="34"/>
      <c r="AD950" s="34"/>
      <c r="AE950" s="34"/>
      <c r="AF950" s="34"/>
      <c r="AG950" s="34"/>
      <c r="AH950" s="34"/>
      <c r="AI950" s="52"/>
      <c r="AJ950" s="52"/>
      <c r="AL950" s="34"/>
      <c r="AM950" s="34"/>
      <c r="AN950" s="34"/>
      <c r="AO950" s="54"/>
      <c r="AP950" s="34"/>
      <c r="AQ950" s="34"/>
      <c r="AR950" s="54"/>
      <c r="AS950" s="54"/>
      <c r="AT950" s="54"/>
      <c r="AU950" s="54"/>
      <c r="AV950" s="34"/>
      <c r="AW950" s="34"/>
      <c r="AX950" s="34"/>
      <c r="AY950" s="34"/>
      <c r="AZ950" s="34"/>
      <c r="BA950" s="44"/>
      <c r="BB950" s="34"/>
      <c r="BC950" s="34"/>
    </row>
    <row r="951" spans="1:55" x14ac:dyDescent="0.35" ht="15.0" customHeight="true">
      <c r="A951" s="51"/>
      <c r="B951" s="34"/>
      <c r="C951" s="34"/>
      <c r="D951" s="34"/>
      <c r="E951" s="34"/>
      <c r="F951" s="34"/>
      <c r="G951" s="44"/>
      <c r="H951" s="34"/>
      <c r="I951" s="54"/>
      <c r="J951" s="34"/>
      <c r="K951" s="54"/>
      <c r="L951" s="34"/>
      <c r="M951" s="44"/>
      <c r="N951" s="44"/>
      <c r="O951" s="34"/>
      <c r="P951" s="34"/>
      <c r="Q951" s="34"/>
      <c r="R951" s="34"/>
      <c r="V951" s="44"/>
      <c r="X951" s="95"/>
      <c r="Y951" s="54"/>
      <c r="Z951" s="54"/>
      <c r="AA951" s="34"/>
      <c r="AB951" s="34"/>
      <c r="AC951" s="34"/>
      <c r="AD951" s="34"/>
      <c r="AE951" s="34"/>
      <c r="AF951" s="34"/>
      <c r="AG951" s="34"/>
      <c r="AH951" s="34"/>
      <c r="AI951" s="52"/>
      <c r="AJ951" s="52"/>
      <c r="AL951" s="34"/>
      <c r="AM951" s="34"/>
      <c r="AN951" s="34"/>
      <c r="AO951" s="54"/>
      <c r="AP951" s="34"/>
      <c r="AQ951" s="34"/>
      <c r="AR951" s="54"/>
      <c r="AS951" s="54"/>
      <c r="AT951" s="54"/>
      <c r="AU951" s="54"/>
      <c r="AV951" s="34"/>
      <c r="AW951" s="34"/>
      <c r="AX951" s="34"/>
      <c r="AY951" s="34"/>
      <c r="AZ951" s="34"/>
      <c r="BA951" s="44"/>
      <c r="BB951" s="34"/>
      <c r="BC951" s="34"/>
    </row>
    <row r="952" spans="1:55" x14ac:dyDescent="0.35" ht="15.0" customHeight="true">
      <c r="A952" s="51"/>
      <c r="B952" s="34"/>
      <c r="C952" s="34"/>
      <c r="D952" s="34"/>
      <c r="E952" s="34"/>
      <c r="F952" s="34"/>
      <c r="G952" s="44"/>
      <c r="H952" s="34"/>
      <c r="I952" s="54"/>
      <c r="J952" s="34"/>
      <c r="K952" s="54"/>
      <c r="L952" s="34"/>
      <c r="M952" s="44"/>
      <c r="N952" s="44"/>
      <c r="O952" s="34"/>
      <c r="P952" s="34"/>
      <c r="Q952" s="34"/>
      <c r="R952" s="34"/>
      <c r="V952" s="44"/>
      <c r="X952" s="95"/>
      <c r="Y952" s="54"/>
      <c r="Z952" s="54"/>
      <c r="AA952" s="34"/>
      <c r="AB952" s="34"/>
      <c r="AC952" s="34"/>
      <c r="AD952" s="34"/>
      <c r="AE952" s="34"/>
      <c r="AF952" s="34"/>
      <c r="AG952" s="34"/>
      <c r="AH952" s="34"/>
      <c r="AI952" s="52"/>
      <c r="AJ952" s="52"/>
      <c r="AL952" s="34"/>
      <c r="AM952" s="34"/>
      <c r="AN952" s="34"/>
      <c r="AO952" s="54"/>
      <c r="AP952" s="34"/>
      <c r="AQ952" s="34"/>
      <c r="AR952" s="54"/>
      <c r="AS952" s="54"/>
      <c r="AT952" s="54"/>
      <c r="AU952" s="54"/>
      <c r="AV952" s="34"/>
      <c r="AW952" s="34"/>
      <c r="AX952" s="34"/>
      <c r="AY952" s="34"/>
      <c r="AZ952" s="34"/>
      <c r="BA952" s="44"/>
      <c r="BB952" s="34"/>
      <c r="BC952" s="34"/>
    </row>
    <row r="953" spans="1:55" x14ac:dyDescent="0.35" ht="15.0" customHeight="true">
      <c r="A953" s="51"/>
      <c r="B953" s="34"/>
      <c r="C953" s="34"/>
      <c r="D953" s="34"/>
      <c r="E953" s="34"/>
      <c r="F953" s="34"/>
      <c r="G953" s="44"/>
      <c r="H953" s="34"/>
      <c r="I953" s="54"/>
      <c r="J953" s="34"/>
      <c r="K953" s="54"/>
      <c r="L953" s="34"/>
      <c r="M953" s="44"/>
      <c r="N953" s="44"/>
      <c r="O953" s="34"/>
      <c r="P953" s="34"/>
      <c r="Q953" s="34"/>
      <c r="R953" s="34"/>
      <c r="V953" s="44"/>
      <c r="X953" s="95"/>
      <c r="Y953" s="54"/>
      <c r="Z953" s="54"/>
      <c r="AA953" s="34"/>
      <c r="AB953" s="34"/>
      <c r="AC953" s="34"/>
      <c r="AD953" s="34"/>
      <c r="AE953" s="34"/>
      <c r="AF953" s="34"/>
      <c r="AG953" s="34"/>
      <c r="AH953" s="34"/>
      <c r="AI953" s="52"/>
      <c r="AJ953" s="52"/>
      <c r="AL953" s="34"/>
      <c r="AM953" s="34"/>
      <c r="AN953" s="34"/>
      <c r="AO953" s="54"/>
      <c r="AP953" s="34"/>
      <c r="AQ953" s="34"/>
      <c r="AR953" s="54"/>
      <c r="AS953" s="54"/>
      <c r="AT953" s="54"/>
      <c r="AU953" s="54"/>
      <c r="AV953" s="34"/>
      <c r="AW953" s="34"/>
      <c r="AX953" s="34"/>
      <c r="AY953" s="34"/>
      <c r="AZ953" s="34"/>
      <c r="BA953" s="44"/>
      <c r="BB953" s="34"/>
      <c r="BC953" s="34"/>
    </row>
    <row r="954" spans="1:55" x14ac:dyDescent="0.35" ht="15.0" customHeight="true">
      <c r="A954" s="51"/>
      <c r="B954" s="34"/>
      <c r="C954" s="34"/>
      <c r="D954" s="34"/>
      <c r="E954" s="34"/>
      <c r="F954" s="34"/>
      <c r="G954" s="44"/>
      <c r="H954" s="34"/>
      <c r="I954" s="54"/>
      <c r="J954" s="34"/>
      <c r="K954" s="54"/>
      <c r="L954" s="34"/>
      <c r="M954" s="44"/>
      <c r="N954" s="44"/>
      <c r="O954" s="34"/>
      <c r="P954" s="34"/>
      <c r="Q954" s="34"/>
      <c r="R954" s="34"/>
      <c r="V954" s="44"/>
      <c r="X954" s="95"/>
      <c r="Y954" s="54"/>
      <c r="Z954" s="54"/>
      <c r="AA954" s="34"/>
      <c r="AB954" s="34"/>
      <c r="AC954" s="34"/>
      <c r="AD954" s="34"/>
      <c r="AE954" s="34"/>
      <c r="AF954" s="34"/>
      <c r="AG954" s="34"/>
      <c r="AH954" s="34"/>
      <c r="AI954" s="52"/>
      <c r="AJ954" s="52"/>
      <c r="AL954" s="34"/>
      <c r="AM954" s="34"/>
      <c r="AN954" s="34"/>
      <c r="AO954" s="54"/>
      <c r="AP954" s="34"/>
      <c r="AQ954" s="34"/>
      <c r="AR954" s="54"/>
      <c r="AS954" s="54"/>
      <c r="AT954" s="54"/>
      <c r="AU954" s="54"/>
      <c r="AV954" s="34"/>
      <c r="AW954" s="34"/>
      <c r="AX954" s="34"/>
      <c r="AY954" s="34"/>
      <c r="AZ954" s="34"/>
      <c r="BA954" s="44"/>
      <c r="BB954" s="34"/>
      <c r="BC954" s="34"/>
    </row>
    <row r="955" spans="1:55" x14ac:dyDescent="0.35" ht="15.0" customHeight="true">
      <c r="A955" s="51"/>
      <c r="B955" s="34"/>
      <c r="C955" s="34"/>
      <c r="D955" s="34"/>
      <c r="E955" s="34"/>
      <c r="F955" s="34"/>
      <c r="G955" s="44"/>
      <c r="H955" s="34"/>
      <c r="I955" s="54"/>
      <c r="J955" s="34"/>
      <c r="K955" s="54"/>
      <c r="L955" s="34"/>
      <c r="M955" s="44"/>
      <c r="N955" s="44"/>
      <c r="O955" s="34"/>
      <c r="P955" s="34"/>
      <c r="Q955" s="34"/>
      <c r="R955" s="34"/>
      <c r="V955" s="44"/>
      <c r="X955" s="95"/>
      <c r="Y955" s="54"/>
      <c r="Z955" s="54"/>
      <c r="AA955" s="34"/>
      <c r="AB955" s="34"/>
      <c r="AC955" s="34"/>
      <c r="AD955" s="34"/>
      <c r="AE955" s="34"/>
      <c r="AF955" s="34"/>
      <c r="AG955" s="34"/>
      <c r="AH955" s="34"/>
      <c r="AI955" s="52"/>
      <c r="AJ955" s="52"/>
      <c r="AL955" s="34"/>
      <c r="AM955" s="34"/>
      <c r="AN955" s="34"/>
      <c r="AO955" s="54"/>
      <c r="AP955" s="34"/>
      <c r="AQ955" s="34"/>
      <c r="AR955" s="54"/>
      <c r="AS955" s="54"/>
      <c r="AT955" s="54"/>
      <c r="AU955" s="54"/>
      <c r="AV955" s="34"/>
      <c r="AW955" s="34"/>
      <c r="AX955" s="34"/>
      <c r="AY955" s="34"/>
      <c r="AZ955" s="34"/>
      <c r="BA955" s="44"/>
      <c r="BB955" s="34"/>
      <c r="BC955" s="34"/>
    </row>
    <row r="956" spans="1:55" x14ac:dyDescent="0.35" ht="15.0" customHeight="true">
      <c r="A956" s="51"/>
      <c r="B956" s="34"/>
      <c r="C956" s="34"/>
      <c r="D956" s="34"/>
      <c r="E956" s="34"/>
      <c r="F956" s="34"/>
      <c r="G956" s="44"/>
      <c r="H956" s="34"/>
      <c r="I956" s="54"/>
      <c r="J956" s="34"/>
      <c r="K956" s="54"/>
      <c r="L956" s="34"/>
      <c r="M956" s="44"/>
      <c r="N956" s="44"/>
      <c r="O956" s="34"/>
      <c r="P956" s="34"/>
      <c r="Q956" s="34"/>
      <c r="R956" s="34"/>
      <c r="V956" s="44"/>
      <c r="X956" s="95"/>
      <c r="Y956" s="54"/>
      <c r="Z956" s="54"/>
      <c r="AA956" s="34"/>
      <c r="AB956" s="34"/>
      <c r="AC956" s="34"/>
      <c r="AD956" s="34"/>
      <c r="AE956" s="34"/>
      <c r="AF956" s="34"/>
      <c r="AG956" s="34"/>
      <c r="AH956" s="34"/>
      <c r="AI956" s="52"/>
      <c r="AJ956" s="52"/>
      <c r="AL956" s="34"/>
      <c r="AM956" s="34"/>
      <c r="AN956" s="34"/>
      <c r="AO956" s="54"/>
      <c r="AP956" s="34"/>
      <c r="AQ956" s="34"/>
      <c r="AR956" s="54"/>
      <c r="AS956" s="54"/>
      <c r="AT956" s="54"/>
      <c r="AU956" s="54"/>
      <c r="AV956" s="34"/>
      <c r="AW956" s="34"/>
      <c r="AX956" s="34"/>
      <c r="AY956" s="34"/>
      <c r="AZ956" s="34"/>
      <c r="BA956" s="44"/>
      <c r="BB956" s="34"/>
      <c r="BC956" s="34"/>
    </row>
    <row r="957" spans="1:55" x14ac:dyDescent="0.35" ht="15.0" customHeight="true">
      <c r="A957" s="51"/>
      <c r="B957" s="34"/>
      <c r="C957" s="34"/>
      <c r="D957" s="34"/>
      <c r="E957" s="34"/>
      <c r="F957" s="34"/>
      <c r="G957" s="44"/>
      <c r="H957" s="34"/>
      <c r="I957" s="54"/>
      <c r="J957" s="34"/>
      <c r="K957" s="54"/>
      <c r="L957" s="34"/>
      <c r="M957" s="44"/>
      <c r="N957" s="44"/>
      <c r="O957" s="34"/>
      <c r="P957" s="34"/>
      <c r="Q957" s="34"/>
      <c r="R957" s="34"/>
      <c r="V957" s="44"/>
      <c r="X957" s="95"/>
      <c r="Y957" s="54"/>
      <c r="Z957" s="54"/>
      <c r="AA957" s="34"/>
      <c r="AB957" s="34"/>
      <c r="AC957" s="34"/>
      <c r="AD957" s="34"/>
      <c r="AE957" s="34"/>
      <c r="AF957" s="34"/>
      <c r="AG957" s="34"/>
      <c r="AH957" s="34"/>
      <c r="AI957" s="52"/>
      <c r="AJ957" s="52"/>
      <c r="AL957" s="34"/>
      <c r="AM957" s="34"/>
      <c r="AN957" s="34"/>
      <c r="AO957" s="54"/>
      <c r="AP957" s="34"/>
      <c r="AQ957" s="34"/>
      <c r="AR957" s="54"/>
      <c r="AS957" s="54"/>
      <c r="AT957" s="54"/>
      <c r="AU957" s="54"/>
      <c r="AV957" s="34"/>
      <c r="AW957" s="34"/>
      <c r="AX957" s="34"/>
      <c r="AY957" s="34"/>
      <c r="AZ957" s="34"/>
      <c r="BA957" s="44"/>
      <c r="BB957" s="34"/>
      <c r="BC957" s="34"/>
    </row>
    <row r="958" spans="1:55" x14ac:dyDescent="0.35" ht="15.0" customHeight="true">
      <c r="A958" s="51"/>
      <c r="B958" s="34"/>
      <c r="C958" s="34"/>
      <c r="D958" s="34"/>
      <c r="E958" s="34"/>
      <c r="F958" s="34"/>
      <c r="G958" s="44"/>
      <c r="H958" s="34"/>
      <c r="I958" s="54"/>
      <c r="J958" s="34"/>
      <c r="K958" s="54"/>
      <c r="L958" s="34"/>
      <c r="M958" s="44"/>
      <c r="N958" s="44"/>
      <c r="O958" s="34"/>
      <c r="P958" s="34"/>
      <c r="Q958" s="34"/>
      <c r="R958" s="34"/>
      <c r="V958" s="44"/>
      <c r="X958" s="95"/>
      <c r="Y958" s="54"/>
      <c r="Z958" s="54"/>
      <c r="AA958" s="34"/>
      <c r="AB958" s="34"/>
      <c r="AC958" s="34"/>
      <c r="AD958" s="34"/>
      <c r="AE958" s="34"/>
      <c r="AF958" s="34"/>
      <c r="AG958" s="34"/>
      <c r="AH958" s="34"/>
      <c r="AI958" s="52"/>
      <c r="AJ958" s="52"/>
      <c r="AL958" s="34"/>
      <c r="AM958" s="34"/>
      <c r="AN958" s="34"/>
      <c r="AO958" s="54"/>
      <c r="AP958" s="34"/>
      <c r="AQ958" s="34"/>
      <c r="AR958" s="54"/>
      <c r="AS958" s="54"/>
      <c r="AT958" s="54"/>
      <c r="AU958" s="54"/>
      <c r="AV958" s="34"/>
      <c r="AW958" s="34"/>
      <c r="AX958" s="34"/>
      <c r="AY958" s="34"/>
      <c r="AZ958" s="34"/>
      <c r="BA958" s="44"/>
      <c r="BB958" s="34"/>
      <c r="BC958" s="34"/>
    </row>
    <row r="959" spans="1:55" x14ac:dyDescent="0.35" ht="15.0" customHeight="true">
      <c r="A959" s="51"/>
      <c r="B959" s="34"/>
      <c r="C959" s="34"/>
      <c r="D959" s="34"/>
      <c r="E959" s="34"/>
      <c r="F959" s="34"/>
      <c r="G959" s="44"/>
      <c r="H959" s="34"/>
      <c r="I959" s="54"/>
      <c r="J959" s="34"/>
      <c r="K959" s="54"/>
      <c r="L959" s="34"/>
      <c r="M959" s="44"/>
      <c r="N959" s="44"/>
      <c r="O959" s="34"/>
      <c r="P959" s="34"/>
      <c r="Q959" s="34"/>
      <c r="R959" s="34"/>
      <c r="V959" s="44"/>
      <c r="X959" s="95"/>
      <c r="Y959" s="54"/>
      <c r="Z959" s="54"/>
      <c r="AA959" s="34"/>
      <c r="AB959" s="34"/>
      <c r="AC959" s="34"/>
      <c r="AD959" s="34"/>
      <c r="AE959" s="34"/>
      <c r="AF959" s="34"/>
      <c r="AG959" s="34"/>
      <c r="AH959" s="34"/>
      <c r="AI959" s="52"/>
      <c r="AJ959" s="52"/>
      <c r="AL959" s="34"/>
      <c r="AM959" s="34"/>
      <c r="AN959" s="34"/>
      <c r="AO959" s="54"/>
      <c r="AP959" s="34"/>
      <c r="AQ959" s="34"/>
      <c r="AR959" s="54"/>
      <c r="AS959" s="54"/>
      <c r="AT959" s="54"/>
      <c r="AU959" s="54"/>
      <c r="AV959" s="34"/>
      <c r="AW959" s="34"/>
      <c r="AX959" s="34"/>
      <c r="AY959" s="34"/>
      <c r="AZ959" s="34"/>
      <c r="BA959" s="44"/>
      <c r="BB959" s="34"/>
      <c r="BC959" s="34"/>
    </row>
    <row r="960" spans="1:55" x14ac:dyDescent="0.35" ht="15.0" customHeight="true">
      <c r="A960" s="51"/>
      <c r="B960" s="34"/>
      <c r="C960" s="34"/>
      <c r="D960" s="34"/>
      <c r="E960" s="34"/>
      <c r="F960" s="34"/>
      <c r="G960" s="44"/>
      <c r="H960" s="34"/>
      <c r="I960" s="54"/>
      <c r="J960" s="34"/>
      <c r="K960" s="54"/>
      <c r="L960" s="34"/>
      <c r="M960" s="44"/>
      <c r="N960" s="44"/>
      <c r="O960" s="34"/>
      <c r="P960" s="34"/>
      <c r="Q960" s="34"/>
      <c r="R960" s="34"/>
      <c r="V960" s="44"/>
      <c r="X960" s="95"/>
      <c r="Y960" s="54"/>
      <c r="Z960" s="54"/>
      <c r="AA960" s="34"/>
      <c r="AB960" s="34"/>
      <c r="AC960" s="34"/>
      <c r="AD960" s="34"/>
      <c r="AE960" s="34"/>
      <c r="AF960" s="34"/>
      <c r="AG960" s="34"/>
      <c r="AH960" s="34"/>
      <c r="AI960" s="52"/>
      <c r="AJ960" s="52"/>
      <c r="AL960" s="34"/>
      <c r="AM960" s="34"/>
      <c r="AN960" s="34"/>
      <c r="AO960" s="54"/>
      <c r="AP960" s="34"/>
      <c r="AQ960" s="34"/>
      <c r="AR960" s="54"/>
      <c r="AS960" s="54"/>
      <c r="AT960" s="54"/>
      <c r="AU960" s="54"/>
      <c r="AV960" s="34"/>
      <c r="AW960" s="34"/>
      <c r="AX960" s="34"/>
      <c r="AY960" s="34"/>
      <c r="AZ960" s="34"/>
      <c r="BA960" s="44"/>
      <c r="BB960" s="34"/>
      <c r="BC960" s="34"/>
    </row>
    <row r="961" spans="1:55" x14ac:dyDescent="0.35" ht="15.0" customHeight="true">
      <c r="A961" s="51"/>
      <c r="B961" s="34"/>
      <c r="C961" s="34"/>
      <c r="D961" s="34"/>
      <c r="E961" s="34"/>
      <c r="F961" s="34"/>
      <c r="G961" s="44"/>
      <c r="H961" s="34"/>
      <c r="I961" s="54"/>
      <c r="J961" s="34"/>
      <c r="K961" s="54"/>
      <c r="L961" s="34"/>
      <c r="M961" s="44"/>
      <c r="N961" s="44"/>
      <c r="O961" s="34"/>
      <c r="P961" s="34"/>
      <c r="Q961" s="34"/>
      <c r="R961" s="34"/>
      <c r="V961" s="44"/>
      <c r="X961" s="95"/>
      <c r="Y961" s="54"/>
      <c r="Z961" s="54"/>
      <c r="AA961" s="34"/>
      <c r="AB961" s="34"/>
      <c r="AC961" s="34"/>
      <c r="AD961" s="34"/>
      <c r="AE961" s="34"/>
      <c r="AF961" s="34"/>
      <c r="AG961" s="34"/>
      <c r="AH961" s="34"/>
      <c r="AI961" s="52"/>
      <c r="AJ961" s="52"/>
      <c r="AL961" s="34"/>
      <c r="AM961" s="34"/>
      <c r="AN961" s="34"/>
      <c r="AO961" s="54"/>
      <c r="AP961" s="34"/>
      <c r="AQ961" s="34"/>
      <c r="AR961" s="54"/>
      <c r="AS961" s="54"/>
      <c r="AT961" s="54"/>
      <c r="AU961" s="54"/>
      <c r="AV961" s="34"/>
      <c r="AW961" s="34"/>
      <c r="AX961" s="34"/>
      <c r="AY961" s="34"/>
      <c r="AZ961" s="34"/>
      <c r="BA961" s="44"/>
      <c r="BB961" s="34"/>
      <c r="BC961" s="34"/>
    </row>
    <row r="962" spans="1:55" x14ac:dyDescent="0.35" ht="15.0" customHeight="true">
      <c r="A962" s="51"/>
      <c r="B962" s="34"/>
      <c r="C962" s="34"/>
      <c r="D962" s="34"/>
      <c r="E962" s="34"/>
      <c r="F962" s="34"/>
      <c r="G962" s="44"/>
      <c r="H962" s="34"/>
      <c r="I962" s="54"/>
      <c r="J962" s="34"/>
      <c r="K962" s="54"/>
      <c r="L962" s="34"/>
      <c r="M962" s="44"/>
      <c r="N962" s="44"/>
      <c r="O962" s="34"/>
      <c r="P962" s="34"/>
      <c r="Q962" s="34"/>
      <c r="R962" s="34"/>
      <c r="V962" s="44"/>
      <c r="X962" s="95"/>
      <c r="Y962" s="54"/>
      <c r="Z962" s="54"/>
      <c r="AA962" s="34"/>
      <c r="AB962" s="34"/>
      <c r="AC962" s="34"/>
      <c r="AD962" s="34"/>
      <c r="AE962" s="34"/>
      <c r="AF962" s="34"/>
      <c r="AG962" s="34"/>
      <c r="AH962" s="34"/>
      <c r="AI962" s="52"/>
      <c r="AJ962" s="52"/>
      <c r="AL962" s="34"/>
      <c r="AM962" s="34"/>
      <c r="AN962" s="34"/>
      <c r="AO962" s="54"/>
      <c r="AP962" s="34"/>
      <c r="AQ962" s="34"/>
      <c r="AR962" s="54"/>
      <c r="AS962" s="54"/>
      <c r="AT962" s="54"/>
      <c r="AU962" s="54"/>
      <c r="AV962" s="34"/>
      <c r="AW962" s="34"/>
      <c r="AX962" s="34"/>
      <c r="AY962" s="34"/>
      <c r="AZ962" s="34"/>
      <c r="BA962" s="44"/>
      <c r="BB962" s="34"/>
      <c r="BC962" s="34"/>
    </row>
    <row r="963" spans="1:55" x14ac:dyDescent="0.35" ht="15.0" customHeight="true">
      <c r="A963" s="51"/>
      <c r="B963" s="34"/>
      <c r="C963" s="34"/>
      <c r="D963" s="34"/>
      <c r="E963" s="34"/>
      <c r="F963" s="34"/>
      <c r="G963" s="44"/>
      <c r="H963" s="34"/>
      <c r="I963" s="54"/>
      <c r="J963" s="34"/>
      <c r="K963" s="54"/>
      <c r="L963" s="34"/>
      <c r="M963" s="44"/>
      <c r="N963" s="44"/>
      <c r="O963" s="34"/>
      <c r="P963" s="34"/>
      <c r="Q963" s="34"/>
      <c r="R963" s="34"/>
      <c r="V963" s="44"/>
      <c r="X963" s="95"/>
      <c r="Y963" s="54"/>
      <c r="Z963" s="54"/>
      <c r="AA963" s="34"/>
      <c r="AB963" s="34"/>
      <c r="AC963" s="34"/>
      <c r="AD963" s="34"/>
      <c r="AE963" s="34"/>
      <c r="AF963" s="34"/>
      <c r="AG963" s="34"/>
      <c r="AH963" s="34"/>
      <c r="AI963" s="52"/>
      <c r="AJ963" s="52"/>
      <c r="AL963" s="34"/>
      <c r="AM963" s="34"/>
      <c r="AN963" s="34"/>
      <c r="AO963" s="54"/>
      <c r="AP963" s="34"/>
      <c r="AQ963" s="34"/>
      <c r="AR963" s="54"/>
      <c r="AS963" s="54"/>
      <c r="AT963" s="54"/>
      <c r="AU963" s="54"/>
      <c r="AV963" s="34"/>
      <c r="AW963" s="34"/>
      <c r="AX963" s="34"/>
      <c r="AY963" s="34"/>
      <c r="AZ963" s="34"/>
      <c r="BA963" s="44"/>
      <c r="BB963" s="34"/>
      <c r="BC963" s="34"/>
    </row>
    <row r="964" spans="1:55" x14ac:dyDescent="0.35" ht="15.0" customHeight="true">
      <c r="A964" s="51"/>
      <c r="B964" s="34"/>
      <c r="C964" s="34"/>
      <c r="D964" s="34"/>
      <c r="E964" s="34"/>
      <c r="F964" s="34"/>
      <c r="G964" s="44"/>
      <c r="H964" s="34"/>
      <c r="I964" s="54"/>
      <c r="J964" s="34"/>
      <c r="K964" s="54"/>
      <c r="L964" s="34"/>
      <c r="M964" s="44"/>
      <c r="N964" s="44"/>
      <c r="O964" s="34"/>
      <c r="P964" s="34"/>
      <c r="Q964" s="34"/>
      <c r="R964" s="34"/>
      <c r="V964" s="44"/>
      <c r="X964" s="95"/>
      <c r="Y964" s="54"/>
      <c r="Z964" s="54"/>
      <c r="AA964" s="34"/>
      <c r="AB964" s="34"/>
      <c r="AC964" s="34"/>
      <c r="AD964" s="34"/>
      <c r="AE964" s="34"/>
      <c r="AF964" s="34"/>
      <c r="AG964" s="34"/>
      <c r="AH964" s="34"/>
      <c r="AI964" s="52"/>
      <c r="AJ964" s="52"/>
      <c r="AL964" s="34"/>
      <c r="AM964" s="34"/>
      <c r="AN964" s="34"/>
      <c r="AO964" s="54"/>
      <c r="AP964" s="34"/>
      <c r="AQ964" s="34"/>
      <c r="AR964" s="54"/>
      <c r="AS964" s="54"/>
      <c r="AT964" s="54"/>
      <c r="AU964" s="54"/>
      <c r="AV964" s="34"/>
      <c r="AW964" s="34"/>
      <c r="AX964" s="34"/>
      <c r="AY964" s="34"/>
      <c r="AZ964" s="34"/>
      <c r="BA964" s="44"/>
      <c r="BB964" s="34"/>
      <c r="BC964" s="34"/>
    </row>
    <row r="965" spans="1:55" x14ac:dyDescent="0.35" ht="15.0" customHeight="true">
      <c r="A965" s="51"/>
      <c r="B965" s="34"/>
      <c r="C965" s="34"/>
      <c r="D965" s="34"/>
      <c r="E965" s="34"/>
      <c r="F965" s="34"/>
      <c r="G965" s="44"/>
      <c r="H965" s="34"/>
      <c r="I965" s="54"/>
      <c r="J965" s="34"/>
      <c r="K965" s="54"/>
      <c r="L965" s="34"/>
      <c r="M965" s="44"/>
      <c r="N965" s="44"/>
      <c r="O965" s="34"/>
      <c r="P965" s="34"/>
      <c r="Q965" s="34"/>
      <c r="R965" s="34"/>
      <c r="V965" s="44"/>
      <c r="X965" s="95"/>
      <c r="Y965" s="54"/>
      <c r="Z965" s="54"/>
      <c r="AA965" s="34"/>
      <c r="AB965" s="34"/>
      <c r="AC965" s="34"/>
      <c r="AD965" s="34"/>
      <c r="AE965" s="34"/>
      <c r="AF965" s="34"/>
      <c r="AG965" s="34"/>
      <c r="AH965" s="34"/>
      <c r="AI965" s="52"/>
      <c r="AJ965" s="52"/>
      <c r="AL965" s="34"/>
      <c r="AM965" s="34"/>
      <c r="AN965" s="34"/>
      <c r="AO965" s="54"/>
      <c r="AP965" s="34"/>
      <c r="AQ965" s="34"/>
      <c r="AR965" s="54"/>
      <c r="AS965" s="54"/>
      <c r="AT965" s="54"/>
      <c r="AU965" s="54"/>
      <c r="AV965" s="34"/>
      <c r="AW965" s="34"/>
      <c r="AX965" s="34"/>
      <c r="AY965" s="34"/>
      <c r="AZ965" s="34"/>
      <c r="BA965" s="44"/>
      <c r="BB965" s="34"/>
      <c r="BC965" s="34"/>
    </row>
    <row r="966" spans="1:55" x14ac:dyDescent="0.35" ht="15.0" customHeight="true">
      <c r="A966" s="51"/>
      <c r="B966" s="34"/>
      <c r="C966" s="34"/>
      <c r="D966" s="34"/>
      <c r="E966" s="34"/>
      <c r="F966" s="34"/>
      <c r="G966" s="44"/>
      <c r="H966" s="34"/>
      <c r="I966" s="54"/>
      <c r="J966" s="34"/>
      <c r="K966" s="54"/>
      <c r="L966" s="34"/>
      <c r="M966" s="44"/>
      <c r="N966" s="44"/>
      <c r="O966" s="34"/>
      <c r="P966" s="34"/>
      <c r="Q966" s="34"/>
      <c r="R966" s="34"/>
      <c r="V966" s="44"/>
      <c r="X966" s="95"/>
      <c r="Y966" s="54"/>
      <c r="Z966" s="54"/>
      <c r="AA966" s="34"/>
      <c r="AB966" s="34"/>
      <c r="AC966" s="34"/>
      <c r="AD966" s="34"/>
      <c r="AE966" s="34"/>
      <c r="AF966" s="34"/>
      <c r="AG966" s="34"/>
      <c r="AH966" s="34"/>
      <c r="AI966" s="52"/>
      <c r="AJ966" s="52"/>
      <c r="AL966" s="34"/>
      <c r="AM966" s="34"/>
      <c r="AN966" s="34"/>
      <c r="AO966" s="54"/>
      <c r="AP966" s="34"/>
      <c r="AQ966" s="34"/>
      <c r="AR966" s="54"/>
      <c r="AS966" s="54"/>
      <c r="AT966" s="54"/>
      <c r="AU966" s="54"/>
      <c r="AV966" s="34"/>
      <c r="AW966" s="34"/>
      <c r="AX966" s="34"/>
      <c r="AY966" s="34"/>
      <c r="AZ966" s="34"/>
      <c r="BA966" s="44"/>
      <c r="BB966" s="34"/>
      <c r="BC966" s="34"/>
    </row>
    <row r="967" spans="1:55" x14ac:dyDescent="0.35" ht="15.0" customHeight="true">
      <c r="A967" s="51"/>
      <c r="B967" s="34"/>
      <c r="C967" s="34"/>
      <c r="D967" s="34"/>
      <c r="E967" s="34"/>
      <c r="F967" s="34"/>
      <c r="G967" s="44"/>
      <c r="H967" s="34"/>
      <c r="I967" s="54"/>
      <c r="J967" s="34"/>
      <c r="K967" s="54"/>
      <c r="L967" s="34"/>
      <c r="M967" s="44"/>
      <c r="N967" s="44"/>
      <c r="O967" s="34"/>
      <c r="P967" s="34"/>
      <c r="Q967" s="34"/>
      <c r="R967" s="34"/>
      <c r="V967" s="44"/>
      <c r="X967" s="95"/>
      <c r="Y967" s="54"/>
      <c r="Z967" s="54"/>
      <c r="AA967" s="34"/>
      <c r="AB967" s="34"/>
      <c r="AC967" s="34"/>
      <c r="AD967" s="34"/>
      <c r="AE967" s="34"/>
      <c r="AF967" s="34"/>
      <c r="AG967" s="34"/>
      <c r="AH967" s="34"/>
      <c r="AI967" s="52"/>
      <c r="AJ967" s="52"/>
      <c r="AL967" s="34"/>
      <c r="AM967" s="34"/>
      <c r="AN967" s="34"/>
      <c r="AO967" s="54"/>
      <c r="AP967" s="34"/>
      <c r="AQ967" s="34"/>
      <c r="AR967" s="54"/>
      <c r="AS967" s="54"/>
      <c r="AT967" s="54"/>
      <c r="AU967" s="54"/>
      <c r="AV967" s="34"/>
      <c r="AW967" s="34"/>
      <c r="AX967" s="34"/>
      <c r="AY967" s="34"/>
      <c r="AZ967" s="34"/>
      <c r="BA967" s="44"/>
      <c r="BB967" s="34"/>
      <c r="BC967" s="34"/>
    </row>
    <row r="968" spans="1:55" x14ac:dyDescent="0.35" ht="15.0" customHeight="true">
      <c r="A968" s="51"/>
      <c r="B968" s="34"/>
      <c r="C968" s="34"/>
      <c r="D968" s="34"/>
      <c r="E968" s="34"/>
      <c r="F968" s="34"/>
      <c r="G968" s="44"/>
      <c r="H968" s="34"/>
      <c r="I968" s="54"/>
      <c r="J968" s="34"/>
      <c r="K968" s="54"/>
      <c r="L968" s="34"/>
      <c r="M968" s="44"/>
      <c r="N968" s="44"/>
      <c r="O968" s="34"/>
      <c r="P968" s="34"/>
      <c r="Q968" s="34"/>
      <c r="R968" s="34"/>
      <c r="V968" s="44"/>
      <c r="X968" s="95"/>
      <c r="Y968" s="54"/>
      <c r="Z968" s="54"/>
      <c r="AA968" s="34"/>
      <c r="AB968" s="34"/>
      <c r="AC968" s="34"/>
      <c r="AD968" s="34"/>
      <c r="AE968" s="34"/>
      <c r="AF968" s="34"/>
      <c r="AG968" s="34"/>
      <c r="AH968" s="34"/>
      <c r="AI968" s="52"/>
      <c r="AJ968" s="52"/>
      <c r="AL968" s="34"/>
      <c r="AM968" s="34"/>
      <c r="AN968" s="34"/>
      <c r="AO968" s="54"/>
      <c r="AP968" s="34"/>
      <c r="AQ968" s="34"/>
      <c r="AR968" s="54"/>
      <c r="AS968" s="54"/>
      <c r="AT968" s="54"/>
      <c r="AU968" s="54"/>
      <c r="AV968" s="34"/>
      <c r="AW968" s="34"/>
      <c r="AX968" s="34"/>
      <c r="AY968" s="34"/>
      <c r="AZ968" s="34"/>
      <c r="BA968" s="44"/>
      <c r="BB968" s="34"/>
      <c r="BC968" s="34"/>
    </row>
    <row r="969" spans="1:55" x14ac:dyDescent="0.35" ht="15.0" customHeight="true">
      <c r="A969" s="51"/>
      <c r="B969" s="34"/>
      <c r="C969" s="34"/>
      <c r="D969" s="34"/>
      <c r="E969" s="34"/>
      <c r="F969" s="34"/>
      <c r="G969" s="44"/>
      <c r="H969" s="34"/>
      <c r="I969" s="54"/>
      <c r="J969" s="34"/>
      <c r="K969" s="54"/>
      <c r="L969" s="34"/>
      <c r="M969" s="44"/>
      <c r="N969" s="44"/>
      <c r="O969" s="34"/>
      <c r="P969" s="34"/>
      <c r="Q969" s="34"/>
      <c r="R969" s="34"/>
      <c r="V969" s="44"/>
      <c r="X969" s="95"/>
      <c r="Y969" s="54"/>
      <c r="Z969" s="54"/>
      <c r="AA969" s="34"/>
      <c r="AB969" s="34"/>
      <c r="AC969" s="34"/>
      <c r="AD969" s="34"/>
      <c r="AE969" s="34"/>
      <c r="AF969" s="34"/>
      <c r="AG969" s="34"/>
      <c r="AH969" s="34"/>
      <c r="AI969" s="52"/>
      <c r="AJ969" s="52"/>
      <c r="AL969" s="34"/>
      <c r="AM969" s="34"/>
      <c r="AN969" s="34"/>
      <c r="AO969" s="54"/>
      <c r="AP969" s="34"/>
      <c r="AQ969" s="34"/>
      <c r="AR969" s="54"/>
      <c r="AS969" s="54"/>
      <c r="AT969" s="54"/>
      <c r="AU969" s="54"/>
      <c r="AV969" s="34"/>
      <c r="AW969" s="34"/>
      <c r="AX969" s="34"/>
      <c r="AY969" s="34"/>
      <c r="AZ969" s="34"/>
      <c r="BA969" s="44"/>
      <c r="BB969" s="34"/>
      <c r="BC969" s="34"/>
    </row>
    <row r="970" spans="1:55" x14ac:dyDescent="0.35" ht="15.0" customHeight="true">
      <c r="A970" s="51"/>
      <c r="B970" s="34"/>
      <c r="C970" s="34"/>
      <c r="D970" s="34"/>
      <c r="E970" s="34"/>
      <c r="F970" s="34"/>
      <c r="G970" s="44"/>
      <c r="H970" s="34"/>
      <c r="I970" s="54"/>
      <c r="J970" s="34"/>
      <c r="K970" s="54"/>
      <c r="L970" s="34"/>
      <c r="M970" s="44"/>
      <c r="N970" s="44"/>
      <c r="O970" s="34"/>
      <c r="P970" s="34"/>
      <c r="Q970" s="34"/>
      <c r="R970" s="34"/>
      <c r="V970" s="44"/>
      <c r="X970" s="95"/>
      <c r="Y970" s="54"/>
      <c r="Z970" s="54"/>
      <c r="AA970" s="34"/>
      <c r="AB970" s="34"/>
      <c r="AC970" s="34"/>
      <c r="AD970" s="34"/>
      <c r="AE970" s="34"/>
      <c r="AF970" s="34"/>
      <c r="AG970" s="34"/>
      <c r="AH970" s="34"/>
      <c r="AI970" s="52"/>
      <c r="AJ970" s="52"/>
      <c r="AL970" s="34"/>
      <c r="AM970" s="34"/>
      <c r="AN970" s="34"/>
      <c r="AO970" s="54"/>
      <c r="AP970" s="34"/>
      <c r="AQ970" s="34"/>
      <c r="AR970" s="54"/>
      <c r="AS970" s="54"/>
      <c r="AT970" s="54"/>
      <c r="AU970" s="54"/>
      <c r="AV970" s="34"/>
      <c r="AW970" s="34"/>
      <c r="AX970" s="34"/>
      <c r="AY970" s="34"/>
      <c r="AZ970" s="34"/>
      <c r="BA970" s="44"/>
      <c r="BB970" s="34"/>
      <c r="BC970" s="34"/>
    </row>
    <row r="971" spans="1:55" x14ac:dyDescent="0.35" ht="15.0" customHeight="true">
      <c r="A971" s="51"/>
      <c r="B971" s="34"/>
      <c r="C971" s="34"/>
      <c r="D971" s="34"/>
      <c r="E971" s="34"/>
      <c r="F971" s="34"/>
      <c r="G971" s="44"/>
      <c r="H971" s="34"/>
      <c r="I971" s="54"/>
      <c r="J971" s="34"/>
      <c r="K971" s="54"/>
      <c r="L971" s="34"/>
      <c r="M971" s="44"/>
      <c r="N971" s="44"/>
      <c r="O971" s="34"/>
      <c r="P971" s="34"/>
      <c r="Q971" s="34"/>
      <c r="R971" s="34"/>
      <c r="V971" s="44"/>
      <c r="X971" s="95"/>
      <c r="Y971" s="54"/>
      <c r="Z971" s="54"/>
      <c r="AA971" s="34"/>
      <c r="AB971" s="34"/>
      <c r="AC971" s="34"/>
      <c r="AD971" s="34"/>
      <c r="AE971" s="34"/>
      <c r="AF971" s="34"/>
      <c r="AG971" s="34"/>
      <c r="AH971" s="34"/>
      <c r="AI971" s="52"/>
      <c r="AJ971" s="52"/>
      <c r="AL971" s="34"/>
      <c r="AM971" s="34"/>
      <c r="AN971" s="34"/>
      <c r="AO971" s="54"/>
      <c r="AP971" s="34"/>
      <c r="AQ971" s="34"/>
      <c r="AR971" s="54"/>
      <c r="AS971" s="54"/>
      <c r="AT971" s="54"/>
      <c r="AU971" s="54"/>
      <c r="AV971" s="34"/>
      <c r="AW971" s="34"/>
      <c r="AX971" s="34"/>
      <c r="AY971" s="34"/>
      <c r="AZ971" s="34"/>
      <c r="BA971" s="44"/>
      <c r="BB971" s="34"/>
      <c r="BC971" s="34"/>
    </row>
    <row r="972" spans="1:55" x14ac:dyDescent="0.35" ht="15.0" customHeight="true">
      <c r="A972" s="51"/>
      <c r="B972" s="34"/>
      <c r="C972" s="34"/>
      <c r="D972" s="34"/>
      <c r="E972" s="34"/>
      <c r="F972" s="34"/>
      <c r="G972" s="44"/>
      <c r="H972" s="34"/>
      <c r="I972" s="54"/>
      <c r="J972" s="34"/>
      <c r="K972" s="54"/>
      <c r="L972" s="34"/>
      <c r="M972" s="44"/>
      <c r="N972" s="44"/>
      <c r="O972" s="34"/>
      <c r="P972" s="34"/>
      <c r="Q972" s="34"/>
      <c r="R972" s="34"/>
      <c r="V972" s="44"/>
      <c r="X972" s="95"/>
      <c r="Y972" s="54"/>
      <c r="Z972" s="54"/>
      <c r="AA972" s="34"/>
      <c r="AB972" s="34"/>
      <c r="AC972" s="34"/>
      <c r="AD972" s="34"/>
      <c r="AE972" s="34"/>
      <c r="AF972" s="34"/>
      <c r="AG972" s="34"/>
      <c r="AH972" s="34"/>
      <c r="AI972" s="52"/>
      <c r="AJ972" s="52"/>
      <c r="AL972" s="34"/>
      <c r="AM972" s="34"/>
      <c r="AN972" s="34"/>
      <c r="AO972" s="54"/>
      <c r="AP972" s="34"/>
      <c r="AQ972" s="34"/>
      <c r="AR972" s="54"/>
      <c r="AS972" s="54"/>
      <c r="AT972" s="54"/>
      <c r="AU972" s="54"/>
      <c r="AV972" s="34"/>
      <c r="AW972" s="34"/>
      <c r="AX972" s="34"/>
      <c r="AY972" s="34"/>
      <c r="AZ972" s="34"/>
      <c r="BA972" s="44"/>
      <c r="BB972" s="34"/>
      <c r="BC972" s="34"/>
    </row>
    <row r="973" spans="1:55" x14ac:dyDescent="0.35" ht="15.0" customHeight="true">
      <c r="A973" s="51"/>
      <c r="B973" s="34"/>
      <c r="C973" s="34"/>
      <c r="D973" s="34"/>
      <c r="E973" s="34"/>
      <c r="F973" s="34"/>
      <c r="G973" s="44"/>
      <c r="H973" s="34"/>
      <c r="I973" s="54"/>
      <c r="J973" s="34"/>
      <c r="K973" s="54"/>
      <c r="L973" s="34"/>
      <c r="M973" s="44"/>
      <c r="N973" s="44"/>
      <c r="O973" s="34"/>
      <c r="P973" s="34"/>
      <c r="Q973" s="34"/>
      <c r="R973" s="34"/>
      <c r="V973" s="44"/>
      <c r="X973" s="95"/>
      <c r="Y973" s="54"/>
      <c r="Z973" s="54"/>
      <c r="AA973" s="34"/>
      <c r="AB973" s="34"/>
      <c r="AC973" s="34"/>
      <c r="AD973" s="34"/>
      <c r="AE973" s="34"/>
      <c r="AF973" s="34"/>
      <c r="AG973" s="34"/>
      <c r="AH973" s="34"/>
      <c r="AI973" s="52"/>
      <c r="AJ973" s="52"/>
      <c r="AL973" s="34"/>
      <c r="AM973" s="34"/>
      <c r="AN973" s="34"/>
      <c r="AO973" s="54"/>
      <c r="AP973" s="34"/>
      <c r="AQ973" s="34"/>
      <c r="AR973" s="54"/>
      <c r="AS973" s="54"/>
      <c r="AT973" s="54"/>
      <c r="AU973" s="54"/>
      <c r="AV973" s="34"/>
      <c r="AW973" s="34"/>
      <c r="AX973" s="34"/>
      <c r="AY973" s="34"/>
      <c r="AZ973" s="34"/>
      <c r="BA973" s="44"/>
      <c r="BB973" s="34"/>
      <c r="BC973" s="34"/>
    </row>
    <row r="974" spans="1:55" x14ac:dyDescent="0.35" ht="15.0" customHeight="true">
      <c r="A974" s="51"/>
      <c r="B974" s="34"/>
      <c r="C974" s="34"/>
      <c r="D974" s="34"/>
      <c r="E974" s="34"/>
      <c r="F974" s="34"/>
      <c r="G974" s="44"/>
      <c r="H974" s="34"/>
      <c r="I974" s="54"/>
      <c r="J974" s="34"/>
      <c r="K974" s="54"/>
      <c r="L974" s="34"/>
      <c r="M974" s="44"/>
      <c r="N974" s="44"/>
      <c r="O974" s="34"/>
      <c r="P974" s="34"/>
      <c r="Q974" s="34"/>
      <c r="R974" s="34"/>
      <c r="V974" s="44"/>
      <c r="X974" s="95"/>
      <c r="Y974" s="54"/>
      <c r="Z974" s="54"/>
      <c r="AA974" s="34"/>
      <c r="AB974" s="34"/>
      <c r="AC974" s="34"/>
      <c r="AD974" s="34"/>
      <c r="AE974" s="34"/>
      <c r="AF974" s="34"/>
      <c r="AG974" s="34"/>
      <c r="AH974" s="34"/>
      <c r="AI974" s="52"/>
      <c r="AJ974" s="52"/>
      <c r="AL974" s="34"/>
      <c r="AM974" s="34"/>
      <c r="AN974" s="34"/>
      <c r="AO974" s="54"/>
      <c r="AP974" s="34"/>
      <c r="AQ974" s="34"/>
      <c r="AR974" s="54"/>
      <c r="AS974" s="54"/>
      <c r="AT974" s="54"/>
      <c r="AU974" s="54"/>
      <c r="AV974" s="34"/>
      <c r="AW974" s="34"/>
      <c r="AX974" s="34"/>
      <c r="AY974" s="34"/>
      <c r="AZ974" s="34"/>
      <c r="BA974" s="44"/>
      <c r="BB974" s="34"/>
      <c r="BC974" s="34"/>
    </row>
    <row r="975" spans="1:55" x14ac:dyDescent="0.35" ht="15.0" customHeight="true">
      <c r="A975" s="51"/>
      <c r="B975" s="34"/>
      <c r="C975" s="34"/>
      <c r="D975" s="34"/>
      <c r="E975" s="34"/>
      <c r="F975" s="34"/>
      <c r="G975" s="44"/>
      <c r="H975" s="34"/>
      <c r="I975" s="54"/>
      <c r="J975" s="34"/>
      <c r="K975" s="54"/>
      <c r="L975" s="34"/>
      <c r="M975" s="44"/>
      <c r="N975" s="44"/>
      <c r="O975" s="34"/>
      <c r="P975" s="34"/>
      <c r="Q975" s="34"/>
      <c r="R975" s="34"/>
      <c r="V975" s="44"/>
      <c r="X975" s="95"/>
      <c r="Y975" s="54"/>
      <c r="Z975" s="54"/>
      <c r="AA975" s="34"/>
      <c r="AB975" s="34"/>
      <c r="AC975" s="34"/>
      <c r="AD975" s="34"/>
      <c r="AE975" s="34"/>
      <c r="AF975" s="34"/>
      <c r="AG975" s="34"/>
      <c r="AH975" s="34"/>
      <c r="AI975" s="52"/>
      <c r="AJ975" s="52"/>
      <c r="AL975" s="34"/>
      <c r="AM975" s="34"/>
      <c r="AN975" s="34"/>
      <c r="AO975" s="54"/>
      <c r="AP975" s="34"/>
      <c r="AQ975" s="34"/>
      <c r="AR975" s="54"/>
      <c r="AS975" s="54"/>
      <c r="AT975" s="54"/>
      <c r="AU975" s="54"/>
      <c r="AV975" s="34"/>
      <c r="AW975" s="34"/>
      <c r="AX975" s="34"/>
      <c r="AY975" s="34"/>
      <c r="AZ975" s="34"/>
      <c r="BA975" s="44"/>
      <c r="BB975" s="34"/>
      <c r="BC975" s="34"/>
    </row>
    <row r="976" spans="1:55" x14ac:dyDescent="0.35" ht="15.0" customHeight="true">
      <c r="A976" s="51"/>
      <c r="B976" s="34"/>
      <c r="C976" s="34"/>
      <c r="D976" s="34"/>
      <c r="E976" s="34"/>
      <c r="F976" s="34"/>
      <c r="G976" s="44"/>
      <c r="H976" s="34"/>
      <c r="I976" s="54"/>
      <c r="J976" s="34"/>
      <c r="K976" s="54"/>
      <c r="L976" s="34"/>
      <c r="M976" s="44"/>
      <c r="N976" s="44"/>
      <c r="O976" s="34"/>
      <c r="P976" s="34"/>
      <c r="Q976" s="34"/>
      <c r="R976" s="34"/>
      <c r="V976" s="44"/>
      <c r="X976" s="95"/>
      <c r="Y976" s="54"/>
      <c r="Z976" s="54"/>
      <c r="AA976" s="34"/>
      <c r="AB976" s="34"/>
      <c r="AC976" s="34"/>
      <c r="AD976" s="34"/>
      <c r="AE976" s="34"/>
      <c r="AF976" s="34"/>
      <c r="AG976" s="34"/>
      <c r="AH976" s="34"/>
      <c r="AI976" s="52"/>
      <c r="AJ976" s="52"/>
      <c r="AL976" s="34"/>
      <c r="AM976" s="34"/>
      <c r="AN976" s="34"/>
      <c r="AO976" s="54"/>
      <c r="AP976" s="34"/>
      <c r="AQ976" s="34"/>
      <c r="AR976" s="54"/>
      <c r="AS976" s="54"/>
      <c r="AT976" s="54"/>
      <c r="AU976" s="54"/>
      <c r="AV976" s="34"/>
      <c r="AW976" s="34"/>
      <c r="AX976" s="34"/>
      <c r="AY976" s="34"/>
      <c r="AZ976" s="34"/>
      <c r="BA976" s="44"/>
      <c r="BB976" s="34"/>
      <c r="BC976" s="34"/>
    </row>
    <row r="977" spans="1:55" x14ac:dyDescent="0.35" ht="15.0" customHeight="true">
      <c r="A977" s="51"/>
      <c r="B977" s="34"/>
      <c r="C977" s="34"/>
      <c r="D977" s="34"/>
      <c r="E977" s="34"/>
      <c r="F977" s="34"/>
      <c r="G977" s="44"/>
      <c r="H977" s="34"/>
      <c r="I977" s="54"/>
      <c r="J977" s="34"/>
      <c r="K977" s="54"/>
      <c r="L977" s="34"/>
      <c r="M977" s="44"/>
      <c r="N977" s="44"/>
      <c r="O977" s="34"/>
      <c r="P977" s="34"/>
      <c r="Q977" s="34"/>
      <c r="R977" s="34"/>
      <c r="V977" s="44"/>
      <c r="X977" s="95"/>
      <c r="Y977" s="54"/>
      <c r="Z977" s="54"/>
      <c r="AA977" s="34"/>
      <c r="AB977" s="34"/>
      <c r="AC977" s="34"/>
      <c r="AD977" s="34"/>
      <c r="AE977" s="34"/>
      <c r="AF977" s="34"/>
      <c r="AG977" s="34"/>
      <c r="AH977" s="34"/>
      <c r="AI977" s="52"/>
      <c r="AJ977" s="52"/>
      <c r="AL977" s="34"/>
      <c r="AM977" s="34"/>
      <c r="AN977" s="34"/>
      <c r="AO977" s="54"/>
      <c r="AP977" s="34"/>
      <c r="AQ977" s="34"/>
      <c r="AR977" s="54"/>
      <c r="AS977" s="54"/>
      <c r="AT977" s="54"/>
      <c r="AU977" s="54"/>
      <c r="AV977" s="34"/>
      <c r="AW977" s="34"/>
      <c r="AX977" s="34"/>
      <c r="AY977" s="34"/>
      <c r="AZ977" s="34"/>
      <c r="BA977" s="44"/>
      <c r="BB977" s="34"/>
      <c r="BC977" s="34"/>
    </row>
    <row r="978" spans="1:55" x14ac:dyDescent="0.35" ht="15.0" customHeight="true">
      <c r="A978" s="51"/>
      <c r="B978" s="34"/>
      <c r="C978" s="34"/>
      <c r="D978" s="34"/>
      <c r="E978" s="34"/>
      <c r="F978" s="34"/>
      <c r="G978" s="44"/>
      <c r="H978" s="34"/>
      <c r="I978" s="54"/>
      <c r="J978" s="34"/>
      <c r="K978" s="54"/>
      <c r="L978" s="34"/>
      <c r="M978" s="44"/>
      <c r="N978" s="44"/>
      <c r="O978" s="34"/>
      <c r="P978" s="34"/>
      <c r="Q978" s="34"/>
      <c r="R978" s="34"/>
      <c r="V978" s="44"/>
      <c r="X978" s="95"/>
      <c r="Y978" s="54"/>
      <c r="Z978" s="54"/>
      <c r="AA978" s="34"/>
      <c r="AB978" s="34"/>
      <c r="AC978" s="34"/>
      <c r="AD978" s="34"/>
      <c r="AE978" s="34"/>
      <c r="AF978" s="34"/>
      <c r="AG978" s="34"/>
      <c r="AH978" s="34"/>
      <c r="AI978" s="52"/>
      <c r="AJ978" s="52"/>
      <c r="AL978" s="34"/>
      <c r="AM978" s="34"/>
      <c r="AN978" s="34"/>
      <c r="AO978" s="54"/>
      <c r="AP978" s="34"/>
      <c r="AQ978" s="34"/>
      <c r="AR978" s="54"/>
      <c r="AS978" s="54"/>
      <c r="AT978" s="54"/>
      <c r="AU978" s="54"/>
      <c r="AV978" s="34"/>
      <c r="AW978" s="34"/>
      <c r="AX978" s="34"/>
      <c r="AY978" s="34"/>
      <c r="AZ978" s="34"/>
      <c r="BA978" s="44"/>
      <c r="BB978" s="34"/>
      <c r="BC978" s="34"/>
    </row>
    <row r="979" spans="1:55" x14ac:dyDescent="0.35" ht="15.0" customHeight="true">
      <c r="A979" s="51"/>
      <c r="B979" s="34"/>
      <c r="C979" s="34"/>
      <c r="D979" s="34"/>
      <c r="E979" s="34"/>
      <c r="F979" s="34"/>
      <c r="G979" s="44"/>
      <c r="H979" s="34"/>
      <c r="I979" s="54"/>
      <c r="J979" s="34"/>
      <c r="K979" s="54"/>
      <c r="L979" s="34"/>
      <c r="M979" s="44"/>
      <c r="N979" s="44"/>
      <c r="O979" s="34"/>
      <c r="P979" s="34"/>
      <c r="Q979" s="34"/>
      <c r="R979" s="34"/>
      <c r="V979" s="44"/>
      <c r="X979" s="95"/>
      <c r="Y979" s="54"/>
      <c r="Z979" s="54"/>
      <c r="AA979" s="34"/>
      <c r="AB979" s="34"/>
      <c r="AC979" s="34"/>
      <c r="AD979" s="34"/>
      <c r="AE979" s="34"/>
      <c r="AF979" s="34"/>
      <c r="AG979" s="34"/>
      <c r="AH979" s="34"/>
      <c r="AI979" s="52"/>
      <c r="AJ979" s="52"/>
      <c r="AL979" s="34"/>
      <c r="AM979" s="34"/>
      <c r="AN979" s="34"/>
      <c r="AO979" s="54"/>
      <c r="AP979" s="34"/>
      <c r="AQ979" s="34"/>
      <c r="AR979" s="54"/>
      <c r="AS979" s="54"/>
      <c r="AT979" s="54"/>
      <c r="AU979" s="54"/>
      <c r="AV979" s="34"/>
      <c r="AW979" s="34"/>
      <c r="AX979" s="34"/>
      <c r="AY979" s="34"/>
      <c r="AZ979" s="34"/>
      <c r="BA979" s="44"/>
      <c r="BB979" s="34"/>
      <c r="BC979" s="34"/>
    </row>
    <row r="980" spans="1:55" x14ac:dyDescent="0.35" ht="15.0" customHeight="true">
      <c r="A980" s="51"/>
      <c r="B980" s="34"/>
      <c r="C980" s="34"/>
      <c r="D980" s="34"/>
      <c r="E980" s="34"/>
      <c r="F980" s="34"/>
      <c r="G980" s="44"/>
      <c r="H980" s="34"/>
      <c r="I980" s="54"/>
      <c r="J980" s="34"/>
      <c r="K980" s="54"/>
      <c r="L980" s="34"/>
      <c r="M980" s="44"/>
      <c r="N980" s="44"/>
      <c r="O980" s="34"/>
      <c r="P980" s="34"/>
      <c r="Q980" s="34"/>
      <c r="R980" s="34"/>
      <c r="V980" s="44"/>
      <c r="X980" s="95"/>
      <c r="Y980" s="54"/>
      <c r="Z980" s="54"/>
      <c r="AA980" s="34"/>
      <c r="AB980" s="34"/>
      <c r="AC980" s="34"/>
      <c r="AD980" s="34"/>
      <c r="AE980" s="34"/>
      <c r="AF980" s="34"/>
      <c r="AG980" s="34"/>
      <c r="AH980" s="34"/>
      <c r="AI980" s="52"/>
      <c r="AJ980" s="52"/>
      <c r="AL980" s="34"/>
      <c r="AM980" s="34"/>
      <c r="AN980" s="34"/>
      <c r="AO980" s="54"/>
      <c r="AP980" s="34"/>
      <c r="AQ980" s="34"/>
      <c r="AR980" s="54"/>
      <c r="AS980" s="54"/>
      <c r="AT980" s="54"/>
      <c r="AU980" s="54"/>
      <c r="AV980" s="34"/>
      <c r="AW980" s="34"/>
      <c r="AX980" s="34"/>
      <c r="AY980" s="34"/>
      <c r="AZ980" s="34"/>
      <c r="BA980" s="44"/>
      <c r="BB980" s="34"/>
      <c r="BC980" s="34"/>
    </row>
    <row r="981" spans="1:55" x14ac:dyDescent="0.35" ht="15.0" customHeight="true">
      <c r="A981" s="51"/>
      <c r="B981" s="34"/>
      <c r="C981" s="34"/>
      <c r="D981" s="34"/>
      <c r="E981" s="34"/>
      <c r="F981" s="34"/>
      <c r="G981" s="44"/>
      <c r="H981" s="34"/>
      <c r="I981" s="54"/>
      <c r="J981" s="34"/>
      <c r="K981" s="54"/>
      <c r="L981" s="34"/>
      <c r="M981" s="44"/>
      <c r="N981" s="44"/>
      <c r="O981" s="34"/>
      <c r="P981" s="34"/>
      <c r="Q981" s="34"/>
      <c r="R981" s="34"/>
      <c r="V981" s="44"/>
      <c r="X981" s="95"/>
      <c r="Y981" s="54"/>
      <c r="Z981" s="54"/>
      <c r="AA981" s="34"/>
      <c r="AB981" s="34"/>
      <c r="AC981" s="34"/>
      <c r="AD981" s="34"/>
      <c r="AE981" s="34"/>
      <c r="AF981" s="34"/>
      <c r="AG981" s="34"/>
      <c r="AH981" s="34"/>
      <c r="AI981" s="52"/>
      <c r="AJ981" s="52"/>
      <c r="AL981" s="34"/>
      <c r="AM981" s="34"/>
      <c r="AN981" s="34"/>
      <c r="AO981" s="54"/>
      <c r="AP981" s="34"/>
      <c r="AQ981" s="34"/>
      <c r="AR981" s="54"/>
      <c r="AS981" s="54"/>
      <c r="AT981" s="54"/>
      <c r="AU981" s="54"/>
      <c r="AV981" s="34"/>
      <c r="AW981" s="34"/>
      <c r="AX981" s="34"/>
      <c r="AY981" s="34"/>
      <c r="AZ981" s="34"/>
      <c r="BA981" s="44"/>
      <c r="BB981" s="34"/>
      <c r="BC981" s="34"/>
    </row>
    <row r="982" spans="1:55" x14ac:dyDescent="0.35" ht="15.0" customHeight="true">
      <c r="A982" s="51"/>
      <c r="B982" s="34"/>
      <c r="C982" s="34"/>
      <c r="D982" s="34"/>
      <c r="E982" s="34"/>
      <c r="F982" s="34"/>
      <c r="G982" s="44"/>
      <c r="H982" s="34"/>
      <c r="I982" s="54"/>
      <c r="J982" s="34"/>
      <c r="K982" s="54"/>
      <c r="L982" s="34"/>
      <c r="M982" s="44"/>
      <c r="N982" s="44"/>
      <c r="O982" s="34"/>
      <c r="P982" s="34"/>
      <c r="Q982" s="34"/>
      <c r="R982" s="34"/>
      <c r="V982" s="44"/>
      <c r="X982" s="95"/>
      <c r="Y982" s="54"/>
      <c r="Z982" s="54"/>
      <c r="AA982" s="34"/>
      <c r="AB982" s="34"/>
      <c r="AC982" s="34"/>
      <c r="AD982" s="34"/>
      <c r="AE982" s="34"/>
      <c r="AF982" s="34"/>
      <c r="AG982" s="34"/>
      <c r="AH982" s="34"/>
      <c r="AI982" s="52"/>
      <c r="AJ982" s="52"/>
      <c r="AL982" s="34"/>
      <c r="AM982" s="34"/>
      <c r="AN982" s="34"/>
      <c r="AO982" s="54"/>
      <c r="AP982" s="34"/>
      <c r="AQ982" s="34"/>
      <c r="AR982" s="54"/>
      <c r="AS982" s="54"/>
      <c r="AT982" s="54"/>
      <c r="AU982" s="54"/>
      <c r="AV982" s="34"/>
      <c r="AW982" s="34"/>
      <c r="AX982" s="34"/>
      <c r="AY982" s="34"/>
      <c r="AZ982" s="34"/>
      <c r="BA982" s="44"/>
      <c r="BB982" s="34"/>
      <c r="BC982" s="34"/>
    </row>
    <row r="983" spans="1:55" x14ac:dyDescent="0.35" ht="15.0" customHeight="true">
      <c r="A983" s="51"/>
      <c r="B983" s="34"/>
      <c r="C983" s="34"/>
      <c r="D983" s="34"/>
      <c r="E983" s="34"/>
      <c r="F983" s="34"/>
      <c r="G983" s="44"/>
      <c r="H983" s="34"/>
      <c r="I983" s="54"/>
      <c r="J983" s="34"/>
      <c r="K983" s="54"/>
      <c r="L983" s="34"/>
      <c r="M983" s="44"/>
      <c r="N983" s="44"/>
      <c r="O983" s="34"/>
      <c r="P983" s="34"/>
      <c r="Q983" s="34"/>
      <c r="R983" s="34"/>
      <c r="V983" s="44"/>
      <c r="X983" s="95"/>
      <c r="Y983" s="54"/>
      <c r="Z983" s="54"/>
      <c r="AA983" s="34"/>
      <c r="AB983" s="34"/>
      <c r="AC983" s="34"/>
      <c r="AD983" s="34"/>
      <c r="AE983" s="34"/>
      <c r="AF983" s="34"/>
      <c r="AG983" s="34"/>
      <c r="AH983" s="34"/>
      <c r="AI983" s="52"/>
      <c r="AJ983" s="52"/>
      <c r="AL983" s="34"/>
      <c r="AM983" s="34"/>
      <c r="AN983" s="34"/>
      <c r="AO983" s="54"/>
      <c r="AP983" s="34"/>
      <c r="AQ983" s="34"/>
      <c r="AR983" s="54"/>
      <c r="AS983" s="54"/>
      <c r="AT983" s="54"/>
      <c r="AU983" s="54"/>
      <c r="AV983" s="34"/>
      <c r="AW983" s="34"/>
      <c r="AX983" s="34"/>
      <c r="AY983" s="34"/>
      <c r="AZ983" s="34"/>
      <c r="BA983" s="44"/>
      <c r="BB983" s="34"/>
      <c r="BC983" s="34"/>
    </row>
    <row r="984" spans="1:55" x14ac:dyDescent="0.35" ht="15.0" customHeight="true">
      <c r="A984" s="51"/>
      <c r="B984" s="34"/>
      <c r="C984" s="34"/>
      <c r="D984" s="34"/>
      <c r="E984" s="34"/>
      <c r="F984" s="34"/>
      <c r="G984" s="44"/>
      <c r="H984" s="34"/>
      <c r="I984" s="54"/>
      <c r="J984" s="34"/>
      <c r="K984" s="54"/>
      <c r="L984" s="34"/>
      <c r="M984" s="44"/>
      <c r="N984" s="44"/>
      <c r="O984" s="34"/>
      <c r="P984" s="34"/>
      <c r="Q984" s="34"/>
      <c r="R984" s="34"/>
      <c r="V984" s="44"/>
      <c r="X984" s="95"/>
      <c r="Y984" s="54"/>
      <c r="Z984" s="54"/>
      <c r="AA984" s="34"/>
      <c r="AB984" s="34"/>
      <c r="AC984" s="34"/>
      <c r="AD984" s="34"/>
      <c r="AE984" s="34"/>
      <c r="AF984" s="34"/>
      <c r="AG984" s="34"/>
      <c r="AH984" s="34"/>
      <c r="AI984" s="52"/>
      <c r="AJ984" s="52"/>
      <c r="AL984" s="34"/>
      <c r="AM984" s="34"/>
      <c r="AN984" s="34"/>
      <c r="AO984" s="54"/>
      <c r="AP984" s="34"/>
      <c r="AQ984" s="34"/>
      <c r="AR984" s="54"/>
      <c r="AS984" s="54"/>
      <c r="AT984" s="54"/>
      <c r="AU984" s="54"/>
      <c r="AV984" s="34"/>
      <c r="AW984" s="34"/>
      <c r="AX984" s="34"/>
      <c r="AY984" s="34"/>
      <c r="AZ984" s="34"/>
      <c r="BA984" s="44"/>
      <c r="BB984" s="34"/>
      <c r="BC984" s="34"/>
    </row>
    <row r="985" spans="1:55" x14ac:dyDescent="0.35" ht="15.0" customHeight="true">
      <c r="A985" s="51"/>
      <c r="B985" s="34"/>
      <c r="C985" s="34"/>
      <c r="D985" s="34"/>
      <c r="E985" s="34"/>
      <c r="F985" s="34"/>
      <c r="G985" s="44"/>
      <c r="H985" s="34"/>
      <c r="I985" s="54"/>
      <c r="J985" s="34"/>
      <c r="K985" s="54"/>
      <c r="L985" s="34"/>
      <c r="M985" s="44"/>
      <c r="N985" s="44"/>
      <c r="O985" s="34"/>
      <c r="P985" s="34"/>
      <c r="Q985" s="34"/>
      <c r="R985" s="34"/>
      <c r="V985" s="44"/>
      <c r="X985" s="95"/>
      <c r="Y985" s="54"/>
      <c r="Z985" s="54"/>
      <c r="AA985" s="34"/>
      <c r="AB985" s="34"/>
      <c r="AC985" s="34"/>
      <c r="AD985" s="34"/>
      <c r="AE985" s="34"/>
      <c r="AF985" s="34"/>
      <c r="AG985" s="34"/>
      <c r="AH985" s="34"/>
      <c r="AI985" s="52"/>
      <c r="AJ985" s="52"/>
      <c r="AL985" s="34"/>
      <c r="AM985" s="34"/>
      <c r="AN985" s="34"/>
      <c r="AO985" s="54"/>
      <c r="AP985" s="34"/>
      <c r="AQ985" s="34"/>
      <c r="AR985" s="54"/>
      <c r="AS985" s="54"/>
      <c r="AT985" s="54"/>
      <c r="AU985" s="54"/>
      <c r="AV985" s="34"/>
      <c r="AW985" s="34"/>
      <c r="AX985" s="34"/>
      <c r="AY985" s="34"/>
      <c r="AZ985" s="34"/>
      <c r="BA985" s="44"/>
      <c r="BB985" s="34"/>
      <c r="BC985" s="34"/>
    </row>
    <row r="986" spans="1:55" x14ac:dyDescent="0.35" ht="15.0" customHeight="true">
      <c r="A986" s="51"/>
      <c r="B986" s="34"/>
      <c r="C986" s="34"/>
      <c r="D986" s="34"/>
      <c r="E986" s="34"/>
      <c r="F986" s="34"/>
      <c r="G986" s="44"/>
      <c r="H986" s="34"/>
      <c r="I986" s="54"/>
      <c r="J986" s="34"/>
      <c r="K986" s="54"/>
      <c r="L986" s="34"/>
      <c r="M986" s="44"/>
      <c r="N986" s="44"/>
      <c r="O986" s="34"/>
      <c r="P986" s="34"/>
      <c r="Q986" s="34"/>
      <c r="R986" s="34"/>
      <c r="V986" s="44"/>
      <c r="X986" s="95"/>
      <c r="Y986" s="54"/>
      <c r="Z986" s="54"/>
      <c r="AA986" s="34"/>
      <c r="AB986" s="34"/>
      <c r="AC986" s="34"/>
      <c r="AD986" s="34"/>
      <c r="AE986" s="34"/>
      <c r="AF986" s="34"/>
      <c r="AG986" s="34"/>
      <c r="AH986" s="34"/>
      <c r="AI986" s="52"/>
      <c r="AJ986" s="52"/>
      <c r="AL986" s="34"/>
      <c r="AM986" s="34"/>
      <c r="AN986" s="34"/>
      <c r="AO986" s="54"/>
      <c r="AP986" s="34"/>
      <c r="AQ986" s="34"/>
      <c r="AR986" s="54"/>
      <c r="AS986" s="54"/>
      <c r="AT986" s="54"/>
      <c r="AU986" s="54"/>
      <c r="AV986" s="34"/>
      <c r="AW986" s="34"/>
      <c r="AX986" s="34"/>
      <c r="AY986" s="34"/>
      <c r="AZ986" s="34"/>
      <c r="BA986" s="44"/>
      <c r="BB986" s="34"/>
      <c r="BC986" s="34"/>
    </row>
    <row r="987" spans="1:55" x14ac:dyDescent="0.35" ht="15.0" customHeight="true">
      <c r="A987" s="51"/>
      <c r="B987" s="34"/>
      <c r="C987" s="34"/>
      <c r="D987" s="34"/>
      <c r="E987" s="34"/>
      <c r="F987" s="34"/>
      <c r="G987" s="44"/>
      <c r="H987" s="34"/>
      <c r="I987" s="54"/>
      <c r="J987" s="34"/>
      <c r="K987" s="54"/>
      <c r="L987" s="34"/>
      <c r="M987" s="44"/>
      <c r="N987" s="44"/>
      <c r="O987" s="34"/>
      <c r="P987" s="34"/>
      <c r="Q987" s="34"/>
      <c r="R987" s="34"/>
      <c r="V987" s="44"/>
      <c r="X987" s="95"/>
      <c r="Y987" s="54"/>
      <c r="Z987" s="54"/>
      <c r="AA987" s="34"/>
      <c r="AB987" s="34"/>
      <c r="AC987" s="34"/>
      <c r="AD987" s="34"/>
      <c r="AE987" s="34"/>
      <c r="AF987" s="34"/>
      <c r="AG987" s="34"/>
      <c r="AH987" s="34"/>
      <c r="AI987" s="52"/>
      <c r="AJ987" s="52"/>
      <c r="AL987" s="34"/>
      <c r="AM987" s="34"/>
      <c r="AN987" s="34"/>
      <c r="AO987" s="54"/>
      <c r="AP987" s="34"/>
      <c r="AQ987" s="34"/>
      <c r="AR987" s="54"/>
      <c r="AS987" s="54"/>
      <c r="AT987" s="54"/>
      <c r="AU987" s="54"/>
      <c r="AV987" s="34"/>
      <c r="AW987" s="34"/>
      <c r="AX987" s="34"/>
      <c r="AY987" s="34"/>
      <c r="AZ987" s="34"/>
      <c r="BA987" s="44"/>
      <c r="BB987" s="34"/>
      <c r="BC987" s="34"/>
    </row>
    <row r="988" spans="1:55" x14ac:dyDescent="0.35" ht="15.0" customHeight="true">
      <c r="A988" s="51"/>
      <c r="B988" s="34"/>
      <c r="C988" s="34"/>
      <c r="D988" s="34"/>
      <c r="E988" s="34"/>
      <c r="F988" s="34"/>
      <c r="G988" s="44"/>
      <c r="H988" s="34"/>
      <c r="I988" s="54"/>
      <c r="J988" s="34"/>
      <c r="K988" s="54"/>
      <c r="L988" s="34"/>
      <c r="M988" s="44"/>
      <c r="N988" s="44"/>
      <c r="O988" s="34"/>
      <c r="P988" s="34"/>
      <c r="Q988" s="34"/>
      <c r="R988" s="34"/>
      <c r="V988" s="44"/>
      <c r="X988" s="95"/>
      <c r="Y988" s="54"/>
      <c r="Z988" s="54"/>
      <c r="AA988" s="34"/>
      <c r="AB988" s="34"/>
      <c r="AC988" s="34"/>
      <c r="AD988" s="34"/>
      <c r="AE988" s="34"/>
      <c r="AF988" s="34"/>
      <c r="AG988" s="34"/>
      <c r="AH988" s="34"/>
      <c r="AI988" s="52"/>
      <c r="AJ988" s="52"/>
      <c r="AL988" s="34"/>
      <c r="AM988" s="34"/>
      <c r="AN988" s="34"/>
      <c r="AO988" s="54"/>
      <c r="AP988" s="34"/>
      <c r="AQ988" s="34"/>
      <c r="AR988" s="54"/>
      <c r="AS988" s="54"/>
      <c r="AT988" s="54"/>
      <c r="AU988" s="54"/>
      <c r="AV988" s="34"/>
      <c r="AW988" s="34"/>
      <c r="AX988" s="34"/>
      <c r="AY988" s="34"/>
      <c r="AZ988" s="34"/>
      <c r="BA988" s="44"/>
      <c r="BB988" s="34"/>
      <c r="BC988" s="34"/>
    </row>
    <row r="989" spans="1:55" x14ac:dyDescent="0.35" ht="15.0" customHeight="true">
      <c r="A989" s="51"/>
      <c r="B989" s="34"/>
      <c r="C989" s="34"/>
      <c r="D989" s="34"/>
      <c r="E989" s="34"/>
      <c r="F989" s="34"/>
      <c r="G989" s="44"/>
      <c r="H989" s="34"/>
      <c r="I989" s="54"/>
      <c r="J989" s="34"/>
      <c r="K989" s="54"/>
      <c r="L989" s="34"/>
      <c r="M989" s="44"/>
      <c r="N989" s="44"/>
      <c r="O989" s="34"/>
      <c r="P989" s="34"/>
      <c r="Q989" s="34"/>
      <c r="R989" s="34"/>
      <c r="V989" s="44"/>
      <c r="X989" s="95"/>
      <c r="Y989" s="54"/>
      <c r="Z989" s="54"/>
      <c r="AA989" s="34"/>
      <c r="AB989" s="34"/>
      <c r="AC989" s="34"/>
      <c r="AD989" s="34"/>
      <c r="AE989" s="34"/>
      <c r="AF989" s="34"/>
      <c r="AG989" s="34"/>
      <c r="AH989" s="34"/>
      <c r="AI989" s="52"/>
      <c r="AJ989" s="52"/>
      <c r="AL989" s="34"/>
      <c r="AM989" s="34"/>
      <c r="AN989" s="34"/>
      <c r="AO989" s="54"/>
      <c r="AP989" s="34"/>
      <c r="AQ989" s="34"/>
      <c r="AR989" s="54"/>
      <c r="AS989" s="54"/>
      <c r="AT989" s="54"/>
      <c r="AU989" s="54"/>
      <c r="AV989" s="34"/>
      <c r="AW989" s="34"/>
      <c r="AX989" s="34"/>
      <c r="AY989" s="34"/>
      <c r="AZ989" s="34"/>
      <c r="BA989" s="44"/>
      <c r="BB989" s="34"/>
      <c r="BC989" s="34"/>
    </row>
    <row r="990" spans="1:55" x14ac:dyDescent="0.35" ht="15.0" customHeight="true">
      <c r="A990" s="51"/>
      <c r="B990" s="34"/>
      <c r="C990" s="34"/>
      <c r="D990" s="34"/>
      <c r="E990" s="34"/>
      <c r="F990" s="34"/>
      <c r="G990" s="44"/>
      <c r="H990" s="34"/>
      <c r="I990" s="54"/>
      <c r="J990" s="34"/>
      <c r="K990" s="54"/>
      <c r="L990" s="34"/>
      <c r="M990" s="44"/>
      <c r="N990" s="44"/>
      <c r="O990" s="34"/>
      <c r="P990" s="34"/>
      <c r="Q990" s="34"/>
      <c r="R990" s="34"/>
      <c r="V990" s="44"/>
      <c r="X990" s="95"/>
      <c r="Y990" s="54"/>
      <c r="Z990" s="54"/>
      <c r="AA990" s="34"/>
      <c r="AB990" s="34"/>
      <c r="AC990" s="34"/>
      <c r="AD990" s="34"/>
      <c r="AE990" s="34"/>
      <c r="AF990" s="34"/>
      <c r="AG990" s="34"/>
      <c r="AH990" s="34"/>
      <c r="AI990" s="52"/>
      <c r="AJ990" s="52"/>
      <c r="AL990" s="34"/>
      <c r="AM990" s="34"/>
      <c r="AN990" s="34"/>
      <c r="AO990" s="54"/>
      <c r="AP990" s="34"/>
      <c r="AQ990" s="34"/>
      <c r="AR990" s="54"/>
      <c r="AS990" s="54"/>
      <c r="AT990" s="54"/>
      <c r="AU990" s="54"/>
      <c r="AV990" s="34"/>
      <c r="AW990" s="34"/>
      <c r="AX990" s="34"/>
      <c r="AY990" s="34"/>
      <c r="AZ990" s="34"/>
      <c r="BA990" s="44"/>
      <c r="BB990" s="34"/>
      <c r="BC990" s="34"/>
    </row>
    <row r="991" spans="1:55" x14ac:dyDescent="0.35" ht="15.0" customHeight="true">
      <c r="A991" s="51"/>
      <c r="B991" s="34"/>
      <c r="C991" s="34"/>
      <c r="D991" s="34"/>
      <c r="E991" s="34"/>
      <c r="F991" s="34"/>
      <c r="G991" s="44"/>
      <c r="H991" s="34"/>
      <c r="I991" s="54"/>
      <c r="J991" s="34"/>
      <c r="K991" s="54"/>
      <c r="L991" s="34"/>
      <c r="M991" s="44"/>
      <c r="N991" s="44"/>
      <c r="O991" s="34"/>
      <c r="P991" s="34"/>
      <c r="Q991" s="34"/>
      <c r="R991" s="34"/>
      <c r="V991" s="44"/>
      <c r="X991" s="95"/>
      <c r="Y991" s="54"/>
      <c r="Z991" s="54"/>
      <c r="AA991" s="34"/>
      <c r="AB991" s="34"/>
      <c r="AC991" s="34"/>
      <c r="AD991" s="34"/>
      <c r="AE991" s="34"/>
      <c r="AF991" s="34"/>
      <c r="AG991" s="34"/>
      <c r="AH991" s="34"/>
      <c r="AI991" s="52"/>
      <c r="AJ991" s="52"/>
      <c r="AL991" s="34"/>
      <c r="AM991" s="34"/>
      <c r="AN991" s="34"/>
      <c r="AO991" s="54"/>
      <c r="AP991" s="34"/>
      <c r="AQ991" s="34"/>
      <c r="AR991" s="54"/>
      <c r="AS991" s="54"/>
      <c r="AT991" s="54"/>
      <c r="AU991" s="54"/>
      <c r="AV991" s="34"/>
      <c r="AW991" s="34"/>
      <c r="AX991" s="34"/>
      <c r="AY991" s="34"/>
      <c r="AZ991" s="34"/>
      <c r="BA991" s="44"/>
      <c r="BB991" s="34"/>
      <c r="BC991" s="34"/>
    </row>
    <row r="992" spans="1:55" x14ac:dyDescent="0.35" ht="15.0" customHeight="true">
      <c r="A992" s="51"/>
      <c r="B992" s="34"/>
      <c r="C992" s="34"/>
      <c r="D992" s="34"/>
      <c r="E992" s="34"/>
      <c r="F992" s="34"/>
      <c r="G992" s="44"/>
      <c r="H992" s="34"/>
      <c r="I992" s="54"/>
      <c r="J992" s="34"/>
      <c r="K992" s="54"/>
      <c r="L992" s="34"/>
      <c r="M992" s="44"/>
      <c r="N992" s="44"/>
      <c r="O992" s="34"/>
      <c r="P992" s="34"/>
      <c r="Q992" s="34"/>
      <c r="R992" s="34"/>
      <c r="V992" s="44"/>
      <c r="X992" s="95"/>
      <c r="Y992" s="54"/>
      <c r="Z992" s="54"/>
      <c r="AA992" s="34"/>
      <c r="AB992" s="34"/>
      <c r="AC992" s="34"/>
      <c r="AD992" s="34"/>
      <c r="AE992" s="34"/>
      <c r="AF992" s="34"/>
      <c r="AG992" s="34"/>
      <c r="AH992" s="34"/>
      <c r="AI992" s="52"/>
      <c r="AJ992" s="52"/>
      <c r="AL992" s="34"/>
      <c r="AM992" s="34"/>
      <c r="AN992" s="34"/>
      <c r="AO992" s="54"/>
      <c r="AP992" s="34"/>
      <c r="AQ992" s="34"/>
      <c r="AR992" s="54"/>
      <c r="AS992" s="54"/>
      <c r="AT992" s="54"/>
      <c r="AU992" s="54"/>
      <c r="AV992" s="34"/>
      <c r="AW992" s="34"/>
      <c r="AX992" s="34"/>
      <c r="AY992" s="34"/>
      <c r="AZ992" s="34"/>
      <c r="BA992" s="44"/>
      <c r="BB992" s="34"/>
      <c r="BC992" s="34"/>
    </row>
    <row r="993" spans="1:55" x14ac:dyDescent="0.35" ht="15.0" customHeight="true">
      <c r="A993" s="51"/>
      <c r="B993" s="34"/>
      <c r="C993" s="34"/>
      <c r="D993" s="34"/>
      <c r="E993" s="34"/>
      <c r="F993" s="34"/>
      <c r="G993" s="44"/>
      <c r="H993" s="34"/>
      <c r="I993" s="54"/>
      <c r="J993" s="34"/>
      <c r="K993" s="54"/>
      <c r="L993" s="34"/>
      <c r="M993" s="44"/>
      <c r="N993" s="44"/>
      <c r="O993" s="34"/>
      <c r="P993" s="34"/>
      <c r="Q993" s="34"/>
      <c r="R993" s="34"/>
      <c r="V993" s="44"/>
      <c r="X993" s="95"/>
      <c r="Y993" s="54"/>
      <c r="Z993" s="54"/>
      <c r="AA993" s="34"/>
      <c r="AB993" s="34"/>
      <c r="AC993" s="34"/>
      <c r="AD993" s="34"/>
      <c r="AE993" s="34"/>
      <c r="AF993" s="34"/>
      <c r="AG993" s="34"/>
      <c r="AH993" s="34"/>
      <c r="AI993" s="52"/>
      <c r="AJ993" s="52"/>
      <c r="AL993" s="34"/>
      <c r="AM993" s="34"/>
      <c r="AN993" s="34"/>
      <c r="AO993" s="54"/>
      <c r="AP993" s="34"/>
      <c r="AQ993" s="34"/>
      <c r="AR993" s="54"/>
      <c r="AS993" s="54"/>
      <c r="AT993" s="54"/>
      <c r="AU993" s="54"/>
      <c r="AV993" s="34"/>
      <c r="AW993" s="34"/>
      <c r="AX993" s="34"/>
      <c r="AY993" s="34"/>
      <c r="AZ993" s="34"/>
      <c r="BA993" s="44"/>
      <c r="BB993" s="34"/>
      <c r="BC993" s="34"/>
    </row>
    <row r="994" spans="1:55" x14ac:dyDescent="0.35" ht="15.0" customHeight="true">
      <c r="A994" s="51"/>
      <c r="B994" s="34"/>
      <c r="C994" s="34"/>
      <c r="D994" s="34"/>
      <c r="E994" s="34"/>
      <c r="F994" s="34"/>
      <c r="G994" s="44"/>
      <c r="H994" s="34"/>
      <c r="I994" s="54"/>
      <c r="J994" s="34"/>
      <c r="K994" s="54"/>
      <c r="L994" s="34"/>
      <c r="M994" s="44"/>
      <c r="N994" s="44"/>
      <c r="O994" s="34"/>
      <c r="P994" s="34"/>
      <c r="Q994" s="34"/>
      <c r="R994" s="34"/>
      <c r="V994" s="44"/>
      <c r="X994" s="95"/>
      <c r="Y994" s="54"/>
      <c r="Z994" s="54"/>
      <c r="AA994" s="34"/>
      <c r="AB994" s="34"/>
      <c r="AC994" s="34"/>
      <c r="AD994" s="34"/>
      <c r="AE994" s="34"/>
      <c r="AF994" s="34"/>
      <c r="AG994" s="34"/>
      <c r="AH994" s="34"/>
      <c r="AI994" s="52"/>
      <c r="AJ994" s="52"/>
      <c r="AL994" s="34"/>
      <c r="AM994" s="34"/>
      <c r="AN994" s="34"/>
      <c r="AO994" s="54"/>
      <c r="AP994" s="34"/>
      <c r="AQ994" s="34"/>
      <c r="AR994" s="54"/>
      <c r="AS994" s="54"/>
      <c r="AT994" s="54"/>
      <c r="AU994" s="54"/>
      <c r="AV994" s="34"/>
      <c r="AW994" s="34"/>
      <c r="AX994" s="34"/>
      <c r="AY994" s="34"/>
      <c r="AZ994" s="34"/>
      <c r="BA994" s="44"/>
      <c r="BB994" s="34"/>
      <c r="BC994" s="34"/>
    </row>
    <row r="995" spans="1:55" x14ac:dyDescent="0.35" ht="15.0" customHeight="true">
      <c r="A995" s="51"/>
      <c r="B995" s="34"/>
      <c r="C995" s="34"/>
      <c r="D995" s="34"/>
      <c r="E995" s="34"/>
      <c r="F995" s="34"/>
      <c r="G995" s="44"/>
      <c r="H995" s="34"/>
      <c r="I995" s="54"/>
      <c r="J995" s="34"/>
      <c r="K995" s="54"/>
      <c r="L995" s="34"/>
      <c r="M995" s="44"/>
      <c r="N995" s="44"/>
      <c r="O995" s="34"/>
      <c r="P995" s="34"/>
      <c r="Q995" s="34"/>
      <c r="R995" s="34"/>
      <c r="V995" s="44"/>
      <c r="X995" s="95"/>
      <c r="Y995" s="54"/>
      <c r="Z995" s="54"/>
      <c r="AA995" s="34"/>
      <c r="AB995" s="34"/>
      <c r="AC995" s="34"/>
      <c r="AD995" s="34"/>
      <c r="AE995" s="34"/>
      <c r="AF995" s="34"/>
      <c r="AG995" s="34"/>
      <c r="AH995" s="34"/>
      <c r="AI995" s="52"/>
      <c r="AJ995" s="52"/>
      <c r="AL995" s="34"/>
      <c r="AM995" s="34"/>
      <c r="AN995" s="34"/>
      <c r="AO995" s="54"/>
      <c r="AP995" s="34"/>
      <c r="AQ995" s="34"/>
      <c r="AR995" s="54"/>
      <c r="AS995" s="54"/>
      <c r="AT995" s="54"/>
      <c r="AU995" s="54"/>
      <c r="AV995" s="34"/>
      <c r="AW995" s="34"/>
      <c r="AX995" s="34"/>
      <c r="AY995" s="34"/>
      <c r="AZ995" s="34"/>
      <c r="BA995" s="44"/>
      <c r="BB995" s="34"/>
      <c r="BC995" s="34"/>
    </row>
    <row r="996" spans="1:55" x14ac:dyDescent="0.35" ht="15.0" customHeight="true">
      <c r="A996" s="51"/>
      <c r="B996" s="34"/>
      <c r="C996" s="34"/>
      <c r="D996" s="34"/>
      <c r="E996" s="34"/>
      <c r="F996" s="34"/>
      <c r="G996" s="44"/>
      <c r="H996" s="34"/>
      <c r="I996" s="54"/>
      <c r="J996" s="34"/>
      <c r="K996" s="54"/>
      <c r="L996" s="34"/>
      <c r="M996" s="44"/>
      <c r="N996" s="44"/>
      <c r="O996" s="34"/>
      <c r="P996" s="34"/>
      <c r="Q996" s="34"/>
      <c r="R996" s="34"/>
      <c r="V996" s="44"/>
      <c r="X996" s="95"/>
      <c r="Y996" s="54"/>
      <c r="Z996" s="54"/>
      <c r="AA996" s="34"/>
      <c r="AB996" s="34"/>
      <c r="AC996" s="34"/>
      <c r="AD996" s="34"/>
      <c r="AE996" s="34"/>
      <c r="AF996" s="34"/>
      <c r="AG996" s="34"/>
      <c r="AH996" s="34"/>
      <c r="AI996" s="52"/>
      <c r="AJ996" s="52"/>
      <c r="AL996" s="34"/>
      <c r="AM996" s="34"/>
      <c r="AN996" s="34"/>
      <c r="AO996" s="54"/>
      <c r="AP996" s="34"/>
      <c r="AQ996" s="34"/>
      <c r="AR996" s="54"/>
      <c r="AS996" s="54"/>
      <c r="AT996" s="54"/>
      <c r="AU996" s="54"/>
      <c r="AV996" s="34"/>
      <c r="AW996" s="34"/>
      <c r="AX996" s="34"/>
      <c r="AY996" s="34"/>
      <c r="AZ996" s="34"/>
      <c r="BA996" s="44"/>
      <c r="BB996" s="34"/>
      <c r="BC996" s="34"/>
    </row>
    <row r="997" spans="1:55" x14ac:dyDescent="0.35" ht="15.0" customHeight="true">
      <c r="A997" s="51"/>
      <c r="B997" s="34"/>
      <c r="C997" s="34"/>
      <c r="D997" s="34"/>
      <c r="E997" s="34"/>
      <c r="F997" s="34"/>
      <c r="G997" s="44"/>
      <c r="H997" s="34"/>
      <c r="I997" s="54"/>
      <c r="J997" s="34"/>
      <c r="K997" s="54"/>
      <c r="L997" s="34"/>
      <c r="M997" s="44"/>
      <c r="N997" s="44"/>
      <c r="O997" s="34"/>
      <c r="P997" s="34"/>
      <c r="Q997" s="34"/>
      <c r="R997" s="34"/>
      <c r="V997" s="44"/>
      <c r="X997" s="95"/>
      <c r="Y997" s="54"/>
      <c r="Z997" s="54"/>
      <c r="AA997" s="34"/>
      <c r="AB997" s="34"/>
      <c r="AC997" s="34"/>
      <c r="AD997" s="34"/>
      <c r="AE997" s="34"/>
      <c r="AF997" s="34"/>
      <c r="AG997" s="34"/>
      <c r="AH997" s="34"/>
      <c r="AI997" s="52"/>
      <c r="AJ997" s="52"/>
      <c r="AL997" s="34"/>
      <c r="AM997" s="34"/>
      <c r="AN997" s="34"/>
      <c r="AO997" s="54"/>
      <c r="AP997" s="34"/>
      <c r="AQ997" s="34"/>
      <c r="AR997" s="54"/>
      <c r="AS997" s="54"/>
      <c r="AT997" s="54"/>
      <c r="AU997" s="54"/>
      <c r="AV997" s="34"/>
      <c r="AW997" s="34"/>
      <c r="AX997" s="34"/>
      <c r="AY997" s="34"/>
      <c r="AZ997" s="34"/>
      <c r="BA997" s="44"/>
      <c r="BB997" s="34"/>
      <c r="BC997" s="34"/>
    </row>
    <row r="998" spans="1:55" x14ac:dyDescent="0.35" ht="15.0" customHeight="true">
      <c r="A998" s="51"/>
      <c r="B998" s="34"/>
      <c r="C998" s="34"/>
      <c r="D998" s="34"/>
      <c r="E998" s="34"/>
      <c r="F998" s="34"/>
      <c r="G998" s="44"/>
      <c r="H998" s="34"/>
      <c r="I998" s="54"/>
      <c r="J998" s="34"/>
      <c r="K998" s="54"/>
      <c r="L998" s="34"/>
      <c r="M998" s="44"/>
      <c r="N998" s="44"/>
      <c r="O998" s="34"/>
      <c r="P998" s="34"/>
      <c r="Q998" s="34"/>
      <c r="R998" s="34"/>
      <c r="V998" s="44"/>
      <c r="X998" s="95"/>
      <c r="Y998" s="54"/>
      <c r="Z998" s="54"/>
      <c r="AA998" s="34"/>
      <c r="AB998" s="34"/>
      <c r="AC998" s="34"/>
      <c r="AD998" s="34"/>
      <c r="AE998" s="34"/>
      <c r="AF998" s="34"/>
      <c r="AG998" s="34"/>
      <c r="AH998" s="34"/>
      <c r="AI998" s="52"/>
      <c r="AJ998" s="52"/>
      <c r="AL998" s="34"/>
      <c r="AM998" s="34"/>
      <c r="AN998" s="34"/>
      <c r="AO998" s="54"/>
      <c r="AP998" s="34"/>
      <c r="AQ998" s="34"/>
      <c r="AR998" s="54"/>
      <c r="AS998" s="54"/>
      <c r="AT998" s="54"/>
      <c r="AU998" s="54"/>
      <c r="AV998" s="34"/>
      <c r="AW998" s="34"/>
      <c r="AX998" s="34"/>
      <c r="AY998" s="34"/>
      <c r="AZ998" s="34"/>
      <c r="BA998" s="44"/>
      <c r="BB998" s="34"/>
      <c r="BC998" s="34"/>
    </row>
    <row r="999" spans="1:55" x14ac:dyDescent="0.35" ht="15.0" customHeight="true">
      <c r="A999" s="51"/>
      <c r="B999" s="34"/>
      <c r="C999" s="34"/>
      <c r="D999" s="34"/>
      <c r="E999" s="34"/>
      <c r="F999" s="34"/>
      <c r="G999" s="44"/>
      <c r="H999" s="34"/>
      <c r="I999" s="54"/>
      <c r="J999" s="34"/>
      <c r="K999" s="54"/>
      <c r="L999" s="34"/>
      <c r="M999" s="44"/>
      <c r="N999" s="44"/>
      <c r="O999" s="34"/>
      <c r="P999" s="34"/>
      <c r="Q999" s="34"/>
      <c r="R999" s="34"/>
      <c r="V999" s="44"/>
      <c r="X999" s="95"/>
      <c r="Y999" s="54"/>
      <c r="Z999" s="54"/>
      <c r="AA999" s="34"/>
      <c r="AB999" s="34"/>
      <c r="AC999" s="34"/>
      <c r="AD999" s="34"/>
      <c r="AE999" s="34"/>
      <c r="AF999" s="34"/>
      <c r="AG999" s="34"/>
      <c r="AH999" s="34"/>
      <c r="AI999" s="52"/>
      <c r="AJ999" s="52"/>
      <c r="AL999" s="34"/>
      <c r="AM999" s="34"/>
      <c r="AN999" s="34"/>
      <c r="AO999" s="54"/>
      <c r="AP999" s="34"/>
      <c r="AQ999" s="34"/>
      <c r="AR999" s="54"/>
      <c r="AS999" s="54"/>
      <c r="AT999" s="54"/>
      <c r="AU999" s="54"/>
      <c r="AV999" s="34"/>
      <c r="AW999" s="34"/>
      <c r="AX999" s="34"/>
      <c r="AY999" s="34"/>
      <c r="AZ999" s="34"/>
      <c r="BA999" s="44"/>
      <c r="BB999" s="34"/>
      <c r="BC999" s="34"/>
    </row>
    <row r="1000" spans="1:55" x14ac:dyDescent="0.35" ht="15.0" customHeight="true">
      <c r="A1000" s="51"/>
      <c r="B1000" s="34"/>
      <c r="C1000" s="34"/>
      <c r="D1000" s="34"/>
      <c r="E1000" s="34"/>
      <c r="F1000" s="34"/>
      <c r="G1000" s="44"/>
      <c r="H1000" s="34"/>
      <c r="I1000" s="54"/>
      <c r="J1000" s="34"/>
      <c r="K1000" s="54"/>
      <c r="L1000" s="34"/>
      <c r="M1000" s="44"/>
      <c r="N1000" s="44"/>
      <c r="O1000" s="34"/>
      <c r="P1000" s="34"/>
      <c r="Q1000" s="34"/>
      <c r="R1000" s="34"/>
      <c r="V1000" s="44"/>
      <c r="X1000" s="95"/>
      <c r="Y1000" s="54"/>
      <c r="Z1000" s="54"/>
      <c r="AA1000" s="34"/>
      <c r="AB1000" s="34"/>
      <c r="AC1000" s="34"/>
      <c r="AD1000" s="34"/>
      <c r="AE1000" s="34"/>
      <c r="AF1000" s="34"/>
      <c r="AG1000" s="34"/>
      <c r="AH1000" s="34"/>
      <c r="AI1000" s="52"/>
      <c r="AJ1000" s="52"/>
      <c r="AL1000" s="34"/>
      <c r="AM1000" s="34"/>
      <c r="AN1000" s="34"/>
      <c r="AO1000" s="54"/>
      <c r="AP1000" s="34"/>
      <c r="AQ1000" s="34"/>
      <c r="AR1000" s="54"/>
      <c r="AS1000" s="54"/>
      <c r="AT1000" s="54"/>
      <c r="AU1000" s="54"/>
      <c r="AV1000" s="34"/>
      <c r="AW1000" s="34"/>
      <c r="AX1000" s="34"/>
      <c r="AY1000" s="34"/>
      <c r="AZ1000" s="34"/>
      <c r="BA1000" s="44"/>
      <c r="BB1000" s="34"/>
      <c r="BC1000" s="34"/>
    </row>
    <row r="1001" spans="1:55" x14ac:dyDescent="0.35" ht="15.0" customHeight="true">
      <c r="A1001" s="51"/>
      <c r="B1001" s="34"/>
      <c r="C1001" s="34"/>
      <c r="D1001" s="34"/>
      <c r="E1001" s="34"/>
      <c r="F1001" s="34"/>
      <c r="G1001" s="44"/>
      <c r="H1001" s="34"/>
      <c r="I1001" s="54"/>
      <c r="J1001" s="34"/>
      <c r="K1001" s="54"/>
      <c r="L1001" s="34"/>
      <c r="M1001" s="44"/>
      <c r="N1001" s="44"/>
      <c r="O1001" s="34"/>
      <c r="P1001" s="34"/>
      <c r="Q1001" s="34"/>
      <c r="R1001" s="34"/>
      <c r="V1001" s="44"/>
      <c r="X1001" s="95"/>
      <c r="Y1001" s="54"/>
      <c r="Z1001" s="54"/>
      <c r="AA1001" s="34"/>
      <c r="AB1001" s="34"/>
      <c r="AC1001" s="34"/>
      <c r="AD1001" s="34"/>
      <c r="AE1001" s="34"/>
      <c r="AF1001" s="34"/>
      <c r="AG1001" s="34"/>
      <c r="AH1001" s="34"/>
      <c r="AI1001" s="52"/>
      <c r="AJ1001" s="52"/>
      <c r="AL1001" s="34"/>
      <c r="AM1001" s="34"/>
      <c r="AN1001" s="34"/>
      <c r="AO1001" s="54"/>
      <c r="AP1001" s="34"/>
      <c r="AQ1001" s="34"/>
      <c r="AR1001" s="54"/>
      <c r="AS1001" s="54"/>
      <c r="AT1001" s="54"/>
      <c r="AU1001" s="54"/>
      <c r="AV1001" s="34"/>
      <c r="AW1001" s="34"/>
      <c r="AX1001" s="34"/>
      <c r="AY1001" s="34"/>
      <c r="AZ1001" s="34"/>
      <c r="BA1001" s="44"/>
      <c r="BB1001" s="34"/>
      <c r="BC1001" s="34"/>
    </row>
    <row r="1002" spans="1:55" x14ac:dyDescent="0.35" ht="15.0" customHeight="true">
      <c r="A1002" s="51"/>
      <c r="B1002" s="34"/>
      <c r="C1002" s="34"/>
      <c r="D1002" s="34"/>
      <c r="E1002" s="34"/>
      <c r="F1002" s="34"/>
      <c r="G1002" s="44"/>
      <c r="H1002" s="34"/>
      <c r="I1002" s="54"/>
      <c r="J1002" s="34"/>
      <c r="K1002" s="54"/>
      <c r="L1002" s="34"/>
      <c r="M1002" s="44"/>
      <c r="N1002" s="44"/>
      <c r="O1002" s="34"/>
      <c r="P1002" s="34"/>
      <c r="Q1002" s="34"/>
      <c r="R1002" s="34"/>
      <c r="V1002" s="44"/>
      <c r="X1002" s="95"/>
      <c r="Y1002" s="54"/>
      <c r="Z1002" s="54"/>
      <c r="AA1002" s="34"/>
      <c r="AB1002" s="34"/>
      <c r="AC1002" s="34"/>
      <c r="AD1002" s="34"/>
      <c r="AE1002" s="34"/>
      <c r="AF1002" s="34"/>
      <c r="AG1002" s="34"/>
      <c r="AH1002" s="34"/>
      <c r="AI1002" s="52"/>
      <c r="AJ1002" s="52"/>
      <c r="AL1002" s="34"/>
      <c r="AM1002" s="34"/>
      <c r="AN1002" s="34"/>
      <c r="AO1002" s="54"/>
      <c r="AP1002" s="34"/>
      <c r="AQ1002" s="34"/>
      <c r="AR1002" s="54"/>
      <c r="AS1002" s="54"/>
      <c r="AT1002" s="54"/>
      <c r="AU1002" s="54"/>
      <c r="AV1002" s="34"/>
      <c r="AW1002" s="34"/>
      <c r="AX1002" s="34"/>
      <c r="AY1002" s="34"/>
      <c r="AZ1002" s="34"/>
      <c r="BA1002" s="44"/>
      <c r="BB1002" s="34"/>
      <c r="BC1002" s="34"/>
    </row>
    <row r="1003" spans="1:55" x14ac:dyDescent="0.35" ht="15.0" customHeight="true">
      <c r="A1003" s="51"/>
      <c r="B1003" s="34"/>
      <c r="C1003" s="34"/>
      <c r="D1003" s="34"/>
      <c r="E1003" s="34"/>
      <c r="F1003" s="34"/>
      <c r="G1003" s="44"/>
      <c r="H1003" s="34"/>
      <c r="I1003" s="54"/>
      <c r="J1003" s="34"/>
      <c r="K1003" s="54"/>
      <c r="L1003" s="34"/>
      <c r="M1003" s="44"/>
      <c r="N1003" s="44"/>
      <c r="O1003" s="34"/>
      <c r="P1003" s="34"/>
      <c r="Q1003" s="34"/>
      <c r="R1003" s="34"/>
      <c r="V1003" s="44"/>
      <c r="X1003" s="95"/>
      <c r="Y1003" s="54"/>
      <c r="Z1003" s="54"/>
      <c r="AA1003" s="34"/>
      <c r="AB1003" s="34"/>
      <c r="AC1003" s="34"/>
      <c r="AD1003" s="34"/>
      <c r="AE1003" s="34"/>
      <c r="AF1003" s="34"/>
      <c r="AG1003" s="34"/>
      <c r="AH1003" s="34"/>
      <c r="AI1003" s="52"/>
      <c r="AJ1003" s="52"/>
      <c r="AL1003" s="34"/>
      <c r="AM1003" s="34"/>
      <c r="AN1003" s="34"/>
      <c r="AO1003" s="54"/>
      <c r="AP1003" s="34"/>
      <c r="AQ1003" s="34"/>
      <c r="AR1003" s="54"/>
      <c r="AS1003" s="54"/>
      <c r="AT1003" s="54"/>
      <c r="AU1003" s="54"/>
      <c r="AV1003" s="34"/>
      <c r="AW1003" s="34"/>
      <c r="AX1003" s="34"/>
      <c r="AY1003" s="34"/>
      <c r="AZ1003" s="34"/>
      <c r="BA1003" s="44"/>
      <c r="BB1003" s="34"/>
      <c r="BC1003" s="34"/>
    </row>
    <row r="1004" spans="1:55" x14ac:dyDescent="0.35" ht="15.0" customHeight="true">
      <c r="A1004" s="51"/>
      <c r="B1004" s="34"/>
      <c r="C1004" s="34"/>
      <c r="D1004" s="34"/>
      <c r="E1004" s="34"/>
      <c r="F1004" s="34"/>
      <c r="G1004" s="44"/>
      <c r="H1004" s="34"/>
      <c r="I1004" s="54"/>
      <c r="J1004" s="34"/>
      <c r="K1004" s="54"/>
      <c r="L1004" s="34"/>
      <c r="M1004" s="44"/>
      <c r="N1004" s="44"/>
      <c r="O1004" s="34"/>
      <c r="P1004" s="34"/>
      <c r="Q1004" s="34"/>
      <c r="R1004" s="34"/>
      <c r="V1004" s="44"/>
      <c r="X1004" s="95"/>
      <c r="Y1004" s="54"/>
      <c r="Z1004" s="54"/>
      <c r="AA1004" s="34"/>
      <c r="AB1004" s="34"/>
      <c r="AC1004" s="34"/>
      <c r="AD1004" s="34"/>
      <c r="AE1004" s="34"/>
      <c r="AF1004" s="34"/>
      <c r="AG1004" s="34"/>
      <c r="AH1004" s="34"/>
      <c r="AI1004" s="52"/>
      <c r="AJ1004" s="52"/>
      <c r="AL1004" s="34"/>
      <c r="AM1004" s="34"/>
      <c r="AN1004" s="34"/>
      <c r="AO1004" s="54"/>
      <c r="AP1004" s="34"/>
      <c r="AQ1004" s="34"/>
      <c r="AR1004" s="54"/>
      <c r="AS1004" s="54"/>
      <c r="AT1004" s="54"/>
      <c r="AU1004" s="54"/>
      <c r="AV1004" s="34"/>
      <c r="AW1004" s="34"/>
      <c r="AX1004" s="34"/>
      <c r="AY1004" s="34"/>
      <c r="AZ1004" s="34"/>
      <c r="BA1004" s="44"/>
      <c r="BB1004" s="34"/>
      <c r="BC1004" s="34"/>
    </row>
    <row r="1005" spans="1:55" x14ac:dyDescent="0.35" ht="15.0" customHeight="true">
      <c r="A1005" s="51"/>
      <c r="B1005" s="34"/>
      <c r="C1005" s="34"/>
      <c r="D1005" s="34"/>
      <c r="E1005" s="34"/>
      <c r="F1005" s="34"/>
      <c r="G1005" s="44"/>
      <c r="H1005" s="34"/>
      <c r="I1005" s="54"/>
      <c r="J1005" s="34"/>
      <c r="K1005" s="54"/>
      <c r="L1005" s="34"/>
      <c r="M1005" s="44"/>
      <c r="N1005" s="44"/>
      <c r="O1005" s="34"/>
      <c r="P1005" s="34"/>
      <c r="Q1005" s="34"/>
      <c r="R1005" s="34"/>
      <c r="V1005" s="44"/>
      <c r="X1005" s="95"/>
      <c r="Y1005" s="54"/>
      <c r="Z1005" s="54"/>
      <c r="AA1005" s="34"/>
      <c r="AB1005" s="34"/>
      <c r="AC1005" s="34"/>
      <c r="AD1005" s="34"/>
      <c r="AE1005" s="34"/>
      <c r="AF1005" s="34"/>
      <c r="AG1005" s="34"/>
      <c r="AH1005" s="34"/>
      <c r="AI1005" s="52"/>
      <c r="AJ1005" s="52"/>
      <c r="AL1005" s="34"/>
      <c r="AM1005" s="34"/>
      <c r="AN1005" s="34"/>
      <c r="AO1005" s="54"/>
      <c r="AP1005" s="34"/>
      <c r="AQ1005" s="34"/>
      <c r="AR1005" s="54"/>
      <c r="AS1005" s="54"/>
      <c r="AT1005" s="54"/>
      <c r="AU1005" s="54"/>
      <c r="AV1005" s="34"/>
      <c r="AW1005" s="34"/>
      <c r="AX1005" s="34"/>
      <c r="AY1005" s="34"/>
      <c r="AZ1005" s="34"/>
      <c r="BA1005" s="44"/>
      <c r="BB1005" s="34"/>
      <c r="BC1005" s="34"/>
    </row>
    <row r="1006" spans="1:55" x14ac:dyDescent="0.35" ht="15.0" customHeight="true">
      <c r="A1006" s="51"/>
      <c r="B1006" s="34"/>
      <c r="C1006" s="34"/>
      <c r="D1006" s="34"/>
      <c r="E1006" s="34"/>
      <c r="F1006" s="34"/>
      <c r="G1006" s="44"/>
      <c r="H1006" s="34"/>
      <c r="I1006" s="54"/>
      <c r="J1006" s="34"/>
      <c r="K1006" s="54"/>
      <c r="L1006" s="34"/>
      <c r="M1006" s="44"/>
      <c r="N1006" s="44"/>
      <c r="O1006" s="34"/>
      <c r="P1006" s="34"/>
      <c r="Q1006" s="34"/>
      <c r="R1006" s="34"/>
      <c r="V1006" s="44"/>
      <c r="X1006" s="95"/>
      <c r="Y1006" s="54"/>
      <c r="Z1006" s="54"/>
      <c r="AA1006" s="34"/>
      <c r="AB1006" s="34"/>
      <c r="AC1006" s="34"/>
      <c r="AD1006" s="34"/>
      <c r="AE1006" s="34"/>
      <c r="AF1006" s="34"/>
      <c r="AG1006" s="34"/>
      <c r="AH1006" s="34"/>
      <c r="AI1006" s="52"/>
      <c r="AJ1006" s="52"/>
      <c r="AL1006" s="34"/>
      <c r="AM1006" s="34"/>
      <c r="AN1006" s="34"/>
      <c r="AO1006" s="54"/>
      <c r="AP1006" s="34"/>
      <c r="AQ1006" s="34"/>
      <c r="AR1006" s="54"/>
      <c r="AS1006" s="54"/>
      <c r="AT1006" s="54"/>
      <c r="AU1006" s="54"/>
      <c r="AV1006" s="34"/>
      <c r="AW1006" s="34"/>
      <c r="AX1006" s="34"/>
      <c r="AY1006" s="34"/>
      <c r="AZ1006" s="34"/>
      <c r="BA1006" s="44"/>
      <c r="BB1006" s="34"/>
      <c r="BC1006" s="34"/>
    </row>
    <row r="1007" spans="1:55" x14ac:dyDescent="0.35" ht="15.0" customHeight="true">
      <c r="A1007" s="51"/>
      <c r="B1007" s="34"/>
      <c r="C1007" s="34"/>
      <c r="D1007" s="34"/>
      <c r="E1007" s="34"/>
      <c r="F1007" s="34"/>
      <c r="G1007" s="44"/>
      <c r="H1007" s="34"/>
      <c r="I1007" s="54"/>
      <c r="J1007" s="34"/>
      <c r="K1007" s="54"/>
      <c r="L1007" s="34"/>
      <c r="M1007" s="44"/>
      <c r="N1007" s="44"/>
      <c r="O1007" s="34"/>
      <c r="P1007" s="34"/>
      <c r="Q1007" s="34"/>
      <c r="R1007" s="34"/>
      <c r="V1007" s="44"/>
      <c r="X1007" s="95"/>
      <c r="Y1007" s="54"/>
      <c r="Z1007" s="54"/>
      <c r="AA1007" s="34"/>
      <c r="AB1007" s="34"/>
      <c r="AC1007" s="34"/>
      <c r="AD1007" s="34"/>
      <c r="AE1007" s="34"/>
      <c r="AF1007" s="34"/>
      <c r="AG1007" s="34"/>
      <c r="AH1007" s="34"/>
      <c r="AI1007" s="52"/>
      <c r="AJ1007" s="52"/>
      <c r="AL1007" s="34"/>
      <c r="AM1007" s="34"/>
      <c r="AN1007" s="34"/>
      <c r="AO1007" s="54"/>
      <c r="AP1007" s="34"/>
      <c r="AQ1007" s="34"/>
      <c r="AR1007" s="54"/>
      <c r="AS1007" s="54"/>
      <c r="AT1007" s="54"/>
      <c r="AU1007" s="54"/>
      <c r="AV1007" s="34"/>
      <c r="AW1007" s="34"/>
      <c r="AX1007" s="34"/>
      <c r="AY1007" s="34"/>
      <c r="AZ1007" s="34"/>
      <c r="BA1007" s="44"/>
      <c r="BB1007" s="34"/>
      <c r="BC1007" s="34"/>
    </row>
    <row r="1008" spans="1:55" x14ac:dyDescent="0.35" ht="15.0" customHeight="true">
      <c r="A1008" s="51"/>
      <c r="B1008" s="34"/>
      <c r="C1008" s="34"/>
      <c r="D1008" s="34"/>
      <c r="E1008" s="34"/>
      <c r="F1008" s="34"/>
      <c r="G1008" s="44"/>
      <c r="H1008" s="34"/>
      <c r="I1008" s="54"/>
      <c r="J1008" s="34"/>
      <c r="K1008" s="54"/>
      <c r="L1008" s="34"/>
      <c r="M1008" s="44"/>
      <c r="N1008" s="44"/>
      <c r="O1008" s="34"/>
      <c r="P1008" s="34"/>
      <c r="Q1008" s="34"/>
      <c r="R1008" s="34"/>
      <c r="V1008" s="44"/>
      <c r="X1008" s="95"/>
      <c r="Y1008" s="54"/>
      <c r="Z1008" s="54"/>
      <c r="AA1008" s="34"/>
      <c r="AB1008" s="34"/>
      <c r="AC1008" s="34"/>
      <c r="AD1008" s="34"/>
      <c r="AE1008" s="34"/>
      <c r="AF1008" s="34"/>
      <c r="AG1008" s="34"/>
      <c r="AH1008" s="34"/>
      <c r="AI1008" s="52"/>
      <c r="AJ1008" s="52"/>
      <c r="AL1008" s="34"/>
      <c r="AM1008" s="34"/>
      <c r="AN1008" s="34"/>
      <c r="AO1008" s="54"/>
      <c r="AP1008" s="34"/>
      <c r="AQ1008" s="34"/>
      <c r="AR1008" s="54"/>
      <c r="AS1008" s="54"/>
      <c r="AT1008" s="54"/>
      <c r="AU1008" s="54"/>
      <c r="AV1008" s="34"/>
      <c r="AW1008" s="34"/>
      <c r="AX1008" s="34"/>
      <c r="AY1008" s="34"/>
      <c r="AZ1008" s="34"/>
      <c r="BA1008" s="44"/>
      <c r="BB1008" s="34"/>
      <c r="BC1008" s="34"/>
    </row>
    <row r="1009" spans="1:55" x14ac:dyDescent="0.35" ht="15.0" customHeight="true">
      <c r="A1009" s="51"/>
      <c r="B1009" s="34"/>
      <c r="C1009" s="34"/>
      <c r="D1009" s="34"/>
      <c r="E1009" s="34"/>
      <c r="F1009" s="34"/>
      <c r="G1009" s="44"/>
      <c r="H1009" s="34"/>
      <c r="I1009" s="54"/>
      <c r="J1009" s="34"/>
      <c r="K1009" s="54"/>
      <c r="L1009" s="34"/>
      <c r="M1009" s="44"/>
      <c r="N1009" s="44"/>
      <c r="O1009" s="34"/>
      <c r="P1009" s="34"/>
      <c r="Q1009" s="34"/>
      <c r="R1009" s="34"/>
      <c r="V1009" s="44"/>
      <c r="X1009" s="95"/>
      <c r="Y1009" s="54"/>
      <c r="Z1009" s="54"/>
      <c r="AA1009" s="34"/>
      <c r="AB1009" s="34"/>
      <c r="AC1009" s="34"/>
      <c r="AD1009" s="34"/>
      <c r="AE1009" s="34"/>
      <c r="AF1009" s="34"/>
      <c r="AG1009" s="34"/>
      <c r="AH1009" s="34"/>
      <c r="AI1009" s="52"/>
      <c r="AJ1009" s="52"/>
      <c r="AL1009" s="34"/>
      <c r="AM1009" s="34"/>
      <c r="AN1009" s="34"/>
      <c r="AO1009" s="54"/>
      <c r="AP1009" s="34"/>
      <c r="AQ1009" s="34"/>
      <c r="AR1009" s="54"/>
      <c r="AS1009" s="54"/>
      <c r="AT1009" s="54"/>
      <c r="AU1009" s="54"/>
      <c r="AV1009" s="34"/>
      <c r="AW1009" s="34"/>
      <c r="AX1009" s="34"/>
      <c r="AY1009" s="34"/>
      <c r="AZ1009" s="34"/>
      <c r="BA1009" s="44"/>
      <c r="BB1009" s="34"/>
      <c r="BC1009" s="34"/>
    </row>
    <row r="1010" spans="1:55" x14ac:dyDescent="0.35" ht="15.0" customHeight="true">
      <c r="A1010" s="51"/>
      <c r="B1010" s="34"/>
      <c r="C1010" s="34"/>
      <c r="D1010" s="34"/>
      <c r="E1010" s="34"/>
      <c r="F1010" s="34"/>
      <c r="G1010" s="44"/>
      <c r="H1010" s="34"/>
      <c r="I1010" s="54"/>
      <c r="J1010" s="34"/>
      <c r="K1010" s="54"/>
      <c r="L1010" s="34"/>
      <c r="M1010" s="44"/>
      <c r="N1010" s="44"/>
      <c r="O1010" s="34"/>
      <c r="P1010" s="34"/>
      <c r="Q1010" s="34"/>
      <c r="R1010" s="34"/>
      <c r="V1010" s="44"/>
      <c r="X1010" s="95"/>
      <c r="Y1010" s="54"/>
      <c r="Z1010" s="54"/>
      <c r="AA1010" s="34"/>
      <c r="AB1010" s="34"/>
      <c r="AC1010" s="34"/>
      <c r="AD1010" s="34"/>
      <c r="AE1010" s="34"/>
      <c r="AF1010" s="34"/>
      <c r="AG1010" s="34"/>
      <c r="AH1010" s="34"/>
      <c r="AI1010" s="52"/>
      <c r="AJ1010" s="52"/>
      <c r="AL1010" s="34"/>
      <c r="AM1010" s="34"/>
      <c r="AN1010" s="34"/>
      <c r="AO1010" s="54"/>
      <c r="AP1010" s="34"/>
      <c r="AQ1010" s="34"/>
      <c r="AR1010" s="54"/>
      <c r="AS1010" s="54"/>
      <c r="AT1010" s="54"/>
      <c r="AU1010" s="54"/>
      <c r="AV1010" s="34"/>
      <c r="AW1010" s="34"/>
      <c r="AX1010" s="34"/>
      <c r="AY1010" s="34"/>
      <c r="AZ1010" s="34"/>
      <c r="BA1010" s="44"/>
      <c r="BB1010" s="34"/>
      <c r="BC1010" s="34"/>
    </row>
    <row r="1011" spans="1:55" x14ac:dyDescent="0.35" ht="15.0" customHeight="true">
      <c r="A1011" s="51"/>
      <c r="B1011" s="34"/>
      <c r="C1011" s="34"/>
      <c r="D1011" s="34"/>
      <c r="E1011" s="34"/>
      <c r="F1011" s="34"/>
      <c r="G1011" s="44"/>
      <c r="H1011" s="34"/>
      <c r="I1011" s="54"/>
      <c r="J1011" s="34"/>
      <c r="K1011" s="54"/>
      <c r="L1011" s="34"/>
      <c r="M1011" s="44"/>
      <c r="N1011" s="44"/>
      <c r="O1011" s="34"/>
      <c r="P1011" s="34"/>
      <c r="Q1011" s="34"/>
      <c r="R1011" s="34"/>
      <c r="V1011" s="44"/>
      <c r="X1011" s="95"/>
      <c r="Y1011" s="54"/>
      <c r="Z1011" s="54"/>
      <c r="AA1011" s="34"/>
      <c r="AB1011" s="34"/>
      <c r="AC1011" s="34"/>
      <c r="AD1011" s="34"/>
      <c r="AE1011" s="34"/>
      <c r="AF1011" s="34"/>
      <c r="AG1011" s="34"/>
      <c r="AH1011" s="34"/>
      <c r="AI1011" s="52"/>
      <c r="AJ1011" s="52"/>
      <c r="AL1011" s="34"/>
      <c r="AM1011" s="34"/>
      <c r="AN1011" s="34"/>
      <c r="AO1011" s="54"/>
      <c r="AP1011" s="34"/>
      <c r="AQ1011" s="34"/>
      <c r="AR1011" s="54"/>
      <c r="AS1011" s="54"/>
      <c r="AT1011" s="54"/>
      <c r="AU1011" s="54"/>
      <c r="AV1011" s="34"/>
      <c r="AW1011" s="34"/>
      <c r="AX1011" s="34"/>
      <c r="AY1011" s="34"/>
      <c r="AZ1011" s="34"/>
      <c r="BA1011" s="44"/>
      <c r="BB1011" s="34"/>
      <c r="BC1011" s="34"/>
    </row>
    <row r="1012" spans="1:55" x14ac:dyDescent="0.35" ht="15.0" customHeight="true">
      <c r="A1012" s="51"/>
      <c r="B1012" s="34"/>
      <c r="C1012" s="34"/>
      <c r="D1012" s="34"/>
      <c r="E1012" s="34"/>
      <c r="F1012" s="34"/>
      <c r="G1012" s="44"/>
      <c r="H1012" s="34"/>
      <c r="I1012" s="54"/>
      <c r="J1012" s="34"/>
      <c r="K1012" s="54"/>
      <c r="L1012" s="34"/>
      <c r="M1012" s="44"/>
      <c r="N1012" s="44"/>
      <c r="O1012" s="34"/>
      <c r="P1012" s="34"/>
      <c r="Q1012" s="34"/>
      <c r="R1012" s="34"/>
      <c r="V1012" s="44"/>
      <c r="X1012" s="95"/>
      <c r="Y1012" s="54"/>
      <c r="Z1012" s="54"/>
      <c r="AA1012" s="34"/>
      <c r="AB1012" s="34"/>
      <c r="AC1012" s="34"/>
      <c r="AD1012" s="34"/>
      <c r="AE1012" s="34"/>
      <c r="AF1012" s="34"/>
      <c r="AG1012" s="34"/>
      <c r="AH1012" s="34"/>
      <c r="AI1012" s="52"/>
      <c r="AJ1012" s="52"/>
      <c r="AL1012" s="34"/>
      <c r="AM1012" s="34"/>
      <c r="AN1012" s="34"/>
      <c r="AO1012" s="54"/>
      <c r="AP1012" s="34"/>
      <c r="AQ1012" s="34"/>
      <c r="AR1012" s="54"/>
      <c r="AS1012" s="54"/>
      <c r="AT1012" s="54"/>
      <c r="AU1012" s="54"/>
      <c r="AV1012" s="34"/>
      <c r="AW1012" s="34"/>
      <c r="AX1012" s="34"/>
      <c r="AY1012" s="34"/>
      <c r="AZ1012" s="34"/>
      <c r="BA1012" s="44"/>
      <c r="BB1012" s="34"/>
      <c r="BC1012" s="34"/>
    </row>
    <row r="1013" spans="1:55" x14ac:dyDescent="0.35" ht="15.0" customHeight="true">
      <c r="A1013" s="51"/>
      <c r="B1013" s="34"/>
      <c r="C1013" s="34"/>
      <c r="D1013" s="34"/>
      <c r="E1013" s="34"/>
      <c r="F1013" s="34"/>
      <c r="G1013" s="44"/>
      <c r="H1013" s="34"/>
      <c r="I1013" s="54"/>
      <c r="J1013" s="34"/>
      <c r="K1013" s="54"/>
      <c r="L1013" s="34"/>
      <c r="M1013" s="44"/>
      <c r="N1013" s="44"/>
      <c r="O1013" s="34"/>
      <c r="P1013" s="34"/>
      <c r="Q1013" s="34"/>
      <c r="R1013" s="34"/>
      <c r="V1013" s="44"/>
      <c r="X1013" s="95"/>
      <c r="Y1013" s="54"/>
      <c r="Z1013" s="54"/>
      <c r="AA1013" s="34"/>
      <c r="AB1013" s="34"/>
      <c r="AC1013" s="34"/>
      <c r="AD1013" s="34"/>
      <c r="AE1013" s="34"/>
      <c r="AF1013" s="34"/>
      <c r="AG1013" s="34"/>
      <c r="AH1013" s="34"/>
      <c r="AI1013" s="52"/>
      <c r="AJ1013" s="52"/>
      <c r="AL1013" s="34"/>
      <c r="AM1013" s="34"/>
      <c r="AN1013" s="34"/>
      <c r="AO1013" s="54"/>
      <c r="AP1013" s="34"/>
      <c r="AQ1013" s="34"/>
      <c r="AR1013" s="54"/>
      <c r="AS1013" s="54"/>
      <c r="AT1013" s="54"/>
      <c r="AU1013" s="54"/>
      <c r="AV1013" s="34"/>
      <c r="AW1013" s="34"/>
      <c r="AX1013" s="34"/>
      <c r="AY1013" s="34"/>
      <c r="AZ1013" s="34"/>
      <c r="BA1013" s="44"/>
      <c r="BB1013" s="34"/>
      <c r="BC1013" s="34"/>
    </row>
    <row r="1014" spans="1:55" x14ac:dyDescent="0.35" ht="15.0" customHeight="true">
      <c r="A1014" s="51"/>
      <c r="B1014" s="34"/>
      <c r="C1014" s="34"/>
      <c r="D1014" s="34"/>
      <c r="E1014" s="34"/>
      <c r="F1014" s="34"/>
      <c r="G1014" s="44"/>
      <c r="H1014" s="34"/>
      <c r="I1014" s="54"/>
      <c r="J1014" s="34"/>
      <c r="K1014" s="54"/>
      <c r="L1014" s="34"/>
      <c r="M1014" s="44"/>
      <c r="N1014" s="44"/>
      <c r="O1014" s="34"/>
      <c r="P1014" s="34"/>
      <c r="Q1014" s="34"/>
      <c r="R1014" s="34"/>
      <c r="V1014" s="44"/>
      <c r="X1014" s="95"/>
      <c r="Y1014" s="54"/>
      <c r="Z1014" s="54"/>
      <c r="AA1014" s="34"/>
      <c r="AB1014" s="34"/>
      <c r="AC1014" s="34"/>
      <c r="AD1014" s="34"/>
      <c r="AE1014" s="34"/>
      <c r="AF1014" s="34"/>
      <c r="AG1014" s="34"/>
      <c r="AH1014" s="34"/>
      <c r="AI1014" s="52"/>
      <c r="AJ1014" s="52"/>
      <c r="AL1014" s="34"/>
      <c r="AM1014" s="34"/>
      <c r="AN1014" s="34"/>
      <c r="AO1014" s="54"/>
      <c r="AP1014" s="34"/>
      <c r="AQ1014" s="34"/>
      <c r="AR1014" s="54"/>
      <c r="AS1014" s="54"/>
      <c r="AT1014" s="54"/>
      <c r="AU1014" s="54"/>
      <c r="AV1014" s="34"/>
      <c r="AW1014" s="34"/>
      <c r="AX1014" s="34"/>
      <c r="AY1014" s="34"/>
      <c r="AZ1014" s="34"/>
      <c r="BA1014" s="44"/>
      <c r="BB1014" s="34"/>
      <c r="BC1014" s="34"/>
    </row>
    <row r="1015" spans="1:55" x14ac:dyDescent="0.35" ht="15.0" customHeight="true">
      <c r="A1015" s="51"/>
      <c r="B1015" s="34"/>
      <c r="C1015" s="34"/>
      <c r="D1015" s="34"/>
      <c r="E1015" s="34"/>
      <c r="F1015" s="34"/>
      <c r="G1015" s="44"/>
      <c r="H1015" s="34"/>
      <c r="I1015" s="54"/>
      <c r="J1015" s="34"/>
      <c r="K1015" s="54"/>
      <c r="L1015" s="34"/>
      <c r="M1015" s="44"/>
      <c r="N1015" s="44"/>
      <c r="O1015" s="34"/>
      <c r="P1015" s="34"/>
      <c r="Q1015" s="34"/>
      <c r="R1015" s="34"/>
      <c r="V1015" s="44"/>
      <c r="X1015" s="95"/>
      <c r="Y1015" s="54"/>
      <c r="Z1015" s="54"/>
      <c r="AA1015" s="34"/>
      <c r="AB1015" s="34"/>
      <c r="AC1015" s="34"/>
      <c r="AD1015" s="34"/>
      <c r="AE1015" s="34"/>
      <c r="AF1015" s="34"/>
      <c r="AG1015" s="34"/>
      <c r="AH1015" s="34"/>
      <c r="AI1015" s="52"/>
      <c r="AJ1015" s="52"/>
      <c r="AL1015" s="34"/>
      <c r="AM1015" s="34"/>
      <c r="AN1015" s="34"/>
      <c r="AO1015" s="54"/>
      <c r="AP1015" s="34"/>
      <c r="AQ1015" s="34"/>
      <c r="AR1015" s="54"/>
      <c r="AS1015" s="54"/>
      <c r="AT1015" s="54"/>
      <c r="AU1015" s="54"/>
      <c r="AV1015" s="34"/>
      <c r="AW1015" s="34"/>
      <c r="AX1015" s="34"/>
      <c r="AY1015" s="34"/>
      <c r="AZ1015" s="34"/>
      <c r="BA1015" s="44"/>
      <c r="BB1015" s="34"/>
      <c r="BC1015" s="34"/>
    </row>
    <row r="1016" spans="1:55" x14ac:dyDescent="0.35" ht="15.0" customHeight="true">
      <c r="A1016" s="51"/>
      <c r="B1016" s="34"/>
      <c r="C1016" s="34"/>
      <c r="D1016" s="34"/>
      <c r="E1016" s="34"/>
      <c r="F1016" s="34"/>
      <c r="G1016" s="44"/>
      <c r="H1016" s="34"/>
      <c r="I1016" s="54"/>
      <c r="J1016" s="34"/>
      <c r="K1016" s="54"/>
      <c r="L1016" s="34"/>
      <c r="M1016" s="44"/>
      <c r="N1016" s="44"/>
      <c r="O1016" s="34"/>
      <c r="P1016" s="34"/>
      <c r="Q1016" s="34"/>
      <c r="R1016" s="34"/>
      <c r="V1016" s="44"/>
      <c r="X1016" s="95"/>
      <c r="Y1016" s="54"/>
      <c r="Z1016" s="54"/>
      <c r="AA1016" s="34"/>
      <c r="AB1016" s="34"/>
      <c r="AC1016" s="34"/>
      <c r="AD1016" s="34"/>
      <c r="AE1016" s="34"/>
      <c r="AF1016" s="34"/>
      <c r="AG1016" s="34"/>
      <c r="AH1016" s="34"/>
      <c r="AI1016" s="52"/>
      <c r="AJ1016" s="52"/>
      <c r="AL1016" s="34"/>
      <c r="AM1016" s="34"/>
      <c r="AN1016" s="34"/>
      <c r="AO1016" s="54"/>
      <c r="AP1016" s="34"/>
      <c r="AQ1016" s="34"/>
      <c r="AR1016" s="54"/>
      <c r="AS1016" s="54"/>
      <c r="AT1016" s="54"/>
      <c r="AU1016" s="54"/>
      <c r="AV1016" s="34"/>
      <c r="AW1016" s="34"/>
      <c r="AX1016" s="34"/>
      <c r="AY1016" s="34"/>
      <c r="AZ1016" s="34"/>
      <c r="BA1016" s="44"/>
      <c r="BB1016" s="34"/>
      <c r="BC1016" s="34"/>
    </row>
    <row r="1017" spans="1:55" x14ac:dyDescent="0.35" ht="15.0" customHeight="true">
      <c r="A1017" s="51"/>
      <c r="B1017" s="34"/>
      <c r="C1017" s="34"/>
      <c r="D1017" s="34"/>
      <c r="E1017" s="34"/>
      <c r="F1017" s="34"/>
      <c r="G1017" s="44"/>
      <c r="H1017" s="34"/>
      <c r="I1017" s="54"/>
      <c r="J1017" s="34"/>
      <c r="K1017" s="54"/>
      <c r="L1017" s="34"/>
      <c r="M1017" s="44"/>
      <c r="N1017" s="44"/>
      <c r="O1017" s="34"/>
      <c r="P1017" s="34"/>
      <c r="Q1017" s="34"/>
      <c r="R1017" s="34"/>
      <c r="V1017" s="44"/>
      <c r="X1017" s="95"/>
      <c r="Y1017" s="54"/>
      <c r="Z1017" s="54"/>
      <c r="AA1017" s="34"/>
      <c r="AB1017" s="34"/>
      <c r="AC1017" s="34"/>
      <c r="AD1017" s="34"/>
      <c r="AE1017" s="34"/>
      <c r="AF1017" s="34"/>
      <c r="AG1017" s="34"/>
      <c r="AH1017" s="34"/>
      <c r="AI1017" s="52"/>
      <c r="AJ1017" s="52"/>
      <c r="AL1017" s="34"/>
      <c r="AM1017" s="34"/>
      <c r="AN1017" s="34"/>
      <c r="AO1017" s="54"/>
      <c r="AP1017" s="34"/>
      <c r="AQ1017" s="34"/>
      <c r="AR1017" s="54"/>
      <c r="AS1017" s="54"/>
      <c r="AT1017" s="54"/>
      <c r="AU1017" s="54"/>
      <c r="AV1017" s="34"/>
      <c r="AW1017" s="34"/>
      <c r="AX1017" s="34"/>
      <c r="AY1017" s="34"/>
      <c r="AZ1017" s="34"/>
      <c r="BA1017" s="44"/>
      <c r="BB1017" s="34"/>
      <c r="BC1017" s="34"/>
    </row>
    <row r="1018" spans="1:55" x14ac:dyDescent="0.35" ht="15.0" customHeight="true">
      <c r="A1018" s="51"/>
      <c r="B1018" s="34"/>
      <c r="C1018" s="34"/>
      <c r="D1018" s="34"/>
      <c r="E1018" s="34"/>
      <c r="F1018" s="34"/>
      <c r="G1018" s="44"/>
      <c r="H1018" s="34"/>
      <c r="I1018" s="54"/>
      <c r="J1018" s="34"/>
      <c r="K1018" s="54"/>
      <c r="L1018" s="34"/>
      <c r="M1018" s="44"/>
      <c r="N1018" s="44"/>
      <c r="O1018" s="34"/>
      <c r="P1018" s="34"/>
      <c r="Q1018" s="34"/>
      <c r="R1018" s="34"/>
      <c r="V1018" s="44"/>
      <c r="X1018" s="95"/>
      <c r="Y1018" s="54"/>
      <c r="Z1018" s="54"/>
      <c r="AA1018" s="34"/>
      <c r="AB1018" s="34"/>
      <c r="AC1018" s="34"/>
      <c r="AD1018" s="34"/>
      <c r="AE1018" s="34"/>
      <c r="AF1018" s="34"/>
      <c r="AG1018" s="34"/>
      <c r="AH1018" s="34"/>
      <c r="AI1018" s="52"/>
      <c r="AJ1018" s="52"/>
      <c r="AL1018" s="34"/>
      <c r="AM1018" s="34"/>
      <c r="AN1018" s="34"/>
      <c r="AO1018" s="54"/>
      <c r="AP1018" s="34"/>
      <c r="AQ1018" s="34"/>
      <c r="AR1018" s="54"/>
      <c r="AS1018" s="54"/>
      <c r="AT1018" s="54"/>
      <c r="AU1018" s="54"/>
      <c r="AV1018" s="34"/>
      <c r="AW1018" s="34"/>
      <c r="AX1018" s="34"/>
      <c r="AY1018" s="34"/>
      <c r="AZ1018" s="34"/>
      <c r="BA1018" s="44"/>
      <c r="BB1018" s="34"/>
      <c r="BC1018" s="34"/>
    </row>
    <row r="1019" spans="1:55" x14ac:dyDescent="0.35" ht="15.0" customHeight="true">
      <c r="A1019" s="51"/>
      <c r="B1019" s="34"/>
      <c r="C1019" s="34"/>
      <c r="D1019" s="34"/>
      <c r="E1019" s="34"/>
      <c r="F1019" s="34"/>
      <c r="G1019" s="44"/>
      <c r="H1019" s="34"/>
      <c r="I1019" s="54"/>
      <c r="J1019" s="34"/>
      <c r="K1019" s="54"/>
      <c r="L1019" s="34"/>
      <c r="M1019" s="44"/>
      <c r="N1019" s="44"/>
      <c r="O1019" s="34"/>
      <c r="P1019" s="34"/>
      <c r="Q1019" s="34"/>
      <c r="R1019" s="34"/>
      <c r="V1019" s="44"/>
      <c r="X1019" s="95"/>
      <c r="Y1019" s="54"/>
      <c r="Z1019" s="54"/>
      <c r="AA1019" s="34"/>
      <c r="AB1019" s="34"/>
      <c r="AC1019" s="34"/>
      <c r="AD1019" s="34"/>
      <c r="AE1019" s="34"/>
      <c r="AF1019" s="34"/>
      <c r="AG1019" s="34"/>
      <c r="AH1019" s="34"/>
      <c r="AI1019" s="52"/>
      <c r="AJ1019" s="52"/>
      <c r="AL1019" s="34"/>
      <c r="AM1019" s="34"/>
      <c r="AN1019" s="34"/>
      <c r="AO1019" s="54"/>
      <c r="AP1019" s="34"/>
      <c r="AQ1019" s="34"/>
      <c r="AR1019" s="54"/>
      <c r="AS1019" s="54"/>
      <c r="AT1019" s="54"/>
      <c r="AU1019" s="54"/>
      <c r="AV1019" s="34"/>
      <c r="AW1019" s="34"/>
      <c r="AX1019" s="34"/>
      <c r="AY1019" s="34"/>
      <c r="AZ1019" s="34"/>
      <c r="BA1019" s="44"/>
      <c r="BB1019" s="34"/>
      <c r="BC1019" s="34"/>
    </row>
    <row r="1020" spans="1:55" x14ac:dyDescent="0.35" ht="15.0" customHeight="true">
      <c r="A1020" s="51"/>
      <c r="B1020" s="34"/>
      <c r="C1020" s="34"/>
      <c r="D1020" s="34"/>
      <c r="E1020" s="34"/>
      <c r="F1020" s="34"/>
      <c r="G1020" s="44"/>
      <c r="H1020" s="34"/>
      <c r="I1020" s="54"/>
      <c r="J1020" s="34"/>
      <c r="K1020" s="54"/>
      <c r="L1020" s="34"/>
      <c r="M1020" s="44"/>
      <c r="N1020" s="44"/>
      <c r="O1020" s="34"/>
      <c r="P1020" s="34"/>
      <c r="Q1020" s="34"/>
      <c r="R1020" s="34"/>
      <c r="V1020" s="44"/>
      <c r="X1020" s="95"/>
      <c r="Y1020" s="54"/>
      <c r="Z1020" s="54"/>
      <c r="AA1020" s="34"/>
      <c r="AB1020" s="34"/>
      <c r="AC1020" s="34"/>
      <c r="AD1020" s="34"/>
      <c r="AE1020" s="34"/>
      <c r="AF1020" s="34"/>
      <c r="AG1020" s="34"/>
      <c r="AH1020" s="34"/>
      <c r="AI1020" s="52"/>
      <c r="AJ1020" s="52"/>
      <c r="AL1020" s="34"/>
      <c r="AM1020" s="34"/>
      <c r="AN1020" s="34"/>
      <c r="AO1020" s="54"/>
      <c r="AP1020" s="34"/>
      <c r="AQ1020" s="34"/>
      <c r="AR1020" s="54"/>
      <c r="AS1020" s="54"/>
      <c r="AT1020" s="54"/>
      <c r="AU1020" s="54"/>
      <c r="AV1020" s="34"/>
      <c r="AW1020" s="34"/>
      <c r="AX1020" s="34"/>
      <c r="AY1020" s="34"/>
      <c r="AZ1020" s="34"/>
      <c r="BA1020" s="44"/>
      <c r="BB1020" s="34"/>
      <c r="BC1020" s="34"/>
    </row>
    <row r="1021" spans="1:55" x14ac:dyDescent="0.35" ht="15.0" customHeight="true">
      <c r="A1021" s="51"/>
      <c r="B1021" s="34"/>
      <c r="C1021" s="34"/>
      <c r="D1021" s="34"/>
      <c r="E1021" s="34"/>
      <c r="F1021" s="34"/>
      <c r="G1021" s="44"/>
      <c r="H1021" s="34"/>
      <c r="I1021" s="54"/>
      <c r="J1021" s="34"/>
      <c r="K1021" s="54"/>
      <c r="L1021" s="34"/>
      <c r="M1021" s="44"/>
      <c r="N1021" s="44"/>
      <c r="O1021" s="34"/>
      <c r="P1021" s="34"/>
      <c r="Q1021" s="34"/>
      <c r="R1021" s="34"/>
      <c r="V1021" s="44"/>
      <c r="X1021" s="95"/>
      <c r="Y1021" s="54"/>
      <c r="Z1021" s="54"/>
      <c r="AA1021" s="34"/>
      <c r="AB1021" s="34"/>
      <c r="AC1021" s="34"/>
      <c r="AD1021" s="34"/>
      <c r="AE1021" s="34"/>
      <c r="AF1021" s="34"/>
      <c r="AG1021" s="34"/>
      <c r="AH1021" s="34"/>
      <c r="AI1021" s="52"/>
      <c r="AJ1021" s="52"/>
      <c r="AL1021" s="34"/>
      <c r="AM1021" s="34"/>
      <c r="AN1021" s="34"/>
      <c r="AO1021" s="54"/>
      <c r="AP1021" s="34"/>
      <c r="AQ1021" s="34"/>
      <c r="AR1021" s="54"/>
      <c r="AS1021" s="54"/>
      <c r="AT1021" s="54"/>
      <c r="AU1021" s="54"/>
      <c r="AV1021" s="34"/>
      <c r="AW1021" s="34"/>
      <c r="AX1021" s="34"/>
      <c r="AY1021" s="34"/>
      <c r="AZ1021" s="34"/>
      <c r="BA1021" s="44"/>
      <c r="BB1021" s="34"/>
      <c r="BC1021" s="34"/>
    </row>
    <row r="1022" spans="1:55" x14ac:dyDescent="0.35" ht="15.0" customHeight="true">
      <c r="A1022" s="51"/>
      <c r="B1022" s="34"/>
      <c r="C1022" s="34"/>
      <c r="D1022" s="34"/>
      <c r="E1022" s="34"/>
      <c r="F1022" s="34"/>
      <c r="G1022" s="44"/>
      <c r="H1022" s="34"/>
      <c r="I1022" s="54"/>
      <c r="J1022" s="34"/>
      <c r="K1022" s="54"/>
      <c r="L1022" s="34"/>
      <c r="M1022" s="44"/>
      <c r="N1022" s="44"/>
      <c r="O1022" s="34"/>
      <c r="P1022" s="34"/>
      <c r="Q1022" s="34"/>
      <c r="R1022" s="34"/>
      <c r="V1022" s="44"/>
      <c r="X1022" s="95"/>
      <c r="Y1022" s="54"/>
      <c r="Z1022" s="54"/>
      <c r="AA1022" s="34"/>
      <c r="AB1022" s="34"/>
      <c r="AC1022" s="34"/>
      <c r="AD1022" s="34"/>
      <c r="AE1022" s="34"/>
      <c r="AF1022" s="34"/>
      <c r="AG1022" s="34"/>
      <c r="AH1022" s="34"/>
      <c r="AI1022" s="52"/>
      <c r="AJ1022" s="52"/>
      <c r="AL1022" s="34"/>
      <c r="AM1022" s="34"/>
      <c r="AN1022" s="34"/>
      <c r="AO1022" s="54"/>
      <c r="AP1022" s="34"/>
      <c r="AQ1022" s="34"/>
      <c r="AR1022" s="54"/>
      <c r="AS1022" s="54"/>
      <c r="AT1022" s="54"/>
      <c r="AU1022" s="54"/>
      <c r="AV1022" s="34"/>
      <c r="AW1022" s="34"/>
      <c r="AX1022" s="34"/>
      <c r="AY1022" s="34"/>
      <c r="AZ1022" s="34"/>
      <c r="BA1022" s="44"/>
      <c r="BB1022" s="34"/>
      <c r="BC1022" s="34"/>
    </row>
    <row r="1023" spans="1:55" x14ac:dyDescent="0.35" ht="15.0" customHeight="true">
      <c r="A1023" s="51"/>
      <c r="B1023" s="34"/>
      <c r="C1023" s="34"/>
      <c r="D1023" s="34"/>
      <c r="E1023" s="34"/>
      <c r="F1023" s="34"/>
      <c r="G1023" s="44"/>
      <c r="H1023" s="34"/>
      <c r="I1023" s="54"/>
      <c r="J1023" s="34"/>
      <c r="K1023" s="54"/>
      <c r="L1023" s="34"/>
      <c r="M1023" s="44"/>
      <c r="N1023" s="44"/>
      <c r="O1023" s="34"/>
      <c r="P1023" s="34"/>
      <c r="Q1023" s="34"/>
      <c r="R1023" s="34"/>
      <c r="V1023" s="44"/>
      <c r="X1023" s="95"/>
      <c r="Y1023" s="54"/>
      <c r="Z1023" s="54"/>
      <c r="AA1023" s="34"/>
      <c r="AB1023" s="34"/>
      <c r="AC1023" s="34"/>
      <c r="AD1023" s="34"/>
      <c r="AE1023" s="34"/>
      <c r="AF1023" s="34"/>
      <c r="AG1023" s="34"/>
      <c r="AH1023" s="34"/>
      <c r="AI1023" s="52"/>
      <c r="AJ1023" s="52"/>
      <c r="AL1023" s="34"/>
      <c r="AM1023" s="34"/>
      <c r="AN1023" s="34"/>
      <c r="AO1023" s="54"/>
      <c r="AP1023" s="34"/>
      <c r="AQ1023" s="34"/>
      <c r="AR1023" s="54"/>
      <c r="AS1023" s="54"/>
      <c r="AT1023" s="54"/>
      <c r="AU1023" s="54"/>
      <c r="AV1023" s="34"/>
      <c r="AW1023" s="34"/>
      <c r="AX1023" s="34"/>
      <c r="AY1023" s="34"/>
      <c r="AZ1023" s="34"/>
      <c r="BA1023" s="44"/>
      <c r="BB1023" s="34"/>
      <c r="BC1023" s="34"/>
    </row>
    <row r="1024" spans="1:55" x14ac:dyDescent="0.35" ht="15.0" customHeight="true">
      <c r="A1024" s="51"/>
      <c r="B1024" s="34"/>
      <c r="C1024" s="34"/>
      <c r="D1024" s="34"/>
      <c r="E1024" s="34"/>
      <c r="F1024" s="34"/>
      <c r="G1024" s="44"/>
      <c r="H1024" s="34"/>
      <c r="I1024" s="54"/>
      <c r="J1024" s="34"/>
      <c r="K1024" s="54"/>
      <c r="L1024" s="34"/>
      <c r="M1024" s="44"/>
      <c r="N1024" s="44"/>
      <c r="O1024" s="34"/>
      <c r="P1024" s="34"/>
      <c r="Q1024" s="34"/>
      <c r="R1024" s="34"/>
      <c r="V1024" s="44"/>
      <c r="X1024" s="95"/>
      <c r="Y1024" s="54"/>
      <c r="Z1024" s="54"/>
      <c r="AA1024" s="34"/>
      <c r="AB1024" s="34"/>
      <c r="AC1024" s="34"/>
      <c r="AD1024" s="34"/>
      <c r="AE1024" s="34"/>
      <c r="AF1024" s="34"/>
      <c r="AG1024" s="34"/>
      <c r="AH1024" s="34"/>
      <c r="AI1024" s="52"/>
      <c r="AJ1024" s="52"/>
      <c r="AL1024" s="34"/>
      <c r="AM1024" s="34"/>
      <c r="AN1024" s="34"/>
      <c r="AO1024" s="54"/>
      <c r="AP1024" s="34"/>
      <c r="AQ1024" s="34"/>
      <c r="AR1024" s="54"/>
      <c r="AS1024" s="54"/>
      <c r="AT1024" s="54"/>
      <c r="AU1024" s="54"/>
      <c r="AV1024" s="34"/>
      <c r="AW1024" s="34"/>
      <c r="AX1024" s="34"/>
      <c r="AY1024" s="34"/>
      <c r="AZ1024" s="34"/>
      <c r="BA1024" s="44"/>
      <c r="BB1024" s="34"/>
      <c r="BC1024" s="34"/>
    </row>
    <row r="1025" spans="1:55" x14ac:dyDescent="0.35" ht="15.0" customHeight="true">
      <c r="A1025" s="51"/>
      <c r="B1025" s="34"/>
      <c r="C1025" s="34"/>
      <c r="D1025" s="34"/>
      <c r="E1025" s="34"/>
      <c r="F1025" s="34"/>
      <c r="G1025" s="44"/>
      <c r="H1025" s="34"/>
      <c r="I1025" s="54"/>
      <c r="J1025" s="34"/>
      <c r="K1025" s="54"/>
      <c r="L1025" s="34"/>
      <c r="M1025" s="44"/>
      <c r="N1025" s="44"/>
      <c r="O1025" s="34"/>
      <c r="P1025" s="34"/>
      <c r="Q1025" s="34"/>
      <c r="R1025" s="34"/>
      <c r="V1025" s="44"/>
      <c r="X1025" s="95"/>
      <c r="Y1025" s="54"/>
      <c r="Z1025" s="54"/>
      <c r="AA1025" s="34"/>
      <c r="AB1025" s="34"/>
      <c r="AC1025" s="34"/>
      <c r="AD1025" s="34"/>
      <c r="AE1025" s="34"/>
      <c r="AF1025" s="34"/>
      <c r="AG1025" s="34"/>
      <c r="AH1025" s="34"/>
      <c r="AI1025" s="52"/>
      <c r="AJ1025" s="52"/>
      <c r="AL1025" s="34"/>
      <c r="AM1025" s="34"/>
      <c r="AN1025" s="34"/>
      <c r="AO1025" s="54"/>
      <c r="AP1025" s="34"/>
      <c r="AQ1025" s="34"/>
      <c r="AR1025" s="54"/>
      <c r="AS1025" s="54"/>
      <c r="AT1025" s="54"/>
      <c r="AU1025" s="54"/>
      <c r="AV1025" s="34"/>
      <c r="AW1025" s="34"/>
      <c r="AX1025" s="34"/>
      <c r="AY1025" s="34"/>
      <c r="AZ1025" s="34"/>
      <c r="BA1025" s="44"/>
      <c r="BB1025" s="34"/>
      <c r="BC1025" s="34"/>
    </row>
    <row r="1026" spans="1:55" x14ac:dyDescent="0.35" ht="15.0" customHeight="true">
      <c r="A1026" s="51"/>
      <c r="B1026" s="34"/>
      <c r="C1026" s="34"/>
      <c r="D1026" s="34"/>
      <c r="E1026" s="34"/>
      <c r="F1026" s="34"/>
      <c r="G1026" s="44"/>
      <c r="H1026" s="34"/>
      <c r="I1026" s="54"/>
      <c r="J1026" s="34"/>
      <c r="K1026" s="54"/>
      <c r="L1026" s="34"/>
      <c r="M1026" s="44"/>
      <c r="N1026" s="44"/>
      <c r="O1026" s="34"/>
      <c r="P1026" s="34"/>
      <c r="Q1026" s="34"/>
      <c r="R1026" s="34"/>
      <c r="V1026" s="44"/>
      <c r="X1026" s="95"/>
      <c r="Y1026" s="54"/>
      <c r="Z1026" s="54"/>
      <c r="AA1026" s="34"/>
      <c r="AB1026" s="34"/>
      <c r="AC1026" s="34"/>
      <c r="AD1026" s="34"/>
      <c r="AE1026" s="34"/>
      <c r="AF1026" s="34"/>
      <c r="AG1026" s="34"/>
      <c r="AH1026" s="34"/>
      <c r="AI1026" s="52"/>
      <c r="AJ1026" s="52"/>
      <c r="AL1026" s="34"/>
      <c r="AM1026" s="34"/>
      <c r="AN1026" s="34"/>
      <c r="AO1026" s="54"/>
      <c r="AP1026" s="34"/>
      <c r="AQ1026" s="34"/>
      <c r="AR1026" s="54"/>
      <c r="AS1026" s="54"/>
      <c r="AT1026" s="54"/>
      <c r="AU1026" s="54"/>
      <c r="AV1026" s="34"/>
      <c r="AW1026" s="34"/>
      <c r="AX1026" s="34"/>
      <c r="AY1026" s="34"/>
      <c r="AZ1026" s="34"/>
      <c r="BA1026" s="44"/>
      <c r="BB1026" s="34"/>
      <c r="BC1026" s="34"/>
    </row>
    <row r="1027" spans="1:55" x14ac:dyDescent="0.35" ht="15.0" customHeight="true">
      <c r="A1027" s="51"/>
      <c r="B1027" s="34"/>
      <c r="C1027" s="34"/>
      <c r="D1027" s="34"/>
      <c r="E1027" s="34"/>
      <c r="F1027" s="34"/>
      <c r="G1027" s="44"/>
      <c r="H1027" s="34"/>
      <c r="I1027" s="54"/>
      <c r="J1027" s="34"/>
      <c r="K1027" s="54"/>
      <c r="L1027" s="34"/>
      <c r="M1027" s="44"/>
      <c r="N1027" s="44"/>
      <c r="O1027" s="34"/>
      <c r="P1027" s="34"/>
      <c r="Q1027" s="34"/>
      <c r="R1027" s="34"/>
      <c r="V1027" s="44"/>
      <c r="X1027" s="95"/>
      <c r="Y1027" s="54"/>
      <c r="Z1027" s="54"/>
      <c r="AA1027" s="34"/>
      <c r="AB1027" s="34"/>
      <c r="AC1027" s="34"/>
      <c r="AD1027" s="34"/>
      <c r="AE1027" s="34"/>
      <c r="AF1027" s="34"/>
      <c r="AG1027" s="34"/>
      <c r="AH1027" s="34"/>
      <c r="AI1027" s="52"/>
      <c r="AJ1027" s="52"/>
      <c r="AL1027" s="34"/>
      <c r="AM1027" s="34"/>
      <c r="AN1027" s="34"/>
      <c r="AO1027" s="54"/>
      <c r="AP1027" s="34"/>
      <c r="AQ1027" s="34"/>
      <c r="AR1027" s="54"/>
      <c r="AS1027" s="54"/>
      <c r="AT1027" s="54"/>
      <c r="AU1027" s="54"/>
      <c r="AV1027" s="34"/>
      <c r="AW1027" s="34"/>
      <c r="AX1027" s="34"/>
      <c r="AY1027" s="34"/>
      <c r="AZ1027" s="34"/>
      <c r="BA1027" s="44"/>
      <c r="BB1027" s="34"/>
      <c r="BC1027" s="34"/>
    </row>
    <row r="1028" spans="1:55" x14ac:dyDescent="0.35" ht="15.0" customHeight="true">
      <c r="A1028" s="51"/>
      <c r="B1028" s="34"/>
      <c r="C1028" s="34"/>
      <c r="D1028" s="34"/>
      <c r="E1028" s="34"/>
      <c r="F1028" s="34"/>
      <c r="G1028" s="44"/>
      <c r="H1028" s="34"/>
      <c r="I1028" s="54"/>
      <c r="J1028" s="34"/>
      <c r="K1028" s="54"/>
      <c r="L1028" s="34"/>
      <c r="M1028" s="44"/>
      <c r="N1028" s="44"/>
      <c r="O1028" s="34"/>
      <c r="P1028" s="34"/>
      <c r="Q1028" s="34"/>
      <c r="R1028" s="34"/>
      <c r="V1028" s="44"/>
      <c r="X1028" s="95"/>
      <c r="Y1028" s="54"/>
      <c r="Z1028" s="54"/>
      <c r="AA1028" s="34"/>
      <c r="AB1028" s="34"/>
      <c r="AC1028" s="34"/>
      <c r="AD1028" s="34"/>
      <c r="AE1028" s="34"/>
      <c r="AF1028" s="34"/>
      <c r="AG1028" s="34"/>
      <c r="AH1028" s="34"/>
      <c r="AI1028" s="52"/>
      <c r="AJ1028" s="52"/>
      <c r="AL1028" s="34"/>
      <c r="AM1028" s="34"/>
      <c r="AN1028" s="34"/>
      <c r="AO1028" s="54"/>
      <c r="AP1028" s="34"/>
      <c r="AQ1028" s="34"/>
      <c r="AR1028" s="54"/>
      <c r="AS1028" s="54"/>
      <c r="AT1028" s="54"/>
      <c r="AU1028" s="54"/>
      <c r="AV1028" s="34"/>
      <c r="AW1028" s="34"/>
      <c r="AX1028" s="34"/>
      <c r="AY1028" s="34"/>
      <c r="AZ1028" s="34"/>
      <c r="BA1028" s="44"/>
      <c r="BB1028" s="34"/>
      <c r="BC1028" s="34"/>
    </row>
    <row r="1029" spans="1:55" x14ac:dyDescent="0.35" ht="15.0" customHeight="true">
      <c r="A1029" s="51"/>
      <c r="B1029" s="34"/>
      <c r="C1029" s="34"/>
      <c r="D1029" s="34"/>
      <c r="E1029" s="34"/>
      <c r="F1029" s="34"/>
      <c r="G1029" s="44"/>
      <c r="H1029" s="34"/>
      <c r="I1029" s="54"/>
      <c r="J1029" s="34"/>
      <c r="K1029" s="54"/>
      <c r="L1029" s="34"/>
      <c r="M1029" s="44"/>
      <c r="N1029" s="44"/>
      <c r="O1029" s="34"/>
      <c r="P1029" s="34"/>
      <c r="Q1029" s="34"/>
      <c r="R1029" s="34"/>
      <c r="V1029" s="44"/>
      <c r="X1029" s="95"/>
      <c r="Y1029" s="54"/>
      <c r="Z1029" s="54"/>
      <c r="AA1029" s="34"/>
      <c r="AB1029" s="34"/>
      <c r="AC1029" s="34"/>
      <c r="AD1029" s="34"/>
      <c r="AE1029" s="34"/>
      <c r="AF1029" s="34"/>
      <c r="AG1029" s="34"/>
      <c r="AH1029" s="34"/>
      <c r="AI1029" s="52"/>
      <c r="AJ1029" s="52"/>
      <c r="AL1029" s="34"/>
      <c r="AM1029" s="34"/>
      <c r="AN1029" s="34"/>
      <c r="AO1029" s="54"/>
      <c r="AP1029" s="34"/>
      <c r="AQ1029" s="34"/>
      <c r="AR1029" s="54"/>
      <c r="AS1029" s="54"/>
      <c r="AT1029" s="54"/>
      <c r="AU1029" s="54"/>
      <c r="AV1029" s="34"/>
      <c r="AW1029" s="34"/>
      <c r="AX1029" s="34"/>
      <c r="AY1029" s="34"/>
      <c r="AZ1029" s="34"/>
      <c r="BA1029" s="44"/>
      <c r="BB1029" s="34"/>
      <c r="BC1029" s="34"/>
    </row>
    <row r="1030" spans="1:55" x14ac:dyDescent="0.35" ht="15.0" customHeight="true">
      <c r="A1030" s="51"/>
      <c r="B1030" s="34"/>
      <c r="C1030" s="34"/>
      <c r="D1030" s="34"/>
      <c r="E1030" s="34"/>
      <c r="F1030" s="34"/>
      <c r="G1030" s="44"/>
      <c r="H1030" s="34"/>
      <c r="I1030" s="54"/>
      <c r="J1030" s="34"/>
      <c r="K1030" s="54"/>
      <c r="L1030" s="34"/>
      <c r="M1030" s="44"/>
      <c r="N1030" s="44"/>
      <c r="O1030" s="34"/>
      <c r="P1030" s="34"/>
      <c r="Q1030" s="34"/>
      <c r="R1030" s="34"/>
      <c r="V1030" s="44"/>
      <c r="X1030" s="95"/>
      <c r="Y1030" s="54"/>
      <c r="Z1030" s="54"/>
      <c r="AA1030" s="34"/>
      <c r="AB1030" s="34"/>
      <c r="AC1030" s="34"/>
      <c r="AD1030" s="34"/>
      <c r="AE1030" s="34"/>
      <c r="AF1030" s="34"/>
      <c r="AG1030" s="34"/>
      <c r="AH1030" s="34"/>
      <c r="AI1030" s="52"/>
      <c r="AJ1030" s="52"/>
      <c r="AL1030" s="34"/>
      <c r="AM1030" s="34"/>
      <c r="AN1030" s="34"/>
      <c r="AO1030" s="54"/>
      <c r="AP1030" s="34"/>
      <c r="AQ1030" s="34"/>
      <c r="AR1030" s="54"/>
      <c r="AS1030" s="54"/>
      <c r="AT1030" s="54"/>
      <c r="AU1030" s="54"/>
      <c r="AV1030" s="34"/>
      <c r="AW1030" s="34"/>
      <c r="AX1030" s="34"/>
      <c r="AY1030" s="34"/>
      <c r="AZ1030" s="34"/>
      <c r="BA1030" s="44"/>
      <c r="BB1030" s="34"/>
      <c r="BC1030" s="34"/>
    </row>
    <row r="1031" spans="1:55" x14ac:dyDescent="0.35" ht="15.0" customHeight="true">
      <c r="A1031" s="51"/>
      <c r="B1031" s="34"/>
      <c r="C1031" s="34"/>
      <c r="D1031" s="34"/>
      <c r="E1031" s="34"/>
      <c r="F1031" s="34"/>
      <c r="G1031" s="44"/>
      <c r="H1031" s="34"/>
      <c r="I1031" s="54"/>
      <c r="J1031" s="34"/>
      <c r="K1031" s="54"/>
      <c r="L1031" s="34"/>
      <c r="M1031" s="44"/>
      <c r="N1031" s="44"/>
      <c r="O1031" s="34"/>
      <c r="P1031" s="34"/>
      <c r="Q1031" s="34"/>
      <c r="R1031" s="34"/>
      <c r="V1031" s="44"/>
      <c r="X1031" s="95"/>
      <c r="Y1031" s="54"/>
      <c r="Z1031" s="54"/>
      <c r="AA1031" s="34"/>
      <c r="AB1031" s="34"/>
      <c r="AC1031" s="34"/>
      <c r="AD1031" s="34"/>
      <c r="AE1031" s="34"/>
      <c r="AF1031" s="34"/>
      <c r="AG1031" s="34"/>
      <c r="AH1031" s="34"/>
      <c r="AI1031" s="52"/>
      <c r="AJ1031" s="52"/>
      <c r="AL1031" s="34"/>
      <c r="AM1031" s="34"/>
      <c r="AN1031" s="34"/>
      <c r="AO1031" s="54"/>
      <c r="AP1031" s="34"/>
      <c r="AQ1031" s="34"/>
      <c r="AR1031" s="54"/>
      <c r="AS1031" s="54"/>
      <c r="AT1031" s="54"/>
      <c r="AU1031" s="54"/>
      <c r="AV1031" s="34"/>
      <c r="AW1031" s="34"/>
      <c r="AX1031" s="34"/>
      <c r="AY1031" s="34"/>
      <c r="AZ1031" s="34"/>
      <c r="BA1031" s="44"/>
      <c r="BB1031" s="34"/>
      <c r="BC1031" s="34"/>
    </row>
    <row r="1032" spans="1:55" x14ac:dyDescent="0.35" ht="15.0" customHeight="true">
      <c r="A1032" s="51"/>
      <c r="B1032" s="34"/>
      <c r="C1032" s="34"/>
      <c r="D1032" s="34"/>
      <c r="E1032" s="34"/>
      <c r="F1032" s="34"/>
      <c r="G1032" s="44"/>
      <c r="H1032" s="34"/>
      <c r="I1032" s="54"/>
      <c r="J1032" s="34"/>
      <c r="K1032" s="54"/>
      <c r="L1032" s="34"/>
      <c r="M1032" s="44"/>
      <c r="N1032" s="44"/>
      <c r="O1032" s="34"/>
      <c r="P1032" s="34"/>
      <c r="Q1032" s="34"/>
      <c r="R1032" s="34"/>
      <c r="V1032" s="44"/>
      <c r="X1032" s="95"/>
      <c r="Y1032" s="54"/>
      <c r="Z1032" s="54"/>
      <c r="AA1032" s="34"/>
      <c r="AB1032" s="34"/>
      <c r="AC1032" s="34"/>
      <c r="AD1032" s="34"/>
      <c r="AE1032" s="34"/>
      <c r="AF1032" s="34"/>
      <c r="AG1032" s="34"/>
      <c r="AH1032" s="34"/>
      <c r="AI1032" s="52"/>
      <c r="AJ1032" s="52"/>
      <c r="AL1032" s="34"/>
      <c r="AM1032" s="34"/>
      <c r="AN1032" s="34"/>
      <c r="AO1032" s="54"/>
      <c r="AP1032" s="34"/>
      <c r="AQ1032" s="34"/>
      <c r="AR1032" s="54"/>
      <c r="AS1032" s="54"/>
      <c r="AT1032" s="54"/>
      <c r="AU1032" s="54"/>
      <c r="AV1032" s="34"/>
      <c r="AW1032" s="34"/>
      <c r="AX1032" s="34"/>
      <c r="AY1032" s="34"/>
      <c r="AZ1032" s="34"/>
      <c r="BA1032" s="44"/>
      <c r="BB1032" s="34"/>
      <c r="BC1032" s="34"/>
    </row>
    <row r="1033" spans="1:55" x14ac:dyDescent="0.35" ht="15.0" customHeight="true">
      <c r="A1033" s="51"/>
      <c r="B1033" s="34"/>
      <c r="C1033" s="34"/>
      <c r="D1033" s="34"/>
      <c r="E1033" s="34"/>
      <c r="F1033" s="34"/>
      <c r="G1033" s="44"/>
      <c r="H1033" s="34"/>
      <c r="I1033" s="54"/>
      <c r="J1033" s="34"/>
      <c r="K1033" s="54"/>
      <c r="L1033" s="34"/>
      <c r="M1033" s="44"/>
      <c r="N1033" s="44"/>
      <c r="O1033" s="34"/>
      <c r="P1033" s="34"/>
      <c r="Q1033" s="34"/>
      <c r="R1033" s="34"/>
      <c r="V1033" s="44"/>
      <c r="X1033" s="95"/>
      <c r="Y1033" s="54"/>
      <c r="Z1033" s="54"/>
      <c r="AA1033" s="34"/>
      <c r="AB1033" s="34"/>
      <c r="AC1033" s="34"/>
      <c r="AD1033" s="34"/>
      <c r="AE1033" s="34"/>
      <c r="AF1033" s="34"/>
      <c r="AG1033" s="34"/>
      <c r="AH1033" s="34"/>
      <c r="AI1033" s="52"/>
      <c r="AJ1033" s="52"/>
      <c r="AL1033" s="34"/>
      <c r="AM1033" s="34"/>
      <c r="AN1033" s="34"/>
      <c r="AO1033" s="54"/>
      <c r="AP1033" s="34"/>
      <c r="AQ1033" s="34"/>
      <c r="AR1033" s="54"/>
      <c r="AS1033" s="54"/>
      <c r="AT1033" s="54"/>
      <c r="AU1033" s="54"/>
      <c r="AV1033" s="34"/>
      <c r="AW1033" s="34"/>
      <c r="AX1033" s="34"/>
      <c r="AY1033" s="34"/>
      <c r="AZ1033" s="34"/>
      <c r="BA1033" s="44"/>
      <c r="BB1033" s="34"/>
      <c r="BC1033" s="34"/>
    </row>
    <row r="1034" spans="1:55" x14ac:dyDescent="0.35" ht="15.0" customHeight="true">
      <c r="A1034" s="51"/>
      <c r="B1034" s="34"/>
      <c r="C1034" s="34"/>
      <c r="D1034" s="34"/>
      <c r="E1034" s="34"/>
      <c r="F1034" s="34"/>
      <c r="G1034" s="44"/>
      <c r="H1034" s="34"/>
      <c r="I1034" s="54"/>
      <c r="J1034" s="34"/>
      <c r="K1034" s="54"/>
      <c r="L1034" s="34"/>
      <c r="M1034" s="44"/>
      <c r="N1034" s="44"/>
      <c r="O1034" s="34"/>
      <c r="P1034" s="34"/>
      <c r="Q1034" s="34"/>
      <c r="R1034" s="34"/>
      <c r="V1034" s="44"/>
      <c r="X1034" s="95"/>
      <c r="Y1034" s="54"/>
      <c r="Z1034" s="54"/>
      <c r="AA1034" s="34"/>
      <c r="AB1034" s="34"/>
      <c r="AC1034" s="34"/>
      <c r="AD1034" s="34"/>
      <c r="AE1034" s="34"/>
      <c r="AF1034" s="34"/>
      <c r="AG1034" s="34"/>
      <c r="AH1034" s="34"/>
      <c r="AI1034" s="52"/>
      <c r="AJ1034" s="52"/>
      <c r="AL1034" s="34"/>
      <c r="AM1034" s="34"/>
      <c r="AN1034" s="34"/>
      <c r="AO1034" s="54"/>
      <c r="AP1034" s="34"/>
      <c r="AQ1034" s="34"/>
      <c r="AR1034" s="54"/>
      <c r="AS1034" s="54"/>
      <c r="AT1034" s="54"/>
      <c r="AU1034" s="54"/>
      <c r="AV1034" s="34"/>
      <c r="AW1034" s="34"/>
      <c r="AX1034" s="34"/>
      <c r="AY1034" s="34"/>
      <c r="AZ1034" s="34"/>
      <c r="BA1034" s="44"/>
      <c r="BB1034" s="34"/>
      <c r="BC1034" s="34"/>
    </row>
    <row r="1035" spans="1:55" x14ac:dyDescent="0.35" ht="15.0" customHeight="true">
      <c r="A1035" s="51"/>
      <c r="B1035" s="34"/>
      <c r="C1035" s="34"/>
      <c r="D1035" s="34"/>
      <c r="E1035" s="34"/>
      <c r="F1035" s="34"/>
      <c r="G1035" s="44"/>
      <c r="H1035" s="34"/>
      <c r="I1035" s="54"/>
      <c r="J1035" s="34"/>
      <c r="K1035" s="54"/>
      <c r="L1035" s="34"/>
      <c r="M1035" s="44"/>
      <c r="N1035" s="44"/>
      <c r="O1035" s="34"/>
      <c r="P1035" s="34"/>
      <c r="Q1035" s="34"/>
      <c r="R1035" s="34"/>
      <c r="V1035" s="44"/>
      <c r="X1035" s="95"/>
      <c r="Y1035" s="54"/>
      <c r="Z1035" s="54"/>
      <c r="AA1035" s="34"/>
      <c r="AB1035" s="34"/>
      <c r="AC1035" s="34"/>
      <c r="AD1035" s="34"/>
      <c r="AE1035" s="34"/>
      <c r="AF1035" s="34"/>
      <c r="AG1035" s="34"/>
      <c r="AH1035" s="34"/>
      <c r="AI1035" s="52"/>
      <c r="AJ1035" s="52"/>
      <c r="AL1035" s="34"/>
      <c r="AM1035" s="34"/>
      <c r="AN1035" s="34"/>
      <c r="AO1035" s="54"/>
      <c r="AP1035" s="34"/>
      <c r="AQ1035" s="34"/>
      <c r="AR1035" s="54"/>
      <c r="AS1035" s="54"/>
      <c r="AT1035" s="54"/>
      <c r="AU1035" s="54"/>
      <c r="AV1035" s="34"/>
      <c r="AW1035" s="34"/>
      <c r="AX1035" s="34"/>
      <c r="AY1035" s="34"/>
      <c r="AZ1035" s="34"/>
      <c r="BA1035" s="44"/>
      <c r="BB1035" s="34"/>
      <c r="BC1035" s="34"/>
    </row>
    <row r="1036" spans="1:55" x14ac:dyDescent="0.35" ht="15.0" customHeight="true">
      <c r="A1036" s="51"/>
      <c r="B1036" s="34"/>
      <c r="C1036" s="34"/>
      <c r="D1036" s="34"/>
      <c r="E1036" s="34"/>
      <c r="F1036" s="34"/>
      <c r="G1036" s="44"/>
      <c r="H1036" s="34"/>
      <c r="I1036" s="54"/>
      <c r="J1036" s="34"/>
      <c r="K1036" s="54"/>
      <c r="L1036" s="34"/>
      <c r="M1036" s="44"/>
      <c r="N1036" s="44"/>
      <c r="O1036" s="34"/>
      <c r="P1036" s="34"/>
      <c r="Q1036" s="34"/>
      <c r="R1036" s="34"/>
      <c r="V1036" s="44"/>
      <c r="X1036" s="95"/>
      <c r="Y1036" s="54"/>
      <c r="Z1036" s="54"/>
      <c r="AA1036" s="34"/>
      <c r="AB1036" s="34"/>
      <c r="AC1036" s="34"/>
      <c r="AD1036" s="34"/>
      <c r="AE1036" s="34"/>
      <c r="AF1036" s="34"/>
      <c r="AG1036" s="34"/>
      <c r="AH1036" s="34"/>
      <c r="AI1036" s="52"/>
      <c r="AJ1036" s="52"/>
      <c r="AL1036" s="34"/>
      <c r="AM1036" s="34"/>
      <c r="AN1036" s="34"/>
      <c r="AO1036" s="54"/>
      <c r="AP1036" s="34"/>
      <c r="AQ1036" s="34"/>
      <c r="AR1036" s="54"/>
      <c r="AS1036" s="54"/>
      <c r="AT1036" s="54"/>
      <c r="AU1036" s="54"/>
      <c r="AV1036" s="34"/>
      <c r="AW1036" s="34"/>
      <c r="AX1036" s="34"/>
      <c r="AY1036" s="34"/>
      <c r="AZ1036" s="34"/>
      <c r="BA1036" s="44"/>
      <c r="BB1036" s="34"/>
      <c r="BC1036" s="34"/>
    </row>
    <row r="1037" spans="1:55" x14ac:dyDescent="0.35" ht="15.0" customHeight="true">
      <c r="A1037" s="51"/>
      <c r="B1037" s="34"/>
      <c r="C1037" s="34"/>
      <c r="D1037" s="34"/>
      <c r="E1037" s="34"/>
      <c r="F1037" s="34"/>
      <c r="G1037" s="44"/>
      <c r="H1037" s="34"/>
      <c r="I1037" s="54"/>
      <c r="J1037" s="34"/>
      <c r="K1037" s="54"/>
      <c r="L1037" s="34"/>
      <c r="M1037" s="44"/>
      <c r="N1037" s="44"/>
      <c r="O1037" s="34"/>
      <c r="P1037" s="34"/>
      <c r="Q1037" s="34"/>
      <c r="R1037" s="34"/>
      <c r="V1037" s="44"/>
      <c r="X1037" s="95"/>
      <c r="Y1037" s="54"/>
      <c r="Z1037" s="54"/>
      <c r="AA1037" s="34"/>
      <c r="AB1037" s="34"/>
      <c r="AC1037" s="34"/>
      <c r="AD1037" s="34"/>
      <c r="AE1037" s="34"/>
      <c r="AF1037" s="34"/>
      <c r="AG1037" s="34"/>
      <c r="AH1037" s="34"/>
      <c r="AI1037" s="52"/>
      <c r="AJ1037" s="52"/>
      <c r="AL1037" s="34"/>
      <c r="AM1037" s="34"/>
      <c r="AN1037" s="34"/>
      <c r="AO1037" s="54"/>
      <c r="AP1037" s="34"/>
      <c r="AQ1037" s="34"/>
      <c r="AR1037" s="54"/>
      <c r="AS1037" s="54"/>
      <c r="AT1037" s="54"/>
      <c r="AU1037" s="54"/>
      <c r="AV1037" s="34"/>
      <c r="AW1037" s="34"/>
      <c r="AX1037" s="34"/>
      <c r="AY1037" s="34"/>
      <c r="AZ1037" s="34"/>
      <c r="BA1037" s="44"/>
      <c r="BB1037" s="34"/>
      <c r="BC1037" s="34"/>
    </row>
    <row r="1038" spans="1:55" x14ac:dyDescent="0.35" ht="15.0" customHeight="true">
      <c r="A1038" s="51"/>
      <c r="B1038" s="34"/>
      <c r="C1038" s="34"/>
      <c r="D1038" s="34"/>
      <c r="E1038" s="34"/>
      <c r="F1038" s="34"/>
      <c r="G1038" s="44"/>
      <c r="H1038" s="34"/>
      <c r="I1038" s="54"/>
      <c r="J1038" s="34"/>
      <c r="K1038" s="54"/>
      <c r="L1038" s="34"/>
      <c r="M1038" s="44"/>
      <c r="N1038" s="44"/>
      <c r="O1038" s="34"/>
      <c r="P1038" s="34"/>
      <c r="Q1038" s="34"/>
      <c r="R1038" s="34"/>
      <c r="V1038" s="44"/>
      <c r="X1038" s="95"/>
      <c r="Y1038" s="54"/>
      <c r="Z1038" s="54"/>
      <c r="AA1038" s="34"/>
      <c r="AB1038" s="34"/>
      <c r="AC1038" s="34"/>
      <c r="AD1038" s="34"/>
      <c r="AE1038" s="34"/>
      <c r="AF1038" s="34"/>
      <c r="AG1038" s="34"/>
      <c r="AH1038" s="34"/>
      <c r="AI1038" s="52"/>
      <c r="AJ1038" s="52"/>
      <c r="AL1038" s="34"/>
      <c r="AM1038" s="34"/>
      <c r="AN1038" s="34"/>
      <c r="AO1038" s="54"/>
      <c r="AP1038" s="34"/>
      <c r="AQ1038" s="34"/>
      <c r="AR1038" s="54"/>
      <c r="AS1038" s="54"/>
      <c r="AT1038" s="54"/>
      <c r="AU1038" s="54"/>
      <c r="AV1038" s="34"/>
      <c r="AW1038" s="34"/>
      <c r="AX1038" s="34"/>
      <c r="AY1038" s="34"/>
      <c r="AZ1038" s="34"/>
      <c r="BA1038" s="44"/>
      <c r="BB1038" s="34"/>
      <c r="BC1038" s="34"/>
    </row>
    <row r="1039" spans="1:55" x14ac:dyDescent="0.35" ht="15.0" customHeight="true">
      <c r="A1039" s="51"/>
      <c r="B1039" s="34"/>
      <c r="C1039" s="34"/>
      <c r="D1039" s="34"/>
      <c r="E1039" s="34"/>
      <c r="F1039" s="34"/>
      <c r="G1039" s="44"/>
      <c r="H1039" s="34"/>
      <c r="I1039" s="54"/>
      <c r="J1039" s="34"/>
      <c r="K1039" s="54"/>
      <c r="L1039" s="34"/>
      <c r="M1039" s="44"/>
      <c r="N1039" s="44"/>
      <c r="O1039" s="34"/>
      <c r="P1039" s="34"/>
      <c r="Q1039" s="34"/>
      <c r="R1039" s="34"/>
      <c r="V1039" s="44"/>
      <c r="X1039" s="95"/>
      <c r="Y1039" s="54"/>
      <c r="Z1039" s="54"/>
      <c r="AA1039" s="34"/>
      <c r="AB1039" s="34"/>
      <c r="AC1039" s="34"/>
      <c r="AD1039" s="34"/>
      <c r="AE1039" s="34"/>
      <c r="AF1039" s="34"/>
      <c r="AG1039" s="34"/>
      <c r="AH1039" s="34"/>
      <c r="AI1039" s="52"/>
      <c r="AJ1039" s="52"/>
      <c r="AL1039" s="34"/>
      <c r="AM1039" s="34"/>
      <c r="AN1039" s="34"/>
      <c r="AO1039" s="54"/>
      <c r="AP1039" s="34"/>
      <c r="AQ1039" s="34"/>
      <c r="AR1039" s="54"/>
      <c r="AS1039" s="54"/>
      <c r="AT1039" s="54"/>
      <c r="AU1039" s="54"/>
      <c r="AV1039" s="34"/>
      <c r="AW1039" s="34"/>
      <c r="AX1039" s="34"/>
      <c r="AY1039" s="34"/>
      <c r="AZ1039" s="34"/>
      <c r="BA1039" s="44"/>
      <c r="BB1039" s="34"/>
      <c r="BC1039" s="34"/>
    </row>
    <row r="1040" spans="1:55" x14ac:dyDescent="0.35" ht="15.0" customHeight="true">
      <c r="A1040" s="51"/>
      <c r="B1040" s="34"/>
      <c r="C1040" s="34"/>
      <c r="D1040" s="34"/>
      <c r="E1040" s="34"/>
      <c r="F1040" s="34"/>
      <c r="G1040" s="44"/>
      <c r="H1040" s="34"/>
      <c r="I1040" s="54"/>
      <c r="J1040" s="34"/>
      <c r="K1040" s="54"/>
      <c r="L1040" s="34"/>
      <c r="M1040" s="44"/>
      <c r="N1040" s="44"/>
      <c r="O1040" s="34"/>
      <c r="P1040" s="34"/>
      <c r="Q1040" s="34"/>
      <c r="R1040" s="34"/>
      <c r="V1040" s="44"/>
      <c r="X1040" s="95"/>
      <c r="Y1040" s="54"/>
      <c r="Z1040" s="54"/>
      <c r="AA1040" s="34"/>
      <c r="AB1040" s="34"/>
      <c r="AC1040" s="34"/>
      <c r="AD1040" s="34"/>
      <c r="AE1040" s="34"/>
      <c r="AF1040" s="34"/>
      <c r="AG1040" s="34"/>
      <c r="AH1040" s="34"/>
      <c r="AI1040" s="52"/>
      <c r="AJ1040" s="52"/>
      <c r="AL1040" s="34"/>
      <c r="AM1040" s="34"/>
      <c r="AN1040" s="34"/>
      <c r="AO1040" s="54"/>
      <c r="AP1040" s="34"/>
      <c r="AQ1040" s="34"/>
      <c r="AR1040" s="54"/>
      <c r="AS1040" s="54"/>
      <c r="AT1040" s="54"/>
      <c r="AU1040" s="54"/>
      <c r="AV1040" s="34"/>
      <c r="AW1040" s="34"/>
      <c r="AX1040" s="34"/>
      <c r="AY1040" s="34"/>
      <c r="AZ1040" s="34"/>
      <c r="BA1040" s="44"/>
      <c r="BB1040" s="34"/>
      <c r="BC1040" s="34"/>
    </row>
    <row r="1041" spans="1:55" x14ac:dyDescent="0.35" ht="15.0" customHeight="true">
      <c r="A1041" s="51"/>
      <c r="B1041" s="34"/>
      <c r="C1041" s="34"/>
      <c r="D1041" s="34"/>
      <c r="E1041" s="34"/>
      <c r="F1041" s="34"/>
      <c r="G1041" s="44"/>
      <c r="H1041" s="34"/>
      <c r="I1041" s="54"/>
      <c r="J1041" s="34"/>
      <c r="K1041" s="54"/>
      <c r="L1041" s="34"/>
      <c r="M1041" s="44"/>
      <c r="N1041" s="44"/>
      <c r="O1041" s="34"/>
      <c r="P1041" s="34"/>
      <c r="Q1041" s="34"/>
      <c r="R1041" s="34"/>
      <c r="V1041" s="44"/>
      <c r="X1041" s="95"/>
      <c r="Y1041" s="54"/>
      <c r="Z1041" s="54"/>
      <c r="AA1041" s="34"/>
      <c r="AB1041" s="34"/>
      <c r="AC1041" s="34"/>
      <c r="AD1041" s="34"/>
      <c r="AE1041" s="34"/>
      <c r="AF1041" s="34"/>
      <c r="AG1041" s="34"/>
      <c r="AH1041" s="34"/>
      <c r="AI1041" s="52"/>
      <c r="AJ1041" s="52"/>
      <c r="AL1041" s="34"/>
      <c r="AM1041" s="34"/>
      <c r="AN1041" s="34"/>
      <c r="AO1041" s="54"/>
      <c r="AP1041" s="34"/>
      <c r="AQ1041" s="34"/>
      <c r="AR1041" s="54"/>
      <c r="AS1041" s="54"/>
      <c r="AT1041" s="54"/>
      <c r="AU1041" s="54"/>
      <c r="AV1041" s="34"/>
      <c r="AW1041" s="34"/>
      <c r="AX1041" s="34"/>
      <c r="AY1041" s="34"/>
      <c r="AZ1041" s="34"/>
      <c r="BA1041" s="44"/>
      <c r="BB1041" s="34"/>
      <c r="BC1041" s="34"/>
    </row>
    <row r="1042" spans="1:55" x14ac:dyDescent="0.35" ht="15.0" customHeight="true">
      <c r="A1042" s="51"/>
      <c r="B1042" s="34"/>
      <c r="C1042" s="34"/>
      <c r="D1042" s="34"/>
      <c r="E1042" s="34"/>
      <c r="F1042" s="34"/>
      <c r="G1042" s="44"/>
      <c r="H1042" s="34"/>
      <c r="I1042" s="54"/>
      <c r="J1042" s="34"/>
      <c r="K1042" s="54"/>
      <c r="L1042" s="34"/>
      <c r="M1042" s="44"/>
      <c r="N1042" s="44"/>
      <c r="O1042" s="34"/>
      <c r="P1042" s="34"/>
      <c r="Q1042" s="34"/>
      <c r="R1042" s="34"/>
      <c r="V1042" s="44"/>
      <c r="X1042" s="95"/>
      <c r="Y1042" s="54"/>
      <c r="Z1042" s="54"/>
      <c r="AA1042" s="34"/>
      <c r="AB1042" s="34"/>
      <c r="AC1042" s="34"/>
      <c r="AD1042" s="34"/>
      <c r="AE1042" s="34"/>
      <c r="AF1042" s="34"/>
      <c r="AG1042" s="34"/>
      <c r="AH1042" s="34"/>
      <c r="AI1042" s="52"/>
      <c r="AJ1042" s="52"/>
      <c r="AL1042" s="34"/>
      <c r="AM1042" s="34"/>
      <c r="AN1042" s="34"/>
      <c r="AO1042" s="54"/>
      <c r="AP1042" s="34"/>
      <c r="AQ1042" s="34"/>
      <c r="AR1042" s="54"/>
      <c r="AS1042" s="54"/>
      <c r="AT1042" s="54"/>
      <c r="AU1042" s="54"/>
      <c r="AV1042" s="34"/>
      <c r="AW1042" s="34"/>
      <c r="AX1042" s="34"/>
      <c r="AY1042" s="34"/>
      <c r="AZ1042" s="34"/>
      <c r="BA1042" s="44"/>
      <c r="BB1042" s="34"/>
      <c r="BC1042" s="34"/>
    </row>
    <row r="1043" spans="1:55" x14ac:dyDescent="0.35" ht="15.0" customHeight="true">
      <c r="A1043" s="51"/>
      <c r="B1043" s="34"/>
      <c r="C1043" s="34"/>
      <c r="D1043" s="34"/>
      <c r="E1043" s="34"/>
      <c r="F1043" s="34"/>
      <c r="G1043" s="44"/>
      <c r="H1043" s="34"/>
      <c r="I1043" s="54"/>
      <c r="J1043" s="34"/>
      <c r="K1043" s="54"/>
      <c r="L1043" s="34"/>
      <c r="M1043" s="44"/>
      <c r="N1043" s="44"/>
      <c r="O1043" s="34"/>
      <c r="P1043" s="34"/>
      <c r="Q1043" s="34"/>
      <c r="R1043" s="34"/>
      <c r="V1043" s="44"/>
      <c r="X1043" s="95"/>
      <c r="Y1043" s="54"/>
      <c r="Z1043" s="54"/>
      <c r="AA1043" s="34"/>
      <c r="AB1043" s="34"/>
      <c r="AC1043" s="34"/>
      <c r="AD1043" s="34"/>
      <c r="AE1043" s="34"/>
      <c r="AF1043" s="34"/>
      <c r="AG1043" s="34"/>
      <c r="AH1043" s="34"/>
      <c r="AI1043" s="52"/>
      <c r="AJ1043" s="52"/>
      <c r="AL1043" s="34"/>
      <c r="AM1043" s="34"/>
      <c r="AN1043" s="34"/>
      <c r="AO1043" s="54"/>
      <c r="AP1043" s="34"/>
      <c r="AQ1043" s="34"/>
      <c r="AR1043" s="54"/>
      <c r="AS1043" s="54"/>
      <c r="AT1043" s="54"/>
      <c r="AU1043" s="54"/>
      <c r="AV1043" s="34"/>
      <c r="AW1043" s="34"/>
      <c r="AX1043" s="34"/>
      <c r="AY1043" s="34"/>
      <c r="AZ1043" s="34"/>
      <c r="BA1043" s="44"/>
      <c r="BB1043" s="34"/>
      <c r="BC1043" s="34"/>
    </row>
    <row r="1044" spans="1:55" x14ac:dyDescent="0.35" ht="15.0" customHeight="true">
      <c r="A1044" s="51"/>
      <c r="B1044" s="34"/>
      <c r="C1044" s="34"/>
      <c r="D1044" s="34"/>
      <c r="E1044" s="34"/>
      <c r="F1044" s="34"/>
      <c r="G1044" s="44"/>
      <c r="H1044" s="34"/>
      <c r="I1044" s="54"/>
      <c r="J1044" s="34"/>
      <c r="K1044" s="54"/>
      <c r="L1044" s="34"/>
      <c r="M1044" s="44"/>
      <c r="N1044" s="44"/>
      <c r="O1044" s="34"/>
      <c r="P1044" s="34"/>
      <c r="Q1044" s="34"/>
      <c r="R1044" s="34"/>
      <c r="V1044" s="44"/>
      <c r="X1044" s="95"/>
      <c r="Y1044" s="54"/>
      <c r="Z1044" s="54"/>
      <c r="AA1044" s="34"/>
      <c r="AB1044" s="34"/>
      <c r="AC1044" s="34"/>
      <c r="AD1044" s="34"/>
      <c r="AE1044" s="34"/>
      <c r="AF1044" s="34"/>
      <c r="AG1044" s="34"/>
      <c r="AH1044" s="34"/>
      <c r="AI1044" s="52"/>
      <c r="AJ1044" s="52"/>
      <c r="AL1044" s="34"/>
      <c r="AM1044" s="34"/>
      <c r="AN1044" s="34"/>
      <c r="AO1044" s="54"/>
      <c r="AP1044" s="34"/>
      <c r="AQ1044" s="34"/>
      <c r="AR1044" s="54"/>
      <c r="AS1044" s="54"/>
      <c r="AT1044" s="54"/>
      <c r="AU1044" s="54"/>
      <c r="AV1044" s="34"/>
      <c r="AW1044" s="34"/>
      <c r="AX1044" s="34"/>
      <c r="AY1044" s="34"/>
      <c r="AZ1044" s="34"/>
      <c r="BA1044" s="44"/>
      <c r="BB1044" s="34"/>
      <c r="BC1044" s="34"/>
    </row>
    <row r="1045" spans="1:55" x14ac:dyDescent="0.35" ht="15.0" customHeight="true">
      <c r="A1045" s="51"/>
      <c r="B1045" s="34"/>
      <c r="C1045" s="34"/>
      <c r="D1045" s="34"/>
      <c r="E1045" s="34"/>
      <c r="F1045" s="34"/>
      <c r="G1045" s="44"/>
      <c r="H1045" s="34"/>
      <c r="I1045" s="54"/>
      <c r="J1045" s="34"/>
      <c r="K1045" s="54"/>
      <c r="L1045" s="34"/>
      <c r="M1045" s="44"/>
      <c r="N1045" s="44"/>
      <c r="O1045" s="34"/>
      <c r="P1045" s="34"/>
      <c r="Q1045" s="34"/>
      <c r="R1045" s="34"/>
      <c r="V1045" s="44"/>
      <c r="X1045" s="95"/>
      <c r="Y1045" s="54"/>
      <c r="Z1045" s="54"/>
      <c r="AA1045" s="34"/>
      <c r="AB1045" s="34"/>
      <c r="AC1045" s="34"/>
      <c r="AD1045" s="34"/>
      <c r="AE1045" s="34"/>
      <c r="AF1045" s="34"/>
      <c r="AG1045" s="34"/>
      <c r="AH1045" s="34"/>
      <c r="AI1045" s="52"/>
      <c r="AJ1045" s="52"/>
      <c r="AL1045" s="34"/>
      <c r="AM1045" s="34"/>
      <c r="AN1045" s="34"/>
      <c r="AO1045" s="54"/>
      <c r="AP1045" s="34"/>
      <c r="AQ1045" s="34"/>
      <c r="AR1045" s="54"/>
      <c r="AS1045" s="54"/>
      <c r="AT1045" s="54"/>
      <c r="AU1045" s="54"/>
      <c r="AV1045" s="34"/>
      <c r="AW1045" s="34"/>
      <c r="AX1045" s="34"/>
      <c r="AY1045" s="34"/>
      <c r="AZ1045" s="34"/>
      <c r="BA1045" s="44"/>
      <c r="BB1045" s="34"/>
      <c r="BC1045" s="34"/>
    </row>
    <row r="1046" spans="1:55" x14ac:dyDescent="0.35" ht="15.0" customHeight="true">
      <c r="A1046" s="51"/>
      <c r="B1046" s="34"/>
      <c r="C1046" s="34"/>
      <c r="D1046" s="34"/>
      <c r="E1046" s="34"/>
      <c r="F1046" s="34"/>
      <c r="G1046" s="44"/>
      <c r="H1046" s="34"/>
      <c r="I1046" s="54"/>
      <c r="J1046" s="34"/>
      <c r="K1046" s="54"/>
      <c r="L1046" s="34"/>
      <c r="M1046" s="44"/>
      <c r="N1046" s="44"/>
      <c r="O1046" s="34"/>
      <c r="P1046" s="34"/>
      <c r="Q1046" s="34"/>
      <c r="R1046" s="34"/>
      <c r="V1046" s="44"/>
      <c r="X1046" s="95"/>
      <c r="Y1046" s="54"/>
      <c r="Z1046" s="54"/>
      <c r="AA1046" s="34"/>
      <c r="AB1046" s="34"/>
      <c r="AC1046" s="34"/>
      <c r="AD1046" s="34"/>
      <c r="AE1046" s="34"/>
      <c r="AF1046" s="34"/>
      <c r="AG1046" s="34"/>
      <c r="AH1046" s="34"/>
      <c r="AI1046" s="52"/>
      <c r="AJ1046" s="52"/>
      <c r="AL1046" s="34"/>
      <c r="AM1046" s="34"/>
      <c r="AN1046" s="34"/>
      <c r="AO1046" s="54"/>
      <c r="AP1046" s="34"/>
      <c r="AQ1046" s="34"/>
      <c r="AR1046" s="54"/>
      <c r="AS1046" s="54"/>
      <c r="AT1046" s="54"/>
      <c r="AU1046" s="54"/>
      <c r="AV1046" s="34"/>
      <c r="AW1046" s="34"/>
      <c r="AX1046" s="34"/>
      <c r="AY1046" s="34"/>
      <c r="AZ1046" s="34"/>
      <c r="BA1046" s="44"/>
      <c r="BB1046" s="34"/>
      <c r="BC1046" s="34"/>
    </row>
    <row r="1047" spans="1:55" x14ac:dyDescent="0.35" ht="15.0" customHeight="true">
      <c r="A1047" s="51"/>
      <c r="B1047" s="34"/>
      <c r="C1047" s="34"/>
      <c r="D1047" s="34"/>
      <c r="E1047" s="34"/>
      <c r="F1047" s="34"/>
      <c r="G1047" s="44"/>
      <c r="H1047" s="34"/>
      <c r="I1047" s="54"/>
      <c r="J1047" s="34"/>
      <c r="K1047" s="54"/>
      <c r="L1047" s="34"/>
      <c r="M1047" s="44"/>
      <c r="N1047" s="44"/>
      <c r="O1047" s="34"/>
      <c r="P1047" s="34"/>
      <c r="Q1047" s="34"/>
      <c r="R1047" s="34"/>
      <c r="V1047" s="44"/>
      <c r="X1047" s="95"/>
      <c r="Y1047" s="54"/>
      <c r="Z1047" s="54"/>
      <c r="AA1047" s="34"/>
      <c r="AB1047" s="34"/>
      <c r="AC1047" s="34"/>
      <c r="AD1047" s="34"/>
      <c r="AE1047" s="34"/>
      <c r="AF1047" s="34"/>
      <c r="AG1047" s="34"/>
      <c r="AH1047" s="34"/>
      <c r="AI1047" s="52"/>
      <c r="AJ1047" s="52"/>
      <c r="AL1047" s="34"/>
      <c r="AM1047" s="34"/>
      <c r="AN1047" s="34"/>
      <c r="AO1047" s="54"/>
      <c r="AP1047" s="34"/>
      <c r="AQ1047" s="34"/>
      <c r="AR1047" s="54"/>
      <c r="AS1047" s="54"/>
      <c r="AT1047" s="54"/>
      <c r="AU1047" s="54"/>
      <c r="AV1047" s="34"/>
      <c r="AW1047" s="34"/>
      <c r="AX1047" s="34"/>
      <c r="AY1047" s="34"/>
      <c r="AZ1047" s="34"/>
      <c r="BA1047" s="44"/>
      <c r="BB1047" s="34"/>
      <c r="BC1047" s="34"/>
    </row>
    <row r="1048" spans="1:55" x14ac:dyDescent="0.35" ht="15.0" customHeight="true">
      <c r="A1048" s="51"/>
      <c r="B1048" s="34"/>
      <c r="C1048" s="34"/>
      <c r="D1048" s="34"/>
      <c r="E1048" s="34"/>
      <c r="F1048" s="34"/>
      <c r="G1048" s="44"/>
      <c r="H1048" s="34"/>
      <c r="I1048" s="54"/>
      <c r="J1048" s="34"/>
      <c r="K1048" s="54"/>
      <c r="L1048" s="34"/>
      <c r="M1048" s="44"/>
      <c r="N1048" s="44"/>
      <c r="O1048" s="34"/>
      <c r="P1048" s="34"/>
      <c r="Q1048" s="34"/>
      <c r="R1048" s="34"/>
      <c r="V1048" s="44"/>
      <c r="X1048" s="95"/>
      <c r="Y1048" s="54"/>
      <c r="Z1048" s="54"/>
      <c r="AA1048" s="34"/>
      <c r="AB1048" s="34"/>
      <c r="AC1048" s="34"/>
      <c r="AD1048" s="34"/>
      <c r="AE1048" s="34"/>
      <c r="AF1048" s="34"/>
      <c r="AG1048" s="34"/>
      <c r="AH1048" s="34"/>
      <c r="AI1048" s="52"/>
      <c r="AJ1048" s="52"/>
      <c r="AL1048" s="34"/>
      <c r="AM1048" s="34"/>
      <c r="AN1048" s="34"/>
      <c r="AO1048" s="54"/>
      <c r="AP1048" s="34"/>
      <c r="AQ1048" s="34"/>
      <c r="AR1048" s="54"/>
      <c r="AS1048" s="54"/>
      <c r="AT1048" s="54"/>
      <c r="AU1048" s="54"/>
      <c r="AV1048" s="34"/>
      <c r="AW1048" s="34"/>
      <c r="AX1048" s="34"/>
      <c r="AY1048" s="34"/>
      <c r="AZ1048" s="34"/>
      <c r="BA1048" s="44"/>
      <c r="BB1048" s="34"/>
      <c r="BC1048" s="34"/>
    </row>
    <row r="1049" spans="1:55" x14ac:dyDescent="0.35" ht="15.0" customHeight="true">
      <c r="A1049" s="51"/>
      <c r="B1049" s="34"/>
      <c r="C1049" s="34"/>
      <c r="D1049" s="34"/>
      <c r="E1049" s="34"/>
      <c r="F1049" s="34"/>
      <c r="G1049" s="44"/>
      <c r="H1049" s="34"/>
      <c r="I1049" s="54"/>
      <c r="J1049" s="34"/>
      <c r="K1049" s="54"/>
      <c r="L1049" s="34"/>
      <c r="M1049" s="44"/>
      <c r="N1049" s="44"/>
      <c r="O1049" s="34"/>
      <c r="P1049" s="34"/>
      <c r="Q1049" s="34"/>
      <c r="R1049" s="34"/>
      <c r="V1049" s="44"/>
      <c r="X1049" s="95"/>
      <c r="Y1049" s="54"/>
      <c r="Z1049" s="54"/>
      <c r="AA1049" s="34"/>
      <c r="AB1049" s="34"/>
      <c r="AC1049" s="34"/>
      <c r="AD1049" s="34"/>
      <c r="AE1049" s="34"/>
      <c r="AF1049" s="34"/>
      <c r="AG1049" s="34"/>
      <c r="AH1049" s="34"/>
      <c r="AI1049" s="52"/>
      <c r="AJ1049" s="52"/>
      <c r="AL1049" s="34"/>
      <c r="AM1049" s="34"/>
      <c r="AN1049" s="34"/>
      <c r="AO1049" s="54"/>
      <c r="AP1049" s="34"/>
      <c r="AQ1049" s="34"/>
      <c r="AR1049" s="54"/>
      <c r="AS1049" s="54"/>
      <c r="AT1049" s="54"/>
      <c r="AU1049" s="54"/>
      <c r="AV1049" s="34"/>
      <c r="AW1049" s="34"/>
      <c r="AX1049" s="34"/>
      <c r="AY1049" s="34"/>
      <c r="AZ1049" s="34"/>
      <c r="BA1049" s="44"/>
      <c r="BB1049" s="34"/>
      <c r="BC1049" s="34"/>
    </row>
    <row r="1050" spans="1:55" x14ac:dyDescent="0.35" ht="15.0" customHeight="true">
      <c r="A1050" s="51"/>
      <c r="B1050" s="34"/>
      <c r="C1050" s="34"/>
      <c r="D1050" s="34"/>
      <c r="E1050" s="34"/>
      <c r="F1050" s="34"/>
      <c r="G1050" s="44"/>
      <c r="H1050" s="34"/>
      <c r="I1050" s="54"/>
      <c r="J1050" s="34"/>
      <c r="K1050" s="54"/>
      <c r="L1050" s="34"/>
      <c r="M1050" s="44"/>
      <c r="N1050" s="44"/>
      <c r="O1050" s="34"/>
      <c r="P1050" s="34"/>
      <c r="Q1050" s="34"/>
      <c r="R1050" s="34"/>
      <c r="V1050" s="44"/>
      <c r="X1050" s="95"/>
      <c r="Y1050" s="54"/>
      <c r="Z1050" s="54"/>
      <c r="AA1050" s="34"/>
      <c r="AB1050" s="34"/>
      <c r="AC1050" s="34"/>
      <c r="AD1050" s="34"/>
      <c r="AE1050" s="34"/>
      <c r="AF1050" s="34"/>
      <c r="AG1050" s="34"/>
      <c r="AH1050" s="34"/>
      <c r="AI1050" s="52"/>
      <c r="AJ1050" s="52"/>
      <c r="AL1050" s="34"/>
      <c r="AM1050" s="34"/>
      <c r="AN1050" s="34"/>
      <c r="AO1050" s="54"/>
      <c r="AP1050" s="34"/>
      <c r="AQ1050" s="34"/>
      <c r="AR1050" s="54"/>
      <c r="AS1050" s="54"/>
      <c r="AT1050" s="54"/>
      <c r="AU1050" s="54"/>
      <c r="AV1050" s="34"/>
      <c r="AW1050" s="34"/>
      <c r="AX1050" s="34"/>
      <c r="AY1050" s="34"/>
      <c r="AZ1050" s="34"/>
      <c r="BA1050" s="44"/>
      <c r="BB1050" s="34"/>
      <c r="BC1050" s="34"/>
    </row>
    <row r="1051" spans="1:55" x14ac:dyDescent="0.35" ht="15.0" customHeight="true">
      <c r="A1051" s="51"/>
      <c r="B1051" s="34"/>
      <c r="C1051" s="34"/>
      <c r="D1051" s="34"/>
      <c r="E1051" s="34"/>
      <c r="F1051" s="34"/>
      <c r="G1051" s="44"/>
      <c r="H1051" s="34"/>
      <c r="I1051" s="54"/>
      <c r="J1051" s="34"/>
      <c r="K1051" s="54"/>
      <c r="L1051" s="34"/>
      <c r="M1051" s="44"/>
      <c r="N1051" s="44"/>
      <c r="O1051" s="34"/>
      <c r="P1051" s="34"/>
      <c r="Q1051" s="34"/>
      <c r="R1051" s="34"/>
      <c r="V1051" s="44"/>
      <c r="X1051" s="95"/>
      <c r="Y1051" s="54"/>
      <c r="Z1051" s="54"/>
      <c r="AA1051" s="34"/>
      <c r="AB1051" s="34"/>
      <c r="AC1051" s="34"/>
      <c r="AD1051" s="34"/>
      <c r="AE1051" s="34"/>
      <c r="AF1051" s="34"/>
      <c r="AG1051" s="34"/>
      <c r="AH1051" s="34"/>
      <c r="AI1051" s="52"/>
      <c r="AJ1051" s="52"/>
      <c r="AL1051" s="34"/>
      <c r="AM1051" s="34"/>
      <c r="AN1051" s="34"/>
      <c r="AO1051" s="54"/>
      <c r="AP1051" s="34"/>
      <c r="AQ1051" s="34"/>
      <c r="AR1051" s="54"/>
      <c r="AS1051" s="54"/>
      <c r="AT1051" s="54"/>
      <c r="AU1051" s="54"/>
      <c r="AV1051" s="34"/>
      <c r="AW1051" s="34"/>
      <c r="AX1051" s="34"/>
      <c r="AY1051" s="34"/>
      <c r="AZ1051" s="34"/>
      <c r="BA1051" s="44"/>
      <c r="BB1051" s="34"/>
      <c r="BC1051" s="34"/>
    </row>
    <row r="1052" spans="1:55" x14ac:dyDescent="0.35" ht="15.0" customHeight="true">
      <c r="A1052" s="51"/>
      <c r="B1052" s="34"/>
      <c r="C1052" s="34"/>
      <c r="D1052" s="34"/>
      <c r="E1052" s="34"/>
      <c r="F1052" s="34"/>
      <c r="G1052" s="44"/>
      <c r="H1052" s="34"/>
      <c r="I1052" s="54"/>
      <c r="J1052" s="34"/>
      <c r="K1052" s="54"/>
      <c r="L1052" s="34"/>
      <c r="M1052" s="44"/>
      <c r="N1052" s="44"/>
      <c r="O1052" s="34"/>
      <c r="P1052" s="34"/>
      <c r="Q1052" s="34"/>
      <c r="R1052" s="34"/>
      <c r="V1052" s="44"/>
      <c r="X1052" s="95"/>
      <c r="Y1052" s="54"/>
      <c r="Z1052" s="54"/>
      <c r="AA1052" s="34"/>
      <c r="AB1052" s="34"/>
      <c r="AC1052" s="34"/>
      <c r="AD1052" s="34"/>
      <c r="AE1052" s="34"/>
      <c r="AF1052" s="34"/>
      <c r="AG1052" s="34"/>
      <c r="AH1052" s="34"/>
      <c r="AI1052" s="52"/>
      <c r="AJ1052" s="52"/>
      <c r="AL1052" s="34"/>
      <c r="AM1052" s="34"/>
      <c r="AN1052" s="34"/>
      <c r="AO1052" s="54"/>
      <c r="AP1052" s="34"/>
      <c r="AQ1052" s="34"/>
      <c r="AR1052" s="54"/>
      <c r="AS1052" s="54"/>
      <c r="AT1052" s="54"/>
      <c r="AU1052" s="54"/>
      <c r="AV1052" s="34"/>
      <c r="AW1052" s="34"/>
      <c r="AX1052" s="34"/>
      <c r="AY1052" s="34"/>
      <c r="AZ1052" s="34"/>
      <c r="BA1052" s="44"/>
      <c r="BB1052" s="34"/>
      <c r="BC1052" s="34"/>
    </row>
    <row r="1053" spans="1:55" x14ac:dyDescent="0.35" ht="15.0" customHeight="true">
      <c r="A1053" s="51"/>
      <c r="B1053" s="34"/>
      <c r="C1053" s="34"/>
      <c r="D1053" s="34"/>
      <c r="E1053" s="34"/>
      <c r="F1053" s="34"/>
      <c r="G1053" s="44"/>
      <c r="H1053" s="34"/>
      <c r="I1053" s="54"/>
      <c r="J1053" s="34"/>
      <c r="K1053" s="54"/>
      <c r="L1053" s="34"/>
      <c r="M1053" s="44"/>
      <c r="N1053" s="44"/>
      <c r="O1053" s="34"/>
      <c r="P1053" s="34"/>
      <c r="Q1053" s="34"/>
      <c r="R1053" s="34"/>
      <c r="V1053" s="44"/>
      <c r="X1053" s="95"/>
      <c r="Y1053" s="54"/>
      <c r="Z1053" s="54"/>
      <c r="AA1053" s="34"/>
      <c r="AB1053" s="34"/>
      <c r="AC1053" s="34"/>
      <c r="AD1053" s="34"/>
      <c r="AE1053" s="34"/>
      <c r="AF1053" s="34"/>
      <c r="AG1053" s="34"/>
      <c r="AH1053" s="34"/>
      <c r="AI1053" s="52"/>
      <c r="AJ1053" s="52"/>
      <c r="AL1053" s="34"/>
      <c r="AM1053" s="34"/>
      <c r="AN1053" s="34"/>
      <c r="AO1053" s="54"/>
      <c r="AP1053" s="34"/>
      <c r="AQ1053" s="34"/>
      <c r="AR1053" s="54"/>
      <c r="AS1053" s="54"/>
      <c r="AT1053" s="54"/>
      <c r="AU1053" s="54"/>
      <c r="AV1053" s="34"/>
      <c r="AW1053" s="34"/>
      <c r="AX1053" s="34"/>
      <c r="AY1053" s="34"/>
      <c r="AZ1053" s="34"/>
      <c r="BA1053" s="44"/>
      <c r="BB1053" s="34"/>
      <c r="BC1053" s="34"/>
    </row>
    <row r="1054" spans="1:55" x14ac:dyDescent="0.35" ht="15.0" customHeight="true">
      <c r="A1054" s="51"/>
      <c r="B1054" s="34"/>
      <c r="C1054" s="34"/>
      <c r="D1054" s="34"/>
      <c r="E1054" s="34"/>
      <c r="F1054" s="34"/>
      <c r="G1054" s="44"/>
      <c r="H1054" s="34"/>
      <c r="I1054" s="54"/>
      <c r="J1054" s="34"/>
      <c r="K1054" s="54"/>
      <c r="L1054" s="34"/>
      <c r="M1054" s="44"/>
      <c r="N1054" s="44"/>
      <c r="O1054" s="34"/>
      <c r="P1054" s="34"/>
      <c r="Q1054" s="34"/>
      <c r="R1054" s="34"/>
      <c r="V1054" s="44"/>
      <c r="X1054" s="95"/>
      <c r="Y1054" s="54"/>
      <c r="Z1054" s="54"/>
      <c r="AA1054" s="34"/>
      <c r="AB1054" s="34"/>
      <c r="AC1054" s="34"/>
      <c r="AD1054" s="34"/>
      <c r="AE1054" s="34"/>
      <c r="AF1054" s="34"/>
      <c r="AG1054" s="34"/>
      <c r="AH1054" s="34"/>
      <c r="AI1054" s="52"/>
      <c r="AJ1054" s="52"/>
      <c r="AL1054" s="34"/>
      <c r="AM1054" s="34"/>
      <c r="AN1054" s="34"/>
      <c r="AO1054" s="54"/>
      <c r="AP1054" s="34"/>
      <c r="AQ1054" s="34"/>
      <c r="AR1054" s="54"/>
      <c r="AS1054" s="54"/>
      <c r="AT1054" s="54"/>
      <c r="AU1054" s="54"/>
      <c r="AV1054" s="34"/>
      <c r="AW1054" s="34"/>
      <c r="AX1054" s="34"/>
      <c r="AY1054" s="34"/>
      <c r="AZ1054" s="34"/>
      <c r="BA1054" s="44"/>
      <c r="BB1054" s="34"/>
      <c r="BC1054" s="34"/>
    </row>
    <row r="1055" spans="1:55" x14ac:dyDescent="0.35" ht="15.0" customHeight="true">
      <c r="A1055" s="51"/>
      <c r="B1055" s="34"/>
      <c r="C1055" s="34"/>
      <c r="D1055" s="34"/>
      <c r="E1055" s="34"/>
      <c r="F1055" s="34"/>
      <c r="G1055" s="44"/>
      <c r="H1055" s="34"/>
      <c r="I1055" s="54"/>
      <c r="J1055" s="34"/>
      <c r="K1055" s="54"/>
      <c r="L1055" s="34"/>
      <c r="M1055" s="44"/>
      <c r="N1055" s="44"/>
      <c r="O1055" s="34"/>
      <c r="P1055" s="34"/>
      <c r="Q1055" s="34"/>
      <c r="R1055" s="34"/>
      <c r="V1055" s="44"/>
      <c r="X1055" s="95"/>
      <c r="Y1055" s="54"/>
      <c r="Z1055" s="54"/>
      <c r="AA1055" s="34"/>
      <c r="AB1055" s="34"/>
      <c r="AC1055" s="34"/>
      <c r="AD1055" s="34"/>
      <c r="AE1055" s="34"/>
      <c r="AF1055" s="34"/>
      <c r="AG1055" s="34"/>
      <c r="AH1055" s="34"/>
      <c r="AI1055" s="52"/>
      <c r="AJ1055" s="52"/>
      <c r="AL1055" s="34"/>
      <c r="AM1055" s="34"/>
      <c r="AN1055" s="34"/>
      <c r="AO1055" s="54"/>
      <c r="AP1055" s="34"/>
      <c r="AQ1055" s="34"/>
      <c r="AR1055" s="54"/>
      <c r="AS1055" s="54"/>
      <c r="AT1055" s="54"/>
      <c r="AU1055" s="54"/>
      <c r="AV1055" s="34"/>
      <c r="AW1055" s="34"/>
      <c r="AX1055" s="34"/>
      <c r="AY1055" s="34"/>
      <c r="AZ1055" s="34"/>
      <c r="BA1055" s="44"/>
      <c r="BB1055" s="34"/>
      <c r="BC1055" s="34"/>
    </row>
    <row r="1056" spans="1:55" x14ac:dyDescent="0.35" ht="15.0" customHeight="true">
      <c r="A1056" s="51"/>
      <c r="B1056" s="34"/>
      <c r="C1056" s="34"/>
      <c r="D1056" s="34"/>
      <c r="E1056" s="34"/>
      <c r="F1056" s="34"/>
      <c r="G1056" s="44"/>
      <c r="H1056" s="34"/>
      <c r="I1056" s="54"/>
      <c r="J1056" s="34"/>
      <c r="K1056" s="54"/>
      <c r="L1056" s="34"/>
      <c r="M1056" s="44"/>
      <c r="N1056" s="44"/>
      <c r="O1056" s="34"/>
      <c r="P1056" s="34"/>
      <c r="Q1056" s="34"/>
      <c r="R1056" s="34"/>
      <c r="V1056" s="44"/>
      <c r="X1056" s="95"/>
      <c r="Y1056" s="54"/>
      <c r="Z1056" s="54"/>
      <c r="AA1056" s="34"/>
      <c r="AB1056" s="34"/>
      <c r="AC1056" s="34"/>
      <c r="AD1056" s="34"/>
      <c r="AE1056" s="34"/>
      <c r="AF1056" s="34"/>
      <c r="AG1056" s="34"/>
      <c r="AH1056" s="34"/>
      <c r="AI1056" s="52"/>
      <c r="AJ1056" s="52"/>
      <c r="AL1056" s="34"/>
      <c r="AM1056" s="34"/>
      <c r="AN1056" s="34"/>
      <c r="AO1056" s="54"/>
      <c r="AP1056" s="34"/>
      <c r="AQ1056" s="34"/>
      <c r="AR1056" s="54"/>
      <c r="AS1056" s="54"/>
      <c r="AT1056" s="54"/>
      <c r="AU1056" s="54"/>
      <c r="AV1056" s="34"/>
      <c r="AW1056" s="34"/>
      <c r="AX1056" s="34"/>
      <c r="AY1056" s="34"/>
      <c r="AZ1056" s="34"/>
      <c r="BA1056" s="44"/>
      <c r="BB1056" s="34"/>
      <c r="BC1056" s="34"/>
    </row>
    <row r="1057" spans="1:55" x14ac:dyDescent="0.35" ht="15.0" customHeight="true">
      <c r="A1057" s="51"/>
      <c r="B1057" s="34"/>
      <c r="C1057" s="34"/>
      <c r="D1057" s="34"/>
      <c r="E1057" s="34"/>
      <c r="F1057" s="34"/>
      <c r="G1057" s="44"/>
      <c r="H1057" s="34"/>
      <c r="I1057" s="54"/>
      <c r="J1057" s="34"/>
      <c r="K1057" s="54"/>
      <c r="L1057" s="34"/>
      <c r="M1057" s="44"/>
      <c r="N1057" s="44"/>
      <c r="O1057" s="34"/>
      <c r="P1057" s="34"/>
      <c r="Q1057" s="34"/>
      <c r="R1057" s="34"/>
      <c r="V1057" s="44"/>
      <c r="X1057" s="95"/>
      <c r="Y1057" s="54"/>
      <c r="Z1057" s="54"/>
      <c r="AA1057" s="34"/>
      <c r="AB1057" s="34"/>
      <c r="AC1057" s="34"/>
      <c r="AD1057" s="34"/>
      <c r="AE1057" s="34"/>
      <c r="AF1057" s="34"/>
      <c r="AG1057" s="34"/>
      <c r="AH1057" s="34"/>
      <c r="AI1057" s="52"/>
      <c r="AJ1057" s="52"/>
      <c r="AL1057" s="34"/>
      <c r="AM1057" s="34"/>
      <c r="AN1057" s="34"/>
      <c r="AO1057" s="54"/>
      <c r="AP1057" s="34"/>
      <c r="AQ1057" s="34"/>
      <c r="AR1057" s="54"/>
      <c r="AS1057" s="54"/>
      <c r="AT1057" s="54"/>
      <c r="AU1057" s="54"/>
      <c r="AV1057" s="34"/>
      <c r="AW1057" s="34"/>
      <c r="AX1057" s="34"/>
      <c r="AY1057" s="34"/>
      <c r="AZ1057" s="34"/>
      <c r="BA1057" s="44"/>
      <c r="BB1057" s="34"/>
      <c r="BC1057" s="34"/>
    </row>
    <row r="1058" spans="1:55" x14ac:dyDescent="0.35" ht="15.0" customHeight="true">
      <c r="A1058" s="51"/>
      <c r="B1058" s="34"/>
      <c r="C1058" s="34"/>
      <c r="D1058" s="34"/>
      <c r="E1058" s="34"/>
      <c r="F1058" s="34"/>
      <c r="G1058" s="44"/>
      <c r="H1058" s="34"/>
      <c r="I1058" s="54"/>
      <c r="J1058" s="34"/>
      <c r="K1058" s="54"/>
      <c r="L1058" s="34"/>
      <c r="M1058" s="44"/>
      <c r="N1058" s="44"/>
      <c r="O1058" s="34"/>
      <c r="P1058" s="34"/>
      <c r="Q1058" s="34"/>
      <c r="R1058" s="34"/>
      <c r="V1058" s="44"/>
      <c r="X1058" s="95"/>
      <c r="Y1058" s="54"/>
      <c r="Z1058" s="54"/>
      <c r="AA1058" s="34"/>
      <c r="AB1058" s="34"/>
      <c r="AC1058" s="34"/>
      <c r="AD1058" s="34"/>
      <c r="AE1058" s="34"/>
      <c r="AF1058" s="34"/>
      <c r="AG1058" s="34"/>
      <c r="AH1058" s="34"/>
      <c r="AI1058" s="52"/>
      <c r="AJ1058" s="52"/>
      <c r="AL1058" s="34"/>
      <c r="AM1058" s="34"/>
      <c r="AN1058" s="34"/>
      <c r="AO1058" s="54"/>
      <c r="AP1058" s="34"/>
      <c r="AQ1058" s="34"/>
      <c r="AR1058" s="54"/>
      <c r="AS1058" s="54"/>
      <c r="AT1058" s="54"/>
      <c r="AU1058" s="54"/>
      <c r="AV1058" s="34"/>
      <c r="AW1058" s="34"/>
      <c r="AX1058" s="34"/>
      <c r="AY1058" s="34"/>
      <c r="AZ1058" s="34"/>
      <c r="BA1058" s="44"/>
      <c r="BB1058" s="34"/>
      <c r="BC1058" s="34"/>
    </row>
    <row r="1059" spans="1:55" x14ac:dyDescent="0.35" ht="15.0" customHeight="true">
      <c r="A1059" s="51"/>
      <c r="B1059" s="34"/>
      <c r="C1059" s="34"/>
      <c r="D1059" s="34"/>
      <c r="E1059" s="34"/>
      <c r="F1059" s="34"/>
      <c r="G1059" s="44"/>
      <c r="H1059" s="34"/>
      <c r="I1059" s="54"/>
      <c r="J1059" s="34"/>
      <c r="K1059" s="54"/>
      <c r="L1059" s="34"/>
      <c r="M1059" s="44"/>
      <c r="N1059" s="44"/>
      <c r="O1059" s="34"/>
      <c r="P1059" s="34"/>
      <c r="Q1059" s="34"/>
      <c r="R1059" s="34"/>
      <c r="V1059" s="44"/>
      <c r="X1059" s="95"/>
      <c r="Y1059" s="54"/>
      <c r="Z1059" s="54"/>
      <c r="AA1059" s="34"/>
      <c r="AB1059" s="34"/>
      <c r="AC1059" s="34"/>
      <c r="AD1059" s="34"/>
      <c r="AE1059" s="34"/>
      <c r="AF1059" s="34"/>
      <c r="AG1059" s="34"/>
      <c r="AH1059" s="34"/>
      <c r="AI1059" s="52"/>
      <c r="AJ1059" s="52"/>
      <c r="AL1059" s="34"/>
      <c r="AM1059" s="34"/>
      <c r="AN1059" s="34"/>
      <c r="AO1059" s="54"/>
      <c r="AP1059" s="34"/>
      <c r="AQ1059" s="34"/>
      <c r="AR1059" s="54"/>
      <c r="AS1059" s="54"/>
      <c r="AT1059" s="54"/>
      <c r="AU1059" s="54"/>
      <c r="AV1059" s="34"/>
      <c r="AW1059" s="34"/>
      <c r="AX1059" s="34"/>
      <c r="AY1059" s="34"/>
      <c r="AZ1059" s="34"/>
      <c r="BA1059" s="44"/>
      <c r="BB1059" s="34"/>
      <c r="BC1059" s="34"/>
    </row>
    <row r="1060" spans="1:55" x14ac:dyDescent="0.35" ht="15.0" customHeight="true">
      <c r="A1060" s="51"/>
      <c r="B1060" s="34"/>
      <c r="C1060" s="34"/>
      <c r="D1060" s="34"/>
      <c r="E1060" s="34"/>
      <c r="F1060" s="34"/>
      <c r="G1060" s="44"/>
      <c r="H1060" s="34"/>
      <c r="I1060" s="54"/>
      <c r="J1060" s="34"/>
      <c r="K1060" s="54"/>
      <c r="L1060" s="34"/>
      <c r="M1060" s="44"/>
      <c r="N1060" s="44"/>
      <c r="O1060" s="34"/>
      <c r="P1060" s="34"/>
      <c r="Q1060" s="34"/>
      <c r="R1060" s="34"/>
      <c r="V1060" s="44"/>
      <c r="X1060" s="95"/>
      <c r="Y1060" s="54"/>
      <c r="Z1060" s="54"/>
      <c r="AA1060" s="34"/>
      <c r="AB1060" s="34"/>
      <c r="AC1060" s="34"/>
      <c r="AD1060" s="34"/>
      <c r="AE1060" s="34"/>
      <c r="AF1060" s="34"/>
      <c r="AG1060" s="34"/>
      <c r="AH1060" s="34"/>
      <c r="AI1060" s="52"/>
      <c r="AJ1060" s="52"/>
      <c r="AL1060" s="34"/>
      <c r="AM1060" s="34"/>
      <c r="AN1060" s="34"/>
      <c r="AO1060" s="54"/>
      <c r="AP1060" s="34"/>
      <c r="AQ1060" s="34"/>
      <c r="AR1060" s="54"/>
      <c r="AS1060" s="54"/>
      <c r="AT1060" s="54"/>
      <c r="AU1060" s="54"/>
      <c r="AV1060" s="34"/>
      <c r="AW1060" s="34"/>
      <c r="AX1060" s="34"/>
      <c r="AY1060" s="34"/>
      <c r="AZ1060" s="34"/>
      <c r="BA1060" s="44"/>
      <c r="BB1060" s="34"/>
      <c r="BC1060" s="34"/>
    </row>
    <row r="1061" spans="1:55" x14ac:dyDescent="0.35" ht="15.0" customHeight="true">
      <c r="A1061" s="51"/>
      <c r="B1061" s="34"/>
      <c r="C1061" s="34"/>
      <c r="D1061" s="34"/>
      <c r="E1061" s="34"/>
      <c r="F1061" s="34"/>
      <c r="G1061" s="44"/>
      <c r="H1061" s="34"/>
      <c r="I1061" s="54"/>
      <c r="J1061" s="34"/>
      <c r="K1061" s="54"/>
      <c r="L1061" s="34"/>
      <c r="M1061" s="44"/>
      <c r="N1061" s="44"/>
      <c r="O1061" s="34"/>
      <c r="P1061" s="34"/>
      <c r="Q1061" s="34"/>
      <c r="R1061" s="34"/>
      <c r="V1061" s="44"/>
      <c r="X1061" s="95"/>
      <c r="Y1061" s="54"/>
      <c r="Z1061" s="54"/>
      <c r="AA1061" s="34"/>
      <c r="AB1061" s="34"/>
      <c r="AC1061" s="34"/>
      <c r="AD1061" s="34"/>
      <c r="AE1061" s="34"/>
      <c r="AF1061" s="34"/>
      <c r="AG1061" s="34"/>
      <c r="AH1061" s="34"/>
      <c r="AI1061" s="52"/>
      <c r="AJ1061" s="52"/>
      <c r="AL1061" s="34"/>
      <c r="AM1061" s="34"/>
      <c r="AN1061" s="34"/>
      <c r="AO1061" s="54"/>
      <c r="AP1061" s="34"/>
      <c r="AQ1061" s="34"/>
      <c r="AR1061" s="54"/>
      <c r="AS1061" s="54"/>
      <c r="AT1061" s="54"/>
      <c r="AU1061" s="54"/>
      <c r="AV1061" s="34"/>
      <c r="AW1061" s="34"/>
      <c r="AX1061" s="34"/>
      <c r="AY1061" s="34"/>
      <c r="AZ1061" s="34"/>
      <c r="BA1061" s="44"/>
      <c r="BB1061" s="34"/>
      <c r="BC1061" s="34"/>
    </row>
    <row r="1062" spans="1:55" x14ac:dyDescent="0.35" ht="15.0" customHeight="true">
      <c r="A1062" s="51"/>
      <c r="B1062" s="34"/>
      <c r="C1062" s="34"/>
      <c r="D1062" s="34"/>
      <c r="E1062" s="34"/>
      <c r="F1062" s="34"/>
      <c r="G1062" s="44"/>
      <c r="H1062" s="34"/>
      <c r="I1062" s="54"/>
      <c r="J1062" s="34"/>
      <c r="K1062" s="54"/>
      <c r="L1062" s="34"/>
      <c r="M1062" s="44"/>
      <c r="N1062" s="44"/>
      <c r="O1062" s="34"/>
      <c r="P1062" s="34"/>
      <c r="Q1062" s="34"/>
      <c r="R1062" s="34"/>
      <c r="V1062" s="44"/>
      <c r="X1062" s="95"/>
      <c r="Y1062" s="54"/>
      <c r="Z1062" s="54"/>
      <c r="AA1062" s="34"/>
      <c r="AB1062" s="34"/>
      <c r="AC1062" s="34"/>
      <c r="AD1062" s="34"/>
      <c r="AE1062" s="34"/>
      <c r="AF1062" s="34"/>
      <c r="AG1062" s="34"/>
      <c r="AH1062" s="34"/>
      <c r="AI1062" s="52"/>
      <c r="AJ1062" s="52"/>
      <c r="AL1062" s="34"/>
      <c r="AM1062" s="34"/>
      <c r="AN1062" s="34"/>
      <c r="AO1062" s="54"/>
      <c r="AP1062" s="34"/>
      <c r="AQ1062" s="34"/>
      <c r="AR1062" s="54"/>
      <c r="AS1062" s="54"/>
      <c r="AT1062" s="54"/>
      <c r="AU1062" s="54"/>
      <c r="AV1062" s="34"/>
      <c r="AW1062" s="34"/>
      <c r="AX1062" s="34"/>
      <c r="AY1062" s="34"/>
      <c r="AZ1062" s="34"/>
      <c r="BA1062" s="44"/>
      <c r="BB1062" s="34"/>
      <c r="BC1062" s="34"/>
    </row>
    <row r="1063" spans="1:55" x14ac:dyDescent="0.35" ht="15.0" customHeight="true">
      <c r="A1063" s="51"/>
      <c r="B1063" s="34"/>
      <c r="C1063" s="34"/>
      <c r="D1063" s="34"/>
      <c r="E1063" s="34"/>
      <c r="F1063" s="34"/>
      <c r="G1063" s="44"/>
      <c r="H1063" s="34"/>
      <c r="I1063" s="54"/>
      <c r="J1063" s="34"/>
      <c r="K1063" s="54"/>
      <c r="L1063" s="34"/>
      <c r="M1063" s="44"/>
      <c r="N1063" s="44"/>
      <c r="O1063" s="34"/>
      <c r="P1063" s="34"/>
      <c r="Q1063" s="34"/>
      <c r="R1063" s="34"/>
      <c r="V1063" s="44"/>
      <c r="X1063" s="95"/>
      <c r="Y1063" s="54"/>
      <c r="Z1063" s="54"/>
      <c r="AA1063" s="34"/>
      <c r="AB1063" s="34"/>
      <c r="AC1063" s="34"/>
      <c r="AD1063" s="34"/>
      <c r="AE1063" s="34"/>
      <c r="AF1063" s="34"/>
      <c r="AG1063" s="34"/>
      <c r="AH1063" s="34"/>
      <c r="AI1063" s="52"/>
      <c r="AJ1063" s="52"/>
      <c r="AL1063" s="34"/>
      <c r="AM1063" s="34"/>
      <c r="AN1063" s="34"/>
      <c r="AO1063" s="54"/>
      <c r="AP1063" s="34"/>
      <c r="AQ1063" s="34"/>
      <c r="AR1063" s="54"/>
      <c r="AS1063" s="54"/>
      <c r="AT1063" s="54"/>
      <c r="AU1063" s="54"/>
      <c r="AV1063" s="34"/>
      <c r="AW1063" s="34"/>
      <c r="AX1063" s="34"/>
      <c r="AY1063" s="34"/>
      <c r="AZ1063" s="34"/>
      <c r="BA1063" s="44"/>
      <c r="BB1063" s="34"/>
      <c r="BC1063" s="34"/>
    </row>
    <row r="1064" spans="1:55" x14ac:dyDescent="0.35" ht="15.0" customHeight="true">
      <c r="A1064" s="51"/>
      <c r="B1064" s="34"/>
      <c r="C1064" s="34"/>
      <c r="D1064" s="34"/>
      <c r="E1064" s="34"/>
      <c r="F1064" s="34"/>
      <c r="G1064" s="44"/>
      <c r="H1064" s="34"/>
      <c r="I1064" s="54"/>
      <c r="J1064" s="34"/>
      <c r="K1064" s="54"/>
      <c r="L1064" s="34"/>
      <c r="M1064" s="44"/>
      <c r="N1064" s="44"/>
      <c r="O1064" s="34"/>
      <c r="P1064" s="34"/>
      <c r="Q1064" s="34"/>
      <c r="R1064" s="34"/>
      <c r="V1064" s="44"/>
      <c r="X1064" s="95"/>
      <c r="Y1064" s="54"/>
      <c r="Z1064" s="54"/>
      <c r="AA1064" s="34"/>
      <c r="AB1064" s="34"/>
      <c r="AC1064" s="34"/>
      <c r="AD1064" s="34"/>
      <c r="AE1064" s="34"/>
      <c r="AF1064" s="34"/>
      <c r="AG1064" s="34"/>
      <c r="AH1064" s="34"/>
      <c r="AI1064" s="52"/>
      <c r="AJ1064" s="52"/>
      <c r="AL1064" s="34"/>
      <c r="AM1064" s="34"/>
      <c r="AN1064" s="34"/>
      <c r="AO1064" s="54"/>
      <c r="AP1064" s="34"/>
      <c r="AQ1064" s="34"/>
      <c r="AR1064" s="54"/>
      <c r="AS1064" s="54"/>
      <c r="AT1064" s="54"/>
      <c r="AU1064" s="54"/>
      <c r="AV1064" s="34"/>
      <c r="AW1064" s="34"/>
      <c r="AX1064" s="34"/>
      <c r="AY1064" s="34"/>
      <c r="AZ1064" s="34"/>
      <c r="BA1064" s="44"/>
      <c r="BB1064" s="34"/>
      <c r="BC1064" s="34"/>
    </row>
    <row r="1065" spans="1:55" x14ac:dyDescent="0.35" ht="15.0" customHeight="true">
      <c r="A1065" s="51"/>
      <c r="B1065" s="34"/>
      <c r="C1065" s="34"/>
      <c r="D1065" s="34"/>
      <c r="E1065" s="34"/>
      <c r="F1065" s="34"/>
      <c r="G1065" s="44"/>
      <c r="H1065" s="34"/>
      <c r="I1065" s="54"/>
      <c r="J1065" s="34"/>
      <c r="K1065" s="54"/>
      <c r="L1065" s="34"/>
      <c r="M1065" s="44"/>
      <c r="N1065" s="44"/>
      <c r="O1065" s="34"/>
      <c r="P1065" s="34"/>
      <c r="Q1065" s="34"/>
      <c r="R1065" s="34"/>
      <c r="V1065" s="44"/>
      <c r="X1065" s="95"/>
      <c r="Y1065" s="54"/>
      <c r="Z1065" s="54"/>
      <c r="AA1065" s="34"/>
      <c r="AB1065" s="34"/>
      <c r="AC1065" s="34"/>
      <c r="AD1065" s="34"/>
      <c r="AE1065" s="34"/>
      <c r="AF1065" s="34"/>
      <c r="AG1065" s="34"/>
      <c r="AH1065" s="34"/>
      <c r="AI1065" s="52"/>
      <c r="AJ1065" s="52"/>
      <c r="AL1065" s="34"/>
      <c r="AM1065" s="34"/>
      <c r="AN1065" s="34"/>
      <c r="AO1065" s="54"/>
      <c r="AP1065" s="34"/>
      <c r="AQ1065" s="34"/>
      <c r="AR1065" s="54"/>
      <c r="AS1065" s="54"/>
      <c r="AT1065" s="54"/>
      <c r="AU1065" s="54"/>
      <c r="AV1065" s="34"/>
      <c r="AW1065" s="34"/>
      <c r="AX1065" s="34"/>
      <c r="AY1065" s="34"/>
      <c r="AZ1065" s="34"/>
      <c r="BA1065" s="44"/>
      <c r="BB1065" s="34"/>
      <c r="BC1065" s="34"/>
    </row>
    <row r="1066" spans="1:55" x14ac:dyDescent="0.35" ht="15.0" customHeight="true">
      <c r="A1066" s="51"/>
      <c r="B1066" s="34"/>
      <c r="C1066" s="34"/>
      <c r="D1066" s="34"/>
      <c r="E1066" s="34"/>
      <c r="F1066" s="34"/>
      <c r="G1066" s="44"/>
      <c r="H1066" s="34"/>
      <c r="I1066" s="54"/>
      <c r="J1066" s="34"/>
      <c r="K1066" s="54"/>
      <c r="L1066" s="34"/>
      <c r="M1066" s="44"/>
      <c r="N1066" s="44"/>
      <c r="O1066" s="34"/>
      <c r="P1066" s="34"/>
      <c r="Q1066" s="34"/>
      <c r="R1066" s="34"/>
      <c r="V1066" s="44"/>
      <c r="X1066" s="95"/>
      <c r="Y1066" s="54"/>
      <c r="Z1066" s="54"/>
      <c r="AA1066" s="34"/>
      <c r="AB1066" s="34"/>
      <c r="AC1066" s="34"/>
      <c r="AD1066" s="34"/>
      <c r="AE1066" s="34"/>
      <c r="AF1066" s="34"/>
      <c r="AG1066" s="34"/>
      <c r="AH1066" s="34"/>
      <c r="AI1066" s="52"/>
      <c r="AJ1066" s="52"/>
      <c r="AL1066" s="34"/>
      <c r="AM1066" s="34"/>
      <c r="AN1066" s="34"/>
      <c r="AO1066" s="54"/>
      <c r="AP1066" s="34"/>
      <c r="AQ1066" s="34"/>
      <c r="AR1066" s="54"/>
      <c r="AS1066" s="54"/>
      <c r="AT1066" s="54"/>
      <c r="AU1066" s="54"/>
      <c r="AV1066" s="34"/>
      <c r="AW1066" s="34"/>
      <c r="AX1066" s="34"/>
      <c r="AY1066" s="34"/>
      <c r="AZ1066" s="34"/>
      <c r="BA1066" s="44"/>
      <c r="BB1066" s="34"/>
      <c r="BC1066" s="34"/>
    </row>
    <row r="1067" spans="1:55" x14ac:dyDescent="0.35" ht="15.0" customHeight="true">
      <c r="A1067" s="51"/>
      <c r="B1067" s="34"/>
      <c r="C1067" s="34"/>
      <c r="D1067" s="34"/>
      <c r="E1067" s="34"/>
      <c r="F1067" s="34"/>
      <c r="G1067" s="44"/>
      <c r="H1067" s="34"/>
      <c r="I1067" s="54"/>
      <c r="J1067" s="34"/>
      <c r="K1067" s="54"/>
      <c r="L1067" s="34"/>
      <c r="M1067" s="44"/>
      <c r="N1067" s="44"/>
      <c r="O1067" s="34"/>
      <c r="P1067" s="34"/>
      <c r="Q1067" s="34"/>
      <c r="R1067" s="34"/>
      <c r="V1067" s="44"/>
      <c r="X1067" s="95"/>
      <c r="Y1067" s="54"/>
      <c r="Z1067" s="54"/>
      <c r="AA1067" s="34"/>
      <c r="AB1067" s="34"/>
      <c r="AC1067" s="34"/>
      <c r="AD1067" s="34"/>
      <c r="AE1067" s="34"/>
      <c r="AF1067" s="34"/>
      <c r="AG1067" s="34"/>
      <c r="AH1067" s="34"/>
      <c r="AI1067" s="52"/>
      <c r="AJ1067" s="52"/>
      <c r="AL1067" s="34"/>
      <c r="AM1067" s="34"/>
      <c r="AN1067" s="34"/>
      <c r="AO1067" s="54"/>
      <c r="AP1067" s="34"/>
      <c r="AQ1067" s="34"/>
      <c r="AR1067" s="54"/>
      <c r="AS1067" s="54"/>
      <c r="AT1067" s="54"/>
      <c r="AU1067" s="54"/>
      <c r="AV1067" s="34"/>
      <c r="AW1067" s="34"/>
      <c r="AX1067" s="34"/>
      <c r="AY1067" s="34"/>
      <c r="AZ1067" s="34"/>
      <c r="BA1067" s="44"/>
      <c r="BB1067" s="34"/>
      <c r="BC1067" s="34"/>
    </row>
    <row r="1068" spans="1:55" x14ac:dyDescent="0.35" ht="15.0" customHeight="true">
      <c r="A1068" s="51"/>
      <c r="B1068" s="34"/>
      <c r="C1068" s="34"/>
      <c r="D1068" s="34"/>
      <c r="E1068" s="34"/>
      <c r="F1068" s="34"/>
      <c r="G1068" s="44"/>
      <c r="H1068" s="34"/>
      <c r="I1068" s="54"/>
      <c r="J1068" s="34"/>
      <c r="K1068" s="54"/>
      <c r="L1068" s="34"/>
      <c r="M1068" s="44"/>
      <c r="N1068" s="44"/>
      <c r="O1068" s="34"/>
      <c r="P1068" s="34"/>
      <c r="Q1068" s="34"/>
      <c r="R1068" s="34"/>
      <c r="V1068" s="44"/>
      <c r="X1068" s="95"/>
      <c r="Y1068" s="54"/>
      <c r="Z1068" s="54"/>
      <c r="AA1068" s="34"/>
      <c r="AB1068" s="34"/>
      <c r="AC1068" s="34"/>
      <c r="AD1068" s="34"/>
      <c r="AE1068" s="34"/>
      <c r="AF1068" s="34"/>
      <c r="AG1068" s="34"/>
      <c r="AH1068" s="34"/>
      <c r="AI1068" s="52"/>
      <c r="AJ1068" s="52"/>
      <c r="AL1068" s="34"/>
      <c r="AM1068" s="34"/>
      <c r="AN1068" s="34"/>
      <c r="AO1068" s="54"/>
      <c r="AP1068" s="34"/>
      <c r="AQ1068" s="34"/>
      <c r="AR1068" s="54"/>
      <c r="AS1068" s="54"/>
      <c r="AT1068" s="54"/>
      <c r="AU1068" s="54"/>
      <c r="AV1068" s="34"/>
      <c r="AW1068" s="34"/>
      <c r="AX1068" s="34"/>
      <c r="AY1068" s="34"/>
      <c r="AZ1068" s="34"/>
      <c r="BA1068" s="44"/>
      <c r="BB1068" s="34"/>
      <c r="BC1068" s="34"/>
    </row>
    <row r="1069" spans="1:55" x14ac:dyDescent="0.35" ht="15.0" customHeight="true">
      <c r="A1069" s="51"/>
      <c r="B1069" s="34"/>
      <c r="C1069" s="34"/>
      <c r="D1069" s="34"/>
      <c r="E1069" s="34"/>
      <c r="F1069" s="34"/>
      <c r="G1069" s="44"/>
      <c r="H1069" s="34"/>
      <c r="I1069" s="54"/>
      <c r="J1069" s="34"/>
      <c r="K1069" s="54"/>
      <c r="L1069" s="34"/>
      <c r="M1069" s="44"/>
      <c r="N1069" s="44"/>
      <c r="O1069" s="34"/>
      <c r="P1069" s="34"/>
      <c r="Q1069" s="34"/>
      <c r="R1069" s="34"/>
      <c r="V1069" s="44"/>
      <c r="X1069" s="95"/>
      <c r="Y1069" s="54"/>
      <c r="Z1069" s="54"/>
      <c r="AA1069" s="34"/>
      <c r="AB1069" s="34"/>
      <c r="AC1069" s="34"/>
      <c r="AD1069" s="34"/>
      <c r="AE1069" s="34"/>
      <c r="AF1069" s="34"/>
      <c r="AG1069" s="34"/>
      <c r="AH1069" s="34"/>
      <c r="AI1069" s="52"/>
      <c r="AJ1069" s="52"/>
      <c r="AL1069" s="34"/>
      <c r="AM1069" s="34"/>
      <c r="AN1069" s="34"/>
      <c r="AO1069" s="54"/>
      <c r="AP1069" s="34"/>
      <c r="AQ1069" s="34"/>
      <c r="AR1069" s="54"/>
      <c r="AS1069" s="54"/>
      <c r="AT1069" s="54"/>
      <c r="AU1069" s="54"/>
      <c r="AV1069" s="34"/>
      <c r="AW1069" s="34"/>
      <c r="AX1069" s="34"/>
      <c r="AY1069" s="34"/>
      <c r="AZ1069" s="34"/>
      <c r="BA1069" s="44"/>
      <c r="BB1069" s="34"/>
      <c r="BC1069" s="34"/>
    </row>
    <row r="1070" spans="1:55" x14ac:dyDescent="0.35" ht="15.0" customHeight="true">
      <c r="A1070" s="51"/>
      <c r="B1070" s="34"/>
      <c r="C1070" s="34"/>
      <c r="D1070" s="34"/>
      <c r="E1070" s="34"/>
      <c r="F1070" s="34"/>
      <c r="G1070" s="44"/>
      <c r="H1070" s="34"/>
      <c r="I1070" s="54"/>
      <c r="J1070" s="34"/>
      <c r="K1070" s="54"/>
      <c r="L1070" s="34"/>
      <c r="M1070" s="44"/>
      <c r="N1070" s="44"/>
      <c r="O1070" s="34"/>
      <c r="P1070" s="34"/>
      <c r="Q1070" s="34"/>
      <c r="R1070" s="34"/>
      <c r="V1070" s="44"/>
      <c r="X1070" s="95"/>
      <c r="Y1070" s="54"/>
      <c r="Z1070" s="54"/>
      <c r="AA1070" s="34"/>
      <c r="AB1070" s="34"/>
      <c r="AC1070" s="34"/>
      <c r="AD1070" s="34"/>
      <c r="AE1070" s="34"/>
      <c r="AF1070" s="34"/>
      <c r="AG1070" s="34"/>
      <c r="AH1070" s="34"/>
      <c r="AI1070" s="52"/>
      <c r="AJ1070" s="52"/>
      <c r="AL1070" s="34"/>
      <c r="AM1070" s="34"/>
      <c r="AN1070" s="34"/>
      <c r="AO1070" s="54"/>
      <c r="AP1070" s="34"/>
      <c r="AQ1070" s="34"/>
      <c r="AR1070" s="54"/>
      <c r="AS1070" s="54"/>
      <c r="AT1070" s="54"/>
      <c r="AU1070" s="54"/>
      <c r="AV1070" s="34"/>
      <c r="AW1070" s="34"/>
      <c r="AX1070" s="34"/>
      <c r="AY1070" s="34"/>
      <c r="AZ1070" s="34"/>
      <c r="BA1070" s="44"/>
      <c r="BB1070" s="34"/>
      <c r="BC1070" s="34"/>
    </row>
    <row r="1071" spans="1:55" x14ac:dyDescent="0.35" ht="15.0" customHeight="true">
      <c r="A1071" s="51"/>
      <c r="B1071" s="34"/>
      <c r="C1071" s="34"/>
      <c r="D1071" s="34"/>
      <c r="E1071" s="34"/>
      <c r="F1071" s="34"/>
      <c r="G1071" s="44"/>
      <c r="H1071" s="34"/>
      <c r="I1071" s="54"/>
      <c r="J1071" s="34"/>
      <c r="K1071" s="54"/>
      <c r="L1071" s="34"/>
      <c r="M1071" s="44"/>
      <c r="N1071" s="44"/>
      <c r="O1071" s="34"/>
      <c r="P1071" s="34"/>
      <c r="Q1071" s="34"/>
      <c r="R1071" s="34"/>
      <c r="V1071" s="44"/>
      <c r="X1071" s="95"/>
      <c r="Y1071" s="54"/>
      <c r="Z1071" s="54"/>
      <c r="AA1071" s="34"/>
      <c r="AB1071" s="34"/>
      <c r="AC1071" s="34"/>
      <c r="AD1071" s="34"/>
      <c r="AE1071" s="34"/>
      <c r="AF1071" s="34"/>
      <c r="AG1071" s="34"/>
      <c r="AH1071" s="34"/>
      <c r="AI1071" s="52"/>
      <c r="AJ1071" s="52"/>
      <c r="AL1071" s="34"/>
      <c r="AM1071" s="34"/>
      <c r="AN1071" s="34"/>
      <c r="AO1071" s="54"/>
      <c r="AP1071" s="34"/>
      <c r="AQ1071" s="34"/>
      <c r="AR1071" s="54"/>
      <c r="AS1071" s="54"/>
      <c r="AT1071" s="54"/>
      <c r="AU1071" s="54"/>
      <c r="AV1071" s="34"/>
      <c r="AW1071" s="34"/>
      <c r="AX1071" s="34"/>
      <c r="AY1071" s="34"/>
      <c r="AZ1071" s="34"/>
      <c r="BA1071" s="44"/>
      <c r="BB1071" s="34"/>
      <c r="BC1071" s="34"/>
    </row>
    <row r="1072" spans="1:55" x14ac:dyDescent="0.35" ht="15.0" customHeight="true">
      <c r="A1072" s="51"/>
      <c r="B1072" s="34"/>
      <c r="C1072" s="34"/>
      <c r="D1072" s="34"/>
      <c r="E1072" s="34"/>
      <c r="F1072" s="34"/>
      <c r="G1072" s="44"/>
      <c r="H1072" s="34"/>
      <c r="I1072" s="54"/>
      <c r="J1072" s="34"/>
      <c r="K1072" s="54"/>
      <c r="L1072" s="34"/>
      <c r="M1072" s="44"/>
      <c r="N1072" s="44"/>
      <c r="O1072" s="34"/>
      <c r="P1072" s="34"/>
      <c r="Q1072" s="34"/>
      <c r="R1072" s="34"/>
      <c r="V1072" s="44"/>
      <c r="X1072" s="95"/>
      <c r="Y1072" s="54"/>
      <c r="Z1072" s="54"/>
      <c r="AA1072" s="34"/>
      <c r="AB1072" s="34"/>
      <c r="AC1072" s="34"/>
      <c r="AD1072" s="34"/>
      <c r="AE1072" s="34"/>
      <c r="AF1072" s="34"/>
      <c r="AG1072" s="34"/>
      <c r="AH1072" s="34"/>
      <c r="AI1072" s="52"/>
      <c r="AJ1072" s="52"/>
      <c r="AL1072" s="34"/>
      <c r="AM1072" s="34"/>
      <c r="AN1072" s="34"/>
      <c r="AO1072" s="54"/>
      <c r="AP1072" s="34"/>
      <c r="AQ1072" s="34"/>
      <c r="AR1072" s="54"/>
      <c r="AS1072" s="54"/>
      <c r="AT1072" s="54"/>
      <c r="AU1072" s="54"/>
      <c r="AV1072" s="34"/>
      <c r="AW1072" s="34"/>
      <c r="AX1072" s="34"/>
      <c r="AY1072" s="34"/>
      <c r="AZ1072" s="34"/>
      <c r="BA1072" s="44"/>
      <c r="BB1072" s="34"/>
      <c r="BC1072" s="34"/>
    </row>
    <row r="1073" spans="1:55" x14ac:dyDescent="0.35" ht="15.0" customHeight="true">
      <c r="A1073" s="51"/>
      <c r="B1073" s="34"/>
      <c r="C1073" s="34"/>
      <c r="D1073" s="34"/>
      <c r="E1073" s="34"/>
      <c r="F1073" s="34"/>
      <c r="G1073" s="44"/>
      <c r="H1073" s="34"/>
      <c r="I1073" s="54"/>
      <c r="J1073" s="34"/>
      <c r="K1073" s="54"/>
      <c r="L1073" s="34"/>
      <c r="M1073" s="44"/>
      <c r="N1073" s="44"/>
      <c r="O1073" s="34"/>
      <c r="P1073" s="34"/>
      <c r="Q1073" s="34"/>
      <c r="R1073" s="34"/>
      <c r="V1073" s="44"/>
      <c r="X1073" s="95"/>
      <c r="Y1073" s="54"/>
      <c r="Z1073" s="54"/>
      <c r="AA1073" s="34"/>
      <c r="AB1073" s="34"/>
      <c r="AC1073" s="34"/>
      <c r="AD1073" s="34"/>
      <c r="AE1073" s="34"/>
      <c r="AF1073" s="34"/>
      <c r="AG1073" s="34"/>
      <c r="AH1073" s="34"/>
      <c r="AI1073" s="52"/>
      <c r="AJ1073" s="52"/>
      <c r="AL1073" s="34"/>
      <c r="AM1073" s="34"/>
      <c r="AN1073" s="34"/>
      <c r="AO1073" s="54"/>
      <c r="AP1073" s="34"/>
      <c r="AQ1073" s="34"/>
      <c r="AR1073" s="54"/>
      <c r="AS1073" s="54"/>
      <c r="AT1073" s="54"/>
      <c r="AU1073" s="54"/>
      <c r="AV1073" s="34"/>
      <c r="AW1073" s="34"/>
      <c r="AX1073" s="34"/>
      <c r="AY1073" s="34"/>
      <c r="AZ1073" s="34"/>
      <c r="BA1073" s="44"/>
      <c r="BB1073" s="34"/>
      <c r="BC1073" s="34"/>
    </row>
    <row r="1074" spans="1:55" x14ac:dyDescent="0.35" ht="15.0" customHeight="true">
      <c r="A1074" s="51"/>
      <c r="B1074" s="34"/>
      <c r="C1074" s="34"/>
      <c r="D1074" s="34"/>
      <c r="E1074" s="34"/>
      <c r="F1074" s="34"/>
      <c r="G1074" s="44"/>
      <c r="H1074" s="34"/>
      <c r="I1074" s="54"/>
      <c r="J1074" s="34"/>
      <c r="K1074" s="54"/>
      <c r="L1074" s="34"/>
      <c r="M1074" s="44"/>
      <c r="N1074" s="44"/>
      <c r="O1074" s="34"/>
      <c r="P1074" s="34"/>
      <c r="Q1074" s="34"/>
      <c r="R1074" s="34"/>
      <c r="V1074" s="44"/>
      <c r="X1074" s="95"/>
      <c r="Y1074" s="54"/>
      <c r="Z1074" s="54"/>
      <c r="AA1074" s="34"/>
      <c r="AB1074" s="34"/>
      <c r="AC1074" s="34"/>
      <c r="AD1074" s="34"/>
      <c r="AE1074" s="34"/>
      <c r="AF1074" s="34"/>
      <c r="AG1074" s="34"/>
      <c r="AH1074" s="34"/>
      <c r="AI1074" s="52"/>
      <c r="AJ1074" s="52"/>
      <c r="AL1074" s="34"/>
      <c r="AM1074" s="34"/>
      <c r="AN1074" s="34"/>
      <c r="AO1074" s="54"/>
      <c r="AP1074" s="34"/>
      <c r="AQ1074" s="34"/>
      <c r="AR1074" s="54"/>
      <c r="AS1074" s="54"/>
      <c r="AT1074" s="54"/>
      <c r="AU1074" s="54"/>
      <c r="AV1074" s="34"/>
      <c r="AW1074" s="34"/>
      <c r="AX1074" s="34"/>
      <c r="AY1074" s="34"/>
      <c r="AZ1074" s="34"/>
      <c r="BA1074" s="44"/>
      <c r="BB1074" s="34"/>
      <c r="BC1074" s="34"/>
    </row>
    <row r="1075" spans="1:55" x14ac:dyDescent="0.35" ht="15.0" customHeight="true">
      <c r="A1075" s="51"/>
      <c r="B1075" s="34"/>
      <c r="C1075" s="34"/>
      <c r="D1075" s="34"/>
      <c r="E1075" s="34"/>
      <c r="F1075" s="34"/>
      <c r="G1075" s="44"/>
      <c r="H1075" s="34"/>
      <c r="I1075" s="54"/>
      <c r="J1075" s="34"/>
      <c r="K1075" s="54"/>
      <c r="L1075" s="34"/>
      <c r="M1075" s="44"/>
      <c r="N1075" s="44"/>
      <c r="O1075" s="34"/>
      <c r="P1075" s="34"/>
      <c r="Q1075" s="34"/>
      <c r="R1075" s="34"/>
      <c r="V1075" s="44"/>
      <c r="X1075" s="95"/>
      <c r="Y1075" s="54"/>
      <c r="Z1075" s="54"/>
      <c r="AA1075" s="34"/>
      <c r="AB1075" s="34"/>
      <c r="AC1075" s="34"/>
      <c r="AD1075" s="34"/>
      <c r="AE1075" s="34"/>
      <c r="AF1075" s="34"/>
      <c r="AG1075" s="34"/>
      <c r="AH1075" s="34"/>
      <c r="AI1075" s="52"/>
      <c r="AJ1075" s="52"/>
      <c r="AL1075" s="34"/>
      <c r="AM1075" s="34"/>
      <c r="AN1075" s="34"/>
      <c r="AO1075" s="54"/>
      <c r="AP1075" s="34"/>
      <c r="AQ1075" s="34"/>
      <c r="AR1075" s="54"/>
      <c r="AS1075" s="54"/>
      <c r="AT1075" s="54"/>
      <c r="AU1075" s="54"/>
      <c r="AV1075" s="34"/>
      <c r="AW1075" s="34"/>
      <c r="AX1075" s="34"/>
      <c r="AY1075" s="34"/>
      <c r="AZ1075" s="34"/>
      <c r="BA1075" s="44"/>
      <c r="BB1075" s="34"/>
      <c r="BC1075" s="34"/>
    </row>
    <row r="1076" spans="1:55" x14ac:dyDescent="0.35" ht="15.0" customHeight="true">
      <c r="A1076" s="51"/>
      <c r="B1076" s="34"/>
      <c r="C1076" s="34"/>
      <c r="D1076" s="34"/>
      <c r="E1076" s="34"/>
      <c r="F1076" s="34"/>
      <c r="G1076" s="44"/>
      <c r="H1076" s="34"/>
      <c r="I1076" s="54"/>
      <c r="J1076" s="34"/>
      <c r="K1076" s="54"/>
      <c r="L1076" s="34"/>
      <c r="M1076" s="44"/>
      <c r="N1076" s="44"/>
      <c r="O1076" s="34"/>
      <c r="P1076" s="34"/>
      <c r="Q1076" s="34"/>
      <c r="R1076" s="34"/>
      <c r="V1076" s="44"/>
      <c r="X1076" s="95"/>
      <c r="Y1076" s="54"/>
      <c r="Z1076" s="54"/>
      <c r="AA1076" s="34"/>
      <c r="AB1076" s="34"/>
      <c r="AC1076" s="34"/>
      <c r="AD1076" s="34"/>
      <c r="AE1076" s="34"/>
      <c r="AF1076" s="34"/>
      <c r="AG1076" s="34"/>
      <c r="AH1076" s="34"/>
      <c r="AI1076" s="52"/>
      <c r="AJ1076" s="52"/>
      <c r="AL1076" s="34"/>
      <c r="AM1076" s="34"/>
      <c r="AN1076" s="34"/>
      <c r="AO1076" s="54"/>
      <c r="AP1076" s="34"/>
      <c r="AQ1076" s="34"/>
      <c r="AR1076" s="54"/>
      <c r="AS1076" s="54"/>
      <c r="AT1076" s="54"/>
      <c r="AU1076" s="54"/>
      <c r="AV1076" s="34"/>
      <c r="AW1076" s="34"/>
      <c r="AX1076" s="34"/>
      <c r="AY1076" s="34"/>
      <c r="AZ1076" s="34"/>
      <c r="BA1076" s="44"/>
      <c r="BB1076" s="34"/>
      <c r="BC1076" s="34"/>
    </row>
    <row r="1077" spans="1:55" x14ac:dyDescent="0.35" ht="15.0" customHeight="true">
      <c r="A1077" s="51"/>
      <c r="B1077" s="34"/>
      <c r="C1077" s="34"/>
      <c r="D1077" s="34"/>
      <c r="E1077" s="34"/>
      <c r="F1077" s="34"/>
      <c r="G1077" s="44"/>
      <c r="H1077" s="34"/>
      <c r="I1077" s="54"/>
      <c r="J1077" s="34"/>
      <c r="K1077" s="54"/>
      <c r="L1077" s="34"/>
      <c r="M1077" s="44"/>
      <c r="N1077" s="44"/>
      <c r="O1077" s="34"/>
      <c r="P1077" s="34"/>
      <c r="Q1077" s="34"/>
      <c r="R1077" s="34"/>
      <c r="V1077" s="44"/>
      <c r="X1077" s="95"/>
      <c r="Y1077" s="54"/>
      <c r="Z1077" s="54"/>
      <c r="AA1077" s="34"/>
      <c r="AB1077" s="34"/>
      <c r="AC1077" s="34"/>
      <c r="AD1077" s="34"/>
      <c r="AE1077" s="34"/>
      <c r="AF1077" s="34"/>
      <c r="AG1077" s="34"/>
      <c r="AH1077" s="34"/>
      <c r="AI1077" s="52"/>
      <c r="AJ1077" s="52"/>
      <c r="AL1077" s="34"/>
      <c r="AM1077" s="34"/>
      <c r="AN1077" s="34"/>
      <c r="AO1077" s="54"/>
      <c r="AP1077" s="34"/>
      <c r="AQ1077" s="34"/>
      <c r="AR1077" s="54"/>
      <c r="AS1077" s="54"/>
      <c r="AT1077" s="54"/>
      <c r="AU1077" s="54"/>
      <c r="AV1077" s="34"/>
      <c r="AW1077" s="34"/>
      <c r="AX1077" s="34"/>
      <c r="AY1077" s="34"/>
      <c r="AZ1077" s="34"/>
      <c r="BA1077" s="44"/>
      <c r="BB1077" s="34"/>
      <c r="BC1077" s="34"/>
    </row>
    <row r="1078" spans="1:55" x14ac:dyDescent="0.35" ht="15.0" customHeight="true">
      <c r="A1078" s="51"/>
      <c r="B1078" s="34"/>
      <c r="C1078" s="34"/>
      <c r="D1078" s="34"/>
      <c r="E1078" s="34"/>
      <c r="F1078" s="34"/>
      <c r="G1078" s="44"/>
      <c r="H1078" s="34"/>
      <c r="I1078" s="54"/>
      <c r="J1078" s="34"/>
      <c r="K1078" s="54"/>
      <c r="L1078" s="34"/>
      <c r="M1078" s="44"/>
      <c r="N1078" s="44"/>
      <c r="O1078" s="34"/>
      <c r="P1078" s="34"/>
      <c r="Q1078" s="34"/>
      <c r="R1078" s="34"/>
      <c r="V1078" s="44"/>
      <c r="X1078" s="95"/>
      <c r="Y1078" s="54"/>
      <c r="Z1078" s="54"/>
      <c r="AA1078" s="34"/>
      <c r="AB1078" s="34"/>
      <c r="AC1078" s="34"/>
      <c r="AD1078" s="34"/>
      <c r="AE1078" s="34"/>
      <c r="AF1078" s="34"/>
      <c r="AG1078" s="34"/>
      <c r="AH1078" s="34"/>
      <c r="AI1078" s="52"/>
      <c r="AJ1078" s="52"/>
      <c r="AL1078" s="34"/>
      <c r="AM1078" s="34"/>
      <c r="AN1078" s="34"/>
      <c r="AO1078" s="54"/>
      <c r="AP1078" s="34"/>
      <c r="AQ1078" s="34"/>
      <c r="AR1078" s="54"/>
      <c r="AS1078" s="54"/>
      <c r="AT1078" s="54"/>
      <c r="AU1078" s="54"/>
      <c r="AV1078" s="34"/>
      <c r="AW1078" s="34"/>
      <c r="AX1078" s="34"/>
      <c r="AY1078" s="34"/>
      <c r="AZ1078" s="34"/>
      <c r="BA1078" s="44"/>
      <c r="BB1078" s="34"/>
      <c r="BC1078" s="34"/>
    </row>
    <row r="1079" spans="1:55" x14ac:dyDescent="0.35" ht="15.0" customHeight="true">
      <c r="A1079" s="51"/>
      <c r="B1079" s="34"/>
      <c r="C1079" s="34"/>
      <c r="D1079" s="34"/>
      <c r="E1079" s="34"/>
      <c r="F1079" s="34"/>
      <c r="G1079" s="44"/>
      <c r="H1079" s="34"/>
      <c r="I1079" s="54"/>
      <c r="J1079" s="34"/>
      <c r="K1079" s="54"/>
      <c r="L1079" s="34"/>
      <c r="M1079" s="44"/>
      <c r="N1079" s="44"/>
      <c r="O1079" s="34"/>
      <c r="P1079" s="34"/>
      <c r="Q1079" s="34"/>
      <c r="R1079" s="34"/>
      <c r="V1079" s="44"/>
      <c r="X1079" s="95"/>
      <c r="Y1079" s="54"/>
      <c r="Z1079" s="54"/>
      <c r="AA1079" s="34"/>
      <c r="AB1079" s="34"/>
      <c r="AC1079" s="34"/>
      <c r="AD1079" s="34"/>
      <c r="AE1079" s="34"/>
      <c r="AF1079" s="34"/>
      <c r="AG1079" s="34"/>
      <c r="AH1079" s="34"/>
      <c r="AI1079" s="52"/>
      <c r="AJ1079" s="52"/>
      <c r="AL1079" s="34"/>
      <c r="AM1079" s="34"/>
      <c r="AN1079" s="34"/>
      <c r="AO1079" s="54"/>
      <c r="AP1079" s="34"/>
      <c r="AQ1079" s="34"/>
      <c r="AR1079" s="54"/>
      <c r="AS1079" s="54"/>
      <c r="AT1079" s="54"/>
      <c r="AU1079" s="54"/>
      <c r="AV1079" s="34"/>
      <c r="AW1079" s="34"/>
      <c r="AX1079" s="34"/>
      <c r="AY1079" s="34"/>
      <c r="AZ1079" s="34"/>
      <c r="BA1079" s="44"/>
      <c r="BB1079" s="34"/>
      <c r="BC1079" s="34"/>
    </row>
    <row r="1080" spans="1:55" x14ac:dyDescent="0.35" ht="15.0" customHeight="true">
      <c r="A1080" s="51"/>
      <c r="B1080" s="34"/>
      <c r="C1080" s="34"/>
      <c r="D1080" s="34"/>
      <c r="E1080" s="34"/>
      <c r="F1080" s="34"/>
      <c r="G1080" s="44"/>
      <c r="H1080" s="34"/>
      <c r="I1080" s="54"/>
      <c r="J1080" s="34"/>
      <c r="K1080" s="54"/>
      <c r="L1080" s="34"/>
      <c r="M1080" s="44"/>
      <c r="N1080" s="44"/>
      <c r="O1080" s="34"/>
      <c r="P1080" s="34"/>
      <c r="Q1080" s="34"/>
      <c r="R1080" s="34"/>
      <c r="V1080" s="44"/>
      <c r="X1080" s="95"/>
      <c r="Y1080" s="54"/>
      <c r="Z1080" s="54"/>
      <c r="AA1080" s="34"/>
      <c r="AB1080" s="34"/>
      <c r="AC1080" s="34"/>
      <c r="AD1080" s="34"/>
      <c r="AE1080" s="34"/>
      <c r="AF1080" s="34"/>
      <c r="AG1080" s="34"/>
      <c r="AH1080" s="34"/>
      <c r="AI1080" s="52"/>
      <c r="AJ1080" s="52"/>
      <c r="AL1080" s="34"/>
      <c r="AM1080" s="34"/>
      <c r="AN1080" s="34"/>
      <c r="AO1080" s="54"/>
      <c r="AP1080" s="34"/>
      <c r="AQ1080" s="34"/>
      <c r="AR1080" s="54"/>
      <c r="AS1080" s="54"/>
      <c r="AT1080" s="54"/>
      <c r="AU1080" s="54"/>
      <c r="AV1080" s="34"/>
      <c r="AW1080" s="34"/>
      <c r="AX1080" s="34"/>
      <c r="AY1080" s="34"/>
      <c r="AZ1080" s="34"/>
      <c r="BA1080" s="44"/>
      <c r="BB1080" s="34"/>
      <c r="BC1080" s="34"/>
    </row>
    <row r="1081" spans="1:55" x14ac:dyDescent="0.35" ht="15.0" customHeight="true">
      <c r="A1081" s="51"/>
      <c r="B1081" s="34"/>
      <c r="C1081" s="34"/>
      <c r="D1081" s="34"/>
      <c r="E1081" s="34"/>
      <c r="F1081" s="34"/>
      <c r="G1081" s="44"/>
      <c r="H1081" s="34"/>
      <c r="I1081" s="54"/>
      <c r="J1081" s="34"/>
      <c r="K1081" s="54"/>
      <c r="L1081" s="34"/>
      <c r="M1081" s="44"/>
      <c r="N1081" s="44"/>
      <c r="O1081" s="34"/>
      <c r="P1081" s="34"/>
      <c r="Q1081" s="34"/>
      <c r="R1081" s="34"/>
      <c r="V1081" s="44"/>
      <c r="X1081" s="95"/>
      <c r="Y1081" s="54"/>
      <c r="Z1081" s="54"/>
      <c r="AA1081" s="34"/>
      <c r="AB1081" s="34"/>
      <c r="AC1081" s="34"/>
      <c r="AD1081" s="34"/>
      <c r="AE1081" s="34"/>
      <c r="AF1081" s="34"/>
      <c r="AG1081" s="34"/>
      <c r="AH1081" s="34"/>
      <c r="AI1081" s="52"/>
      <c r="AJ1081" s="52"/>
      <c r="AL1081" s="34"/>
      <c r="AM1081" s="34"/>
      <c r="AN1081" s="34"/>
      <c r="AO1081" s="54"/>
      <c r="AP1081" s="34"/>
      <c r="AQ1081" s="34"/>
      <c r="AR1081" s="54"/>
      <c r="AS1081" s="54"/>
      <c r="AT1081" s="54"/>
      <c r="AU1081" s="54"/>
      <c r="AV1081" s="34"/>
      <c r="AW1081" s="34"/>
      <c r="AX1081" s="34"/>
      <c r="AY1081" s="34"/>
      <c r="AZ1081" s="34"/>
      <c r="BA1081" s="44"/>
      <c r="BB1081" s="34"/>
      <c r="BC1081" s="34"/>
    </row>
    <row r="1082" spans="1:55" x14ac:dyDescent="0.35" ht="15.0" customHeight="true">
      <c r="A1082" s="51"/>
      <c r="B1082" s="34"/>
      <c r="C1082" s="34"/>
      <c r="D1082" s="34"/>
      <c r="E1082" s="34"/>
      <c r="F1082" s="34"/>
      <c r="G1082" s="44"/>
      <c r="H1082" s="34"/>
      <c r="I1082" s="54"/>
      <c r="J1082" s="34"/>
      <c r="K1082" s="54"/>
      <c r="L1082" s="34"/>
      <c r="M1082" s="44"/>
      <c r="N1082" s="44"/>
      <c r="O1082" s="34"/>
      <c r="P1082" s="34"/>
      <c r="Q1082" s="34"/>
      <c r="R1082" s="34"/>
      <c r="V1082" s="44"/>
      <c r="X1082" s="95"/>
      <c r="Y1082" s="54"/>
      <c r="Z1082" s="54"/>
      <c r="AA1082" s="34"/>
      <c r="AB1082" s="34"/>
      <c r="AC1082" s="34"/>
      <c r="AD1082" s="34"/>
      <c r="AE1082" s="34"/>
      <c r="AF1082" s="34"/>
      <c r="AG1082" s="34"/>
      <c r="AH1082" s="34"/>
      <c r="AI1082" s="52"/>
      <c r="AJ1082" s="52"/>
      <c r="AL1082" s="34"/>
      <c r="AM1082" s="34"/>
      <c r="AN1082" s="34"/>
      <c r="AO1082" s="54"/>
      <c r="AP1082" s="34"/>
      <c r="AQ1082" s="34"/>
      <c r="AR1082" s="54"/>
      <c r="AS1082" s="54"/>
      <c r="AT1082" s="54"/>
      <c r="AU1082" s="54"/>
      <c r="AV1082" s="34"/>
      <c r="AW1082" s="34"/>
      <c r="AX1082" s="34"/>
      <c r="AY1082" s="34"/>
      <c r="AZ1082" s="34"/>
      <c r="BA1082" s="44"/>
      <c r="BB1082" s="34"/>
      <c r="BC1082" s="34"/>
    </row>
    <row r="1083" spans="1:55" x14ac:dyDescent="0.35" ht="15.0" customHeight="true">
      <c r="A1083" s="51"/>
      <c r="B1083" s="34"/>
      <c r="C1083" s="34"/>
      <c r="D1083" s="34"/>
      <c r="E1083" s="34"/>
      <c r="F1083" s="34"/>
      <c r="G1083" s="44"/>
      <c r="H1083" s="34"/>
      <c r="I1083" s="54"/>
      <c r="J1083" s="34"/>
      <c r="K1083" s="54"/>
      <c r="L1083" s="34"/>
      <c r="M1083" s="44"/>
      <c r="N1083" s="44"/>
      <c r="O1083" s="34"/>
      <c r="P1083" s="34"/>
      <c r="Q1083" s="34"/>
      <c r="R1083" s="34"/>
      <c r="V1083" s="44"/>
      <c r="X1083" s="95"/>
      <c r="Y1083" s="54"/>
      <c r="Z1083" s="54"/>
      <c r="AA1083" s="34"/>
      <c r="AB1083" s="34"/>
      <c r="AC1083" s="34"/>
      <c r="AD1083" s="34"/>
      <c r="AE1083" s="34"/>
      <c r="AF1083" s="34"/>
      <c r="AG1083" s="34"/>
      <c r="AH1083" s="34"/>
      <c r="AI1083" s="52"/>
      <c r="AJ1083" s="52"/>
      <c r="AL1083" s="34"/>
      <c r="AM1083" s="34"/>
      <c r="AN1083" s="34"/>
      <c r="AO1083" s="54"/>
      <c r="AP1083" s="34"/>
      <c r="AQ1083" s="34"/>
      <c r="AR1083" s="54"/>
      <c r="AS1083" s="54"/>
      <c r="AT1083" s="54"/>
      <c r="AU1083" s="54"/>
      <c r="AV1083" s="34"/>
      <c r="AW1083" s="34"/>
      <c r="AX1083" s="34"/>
      <c r="AY1083" s="34"/>
      <c r="AZ1083" s="34"/>
      <c r="BA1083" s="44"/>
      <c r="BB1083" s="34"/>
      <c r="BC1083" s="34"/>
    </row>
    <row r="1084" spans="1:55" x14ac:dyDescent="0.35" ht="15.0" customHeight="true">
      <c r="A1084" s="51"/>
      <c r="B1084" s="34"/>
      <c r="C1084" s="34"/>
      <c r="D1084" s="34"/>
      <c r="E1084" s="34"/>
      <c r="F1084" s="34"/>
      <c r="G1084" s="44"/>
      <c r="H1084" s="34"/>
      <c r="I1084" s="54"/>
      <c r="J1084" s="34"/>
      <c r="K1084" s="54"/>
      <c r="L1084" s="34"/>
      <c r="M1084" s="44"/>
      <c r="N1084" s="44"/>
      <c r="O1084" s="34"/>
      <c r="P1084" s="34"/>
      <c r="Q1084" s="34"/>
      <c r="R1084" s="34"/>
      <c r="V1084" s="44"/>
      <c r="X1084" s="95"/>
      <c r="Y1084" s="54"/>
      <c r="Z1084" s="54"/>
      <c r="AA1084" s="34"/>
      <c r="AB1084" s="34"/>
      <c r="AC1084" s="34"/>
      <c r="AD1084" s="34"/>
      <c r="AE1084" s="34"/>
      <c r="AF1084" s="34"/>
      <c r="AG1084" s="34"/>
      <c r="AH1084" s="34"/>
      <c r="AI1084" s="52"/>
      <c r="AJ1084" s="52"/>
      <c r="AL1084" s="34"/>
      <c r="AM1084" s="34"/>
      <c r="AN1084" s="34"/>
      <c r="AO1084" s="54"/>
      <c r="AP1084" s="34"/>
      <c r="AQ1084" s="34"/>
      <c r="AR1084" s="54"/>
      <c r="AS1084" s="54"/>
      <c r="AT1084" s="54"/>
      <c r="AU1084" s="54"/>
      <c r="AV1084" s="34"/>
      <c r="AW1084" s="34"/>
      <c r="AX1084" s="34"/>
      <c r="AY1084" s="34"/>
      <c r="AZ1084" s="34"/>
      <c r="BA1084" s="44"/>
      <c r="BB1084" s="34"/>
      <c r="BC1084" s="34"/>
    </row>
    <row r="1085" spans="1:55" x14ac:dyDescent="0.35" ht="15.0" customHeight="true">
      <c r="A1085" s="51"/>
      <c r="B1085" s="34"/>
      <c r="C1085" s="34"/>
      <c r="D1085" s="34"/>
      <c r="E1085" s="34"/>
      <c r="F1085" s="34"/>
      <c r="G1085" s="44"/>
      <c r="H1085" s="34"/>
      <c r="I1085" s="54"/>
      <c r="J1085" s="34"/>
      <c r="K1085" s="54"/>
      <c r="L1085" s="34"/>
      <c r="M1085" s="44"/>
      <c r="N1085" s="44"/>
      <c r="O1085" s="34"/>
      <c r="P1085" s="34"/>
      <c r="Q1085" s="34"/>
      <c r="R1085" s="34"/>
      <c r="V1085" s="44"/>
      <c r="X1085" s="95"/>
      <c r="Y1085" s="54"/>
      <c r="Z1085" s="54"/>
      <c r="AA1085" s="34"/>
      <c r="AB1085" s="34"/>
      <c r="AC1085" s="34"/>
      <c r="AD1085" s="34"/>
      <c r="AE1085" s="34"/>
      <c r="AF1085" s="34"/>
      <c r="AG1085" s="34"/>
      <c r="AH1085" s="34"/>
      <c r="AI1085" s="52"/>
      <c r="AJ1085" s="52"/>
      <c r="AL1085" s="34"/>
      <c r="AM1085" s="34"/>
      <c r="AN1085" s="34"/>
      <c r="AO1085" s="54"/>
      <c r="AP1085" s="34"/>
      <c r="AQ1085" s="34"/>
      <c r="AR1085" s="54"/>
      <c r="AS1085" s="54"/>
      <c r="AT1085" s="54"/>
      <c r="AU1085" s="54"/>
      <c r="AV1085" s="34"/>
      <c r="AW1085" s="34"/>
      <c r="AX1085" s="34"/>
      <c r="AY1085" s="34"/>
      <c r="AZ1085" s="34"/>
      <c r="BA1085" s="44"/>
      <c r="BB1085" s="34"/>
      <c r="BC1085" s="34"/>
    </row>
    <row r="1086" spans="1:55" x14ac:dyDescent="0.35" ht="15.0" customHeight="true">
      <c r="A1086" s="51"/>
      <c r="B1086" s="34"/>
      <c r="C1086" s="34"/>
      <c r="D1086" s="34"/>
      <c r="E1086" s="34"/>
      <c r="F1086" s="34"/>
      <c r="G1086" s="44"/>
      <c r="H1086" s="34"/>
      <c r="I1086" s="54"/>
      <c r="J1086" s="34"/>
      <c r="K1086" s="54"/>
      <c r="L1086" s="34"/>
      <c r="M1086" s="44"/>
      <c r="N1086" s="44"/>
      <c r="O1086" s="34"/>
      <c r="P1086" s="34"/>
      <c r="Q1086" s="34"/>
      <c r="R1086" s="34"/>
      <c r="V1086" s="44"/>
      <c r="X1086" s="95"/>
      <c r="Y1086" s="54"/>
      <c r="Z1086" s="54"/>
      <c r="AA1086" s="34"/>
      <c r="AB1086" s="34"/>
      <c r="AC1086" s="34"/>
      <c r="AD1086" s="34"/>
      <c r="AE1086" s="34"/>
      <c r="AF1086" s="34"/>
      <c r="AG1086" s="34"/>
      <c r="AH1086" s="34"/>
      <c r="AI1086" s="52"/>
      <c r="AJ1086" s="52"/>
      <c r="AL1086" s="34"/>
      <c r="AM1086" s="34"/>
      <c r="AN1086" s="34"/>
      <c r="AO1086" s="54"/>
      <c r="AP1086" s="34"/>
      <c r="AQ1086" s="34"/>
      <c r="AR1086" s="54"/>
      <c r="AS1086" s="54"/>
      <c r="AT1086" s="54"/>
      <c r="AU1086" s="54"/>
      <c r="AV1086" s="34"/>
      <c r="AW1086" s="34"/>
      <c r="AX1086" s="34"/>
      <c r="AY1086" s="34"/>
      <c r="AZ1086" s="34"/>
      <c r="BA1086" s="44"/>
      <c r="BB1086" s="34"/>
      <c r="BC1086" s="34"/>
    </row>
    <row r="1087" spans="1:55" x14ac:dyDescent="0.35" ht="15.0" customHeight="true">
      <c r="A1087" s="51"/>
      <c r="B1087" s="34"/>
      <c r="C1087" s="34"/>
      <c r="D1087" s="34"/>
      <c r="E1087" s="34"/>
      <c r="F1087" s="34"/>
      <c r="G1087" s="44"/>
      <c r="H1087" s="34"/>
      <c r="I1087" s="54"/>
      <c r="J1087" s="34"/>
      <c r="K1087" s="54"/>
      <c r="L1087" s="34"/>
      <c r="M1087" s="44"/>
      <c r="N1087" s="44"/>
      <c r="O1087" s="34"/>
      <c r="P1087" s="34"/>
      <c r="Q1087" s="34"/>
      <c r="R1087" s="34"/>
      <c r="V1087" s="44"/>
      <c r="X1087" s="95"/>
      <c r="Y1087" s="54"/>
      <c r="Z1087" s="54"/>
      <c r="AA1087" s="34"/>
      <c r="AB1087" s="34"/>
      <c r="AC1087" s="34"/>
      <c r="AD1087" s="34"/>
      <c r="AE1087" s="34"/>
      <c r="AF1087" s="34"/>
      <c r="AG1087" s="34"/>
      <c r="AH1087" s="34"/>
      <c r="AI1087" s="52"/>
      <c r="AJ1087" s="52"/>
      <c r="AL1087" s="34"/>
      <c r="AM1087" s="34"/>
      <c r="AN1087" s="34"/>
      <c r="AO1087" s="54"/>
      <c r="AP1087" s="34"/>
      <c r="AQ1087" s="34"/>
      <c r="AR1087" s="54"/>
      <c r="AS1087" s="54"/>
      <c r="AT1087" s="54"/>
      <c r="AU1087" s="54"/>
      <c r="AV1087" s="34"/>
      <c r="AW1087" s="34"/>
      <c r="AX1087" s="34"/>
      <c r="AY1087" s="34"/>
      <c r="AZ1087" s="34"/>
      <c r="BA1087" s="44"/>
      <c r="BB1087" s="34"/>
      <c r="BC1087" s="34"/>
    </row>
    <row r="1088" spans="1:55" x14ac:dyDescent="0.35" ht="15.0" customHeight="true">
      <c r="A1088" s="51"/>
      <c r="B1088" s="34"/>
      <c r="C1088" s="34"/>
      <c r="D1088" s="34"/>
      <c r="E1088" s="34"/>
      <c r="F1088" s="34"/>
      <c r="G1088" s="44"/>
      <c r="H1088" s="34"/>
      <c r="I1088" s="54"/>
      <c r="J1088" s="34"/>
      <c r="K1088" s="54"/>
      <c r="L1088" s="34"/>
      <c r="M1088" s="44"/>
      <c r="N1088" s="44"/>
      <c r="O1088" s="34"/>
      <c r="P1088" s="34"/>
      <c r="Q1088" s="34"/>
      <c r="R1088" s="34"/>
      <c r="V1088" s="44"/>
      <c r="X1088" s="95"/>
      <c r="Y1088" s="54"/>
      <c r="Z1088" s="54"/>
      <c r="AA1088" s="34"/>
      <c r="AB1088" s="34"/>
      <c r="AC1088" s="34"/>
      <c r="AD1088" s="34"/>
      <c r="AE1088" s="34"/>
      <c r="AF1088" s="34"/>
      <c r="AG1088" s="34"/>
      <c r="AH1088" s="34"/>
      <c r="AI1088" s="52"/>
      <c r="AJ1088" s="52"/>
      <c r="AL1088" s="34"/>
      <c r="AM1088" s="34"/>
      <c r="AN1088" s="34"/>
      <c r="AO1088" s="54"/>
      <c r="AP1088" s="34"/>
      <c r="AQ1088" s="34"/>
      <c r="AR1088" s="54"/>
      <c r="AS1088" s="54"/>
      <c r="AT1088" s="54"/>
      <c r="AU1088" s="54"/>
      <c r="AV1088" s="34"/>
      <c r="AW1088" s="34"/>
      <c r="AX1088" s="34"/>
      <c r="AY1088" s="34"/>
      <c r="AZ1088" s="34"/>
      <c r="BA1088" s="44"/>
      <c r="BB1088" s="34"/>
      <c r="BC1088" s="34"/>
    </row>
    <row r="1089" spans="1:55" x14ac:dyDescent="0.35" ht="15.0" customHeight="true">
      <c r="A1089" s="51"/>
      <c r="B1089" s="34"/>
      <c r="C1089" s="34"/>
      <c r="D1089" s="34"/>
      <c r="E1089" s="34"/>
      <c r="F1089" s="34"/>
      <c r="G1089" s="44"/>
      <c r="H1089" s="34"/>
      <c r="I1089" s="54"/>
      <c r="J1089" s="34"/>
      <c r="K1089" s="54"/>
      <c r="L1089" s="34"/>
      <c r="M1089" s="44"/>
      <c r="N1089" s="44"/>
      <c r="O1089" s="34"/>
      <c r="P1089" s="34"/>
      <c r="Q1089" s="34"/>
      <c r="R1089" s="34"/>
      <c r="V1089" s="44"/>
      <c r="X1089" s="95"/>
      <c r="Y1089" s="54"/>
      <c r="Z1089" s="54"/>
      <c r="AA1089" s="34"/>
      <c r="AB1089" s="34"/>
      <c r="AC1089" s="34"/>
      <c r="AD1089" s="34"/>
      <c r="AE1089" s="34"/>
      <c r="AF1089" s="34"/>
      <c r="AG1089" s="34"/>
      <c r="AH1089" s="34"/>
      <c r="AI1089" s="52"/>
      <c r="AJ1089" s="52"/>
      <c r="AL1089" s="34"/>
      <c r="AM1089" s="34"/>
      <c r="AN1089" s="34"/>
      <c r="AO1089" s="54"/>
      <c r="AP1089" s="34"/>
      <c r="AQ1089" s="34"/>
      <c r="AR1089" s="54"/>
      <c r="AS1089" s="54"/>
      <c r="AT1089" s="54"/>
      <c r="AU1089" s="54"/>
      <c r="AV1089" s="34"/>
      <c r="AW1089" s="34"/>
      <c r="AX1089" s="34"/>
      <c r="AY1089" s="34"/>
      <c r="AZ1089" s="34"/>
      <c r="BA1089" s="44"/>
      <c r="BB1089" s="34"/>
      <c r="BC1089" s="34"/>
    </row>
    <row r="1090" spans="1:55" x14ac:dyDescent="0.35" ht="15.0" customHeight="true">
      <c r="A1090" s="51"/>
      <c r="B1090" s="34"/>
      <c r="C1090" s="34"/>
      <c r="D1090" s="34"/>
      <c r="E1090" s="34"/>
      <c r="F1090" s="34"/>
      <c r="G1090" s="44"/>
      <c r="H1090" s="34"/>
      <c r="I1090" s="54"/>
      <c r="J1090" s="34"/>
      <c r="K1090" s="54"/>
      <c r="L1090" s="34"/>
      <c r="M1090" s="44"/>
      <c r="N1090" s="44"/>
      <c r="O1090" s="34"/>
      <c r="P1090" s="34"/>
      <c r="Q1090" s="34"/>
      <c r="R1090" s="34"/>
      <c r="V1090" s="44"/>
      <c r="X1090" s="95"/>
      <c r="Y1090" s="54"/>
      <c r="Z1090" s="54"/>
      <c r="AA1090" s="34"/>
      <c r="AB1090" s="34"/>
      <c r="AC1090" s="34"/>
      <c r="AD1090" s="34"/>
      <c r="AE1090" s="34"/>
      <c r="AF1090" s="34"/>
      <c r="AG1090" s="34"/>
      <c r="AH1090" s="34"/>
      <c r="AI1090" s="52"/>
      <c r="AJ1090" s="52"/>
      <c r="AL1090" s="34"/>
      <c r="AM1090" s="34"/>
      <c r="AN1090" s="34"/>
      <c r="AO1090" s="54"/>
      <c r="AP1090" s="34"/>
      <c r="AQ1090" s="34"/>
      <c r="AR1090" s="54"/>
      <c r="AS1090" s="54"/>
      <c r="AT1090" s="54"/>
      <c r="AU1090" s="54"/>
      <c r="AV1090" s="34"/>
      <c r="AW1090" s="34"/>
      <c r="AX1090" s="34"/>
      <c r="AY1090" s="34"/>
      <c r="AZ1090" s="34"/>
      <c r="BA1090" s="44"/>
      <c r="BB1090" s="34"/>
      <c r="BC1090" s="34"/>
    </row>
    <row r="1091" spans="1:55" x14ac:dyDescent="0.35" ht="15.0" customHeight="true">
      <c r="A1091" s="51"/>
      <c r="B1091" s="34"/>
      <c r="C1091" s="34"/>
      <c r="D1091" s="34"/>
      <c r="E1091" s="34"/>
      <c r="F1091" s="34"/>
      <c r="G1091" s="44"/>
      <c r="H1091" s="34"/>
      <c r="I1091" s="54"/>
      <c r="J1091" s="34"/>
      <c r="K1091" s="54"/>
      <c r="L1091" s="34"/>
      <c r="M1091" s="44"/>
      <c r="N1091" s="44"/>
      <c r="O1091" s="34"/>
      <c r="P1091" s="34"/>
      <c r="Q1091" s="34"/>
      <c r="R1091" s="34"/>
      <c r="V1091" s="44"/>
      <c r="X1091" s="95"/>
      <c r="Y1091" s="54"/>
      <c r="Z1091" s="54"/>
      <c r="AA1091" s="34"/>
      <c r="AB1091" s="34"/>
      <c r="AC1091" s="34"/>
      <c r="AD1091" s="34"/>
      <c r="AE1091" s="34"/>
      <c r="AF1091" s="34"/>
      <c r="AG1091" s="34"/>
      <c r="AH1091" s="34"/>
      <c r="AI1091" s="52"/>
      <c r="AJ1091" s="52"/>
      <c r="AL1091" s="34"/>
      <c r="AM1091" s="34"/>
      <c r="AN1091" s="34"/>
      <c r="AO1091" s="54"/>
      <c r="AP1091" s="34"/>
      <c r="AQ1091" s="34"/>
      <c r="AR1091" s="54"/>
      <c r="AS1091" s="54"/>
      <c r="AT1091" s="54"/>
      <c r="AU1091" s="54"/>
      <c r="AV1091" s="34"/>
      <c r="AW1091" s="34"/>
      <c r="AX1091" s="34"/>
      <c r="AY1091" s="34"/>
      <c r="AZ1091" s="34"/>
      <c r="BA1091" s="44"/>
      <c r="BB1091" s="34"/>
      <c r="BC1091" s="34"/>
    </row>
    <row r="1092" spans="1:55" x14ac:dyDescent="0.35" ht="15.0" customHeight="true">
      <c r="A1092" s="51"/>
      <c r="B1092" s="34"/>
      <c r="C1092" s="34"/>
      <c r="D1092" s="34"/>
      <c r="E1092" s="34"/>
      <c r="F1092" s="34"/>
      <c r="G1092" s="44"/>
      <c r="H1092" s="34"/>
      <c r="I1092" s="54"/>
      <c r="J1092" s="34"/>
      <c r="K1092" s="54"/>
      <c r="L1092" s="34"/>
      <c r="M1092" s="44"/>
      <c r="N1092" s="44"/>
      <c r="O1092" s="34"/>
      <c r="P1092" s="34"/>
      <c r="Q1092" s="34"/>
      <c r="R1092" s="34"/>
      <c r="V1092" s="44"/>
      <c r="X1092" s="95"/>
      <c r="Y1092" s="54"/>
      <c r="Z1092" s="54"/>
      <c r="AA1092" s="34"/>
      <c r="AB1092" s="34"/>
      <c r="AC1092" s="34"/>
      <c r="AD1092" s="34"/>
      <c r="AE1092" s="34"/>
      <c r="AF1092" s="34"/>
      <c r="AG1092" s="34"/>
      <c r="AH1092" s="34"/>
      <c r="AI1092" s="52"/>
      <c r="AJ1092" s="52"/>
      <c r="AL1092" s="34"/>
      <c r="AM1092" s="34"/>
      <c r="AN1092" s="34"/>
      <c r="AO1092" s="54"/>
      <c r="AP1092" s="34"/>
      <c r="AQ1092" s="34"/>
      <c r="AR1092" s="54"/>
      <c r="AS1092" s="54"/>
      <c r="AT1092" s="54"/>
      <c r="AU1092" s="54"/>
      <c r="AV1092" s="34"/>
      <c r="AW1092" s="34"/>
      <c r="AX1092" s="34"/>
      <c r="AY1092" s="34"/>
      <c r="AZ1092" s="34"/>
      <c r="BA1092" s="44"/>
      <c r="BB1092" s="34"/>
      <c r="BC1092" s="34"/>
    </row>
    <row r="1093" spans="1:55" x14ac:dyDescent="0.35" ht="15.0" customHeight="true">
      <c r="A1093" s="51"/>
      <c r="B1093" s="34"/>
      <c r="C1093" s="34"/>
      <c r="D1093" s="34"/>
      <c r="E1093" s="34"/>
      <c r="F1093" s="34"/>
      <c r="G1093" s="44"/>
      <c r="H1093" s="34"/>
      <c r="I1093" s="54"/>
      <c r="J1093" s="34"/>
      <c r="K1093" s="54"/>
      <c r="L1093" s="34"/>
      <c r="M1093" s="44"/>
      <c r="N1093" s="44"/>
      <c r="O1093" s="34"/>
      <c r="P1093" s="34"/>
      <c r="Q1093" s="34"/>
      <c r="R1093" s="34"/>
      <c r="V1093" s="44"/>
      <c r="X1093" s="95"/>
      <c r="Y1093" s="54"/>
      <c r="Z1093" s="54"/>
      <c r="AA1093" s="34"/>
      <c r="AB1093" s="34"/>
      <c r="AC1093" s="34"/>
      <c r="AD1093" s="34"/>
      <c r="AE1093" s="34"/>
      <c r="AF1093" s="34"/>
      <c r="AG1093" s="34"/>
      <c r="AH1093" s="34"/>
      <c r="AI1093" s="52"/>
      <c r="AJ1093" s="52"/>
      <c r="AL1093" s="34"/>
      <c r="AM1093" s="34"/>
      <c r="AN1093" s="34"/>
      <c r="AO1093" s="54"/>
      <c r="AP1093" s="34"/>
      <c r="AQ1093" s="34"/>
      <c r="AR1093" s="54"/>
      <c r="AS1093" s="54"/>
      <c r="AT1093" s="54"/>
      <c r="AU1093" s="54"/>
      <c r="AV1093" s="34"/>
      <c r="AW1093" s="34"/>
      <c r="AX1093" s="34"/>
      <c r="AY1093" s="34"/>
      <c r="AZ1093" s="34"/>
      <c r="BA1093" s="44"/>
      <c r="BB1093" s="34"/>
      <c r="BC1093" s="34"/>
    </row>
    <row r="1094" spans="1:55" x14ac:dyDescent="0.35" ht="15.0" customHeight="true">
      <c r="A1094" s="51"/>
      <c r="B1094" s="34"/>
      <c r="C1094" s="34"/>
      <c r="D1094" s="34"/>
      <c r="E1094" s="34"/>
      <c r="F1094" s="34"/>
      <c r="G1094" s="44"/>
      <c r="H1094" s="34"/>
      <c r="I1094" s="54"/>
      <c r="J1094" s="34"/>
      <c r="K1094" s="54"/>
      <c r="L1094" s="34"/>
      <c r="M1094" s="44"/>
      <c r="N1094" s="44"/>
      <c r="O1094" s="34"/>
      <c r="P1094" s="34"/>
      <c r="Q1094" s="34"/>
      <c r="R1094" s="34"/>
      <c r="V1094" s="44"/>
      <c r="X1094" s="95"/>
      <c r="Y1094" s="54"/>
      <c r="Z1094" s="54"/>
      <c r="AA1094" s="34"/>
      <c r="AB1094" s="34"/>
      <c r="AC1094" s="34"/>
      <c r="AD1094" s="34"/>
      <c r="AE1094" s="34"/>
      <c r="AF1094" s="34"/>
      <c r="AG1094" s="34"/>
      <c r="AH1094" s="34"/>
      <c r="AI1094" s="52"/>
      <c r="AJ1094" s="52"/>
      <c r="AL1094" s="34"/>
      <c r="AM1094" s="34"/>
      <c r="AN1094" s="34"/>
      <c r="AO1094" s="54"/>
      <c r="AP1094" s="34"/>
      <c r="AQ1094" s="34"/>
      <c r="AR1094" s="54"/>
      <c r="AS1094" s="54"/>
      <c r="AT1094" s="54"/>
      <c r="AU1094" s="54"/>
      <c r="AV1094" s="34"/>
      <c r="AW1094" s="34"/>
      <c r="AX1094" s="34"/>
      <c r="AY1094" s="34"/>
      <c r="AZ1094" s="34"/>
      <c r="BA1094" s="44"/>
      <c r="BB1094" s="34"/>
      <c r="BC1094" s="34"/>
    </row>
    <row r="1095" spans="1:55" x14ac:dyDescent="0.35" ht="15.0" customHeight="true">
      <c r="A1095" s="51"/>
      <c r="B1095" s="34"/>
      <c r="C1095" s="34"/>
      <c r="D1095" s="34"/>
      <c r="E1095" s="34"/>
      <c r="F1095" s="34"/>
      <c r="G1095" s="44"/>
      <c r="H1095" s="34"/>
      <c r="I1095" s="54"/>
      <c r="J1095" s="34"/>
      <c r="K1095" s="54"/>
      <c r="L1095" s="34"/>
      <c r="M1095" s="44"/>
      <c r="N1095" s="44"/>
      <c r="O1095" s="34"/>
      <c r="P1095" s="34"/>
      <c r="Q1095" s="34"/>
      <c r="R1095" s="34"/>
      <c r="V1095" s="44"/>
      <c r="X1095" s="95"/>
      <c r="Y1095" s="54"/>
      <c r="Z1095" s="54"/>
      <c r="AA1095" s="34"/>
      <c r="AB1095" s="34"/>
      <c r="AC1095" s="34"/>
      <c r="AD1095" s="34"/>
      <c r="AE1095" s="34"/>
      <c r="AF1095" s="34"/>
      <c r="AG1095" s="34"/>
      <c r="AH1095" s="34"/>
      <c r="AI1095" s="52"/>
      <c r="AJ1095" s="52"/>
      <c r="AL1095" s="34"/>
      <c r="AM1095" s="34"/>
      <c r="AN1095" s="34"/>
      <c r="AO1095" s="54"/>
      <c r="AP1095" s="34"/>
      <c r="AQ1095" s="34"/>
      <c r="AR1095" s="54"/>
      <c r="AS1095" s="54"/>
      <c r="AT1095" s="54"/>
      <c r="AU1095" s="54"/>
      <c r="AV1095" s="34"/>
      <c r="AW1095" s="34"/>
      <c r="AX1095" s="34"/>
      <c r="AY1095" s="34"/>
      <c r="AZ1095" s="34"/>
      <c r="BA1095" s="44"/>
      <c r="BB1095" s="34"/>
      <c r="BC1095" s="34"/>
    </row>
    <row r="1096" spans="1:55" x14ac:dyDescent="0.35" ht="15.0" customHeight="true">
      <c r="A1096" s="51"/>
      <c r="B1096" s="34"/>
      <c r="C1096" s="34"/>
      <c r="D1096" s="34"/>
      <c r="E1096" s="34"/>
      <c r="F1096" s="34"/>
      <c r="G1096" s="44"/>
      <c r="H1096" s="34"/>
      <c r="I1096" s="54"/>
      <c r="J1096" s="34"/>
      <c r="K1096" s="54"/>
      <c r="L1096" s="34"/>
      <c r="M1096" s="44"/>
      <c r="N1096" s="44"/>
      <c r="O1096" s="34"/>
      <c r="P1096" s="34"/>
      <c r="Q1096" s="34"/>
      <c r="R1096" s="34"/>
      <c r="V1096" s="44"/>
      <c r="X1096" s="95"/>
      <c r="Y1096" s="54"/>
      <c r="Z1096" s="54"/>
      <c r="AA1096" s="34"/>
      <c r="AB1096" s="34"/>
      <c r="AC1096" s="34"/>
      <c r="AD1096" s="34"/>
      <c r="AE1096" s="34"/>
      <c r="AF1096" s="34"/>
      <c r="AG1096" s="34"/>
      <c r="AH1096" s="34"/>
      <c r="AI1096" s="52"/>
      <c r="AJ1096" s="52"/>
      <c r="AL1096" s="34"/>
      <c r="AM1096" s="34"/>
      <c r="AN1096" s="34"/>
      <c r="AO1096" s="54"/>
      <c r="AP1096" s="34"/>
      <c r="AQ1096" s="34"/>
      <c r="AR1096" s="54"/>
      <c r="AS1096" s="54"/>
      <c r="AT1096" s="54"/>
      <c r="AU1096" s="54"/>
      <c r="AV1096" s="34"/>
      <c r="AW1096" s="34"/>
      <c r="AX1096" s="34"/>
      <c r="AY1096" s="34"/>
      <c r="AZ1096" s="34"/>
      <c r="BA1096" s="44"/>
      <c r="BB1096" s="34"/>
      <c r="BC1096" s="34"/>
    </row>
    <row r="1097" spans="1:55" x14ac:dyDescent="0.35" ht="15.0" customHeight="true">
      <c r="A1097" s="51"/>
      <c r="B1097" s="34"/>
      <c r="C1097" s="34"/>
      <c r="D1097" s="34"/>
      <c r="E1097" s="34"/>
      <c r="F1097" s="34"/>
      <c r="G1097" s="44"/>
      <c r="H1097" s="34"/>
      <c r="I1097" s="54"/>
      <c r="J1097" s="34"/>
      <c r="K1097" s="54"/>
      <c r="L1097" s="34"/>
      <c r="M1097" s="44"/>
      <c r="N1097" s="44"/>
      <c r="O1097" s="34"/>
      <c r="P1097" s="34"/>
      <c r="Q1097" s="34"/>
      <c r="R1097" s="34"/>
      <c r="V1097" s="44"/>
      <c r="X1097" s="95"/>
      <c r="Y1097" s="54"/>
      <c r="Z1097" s="54"/>
      <c r="AA1097" s="34"/>
      <c r="AB1097" s="34"/>
      <c r="AC1097" s="34"/>
      <c r="AD1097" s="34"/>
      <c r="AE1097" s="34"/>
      <c r="AF1097" s="34"/>
      <c r="AG1097" s="34"/>
      <c r="AH1097" s="34"/>
      <c r="AI1097" s="52"/>
      <c r="AJ1097" s="52"/>
      <c r="AL1097" s="34"/>
      <c r="AM1097" s="34"/>
      <c r="AN1097" s="34"/>
      <c r="AO1097" s="54"/>
      <c r="AP1097" s="34"/>
      <c r="AQ1097" s="34"/>
      <c r="AR1097" s="54"/>
      <c r="AS1097" s="54"/>
      <c r="AT1097" s="54"/>
      <c r="AU1097" s="54"/>
      <c r="AV1097" s="34"/>
      <c r="AW1097" s="34"/>
      <c r="AX1097" s="34"/>
      <c r="AY1097" s="34"/>
      <c r="AZ1097" s="34"/>
      <c r="BA1097" s="44"/>
      <c r="BB1097" s="34"/>
      <c r="BC1097" s="34"/>
    </row>
    <row r="1098" spans="1:55" x14ac:dyDescent="0.35" ht="15.0" customHeight="true">
      <c r="A1098" s="51"/>
      <c r="B1098" s="34"/>
      <c r="C1098" s="34"/>
      <c r="D1098" s="34"/>
      <c r="E1098" s="34"/>
      <c r="F1098" s="34"/>
      <c r="G1098" s="44"/>
      <c r="H1098" s="34"/>
      <c r="I1098" s="54"/>
      <c r="J1098" s="34"/>
      <c r="K1098" s="54"/>
      <c r="L1098" s="34"/>
      <c r="M1098" s="44"/>
      <c r="N1098" s="44"/>
      <c r="O1098" s="34"/>
      <c r="P1098" s="34"/>
      <c r="Q1098" s="34"/>
      <c r="R1098" s="34"/>
      <c r="V1098" s="44"/>
      <c r="X1098" s="95"/>
      <c r="Y1098" s="54"/>
      <c r="Z1098" s="54"/>
      <c r="AA1098" s="34"/>
      <c r="AB1098" s="34"/>
      <c r="AC1098" s="34"/>
      <c r="AD1098" s="34"/>
      <c r="AE1098" s="34"/>
      <c r="AF1098" s="34"/>
      <c r="AG1098" s="34"/>
      <c r="AH1098" s="34"/>
      <c r="AI1098" s="52"/>
      <c r="AJ1098" s="52"/>
      <c r="AL1098" s="34"/>
      <c r="AM1098" s="34"/>
      <c r="AN1098" s="34"/>
      <c r="AO1098" s="54"/>
      <c r="AP1098" s="34"/>
      <c r="AQ1098" s="34"/>
      <c r="AR1098" s="54"/>
      <c r="AS1098" s="54"/>
      <c r="AT1098" s="54"/>
      <c r="AU1098" s="54"/>
      <c r="AV1098" s="34"/>
      <c r="AW1098" s="34"/>
      <c r="AX1098" s="34"/>
      <c r="AY1098" s="34"/>
      <c r="AZ1098" s="34"/>
      <c r="BA1098" s="44"/>
      <c r="BB1098" s="34"/>
      <c r="BC1098" s="34"/>
    </row>
    <row r="1099" spans="1:55" x14ac:dyDescent="0.35" ht="15.0" customHeight="true">
      <c r="A1099" s="51"/>
      <c r="B1099" s="34"/>
      <c r="C1099" s="34"/>
      <c r="D1099" s="34"/>
      <c r="E1099" s="34"/>
      <c r="F1099" s="34"/>
      <c r="G1099" s="44"/>
      <c r="H1099" s="34"/>
      <c r="I1099" s="54"/>
      <c r="J1099" s="34"/>
      <c r="K1099" s="54"/>
      <c r="L1099" s="34"/>
      <c r="M1099" s="44"/>
      <c r="N1099" s="44"/>
      <c r="O1099" s="34"/>
      <c r="P1099" s="34"/>
      <c r="Q1099" s="34"/>
      <c r="R1099" s="34"/>
      <c r="V1099" s="44"/>
      <c r="X1099" s="95"/>
      <c r="Y1099" s="54"/>
      <c r="Z1099" s="54"/>
      <c r="AA1099" s="34"/>
      <c r="AB1099" s="34"/>
      <c r="AC1099" s="34"/>
      <c r="AD1099" s="34"/>
      <c r="AE1099" s="34"/>
      <c r="AF1099" s="34"/>
      <c r="AG1099" s="34"/>
      <c r="AH1099" s="34"/>
      <c r="AI1099" s="52"/>
      <c r="AJ1099" s="52"/>
      <c r="AL1099" s="34"/>
      <c r="AM1099" s="34"/>
      <c r="AN1099" s="34"/>
      <c r="AO1099" s="54"/>
      <c r="AP1099" s="34"/>
      <c r="AQ1099" s="34"/>
      <c r="AR1099" s="54"/>
      <c r="AS1099" s="54"/>
      <c r="AT1099" s="54"/>
      <c r="AU1099" s="54"/>
      <c r="AV1099" s="34"/>
      <c r="AW1099" s="34"/>
      <c r="AX1099" s="34"/>
      <c r="AY1099" s="34"/>
      <c r="AZ1099" s="34"/>
      <c r="BA1099" s="44"/>
      <c r="BB1099" s="34"/>
      <c r="BC1099" s="34"/>
    </row>
    <row r="1100" spans="1:55" x14ac:dyDescent="0.35" ht="15.0" customHeight="true">
      <c r="A1100" s="51"/>
      <c r="B1100" s="34"/>
      <c r="C1100" s="34"/>
      <c r="D1100" s="34"/>
      <c r="E1100" s="34"/>
      <c r="F1100" s="34"/>
      <c r="G1100" s="44"/>
      <c r="H1100" s="34"/>
      <c r="I1100" s="54"/>
      <c r="J1100" s="34"/>
      <c r="K1100" s="54"/>
      <c r="L1100" s="34"/>
      <c r="M1100" s="44"/>
      <c r="N1100" s="44"/>
      <c r="O1100" s="34"/>
      <c r="P1100" s="34"/>
      <c r="Q1100" s="34"/>
      <c r="R1100" s="34"/>
      <c r="V1100" s="44"/>
      <c r="X1100" s="95"/>
      <c r="Y1100" s="54"/>
      <c r="Z1100" s="54"/>
      <c r="AA1100" s="34"/>
      <c r="AB1100" s="34"/>
      <c r="AC1100" s="34"/>
      <c r="AD1100" s="34"/>
      <c r="AE1100" s="34"/>
      <c r="AF1100" s="34"/>
      <c r="AG1100" s="34"/>
      <c r="AH1100" s="34"/>
      <c r="AI1100" s="52"/>
      <c r="AJ1100" s="52"/>
      <c r="AL1100" s="34"/>
      <c r="AM1100" s="34"/>
      <c r="AN1100" s="34"/>
      <c r="AO1100" s="54"/>
      <c r="AP1100" s="34"/>
      <c r="AQ1100" s="34"/>
      <c r="AR1100" s="54"/>
      <c r="AS1100" s="54"/>
      <c r="AT1100" s="54"/>
      <c r="AU1100" s="54"/>
      <c r="AV1100" s="34"/>
      <c r="AW1100" s="34"/>
      <c r="AX1100" s="34"/>
      <c r="AY1100" s="34"/>
      <c r="AZ1100" s="34"/>
      <c r="BA1100" s="44"/>
      <c r="BB1100" s="34"/>
      <c r="BC1100" s="34"/>
    </row>
    <row r="1101" spans="1:55" x14ac:dyDescent="0.35" ht="15.0" customHeight="true">
      <c r="A1101" s="51"/>
      <c r="B1101" s="34"/>
      <c r="C1101" s="34"/>
      <c r="D1101" s="34"/>
      <c r="E1101" s="34"/>
      <c r="F1101" s="34"/>
      <c r="G1101" s="44"/>
      <c r="H1101" s="34"/>
      <c r="I1101" s="54"/>
      <c r="J1101" s="34"/>
      <c r="K1101" s="54"/>
      <c r="L1101" s="34"/>
      <c r="M1101" s="44"/>
      <c r="N1101" s="44"/>
      <c r="O1101" s="34"/>
      <c r="P1101" s="34"/>
      <c r="Q1101" s="34"/>
      <c r="R1101" s="34"/>
      <c r="V1101" s="44"/>
      <c r="X1101" s="95"/>
      <c r="Y1101" s="54"/>
      <c r="Z1101" s="54"/>
      <c r="AA1101" s="34"/>
      <c r="AB1101" s="34"/>
      <c r="AC1101" s="34"/>
      <c r="AD1101" s="34"/>
      <c r="AE1101" s="34"/>
      <c r="AF1101" s="34"/>
      <c r="AG1101" s="34"/>
      <c r="AH1101" s="34"/>
      <c r="AI1101" s="52"/>
      <c r="AJ1101" s="52"/>
      <c r="AL1101" s="34"/>
      <c r="AM1101" s="34"/>
      <c r="AN1101" s="34"/>
      <c r="AO1101" s="54"/>
      <c r="AP1101" s="34"/>
      <c r="AQ1101" s="34"/>
      <c r="AR1101" s="54"/>
      <c r="AS1101" s="54"/>
      <c r="AT1101" s="54"/>
      <c r="AU1101" s="54"/>
      <c r="AV1101" s="34"/>
      <c r="AW1101" s="34"/>
      <c r="AX1101" s="34"/>
      <c r="AY1101" s="34"/>
      <c r="AZ1101" s="34"/>
      <c r="BA1101" s="44"/>
      <c r="BB1101" s="34"/>
      <c r="BC1101" s="34"/>
    </row>
    <row r="1102" spans="1:55" x14ac:dyDescent="0.35" ht="15.0" customHeight="true">
      <c r="A1102" s="51"/>
      <c r="B1102" s="34"/>
      <c r="C1102" s="34"/>
      <c r="D1102" s="34"/>
      <c r="E1102" s="34"/>
      <c r="F1102" s="34"/>
      <c r="G1102" s="44"/>
      <c r="H1102" s="34"/>
      <c r="I1102" s="54"/>
      <c r="J1102" s="34"/>
      <c r="K1102" s="54"/>
      <c r="L1102" s="34"/>
      <c r="M1102" s="44"/>
      <c r="N1102" s="44"/>
      <c r="O1102" s="34"/>
      <c r="P1102" s="34"/>
      <c r="Q1102" s="34"/>
      <c r="R1102" s="34"/>
      <c r="V1102" s="44"/>
      <c r="X1102" s="95"/>
      <c r="Y1102" s="54"/>
      <c r="Z1102" s="54"/>
      <c r="AA1102" s="34"/>
      <c r="AB1102" s="34"/>
      <c r="AC1102" s="34"/>
      <c r="AD1102" s="34"/>
      <c r="AE1102" s="34"/>
      <c r="AF1102" s="34"/>
      <c r="AG1102" s="34"/>
      <c r="AH1102" s="34"/>
      <c r="AI1102" s="52"/>
      <c r="AJ1102" s="52"/>
      <c r="AL1102" s="34"/>
      <c r="AM1102" s="34"/>
      <c r="AN1102" s="34"/>
      <c r="AO1102" s="54"/>
      <c r="AP1102" s="34"/>
      <c r="AQ1102" s="34"/>
      <c r="AR1102" s="54"/>
      <c r="AS1102" s="54"/>
      <c r="AT1102" s="54"/>
      <c r="AU1102" s="54"/>
      <c r="AV1102" s="34"/>
      <c r="AW1102" s="34"/>
      <c r="AX1102" s="34"/>
      <c r="AY1102" s="34"/>
      <c r="AZ1102" s="34"/>
      <c r="BA1102" s="44"/>
      <c r="BB1102" s="34"/>
      <c r="BC1102" s="34"/>
    </row>
    <row r="1103" spans="1:55" x14ac:dyDescent="0.35" ht="15.0" customHeight="true">
      <c r="A1103" s="51"/>
      <c r="B1103" s="34"/>
      <c r="C1103" s="34"/>
      <c r="D1103" s="34"/>
      <c r="E1103" s="34"/>
      <c r="F1103" s="34"/>
      <c r="G1103" s="44"/>
      <c r="H1103" s="34"/>
      <c r="I1103" s="54"/>
      <c r="J1103" s="34"/>
      <c r="K1103" s="54"/>
      <c r="L1103" s="34"/>
      <c r="M1103" s="44"/>
      <c r="N1103" s="44"/>
      <c r="O1103" s="34"/>
      <c r="P1103" s="34"/>
      <c r="Q1103" s="34"/>
      <c r="R1103" s="34"/>
      <c r="V1103" s="44"/>
      <c r="X1103" s="95"/>
      <c r="Y1103" s="54"/>
      <c r="Z1103" s="54"/>
      <c r="AA1103" s="34"/>
      <c r="AB1103" s="34"/>
      <c r="AC1103" s="34"/>
      <c r="AD1103" s="34"/>
      <c r="AE1103" s="34"/>
      <c r="AF1103" s="34"/>
      <c r="AG1103" s="34"/>
      <c r="AH1103" s="34"/>
      <c r="AI1103" s="52"/>
      <c r="AJ1103" s="52"/>
      <c r="AL1103" s="34"/>
      <c r="AM1103" s="34"/>
      <c r="AN1103" s="34"/>
      <c r="AO1103" s="54"/>
      <c r="AP1103" s="34"/>
      <c r="AQ1103" s="34"/>
      <c r="AR1103" s="54"/>
      <c r="AS1103" s="54"/>
      <c r="AT1103" s="54"/>
      <c r="AU1103" s="54"/>
      <c r="AV1103" s="34"/>
      <c r="AW1103" s="34"/>
      <c r="AX1103" s="34"/>
      <c r="AY1103" s="34"/>
      <c r="AZ1103" s="34"/>
      <c r="BA1103" s="44"/>
      <c r="BB1103" s="34"/>
      <c r="BC1103" s="34"/>
    </row>
    <row r="1104" spans="1:55" x14ac:dyDescent="0.35" ht="15.0" customHeight="true">
      <c r="A1104" s="51"/>
      <c r="B1104" s="34"/>
      <c r="C1104" s="34"/>
      <c r="D1104" s="34"/>
      <c r="E1104" s="34"/>
      <c r="F1104" s="34"/>
      <c r="G1104" s="44"/>
      <c r="H1104" s="34"/>
      <c r="I1104" s="54"/>
      <c r="J1104" s="34"/>
      <c r="K1104" s="54"/>
      <c r="L1104" s="34"/>
      <c r="M1104" s="44"/>
      <c r="N1104" s="44"/>
      <c r="O1104" s="34"/>
      <c r="P1104" s="34"/>
      <c r="Q1104" s="34"/>
      <c r="R1104" s="34"/>
      <c r="V1104" s="44"/>
      <c r="X1104" s="95"/>
      <c r="Y1104" s="54"/>
      <c r="Z1104" s="54"/>
      <c r="AA1104" s="34"/>
      <c r="AB1104" s="34"/>
      <c r="AC1104" s="34"/>
      <c r="AD1104" s="34"/>
      <c r="AE1104" s="34"/>
      <c r="AF1104" s="34"/>
      <c r="AG1104" s="34"/>
      <c r="AH1104" s="34"/>
      <c r="AI1104" s="52"/>
      <c r="AJ1104" s="52"/>
      <c r="AL1104" s="34"/>
      <c r="AM1104" s="34"/>
      <c r="AN1104" s="34"/>
      <c r="AO1104" s="54"/>
      <c r="AP1104" s="34"/>
      <c r="AQ1104" s="34"/>
      <c r="AR1104" s="54"/>
      <c r="AS1104" s="54"/>
      <c r="AT1104" s="54"/>
      <c r="AU1104" s="54"/>
      <c r="AV1104" s="34"/>
      <c r="AW1104" s="34"/>
      <c r="AX1104" s="34"/>
      <c r="AY1104" s="34"/>
      <c r="AZ1104" s="34"/>
      <c r="BA1104" s="44"/>
      <c r="BB1104" s="34"/>
      <c r="BC1104" s="34"/>
    </row>
    <row r="1105" spans="1:55" x14ac:dyDescent="0.35" ht="15.0" customHeight="true">
      <c r="A1105" s="51"/>
      <c r="B1105" s="34"/>
      <c r="C1105" s="34"/>
      <c r="D1105" s="34"/>
      <c r="E1105" s="34"/>
      <c r="F1105" s="34"/>
      <c r="G1105" s="44"/>
      <c r="H1105" s="34"/>
      <c r="I1105" s="54"/>
      <c r="J1105" s="34"/>
      <c r="K1105" s="54"/>
      <c r="L1105" s="34"/>
      <c r="M1105" s="44"/>
      <c r="N1105" s="44"/>
      <c r="O1105" s="34"/>
      <c r="P1105" s="34"/>
      <c r="Q1105" s="34"/>
      <c r="R1105" s="34"/>
      <c r="V1105" s="44"/>
      <c r="X1105" s="95"/>
      <c r="Y1105" s="54"/>
      <c r="Z1105" s="54"/>
      <c r="AA1105" s="34"/>
      <c r="AB1105" s="34"/>
      <c r="AC1105" s="34"/>
      <c r="AD1105" s="34"/>
      <c r="AE1105" s="34"/>
      <c r="AF1105" s="34"/>
      <c r="AG1105" s="34"/>
      <c r="AH1105" s="34"/>
      <c r="AI1105" s="52"/>
      <c r="AJ1105" s="52"/>
      <c r="AL1105" s="34"/>
      <c r="AM1105" s="34"/>
      <c r="AN1105" s="34"/>
      <c r="AO1105" s="54"/>
      <c r="AP1105" s="34"/>
      <c r="AQ1105" s="34"/>
      <c r="AR1105" s="54"/>
      <c r="AS1105" s="54"/>
      <c r="AT1105" s="54"/>
      <c r="AU1105" s="54"/>
      <c r="AV1105" s="34"/>
      <c r="AW1105" s="34"/>
      <c r="AX1105" s="34"/>
      <c r="AY1105" s="34"/>
      <c r="AZ1105" s="34"/>
      <c r="BA1105" s="44"/>
      <c r="BB1105" s="34"/>
      <c r="BC1105" s="34"/>
    </row>
    <row r="1106" spans="1:55" x14ac:dyDescent="0.35" ht="15.0" customHeight="true">
      <c r="A1106" s="51"/>
      <c r="B1106" s="34"/>
      <c r="C1106" s="34"/>
      <c r="D1106" s="34"/>
      <c r="E1106" s="34"/>
      <c r="F1106" s="34"/>
      <c r="G1106" s="44"/>
      <c r="H1106" s="34"/>
      <c r="I1106" s="54"/>
      <c r="J1106" s="34"/>
      <c r="K1106" s="54"/>
      <c r="L1106" s="34"/>
      <c r="M1106" s="44"/>
      <c r="N1106" s="44"/>
      <c r="O1106" s="34"/>
      <c r="P1106" s="34"/>
      <c r="Q1106" s="34"/>
      <c r="R1106" s="34"/>
      <c r="V1106" s="44"/>
      <c r="X1106" s="95"/>
      <c r="Y1106" s="54"/>
      <c r="Z1106" s="54"/>
      <c r="AA1106" s="34"/>
      <c r="AB1106" s="34"/>
      <c r="AC1106" s="34"/>
      <c r="AD1106" s="34"/>
      <c r="AE1106" s="34"/>
      <c r="AF1106" s="34"/>
      <c r="AG1106" s="34"/>
      <c r="AH1106" s="34"/>
      <c r="AI1106" s="52"/>
      <c r="AJ1106" s="52"/>
      <c r="AL1106" s="34"/>
      <c r="AM1106" s="34"/>
      <c r="AN1106" s="34"/>
      <c r="AO1106" s="54"/>
      <c r="AP1106" s="34"/>
      <c r="AQ1106" s="34"/>
      <c r="AR1106" s="54"/>
      <c r="AS1106" s="54"/>
      <c r="AT1106" s="54"/>
      <c r="AU1106" s="54"/>
      <c r="AV1106" s="34"/>
      <c r="AW1106" s="34"/>
      <c r="AX1106" s="34"/>
      <c r="AY1106" s="34"/>
      <c r="AZ1106" s="34"/>
      <c r="BA1106" s="44"/>
      <c r="BB1106" s="34"/>
      <c r="BC1106" s="34"/>
    </row>
    <row r="1107" spans="1:55" x14ac:dyDescent="0.35" ht="15.0" customHeight="true">
      <c r="A1107" s="51"/>
      <c r="B1107" s="34"/>
      <c r="C1107" s="34"/>
      <c r="D1107" s="34"/>
      <c r="E1107" s="34"/>
      <c r="F1107" s="34"/>
      <c r="G1107" s="44"/>
      <c r="H1107" s="34"/>
      <c r="I1107" s="54"/>
      <c r="J1107" s="34"/>
      <c r="K1107" s="54"/>
      <c r="L1107" s="34"/>
      <c r="M1107" s="44"/>
      <c r="N1107" s="44"/>
      <c r="O1107" s="34"/>
      <c r="P1107" s="34"/>
      <c r="Q1107" s="34"/>
      <c r="R1107" s="34"/>
      <c r="V1107" s="44"/>
      <c r="X1107" s="95"/>
      <c r="Y1107" s="54"/>
      <c r="Z1107" s="54"/>
      <c r="AA1107" s="34"/>
      <c r="AB1107" s="34"/>
      <c r="AC1107" s="34"/>
      <c r="AD1107" s="34"/>
      <c r="AE1107" s="34"/>
      <c r="AF1107" s="34"/>
      <c r="AG1107" s="34"/>
      <c r="AH1107" s="34"/>
      <c r="AI1107" s="52"/>
      <c r="AJ1107" s="52"/>
      <c r="AL1107" s="34"/>
      <c r="AM1107" s="34"/>
      <c r="AN1107" s="34"/>
      <c r="AO1107" s="54"/>
      <c r="AP1107" s="34"/>
      <c r="AQ1107" s="34"/>
      <c r="AR1107" s="54"/>
      <c r="AS1107" s="54"/>
      <c r="AT1107" s="54"/>
      <c r="AU1107" s="54"/>
      <c r="AV1107" s="34"/>
      <c r="AW1107" s="34"/>
      <c r="AX1107" s="34"/>
      <c r="AY1107" s="34"/>
      <c r="AZ1107" s="34"/>
      <c r="BA1107" s="44"/>
      <c r="BB1107" s="34"/>
      <c r="BC1107" s="34"/>
    </row>
    <row r="1108" spans="1:55" x14ac:dyDescent="0.35" ht="15.0" customHeight="true">
      <c r="A1108" s="51"/>
      <c r="B1108" s="34"/>
      <c r="C1108" s="34"/>
      <c r="D1108" s="34"/>
      <c r="E1108" s="34"/>
      <c r="F1108" s="34"/>
      <c r="G1108" s="44"/>
      <c r="H1108" s="34"/>
      <c r="I1108" s="54"/>
      <c r="J1108" s="34"/>
      <c r="K1108" s="54"/>
      <c r="L1108" s="34"/>
      <c r="M1108" s="44"/>
      <c r="N1108" s="44"/>
      <c r="O1108" s="34"/>
      <c r="P1108" s="34"/>
      <c r="Q1108" s="34"/>
      <c r="R1108" s="34"/>
      <c r="V1108" s="44"/>
      <c r="X1108" s="95"/>
      <c r="Y1108" s="54"/>
      <c r="Z1108" s="54"/>
      <c r="AA1108" s="34"/>
      <c r="AB1108" s="34"/>
      <c r="AC1108" s="34"/>
      <c r="AD1108" s="34"/>
      <c r="AE1108" s="34"/>
      <c r="AF1108" s="34"/>
      <c r="AG1108" s="34"/>
      <c r="AH1108" s="34"/>
      <c r="AI1108" s="52"/>
      <c r="AJ1108" s="52"/>
      <c r="AL1108" s="34"/>
      <c r="AM1108" s="34"/>
      <c r="AN1108" s="34"/>
      <c r="AO1108" s="54"/>
      <c r="AP1108" s="34"/>
      <c r="AQ1108" s="34"/>
      <c r="AR1108" s="54"/>
      <c r="AS1108" s="54"/>
      <c r="AT1108" s="54"/>
      <c r="AU1108" s="54"/>
      <c r="AV1108" s="34"/>
      <c r="AW1108" s="34"/>
      <c r="AX1108" s="34"/>
      <c r="AY1108" s="34"/>
      <c r="AZ1108" s="34"/>
      <c r="BA1108" s="44"/>
      <c r="BB1108" s="34"/>
      <c r="BC1108" s="34"/>
    </row>
    <row r="1109" spans="1:55" x14ac:dyDescent="0.35" ht="15.0" customHeight="true">
      <c r="A1109" s="51"/>
      <c r="B1109" s="34"/>
      <c r="C1109" s="34"/>
      <c r="D1109" s="34"/>
      <c r="E1109" s="34"/>
      <c r="F1109" s="34"/>
      <c r="G1109" s="44"/>
      <c r="H1109" s="34"/>
      <c r="I1109" s="54"/>
      <c r="J1109" s="34"/>
      <c r="K1109" s="54"/>
      <c r="L1109" s="34"/>
      <c r="M1109" s="44"/>
      <c r="N1109" s="44"/>
      <c r="O1109" s="34"/>
      <c r="P1109" s="34"/>
      <c r="Q1109" s="34"/>
      <c r="R1109" s="34"/>
      <c r="V1109" s="44"/>
      <c r="X1109" s="95"/>
      <c r="Y1109" s="54"/>
      <c r="Z1109" s="54"/>
      <c r="AA1109" s="34"/>
      <c r="AB1109" s="34"/>
      <c r="AC1109" s="34"/>
      <c r="AD1109" s="34"/>
      <c r="AE1109" s="34"/>
      <c r="AF1109" s="34"/>
      <c r="AG1109" s="34"/>
      <c r="AH1109" s="34"/>
      <c r="AI1109" s="52"/>
      <c r="AJ1109" s="52"/>
      <c r="AL1109" s="34"/>
      <c r="AM1109" s="34"/>
      <c r="AN1109" s="34"/>
      <c r="AO1109" s="54"/>
      <c r="AP1109" s="34"/>
      <c r="AQ1109" s="34"/>
      <c r="AR1109" s="54"/>
      <c r="AS1109" s="54"/>
      <c r="AT1109" s="54"/>
      <c r="AU1109" s="54"/>
      <c r="AV1109" s="34"/>
      <c r="AW1109" s="34"/>
      <c r="AX1109" s="34"/>
      <c r="AY1109" s="34"/>
      <c r="AZ1109" s="34"/>
      <c r="BA1109" s="44"/>
      <c r="BB1109" s="34"/>
      <c r="BC1109" s="34"/>
    </row>
    <row r="1110" spans="1:55" x14ac:dyDescent="0.35" ht="15.0" customHeight="true">
      <c r="A1110" s="51"/>
      <c r="B1110" s="34"/>
      <c r="C1110" s="34"/>
      <c r="D1110" s="34"/>
      <c r="E1110" s="34"/>
      <c r="F1110" s="34"/>
      <c r="G1110" s="44"/>
      <c r="H1110" s="34"/>
      <c r="I1110" s="54"/>
      <c r="J1110" s="34"/>
      <c r="K1110" s="54"/>
      <c r="L1110" s="34"/>
      <c r="M1110" s="44"/>
      <c r="N1110" s="44"/>
      <c r="O1110" s="34"/>
      <c r="P1110" s="34"/>
      <c r="Q1110" s="34"/>
      <c r="R1110" s="34"/>
      <c r="V1110" s="44"/>
      <c r="X1110" s="95"/>
      <c r="Y1110" s="54"/>
      <c r="Z1110" s="54"/>
      <c r="AA1110" s="34"/>
      <c r="AB1110" s="34"/>
      <c r="AC1110" s="34"/>
      <c r="AD1110" s="34"/>
      <c r="AE1110" s="34"/>
      <c r="AF1110" s="34"/>
      <c r="AG1110" s="34"/>
      <c r="AH1110" s="34"/>
      <c r="AI1110" s="52"/>
      <c r="AJ1110" s="52"/>
      <c r="AL1110" s="34"/>
      <c r="AM1110" s="34"/>
      <c r="AN1110" s="34"/>
      <c r="AO1110" s="54"/>
      <c r="AP1110" s="34"/>
      <c r="AQ1110" s="34"/>
      <c r="AR1110" s="54"/>
      <c r="AS1110" s="54"/>
      <c r="AT1110" s="54"/>
      <c r="AU1110" s="54"/>
      <c r="AV1110" s="34"/>
      <c r="AW1110" s="34"/>
      <c r="AX1110" s="34"/>
      <c r="AY1110" s="34"/>
      <c r="AZ1110" s="34"/>
      <c r="BA1110" s="44"/>
      <c r="BB1110" s="34"/>
      <c r="BC1110" s="34"/>
    </row>
    <row r="1111" spans="1:55" x14ac:dyDescent="0.35" ht="15.0" customHeight="true">
      <c r="A1111" s="51"/>
      <c r="B1111" s="34"/>
      <c r="C1111" s="34"/>
      <c r="D1111" s="34"/>
      <c r="E1111" s="34"/>
      <c r="F1111" s="34"/>
      <c r="G1111" s="44"/>
      <c r="H1111" s="34"/>
      <c r="I1111" s="54"/>
      <c r="J1111" s="34"/>
      <c r="K1111" s="54"/>
      <c r="L1111" s="34"/>
      <c r="M1111" s="44"/>
      <c r="N1111" s="44"/>
      <c r="O1111" s="34"/>
      <c r="P1111" s="34"/>
      <c r="Q1111" s="34"/>
      <c r="R1111" s="34"/>
      <c r="V1111" s="44"/>
      <c r="X1111" s="95"/>
      <c r="Y1111" s="54"/>
      <c r="Z1111" s="54"/>
      <c r="AA1111" s="34"/>
      <c r="AB1111" s="34"/>
      <c r="AC1111" s="34"/>
      <c r="AD1111" s="34"/>
      <c r="AE1111" s="34"/>
      <c r="AF1111" s="34"/>
      <c r="AG1111" s="34"/>
      <c r="AH1111" s="34"/>
      <c r="AI1111" s="52"/>
      <c r="AJ1111" s="52"/>
      <c r="AL1111" s="34"/>
      <c r="AM1111" s="34"/>
      <c r="AN1111" s="34"/>
      <c r="AO1111" s="54"/>
      <c r="AP1111" s="34"/>
      <c r="AQ1111" s="34"/>
      <c r="AR1111" s="54"/>
      <c r="AS1111" s="54"/>
      <c r="AT1111" s="54"/>
      <c r="AU1111" s="54"/>
      <c r="AV1111" s="34"/>
      <c r="AW1111" s="34"/>
      <c r="AX1111" s="34"/>
      <c r="AY1111" s="34"/>
      <c r="AZ1111" s="34"/>
      <c r="BA1111" s="44"/>
      <c r="BB1111" s="34"/>
      <c r="BC1111" s="34"/>
    </row>
    <row r="1112" spans="1:55" x14ac:dyDescent="0.35" ht="15.0" customHeight="true">
      <c r="A1112" s="51"/>
      <c r="B1112" s="34"/>
      <c r="C1112" s="34"/>
      <c r="D1112" s="34"/>
      <c r="E1112" s="34"/>
      <c r="F1112" s="34"/>
      <c r="G1112" s="44"/>
      <c r="H1112" s="34"/>
      <c r="I1112" s="54"/>
      <c r="J1112" s="34"/>
      <c r="K1112" s="54"/>
      <c r="L1112" s="34"/>
      <c r="M1112" s="44"/>
      <c r="N1112" s="44"/>
      <c r="O1112" s="34"/>
      <c r="P1112" s="34"/>
      <c r="Q1112" s="34"/>
      <c r="R1112" s="34"/>
      <c r="V1112" s="44"/>
      <c r="X1112" s="95"/>
      <c r="Y1112" s="54"/>
      <c r="Z1112" s="54"/>
      <c r="AA1112" s="34"/>
      <c r="AB1112" s="34"/>
      <c r="AC1112" s="34"/>
      <c r="AD1112" s="34"/>
      <c r="AE1112" s="34"/>
      <c r="AF1112" s="34"/>
      <c r="AG1112" s="34"/>
      <c r="AH1112" s="34"/>
      <c r="AI1112" s="52"/>
      <c r="AJ1112" s="52"/>
      <c r="AL1112" s="34"/>
      <c r="AM1112" s="34"/>
      <c r="AN1112" s="34"/>
      <c r="AO1112" s="54"/>
      <c r="AP1112" s="34"/>
      <c r="AQ1112" s="34"/>
      <c r="AR1112" s="54"/>
      <c r="AS1112" s="54"/>
      <c r="AT1112" s="54"/>
      <c r="AU1112" s="54"/>
      <c r="AV1112" s="34"/>
      <c r="AW1112" s="34"/>
      <c r="AX1112" s="34"/>
      <c r="AY1112" s="34"/>
      <c r="AZ1112" s="34"/>
      <c r="BA1112" s="44"/>
      <c r="BB1112" s="34"/>
      <c r="BC1112" s="34"/>
    </row>
    <row r="1113" spans="1:55" x14ac:dyDescent="0.35" ht="15.0" customHeight="true">
      <c r="A1113" s="51"/>
      <c r="B1113" s="34"/>
      <c r="C1113" s="34"/>
      <c r="D1113" s="34"/>
      <c r="E1113" s="34"/>
      <c r="F1113" s="34"/>
      <c r="G1113" s="44"/>
      <c r="H1113" s="34"/>
      <c r="I1113" s="54"/>
      <c r="J1113" s="34"/>
      <c r="K1113" s="54"/>
      <c r="L1113" s="34"/>
      <c r="M1113" s="44"/>
      <c r="N1113" s="44"/>
      <c r="O1113" s="34"/>
      <c r="P1113" s="34"/>
      <c r="Q1113" s="34"/>
      <c r="R1113" s="34"/>
      <c r="V1113" s="44"/>
      <c r="X1113" s="95"/>
      <c r="Y1113" s="54"/>
      <c r="Z1113" s="54"/>
      <c r="AA1113" s="34"/>
      <c r="AB1113" s="34"/>
      <c r="AC1113" s="34"/>
      <c r="AD1113" s="34"/>
      <c r="AE1113" s="34"/>
      <c r="AF1113" s="34"/>
      <c r="AG1113" s="34"/>
      <c r="AH1113" s="34"/>
      <c r="AI1113" s="52"/>
      <c r="AJ1113" s="52"/>
      <c r="AL1113" s="34"/>
      <c r="AM1113" s="34"/>
      <c r="AN1113" s="34"/>
      <c r="AO1113" s="54"/>
      <c r="AP1113" s="34"/>
      <c r="AQ1113" s="34"/>
      <c r="AR1113" s="54"/>
      <c r="AS1113" s="54"/>
      <c r="AT1113" s="54"/>
      <c r="AU1113" s="54"/>
      <c r="AV1113" s="34"/>
      <c r="AW1113" s="34"/>
      <c r="AX1113" s="34"/>
      <c r="AY1113" s="34"/>
      <c r="AZ1113" s="34"/>
      <c r="BA1113" s="44"/>
      <c r="BB1113" s="34"/>
      <c r="BC1113" s="34"/>
    </row>
    <row r="1114" spans="1:55" x14ac:dyDescent="0.35" ht="15.0" customHeight="true">
      <c r="A1114" s="51"/>
      <c r="B1114" s="34"/>
      <c r="C1114" s="34"/>
      <c r="D1114" s="34"/>
      <c r="E1114" s="34"/>
      <c r="F1114" s="34"/>
      <c r="G1114" s="44"/>
      <c r="H1114" s="34"/>
      <c r="I1114" s="54"/>
      <c r="J1114" s="34"/>
      <c r="K1114" s="54"/>
      <c r="L1114" s="34"/>
      <c r="M1114" s="44"/>
      <c r="N1114" s="44"/>
      <c r="O1114" s="34"/>
      <c r="P1114" s="34"/>
      <c r="Q1114" s="34"/>
      <c r="R1114" s="34"/>
      <c r="V1114" s="44"/>
      <c r="X1114" s="95"/>
      <c r="Y1114" s="54"/>
      <c r="Z1114" s="54"/>
      <c r="AA1114" s="34"/>
      <c r="AB1114" s="34"/>
      <c r="AC1114" s="34"/>
      <c r="AD1114" s="34"/>
      <c r="AE1114" s="34"/>
      <c r="AF1114" s="34"/>
      <c r="AG1114" s="34"/>
      <c r="AH1114" s="34"/>
      <c r="AI1114" s="52"/>
      <c r="AJ1114" s="52"/>
      <c r="AL1114" s="34"/>
      <c r="AM1114" s="34"/>
      <c r="AN1114" s="34"/>
      <c r="AO1114" s="54"/>
      <c r="AP1114" s="34"/>
      <c r="AQ1114" s="34"/>
      <c r="AR1114" s="54"/>
      <c r="AS1114" s="54"/>
      <c r="AT1114" s="54"/>
      <c r="AU1114" s="54"/>
      <c r="AV1114" s="34"/>
      <c r="AW1114" s="34"/>
      <c r="AX1114" s="34"/>
      <c r="AY1114" s="34"/>
      <c r="AZ1114" s="34"/>
      <c r="BA1114" s="44"/>
      <c r="BB1114" s="34"/>
      <c r="BC1114" s="34"/>
    </row>
    <row r="1115" spans="1:55" x14ac:dyDescent="0.35" ht="15.0" customHeight="true">
      <c r="A1115" s="51"/>
      <c r="B1115" s="34"/>
      <c r="C1115" s="34"/>
      <c r="D1115" s="34"/>
      <c r="E1115" s="34"/>
      <c r="F1115" s="34"/>
      <c r="G1115" s="44"/>
      <c r="H1115" s="34"/>
      <c r="I1115" s="54"/>
      <c r="J1115" s="34"/>
      <c r="K1115" s="54"/>
      <c r="L1115" s="34"/>
      <c r="M1115" s="44"/>
      <c r="N1115" s="44"/>
      <c r="O1115" s="34"/>
      <c r="P1115" s="34"/>
      <c r="Q1115" s="34"/>
      <c r="R1115" s="34"/>
      <c r="V1115" s="44"/>
      <c r="X1115" s="95"/>
      <c r="Y1115" s="54"/>
      <c r="Z1115" s="54"/>
      <c r="AA1115" s="34"/>
      <c r="AB1115" s="34"/>
      <c r="AC1115" s="34"/>
      <c r="AD1115" s="34"/>
      <c r="AE1115" s="34"/>
      <c r="AF1115" s="34"/>
      <c r="AG1115" s="34"/>
      <c r="AH1115" s="34"/>
      <c r="AI1115" s="52"/>
      <c r="AJ1115" s="52"/>
      <c r="AL1115" s="34"/>
      <c r="AM1115" s="34"/>
      <c r="AN1115" s="34"/>
      <c r="AO1115" s="54"/>
      <c r="AP1115" s="34"/>
      <c r="AQ1115" s="34"/>
      <c r="AR1115" s="54"/>
      <c r="AS1115" s="54"/>
      <c r="AT1115" s="54"/>
      <c r="AU1115" s="54"/>
      <c r="AV1115" s="34"/>
      <c r="AW1115" s="34"/>
      <c r="AX1115" s="34"/>
      <c r="AY1115" s="34"/>
      <c r="AZ1115" s="34"/>
      <c r="BA1115" s="44"/>
      <c r="BB1115" s="34"/>
      <c r="BC1115" s="34"/>
    </row>
    <row r="1116" spans="1:55" x14ac:dyDescent="0.35" ht="15.0" customHeight="true">
      <c r="A1116" s="51"/>
      <c r="B1116" s="34"/>
      <c r="C1116" s="34"/>
      <c r="D1116" s="34"/>
      <c r="E1116" s="34"/>
      <c r="F1116" s="34"/>
      <c r="G1116" s="44"/>
      <c r="H1116" s="34"/>
      <c r="I1116" s="54"/>
      <c r="J1116" s="34"/>
      <c r="K1116" s="54"/>
      <c r="L1116" s="34"/>
      <c r="M1116" s="44"/>
      <c r="N1116" s="44"/>
      <c r="O1116" s="34"/>
      <c r="P1116" s="34"/>
      <c r="Q1116" s="34"/>
      <c r="R1116" s="34"/>
      <c r="V1116" s="44"/>
      <c r="X1116" s="95"/>
      <c r="Y1116" s="54"/>
      <c r="Z1116" s="54"/>
      <c r="AA1116" s="34"/>
      <c r="AB1116" s="34"/>
      <c r="AC1116" s="34"/>
      <c r="AD1116" s="34"/>
      <c r="AE1116" s="34"/>
      <c r="AF1116" s="34"/>
      <c r="AG1116" s="34"/>
      <c r="AH1116" s="34"/>
      <c r="AI1116" s="52"/>
      <c r="AJ1116" s="52"/>
      <c r="AL1116" s="34"/>
      <c r="AM1116" s="34"/>
      <c r="AN1116" s="34"/>
      <c r="AO1116" s="54"/>
      <c r="AP1116" s="34"/>
      <c r="AQ1116" s="34"/>
      <c r="AR1116" s="54"/>
      <c r="AS1116" s="54"/>
      <c r="AT1116" s="54"/>
      <c r="AU1116" s="54"/>
      <c r="AV1116" s="34"/>
      <c r="AW1116" s="34"/>
      <c r="AX1116" s="34"/>
      <c r="AY1116" s="34"/>
      <c r="AZ1116" s="34"/>
      <c r="BA1116" s="44"/>
      <c r="BB1116" s="34"/>
      <c r="BC1116" s="34"/>
    </row>
    <row r="1117" spans="1:55" x14ac:dyDescent="0.35" ht="15.0" customHeight="true">
      <c r="A1117" s="51"/>
      <c r="B1117" s="34"/>
      <c r="C1117" s="34"/>
      <c r="D1117" s="34"/>
      <c r="E1117" s="34"/>
      <c r="F1117" s="34"/>
      <c r="G1117" s="44"/>
      <c r="H1117" s="34"/>
      <c r="I1117" s="54"/>
      <c r="J1117" s="34"/>
      <c r="K1117" s="54"/>
      <c r="L1117" s="34"/>
      <c r="M1117" s="44"/>
      <c r="N1117" s="44"/>
      <c r="O1117" s="34"/>
      <c r="P1117" s="34"/>
      <c r="Q1117" s="34"/>
      <c r="R1117" s="34"/>
      <c r="V1117" s="44"/>
      <c r="X1117" s="95"/>
      <c r="Y1117" s="54"/>
      <c r="Z1117" s="54"/>
      <c r="AA1117" s="34"/>
      <c r="AB1117" s="34"/>
      <c r="AC1117" s="34"/>
      <c r="AD1117" s="34"/>
      <c r="AE1117" s="34"/>
      <c r="AF1117" s="34"/>
      <c r="AG1117" s="34"/>
      <c r="AH1117" s="34"/>
      <c r="AI1117" s="52"/>
      <c r="AJ1117" s="52"/>
      <c r="AL1117" s="34"/>
      <c r="AM1117" s="34"/>
      <c r="AN1117" s="34"/>
      <c r="AO1117" s="54"/>
      <c r="AP1117" s="34"/>
      <c r="AQ1117" s="34"/>
      <c r="AR1117" s="54"/>
      <c r="AS1117" s="54"/>
      <c r="AT1117" s="54"/>
      <c r="AU1117" s="54"/>
      <c r="AV1117" s="34"/>
      <c r="AW1117" s="34"/>
      <c r="AX1117" s="34"/>
      <c r="AY1117" s="34"/>
      <c r="AZ1117" s="34"/>
      <c r="BA1117" s="44"/>
      <c r="BB1117" s="34"/>
      <c r="BC1117" s="34"/>
    </row>
    <row r="1118" spans="1:55" x14ac:dyDescent="0.35" ht="15.0" customHeight="true">
      <c r="A1118" s="51"/>
      <c r="B1118" s="34"/>
      <c r="C1118" s="34"/>
      <c r="D1118" s="34"/>
      <c r="E1118" s="34"/>
      <c r="F1118" s="34"/>
      <c r="G1118" s="44"/>
      <c r="H1118" s="34"/>
      <c r="I1118" s="54"/>
      <c r="J1118" s="34"/>
      <c r="K1118" s="54"/>
      <c r="L1118" s="34"/>
      <c r="M1118" s="44"/>
      <c r="N1118" s="44"/>
      <c r="O1118" s="34"/>
      <c r="P1118" s="34"/>
      <c r="Q1118" s="34"/>
      <c r="R1118" s="34"/>
      <c r="V1118" s="44"/>
      <c r="X1118" s="95"/>
      <c r="Y1118" s="54"/>
      <c r="Z1118" s="54"/>
      <c r="AA1118" s="34"/>
      <c r="AB1118" s="34"/>
      <c r="AC1118" s="34"/>
      <c r="AD1118" s="34"/>
      <c r="AE1118" s="34"/>
      <c r="AF1118" s="34"/>
      <c r="AG1118" s="34"/>
      <c r="AH1118" s="34"/>
      <c r="AI1118" s="52"/>
      <c r="AJ1118" s="52"/>
      <c r="AL1118" s="34"/>
      <c r="AM1118" s="34"/>
      <c r="AN1118" s="34"/>
      <c r="AO1118" s="54"/>
      <c r="AP1118" s="34"/>
      <c r="AQ1118" s="34"/>
      <c r="AR1118" s="54"/>
      <c r="AS1118" s="54"/>
      <c r="AT1118" s="54"/>
      <c r="AU1118" s="54"/>
      <c r="AV1118" s="34"/>
      <c r="AW1118" s="34"/>
      <c r="AX1118" s="34"/>
      <c r="AY1118" s="34"/>
      <c r="AZ1118" s="34"/>
      <c r="BA1118" s="44"/>
      <c r="BB1118" s="34"/>
      <c r="BC1118" s="34"/>
    </row>
    <row r="1119" spans="1:55" x14ac:dyDescent="0.35" ht="15.0" customHeight="true">
      <c r="A1119" s="51"/>
      <c r="B1119" s="34"/>
      <c r="C1119" s="34"/>
      <c r="D1119" s="34"/>
      <c r="E1119" s="34"/>
      <c r="F1119" s="34"/>
      <c r="G1119" s="44"/>
      <c r="H1119" s="34"/>
      <c r="I1119" s="54"/>
      <c r="J1119" s="34"/>
      <c r="K1119" s="54"/>
      <c r="L1119" s="34"/>
      <c r="M1119" s="44"/>
      <c r="N1119" s="44"/>
      <c r="O1119" s="34"/>
      <c r="P1119" s="34"/>
      <c r="Q1119" s="34"/>
      <c r="R1119" s="34"/>
      <c r="V1119" s="44"/>
      <c r="X1119" s="95"/>
      <c r="Y1119" s="54"/>
      <c r="Z1119" s="54"/>
      <c r="AA1119" s="34"/>
      <c r="AB1119" s="34"/>
      <c r="AC1119" s="34"/>
      <c r="AD1119" s="34"/>
      <c r="AE1119" s="34"/>
      <c r="AF1119" s="34"/>
      <c r="AG1119" s="34"/>
      <c r="AH1119" s="34"/>
      <c r="AI1119" s="52"/>
      <c r="AJ1119" s="52"/>
      <c r="AL1119" s="34"/>
      <c r="AM1119" s="34"/>
      <c r="AN1119" s="34"/>
      <c r="AO1119" s="54"/>
      <c r="AP1119" s="34"/>
      <c r="AQ1119" s="34"/>
      <c r="AR1119" s="54"/>
      <c r="AS1119" s="54"/>
      <c r="AT1119" s="54"/>
      <c r="AU1119" s="54"/>
      <c r="AV1119" s="34"/>
      <c r="AW1119" s="34"/>
      <c r="AX1119" s="34"/>
      <c r="AY1119" s="34"/>
      <c r="AZ1119" s="34"/>
      <c r="BA1119" s="44"/>
      <c r="BB1119" s="34"/>
      <c r="BC1119" s="34"/>
    </row>
    <row r="1120" spans="1:55" x14ac:dyDescent="0.35" ht="15.0" customHeight="true">
      <c r="A1120" s="51"/>
      <c r="B1120" s="34"/>
      <c r="C1120" s="34"/>
      <c r="D1120" s="34"/>
      <c r="E1120" s="34"/>
      <c r="F1120" s="34"/>
      <c r="G1120" s="44"/>
      <c r="H1120" s="34"/>
      <c r="I1120" s="54"/>
      <c r="J1120" s="34"/>
      <c r="K1120" s="54"/>
      <c r="L1120" s="34"/>
      <c r="M1120" s="44"/>
      <c r="N1120" s="44"/>
      <c r="O1120" s="34"/>
      <c r="P1120" s="34"/>
      <c r="Q1120" s="34"/>
      <c r="R1120" s="34"/>
      <c r="V1120" s="44"/>
      <c r="X1120" s="95"/>
      <c r="Y1120" s="54"/>
      <c r="Z1120" s="54"/>
      <c r="AA1120" s="34"/>
      <c r="AB1120" s="34"/>
      <c r="AC1120" s="34"/>
      <c r="AD1120" s="34"/>
      <c r="AE1120" s="34"/>
      <c r="AF1120" s="34"/>
      <c r="AG1120" s="34"/>
      <c r="AH1120" s="34"/>
      <c r="AI1120" s="52"/>
      <c r="AJ1120" s="52"/>
      <c r="AL1120" s="34"/>
      <c r="AM1120" s="34"/>
      <c r="AN1120" s="34"/>
      <c r="AO1120" s="54"/>
      <c r="AP1120" s="34"/>
      <c r="AQ1120" s="34"/>
      <c r="AR1120" s="54"/>
      <c r="AS1120" s="54"/>
      <c r="AT1120" s="54"/>
      <c r="AU1120" s="54"/>
      <c r="AV1120" s="34"/>
      <c r="AW1120" s="34"/>
      <c r="AX1120" s="34"/>
      <c r="AY1120" s="34"/>
      <c r="AZ1120" s="34"/>
      <c r="BA1120" s="44"/>
      <c r="BB1120" s="34"/>
      <c r="BC1120" s="34"/>
    </row>
    <row r="1121" spans="1:55" x14ac:dyDescent="0.35" ht="15.0" customHeight="true">
      <c r="A1121" s="51"/>
      <c r="B1121" s="34"/>
      <c r="C1121" s="34"/>
      <c r="D1121" s="34"/>
      <c r="E1121" s="34"/>
      <c r="F1121" s="34"/>
      <c r="G1121" s="44"/>
      <c r="H1121" s="34"/>
      <c r="I1121" s="54"/>
      <c r="J1121" s="34"/>
      <c r="K1121" s="54"/>
      <c r="L1121" s="34"/>
      <c r="M1121" s="44"/>
      <c r="N1121" s="44"/>
      <c r="O1121" s="34"/>
      <c r="P1121" s="34"/>
      <c r="Q1121" s="34"/>
      <c r="R1121" s="34"/>
      <c r="V1121" s="44"/>
      <c r="X1121" s="95"/>
      <c r="Y1121" s="54"/>
      <c r="Z1121" s="54"/>
      <c r="AA1121" s="34"/>
      <c r="AB1121" s="34"/>
      <c r="AC1121" s="34"/>
      <c r="AD1121" s="34"/>
      <c r="AE1121" s="34"/>
      <c r="AF1121" s="34"/>
      <c r="AG1121" s="34"/>
      <c r="AH1121" s="34"/>
      <c r="AI1121" s="52"/>
      <c r="AJ1121" s="52"/>
      <c r="AL1121" s="34"/>
      <c r="AM1121" s="34"/>
      <c r="AN1121" s="34"/>
      <c r="AO1121" s="54"/>
      <c r="AP1121" s="34"/>
      <c r="AQ1121" s="34"/>
      <c r="AR1121" s="54"/>
      <c r="AS1121" s="54"/>
      <c r="AT1121" s="54"/>
      <c r="AU1121" s="54"/>
      <c r="AV1121" s="34"/>
      <c r="AW1121" s="34"/>
      <c r="AX1121" s="34"/>
      <c r="AY1121" s="34"/>
      <c r="AZ1121" s="34"/>
      <c r="BA1121" s="44"/>
      <c r="BB1121" s="34"/>
      <c r="BC1121" s="34"/>
    </row>
    <row r="1122" spans="1:55" x14ac:dyDescent="0.35" ht="15.0" customHeight="true">
      <c r="A1122" s="51"/>
      <c r="B1122" s="34"/>
      <c r="C1122" s="34"/>
      <c r="D1122" s="34"/>
      <c r="E1122" s="34"/>
      <c r="F1122" s="34"/>
      <c r="G1122" s="44"/>
      <c r="H1122" s="34"/>
      <c r="I1122" s="54"/>
      <c r="J1122" s="34"/>
      <c r="K1122" s="54"/>
      <c r="L1122" s="34"/>
      <c r="M1122" s="44"/>
      <c r="N1122" s="44"/>
      <c r="O1122" s="34"/>
      <c r="P1122" s="34"/>
      <c r="Q1122" s="34"/>
      <c r="R1122" s="34"/>
      <c r="V1122" s="44"/>
      <c r="X1122" s="95"/>
      <c r="Y1122" s="54"/>
      <c r="Z1122" s="54"/>
      <c r="AA1122" s="34"/>
      <c r="AB1122" s="34"/>
      <c r="AC1122" s="34"/>
      <c r="AD1122" s="34"/>
      <c r="AE1122" s="34"/>
      <c r="AF1122" s="34"/>
      <c r="AG1122" s="34"/>
      <c r="AH1122" s="34"/>
      <c r="AI1122" s="52"/>
      <c r="AJ1122" s="52"/>
      <c r="AL1122" s="34"/>
      <c r="AM1122" s="34"/>
      <c r="AN1122" s="34"/>
      <c r="AO1122" s="54"/>
      <c r="AP1122" s="34"/>
      <c r="AQ1122" s="34"/>
      <c r="AR1122" s="54"/>
      <c r="AS1122" s="54"/>
      <c r="AT1122" s="54"/>
      <c r="AU1122" s="54"/>
      <c r="AV1122" s="34"/>
      <c r="AW1122" s="34"/>
      <c r="AX1122" s="34"/>
      <c r="AY1122" s="34"/>
      <c r="AZ1122" s="34"/>
      <c r="BA1122" s="44"/>
      <c r="BB1122" s="34"/>
      <c r="BC1122" s="34"/>
    </row>
    <row r="1123" spans="1:55" x14ac:dyDescent="0.35" ht="15.0" customHeight="true">
      <c r="A1123" s="51"/>
      <c r="B1123" s="34"/>
      <c r="C1123" s="34"/>
      <c r="D1123" s="34"/>
      <c r="E1123" s="34"/>
      <c r="F1123" s="34"/>
      <c r="G1123" s="44"/>
      <c r="H1123" s="34"/>
      <c r="I1123" s="54"/>
      <c r="J1123" s="34"/>
      <c r="K1123" s="54"/>
      <c r="L1123" s="34"/>
      <c r="M1123" s="44"/>
      <c r="N1123" s="44"/>
      <c r="O1123" s="34"/>
      <c r="P1123" s="34"/>
      <c r="Q1123" s="34"/>
      <c r="R1123" s="34"/>
      <c r="V1123" s="44"/>
      <c r="X1123" s="95"/>
      <c r="Y1123" s="54"/>
      <c r="Z1123" s="54"/>
      <c r="AA1123" s="34"/>
      <c r="AB1123" s="34"/>
      <c r="AC1123" s="34"/>
      <c r="AD1123" s="34"/>
      <c r="AE1123" s="34"/>
      <c r="AF1123" s="34"/>
      <c r="AG1123" s="34"/>
      <c r="AH1123" s="34"/>
      <c r="AI1123" s="52"/>
      <c r="AJ1123" s="52"/>
      <c r="AL1123" s="34"/>
      <c r="AM1123" s="34"/>
      <c r="AN1123" s="34"/>
      <c r="AO1123" s="54"/>
      <c r="AP1123" s="34"/>
      <c r="AQ1123" s="34"/>
      <c r="AR1123" s="54"/>
      <c r="AS1123" s="54"/>
      <c r="AT1123" s="54"/>
      <c r="AU1123" s="54"/>
      <c r="AV1123" s="34"/>
      <c r="AW1123" s="34"/>
      <c r="AX1123" s="34"/>
      <c r="AY1123" s="34"/>
      <c r="AZ1123" s="34"/>
      <c r="BA1123" s="44"/>
      <c r="BB1123" s="34"/>
      <c r="BC1123" s="34"/>
    </row>
    <row r="1124" spans="1:55" x14ac:dyDescent="0.35" ht="15.0" customHeight="true">
      <c r="A1124" s="51"/>
      <c r="B1124" s="34"/>
      <c r="C1124" s="34"/>
      <c r="D1124" s="34"/>
      <c r="E1124" s="34"/>
      <c r="F1124" s="34"/>
      <c r="G1124" s="44"/>
      <c r="H1124" s="34"/>
      <c r="I1124" s="54"/>
      <c r="J1124" s="34"/>
      <c r="K1124" s="54"/>
      <c r="L1124" s="34"/>
      <c r="M1124" s="44"/>
      <c r="N1124" s="44"/>
      <c r="O1124" s="34"/>
      <c r="P1124" s="34"/>
      <c r="Q1124" s="34"/>
      <c r="R1124" s="34"/>
      <c r="V1124" s="44"/>
      <c r="X1124" s="95"/>
      <c r="Y1124" s="54"/>
      <c r="Z1124" s="54"/>
      <c r="AA1124" s="34"/>
      <c r="AB1124" s="34"/>
      <c r="AC1124" s="34"/>
      <c r="AD1124" s="34"/>
      <c r="AE1124" s="34"/>
      <c r="AF1124" s="34"/>
      <c r="AG1124" s="34"/>
      <c r="AH1124" s="34"/>
      <c r="AI1124" s="52"/>
      <c r="AJ1124" s="52"/>
      <c r="AL1124" s="34"/>
      <c r="AM1124" s="34"/>
      <c r="AN1124" s="34"/>
      <c r="AO1124" s="54"/>
      <c r="AP1124" s="34"/>
      <c r="AQ1124" s="34"/>
      <c r="AR1124" s="54"/>
      <c r="AS1124" s="54"/>
      <c r="AT1124" s="54"/>
      <c r="AU1124" s="54"/>
      <c r="AV1124" s="34"/>
      <c r="AW1124" s="34"/>
      <c r="AX1124" s="34"/>
      <c r="AY1124" s="34"/>
      <c r="AZ1124" s="34"/>
      <c r="BA1124" s="44"/>
      <c r="BB1124" s="34"/>
      <c r="BC1124" s="34"/>
    </row>
    <row r="1125" spans="1:55" x14ac:dyDescent="0.35" ht="15.0" customHeight="true">
      <c r="A1125" s="51"/>
      <c r="B1125" s="34"/>
      <c r="C1125" s="34"/>
      <c r="D1125" s="34"/>
      <c r="E1125" s="34"/>
      <c r="F1125" s="34"/>
      <c r="G1125" s="44"/>
      <c r="H1125" s="34"/>
      <c r="I1125" s="54"/>
      <c r="J1125" s="34"/>
      <c r="K1125" s="54"/>
      <c r="L1125" s="34"/>
      <c r="M1125" s="44"/>
      <c r="N1125" s="44"/>
      <c r="O1125" s="34"/>
      <c r="P1125" s="34"/>
      <c r="Q1125" s="34"/>
      <c r="R1125" s="34"/>
      <c r="V1125" s="44"/>
      <c r="X1125" s="95"/>
      <c r="Y1125" s="54"/>
      <c r="Z1125" s="54"/>
      <c r="AA1125" s="34"/>
      <c r="AB1125" s="34"/>
      <c r="AC1125" s="34"/>
      <c r="AD1125" s="34"/>
      <c r="AE1125" s="34"/>
      <c r="AF1125" s="34"/>
      <c r="AG1125" s="34"/>
      <c r="AH1125" s="34"/>
      <c r="AI1125" s="52"/>
      <c r="AJ1125" s="52"/>
      <c r="AL1125" s="34"/>
      <c r="AM1125" s="34"/>
      <c r="AN1125" s="34"/>
      <c r="AO1125" s="54"/>
      <c r="AP1125" s="34"/>
      <c r="AQ1125" s="34"/>
      <c r="AR1125" s="54"/>
      <c r="AS1125" s="54"/>
      <c r="AT1125" s="54"/>
      <c r="AU1125" s="54"/>
      <c r="AV1125" s="34"/>
      <c r="AW1125" s="34"/>
      <c r="AX1125" s="34"/>
      <c r="AY1125" s="34"/>
      <c r="AZ1125" s="34"/>
      <c r="BA1125" s="44"/>
      <c r="BB1125" s="34"/>
      <c r="BC1125" s="34"/>
    </row>
    <row r="1126" spans="1:55" x14ac:dyDescent="0.35" ht="15.0" customHeight="true">
      <c r="A1126" s="51"/>
      <c r="B1126" s="34"/>
      <c r="C1126" s="34"/>
      <c r="D1126" s="34"/>
      <c r="E1126" s="34"/>
      <c r="F1126" s="34"/>
      <c r="G1126" s="44"/>
      <c r="H1126" s="34"/>
      <c r="I1126" s="54"/>
      <c r="J1126" s="34"/>
      <c r="K1126" s="54"/>
      <c r="L1126" s="34"/>
      <c r="M1126" s="44"/>
      <c r="N1126" s="44"/>
      <c r="O1126" s="34"/>
      <c r="P1126" s="34"/>
      <c r="Q1126" s="34"/>
      <c r="R1126" s="34"/>
      <c r="V1126" s="44"/>
      <c r="X1126" s="95"/>
      <c r="Y1126" s="54"/>
      <c r="Z1126" s="54"/>
      <c r="AA1126" s="34"/>
      <c r="AB1126" s="34"/>
      <c r="AC1126" s="34"/>
      <c r="AD1126" s="34"/>
      <c r="AE1126" s="34"/>
      <c r="AF1126" s="34"/>
      <c r="AG1126" s="34"/>
      <c r="AH1126" s="34"/>
      <c r="AI1126" s="52"/>
      <c r="AJ1126" s="52"/>
      <c r="AL1126" s="34"/>
      <c r="AM1126" s="34"/>
      <c r="AN1126" s="34"/>
      <c r="AO1126" s="54"/>
      <c r="AP1126" s="34"/>
      <c r="AQ1126" s="34"/>
      <c r="AR1126" s="54"/>
      <c r="AS1126" s="54"/>
      <c r="AT1126" s="54"/>
      <c r="AU1126" s="54"/>
      <c r="AV1126" s="34"/>
      <c r="AW1126" s="34"/>
      <c r="AX1126" s="34"/>
      <c r="AY1126" s="34"/>
      <c r="AZ1126" s="34"/>
      <c r="BA1126" s="44"/>
      <c r="BB1126" s="34"/>
      <c r="BC1126" s="34"/>
    </row>
    <row r="1127" spans="1:55" x14ac:dyDescent="0.35" ht="15.0" customHeight="true">
      <c r="A1127" s="51"/>
      <c r="B1127" s="34"/>
      <c r="C1127" s="34"/>
      <c r="D1127" s="34"/>
      <c r="E1127" s="34"/>
      <c r="F1127" s="34"/>
      <c r="G1127" s="44"/>
      <c r="H1127" s="34"/>
      <c r="I1127" s="54"/>
      <c r="J1127" s="34"/>
      <c r="K1127" s="54"/>
      <c r="L1127" s="34"/>
      <c r="M1127" s="44"/>
      <c r="N1127" s="44"/>
      <c r="O1127" s="34"/>
      <c r="P1127" s="34"/>
      <c r="Q1127" s="34"/>
      <c r="R1127" s="34"/>
      <c r="V1127" s="44"/>
      <c r="X1127" s="95"/>
      <c r="Y1127" s="54"/>
      <c r="Z1127" s="54"/>
      <c r="AA1127" s="34"/>
      <c r="AB1127" s="34"/>
      <c r="AC1127" s="34"/>
      <c r="AD1127" s="34"/>
      <c r="AE1127" s="34"/>
      <c r="AF1127" s="34"/>
      <c r="AG1127" s="34"/>
      <c r="AH1127" s="34"/>
      <c r="AI1127" s="52"/>
      <c r="AJ1127" s="52"/>
      <c r="AL1127" s="34"/>
      <c r="AM1127" s="34"/>
      <c r="AN1127" s="34"/>
      <c r="AO1127" s="54"/>
      <c r="AP1127" s="34"/>
      <c r="AQ1127" s="34"/>
      <c r="AR1127" s="54"/>
      <c r="AS1127" s="54"/>
      <c r="AT1127" s="54"/>
      <c r="AU1127" s="54"/>
      <c r="AV1127" s="34"/>
      <c r="AW1127" s="34"/>
      <c r="AX1127" s="34"/>
      <c r="AY1127" s="34"/>
      <c r="AZ1127" s="34"/>
      <c r="BA1127" s="44"/>
      <c r="BB1127" s="34"/>
      <c r="BC1127" s="34"/>
    </row>
    <row r="1128" spans="1:55" x14ac:dyDescent="0.35" ht="15.0" customHeight="true">
      <c r="A1128" s="51"/>
      <c r="B1128" s="34"/>
      <c r="C1128" s="34"/>
      <c r="D1128" s="34"/>
      <c r="E1128" s="34"/>
      <c r="F1128" s="34"/>
      <c r="G1128" s="44"/>
      <c r="H1128" s="34"/>
      <c r="I1128" s="54"/>
      <c r="J1128" s="34"/>
      <c r="K1128" s="54"/>
      <c r="L1128" s="34"/>
      <c r="M1128" s="44"/>
      <c r="N1128" s="44"/>
      <c r="O1128" s="34"/>
      <c r="P1128" s="34"/>
      <c r="Q1128" s="34"/>
      <c r="R1128" s="34"/>
      <c r="V1128" s="44"/>
      <c r="X1128" s="95"/>
      <c r="Y1128" s="54"/>
      <c r="Z1128" s="54"/>
      <c r="AA1128" s="34"/>
      <c r="AB1128" s="34"/>
      <c r="AC1128" s="34"/>
      <c r="AD1128" s="34"/>
      <c r="AE1128" s="34"/>
      <c r="AF1128" s="34"/>
      <c r="AG1128" s="34"/>
      <c r="AH1128" s="34"/>
      <c r="AI1128" s="52"/>
      <c r="AJ1128" s="52"/>
      <c r="AL1128" s="34"/>
      <c r="AM1128" s="34"/>
      <c r="AN1128" s="34"/>
      <c r="AO1128" s="54"/>
      <c r="AP1128" s="34"/>
      <c r="AQ1128" s="34"/>
      <c r="AR1128" s="54"/>
      <c r="AS1128" s="54"/>
      <c r="AT1128" s="54"/>
      <c r="AU1128" s="54"/>
      <c r="AV1128" s="34"/>
      <c r="AW1128" s="34"/>
      <c r="AX1128" s="34"/>
      <c r="AY1128" s="34"/>
      <c r="AZ1128" s="34"/>
      <c r="BA1128" s="44"/>
      <c r="BB1128" s="34"/>
      <c r="BC1128" s="34"/>
    </row>
    <row r="1129" spans="1:55" x14ac:dyDescent="0.35" ht="15.0" customHeight="true">
      <c r="A1129" s="51"/>
      <c r="B1129" s="34"/>
      <c r="C1129" s="34"/>
      <c r="D1129" s="34"/>
      <c r="E1129" s="34"/>
      <c r="F1129" s="34"/>
      <c r="G1129" s="44"/>
      <c r="H1129" s="34"/>
      <c r="I1129" s="54"/>
      <c r="J1129" s="34"/>
      <c r="K1129" s="54"/>
      <c r="L1129" s="34"/>
      <c r="M1129" s="44"/>
      <c r="N1129" s="44"/>
      <c r="O1129" s="34"/>
      <c r="P1129" s="34"/>
      <c r="Q1129" s="34"/>
      <c r="R1129" s="34"/>
      <c r="V1129" s="44"/>
      <c r="X1129" s="95"/>
      <c r="Y1129" s="54"/>
      <c r="Z1129" s="54"/>
      <c r="AA1129" s="34"/>
      <c r="AB1129" s="34"/>
      <c r="AC1129" s="34"/>
      <c r="AD1129" s="34"/>
      <c r="AE1129" s="34"/>
      <c r="AF1129" s="34"/>
      <c r="AG1129" s="34"/>
      <c r="AH1129" s="34"/>
      <c r="AI1129" s="52"/>
      <c r="AJ1129" s="52"/>
      <c r="AL1129" s="34"/>
      <c r="AM1129" s="34"/>
      <c r="AN1129" s="34"/>
      <c r="AO1129" s="54"/>
      <c r="AP1129" s="34"/>
      <c r="AQ1129" s="34"/>
      <c r="AR1129" s="54"/>
      <c r="AS1129" s="54"/>
      <c r="AT1129" s="54"/>
      <c r="AU1129" s="54"/>
      <c r="AV1129" s="34"/>
      <c r="AW1129" s="34"/>
      <c r="AX1129" s="34"/>
      <c r="AY1129" s="34"/>
      <c r="AZ1129" s="34"/>
      <c r="BA1129" s="44"/>
      <c r="BB1129" s="34"/>
      <c r="BC1129" s="34"/>
    </row>
    <row r="1130" spans="1:55" x14ac:dyDescent="0.35" ht="15.0" customHeight="true">
      <c r="A1130" s="51"/>
      <c r="B1130" s="34"/>
      <c r="C1130" s="34"/>
      <c r="D1130" s="34"/>
      <c r="E1130" s="34"/>
      <c r="F1130" s="34"/>
      <c r="G1130" s="44"/>
      <c r="H1130" s="34"/>
      <c r="I1130" s="54"/>
      <c r="J1130" s="34"/>
      <c r="K1130" s="54"/>
      <c r="L1130" s="34"/>
      <c r="M1130" s="44"/>
      <c r="N1130" s="44"/>
      <c r="O1130" s="34"/>
      <c r="P1130" s="34"/>
      <c r="Q1130" s="34"/>
      <c r="R1130" s="34"/>
      <c r="V1130" s="44"/>
      <c r="X1130" s="95"/>
      <c r="Y1130" s="54"/>
      <c r="Z1130" s="54"/>
      <c r="AA1130" s="34"/>
      <c r="AB1130" s="34"/>
      <c r="AC1130" s="34"/>
      <c r="AD1130" s="34"/>
      <c r="AE1130" s="34"/>
      <c r="AF1130" s="34"/>
      <c r="AG1130" s="34"/>
      <c r="AH1130" s="34"/>
      <c r="AI1130" s="52"/>
      <c r="AJ1130" s="52"/>
      <c r="AL1130" s="34"/>
      <c r="AM1130" s="34"/>
      <c r="AN1130" s="34"/>
      <c r="AO1130" s="54"/>
      <c r="AP1130" s="34"/>
      <c r="AQ1130" s="34"/>
      <c r="AR1130" s="54"/>
      <c r="AS1130" s="54"/>
      <c r="AT1130" s="54"/>
      <c r="AU1130" s="54"/>
      <c r="AV1130" s="34"/>
      <c r="AW1130" s="34"/>
      <c r="AX1130" s="34"/>
      <c r="AY1130" s="34"/>
      <c r="AZ1130" s="34"/>
      <c r="BA1130" s="44"/>
      <c r="BB1130" s="34"/>
      <c r="BC1130" s="34"/>
    </row>
    <row r="1131" spans="1:55" x14ac:dyDescent="0.35" ht="15.0" customHeight="true">
      <c r="A1131" s="51"/>
      <c r="B1131" s="34"/>
      <c r="C1131" s="34"/>
      <c r="D1131" s="34"/>
      <c r="E1131" s="34"/>
      <c r="F1131" s="34"/>
      <c r="G1131" s="44"/>
      <c r="H1131" s="34"/>
      <c r="I1131" s="54"/>
      <c r="J1131" s="34"/>
      <c r="K1131" s="54"/>
      <c r="L1131" s="34"/>
      <c r="M1131" s="44"/>
      <c r="N1131" s="44"/>
      <c r="O1131" s="34"/>
      <c r="P1131" s="34"/>
      <c r="Q1131" s="34"/>
      <c r="R1131" s="34"/>
      <c r="V1131" s="44"/>
      <c r="X1131" s="95"/>
      <c r="Y1131" s="54"/>
      <c r="Z1131" s="54"/>
      <c r="AA1131" s="34"/>
      <c r="AB1131" s="34"/>
      <c r="AC1131" s="34"/>
      <c r="AD1131" s="34"/>
      <c r="AE1131" s="34"/>
      <c r="AF1131" s="34"/>
      <c r="AG1131" s="34"/>
      <c r="AH1131" s="34"/>
      <c r="AI1131" s="52"/>
      <c r="AJ1131" s="52"/>
      <c r="AL1131" s="34"/>
      <c r="AM1131" s="34"/>
      <c r="AN1131" s="34"/>
      <c r="AO1131" s="54"/>
      <c r="AP1131" s="34"/>
      <c r="AQ1131" s="34"/>
      <c r="AR1131" s="54"/>
      <c r="AS1131" s="54"/>
      <c r="AT1131" s="54"/>
      <c r="AU1131" s="54"/>
      <c r="AV1131" s="34"/>
      <c r="AW1131" s="34"/>
      <c r="AX1131" s="34"/>
      <c r="AY1131" s="34"/>
      <c r="AZ1131" s="34"/>
      <c r="BA1131" s="44"/>
      <c r="BB1131" s="34"/>
      <c r="BC1131" s="34"/>
    </row>
    <row r="1132" spans="1:55" x14ac:dyDescent="0.35" ht="15.0" customHeight="true">
      <c r="A1132" s="51"/>
      <c r="B1132" s="34"/>
      <c r="C1132" s="34"/>
      <c r="D1132" s="34"/>
      <c r="E1132" s="34"/>
      <c r="F1132" s="34"/>
      <c r="G1132" s="44"/>
      <c r="H1132" s="34"/>
      <c r="I1132" s="54"/>
      <c r="J1132" s="34"/>
      <c r="K1132" s="54"/>
      <c r="L1132" s="34"/>
      <c r="M1132" s="44"/>
      <c r="N1132" s="44"/>
      <c r="O1132" s="34"/>
      <c r="P1132" s="34"/>
      <c r="Q1132" s="34"/>
      <c r="R1132" s="34"/>
      <c r="V1132" s="44"/>
      <c r="X1132" s="95"/>
      <c r="Y1132" s="54"/>
      <c r="Z1132" s="54"/>
      <c r="AA1132" s="34"/>
      <c r="AB1132" s="34"/>
      <c r="AC1132" s="34"/>
      <c r="AD1132" s="34"/>
      <c r="AE1132" s="34"/>
      <c r="AF1132" s="34"/>
      <c r="AG1132" s="34"/>
      <c r="AH1132" s="34"/>
      <c r="AI1132" s="52"/>
      <c r="AJ1132" s="52"/>
      <c r="AL1132" s="34"/>
      <c r="AM1132" s="34"/>
      <c r="AN1132" s="34"/>
      <c r="AO1132" s="54"/>
      <c r="AP1132" s="34"/>
      <c r="AQ1132" s="34"/>
      <c r="AR1132" s="54"/>
      <c r="AS1132" s="54"/>
      <c r="AT1132" s="54"/>
      <c r="AU1132" s="54"/>
      <c r="AV1132" s="34"/>
      <c r="AW1132" s="34"/>
      <c r="AX1132" s="34"/>
      <c r="AY1132" s="34"/>
      <c r="AZ1132" s="34"/>
      <c r="BA1132" s="44"/>
      <c r="BB1132" s="34"/>
      <c r="BC1132" s="34"/>
    </row>
    <row r="1133" spans="1:55" x14ac:dyDescent="0.35" ht="15.0" customHeight="true">
      <c r="A1133" s="51"/>
      <c r="B1133" s="34"/>
      <c r="C1133" s="34"/>
      <c r="D1133" s="34"/>
      <c r="E1133" s="34"/>
      <c r="F1133" s="34"/>
      <c r="G1133" s="44"/>
      <c r="H1133" s="34"/>
      <c r="I1133" s="54"/>
      <c r="J1133" s="34"/>
      <c r="K1133" s="54"/>
      <c r="L1133" s="34"/>
      <c r="M1133" s="44"/>
      <c r="N1133" s="44"/>
      <c r="O1133" s="34"/>
      <c r="P1133" s="34"/>
      <c r="Q1133" s="34"/>
      <c r="R1133" s="34"/>
      <c r="V1133" s="44"/>
      <c r="X1133" s="95"/>
      <c r="Y1133" s="54"/>
      <c r="Z1133" s="54"/>
      <c r="AA1133" s="34"/>
      <c r="AB1133" s="34"/>
      <c r="AC1133" s="34"/>
      <c r="AD1133" s="34"/>
      <c r="AE1133" s="34"/>
      <c r="AF1133" s="34"/>
      <c r="AG1133" s="34"/>
      <c r="AH1133" s="34"/>
      <c r="AI1133" s="52"/>
      <c r="AJ1133" s="52"/>
      <c r="AL1133" s="34"/>
      <c r="AM1133" s="34"/>
      <c r="AN1133" s="34"/>
      <c r="AO1133" s="54"/>
      <c r="AP1133" s="34"/>
      <c r="AQ1133" s="34"/>
      <c r="AR1133" s="54"/>
      <c r="AS1133" s="54"/>
      <c r="AT1133" s="54"/>
      <c r="AU1133" s="54"/>
      <c r="AV1133" s="34"/>
      <c r="AW1133" s="34"/>
      <c r="AX1133" s="34"/>
      <c r="AY1133" s="34"/>
      <c r="AZ1133" s="34"/>
      <c r="BA1133" s="44"/>
      <c r="BB1133" s="34"/>
      <c r="BC1133" s="34"/>
    </row>
    <row r="1134" spans="1:55" x14ac:dyDescent="0.35" ht="15.0" customHeight="true">
      <c r="A1134" s="51"/>
      <c r="B1134" s="34"/>
      <c r="C1134" s="34"/>
      <c r="D1134" s="34"/>
      <c r="E1134" s="34"/>
      <c r="F1134" s="34"/>
      <c r="G1134" s="44"/>
      <c r="H1134" s="34"/>
      <c r="I1134" s="54"/>
      <c r="J1134" s="34"/>
      <c r="K1134" s="54"/>
      <c r="L1134" s="34"/>
      <c r="M1134" s="44"/>
      <c r="N1134" s="44"/>
      <c r="O1134" s="34"/>
      <c r="P1134" s="34"/>
      <c r="Q1134" s="34"/>
      <c r="R1134" s="34"/>
      <c r="V1134" s="44"/>
      <c r="X1134" s="95"/>
      <c r="Y1134" s="54"/>
      <c r="Z1134" s="54"/>
      <c r="AA1134" s="34"/>
      <c r="AB1134" s="34"/>
      <c r="AC1134" s="34"/>
      <c r="AD1134" s="34"/>
      <c r="AE1134" s="34"/>
      <c r="AF1134" s="34"/>
      <c r="AG1134" s="34"/>
      <c r="AH1134" s="34"/>
      <c r="AI1134" s="52"/>
      <c r="AJ1134" s="52"/>
      <c r="AL1134" s="34"/>
      <c r="AM1134" s="34"/>
      <c r="AN1134" s="34"/>
      <c r="AO1134" s="54"/>
      <c r="AP1134" s="34"/>
      <c r="AQ1134" s="34"/>
      <c r="AR1134" s="54"/>
      <c r="AS1134" s="54"/>
      <c r="AT1134" s="54"/>
      <c r="AU1134" s="54"/>
      <c r="AV1134" s="34"/>
      <c r="AW1134" s="34"/>
      <c r="AX1134" s="34"/>
      <c r="AY1134" s="34"/>
      <c r="AZ1134" s="34"/>
      <c r="BA1134" s="44"/>
      <c r="BB1134" s="34"/>
      <c r="BC1134" s="34"/>
    </row>
    <row r="1135" spans="1:55" x14ac:dyDescent="0.35" ht="15.0" customHeight="true">
      <c r="A1135" s="51"/>
      <c r="B1135" s="34"/>
      <c r="C1135" s="34"/>
      <c r="D1135" s="34"/>
      <c r="E1135" s="34"/>
      <c r="F1135" s="34"/>
      <c r="G1135" s="44"/>
      <c r="H1135" s="34"/>
      <c r="I1135" s="54"/>
      <c r="J1135" s="34"/>
      <c r="K1135" s="54"/>
      <c r="L1135" s="34"/>
      <c r="M1135" s="44"/>
      <c r="N1135" s="44"/>
      <c r="O1135" s="34"/>
      <c r="P1135" s="34"/>
      <c r="Q1135" s="34"/>
      <c r="R1135" s="34"/>
      <c r="V1135" s="44"/>
      <c r="X1135" s="95"/>
      <c r="Y1135" s="54"/>
      <c r="Z1135" s="54"/>
      <c r="AA1135" s="34"/>
      <c r="AB1135" s="34"/>
      <c r="AC1135" s="34"/>
      <c r="AD1135" s="34"/>
      <c r="AE1135" s="34"/>
      <c r="AF1135" s="34"/>
      <c r="AG1135" s="34"/>
      <c r="AH1135" s="34"/>
      <c r="AI1135" s="52"/>
      <c r="AJ1135" s="52"/>
      <c r="AL1135" s="34"/>
      <c r="AM1135" s="34"/>
      <c r="AN1135" s="34"/>
      <c r="AO1135" s="54"/>
      <c r="AP1135" s="34"/>
      <c r="AQ1135" s="34"/>
      <c r="AR1135" s="54"/>
      <c r="AS1135" s="54"/>
      <c r="AT1135" s="54"/>
      <c r="AU1135" s="54"/>
      <c r="AV1135" s="34"/>
      <c r="AW1135" s="34"/>
      <c r="AX1135" s="34"/>
      <c r="AY1135" s="34"/>
      <c r="AZ1135" s="34"/>
      <c r="BA1135" s="44"/>
      <c r="BB1135" s="34"/>
      <c r="BC1135" s="34"/>
    </row>
    <row r="1136" spans="1:55" x14ac:dyDescent="0.35" ht="15.0" customHeight="true">
      <c r="A1136" s="51"/>
      <c r="B1136" s="34"/>
      <c r="C1136" s="34"/>
      <c r="D1136" s="34"/>
      <c r="E1136" s="34"/>
      <c r="F1136" s="34"/>
      <c r="G1136" s="44"/>
      <c r="H1136" s="34"/>
      <c r="I1136" s="54"/>
      <c r="J1136" s="34"/>
      <c r="K1136" s="54"/>
      <c r="L1136" s="34"/>
      <c r="M1136" s="44"/>
      <c r="N1136" s="44"/>
      <c r="O1136" s="34"/>
      <c r="P1136" s="34"/>
      <c r="Q1136" s="34"/>
      <c r="R1136" s="34"/>
      <c r="V1136" s="44"/>
      <c r="X1136" s="95"/>
      <c r="Y1136" s="54"/>
      <c r="Z1136" s="54"/>
      <c r="AA1136" s="34"/>
      <c r="AB1136" s="34"/>
      <c r="AC1136" s="34"/>
      <c r="AD1136" s="34"/>
      <c r="AE1136" s="34"/>
      <c r="AF1136" s="34"/>
      <c r="AG1136" s="34"/>
      <c r="AH1136" s="34"/>
      <c r="AI1136" s="52"/>
      <c r="AJ1136" s="52"/>
      <c r="AL1136" s="34"/>
      <c r="AM1136" s="34"/>
      <c r="AN1136" s="34"/>
      <c r="AO1136" s="54"/>
      <c r="AP1136" s="34"/>
      <c r="AQ1136" s="34"/>
      <c r="AR1136" s="54"/>
      <c r="AS1136" s="54"/>
      <c r="AT1136" s="54"/>
      <c r="AU1136" s="54"/>
      <c r="AV1136" s="34"/>
      <c r="AW1136" s="34"/>
      <c r="AX1136" s="34"/>
      <c r="AY1136" s="34"/>
      <c r="AZ1136" s="34"/>
      <c r="BA1136" s="44"/>
      <c r="BB1136" s="34"/>
      <c r="BC1136" s="34"/>
    </row>
    <row r="1137" spans="1:55" x14ac:dyDescent="0.35" ht="15.0" customHeight="true">
      <c r="A1137" s="51"/>
      <c r="B1137" s="34"/>
      <c r="C1137" s="34"/>
      <c r="D1137" s="34"/>
      <c r="E1137" s="34"/>
      <c r="F1137" s="34"/>
      <c r="G1137" s="44"/>
      <c r="H1137" s="34"/>
      <c r="I1137" s="54"/>
      <c r="J1137" s="34"/>
      <c r="K1137" s="54"/>
      <c r="L1137" s="34"/>
      <c r="M1137" s="44"/>
      <c r="N1137" s="44"/>
      <c r="O1137" s="34"/>
      <c r="P1137" s="34"/>
      <c r="Q1137" s="34"/>
      <c r="R1137" s="34"/>
      <c r="V1137" s="44"/>
      <c r="X1137" s="95"/>
      <c r="Y1137" s="54"/>
      <c r="Z1137" s="54"/>
      <c r="AA1137" s="34"/>
      <c r="AB1137" s="34"/>
      <c r="AC1137" s="34"/>
      <c r="AD1137" s="34"/>
      <c r="AE1137" s="34"/>
      <c r="AF1137" s="34"/>
      <c r="AG1137" s="34"/>
      <c r="AH1137" s="34"/>
      <c r="AI1137" s="52"/>
      <c r="AJ1137" s="52"/>
      <c r="AL1137" s="34"/>
      <c r="AM1137" s="34"/>
      <c r="AN1137" s="34"/>
      <c r="AO1137" s="54"/>
      <c r="AP1137" s="34"/>
      <c r="AQ1137" s="34"/>
      <c r="AR1137" s="54"/>
      <c r="AS1137" s="54"/>
      <c r="AT1137" s="54"/>
      <c r="AU1137" s="54"/>
      <c r="AV1137" s="34"/>
      <c r="AW1137" s="34"/>
      <c r="AX1137" s="34"/>
      <c r="AY1137" s="34"/>
      <c r="AZ1137" s="34"/>
      <c r="BA1137" s="44"/>
      <c r="BB1137" s="34"/>
      <c r="BC1137" s="34"/>
    </row>
    <row r="1138" spans="1:55" x14ac:dyDescent="0.35" ht="15.0" customHeight="true">
      <c r="A1138" s="51"/>
      <c r="B1138" s="34"/>
      <c r="C1138" s="34"/>
      <c r="D1138" s="34"/>
      <c r="E1138" s="34"/>
      <c r="F1138" s="34"/>
      <c r="G1138" s="44"/>
      <c r="H1138" s="34"/>
      <c r="I1138" s="54"/>
      <c r="J1138" s="34"/>
      <c r="K1138" s="54"/>
      <c r="L1138" s="34"/>
      <c r="M1138" s="44"/>
      <c r="N1138" s="44"/>
      <c r="O1138" s="34"/>
      <c r="P1138" s="34"/>
      <c r="Q1138" s="34"/>
      <c r="R1138" s="34"/>
      <c r="V1138" s="44"/>
      <c r="X1138" s="95"/>
      <c r="Y1138" s="54"/>
      <c r="Z1138" s="54"/>
      <c r="AA1138" s="34"/>
      <c r="AB1138" s="34"/>
      <c r="AC1138" s="34"/>
      <c r="AD1138" s="34"/>
      <c r="AE1138" s="34"/>
      <c r="AF1138" s="34"/>
      <c r="AG1138" s="34"/>
      <c r="AH1138" s="34"/>
      <c r="AI1138" s="52"/>
      <c r="AJ1138" s="52"/>
      <c r="AL1138" s="34"/>
      <c r="AM1138" s="34"/>
      <c r="AN1138" s="34"/>
      <c r="AO1138" s="54"/>
      <c r="AP1138" s="34"/>
      <c r="AQ1138" s="34"/>
      <c r="AR1138" s="54"/>
      <c r="AS1138" s="54"/>
      <c r="AT1138" s="54"/>
      <c r="AU1138" s="54"/>
      <c r="AV1138" s="34"/>
      <c r="AW1138" s="34"/>
      <c r="AX1138" s="34"/>
      <c r="AY1138" s="34"/>
      <c r="AZ1138" s="34"/>
      <c r="BA1138" s="44"/>
      <c r="BB1138" s="34"/>
      <c r="BC1138" s="34"/>
    </row>
    <row r="1139" spans="1:55" x14ac:dyDescent="0.35" ht="15.0" customHeight="true">
      <c r="A1139" s="51"/>
      <c r="B1139" s="34"/>
      <c r="C1139" s="34"/>
      <c r="D1139" s="34"/>
      <c r="E1139" s="34"/>
      <c r="F1139" s="34"/>
      <c r="G1139" s="44"/>
      <c r="H1139" s="34"/>
      <c r="I1139" s="54"/>
      <c r="J1139" s="34"/>
      <c r="K1139" s="54"/>
      <c r="L1139" s="34"/>
      <c r="M1139" s="44"/>
      <c r="N1139" s="44"/>
      <c r="O1139" s="34"/>
      <c r="P1139" s="34"/>
      <c r="Q1139" s="34"/>
      <c r="R1139" s="34"/>
      <c r="V1139" s="44"/>
      <c r="X1139" s="95"/>
      <c r="Y1139" s="54"/>
      <c r="Z1139" s="54"/>
      <c r="AA1139" s="34"/>
      <c r="AB1139" s="34"/>
      <c r="AC1139" s="34"/>
      <c r="AD1139" s="34"/>
      <c r="AE1139" s="34"/>
      <c r="AF1139" s="34"/>
      <c r="AG1139" s="34"/>
      <c r="AH1139" s="34"/>
      <c r="AI1139" s="52"/>
      <c r="AJ1139" s="52"/>
      <c r="AL1139" s="34"/>
      <c r="AM1139" s="34"/>
      <c r="AN1139" s="34"/>
      <c r="AO1139" s="54"/>
      <c r="AP1139" s="34"/>
      <c r="AQ1139" s="34"/>
      <c r="AR1139" s="54"/>
      <c r="AS1139" s="54"/>
      <c r="AT1139" s="54"/>
      <c r="AU1139" s="54"/>
      <c r="AV1139" s="34"/>
      <c r="AW1139" s="34"/>
      <c r="AX1139" s="34"/>
      <c r="AY1139" s="34"/>
      <c r="AZ1139" s="34"/>
      <c r="BA1139" s="44"/>
      <c r="BB1139" s="34"/>
      <c r="BC1139" s="34"/>
    </row>
    <row r="1140" spans="1:55" x14ac:dyDescent="0.35" ht="15.0" customHeight="true">
      <c r="A1140" s="51"/>
      <c r="B1140" s="34"/>
      <c r="C1140" s="34"/>
      <c r="D1140" s="34"/>
      <c r="E1140" s="34"/>
      <c r="F1140" s="34"/>
      <c r="G1140" s="44"/>
      <c r="H1140" s="34"/>
      <c r="I1140" s="54"/>
      <c r="J1140" s="34"/>
      <c r="K1140" s="54"/>
      <c r="L1140" s="34"/>
      <c r="M1140" s="44"/>
      <c r="N1140" s="44"/>
      <c r="O1140" s="34"/>
      <c r="P1140" s="34"/>
      <c r="Q1140" s="34"/>
      <c r="R1140" s="34"/>
      <c r="V1140" s="44"/>
      <c r="X1140" s="95"/>
      <c r="Y1140" s="54"/>
      <c r="Z1140" s="54"/>
      <c r="AA1140" s="34"/>
      <c r="AB1140" s="34"/>
      <c r="AC1140" s="34"/>
      <c r="AD1140" s="34"/>
      <c r="AE1140" s="34"/>
      <c r="AF1140" s="34"/>
      <c r="AG1140" s="34"/>
      <c r="AH1140" s="34"/>
      <c r="AI1140" s="52"/>
      <c r="AJ1140" s="52"/>
      <c r="AL1140" s="34"/>
      <c r="AM1140" s="34"/>
      <c r="AN1140" s="34"/>
      <c r="AO1140" s="54"/>
      <c r="AP1140" s="34"/>
      <c r="AQ1140" s="34"/>
      <c r="AR1140" s="54"/>
      <c r="AS1140" s="54"/>
      <c r="AT1140" s="54"/>
      <c r="AU1140" s="54"/>
      <c r="AV1140" s="34"/>
      <c r="AW1140" s="34"/>
      <c r="AX1140" s="34"/>
      <c r="AY1140" s="34"/>
      <c r="AZ1140" s="34"/>
      <c r="BA1140" s="44"/>
      <c r="BB1140" s="34"/>
      <c r="BC1140" s="34"/>
    </row>
    <row r="1141" spans="1:55" x14ac:dyDescent="0.35" ht="15.0" customHeight="true">
      <c r="A1141" s="51"/>
      <c r="B1141" s="34"/>
      <c r="C1141" s="34"/>
      <c r="D1141" s="34"/>
      <c r="E1141" s="34"/>
      <c r="F1141" s="34"/>
      <c r="G1141" s="44"/>
      <c r="H1141" s="34"/>
      <c r="I1141" s="54"/>
      <c r="J1141" s="34"/>
      <c r="K1141" s="54"/>
      <c r="L1141" s="34"/>
      <c r="M1141" s="44"/>
      <c r="N1141" s="44"/>
      <c r="O1141" s="34"/>
      <c r="P1141" s="34"/>
      <c r="Q1141" s="34"/>
      <c r="R1141" s="34"/>
      <c r="V1141" s="44"/>
      <c r="X1141" s="95"/>
      <c r="Y1141" s="54"/>
      <c r="Z1141" s="54"/>
      <c r="AA1141" s="34"/>
      <c r="AB1141" s="34"/>
      <c r="AC1141" s="34"/>
      <c r="AD1141" s="34"/>
      <c r="AE1141" s="34"/>
      <c r="AF1141" s="34"/>
      <c r="AG1141" s="34"/>
      <c r="AH1141" s="34"/>
      <c r="AI1141" s="52"/>
      <c r="AJ1141" s="52"/>
      <c r="AL1141" s="34"/>
      <c r="AM1141" s="34"/>
      <c r="AN1141" s="34"/>
      <c r="AO1141" s="54"/>
      <c r="AP1141" s="34"/>
      <c r="AQ1141" s="34"/>
      <c r="AR1141" s="54"/>
      <c r="AS1141" s="54"/>
      <c r="AT1141" s="54"/>
      <c r="AU1141" s="54"/>
      <c r="AV1141" s="34"/>
      <c r="AW1141" s="34"/>
      <c r="AX1141" s="34"/>
      <c r="AY1141" s="34"/>
      <c r="AZ1141" s="34"/>
      <c r="BA1141" s="44"/>
      <c r="BB1141" s="34"/>
      <c r="BC1141" s="34"/>
    </row>
    <row r="1142" spans="1:55" x14ac:dyDescent="0.35" ht="15.0" customHeight="true">
      <c r="A1142" s="51"/>
      <c r="B1142" s="34"/>
      <c r="C1142" s="34"/>
      <c r="D1142" s="34"/>
      <c r="E1142" s="34"/>
      <c r="F1142" s="34"/>
      <c r="G1142" s="44"/>
      <c r="H1142" s="34"/>
      <c r="I1142" s="54"/>
      <c r="J1142" s="34"/>
      <c r="K1142" s="54"/>
      <c r="L1142" s="34"/>
      <c r="M1142" s="44"/>
      <c r="N1142" s="44"/>
      <c r="O1142" s="34"/>
      <c r="P1142" s="34"/>
      <c r="Q1142" s="34"/>
      <c r="R1142" s="34"/>
      <c r="V1142" s="44"/>
      <c r="X1142" s="95"/>
      <c r="Y1142" s="54"/>
      <c r="Z1142" s="54"/>
      <c r="AA1142" s="34"/>
      <c r="AB1142" s="34"/>
      <c r="AC1142" s="34"/>
      <c r="AD1142" s="34"/>
      <c r="AE1142" s="34"/>
      <c r="AF1142" s="34"/>
      <c r="AG1142" s="34"/>
      <c r="AH1142" s="34"/>
      <c r="AI1142" s="52"/>
      <c r="AJ1142" s="52"/>
      <c r="AL1142" s="34"/>
      <c r="AM1142" s="34"/>
      <c r="AN1142" s="34"/>
      <c r="AO1142" s="54"/>
      <c r="AP1142" s="34"/>
      <c r="AQ1142" s="34"/>
      <c r="AR1142" s="54"/>
      <c r="AS1142" s="54"/>
      <c r="AT1142" s="54"/>
      <c r="AU1142" s="54"/>
      <c r="AV1142" s="34"/>
      <c r="AW1142" s="34"/>
      <c r="AX1142" s="34"/>
      <c r="AY1142" s="34"/>
      <c r="AZ1142" s="34"/>
      <c r="BA1142" s="44"/>
      <c r="BB1142" s="34"/>
      <c r="BC1142" s="34"/>
    </row>
    <row r="1143" spans="1:55" x14ac:dyDescent="0.35" ht="15.0" customHeight="true">
      <c r="A1143" s="51"/>
      <c r="B1143" s="34"/>
      <c r="C1143" s="34"/>
      <c r="D1143" s="34"/>
      <c r="E1143" s="34"/>
      <c r="F1143" s="34"/>
      <c r="G1143" s="44"/>
      <c r="H1143" s="34"/>
      <c r="I1143" s="54"/>
      <c r="J1143" s="34"/>
      <c r="K1143" s="54"/>
      <c r="L1143" s="34"/>
      <c r="M1143" s="44"/>
      <c r="N1143" s="44"/>
      <c r="O1143" s="34"/>
      <c r="P1143" s="34"/>
      <c r="Q1143" s="34"/>
      <c r="R1143" s="34"/>
      <c r="V1143" s="44"/>
      <c r="X1143" s="95"/>
      <c r="Y1143" s="54"/>
      <c r="Z1143" s="54"/>
      <c r="AA1143" s="34"/>
      <c r="AB1143" s="34"/>
      <c r="AC1143" s="34"/>
      <c r="AD1143" s="34"/>
      <c r="AE1143" s="34"/>
      <c r="AF1143" s="34"/>
      <c r="AG1143" s="34"/>
      <c r="AH1143" s="34"/>
      <c r="AI1143" s="52"/>
      <c r="AJ1143" s="52"/>
      <c r="AL1143" s="34"/>
      <c r="AM1143" s="34"/>
      <c r="AN1143" s="34"/>
      <c r="AO1143" s="54"/>
      <c r="AP1143" s="34"/>
      <c r="AQ1143" s="34"/>
      <c r="AR1143" s="54"/>
      <c r="AS1143" s="54"/>
      <c r="AT1143" s="54"/>
      <c r="AU1143" s="54"/>
      <c r="AV1143" s="34"/>
      <c r="AW1143" s="34"/>
      <c r="AX1143" s="34"/>
      <c r="AY1143" s="34"/>
      <c r="AZ1143" s="34"/>
      <c r="BA1143" s="44"/>
      <c r="BB1143" s="34"/>
      <c r="BC1143" s="34"/>
    </row>
    <row r="1144" spans="1:55" x14ac:dyDescent="0.35" ht="15.0" customHeight="true">
      <c r="A1144" s="51"/>
      <c r="B1144" s="34"/>
      <c r="C1144" s="34"/>
      <c r="D1144" s="34"/>
      <c r="E1144" s="34"/>
      <c r="F1144" s="34"/>
      <c r="G1144" s="44"/>
      <c r="H1144" s="34"/>
      <c r="I1144" s="54"/>
      <c r="J1144" s="34"/>
      <c r="K1144" s="54"/>
      <c r="L1144" s="34"/>
      <c r="M1144" s="44"/>
      <c r="N1144" s="44"/>
      <c r="O1144" s="34"/>
      <c r="P1144" s="34"/>
      <c r="Q1144" s="34"/>
      <c r="R1144" s="34"/>
      <c r="V1144" s="44"/>
      <c r="X1144" s="95"/>
      <c r="Y1144" s="54"/>
      <c r="Z1144" s="54"/>
      <c r="AA1144" s="34"/>
      <c r="AB1144" s="34"/>
      <c r="AC1144" s="34"/>
      <c r="AD1144" s="34"/>
      <c r="AE1144" s="34"/>
      <c r="AF1144" s="34"/>
      <c r="AG1144" s="34"/>
      <c r="AH1144" s="34"/>
      <c r="AI1144" s="52"/>
      <c r="AJ1144" s="52"/>
      <c r="AL1144" s="34"/>
      <c r="AM1144" s="34"/>
      <c r="AN1144" s="34"/>
      <c r="AO1144" s="54"/>
      <c r="AP1144" s="34"/>
      <c r="AQ1144" s="34"/>
      <c r="AR1144" s="54"/>
      <c r="AS1144" s="54"/>
      <c r="AT1144" s="54"/>
      <c r="AU1144" s="54"/>
      <c r="AV1144" s="34"/>
      <c r="AW1144" s="34"/>
      <c r="AX1144" s="34"/>
      <c r="AY1144" s="34"/>
      <c r="AZ1144" s="34"/>
      <c r="BA1144" s="44"/>
      <c r="BB1144" s="34"/>
      <c r="BC1144" s="34"/>
    </row>
    <row r="1145" spans="1:55" x14ac:dyDescent="0.35" ht="15.0" customHeight="true">
      <c r="A1145" s="51"/>
      <c r="B1145" s="34"/>
      <c r="C1145" s="34"/>
      <c r="D1145" s="34"/>
      <c r="E1145" s="34"/>
      <c r="F1145" s="34"/>
      <c r="G1145" s="44"/>
      <c r="H1145" s="34"/>
      <c r="I1145" s="54"/>
      <c r="J1145" s="34"/>
      <c r="K1145" s="54"/>
      <c r="L1145" s="34"/>
      <c r="M1145" s="44"/>
      <c r="N1145" s="44"/>
      <c r="O1145" s="34"/>
      <c r="P1145" s="34"/>
      <c r="Q1145" s="34"/>
      <c r="R1145" s="34"/>
      <c r="V1145" s="44"/>
      <c r="X1145" s="95"/>
      <c r="Y1145" s="54"/>
      <c r="Z1145" s="54"/>
      <c r="AA1145" s="34"/>
      <c r="AB1145" s="34"/>
      <c r="AC1145" s="34"/>
      <c r="AD1145" s="34"/>
      <c r="AE1145" s="34"/>
      <c r="AF1145" s="34"/>
      <c r="AG1145" s="34"/>
      <c r="AH1145" s="34"/>
      <c r="AI1145" s="52"/>
      <c r="AJ1145" s="52"/>
      <c r="AL1145" s="34"/>
      <c r="AM1145" s="34"/>
      <c r="AN1145" s="34"/>
      <c r="AO1145" s="54"/>
      <c r="AP1145" s="34"/>
      <c r="AQ1145" s="34"/>
      <c r="AR1145" s="54"/>
      <c r="AS1145" s="54"/>
      <c r="AT1145" s="54"/>
      <c r="AU1145" s="54"/>
      <c r="AV1145" s="34"/>
      <c r="AW1145" s="34"/>
      <c r="AX1145" s="34"/>
      <c r="AY1145" s="34"/>
      <c r="AZ1145" s="34"/>
      <c r="BA1145" s="44"/>
      <c r="BB1145" s="34"/>
      <c r="BC1145" s="34"/>
    </row>
    <row r="1146" spans="1:55" x14ac:dyDescent="0.35" ht="15.0" customHeight="true">
      <c r="A1146" s="51"/>
      <c r="B1146" s="34"/>
      <c r="C1146" s="34"/>
      <c r="D1146" s="34"/>
      <c r="E1146" s="34"/>
      <c r="F1146" s="34"/>
      <c r="G1146" s="44"/>
      <c r="H1146" s="34"/>
      <c r="I1146" s="54"/>
      <c r="J1146" s="34"/>
      <c r="K1146" s="54"/>
      <c r="L1146" s="34"/>
      <c r="M1146" s="44"/>
      <c r="N1146" s="44"/>
      <c r="O1146" s="34"/>
      <c r="P1146" s="34"/>
      <c r="Q1146" s="34"/>
      <c r="R1146" s="34"/>
      <c r="V1146" s="44"/>
      <c r="X1146" s="95"/>
      <c r="Y1146" s="54"/>
      <c r="Z1146" s="54"/>
      <c r="AA1146" s="34"/>
      <c r="AB1146" s="34"/>
      <c r="AC1146" s="34"/>
      <c r="AD1146" s="34"/>
      <c r="AE1146" s="34"/>
      <c r="AF1146" s="34"/>
      <c r="AG1146" s="34"/>
      <c r="AH1146" s="34"/>
      <c r="AI1146" s="52"/>
      <c r="AJ1146" s="52"/>
      <c r="AL1146" s="34"/>
      <c r="AM1146" s="34"/>
      <c r="AN1146" s="34"/>
      <c r="AO1146" s="54"/>
      <c r="AP1146" s="34"/>
      <c r="AQ1146" s="34"/>
      <c r="AR1146" s="54"/>
      <c r="AS1146" s="54"/>
      <c r="AT1146" s="54"/>
      <c r="AU1146" s="54"/>
      <c r="AV1146" s="34"/>
      <c r="AW1146" s="34"/>
      <c r="AX1146" s="34"/>
      <c r="AY1146" s="34"/>
      <c r="AZ1146" s="34"/>
      <c r="BA1146" s="44"/>
      <c r="BB1146" s="34"/>
      <c r="BC1146" s="34"/>
    </row>
    <row r="1147" spans="1:55" x14ac:dyDescent="0.35" ht="15.0" customHeight="true">
      <c r="A1147" s="51"/>
      <c r="B1147" s="34"/>
      <c r="C1147" s="34"/>
      <c r="D1147" s="34"/>
      <c r="E1147" s="34"/>
      <c r="F1147" s="34"/>
      <c r="G1147" s="44"/>
      <c r="H1147" s="34"/>
      <c r="I1147" s="54"/>
      <c r="J1147" s="34"/>
      <c r="K1147" s="54"/>
      <c r="L1147" s="34"/>
      <c r="M1147" s="44"/>
      <c r="N1147" s="44"/>
      <c r="O1147" s="34"/>
      <c r="P1147" s="34"/>
      <c r="Q1147" s="34"/>
      <c r="R1147" s="34"/>
      <c r="V1147" s="44"/>
      <c r="X1147" s="95"/>
      <c r="Y1147" s="54"/>
      <c r="Z1147" s="54"/>
      <c r="AA1147" s="34"/>
      <c r="AB1147" s="34"/>
      <c r="AC1147" s="34"/>
      <c r="AD1147" s="34"/>
      <c r="AE1147" s="34"/>
      <c r="AF1147" s="34"/>
      <c r="AG1147" s="34"/>
      <c r="AH1147" s="34"/>
      <c r="AI1147" s="52"/>
      <c r="AJ1147" s="52"/>
      <c r="AL1147" s="34"/>
      <c r="AM1147" s="34"/>
      <c r="AN1147" s="34"/>
      <c r="AO1147" s="54"/>
      <c r="AP1147" s="34"/>
      <c r="AQ1147" s="34"/>
      <c r="AR1147" s="54"/>
      <c r="AS1147" s="54"/>
      <c r="AT1147" s="54"/>
      <c r="AU1147" s="54"/>
      <c r="AV1147" s="34"/>
      <c r="AW1147" s="34"/>
      <c r="AX1147" s="34"/>
      <c r="AY1147" s="34"/>
      <c r="AZ1147" s="34"/>
      <c r="BA1147" s="44"/>
      <c r="BB1147" s="34"/>
      <c r="BC1147" s="34"/>
    </row>
    <row r="1148" spans="1:55" x14ac:dyDescent="0.35" ht="15.0" customHeight="true">
      <c r="A1148" s="51"/>
      <c r="B1148" s="34"/>
      <c r="C1148" s="34"/>
      <c r="D1148" s="34"/>
      <c r="E1148" s="34"/>
      <c r="F1148" s="34"/>
      <c r="G1148" s="44"/>
      <c r="H1148" s="34"/>
      <c r="I1148" s="54"/>
      <c r="J1148" s="34"/>
      <c r="K1148" s="54"/>
      <c r="L1148" s="34"/>
      <c r="M1148" s="44"/>
      <c r="N1148" s="44"/>
      <c r="O1148" s="34"/>
      <c r="P1148" s="34"/>
      <c r="Q1148" s="34"/>
      <c r="R1148" s="34"/>
      <c r="V1148" s="44"/>
      <c r="X1148" s="95"/>
      <c r="Y1148" s="54"/>
      <c r="Z1148" s="54"/>
      <c r="AA1148" s="34"/>
      <c r="AB1148" s="34"/>
      <c r="AC1148" s="34"/>
      <c r="AD1148" s="34"/>
      <c r="AE1148" s="34"/>
      <c r="AF1148" s="34"/>
      <c r="AG1148" s="34"/>
      <c r="AH1148" s="34"/>
      <c r="AI1148" s="52"/>
      <c r="AJ1148" s="52"/>
      <c r="AL1148" s="34"/>
      <c r="AM1148" s="34"/>
      <c r="AN1148" s="34"/>
      <c r="AO1148" s="54"/>
      <c r="AP1148" s="34"/>
      <c r="AQ1148" s="34"/>
      <c r="AR1148" s="54"/>
      <c r="AS1148" s="54"/>
      <c r="AT1148" s="54"/>
      <c r="AU1148" s="54"/>
      <c r="AV1148" s="34"/>
      <c r="AW1148" s="34"/>
      <c r="AX1148" s="34"/>
      <c r="AY1148" s="34"/>
      <c r="AZ1148" s="34"/>
      <c r="BA1148" s="44"/>
      <c r="BB1148" s="34"/>
      <c r="BC1148" s="34"/>
    </row>
    <row r="1149" spans="1:55" x14ac:dyDescent="0.35" ht="15.0" customHeight="true">
      <c r="A1149" s="51"/>
      <c r="B1149" s="34"/>
      <c r="C1149" s="34"/>
      <c r="D1149" s="34"/>
      <c r="E1149" s="34"/>
      <c r="F1149" s="34"/>
      <c r="G1149" s="44"/>
      <c r="H1149" s="34"/>
      <c r="I1149" s="54"/>
      <c r="J1149" s="34"/>
      <c r="K1149" s="54"/>
      <c r="L1149" s="34"/>
      <c r="M1149" s="44"/>
      <c r="N1149" s="44"/>
      <c r="O1149" s="34"/>
      <c r="P1149" s="34"/>
      <c r="Q1149" s="34"/>
      <c r="R1149" s="34"/>
      <c r="V1149" s="44"/>
      <c r="X1149" s="95"/>
      <c r="Y1149" s="54"/>
      <c r="Z1149" s="54"/>
      <c r="AA1149" s="34"/>
      <c r="AB1149" s="34"/>
      <c r="AC1149" s="34"/>
      <c r="AD1149" s="34"/>
      <c r="AE1149" s="34"/>
      <c r="AF1149" s="34"/>
      <c r="AG1149" s="34"/>
      <c r="AH1149" s="34"/>
      <c r="AI1149" s="52"/>
      <c r="AJ1149" s="52"/>
      <c r="AL1149" s="34"/>
      <c r="AM1149" s="34"/>
      <c r="AN1149" s="34"/>
      <c r="AO1149" s="54"/>
      <c r="AP1149" s="34"/>
      <c r="AQ1149" s="34"/>
      <c r="AR1149" s="54"/>
      <c r="AS1149" s="54"/>
      <c r="AT1149" s="54"/>
      <c r="AU1149" s="54"/>
      <c r="AV1149" s="34"/>
      <c r="AW1149" s="34"/>
      <c r="AX1149" s="34"/>
      <c r="AY1149" s="34"/>
      <c r="AZ1149" s="34"/>
      <c r="BA1149" s="44"/>
      <c r="BB1149" s="34"/>
      <c r="BC1149" s="34"/>
    </row>
    <row r="1150" spans="1:55" x14ac:dyDescent="0.35" ht="15.0" customHeight="true">
      <c r="A1150" s="51"/>
      <c r="B1150" s="34"/>
      <c r="C1150" s="34"/>
      <c r="D1150" s="34"/>
      <c r="E1150" s="34"/>
      <c r="F1150" s="34"/>
      <c r="G1150" s="44"/>
      <c r="H1150" s="34"/>
      <c r="I1150" s="54"/>
      <c r="J1150" s="34"/>
      <c r="K1150" s="54"/>
      <c r="L1150" s="34"/>
      <c r="M1150" s="44"/>
      <c r="N1150" s="44"/>
      <c r="O1150" s="34"/>
      <c r="P1150" s="34"/>
      <c r="Q1150" s="34"/>
      <c r="R1150" s="34"/>
      <c r="V1150" s="44"/>
      <c r="X1150" s="95"/>
      <c r="Y1150" s="54"/>
      <c r="Z1150" s="54"/>
      <c r="AA1150" s="34"/>
      <c r="AB1150" s="34"/>
      <c r="AC1150" s="34"/>
      <c r="AD1150" s="34"/>
      <c r="AE1150" s="34"/>
      <c r="AF1150" s="34"/>
      <c r="AG1150" s="34"/>
      <c r="AH1150" s="34"/>
      <c r="AI1150" s="52"/>
      <c r="AJ1150" s="52"/>
      <c r="AL1150" s="34"/>
      <c r="AM1150" s="34"/>
      <c r="AN1150" s="34"/>
      <c r="AO1150" s="54"/>
      <c r="AP1150" s="34"/>
      <c r="AQ1150" s="34"/>
      <c r="AR1150" s="54"/>
      <c r="AS1150" s="54"/>
      <c r="AT1150" s="54"/>
      <c r="AU1150" s="54"/>
      <c r="AV1150" s="34"/>
      <c r="AW1150" s="34"/>
      <c r="AX1150" s="34"/>
      <c r="AY1150" s="34"/>
      <c r="AZ1150" s="34"/>
      <c r="BA1150" s="44"/>
      <c r="BB1150" s="34"/>
      <c r="BC1150" s="34"/>
    </row>
    <row r="1151" spans="1:55" x14ac:dyDescent="0.35" ht="15.0" customHeight="true">
      <c r="A1151" s="51"/>
      <c r="B1151" s="34"/>
      <c r="C1151" s="34"/>
      <c r="D1151" s="34"/>
      <c r="E1151" s="34"/>
      <c r="F1151" s="34"/>
      <c r="G1151" s="44"/>
      <c r="H1151" s="34"/>
      <c r="I1151" s="54"/>
      <c r="J1151" s="34"/>
      <c r="K1151" s="54"/>
      <c r="L1151" s="34"/>
      <c r="M1151" s="44"/>
      <c r="N1151" s="44"/>
      <c r="O1151" s="34"/>
      <c r="P1151" s="34"/>
      <c r="Q1151" s="34"/>
      <c r="R1151" s="34"/>
      <c r="V1151" s="44"/>
      <c r="X1151" s="95"/>
      <c r="Y1151" s="54"/>
      <c r="Z1151" s="54"/>
      <c r="AA1151" s="34"/>
      <c r="AB1151" s="34"/>
      <c r="AC1151" s="34"/>
      <c r="AD1151" s="34"/>
      <c r="AE1151" s="34"/>
      <c r="AF1151" s="34"/>
      <c r="AG1151" s="34"/>
      <c r="AH1151" s="34"/>
      <c r="AI1151" s="52"/>
      <c r="AJ1151" s="52"/>
      <c r="AL1151" s="34"/>
      <c r="AM1151" s="34"/>
      <c r="AN1151" s="34"/>
      <c r="AO1151" s="54"/>
      <c r="AP1151" s="34"/>
      <c r="AQ1151" s="34"/>
      <c r="AR1151" s="54"/>
      <c r="AS1151" s="54"/>
      <c r="AT1151" s="54"/>
      <c r="AU1151" s="54"/>
      <c r="AV1151" s="34"/>
      <c r="AW1151" s="34"/>
      <c r="AX1151" s="34"/>
      <c r="AY1151" s="34"/>
      <c r="AZ1151" s="34"/>
      <c r="BA1151" s="44"/>
      <c r="BB1151" s="34"/>
      <c r="BC1151" s="34"/>
    </row>
    <row r="1152" spans="1:55" x14ac:dyDescent="0.35" ht="15.0" customHeight="true">
      <c r="A1152" s="51"/>
      <c r="B1152" s="34"/>
      <c r="C1152" s="34"/>
      <c r="D1152" s="34"/>
      <c r="E1152" s="34"/>
      <c r="F1152" s="34"/>
      <c r="G1152" s="44"/>
      <c r="H1152" s="34"/>
      <c r="I1152" s="54"/>
      <c r="J1152" s="34"/>
      <c r="K1152" s="54"/>
      <c r="L1152" s="34"/>
      <c r="M1152" s="44"/>
      <c r="N1152" s="44"/>
      <c r="O1152" s="34"/>
      <c r="P1152" s="34"/>
      <c r="Q1152" s="34"/>
      <c r="R1152" s="34"/>
      <c r="V1152" s="44"/>
      <c r="X1152" s="95"/>
      <c r="Y1152" s="54"/>
      <c r="Z1152" s="54"/>
      <c r="AA1152" s="34"/>
      <c r="AB1152" s="34"/>
      <c r="AC1152" s="34"/>
      <c r="AD1152" s="34"/>
      <c r="AE1152" s="34"/>
      <c r="AF1152" s="34"/>
      <c r="AG1152" s="34"/>
      <c r="AH1152" s="34"/>
      <c r="AI1152" s="52"/>
      <c r="AJ1152" s="52"/>
      <c r="AL1152" s="34"/>
      <c r="AM1152" s="34"/>
      <c r="AN1152" s="34"/>
      <c r="AO1152" s="54"/>
      <c r="AP1152" s="34"/>
      <c r="AQ1152" s="34"/>
      <c r="AR1152" s="54"/>
      <c r="AS1152" s="54"/>
      <c r="AT1152" s="54"/>
      <c r="AU1152" s="54"/>
      <c r="AV1152" s="34"/>
      <c r="AW1152" s="34"/>
      <c r="AX1152" s="34"/>
      <c r="AY1152" s="34"/>
      <c r="AZ1152" s="34"/>
      <c r="BA1152" s="44"/>
      <c r="BB1152" s="34"/>
      <c r="BC1152" s="34"/>
    </row>
    <row r="1153" spans="1:55" x14ac:dyDescent="0.35" ht="15.0" customHeight="true">
      <c r="A1153" s="51"/>
      <c r="B1153" s="34"/>
      <c r="C1153" s="34"/>
      <c r="D1153" s="34"/>
      <c r="E1153" s="34"/>
      <c r="F1153" s="34"/>
      <c r="G1153" s="44"/>
      <c r="H1153" s="34"/>
      <c r="I1153" s="54"/>
      <c r="J1153" s="34"/>
      <c r="K1153" s="54"/>
      <c r="L1153" s="34"/>
      <c r="M1153" s="44"/>
      <c r="N1153" s="44"/>
      <c r="O1153" s="34"/>
      <c r="P1153" s="34"/>
      <c r="Q1153" s="34"/>
      <c r="R1153" s="34"/>
      <c r="V1153" s="44"/>
      <c r="X1153" s="95"/>
      <c r="Y1153" s="54"/>
      <c r="Z1153" s="54"/>
      <c r="AA1153" s="34"/>
      <c r="AB1153" s="34"/>
      <c r="AC1153" s="34"/>
      <c r="AD1153" s="34"/>
      <c r="AE1153" s="34"/>
      <c r="AF1153" s="34"/>
      <c r="AG1153" s="34"/>
      <c r="AH1153" s="34"/>
      <c r="AI1153" s="52"/>
      <c r="AJ1153" s="52"/>
      <c r="AL1153" s="34"/>
      <c r="AM1153" s="34"/>
      <c r="AN1153" s="34"/>
      <c r="AO1153" s="54"/>
      <c r="AP1153" s="34"/>
      <c r="AQ1153" s="34"/>
      <c r="AR1153" s="54"/>
      <c r="AS1153" s="54"/>
      <c r="AT1153" s="54"/>
      <c r="AU1153" s="54"/>
      <c r="AV1153" s="34"/>
      <c r="AW1153" s="34"/>
      <c r="AX1153" s="34"/>
      <c r="AY1153" s="34"/>
      <c r="AZ1153" s="34"/>
      <c r="BA1153" s="44"/>
      <c r="BB1153" s="34"/>
      <c r="BC1153" s="34"/>
    </row>
    <row r="1154" spans="1:55" x14ac:dyDescent="0.35" ht="15.0" customHeight="true">
      <c r="A1154" s="51"/>
      <c r="B1154" s="34"/>
      <c r="C1154" s="34"/>
      <c r="D1154" s="34"/>
      <c r="E1154" s="34"/>
      <c r="F1154" s="34"/>
      <c r="G1154" s="44"/>
      <c r="H1154" s="34"/>
      <c r="I1154" s="54"/>
      <c r="J1154" s="34"/>
      <c r="K1154" s="54"/>
      <c r="L1154" s="34"/>
      <c r="M1154" s="44"/>
      <c r="N1154" s="44"/>
      <c r="O1154" s="34"/>
      <c r="P1154" s="34"/>
      <c r="Q1154" s="34"/>
      <c r="R1154" s="34"/>
      <c r="V1154" s="44"/>
      <c r="X1154" s="95"/>
      <c r="Y1154" s="54"/>
      <c r="Z1154" s="54"/>
      <c r="AA1154" s="34"/>
      <c r="AB1154" s="34"/>
      <c r="AC1154" s="34"/>
      <c r="AD1154" s="34"/>
      <c r="AE1154" s="34"/>
      <c r="AF1154" s="34"/>
      <c r="AG1154" s="34"/>
      <c r="AH1154" s="34"/>
      <c r="AI1154" s="52"/>
      <c r="AJ1154" s="52"/>
      <c r="AL1154" s="34"/>
      <c r="AM1154" s="34"/>
      <c r="AN1154" s="34"/>
      <c r="AO1154" s="54"/>
      <c r="AP1154" s="34"/>
      <c r="AQ1154" s="34"/>
      <c r="AR1154" s="54"/>
      <c r="AS1154" s="54"/>
      <c r="AT1154" s="54"/>
      <c r="AU1154" s="54"/>
      <c r="AV1154" s="34"/>
      <c r="AW1154" s="34"/>
      <c r="AX1154" s="34"/>
      <c r="AY1154" s="34"/>
      <c r="AZ1154" s="34"/>
      <c r="BA1154" s="44"/>
      <c r="BB1154" s="34"/>
      <c r="BC1154" s="34"/>
    </row>
    <row r="1155" spans="1:55" x14ac:dyDescent="0.35" ht="15.0" customHeight="true">
      <c r="A1155" s="51"/>
      <c r="B1155" s="34"/>
      <c r="C1155" s="34"/>
      <c r="D1155" s="34"/>
      <c r="E1155" s="34"/>
      <c r="F1155" s="34"/>
      <c r="G1155" s="44"/>
      <c r="H1155" s="34"/>
      <c r="I1155" s="54"/>
      <c r="J1155" s="34"/>
      <c r="K1155" s="54"/>
      <c r="L1155" s="34"/>
      <c r="M1155" s="44"/>
      <c r="N1155" s="44"/>
      <c r="O1155" s="34"/>
      <c r="P1155" s="34"/>
      <c r="Q1155" s="34"/>
      <c r="R1155" s="34"/>
      <c r="V1155" s="44"/>
      <c r="X1155" s="95"/>
      <c r="Y1155" s="54"/>
      <c r="Z1155" s="54"/>
      <c r="AA1155" s="34"/>
      <c r="AB1155" s="34"/>
      <c r="AC1155" s="34"/>
      <c r="AD1155" s="34"/>
      <c r="AE1155" s="34"/>
      <c r="AF1155" s="34"/>
      <c r="AG1155" s="34"/>
      <c r="AH1155" s="34"/>
      <c r="AI1155" s="52"/>
      <c r="AJ1155" s="52"/>
      <c r="AL1155" s="34"/>
      <c r="AM1155" s="34"/>
      <c r="AN1155" s="34"/>
      <c r="AO1155" s="54"/>
      <c r="AP1155" s="34"/>
      <c r="AQ1155" s="34"/>
      <c r="AR1155" s="54"/>
      <c r="AS1155" s="54"/>
      <c r="AT1155" s="54"/>
      <c r="AU1155" s="54"/>
      <c r="AV1155" s="34"/>
      <c r="AW1155" s="34"/>
      <c r="AX1155" s="34"/>
      <c r="AY1155" s="34"/>
      <c r="AZ1155" s="34"/>
      <c r="BA1155" s="44"/>
      <c r="BB1155" s="34"/>
      <c r="BC1155" s="34"/>
    </row>
    <row r="1156" spans="1:55" x14ac:dyDescent="0.35" ht="15.0" customHeight="true">
      <c r="A1156" s="51"/>
      <c r="B1156" s="34"/>
      <c r="C1156" s="34"/>
      <c r="D1156" s="34"/>
      <c r="E1156" s="34"/>
      <c r="F1156" s="34"/>
      <c r="G1156" s="44"/>
      <c r="H1156" s="34"/>
      <c r="I1156" s="54"/>
      <c r="J1156" s="34"/>
      <c r="K1156" s="54"/>
      <c r="L1156" s="34"/>
      <c r="M1156" s="44"/>
      <c r="N1156" s="44"/>
      <c r="O1156" s="34"/>
      <c r="P1156" s="34"/>
      <c r="Q1156" s="34"/>
      <c r="R1156" s="34"/>
      <c r="V1156" s="44"/>
      <c r="X1156" s="95"/>
      <c r="Y1156" s="54"/>
      <c r="Z1156" s="54"/>
      <c r="AA1156" s="34"/>
      <c r="AB1156" s="34"/>
      <c r="AC1156" s="34"/>
      <c r="AD1156" s="34"/>
      <c r="AE1156" s="34"/>
      <c r="AF1156" s="34"/>
      <c r="AG1156" s="34"/>
      <c r="AH1156" s="34"/>
      <c r="AI1156" s="52"/>
      <c r="AJ1156" s="52"/>
      <c r="AL1156" s="34"/>
      <c r="AM1156" s="34"/>
      <c r="AN1156" s="34"/>
      <c r="AO1156" s="54"/>
      <c r="AP1156" s="34"/>
      <c r="AQ1156" s="34"/>
      <c r="AR1156" s="54"/>
      <c r="AS1156" s="54"/>
      <c r="AT1156" s="54"/>
      <c r="AU1156" s="54"/>
      <c r="AV1156" s="34"/>
      <c r="AW1156" s="34"/>
      <c r="AX1156" s="34"/>
      <c r="AY1156" s="34"/>
      <c r="AZ1156" s="34"/>
      <c r="BA1156" s="44"/>
      <c r="BB1156" s="34"/>
      <c r="BC1156" s="34"/>
    </row>
    <row r="1157" spans="1:55" x14ac:dyDescent="0.35" ht="15.0" customHeight="true">
      <c r="A1157" s="51"/>
      <c r="B1157" s="34"/>
      <c r="C1157" s="34"/>
      <c r="D1157" s="34"/>
      <c r="E1157" s="34"/>
      <c r="F1157" s="34"/>
      <c r="G1157" s="44"/>
      <c r="H1157" s="34"/>
      <c r="I1157" s="54"/>
      <c r="J1157" s="34"/>
      <c r="K1157" s="54"/>
      <c r="L1157" s="34"/>
      <c r="M1157" s="44"/>
      <c r="N1157" s="44"/>
      <c r="O1157" s="34"/>
      <c r="P1157" s="34"/>
      <c r="Q1157" s="34"/>
      <c r="R1157" s="34"/>
      <c r="V1157" s="44"/>
      <c r="X1157" s="95"/>
      <c r="Y1157" s="54"/>
      <c r="Z1157" s="54"/>
      <c r="AA1157" s="34"/>
      <c r="AB1157" s="34"/>
      <c r="AC1157" s="34"/>
      <c r="AD1157" s="34"/>
      <c r="AE1157" s="34"/>
      <c r="AF1157" s="34"/>
      <c r="AG1157" s="34"/>
      <c r="AH1157" s="34"/>
      <c r="AI1157" s="52"/>
      <c r="AJ1157" s="52"/>
      <c r="AL1157" s="34"/>
      <c r="AM1157" s="34"/>
      <c r="AN1157" s="34"/>
      <c r="AO1157" s="54"/>
      <c r="AP1157" s="34"/>
      <c r="AQ1157" s="34"/>
      <c r="AR1157" s="54"/>
      <c r="AS1157" s="54"/>
      <c r="AT1157" s="54"/>
      <c r="AU1157" s="54"/>
      <c r="AV1157" s="34"/>
      <c r="AW1157" s="34"/>
      <c r="AX1157" s="34"/>
      <c r="AY1157" s="34"/>
      <c r="AZ1157" s="34"/>
      <c r="BA1157" s="44"/>
      <c r="BB1157" s="34"/>
      <c r="BC1157" s="34"/>
    </row>
    <row r="1158" spans="1:55" x14ac:dyDescent="0.35" ht="15.0" customHeight="true">
      <c r="A1158" s="51"/>
      <c r="B1158" s="34"/>
      <c r="C1158" s="34"/>
      <c r="D1158" s="34"/>
      <c r="E1158" s="34"/>
      <c r="F1158" s="34"/>
      <c r="G1158" s="44"/>
      <c r="H1158" s="34"/>
      <c r="I1158" s="54"/>
      <c r="J1158" s="34"/>
      <c r="K1158" s="54"/>
      <c r="L1158" s="34"/>
      <c r="M1158" s="44"/>
      <c r="N1158" s="44"/>
      <c r="O1158" s="34"/>
      <c r="P1158" s="34"/>
      <c r="Q1158" s="34"/>
      <c r="R1158" s="34"/>
      <c r="V1158" s="44"/>
      <c r="X1158" s="95"/>
      <c r="Y1158" s="54"/>
      <c r="Z1158" s="54"/>
      <c r="AA1158" s="34"/>
      <c r="AB1158" s="34"/>
      <c r="AC1158" s="34"/>
      <c r="AD1158" s="34"/>
      <c r="AE1158" s="34"/>
      <c r="AF1158" s="34"/>
      <c r="AG1158" s="34"/>
      <c r="AH1158" s="34"/>
      <c r="AI1158" s="52"/>
      <c r="AJ1158" s="52"/>
      <c r="AL1158" s="34"/>
      <c r="AM1158" s="34"/>
      <c r="AN1158" s="34"/>
      <c r="AO1158" s="54"/>
      <c r="AP1158" s="34"/>
      <c r="AQ1158" s="34"/>
      <c r="AR1158" s="54"/>
      <c r="AS1158" s="54"/>
      <c r="AT1158" s="54"/>
      <c r="AU1158" s="54"/>
      <c r="AV1158" s="34"/>
      <c r="AW1158" s="34"/>
      <c r="AX1158" s="34"/>
      <c r="AY1158" s="34"/>
      <c r="AZ1158" s="34"/>
      <c r="BA1158" s="44"/>
      <c r="BB1158" s="34"/>
      <c r="BC1158" s="34"/>
    </row>
    <row r="1159" spans="1:55" x14ac:dyDescent="0.35" ht="15.0" customHeight="true">
      <c r="A1159" s="51"/>
      <c r="B1159" s="34"/>
      <c r="C1159" s="34"/>
      <c r="D1159" s="34"/>
      <c r="E1159" s="34"/>
      <c r="F1159" s="34"/>
      <c r="G1159" s="44"/>
      <c r="H1159" s="34"/>
      <c r="I1159" s="54"/>
      <c r="J1159" s="34"/>
      <c r="K1159" s="54"/>
      <c r="L1159" s="34"/>
      <c r="M1159" s="44"/>
      <c r="N1159" s="44"/>
      <c r="O1159" s="34"/>
      <c r="P1159" s="34"/>
      <c r="Q1159" s="34"/>
      <c r="R1159" s="34"/>
      <c r="V1159" s="44"/>
      <c r="X1159" s="95"/>
      <c r="Y1159" s="54"/>
      <c r="Z1159" s="54"/>
      <c r="AA1159" s="34"/>
      <c r="AB1159" s="34"/>
      <c r="AC1159" s="34"/>
      <c r="AD1159" s="34"/>
      <c r="AE1159" s="34"/>
      <c r="AF1159" s="34"/>
      <c r="AG1159" s="34"/>
      <c r="AH1159" s="34"/>
      <c r="AI1159" s="52"/>
      <c r="AJ1159" s="52"/>
      <c r="AL1159" s="34"/>
      <c r="AM1159" s="34"/>
      <c r="AN1159" s="34"/>
      <c r="AO1159" s="54"/>
      <c r="AP1159" s="34"/>
      <c r="AQ1159" s="34"/>
      <c r="AR1159" s="54"/>
      <c r="AS1159" s="54"/>
      <c r="AT1159" s="54"/>
      <c r="AU1159" s="54"/>
      <c r="AV1159" s="34"/>
      <c r="AW1159" s="34"/>
      <c r="AX1159" s="34"/>
      <c r="AY1159" s="34"/>
      <c r="AZ1159" s="34"/>
      <c r="BA1159" s="44"/>
      <c r="BB1159" s="34"/>
      <c r="BC1159" s="34"/>
    </row>
    <row r="1160" spans="1:55" x14ac:dyDescent="0.35" ht="15.0" customHeight="true">
      <c r="A1160" s="51"/>
      <c r="B1160" s="34"/>
      <c r="C1160" s="34"/>
      <c r="D1160" s="34"/>
      <c r="E1160" s="34"/>
      <c r="F1160" s="34"/>
      <c r="G1160" s="44"/>
      <c r="H1160" s="34"/>
      <c r="I1160" s="54"/>
      <c r="J1160" s="34"/>
      <c r="K1160" s="54"/>
      <c r="L1160" s="34"/>
      <c r="M1160" s="44"/>
      <c r="N1160" s="44"/>
      <c r="O1160" s="34"/>
      <c r="P1160" s="34"/>
      <c r="Q1160" s="34"/>
      <c r="R1160" s="34"/>
      <c r="V1160" s="44"/>
      <c r="X1160" s="95"/>
      <c r="Y1160" s="54"/>
      <c r="Z1160" s="54"/>
      <c r="AA1160" s="34"/>
      <c r="AB1160" s="34"/>
      <c r="AC1160" s="34"/>
      <c r="AD1160" s="34"/>
      <c r="AE1160" s="34"/>
      <c r="AF1160" s="34"/>
      <c r="AG1160" s="34"/>
      <c r="AH1160" s="34"/>
      <c r="AI1160" s="52"/>
      <c r="AJ1160" s="52"/>
      <c r="AL1160" s="34"/>
      <c r="AM1160" s="34"/>
      <c r="AN1160" s="34"/>
      <c r="AO1160" s="54"/>
      <c r="AP1160" s="34"/>
      <c r="AQ1160" s="34"/>
      <c r="AR1160" s="54"/>
      <c r="AS1160" s="54"/>
      <c r="AT1160" s="54"/>
      <c r="AU1160" s="54"/>
      <c r="AV1160" s="34"/>
      <c r="AW1160" s="34"/>
      <c r="AX1160" s="34"/>
      <c r="AY1160" s="34"/>
      <c r="AZ1160" s="34"/>
      <c r="BA1160" s="44"/>
      <c r="BB1160" s="34"/>
      <c r="BC1160" s="34"/>
    </row>
    <row r="1161" spans="1:55" x14ac:dyDescent="0.35" ht="15.0" customHeight="true">
      <c r="A1161" s="51"/>
      <c r="B1161" s="34"/>
      <c r="C1161" s="34"/>
      <c r="D1161" s="34"/>
      <c r="E1161" s="34"/>
      <c r="F1161" s="34"/>
      <c r="G1161" s="44"/>
      <c r="H1161" s="34"/>
      <c r="I1161" s="54"/>
      <c r="J1161" s="34"/>
      <c r="K1161" s="54"/>
      <c r="L1161" s="34"/>
      <c r="M1161" s="44"/>
      <c r="N1161" s="44"/>
      <c r="O1161" s="34"/>
      <c r="P1161" s="34"/>
      <c r="Q1161" s="34"/>
      <c r="R1161" s="34"/>
      <c r="V1161" s="44"/>
      <c r="X1161" s="95"/>
      <c r="Y1161" s="54"/>
      <c r="Z1161" s="54"/>
      <c r="AA1161" s="34"/>
      <c r="AB1161" s="34"/>
      <c r="AC1161" s="34"/>
      <c r="AD1161" s="34"/>
      <c r="AE1161" s="34"/>
      <c r="AF1161" s="34"/>
      <c r="AG1161" s="34"/>
      <c r="AH1161" s="34"/>
      <c r="AI1161" s="52"/>
      <c r="AJ1161" s="52"/>
      <c r="AL1161" s="34"/>
      <c r="AM1161" s="34"/>
      <c r="AN1161" s="34"/>
      <c r="AO1161" s="54"/>
      <c r="AP1161" s="34"/>
      <c r="AQ1161" s="34"/>
      <c r="AR1161" s="54"/>
      <c r="AS1161" s="54"/>
      <c r="AT1161" s="54"/>
      <c r="AU1161" s="54"/>
      <c r="AV1161" s="34"/>
      <c r="AW1161" s="34"/>
      <c r="AX1161" s="34"/>
      <c r="AY1161" s="34"/>
      <c r="AZ1161" s="34"/>
      <c r="BA1161" s="44"/>
      <c r="BB1161" s="34"/>
      <c r="BC1161" s="34"/>
    </row>
    <row r="1162" spans="1:55" x14ac:dyDescent="0.35" ht="15.0" customHeight="true">
      <c r="A1162" s="51"/>
      <c r="B1162" s="34"/>
      <c r="C1162" s="34"/>
      <c r="D1162" s="34"/>
      <c r="E1162" s="34"/>
      <c r="F1162" s="34"/>
      <c r="G1162" s="44"/>
      <c r="H1162" s="34"/>
      <c r="I1162" s="54"/>
      <c r="J1162" s="34"/>
      <c r="K1162" s="54"/>
      <c r="L1162" s="34"/>
      <c r="M1162" s="44"/>
      <c r="N1162" s="44"/>
      <c r="O1162" s="34"/>
      <c r="P1162" s="34"/>
      <c r="Q1162" s="34"/>
      <c r="R1162" s="34"/>
      <c r="V1162" s="44"/>
      <c r="X1162" s="95"/>
      <c r="Y1162" s="54"/>
      <c r="Z1162" s="54"/>
      <c r="AA1162" s="34"/>
      <c r="AB1162" s="34"/>
      <c r="AC1162" s="34"/>
      <c r="AD1162" s="34"/>
      <c r="AE1162" s="34"/>
      <c r="AF1162" s="34"/>
      <c r="AG1162" s="34"/>
      <c r="AH1162" s="34"/>
      <c r="AI1162" s="52"/>
      <c r="AJ1162" s="52"/>
      <c r="AL1162" s="34"/>
      <c r="AM1162" s="34"/>
      <c r="AN1162" s="34"/>
      <c r="AO1162" s="54"/>
      <c r="AP1162" s="34"/>
      <c r="AQ1162" s="34"/>
      <c r="AR1162" s="54"/>
      <c r="AS1162" s="54"/>
      <c r="AT1162" s="54"/>
      <c r="AU1162" s="54"/>
      <c r="AV1162" s="34"/>
      <c r="AW1162" s="34"/>
      <c r="AX1162" s="34"/>
      <c r="AY1162" s="34"/>
      <c r="AZ1162" s="34"/>
      <c r="BA1162" s="44"/>
      <c r="BB1162" s="34"/>
      <c r="BC1162" s="34"/>
    </row>
    <row r="1163" spans="1:55" x14ac:dyDescent="0.35" ht="15.0" customHeight="true">
      <c r="A1163" s="51"/>
      <c r="B1163" s="34"/>
      <c r="C1163" s="34"/>
      <c r="D1163" s="34"/>
      <c r="E1163" s="34"/>
      <c r="F1163" s="34"/>
      <c r="G1163" s="44"/>
      <c r="H1163" s="34"/>
      <c r="I1163" s="54"/>
      <c r="J1163" s="34"/>
      <c r="K1163" s="54"/>
      <c r="L1163" s="34"/>
      <c r="M1163" s="44"/>
      <c r="N1163" s="44"/>
      <c r="O1163" s="34"/>
      <c r="P1163" s="34"/>
      <c r="Q1163" s="34"/>
      <c r="R1163" s="34"/>
      <c r="V1163" s="44"/>
      <c r="X1163" s="95"/>
      <c r="Y1163" s="54"/>
      <c r="Z1163" s="54"/>
      <c r="AA1163" s="34"/>
      <c r="AB1163" s="34"/>
      <c r="AC1163" s="34"/>
      <c r="AD1163" s="34"/>
      <c r="AE1163" s="34"/>
      <c r="AF1163" s="34"/>
      <c r="AG1163" s="34"/>
      <c r="AH1163" s="34"/>
      <c r="AI1163" s="52"/>
      <c r="AJ1163" s="52"/>
      <c r="AL1163" s="34"/>
      <c r="AM1163" s="34"/>
      <c r="AN1163" s="34"/>
      <c r="AO1163" s="54"/>
      <c r="AP1163" s="34"/>
      <c r="AQ1163" s="34"/>
      <c r="AR1163" s="54"/>
      <c r="AS1163" s="54"/>
      <c r="AT1163" s="54"/>
      <c r="AU1163" s="54"/>
      <c r="AV1163" s="34"/>
      <c r="AW1163" s="34"/>
      <c r="AX1163" s="34"/>
      <c r="AY1163" s="34"/>
      <c r="AZ1163" s="34"/>
      <c r="BA1163" s="44"/>
      <c r="BB1163" s="34"/>
      <c r="BC1163" s="34"/>
    </row>
    <row r="1164" spans="1:55" x14ac:dyDescent="0.35" ht="15.0" customHeight="true">
      <c r="A1164" s="51"/>
      <c r="B1164" s="34"/>
      <c r="C1164" s="34"/>
      <c r="D1164" s="34"/>
      <c r="E1164" s="34"/>
      <c r="F1164" s="34"/>
      <c r="G1164" s="44"/>
      <c r="H1164" s="34"/>
      <c r="I1164" s="54"/>
      <c r="J1164" s="34"/>
      <c r="K1164" s="54"/>
      <c r="L1164" s="34"/>
      <c r="M1164" s="44"/>
      <c r="N1164" s="44"/>
      <c r="O1164" s="34"/>
      <c r="P1164" s="34"/>
      <c r="Q1164" s="34"/>
      <c r="R1164" s="34"/>
      <c r="V1164" s="44"/>
      <c r="X1164" s="95"/>
      <c r="Y1164" s="54"/>
      <c r="Z1164" s="54"/>
      <c r="AA1164" s="34"/>
      <c r="AB1164" s="34"/>
      <c r="AC1164" s="34"/>
      <c r="AD1164" s="34"/>
      <c r="AE1164" s="34"/>
      <c r="AF1164" s="34"/>
      <c r="AG1164" s="34"/>
      <c r="AH1164" s="34"/>
      <c r="AI1164" s="52"/>
      <c r="AJ1164" s="52"/>
      <c r="AL1164" s="34"/>
      <c r="AM1164" s="34"/>
      <c r="AN1164" s="34"/>
      <c r="AO1164" s="54"/>
      <c r="AP1164" s="34"/>
      <c r="AQ1164" s="34"/>
      <c r="AR1164" s="54"/>
      <c r="AS1164" s="54"/>
      <c r="AT1164" s="54"/>
      <c r="AU1164" s="54"/>
      <c r="AV1164" s="34"/>
      <c r="AW1164" s="34"/>
      <c r="AX1164" s="34"/>
      <c r="AY1164" s="34"/>
      <c r="AZ1164" s="34"/>
      <c r="BA1164" s="44"/>
      <c r="BB1164" s="34"/>
      <c r="BC1164" s="34"/>
    </row>
    <row r="1165" spans="1:55" x14ac:dyDescent="0.35" ht="15.0" customHeight="true">
      <c r="A1165" s="51"/>
      <c r="B1165" s="34"/>
      <c r="C1165" s="34"/>
      <c r="D1165" s="34"/>
      <c r="E1165" s="34"/>
      <c r="F1165" s="34"/>
      <c r="G1165" s="44"/>
      <c r="H1165" s="34"/>
      <c r="I1165" s="54"/>
      <c r="J1165" s="34"/>
      <c r="K1165" s="54"/>
      <c r="L1165" s="34"/>
      <c r="M1165" s="44"/>
      <c r="N1165" s="44"/>
      <c r="O1165" s="34"/>
      <c r="P1165" s="34"/>
      <c r="Q1165" s="34"/>
      <c r="R1165" s="34"/>
      <c r="V1165" s="44"/>
      <c r="X1165" s="95"/>
      <c r="Y1165" s="54"/>
      <c r="Z1165" s="54"/>
      <c r="AA1165" s="34"/>
      <c r="AB1165" s="34"/>
      <c r="AC1165" s="34"/>
      <c r="AD1165" s="34"/>
      <c r="AE1165" s="34"/>
      <c r="AF1165" s="34"/>
      <c r="AG1165" s="34"/>
      <c r="AH1165" s="34"/>
      <c r="AI1165" s="52"/>
      <c r="AJ1165" s="52"/>
      <c r="AL1165" s="34"/>
      <c r="AM1165" s="34"/>
      <c r="AN1165" s="34"/>
      <c r="AO1165" s="54"/>
      <c r="AP1165" s="34"/>
      <c r="AQ1165" s="34"/>
      <c r="AR1165" s="54"/>
      <c r="AS1165" s="54"/>
      <c r="AT1165" s="54"/>
      <c r="AU1165" s="54"/>
      <c r="AV1165" s="34"/>
      <c r="AW1165" s="34"/>
      <c r="AX1165" s="34"/>
      <c r="AY1165" s="34"/>
      <c r="AZ1165" s="34"/>
      <c r="BA1165" s="44"/>
      <c r="BB1165" s="34"/>
      <c r="BC1165" s="34"/>
    </row>
    <row r="1166" spans="1:55" x14ac:dyDescent="0.35" ht="15.0" customHeight="true">
      <c r="A1166" s="51"/>
      <c r="B1166" s="34"/>
      <c r="C1166" s="34"/>
      <c r="D1166" s="34"/>
      <c r="E1166" s="34"/>
      <c r="F1166" s="34"/>
      <c r="G1166" s="44"/>
      <c r="H1166" s="34"/>
      <c r="I1166" s="54"/>
      <c r="J1166" s="34"/>
      <c r="K1166" s="54"/>
      <c r="L1166" s="34"/>
      <c r="M1166" s="44"/>
      <c r="N1166" s="44"/>
      <c r="O1166" s="34"/>
      <c r="P1166" s="34"/>
      <c r="Q1166" s="34"/>
      <c r="R1166" s="34"/>
      <c r="V1166" s="44"/>
      <c r="X1166" s="95"/>
      <c r="Y1166" s="54"/>
      <c r="Z1166" s="54"/>
      <c r="AA1166" s="34"/>
      <c r="AB1166" s="34"/>
      <c r="AC1166" s="34"/>
      <c r="AD1166" s="34"/>
      <c r="AE1166" s="34"/>
      <c r="AF1166" s="34"/>
      <c r="AG1166" s="34"/>
      <c r="AH1166" s="34"/>
      <c r="AI1166" s="52"/>
      <c r="AJ1166" s="52"/>
      <c r="AL1166" s="34"/>
      <c r="AM1166" s="34"/>
      <c r="AN1166" s="34"/>
      <c r="AO1166" s="54"/>
      <c r="AP1166" s="34"/>
      <c r="AQ1166" s="34"/>
      <c r="AR1166" s="54"/>
      <c r="AS1166" s="54"/>
      <c r="AT1166" s="54"/>
      <c r="AU1166" s="54"/>
      <c r="AV1166" s="34"/>
      <c r="AW1166" s="34"/>
      <c r="AX1166" s="34"/>
      <c r="AY1166" s="34"/>
      <c r="AZ1166" s="34"/>
      <c r="BA1166" s="44"/>
      <c r="BB1166" s="34"/>
      <c r="BC1166" s="34"/>
    </row>
    <row r="1167" spans="1:55" x14ac:dyDescent="0.35" ht="15.0" customHeight="true">
      <c r="A1167" s="51"/>
      <c r="B1167" s="34"/>
      <c r="C1167" s="34"/>
      <c r="D1167" s="34"/>
      <c r="E1167" s="34"/>
      <c r="F1167" s="34"/>
      <c r="G1167" s="44"/>
      <c r="H1167" s="34"/>
      <c r="I1167" s="54"/>
      <c r="J1167" s="34"/>
      <c r="K1167" s="54"/>
      <c r="L1167" s="34"/>
      <c r="M1167" s="44"/>
      <c r="N1167" s="44"/>
      <c r="O1167" s="34"/>
      <c r="P1167" s="34"/>
      <c r="Q1167" s="34"/>
      <c r="R1167" s="34"/>
      <c r="V1167" s="44"/>
      <c r="X1167" s="95"/>
      <c r="Y1167" s="54"/>
      <c r="Z1167" s="54"/>
      <c r="AA1167" s="34"/>
      <c r="AB1167" s="34"/>
      <c r="AC1167" s="34"/>
      <c r="AD1167" s="34"/>
      <c r="AE1167" s="34"/>
      <c r="AF1167" s="34"/>
      <c r="AG1167" s="34"/>
      <c r="AH1167" s="34"/>
      <c r="AI1167" s="52"/>
      <c r="AJ1167" s="52"/>
      <c r="AL1167" s="34"/>
      <c r="AM1167" s="34"/>
      <c r="AN1167" s="34"/>
      <c r="AO1167" s="54"/>
      <c r="AP1167" s="34"/>
      <c r="AQ1167" s="34"/>
      <c r="AR1167" s="54"/>
      <c r="AS1167" s="54"/>
      <c r="AT1167" s="54"/>
      <c r="AU1167" s="54"/>
      <c r="AV1167" s="34"/>
      <c r="AW1167" s="34"/>
      <c r="AX1167" s="34"/>
      <c r="AY1167" s="34"/>
      <c r="AZ1167" s="34"/>
      <c r="BA1167" s="44"/>
      <c r="BB1167" s="34"/>
      <c r="BC1167" s="34"/>
    </row>
    <row r="1168" spans="1:55" x14ac:dyDescent="0.35" ht="15.0" customHeight="true">
      <c r="A1168" s="51"/>
      <c r="B1168" s="34"/>
      <c r="C1168" s="34"/>
      <c r="D1168" s="34"/>
      <c r="E1168" s="34"/>
      <c r="F1168" s="34"/>
      <c r="G1168" s="44"/>
      <c r="H1168" s="34"/>
      <c r="I1168" s="54"/>
      <c r="J1168" s="34"/>
      <c r="K1168" s="54"/>
      <c r="L1168" s="34"/>
      <c r="M1168" s="44"/>
      <c r="N1168" s="44"/>
      <c r="O1168" s="34"/>
      <c r="P1168" s="34"/>
      <c r="Q1168" s="34"/>
      <c r="R1168" s="34"/>
      <c r="V1168" s="44"/>
      <c r="X1168" s="95"/>
      <c r="Y1168" s="54"/>
      <c r="Z1168" s="54"/>
      <c r="AA1168" s="34"/>
      <c r="AB1168" s="34"/>
      <c r="AC1168" s="34"/>
      <c r="AD1168" s="34"/>
      <c r="AE1168" s="34"/>
      <c r="AF1168" s="34"/>
      <c r="AG1168" s="34"/>
      <c r="AH1168" s="34"/>
      <c r="AI1168" s="52"/>
      <c r="AJ1168" s="52"/>
      <c r="AL1168" s="34"/>
      <c r="AM1168" s="34"/>
      <c r="AN1168" s="34"/>
      <c r="AO1168" s="54"/>
      <c r="AP1168" s="34"/>
      <c r="AQ1168" s="34"/>
      <c r="AR1168" s="54"/>
      <c r="AS1168" s="54"/>
      <c r="AT1168" s="54"/>
      <c r="AU1168" s="54"/>
      <c r="AV1168" s="34"/>
      <c r="AW1168" s="34"/>
      <c r="AX1168" s="34"/>
      <c r="AY1168" s="34"/>
      <c r="AZ1168" s="34"/>
      <c r="BA1168" s="44"/>
      <c r="BB1168" s="34"/>
      <c r="BC1168" s="34"/>
    </row>
    <row r="1169" spans="1:55" x14ac:dyDescent="0.35" ht="15.0" customHeight="true">
      <c r="A1169" s="51"/>
      <c r="B1169" s="34"/>
      <c r="C1169" s="34"/>
      <c r="D1169" s="34"/>
      <c r="E1169" s="34"/>
      <c r="F1169" s="34"/>
      <c r="G1169" s="44"/>
      <c r="H1169" s="34"/>
      <c r="I1169" s="54"/>
      <c r="J1169" s="34"/>
      <c r="K1169" s="54"/>
      <c r="L1169" s="34"/>
      <c r="M1169" s="44"/>
      <c r="N1169" s="44"/>
      <c r="O1169" s="34"/>
      <c r="P1169" s="34"/>
      <c r="Q1169" s="34"/>
      <c r="R1169" s="34"/>
      <c r="V1169" s="44"/>
      <c r="X1169" s="95"/>
      <c r="Y1169" s="54"/>
      <c r="Z1169" s="54"/>
      <c r="AA1169" s="34"/>
      <c r="AB1169" s="34"/>
      <c r="AC1169" s="34"/>
      <c r="AD1169" s="34"/>
      <c r="AE1169" s="34"/>
      <c r="AF1169" s="34"/>
      <c r="AG1169" s="34"/>
      <c r="AH1169" s="34"/>
      <c r="AI1169" s="52"/>
      <c r="AJ1169" s="52"/>
      <c r="AL1169" s="34"/>
      <c r="AM1169" s="34"/>
      <c r="AN1169" s="34"/>
      <c r="AO1169" s="54"/>
      <c r="AP1169" s="34"/>
      <c r="AQ1169" s="34"/>
      <c r="AR1169" s="54"/>
      <c r="AS1169" s="54"/>
      <c r="AT1169" s="54"/>
      <c r="AU1169" s="54"/>
      <c r="AV1169" s="34"/>
      <c r="AW1169" s="34"/>
      <c r="AX1169" s="34"/>
      <c r="AY1169" s="34"/>
      <c r="AZ1169" s="34"/>
      <c r="BA1169" s="44"/>
      <c r="BB1169" s="34"/>
      <c r="BC1169" s="34"/>
    </row>
    <row r="1170" spans="1:55" x14ac:dyDescent="0.35" ht="15.0" customHeight="true">
      <c r="A1170" s="51"/>
      <c r="B1170" s="34"/>
      <c r="C1170" s="34"/>
      <c r="D1170" s="34"/>
      <c r="E1170" s="34"/>
      <c r="F1170" s="34"/>
      <c r="G1170" s="44"/>
      <c r="H1170" s="34"/>
      <c r="I1170" s="54"/>
      <c r="J1170" s="34"/>
      <c r="K1170" s="54"/>
      <c r="L1170" s="34"/>
      <c r="M1170" s="44"/>
      <c r="N1170" s="44"/>
      <c r="O1170" s="34"/>
      <c r="P1170" s="34"/>
      <c r="Q1170" s="34"/>
      <c r="R1170" s="34"/>
      <c r="V1170" s="44"/>
      <c r="X1170" s="95"/>
      <c r="Y1170" s="54"/>
      <c r="Z1170" s="54"/>
      <c r="AA1170" s="34"/>
      <c r="AB1170" s="34"/>
      <c r="AC1170" s="34"/>
      <c r="AD1170" s="34"/>
      <c r="AE1170" s="34"/>
      <c r="AF1170" s="34"/>
      <c r="AG1170" s="34"/>
      <c r="AH1170" s="34"/>
      <c r="AI1170" s="52"/>
      <c r="AJ1170" s="52"/>
      <c r="AL1170" s="34"/>
      <c r="AM1170" s="34"/>
      <c r="AN1170" s="34"/>
      <c r="AO1170" s="54"/>
      <c r="AP1170" s="34"/>
      <c r="AQ1170" s="34"/>
      <c r="AR1170" s="54"/>
      <c r="AS1170" s="54"/>
      <c r="AT1170" s="54"/>
      <c r="AU1170" s="54"/>
      <c r="AV1170" s="34"/>
      <c r="AW1170" s="34"/>
      <c r="AX1170" s="34"/>
      <c r="AY1170" s="34"/>
      <c r="AZ1170" s="34"/>
      <c r="BA1170" s="44"/>
      <c r="BB1170" s="34"/>
      <c r="BC1170" s="34"/>
    </row>
    <row r="1171" spans="1:55" x14ac:dyDescent="0.35" ht="15.0" customHeight="true">
      <c r="A1171" s="51"/>
      <c r="B1171" s="34"/>
      <c r="C1171" s="34"/>
      <c r="D1171" s="34"/>
      <c r="E1171" s="34"/>
      <c r="F1171" s="34"/>
      <c r="G1171" s="44"/>
      <c r="H1171" s="34"/>
      <c r="I1171" s="54"/>
      <c r="J1171" s="34"/>
      <c r="K1171" s="54"/>
      <c r="L1171" s="34"/>
      <c r="M1171" s="44"/>
      <c r="N1171" s="44"/>
      <c r="O1171" s="34"/>
      <c r="P1171" s="34"/>
      <c r="Q1171" s="34"/>
      <c r="R1171" s="34"/>
      <c r="V1171" s="44"/>
      <c r="X1171" s="95"/>
      <c r="Y1171" s="54"/>
      <c r="Z1171" s="54"/>
      <c r="AA1171" s="34"/>
      <c r="AB1171" s="34"/>
      <c r="AC1171" s="34"/>
      <c r="AD1171" s="34"/>
      <c r="AE1171" s="34"/>
      <c r="AF1171" s="34"/>
      <c r="AG1171" s="34"/>
      <c r="AH1171" s="34"/>
      <c r="AI1171" s="52"/>
      <c r="AJ1171" s="52"/>
      <c r="AL1171" s="34"/>
      <c r="AM1171" s="34"/>
      <c r="AN1171" s="34"/>
      <c r="AO1171" s="54"/>
      <c r="AP1171" s="34"/>
      <c r="AQ1171" s="34"/>
      <c r="AR1171" s="54"/>
      <c r="AS1171" s="54"/>
      <c r="AT1171" s="54"/>
      <c r="AU1171" s="54"/>
      <c r="AV1171" s="34"/>
      <c r="AW1171" s="34"/>
      <c r="AX1171" s="34"/>
      <c r="AY1171" s="34"/>
      <c r="AZ1171" s="34"/>
      <c r="BA1171" s="44"/>
      <c r="BB1171" s="34"/>
      <c r="BC1171" s="34"/>
    </row>
    <row r="1172" spans="1:55" x14ac:dyDescent="0.35" ht="15.0" customHeight="true">
      <c r="A1172" s="51"/>
      <c r="B1172" s="34"/>
      <c r="C1172" s="34"/>
      <c r="D1172" s="34"/>
      <c r="E1172" s="34"/>
      <c r="F1172" s="34"/>
      <c r="G1172" s="44"/>
      <c r="H1172" s="34"/>
      <c r="I1172" s="54"/>
      <c r="J1172" s="34"/>
      <c r="K1172" s="54"/>
      <c r="L1172" s="34"/>
      <c r="M1172" s="44"/>
      <c r="N1172" s="44"/>
      <c r="O1172" s="34"/>
      <c r="P1172" s="34"/>
      <c r="Q1172" s="34"/>
      <c r="R1172" s="34"/>
      <c r="V1172" s="44"/>
      <c r="X1172" s="95"/>
      <c r="Y1172" s="54"/>
      <c r="Z1172" s="54"/>
      <c r="AA1172" s="34"/>
      <c r="AB1172" s="34"/>
      <c r="AC1172" s="34"/>
      <c r="AD1172" s="34"/>
      <c r="AE1172" s="34"/>
      <c r="AF1172" s="34"/>
      <c r="AG1172" s="34"/>
      <c r="AH1172" s="34"/>
      <c r="AI1172" s="52"/>
      <c r="AJ1172" s="52"/>
      <c r="AL1172" s="34"/>
      <c r="AM1172" s="34"/>
      <c r="AN1172" s="34"/>
      <c r="AO1172" s="54"/>
      <c r="AP1172" s="34"/>
      <c r="AQ1172" s="34"/>
      <c r="AR1172" s="54"/>
      <c r="AS1172" s="54"/>
      <c r="AT1172" s="54"/>
      <c r="AU1172" s="54"/>
      <c r="AV1172" s="34"/>
      <c r="AW1172" s="34"/>
      <c r="AX1172" s="34"/>
      <c r="AY1172" s="34"/>
      <c r="AZ1172" s="34"/>
      <c r="BA1172" s="44"/>
      <c r="BB1172" s="34"/>
      <c r="BC1172" s="34"/>
    </row>
    <row r="1173" spans="1:55" x14ac:dyDescent="0.35" ht="15.0" customHeight="true">
      <c r="A1173" s="51"/>
      <c r="B1173" s="34"/>
      <c r="C1173" s="34"/>
      <c r="D1173" s="34"/>
      <c r="E1173" s="34"/>
      <c r="F1173" s="34"/>
      <c r="G1173" s="44"/>
      <c r="H1173" s="34"/>
      <c r="I1173" s="54"/>
      <c r="J1173" s="34"/>
      <c r="K1173" s="54"/>
      <c r="L1173" s="34"/>
      <c r="M1173" s="44"/>
      <c r="N1173" s="44"/>
      <c r="O1173" s="34"/>
      <c r="P1173" s="34"/>
      <c r="Q1173" s="34"/>
      <c r="R1173" s="34"/>
      <c r="V1173" s="44"/>
      <c r="X1173" s="95"/>
      <c r="Y1173" s="54"/>
      <c r="Z1173" s="54"/>
      <c r="AA1173" s="34"/>
      <c r="AB1173" s="34"/>
      <c r="AC1173" s="34"/>
      <c r="AD1173" s="34"/>
      <c r="AE1173" s="34"/>
      <c r="AF1173" s="34"/>
      <c r="AG1173" s="34"/>
      <c r="AH1173" s="34"/>
      <c r="AI1173" s="52"/>
      <c r="AJ1173" s="52"/>
      <c r="AL1173" s="34"/>
      <c r="AM1173" s="34"/>
      <c r="AN1173" s="34"/>
      <c r="AO1173" s="54"/>
      <c r="AP1173" s="34"/>
      <c r="AQ1173" s="34"/>
      <c r="AR1173" s="54"/>
      <c r="AS1173" s="54"/>
      <c r="AT1173" s="54"/>
      <c r="AU1173" s="54"/>
      <c r="AV1173" s="34"/>
      <c r="AW1173" s="34"/>
      <c r="AX1173" s="34"/>
      <c r="AY1173" s="34"/>
      <c r="AZ1173" s="34"/>
      <c r="BA1173" s="44"/>
      <c r="BB1173" s="34"/>
      <c r="BC1173" s="34"/>
    </row>
    <row r="1174" spans="1:55" x14ac:dyDescent="0.35" ht="15.0" customHeight="true">
      <c r="A1174" s="51"/>
      <c r="B1174" s="34"/>
      <c r="C1174" s="34"/>
      <c r="D1174" s="34"/>
      <c r="E1174" s="34"/>
      <c r="F1174" s="34"/>
      <c r="G1174" s="44"/>
      <c r="H1174" s="34"/>
      <c r="I1174" s="54"/>
      <c r="J1174" s="34"/>
      <c r="K1174" s="54"/>
      <c r="L1174" s="34"/>
      <c r="M1174" s="44"/>
      <c r="N1174" s="44"/>
      <c r="O1174" s="34"/>
      <c r="P1174" s="34"/>
      <c r="Q1174" s="34"/>
      <c r="R1174" s="34"/>
      <c r="V1174" s="44"/>
      <c r="X1174" s="95"/>
      <c r="Y1174" s="54"/>
      <c r="Z1174" s="54"/>
      <c r="AA1174" s="34"/>
      <c r="AB1174" s="34"/>
      <c r="AC1174" s="34"/>
      <c r="AD1174" s="34"/>
      <c r="AE1174" s="34"/>
      <c r="AF1174" s="34"/>
      <c r="AG1174" s="34"/>
      <c r="AH1174" s="34"/>
      <c r="AI1174" s="52"/>
      <c r="AJ1174" s="52"/>
      <c r="AL1174" s="34"/>
      <c r="AM1174" s="34"/>
      <c r="AN1174" s="34"/>
      <c r="AO1174" s="54"/>
      <c r="AP1174" s="34"/>
      <c r="AQ1174" s="34"/>
      <c r="AR1174" s="54"/>
      <c r="AS1174" s="54"/>
      <c r="AT1174" s="54"/>
      <c r="AU1174" s="54"/>
      <c r="AV1174" s="34"/>
      <c r="AW1174" s="34"/>
      <c r="AX1174" s="34"/>
      <c r="AY1174" s="34"/>
      <c r="AZ1174" s="34"/>
      <c r="BA1174" s="44"/>
      <c r="BB1174" s="34"/>
      <c r="BC1174" s="34"/>
    </row>
    <row r="1175" spans="1:55" x14ac:dyDescent="0.35" ht="15.0" customHeight="true">
      <c r="A1175" s="51"/>
      <c r="B1175" s="34"/>
      <c r="C1175" s="34"/>
      <c r="D1175" s="34"/>
      <c r="E1175" s="34"/>
      <c r="F1175" s="34"/>
      <c r="G1175" s="44"/>
      <c r="H1175" s="34"/>
      <c r="I1175" s="54"/>
      <c r="J1175" s="34"/>
      <c r="K1175" s="54"/>
      <c r="L1175" s="34"/>
      <c r="M1175" s="44"/>
      <c r="N1175" s="44"/>
      <c r="O1175" s="34"/>
      <c r="P1175" s="34"/>
      <c r="Q1175" s="34"/>
      <c r="R1175" s="34"/>
      <c r="V1175" s="44"/>
      <c r="X1175" s="95"/>
      <c r="Y1175" s="54"/>
      <c r="Z1175" s="54"/>
      <c r="AA1175" s="34"/>
      <c r="AB1175" s="34"/>
      <c r="AC1175" s="34"/>
      <c r="AD1175" s="34"/>
      <c r="AE1175" s="34"/>
      <c r="AF1175" s="34"/>
      <c r="AG1175" s="34"/>
      <c r="AH1175" s="34"/>
      <c r="AI1175" s="52"/>
      <c r="AJ1175" s="52"/>
      <c r="AL1175" s="34"/>
      <c r="AM1175" s="34"/>
      <c r="AN1175" s="34"/>
      <c r="AO1175" s="54"/>
      <c r="AP1175" s="34"/>
      <c r="AQ1175" s="34"/>
      <c r="AR1175" s="54"/>
      <c r="AS1175" s="54"/>
      <c r="AT1175" s="54"/>
      <c r="AU1175" s="54"/>
      <c r="AV1175" s="34"/>
      <c r="AW1175" s="34"/>
      <c r="AX1175" s="34"/>
      <c r="AY1175" s="34"/>
      <c r="AZ1175" s="34"/>
      <c r="BA1175" s="44"/>
      <c r="BB1175" s="34"/>
      <c r="BC1175" s="34"/>
    </row>
    <row r="1176" spans="1:55" x14ac:dyDescent="0.35" ht="15.0" customHeight="true">
      <c r="A1176" s="51"/>
      <c r="B1176" s="34"/>
      <c r="C1176" s="34"/>
      <c r="D1176" s="34"/>
      <c r="E1176" s="34"/>
      <c r="F1176" s="34"/>
      <c r="G1176" s="44"/>
      <c r="H1176" s="34"/>
      <c r="I1176" s="54"/>
      <c r="J1176" s="34"/>
      <c r="K1176" s="54"/>
      <c r="L1176" s="34"/>
      <c r="M1176" s="44"/>
      <c r="N1176" s="44"/>
      <c r="O1176" s="34"/>
      <c r="P1176" s="34"/>
      <c r="Q1176" s="34"/>
      <c r="R1176" s="34"/>
      <c r="V1176" s="44"/>
      <c r="X1176" s="95"/>
      <c r="Y1176" s="54"/>
      <c r="Z1176" s="54"/>
      <c r="AA1176" s="34"/>
      <c r="AB1176" s="34"/>
      <c r="AC1176" s="34"/>
      <c r="AD1176" s="34"/>
      <c r="AE1176" s="34"/>
      <c r="AF1176" s="34"/>
      <c r="AG1176" s="34"/>
      <c r="AH1176" s="34"/>
      <c r="AI1176" s="52"/>
      <c r="AJ1176" s="52"/>
      <c r="AL1176" s="34"/>
      <c r="AM1176" s="34"/>
      <c r="AN1176" s="34"/>
      <c r="AO1176" s="54"/>
      <c r="AP1176" s="34"/>
      <c r="AQ1176" s="34"/>
      <c r="AR1176" s="54"/>
      <c r="AS1176" s="54"/>
      <c r="AT1176" s="54"/>
      <c r="AU1176" s="54"/>
      <c r="AV1176" s="34"/>
      <c r="AW1176" s="34"/>
      <c r="AX1176" s="34"/>
      <c r="AY1176" s="34"/>
      <c r="AZ1176" s="34"/>
      <c r="BA1176" s="44"/>
      <c r="BB1176" s="34"/>
      <c r="BC1176" s="34"/>
    </row>
    <row r="1177" spans="1:55" x14ac:dyDescent="0.35" ht="15.0" customHeight="true">
      <c r="A1177" s="51"/>
      <c r="B1177" s="34"/>
      <c r="C1177" s="34"/>
      <c r="D1177" s="34"/>
      <c r="E1177" s="34"/>
      <c r="F1177" s="34"/>
      <c r="G1177" s="44"/>
      <c r="H1177" s="34"/>
      <c r="I1177" s="54"/>
      <c r="J1177" s="34"/>
      <c r="K1177" s="54"/>
      <c r="L1177" s="34"/>
      <c r="M1177" s="44"/>
      <c r="N1177" s="44"/>
      <c r="O1177" s="34"/>
      <c r="P1177" s="34"/>
      <c r="Q1177" s="34"/>
      <c r="R1177" s="34"/>
      <c r="V1177" s="44"/>
      <c r="X1177" s="95"/>
      <c r="Y1177" s="54"/>
      <c r="Z1177" s="54"/>
      <c r="AA1177" s="34"/>
      <c r="AB1177" s="34"/>
      <c r="AC1177" s="34"/>
      <c r="AD1177" s="34"/>
      <c r="AE1177" s="34"/>
      <c r="AF1177" s="34"/>
      <c r="AG1177" s="34"/>
      <c r="AH1177" s="34"/>
      <c r="AI1177" s="52"/>
      <c r="AJ1177" s="52"/>
      <c r="AL1177" s="34"/>
      <c r="AM1177" s="34"/>
      <c r="AN1177" s="34"/>
      <c r="AO1177" s="54"/>
      <c r="AP1177" s="34"/>
      <c r="AQ1177" s="34"/>
      <c r="AR1177" s="54"/>
      <c r="AS1177" s="54"/>
      <c r="AT1177" s="54"/>
      <c r="AU1177" s="54"/>
      <c r="AV1177" s="34"/>
      <c r="AW1177" s="34"/>
      <c r="AX1177" s="34"/>
      <c r="AY1177" s="34"/>
      <c r="AZ1177" s="34"/>
      <c r="BA1177" s="44"/>
      <c r="BB1177" s="34"/>
      <c r="BC1177" s="34"/>
    </row>
    <row r="1178" spans="1:55" x14ac:dyDescent="0.35" ht="15.0" customHeight="true">
      <c r="A1178" s="51"/>
      <c r="B1178" s="34"/>
      <c r="C1178" s="34"/>
      <c r="D1178" s="34"/>
      <c r="E1178" s="34"/>
      <c r="F1178" s="34"/>
      <c r="G1178" s="44"/>
      <c r="H1178" s="34"/>
      <c r="I1178" s="54"/>
      <c r="J1178" s="34"/>
      <c r="K1178" s="54"/>
      <c r="L1178" s="34"/>
      <c r="M1178" s="44"/>
      <c r="N1178" s="44"/>
      <c r="O1178" s="34"/>
      <c r="P1178" s="34"/>
      <c r="Q1178" s="34"/>
      <c r="R1178" s="34"/>
      <c r="V1178" s="44"/>
      <c r="X1178" s="95"/>
      <c r="Y1178" s="54"/>
      <c r="Z1178" s="54"/>
      <c r="AA1178" s="34"/>
      <c r="AB1178" s="34"/>
      <c r="AC1178" s="34"/>
      <c r="AD1178" s="34"/>
      <c r="AE1178" s="34"/>
      <c r="AF1178" s="34"/>
      <c r="AG1178" s="34"/>
      <c r="AH1178" s="34"/>
      <c r="AI1178" s="52"/>
      <c r="AJ1178" s="52"/>
      <c r="AL1178" s="34"/>
      <c r="AM1178" s="34"/>
      <c r="AN1178" s="34"/>
      <c r="AO1178" s="54"/>
      <c r="AP1178" s="34"/>
      <c r="AQ1178" s="34"/>
      <c r="AR1178" s="54"/>
      <c r="AS1178" s="54"/>
      <c r="AT1178" s="54"/>
      <c r="AU1178" s="54"/>
      <c r="AV1178" s="34"/>
      <c r="AW1178" s="34"/>
      <c r="AX1178" s="34"/>
      <c r="AY1178" s="34"/>
      <c r="AZ1178" s="34"/>
      <c r="BA1178" s="44"/>
      <c r="BB1178" s="34"/>
      <c r="BC1178" s="34"/>
    </row>
    <row r="1179" spans="1:55" x14ac:dyDescent="0.35" ht="15.0" customHeight="true">
      <c r="A1179" s="51"/>
      <c r="B1179" s="34"/>
      <c r="C1179" s="34"/>
      <c r="D1179" s="34"/>
      <c r="E1179" s="34"/>
      <c r="F1179" s="34"/>
      <c r="G1179" s="44"/>
      <c r="H1179" s="34"/>
      <c r="I1179" s="54"/>
      <c r="J1179" s="34"/>
      <c r="K1179" s="54"/>
      <c r="L1179" s="34"/>
      <c r="M1179" s="44"/>
      <c r="N1179" s="44"/>
      <c r="O1179" s="34"/>
      <c r="P1179" s="34"/>
      <c r="Q1179" s="34"/>
      <c r="R1179" s="34"/>
      <c r="V1179" s="44"/>
      <c r="X1179" s="95"/>
      <c r="Y1179" s="54"/>
      <c r="Z1179" s="54"/>
      <c r="AA1179" s="34"/>
      <c r="AB1179" s="34"/>
      <c r="AC1179" s="34"/>
      <c r="AD1179" s="34"/>
      <c r="AE1179" s="34"/>
      <c r="AF1179" s="34"/>
      <c r="AG1179" s="34"/>
      <c r="AH1179" s="34"/>
      <c r="AI1179" s="52"/>
      <c r="AJ1179" s="52"/>
      <c r="AL1179" s="34"/>
      <c r="AM1179" s="34"/>
      <c r="AN1179" s="34"/>
      <c r="AO1179" s="54"/>
      <c r="AP1179" s="34"/>
      <c r="AQ1179" s="34"/>
      <c r="AR1179" s="54"/>
      <c r="AS1179" s="54"/>
      <c r="AT1179" s="54"/>
      <c r="AU1179" s="54"/>
      <c r="AV1179" s="34"/>
      <c r="AW1179" s="34"/>
      <c r="AX1179" s="34"/>
      <c r="AY1179" s="34"/>
      <c r="AZ1179" s="34"/>
      <c r="BA1179" s="44"/>
      <c r="BB1179" s="34"/>
      <c r="BC1179" s="34"/>
    </row>
    <row r="1180" spans="1:55" x14ac:dyDescent="0.35" ht="15.0" customHeight="true">
      <c r="A1180" s="51"/>
      <c r="B1180" s="34"/>
      <c r="C1180" s="34"/>
      <c r="D1180" s="34"/>
      <c r="E1180" s="34"/>
      <c r="F1180" s="34"/>
      <c r="G1180" s="44"/>
      <c r="H1180" s="34"/>
      <c r="I1180" s="54"/>
      <c r="J1180" s="34"/>
      <c r="K1180" s="54"/>
      <c r="L1180" s="34"/>
      <c r="M1180" s="44"/>
      <c r="N1180" s="44"/>
      <c r="O1180" s="34"/>
      <c r="P1180" s="34"/>
      <c r="Q1180" s="34"/>
      <c r="R1180" s="34"/>
      <c r="V1180" s="44"/>
      <c r="X1180" s="95"/>
      <c r="Y1180" s="54"/>
      <c r="Z1180" s="54"/>
      <c r="AA1180" s="34"/>
      <c r="AB1180" s="34"/>
      <c r="AC1180" s="34"/>
      <c r="AD1180" s="34"/>
      <c r="AE1180" s="34"/>
      <c r="AF1180" s="34"/>
      <c r="AG1180" s="34"/>
      <c r="AH1180" s="34"/>
      <c r="AI1180" s="52"/>
      <c r="AJ1180" s="52"/>
      <c r="AL1180" s="34"/>
      <c r="AM1180" s="34"/>
      <c r="AN1180" s="34"/>
      <c r="AO1180" s="54"/>
      <c r="AP1180" s="34"/>
      <c r="AQ1180" s="34"/>
      <c r="AR1180" s="54"/>
      <c r="AS1180" s="54"/>
      <c r="AT1180" s="54"/>
      <c r="AU1180" s="54"/>
      <c r="AV1180" s="34"/>
      <c r="AW1180" s="34"/>
      <c r="AX1180" s="34"/>
      <c r="AY1180" s="34"/>
      <c r="AZ1180" s="34"/>
      <c r="BA1180" s="44"/>
      <c r="BB1180" s="34"/>
      <c r="BC1180" s="34"/>
    </row>
    <row r="1181" spans="1:55" x14ac:dyDescent="0.35" ht="15.0" customHeight="true">
      <c r="A1181" s="51"/>
      <c r="B1181" s="34"/>
      <c r="C1181" s="34"/>
      <c r="D1181" s="34"/>
      <c r="E1181" s="34"/>
      <c r="F1181" s="34"/>
      <c r="G1181" s="44"/>
      <c r="H1181" s="34"/>
      <c r="I1181" s="54"/>
      <c r="J1181" s="34"/>
      <c r="K1181" s="54"/>
      <c r="L1181" s="34"/>
      <c r="M1181" s="44"/>
      <c r="N1181" s="44"/>
      <c r="O1181" s="34"/>
      <c r="P1181" s="34"/>
      <c r="Q1181" s="34"/>
      <c r="R1181" s="34"/>
      <c r="V1181" s="44"/>
      <c r="X1181" s="95"/>
      <c r="Y1181" s="54"/>
      <c r="Z1181" s="54"/>
      <c r="AA1181" s="34"/>
      <c r="AB1181" s="34"/>
      <c r="AC1181" s="34"/>
      <c r="AD1181" s="34"/>
      <c r="AE1181" s="34"/>
      <c r="AF1181" s="34"/>
      <c r="AG1181" s="34"/>
      <c r="AH1181" s="34"/>
      <c r="AI1181" s="52"/>
      <c r="AJ1181" s="52"/>
      <c r="AL1181" s="34"/>
      <c r="AM1181" s="34"/>
      <c r="AN1181" s="34"/>
      <c r="AO1181" s="54"/>
      <c r="AP1181" s="34"/>
      <c r="AQ1181" s="34"/>
      <c r="AR1181" s="54"/>
      <c r="AS1181" s="54"/>
      <c r="AT1181" s="54"/>
      <c r="AU1181" s="54"/>
      <c r="AV1181" s="34"/>
      <c r="AW1181" s="34"/>
      <c r="AX1181" s="34"/>
      <c r="AY1181" s="34"/>
      <c r="AZ1181" s="34"/>
      <c r="BA1181" s="44"/>
      <c r="BB1181" s="34"/>
      <c r="BC1181" s="34"/>
    </row>
    <row r="1182" spans="1:55" x14ac:dyDescent="0.35" ht="15.0" customHeight="true">
      <c r="A1182" s="51"/>
      <c r="B1182" s="34"/>
      <c r="C1182" s="34"/>
      <c r="D1182" s="34"/>
      <c r="E1182" s="34"/>
      <c r="F1182" s="34"/>
      <c r="G1182" s="44"/>
      <c r="H1182" s="34"/>
      <c r="I1182" s="54"/>
      <c r="J1182" s="34"/>
      <c r="K1182" s="54"/>
      <c r="L1182" s="34"/>
      <c r="M1182" s="44"/>
      <c r="N1182" s="44"/>
      <c r="O1182" s="34"/>
      <c r="P1182" s="34"/>
      <c r="Q1182" s="34"/>
      <c r="R1182" s="34"/>
      <c r="V1182" s="44"/>
      <c r="X1182" s="95"/>
      <c r="Y1182" s="54"/>
      <c r="Z1182" s="54"/>
      <c r="AA1182" s="34"/>
      <c r="AB1182" s="34"/>
      <c r="AC1182" s="34"/>
      <c r="AD1182" s="34"/>
      <c r="AE1182" s="34"/>
      <c r="AF1182" s="34"/>
      <c r="AG1182" s="34"/>
      <c r="AH1182" s="34"/>
      <c r="AI1182" s="52"/>
      <c r="AJ1182" s="52"/>
      <c r="AL1182" s="34"/>
      <c r="AM1182" s="34"/>
      <c r="AN1182" s="34"/>
      <c r="AO1182" s="54"/>
      <c r="AP1182" s="34"/>
      <c r="AQ1182" s="34"/>
      <c r="AR1182" s="54"/>
      <c r="AS1182" s="54"/>
      <c r="AT1182" s="54"/>
      <c r="AU1182" s="54"/>
      <c r="AV1182" s="34"/>
      <c r="AW1182" s="34"/>
      <c r="AX1182" s="34"/>
      <c r="AY1182" s="34"/>
      <c r="AZ1182" s="34"/>
      <c r="BA1182" s="44"/>
      <c r="BB1182" s="34"/>
      <c r="BC1182" s="34"/>
    </row>
    <row r="1183" spans="1:55" x14ac:dyDescent="0.35" ht="15.0" customHeight="true">
      <c r="A1183" s="51"/>
      <c r="B1183" s="34"/>
      <c r="C1183" s="34"/>
      <c r="D1183" s="34"/>
      <c r="E1183" s="34"/>
      <c r="F1183" s="34"/>
      <c r="G1183" s="44"/>
      <c r="H1183" s="34"/>
      <c r="I1183" s="54"/>
      <c r="J1183" s="34"/>
      <c r="K1183" s="54"/>
      <c r="L1183" s="34"/>
      <c r="M1183" s="44"/>
      <c r="N1183" s="44"/>
      <c r="O1183" s="34"/>
      <c r="P1183" s="34"/>
      <c r="Q1183" s="34"/>
      <c r="R1183" s="34"/>
      <c r="V1183" s="44"/>
      <c r="X1183" s="95"/>
      <c r="Y1183" s="54"/>
      <c r="Z1183" s="54"/>
      <c r="AA1183" s="34"/>
      <c r="AB1183" s="34"/>
      <c r="AC1183" s="34"/>
      <c r="AD1183" s="34"/>
      <c r="AE1183" s="34"/>
      <c r="AF1183" s="34"/>
      <c r="AG1183" s="34"/>
      <c r="AH1183" s="34"/>
      <c r="AI1183" s="52"/>
      <c r="AJ1183" s="52"/>
      <c r="AL1183" s="34"/>
      <c r="AM1183" s="34"/>
      <c r="AN1183" s="34"/>
      <c r="AO1183" s="54"/>
      <c r="AP1183" s="34"/>
      <c r="AQ1183" s="34"/>
      <c r="AR1183" s="54"/>
      <c r="AS1183" s="54"/>
      <c r="AT1183" s="54"/>
      <c r="AU1183" s="54"/>
      <c r="AV1183" s="34"/>
      <c r="AW1183" s="34"/>
      <c r="AX1183" s="34"/>
      <c r="AY1183" s="34"/>
      <c r="AZ1183" s="34"/>
      <c r="BA1183" s="44"/>
      <c r="BB1183" s="34"/>
      <c r="BC1183" s="34"/>
    </row>
    <row r="1184" spans="1:55" x14ac:dyDescent="0.35" ht="15.0" customHeight="true">
      <c r="A1184" s="51"/>
      <c r="B1184" s="34"/>
      <c r="C1184" s="34"/>
      <c r="D1184" s="34"/>
      <c r="E1184" s="34"/>
      <c r="F1184" s="34"/>
      <c r="G1184" s="44"/>
      <c r="H1184" s="34"/>
      <c r="I1184" s="54"/>
      <c r="J1184" s="34"/>
      <c r="K1184" s="54"/>
      <c r="L1184" s="34"/>
      <c r="M1184" s="44"/>
      <c r="N1184" s="44"/>
      <c r="O1184" s="34"/>
      <c r="P1184" s="34"/>
      <c r="Q1184" s="34"/>
      <c r="R1184" s="34"/>
      <c r="V1184" s="44"/>
      <c r="X1184" s="95"/>
      <c r="Y1184" s="54"/>
      <c r="Z1184" s="54"/>
      <c r="AA1184" s="34"/>
      <c r="AB1184" s="34"/>
      <c r="AC1184" s="34"/>
      <c r="AD1184" s="34"/>
      <c r="AE1184" s="34"/>
      <c r="AF1184" s="34"/>
      <c r="AG1184" s="34"/>
      <c r="AH1184" s="34"/>
      <c r="AI1184" s="52"/>
      <c r="AJ1184" s="52"/>
      <c r="AL1184" s="34"/>
      <c r="AM1184" s="34"/>
      <c r="AN1184" s="34"/>
      <c r="AO1184" s="54"/>
      <c r="AP1184" s="34"/>
      <c r="AQ1184" s="34"/>
      <c r="AR1184" s="54"/>
      <c r="AS1184" s="54"/>
      <c r="AT1184" s="54"/>
      <c r="AU1184" s="54"/>
      <c r="AV1184" s="34"/>
      <c r="AW1184" s="34"/>
      <c r="AX1184" s="34"/>
      <c r="AY1184" s="34"/>
      <c r="AZ1184" s="34"/>
      <c r="BA1184" s="44"/>
      <c r="BB1184" s="34"/>
      <c r="BC1184" s="34"/>
    </row>
    <row r="1185" spans="1:55" x14ac:dyDescent="0.35" ht="15.0" customHeight="true">
      <c r="A1185" s="51"/>
      <c r="B1185" s="34"/>
      <c r="C1185" s="34"/>
      <c r="D1185" s="34"/>
      <c r="E1185" s="34"/>
      <c r="F1185" s="34"/>
      <c r="G1185" s="44"/>
      <c r="H1185" s="34"/>
      <c r="I1185" s="54"/>
      <c r="J1185" s="34"/>
      <c r="K1185" s="54"/>
      <c r="L1185" s="34"/>
      <c r="M1185" s="44"/>
      <c r="N1185" s="44"/>
      <c r="O1185" s="34"/>
      <c r="P1185" s="34"/>
      <c r="Q1185" s="34"/>
      <c r="R1185" s="34"/>
      <c r="V1185" s="44"/>
      <c r="X1185" s="95"/>
      <c r="Y1185" s="54"/>
      <c r="Z1185" s="54"/>
      <c r="AA1185" s="34"/>
      <c r="AB1185" s="34"/>
      <c r="AC1185" s="34"/>
      <c r="AD1185" s="34"/>
      <c r="AE1185" s="34"/>
      <c r="AF1185" s="34"/>
      <c r="AG1185" s="34"/>
      <c r="AH1185" s="34"/>
      <c r="AI1185" s="52"/>
      <c r="AJ1185" s="52"/>
      <c r="AL1185" s="34"/>
      <c r="AM1185" s="34"/>
      <c r="AN1185" s="34"/>
      <c r="AO1185" s="54"/>
      <c r="AP1185" s="34"/>
      <c r="AQ1185" s="34"/>
      <c r="AR1185" s="54"/>
      <c r="AS1185" s="54"/>
      <c r="AT1185" s="54"/>
      <c r="AU1185" s="54"/>
      <c r="AV1185" s="34"/>
      <c r="AW1185" s="34"/>
      <c r="AX1185" s="34"/>
      <c r="AY1185" s="34"/>
      <c r="AZ1185" s="34"/>
      <c r="BA1185" s="44"/>
      <c r="BB1185" s="34"/>
      <c r="BC1185" s="34"/>
    </row>
    <row r="1186" spans="1:55" x14ac:dyDescent="0.35" ht="15.0" customHeight="true">
      <c r="A1186" s="51"/>
      <c r="B1186" s="34"/>
      <c r="C1186" s="34"/>
      <c r="D1186" s="34"/>
      <c r="E1186" s="34"/>
      <c r="F1186" s="34"/>
      <c r="G1186" s="44"/>
      <c r="H1186" s="34"/>
      <c r="I1186" s="54"/>
      <c r="J1186" s="34"/>
      <c r="K1186" s="54"/>
      <c r="L1186" s="34"/>
      <c r="M1186" s="44"/>
      <c r="N1186" s="44"/>
      <c r="O1186" s="34"/>
      <c r="P1186" s="34"/>
      <c r="Q1186" s="34"/>
      <c r="R1186" s="34"/>
      <c r="V1186" s="44"/>
      <c r="X1186" s="95"/>
      <c r="Y1186" s="54"/>
      <c r="Z1186" s="54"/>
      <c r="AA1186" s="34"/>
      <c r="AB1186" s="34"/>
      <c r="AC1186" s="34"/>
      <c r="AD1186" s="34"/>
      <c r="AE1186" s="34"/>
      <c r="AF1186" s="34"/>
      <c r="AG1186" s="34"/>
      <c r="AH1186" s="34"/>
      <c r="AI1186" s="52"/>
      <c r="AJ1186" s="52"/>
      <c r="AL1186" s="34"/>
      <c r="AM1186" s="34"/>
      <c r="AN1186" s="34"/>
      <c r="AO1186" s="54"/>
      <c r="AP1186" s="34"/>
      <c r="AQ1186" s="34"/>
      <c r="AR1186" s="54"/>
      <c r="AS1186" s="54"/>
      <c r="AT1186" s="54"/>
      <c r="AU1186" s="54"/>
      <c r="AV1186" s="34"/>
      <c r="AW1186" s="34"/>
      <c r="AX1186" s="34"/>
      <c r="AY1186" s="34"/>
      <c r="AZ1186" s="34"/>
      <c r="BA1186" s="44"/>
      <c r="BB1186" s="34"/>
      <c r="BC1186" s="34"/>
    </row>
    <row r="1187" spans="1:55" x14ac:dyDescent="0.35" ht="15.0" customHeight="true">
      <c r="A1187" s="51"/>
      <c r="B1187" s="34"/>
      <c r="C1187" s="34"/>
      <c r="D1187" s="34"/>
      <c r="E1187" s="34"/>
      <c r="F1187" s="34"/>
      <c r="G1187" s="44"/>
      <c r="H1187" s="34"/>
      <c r="I1187" s="54"/>
      <c r="J1187" s="34"/>
      <c r="K1187" s="54"/>
      <c r="L1187" s="34"/>
      <c r="M1187" s="44"/>
      <c r="N1187" s="44"/>
      <c r="O1187" s="34"/>
      <c r="P1187" s="34"/>
      <c r="Q1187" s="34"/>
      <c r="R1187" s="34"/>
      <c r="V1187" s="44"/>
      <c r="X1187" s="95"/>
      <c r="Y1187" s="54"/>
      <c r="Z1187" s="54"/>
      <c r="AA1187" s="34"/>
      <c r="AB1187" s="34"/>
      <c r="AC1187" s="34"/>
      <c r="AD1187" s="34"/>
      <c r="AE1187" s="34"/>
      <c r="AF1187" s="34"/>
      <c r="AG1187" s="34"/>
      <c r="AH1187" s="34"/>
      <c r="AI1187" s="52"/>
      <c r="AJ1187" s="52"/>
      <c r="AL1187" s="34"/>
      <c r="AM1187" s="34"/>
      <c r="AN1187" s="34"/>
      <c r="AO1187" s="54"/>
      <c r="AP1187" s="34"/>
      <c r="AQ1187" s="34"/>
      <c r="AR1187" s="54"/>
      <c r="AS1187" s="54"/>
      <c r="AT1187" s="54"/>
      <c r="AU1187" s="54"/>
      <c r="AV1187" s="34"/>
      <c r="AW1187" s="34"/>
      <c r="AX1187" s="34"/>
      <c r="AY1187" s="34"/>
      <c r="AZ1187" s="34"/>
      <c r="BA1187" s="44"/>
      <c r="BB1187" s="34"/>
      <c r="BC1187" s="34"/>
    </row>
    <row r="1188" spans="1:55" x14ac:dyDescent="0.35" ht="15.0" customHeight="true">
      <c r="A1188" s="51"/>
      <c r="B1188" s="34"/>
      <c r="C1188" s="34"/>
      <c r="D1188" s="34"/>
      <c r="E1188" s="34"/>
      <c r="F1188" s="34"/>
      <c r="G1188" s="44"/>
      <c r="H1188" s="34"/>
      <c r="I1188" s="54"/>
      <c r="J1188" s="34"/>
      <c r="K1188" s="54"/>
      <c r="L1188" s="34"/>
      <c r="M1188" s="44"/>
      <c r="N1188" s="44"/>
      <c r="O1188" s="34"/>
      <c r="P1188" s="34"/>
      <c r="Q1188" s="34"/>
      <c r="R1188" s="34"/>
      <c r="V1188" s="44"/>
      <c r="X1188" s="95"/>
      <c r="Y1188" s="54"/>
      <c r="Z1188" s="54"/>
      <c r="AA1188" s="34"/>
      <c r="AB1188" s="34"/>
      <c r="AC1188" s="34"/>
      <c r="AD1188" s="34"/>
      <c r="AE1188" s="34"/>
      <c r="AF1188" s="34"/>
      <c r="AG1188" s="34"/>
      <c r="AH1188" s="34"/>
      <c r="AI1188" s="52"/>
      <c r="AJ1188" s="52"/>
      <c r="AL1188" s="34"/>
      <c r="AM1188" s="34"/>
      <c r="AN1188" s="34"/>
      <c r="AO1188" s="54"/>
      <c r="AP1188" s="34"/>
      <c r="AQ1188" s="34"/>
      <c r="AR1188" s="54"/>
      <c r="AS1188" s="54"/>
      <c r="AT1188" s="54"/>
      <c r="AU1188" s="54"/>
      <c r="AV1188" s="34"/>
      <c r="AW1188" s="34"/>
      <c r="AX1188" s="34"/>
      <c r="AY1188" s="34"/>
      <c r="AZ1188" s="34"/>
      <c r="BA1188" s="44"/>
      <c r="BB1188" s="34"/>
      <c r="BC1188" s="34"/>
    </row>
    <row r="1189" spans="1:55" x14ac:dyDescent="0.35" ht="15.0" customHeight="true">
      <c r="A1189" s="51"/>
      <c r="B1189" s="34"/>
      <c r="C1189" s="34"/>
      <c r="D1189" s="34"/>
      <c r="E1189" s="34"/>
      <c r="F1189" s="34"/>
      <c r="G1189" s="44"/>
      <c r="H1189" s="34"/>
      <c r="I1189" s="54"/>
      <c r="J1189" s="34"/>
      <c r="K1189" s="54"/>
      <c r="L1189" s="34"/>
      <c r="M1189" s="44"/>
      <c r="N1189" s="44"/>
      <c r="O1189" s="34"/>
      <c r="P1189" s="34"/>
      <c r="Q1189" s="34"/>
      <c r="R1189" s="34"/>
      <c r="V1189" s="44"/>
      <c r="X1189" s="95"/>
      <c r="Y1189" s="54"/>
      <c r="Z1189" s="54"/>
      <c r="AA1189" s="34"/>
      <c r="AB1189" s="34"/>
      <c r="AC1189" s="34"/>
      <c r="AD1189" s="34"/>
      <c r="AE1189" s="34"/>
      <c r="AF1189" s="34"/>
      <c r="AG1189" s="34"/>
      <c r="AH1189" s="34"/>
      <c r="AI1189" s="52"/>
      <c r="AJ1189" s="52"/>
      <c r="AL1189" s="34"/>
      <c r="AM1189" s="34"/>
      <c r="AN1189" s="34"/>
      <c r="AO1189" s="54"/>
      <c r="AP1189" s="34"/>
      <c r="AQ1189" s="34"/>
      <c r="AR1189" s="54"/>
      <c r="AS1189" s="54"/>
      <c r="AT1189" s="54"/>
      <c r="AU1189" s="54"/>
      <c r="AV1189" s="34"/>
      <c r="AW1189" s="34"/>
      <c r="AX1189" s="34"/>
      <c r="AY1189" s="34"/>
      <c r="AZ1189" s="34"/>
      <c r="BA1189" s="44"/>
      <c r="BB1189" s="34"/>
      <c r="BC1189" s="34"/>
    </row>
    <row r="1190" spans="1:55" x14ac:dyDescent="0.35" ht="15.0" customHeight="true">
      <c r="A1190" s="51"/>
      <c r="B1190" s="34"/>
      <c r="C1190" s="34"/>
      <c r="D1190" s="34"/>
      <c r="E1190" s="34"/>
      <c r="F1190" s="34"/>
      <c r="G1190" s="44"/>
      <c r="H1190" s="34"/>
      <c r="I1190" s="54"/>
      <c r="J1190" s="34"/>
      <c r="K1190" s="54"/>
      <c r="L1190" s="34"/>
      <c r="M1190" s="44"/>
      <c r="N1190" s="44"/>
      <c r="O1190" s="34"/>
      <c r="P1190" s="34"/>
      <c r="Q1190" s="34"/>
      <c r="R1190" s="34"/>
      <c r="V1190" s="44"/>
      <c r="X1190" s="95"/>
      <c r="Y1190" s="54"/>
      <c r="Z1190" s="54"/>
      <c r="AA1190" s="34"/>
      <c r="AB1190" s="34"/>
      <c r="AC1190" s="34"/>
      <c r="AD1190" s="34"/>
      <c r="AE1190" s="34"/>
      <c r="AF1190" s="34"/>
      <c r="AG1190" s="34"/>
      <c r="AH1190" s="34"/>
      <c r="AI1190" s="52"/>
      <c r="AJ1190" s="52"/>
      <c r="AL1190" s="34"/>
      <c r="AM1190" s="34"/>
      <c r="AN1190" s="34"/>
      <c r="AO1190" s="54"/>
      <c r="AP1190" s="34"/>
      <c r="AQ1190" s="34"/>
      <c r="AR1190" s="54"/>
      <c r="AS1190" s="54"/>
      <c r="AT1190" s="54"/>
      <c r="AU1190" s="54"/>
      <c r="AV1190" s="34"/>
      <c r="AW1190" s="34"/>
      <c r="AX1190" s="34"/>
      <c r="AY1190" s="34"/>
      <c r="AZ1190" s="34"/>
      <c r="BA1190" s="44"/>
      <c r="BB1190" s="34"/>
      <c r="BC1190" s="34"/>
    </row>
    <row r="1191" spans="1:55" x14ac:dyDescent="0.35" ht="15.0" customHeight="true">
      <c r="A1191" s="51"/>
      <c r="B1191" s="34"/>
      <c r="C1191" s="34"/>
      <c r="D1191" s="34"/>
      <c r="E1191" s="34"/>
      <c r="F1191" s="34"/>
      <c r="G1191" s="44"/>
      <c r="H1191" s="34"/>
      <c r="I1191" s="54"/>
      <c r="J1191" s="34"/>
      <c r="K1191" s="54"/>
      <c r="L1191" s="34"/>
      <c r="M1191" s="44"/>
      <c r="N1191" s="44"/>
      <c r="O1191" s="34"/>
      <c r="P1191" s="34"/>
      <c r="Q1191" s="34"/>
      <c r="R1191" s="34"/>
      <c r="V1191" s="44"/>
      <c r="X1191" s="95"/>
      <c r="Y1191" s="54"/>
      <c r="Z1191" s="54"/>
      <c r="AA1191" s="34"/>
      <c r="AB1191" s="34"/>
      <c r="AC1191" s="34"/>
      <c r="AD1191" s="34"/>
      <c r="AE1191" s="34"/>
      <c r="AF1191" s="34"/>
      <c r="AG1191" s="34"/>
      <c r="AH1191" s="34"/>
      <c r="AI1191" s="52"/>
      <c r="AJ1191" s="52"/>
      <c r="AL1191" s="34"/>
      <c r="AM1191" s="34"/>
      <c r="AN1191" s="34"/>
      <c r="AO1191" s="54"/>
      <c r="AP1191" s="34"/>
      <c r="AQ1191" s="34"/>
      <c r="AR1191" s="54"/>
      <c r="AS1191" s="54"/>
      <c r="AT1191" s="54"/>
      <c r="AU1191" s="54"/>
      <c r="AV1191" s="34"/>
      <c r="AW1191" s="34"/>
      <c r="AX1191" s="34"/>
      <c r="AY1191" s="34"/>
      <c r="AZ1191" s="34"/>
      <c r="BA1191" s="44"/>
      <c r="BB1191" s="34"/>
      <c r="BC1191" s="34"/>
    </row>
    <row r="1192" spans="1:55" x14ac:dyDescent="0.35" ht="15.0" customHeight="true">
      <c r="A1192" s="51"/>
      <c r="B1192" s="34"/>
      <c r="C1192" s="34"/>
      <c r="D1192" s="34"/>
      <c r="E1192" s="34"/>
      <c r="F1192" s="34"/>
      <c r="G1192" s="44"/>
      <c r="H1192" s="34"/>
      <c r="I1192" s="54"/>
      <c r="J1192" s="34"/>
      <c r="K1192" s="54"/>
      <c r="L1192" s="34"/>
      <c r="M1192" s="44"/>
      <c r="N1192" s="44"/>
      <c r="O1192" s="34"/>
      <c r="P1192" s="34"/>
      <c r="Q1192" s="34"/>
      <c r="R1192" s="34"/>
      <c r="V1192" s="44"/>
      <c r="X1192" s="95"/>
      <c r="Y1192" s="54"/>
      <c r="Z1192" s="54"/>
      <c r="AA1192" s="34"/>
      <c r="AB1192" s="34"/>
      <c r="AC1192" s="34"/>
      <c r="AD1192" s="34"/>
      <c r="AE1192" s="34"/>
      <c r="AF1192" s="34"/>
      <c r="AG1192" s="34"/>
      <c r="AH1192" s="34"/>
      <c r="AI1192" s="52"/>
      <c r="AJ1192" s="52"/>
      <c r="AL1192" s="34"/>
      <c r="AM1192" s="34"/>
      <c r="AN1192" s="34"/>
      <c r="AO1192" s="54"/>
      <c r="AP1192" s="34"/>
      <c r="AQ1192" s="34"/>
      <c r="AR1192" s="54"/>
      <c r="AS1192" s="54"/>
      <c r="AT1192" s="54"/>
      <c r="AU1192" s="54"/>
      <c r="AV1192" s="34"/>
      <c r="AW1192" s="34"/>
      <c r="AX1192" s="34"/>
      <c r="AY1192" s="34"/>
      <c r="AZ1192" s="34"/>
      <c r="BA1192" s="44"/>
      <c r="BB1192" s="34"/>
      <c r="BC1192" s="34"/>
    </row>
    <row r="1193" spans="1:55" x14ac:dyDescent="0.35" ht="15.0" customHeight="true">
      <c r="A1193" s="51"/>
      <c r="B1193" s="34"/>
      <c r="C1193" s="34"/>
      <c r="D1193" s="34"/>
      <c r="E1193" s="34"/>
      <c r="F1193" s="34"/>
      <c r="G1193" s="44"/>
      <c r="H1193" s="34"/>
      <c r="I1193" s="54"/>
      <c r="J1193" s="34"/>
      <c r="K1193" s="54"/>
      <c r="L1193" s="34"/>
      <c r="M1193" s="44"/>
      <c r="N1193" s="44"/>
      <c r="O1193" s="34"/>
      <c r="P1193" s="34"/>
      <c r="Q1193" s="34"/>
      <c r="R1193" s="34"/>
      <c r="V1193" s="44"/>
      <c r="X1193" s="95"/>
      <c r="Y1193" s="54"/>
      <c r="Z1193" s="54"/>
      <c r="AA1193" s="34"/>
      <c r="AB1193" s="34"/>
      <c r="AC1193" s="34"/>
      <c r="AD1193" s="34"/>
      <c r="AE1193" s="34"/>
      <c r="AF1193" s="34"/>
      <c r="AG1193" s="34"/>
      <c r="AH1193" s="34"/>
      <c r="AI1193" s="52"/>
      <c r="AJ1193" s="52"/>
      <c r="AL1193" s="34"/>
      <c r="AM1193" s="34"/>
      <c r="AN1193" s="34"/>
      <c r="AO1193" s="54"/>
      <c r="AP1193" s="34"/>
      <c r="AQ1193" s="34"/>
      <c r="AR1193" s="54"/>
      <c r="AS1193" s="54"/>
      <c r="AT1193" s="54"/>
      <c r="AU1193" s="54"/>
      <c r="AV1193" s="34"/>
      <c r="AW1193" s="34"/>
      <c r="AX1193" s="34"/>
      <c r="AY1193" s="34"/>
      <c r="AZ1193" s="34"/>
      <c r="BA1193" s="44"/>
      <c r="BB1193" s="34"/>
      <c r="BC1193" s="34"/>
    </row>
    <row r="1194" spans="1:55" x14ac:dyDescent="0.35" ht="15.0" customHeight="true">
      <c r="A1194" s="51"/>
      <c r="B1194" s="34"/>
      <c r="C1194" s="34"/>
      <c r="D1194" s="34"/>
      <c r="E1194" s="34"/>
      <c r="F1194" s="34"/>
      <c r="G1194" s="44"/>
      <c r="H1194" s="34"/>
      <c r="I1194" s="54"/>
      <c r="J1194" s="34"/>
      <c r="K1194" s="54"/>
      <c r="L1194" s="34"/>
      <c r="M1194" s="44"/>
      <c r="N1194" s="44"/>
      <c r="O1194" s="34"/>
      <c r="P1194" s="34"/>
      <c r="Q1194" s="34"/>
      <c r="R1194" s="34"/>
      <c r="V1194" s="44"/>
      <c r="X1194" s="95"/>
      <c r="Y1194" s="54"/>
      <c r="Z1194" s="54"/>
      <c r="AA1194" s="34"/>
      <c r="AB1194" s="34"/>
      <c r="AC1194" s="34"/>
      <c r="AD1194" s="34"/>
      <c r="AE1194" s="34"/>
      <c r="AF1194" s="34"/>
      <c r="AG1194" s="34"/>
      <c r="AH1194" s="34"/>
      <c r="AI1194" s="52"/>
      <c r="AJ1194" s="52"/>
      <c r="AL1194" s="34"/>
      <c r="AM1194" s="34"/>
      <c r="AN1194" s="34"/>
      <c r="AO1194" s="54"/>
      <c r="AP1194" s="34"/>
      <c r="AQ1194" s="34"/>
      <c r="AR1194" s="54"/>
      <c r="AS1194" s="54"/>
      <c r="AT1194" s="54"/>
      <c r="AU1194" s="54"/>
      <c r="AV1194" s="34"/>
      <c r="AW1194" s="34"/>
      <c r="AX1194" s="34"/>
      <c r="AY1194" s="34"/>
      <c r="AZ1194" s="34"/>
      <c r="BA1194" s="44"/>
      <c r="BB1194" s="34"/>
      <c r="BC1194" s="34"/>
    </row>
    <row r="1195" spans="1:55" x14ac:dyDescent="0.35" ht="15.0" customHeight="true">
      <c r="A1195" s="51"/>
      <c r="B1195" s="34"/>
      <c r="C1195" s="34"/>
      <c r="D1195" s="34"/>
      <c r="E1195" s="34"/>
      <c r="F1195" s="34"/>
      <c r="G1195" s="44"/>
      <c r="H1195" s="34"/>
      <c r="I1195" s="54"/>
      <c r="J1195" s="34"/>
      <c r="K1195" s="54"/>
      <c r="L1195" s="34"/>
      <c r="M1195" s="44"/>
      <c r="N1195" s="44"/>
      <c r="O1195" s="34"/>
      <c r="P1195" s="34"/>
      <c r="Q1195" s="34"/>
      <c r="R1195" s="34"/>
      <c r="V1195" s="44"/>
      <c r="X1195" s="95"/>
      <c r="Y1195" s="54"/>
      <c r="Z1195" s="54"/>
      <c r="AA1195" s="34"/>
      <c r="AB1195" s="34"/>
      <c r="AC1195" s="34"/>
      <c r="AD1195" s="34"/>
      <c r="AE1195" s="34"/>
      <c r="AF1195" s="34"/>
      <c r="AG1195" s="34"/>
      <c r="AH1195" s="34"/>
      <c r="AI1195" s="52"/>
      <c r="AJ1195" s="52"/>
      <c r="AL1195" s="34"/>
      <c r="AM1195" s="34"/>
      <c r="AN1195" s="34"/>
      <c r="AO1195" s="54"/>
      <c r="AP1195" s="34"/>
      <c r="AQ1195" s="34"/>
      <c r="AR1195" s="54"/>
      <c r="AS1195" s="54"/>
      <c r="AT1195" s="54"/>
      <c r="AU1195" s="54"/>
      <c r="AV1195" s="34"/>
      <c r="AW1195" s="34"/>
      <c r="AX1195" s="34"/>
      <c r="AY1195" s="34"/>
      <c r="AZ1195" s="34"/>
      <c r="BA1195" s="44"/>
      <c r="BB1195" s="34"/>
      <c r="BC1195" s="34"/>
    </row>
    <row r="1196" spans="1:55" x14ac:dyDescent="0.35" ht="15.0" customHeight="true">
      <c r="A1196" s="51"/>
      <c r="B1196" s="34"/>
      <c r="C1196" s="34"/>
      <c r="D1196" s="34"/>
      <c r="E1196" s="34"/>
      <c r="F1196" s="34"/>
      <c r="G1196" s="44"/>
      <c r="H1196" s="34"/>
      <c r="I1196" s="54"/>
      <c r="J1196" s="34"/>
      <c r="K1196" s="54"/>
      <c r="L1196" s="34"/>
      <c r="M1196" s="44"/>
      <c r="N1196" s="44"/>
      <c r="O1196" s="34"/>
      <c r="P1196" s="34"/>
      <c r="Q1196" s="34"/>
      <c r="R1196" s="34"/>
      <c r="V1196" s="44"/>
      <c r="X1196" s="95"/>
      <c r="Y1196" s="54"/>
      <c r="Z1196" s="54"/>
      <c r="AA1196" s="34"/>
      <c r="AB1196" s="34"/>
      <c r="AC1196" s="34"/>
      <c r="AD1196" s="34"/>
      <c r="AE1196" s="34"/>
      <c r="AF1196" s="34"/>
      <c r="AG1196" s="34"/>
      <c r="AH1196" s="34"/>
      <c r="AI1196" s="52"/>
      <c r="AJ1196" s="52"/>
      <c r="AL1196" s="34"/>
      <c r="AM1196" s="34"/>
      <c r="AN1196" s="34"/>
      <c r="AO1196" s="54"/>
      <c r="AP1196" s="34"/>
      <c r="AQ1196" s="34"/>
      <c r="AR1196" s="54"/>
      <c r="AS1196" s="54"/>
      <c r="AT1196" s="54"/>
      <c r="AU1196" s="54"/>
      <c r="AV1196" s="34"/>
      <c r="AW1196" s="34"/>
      <c r="AX1196" s="34"/>
      <c r="AY1196" s="34"/>
      <c r="AZ1196" s="34"/>
      <c r="BA1196" s="44"/>
      <c r="BB1196" s="34"/>
      <c r="BC1196" s="34"/>
    </row>
    <row r="1197" spans="1:55" x14ac:dyDescent="0.35" ht="15.0" customHeight="true">
      <c r="A1197" s="51"/>
      <c r="B1197" s="34"/>
      <c r="C1197" s="34"/>
      <c r="D1197" s="34"/>
      <c r="E1197" s="34"/>
      <c r="F1197" s="34"/>
      <c r="G1197" s="44"/>
      <c r="H1197" s="34"/>
      <c r="I1197" s="54"/>
      <c r="J1197" s="34"/>
      <c r="K1197" s="54"/>
      <c r="L1197" s="34"/>
      <c r="M1197" s="44"/>
      <c r="N1197" s="44"/>
      <c r="O1197" s="34"/>
      <c r="P1197" s="34"/>
      <c r="Q1197" s="34"/>
      <c r="R1197" s="34"/>
      <c r="V1197" s="44"/>
      <c r="X1197" s="95"/>
      <c r="Y1197" s="54"/>
      <c r="Z1197" s="54"/>
      <c r="AA1197" s="34"/>
      <c r="AB1197" s="34"/>
      <c r="AC1197" s="34"/>
      <c r="AD1197" s="34"/>
      <c r="AE1197" s="34"/>
      <c r="AF1197" s="34"/>
      <c r="AG1197" s="34"/>
      <c r="AH1197" s="34"/>
      <c r="AI1197" s="52"/>
      <c r="AJ1197" s="52"/>
      <c r="AL1197" s="34"/>
      <c r="AM1197" s="34"/>
      <c r="AN1197" s="34"/>
      <c r="AO1197" s="54"/>
      <c r="AP1197" s="34"/>
      <c r="AQ1197" s="34"/>
      <c r="AR1197" s="54"/>
      <c r="AS1197" s="54"/>
      <c r="AT1197" s="54"/>
      <c r="AU1197" s="54"/>
      <c r="AV1197" s="34"/>
      <c r="AW1197" s="34"/>
      <c r="AX1197" s="34"/>
      <c r="AY1197" s="34"/>
      <c r="AZ1197" s="34"/>
      <c r="BA1197" s="44"/>
      <c r="BB1197" s="34"/>
      <c r="BC1197" s="34"/>
    </row>
    <row r="1198" spans="1:55" x14ac:dyDescent="0.35" ht="15.0" customHeight="true">
      <c r="A1198" s="51"/>
      <c r="B1198" s="34"/>
      <c r="C1198" s="34"/>
      <c r="D1198" s="34"/>
      <c r="E1198" s="34"/>
      <c r="F1198" s="34"/>
      <c r="G1198" s="44"/>
      <c r="H1198" s="34"/>
      <c r="I1198" s="54"/>
      <c r="J1198" s="34"/>
      <c r="K1198" s="54"/>
      <c r="L1198" s="34"/>
      <c r="M1198" s="44"/>
      <c r="N1198" s="44"/>
      <c r="O1198" s="34"/>
      <c r="P1198" s="34"/>
      <c r="Q1198" s="34"/>
      <c r="R1198" s="34"/>
      <c r="V1198" s="44"/>
      <c r="X1198" s="95"/>
      <c r="Y1198" s="54"/>
      <c r="Z1198" s="54"/>
      <c r="AA1198" s="34"/>
      <c r="AB1198" s="34"/>
      <c r="AC1198" s="34"/>
      <c r="AD1198" s="34"/>
      <c r="AE1198" s="34"/>
      <c r="AF1198" s="34"/>
      <c r="AG1198" s="34"/>
      <c r="AH1198" s="34"/>
      <c r="AI1198" s="52"/>
      <c r="AJ1198" s="52"/>
      <c r="AL1198" s="34"/>
      <c r="AM1198" s="34"/>
      <c r="AN1198" s="34"/>
      <c r="AO1198" s="54"/>
      <c r="AP1198" s="34"/>
      <c r="AQ1198" s="34"/>
      <c r="AR1198" s="54"/>
      <c r="AS1198" s="54"/>
      <c r="AT1198" s="54"/>
      <c r="AU1198" s="54"/>
      <c r="AV1198" s="34"/>
      <c r="AW1198" s="34"/>
      <c r="AX1198" s="34"/>
      <c r="AY1198" s="34"/>
      <c r="AZ1198" s="34"/>
      <c r="BA1198" s="44"/>
      <c r="BB1198" s="34"/>
      <c r="BC1198" s="34"/>
    </row>
    <row r="1199" spans="1:55" x14ac:dyDescent="0.35" ht="15.0" customHeight="true">
      <c r="A1199" s="51"/>
      <c r="B1199" s="34"/>
      <c r="C1199" s="34"/>
      <c r="D1199" s="34"/>
      <c r="E1199" s="34"/>
      <c r="F1199" s="34"/>
      <c r="G1199" s="44"/>
      <c r="H1199" s="34"/>
      <c r="I1199" s="54"/>
      <c r="J1199" s="34"/>
      <c r="K1199" s="54"/>
      <c r="L1199" s="34"/>
      <c r="M1199" s="44"/>
      <c r="N1199" s="44"/>
      <c r="O1199" s="34"/>
      <c r="P1199" s="34"/>
      <c r="Q1199" s="34"/>
      <c r="R1199" s="34"/>
      <c r="V1199" s="44"/>
      <c r="X1199" s="95"/>
      <c r="Y1199" s="54"/>
      <c r="Z1199" s="54"/>
      <c r="AA1199" s="34"/>
      <c r="AB1199" s="34"/>
      <c r="AC1199" s="34"/>
      <c r="AD1199" s="34"/>
      <c r="AE1199" s="34"/>
      <c r="AF1199" s="34"/>
      <c r="AG1199" s="34"/>
      <c r="AH1199" s="34"/>
      <c r="AI1199" s="52"/>
      <c r="AJ1199" s="52"/>
      <c r="AL1199" s="34"/>
      <c r="AM1199" s="34"/>
      <c r="AN1199" s="34"/>
      <c r="AO1199" s="54"/>
      <c r="AP1199" s="34"/>
      <c r="AQ1199" s="34"/>
      <c r="AR1199" s="54"/>
      <c r="AS1199" s="54"/>
      <c r="AT1199" s="54"/>
      <c r="AU1199" s="54"/>
      <c r="AV1199" s="34"/>
      <c r="AW1199" s="34"/>
      <c r="AX1199" s="34"/>
      <c r="AY1199" s="34"/>
      <c r="AZ1199" s="34"/>
      <c r="BA1199" s="44"/>
      <c r="BB1199" s="34"/>
      <c r="BC1199" s="34"/>
    </row>
    <row r="1200" spans="1:55" x14ac:dyDescent="0.35" ht="15.0" customHeight="true">
      <c r="A1200" s="51"/>
      <c r="B1200" s="34"/>
      <c r="C1200" s="34"/>
      <c r="D1200" s="34"/>
      <c r="E1200" s="34"/>
      <c r="F1200" s="34"/>
      <c r="G1200" s="44"/>
      <c r="H1200" s="34"/>
      <c r="I1200" s="54"/>
      <c r="J1200" s="34"/>
      <c r="K1200" s="54"/>
      <c r="L1200" s="34"/>
      <c r="M1200" s="44"/>
      <c r="N1200" s="44"/>
      <c r="O1200" s="34"/>
      <c r="P1200" s="34"/>
      <c r="Q1200" s="34"/>
      <c r="R1200" s="34"/>
      <c r="V1200" s="44"/>
      <c r="X1200" s="95"/>
      <c r="Y1200" s="54"/>
      <c r="Z1200" s="54"/>
      <c r="AA1200" s="34"/>
      <c r="AB1200" s="34"/>
      <c r="AC1200" s="34"/>
      <c r="AD1200" s="34"/>
      <c r="AE1200" s="34"/>
      <c r="AF1200" s="34"/>
      <c r="AG1200" s="34"/>
      <c r="AH1200" s="34"/>
      <c r="AI1200" s="52"/>
      <c r="AJ1200" s="52"/>
      <c r="AL1200" s="34"/>
      <c r="AM1200" s="34"/>
      <c r="AN1200" s="34"/>
      <c r="AO1200" s="54"/>
      <c r="AP1200" s="34"/>
      <c r="AQ1200" s="34"/>
      <c r="AR1200" s="54"/>
      <c r="AS1200" s="54"/>
      <c r="AT1200" s="54"/>
      <c r="AU1200" s="54"/>
      <c r="AV1200" s="34"/>
      <c r="AW1200" s="34"/>
      <c r="AX1200" s="34"/>
      <c r="AY1200" s="34"/>
      <c r="AZ1200" s="34"/>
      <c r="BA1200" s="44"/>
      <c r="BB1200" s="34"/>
      <c r="BC1200" s="34"/>
    </row>
    <row r="1201" spans="1:55" x14ac:dyDescent="0.35" ht="15.0" customHeight="true">
      <c r="A1201" s="51"/>
      <c r="B1201" s="34"/>
      <c r="C1201" s="34"/>
      <c r="D1201" s="34"/>
      <c r="E1201" s="34"/>
      <c r="F1201" s="34"/>
      <c r="G1201" s="44"/>
      <c r="H1201" s="34"/>
      <c r="I1201" s="54"/>
      <c r="J1201" s="34"/>
      <c r="K1201" s="54"/>
      <c r="L1201" s="34"/>
      <c r="M1201" s="44"/>
      <c r="N1201" s="44"/>
      <c r="O1201" s="34"/>
      <c r="P1201" s="34"/>
      <c r="Q1201" s="34"/>
      <c r="R1201" s="34"/>
      <c r="V1201" s="44"/>
      <c r="X1201" s="95"/>
      <c r="Y1201" s="54"/>
      <c r="Z1201" s="54"/>
      <c r="AA1201" s="34"/>
      <c r="AB1201" s="34"/>
      <c r="AC1201" s="34"/>
      <c r="AD1201" s="34"/>
      <c r="AE1201" s="34"/>
      <c r="AF1201" s="34"/>
      <c r="AG1201" s="34"/>
      <c r="AH1201" s="34"/>
      <c r="AI1201" s="52"/>
      <c r="AJ1201" s="52"/>
      <c r="AL1201" s="34"/>
      <c r="AM1201" s="34"/>
      <c r="AN1201" s="34"/>
      <c r="AO1201" s="54"/>
      <c r="AP1201" s="34"/>
      <c r="AQ1201" s="34"/>
      <c r="AR1201" s="54"/>
      <c r="AS1201" s="54"/>
      <c r="AT1201" s="54"/>
      <c r="AU1201" s="54"/>
      <c r="AV1201" s="34"/>
      <c r="AW1201" s="34"/>
      <c r="AX1201" s="34"/>
      <c r="AY1201" s="34"/>
      <c r="AZ1201" s="34"/>
      <c r="BA1201" s="44"/>
      <c r="BB1201" s="34"/>
      <c r="BC1201" s="34"/>
    </row>
    <row r="1202" spans="1:55" x14ac:dyDescent="0.35" ht="15.0" customHeight="true">
      <c r="A1202" s="51"/>
      <c r="B1202" s="34"/>
      <c r="C1202" s="34"/>
      <c r="D1202" s="34"/>
      <c r="E1202" s="34"/>
      <c r="F1202" s="34"/>
      <c r="G1202" s="44"/>
      <c r="H1202" s="34"/>
      <c r="I1202" s="54"/>
      <c r="J1202" s="34"/>
      <c r="K1202" s="54"/>
      <c r="L1202" s="34"/>
      <c r="M1202" s="44"/>
      <c r="N1202" s="44"/>
      <c r="O1202" s="34"/>
      <c r="P1202" s="34"/>
      <c r="Q1202" s="34"/>
      <c r="R1202" s="34"/>
      <c r="V1202" s="44"/>
      <c r="X1202" s="95"/>
      <c r="Y1202" s="54"/>
      <c r="Z1202" s="54"/>
      <c r="AA1202" s="34"/>
      <c r="AB1202" s="34"/>
      <c r="AC1202" s="34"/>
      <c r="AD1202" s="34"/>
      <c r="AE1202" s="34"/>
      <c r="AF1202" s="34"/>
      <c r="AG1202" s="34"/>
      <c r="AH1202" s="34"/>
      <c r="AI1202" s="52"/>
      <c r="AJ1202" s="52"/>
      <c r="AL1202" s="34"/>
      <c r="AM1202" s="34"/>
      <c r="AN1202" s="34"/>
      <c r="AO1202" s="54"/>
      <c r="AP1202" s="34"/>
      <c r="AQ1202" s="34"/>
      <c r="AR1202" s="54"/>
      <c r="AS1202" s="54"/>
      <c r="AT1202" s="54"/>
      <c r="AU1202" s="54"/>
      <c r="AV1202" s="34"/>
      <c r="AW1202" s="34"/>
      <c r="AX1202" s="34"/>
      <c r="AY1202" s="34"/>
      <c r="AZ1202" s="34"/>
      <c r="BA1202" s="44"/>
      <c r="BB1202" s="34"/>
      <c r="BC1202" s="34"/>
    </row>
    <row r="1203" spans="1:55" x14ac:dyDescent="0.35" ht="15.0" customHeight="true">
      <c r="A1203" s="51"/>
      <c r="B1203" s="34"/>
      <c r="C1203" s="34"/>
      <c r="D1203" s="34"/>
      <c r="E1203" s="34"/>
      <c r="F1203" s="34"/>
      <c r="G1203" s="44"/>
      <c r="H1203" s="34"/>
      <c r="I1203" s="54"/>
      <c r="J1203" s="34"/>
      <c r="K1203" s="54"/>
      <c r="L1203" s="34"/>
      <c r="M1203" s="44"/>
      <c r="N1203" s="44"/>
      <c r="O1203" s="34"/>
      <c r="P1203" s="34"/>
      <c r="Q1203" s="34"/>
      <c r="R1203" s="34"/>
      <c r="V1203" s="44"/>
      <c r="X1203" s="95"/>
      <c r="Y1203" s="54"/>
      <c r="Z1203" s="54"/>
      <c r="AA1203" s="34"/>
      <c r="AB1203" s="34"/>
      <c r="AC1203" s="34"/>
      <c r="AD1203" s="34"/>
      <c r="AE1203" s="34"/>
      <c r="AF1203" s="34"/>
      <c r="AG1203" s="34"/>
      <c r="AH1203" s="34"/>
      <c r="AI1203" s="52"/>
      <c r="AJ1203" s="52"/>
      <c r="AL1203" s="34"/>
      <c r="AM1203" s="34"/>
      <c r="AN1203" s="34"/>
      <c r="AO1203" s="54"/>
      <c r="AP1203" s="34"/>
      <c r="AQ1203" s="34"/>
      <c r="AR1203" s="54"/>
      <c r="AS1203" s="54"/>
      <c r="AT1203" s="54"/>
      <c r="AU1203" s="54"/>
      <c r="AV1203" s="34"/>
      <c r="AW1203" s="34"/>
      <c r="AX1203" s="34"/>
      <c r="AY1203" s="34"/>
      <c r="AZ1203" s="34"/>
      <c r="BA1203" s="44"/>
      <c r="BB1203" s="34"/>
      <c r="BC1203" s="34"/>
    </row>
    <row r="1204" spans="1:55" x14ac:dyDescent="0.35" ht="15.0" customHeight="true">
      <c r="A1204" s="51"/>
      <c r="B1204" s="34"/>
      <c r="C1204" s="34"/>
      <c r="D1204" s="34"/>
      <c r="E1204" s="34"/>
      <c r="F1204" s="34"/>
      <c r="G1204" s="44"/>
      <c r="H1204" s="34"/>
      <c r="I1204" s="54"/>
      <c r="J1204" s="34"/>
      <c r="K1204" s="54"/>
      <c r="L1204" s="34"/>
      <c r="M1204" s="44"/>
      <c r="N1204" s="44"/>
      <c r="O1204" s="34"/>
      <c r="P1204" s="34"/>
      <c r="Q1204" s="34"/>
      <c r="R1204" s="34"/>
      <c r="V1204" s="44"/>
      <c r="X1204" s="95"/>
      <c r="Y1204" s="54"/>
      <c r="Z1204" s="54"/>
      <c r="AA1204" s="34"/>
      <c r="AB1204" s="34"/>
      <c r="AC1204" s="34"/>
      <c r="AD1204" s="34"/>
      <c r="AE1204" s="34"/>
      <c r="AF1204" s="34"/>
      <c r="AG1204" s="34"/>
      <c r="AH1204" s="34"/>
      <c r="AI1204" s="52"/>
      <c r="AJ1204" s="52"/>
      <c r="AL1204" s="34"/>
      <c r="AM1204" s="34"/>
      <c r="AN1204" s="34"/>
      <c r="AO1204" s="54"/>
      <c r="AP1204" s="34"/>
      <c r="AQ1204" s="34"/>
      <c r="AR1204" s="54"/>
      <c r="AS1204" s="54"/>
      <c r="AT1204" s="54"/>
      <c r="AU1204" s="54"/>
      <c r="AV1204" s="34"/>
      <c r="AW1204" s="34"/>
      <c r="AX1204" s="34"/>
      <c r="AY1204" s="34"/>
      <c r="AZ1204" s="34"/>
      <c r="BA1204" s="44"/>
      <c r="BB1204" s="34"/>
      <c r="BC1204" s="34"/>
    </row>
    <row r="1205" spans="1:55" x14ac:dyDescent="0.35" ht="15.0" customHeight="true">
      <c r="A1205" s="51"/>
      <c r="B1205" s="34"/>
      <c r="C1205" s="34"/>
      <c r="D1205" s="34"/>
      <c r="E1205" s="34"/>
      <c r="F1205" s="34"/>
      <c r="G1205" s="44"/>
      <c r="H1205" s="34"/>
      <c r="I1205" s="54"/>
      <c r="J1205" s="34"/>
      <c r="K1205" s="54"/>
      <c r="L1205" s="34"/>
      <c r="M1205" s="44"/>
      <c r="N1205" s="44"/>
      <c r="O1205" s="34"/>
      <c r="P1205" s="34"/>
      <c r="Q1205" s="34"/>
      <c r="R1205" s="34"/>
      <c r="V1205" s="44"/>
      <c r="X1205" s="95"/>
      <c r="Y1205" s="54"/>
      <c r="Z1205" s="54"/>
      <c r="AA1205" s="34"/>
      <c r="AB1205" s="34"/>
      <c r="AC1205" s="34"/>
      <c r="AD1205" s="34"/>
      <c r="AE1205" s="34"/>
      <c r="AF1205" s="34"/>
      <c r="AG1205" s="34"/>
      <c r="AH1205" s="34"/>
      <c r="AI1205" s="52"/>
      <c r="AJ1205" s="52"/>
      <c r="AL1205" s="34"/>
      <c r="AM1205" s="34"/>
      <c r="AN1205" s="34"/>
      <c r="AO1205" s="54"/>
      <c r="AP1205" s="34"/>
      <c r="AQ1205" s="34"/>
      <c r="AR1205" s="54"/>
      <c r="AS1205" s="54"/>
      <c r="AT1205" s="54"/>
      <c r="AU1205" s="54"/>
      <c r="AV1205" s="34"/>
      <c r="AW1205" s="34"/>
      <c r="AX1205" s="34"/>
      <c r="AY1205" s="34"/>
      <c r="AZ1205" s="34"/>
      <c r="BA1205" s="44"/>
      <c r="BB1205" s="34"/>
      <c r="BC1205" s="34"/>
    </row>
    <row r="1206" spans="1:55" x14ac:dyDescent="0.35" ht="15.0" customHeight="true">
      <c r="A1206" s="51"/>
      <c r="B1206" s="34"/>
      <c r="C1206" s="34"/>
      <c r="D1206" s="34"/>
      <c r="E1206" s="34"/>
      <c r="F1206" s="34"/>
      <c r="G1206" s="44"/>
      <c r="H1206" s="34"/>
      <c r="I1206" s="54"/>
      <c r="J1206" s="34"/>
      <c r="K1206" s="54"/>
      <c r="L1206" s="34"/>
      <c r="M1206" s="44"/>
      <c r="N1206" s="44"/>
      <c r="O1206" s="34"/>
      <c r="P1206" s="34"/>
      <c r="Q1206" s="34"/>
      <c r="R1206" s="34"/>
      <c r="V1206" s="44"/>
      <c r="X1206" s="95"/>
      <c r="Y1206" s="54"/>
      <c r="Z1206" s="54"/>
      <c r="AA1206" s="34"/>
      <c r="AB1206" s="34"/>
      <c r="AC1206" s="34"/>
      <c r="AD1206" s="34"/>
      <c r="AE1206" s="34"/>
      <c r="AF1206" s="34"/>
      <c r="AG1206" s="34"/>
      <c r="AH1206" s="34"/>
      <c r="AI1206" s="52"/>
      <c r="AJ1206" s="52"/>
      <c r="AL1206" s="34"/>
      <c r="AM1206" s="34"/>
      <c r="AN1206" s="34"/>
      <c r="AO1206" s="54"/>
      <c r="AP1206" s="34"/>
      <c r="AQ1206" s="34"/>
      <c r="AR1206" s="54"/>
      <c r="AS1206" s="54"/>
      <c r="AT1206" s="54"/>
      <c r="AU1206" s="54"/>
      <c r="AV1206" s="34"/>
      <c r="AW1206" s="34"/>
      <c r="AX1206" s="34"/>
      <c r="AY1206" s="34"/>
      <c r="AZ1206" s="34"/>
      <c r="BA1206" s="44"/>
      <c r="BB1206" s="34"/>
      <c r="BC1206" s="34"/>
    </row>
    <row r="1207" spans="1:55" x14ac:dyDescent="0.35" ht="15.0" customHeight="true">
      <c r="A1207" s="51"/>
      <c r="B1207" s="34"/>
      <c r="C1207" s="34"/>
      <c r="D1207" s="34"/>
      <c r="E1207" s="34"/>
      <c r="F1207" s="34"/>
      <c r="G1207" s="44"/>
      <c r="H1207" s="34"/>
      <c r="I1207" s="54"/>
      <c r="J1207" s="34"/>
      <c r="K1207" s="54"/>
      <c r="L1207" s="34"/>
      <c r="M1207" s="44"/>
      <c r="N1207" s="44"/>
      <c r="O1207" s="34"/>
      <c r="P1207" s="34"/>
      <c r="Q1207" s="34"/>
      <c r="R1207" s="34"/>
      <c r="V1207" s="44"/>
      <c r="X1207" s="95"/>
      <c r="Y1207" s="54"/>
      <c r="Z1207" s="54"/>
      <c r="AA1207" s="34"/>
      <c r="AB1207" s="34"/>
      <c r="AC1207" s="34"/>
      <c r="AD1207" s="34"/>
      <c r="AE1207" s="34"/>
      <c r="AF1207" s="34"/>
      <c r="AG1207" s="34"/>
      <c r="AH1207" s="34"/>
      <c r="AI1207" s="52"/>
      <c r="AJ1207" s="52"/>
      <c r="AL1207" s="34"/>
      <c r="AM1207" s="34"/>
      <c r="AN1207" s="34"/>
      <c r="AO1207" s="54"/>
      <c r="AP1207" s="34"/>
      <c r="AQ1207" s="34"/>
      <c r="AR1207" s="54"/>
      <c r="AS1207" s="54"/>
      <c r="AT1207" s="54"/>
      <c r="AU1207" s="54"/>
      <c r="AV1207" s="34"/>
      <c r="AW1207" s="34"/>
      <c r="AX1207" s="34"/>
      <c r="AY1207" s="34"/>
      <c r="AZ1207" s="34"/>
      <c r="BA1207" s="44"/>
      <c r="BB1207" s="34"/>
      <c r="BC1207" s="34"/>
    </row>
    <row r="1208" spans="1:55" x14ac:dyDescent="0.35" ht="15.0" customHeight="true">
      <c r="A1208" s="51"/>
      <c r="B1208" s="34"/>
      <c r="C1208" s="34"/>
      <c r="D1208" s="34"/>
      <c r="E1208" s="34"/>
      <c r="F1208" s="34"/>
      <c r="G1208" s="44"/>
      <c r="H1208" s="34"/>
      <c r="I1208" s="54"/>
      <c r="J1208" s="34"/>
      <c r="K1208" s="54"/>
      <c r="L1208" s="34"/>
      <c r="M1208" s="44"/>
      <c r="N1208" s="44"/>
      <c r="O1208" s="34"/>
      <c r="P1208" s="34"/>
      <c r="Q1208" s="34"/>
      <c r="R1208" s="34"/>
      <c r="V1208" s="44"/>
      <c r="X1208" s="95"/>
      <c r="Y1208" s="54"/>
      <c r="Z1208" s="54"/>
      <c r="AA1208" s="34"/>
      <c r="AB1208" s="34"/>
      <c r="AC1208" s="34"/>
      <c r="AD1208" s="34"/>
      <c r="AE1208" s="34"/>
      <c r="AF1208" s="34"/>
      <c r="AG1208" s="34"/>
      <c r="AH1208" s="34"/>
      <c r="AI1208" s="52"/>
      <c r="AJ1208" s="52"/>
      <c r="AL1208" s="34"/>
      <c r="AM1208" s="34"/>
      <c r="AN1208" s="34"/>
      <c r="AO1208" s="54"/>
      <c r="AP1208" s="34"/>
      <c r="AQ1208" s="34"/>
      <c r="AR1208" s="54"/>
      <c r="AS1208" s="54"/>
      <c r="AT1208" s="54"/>
      <c r="AU1208" s="54"/>
      <c r="AV1208" s="34"/>
      <c r="AW1208" s="34"/>
      <c r="AX1208" s="34"/>
      <c r="AY1208" s="34"/>
      <c r="AZ1208" s="34"/>
      <c r="BA1208" s="44"/>
      <c r="BB1208" s="34"/>
      <c r="BC1208" s="34"/>
    </row>
    <row r="1209" spans="1:55" x14ac:dyDescent="0.35" ht="15.0" customHeight="true">
      <c r="A1209" s="51"/>
      <c r="B1209" s="34"/>
      <c r="C1209" s="34"/>
      <c r="D1209" s="34"/>
      <c r="E1209" s="34"/>
      <c r="F1209" s="34"/>
      <c r="G1209" s="44"/>
      <c r="H1209" s="34"/>
      <c r="I1209" s="54"/>
      <c r="J1209" s="34"/>
      <c r="K1209" s="54"/>
      <c r="L1209" s="34"/>
      <c r="M1209" s="44"/>
      <c r="N1209" s="44"/>
      <c r="O1209" s="34"/>
      <c r="P1209" s="34"/>
      <c r="Q1209" s="34"/>
      <c r="R1209" s="34"/>
      <c r="V1209" s="44"/>
      <c r="X1209" s="95"/>
      <c r="Y1209" s="54"/>
      <c r="Z1209" s="54"/>
      <c r="AA1209" s="34"/>
      <c r="AB1209" s="34"/>
      <c r="AC1209" s="34"/>
      <c r="AD1209" s="34"/>
      <c r="AE1209" s="34"/>
      <c r="AF1209" s="34"/>
      <c r="AG1209" s="34"/>
      <c r="AH1209" s="34"/>
      <c r="AI1209" s="52"/>
      <c r="AJ1209" s="52"/>
      <c r="AL1209" s="34"/>
      <c r="AM1209" s="34"/>
      <c r="AN1209" s="34"/>
      <c r="AO1209" s="54"/>
      <c r="AP1209" s="34"/>
      <c r="AQ1209" s="34"/>
      <c r="AR1209" s="54"/>
      <c r="AS1209" s="54"/>
      <c r="AT1209" s="54"/>
      <c r="AU1209" s="54"/>
      <c r="AV1209" s="34"/>
      <c r="AW1209" s="34"/>
      <c r="AX1209" s="34"/>
      <c r="AY1209" s="34"/>
      <c r="AZ1209" s="34"/>
      <c r="BA1209" s="44"/>
      <c r="BB1209" s="34"/>
      <c r="BC1209" s="34"/>
    </row>
    <row r="1210" spans="1:55" x14ac:dyDescent="0.35" ht="15.0" customHeight="true">
      <c r="A1210" s="51"/>
      <c r="B1210" s="34"/>
      <c r="C1210" s="34"/>
      <c r="D1210" s="34"/>
      <c r="E1210" s="34"/>
      <c r="F1210" s="34"/>
      <c r="G1210" s="44"/>
      <c r="H1210" s="34"/>
      <c r="I1210" s="54"/>
      <c r="J1210" s="34"/>
      <c r="K1210" s="54"/>
      <c r="L1210" s="34"/>
      <c r="M1210" s="44"/>
      <c r="N1210" s="44"/>
      <c r="O1210" s="34"/>
      <c r="P1210" s="34"/>
      <c r="Q1210" s="34"/>
      <c r="R1210" s="34"/>
      <c r="V1210" s="44"/>
      <c r="X1210" s="95"/>
      <c r="Y1210" s="54"/>
      <c r="Z1210" s="54"/>
      <c r="AA1210" s="34"/>
      <c r="AB1210" s="34"/>
      <c r="AC1210" s="34"/>
      <c r="AD1210" s="34"/>
      <c r="AE1210" s="34"/>
      <c r="AF1210" s="34"/>
      <c r="AG1210" s="34"/>
      <c r="AH1210" s="34"/>
      <c r="AI1210" s="52"/>
      <c r="AJ1210" s="52"/>
      <c r="AL1210" s="34"/>
      <c r="AM1210" s="34"/>
      <c r="AN1210" s="34"/>
      <c r="AO1210" s="54"/>
      <c r="AP1210" s="34"/>
      <c r="AQ1210" s="34"/>
      <c r="AR1210" s="54"/>
      <c r="AS1210" s="54"/>
      <c r="AT1210" s="54"/>
      <c r="AU1210" s="54"/>
      <c r="AV1210" s="34"/>
      <c r="AW1210" s="34"/>
      <c r="AX1210" s="34"/>
      <c r="AY1210" s="34"/>
      <c r="AZ1210" s="34"/>
      <c r="BA1210" s="44"/>
      <c r="BB1210" s="34"/>
      <c r="BC1210" s="34"/>
    </row>
    <row r="1211" spans="1:55" x14ac:dyDescent="0.35" ht="15.0" customHeight="true">
      <c r="A1211" s="51"/>
      <c r="B1211" s="34"/>
      <c r="C1211" s="34"/>
      <c r="D1211" s="34"/>
      <c r="E1211" s="34"/>
      <c r="F1211" s="34"/>
      <c r="G1211" s="44"/>
      <c r="H1211" s="34"/>
      <c r="I1211" s="54"/>
      <c r="J1211" s="34"/>
      <c r="K1211" s="54"/>
      <c r="L1211" s="34"/>
      <c r="M1211" s="44"/>
      <c r="N1211" s="44"/>
      <c r="O1211" s="34"/>
      <c r="P1211" s="34"/>
      <c r="Q1211" s="34"/>
      <c r="R1211" s="34"/>
      <c r="V1211" s="44"/>
      <c r="X1211" s="95"/>
      <c r="Y1211" s="54"/>
      <c r="Z1211" s="54"/>
      <c r="AA1211" s="34"/>
      <c r="AB1211" s="34"/>
      <c r="AC1211" s="34"/>
      <c r="AD1211" s="34"/>
      <c r="AE1211" s="34"/>
      <c r="AF1211" s="34"/>
      <c r="AG1211" s="34"/>
      <c r="AH1211" s="34"/>
      <c r="AI1211" s="52"/>
      <c r="AJ1211" s="52"/>
      <c r="AL1211" s="34"/>
      <c r="AM1211" s="34"/>
      <c r="AN1211" s="34"/>
      <c r="AO1211" s="54"/>
      <c r="AP1211" s="34"/>
      <c r="AQ1211" s="34"/>
      <c r="AR1211" s="54"/>
      <c r="AS1211" s="54"/>
      <c r="AT1211" s="54"/>
      <c r="AU1211" s="54"/>
      <c r="AV1211" s="34"/>
      <c r="AW1211" s="34"/>
      <c r="AX1211" s="34"/>
      <c r="AY1211" s="34"/>
      <c r="AZ1211" s="34"/>
      <c r="BA1211" s="44"/>
      <c r="BB1211" s="34"/>
      <c r="BC1211" s="34"/>
    </row>
    <row r="1212" spans="1:55" x14ac:dyDescent="0.35" ht="15.0" customHeight="true">
      <c r="A1212" s="51"/>
      <c r="B1212" s="34"/>
      <c r="C1212" s="34"/>
      <c r="D1212" s="34"/>
      <c r="E1212" s="34"/>
      <c r="F1212" s="34"/>
      <c r="G1212" s="44"/>
      <c r="H1212" s="34"/>
      <c r="I1212" s="54"/>
      <c r="J1212" s="34"/>
      <c r="K1212" s="54"/>
      <c r="L1212" s="34"/>
      <c r="M1212" s="44"/>
      <c r="N1212" s="44"/>
      <c r="O1212" s="34"/>
      <c r="P1212" s="34"/>
      <c r="Q1212" s="34"/>
      <c r="R1212" s="34"/>
      <c r="V1212" s="44"/>
      <c r="X1212" s="95"/>
      <c r="Y1212" s="54"/>
      <c r="Z1212" s="54"/>
      <c r="AA1212" s="34"/>
      <c r="AB1212" s="34"/>
      <c r="AC1212" s="34"/>
      <c r="AD1212" s="34"/>
      <c r="AE1212" s="34"/>
      <c r="AF1212" s="34"/>
      <c r="AG1212" s="34"/>
      <c r="AH1212" s="34"/>
      <c r="AI1212" s="52"/>
      <c r="AJ1212" s="52"/>
      <c r="AL1212" s="34"/>
      <c r="AM1212" s="34"/>
      <c r="AN1212" s="34"/>
      <c r="AO1212" s="54"/>
      <c r="AP1212" s="34"/>
      <c r="AQ1212" s="34"/>
      <c r="AR1212" s="54"/>
      <c r="AS1212" s="54"/>
      <c r="AT1212" s="54"/>
      <c r="AU1212" s="54"/>
      <c r="AV1212" s="34"/>
      <c r="AW1212" s="34"/>
      <c r="AX1212" s="34"/>
      <c r="AY1212" s="34"/>
      <c r="AZ1212" s="34"/>
      <c r="BA1212" s="44"/>
      <c r="BB1212" s="34"/>
      <c r="BC1212" s="34"/>
    </row>
    <row r="1213" spans="1:55" x14ac:dyDescent="0.35" ht="15.0" customHeight="true">
      <c r="A1213" s="51"/>
      <c r="B1213" s="34"/>
      <c r="C1213" s="34"/>
      <c r="D1213" s="34"/>
      <c r="E1213" s="34"/>
      <c r="F1213" s="34"/>
      <c r="G1213" s="44"/>
      <c r="H1213" s="34"/>
      <c r="I1213" s="54"/>
      <c r="J1213" s="34"/>
      <c r="K1213" s="54"/>
      <c r="L1213" s="34"/>
      <c r="M1213" s="44"/>
      <c r="N1213" s="44"/>
      <c r="O1213" s="34"/>
      <c r="P1213" s="34"/>
      <c r="Q1213" s="34"/>
      <c r="R1213" s="34"/>
      <c r="V1213" s="44"/>
      <c r="X1213" s="95"/>
      <c r="Y1213" s="54"/>
      <c r="Z1213" s="54"/>
      <c r="AA1213" s="34"/>
      <c r="AB1213" s="34"/>
      <c r="AC1213" s="34"/>
      <c r="AD1213" s="34"/>
      <c r="AE1213" s="34"/>
      <c r="AF1213" s="34"/>
      <c r="AG1213" s="34"/>
      <c r="AH1213" s="34"/>
      <c r="AI1213" s="52"/>
      <c r="AJ1213" s="52"/>
      <c r="AL1213" s="34"/>
      <c r="AM1213" s="34"/>
      <c r="AN1213" s="34"/>
      <c r="AO1213" s="54"/>
      <c r="AP1213" s="34"/>
      <c r="AQ1213" s="34"/>
      <c r="AR1213" s="54"/>
      <c r="AS1213" s="54"/>
      <c r="AT1213" s="54"/>
      <c r="AU1213" s="54"/>
      <c r="AV1213" s="34"/>
      <c r="AW1213" s="34"/>
      <c r="AX1213" s="34"/>
      <c r="AY1213" s="34"/>
      <c r="AZ1213" s="34"/>
      <c r="BA1213" s="44"/>
      <c r="BB1213" s="34"/>
      <c r="BC1213" s="34"/>
    </row>
    <row r="1214" spans="1:55" x14ac:dyDescent="0.35" ht="15.0" customHeight="true">
      <c r="A1214" s="51"/>
      <c r="B1214" s="34"/>
      <c r="C1214" s="34"/>
      <c r="D1214" s="34"/>
      <c r="E1214" s="34"/>
      <c r="F1214" s="34"/>
      <c r="G1214" s="44"/>
      <c r="H1214" s="34"/>
      <c r="I1214" s="54"/>
      <c r="J1214" s="34"/>
      <c r="K1214" s="54"/>
      <c r="L1214" s="34"/>
      <c r="M1214" s="44"/>
      <c r="N1214" s="44"/>
      <c r="O1214" s="34"/>
      <c r="P1214" s="34"/>
      <c r="Q1214" s="34"/>
      <c r="R1214" s="34"/>
      <c r="V1214" s="44"/>
      <c r="X1214" s="95"/>
      <c r="Y1214" s="54"/>
      <c r="Z1214" s="54"/>
      <c r="AA1214" s="34"/>
      <c r="AB1214" s="34"/>
      <c r="AC1214" s="34"/>
      <c r="AD1214" s="34"/>
      <c r="AE1214" s="34"/>
      <c r="AF1214" s="34"/>
      <c r="AG1214" s="34"/>
      <c r="AH1214" s="34"/>
      <c r="AI1214" s="52"/>
      <c r="AJ1214" s="52"/>
      <c r="AL1214" s="34"/>
      <c r="AM1214" s="34"/>
      <c r="AN1214" s="34"/>
      <c r="AO1214" s="54"/>
      <c r="AP1214" s="34"/>
      <c r="AQ1214" s="34"/>
      <c r="AR1214" s="54"/>
      <c r="AS1214" s="54"/>
      <c r="AT1214" s="54"/>
      <c r="AU1214" s="54"/>
      <c r="AV1214" s="34"/>
      <c r="AW1214" s="34"/>
      <c r="AX1214" s="34"/>
      <c r="AY1214" s="34"/>
      <c r="AZ1214" s="34"/>
      <c r="BA1214" s="44"/>
      <c r="BB1214" s="34"/>
      <c r="BC1214" s="34"/>
    </row>
    <row r="1215" spans="1:55" x14ac:dyDescent="0.35" ht="15.0" customHeight="true">
      <c r="A1215" s="51"/>
      <c r="B1215" s="34"/>
      <c r="C1215" s="34"/>
      <c r="D1215" s="34"/>
      <c r="E1215" s="34"/>
      <c r="F1215" s="34"/>
      <c r="G1215" s="44"/>
      <c r="H1215" s="34"/>
      <c r="I1215" s="54"/>
      <c r="J1215" s="34"/>
      <c r="K1215" s="54"/>
      <c r="L1215" s="34"/>
      <c r="M1215" s="44"/>
      <c r="N1215" s="44"/>
      <c r="O1215" s="34"/>
      <c r="P1215" s="34"/>
      <c r="Q1215" s="34"/>
      <c r="R1215" s="34"/>
      <c r="V1215" s="44"/>
      <c r="X1215" s="95"/>
      <c r="Y1215" s="54"/>
      <c r="Z1215" s="54"/>
      <c r="AA1215" s="34"/>
      <c r="AB1215" s="34"/>
      <c r="AC1215" s="34"/>
      <c r="AD1215" s="34"/>
      <c r="AE1215" s="34"/>
      <c r="AF1215" s="34"/>
      <c r="AG1215" s="34"/>
      <c r="AH1215" s="34"/>
      <c r="AI1215" s="52"/>
      <c r="AJ1215" s="52"/>
      <c r="AL1215" s="34"/>
      <c r="AM1215" s="34"/>
      <c r="AN1215" s="34"/>
      <c r="AO1215" s="54"/>
      <c r="AP1215" s="34"/>
      <c r="AQ1215" s="34"/>
      <c r="AR1215" s="54"/>
      <c r="AS1215" s="54"/>
      <c r="AT1215" s="54"/>
      <c r="AU1215" s="54"/>
      <c r="AV1215" s="34"/>
      <c r="AW1215" s="34"/>
      <c r="AX1215" s="34"/>
      <c r="AY1215" s="34"/>
      <c r="AZ1215" s="34"/>
      <c r="BA1215" s="44"/>
      <c r="BB1215" s="34"/>
      <c r="BC1215" s="34"/>
    </row>
    <row r="1216" spans="1:55" x14ac:dyDescent="0.35" ht="15.0" customHeight="true">
      <c r="A1216" s="51"/>
      <c r="B1216" s="34"/>
      <c r="C1216" s="34"/>
      <c r="D1216" s="34"/>
      <c r="E1216" s="34"/>
      <c r="F1216" s="34"/>
      <c r="G1216" s="44"/>
      <c r="H1216" s="34"/>
      <c r="I1216" s="54"/>
      <c r="J1216" s="34"/>
      <c r="K1216" s="54"/>
      <c r="L1216" s="34"/>
      <c r="M1216" s="44"/>
      <c r="N1216" s="44"/>
      <c r="O1216" s="34"/>
      <c r="P1216" s="34"/>
      <c r="Q1216" s="34"/>
      <c r="R1216" s="34"/>
      <c r="V1216" s="44"/>
      <c r="X1216" s="95"/>
      <c r="Y1216" s="54"/>
      <c r="Z1216" s="54"/>
      <c r="AA1216" s="34"/>
      <c r="AB1216" s="34"/>
      <c r="AC1216" s="34"/>
      <c r="AD1216" s="34"/>
      <c r="AE1216" s="34"/>
      <c r="AF1216" s="34"/>
      <c r="AG1216" s="34"/>
      <c r="AH1216" s="34"/>
      <c r="AI1216" s="52"/>
      <c r="AJ1216" s="52"/>
      <c r="AL1216" s="34"/>
      <c r="AM1216" s="34"/>
      <c r="AN1216" s="34"/>
      <c r="AO1216" s="54"/>
      <c r="AP1216" s="34"/>
      <c r="AQ1216" s="34"/>
      <c r="AR1216" s="54"/>
      <c r="AS1216" s="54"/>
      <c r="AT1216" s="54"/>
      <c r="AU1216" s="54"/>
      <c r="AV1216" s="34"/>
      <c r="AW1216" s="34"/>
      <c r="AX1216" s="34"/>
      <c r="AY1216" s="34"/>
      <c r="AZ1216" s="34"/>
      <c r="BA1216" s="44"/>
      <c r="BB1216" s="34"/>
      <c r="BC1216" s="34"/>
    </row>
    <row r="1217" spans="1:55" x14ac:dyDescent="0.35" ht="15.0" customHeight="true">
      <c r="A1217" s="51"/>
      <c r="B1217" s="34"/>
      <c r="C1217" s="34"/>
      <c r="D1217" s="34"/>
      <c r="E1217" s="34"/>
      <c r="F1217" s="34"/>
      <c r="G1217" s="44"/>
      <c r="H1217" s="34"/>
      <c r="I1217" s="54"/>
      <c r="J1217" s="34"/>
      <c r="K1217" s="54"/>
      <c r="L1217" s="34"/>
      <c r="M1217" s="44"/>
      <c r="N1217" s="44"/>
      <c r="O1217" s="34"/>
      <c r="P1217" s="34"/>
      <c r="Q1217" s="34"/>
      <c r="R1217" s="34"/>
      <c r="V1217" s="44"/>
      <c r="X1217" s="95"/>
      <c r="Y1217" s="54"/>
      <c r="Z1217" s="54"/>
      <c r="AA1217" s="34"/>
      <c r="AB1217" s="34"/>
      <c r="AC1217" s="34"/>
      <c r="AD1217" s="34"/>
      <c r="AE1217" s="34"/>
      <c r="AF1217" s="34"/>
      <c r="AG1217" s="34"/>
      <c r="AH1217" s="34"/>
      <c r="AI1217" s="52"/>
      <c r="AJ1217" s="52"/>
      <c r="AL1217" s="34"/>
      <c r="AM1217" s="34"/>
      <c r="AN1217" s="34"/>
      <c r="AO1217" s="54"/>
      <c r="AP1217" s="34"/>
      <c r="AQ1217" s="34"/>
      <c r="AR1217" s="54"/>
      <c r="AS1217" s="54"/>
      <c r="AT1217" s="54"/>
      <c r="AU1217" s="54"/>
      <c r="AV1217" s="34"/>
      <c r="AW1217" s="34"/>
      <c r="AX1217" s="34"/>
      <c r="AY1217" s="34"/>
      <c r="AZ1217" s="34"/>
      <c r="BA1217" s="44"/>
      <c r="BB1217" s="34"/>
      <c r="BC1217" s="34"/>
    </row>
    <row r="1218" spans="1:55" x14ac:dyDescent="0.35" ht="15.0" customHeight="true">
      <c r="A1218" s="51"/>
      <c r="B1218" s="34"/>
      <c r="C1218" s="34"/>
      <c r="D1218" s="34"/>
      <c r="E1218" s="34"/>
      <c r="F1218" s="34"/>
      <c r="G1218" s="44"/>
      <c r="H1218" s="34"/>
      <c r="I1218" s="54"/>
      <c r="J1218" s="34"/>
      <c r="K1218" s="54"/>
      <c r="L1218" s="34"/>
      <c r="M1218" s="44"/>
      <c r="N1218" s="44"/>
      <c r="O1218" s="34"/>
      <c r="P1218" s="34"/>
      <c r="Q1218" s="34"/>
      <c r="R1218" s="34"/>
      <c r="V1218" s="44"/>
      <c r="X1218" s="95"/>
      <c r="Y1218" s="54"/>
      <c r="Z1218" s="54"/>
      <c r="AA1218" s="34"/>
      <c r="AB1218" s="34"/>
      <c r="AC1218" s="34"/>
      <c r="AD1218" s="34"/>
      <c r="AE1218" s="34"/>
      <c r="AF1218" s="34"/>
      <c r="AG1218" s="34"/>
      <c r="AH1218" s="34"/>
      <c r="AI1218" s="52"/>
      <c r="AJ1218" s="52"/>
      <c r="AL1218" s="34"/>
      <c r="AM1218" s="34"/>
      <c r="AN1218" s="34"/>
      <c r="AO1218" s="54"/>
      <c r="AP1218" s="34"/>
      <c r="AQ1218" s="34"/>
      <c r="AR1218" s="54"/>
      <c r="AS1218" s="54"/>
      <c r="AT1218" s="54"/>
      <c r="AU1218" s="54"/>
      <c r="AV1218" s="34"/>
      <c r="AW1218" s="34"/>
      <c r="AX1218" s="34"/>
      <c r="AY1218" s="34"/>
      <c r="AZ1218" s="34"/>
      <c r="BA1218" s="44"/>
      <c r="BB1218" s="34"/>
      <c r="BC1218" s="34"/>
    </row>
    <row r="1219" spans="1:55" x14ac:dyDescent="0.35" ht="15.0" customHeight="true">
      <c r="A1219" s="51"/>
      <c r="B1219" s="34"/>
      <c r="C1219" s="34"/>
      <c r="D1219" s="34"/>
      <c r="E1219" s="34"/>
      <c r="F1219" s="34"/>
      <c r="G1219" s="44"/>
      <c r="H1219" s="34"/>
      <c r="I1219" s="54"/>
      <c r="J1219" s="34"/>
      <c r="K1219" s="54"/>
      <c r="L1219" s="34"/>
      <c r="M1219" s="44"/>
      <c r="N1219" s="44"/>
      <c r="O1219" s="34"/>
      <c r="P1219" s="34"/>
      <c r="Q1219" s="34"/>
      <c r="R1219" s="34"/>
      <c r="V1219" s="44"/>
      <c r="X1219" s="95"/>
      <c r="Y1219" s="54"/>
      <c r="Z1219" s="54"/>
      <c r="AA1219" s="34"/>
      <c r="AB1219" s="34"/>
      <c r="AC1219" s="34"/>
      <c r="AD1219" s="34"/>
      <c r="AE1219" s="34"/>
      <c r="AF1219" s="34"/>
      <c r="AG1219" s="34"/>
      <c r="AH1219" s="34"/>
      <c r="AI1219" s="52"/>
      <c r="AJ1219" s="52"/>
      <c r="AL1219" s="34"/>
      <c r="AM1219" s="34"/>
      <c r="AN1219" s="34"/>
      <c r="AO1219" s="54"/>
      <c r="AP1219" s="34"/>
      <c r="AQ1219" s="34"/>
      <c r="AR1219" s="54"/>
      <c r="AS1219" s="54"/>
      <c r="AT1219" s="54"/>
      <c r="AU1219" s="54"/>
      <c r="AV1219" s="34"/>
      <c r="AW1219" s="34"/>
      <c r="AX1219" s="34"/>
      <c r="AY1219" s="34"/>
      <c r="AZ1219" s="34"/>
      <c r="BA1219" s="44"/>
      <c r="BB1219" s="34"/>
      <c r="BC1219" s="34"/>
    </row>
    <row r="1220" spans="1:55" x14ac:dyDescent="0.35" ht="15.0" customHeight="true">
      <c r="A1220" s="51"/>
      <c r="B1220" s="34"/>
      <c r="C1220" s="34"/>
      <c r="D1220" s="34"/>
      <c r="E1220" s="34"/>
      <c r="F1220" s="34"/>
      <c r="G1220" s="44"/>
      <c r="H1220" s="34"/>
      <c r="I1220" s="54"/>
      <c r="J1220" s="34"/>
      <c r="K1220" s="54"/>
      <c r="L1220" s="34"/>
      <c r="M1220" s="44"/>
      <c r="N1220" s="44"/>
      <c r="O1220" s="34"/>
      <c r="P1220" s="34"/>
      <c r="Q1220" s="34"/>
      <c r="R1220" s="34"/>
      <c r="V1220" s="44"/>
      <c r="X1220" s="95"/>
      <c r="Y1220" s="54"/>
      <c r="Z1220" s="54"/>
      <c r="AA1220" s="34"/>
      <c r="AB1220" s="34"/>
      <c r="AC1220" s="34"/>
      <c r="AD1220" s="34"/>
      <c r="AE1220" s="34"/>
      <c r="AF1220" s="34"/>
      <c r="AG1220" s="34"/>
      <c r="AH1220" s="34"/>
      <c r="AI1220" s="52"/>
      <c r="AJ1220" s="52"/>
      <c r="AL1220" s="34"/>
      <c r="AM1220" s="34"/>
      <c r="AN1220" s="34"/>
      <c r="AO1220" s="54"/>
      <c r="AP1220" s="34"/>
      <c r="AQ1220" s="34"/>
      <c r="AR1220" s="54"/>
      <c r="AS1220" s="54"/>
      <c r="AT1220" s="54"/>
      <c r="AU1220" s="54"/>
      <c r="AV1220" s="34"/>
      <c r="AW1220" s="34"/>
      <c r="AX1220" s="34"/>
      <c r="AY1220" s="34"/>
      <c r="AZ1220" s="34"/>
      <c r="BA1220" s="44"/>
      <c r="BB1220" s="34"/>
      <c r="BC1220" s="34"/>
    </row>
    <row r="1221" spans="1:55" x14ac:dyDescent="0.35" ht="15.0" customHeight="true">
      <c r="A1221" s="51"/>
      <c r="B1221" s="34"/>
      <c r="C1221" s="34"/>
      <c r="D1221" s="34"/>
      <c r="E1221" s="34"/>
      <c r="F1221" s="34"/>
      <c r="G1221" s="44"/>
      <c r="H1221" s="34"/>
      <c r="I1221" s="54"/>
      <c r="J1221" s="34"/>
      <c r="K1221" s="54"/>
      <c r="L1221" s="34"/>
      <c r="M1221" s="44"/>
      <c r="N1221" s="44"/>
      <c r="O1221" s="34"/>
      <c r="P1221" s="34"/>
      <c r="Q1221" s="34"/>
      <c r="R1221" s="34"/>
      <c r="V1221" s="44"/>
      <c r="X1221" s="95"/>
      <c r="Y1221" s="54"/>
      <c r="Z1221" s="54"/>
      <c r="AA1221" s="34"/>
      <c r="AB1221" s="34"/>
      <c r="AC1221" s="34"/>
      <c r="AD1221" s="34"/>
      <c r="AE1221" s="34"/>
      <c r="AF1221" s="34"/>
      <c r="AG1221" s="34"/>
      <c r="AH1221" s="34"/>
      <c r="AI1221" s="52"/>
      <c r="AJ1221" s="52"/>
      <c r="AL1221" s="34"/>
      <c r="AM1221" s="34"/>
      <c r="AN1221" s="34"/>
      <c r="AO1221" s="54"/>
      <c r="AP1221" s="34"/>
      <c r="AQ1221" s="34"/>
      <c r="AR1221" s="54"/>
      <c r="AS1221" s="54"/>
      <c r="AT1221" s="54"/>
      <c r="AU1221" s="54"/>
      <c r="AV1221" s="34"/>
      <c r="AW1221" s="34"/>
      <c r="AX1221" s="34"/>
      <c r="AY1221" s="34"/>
      <c r="AZ1221" s="34"/>
      <c r="BA1221" s="44"/>
      <c r="BB1221" s="34"/>
      <c r="BC1221" s="34"/>
    </row>
    <row r="1222" spans="1:55" x14ac:dyDescent="0.35" ht="15.0" customHeight="true">
      <c r="A1222" s="51"/>
      <c r="B1222" s="34"/>
      <c r="C1222" s="34"/>
      <c r="D1222" s="34"/>
      <c r="E1222" s="34"/>
      <c r="F1222" s="34"/>
      <c r="G1222" s="44"/>
      <c r="H1222" s="34"/>
      <c r="I1222" s="54"/>
      <c r="J1222" s="34"/>
      <c r="K1222" s="54"/>
      <c r="L1222" s="34"/>
      <c r="M1222" s="44"/>
      <c r="N1222" s="44"/>
      <c r="O1222" s="34"/>
      <c r="P1222" s="34"/>
      <c r="Q1222" s="34"/>
      <c r="R1222" s="34"/>
      <c r="V1222" s="44"/>
      <c r="X1222" s="95"/>
      <c r="Y1222" s="54"/>
      <c r="Z1222" s="54"/>
      <c r="AA1222" s="34"/>
      <c r="AB1222" s="34"/>
      <c r="AC1222" s="34"/>
      <c r="AD1222" s="34"/>
      <c r="AE1222" s="34"/>
      <c r="AF1222" s="34"/>
      <c r="AG1222" s="34"/>
      <c r="AH1222" s="34"/>
      <c r="AI1222" s="52"/>
      <c r="AJ1222" s="52"/>
      <c r="AL1222" s="34"/>
      <c r="AM1222" s="34"/>
      <c r="AN1222" s="34"/>
      <c r="AO1222" s="54"/>
      <c r="AP1222" s="34"/>
      <c r="AQ1222" s="34"/>
      <c r="AR1222" s="54"/>
      <c r="AS1222" s="54"/>
      <c r="AT1222" s="54"/>
      <c r="AU1222" s="54"/>
      <c r="AV1222" s="34"/>
      <c r="AW1222" s="34"/>
      <c r="AX1222" s="34"/>
      <c r="AY1222" s="34"/>
      <c r="AZ1222" s="34"/>
      <c r="BA1222" s="44"/>
      <c r="BB1222" s="34"/>
      <c r="BC1222" s="34"/>
    </row>
    <row r="1223" spans="1:55" x14ac:dyDescent="0.35" ht="15.0" customHeight="true">
      <c r="A1223" s="51"/>
      <c r="B1223" s="34"/>
      <c r="C1223" s="34"/>
      <c r="D1223" s="34"/>
      <c r="E1223" s="34"/>
      <c r="F1223" s="34"/>
      <c r="G1223" s="44"/>
      <c r="H1223" s="34"/>
      <c r="I1223" s="54"/>
      <c r="J1223" s="34"/>
      <c r="K1223" s="54"/>
      <c r="L1223" s="34"/>
      <c r="M1223" s="44"/>
      <c r="N1223" s="44"/>
      <c r="O1223" s="34"/>
      <c r="P1223" s="34"/>
      <c r="Q1223" s="34"/>
      <c r="R1223" s="34"/>
      <c r="V1223" s="44"/>
      <c r="X1223" s="95"/>
      <c r="Y1223" s="54"/>
      <c r="Z1223" s="54"/>
      <c r="AA1223" s="34"/>
      <c r="AB1223" s="34"/>
      <c r="AC1223" s="34"/>
      <c r="AD1223" s="34"/>
      <c r="AE1223" s="34"/>
      <c r="AF1223" s="34"/>
      <c r="AG1223" s="34"/>
      <c r="AH1223" s="34"/>
      <c r="AI1223" s="52"/>
      <c r="AJ1223" s="52"/>
      <c r="AL1223" s="34"/>
      <c r="AM1223" s="34"/>
      <c r="AN1223" s="34"/>
      <c r="AO1223" s="54"/>
      <c r="AP1223" s="34"/>
      <c r="AQ1223" s="34"/>
      <c r="AR1223" s="54"/>
      <c r="AS1223" s="54"/>
      <c r="AT1223" s="54"/>
      <c r="AU1223" s="54"/>
      <c r="AV1223" s="34"/>
      <c r="AW1223" s="34"/>
      <c r="AX1223" s="34"/>
      <c r="AY1223" s="34"/>
      <c r="AZ1223" s="34"/>
      <c r="BA1223" s="44"/>
      <c r="BB1223" s="34"/>
      <c r="BC1223" s="34"/>
    </row>
    <row r="1224" spans="1:55" x14ac:dyDescent="0.35" ht="15.0" customHeight="true">
      <c r="A1224" s="51"/>
      <c r="B1224" s="34"/>
      <c r="C1224" s="34"/>
      <c r="D1224" s="34"/>
      <c r="E1224" s="34"/>
      <c r="F1224" s="34"/>
      <c r="G1224" s="44"/>
      <c r="H1224" s="34"/>
      <c r="I1224" s="54"/>
      <c r="J1224" s="34"/>
      <c r="K1224" s="54"/>
      <c r="L1224" s="34"/>
      <c r="M1224" s="44"/>
      <c r="N1224" s="44"/>
      <c r="O1224" s="34"/>
      <c r="P1224" s="34"/>
      <c r="Q1224" s="34"/>
      <c r="R1224" s="34"/>
      <c r="V1224" s="44"/>
      <c r="X1224" s="95"/>
      <c r="Y1224" s="54"/>
      <c r="Z1224" s="54"/>
      <c r="AA1224" s="34"/>
      <c r="AB1224" s="34"/>
      <c r="AC1224" s="34"/>
      <c r="AD1224" s="34"/>
      <c r="AE1224" s="34"/>
      <c r="AF1224" s="34"/>
      <c r="AG1224" s="34"/>
      <c r="AH1224" s="34"/>
      <c r="AI1224" s="52"/>
      <c r="AJ1224" s="52"/>
      <c r="AL1224" s="34"/>
      <c r="AM1224" s="34"/>
      <c r="AN1224" s="34"/>
      <c r="AO1224" s="54"/>
      <c r="AP1224" s="34"/>
      <c r="AQ1224" s="34"/>
      <c r="AR1224" s="54"/>
      <c r="AS1224" s="54"/>
      <c r="AT1224" s="54"/>
      <c r="AU1224" s="54"/>
      <c r="AV1224" s="34"/>
      <c r="AW1224" s="34"/>
      <c r="AX1224" s="34"/>
      <c r="AY1224" s="34"/>
      <c r="AZ1224" s="34"/>
      <c r="BA1224" s="44"/>
      <c r="BB1224" s="34"/>
      <c r="BC1224" s="34"/>
    </row>
    <row r="1225" spans="1:55" x14ac:dyDescent="0.35" ht="15.0" customHeight="true">
      <c r="A1225" s="51"/>
      <c r="B1225" s="34"/>
      <c r="C1225" s="34"/>
      <c r="D1225" s="34"/>
      <c r="E1225" s="34"/>
      <c r="F1225" s="34"/>
      <c r="G1225" s="44"/>
      <c r="H1225" s="34"/>
      <c r="I1225" s="54"/>
      <c r="J1225" s="34"/>
      <c r="K1225" s="54"/>
      <c r="L1225" s="34"/>
      <c r="M1225" s="44"/>
      <c r="N1225" s="44"/>
      <c r="O1225" s="34"/>
      <c r="P1225" s="34"/>
      <c r="Q1225" s="34"/>
      <c r="R1225" s="34"/>
      <c r="V1225" s="44"/>
      <c r="X1225" s="95"/>
      <c r="Y1225" s="54"/>
      <c r="Z1225" s="54"/>
      <c r="AA1225" s="34"/>
      <c r="AB1225" s="34"/>
      <c r="AC1225" s="34"/>
      <c r="AD1225" s="34"/>
      <c r="AE1225" s="34"/>
      <c r="AF1225" s="34"/>
      <c r="AG1225" s="34"/>
      <c r="AH1225" s="34"/>
      <c r="AI1225" s="52"/>
      <c r="AJ1225" s="52"/>
      <c r="AL1225" s="34"/>
      <c r="AM1225" s="34"/>
      <c r="AN1225" s="34"/>
      <c r="AO1225" s="54"/>
      <c r="AP1225" s="34"/>
      <c r="AQ1225" s="34"/>
      <c r="AR1225" s="54"/>
      <c r="AS1225" s="54"/>
      <c r="AT1225" s="54"/>
      <c r="AU1225" s="54"/>
      <c r="AV1225" s="34"/>
      <c r="AW1225" s="34"/>
      <c r="AX1225" s="34"/>
      <c r="AY1225" s="34"/>
      <c r="AZ1225" s="34"/>
      <c r="BA1225" s="44"/>
      <c r="BB1225" s="34"/>
      <c r="BC1225" s="34"/>
    </row>
    <row r="1226" spans="1:55" x14ac:dyDescent="0.35" ht="15.0" customHeight="true">
      <c r="A1226" s="51"/>
      <c r="B1226" s="34"/>
      <c r="C1226" s="34"/>
      <c r="D1226" s="34"/>
      <c r="E1226" s="34"/>
      <c r="F1226" s="34"/>
      <c r="G1226" s="44"/>
      <c r="H1226" s="34"/>
      <c r="I1226" s="54"/>
      <c r="J1226" s="34"/>
      <c r="K1226" s="54"/>
      <c r="L1226" s="34"/>
      <c r="M1226" s="44"/>
      <c r="N1226" s="44"/>
      <c r="O1226" s="34"/>
      <c r="P1226" s="34"/>
      <c r="Q1226" s="34"/>
      <c r="R1226" s="34"/>
      <c r="V1226" s="44"/>
      <c r="X1226" s="95"/>
      <c r="Y1226" s="54"/>
      <c r="Z1226" s="54"/>
      <c r="AA1226" s="34"/>
      <c r="AB1226" s="34"/>
      <c r="AC1226" s="34"/>
      <c r="AD1226" s="34"/>
      <c r="AE1226" s="34"/>
      <c r="AF1226" s="34"/>
      <c r="AG1226" s="34"/>
      <c r="AH1226" s="34"/>
      <c r="AI1226" s="52"/>
      <c r="AJ1226" s="52"/>
      <c r="AL1226" s="34"/>
      <c r="AM1226" s="34"/>
      <c r="AN1226" s="34"/>
      <c r="AO1226" s="54"/>
      <c r="AP1226" s="34"/>
      <c r="AQ1226" s="34"/>
      <c r="AR1226" s="54"/>
      <c r="AS1226" s="54"/>
      <c r="AT1226" s="54"/>
      <c r="AU1226" s="54"/>
      <c r="AV1226" s="34"/>
      <c r="AW1226" s="34"/>
      <c r="AX1226" s="34"/>
      <c r="AY1226" s="34"/>
      <c r="AZ1226" s="34"/>
      <c r="BA1226" s="44"/>
      <c r="BB1226" s="34"/>
      <c r="BC1226" s="34"/>
    </row>
    <row r="1227" spans="1:55" x14ac:dyDescent="0.35" ht="15.0" customHeight="true">
      <c r="A1227" s="51"/>
      <c r="B1227" s="34"/>
      <c r="C1227" s="34"/>
      <c r="D1227" s="34"/>
      <c r="E1227" s="34"/>
      <c r="F1227" s="34"/>
      <c r="G1227" s="44"/>
      <c r="H1227" s="34"/>
      <c r="I1227" s="54"/>
      <c r="J1227" s="34"/>
      <c r="K1227" s="54"/>
      <c r="L1227" s="34"/>
      <c r="M1227" s="44"/>
      <c r="N1227" s="44"/>
      <c r="O1227" s="34"/>
      <c r="P1227" s="34"/>
      <c r="Q1227" s="34"/>
      <c r="R1227" s="34"/>
      <c r="V1227" s="44"/>
      <c r="X1227" s="95"/>
      <c r="Y1227" s="54"/>
      <c r="Z1227" s="54"/>
      <c r="AA1227" s="34"/>
      <c r="AB1227" s="34"/>
      <c r="AC1227" s="34"/>
      <c r="AD1227" s="34"/>
      <c r="AE1227" s="34"/>
      <c r="AF1227" s="34"/>
      <c r="AG1227" s="34"/>
      <c r="AH1227" s="34"/>
      <c r="AI1227" s="52"/>
      <c r="AJ1227" s="52"/>
      <c r="AL1227" s="34"/>
      <c r="AM1227" s="34"/>
      <c r="AN1227" s="34"/>
      <c r="AO1227" s="54"/>
      <c r="AP1227" s="34"/>
      <c r="AQ1227" s="34"/>
      <c r="AR1227" s="54"/>
      <c r="AS1227" s="54"/>
      <c r="AT1227" s="54"/>
      <c r="AU1227" s="54"/>
      <c r="AV1227" s="34"/>
      <c r="AW1227" s="34"/>
      <c r="AX1227" s="34"/>
      <c r="AY1227" s="34"/>
      <c r="AZ1227" s="34"/>
      <c r="BA1227" s="44"/>
      <c r="BB1227" s="34"/>
      <c r="BC1227" s="34"/>
    </row>
    <row r="1228" spans="1:55" x14ac:dyDescent="0.35" ht="15.0" customHeight="true">
      <c r="A1228" s="51"/>
      <c r="B1228" s="34"/>
      <c r="C1228" s="34"/>
      <c r="D1228" s="34"/>
      <c r="E1228" s="34"/>
      <c r="F1228" s="34"/>
      <c r="G1228" s="44"/>
      <c r="H1228" s="34"/>
      <c r="I1228" s="54"/>
      <c r="J1228" s="34"/>
      <c r="K1228" s="54"/>
      <c r="L1228" s="34"/>
      <c r="M1228" s="44"/>
      <c r="N1228" s="44"/>
      <c r="O1228" s="34"/>
      <c r="P1228" s="34"/>
      <c r="Q1228" s="34"/>
      <c r="R1228" s="34"/>
      <c r="V1228" s="44"/>
      <c r="X1228" s="95"/>
      <c r="Y1228" s="54"/>
      <c r="Z1228" s="54"/>
      <c r="AA1228" s="34"/>
      <c r="AB1228" s="34"/>
      <c r="AC1228" s="34"/>
      <c r="AD1228" s="34"/>
      <c r="AE1228" s="34"/>
      <c r="AF1228" s="34"/>
      <c r="AG1228" s="34"/>
      <c r="AH1228" s="34"/>
      <c r="AI1228" s="52"/>
      <c r="AJ1228" s="52"/>
      <c r="AL1228" s="34"/>
      <c r="AM1228" s="34"/>
      <c r="AN1228" s="34"/>
      <c r="AO1228" s="54"/>
      <c r="AP1228" s="34"/>
      <c r="AQ1228" s="34"/>
      <c r="AR1228" s="54"/>
      <c r="AS1228" s="54"/>
      <c r="AT1228" s="54"/>
      <c r="AU1228" s="54"/>
      <c r="AV1228" s="34"/>
      <c r="AW1228" s="34"/>
      <c r="AX1228" s="34"/>
      <c r="AY1228" s="34"/>
      <c r="AZ1228" s="34"/>
      <c r="BA1228" s="44"/>
      <c r="BB1228" s="34"/>
      <c r="BC1228" s="34"/>
    </row>
    <row r="1229" spans="1:55" x14ac:dyDescent="0.35" ht="15.0" customHeight="true">
      <c r="A1229" s="51"/>
      <c r="B1229" s="34"/>
      <c r="C1229" s="34"/>
      <c r="D1229" s="34"/>
      <c r="E1229" s="34"/>
      <c r="F1229" s="34"/>
      <c r="G1229" s="44"/>
      <c r="H1229" s="34"/>
      <c r="I1229" s="54"/>
      <c r="J1229" s="34"/>
      <c r="K1229" s="54"/>
      <c r="L1229" s="34"/>
      <c r="M1229" s="44"/>
      <c r="N1229" s="44"/>
      <c r="O1229" s="34"/>
      <c r="P1229" s="34"/>
      <c r="Q1229" s="34"/>
      <c r="R1229" s="34"/>
      <c r="V1229" s="44"/>
      <c r="X1229" s="95"/>
      <c r="Y1229" s="54"/>
      <c r="Z1229" s="54"/>
      <c r="AA1229" s="34"/>
      <c r="AB1229" s="34"/>
      <c r="AC1229" s="34"/>
      <c r="AD1229" s="34"/>
      <c r="AE1229" s="34"/>
      <c r="AF1229" s="34"/>
      <c r="AG1229" s="34"/>
      <c r="AH1229" s="34"/>
      <c r="AI1229" s="52"/>
      <c r="AJ1229" s="52"/>
      <c r="AL1229" s="34"/>
      <c r="AM1229" s="34"/>
      <c r="AN1229" s="34"/>
      <c r="AO1229" s="54"/>
      <c r="AP1229" s="34"/>
      <c r="AQ1229" s="34"/>
      <c r="AR1229" s="54"/>
      <c r="AS1229" s="54"/>
      <c r="AT1229" s="54"/>
      <c r="AU1229" s="54"/>
      <c r="AV1229" s="34"/>
      <c r="AW1229" s="34"/>
      <c r="AX1229" s="34"/>
      <c r="AY1229" s="34"/>
      <c r="AZ1229" s="34"/>
      <c r="BA1229" s="44"/>
      <c r="BB1229" s="34"/>
      <c r="BC1229" s="34"/>
    </row>
    <row r="1230" spans="1:55" x14ac:dyDescent="0.35" ht="15.0" customHeight="true">
      <c r="A1230" s="51"/>
      <c r="B1230" s="34"/>
      <c r="C1230" s="34"/>
      <c r="D1230" s="34"/>
      <c r="E1230" s="34"/>
      <c r="F1230" s="34"/>
      <c r="G1230" s="44"/>
      <c r="H1230" s="34"/>
      <c r="I1230" s="54"/>
      <c r="J1230" s="34"/>
      <c r="K1230" s="54"/>
      <c r="L1230" s="34"/>
      <c r="M1230" s="44"/>
      <c r="N1230" s="44"/>
      <c r="O1230" s="34"/>
      <c r="P1230" s="34"/>
      <c r="Q1230" s="34"/>
      <c r="R1230" s="34"/>
      <c r="V1230" s="44"/>
      <c r="X1230" s="95"/>
      <c r="Y1230" s="54"/>
      <c r="Z1230" s="54"/>
      <c r="AA1230" s="34"/>
      <c r="AB1230" s="34"/>
      <c r="AC1230" s="34"/>
      <c r="AD1230" s="34"/>
      <c r="AE1230" s="34"/>
      <c r="AF1230" s="34"/>
      <c r="AG1230" s="34"/>
      <c r="AH1230" s="34"/>
      <c r="AI1230" s="52"/>
      <c r="AJ1230" s="52"/>
      <c r="AL1230" s="34"/>
      <c r="AM1230" s="34"/>
      <c r="AN1230" s="34"/>
      <c r="AO1230" s="54"/>
      <c r="AP1230" s="34"/>
      <c r="AQ1230" s="34"/>
      <c r="AR1230" s="54"/>
      <c r="AS1230" s="54"/>
      <c r="AT1230" s="54"/>
      <c r="AU1230" s="54"/>
      <c r="AV1230" s="34"/>
      <c r="AW1230" s="34"/>
      <c r="AX1230" s="34"/>
      <c r="AY1230" s="34"/>
      <c r="AZ1230" s="34"/>
      <c r="BA1230" s="44"/>
      <c r="BB1230" s="34"/>
      <c r="BC1230" s="34"/>
    </row>
    <row r="1231" spans="1:55" x14ac:dyDescent="0.35" ht="15.0" customHeight="true">
      <c r="A1231" s="51"/>
      <c r="B1231" s="34"/>
      <c r="C1231" s="34"/>
      <c r="D1231" s="34"/>
      <c r="E1231" s="34"/>
      <c r="F1231" s="34"/>
      <c r="G1231" s="44"/>
      <c r="H1231" s="34"/>
      <c r="I1231" s="54"/>
      <c r="J1231" s="34"/>
      <c r="K1231" s="54"/>
      <c r="L1231" s="34"/>
      <c r="M1231" s="44"/>
      <c r="N1231" s="44"/>
      <c r="O1231" s="34"/>
      <c r="P1231" s="34"/>
      <c r="Q1231" s="34"/>
      <c r="R1231" s="34"/>
      <c r="V1231" s="44"/>
      <c r="X1231" s="95"/>
      <c r="Y1231" s="54"/>
      <c r="Z1231" s="54"/>
      <c r="AA1231" s="34"/>
      <c r="AB1231" s="34"/>
      <c r="AC1231" s="34"/>
      <c r="AD1231" s="34"/>
      <c r="AE1231" s="34"/>
      <c r="AF1231" s="34"/>
      <c r="AG1231" s="34"/>
      <c r="AH1231" s="34"/>
      <c r="AI1231" s="52"/>
      <c r="AJ1231" s="52"/>
      <c r="AL1231" s="34"/>
      <c r="AM1231" s="34"/>
      <c r="AN1231" s="34"/>
      <c r="AO1231" s="54"/>
      <c r="AP1231" s="34"/>
      <c r="AQ1231" s="34"/>
      <c r="AR1231" s="54"/>
      <c r="AS1231" s="54"/>
      <c r="AT1231" s="54"/>
      <c r="AU1231" s="54"/>
      <c r="AV1231" s="34"/>
      <c r="AW1231" s="34"/>
      <c r="AX1231" s="34"/>
      <c r="AY1231" s="34"/>
      <c r="AZ1231" s="34"/>
      <c r="BA1231" s="44"/>
      <c r="BB1231" s="34"/>
      <c r="BC1231" s="34"/>
    </row>
    <row r="1232" spans="1:55" x14ac:dyDescent="0.35" ht="15.0" customHeight="true">
      <c r="A1232" s="51"/>
      <c r="B1232" s="34"/>
      <c r="C1232" s="34"/>
      <c r="D1232" s="34"/>
      <c r="E1232" s="34"/>
      <c r="F1232" s="34"/>
      <c r="G1232" s="44"/>
      <c r="H1232" s="34"/>
      <c r="I1232" s="54"/>
      <c r="J1232" s="34"/>
      <c r="K1232" s="54"/>
      <c r="L1232" s="34"/>
      <c r="M1232" s="44"/>
      <c r="N1232" s="44"/>
      <c r="O1232" s="34"/>
      <c r="P1232" s="34"/>
      <c r="Q1232" s="34"/>
      <c r="R1232" s="34"/>
      <c r="V1232" s="44"/>
      <c r="X1232" s="95"/>
      <c r="Y1232" s="54"/>
      <c r="Z1232" s="54"/>
      <c r="AA1232" s="34"/>
      <c r="AB1232" s="34"/>
      <c r="AC1232" s="34"/>
      <c r="AD1232" s="34"/>
      <c r="AE1232" s="34"/>
      <c r="AF1232" s="34"/>
      <c r="AG1232" s="34"/>
      <c r="AH1232" s="34"/>
      <c r="AI1232" s="52"/>
      <c r="AJ1232" s="52"/>
      <c r="AL1232" s="34"/>
      <c r="AM1232" s="34"/>
      <c r="AN1232" s="34"/>
      <c r="AO1232" s="54"/>
      <c r="AP1232" s="34"/>
      <c r="AQ1232" s="34"/>
      <c r="AR1232" s="54"/>
      <c r="AS1232" s="54"/>
      <c r="AT1232" s="54"/>
      <c r="AU1232" s="54"/>
      <c r="AV1232" s="34"/>
      <c r="AW1232" s="34"/>
      <c r="AX1232" s="34"/>
      <c r="AY1232" s="34"/>
      <c r="AZ1232" s="34"/>
      <c r="BA1232" s="44"/>
      <c r="BB1232" s="34"/>
      <c r="BC1232" s="34"/>
    </row>
    <row r="1233" spans="1:55" x14ac:dyDescent="0.35" ht="15.0" customHeight="true">
      <c r="A1233" s="51"/>
      <c r="B1233" s="34"/>
      <c r="C1233" s="34"/>
      <c r="D1233" s="34"/>
      <c r="E1233" s="34"/>
      <c r="F1233" s="34"/>
      <c r="G1233" s="44"/>
      <c r="H1233" s="34"/>
      <c r="I1233" s="54"/>
      <c r="J1233" s="34"/>
      <c r="K1233" s="54"/>
      <c r="L1233" s="34"/>
      <c r="M1233" s="44"/>
      <c r="N1233" s="44"/>
      <c r="O1233" s="34"/>
      <c r="P1233" s="34"/>
      <c r="Q1233" s="34"/>
      <c r="R1233" s="34"/>
      <c r="V1233" s="44"/>
      <c r="X1233" s="95"/>
      <c r="Y1233" s="54"/>
      <c r="Z1233" s="54"/>
      <c r="AA1233" s="34"/>
      <c r="AB1233" s="34"/>
      <c r="AC1233" s="34"/>
      <c r="AD1233" s="34"/>
      <c r="AE1233" s="34"/>
      <c r="AF1233" s="34"/>
      <c r="AG1233" s="34"/>
      <c r="AH1233" s="34"/>
      <c r="AI1233" s="52"/>
      <c r="AJ1233" s="52"/>
      <c r="AL1233" s="34"/>
      <c r="AM1233" s="34"/>
      <c r="AN1233" s="34"/>
      <c r="AO1233" s="54"/>
      <c r="AP1233" s="34"/>
      <c r="AQ1233" s="34"/>
      <c r="AR1233" s="54"/>
      <c r="AS1233" s="54"/>
      <c r="AT1233" s="54"/>
      <c r="AU1233" s="54"/>
      <c r="AV1233" s="34"/>
      <c r="AW1233" s="34"/>
      <c r="AX1233" s="34"/>
      <c r="AY1233" s="34"/>
      <c r="AZ1233" s="34"/>
      <c r="BA1233" s="44"/>
      <c r="BB1233" s="34"/>
      <c r="BC1233" s="34"/>
    </row>
    <row r="1234" spans="1:55" x14ac:dyDescent="0.35" ht="15.0" customHeight="true">
      <c r="A1234" s="51"/>
      <c r="B1234" s="34"/>
      <c r="C1234" s="34"/>
      <c r="D1234" s="34"/>
      <c r="E1234" s="34"/>
      <c r="F1234" s="34"/>
      <c r="G1234" s="44"/>
      <c r="H1234" s="34"/>
      <c r="I1234" s="54"/>
      <c r="J1234" s="34"/>
      <c r="K1234" s="54"/>
      <c r="L1234" s="34"/>
      <c r="M1234" s="44"/>
      <c r="N1234" s="44"/>
      <c r="O1234" s="34"/>
      <c r="P1234" s="34"/>
      <c r="Q1234" s="34"/>
      <c r="R1234" s="34"/>
      <c r="V1234" s="44"/>
      <c r="X1234" s="95"/>
      <c r="Y1234" s="54"/>
      <c r="Z1234" s="54"/>
      <c r="AA1234" s="34"/>
      <c r="AB1234" s="34"/>
      <c r="AC1234" s="34"/>
      <c r="AD1234" s="34"/>
      <c r="AE1234" s="34"/>
      <c r="AF1234" s="34"/>
      <c r="AG1234" s="34"/>
      <c r="AH1234" s="34"/>
      <c r="AI1234" s="52"/>
      <c r="AJ1234" s="52"/>
      <c r="AL1234" s="34"/>
      <c r="AM1234" s="34"/>
      <c r="AN1234" s="34"/>
      <c r="AO1234" s="54"/>
      <c r="AP1234" s="34"/>
      <c r="AQ1234" s="34"/>
      <c r="AR1234" s="54"/>
      <c r="AS1234" s="54"/>
      <c r="AT1234" s="54"/>
      <c r="AU1234" s="54"/>
      <c r="AV1234" s="34"/>
      <c r="AW1234" s="34"/>
      <c r="AX1234" s="34"/>
      <c r="AY1234" s="34"/>
      <c r="AZ1234" s="34"/>
      <c r="BA1234" s="44"/>
      <c r="BB1234" s="34"/>
      <c r="BC1234" s="34"/>
    </row>
    <row r="1235" spans="1:55" x14ac:dyDescent="0.35" ht="15.0" customHeight="true">
      <c r="A1235" s="51"/>
      <c r="B1235" s="34"/>
      <c r="C1235" s="34"/>
      <c r="D1235" s="34"/>
      <c r="E1235" s="34"/>
      <c r="F1235" s="34"/>
      <c r="G1235" s="44"/>
      <c r="H1235" s="34"/>
      <c r="I1235" s="54"/>
      <c r="J1235" s="34"/>
      <c r="K1235" s="54"/>
      <c r="L1235" s="34"/>
      <c r="M1235" s="44"/>
      <c r="N1235" s="44"/>
      <c r="O1235" s="34"/>
      <c r="P1235" s="34"/>
      <c r="Q1235" s="34"/>
      <c r="R1235" s="34"/>
      <c r="V1235" s="44"/>
      <c r="X1235" s="95"/>
      <c r="Y1235" s="54"/>
      <c r="Z1235" s="54"/>
      <c r="AA1235" s="34"/>
      <c r="AB1235" s="34"/>
      <c r="AC1235" s="34"/>
      <c r="AD1235" s="34"/>
      <c r="AE1235" s="34"/>
      <c r="AF1235" s="34"/>
      <c r="AG1235" s="34"/>
      <c r="AH1235" s="34"/>
      <c r="AI1235" s="52"/>
      <c r="AJ1235" s="52"/>
      <c r="AL1235" s="34"/>
      <c r="AM1235" s="34"/>
      <c r="AN1235" s="34"/>
      <c r="AO1235" s="54"/>
      <c r="AP1235" s="34"/>
      <c r="AQ1235" s="34"/>
      <c r="AR1235" s="54"/>
      <c r="AS1235" s="54"/>
      <c r="AT1235" s="54"/>
      <c r="AU1235" s="54"/>
      <c r="AV1235" s="34"/>
      <c r="AW1235" s="34"/>
      <c r="AX1235" s="34"/>
      <c r="AY1235" s="34"/>
      <c r="AZ1235" s="34"/>
      <c r="BA1235" s="44"/>
      <c r="BB1235" s="34"/>
      <c r="BC1235" s="34"/>
    </row>
    <row r="1236" spans="1:55" x14ac:dyDescent="0.35" ht="15.0" customHeight="true">
      <c r="A1236" s="51"/>
      <c r="B1236" s="34"/>
      <c r="C1236" s="34"/>
      <c r="D1236" s="34"/>
      <c r="E1236" s="34"/>
      <c r="F1236" s="34"/>
      <c r="G1236" s="44"/>
      <c r="H1236" s="34"/>
      <c r="I1236" s="54"/>
      <c r="J1236" s="34"/>
      <c r="K1236" s="54"/>
      <c r="L1236" s="34"/>
      <c r="M1236" s="44"/>
      <c r="N1236" s="44"/>
      <c r="O1236" s="34"/>
      <c r="P1236" s="34"/>
      <c r="Q1236" s="34"/>
      <c r="R1236" s="34"/>
      <c r="V1236" s="44"/>
      <c r="X1236" s="95"/>
      <c r="Y1236" s="54"/>
      <c r="Z1236" s="54"/>
      <c r="AA1236" s="34"/>
      <c r="AB1236" s="34"/>
      <c r="AC1236" s="34"/>
      <c r="AD1236" s="34"/>
      <c r="AE1236" s="34"/>
      <c r="AF1236" s="34"/>
      <c r="AG1236" s="34"/>
      <c r="AH1236" s="34"/>
      <c r="AI1236" s="52"/>
      <c r="AJ1236" s="52"/>
      <c r="AL1236" s="34"/>
      <c r="AM1236" s="34"/>
      <c r="AN1236" s="34"/>
      <c r="AO1236" s="54"/>
      <c r="AP1236" s="34"/>
      <c r="AQ1236" s="34"/>
      <c r="AR1236" s="54"/>
      <c r="AS1236" s="54"/>
      <c r="AT1236" s="54"/>
      <c r="AU1236" s="54"/>
      <c r="AV1236" s="34"/>
      <c r="AW1236" s="34"/>
      <c r="AX1236" s="34"/>
      <c r="AY1236" s="34"/>
      <c r="AZ1236" s="34"/>
      <c r="BA1236" s="44"/>
      <c r="BB1236" s="34"/>
      <c r="BC1236" s="34"/>
    </row>
    <row r="1237" spans="1:55" x14ac:dyDescent="0.35" ht="15.0" customHeight="true">
      <c r="A1237" s="51"/>
      <c r="B1237" s="34"/>
      <c r="C1237" s="34"/>
      <c r="D1237" s="34"/>
      <c r="E1237" s="34"/>
      <c r="F1237" s="34"/>
      <c r="G1237" s="44"/>
      <c r="H1237" s="34"/>
      <c r="I1237" s="54"/>
      <c r="J1237" s="34"/>
      <c r="K1237" s="54"/>
      <c r="L1237" s="34"/>
      <c r="M1237" s="44"/>
      <c r="N1237" s="44"/>
      <c r="O1237" s="34"/>
      <c r="P1237" s="34"/>
      <c r="Q1237" s="34"/>
      <c r="R1237" s="34"/>
      <c r="V1237" s="44"/>
      <c r="X1237" s="95"/>
      <c r="Y1237" s="54"/>
      <c r="Z1237" s="54"/>
      <c r="AA1237" s="34"/>
      <c r="AB1237" s="34"/>
      <c r="AC1237" s="34"/>
      <c r="AD1237" s="34"/>
      <c r="AE1237" s="34"/>
      <c r="AF1237" s="34"/>
      <c r="AG1237" s="34"/>
      <c r="AH1237" s="34"/>
      <c r="AI1237" s="52"/>
      <c r="AJ1237" s="52"/>
      <c r="AL1237" s="34"/>
      <c r="AM1237" s="34"/>
      <c r="AN1237" s="34"/>
      <c r="AO1237" s="54"/>
      <c r="AP1237" s="34"/>
      <c r="AQ1237" s="34"/>
      <c r="AR1237" s="54"/>
      <c r="AS1237" s="54"/>
      <c r="AT1237" s="54"/>
      <c r="AU1237" s="54"/>
      <c r="AV1237" s="34"/>
      <c r="AW1237" s="34"/>
      <c r="AX1237" s="34"/>
      <c r="AY1237" s="34"/>
      <c r="AZ1237" s="34"/>
      <c r="BA1237" s="44"/>
      <c r="BB1237" s="34"/>
      <c r="BC1237" s="34"/>
    </row>
    <row r="1238" spans="1:55" x14ac:dyDescent="0.35" ht="15.0" customHeight="true">
      <c r="A1238" s="51"/>
      <c r="B1238" s="34"/>
      <c r="C1238" s="34"/>
      <c r="D1238" s="34"/>
      <c r="E1238" s="34"/>
      <c r="F1238" s="34"/>
      <c r="G1238" s="44"/>
      <c r="H1238" s="34"/>
      <c r="I1238" s="54"/>
      <c r="J1238" s="34"/>
      <c r="K1238" s="54"/>
      <c r="L1238" s="34"/>
      <c r="M1238" s="44"/>
      <c r="N1238" s="44"/>
      <c r="O1238" s="34"/>
      <c r="P1238" s="34"/>
      <c r="Q1238" s="34"/>
      <c r="R1238" s="34"/>
      <c r="V1238" s="44"/>
      <c r="X1238" s="95"/>
      <c r="Y1238" s="54"/>
      <c r="Z1238" s="54"/>
      <c r="AA1238" s="34"/>
      <c r="AB1238" s="34"/>
      <c r="AC1238" s="34"/>
      <c r="AD1238" s="34"/>
      <c r="AE1238" s="34"/>
      <c r="AF1238" s="34"/>
      <c r="AG1238" s="34"/>
      <c r="AH1238" s="34"/>
      <c r="AI1238" s="52"/>
      <c r="AJ1238" s="52"/>
      <c r="AL1238" s="34"/>
      <c r="AM1238" s="34"/>
      <c r="AN1238" s="34"/>
      <c r="AO1238" s="54"/>
      <c r="AP1238" s="34"/>
      <c r="AQ1238" s="34"/>
      <c r="AR1238" s="54"/>
      <c r="AS1238" s="54"/>
      <c r="AT1238" s="54"/>
      <c r="AU1238" s="54"/>
      <c r="AV1238" s="34"/>
      <c r="AW1238" s="34"/>
      <c r="AX1238" s="34"/>
      <c r="AY1238" s="34"/>
      <c r="AZ1238" s="34"/>
      <c r="BA1238" s="44"/>
      <c r="BB1238" s="34"/>
      <c r="BC1238" s="34"/>
    </row>
    <row r="1239" spans="1:55" x14ac:dyDescent="0.35" ht="15.0" customHeight="true">
      <c r="A1239" s="51"/>
      <c r="B1239" s="34"/>
      <c r="C1239" s="34"/>
      <c r="D1239" s="34"/>
      <c r="E1239" s="34"/>
      <c r="F1239" s="34"/>
      <c r="G1239" s="44"/>
      <c r="H1239" s="34"/>
      <c r="I1239" s="54"/>
      <c r="J1239" s="34"/>
      <c r="K1239" s="54"/>
      <c r="L1239" s="34"/>
      <c r="M1239" s="44"/>
      <c r="N1239" s="44"/>
      <c r="O1239" s="34"/>
      <c r="P1239" s="34"/>
      <c r="Q1239" s="34"/>
      <c r="R1239" s="34"/>
      <c r="V1239" s="44"/>
      <c r="X1239" s="95"/>
      <c r="Y1239" s="54"/>
      <c r="Z1239" s="54"/>
      <c r="AA1239" s="34"/>
      <c r="AB1239" s="34"/>
      <c r="AC1239" s="34"/>
      <c r="AD1239" s="34"/>
      <c r="AE1239" s="34"/>
      <c r="AF1239" s="34"/>
      <c r="AG1239" s="34"/>
      <c r="AH1239" s="34"/>
      <c r="AI1239" s="52"/>
      <c r="AJ1239" s="52"/>
      <c r="AL1239" s="34"/>
      <c r="AM1239" s="34"/>
      <c r="AN1239" s="34"/>
      <c r="AO1239" s="54"/>
      <c r="AP1239" s="34"/>
      <c r="AQ1239" s="34"/>
      <c r="AR1239" s="54"/>
      <c r="AS1239" s="54"/>
      <c r="AT1239" s="54"/>
      <c r="AU1239" s="54"/>
      <c r="AV1239" s="34"/>
      <c r="AW1239" s="34"/>
      <c r="AX1239" s="34"/>
      <c r="AY1239" s="34"/>
      <c r="AZ1239" s="34"/>
      <c r="BA1239" s="44"/>
      <c r="BB1239" s="34"/>
      <c r="BC1239" s="34"/>
    </row>
    <row r="1240" spans="1:55" x14ac:dyDescent="0.35" ht="15.0" customHeight="true">
      <c r="A1240" s="51"/>
      <c r="B1240" s="34"/>
      <c r="C1240" s="34"/>
      <c r="D1240" s="34"/>
      <c r="E1240" s="34"/>
      <c r="F1240" s="34"/>
      <c r="G1240" s="44"/>
      <c r="H1240" s="34"/>
      <c r="I1240" s="54"/>
      <c r="J1240" s="34"/>
      <c r="K1240" s="54"/>
      <c r="L1240" s="34"/>
      <c r="M1240" s="44"/>
      <c r="N1240" s="44"/>
      <c r="O1240" s="34"/>
      <c r="P1240" s="34"/>
      <c r="Q1240" s="34"/>
      <c r="R1240" s="34"/>
      <c r="V1240" s="44"/>
      <c r="X1240" s="95"/>
      <c r="Y1240" s="54"/>
      <c r="Z1240" s="54"/>
      <c r="AA1240" s="34"/>
      <c r="AB1240" s="34"/>
      <c r="AC1240" s="34"/>
      <c r="AD1240" s="34"/>
      <c r="AE1240" s="34"/>
      <c r="AF1240" s="34"/>
      <c r="AG1240" s="34"/>
      <c r="AH1240" s="34"/>
      <c r="AI1240" s="52"/>
      <c r="AJ1240" s="52"/>
      <c r="AL1240" s="34"/>
      <c r="AM1240" s="34"/>
      <c r="AN1240" s="34"/>
      <c r="AO1240" s="54"/>
      <c r="AP1240" s="34"/>
      <c r="AQ1240" s="34"/>
      <c r="AR1240" s="54"/>
      <c r="AS1240" s="54"/>
      <c r="AT1240" s="54"/>
      <c r="AU1240" s="54"/>
      <c r="AV1240" s="34"/>
      <c r="AW1240" s="34"/>
      <c r="AX1240" s="34"/>
      <c r="AY1240" s="34"/>
      <c r="AZ1240" s="34"/>
      <c r="BA1240" s="44"/>
      <c r="BB1240" s="34"/>
      <c r="BC1240" s="34"/>
    </row>
    <row r="1241" spans="1:55" x14ac:dyDescent="0.35" ht="15.0" customHeight="true">
      <c r="A1241" s="51"/>
      <c r="B1241" s="34"/>
      <c r="C1241" s="34"/>
      <c r="D1241" s="34"/>
      <c r="E1241" s="34"/>
      <c r="F1241" s="34"/>
      <c r="G1241" s="44"/>
      <c r="H1241" s="34"/>
      <c r="I1241" s="54"/>
      <c r="J1241" s="34"/>
      <c r="K1241" s="54"/>
      <c r="L1241" s="34"/>
      <c r="M1241" s="44"/>
      <c r="N1241" s="44"/>
      <c r="O1241" s="34"/>
      <c r="P1241" s="34"/>
      <c r="Q1241" s="34"/>
      <c r="R1241" s="34"/>
      <c r="V1241" s="44"/>
      <c r="X1241" s="95"/>
      <c r="Y1241" s="54"/>
      <c r="Z1241" s="54"/>
      <c r="AA1241" s="34"/>
      <c r="AB1241" s="34"/>
      <c r="AC1241" s="34"/>
      <c r="AD1241" s="34"/>
      <c r="AE1241" s="34"/>
      <c r="AF1241" s="34"/>
      <c r="AG1241" s="34"/>
      <c r="AH1241" s="34"/>
      <c r="AI1241" s="52"/>
      <c r="AJ1241" s="52"/>
      <c r="AL1241" s="34"/>
      <c r="AM1241" s="34"/>
      <c r="AN1241" s="34"/>
      <c r="AO1241" s="54"/>
      <c r="AP1241" s="34"/>
      <c r="AQ1241" s="34"/>
      <c r="AR1241" s="54"/>
      <c r="AS1241" s="54"/>
      <c r="AT1241" s="54"/>
      <c r="AU1241" s="54"/>
      <c r="AV1241" s="34"/>
      <c r="AW1241" s="34"/>
      <c r="AX1241" s="34"/>
      <c r="AY1241" s="34"/>
      <c r="AZ1241" s="34"/>
      <c r="BA1241" s="44"/>
      <c r="BB1241" s="34"/>
      <c r="BC1241" s="34"/>
    </row>
    <row r="1242" spans="1:55" x14ac:dyDescent="0.35" ht="15.0" customHeight="true">
      <c r="A1242" s="51"/>
      <c r="B1242" s="34"/>
      <c r="C1242" s="34"/>
      <c r="D1242" s="34"/>
      <c r="E1242" s="34"/>
      <c r="F1242" s="34"/>
      <c r="G1242" s="44"/>
      <c r="H1242" s="34"/>
      <c r="I1242" s="54"/>
      <c r="J1242" s="34"/>
      <c r="K1242" s="54"/>
      <c r="L1242" s="34"/>
      <c r="M1242" s="44"/>
      <c r="N1242" s="44"/>
      <c r="O1242" s="34"/>
      <c r="P1242" s="34"/>
      <c r="Q1242" s="34"/>
      <c r="R1242" s="34"/>
      <c r="V1242" s="44"/>
      <c r="X1242" s="95"/>
      <c r="Y1242" s="54"/>
      <c r="Z1242" s="54"/>
      <c r="AA1242" s="34"/>
      <c r="AB1242" s="34"/>
      <c r="AC1242" s="34"/>
      <c r="AD1242" s="34"/>
      <c r="AE1242" s="34"/>
      <c r="AF1242" s="34"/>
      <c r="AG1242" s="34"/>
      <c r="AH1242" s="34"/>
      <c r="AI1242" s="52"/>
      <c r="AJ1242" s="52"/>
      <c r="AL1242" s="34"/>
      <c r="AM1242" s="34"/>
      <c r="AN1242" s="34"/>
      <c r="AO1242" s="54"/>
      <c r="AP1242" s="34"/>
      <c r="AQ1242" s="34"/>
      <c r="AR1242" s="54"/>
      <c r="AS1242" s="54"/>
      <c r="AT1242" s="54"/>
      <c r="AU1242" s="54"/>
      <c r="AV1242" s="34"/>
      <c r="AW1242" s="34"/>
      <c r="AX1242" s="34"/>
      <c r="AY1242" s="34"/>
      <c r="AZ1242" s="34"/>
      <c r="BA1242" s="44"/>
      <c r="BB1242" s="34"/>
      <c r="BC1242" s="34"/>
    </row>
    <row r="1243" spans="1:55" x14ac:dyDescent="0.35" ht="15.0" customHeight="true">
      <c r="A1243" s="51"/>
      <c r="B1243" s="34"/>
      <c r="C1243" s="34"/>
      <c r="D1243" s="34"/>
      <c r="E1243" s="34"/>
      <c r="F1243" s="34"/>
      <c r="G1243" s="44"/>
      <c r="H1243" s="34"/>
      <c r="I1243" s="54"/>
      <c r="J1243" s="34"/>
      <c r="K1243" s="54"/>
      <c r="L1243" s="34"/>
      <c r="M1243" s="44"/>
      <c r="N1243" s="44"/>
      <c r="O1243" s="34"/>
      <c r="P1243" s="34"/>
      <c r="Q1243" s="34"/>
      <c r="R1243" s="34"/>
      <c r="V1243" s="44"/>
      <c r="X1243" s="95"/>
      <c r="Y1243" s="54"/>
      <c r="Z1243" s="54"/>
      <c r="AA1243" s="34"/>
      <c r="AB1243" s="34"/>
      <c r="AC1243" s="34"/>
      <c r="AD1243" s="34"/>
      <c r="AE1243" s="34"/>
      <c r="AF1243" s="34"/>
      <c r="AG1243" s="34"/>
      <c r="AH1243" s="34"/>
      <c r="AI1243" s="52"/>
      <c r="AJ1243" s="52"/>
      <c r="AL1243" s="34"/>
      <c r="AM1243" s="34"/>
      <c r="AN1243" s="34"/>
      <c r="AO1243" s="54"/>
      <c r="AP1243" s="34"/>
      <c r="AQ1243" s="34"/>
      <c r="AR1243" s="54"/>
      <c r="AS1243" s="54"/>
      <c r="AT1243" s="54"/>
      <c r="AU1243" s="54"/>
      <c r="AV1243" s="34"/>
      <c r="AW1243" s="34"/>
      <c r="AX1243" s="34"/>
      <c r="AY1243" s="34"/>
      <c r="AZ1243" s="34"/>
      <c r="BA1243" s="44"/>
      <c r="BB1243" s="34"/>
      <c r="BC1243" s="34"/>
    </row>
    <row r="1244" spans="1:55" x14ac:dyDescent="0.35" ht="15.0" customHeight="true">
      <c r="A1244" s="51"/>
      <c r="B1244" s="34"/>
      <c r="C1244" s="34"/>
      <c r="D1244" s="34"/>
      <c r="E1244" s="34"/>
      <c r="F1244" s="34"/>
      <c r="G1244" s="44"/>
      <c r="H1244" s="34"/>
      <c r="I1244" s="54"/>
      <c r="J1244" s="34"/>
      <c r="K1244" s="54"/>
      <c r="L1244" s="34"/>
      <c r="M1244" s="44"/>
      <c r="N1244" s="44"/>
      <c r="O1244" s="34"/>
      <c r="P1244" s="34"/>
      <c r="Q1244" s="34"/>
      <c r="R1244" s="34"/>
      <c r="V1244" s="44"/>
      <c r="X1244" s="95"/>
      <c r="Y1244" s="54"/>
      <c r="Z1244" s="54"/>
      <c r="AA1244" s="34"/>
      <c r="AB1244" s="34"/>
      <c r="AC1244" s="34"/>
      <c r="AD1244" s="34"/>
      <c r="AE1244" s="34"/>
      <c r="AF1244" s="34"/>
      <c r="AG1244" s="34"/>
      <c r="AH1244" s="34"/>
      <c r="AI1244" s="52"/>
      <c r="AJ1244" s="52"/>
      <c r="AL1244" s="34"/>
      <c r="AM1244" s="34"/>
      <c r="AN1244" s="34"/>
      <c r="AO1244" s="54"/>
      <c r="AP1244" s="34"/>
      <c r="AQ1244" s="34"/>
      <c r="AR1244" s="54"/>
      <c r="AS1244" s="54"/>
      <c r="AT1244" s="54"/>
      <c r="AU1244" s="54"/>
      <c r="AV1244" s="34"/>
      <c r="AW1244" s="34"/>
      <c r="AX1244" s="34"/>
      <c r="AY1244" s="34"/>
      <c r="AZ1244" s="34"/>
      <c r="BA1244" s="44"/>
      <c r="BB1244" s="34"/>
      <c r="BC1244" s="34"/>
    </row>
    <row r="1245" spans="1:55" x14ac:dyDescent="0.35" ht="15.0" customHeight="true">
      <c r="A1245" s="51"/>
      <c r="B1245" s="34"/>
      <c r="C1245" s="34"/>
      <c r="D1245" s="34"/>
      <c r="E1245" s="34"/>
      <c r="F1245" s="34"/>
      <c r="G1245" s="44"/>
      <c r="H1245" s="34"/>
      <c r="I1245" s="54"/>
      <c r="J1245" s="34"/>
      <c r="K1245" s="54"/>
      <c r="L1245" s="34"/>
      <c r="M1245" s="44"/>
      <c r="N1245" s="44"/>
      <c r="O1245" s="34"/>
      <c r="P1245" s="34"/>
      <c r="Q1245" s="34"/>
      <c r="R1245" s="34"/>
      <c r="V1245" s="44"/>
      <c r="X1245" s="95"/>
      <c r="Y1245" s="54"/>
      <c r="Z1245" s="54"/>
      <c r="AA1245" s="34"/>
      <c r="AB1245" s="34"/>
      <c r="AC1245" s="34"/>
      <c r="AD1245" s="34"/>
      <c r="AE1245" s="34"/>
      <c r="AF1245" s="34"/>
      <c r="AG1245" s="34"/>
      <c r="AH1245" s="34"/>
      <c r="AI1245" s="52"/>
      <c r="AJ1245" s="52"/>
      <c r="AL1245" s="34"/>
      <c r="AM1245" s="34"/>
      <c r="AN1245" s="34"/>
      <c r="AO1245" s="54"/>
      <c r="AP1245" s="34"/>
      <c r="AQ1245" s="34"/>
      <c r="AR1245" s="54"/>
      <c r="AS1245" s="54"/>
      <c r="AT1245" s="54"/>
      <c r="AU1245" s="54"/>
      <c r="AV1245" s="34"/>
      <c r="AW1245" s="34"/>
      <c r="AX1245" s="34"/>
      <c r="AY1245" s="34"/>
      <c r="AZ1245" s="34"/>
      <c r="BA1245" s="44"/>
      <c r="BB1245" s="34"/>
      <c r="BC1245" s="34"/>
    </row>
    <row r="1246" spans="1:55" x14ac:dyDescent="0.35" ht="15.0" customHeight="true">
      <c r="A1246" s="51"/>
      <c r="B1246" s="34"/>
      <c r="C1246" s="34"/>
      <c r="D1246" s="34"/>
      <c r="E1246" s="34"/>
      <c r="F1246" s="34"/>
      <c r="G1246" s="44"/>
      <c r="H1246" s="34"/>
      <c r="I1246" s="54"/>
      <c r="J1246" s="34"/>
      <c r="K1246" s="54"/>
      <c r="L1246" s="34"/>
      <c r="M1246" s="44"/>
      <c r="N1246" s="44"/>
      <c r="O1246" s="34"/>
      <c r="P1246" s="34"/>
      <c r="Q1246" s="34"/>
      <c r="R1246" s="34"/>
      <c r="V1246" s="44"/>
      <c r="X1246" s="95"/>
      <c r="Y1246" s="54"/>
      <c r="Z1246" s="54"/>
      <c r="AA1246" s="34"/>
      <c r="AB1246" s="34"/>
      <c r="AC1246" s="34"/>
      <c r="AD1246" s="34"/>
      <c r="AE1246" s="34"/>
      <c r="AF1246" s="34"/>
      <c r="AG1246" s="34"/>
      <c r="AH1246" s="34"/>
      <c r="AI1246" s="52"/>
      <c r="AJ1246" s="52"/>
      <c r="AL1246" s="34"/>
      <c r="AM1246" s="34"/>
      <c r="AN1246" s="34"/>
      <c r="AO1246" s="54"/>
      <c r="AP1246" s="34"/>
      <c r="AQ1246" s="34"/>
      <c r="AR1246" s="54"/>
      <c r="AS1246" s="54"/>
      <c r="AT1246" s="54"/>
      <c r="AU1246" s="54"/>
      <c r="AV1246" s="34"/>
      <c r="AW1246" s="34"/>
      <c r="AX1246" s="34"/>
      <c r="AY1246" s="34"/>
      <c r="AZ1246" s="34"/>
      <c r="BA1246" s="44"/>
      <c r="BB1246" s="34"/>
      <c r="BC1246" s="34"/>
    </row>
    <row r="1247" spans="1:55" x14ac:dyDescent="0.35" ht="15.0" customHeight="true">
      <c r="A1247" s="51"/>
      <c r="B1247" s="34"/>
      <c r="C1247" s="34"/>
      <c r="D1247" s="34"/>
      <c r="E1247" s="34"/>
      <c r="F1247" s="34"/>
      <c r="G1247" s="44"/>
      <c r="H1247" s="34"/>
      <c r="I1247" s="54"/>
      <c r="J1247" s="34"/>
      <c r="K1247" s="54"/>
      <c r="L1247" s="34"/>
      <c r="M1247" s="44"/>
      <c r="N1247" s="44"/>
      <c r="O1247" s="34"/>
      <c r="P1247" s="34"/>
      <c r="Q1247" s="34"/>
      <c r="R1247" s="34"/>
      <c r="V1247" s="44"/>
      <c r="X1247" s="95"/>
      <c r="Y1247" s="54"/>
      <c r="Z1247" s="54"/>
      <c r="AA1247" s="34"/>
      <c r="AB1247" s="34"/>
      <c r="AC1247" s="34"/>
      <c r="AD1247" s="34"/>
      <c r="AE1247" s="34"/>
      <c r="AF1247" s="34"/>
      <c r="AG1247" s="34"/>
      <c r="AH1247" s="34"/>
      <c r="AI1247" s="52"/>
      <c r="AJ1247" s="52"/>
      <c r="AL1247" s="34"/>
      <c r="AM1247" s="34"/>
      <c r="AN1247" s="34"/>
      <c r="AO1247" s="54"/>
      <c r="AP1247" s="34"/>
      <c r="AQ1247" s="34"/>
      <c r="AR1247" s="54"/>
      <c r="AS1247" s="54"/>
      <c r="AT1247" s="54"/>
      <c r="AU1247" s="54"/>
      <c r="AV1247" s="34"/>
      <c r="AW1247" s="34"/>
      <c r="AX1247" s="34"/>
      <c r="AY1247" s="34"/>
      <c r="AZ1247" s="34"/>
      <c r="BA1247" s="44"/>
      <c r="BB1247" s="34"/>
      <c r="BC1247" s="34"/>
    </row>
    <row r="1248" spans="1:55" x14ac:dyDescent="0.35" ht="15.0" customHeight="true">
      <c r="A1248" s="51"/>
      <c r="B1248" s="34"/>
      <c r="C1248" s="34"/>
      <c r="D1248" s="34"/>
      <c r="E1248" s="34"/>
      <c r="F1248" s="34"/>
      <c r="G1248" s="44"/>
      <c r="H1248" s="34"/>
      <c r="I1248" s="54"/>
      <c r="J1248" s="34"/>
      <c r="K1248" s="54"/>
      <c r="L1248" s="34"/>
      <c r="M1248" s="44"/>
      <c r="N1248" s="44"/>
      <c r="O1248" s="34"/>
      <c r="P1248" s="34"/>
      <c r="Q1248" s="34"/>
      <c r="R1248" s="34"/>
      <c r="V1248" s="44"/>
      <c r="X1248" s="95"/>
      <c r="Y1248" s="54"/>
      <c r="Z1248" s="54"/>
      <c r="AA1248" s="34"/>
      <c r="AB1248" s="34"/>
      <c r="AC1248" s="34"/>
      <c r="AD1248" s="34"/>
      <c r="AE1248" s="34"/>
      <c r="AF1248" s="34"/>
      <c r="AG1248" s="34"/>
      <c r="AH1248" s="34"/>
      <c r="AI1248" s="52"/>
      <c r="AJ1248" s="52"/>
      <c r="AL1248" s="34"/>
      <c r="AM1248" s="34"/>
      <c r="AN1248" s="34"/>
      <c r="AO1248" s="54"/>
      <c r="AP1248" s="34"/>
      <c r="AQ1248" s="34"/>
      <c r="AR1248" s="54"/>
      <c r="AS1248" s="54"/>
      <c r="AT1248" s="54"/>
      <c r="AU1248" s="54"/>
      <c r="AV1248" s="34"/>
      <c r="AW1248" s="34"/>
      <c r="AX1248" s="34"/>
      <c r="AY1248" s="34"/>
      <c r="AZ1248" s="34"/>
      <c r="BA1248" s="44"/>
      <c r="BB1248" s="34"/>
      <c r="BC1248" s="34"/>
    </row>
    <row r="1249" spans="1:55" x14ac:dyDescent="0.35" ht="15.0" customHeight="true">
      <c r="A1249" s="51"/>
      <c r="B1249" s="34"/>
      <c r="C1249" s="34"/>
      <c r="D1249" s="34"/>
      <c r="E1249" s="34"/>
      <c r="F1249" s="34"/>
      <c r="G1249" s="44"/>
      <c r="H1249" s="34"/>
      <c r="I1249" s="54"/>
      <c r="J1249" s="34"/>
      <c r="K1249" s="54"/>
      <c r="L1249" s="34"/>
      <c r="M1249" s="44"/>
      <c r="N1249" s="44"/>
      <c r="O1249" s="34"/>
      <c r="P1249" s="34"/>
      <c r="Q1249" s="34"/>
      <c r="R1249" s="34"/>
      <c r="V1249" s="44"/>
      <c r="X1249" s="95"/>
      <c r="Y1249" s="54"/>
      <c r="Z1249" s="54"/>
      <c r="AA1249" s="34"/>
      <c r="AB1249" s="34"/>
      <c r="AC1249" s="34"/>
      <c r="AD1249" s="34"/>
      <c r="AE1249" s="34"/>
      <c r="AF1249" s="34"/>
      <c r="AG1249" s="34"/>
      <c r="AH1249" s="34"/>
      <c r="AI1249" s="52"/>
      <c r="AJ1249" s="52"/>
      <c r="AL1249" s="34"/>
      <c r="AM1249" s="34"/>
      <c r="AN1249" s="34"/>
      <c r="AO1249" s="54"/>
      <c r="AP1249" s="34"/>
      <c r="AQ1249" s="34"/>
      <c r="AR1249" s="54"/>
      <c r="AS1249" s="54"/>
      <c r="AT1249" s="54"/>
      <c r="AU1249" s="54"/>
      <c r="AV1249" s="34"/>
      <c r="AW1249" s="34"/>
      <c r="AX1249" s="34"/>
      <c r="AY1249" s="34"/>
      <c r="AZ1249" s="34"/>
      <c r="BA1249" s="44"/>
      <c r="BB1249" s="34"/>
      <c r="BC1249" s="34"/>
    </row>
    <row r="1250" spans="1:55" x14ac:dyDescent="0.35" ht="15.0" customHeight="true">
      <c r="A1250" s="51"/>
      <c r="B1250" s="34"/>
      <c r="C1250" s="34"/>
      <c r="D1250" s="34"/>
      <c r="E1250" s="34"/>
      <c r="F1250" s="34"/>
      <c r="G1250" s="44"/>
      <c r="H1250" s="34"/>
      <c r="I1250" s="54"/>
      <c r="J1250" s="34"/>
      <c r="K1250" s="54"/>
      <c r="L1250" s="34"/>
      <c r="M1250" s="44"/>
      <c r="N1250" s="44"/>
      <c r="O1250" s="34"/>
      <c r="P1250" s="34"/>
      <c r="Q1250" s="34"/>
      <c r="R1250" s="34"/>
      <c r="V1250" s="44"/>
      <c r="X1250" s="95"/>
      <c r="Y1250" s="54"/>
      <c r="Z1250" s="54"/>
      <c r="AA1250" s="34"/>
      <c r="AB1250" s="34"/>
      <c r="AC1250" s="34"/>
      <c r="AD1250" s="34"/>
      <c r="AE1250" s="34"/>
      <c r="AF1250" s="34"/>
      <c r="AG1250" s="34"/>
      <c r="AH1250" s="34"/>
      <c r="AI1250" s="52"/>
      <c r="AJ1250" s="52"/>
      <c r="AL1250" s="34"/>
      <c r="AM1250" s="34"/>
      <c r="AN1250" s="34"/>
      <c r="AO1250" s="54"/>
      <c r="AP1250" s="34"/>
      <c r="AQ1250" s="34"/>
      <c r="AR1250" s="54"/>
      <c r="AS1250" s="54"/>
      <c r="AT1250" s="54"/>
      <c r="AU1250" s="54"/>
      <c r="AV1250" s="34"/>
      <c r="AW1250" s="34"/>
      <c r="AX1250" s="34"/>
      <c r="AY1250" s="34"/>
      <c r="AZ1250" s="34"/>
      <c r="BA1250" s="44"/>
      <c r="BB1250" s="34"/>
      <c r="BC1250" s="34"/>
    </row>
    <row r="1251" spans="1:55" x14ac:dyDescent="0.35" ht="15.0" customHeight="true">
      <c r="A1251" s="51"/>
      <c r="B1251" s="34"/>
      <c r="C1251" s="34"/>
      <c r="D1251" s="34"/>
      <c r="E1251" s="34"/>
      <c r="F1251" s="34"/>
      <c r="G1251" s="44"/>
      <c r="H1251" s="34"/>
      <c r="I1251" s="54"/>
      <c r="J1251" s="34"/>
      <c r="K1251" s="54"/>
      <c r="L1251" s="34"/>
      <c r="M1251" s="44"/>
      <c r="N1251" s="44"/>
      <c r="O1251" s="34"/>
      <c r="P1251" s="34"/>
      <c r="Q1251" s="34"/>
      <c r="R1251" s="34"/>
      <c r="V1251" s="44"/>
      <c r="X1251" s="95"/>
      <c r="Y1251" s="54"/>
      <c r="Z1251" s="54"/>
      <c r="AA1251" s="34"/>
      <c r="AB1251" s="34"/>
      <c r="AC1251" s="34"/>
      <c r="AD1251" s="34"/>
      <c r="AE1251" s="34"/>
      <c r="AF1251" s="34"/>
      <c r="AG1251" s="34"/>
      <c r="AH1251" s="34"/>
      <c r="AI1251" s="52"/>
      <c r="AJ1251" s="52"/>
      <c r="AL1251" s="34"/>
      <c r="AM1251" s="34"/>
      <c r="AN1251" s="34"/>
      <c r="AO1251" s="54"/>
      <c r="AP1251" s="34"/>
      <c r="AQ1251" s="34"/>
      <c r="AR1251" s="54"/>
      <c r="AS1251" s="54"/>
      <c r="AT1251" s="54"/>
      <c r="AU1251" s="54"/>
      <c r="AV1251" s="34"/>
      <c r="AW1251" s="34"/>
      <c r="AX1251" s="34"/>
      <c r="AY1251" s="34"/>
      <c r="AZ1251" s="34"/>
      <c r="BA1251" s="44"/>
      <c r="BB1251" s="34"/>
      <c r="BC1251" s="34"/>
    </row>
    <row r="1252" spans="1:55" x14ac:dyDescent="0.35" ht="15.0" customHeight="true">
      <c r="A1252" s="51"/>
      <c r="B1252" s="34"/>
      <c r="C1252" s="34"/>
      <c r="D1252" s="34"/>
      <c r="E1252" s="34"/>
      <c r="F1252" s="34"/>
      <c r="G1252" s="44"/>
      <c r="H1252" s="34"/>
      <c r="I1252" s="54"/>
      <c r="J1252" s="34"/>
      <c r="K1252" s="54"/>
      <c r="L1252" s="34"/>
      <c r="M1252" s="44"/>
      <c r="N1252" s="44"/>
      <c r="O1252" s="34"/>
      <c r="P1252" s="34"/>
      <c r="Q1252" s="34"/>
      <c r="R1252" s="34"/>
      <c r="V1252" s="44"/>
      <c r="X1252" s="95"/>
      <c r="Y1252" s="54"/>
      <c r="Z1252" s="54"/>
      <c r="AA1252" s="34"/>
      <c r="AB1252" s="34"/>
      <c r="AC1252" s="34"/>
      <c r="AD1252" s="34"/>
      <c r="AE1252" s="34"/>
      <c r="AF1252" s="34"/>
      <c r="AG1252" s="34"/>
      <c r="AH1252" s="34"/>
      <c r="AI1252" s="52"/>
      <c r="AJ1252" s="52"/>
      <c r="AL1252" s="34"/>
      <c r="AM1252" s="34"/>
      <c r="AN1252" s="34"/>
      <c r="AO1252" s="54"/>
      <c r="AP1252" s="34"/>
      <c r="AQ1252" s="34"/>
      <c r="AR1252" s="54"/>
      <c r="AS1252" s="54"/>
      <c r="AT1252" s="54"/>
      <c r="AU1252" s="54"/>
      <c r="AV1252" s="34"/>
      <c r="AW1252" s="34"/>
      <c r="AX1252" s="34"/>
      <c r="AY1252" s="34"/>
      <c r="AZ1252" s="34"/>
      <c r="BA1252" s="44"/>
      <c r="BB1252" s="34"/>
      <c r="BC1252" s="34"/>
    </row>
    <row r="1253" spans="1:55" x14ac:dyDescent="0.35" ht="15.0" customHeight="true">
      <c r="A1253" s="51"/>
      <c r="B1253" s="34"/>
      <c r="C1253" s="34"/>
      <c r="D1253" s="34"/>
      <c r="E1253" s="34"/>
      <c r="F1253" s="34"/>
      <c r="G1253" s="44"/>
      <c r="H1253" s="34"/>
      <c r="I1253" s="54"/>
      <c r="J1253" s="34"/>
      <c r="K1253" s="54"/>
      <c r="L1253" s="34"/>
      <c r="M1253" s="44"/>
      <c r="N1253" s="44"/>
      <c r="O1253" s="34"/>
      <c r="P1253" s="34"/>
      <c r="Q1253" s="34"/>
      <c r="R1253" s="34"/>
      <c r="V1253" s="44"/>
      <c r="X1253" s="95"/>
      <c r="Y1253" s="54"/>
      <c r="Z1253" s="54"/>
      <c r="AA1253" s="34"/>
      <c r="AB1253" s="34"/>
      <c r="AC1253" s="34"/>
      <c r="AD1253" s="34"/>
      <c r="AE1253" s="34"/>
      <c r="AF1253" s="34"/>
      <c r="AG1253" s="34"/>
      <c r="AH1253" s="34"/>
      <c r="AI1253" s="52"/>
      <c r="AJ1253" s="52"/>
      <c r="AL1253" s="34"/>
      <c r="AM1253" s="34"/>
      <c r="AN1253" s="34"/>
      <c r="AO1253" s="54"/>
      <c r="AP1253" s="34"/>
      <c r="AQ1253" s="34"/>
      <c r="AR1253" s="54"/>
      <c r="AS1253" s="54"/>
      <c r="AT1253" s="54"/>
      <c r="AU1253" s="54"/>
      <c r="AV1253" s="34"/>
      <c r="AW1253" s="34"/>
      <c r="AX1253" s="34"/>
      <c r="AY1253" s="34"/>
      <c r="AZ1253" s="34"/>
      <c r="BA1253" s="44"/>
      <c r="BB1253" s="34"/>
      <c r="BC1253" s="34"/>
    </row>
    <row r="1254" spans="1:55" x14ac:dyDescent="0.35" ht="15.0" customHeight="true">
      <c r="A1254" s="51"/>
      <c r="B1254" s="34"/>
      <c r="C1254" s="34"/>
      <c r="D1254" s="34"/>
      <c r="E1254" s="34"/>
      <c r="F1254" s="34"/>
      <c r="G1254" s="44"/>
      <c r="H1254" s="34"/>
      <c r="I1254" s="54"/>
      <c r="J1254" s="34"/>
      <c r="K1254" s="54"/>
      <c r="L1254" s="34"/>
      <c r="M1254" s="44"/>
      <c r="N1254" s="44"/>
      <c r="O1254" s="34"/>
      <c r="P1254" s="34"/>
      <c r="Q1254" s="34"/>
      <c r="R1254" s="34"/>
      <c r="V1254" s="44"/>
      <c r="X1254" s="95"/>
      <c r="Y1254" s="54"/>
      <c r="Z1254" s="54"/>
      <c r="AA1254" s="34"/>
      <c r="AB1254" s="34"/>
      <c r="AC1254" s="34"/>
      <c r="AD1254" s="34"/>
      <c r="AE1254" s="34"/>
      <c r="AF1254" s="34"/>
      <c r="AG1254" s="34"/>
      <c r="AH1254" s="34"/>
      <c r="AI1254" s="52"/>
      <c r="AJ1254" s="52"/>
      <c r="AL1254" s="34"/>
      <c r="AM1254" s="34"/>
      <c r="AN1254" s="34"/>
      <c r="AO1254" s="54"/>
      <c r="AP1254" s="34"/>
      <c r="AQ1254" s="34"/>
      <c r="AR1254" s="54"/>
      <c r="AS1254" s="54"/>
      <c r="AT1254" s="54"/>
      <c r="AU1254" s="54"/>
      <c r="AV1254" s="34"/>
      <c r="AW1254" s="34"/>
      <c r="AX1254" s="34"/>
      <c r="AY1254" s="34"/>
      <c r="AZ1254" s="34"/>
      <c r="BA1254" s="44"/>
      <c r="BB1254" s="34"/>
      <c r="BC1254" s="34"/>
    </row>
    <row r="1255" spans="1:55" x14ac:dyDescent="0.35" ht="15.0" customHeight="true">
      <c r="A1255" s="51"/>
      <c r="B1255" s="34"/>
      <c r="C1255" s="34"/>
      <c r="D1255" s="34"/>
      <c r="E1255" s="34"/>
      <c r="F1255" s="34"/>
      <c r="G1255" s="44"/>
      <c r="H1255" s="34"/>
      <c r="I1255" s="54"/>
      <c r="J1255" s="34"/>
      <c r="K1255" s="54"/>
      <c r="L1255" s="34"/>
      <c r="M1255" s="44"/>
      <c r="N1255" s="44"/>
      <c r="O1255" s="34"/>
      <c r="P1255" s="34"/>
      <c r="Q1255" s="34"/>
      <c r="R1255" s="34"/>
      <c r="V1255" s="44"/>
      <c r="X1255" s="95"/>
      <c r="Y1255" s="54"/>
      <c r="Z1255" s="54"/>
      <c r="AA1255" s="34"/>
      <c r="AB1255" s="34"/>
      <c r="AC1255" s="34"/>
      <c r="AD1255" s="34"/>
      <c r="AE1255" s="34"/>
      <c r="AF1255" s="34"/>
      <c r="AG1255" s="34"/>
      <c r="AH1255" s="34"/>
      <c r="AI1255" s="52"/>
      <c r="AJ1255" s="52"/>
      <c r="AL1255" s="34"/>
      <c r="AM1255" s="34"/>
      <c r="AN1255" s="34"/>
      <c r="AO1255" s="54"/>
      <c r="AP1255" s="34"/>
      <c r="AQ1255" s="34"/>
      <c r="AR1255" s="54"/>
      <c r="AS1255" s="54"/>
      <c r="AT1255" s="54"/>
      <c r="AU1255" s="54"/>
      <c r="AV1255" s="34"/>
      <c r="AW1255" s="34"/>
      <c r="AX1255" s="34"/>
      <c r="AY1255" s="34"/>
      <c r="AZ1255" s="34"/>
      <c r="BA1255" s="44"/>
      <c r="BB1255" s="34"/>
      <c r="BC1255" s="34"/>
    </row>
    <row r="1256" spans="1:55" x14ac:dyDescent="0.35" ht="15.0" customHeight="true">
      <c r="A1256" s="51"/>
      <c r="B1256" s="34"/>
      <c r="C1256" s="34"/>
      <c r="D1256" s="34"/>
      <c r="E1256" s="34"/>
      <c r="F1256" s="34"/>
      <c r="G1256" s="44"/>
      <c r="H1256" s="34"/>
      <c r="I1256" s="54"/>
      <c r="J1256" s="34"/>
      <c r="K1256" s="54"/>
      <c r="L1256" s="34"/>
      <c r="M1256" s="44"/>
      <c r="N1256" s="44"/>
      <c r="O1256" s="34"/>
      <c r="P1256" s="34"/>
      <c r="Q1256" s="34"/>
      <c r="R1256" s="34"/>
      <c r="V1256" s="44"/>
      <c r="X1256" s="95"/>
      <c r="Y1256" s="54"/>
      <c r="Z1256" s="54"/>
      <c r="AA1256" s="34"/>
      <c r="AB1256" s="34"/>
      <c r="AC1256" s="34"/>
      <c r="AD1256" s="34"/>
      <c r="AE1256" s="34"/>
      <c r="AF1256" s="34"/>
      <c r="AG1256" s="34"/>
      <c r="AH1256" s="34"/>
      <c r="AI1256" s="52"/>
      <c r="AJ1256" s="52"/>
      <c r="AL1256" s="34"/>
      <c r="AM1256" s="34"/>
      <c r="AN1256" s="34"/>
      <c r="AO1256" s="54"/>
      <c r="AP1256" s="34"/>
      <c r="AQ1256" s="34"/>
      <c r="AR1256" s="54"/>
      <c r="AS1256" s="54"/>
      <c r="AT1256" s="54"/>
      <c r="AU1256" s="54"/>
      <c r="AV1256" s="34"/>
      <c r="AW1256" s="34"/>
      <c r="AX1256" s="34"/>
      <c r="AY1256" s="34"/>
      <c r="AZ1256" s="34"/>
      <c r="BA1256" s="44"/>
      <c r="BB1256" s="34"/>
      <c r="BC1256" s="34"/>
    </row>
    <row r="1257" spans="1:55" x14ac:dyDescent="0.35" ht="15.0" customHeight="true">
      <c r="A1257" s="51"/>
      <c r="B1257" s="34"/>
      <c r="C1257" s="34"/>
      <c r="D1257" s="34"/>
      <c r="E1257" s="34"/>
      <c r="F1257" s="34"/>
      <c r="G1257" s="44"/>
      <c r="H1257" s="34"/>
      <c r="I1257" s="54"/>
      <c r="J1257" s="34"/>
      <c r="K1257" s="54"/>
      <c r="L1257" s="34"/>
      <c r="M1257" s="44"/>
      <c r="N1257" s="44"/>
      <c r="O1257" s="34"/>
      <c r="P1257" s="34"/>
      <c r="Q1257" s="34"/>
      <c r="R1257" s="34"/>
      <c r="V1257" s="44"/>
      <c r="X1257" s="95"/>
      <c r="Y1257" s="54"/>
      <c r="Z1257" s="54"/>
      <c r="AA1257" s="34"/>
      <c r="AB1257" s="34"/>
      <c r="AC1257" s="34"/>
      <c r="AD1257" s="34"/>
      <c r="AE1257" s="34"/>
      <c r="AF1257" s="34"/>
      <c r="AG1257" s="34"/>
      <c r="AH1257" s="34"/>
      <c r="AI1257" s="52"/>
      <c r="AJ1257" s="52"/>
      <c r="AL1257" s="34"/>
      <c r="AM1257" s="34"/>
      <c r="AN1257" s="34"/>
      <c r="AO1257" s="54"/>
      <c r="AP1257" s="34"/>
      <c r="AQ1257" s="34"/>
      <c r="AR1257" s="54"/>
      <c r="AS1257" s="54"/>
      <c r="AT1257" s="54"/>
      <c r="AU1257" s="54"/>
      <c r="AV1257" s="34"/>
      <c r="AW1257" s="34"/>
      <c r="AX1257" s="34"/>
      <c r="AY1257" s="34"/>
      <c r="AZ1257" s="34"/>
      <c r="BA1257" s="44"/>
      <c r="BB1257" s="34"/>
      <c r="BC1257" s="34"/>
    </row>
    <row r="1258" spans="1:55" x14ac:dyDescent="0.35" ht="15.0" customHeight="true">
      <c r="A1258" s="51"/>
      <c r="B1258" s="34"/>
      <c r="C1258" s="34"/>
      <c r="D1258" s="34"/>
      <c r="E1258" s="34"/>
      <c r="F1258" s="34"/>
      <c r="G1258" s="44"/>
      <c r="H1258" s="34"/>
      <c r="I1258" s="54"/>
      <c r="J1258" s="34"/>
      <c r="K1258" s="54"/>
      <c r="L1258" s="34"/>
      <c r="M1258" s="44"/>
      <c r="N1258" s="44"/>
      <c r="O1258" s="34"/>
      <c r="P1258" s="34"/>
      <c r="Q1258" s="34"/>
      <c r="R1258" s="34"/>
      <c r="V1258" s="44"/>
      <c r="X1258" s="95"/>
      <c r="Y1258" s="54"/>
      <c r="Z1258" s="54"/>
      <c r="AA1258" s="34"/>
      <c r="AB1258" s="34"/>
      <c r="AC1258" s="34"/>
      <c r="AD1258" s="34"/>
      <c r="AE1258" s="34"/>
      <c r="AF1258" s="34"/>
      <c r="AG1258" s="34"/>
      <c r="AH1258" s="34"/>
      <c r="AI1258" s="52"/>
      <c r="AJ1258" s="52"/>
      <c r="AL1258" s="34"/>
      <c r="AM1258" s="34"/>
      <c r="AN1258" s="34"/>
      <c r="AO1258" s="54"/>
      <c r="AP1258" s="34"/>
      <c r="AQ1258" s="34"/>
      <c r="AR1258" s="54"/>
      <c r="AS1258" s="54"/>
      <c r="AT1258" s="54"/>
      <c r="AU1258" s="54"/>
      <c r="AV1258" s="34"/>
      <c r="AW1258" s="34"/>
      <c r="AX1258" s="34"/>
      <c r="AY1258" s="34"/>
      <c r="AZ1258" s="34"/>
      <c r="BA1258" s="44"/>
      <c r="BB1258" s="34"/>
      <c r="BC1258" s="34"/>
    </row>
    <row r="1259" spans="1:55" x14ac:dyDescent="0.35" ht="15.0" customHeight="true">
      <c r="A1259" s="51"/>
      <c r="B1259" s="34"/>
      <c r="C1259" s="34"/>
      <c r="D1259" s="34"/>
      <c r="E1259" s="34"/>
      <c r="F1259" s="34"/>
      <c r="G1259" s="44"/>
      <c r="H1259" s="34"/>
      <c r="I1259" s="54"/>
      <c r="J1259" s="34"/>
      <c r="K1259" s="54"/>
      <c r="L1259" s="34"/>
      <c r="M1259" s="44"/>
      <c r="N1259" s="44"/>
      <c r="O1259" s="34"/>
      <c r="P1259" s="34"/>
      <c r="Q1259" s="34"/>
      <c r="R1259" s="34"/>
      <c r="V1259" s="44"/>
      <c r="X1259" s="95"/>
      <c r="Y1259" s="54"/>
      <c r="Z1259" s="54"/>
      <c r="AA1259" s="34"/>
      <c r="AB1259" s="34"/>
      <c r="AC1259" s="34"/>
      <c r="AD1259" s="34"/>
      <c r="AE1259" s="34"/>
      <c r="AF1259" s="34"/>
      <c r="AG1259" s="34"/>
      <c r="AH1259" s="34"/>
      <c r="AI1259" s="52"/>
      <c r="AJ1259" s="52"/>
      <c r="AL1259" s="34"/>
      <c r="AM1259" s="34"/>
      <c r="AN1259" s="34"/>
      <c r="AO1259" s="54"/>
      <c r="AP1259" s="34"/>
      <c r="AQ1259" s="34"/>
      <c r="AR1259" s="54"/>
      <c r="AS1259" s="54"/>
      <c r="AT1259" s="54"/>
      <c r="AU1259" s="54"/>
      <c r="AV1259" s="34"/>
      <c r="AW1259" s="34"/>
      <c r="AX1259" s="34"/>
      <c r="AY1259" s="34"/>
      <c r="AZ1259" s="34"/>
      <c r="BA1259" s="44"/>
      <c r="BB1259" s="34"/>
      <c r="BC1259" s="34"/>
    </row>
    <row r="1260" spans="1:55" x14ac:dyDescent="0.35" ht="15.0" customHeight="true">
      <c r="A1260" s="51"/>
      <c r="B1260" s="34"/>
      <c r="C1260" s="34"/>
      <c r="D1260" s="34"/>
      <c r="E1260" s="34"/>
      <c r="F1260" s="34"/>
      <c r="G1260" s="44"/>
      <c r="H1260" s="34"/>
      <c r="I1260" s="54"/>
      <c r="J1260" s="34"/>
      <c r="K1260" s="54"/>
      <c r="L1260" s="34"/>
      <c r="M1260" s="44"/>
      <c r="N1260" s="44"/>
      <c r="O1260" s="34"/>
      <c r="P1260" s="34"/>
      <c r="Q1260" s="34"/>
      <c r="R1260" s="34"/>
      <c r="V1260" s="44"/>
      <c r="X1260" s="95"/>
      <c r="Y1260" s="54"/>
      <c r="Z1260" s="54"/>
      <c r="AA1260" s="34"/>
      <c r="AB1260" s="34"/>
      <c r="AC1260" s="34"/>
      <c r="AD1260" s="34"/>
      <c r="AE1260" s="34"/>
      <c r="AF1260" s="34"/>
      <c r="AG1260" s="34"/>
      <c r="AH1260" s="34"/>
      <c r="AI1260" s="52"/>
      <c r="AJ1260" s="52"/>
      <c r="AL1260" s="34"/>
      <c r="AM1260" s="34"/>
      <c r="AN1260" s="34"/>
      <c r="AO1260" s="54"/>
      <c r="AP1260" s="34"/>
      <c r="AQ1260" s="34"/>
      <c r="AR1260" s="54"/>
      <c r="AS1260" s="54"/>
      <c r="AT1260" s="54"/>
      <c r="AU1260" s="54"/>
      <c r="AV1260" s="34"/>
      <c r="AW1260" s="34"/>
      <c r="AX1260" s="34"/>
      <c r="AY1260" s="34"/>
      <c r="AZ1260" s="34"/>
      <c r="BA1260" s="44"/>
      <c r="BB1260" s="34"/>
      <c r="BC1260" s="34"/>
    </row>
    <row r="1261" spans="1:55" x14ac:dyDescent="0.35" ht="15.0" customHeight="true">
      <c r="A1261" s="51"/>
      <c r="B1261" s="34"/>
      <c r="C1261" s="34"/>
      <c r="D1261" s="34"/>
      <c r="E1261" s="34"/>
      <c r="F1261" s="34"/>
      <c r="G1261" s="44"/>
      <c r="H1261" s="34"/>
      <c r="I1261" s="54"/>
      <c r="J1261" s="34"/>
      <c r="K1261" s="54"/>
      <c r="L1261" s="34"/>
      <c r="M1261" s="44"/>
      <c r="N1261" s="44"/>
      <c r="O1261" s="34"/>
      <c r="P1261" s="34"/>
      <c r="Q1261" s="34"/>
      <c r="R1261" s="34"/>
      <c r="V1261" s="44"/>
      <c r="X1261" s="95"/>
      <c r="Y1261" s="54"/>
      <c r="Z1261" s="54"/>
      <c r="AA1261" s="34"/>
      <c r="AB1261" s="34"/>
      <c r="AC1261" s="34"/>
      <c r="AD1261" s="34"/>
      <c r="AE1261" s="34"/>
      <c r="AF1261" s="34"/>
      <c r="AG1261" s="34"/>
      <c r="AH1261" s="34"/>
      <c r="AI1261" s="52"/>
      <c r="AJ1261" s="52"/>
      <c r="AL1261" s="34"/>
      <c r="AM1261" s="34"/>
      <c r="AN1261" s="34"/>
      <c r="AO1261" s="54"/>
      <c r="AP1261" s="34"/>
      <c r="AQ1261" s="34"/>
      <c r="AR1261" s="54"/>
      <c r="AS1261" s="54"/>
      <c r="AT1261" s="54"/>
      <c r="AU1261" s="54"/>
      <c r="AV1261" s="34"/>
      <c r="AW1261" s="34"/>
      <c r="AX1261" s="34"/>
      <c r="AY1261" s="34"/>
      <c r="AZ1261" s="34"/>
      <c r="BA1261" s="44"/>
      <c r="BB1261" s="34"/>
      <c r="BC1261" s="34"/>
    </row>
    <row r="1262" spans="1:55" x14ac:dyDescent="0.35" ht="15.0" customHeight="true">
      <c r="A1262" s="51"/>
      <c r="B1262" s="34"/>
      <c r="C1262" s="34"/>
      <c r="D1262" s="34"/>
      <c r="E1262" s="34"/>
      <c r="F1262" s="34"/>
      <c r="G1262" s="44"/>
      <c r="H1262" s="34"/>
      <c r="I1262" s="54"/>
      <c r="J1262" s="34"/>
      <c r="K1262" s="54"/>
      <c r="L1262" s="34"/>
      <c r="M1262" s="44"/>
      <c r="N1262" s="44"/>
      <c r="O1262" s="34"/>
      <c r="P1262" s="34"/>
      <c r="Q1262" s="34"/>
      <c r="R1262" s="34"/>
      <c r="V1262" s="44"/>
      <c r="X1262" s="95"/>
      <c r="Y1262" s="54"/>
      <c r="Z1262" s="54"/>
      <c r="AA1262" s="34"/>
      <c r="AB1262" s="34"/>
      <c r="AC1262" s="34"/>
      <c r="AD1262" s="34"/>
      <c r="AE1262" s="34"/>
      <c r="AF1262" s="34"/>
      <c r="AG1262" s="34"/>
      <c r="AH1262" s="34"/>
      <c r="AI1262" s="52"/>
      <c r="AJ1262" s="52"/>
      <c r="AL1262" s="34"/>
      <c r="AM1262" s="34"/>
      <c r="AN1262" s="34"/>
      <c r="AO1262" s="54"/>
      <c r="AP1262" s="34"/>
      <c r="AQ1262" s="34"/>
      <c r="AR1262" s="54"/>
      <c r="AS1262" s="54"/>
      <c r="AT1262" s="54"/>
      <c r="AU1262" s="54"/>
      <c r="AV1262" s="34"/>
      <c r="AW1262" s="34"/>
      <c r="AX1262" s="34"/>
      <c r="AY1262" s="34"/>
      <c r="AZ1262" s="34"/>
      <c r="BA1262" s="44"/>
      <c r="BB1262" s="34"/>
      <c r="BC1262" s="34"/>
    </row>
    <row r="1263" spans="1:55" x14ac:dyDescent="0.35" ht="15.0" customHeight="true">
      <c r="A1263" s="51"/>
      <c r="B1263" s="34"/>
      <c r="C1263" s="34"/>
      <c r="D1263" s="34"/>
      <c r="E1263" s="34"/>
      <c r="F1263" s="34"/>
      <c r="G1263" s="44"/>
      <c r="H1263" s="34"/>
      <c r="I1263" s="54"/>
      <c r="J1263" s="34"/>
      <c r="K1263" s="54"/>
      <c r="L1263" s="34"/>
      <c r="M1263" s="44"/>
      <c r="N1263" s="44"/>
      <c r="O1263" s="34"/>
      <c r="P1263" s="34"/>
      <c r="Q1263" s="34"/>
      <c r="R1263" s="34"/>
      <c r="V1263" s="44"/>
      <c r="X1263" s="95"/>
      <c r="Y1263" s="54"/>
      <c r="Z1263" s="54"/>
      <c r="AA1263" s="34"/>
      <c r="AB1263" s="34"/>
      <c r="AC1263" s="34"/>
      <c r="AD1263" s="34"/>
      <c r="AE1263" s="34"/>
      <c r="AF1263" s="34"/>
      <c r="AG1263" s="34"/>
      <c r="AH1263" s="34"/>
      <c r="AI1263" s="52"/>
      <c r="AJ1263" s="52"/>
      <c r="AL1263" s="34"/>
      <c r="AM1263" s="34"/>
      <c r="AN1263" s="34"/>
      <c r="AO1263" s="54"/>
      <c r="AP1263" s="34"/>
      <c r="AQ1263" s="34"/>
      <c r="AR1263" s="54"/>
      <c r="AS1263" s="54"/>
      <c r="AT1263" s="54"/>
      <c r="AU1263" s="54"/>
      <c r="AV1263" s="34"/>
      <c r="AW1263" s="34"/>
      <c r="AX1263" s="34"/>
      <c r="AY1263" s="34"/>
      <c r="AZ1263" s="34"/>
      <c r="BA1263" s="44"/>
      <c r="BB1263" s="34"/>
      <c r="BC1263" s="34"/>
    </row>
    <row r="1264" spans="1:55" x14ac:dyDescent="0.35" ht="15.0" customHeight="true">
      <c r="A1264" s="51"/>
      <c r="B1264" s="34"/>
      <c r="C1264" s="34"/>
      <c r="D1264" s="34"/>
      <c r="E1264" s="34"/>
      <c r="F1264" s="34"/>
      <c r="G1264" s="44"/>
      <c r="H1264" s="34"/>
      <c r="I1264" s="54"/>
      <c r="J1264" s="34"/>
      <c r="K1264" s="54"/>
      <c r="L1264" s="34"/>
      <c r="M1264" s="44"/>
      <c r="N1264" s="44"/>
      <c r="O1264" s="34"/>
      <c r="P1264" s="34"/>
      <c r="Q1264" s="34"/>
      <c r="R1264" s="34"/>
      <c r="V1264" s="44"/>
      <c r="X1264" s="95"/>
      <c r="Y1264" s="54"/>
      <c r="Z1264" s="54"/>
      <c r="AA1264" s="34"/>
      <c r="AB1264" s="34"/>
      <c r="AC1264" s="34"/>
      <c r="AD1264" s="34"/>
      <c r="AE1264" s="34"/>
      <c r="AF1264" s="34"/>
      <c r="AG1264" s="34"/>
      <c r="AH1264" s="34"/>
      <c r="AI1264" s="52"/>
      <c r="AJ1264" s="52"/>
      <c r="AL1264" s="34"/>
      <c r="AM1264" s="34"/>
      <c r="AN1264" s="34"/>
      <c r="AO1264" s="54"/>
      <c r="AP1264" s="34"/>
      <c r="AQ1264" s="34"/>
      <c r="AR1264" s="54"/>
      <c r="AS1264" s="54"/>
      <c r="AT1264" s="54"/>
      <c r="AU1264" s="54"/>
      <c r="AV1264" s="34"/>
      <c r="AW1264" s="34"/>
      <c r="AX1264" s="34"/>
      <c r="AY1264" s="34"/>
      <c r="AZ1264" s="34"/>
      <c r="BA1264" s="44"/>
      <c r="BB1264" s="34"/>
      <c r="BC1264" s="34"/>
    </row>
    <row r="1265" spans="1:55" x14ac:dyDescent="0.35" ht="15.0" customHeight="true">
      <c r="A1265" s="51"/>
      <c r="B1265" s="34"/>
      <c r="C1265" s="34"/>
      <c r="D1265" s="34"/>
      <c r="E1265" s="34"/>
      <c r="F1265" s="34"/>
      <c r="G1265" s="44"/>
      <c r="H1265" s="34"/>
      <c r="I1265" s="54"/>
      <c r="J1265" s="34"/>
      <c r="K1265" s="54"/>
      <c r="L1265" s="34"/>
      <c r="M1265" s="44"/>
      <c r="N1265" s="44"/>
      <c r="O1265" s="34"/>
      <c r="P1265" s="34"/>
      <c r="Q1265" s="34"/>
      <c r="R1265" s="34"/>
      <c r="V1265" s="44"/>
      <c r="X1265" s="95"/>
      <c r="Y1265" s="54"/>
      <c r="Z1265" s="54"/>
      <c r="AA1265" s="34"/>
      <c r="AB1265" s="34"/>
      <c r="AC1265" s="34"/>
      <c r="AD1265" s="34"/>
      <c r="AE1265" s="34"/>
      <c r="AF1265" s="34"/>
      <c r="AG1265" s="34"/>
      <c r="AH1265" s="34"/>
      <c r="AI1265" s="52"/>
      <c r="AJ1265" s="52"/>
      <c r="AL1265" s="34"/>
      <c r="AM1265" s="34"/>
      <c r="AN1265" s="34"/>
      <c r="AO1265" s="54"/>
      <c r="AP1265" s="34"/>
      <c r="AQ1265" s="34"/>
      <c r="AR1265" s="54"/>
      <c r="AS1265" s="54"/>
      <c r="AT1265" s="54"/>
      <c r="AU1265" s="54"/>
      <c r="AV1265" s="34"/>
      <c r="AW1265" s="34"/>
      <c r="AX1265" s="34"/>
      <c r="AY1265" s="34"/>
      <c r="AZ1265" s="34"/>
      <c r="BA1265" s="44"/>
      <c r="BB1265" s="34"/>
      <c r="BC1265" s="34"/>
    </row>
    <row r="1266" spans="1:55" x14ac:dyDescent="0.35" ht="15.0" customHeight="true">
      <c r="A1266" s="51"/>
      <c r="B1266" s="34"/>
      <c r="C1266" s="34"/>
      <c r="D1266" s="34"/>
      <c r="E1266" s="34"/>
      <c r="F1266" s="34"/>
      <c r="G1266" s="44"/>
      <c r="H1266" s="34"/>
      <c r="I1266" s="54"/>
      <c r="J1266" s="34"/>
      <c r="K1266" s="54"/>
      <c r="L1266" s="34"/>
      <c r="M1266" s="44"/>
      <c r="N1266" s="44"/>
      <c r="O1266" s="34"/>
      <c r="P1266" s="34"/>
      <c r="Q1266" s="34"/>
      <c r="R1266" s="34"/>
      <c r="V1266" s="44"/>
      <c r="X1266" s="95"/>
      <c r="Y1266" s="54"/>
      <c r="Z1266" s="54"/>
      <c r="AA1266" s="34"/>
      <c r="AB1266" s="34"/>
      <c r="AC1266" s="34"/>
      <c r="AD1266" s="34"/>
      <c r="AE1266" s="34"/>
      <c r="AF1266" s="34"/>
      <c r="AG1266" s="34"/>
      <c r="AH1266" s="34"/>
      <c r="AI1266" s="52"/>
      <c r="AJ1266" s="52"/>
      <c r="AL1266" s="34"/>
      <c r="AM1266" s="34"/>
      <c r="AN1266" s="34"/>
      <c r="AO1266" s="54"/>
      <c r="AP1266" s="34"/>
      <c r="AQ1266" s="34"/>
      <c r="AR1266" s="54"/>
      <c r="AS1266" s="54"/>
      <c r="AT1266" s="54"/>
      <c r="AU1266" s="54"/>
      <c r="AV1266" s="34"/>
      <c r="AW1266" s="34"/>
      <c r="AX1266" s="34"/>
      <c r="AY1266" s="34"/>
      <c r="AZ1266" s="34"/>
      <c r="BA1266" s="44"/>
      <c r="BB1266" s="34"/>
      <c r="BC1266" s="34"/>
    </row>
    <row r="1267" spans="1:55" x14ac:dyDescent="0.35" ht="15.0" customHeight="true">
      <c r="A1267" s="51"/>
      <c r="B1267" s="34"/>
      <c r="C1267" s="34"/>
      <c r="D1267" s="34"/>
      <c r="E1267" s="34"/>
      <c r="F1267" s="34"/>
      <c r="G1267" s="44"/>
      <c r="H1267" s="34"/>
      <c r="I1267" s="54"/>
      <c r="J1267" s="34"/>
      <c r="K1267" s="54"/>
      <c r="L1267" s="34"/>
      <c r="M1267" s="44"/>
      <c r="N1267" s="44"/>
      <c r="O1267" s="34"/>
      <c r="P1267" s="34"/>
      <c r="Q1267" s="34"/>
      <c r="R1267" s="34"/>
      <c r="V1267" s="44"/>
      <c r="X1267" s="95"/>
      <c r="Y1267" s="54"/>
      <c r="Z1267" s="54"/>
      <c r="AA1267" s="34"/>
      <c r="AB1267" s="34"/>
      <c r="AC1267" s="34"/>
      <c r="AD1267" s="34"/>
      <c r="AE1267" s="34"/>
      <c r="AF1267" s="34"/>
      <c r="AG1267" s="34"/>
      <c r="AH1267" s="34"/>
      <c r="AI1267" s="52"/>
      <c r="AJ1267" s="52"/>
      <c r="AL1267" s="34"/>
      <c r="AM1267" s="34"/>
      <c r="AN1267" s="34"/>
      <c r="AO1267" s="54"/>
      <c r="AP1267" s="34"/>
      <c r="AQ1267" s="34"/>
      <c r="AR1267" s="54"/>
      <c r="AS1267" s="54"/>
      <c r="AT1267" s="54"/>
      <c r="AU1267" s="54"/>
      <c r="AV1267" s="34"/>
      <c r="AW1267" s="34"/>
      <c r="AX1267" s="34"/>
      <c r="AY1267" s="34"/>
      <c r="AZ1267" s="34"/>
      <c r="BA1267" s="44"/>
      <c r="BB1267" s="34"/>
      <c r="BC1267" s="34"/>
    </row>
    <row r="1268" spans="1:55" x14ac:dyDescent="0.35" ht="15.0" customHeight="true">
      <c r="A1268" s="51"/>
      <c r="B1268" s="34"/>
      <c r="C1268" s="34"/>
      <c r="D1268" s="34"/>
      <c r="E1268" s="34"/>
      <c r="F1268" s="34"/>
      <c r="G1268" s="44"/>
      <c r="H1268" s="34"/>
      <c r="I1268" s="54"/>
      <c r="J1268" s="34"/>
      <c r="K1268" s="54"/>
      <c r="L1268" s="34"/>
      <c r="M1268" s="44"/>
      <c r="N1268" s="44"/>
      <c r="O1268" s="34"/>
      <c r="P1268" s="34"/>
      <c r="Q1268" s="34"/>
      <c r="R1268" s="34"/>
      <c r="V1268" s="44"/>
      <c r="X1268" s="95"/>
      <c r="Y1268" s="54"/>
      <c r="Z1268" s="54"/>
      <c r="AA1268" s="34"/>
      <c r="AB1268" s="34"/>
      <c r="AC1268" s="34"/>
      <c r="AD1268" s="34"/>
      <c r="AE1268" s="34"/>
      <c r="AF1268" s="34"/>
      <c r="AG1268" s="34"/>
      <c r="AH1268" s="34"/>
      <c r="AI1268" s="52"/>
      <c r="AJ1268" s="52"/>
      <c r="AL1268" s="34"/>
      <c r="AM1268" s="34"/>
      <c r="AN1268" s="34"/>
      <c r="AO1268" s="54"/>
      <c r="AP1268" s="34"/>
      <c r="AQ1268" s="34"/>
      <c r="AR1268" s="54"/>
      <c r="AS1268" s="54"/>
      <c r="AT1268" s="54"/>
      <c r="AU1268" s="54"/>
      <c r="AV1268" s="34"/>
      <c r="AW1268" s="34"/>
      <c r="AX1268" s="34"/>
      <c r="AY1268" s="34"/>
      <c r="AZ1268" s="34"/>
      <c r="BA1268" s="44"/>
      <c r="BB1268" s="34"/>
      <c r="BC1268" s="34"/>
    </row>
    <row r="1269" spans="1:55" x14ac:dyDescent="0.35" ht="15.0" customHeight="true">
      <c r="A1269" s="51"/>
      <c r="B1269" s="34"/>
      <c r="C1269" s="34"/>
      <c r="D1269" s="34"/>
      <c r="E1269" s="34"/>
      <c r="F1269" s="34"/>
      <c r="G1269" s="44"/>
      <c r="H1269" s="34"/>
      <c r="I1269" s="54"/>
      <c r="J1269" s="34"/>
      <c r="K1269" s="54"/>
      <c r="L1269" s="34"/>
      <c r="M1269" s="44"/>
      <c r="N1269" s="44"/>
      <c r="O1269" s="34"/>
      <c r="P1269" s="34"/>
      <c r="Q1269" s="34"/>
      <c r="R1269" s="34"/>
      <c r="V1269" s="44"/>
      <c r="X1269" s="95"/>
      <c r="Y1269" s="54"/>
      <c r="Z1269" s="54"/>
      <c r="AA1269" s="34"/>
      <c r="AB1269" s="34"/>
      <c r="AC1269" s="34"/>
      <c r="AD1269" s="34"/>
      <c r="AE1269" s="34"/>
      <c r="AF1269" s="34"/>
      <c r="AG1269" s="34"/>
      <c r="AH1269" s="34"/>
      <c r="AI1269" s="52"/>
      <c r="AJ1269" s="52"/>
      <c r="AL1269" s="34"/>
      <c r="AM1269" s="34"/>
      <c r="AN1269" s="34"/>
      <c r="AO1269" s="54"/>
      <c r="AP1269" s="34"/>
      <c r="AQ1269" s="34"/>
      <c r="AR1269" s="54"/>
      <c r="AS1269" s="54"/>
      <c r="AT1269" s="54"/>
      <c r="AU1269" s="54"/>
      <c r="AV1269" s="34"/>
      <c r="AW1269" s="34"/>
      <c r="AX1269" s="34"/>
      <c r="AY1269" s="34"/>
      <c r="AZ1269" s="34"/>
      <c r="BA1269" s="44"/>
      <c r="BB1269" s="34"/>
      <c r="BC1269" s="34"/>
    </row>
    <row r="1270" spans="1:55" x14ac:dyDescent="0.35" ht="15.0" customHeight="true">
      <c r="A1270" s="51"/>
      <c r="B1270" s="34"/>
      <c r="C1270" s="34"/>
      <c r="D1270" s="34"/>
      <c r="E1270" s="34"/>
      <c r="F1270" s="34"/>
      <c r="G1270" s="44"/>
      <c r="H1270" s="34"/>
      <c r="I1270" s="54"/>
      <c r="J1270" s="34"/>
      <c r="K1270" s="54"/>
      <c r="L1270" s="34"/>
      <c r="M1270" s="44"/>
      <c r="N1270" s="44"/>
      <c r="O1270" s="34"/>
      <c r="P1270" s="34"/>
      <c r="Q1270" s="34"/>
      <c r="R1270" s="34"/>
      <c r="V1270" s="44"/>
      <c r="X1270" s="95"/>
      <c r="Y1270" s="54"/>
      <c r="Z1270" s="54"/>
      <c r="AA1270" s="34"/>
      <c r="AB1270" s="34"/>
      <c r="AC1270" s="34"/>
      <c r="AD1270" s="34"/>
      <c r="AE1270" s="34"/>
      <c r="AF1270" s="34"/>
      <c r="AG1270" s="34"/>
      <c r="AH1270" s="34"/>
      <c r="AI1270" s="52"/>
      <c r="AJ1270" s="52"/>
      <c r="AL1270" s="34"/>
      <c r="AM1270" s="34"/>
      <c r="AN1270" s="34"/>
      <c r="AO1270" s="54"/>
      <c r="AP1270" s="34"/>
      <c r="AQ1270" s="34"/>
      <c r="AR1270" s="54"/>
      <c r="AS1270" s="54"/>
      <c r="AT1270" s="54"/>
      <c r="AU1270" s="54"/>
      <c r="AV1270" s="34"/>
      <c r="AW1270" s="34"/>
      <c r="AX1270" s="34"/>
      <c r="AY1270" s="34"/>
      <c r="AZ1270" s="34"/>
      <c r="BA1270" s="44"/>
      <c r="BB1270" s="34"/>
      <c r="BC1270" s="34"/>
    </row>
    <row r="1271" spans="1:55" x14ac:dyDescent="0.35" ht="15.0" customHeight="true">
      <c r="A1271" s="51"/>
      <c r="B1271" s="34"/>
      <c r="C1271" s="34"/>
      <c r="D1271" s="34"/>
      <c r="E1271" s="34"/>
      <c r="F1271" s="34"/>
      <c r="G1271" s="44"/>
      <c r="H1271" s="34"/>
      <c r="I1271" s="54"/>
      <c r="J1271" s="34"/>
      <c r="K1271" s="54"/>
      <c r="L1271" s="34"/>
      <c r="M1271" s="44"/>
      <c r="N1271" s="44"/>
      <c r="O1271" s="34"/>
      <c r="P1271" s="34"/>
      <c r="Q1271" s="34"/>
      <c r="R1271" s="34"/>
      <c r="V1271" s="44"/>
      <c r="X1271" s="95"/>
      <c r="Y1271" s="54"/>
      <c r="Z1271" s="54"/>
      <c r="AA1271" s="34"/>
      <c r="AB1271" s="34"/>
      <c r="AC1271" s="34"/>
      <c r="AD1271" s="34"/>
      <c r="AE1271" s="34"/>
      <c r="AF1271" s="34"/>
      <c r="AG1271" s="34"/>
      <c r="AH1271" s="34"/>
      <c r="AI1271" s="52"/>
      <c r="AJ1271" s="52"/>
      <c r="AL1271" s="34"/>
      <c r="AM1271" s="34"/>
      <c r="AN1271" s="34"/>
      <c r="AO1271" s="54"/>
      <c r="AP1271" s="34"/>
      <c r="AQ1271" s="34"/>
      <c r="AR1271" s="54"/>
      <c r="AS1271" s="54"/>
      <c r="AT1271" s="54"/>
      <c r="AU1271" s="54"/>
      <c r="AV1271" s="34"/>
      <c r="AW1271" s="34"/>
      <c r="AX1271" s="34"/>
      <c r="AY1271" s="34"/>
      <c r="AZ1271" s="34"/>
      <c r="BA1271" s="44"/>
      <c r="BB1271" s="34"/>
      <c r="BC1271" s="34"/>
    </row>
    <row r="1272" spans="1:55" x14ac:dyDescent="0.35" ht="15.0" customHeight="true">
      <c r="A1272" s="51"/>
      <c r="B1272" s="34"/>
      <c r="C1272" s="34"/>
      <c r="D1272" s="34"/>
      <c r="E1272" s="34"/>
      <c r="F1272" s="34"/>
      <c r="G1272" s="44"/>
      <c r="H1272" s="34"/>
      <c r="I1272" s="54"/>
      <c r="J1272" s="34"/>
      <c r="K1272" s="54"/>
      <c r="L1272" s="34"/>
      <c r="M1272" s="44"/>
      <c r="N1272" s="44"/>
      <c r="O1272" s="34"/>
      <c r="P1272" s="34"/>
      <c r="Q1272" s="34"/>
      <c r="R1272" s="34"/>
      <c r="V1272" s="44"/>
      <c r="X1272" s="95"/>
      <c r="Y1272" s="54"/>
      <c r="Z1272" s="54"/>
      <c r="AA1272" s="34"/>
      <c r="AB1272" s="34"/>
      <c r="AC1272" s="34"/>
      <c r="AD1272" s="34"/>
      <c r="AE1272" s="34"/>
      <c r="AF1272" s="34"/>
      <c r="AG1272" s="34"/>
      <c r="AH1272" s="34"/>
      <c r="AI1272" s="52"/>
      <c r="AJ1272" s="52"/>
      <c r="AL1272" s="34"/>
      <c r="AM1272" s="34"/>
      <c r="AN1272" s="34"/>
      <c r="AO1272" s="54"/>
      <c r="AP1272" s="34"/>
      <c r="AQ1272" s="34"/>
      <c r="AR1272" s="54"/>
      <c r="AS1272" s="54"/>
      <c r="AT1272" s="54"/>
      <c r="AU1272" s="54"/>
      <c r="AV1272" s="34"/>
      <c r="AW1272" s="34"/>
      <c r="AX1272" s="34"/>
      <c r="AY1272" s="34"/>
      <c r="AZ1272" s="34"/>
      <c r="BA1272" s="44"/>
      <c r="BB1272" s="34"/>
      <c r="BC1272" s="34"/>
    </row>
    <row r="1273" spans="1:55" x14ac:dyDescent="0.35" ht="15.0" customHeight="true">
      <c r="A1273" s="51"/>
      <c r="B1273" s="34"/>
      <c r="C1273" s="34"/>
      <c r="D1273" s="34"/>
      <c r="E1273" s="34"/>
      <c r="F1273" s="34"/>
      <c r="G1273" s="44"/>
      <c r="H1273" s="34"/>
      <c r="I1273" s="54"/>
      <c r="J1273" s="34"/>
      <c r="K1273" s="54"/>
      <c r="L1273" s="34"/>
      <c r="M1273" s="44"/>
      <c r="N1273" s="44"/>
      <c r="O1273" s="34"/>
      <c r="P1273" s="34"/>
      <c r="Q1273" s="34"/>
      <c r="R1273" s="34"/>
      <c r="V1273" s="44"/>
      <c r="X1273" s="95"/>
      <c r="Y1273" s="54"/>
      <c r="Z1273" s="54"/>
      <c r="AA1273" s="34"/>
      <c r="AB1273" s="34"/>
      <c r="AC1273" s="34"/>
      <c r="AD1273" s="34"/>
      <c r="AE1273" s="34"/>
      <c r="AF1273" s="34"/>
      <c r="AG1273" s="34"/>
      <c r="AH1273" s="34"/>
      <c r="AI1273" s="52"/>
      <c r="AJ1273" s="52"/>
      <c r="AL1273" s="34"/>
      <c r="AM1273" s="34"/>
      <c r="AN1273" s="34"/>
      <c r="AO1273" s="54"/>
      <c r="AP1273" s="34"/>
      <c r="AQ1273" s="34"/>
      <c r="AR1273" s="54"/>
      <c r="AS1273" s="54"/>
      <c r="AT1273" s="54"/>
      <c r="AU1273" s="54"/>
      <c r="AV1273" s="34"/>
      <c r="AW1273" s="34"/>
      <c r="AX1273" s="34"/>
      <c r="AY1273" s="34"/>
      <c r="AZ1273" s="34"/>
      <c r="BA1273" s="44"/>
      <c r="BB1273" s="34"/>
      <c r="BC1273" s="34"/>
    </row>
    <row r="1274" spans="1:55" x14ac:dyDescent="0.35" ht="15.0" customHeight="true">
      <c r="A1274" s="51"/>
      <c r="B1274" s="34"/>
      <c r="C1274" s="34"/>
      <c r="D1274" s="34"/>
      <c r="E1274" s="34"/>
      <c r="F1274" s="34"/>
      <c r="G1274" s="44"/>
      <c r="H1274" s="34"/>
      <c r="I1274" s="54"/>
      <c r="J1274" s="34"/>
      <c r="K1274" s="54"/>
      <c r="L1274" s="34"/>
      <c r="M1274" s="44"/>
      <c r="N1274" s="44"/>
      <c r="O1274" s="34"/>
      <c r="P1274" s="34"/>
      <c r="Q1274" s="34"/>
      <c r="R1274" s="34"/>
      <c r="V1274" s="44"/>
      <c r="X1274" s="95"/>
      <c r="Y1274" s="54"/>
      <c r="Z1274" s="54"/>
      <c r="AA1274" s="34"/>
      <c r="AB1274" s="34"/>
      <c r="AC1274" s="34"/>
      <c r="AD1274" s="34"/>
      <c r="AE1274" s="34"/>
      <c r="AF1274" s="34"/>
      <c r="AG1274" s="34"/>
      <c r="AH1274" s="34"/>
      <c r="AI1274" s="52"/>
      <c r="AJ1274" s="52"/>
      <c r="AL1274" s="34"/>
      <c r="AM1274" s="34"/>
      <c r="AN1274" s="34"/>
      <c r="AO1274" s="54"/>
      <c r="AP1274" s="34"/>
      <c r="AQ1274" s="34"/>
      <c r="AR1274" s="54"/>
      <c r="AS1274" s="54"/>
      <c r="AT1274" s="54"/>
      <c r="AU1274" s="54"/>
      <c r="AV1274" s="34"/>
      <c r="AW1274" s="34"/>
      <c r="AX1274" s="34"/>
      <c r="AY1274" s="34"/>
      <c r="AZ1274" s="34"/>
      <c r="BA1274" s="44"/>
      <c r="BB1274" s="34"/>
      <c r="BC1274" s="34"/>
    </row>
    <row r="1275" spans="1:55" x14ac:dyDescent="0.35" ht="15.0" customHeight="true">
      <c r="A1275" s="51"/>
      <c r="B1275" s="34"/>
      <c r="C1275" s="34"/>
      <c r="D1275" s="34"/>
      <c r="E1275" s="34"/>
      <c r="F1275" s="34"/>
      <c r="G1275" s="44"/>
      <c r="H1275" s="34"/>
      <c r="I1275" s="54"/>
      <c r="J1275" s="34"/>
      <c r="K1275" s="54"/>
      <c r="L1275" s="34"/>
      <c r="M1275" s="44"/>
      <c r="N1275" s="44"/>
      <c r="O1275" s="34"/>
      <c r="P1275" s="34"/>
      <c r="Q1275" s="34"/>
      <c r="R1275" s="34"/>
      <c r="V1275" s="44"/>
      <c r="X1275" s="95"/>
      <c r="Y1275" s="54"/>
      <c r="Z1275" s="54"/>
      <c r="AA1275" s="34"/>
      <c r="AB1275" s="34"/>
      <c r="AC1275" s="34"/>
      <c r="AD1275" s="34"/>
      <c r="AE1275" s="34"/>
      <c r="AF1275" s="34"/>
      <c r="AG1275" s="34"/>
      <c r="AH1275" s="34"/>
      <c r="AI1275" s="52"/>
      <c r="AJ1275" s="52"/>
      <c r="AL1275" s="34"/>
      <c r="AM1275" s="34"/>
      <c r="AN1275" s="34"/>
      <c r="AO1275" s="54"/>
      <c r="AP1275" s="34"/>
      <c r="AQ1275" s="34"/>
      <c r="AR1275" s="54"/>
      <c r="AS1275" s="54"/>
      <c r="AT1275" s="54"/>
      <c r="AU1275" s="54"/>
      <c r="AV1275" s="34"/>
      <c r="AW1275" s="34"/>
      <c r="AX1275" s="34"/>
      <c r="AY1275" s="34"/>
      <c r="AZ1275" s="34"/>
      <c r="BA1275" s="44"/>
      <c r="BB1275" s="34"/>
      <c r="BC1275" s="34"/>
    </row>
    <row r="1276" spans="1:55" x14ac:dyDescent="0.35" ht="15.0" customHeight="true">
      <c r="A1276" s="51"/>
      <c r="B1276" s="34"/>
      <c r="C1276" s="34"/>
      <c r="D1276" s="34"/>
      <c r="E1276" s="34"/>
      <c r="F1276" s="34"/>
      <c r="G1276" s="44"/>
      <c r="H1276" s="34"/>
      <c r="I1276" s="54"/>
      <c r="J1276" s="34"/>
      <c r="K1276" s="54"/>
      <c r="L1276" s="34"/>
      <c r="M1276" s="44"/>
      <c r="N1276" s="44"/>
      <c r="O1276" s="34"/>
      <c r="P1276" s="34"/>
      <c r="Q1276" s="34"/>
      <c r="R1276" s="34"/>
      <c r="V1276" s="44"/>
      <c r="X1276" s="95"/>
      <c r="Y1276" s="54"/>
      <c r="Z1276" s="54"/>
      <c r="AA1276" s="34"/>
      <c r="AB1276" s="34"/>
      <c r="AC1276" s="34"/>
      <c r="AD1276" s="34"/>
      <c r="AE1276" s="34"/>
      <c r="AF1276" s="34"/>
      <c r="AG1276" s="34"/>
      <c r="AH1276" s="34"/>
      <c r="AI1276" s="52"/>
      <c r="AJ1276" s="52"/>
      <c r="AL1276" s="34"/>
      <c r="AM1276" s="34"/>
      <c r="AN1276" s="34"/>
      <c r="AO1276" s="54"/>
      <c r="AP1276" s="34"/>
      <c r="AQ1276" s="34"/>
      <c r="AR1276" s="54"/>
      <c r="AS1276" s="54"/>
      <c r="AT1276" s="54"/>
      <c r="AU1276" s="54"/>
      <c r="AV1276" s="34"/>
      <c r="AW1276" s="34"/>
      <c r="AX1276" s="34"/>
      <c r="AY1276" s="34"/>
      <c r="AZ1276" s="34"/>
      <c r="BA1276" s="44"/>
      <c r="BB1276" s="34"/>
      <c r="BC1276" s="34"/>
    </row>
    <row r="1277" spans="1:55" x14ac:dyDescent="0.35" ht="15.0" customHeight="true">
      <c r="A1277" s="51"/>
      <c r="B1277" s="34"/>
      <c r="C1277" s="34"/>
      <c r="D1277" s="34"/>
      <c r="E1277" s="34"/>
      <c r="F1277" s="34"/>
      <c r="G1277" s="44"/>
      <c r="H1277" s="34"/>
      <c r="I1277" s="54"/>
      <c r="J1277" s="34"/>
      <c r="K1277" s="54"/>
      <c r="L1277" s="34"/>
      <c r="M1277" s="44"/>
      <c r="N1277" s="44"/>
      <c r="O1277" s="34"/>
      <c r="P1277" s="34"/>
      <c r="Q1277" s="34"/>
      <c r="R1277" s="34"/>
      <c r="V1277" s="44"/>
      <c r="X1277" s="95"/>
      <c r="Y1277" s="54"/>
      <c r="Z1277" s="54"/>
      <c r="AA1277" s="34"/>
      <c r="AB1277" s="34"/>
      <c r="AC1277" s="34"/>
      <c r="AD1277" s="34"/>
      <c r="AE1277" s="34"/>
      <c r="AF1277" s="34"/>
      <c r="AG1277" s="34"/>
      <c r="AH1277" s="34"/>
      <c r="AI1277" s="52"/>
      <c r="AJ1277" s="52"/>
      <c r="AL1277" s="34"/>
      <c r="AM1277" s="34"/>
      <c r="AN1277" s="34"/>
      <c r="AO1277" s="54"/>
      <c r="AP1277" s="34"/>
      <c r="AQ1277" s="34"/>
      <c r="AR1277" s="54"/>
      <c r="AS1277" s="54"/>
      <c r="AT1277" s="54"/>
      <c r="AU1277" s="54"/>
      <c r="AV1277" s="34"/>
      <c r="AW1277" s="34"/>
      <c r="AX1277" s="34"/>
      <c r="AY1277" s="34"/>
      <c r="AZ1277" s="34"/>
      <c r="BA1277" s="44"/>
      <c r="BB1277" s="34"/>
      <c r="BC1277" s="34"/>
    </row>
    <row r="1278" spans="1:55" x14ac:dyDescent="0.35" ht="15.0" customHeight="true">
      <c r="A1278" s="51"/>
      <c r="B1278" s="34"/>
      <c r="C1278" s="34"/>
      <c r="D1278" s="34"/>
      <c r="E1278" s="34"/>
      <c r="F1278" s="34"/>
      <c r="G1278" s="44"/>
      <c r="H1278" s="34"/>
      <c r="I1278" s="54"/>
      <c r="J1278" s="34"/>
      <c r="K1278" s="54"/>
      <c r="L1278" s="34"/>
      <c r="M1278" s="44"/>
      <c r="N1278" s="44"/>
      <c r="O1278" s="34"/>
      <c r="P1278" s="34"/>
      <c r="Q1278" s="34"/>
      <c r="R1278" s="34"/>
      <c r="V1278" s="44"/>
      <c r="X1278" s="95"/>
      <c r="Y1278" s="54"/>
      <c r="Z1278" s="54"/>
      <c r="AA1278" s="34"/>
      <c r="AB1278" s="34"/>
      <c r="AC1278" s="34"/>
      <c r="AD1278" s="34"/>
      <c r="AE1278" s="34"/>
      <c r="AF1278" s="34"/>
      <c r="AG1278" s="34"/>
      <c r="AH1278" s="34"/>
      <c r="AI1278" s="52"/>
      <c r="AJ1278" s="52"/>
      <c r="AL1278" s="34"/>
      <c r="AM1278" s="34"/>
      <c r="AN1278" s="34"/>
      <c r="AO1278" s="54"/>
      <c r="AP1278" s="34"/>
      <c r="AQ1278" s="34"/>
      <c r="AR1278" s="54"/>
      <c r="AS1278" s="54"/>
      <c r="AT1278" s="54"/>
      <c r="AU1278" s="54"/>
      <c r="AV1278" s="34"/>
      <c r="AW1278" s="34"/>
      <c r="AX1278" s="34"/>
      <c r="AY1278" s="34"/>
      <c r="AZ1278" s="34"/>
      <c r="BA1278" s="44"/>
      <c r="BB1278" s="34"/>
      <c r="BC1278" s="34"/>
    </row>
    <row r="1279" spans="1:55" x14ac:dyDescent="0.35" ht="15.0" customHeight="true">
      <c r="A1279" s="51"/>
      <c r="B1279" s="34"/>
      <c r="C1279" s="34"/>
      <c r="D1279" s="34"/>
      <c r="E1279" s="34"/>
      <c r="F1279" s="34"/>
      <c r="G1279" s="44"/>
      <c r="H1279" s="34"/>
      <c r="I1279" s="54"/>
      <c r="J1279" s="34"/>
      <c r="K1279" s="54"/>
      <c r="L1279" s="34"/>
      <c r="M1279" s="44"/>
      <c r="N1279" s="44"/>
      <c r="O1279" s="34"/>
      <c r="P1279" s="34"/>
      <c r="Q1279" s="34"/>
      <c r="R1279" s="34"/>
      <c r="V1279" s="44"/>
      <c r="X1279" s="95"/>
      <c r="Y1279" s="54"/>
      <c r="Z1279" s="54"/>
      <c r="AA1279" s="34"/>
      <c r="AB1279" s="34"/>
      <c r="AC1279" s="34"/>
      <c r="AD1279" s="34"/>
      <c r="AE1279" s="34"/>
      <c r="AF1279" s="34"/>
      <c r="AG1279" s="34"/>
      <c r="AH1279" s="34"/>
      <c r="AI1279" s="52"/>
      <c r="AJ1279" s="52"/>
      <c r="AL1279" s="34"/>
      <c r="AM1279" s="34"/>
      <c r="AN1279" s="34"/>
      <c r="AO1279" s="54"/>
      <c r="AP1279" s="34"/>
      <c r="AQ1279" s="34"/>
      <c r="AR1279" s="54"/>
      <c r="AS1279" s="54"/>
      <c r="AT1279" s="54"/>
      <c r="AU1279" s="54"/>
      <c r="AV1279" s="34"/>
      <c r="AW1279" s="34"/>
      <c r="AX1279" s="34"/>
      <c r="AY1279" s="34"/>
      <c r="AZ1279" s="34"/>
      <c r="BA1279" s="44"/>
      <c r="BB1279" s="34"/>
      <c r="BC1279" s="34"/>
    </row>
    <row r="1280" spans="1:55" x14ac:dyDescent="0.35" ht="15.0" customHeight="true">
      <c r="A1280" s="51"/>
      <c r="B1280" s="34"/>
      <c r="C1280" s="34"/>
      <c r="D1280" s="34"/>
      <c r="E1280" s="34"/>
      <c r="F1280" s="34"/>
      <c r="G1280" s="44"/>
      <c r="H1280" s="34"/>
      <c r="I1280" s="54"/>
      <c r="J1280" s="34"/>
      <c r="K1280" s="54"/>
      <c r="L1280" s="34"/>
      <c r="M1280" s="44"/>
      <c r="N1280" s="44"/>
      <c r="O1280" s="34"/>
      <c r="P1280" s="34"/>
      <c r="Q1280" s="34"/>
      <c r="R1280" s="34"/>
      <c r="V1280" s="44"/>
      <c r="X1280" s="95"/>
      <c r="Y1280" s="54"/>
      <c r="Z1280" s="54"/>
      <c r="AA1280" s="34"/>
      <c r="AB1280" s="34"/>
      <c r="AC1280" s="34"/>
      <c r="AD1280" s="34"/>
      <c r="AE1280" s="34"/>
      <c r="AF1280" s="34"/>
      <c r="AG1280" s="34"/>
      <c r="AH1280" s="34"/>
      <c r="AI1280" s="52"/>
      <c r="AJ1280" s="52"/>
      <c r="AL1280" s="34"/>
      <c r="AM1280" s="34"/>
      <c r="AN1280" s="34"/>
      <c r="AO1280" s="54"/>
      <c r="AP1280" s="34"/>
      <c r="AQ1280" s="34"/>
      <c r="AR1280" s="54"/>
      <c r="AS1280" s="54"/>
      <c r="AT1280" s="54"/>
      <c r="AU1280" s="54"/>
      <c r="AV1280" s="34"/>
      <c r="AW1280" s="34"/>
      <c r="AX1280" s="34"/>
      <c r="AY1280" s="34"/>
      <c r="AZ1280" s="34"/>
      <c r="BA1280" s="44"/>
      <c r="BB1280" s="34"/>
      <c r="BC1280" s="34"/>
    </row>
    <row r="1281" spans="1:55" x14ac:dyDescent="0.35" ht="15.0" customHeight="true">
      <c r="A1281" s="51"/>
      <c r="B1281" s="34"/>
      <c r="C1281" s="34"/>
      <c r="D1281" s="34"/>
      <c r="E1281" s="34"/>
      <c r="F1281" s="34"/>
      <c r="G1281" s="44"/>
      <c r="H1281" s="34"/>
      <c r="I1281" s="54"/>
      <c r="J1281" s="34"/>
      <c r="K1281" s="54"/>
      <c r="L1281" s="34"/>
      <c r="M1281" s="44"/>
      <c r="N1281" s="44"/>
      <c r="O1281" s="34"/>
      <c r="P1281" s="34"/>
      <c r="Q1281" s="34"/>
      <c r="R1281" s="34"/>
      <c r="V1281" s="44"/>
      <c r="X1281" s="95"/>
      <c r="Y1281" s="54"/>
      <c r="Z1281" s="54"/>
      <c r="AA1281" s="34"/>
      <c r="AB1281" s="34"/>
      <c r="AC1281" s="34"/>
      <c r="AD1281" s="34"/>
      <c r="AE1281" s="34"/>
      <c r="AF1281" s="34"/>
      <c r="AG1281" s="34"/>
      <c r="AH1281" s="34"/>
      <c r="AI1281" s="52"/>
      <c r="AJ1281" s="52"/>
      <c r="AL1281" s="34"/>
      <c r="AM1281" s="34"/>
      <c r="AN1281" s="34"/>
      <c r="AO1281" s="54"/>
      <c r="AP1281" s="34"/>
      <c r="AQ1281" s="34"/>
      <c r="AR1281" s="54"/>
      <c r="AS1281" s="54"/>
      <c r="AT1281" s="54"/>
      <c r="AU1281" s="54"/>
      <c r="AV1281" s="34"/>
      <c r="AW1281" s="34"/>
      <c r="AX1281" s="34"/>
      <c r="AY1281" s="34"/>
      <c r="AZ1281" s="34"/>
      <c r="BA1281" s="44"/>
      <c r="BB1281" s="34"/>
      <c r="BC1281" s="34"/>
    </row>
    <row r="1282" spans="1:55" x14ac:dyDescent="0.35" ht="15.0" customHeight="true">
      <c r="A1282" s="51"/>
      <c r="B1282" s="34"/>
      <c r="C1282" s="34"/>
      <c r="D1282" s="34"/>
      <c r="E1282" s="34"/>
      <c r="F1282" s="34"/>
      <c r="G1282" s="44"/>
      <c r="H1282" s="34"/>
      <c r="I1282" s="54"/>
      <c r="J1282" s="34"/>
      <c r="K1282" s="54"/>
      <c r="L1282" s="34"/>
      <c r="M1282" s="44"/>
      <c r="N1282" s="44"/>
      <c r="O1282" s="34"/>
      <c r="P1282" s="34"/>
      <c r="Q1282" s="34"/>
      <c r="R1282" s="34"/>
      <c r="V1282" s="44"/>
      <c r="X1282" s="95"/>
      <c r="Y1282" s="54"/>
      <c r="Z1282" s="54"/>
      <c r="AA1282" s="34"/>
      <c r="AB1282" s="34"/>
      <c r="AC1282" s="34"/>
      <c r="AD1282" s="34"/>
      <c r="AE1282" s="34"/>
      <c r="AF1282" s="34"/>
      <c r="AG1282" s="34"/>
      <c r="AH1282" s="34"/>
      <c r="AI1282" s="52"/>
      <c r="AJ1282" s="52"/>
      <c r="AL1282" s="34"/>
      <c r="AM1282" s="34"/>
      <c r="AN1282" s="34"/>
      <c r="AO1282" s="54"/>
      <c r="AP1282" s="34"/>
      <c r="AQ1282" s="34"/>
      <c r="AR1282" s="54"/>
      <c r="AS1282" s="54"/>
      <c r="AT1282" s="54"/>
      <c r="AU1282" s="54"/>
      <c r="AV1282" s="34"/>
      <c r="AW1282" s="34"/>
      <c r="AX1282" s="34"/>
      <c r="AY1282" s="34"/>
      <c r="AZ1282" s="34"/>
      <c r="BA1282" s="44"/>
      <c r="BB1282" s="34"/>
      <c r="BC1282" s="34"/>
    </row>
    <row r="1283" spans="1:55" x14ac:dyDescent="0.35" ht="15.0" customHeight="true">
      <c r="A1283" s="51"/>
      <c r="B1283" s="34"/>
      <c r="C1283" s="34"/>
      <c r="D1283" s="34"/>
      <c r="E1283" s="34"/>
      <c r="F1283" s="34"/>
      <c r="G1283" s="44"/>
      <c r="H1283" s="34"/>
      <c r="I1283" s="54"/>
      <c r="J1283" s="34"/>
      <c r="K1283" s="54"/>
      <c r="L1283" s="34"/>
      <c r="M1283" s="44"/>
      <c r="N1283" s="44"/>
      <c r="O1283" s="34"/>
      <c r="P1283" s="34"/>
      <c r="Q1283" s="34"/>
      <c r="R1283" s="34"/>
      <c r="V1283" s="44"/>
      <c r="X1283" s="95"/>
      <c r="Y1283" s="54"/>
      <c r="Z1283" s="54"/>
      <c r="AA1283" s="34"/>
      <c r="AB1283" s="34"/>
      <c r="AC1283" s="34"/>
      <c r="AD1283" s="34"/>
      <c r="AE1283" s="34"/>
      <c r="AF1283" s="34"/>
      <c r="AG1283" s="34"/>
      <c r="AH1283" s="34"/>
      <c r="AI1283" s="52"/>
      <c r="AJ1283" s="52"/>
      <c r="AL1283" s="34"/>
      <c r="AM1283" s="34"/>
      <c r="AN1283" s="34"/>
      <c r="AO1283" s="54"/>
      <c r="AP1283" s="34"/>
      <c r="AQ1283" s="34"/>
      <c r="AR1283" s="54"/>
      <c r="AS1283" s="54"/>
      <c r="AT1283" s="54"/>
      <c r="AU1283" s="54"/>
      <c r="AV1283" s="34"/>
      <c r="AW1283" s="34"/>
      <c r="AX1283" s="34"/>
      <c r="AY1283" s="34"/>
      <c r="AZ1283" s="34"/>
      <c r="BA1283" s="44"/>
      <c r="BB1283" s="34"/>
      <c r="BC1283" s="34"/>
    </row>
    <row r="1284" spans="1:55" x14ac:dyDescent="0.35" ht="15.0" customHeight="true">
      <c r="A1284" s="51"/>
      <c r="B1284" s="34"/>
      <c r="C1284" s="34"/>
      <c r="D1284" s="34"/>
      <c r="E1284" s="34"/>
      <c r="F1284" s="34"/>
      <c r="G1284" s="44"/>
      <c r="H1284" s="34"/>
      <c r="I1284" s="54"/>
      <c r="J1284" s="34"/>
      <c r="K1284" s="54"/>
      <c r="L1284" s="34"/>
      <c r="M1284" s="44"/>
      <c r="N1284" s="44"/>
      <c r="O1284" s="34"/>
      <c r="P1284" s="34"/>
      <c r="Q1284" s="34"/>
      <c r="R1284" s="34"/>
      <c r="V1284" s="44"/>
      <c r="X1284" s="95"/>
      <c r="Y1284" s="54"/>
      <c r="Z1284" s="54"/>
      <c r="AA1284" s="34"/>
      <c r="AB1284" s="34"/>
      <c r="AC1284" s="34"/>
      <c r="AD1284" s="34"/>
      <c r="AE1284" s="34"/>
      <c r="AF1284" s="34"/>
      <c r="AG1284" s="34"/>
      <c r="AH1284" s="34"/>
      <c r="AI1284" s="52"/>
      <c r="AJ1284" s="52"/>
      <c r="AL1284" s="34"/>
      <c r="AM1284" s="34"/>
      <c r="AN1284" s="34"/>
      <c r="AO1284" s="54"/>
      <c r="AP1284" s="34"/>
      <c r="AQ1284" s="34"/>
      <c r="AR1284" s="54"/>
      <c r="AS1284" s="54"/>
      <c r="AT1284" s="54"/>
      <c r="AU1284" s="54"/>
      <c r="AV1284" s="34"/>
      <c r="AW1284" s="34"/>
      <c r="AX1284" s="34"/>
      <c r="AY1284" s="34"/>
      <c r="AZ1284" s="34"/>
      <c r="BA1284" s="44"/>
      <c r="BB1284" s="34"/>
      <c r="BC1284" s="34"/>
    </row>
    <row r="1285" spans="1:55" x14ac:dyDescent="0.35" ht="15.0" customHeight="true">
      <c r="A1285" s="51"/>
      <c r="B1285" s="34"/>
      <c r="C1285" s="34"/>
      <c r="D1285" s="34"/>
      <c r="E1285" s="34"/>
      <c r="F1285" s="34"/>
      <c r="G1285" s="44"/>
      <c r="H1285" s="34"/>
      <c r="I1285" s="54"/>
      <c r="J1285" s="34"/>
      <c r="K1285" s="54"/>
      <c r="L1285" s="34"/>
      <c r="M1285" s="44"/>
      <c r="N1285" s="44"/>
      <c r="O1285" s="34"/>
      <c r="P1285" s="34"/>
      <c r="Q1285" s="34"/>
      <c r="R1285" s="34"/>
      <c r="V1285" s="44"/>
      <c r="X1285" s="95"/>
      <c r="Y1285" s="54"/>
      <c r="Z1285" s="54"/>
      <c r="AA1285" s="34"/>
      <c r="AB1285" s="34"/>
      <c r="AC1285" s="34"/>
      <c r="AD1285" s="34"/>
      <c r="AE1285" s="34"/>
      <c r="AF1285" s="34"/>
      <c r="AG1285" s="34"/>
      <c r="AH1285" s="34"/>
      <c r="AI1285" s="52"/>
      <c r="AJ1285" s="52"/>
      <c r="AL1285" s="34"/>
      <c r="AM1285" s="34"/>
      <c r="AN1285" s="34"/>
      <c r="AO1285" s="54"/>
      <c r="AP1285" s="34"/>
      <c r="AQ1285" s="34"/>
      <c r="AR1285" s="54"/>
      <c r="AS1285" s="54"/>
      <c r="AT1285" s="54"/>
      <c r="AU1285" s="54"/>
      <c r="AV1285" s="34"/>
      <c r="AW1285" s="34"/>
      <c r="AX1285" s="34"/>
      <c r="AY1285" s="34"/>
      <c r="AZ1285" s="34"/>
      <c r="BA1285" s="44"/>
      <c r="BB1285" s="34"/>
      <c r="BC1285" s="34"/>
    </row>
    <row r="1286" spans="1:55" x14ac:dyDescent="0.35" ht="15.0" customHeight="true">
      <c r="A1286" s="51"/>
      <c r="B1286" s="34"/>
      <c r="C1286" s="34"/>
      <c r="D1286" s="34"/>
      <c r="E1286" s="34"/>
      <c r="F1286" s="34"/>
      <c r="G1286" s="44"/>
      <c r="H1286" s="34"/>
      <c r="I1286" s="54"/>
      <c r="J1286" s="34"/>
      <c r="K1286" s="54"/>
      <c r="L1286" s="34"/>
      <c r="M1286" s="44"/>
      <c r="N1286" s="44"/>
      <c r="O1286" s="34"/>
      <c r="P1286" s="34"/>
      <c r="Q1286" s="34"/>
      <c r="R1286" s="34"/>
      <c r="V1286" s="44"/>
      <c r="X1286" s="95"/>
      <c r="Y1286" s="54"/>
      <c r="Z1286" s="54"/>
      <c r="AA1286" s="34"/>
      <c r="AB1286" s="34"/>
      <c r="AC1286" s="34"/>
      <c r="AD1286" s="34"/>
      <c r="AE1286" s="34"/>
      <c r="AF1286" s="34"/>
      <c r="AG1286" s="34"/>
      <c r="AH1286" s="34"/>
      <c r="AI1286" s="52"/>
      <c r="AJ1286" s="52"/>
      <c r="AL1286" s="34"/>
      <c r="AM1286" s="34"/>
      <c r="AN1286" s="34"/>
      <c r="AO1286" s="54"/>
      <c r="AP1286" s="34"/>
      <c r="AQ1286" s="34"/>
      <c r="AR1286" s="54"/>
      <c r="AS1286" s="54"/>
      <c r="AT1286" s="54"/>
      <c r="AU1286" s="54"/>
      <c r="AV1286" s="34"/>
      <c r="AW1286" s="34"/>
      <c r="AX1286" s="34"/>
      <c r="AY1286" s="34"/>
      <c r="AZ1286" s="34"/>
      <c r="BA1286" s="44"/>
      <c r="BB1286" s="34"/>
      <c r="BC1286" s="34"/>
    </row>
    <row r="1287" spans="1:55" x14ac:dyDescent="0.35" ht="15.0" customHeight="true">
      <c r="A1287" s="51"/>
      <c r="B1287" s="34"/>
      <c r="C1287" s="34"/>
      <c r="D1287" s="34"/>
      <c r="E1287" s="34"/>
      <c r="F1287" s="34"/>
      <c r="G1287" s="44"/>
      <c r="H1287" s="34"/>
      <c r="I1287" s="54"/>
      <c r="J1287" s="34"/>
      <c r="K1287" s="54"/>
      <c r="L1287" s="34"/>
      <c r="M1287" s="44"/>
      <c r="N1287" s="44"/>
      <c r="O1287" s="34"/>
      <c r="P1287" s="34"/>
      <c r="Q1287" s="34"/>
      <c r="R1287" s="34"/>
      <c r="V1287" s="44"/>
      <c r="X1287" s="95"/>
      <c r="Y1287" s="54"/>
      <c r="Z1287" s="54"/>
      <c r="AA1287" s="34"/>
      <c r="AB1287" s="34"/>
      <c r="AC1287" s="34"/>
      <c r="AD1287" s="34"/>
      <c r="AE1287" s="34"/>
      <c r="AF1287" s="34"/>
      <c r="AG1287" s="34"/>
      <c r="AH1287" s="34"/>
      <c r="AI1287" s="52"/>
      <c r="AJ1287" s="52"/>
      <c r="AL1287" s="34"/>
      <c r="AM1287" s="34"/>
      <c r="AN1287" s="34"/>
      <c r="AO1287" s="54"/>
      <c r="AP1287" s="34"/>
      <c r="AQ1287" s="34"/>
      <c r="AR1287" s="54"/>
      <c r="AS1287" s="54"/>
      <c r="AT1287" s="54"/>
      <c r="AU1287" s="54"/>
      <c r="AV1287" s="34"/>
      <c r="AW1287" s="34"/>
      <c r="AX1287" s="34"/>
      <c r="AY1287" s="34"/>
      <c r="AZ1287" s="34"/>
      <c r="BA1287" s="44"/>
      <c r="BB1287" s="34"/>
      <c r="BC1287" s="34"/>
    </row>
    <row r="1288" spans="1:55" x14ac:dyDescent="0.35" ht="15.0" customHeight="true">
      <c r="A1288" s="51"/>
      <c r="B1288" s="34"/>
      <c r="C1288" s="34"/>
      <c r="D1288" s="34"/>
      <c r="E1288" s="34"/>
      <c r="F1288" s="34"/>
      <c r="G1288" s="44"/>
      <c r="H1288" s="34"/>
      <c r="I1288" s="54"/>
      <c r="J1288" s="34"/>
      <c r="K1288" s="54"/>
      <c r="L1288" s="34"/>
      <c r="M1288" s="44"/>
      <c r="N1288" s="44"/>
      <c r="O1288" s="34"/>
      <c r="P1288" s="34"/>
      <c r="Q1288" s="34"/>
      <c r="R1288" s="34"/>
      <c r="V1288" s="44"/>
      <c r="X1288" s="95"/>
      <c r="Y1288" s="54"/>
      <c r="Z1288" s="54"/>
      <c r="AA1288" s="34"/>
      <c r="AB1288" s="34"/>
      <c r="AC1288" s="34"/>
      <c r="AD1288" s="34"/>
      <c r="AE1288" s="34"/>
      <c r="AF1288" s="34"/>
      <c r="AG1288" s="34"/>
      <c r="AH1288" s="34"/>
      <c r="AI1288" s="52"/>
      <c r="AJ1288" s="52"/>
      <c r="AL1288" s="34"/>
      <c r="AM1288" s="34"/>
      <c r="AN1288" s="34"/>
      <c r="AO1288" s="54"/>
      <c r="AP1288" s="34"/>
      <c r="AQ1288" s="34"/>
      <c r="AR1288" s="54"/>
      <c r="AS1288" s="54"/>
      <c r="AT1288" s="54"/>
      <c r="AU1288" s="54"/>
      <c r="AV1288" s="34"/>
      <c r="AW1288" s="34"/>
      <c r="AX1288" s="34"/>
      <c r="AY1288" s="34"/>
      <c r="AZ1288" s="34"/>
      <c r="BA1288" s="44"/>
      <c r="BB1288" s="34"/>
      <c r="BC1288" s="34"/>
    </row>
    <row r="1289" spans="1:55" x14ac:dyDescent="0.35" ht="15.0" customHeight="true">
      <c r="A1289" s="51"/>
      <c r="B1289" s="34"/>
      <c r="C1289" s="34"/>
      <c r="D1289" s="34"/>
      <c r="E1289" s="34"/>
      <c r="F1289" s="34"/>
      <c r="G1289" s="44"/>
      <c r="H1289" s="34"/>
      <c r="I1289" s="54"/>
      <c r="J1289" s="34"/>
      <c r="K1289" s="54"/>
      <c r="L1289" s="34"/>
      <c r="M1289" s="44"/>
      <c r="N1289" s="44"/>
      <c r="O1289" s="34"/>
      <c r="P1289" s="34"/>
      <c r="Q1289" s="34"/>
      <c r="R1289" s="34"/>
      <c r="V1289" s="44"/>
      <c r="X1289" s="95"/>
      <c r="Y1289" s="54"/>
      <c r="Z1289" s="54"/>
      <c r="AA1289" s="34"/>
      <c r="AB1289" s="34"/>
      <c r="AC1289" s="34"/>
      <c r="AD1289" s="34"/>
      <c r="AE1289" s="34"/>
      <c r="AF1289" s="34"/>
      <c r="AG1289" s="34"/>
      <c r="AH1289" s="34"/>
      <c r="AI1289" s="52"/>
      <c r="AJ1289" s="52"/>
      <c r="AL1289" s="34"/>
      <c r="AM1289" s="34"/>
      <c r="AN1289" s="34"/>
      <c r="AO1289" s="54"/>
      <c r="AP1289" s="34"/>
      <c r="AQ1289" s="34"/>
      <c r="AR1289" s="54"/>
      <c r="AS1289" s="54"/>
      <c r="AT1289" s="54"/>
      <c r="AU1289" s="54"/>
      <c r="AV1289" s="34"/>
      <c r="AW1289" s="34"/>
      <c r="AX1289" s="34"/>
      <c r="AY1289" s="34"/>
      <c r="AZ1289" s="34"/>
      <c r="BA1289" s="44"/>
      <c r="BB1289" s="34"/>
      <c r="BC1289" s="34"/>
    </row>
    <row r="1290" spans="1:55" x14ac:dyDescent="0.35" ht="15.0" customHeight="true">
      <c r="A1290" s="51"/>
      <c r="B1290" s="34"/>
      <c r="C1290" s="34"/>
      <c r="D1290" s="34"/>
      <c r="E1290" s="34"/>
      <c r="F1290" s="34"/>
      <c r="G1290" s="44"/>
      <c r="H1290" s="34"/>
      <c r="I1290" s="54"/>
      <c r="J1290" s="34"/>
      <c r="K1290" s="54"/>
      <c r="L1290" s="34"/>
      <c r="M1290" s="44"/>
      <c r="N1290" s="44"/>
      <c r="O1290" s="34"/>
      <c r="P1290" s="34"/>
      <c r="Q1290" s="34"/>
      <c r="R1290" s="34"/>
      <c r="V1290" s="44"/>
      <c r="X1290" s="95"/>
      <c r="Y1290" s="54"/>
      <c r="Z1290" s="54"/>
      <c r="AA1290" s="34"/>
      <c r="AB1290" s="34"/>
      <c r="AC1290" s="34"/>
      <c r="AD1290" s="34"/>
      <c r="AE1290" s="34"/>
      <c r="AF1290" s="34"/>
      <c r="AG1290" s="34"/>
      <c r="AH1290" s="34"/>
      <c r="AI1290" s="52"/>
      <c r="AJ1290" s="52"/>
      <c r="AL1290" s="34"/>
      <c r="AM1290" s="34"/>
      <c r="AN1290" s="34"/>
      <c r="AO1290" s="54"/>
      <c r="AP1290" s="34"/>
      <c r="AQ1290" s="34"/>
      <c r="AR1290" s="54"/>
      <c r="AS1290" s="54"/>
      <c r="AT1290" s="54"/>
      <c r="AU1290" s="54"/>
      <c r="AV1290" s="34"/>
      <c r="AW1290" s="34"/>
      <c r="AX1290" s="34"/>
      <c r="AY1290" s="34"/>
      <c r="AZ1290" s="34"/>
      <c r="BA1290" s="44"/>
      <c r="BB1290" s="34"/>
      <c r="BC1290" s="34"/>
    </row>
    <row r="1291" spans="1:55" x14ac:dyDescent="0.35" ht="15.0" customHeight="true">
      <c r="A1291" s="51"/>
      <c r="B1291" s="34"/>
      <c r="C1291" s="34"/>
      <c r="D1291" s="34"/>
      <c r="E1291" s="34"/>
      <c r="F1291" s="34"/>
      <c r="G1291" s="44"/>
      <c r="H1291" s="34"/>
      <c r="I1291" s="54"/>
      <c r="J1291" s="34"/>
      <c r="K1291" s="54"/>
      <c r="L1291" s="34"/>
      <c r="M1291" s="44"/>
      <c r="N1291" s="44"/>
      <c r="O1291" s="34"/>
      <c r="P1291" s="34"/>
      <c r="Q1291" s="34"/>
      <c r="R1291" s="34"/>
      <c r="V1291" s="44"/>
      <c r="X1291" s="95"/>
      <c r="Y1291" s="54"/>
      <c r="Z1291" s="54"/>
      <c r="AA1291" s="34"/>
      <c r="AB1291" s="34"/>
      <c r="AC1291" s="34"/>
      <c r="AD1291" s="34"/>
      <c r="AE1291" s="34"/>
      <c r="AF1291" s="34"/>
      <c r="AG1291" s="34"/>
      <c r="AH1291" s="34"/>
      <c r="AI1291" s="52"/>
      <c r="AJ1291" s="52"/>
      <c r="AL1291" s="34"/>
      <c r="AM1291" s="34"/>
      <c r="AN1291" s="34"/>
      <c r="AO1291" s="54"/>
      <c r="AP1291" s="34"/>
      <c r="AQ1291" s="34"/>
      <c r="AR1291" s="54"/>
      <c r="AS1291" s="54"/>
      <c r="AT1291" s="54"/>
      <c r="AU1291" s="54"/>
      <c r="AV1291" s="34"/>
      <c r="AW1291" s="34"/>
      <c r="AX1291" s="34"/>
      <c r="AY1291" s="34"/>
      <c r="AZ1291" s="34"/>
      <c r="BA1291" s="44"/>
      <c r="BB1291" s="34"/>
      <c r="BC1291" s="34"/>
    </row>
    <row r="1292" spans="1:55" x14ac:dyDescent="0.35" ht="15.0" customHeight="true">
      <c r="A1292" s="51"/>
      <c r="B1292" s="34"/>
      <c r="C1292" s="34"/>
      <c r="D1292" s="34"/>
      <c r="E1292" s="34"/>
      <c r="F1292" s="34"/>
      <c r="G1292" s="44"/>
      <c r="H1292" s="34"/>
      <c r="I1292" s="54"/>
      <c r="J1292" s="34"/>
      <c r="K1292" s="54"/>
      <c r="L1292" s="34"/>
      <c r="M1292" s="44"/>
      <c r="N1292" s="44"/>
      <c r="O1292" s="34"/>
      <c r="P1292" s="34"/>
      <c r="Q1292" s="34"/>
      <c r="R1292" s="34"/>
      <c r="V1292" s="44"/>
      <c r="X1292" s="95"/>
      <c r="Y1292" s="54"/>
      <c r="Z1292" s="54"/>
      <c r="AA1292" s="34"/>
      <c r="AB1292" s="34"/>
      <c r="AC1292" s="34"/>
      <c r="AD1292" s="34"/>
      <c r="AE1292" s="34"/>
      <c r="AF1292" s="34"/>
      <c r="AG1292" s="34"/>
      <c r="AH1292" s="34"/>
      <c r="AI1292" s="52"/>
      <c r="AJ1292" s="52"/>
      <c r="AL1292" s="34"/>
      <c r="AM1292" s="34"/>
      <c r="AN1292" s="34"/>
      <c r="AO1292" s="54"/>
      <c r="AP1292" s="34"/>
      <c r="AQ1292" s="34"/>
      <c r="AR1292" s="54"/>
      <c r="AS1292" s="54"/>
      <c r="AT1292" s="54"/>
      <c r="AU1292" s="54"/>
      <c r="AV1292" s="34"/>
      <c r="AW1292" s="34"/>
      <c r="AX1292" s="34"/>
      <c r="AY1292" s="34"/>
      <c r="AZ1292" s="34"/>
      <c r="BA1292" s="44"/>
      <c r="BB1292" s="34"/>
      <c r="BC1292" s="34"/>
    </row>
    <row r="1293" spans="1:55" x14ac:dyDescent="0.35" ht="15.0" customHeight="true">
      <c r="A1293" s="51"/>
      <c r="B1293" s="34"/>
      <c r="C1293" s="34"/>
      <c r="D1293" s="34"/>
      <c r="E1293" s="34"/>
      <c r="F1293" s="34"/>
      <c r="G1293" s="44"/>
      <c r="H1293" s="34"/>
      <c r="I1293" s="54"/>
      <c r="J1293" s="34"/>
      <c r="K1293" s="54"/>
      <c r="L1293" s="34"/>
      <c r="M1293" s="44"/>
      <c r="N1293" s="44"/>
      <c r="O1293" s="34"/>
      <c r="P1293" s="34"/>
      <c r="Q1293" s="34"/>
      <c r="R1293" s="34"/>
      <c r="V1293" s="44"/>
      <c r="X1293" s="95"/>
      <c r="Y1293" s="54"/>
      <c r="Z1293" s="54"/>
      <c r="AA1293" s="34"/>
      <c r="AB1293" s="34"/>
      <c r="AC1293" s="34"/>
      <c r="AD1293" s="34"/>
      <c r="AE1293" s="34"/>
      <c r="AF1293" s="34"/>
      <c r="AG1293" s="34"/>
      <c r="AH1293" s="34"/>
      <c r="AI1293" s="52"/>
      <c r="AJ1293" s="52"/>
      <c r="AL1293" s="34"/>
      <c r="AM1293" s="34"/>
      <c r="AN1293" s="34"/>
      <c r="AO1293" s="54"/>
      <c r="AP1293" s="34"/>
      <c r="AQ1293" s="34"/>
      <c r="AR1293" s="54"/>
      <c r="AS1293" s="54"/>
      <c r="AT1293" s="54"/>
      <c r="AU1293" s="54"/>
      <c r="AV1293" s="34"/>
      <c r="AW1293" s="34"/>
      <c r="AX1293" s="34"/>
      <c r="AY1293" s="34"/>
      <c r="AZ1293" s="34"/>
      <c r="BA1293" s="44"/>
      <c r="BB1293" s="34"/>
      <c r="BC1293" s="34"/>
    </row>
    <row r="1294" spans="1:55" x14ac:dyDescent="0.35" ht="15.0" customHeight="true">
      <c r="A1294" s="51"/>
      <c r="B1294" s="34"/>
      <c r="C1294" s="34"/>
      <c r="D1294" s="34"/>
      <c r="E1294" s="34"/>
      <c r="F1294" s="34"/>
      <c r="G1294" s="44"/>
      <c r="H1294" s="34"/>
      <c r="I1294" s="54"/>
      <c r="J1294" s="34"/>
      <c r="K1294" s="54"/>
      <c r="L1294" s="34"/>
      <c r="M1294" s="44"/>
      <c r="N1294" s="44"/>
      <c r="O1294" s="34"/>
      <c r="P1294" s="34"/>
      <c r="Q1294" s="34"/>
      <c r="R1294" s="34"/>
      <c r="V1294" s="44"/>
      <c r="X1294" s="95"/>
      <c r="Y1294" s="54"/>
      <c r="Z1294" s="54"/>
      <c r="AA1294" s="34"/>
      <c r="AB1294" s="34"/>
      <c r="AC1294" s="34"/>
      <c r="AD1294" s="34"/>
      <c r="AE1294" s="34"/>
      <c r="AF1294" s="34"/>
      <c r="AG1294" s="34"/>
      <c r="AH1294" s="34"/>
      <c r="AI1294" s="52"/>
      <c r="AJ1294" s="52"/>
      <c r="AL1294" s="34"/>
      <c r="AM1294" s="34"/>
      <c r="AN1294" s="34"/>
      <c r="AO1294" s="54"/>
      <c r="AP1294" s="34"/>
      <c r="AQ1294" s="34"/>
      <c r="AR1294" s="54"/>
      <c r="AS1294" s="54"/>
      <c r="AT1294" s="54"/>
      <c r="AU1294" s="54"/>
      <c r="AV1294" s="34"/>
      <c r="AW1294" s="34"/>
      <c r="AX1294" s="34"/>
      <c r="AY1294" s="34"/>
      <c r="AZ1294" s="34"/>
      <c r="BA1294" s="44"/>
      <c r="BB1294" s="34"/>
      <c r="BC1294" s="34"/>
    </row>
    <row r="1295" spans="1:55" x14ac:dyDescent="0.35" ht="15.0" customHeight="true">
      <c r="A1295" s="51"/>
      <c r="B1295" s="34"/>
      <c r="C1295" s="34"/>
      <c r="D1295" s="34"/>
      <c r="E1295" s="34"/>
      <c r="F1295" s="34"/>
      <c r="G1295" s="44"/>
      <c r="H1295" s="34"/>
      <c r="I1295" s="54"/>
      <c r="J1295" s="34"/>
      <c r="K1295" s="54"/>
      <c r="L1295" s="34"/>
      <c r="M1295" s="44"/>
      <c r="N1295" s="44"/>
      <c r="O1295" s="34"/>
      <c r="P1295" s="34"/>
      <c r="Q1295" s="34"/>
      <c r="R1295" s="34"/>
      <c r="V1295" s="44"/>
      <c r="X1295" s="95"/>
      <c r="Y1295" s="54"/>
      <c r="Z1295" s="54"/>
      <c r="AA1295" s="34"/>
      <c r="AB1295" s="34"/>
      <c r="AC1295" s="34"/>
      <c r="AD1295" s="34"/>
      <c r="AE1295" s="34"/>
      <c r="AF1295" s="34"/>
      <c r="AG1295" s="34"/>
      <c r="AH1295" s="34"/>
      <c r="AI1295" s="52"/>
      <c r="AJ1295" s="52"/>
      <c r="AL1295" s="34"/>
      <c r="AM1295" s="34"/>
      <c r="AN1295" s="34"/>
      <c r="AO1295" s="54"/>
      <c r="AP1295" s="34"/>
      <c r="AQ1295" s="34"/>
      <c r="AR1295" s="54"/>
      <c r="AS1295" s="54"/>
      <c r="AT1295" s="54"/>
      <c r="AU1295" s="54"/>
      <c r="AV1295" s="34"/>
      <c r="AW1295" s="34"/>
      <c r="AX1295" s="34"/>
      <c r="AY1295" s="34"/>
      <c r="AZ1295" s="34"/>
      <c r="BA1295" s="44"/>
      <c r="BB1295" s="34"/>
      <c r="BC1295" s="34"/>
    </row>
    <row r="1296" spans="1:55" x14ac:dyDescent="0.35" ht="15.0" customHeight="true">
      <c r="A1296" s="51"/>
      <c r="B1296" s="34"/>
      <c r="C1296" s="34"/>
      <c r="D1296" s="34"/>
      <c r="E1296" s="34"/>
      <c r="F1296" s="34"/>
      <c r="G1296" s="44"/>
      <c r="H1296" s="34"/>
      <c r="I1296" s="54"/>
      <c r="J1296" s="34"/>
      <c r="K1296" s="54"/>
      <c r="L1296" s="34"/>
      <c r="M1296" s="44"/>
      <c r="N1296" s="44"/>
      <c r="O1296" s="34"/>
      <c r="P1296" s="34"/>
      <c r="Q1296" s="34"/>
      <c r="R1296" s="34"/>
      <c r="V1296" s="44"/>
      <c r="X1296" s="95"/>
      <c r="Y1296" s="54"/>
      <c r="Z1296" s="54"/>
      <c r="AA1296" s="34"/>
      <c r="AB1296" s="34"/>
      <c r="AC1296" s="34"/>
      <c r="AD1296" s="34"/>
      <c r="AE1296" s="34"/>
      <c r="AF1296" s="34"/>
      <c r="AG1296" s="34"/>
      <c r="AH1296" s="34"/>
      <c r="AI1296" s="52"/>
      <c r="AJ1296" s="52"/>
      <c r="AL1296" s="34"/>
      <c r="AM1296" s="34"/>
      <c r="AN1296" s="34"/>
      <c r="AO1296" s="54"/>
      <c r="AP1296" s="34"/>
      <c r="AQ1296" s="34"/>
      <c r="AR1296" s="54"/>
      <c r="AS1296" s="54"/>
      <c r="AT1296" s="54"/>
      <c r="AU1296" s="54"/>
      <c r="AV1296" s="34"/>
      <c r="AW1296" s="34"/>
      <c r="AX1296" s="34"/>
      <c r="AY1296" s="34"/>
      <c r="AZ1296" s="34"/>
      <c r="BA1296" s="44"/>
      <c r="BB1296" s="34"/>
      <c r="BC1296" s="34"/>
    </row>
    <row r="1297" spans="1:55" x14ac:dyDescent="0.35" ht="15.0" customHeight="true">
      <c r="A1297" s="51"/>
      <c r="B1297" s="34"/>
      <c r="C1297" s="34"/>
      <c r="D1297" s="34"/>
      <c r="E1297" s="34"/>
      <c r="F1297" s="34"/>
      <c r="G1297" s="44"/>
      <c r="H1297" s="34"/>
      <c r="I1297" s="54"/>
      <c r="J1297" s="34"/>
      <c r="K1297" s="54"/>
      <c r="L1297" s="34"/>
      <c r="M1297" s="44"/>
      <c r="N1297" s="44"/>
      <c r="O1297" s="34"/>
      <c r="P1297" s="34"/>
      <c r="Q1297" s="34"/>
      <c r="R1297" s="34"/>
      <c r="V1297" s="44"/>
      <c r="X1297" s="95"/>
      <c r="Y1297" s="54"/>
      <c r="Z1297" s="54"/>
      <c r="AA1297" s="34"/>
      <c r="AB1297" s="34"/>
      <c r="AC1297" s="34"/>
      <c r="AD1297" s="34"/>
      <c r="AE1297" s="34"/>
      <c r="AF1297" s="34"/>
      <c r="AG1297" s="34"/>
      <c r="AH1297" s="34"/>
      <c r="AI1297" s="52"/>
      <c r="AJ1297" s="52"/>
      <c r="AL1297" s="34"/>
      <c r="AM1297" s="34"/>
      <c r="AN1297" s="34"/>
      <c r="AO1297" s="54"/>
      <c r="AP1297" s="34"/>
      <c r="AQ1297" s="34"/>
      <c r="AR1297" s="54"/>
      <c r="AS1297" s="54"/>
      <c r="AT1297" s="54"/>
      <c r="AU1297" s="54"/>
      <c r="AV1297" s="34"/>
      <c r="AW1297" s="34"/>
      <c r="AX1297" s="34"/>
      <c r="AY1297" s="34"/>
      <c r="AZ1297" s="34"/>
      <c r="BA1297" s="44"/>
      <c r="BB1297" s="34"/>
      <c r="BC1297" s="34"/>
    </row>
    <row r="1298" spans="1:55" x14ac:dyDescent="0.35" ht="15.0" customHeight="true">
      <c r="A1298" s="51"/>
      <c r="B1298" s="34"/>
      <c r="C1298" s="34"/>
      <c r="D1298" s="34"/>
      <c r="E1298" s="34"/>
      <c r="F1298" s="34"/>
      <c r="G1298" s="44"/>
      <c r="H1298" s="34"/>
      <c r="I1298" s="54"/>
      <c r="J1298" s="34"/>
      <c r="K1298" s="54"/>
      <c r="L1298" s="34"/>
      <c r="M1298" s="44"/>
      <c r="N1298" s="44"/>
      <c r="O1298" s="34"/>
      <c r="P1298" s="34"/>
      <c r="Q1298" s="34"/>
      <c r="R1298" s="34"/>
      <c r="V1298" s="44"/>
      <c r="X1298" s="95"/>
      <c r="Y1298" s="54"/>
      <c r="Z1298" s="54"/>
      <c r="AA1298" s="34"/>
      <c r="AB1298" s="34"/>
      <c r="AC1298" s="34"/>
      <c r="AD1298" s="34"/>
      <c r="AE1298" s="34"/>
      <c r="AF1298" s="34"/>
      <c r="AG1298" s="34"/>
      <c r="AH1298" s="34"/>
      <c r="AI1298" s="52"/>
      <c r="AJ1298" s="52"/>
      <c r="AL1298" s="34"/>
      <c r="AM1298" s="34"/>
      <c r="AN1298" s="34"/>
      <c r="AO1298" s="54"/>
      <c r="AP1298" s="34"/>
      <c r="AQ1298" s="34"/>
      <c r="AR1298" s="54"/>
      <c r="AS1298" s="54"/>
      <c r="AT1298" s="54"/>
      <c r="AU1298" s="54"/>
      <c r="AV1298" s="34"/>
      <c r="AW1298" s="34"/>
      <c r="AX1298" s="34"/>
      <c r="AY1298" s="34"/>
      <c r="AZ1298" s="34"/>
      <c r="BA1298" s="44"/>
      <c r="BB1298" s="34"/>
      <c r="BC1298" s="34"/>
    </row>
    <row r="1299" spans="1:55" x14ac:dyDescent="0.35" ht="15.0" customHeight="true">
      <c r="A1299" s="51"/>
      <c r="B1299" s="34"/>
      <c r="C1299" s="34"/>
      <c r="D1299" s="34"/>
      <c r="E1299" s="34"/>
      <c r="F1299" s="34"/>
      <c r="G1299" s="44"/>
      <c r="H1299" s="34"/>
      <c r="I1299" s="54"/>
      <c r="J1299" s="34"/>
      <c r="K1299" s="54"/>
      <c r="L1299" s="34"/>
      <c r="M1299" s="44"/>
      <c r="N1299" s="44"/>
      <c r="O1299" s="34"/>
      <c r="P1299" s="34"/>
      <c r="Q1299" s="34"/>
      <c r="R1299" s="34"/>
      <c r="V1299" s="44"/>
      <c r="X1299" s="95"/>
      <c r="Y1299" s="54"/>
      <c r="Z1299" s="54"/>
      <c r="AA1299" s="34"/>
      <c r="AB1299" s="34"/>
      <c r="AC1299" s="34"/>
      <c r="AD1299" s="34"/>
      <c r="AE1299" s="34"/>
      <c r="AF1299" s="34"/>
      <c r="AG1299" s="34"/>
      <c r="AH1299" s="34"/>
      <c r="AI1299" s="52"/>
      <c r="AJ1299" s="52"/>
      <c r="AL1299" s="34"/>
      <c r="AM1299" s="34"/>
      <c r="AN1299" s="34"/>
      <c r="AO1299" s="54"/>
      <c r="AP1299" s="34"/>
      <c r="AQ1299" s="34"/>
      <c r="AR1299" s="54"/>
      <c r="AS1299" s="54"/>
      <c r="AT1299" s="54"/>
      <c r="AU1299" s="54"/>
      <c r="AV1299" s="34"/>
      <c r="AW1299" s="34"/>
      <c r="AX1299" s="34"/>
      <c r="AY1299" s="34"/>
      <c r="AZ1299" s="34"/>
      <c r="BA1299" s="44"/>
      <c r="BB1299" s="34"/>
      <c r="BC1299" s="34"/>
    </row>
    <row r="1300" spans="1:55" x14ac:dyDescent="0.35" ht="15.0" customHeight="true">
      <c r="A1300" s="51"/>
      <c r="B1300" s="34"/>
      <c r="C1300" s="34"/>
      <c r="D1300" s="34"/>
      <c r="E1300" s="34"/>
      <c r="F1300" s="34"/>
      <c r="G1300" s="44"/>
      <c r="H1300" s="34"/>
      <c r="I1300" s="54"/>
      <c r="J1300" s="34"/>
      <c r="K1300" s="54"/>
      <c r="L1300" s="34"/>
      <c r="M1300" s="44"/>
      <c r="N1300" s="44"/>
      <c r="O1300" s="34"/>
      <c r="P1300" s="34"/>
      <c r="Q1300" s="34"/>
      <c r="R1300" s="34"/>
      <c r="V1300" s="44"/>
      <c r="X1300" s="95"/>
      <c r="Y1300" s="54"/>
      <c r="Z1300" s="54"/>
      <c r="AA1300" s="34"/>
      <c r="AB1300" s="34"/>
      <c r="AC1300" s="34"/>
      <c r="AD1300" s="34"/>
      <c r="AE1300" s="34"/>
      <c r="AF1300" s="34"/>
      <c r="AG1300" s="34"/>
      <c r="AH1300" s="34"/>
      <c r="AI1300" s="52"/>
      <c r="AJ1300" s="52"/>
      <c r="AL1300" s="34"/>
      <c r="AM1300" s="34"/>
      <c r="AN1300" s="34"/>
      <c r="AO1300" s="54"/>
      <c r="AP1300" s="34"/>
      <c r="AQ1300" s="34"/>
      <c r="AR1300" s="54"/>
      <c r="AS1300" s="54"/>
      <c r="AT1300" s="54"/>
      <c r="AU1300" s="54"/>
      <c r="AV1300" s="34"/>
      <c r="AW1300" s="34"/>
      <c r="AX1300" s="34"/>
      <c r="AY1300" s="34"/>
      <c r="AZ1300" s="34"/>
      <c r="BA1300" s="44"/>
      <c r="BB1300" s="34"/>
      <c r="BC1300" s="34"/>
    </row>
    <row r="1301" spans="1:55" x14ac:dyDescent="0.35" ht="15.0" customHeight="true">
      <c r="A1301" s="51"/>
      <c r="B1301" s="34"/>
      <c r="C1301" s="34"/>
      <c r="D1301" s="34"/>
      <c r="E1301" s="34"/>
      <c r="F1301" s="34"/>
      <c r="G1301" s="44"/>
      <c r="H1301" s="34"/>
      <c r="I1301" s="54"/>
      <c r="J1301" s="34"/>
      <c r="K1301" s="54"/>
      <c r="L1301" s="34"/>
      <c r="M1301" s="44"/>
      <c r="N1301" s="44"/>
      <c r="O1301" s="34"/>
      <c r="P1301" s="34"/>
      <c r="Q1301" s="34"/>
      <c r="R1301" s="34"/>
      <c r="V1301" s="44"/>
      <c r="X1301" s="95"/>
      <c r="Y1301" s="54"/>
      <c r="Z1301" s="54"/>
      <c r="AA1301" s="34"/>
      <c r="AB1301" s="34"/>
      <c r="AC1301" s="34"/>
      <c r="AD1301" s="34"/>
      <c r="AE1301" s="34"/>
      <c r="AF1301" s="34"/>
      <c r="AG1301" s="34"/>
      <c r="AH1301" s="34"/>
      <c r="AI1301" s="52"/>
      <c r="AJ1301" s="52"/>
      <c r="AL1301" s="34"/>
      <c r="AM1301" s="34"/>
      <c r="AN1301" s="34"/>
      <c r="AO1301" s="54"/>
      <c r="AP1301" s="34"/>
      <c r="AQ1301" s="34"/>
      <c r="AR1301" s="54"/>
      <c r="AS1301" s="54"/>
      <c r="AT1301" s="54"/>
      <c r="AU1301" s="54"/>
      <c r="AV1301" s="34"/>
      <c r="AW1301" s="34"/>
      <c r="AX1301" s="34"/>
      <c r="AY1301" s="34"/>
      <c r="AZ1301" s="34"/>
      <c r="BA1301" s="44"/>
      <c r="BB1301" s="34"/>
      <c r="BC1301" s="34"/>
    </row>
    <row r="1302" spans="1:55" x14ac:dyDescent="0.35" ht="15.0" customHeight="true">
      <c r="A1302" s="51"/>
      <c r="B1302" s="34"/>
      <c r="C1302" s="34"/>
      <c r="D1302" s="34"/>
      <c r="E1302" s="34"/>
      <c r="F1302" s="34"/>
      <c r="G1302" s="44"/>
      <c r="H1302" s="34"/>
      <c r="I1302" s="54"/>
      <c r="J1302" s="34"/>
      <c r="K1302" s="54"/>
      <c r="L1302" s="34"/>
      <c r="M1302" s="44"/>
      <c r="N1302" s="44"/>
      <c r="O1302" s="34"/>
      <c r="P1302" s="34"/>
      <c r="Q1302" s="34"/>
      <c r="R1302" s="34"/>
      <c r="V1302" s="44"/>
      <c r="X1302" s="95"/>
      <c r="Y1302" s="54"/>
      <c r="Z1302" s="54"/>
      <c r="AA1302" s="34"/>
      <c r="AB1302" s="34"/>
      <c r="AC1302" s="34"/>
      <c r="AD1302" s="34"/>
      <c r="AE1302" s="34"/>
      <c r="AF1302" s="34"/>
      <c r="AG1302" s="34"/>
      <c r="AH1302" s="34"/>
      <c r="AI1302" s="52"/>
      <c r="AJ1302" s="52"/>
      <c r="AL1302" s="34"/>
      <c r="AM1302" s="34"/>
      <c r="AN1302" s="34"/>
      <c r="AO1302" s="54"/>
      <c r="AP1302" s="34"/>
      <c r="AQ1302" s="34"/>
      <c r="AR1302" s="54"/>
      <c r="AS1302" s="54"/>
      <c r="AT1302" s="54"/>
      <c r="AU1302" s="54"/>
      <c r="AV1302" s="34"/>
      <c r="AW1302" s="34"/>
      <c r="AX1302" s="34"/>
      <c r="AY1302" s="34"/>
      <c r="AZ1302" s="34"/>
      <c r="BA1302" s="44"/>
      <c r="BB1302" s="34"/>
      <c r="BC1302" s="34"/>
    </row>
    <row r="1303" spans="1:55" x14ac:dyDescent="0.35" ht="15.0" customHeight="true">
      <c r="A1303" s="51"/>
      <c r="B1303" s="34"/>
      <c r="C1303" s="34"/>
      <c r="D1303" s="34"/>
      <c r="E1303" s="34"/>
      <c r="F1303" s="34"/>
      <c r="G1303" s="44"/>
      <c r="H1303" s="34"/>
      <c r="I1303" s="54"/>
      <c r="J1303" s="34"/>
      <c r="K1303" s="54"/>
      <c r="L1303" s="34"/>
      <c r="M1303" s="44"/>
      <c r="N1303" s="44"/>
      <c r="O1303" s="34"/>
      <c r="P1303" s="34"/>
      <c r="Q1303" s="34"/>
      <c r="R1303" s="34"/>
      <c r="V1303" s="44"/>
      <c r="X1303" s="95"/>
      <c r="Y1303" s="54"/>
      <c r="Z1303" s="54"/>
      <c r="AA1303" s="34"/>
      <c r="AB1303" s="34"/>
      <c r="AC1303" s="34"/>
      <c r="AD1303" s="34"/>
      <c r="AE1303" s="34"/>
      <c r="AF1303" s="34"/>
      <c r="AG1303" s="34"/>
      <c r="AH1303" s="34"/>
      <c r="AI1303" s="52"/>
      <c r="AJ1303" s="52"/>
      <c r="AL1303" s="34"/>
      <c r="AM1303" s="34"/>
      <c r="AN1303" s="34"/>
      <c r="AO1303" s="54"/>
      <c r="AP1303" s="34"/>
      <c r="AQ1303" s="34"/>
      <c r="AR1303" s="54"/>
      <c r="AS1303" s="54"/>
      <c r="AT1303" s="54"/>
      <c r="AU1303" s="54"/>
      <c r="AV1303" s="34"/>
      <c r="AW1303" s="34"/>
      <c r="AX1303" s="34"/>
      <c r="AY1303" s="34"/>
      <c r="AZ1303" s="34"/>
      <c r="BA1303" s="44"/>
      <c r="BB1303" s="34"/>
      <c r="BC1303" s="34"/>
    </row>
    <row r="1304" spans="1:55" x14ac:dyDescent="0.35" ht="15.0" customHeight="true">
      <c r="A1304" s="51"/>
      <c r="B1304" s="34"/>
      <c r="C1304" s="34"/>
      <c r="D1304" s="34"/>
      <c r="E1304" s="34"/>
      <c r="F1304" s="34"/>
      <c r="G1304" s="44"/>
      <c r="H1304" s="34"/>
      <c r="I1304" s="54"/>
      <c r="J1304" s="34"/>
      <c r="K1304" s="54"/>
      <c r="L1304" s="34"/>
      <c r="M1304" s="44"/>
      <c r="N1304" s="44"/>
      <c r="O1304" s="34"/>
      <c r="P1304" s="34"/>
      <c r="Q1304" s="34"/>
      <c r="R1304" s="34"/>
      <c r="V1304" s="44"/>
      <c r="X1304" s="95"/>
      <c r="Y1304" s="54"/>
      <c r="Z1304" s="54"/>
      <c r="AA1304" s="34"/>
      <c r="AB1304" s="34"/>
      <c r="AC1304" s="34"/>
      <c r="AD1304" s="34"/>
      <c r="AE1304" s="34"/>
      <c r="AF1304" s="34"/>
      <c r="AG1304" s="34"/>
      <c r="AH1304" s="34"/>
      <c r="AI1304" s="52"/>
      <c r="AJ1304" s="52"/>
      <c r="AL1304" s="34"/>
      <c r="AM1304" s="34"/>
      <c r="AN1304" s="34"/>
      <c r="AO1304" s="54"/>
      <c r="AP1304" s="34"/>
      <c r="AQ1304" s="34"/>
      <c r="AR1304" s="54"/>
      <c r="AS1304" s="54"/>
      <c r="AT1304" s="54"/>
      <c r="AU1304" s="54"/>
      <c r="AV1304" s="34"/>
      <c r="AW1304" s="34"/>
      <c r="AX1304" s="34"/>
      <c r="AY1304" s="34"/>
      <c r="AZ1304" s="34"/>
      <c r="BA1304" s="44"/>
      <c r="BB1304" s="34"/>
      <c r="BC1304" s="34"/>
    </row>
    <row r="1305" spans="1:55" x14ac:dyDescent="0.35" ht="15.0" customHeight="true">
      <c r="A1305" s="51"/>
      <c r="B1305" s="34"/>
      <c r="C1305" s="34"/>
      <c r="D1305" s="34"/>
      <c r="E1305" s="34"/>
      <c r="F1305" s="34"/>
      <c r="G1305" s="44"/>
      <c r="H1305" s="34"/>
      <c r="I1305" s="54"/>
      <c r="J1305" s="34"/>
      <c r="K1305" s="54"/>
      <c r="L1305" s="34"/>
      <c r="M1305" s="44"/>
      <c r="N1305" s="44"/>
      <c r="O1305" s="34"/>
      <c r="P1305" s="34"/>
      <c r="Q1305" s="34"/>
      <c r="R1305" s="34"/>
      <c r="V1305" s="44"/>
      <c r="X1305" s="95"/>
      <c r="Y1305" s="54"/>
      <c r="Z1305" s="54"/>
      <c r="AA1305" s="34"/>
      <c r="AB1305" s="34"/>
      <c r="AC1305" s="34"/>
      <c r="AD1305" s="34"/>
      <c r="AE1305" s="34"/>
      <c r="AF1305" s="34"/>
      <c r="AG1305" s="34"/>
      <c r="AH1305" s="34"/>
      <c r="AI1305" s="52"/>
      <c r="AJ1305" s="52"/>
      <c r="AL1305" s="34"/>
      <c r="AM1305" s="34"/>
      <c r="AN1305" s="34"/>
      <c r="AO1305" s="54"/>
      <c r="AP1305" s="34"/>
      <c r="AQ1305" s="34"/>
      <c r="AR1305" s="54"/>
      <c r="AS1305" s="54"/>
      <c r="AT1305" s="54"/>
      <c r="AU1305" s="54"/>
      <c r="AV1305" s="34"/>
      <c r="AW1305" s="34"/>
      <c r="AX1305" s="34"/>
      <c r="AY1305" s="34"/>
      <c r="AZ1305" s="34"/>
      <c r="BA1305" s="44"/>
      <c r="BB1305" s="34"/>
      <c r="BC1305" s="34"/>
    </row>
    <row r="1306" spans="1:55" x14ac:dyDescent="0.35" ht="15.0" customHeight="true">
      <c r="A1306" s="51"/>
      <c r="B1306" s="34"/>
      <c r="C1306" s="34"/>
      <c r="D1306" s="34"/>
      <c r="E1306" s="34"/>
      <c r="F1306" s="34"/>
      <c r="G1306" s="44"/>
      <c r="H1306" s="34"/>
      <c r="I1306" s="54"/>
      <c r="J1306" s="34"/>
      <c r="K1306" s="54"/>
      <c r="L1306" s="34"/>
      <c r="M1306" s="44"/>
      <c r="N1306" s="44"/>
      <c r="O1306" s="34"/>
      <c r="P1306" s="34"/>
      <c r="Q1306" s="34"/>
      <c r="R1306" s="34"/>
      <c r="V1306" s="44"/>
      <c r="X1306" s="95"/>
      <c r="Y1306" s="54"/>
      <c r="Z1306" s="54"/>
      <c r="AA1306" s="34"/>
      <c r="AB1306" s="34"/>
      <c r="AC1306" s="34"/>
      <c r="AD1306" s="34"/>
      <c r="AE1306" s="34"/>
      <c r="AF1306" s="34"/>
      <c r="AG1306" s="34"/>
      <c r="AH1306" s="34"/>
      <c r="AI1306" s="52"/>
      <c r="AJ1306" s="52"/>
      <c r="AL1306" s="34"/>
      <c r="AM1306" s="34"/>
      <c r="AN1306" s="34"/>
      <c r="AO1306" s="54"/>
      <c r="AP1306" s="34"/>
      <c r="AQ1306" s="34"/>
      <c r="AR1306" s="54"/>
      <c r="AS1306" s="54"/>
      <c r="AT1306" s="54"/>
      <c r="AU1306" s="54"/>
      <c r="AV1306" s="34"/>
      <c r="AW1306" s="34"/>
      <c r="AX1306" s="34"/>
      <c r="AY1306" s="34"/>
      <c r="AZ1306" s="34"/>
      <c r="BA1306" s="44"/>
      <c r="BB1306" s="34"/>
      <c r="BC1306" s="34"/>
    </row>
    <row r="1307" spans="1:55" x14ac:dyDescent="0.35" ht="15.0" customHeight="true">
      <c r="A1307" s="51"/>
      <c r="B1307" s="34"/>
      <c r="C1307" s="34"/>
      <c r="D1307" s="34"/>
      <c r="E1307" s="34"/>
      <c r="F1307" s="34"/>
      <c r="G1307" s="44"/>
      <c r="H1307" s="34"/>
      <c r="I1307" s="54"/>
      <c r="J1307" s="34"/>
      <c r="K1307" s="54"/>
      <c r="L1307" s="34"/>
      <c r="M1307" s="44"/>
      <c r="N1307" s="44"/>
      <c r="O1307" s="34"/>
      <c r="P1307" s="34"/>
      <c r="Q1307" s="34"/>
      <c r="R1307" s="34"/>
      <c r="V1307" s="44"/>
      <c r="X1307" s="95"/>
      <c r="Y1307" s="54"/>
      <c r="Z1307" s="54"/>
      <c r="AA1307" s="34"/>
      <c r="AB1307" s="34"/>
      <c r="AC1307" s="34"/>
      <c r="AD1307" s="34"/>
      <c r="AE1307" s="34"/>
      <c r="AF1307" s="34"/>
      <c r="AG1307" s="34"/>
      <c r="AH1307" s="34"/>
      <c r="AI1307" s="52"/>
      <c r="AJ1307" s="52"/>
      <c r="AL1307" s="34"/>
      <c r="AM1307" s="34"/>
      <c r="AN1307" s="34"/>
      <c r="AO1307" s="54"/>
      <c r="AP1307" s="34"/>
      <c r="AQ1307" s="34"/>
      <c r="AR1307" s="54"/>
      <c r="AS1307" s="54"/>
      <c r="AT1307" s="54"/>
      <c r="AU1307" s="54"/>
      <c r="AV1307" s="34"/>
      <c r="AW1307" s="34"/>
      <c r="AX1307" s="34"/>
      <c r="AY1307" s="34"/>
      <c r="AZ1307" s="34"/>
      <c r="BA1307" s="44"/>
      <c r="BB1307" s="34"/>
      <c r="BC1307" s="34"/>
    </row>
    <row r="1308" spans="1:55" x14ac:dyDescent="0.35" ht="15.0" customHeight="true">
      <c r="A1308" s="51"/>
      <c r="B1308" s="34"/>
      <c r="C1308" s="34"/>
      <c r="D1308" s="34"/>
      <c r="E1308" s="34"/>
      <c r="F1308" s="34"/>
      <c r="G1308" s="44"/>
      <c r="H1308" s="34"/>
      <c r="I1308" s="54"/>
      <c r="J1308" s="34"/>
      <c r="K1308" s="54"/>
      <c r="L1308" s="34"/>
      <c r="M1308" s="44"/>
      <c r="N1308" s="44"/>
      <c r="O1308" s="34"/>
      <c r="P1308" s="34"/>
      <c r="Q1308" s="34"/>
      <c r="R1308" s="34"/>
      <c r="V1308" s="44"/>
      <c r="X1308" s="95"/>
      <c r="Y1308" s="54"/>
      <c r="Z1308" s="54"/>
      <c r="AA1308" s="34"/>
      <c r="AB1308" s="34"/>
      <c r="AC1308" s="34"/>
      <c r="AD1308" s="34"/>
      <c r="AE1308" s="34"/>
      <c r="AF1308" s="34"/>
      <c r="AG1308" s="34"/>
      <c r="AH1308" s="34"/>
      <c r="AI1308" s="52"/>
      <c r="AJ1308" s="52"/>
      <c r="AL1308" s="34"/>
      <c r="AM1308" s="34"/>
      <c r="AN1308" s="34"/>
      <c r="AO1308" s="54"/>
      <c r="AP1308" s="34"/>
      <c r="AQ1308" s="34"/>
      <c r="AR1308" s="54"/>
      <c r="AS1308" s="54"/>
      <c r="AT1308" s="54"/>
      <c r="AU1308" s="54"/>
      <c r="AV1308" s="34"/>
      <c r="AW1308" s="34"/>
      <c r="AX1308" s="34"/>
      <c r="AY1308" s="34"/>
      <c r="AZ1308" s="34"/>
      <c r="BA1308" s="44"/>
      <c r="BB1308" s="34"/>
      <c r="BC1308" s="34"/>
    </row>
    <row r="1309" spans="1:55" x14ac:dyDescent="0.35" ht="15.0" customHeight="true">
      <c r="A1309" s="51"/>
      <c r="B1309" s="34"/>
      <c r="C1309" s="34"/>
      <c r="D1309" s="34"/>
      <c r="E1309" s="34"/>
      <c r="F1309" s="34"/>
      <c r="G1309" s="44"/>
      <c r="H1309" s="34"/>
      <c r="I1309" s="54"/>
      <c r="J1309" s="34"/>
      <c r="K1309" s="54"/>
      <c r="L1309" s="34"/>
      <c r="M1309" s="44"/>
      <c r="N1309" s="44"/>
      <c r="O1309" s="34"/>
      <c r="P1309" s="34"/>
      <c r="Q1309" s="34"/>
      <c r="R1309" s="34"/>
      <c r="V1309" s="44"/>
      <c r="X1309" s="95"/>
      <c r="Y1309" s="54"/>
      <c r="Z1309" s="54"/>
      <c r="AA1309" s="34"/>
      <c r="AB1309" s="34"/>
      <c r="AC1309" s="34"/>
      <c r="AD1309" s="34"/>
      <c r="AE1309" s="34"/>
      <c r="AF1309" s="34"/>
      <c r="AG1309" s="34"/>
      <c r="AH1309" s="34"/>
      <c r="AI1309" s="52"/>
      <c r="AJ1309" s="52"/>
      <c r="AL1309" s="34"/>
      <c r="AM1309" s="34"/>
      <c r="AN1309" s="34"/>
      <c r="AO1309" s="54"/>
      <c r="AP1309" s="34"/>
      <c r="AQ1309" s="34"/>
      <c r="AR1309" s="54"/>
      <c r="AS1309" s="54"/>
      <c r="AT1309" s="54"/>
      <c r="AU1309" s="54"/>
      <c r="AV1309" s="34"/>
      <c r="AW1309" s="34"/>
      <c r="AX1309" s="34"/>
      <c r="AY1309" s="34"/>
      <c r="AZ1309" s="34"/>
      <c r="BA1309" s="44"/>
      <c r="BB1309" s="34"/>
      <c r="BC1309" s="34"/>
    </row>
    <row r="1310" spans="1:55" x14ac:dyDescent="0.35" ht="15.0" customHeight="true">
      <c r="A1310" s="51"/>
      <c r="B1310" s="34"/>
      <c r="C1310" s="34"/>
      <c r="D1310" s="34"/>
      <c r="E1310" s="34"/>
      <c r="F1310" s="34"/>
      <c r="G1310" s="44"/>
      <c r="H1310" s="34"/>
      <c r="I1310" s="54"/>
      <c r="J1310" s="34"/>
      <c r="K1310" s="54"/>
      <c r="L1310" s="34"/>
      <c r="M1310" s="44"/>
      <c r="N1310" s="44"/>
      <c r="O1310" s="34"/>
      <c r="P1310" s="34"/>
      <c r="Q1310" s="34"/>
      <c r="R1310" s="34"/>
      <c r="V1310" s="44"/>
      <c r="X1310" s="95"/>
      <c r="Y1310" s="54"/>
      <c r="Z1310" s="54"/>
      <c r="AA1310" s="34"/>
      <c r="AB1310" s="34"/>
      <c r="AC1310" s="34"/>
      <c r="AD1310" s="34"/>
      <c r="AE1310" s="34"/>
      <c r="AF1310" s="34"/>
      <c r="AG1310" s="34"/>
      <c r="AH1310" s="34"/>
      <c r="AI1310" s="52"/>
      <c r="AJ1310" s="52"/>
      <c r="AL1310" s="34"/>
      <c r="AM1310" s="34"/>
      <c r="AN1310" s="34"/>
      <c r="AO1310" s="54"/>
      <c r="AP1310" s="34"/>
      <c r="AQ1310" s="34"/>
      <c r="AR1310" s="54"/>
      <c r="AS1310" s="54"/>
      <c r="AT1310" s="54"/>
      <c r="AU1310" s="54"/>
      <c r="AV1310" s="34"/>
      <c r="AW1310" s="34"/>
      <c r="AX1310" s="34"/>
      <c r="AY1310" s="34"/>
      <c r="AZ1310" s="34"/>
      <c r="BA1310" s="44"/>
      <c r="BB1310" s="34"/>
      <c r="BC1310" s="34"/>
    </row>
    <row r="1311" spans="1:55" x14ac:dyDescent="0.35" ht="15.0" customHeight="true">
      <c r="A1311" s="51"/>
      <c r="B1311" s="34"/>
      <c r="C1311" s="34"/>
      <c r="D1311" s="34"/>
      <c r="E1311" s="34"/>
      <c r="F1311" s="34"/>
      <c r="G1311" s="44"/>
      <c r="H1311" s="34"/>
      <c r="I1311" s="54"/>
      <c r="J1311" s="34"/>
      <c r="K1311" s="54"/>
      <c r="L1311" s="34"/>
      <c r="M1311" s="44"/>
      <c r="N1311" s="44"/>
      <c r="O1311" s="34"/>
      <c r="P1311" s="34"/>
      <c r="Q1311" s="34"/>
      <c r="R1311" s="34"/>
      <c r="V1311" s="44"/>
      <c r="X1311" s="95"/>
      <c r="Y1311" s="54"/>
      <c r="Z1311" s="54"/>
      <c r="AA1311" s="34"/>
      <c r="AB1311" s="34"/>
      <c r="AC1311" s="34"/>
      <c r="AD1311" s="34"/>
      <c r="AE1311" s="34"/>
      <c r="AF1311" s="34"/>
      <c r="AG1311" s="34"/>
      <c r="AH1311" s="34"/>
      <c r="AI1311" s="52"/>
      <c r="AJ1311" s="52"/>
      <c r="AL1311" s="34"/>
      <c r="AM1311" s="34"/>
      <c r="AN1311" s="34"/>
      <c r="AO1311" s="54"/>
      <c r="AP1311" s="34"/>
      <c r="AQ1311" s="34"/>
      <c r="AR1311" s="54"/>
      <c r="AS1311" s="54"/>
      <c r="AT1311" s="54"/>
      <c r="AU1311" s="54"/>
      <c r="AV1311" s="34"/>
      <c r="AW1311" s="34"/>
      <c r="AX1311" s="34"/>
      <c r="AY1311" s="34"/>
      <c r="AZ1311" s="34"/>
      <c r="BA1311" s="44"/>
      <c r="BB1311" s="34"/>
      <c r="BC1311" s="34"/>
    </row>
    <row r="1312" spans="1:55" x14ac:dyDescent="0.35" ht="15.0" customHeight="true">
      <c r="A1312" s="51"/>
      <c r="B1312" s="34"/>
      <c r="C1312" s="34"/>
      <c r="D1312" s="34"/>
      <c r="E1312" s="34"/>
      <c r="F1312" s="34"/>
      <c r="G1312" s="44"/>
      <c r="H1312" s="34"/>
      <c r="I1312" s="54"/>
      <c r="J1312" s="34"/>
      <c r="K1312" s="54"/>
      <c r="L1312" s="34"/>
      <c r="M1312" s="44"/>
      <c r="N1312" s="44"/>
      <c r="O1312" s="34"/>
      <c r="P1312" s="34"/>
      <c r="Q1312" s="34"/>
      <c r="R1312" s="34"/>
      <c r="V1312" s="44"/>
      <c r="X1312" s="95"/>
      <c r="Y1312" s="54"/>
      <c r="Z1312" s="54"/>
      <c r="AA1312" s="34"/>
      <c r="AB1312" s="34"/>
      <c r="AC1312" s="34"/>
      <c r="AD1312" s="34"/>
      <c r="AE1312" s="34"/>
      <c r="AF1312" s="34"/>
      <c r="AG1312" s="34"/>
      <c r="AH1312" s="34"/>
      <c r="AI1312" s="52"/>
      <c r="AJ1312" s="52"/>
      <c r="AL1312" s="34"/>
      <c r="AM1312" s="34"/>
      <c r="AN1312" s="34"/>
      <c r="AO1312" s="54"/>
      <c r="AP1312" s="34"/>
      <c r="AQ1312" s="34"/>
      <c r="AR1312" s="54"/>
      <c r="AS1312" s="54"/>
      <c r="AT1312" s="54"/>
      <c r="AU1312" s="54"/>
      <c r="AV1312" s="34"/>
      <c r="AW1312" s="34"/>
      <c r="AX1312" s="34"/>
      <c r="AY1312" s="34"/>
      <c r="AZ1312" s="34"/>
      <c r="BA1312" s="44"/>
      <c r="BB1312" s="34"/>
      <c r="BC1312" s="34"/>
    </row>
    <row r="1313" spans="1:55" x14ac:dyDescent="0.35" ht="15.0" customHeight="true">
      <c r="A1313" s="51"/>
      <c r="B1313" s="34"/>
      <c r="C1313" s="34"/>
      <c r="D1313" s="34"/>
      <c r="E1313" s="34"/>
      <c r="F1313" s="34"/>
      <c r="G1313" s="44"/>
      <c r="H1313" s="34"/>
      <c r="I1313" s="54"/>
      <c r="J1313" s="34"/>
      <c r="K1313" s="54"/>
      <c r="L1313" s="34"/>
      <c r="M1313" s="44"/>
      <c r="N1313" s="44"/>
      <c r="O1313" s="34"/>
      <c r="P1313" s="34"/>
      <c r="Q1313" s="34"/>
      <c r="R1313" s="34"/>
      <c r="V1313" s="44"/>
      <c r="X1313" s="95"/>
      <c r="Y1313" s="54"/>
      <c r="Z1313" s="54"/>
      <c r="AA1313" s="34"/>
      <c r="AB1313" s="34"/>
      <c r="AC1313" s="34"/>
      <c r="AD1313" s="34"/>
      <c r="AE1313" s="34"/>
      <c r="AF1313" s="34"/>
      <c r="AG1313" s="34"/>
      <c r="AH1313" s="34"/>
      <c r="AI1313" s="52"/>
      <c r="AJ1313" s="52"/>
      <c r="AL1313" s="34"/>
      <c r="AM1313" s="34"/>
      <c r="AN1313" s="34"/>
      <c r="AO1313" s="54"/>
      <c r="AP1313" s="34"/>
      <c r="AQ1313" s="34"/>
      <c r="AR1313" s="54"/>
      <c r="AS1313" s="54"/>
      <c r="AT1313" s="54"/>
      <c r="AU1313" s="54"/>
      <c r="AV1313" s="34"/>
      <c r="AW1313" s="34"/>
      <c r="AX1313" s="34"/>
      <c r="AY1313" s="34"/>
      <c r="AZ1313" s="34"/>
      <c r="BA1313" s="44"/>
      <c r="BB1313" s="34"/>
      <c r="BC1313" s="34"/>
    </row>
    <row r="1314" spans="1:55" x14ac:dyDescent="0.35" ht="15.0" customHeight="true">
      <c r="A1314" s="51"/>
      <c r="B1314" s="34"/>
      <c r="C1314" s="34"/>
      <c r="D1314" s="34"/>
      <c r="E1314" s="34"/>
      <c r="F1314" s="34"/>
      <c r="G1314" s="44"/>
      <c r="H1314" s="34"/>
      <c r="I1314" s="54"/>
      <c r="J1314" s="34"/>
      <c r="K1314" s="54"/>
      <c r="L1314" s="34"/>
      <c r="M1314" s="44"/>
      <c r="N1314" s="44"/>
      <c r="O1314" s="34"/>
      <c r="P1314" s="34"/>
      <c r="Q1314" s="34"/>
      <c r="R1314" s="34"/>
      <c r="V1314" s="44"/>
      <c r="X1314" s="95"/>
      <c r="Y1314" s="54"/>
      <c r="Z1314" s="54"/>
      <c r="AA1314" s="34"/>
      <c r="AB1314" s="34"/>
      <c r="AC1314" s="34"/>
      <c r="AD1314" s="34"/>
      <c r="AE1314" s="34"/>
      <c r="AF1314" s="34"/>
      <c r="AG1314" s="34"/>
      <c r="AH1314" s="34"/>
      <c r="AI1314" s="52"/>
      <c r="AJ1314" s="52"/>
      <c r="AL1314" s="34"/>
      <c r="AM1314" s="34"/>
      <c r="AN1314" s="34"/>
      <c r="AO1314" s="54"/>
      <c r="AP1314" s="34"/>
      <c r="AQ1314" s="34"/>
      <c r="AR1314" s="54"/>
      <c r="AS1314" s="54"/>
      <c r="AT1314" s="54"/>
      <c r="AU1314" s="54"/>
      <c r="AV1314" s="34"/>
      <c r="AW1314" s="34"/>
      <c r="AX1314" s="34"/>
      <c r="AY1314" s="34"/>
      <c r="AZ1314" s="34"/>
      <c r="BA1314" s="44"/>
      <c r="BB1314" s="34"/>
      <c r="BC1314" s="34"/>
    </row>
    <row r="1315" spans="1:55" x14ac:dyDescent="0.35" ht="15.0" customHeight="true">
      <c r="A1315" s="51"/>
      <c r="B1315" s="34"/>
      <c r="C1315" s="34"/>
      <c r="D1315" s="34"/>
      <c r="E1315" s="34"/>
      <c r="F1315" s="34"/>
      <c r="G1315" s="44"/>
      <c r="H1315" s="34"/>
      <c r="I1315" s="54"/>
      <c r="J1315" s="34"/>
      <c r="K1315" s="54"/>
      <c r="L1315" s="34"/>
      <c r="M1315" s="44"/>
      <c r="N1315" s="44"/>
      <c r="O1315" s="34"/>
      <c r="P1315" s="34"/>
      <c r="Q1315" s="34"/>
      <c r="R1315" s="34"/>
      <c r="V1315" s="44"/>
      <c r="X1315" s="95"/>
      <c r="Y1315" s="54"/>
      <c r="Z1315" s="54"/>
      <c r="AA1315" s="34"/>
      <c r="AB1315" s="34"/>
      <c r="AC1315" s="34"/>
      <c r="AD1315" s="34"/>
      <c r="AE1315" s="34"/>
      <c r="AF1315" s="34"/>
      <c r="AG1315" s="34"/>
      <c r="AH1315" s="34"/>
      <c r="AI1315" s="52"/>
      <c r="AJ1315" s="52"/>
      <c r="AL1315" s="34"/>
      <c r="AM1315" s="34"/>
      <c r="AN1315" s="34"/>
      <c r="AO1315" s="54"/>
      <c r="AP1315" s="34"/>
      <c r="AQ1315" s="34"/>
      <c r="AR1315" s="54"/>
      <c r="AS1315" s="54"/>
      <c r="AT1315" s="54"/>
      <c r="AU1315" s="54"/>
      <c r="AV1315" s="34"/>
      <c r="AW1315" s="34"/>
      <c r="AX1315" s="34"/>
      <c r="AY1315" s="34"/>
      <c r="AZ1315" s="34"/>
      <c r="BA1315" s="44"/>
      <c r="BB1315" s="34"/>
      <c r="BC1315" s="34"/>
    </row>
    <row r="1316" spans="1:55" x14ac:dyDescent="0.35" ht="15.0" customHeight="true">
      <c r="A1316" s="51"/>
      <c r="B1316" s="34"/>
      <c r="C1316" s="34"/>
      <c r="D1316" s="34"/>
      <c r="E1316" s="34"/>
      <c r="F1316" s="34"/>
      <c r="G1316" s="44"/>
      <c r="H1316" s="34"/>
      <c r="I1316" s="54"/>
      <c r="J1316" s="34"/>
      <c r="K1316" s="54"/>
      <c r="L1316" s="34"/>
      <c r="M1316" s="44"/>
      <c r="N1316" s="44"/>
      <c r="O1316" s="34"/>
      <c r="P1316" s="34"/>
      <c r="Q1316" s="34"/>
      <c r="R1316" s="34"/>
      <c r="V1316" s="44"/>
      <c r="X1316" s="95"/>
      <c r="Y1316" s="54"/>
      <c r="Z1316" s="54"/>
      <c r="AA1316" s="34"/>
      <c r="AB1316" s="34"/>
      <c r="AC1316" s="34"/>
      <c r="AD1316" s="34"/>
      <c r="AE1316" s="34"/>
      <c r="AF1316" s="34"/>
      <c r="AG1316" s="34"/>
      <c r="AH1316" s="34"/>
      <c r="AI1316" s="52"/>
      <c r="AJ1316" s="52"/>
      <c r="AL1316" s="34"/>
      <c r="AM1316" s="34"/>
      <c r="AN1316" s="34"/>
      <c r="AO1316" s="54"/>
      <c r="AP1316" s="34"/>
      <c r="AQ1316" s="34"/>
      <c r="AR1316" s="54"/>
      <c r="AS1316" s="54"/>
      <c r="AT1316" s="54"/>
      <c r="AU1316" s="54"/>
      <c r="AV1316" s="34"/>
      <c r="AW1316" s="34"/>
      <c r="AX1316" s="34"/>
      <c r="AY1316" s="34"/>
      <c r="AZ1316" s="34"/>
      <c r="BA1316" s="44"/>
      <c r="BB1316" s="34"/>
      <c r="BC1316" s="34"/>
    </row>
    <row r="1317" spans="1:55" x14ac:dyDescent="0.35" ht="15.0" customHeight="true">
      <c r="A1317" s="51"/>
      <c r="B1317" s="34"/>
      <c r="C1317" s="34"/>
      <c r="D1317" s="34"/>
      <c r="E1317" s="34"/>
      <c r="F1317" s="34"/>
      <c r="G1317" s="44"/>
      <c r="H1317" s="34"/>
      <c r="I1317" s="54"/>
      <c r="J1317" s="34"/>
      <c r="K1317" s="54"/>
      <c r="L1317" s="34"/>
      <c r="M1317" s="44"/>
      <c r="N1317" s="44"/>
      <c r="O1317" s="34"/>
      <c r="P1317" s="34"/>
      <c r="Q1317" s="34"/>
      <c r="R1317" s="34"/>
      <c r="V1317" s="44"/>
      <c r="X1317" s="95"/>
      <c r="Y1317" s="54"/>
      <c r="Z1317" s="54"/>
      <c r="AA1317" s="34"/>
      <c r="AB1317" s="34"/>
      <c r="AC1317" s="34"/>
      <c r="AD1317" s="34"/>
      <c r="AE1317" s="34"/>
      <c r="AF1317" s="34"/>
      <c r="AG1317" s="34"/>
      <c r="AH1317" s="34"/>
      <c r="AI1317" s="52"/>
      <c r="AJ1317" s="52"/>
      <c r="AL1317" s="34"/>
      <c r="AM1317" s="34"/>
      <c r="AN1317" s="34"/>
      <c r="AO1317" s="54"/>
      <c r="AP1317" s="34"/>
      <c r="AQ1317" s="34"/>
      <c r="AR1317" s="54"/>
      <c r="AS1317" s="54"/>
      <c r="AT1317" s="54"/>
      <c r="AU1317" s="54"/>
      <c r="AV1317" s="34"/>
      <c r="AW1317" s="34"/>
      <c r="AX1317" s="34"/>
      <c r="AY1317" s="34"/>
      <c r="AZ1317" s="34"/>
      <c r="BA1317" s="44"/>
      <c r="BB1317" s="34"/>
      <c r="BC1317" s="34"/>
    </row>
    <row r="1318" spans="1:55" x14ac:dyDescent="0.35" ht="15.0" customHeight="true">
      <c r="A1318" s="51"/>
      <c r="B1318" s="34"/>
      <c r="C1318" s="34"/>
      <c r="D1318" s="34"/>
      <c r="E1318" s="34"/>
      <c r="F1318" s="34"/>
      <c r="G1318" s="44"/>
      <c r="H1318" s="34"/>
      <c r="I1318" s="54"/>
      <c r="J1318" s="34"/>
      <c r="K1318" s="54"/>
      <c r="L1318" s="34"/>
      <c r="M1318" s="44"/>
      <c r="N1318" s="44"/>
      <c r="O1318" s="34"/>
      <c r="P1318" s="34"/>
      <c r="Q1318" s="34"/>
      <c r="R1318" s="34"/>
      <c r="V1318" s="44"/>
      <c r="X1318" s="95"/>
      <c r="Y1318" s="54"/>
      <c r="Z1318" s="54"/>
      <c r="AA1318" s="34"/>
      <c r="AB1318" s="34"/>
      <c r="AC1318" s="34"/>
      <c r="AD1318" s="34"/>
      <c r="AE1318" s="34"/>
      <c r="AF1318" s="34"/>
      <c r="AG1318" s="34"/>
      <c r="AH1318" s="34"/>
      <c r="AI1318" s="52"/>
      <c r="AJ1318" s="52"/>
      <c r="AL1318" s="34"/>
      <c r="AM1318" s="34"/>
      <c r="AN1318" s="34"/>
      <c r="AO1318" s="54"/>
      <c r="AP1318" s="34"/>
      <c r="AQ1318" s="34"/>
      <c r="AR1318" s="54"/>
      <c r="AS1318" s="54"/>
      <c r="AT1318" s="54"/>
      <c r="AU1318" s="54"/>
      <c r="AV1318" s="34"/>
      <c r="AW1318" s="34"/>
      <c r="AX1318" s="34"/>
      <c r="AY1318" s="34"/>
      <c r="AZ1318" s="34"/>
      <c r="BA1318" s="44"/>
      <c r="BB1318" s="34"/>
      <c r="BC1318" s="34"/>
    </row>
    <row r="1319" spans="1:55" x14ac:dyDescent="0.35" ht="15.0" customHeight="true">
      <c r="A1319" s="51"/>
      <c r="B1319" s="34"/>
      <c r="C1319" s="34"/>
      <c r="D1319" s="34"/>
      <c r="E1319" s="34"/>
      <c r="F1319" s="34"/>
      <c r="G1319" s="44"/>
      <c r="H1319" s="34"/>
      <c r="I1319" s="54"/>
      <c r="J1319" s="34"/>
      <c r="K1319" s="54"/>
      <c r="L1319" s="34"/>
      <c r="M1319" s="44"/>
      <c r="N1319" s="44"/>
      <c r="O1319" s="34"/>
      <c r="P1319" s="34"/>
      <c r="Q1319" s="34"/>
      <c r="R1319" s="34"/>
      <c r="V1319" s="44"/>
      <c r="X1319" s="95"/>
      <c r="Y1319" s="54"/>
      <c r="Z1319" s="54"/>
      <c r="AA1319" s="34"/>
      <c r="AB1319" s="34"/>
      <c r="AC1319" s="34"/>
      <c r="AD1319" s="34"/>
      <c r="AE1319" s="34"/>
      <c r="AF1319" s="34"/>
      <c r="AG1319" s="34"/>
      <c r="AH1319" s="34"/>
      <c r="AI1319" s="52"/>
      <c r="AJ1319" s="52"/>
      <c r="AL1319" s="34"/>
      <c r="AM1319" s="34"/>
      <c r="AN1319" s="34"/>
      <c r="AO1319" s="54"/>
      <c r="AP1319" s="34"/>
      <c r="AQ1319" s="34"/>
      <c r="AR1319" s="54"/>
      <c r="AS1319" s="54"/>
      <c r="AT1319" s="54"/>
      <c r="AU1319" s="54"/>
      <c r="AV1319" s="34"/>
      <c r="AW1319" s="34"/>
      <c r="AX1319" s="34"/>
      <c r="AY1319" s="34"/>
      <c r="AZ1319" s="34"/>
      <c r="BA1319" s="44"/>
      <c r="BB1319" s="34"/>
      <c r="BC1319" s="34"/>
    </row>
    <row r="1320" spans="1:55" x14ac:dyDescent="0.35" ht="15.0" customHeight="true">
      <c r="A1320" s="51"/>
      <c r="B1320" s="34"/>
      <c r="C1320" s="34"/>
      <c r="D1320" s="34"/>
      <c r="E1320" s="34"/>
      <c r="F1320" s="34"/>
      <c r="G1320" s="44"/>
      <c r="H1320" s="34"/>
      <c r="I1320" s="54"/>
      <c r="J1320" s="34"/>
      <c r="K1320" s="54"/>
      <c r="L1320" s="34"/>
      <c r="M1320" s="44"/>
      <c r="N1320" s="44"/>
      <c r="O1320" s="34"/>
      <c r="P1320" s="34"/>
      <c r="Q1320" s="34"/>
      <c r="R1320" s="34"/>
      <c r="V1320" s="44"/>
      <c r="X1320" s="95"/>
      <c r="Y1320" s="54"/>
      <c r="Z1320" s="54"/>
      <c r="AA1320" s="34"/>
      <c r="AB1320" s="34"/>
      <c r="AC1320" s="34"/>
      <c r="AD1320" s="34"/>
      <c r="AE1320" s="34"/>
      <c r="AF1320" s="34"/>
      <c r="AG1320" s="34"/>
      <c r="AH1320" s="34"/>
      <c r="AI1320" s="52"/>
      <c r="AJ1320" s="52"/>
      <c r="AL1320" s="34"/>
      <c r="AM1320" s="34"/>
      <c r="AN1320" s="34"/>
      <c r="AO1320" s="54"/>
      <c r="AP1320" s="34"/>
      <c r="AQ1320" s="34"/>
      <c r="AR1320" s="54"/>
      <c r="AS1320" s="54"/>
      <c r="AT1320" s="54"/>
      <c r="AU1320" s="54"/>
      <c r="AV1320" s="34"/>
      <c r="AW1320" s="34"/>
      <c r="AX1320" s="34"/>
      <c r="AY1320" s="34"/>
      <c r="AZ1320" s="34"/>
      <c r="BA1320" s="44"/>
      <c r="BB1320" s="34"/>
      <c r="BC1320" s="34"/>
    </row>
    <row r="1321" spans="1:55" x14ac:dyDescent="0.35" ht="15.0" customHeight="true">
      <c r="A1321" s="51"/>
      <c r="B1321" s="34"/>
      <c r="C1321" s="34"/>
      <c r="D1321" s="34"/>
      <c r="E1321" s="34"/>
      <c r="F1321" s="34"/>
      <c r="G1321" s="44"/>
      <c r="H1321" s="34"/>
      <c r="I1321" s="54"/>
      <c r="J1321" s="34"/>
      <c r="K1321" s="54"/>
      <c r="L1321" s="34"/>
      <c r="M1321" s="44"/>
      <c r="N1321" s="44"/>
      <c r="O1321" s="34"/>
      <c r="P1321" s="34"/>
      <c r="Q1321" s="34"/>
      <c r="R1321" s="34"/>
      <c r="V1321" s="44"/>
      <c r="X1321" s="95"/>
      <c r="Y1321" s="54"/>
      <c r="Z1321" s="54"/>
      <c r="AA1321" s="34"/>
      <c r="AB1321" s="34"/>
      <c r="AC1321" s="34"/>
      <c r="AD1321" s="34"/>
      <c r="AE1321" s="34"/>
      <c r="AF1321" s="34"/>
      <c r="AG1321" s="34"/>
      <c r="AH1321" s="34"/>
      <c r="AI1321" s="52"/>
      <c r="AJ1321" s="52"/>
      <c r="AL1321" s="34"/>
      <c r="AM1321" s="34"/>
      <c r="AN1321" s="34"/>
      <c r="AO1321" s="54"/>
      <c r="AP1321" s="34"/>
      <c r="AQ1321" s="34"/>
      <c r="AR1321" s="54"/>
      <c r="AS1321" s="54"/>
      <c r="AT1321" s="54"/>
      <c r="AU1321" s="54"/>
      <c r="AV1321" s="34"/>
      <c r="AW1321" s="34"/>
      <c r="AX1321" s="34"/>
      <c r="AY1321" s="34"/>
      <c r="AZ1321" s="34"/>
      <c r="BA1321" s="44"/>
      <c r="BB1321" s="34"/>
      <c r="BC1321" s="34"/>
    </row>
    <row r="1322" spans="1:55" x14ac:dyDescent="0.35" ht="15.0" customHeight="true">
      <c r="A1322" s="51"/>
      <c r="B1322" s="34"/>
      <c r="C1322" s="34"/>
      <c r="D1322" s="34"/>
      <c r="E1322" s="34"/>
      <c r="F1322" s="34"/>
      <c r="G1322" s="44"/>
      <c r="H1322" s="34"/>
      <c r="I1322" s="54"/>
      <c r="J1322" s="34"/>
      <c r="K1322" s="54"/>
      <c r="L1322" s="34"/>
      <c r="M1322" s="44"/>
      <c r="N1322" s="44"/>
      <c r="O1322" s="34"/>
      <c r="P1322" s="34"/>
      <c r="Q1322" s="34"/>
      <c r="R1322" s="34"/>
      <c r="V1322" s="44"/>
      <c r="X1322" s="95"/>
      <c r="Y1322" s="54"/>
      <c r="Z1322" s="54"/>
      <c r="AA1322" s="34"/>
      <c r="AB1322" s="34"/>
      <c r="AC1322" s="34"/>
      <c r="AD1322" s="34"/>
      <c r="AE1322" s="34"/>
      <c r="AF1322" s="34"/>
      <c r="AG1322" s="34"/>
      <c r="AH1322" s="34"/>
      <c r="AI1322" s="52"/>
      <c r="AJ1322" s="52"/>
      <c r="AL1322" s="34"/>
      <c r="AM1322" s="34"/>
      <c r="AN1322" s="34"/>
      <c r="AO1322" s="54"/>
      <c r="AP1322" s="34"/>
      <c r="AQ1322" s="34"/>
      <c r="AR1322" s="54"/>
      <c r="AS1322" s="54"/>
      <c r="AT1322" s="54"/>
      <c r="AU1322" s="54"/>
      <c r="AV1322" s="34"/>
      <c r="AW1322" s="34"/>
      <c r="AX1322" s="34"/>
      <c r="AY1322" s="34"/>
      <c r="AZ1322" s="34"/>
      <c r="BA1322" s="44"/>
      <c r="BB1322" s="34"/>
      <c r="BC1322" s="34"/>
    </row>
    <row r="1323" spans="1:55" x14ac:dyDescent="0.35" ht="15.0" customHeight="true">
      <c r="A1323" s="51"/>
      <c r="B1323" s="34"/>
      <c r="C1323" s="34"/>
      <c r="D1323" s="34"/>
      <c r="E1323" s="34"/>
      <c r="F1323" s="34"/>
      <c r="G1323" s="44"/>
      <c r="H1323" s="34"/>
      <c r="I1323" s="54"/>
      <c r="J1323" s="34"/>
      <c r="K1323" s="54"/>
      <c r="L1323" s="34"/>
      <c r="M1323" s="44"/>
      <c r="N1323" s="44"/>
      <c r="O1323" s="34"/>
      <c r="P1323" s="34"/>
      <c r="Q1323" s="34"/>
      <c r="R1323" s="34"/>
      <c r="V1323" s="44"/>
      <c r="X1323" s="95"/>
      <c r="Y1323" s="54"/>
      <c r="Z1323" s="54"/>
      <c r="AA1323" s="34"/>
      <c r="AB1323" s="34"/>
      <c r="AC1323" s="34"/>
      <c r="AD1323" s="34"/>
      <c r="AE1323" s="34"/>
      <c r="AF1323" s="34"/>
      <c r="AG1323" s="34"/>
      <c r="AH1323" s="34"/>
      <c r="AI1323" s="52"/>
      <c r="AJ1323" s="52"/>
      <c r="AL1323" s="34"/>
      <c r="AM1323" s="34"/>
      <c r="AN1323" s="34"/>
      <c r="AO1323" s="54"/>
      <c r="AP1323" s="34"/>
      <c r="AQ1323" s="34"/>
      <c r="AR1323" s="54"/>
      <c r="AS1323" s="54"/>
      <c r="AT1323" s="54"/>
      <c r="AU1323" s="54"/>
      <c r="AV1323" s="34"/>
      <c r="AW1323" s="34"/>
      <c r="AX1323" s="34"/>
      <c r="AY1323" s="34"/>
      <c r="AZ1323" s="34"/>
      <c r="BA1323" s="44"/>
      <c r="BB1323" s="34"/>
      <c r="BC1323" s="34"/>
    </row>
    <row r="1324" spans="1:55" x14ac:dyDescent="0.35" ht="15.0" customHeight="true">
      <c r="A1324" s="51"/>
      <c r="B1324" s="34"/>
      <c r="C1324" s="34"/>
      <c r="D1324" s="34"/>
      <c r="E1324" s="34"/>
      <c r="F1324" s="34"/>
      <c r="G1324" s="44"/>
      <c r="H1324" s="34"/>
      <c r="I1324" s="54"/>
      <c r="J1324" s="34"/>
      <c r="K1324" s="54"/>
      <c r="L1324" s="34"/>
      <c r="M1324" s="44"/>
      <c r="N1324" s="44"/>
      <c r="O1324" s="34"/>
      <c r="P1324" s="34"/>
      <c r="Q1324" s="34"/>
      <c r="R1324" s="34"/>
      <c r="V1324" s="44"/>
      <c r="X1324" s="95"/>
      <c r="Y1324" s="54"/>
      <c r="Z1324" s="54"/>
      <c r="AA1324" s="34"/>
      <c r="AB1324" s="34"/>
      <c r="AC1324" s="34"/>
      <c r="AD1324" s="34"/>
      <c r="AE1324" s="34"/>
      <c r="AF1324" s="34"/>
      <c r="AG1324" s="34"/>
      <c r="AH1324" s="34"/>
      <c r="AI1324" s="52"/>
      <c r="AJ1324" s="52"/>
      <c r="AL1324" s="34"/>
      <c r="AM1324" s="34"/>
      <c r="AN1324" s="34"/>
      <c r="AO1324" s="54"/>
      <c r="AP1324" s="34"/>
      <c r="AQ1324" s="34"/>
      <c r="AR1324" s="54"/>
      <c r="AS1324" s="54"/>
      <c r="AT1324" s="54"/>
      <c r="AU1324" s="54"/>
      <c r="AV1324" s="34"/>
      <c r="AW1324" s="34"/>
      <c r="AX1324" s="34"/>
      <c r="AY1324" s="34"/>
      <c r="AZ1324" s="34"/>
      <c r="BA1324" s="44"/>
      <c r="BB1324" s="34"/>
      <c r="BC1324" s="34"/>
    </row>
    <row r="1325" spans="1:55" x14ac:dyDescent="0.35" ht="15.0" customHeight="true">
      <c r="A1325" s="51"/>
      <c r="B1325" s="34"/>
      <c r="C1325" s="34"/>
      <c r="D1325" s="34"/>
      <c r="E1325" s="34"/>
      <c r="F1325" s="34"/>
      <c r="G1325" s="44"/>
      <c r="H1325" s="34"/>
      <c r="I1325" s="54"/>
      <c r="J1325" s="34"/>
      <c r="K1325" s="54"/>
      <c r="L1325" s="34"/>
      <c r="M1325" s="44"/>
      <c r="N1325" s="44"/>
      <c r="O1325" s="34"/>
      <c r="P1325" s="34"/>
      <c r="Q1325" s="34"/>
      <c r="R1325" s="34"/>
      <c r="V1325" s="44"/>
      <c r="X1325" s="95"/>
      <c r="Y1325" s="54"/>
      <c r="Z1325" s="54"/>
      <c r="AA1325" s="34"/>
      <c r="AB1325" s="34"/>
      <c r="AC1325" s="34"/>
      <c r="AD1325" s="34"/>
      <c r="AE1325" s="34"/>
      <c r="AF1325" s="34"/>
      <c r="AG1325" s="34"/>
      <c r="AH1325" s="34"/>
      <c r="AI1325" s="52"/>
      <c r="AJ1325" s="52"/>
      <c r="AL1325" s="34"/>
      <c r="AM1325" s="34"/>
      <c r="AN1325" s="34"/>
      <c r="AO1325" s="54"/>
      <c r="AP1325" s="34"/>
      <c r="AQ1325" s="34"/>
      <c r="AR1325" s="54"/>
      <c r="AS1325" s="54"/>
      <c r="AT1325" s="54"/>
      <c r="AU1325" s="54"/>
      <c r="AV1325" s="34"/>
      <c r="AW1325" s="34"/>
      <c r="AX1325" s="34"/>
      <c r="AY1325" s="34"/>
      <c r="AZ1325" s="34"/>
      <c r="BA1325" s="44"/>
      <c r="BB1325" s="34"/>
      <c r="BC1325" s="34"/>
    </row>
    <row r="1326" spans="1:55" x14ac:dyDescent="0.35" ht="15.0" customHeight="true">
      <c r="A1326" s="51"/>
      <c r="B1326" s="34"/>
      <c r="C1326" s="34"/>
      <c r="D1326" s="34"/>
      <c r="E1326" s="34"/>
      <c r="F1326" s="34"/>
      <c r="G1326" s="44"/>
      <c r="H1326" s="34"/>
      <c r="I1326" s="54"/>
      <c r="J1326" s="34"/>
      <c r="K1326" s="54"/>
      <c r="L1326" s="34"/>
      <c r="M1326" s="44"/>
      <c r="N1326" s="44"/>
      <c r="O1326" s="34"/>
      <c r="P1326" s="34"/>
      <c r="Q1326" s="34"/>
      <c r="R1326" s="34"/>
      <c r="V1326" s="44"/>
      <c r="X1326" s="95"/>
      <c r="Y1326" s="54"/>
      <c r="Z1326" s="54"/>
      <c r="AA1326" s="34"/>
      <c r="AB1326" s="34"/>
      <c r="AC1326" s="34"/>
      <c r="AD1326" s="34"/>
      <c r="AE1326" s="34"/>
      <c r="AF1326" s="34"/>
      <c r="AG1326" s="34"/>
      <c r="AH1326" s="34"/>
      <c r="AI1326" s="52"/>
      <c r="AJ1326" s="52"/>
      <c r="AL1326" s="34"/>
      <c r="AM1326" s="34"/>
      <c r="AN1326" s="34"/>
      <c r="AO1326" s="54"/>
      <c r="AP1326" s="34"/>
      <c r="AQ1326" s="34"/>
      <c r="AR1326" s="54"/>
      <c r="AS1326" s="54"/>
      <c r="AT1326" s="54"/>
      <c r="AU1326" s="54"/>
      <c r="AV1326" s="34"/>
      <c r="AW1326" s="34"/>
      <c r="AX1326" s="34"/>
      <c r="AY1326" s="34"/>
      <c r="AZ1326" s="34"/>
      <c r="BA1326" s="44"/>
      <c r="BB1326" s="34"/>
      <c r="BC1326" s="34"/>
    </row>
    <row r="1327" spans="1:55" x14ac:dyDescent="0.35" ht="15.0" customHeight="true">
      <c r="A1327" s="51"/>
      <c r="B1327" s="34"/>
      <c r="C1327" s="34"/>
      <c r="D1327" s="34"/>
      <c r="E1327" s="34"/>
      <c r="F1327" s="34"/>
      <c r="G1327" s="44"/>
      <c r="H1327" s="34"/>
      <c r="I1327" s="54"/>
      <c r="J1327" s="34"/>
      <c r="K1327" s="54"/>
      <c r="L1327" s="34"/>
      <c r="M1327" s="44"/>
      <c r="N1327" s="44"/>
      <c r="O1327" s="34"/>
      <c r="P1327" s="34"/>
      <c r="Q1327" s="34"/>
      <c r="R1327" s="34"/>
      <c r="V1327" s="44"/>
      <c r="X1327" s="95"/>
      <c r="Y1327" s="54"/>
      <c r="Z1327" s="54"/>
      <c r="AA1327" s="34"/>
      <c r="AB1327" s="34"/>
      <c r="AC1327" s="34"/>
      <c r="AD1327" s="34"/>
      <c r="AE1327" s="34"/>
      <c r="AF1327" s="34"/>
      <c r="AG1327" s="34"/>
      <c r="AH1327" s="34"/>
      <c r="AI1327" s="52"/>
      <c r="AJ1327" s="52"/>
      <c r="AL1327" s="34"/>
      <c r="AM1327" s="34"/>
      <c r="AN1327" s="34"/>
      <c r="AO1327" s="54"/>
      <c r="AP1327" s="34"/>
      <c r="AQ1327" s="34"/>
      <c r="AR1327" s="54"/>
      <c r="AS1327" s="54"/>
      <c r="AT1327" s="54"/>
      <c r="AU1327" s="54"/>
      <c r="AV1327" s="34"/>
      <c r="AW1327" s="34"/>
      <c r="AX1327" s="34"/>
      <c r="AY1327" s="34"/>
      <c r="AZ1327" s="34"/>
      <c r="BA1327" s="44"/>
      <c r="BB1327" s="34"/>
      <c r="BC1327" s="34"/>
    </row>
    <row r="1328" spans="1:55" x14ac:dyDescent="0.35" ht="15.0" customHeight="true">
      <c r="A1328" s="51"/>
      <c r="B1328" s="34"/>
      <c r="C1328" s="34"/>
      <c r="D1328" s="34"/>
      <c r="E1328" s="34"/>
      <c r="F1328" s="34"/>
      <c r="G1328" s="44"/>
      <c r="H1328" s="34"/>
      <c r="I1328" s="54"/>
      <c r="J1328" s="34"/>
      <c r="K1328" s="54"/>
      <c r="L1328" s="34"/>
      <c r="M1328" s="44"/>
      <c r="N1328" s="44"/>
      <c r="O1328" s="34"/>
      <c r="P1328" s="34"/>
      <c r="Q1328" s="34"/>
      <c r="R1328" s="34"/>
      <c r="V1328" s="44"/>
      <c r="X1328" s="95"/>
      <c r="Y1328" s="54"/>
      <c r="Z1328" s="54"/>
      <c r="AA1328" s="34"/>
      <c r="AB1328" s="34"/>
      <c r="AC1328" s="34"/>
      <c r="AD1328" s="34"/>
      <c r="AE1328" s="34"/>
      <c r="AF1328" s="34"/>
      <c r="AG1328" s="34"/>
      <c r="AH1328" s="34"/>
      <c r="AI1328" s="52"/>
      <c r="AJ1328" s="52"/>
      <c r="AL1328" s="34"/>
      <c r="AM1328" s="34"/>
      <c r="AN1328" s="34"/>
      <c r="AO1328" s="54"/>
      <c r="AP1328" s="34"/>
      <c r="AQ1328" s="34"/>
      <c r="AR1328" s="54"/>
      <c r="AS1328" s="54"/>
      <c r="AT1328" s="54"/>
      <c r="AU1328" s="54"/>
      <c r="AV1328" s="34"/>
      <c r="AW1328" s="34"/>
      <c r="AX1328" s="34"/>
      <c r="AY1328" s="34"/>
      <c r="AZ1328" s="34"/>
      <c r="BA1328" s="44"/>
      <c r="BB1328" s="34"/>
      <c r="BC1328" s="34"/>
    </row>
    <row r="1329" spans="1:55" x14ac:dyDescent="0.35" ht="15.0" customHeight="true">
      <c r="A1329" s="51"/>
      <c r="B1329" s="34"/>
      <c r="C1329" s="34"/>
      <c r="D1329" s="34"/>
      <c r="E1329" s="34"/>
      <c r="F1329" s="34"/>
      <c r="G1329" s="44"/>
      <c r="H1329" s="34"/>
      <c r="I1329" s="54"/>
      <c r="J1329" s="34"/>
      <c r="K1329" s="54"/>
      <c r="L1329" s="34"/>
      <c r="M1329" s="44"/>
      <c r="N1329" s="44"/>
      <c r="O1329" s="34"/>
      <c r="P1329" s="34"/>
      <c r="Q1329" s="34"/>
      <c r="R1329" s="34"/>
      <c r="V1329" s="44"/>
      <c r="X1329" s="95"/>
      <c r="Y1329" s="54"/>
      <c r="Z1329" s="54"/>
      <c r="AA1329" s="34"/>
      <c r="AB1329" s="34"/>
      <c r="AC1329" s="34"/>
      <c r="AD1329" s="34"/>
      <c r="AE1329" s="34"/>
      <c r="AF1329" s="34"/>
      <c r="AG1329" s="34"/>
      <c r="AH1329" s="34"/>
      <c r="AI1329" s="52"/>
      <c r="AJ1329" s="52"/>
      <c r="AL1329" s="34"/>
      <c r="AM1329" s="34"/>
      <c r="AN1329" s="34"/>
      <c r="AO1329" s="54"/>
      <c r="AP1329" s="34"/>
      <c r="AQ1329" s="34"/>
      <c r="AR1329" s="54"/>
      <c r="AS1329" s="54"/>
      <c r="AT1329" s="54"/>
      <c r="AU1329" s="54"/>
      <c r="AV1329" s="34"/>
      <c r="AW1329" s="34"/>
      <c r="AX1329" s="34"/>
      <c r="AY1329" s="34"/>
      <c r="AZ1329" s="34"/>
      <c r="BA1329" s="44"/>
      <c r="BB1329" s="34"/>
      <c r="BC1329" s="34"/>
    </row>
    <row r="1330" spans="1:55" x14ac:dyDescent="0.35" ht="15.0" customHeight="true">
      <c r="A1330" s="51"/>
      <c r="B1330" s="34"/>
      <c r="C1330" s="34"/>
      <c r="D1330" s="34"/>
      <c r="E1330" s="34"/>
      <c r="F1330" s="34"/>
      <c r="G1330" s="44"/>
      <c r="H1330" s="34"/>
      <c r="I1330" s="54"/>
      <c r="J1330" s="34"/>
      <c r="K1330" s="54"/>
      <c r="L1330" s="34"/>
      <c r="M1330" s="44"/>
      <c r="N1330" s="44"/>
      <c r="O1330" s="34"/>
      <c r="P1330" s="34"/>
      <c r="Q1330" s="34"/>
      <c r="R1330" s="34"/>
      <c r="V1330" s="44"/>
      <c r="X1330" s="95"/>
      <c r="Y1330" s="54"/>
      <c r="Z1330" s="54"/>
      <c r="AA1330" s="34"/>
      <c r="AB1330" s="34"/>
      <c r="AC1330" s="34"/>
      <c r="AD1330" s="34"/>
      <c r="AE1330" s="34"/>
      <c r="AF1330" s="34"/>
      <c r="AG1330" s="34"/>
      <c r="AH1330" s="34"/>
      <c r="AI1330" s="52"/>
      <c r="AJ1330" s="52"/>
      <c r="AL1330" s="34"/>
      <c r="AM1330" s="34"/>
      <c r="AN1330" s="34"/>
      <c r="AO1330" s="54"/>
      <c r="AP1330" s="34"/>
      <c r="AQ1330" s="34"/>
      <c r="AR1330" s="54"/>
      <c r="AS1330" s="54"/>
      <c r="AT1330" s="54"/>
      <c r="AU1330" s="54"/>
      <c r="AV1330" s="34"/>
      <c r="AW1330" s="34"/>
      <c r="AX1330" s="34"/>
      <c r="AY1330" s="34"/>
      <c r="AZ1330" s="34"/>
      <c r="BA1330" s="44"/>
      <c r="BB1330" s="34"/>
      <c r="BC1330" s="34"/>
    </row>
    <row r="1331" spans="1:55" x14ac:dyDescent="0.35" ht="15.0" customHeight="true">
      <c r="A1331" s="51"/>
      <c r="B1331" s="34"/>
      <c r="C1331" s="34"/>
      <c r="D1331" s="34"/>
      <c r="E1331" s="34"/>
      <c r="F1331" s="34"/>
      <c r="G1331" s="44"/>
      <c r="H1331" s="34"/>
      <c r="I1331" s="54"/>
      <c r="J1331" s="34"/>
      <c r="K1331" s="54"/>
      <c r="L1331" s="34"/>
      <c r="M1331" s="44"/>
      <c r="N1331" s="44"/>
      <c r="O1331" s="34"/>
      <c r="P1331" s="34"/>
      <c r="Q1331" s="34"/>
      <c r="R1331" s="34"/>
      <c r="V1331" s="44"/>
      <c r="X1331" s="95"/>
      <c r="Y1331" s="54"/>
      <c r="Z1331" s="54"/>
      <c r="AA1331" s="34"/>
      <c r="AB1331" s="34"/>
      <c r="AC1331" s="34"/>
      <c r="AD1331" s="34"/>
      <c r="AE1331" s="34"/>
      <c r="AF1331" s="34"/>
      <c r="AG1331" s="34"/>
      <c r="AH1331" s="34"/>
      <c r="AI1331" s="52"/>
      <c r="AJ1331" s="52"/>
      <c r="AL1331" s="34"/>
      <c r="AM1331" s="34"/>
      <c r="AN1331" s="34"/>
      <c r="AO1331" s="54"/>
      <c r="AP1331" s="34"/>
      <c r="AQ1331" s="34"/>
      <c r="AR1331" s="54"/>
      <c r="AS1331" s="54"/>
      <c r="AT1331" s="54"/>
      <c r="AU1331" s="54"/>
      <c r="AV1331" s="34"/>
      <c r="AW1331" s="34"/>
      <c r="AX1331" s="34"/>
      <c r="AY1331" s="34"/>
      <c r="AZ1331" s="34"/>
      <c r="BA1331" s="44"/>
      <c r="BB1331" s="34"/>
      <c r="BC1331" s="34"/>
    </row>
    <row r="1332" spans="1:55" x14ac:dyDescent="0.35" ht="15.0" customHeight="true">
      <c r="A1332" s="51"/>
      <c r="B1332" s="34"/>
      <c r="C1332" s="34"/>
      <c r="D1332" s="34"/>
      <c r="E1332" s="34"/>
      <c r="F1332" s="34"/>
      <c r="G1332" s="44"/>
      <c r="H1332" s="34"/>
      <c r="I1332" s="54"/>
      <c r="J1332" s="34"/>
      <c r="K1332" s="54"/>
      <c r="L1332" s="34"/>
      <c r="M1332" s="44"/>
      <c r="N1332" s="44"/>
      <c r="O1332" s="34"/>
      <c r="P1332" s="34"/>
      <c r="Q1332" s="34"/>
      <c r="R1332" s="34"/>
      <c r="V1332" s="44"/>
      <c r="X1332" s="95"/>
      <c r="Y1332" s="54"/>
      <c r="Z1332" s="54"/>
      <c r="AA1332" s="34"/>
      <c r="AB1332" s="34"/>
      <c r="AC1332" s="34"/>
      <c r="AD1332" s="34"/>
      <c r="AE1332" s="34"/>
      <c r="AF1332" s="34"/>
      <c r="AG1332" s="34"/>
      <c r="AH1332" s="34"/>
      <c r="AI1332" s="52"/>
      <c r="AJ1332" s="52"/>
      <c r="AL1332" s="34"/>
      <c r="AM1332" s="34"/>
      <c r="AN1332" s="34"/>
      <c r="AO1332" s="54"/>
      <c r="AP1332" s="34"/>
      <c r="AQ1332" s="34"/>
      <c r="AR1332" s="54"/>
      <c r="AS1332" s="54"/>
      <c r="AT1332" s="54"/>
      <c r="AU1332" s="54"/>
      <c r="AV1332" s="34"/>
      <c r="AW1332" s="34"/>
      <c r="AX1332" s="34"/>
      <c r="AY1332" s="34"/>
      <c r="AZ1332" s="34"/>
      <c r="BA1332" s="44"/>
      <c r="BB1332" s="34"/>
      <c r="BC1332" s="34"/>
    </row>
    <row r="1333" spans="1:55" x14ac:dyDescent="0.35" ht="15.0" customHeight="true">
      <c r="A1333" s="51"/>
      <c r="B1333" s="34"/>
      <c r="C1333" s="34"/>
      <c r="D1333" s="34"/>
      <c r="E1333" s="34"/>
      <c r="F1333" s="34"/>
      <c r="G1333" s="44"/>
      <c r="H1333" s="34"/>
      <c r="I1333" s="54"/>
      <c r="J1333" s="34"/>
      <c r="K1333" s="54"/>
      <c r="L1333" s="34"/>
      <c r="M1333" s="44"/>
      <c r="N1333" s="44"/>
      <c r="O1333" s="34"/>
      <c r="P1333" s="34"/>
      <c r="Q1333" s="34"/>
      <c r="R1333" s="34"/>
      <c r="V1333" s="44"/>
      <c r="X1333" s="95"/>
      <c r="Y1333" s="54"/>
      <c r="Z1333" s="54"/>
      <c r="AA1333" s="34"/>
      <c r="AB1333" s="34"/>
      <c r="AC1333" s="34"/>
      <c r="AD1333" s="34"/>
      <c r="AE1333" s="34"/>
      <c r="AF1333" s="34"/>
      <c r="AG1333" s="34"/>
      <c r="AH1333" s="34"/>
      <c r="AI1333" s="52"/>
      <c r="AJ1333" s="52"/>
      <c r="AL1333" s="34"/>
      <c r="AM1333" s="34"/>
      <c r="AN1333" s="34"/>
      <c r="AO1333" s="54"/>
      <c r="AP1333" s="34"/>
      <c r="AQ1333" s="34"/>
      <c r="AR1333" s="54"/>
      <c r="AS1333" s="54"/>
      <c r="AT1333" s="54"/>
      <c r="AU1333" s="54"/>
      <c r="AV1333" s="34"/>
      <c r="AW1333" s="34"/>
      <c r="AX1333" s="34"/>
      <c r="AY1333" s="34"/>
      <c r="AZ1333" s="34"/>
      <c r="BA1333" s="44"/>
      <c r="BB1333" s="34"/>
      <c r="BC1333" s="34"/>
    </row>
    <row r="1334" spans="1:55" x14ac:dyDescent="0.35" ht="15.0" customHeight="true">
      <c r="A1334" s="51"/>
      <c r="B1334" s="34"/>
      <c r="C1334" s="34"/>
      <c r="D1334" s="34"/>
      <c r="E1334" s="34"/>
      <c r="F1334" s="34"/>
      <c r="G1334" s="44"/>
      <c r="H1334" s="34"/>
      <c r="I1334" s="54"/>
      <c r="J1334" s="34"/>
      <c r="K1334" s="54"/>
      <c r="L1334" s="34"/>
      <c r="M1334" s="44"/>
      <c r="N1334" s="44"/>
      <c r="O1334" s="34"/>
      <c r="P1334" s="34"/>
      <c r="Q1334" s="34"/>
      <c r="R1334" s="34"/>
      <c r="V1334" s="44"/>
      <c r="X1334" s="95"/>
      <c r="Y1334" s="54"/>
      <c r="Z1334" s="54"/>
      <c r="AA1334" s="34"/>
      <c r="AB1334" s="34"/>
      <c r="AC1334" s="34"/>
      <c r="AD1334" s="34"/>
      <c r="AE1334" s="34"/>
      <c r="AF1334" s="34"/>
      <c r="AG1334" s="34"/>
      <c r="AH1334" s="34"/>
      <c r="AI1334" s="52"/>
      <c r="AJ1334" s="52"/>
      <c r="AL1334" s="34"/>
      <c r="AM1334" s="34"/>
      <c r="AN1334" s="34"/>
      <c r="AO1334" s="54"/>
      <c r="AP1334" s="34"/>
      <c r="AQ1334" s="34"/>
      <c r="AR1334" s="54"/>
      <c r="AS1334" s="54"/>
      <c r="AT1334" s="54"/>
      <c r="AU1334" s="54"/>
      <c r="AV1334" s="34"/>
      <c r="AW1334" s="34"/>
      <c r="AX1334" s="34"/>
      <c r="AY1334" s="34"/>
      <c r="AZ1334" s="34"/>
      <c r="BA1334" s="44"/>
      <c r="BB1334" s="34"/>
      <c r="BC1334" s="34"/>
    </row>
    <row r="1335" spans="1:55" x14ac:dyDescent="0.35" ht="15.0" customHeight="true">
      <c r="A1335" s="51"/>
      <c r="B1335" s="34"/>
      <c r="C1335" s="34"/>
      <c r="D1335" s="34"/>
      <c r="E1335" s="34"/>
      <c r="F1335" s="34"/>
      <c r="G1335" s="44"/>
      <c r="H1335" s="34"/>
      <c r="I1335" s="54"/>
      <c r="J1335" s="34"/>
      <c r="K1335" s="54"/>
      <c r="L1335" s="34"/>
      <c r="M1335" s="44"/>
      <c r="N1335" s="44"/>
      <c r="O1335" s="34"/>
      <c r="P1335" s="34"/>
      <c r="Q1335" s="34"/>
      <c r="R1335" s="34"/>
      <c r="V1335" s="44"/>
      <c r="X1335" s="95"/>
      <c r="Y1335" s="54"/>
      <c r="Z1335" s="54"/>
      <c r="AA1335" s="34"/>
      <c r="AB1335" s="34"/>
      <c r="AC1335" s="34"/>
      <c r="AD1335" s="34"/>
      <c r="AE1335" s="34"/>
      <c r="AF1335" s="34"/>
      <c r="AG1335" s="34"/>
      <c r="AH1335" s="34"/>
      <c r="AI1335" s="52"/>
      <c r="AJ1335" s="52"/>
      <c r="AL1335" s="34"/>
      <c r="AM1335" s="34"/>
      <c r="AN1335" s="34"/>
      <c r="AO1335" s="54"/>
      <c r="AP1335" s="34"/>
      <c r="AQ1335" s="34"/>
      <c r="AR1335" s="54"/>
      <c r="AS1335" s="54"/>
      <c r="AT1335" s="54"/>
      <c r="AU1335" s="54"/>
      <c r="AV1335" s="34"/>
      <c r="AW1335" s="34"/>
      <c r="AX1335" s="34"/>
      <c r="AY1335" s="34"/>
      <c r="AZ1335" s="34"/>
      <c r="BA1335" s="44"/>
      <c r="BB1335" s="34"/>
      <c r="BC1335" s="34"/>
    </row>
    <row r="1336" spans="1:55" x14ac:dyDescent="0.35" ht="15.0" customHeight="true">
      <c r="A1336" s="51"/>
      <c r="B1336" s="34"/>
      <c r="C1336" s="34"/>
      <c r="D1336" s="34"/>
      <c r="E1336" s="34"/>
      <c r="F1336" s="34"/>
      <c r="G1336" s="44"/>
      <c r="H1336" s="34"/>
      <c r="I1336" s="54"/>
      <c r="J1336" s="34"/>
      <c r="K1336" s="54"/>
      <c r="L1336" s="34"/>
      <c r="M1336" s="44"/>
      <c r="N1336" s="44"/>
      <c r="O1336" s="34"/>
      <c r="P1336" s="34"/>
      <c r="Q1336" s="34"/>
      <c r="R1336" s="34"/>
      <c r="V1336" s="44"/>
      <c r="X1336" s="95"/>
      <c r="Y1336" s="54"/>
      <c r="Z1336" s="54"/>
      <c r="AA1336" s="34"/>
      <c r="AB1336" s="34"/>
      <c r="AC1336" s="34"/>
      <c r="AD1336" s="34"/>
      <c r="AE1336" s="34"/>
      <c r="AF1336" s="34"/>
      <c r="AG1336" s="34"/>
      <c r="AH1336" s="34"/>
      <c r="AI1336" s="52"/>
      <c r="AJ1336" s="52"/>
      <c r="AL1336" s="34"/>
      <c r="AM1336" s="34"/>
      <c r="AN1336" s="34"/>
      <c r="AO1336" s="54"/>
      <c r="AP1336" s="34"/>
      <c r="AQ1336" s="34"/>
      <c r="AR1336" s="54"/>
      <c r="AS1336" s="54"/>
      <c r="AT1336" s="54"/>
      <c r="AU1336" s="54"/>
      <c r="AV1336" s="34"/>
      <c r="AW1336" s="34"/>
      <c r="AX1336" s="34"/>
      <c r="AY1336" s="34"/>
      <c r="AZ1336" s="34"/>
      <c r="BA1336" s="44"/>
      <c r="BB1336" s="34"/>
      <c r="BC1336" s="34"/>
    </row>
    <row r="1337" spans="1:55" x14ac:dyDescent="0.35" ht="15.0" customHeight="true">
      <c r="A1337" s="51"/>
      <c r="B1337" s="34"/>
      <c r="C1337" s="34"/>
      <c r="D1337" s="34"/>
      <c r="E1337" s="34"/>
      <c r="F1337" s="34"/>
      <c r="G1337" s="44"/>
      <c r="H1337" s="34"/>
      <c r="I1337" s="54"/>
      <c r="J1337" s="34"/>
      <c r="K1337" s="54"/>
      <c r="L1337" s="34"/>
      <c r="M1337" s="44"/>
      <c r="N1337" s="44"/>
      <c r="O1337" s="34"/>
      <c r="P1337" s="34"/>
      <c r="Q1337" s="34"/>
      <c r="R1337" s="34"/>
      <c r="V1337" s="44"/>
      <c r="X1337" s="95"/>
      <c r="Y1337" s="54"/>
      <c r="Z1337" s="54"/>
      <c r="AA1337" s="34"/>
      <c r="AB1337" s="34"/>
      <c r="AC1337" s="34"/>
      <c r="AD1337" s="34"/>
      <c r="AE1337" s="34"/>
      <c r="AF1337" s="34"/>
      <c r="AG1337" s="34"/>
      <c r="AH1337" s="34"/>
      <c r="AI1337" s="52"/>
      <c r="AJ1337" s="52"/>
      <c r="AL1337" s="34"/>
      <c r="AM1337" s="34"/>
      <c r="AN1337" s="34"/>
      <c r="AO1337" s="54"/>
      <c r="AP1337" s="34"/>
      <c r="AQ1337" s="34"/>
      <c r="AR1337" s="54"/>
      <c r="AS1337" s="54"/>
      <c r="AT1337" s="54"/>
      <c r="AU1337" s="54"/>
      <c r="AV1337" s="34"/>
      <c r="AW1337" s="34"/>
      <c r="AX1337" s="34"/>
      <c r="AY1337" s="34"/>
      <c r="AZ1337" s="34"/>
      <c r="BA1337" s="44"/>
      <c r="BB1337" s="34"/>
      <c r="BC1337" s="34"/>
    </row>
    <row r="1338" spans="1:55" x14ac:dyDescent="0.35" ht="15.0" customHeight="true">
      <c r="A1338" s="51"/>
      <c r="B1338" s="34"/>
      <c r="C1338" s="34"/>
      <c r="D1338" s="34"/>
      <c r="E1338" s="34"/>
      <c r="F1338" s="34"/>
      <c r="G1338" s="44"/>
      <c r="H1338" s="34"/>
      <c r="I1338" s="54"/>
      <c r="J1338" s="34"/>
      <c r="K1338" s="54"/>
      <c r="L1338" s="34"/>
      <c r="M1338" s="44"/>
      <c r="N1338" s="44"/>
      <c r="O1338" s="34"/>
      <c r="P1338" s="34"/>
      <c r="Q1338" s="34"/>
      <c r="R1338" s="34"/>
      <c r="V1338" s="44"/>
      <c r="X1338" s="95"/>
      <c r="Y1338" s="54"/>
      <c r="Z1338" s="54"/>
      <c r="AA1338" s="34"/>
      <c r="AB1338" s="34"/>
      <c r="AC1338" s="34"/>
      <c r="AD1338" s="34"/>
      <c r="AE1338" s="34"/>
      <c r="AF1338" s="34"/>
      <c r="AG1338" s="34"/>
      <c r="AH1338" s="34"/>
      <c r="AI1338" s="52"/>
      <c r="AJ1338" s="52"/>
      <c r="AL1338" s="34"/>
      <c r="AM1338" s="34"/>
      <c r="AN1338" s="34"/>
      <c r="AO1338" s="54"/>
      <c r="AP1338" s="34"/>
      <c r="AQ1338" s="34"/>
      <c r="AR1338" s="54"/>
      <c r="AS1338" s="54"/>
      <c r="AT1338" s="54"/>
      <c r="AU1338" s="54"/>
      <c r="AV1338" s="34"/>
      <c r="AW1338" s="34"/>
      <c r="AX1338" s="34"/>
      <c r="AY1338" s="34"/>
      <c r="AZ1338" s="34"/>
      <c r="BA1338" s="44"/>
      <c r="BB1338" s="34"/>
      <c r="BC1338" s="34"/>
    </row>
    <row r="1339" spans="1:55" x14ac:dyDescent="0.35" ht="15.0" customHeight="true">
      <c r="A1339" s="51"/>
      <c r="B1339" s="34"/>
      <c r="C1339" s="34"/>
      <c r="D1339" s="34"/>
      <c r="E1339" s="34"/>
      <c r="F1339" s="34"/>
      <c r="G1339" s="44"/>
      <c r="H1339" s="34"/>
      <c r="I1339" s="54"/>
      <c r="J1339" s="34"/>
      <c r="K1339" s="54"/>
      <c r="L1339" s="34"/>
      <c r="M1339" s="44"/>
      <c r="N1339" s="44"/>
      <c r="O1339" s="34"/>
      <c r="P1339" s="34"/>
      <c r="Q1339" s="34"/>
      <c r="R1339" s="34"/>
      <c r="V1339" s="44"/>
      <c r="X1339" s="95"/>
      <c r="Y1339" s="54"/>
      <c r="Z1339" s="54"/>
      <c r="AA1339" s="34"/>
      <c r="AB1339" s="34"/>
      <c r="AC1339" s="34"/>
      <c r="AD1339" s="34"/>
      <c r="AE1339" s="34"/>
      <c r="AF1339" s="34"/>
      <c r="AG1339" s="34"/>
      <c r="AH1339" s="34"/>
      <c r="AI1339" s="52"/>
      <c r="AJ1339" s="52"/>
      <c r="AL1339" s="34"/>
      <c r="AM1339" s="34"/>
      <c r="AN1339" s="34"/>
      <c r="AO1339" s="54"/>
      <c r="AP1339" s="34"/>
      <c r="AQ1339" s="34"/>
      <c r="AR1339" s="54"/>
      <c r="AS1339" s="54"/>
      <c r="AT1339" s="54"/>
      <c r="AU1339" s="54"/>
      <c r="AV1339" s="34"/>
      <c r="AW1339" s="34"/>
      <c r="AX1339" s="34"/>
      <c r="AY1339" s="34"/>
      <c r="AZ1339" s="34"/>
      <c r="BA1339" s="44"/>
      <c r="BB1339" s="34"/>
      <c r="BC1339" s="34"/>
    </row>
    <row r="1340" spans="1:55" x14ac:dyDescent="0.35" ht="15.0" customHeight="true">
      <c r="A1340" s="51"/>
      <c r="B1340" s="34"/>
      <c r="C1340" s="34"/>
      <c r="D1340" s="34"/>
      <c r="E1340" s="34"/>
      <c r="F1340" s="34"/>
      <c r="G1340" s="44"/>
      <c r="H1340" s="34"/>
      <c r="I1340" s="54"/>
      <c r="J1340" s="34"/>
      <c r="K1340" s="54"/>
      <c r="L1340" s="34"/>
      <c r="M1340" s="44"/>
      <c r="N1340" s="44"/>
      <c r="O1340" s="34"/>
      <c r="P1340" s="34"/>
      <c r="Q1340" s="34"/>
      <c r="R1340" s="34"/>
      <c r="V1340" s="44"/>
      <c r="X1340" s="95"/>
      <c r="Y1340" s="54"/>
      <c r="Z1340" s="54"/>
      <c r="AA1340" s="34"/>
      <c r="AB1340" s="34"/>
      <c r="AC1340" s="34"/>
      <c r="AD1340" s="34"/>
      <c r="AE1340" s="34"/>
      <c r="AF1340" s="34"/>
      <c r="AG1340" s="34"/>
      <c r="AH1340" s="34"/>
      <c r="AI1340" s="52"/>
      <c r="AJ1340" s="52"/>
      <c r="AL1340" s="34"/>
      <c r="AM1340" s="34"/>
      <c r="AN1340" s="34"/>
      <c r="AO1340" s="54"/>
      <c r="AP1340" s="34"/>
      <c r="AQ1340" s="34"/>
      <c r="AR1340" s="54"/>
      <c r="AS1340" s="54"/>
      <c r="AT1340" s="54"/>
      <c r="AU1340" s="54"/>
      <c r="AV1340" s="34"/>
      <c r="AW1340" s="34"/>
      <c r="AX1340" s="34"/>
      <c r="AY1340" s="34"/>
      <c r="AZ1340" s="34"/>
      <c r="BA1340" s="44"/>
      <c r="BB1340" s="34"/>
      <c r="BC1340" s="34"/>
    </row>
    <row r="1341" spans="1:55" x14ac:dyDescent="0.35" ht="15.0" customHeight="true">
      <c r="A1341" s="51"/>
      <c r="B1341" s="34"/>
      <c r="C1341" s="34"/>
      <c r="D1341" s="34"/>
      <c r="E1341" s="34"/>
      <c r="F1341" s="34"/>
      <c r="G1341" s="44"/>
      <c r="H1341" s="34"/>
      <c r="I1341" s="54"/>
      <c r="J1341" s="34"/>
      <c r="K1341" s="54"/>
      <c r="L1341" s="34"/>
      <c r="M1341" s="44"/>
      <c r="N1341" s="44"/>
      <c r="O1341" s="34"/>
      <c r="P1341" s="34"/>
      <c r="Q1341" s="34"/>
      <c r="R1341" s="34"/>
      <c r="V1341" s="44"/>
      <c r="X1341" s="95"/>
      <c r="Y1341" s="54"/>
      <c r="Z1341" s="54"/>
      <c r="AA1341" s="34"/>
      <c r="AB1341" s="34"/>
      <c r="AC1341" s="34"/>
      <c r="AD1341" s="34"/>
      <c r="AE1341" s="34"/>
      <c r="AF1341" s="34"/>
      <c r="AG1341" s="34"/>
      <c r="AH1341" s="34"/>
      <c r="AI1341" s="52"/>
      <c r="AJ1341" s="52"/>
      <c r="AL1341" s="34"/>
      <c r="AM1341" s="34"/>
      <c r="AN1341" s="34"/>
      <c r="AO1341" s="54"/>
      <c r="AP1341" s="34"/>
      <c r="AQ1341" s="34"/>
      <c r="AR1341" s="54"/>
      <c r="AS1341" s="54"/>
      <c r="AT1341" s="54"/>
      <c r="AU1341" s="54"/>
      <c r="AV1341" s="34"/>
      <c r="AW1341" s="34"/>
      <c r="AX1341" s="34"/>
      <c r="AY1341" s="34"/>
      <c r="AZ1341" s="34"/>
      <c r="BA1341" s="44"/>
      <c r="BB1341" s="34"/>
      <c r="BC1341" s="34"/>
    </row>
    <row r="1342" spans="1:55" x14ac:dyDescent="0.35" ht="15.0" customHeight="true">
      <c r="A1342" s="51"/>
      <c r="B1342" s="34"/>
      <c r="C1342" s="34"/>
      <c r="D1342" s="34"/>
      <c r="E1342" s="34"/>
      <c r="F1342" s="34"/>
      <c r="G1342" s="44"/>
      <c r="H1342" s="34"/>
      <c r="I1342" s="54"/>
      <c r="J1342" s="34"/>
      <c r="K1342" s="54"/>
      <c r="L1342" s="34"/>
      <c r="M1342" s="44"/>
      <c r="N1342" s="44"/>
      <c r="O1342" s="34"/>
      <c r="P1342" s="34"/>
      <c r="Q1342" s="34"/>
      <c r="R1342" s="34"/>
      <c r="V1342" s="44"/>
      <c r="X1342" s="95"/>
      <c r="Y1342" s="54"/>
      <c r="Z1342" s="54"/>
      <c r="AA1342" s="34"/>
      <c r="AB1342" s="34"/>
      <c r="AC1342" s="34"/>
      <c r="AD1342" s="34"/>
      <c r="AE1342" s="34"/>
      <c r="AF1342" s="34"/>
      <c r="AG1342" s="34"/>
      <c r="AH1342" s="34"/>
      <c r="AI1342" s="52"/>
      <c r="AJ1342" s="52"/>
      <c r="AL1342" s="34"/>
      <c r="AM1342" s="34"/>
      <c r="AN1342" s="34"/>
      <c r="AO1342" s="54"/>
      <c r="AP1342" s="34"/>
      <c r="AQ1342" s="34"/>
      <c r="AR1342" s="54"/>
      <c r="AS1342" s="54"/>
      <c r="AT1342" s="54"/>
      <c r="AU1342" s="54"/>
      <c r="AV1342" s="34"/>
      <c r="AW1342" s="34"/>
      <c r="AX1342" s="34"/>
      <c r="AY1342" s="34"/>
      <c r="AZ1342" s="34"/>
      <c r="BA1342" s="44"/>
      <c r="BB1342" s="34"/>
      <c r="BC1342" s="34"/>
    </row>
    <row r="1343" spans="1:55" x14ac:dyDescent="0.35" ht="15.0" customHeight="true">
      <c r="A1343" s="51"/>
      <c r="B1343" s="34"/>
      <c r="C1343" s="34"/>
      <c r="D1343" s="34"/>
      <c r="E1343" s="34"/>
      <c r="F1343" s="34"/>
      <c r="G1343" s="44"/>
      <c r="H1343" s="34"/>
      <c r="I1343" s="54"/>
      <c r="J1343" s="34"/>
      <c r="K1343" s="54"/>
      <c r="L1343" s="34"/>
      <c r="M1343" s="44"/>
      <c r="N1343" s="44"/>
      <c r="O1343" s="34"/>
      <c r="P1343" s="34"/>
      <c r="Q1343" s="34"/>
      <c r="R1343" s="34"/>
      <c r="V1343" s="44"/>
      <c r="X1343" s="95"/>
      <c r="Y1343" s="54"/>
      <c r="Z1343" s="54"/>
      <c r="AA1343" s="34"/>
      <c r="AB1343" s="34"/>
      <c r="AC1343" s="34"/>
      <c r="AD1343" s="34"/>
      <c r="AE1343" s="34"/>
      <c r="AF1343" s="34"/>
      <c r="AG1343" s="34"/>
      <c r="AH1343" s="34"/>
      <c r="AI1343" s="52"/>
      <c r="AJ1343" s="52"/>
      <c r="AL1343" s="34"/>
      <c r="AM1343" s="34"/>
      <c r="AN1343" s="34"/>
      <c r="AO1343" s="54"/>
      <c r="AP1343" s="34"/>
      <c r="AQ1343" s="34"/>
      <c r="AR1343" s="54"/>
      <c r="AS1343" s="54"/>
      <c r="AT1343" s="54"/>
      <c r="AU1343" s="54"/>
      <c r="AV1343" s="34"/>
      <c r="AW1343" s="34"/>
      <c r="AX1343" s="34"/>
      <c r="AY1343" s="34"/>
      <c r="AZ1343" s="34"/>
      <c r="BA1343" s="44"/>
      <c r="BB1343" s="34"/>
      <c r="BC1343" s="34"/>
    </row>
    <row r="1344" spans="1:55" x14ac:dyDescent="0.35" ht="15.0" customHeight="true">
      <c r="A1344" s="51"/>
      <c r="B1344" s="34"/>
      <c r="C1344" s="34"/>
      <c r="D1344" s="34"/>
      <c r="E1344" s="34"/>
      <c r="F1344" s="34"/>
      <c r="G1344" s="44"/>
      <c r="H1344" s="34"/>
      <c r="I1344" s="54"/>
      <c r="J1344" s="34"/>
      <c r="K1344" s="54"/>
      <c r="L1344" s="34"/>
      <c r="M1344" s="44"/>
      <c r="N1344" s="44"/>
      <c r="O1344" s="34"/>
      <c r="P1344" s="34"/>
      <c r="Q1344" s="34"/>
      <c r="R1344" s="34"/>
      <c r="V1344" s="44"/>
      <c r="X1344" s="95"/>
      <c r="Y1344" s="54"/>
      <c r="Z1344" s="54"/>
      <c r="AA1344" s="34"/>
      <c r="AB1344" s="34"/>
      <c r="AC1344" s="34"/>
      <c r="AD1344" s="34"/>
      <c r="AE1344" s="34"/>
      <c r="AF1344" s="34"/>
      <c r="AG1344" s="34"/>
      <c r="AH1344" s="34"/>
      <c r="AI1344" s="52"/>
      <c r="AJ1344" s="52"/>
      <c r="AL1344" s="34"/>
      <c r="AM1344" s="34"/>
      <c r="AN1344" s="34"/>
      <c r="AO1344" s="54"/>
      <c r="AP1344" s="34"/>
      <c r="AQ1344" s="34"/>
      <c r="AR1344" s="54"/>
      <c r="AS1344" s="54"/>
      <c r="AT1344" s="54"/>
      <c r="AU1344" s="54"/>
      <c r="AV1344" s="34"/>
      <c r="AW1344" s="34"/>
      <c r="AX1344" s="34"/>
      <c r="AY1344" s="34"/>
      <c r="AZ1344" s="34"/>
      <c r="BA1344" s="44"/>
      <c r="BB1344" s="34"/>
      <c r="BC1344" s="34"/>
    </row>
    <row r="1345" spans="1:55" x14ac:dyDescent="0.35" ht="15.0" customHeight="true">
      <c r="A1345" s="51"/>
      <c r="B1345" s="34"/>
      <c r="C1345" s="34"/>
      <c r="D1345" s="34"/>
      <c r="E1345" s="34"/>
      <c r="F1345" s="34"/>
      <c r="G1345" s="44"/>
      <c r="H1345" s="34"/>
      <c r="I1345" s="54"/>
      <c r="J1345" s="34"/>
      <c r="K1345" s="54"/>
      <c r="L1345" s="34"/>
      <c r="M1345" s="44"/>
      <c r="N1345" s="44"/>
      <c r="O1345" s="34"/>
      <c r="P1345" s="34"/>
      <c r="Q1345" s="34"/>
      <c r="R1345" s="34"/>
      <c r="V1345" s="44"/>
      <c r="X1345" s="95"/>
      <c r="Y1345" s="54"/>
      <c r="Z1345" s="54"/>
      <c r="AA1345" s="34"/>
      <c r="AB1345" s="34"/>
      <c r="AC1345" s="34"/>
      <c r="AD1345" s="34"/>
      <c r="AE1345" s="34"/>
      <c r="AF1345" s="34"/>
      <c r="AG1345" s="34"/>
      <c r="AH1345" s="34"/>
      <c r="AI1345" s="52"/>
      <c r="AJ1345" s="52"/>
      <c r="AL1345" s="34"/>
      <c r="AM1345" s="34"/>
      <c r="AN1345" s="34"/>
      <c r="AO1345" s="54"/>
      <c r="AP1345" s="34"/>
      <c r="AQ1345" s="34"/>
      <c r="AR1345" s="54"/>
      <c r="AS1345" s="54"/>
      <c r="AT1345" s="54"/>
      <c r="AU1345" s="54"/>
      <c r="AV1345" s="34"/>
      <c r="AW1345" s="34"/>
      <c r="AX1345" s="34"/>
      <c r="AY1345" s="34"/>
      <c r="AZ1345" s="34"/>
      <c r="BA1345" s="44"/>
      <c r="BB1345" s="34"/>
      <c r="BC1345" s="34"/>
    </row>
    <row r="1346" spans="1:55" x14ac:dyDescent="0.35" ht="15.0" customHeight="true">
      <c r="A1346" s="51"/>
      <c r="B1346" s="34"/>
      <c r="C1346" s="34"/>
      <c r="D1346" s="34"/>
      <c r="E1346" s="34"/>
      <c r="F1346" s="34"/>
      <c r="G1346" s="44"/>
      <c r="H1346" s="34"/>
      <c r="I1346" s="54"/>
      <c r="J1346" s="34"/>
      <c r="K1346" s="54"/>
      <c r="L1346" s="34"/>
      <c r="M1346" s="44"/>
      <c r="N1346" s="44"/>
      <c r="O1346" s="34"/>
      <c r="P1346" s="34"/>
      <c r="Q1346" s="34"/>
      <c r="R1346" s="34"/>
      <c r="V1346" s="44"/>
      <c r="X1346" s="95"/>
      <c r="Y1346" s="54"/>
      <c r="Z1346" s="54"/>
      <c r="AA1346" s="34"/>
      <c r="AB1346" s="34"/>
      <c r="AC1346" s="34"/>
      <c r="AD1346" s="34"/>
      <c r="AE1346" s="34"/>
      <c r="AF1346" s="34"/>
      <c r="AG1346" s="34"/>
      <c r="AH1346" s="34"/>
      <c r="AI1346" s="52"/>
      <c r="AJ1346" s="52"/>
      <c r="AL1346" s="34"/>
      <c r="AM1346" s="34"/>
      <c r="AN1346" s="34"/>
      <c r="AO1346" s="54"/>
      <c r="AP1346" s="34"/>
      <c r="AQ1346" s="34"/>
      <c r="AR1346" s="54"/>
      <c r="AS1346" s="54"/>
      <c r="AT1346" s="54"/>
      <c r="AU1346" s="54"/>
      <c r="AV1346" s="34"/>
      <c r="AW1346" s="34"/>
      <c r="AX1346" s="34"/>
      <c r="AY1346" s="34"/>
      <c r="AZ1346" s="34"/>
      <c r="BA1346" s="44"/>
      <c r="BB1346" s="34"/>
      <c r="BC1346" s="34"/>
    </row>
    <row r="1347" spans="1:55" x14ac:dyDescent="0.35" ht="15.0" customHeight="true">
      <c r="A1347" s="51"/>
      <c r="B1347" s="34"/>
      <c r="C1347" s="34"/>
      <c r="D1347" s="34"/>
      <c r="E1347" s="34"/>
      <c r="F1347" s="34"/>
      <c r="G1347" s="44"/>
      <c r="H1347" s="34"/>
      <c r="I1347" s="54"/>
      <c r="J1347" s="34"/>
      <c r="K1347" s="54"/>
      <c r="L1347" s="34"/>
      <c r="M1347" s="44"/>
      <c r="N1347" s="44"/>
      <c r="O1347" s="34"/>
      <c r="P1347" s="34"/>
      <c r="Q1347" s="34"/>
      <c r="R1347" s="34"/>
      <c r="V1347" s="44"/>
      <c r="X1347" s="95"/>
      <c r="Y1347" s="54"/>
      <c r="Z1347" s="54"/>
      <c r="AA1347" s="34"/>
      <c r="AB1347" s="34"/>
      <c r="AC1347" s="34"/>
      <c r="AD1347" s="34"/>
      <c r="AE1347" s="34"/>
      <c r="AF1347" s="34"/>
      <c r="AG1347" s="34"/>
      <c r="AH1347" s="34"/>
      <c r="AI1347" s="52"/>
      <c r="AJ1347" s="52"/>
      <c r="AL1347" s="34"/>
      <c r="AM1347" s="34"/>
      <c r="AN1347" s="34"/>
      <c r="AO1347" s="54"/>
      <c r="AP1347" s="34"/>
      <c r="AQ1347" s="34"/>
      <c r="AR1347" s="54"/>
      <c r="AS1347" s="54"/>
      <c r="AT1347" s="54"/>
      <c r="AU1347" s="54"/>
      <c r="AV1347" s="34"/>
      <c r="AW1347" s="34"/>
      <c r="AX1347" s="34"/>
      <c r="AY1347" s="34"/>
      <c r="AZ1347" s="34"/>
      <c r="BA1347" s="44"/>
      <c r="BB1347" s="34"/>
      <c r="BC1347" s="34"/>
    </row>
    <row r="1348" spans="1:55" x14ac:dyDescent="0.35" ht="15.0" customHeight="true">
      <c r="A1348" s="51"/>
      <c r="B1348" s="34"/>
      <c r="C1348" s="34"/>
      <c r="D1348" s="34"/>
      <c r="E1348" s="34"/>
      <c r="F1348" s="34"/>
      <c r="G1348" s="44"/>
      <c r="H1348" s="34"/>
      <c r="I1348" s="54"/>
      <c r="J1348" s="34"/>
      <c r="K1348" s="54"/>
      <c r="L1348" s="34"/>
      <c r="M1348" s="44"/>
      <c r="N1348" s="44"/>
      <c r="O1348" s="34"/>
      <c r="P1348" s="34"/>
      <c r="Q1348" s="34"/>
      <c r="R1348" s="34"/>
      <c r="V1348" s="44"/>
      <c r="X1348" s="95"/>
      <c r="Y1348" s="54"/>
      <c r="Z1348" s="54"/>
      <c r="AA1348" s="34"/>
      <c r="AB1348" s="34"/>
      <c r="AC1348" s="34"/>
      <c r="AD1348" s="34"/>
      <c r="AE1348" s="34"/>
      <c r="AF1348" s="34"/>
      <c r="AG1348" s="34"/>
      <c r="AH1348" s="34"/>
      <c r="AI1348" s="52"/>
      <c r="AJ1348" s="52"/>
      <c r="AL1348" s="34"/>
      <c r="AM1348" s="34"/>
      <c r="AN1348" s="34"/>
      <c r="AO1348" s="54"/>
      <c r="AP1348" s="34"/>
      <c r="AQ1348" s="34"/>
      <c r="AR1348" s="54"/>
      <c r="AS1348" s="54"/>
      <c r="AT1348" s="54"/>
      <c r="AU1348" s="54"/>
      <c r="AV1348" s="34"/>
      <c r="AW1348" s="34"/>
      <c r="AX1348" s="34"/>
      <c r="AY1348" s="34"/>
      <c r="AZ1348" s="34"/>
      <c r="BA1348" s="44"/>
      <c r="BB1348" s="34"/>
      <c r="BC1348" s="34"/>
    </row>
    <row r="1349" spans="1:55" x14ac:dyDescent="0.35" ht="15.0" customHeight="true">
      <c r="A1349" s="51"/>
      <c r="B1349" s="34"/>
      <c r="C1349" s="34"/>
      <c r="D1349" s="34"/>
      <c r="E1349" s="34"/>
      <c r="F1349" s="34"/>
      <c r="G1349" s="44"/>
      <c r="H1349" s="34"/>
      <c r="I1349" s="54"/>
      <c r="J1349" s="34"/>
      <c r="K1349" s="54"/>
      <c r="L1349" s="34"/>
      <c r="M1349" s="44"/>
      <c r="N1349" s="44"/>
      <c r="O1349" s="34"/>
      <c r="P1349" s="34"/>
      <c r="Q1349" s="34"/>
      <c r="R1349" s="34"/>
      <c r="V1349" s="44"/>
      <c r="X1349" s="95"/>
      <c r="Y1349" s="54"/>
      <c r="Z1349" s="54"/>
      <c r="AA1349" s="34"/>
      <c r="AB1349" s="34"/>
      <c r="AC1349" s="34"/>
      <c r="AD1349" s="34"/>
      <c r="AE1349" s="34"/>
      <c r="AF1349" s="34"/>
      <c r="AG1349" s="34"/>
      <c r="AH1349" s="34"/>
      <c r="AI1349" s="52"/>
      <c r="AJ1349" s="52"/>
      <c r="AL1349" s="34"/>
      <c r="AM1349" s="34"/>
      <c r="AN1349" s="34"/>
      <c r="AO1349" s="54"/>
      <c r="AP1349" s="34"/>
      <c r="AQ1349" s="34"/>
      <c r="AR1349" s="54"/>
      <c r="AS1349" s="54"/>
      <c r="AT1349" s="54"/>
      <c r="AU1349" s="54"/>
      <c r="AV1349" s="34"/>
      <c r="AW1349" s="34"/>
      <c r="AX1349" s="34"/>
      <c r="AY1349" s="34"/>
      <c r="AZ1349" s="34"/>
      <c r="BA1349" s="44"/>
      <c r="BB1349" s="34"/>
      <c r="BC1349" s="34"/>
    </row>
    <row r="1350" spans="1:55" x14ac:dyDescent="0.35" ht="15.0" customHeight="true">
      <c r="A1350" s="51"/>
      <c r="B1350" s="34"/>
      <c r="C1350" s="34"/>
      <c r="D1350" s="34"/>
      <c r="E1350" s="34"/>
      <c r="F1350" s="34"/>
      <c r="G1350" s="44"/>
      <c r="H1350" s="34"/>
      <c r="I1350" s="54"/>
      <c r="J1350" s="34"/>
      <c r="K1350" s="54"/>
      <c r="L1350" s="34"/>
      <c r="M1350" s="44"/>
      <c r="N1350" s="44"/>
      <c r="O1350" s="34"/>
      <c r="P1350" s="34"/>
      <c r="Q1350" s="34"/>
      <c r="R1350" s="34"/>
      <c r="V1350" s="44"/>
      <c r="X1350" s="95"/>
      <c r="Y1350" s="54"/>
      <c r="Z1350" s="54"/>
      <c r="AA1350" s="34"/>
      <c r="AB1350" s="34"/>
      <c r="AC1350" s="34"/>
      <c r="AD1350" s="34"/>
      <c r="AE1350" s="34"/>
      <c r="AF1350" s="34"/>
      <c r="AG1350" s="34"/>
      <c r="AH1350" s="34"/>
      <c r="AI1350" s="52"/>
      <c r="AJ1350" s="52"/>
      <c r="AL1350" s="34"/>
      <c r="AM1350" s="34"/>
      <c r="AN1350" s="34"/>
      <c r="AO1350" s="54"/>
      <c r="AP1350" s="34"/>
      <c r="AQ1350" s="34"/>
      <c r="AR1350" s="54"/>
      <c r="AS1350" s="54"/>
      <c r="AT1350" s="54"/>
      <c r="AU1350" s="54"/>
      <c r="AV1350" s="34"/>
      <c r="AW1350" s="34"/>
      <c r="AX1350" s="34"/>
      <c r="AY1350" s="34"/>
      <c r="AZ1350" s="34"/>
      <c r="BA1350" s="44"/>
      <c r="BB1350" s="34"/>
      <c r="BC1350" s="34"/>
    </row>
    <row r="1351" spans="1:55" x14ac:dyDescent="0.35" ht="15.0" customHeight="true">
      <c r="A1351" s="51"/>
      <c r="B1351" s="34"/>
      <c r="C1351" s="34"/>
      <c r="D1351" s="34"/>
      <c r="E1351" s="34"/>
      <c r="F1351" s="34"/>
      <c r="G1351" s="44"/>
      <c r="H1351" s="34"/>
      <c r="I1351" s="54"/>
      <c r="J1351" s="34"/>
      <c r="K1351" s="54"/>
      <c r="L1351" s="34"/>
      <c r="M1351" s="44"/>
      <c r="N1351" s="44"/>
      <c r="O1351" s="34"/>
      <c r="P1351" s="34"/>
      <c r="Q1351" s="34"/>
      <c r="R1351" s="34"/>
      <c r="V1351" s="44"/>
      <c r="X1351" s="95"/>
      <c r="Y1351" s="54"/>
      <c r="Z1351" s="54"/>
      <c r="AA1351" s="34"/>
      <c r="AB1351" s="34"/>
      <c r="AC1351" s="34"/>
      <c r="AD1351" s="34"/>
      <c r="AE1351" s="34"/>
      <c r="AF1351" s="34"/>
      <c r="AG1351" s="34"/>
      <c r="AH1351" s="34"/>
      <c r="AI1351" s="52"/>
      <c r="AJ1351" s="52"/>
      <c r="AL1351" s="34"/>
      <c r="AM1351" s="34"/>
      <c r="AN1351" s="34"/>
      <c r="AO1351" s="54"/>
      <c r="AP1351" s="34"/>
      <c r="AQ1351" s="34"/>
      <c r="AR1351" s="54"/>
      <c r="AS1351" s="54"/>
      <c r="AT1351" s="54"/>
      <c r="AU1351" s="54"/>
      <c r="AV1351" s="34"/>
      <c r="AW1351" s="34"/>
      <c r="AX1351" s="34"/>
      <c r="AY1351" s="34"/>
      <c r="AZ1351" s="34"/>
      <c r="BA1351" s="44"/>
      <c r="BB1351" s="34"/>
      <c r="BC1351" s="34"/>
    </row>
    <row r="1352" spans="1:55" x14ac:dyDescent="0.35" ht="15.0" customHeight="true">
      <c r="A1352" s="51"/>
      <c r="B1352" s="34"/>
      <c r="C1352" s="34"/>
      <c r="D1352" s="34"/>
      <c r="E1352" s="34"/>
      <c r="F1352" s="34"/>
      <c r="G1352" s="44"/>
      <c r="H1352" s="34"/>
      <c r="I1352" s="54"/>
      <c r="J1352" s="34"/>
      <c r="K1352" s="54"/>
      <c r="L1352" s="34"/>
      <c r="M1352" s="44"/>
      <c r="N1352" s="44"/>
      <c r="O1352" s="34"/>
      <c r="P1352" s="34"/>
      <c r="Q1352" s="34"/>
      <c r="R1352" s="34"/>
      <c r="V1352" s="44"/>
      <c r="X1352" s="95"/>
      <c r="Y1352" s="54"/>
      <c r="Z1352" s="54"/>
      <c r="AA1352" s="34"/>
      <c r="AB1352" s="34"/>
      <c r="AC1352" s="34"/>
      <c r="AD1352" s="34"/>
      <c r="AE1352" s="34"/>
      <c r="AF1352" s="34"/>
      <c r="AG1352" s="34"/>
      <c r="AH1352" s="34"/>
      <c r="AI1352" s="52"/>
      <c r="AJ1352" s="52"/>
      <c r="AL1352" s="34"/>
      <c r="AM1352" s="34"/>
      <c r="AN1352" s="34"/>
      <c r="AO1352" s="54"/>
      <c r="AP1352" s="34"/>
      <c r="AQ1352" s="34"/>
      <c r="AR1352" s="54"/>
      <c r="AS1352" s="54"/>
      <c r="AT1352" s="54"/>
      <c r="AU1352" s="54"/>
      <c r="AV1352" s="34"/>
      <c r="AW1352" s="34"/>
      <c r="AX1352" s="34"/>
      <c r="AY1352" s="34"/>
      <c r="AZ1352" s="34"/>
      <c r="BA1352" s="44"/>
      <c r="BB1352" s="34"/>
      <c r="BC1352" s="34"/>
    </row>
    <row r="1353" spans="1:55" x14ac:dyDescent="0.35" ht="15.0" customHeight="true">
      <c r="A1353" s="51"/>
      <c r="B1353" s="34"/>
      <c r="C1353" s="34"/>
      <c r="D1353" s="34"/>
      <c r="E1353" s="34"/>
      <c r="F1353" s="34"/>
      <c r="G1353" s="44"/>
      <c r="H1353" s="34"/>
      <c r="I1353" s="54"/>
      <c r="J1353" s="34"/>
      <c r="K1353" s="54"/>
      <c r="L1353" s="34"/>
      <c r="M1353" s="44"/>
      <c r="N1353" s="44"/>
      <c r="O1353" s="34"/>
      <c r="P1353" s="34"/>
      <c r="Q1353" s="34"/>
      <c r="R1353" s="34"/>
      <c r="V1353" s="44"/>
      <c r="X1353" s="95"/>
      <c r="Y1353" s="54"/>
      <c r="Z1353" s="54"/>
      <c r="AA1353" s="34"/>
      <c r="AB1353" s="34"/>
      <c r="AC1353" s="34"/>
      <c r="AD1353" s="34"/>
      <c r="AE1353" s="34"/>
      <c r="AF1353" s="34"/>
      <c r="AG1353" s="34"/>
      <c r="AH1353" s="34"/>
      <c r="AI1353" s="52"/>
      <c r="AJ1353" s="52"/>
      <c r="AL1353" s="34"/>
      <c r="AM1353" s="34"/>
      <c r="AN1353" s="34"/>
      <c r="AO1353" s="54"/>
      <c r="AP1353" s="34"/>
      <c r="AQ1353" s="34"/>
      <c r="AR1353" s="54"/>
      <c r="AS1353" s="54"/>
      <c r="AT1353" s="54"/>
      <c r="AU1353" s="54"/>
      <c r="AV1353" s="34"/>
      <c r="AW1353" s="34"/>
      <c r="AX1353" s="34"/>
      <c r="AY1353" s="34"/>
      <c r="AZ1353" s="34"/>
      <c r="BA1353" s="44"/>
      <c r="BB1353" s="34"/>
      <c r="BC1353" s="34"/>
    </row>
    <row r="1354" spans="1:55" x14ac:dyDescent="0.35" ht="15.0" customHeight="true">
      <c r="A1354" s="51"/>
      <c r="B1354" s="34"/>
      <c r="C1354" s="34"/>
      <c r="D1354" s="34"/>
      <c r="E1354" s="34"/>
      <c r="F1354" s="34"/>
      <c r="G1354" s="44"/>
      <c r="H1354" s="34"/>
      <c r="I1354" s="54"/>
      <c r="J1354" s="34"/>
      <c r="K1354" s="54"/>
      <c r="L1354" s="34"/>
      <c r="M1354" s="44"/>
      <c r="N1354" s="44"/>
      <c r="O1354" s="34"/>
      <c r="P1354" s="34"/>
      <c r="Q1354" s="34"/>
      <c r="R1354" s="34"/>
      <c r="V1354" s="44"/>
      <c r="X1354" s="95"/>
      <c r="Y1354" s="54"/>
      <c r="Z1354" s="54"/>
      <c r="AA1354" s="34"/>
      <c r="AB1354" s="34"/>
      <c r="AC1354" s="34"/>
      <c r="AD1354" s="34"/>
      <c r="AE1354" s="34"/>
      <c r="AF1354" s="34"/>
      <c r="AG1354" s="34"/>
      <c r="AH1354" s="34"/>
      <c r="AI1354" s="52"/>
      <c r="AJ1354" s="52"/>
      <c r="AL1354" s="34"/>
      <c r="AM1354" s="34"/>
      <c r="AN1354" s="34"/>
      <c r="AO1354" s="54"/>
      <c r="AP1354" s="34"/>
      <c r="AQ1354" s="34"/>
      <c r="AR1354" s="54"/>
      <c r="AS1354" s="54"/>
      <c r="AT1354" s="54"/>
      <c r="AU1354" s="54"/>
      <c r="AV1354" s="34"/>
      <c r="AW1354" s="34"/>
      <c r="AX1354" s="34"/>
      <c r="AY1354" s="34"/>
      <c r="AZ1354" s="34"/>
      <c r="BA1354" s="44"/>
      <c r="BB1354" s="34"/>
      <c r="BC1354" s="34"/>
    </row>
    <row r="1355" spans="1:55" x14ac:dyDescent="0.35" ht="15.0" customHeight="true">
      <c r="A1355" s="51"/>
      <c r="B1355" s="34"/>
      <c r="C1355" s="34"/>
      <c r="D1355" s="34"/>
      <c r="E1355" s="34"/>
      <c r="F1355" s="34"/>
      <c r="G1355" s="44"/>
      <c r="H1355" s="34"/>
      <c r="I1355" s="54"/>
      <c r="J1355" s="34"/>
      <c r="K1355" s="54"/>
      <c r="L1355" s="34"/>
      <c r="M1355" s="44"/>
      <c r="N1355" s="44"/>
      <c r="O1355" s="34"/>
      <c r="P1355" s="34"/>
      <c r="Q1355" s="34"/>
      <c r="R1355" s="34"/>
      <c r="V1355" s="44"/>
      <c r="X1355" s="95"/>
      <c r="Y1355" s="54"/>
      <c r="Z1355" s="54"/>
      <c r="AA1355" s="34"/>
      <c r="AB1355" s="34"/>
      <c r="AC1355" s="34"/>
      <c r="AD1355" s="34"/>
      <c r="AE1355" s="34"/>
      <c r="AF1355" s="34"/>
      <c r="AG1355" s="34"/>
      <c r="AH1355" s="34"/>
      <c r="AI1355" s="52"/>
      <c r="AJ1355" s="52"/>
      <c r="AL1355" s="34"/>
      <c r="AM1355" s="34"/>
      <c r="AN1355" s="34"/>
      <c r="AO1355" s="54"/>
      <c r="AP1355" s="34"/>
      <c r="AQ1355" s="34"/>
      <c r="AR1355" s="54"/>
      <c r="AS1355" s="54"/>
      <c r="AT1355" s="54"/>
      <c r="AU1355" s="54"/>
      <c r="AV1355" s="34"/>
      <c r="AW1355" s="34"/>
      <c r="AX1355" s="34"/>
      <c r="AY1355" s="34"/>
      <c r="AZ1355" s="34"/>
      <c r="BA1355" s="44"/>
      <c r="BB1355" s="34"/>
      <c r="BC1355" s="34"/>
    </row>
    <row r="1356" spans="1:55" x14ac:dyDescent="0.35" ht="15.0" customHeight="true">
      <c r="A1356" s="51"/>
      <c r="B1356" s="34"/>
      <c r="C1356" s="34"/>
      <c r="D1356" s="34"/>
      <c r="E1356" s="34"/>
      <c r="F1356" s="34"/>
      <c r="G1356" s="44"/>
      <c r="H1356" s="34"/>
      <c r="I1356" s="54"/>
      <c r="J1356" s="34"/>
      <c r="K1356" s="54"/>
      <c r="L1356" s="34"/>
      <c r="M1356" s="44"/>
      <c r="N1356" s="44"/>
      <c r="O1356" s="34"/>
      <c r="P1356" s="34"/>
      <c r="Q1356" s="34"/>
      <c r="R1356" s="34"/>
      <c r="V1356" s="44"/>
      <c r="X1356" s="95"/>
      <c r="Y1356" s="54"/>
      <c r="Z1356" s="54"/>
      <c r="AA1356" s="34"/>
      <c r="AB1356" s="34"/>
      <c r="AC1356" s="34"/>
      <c r="AD1356" s="34"/>
      <c r="AE1356" s="34"/>
      <c r="AF1356" s="34"/>
      <c r="AG1356" s="34"/>
      <c r="AH1356" s="34"/>
      <c r="AI1356" s="52"/>
      <c r="AJ1356" s="52"/>
      <c r="AL1356" s="34"/>
      <c r="AM1356" s="34"/>
      <c r="AN1356" s="34"/>
      <c r="AO1356" s="54"/>
      <c r="AP1356" s="34"/>
      <c r="AQ1356" s="34"/>
      <c r="AR1356" s="54"/>
      <c r="AS1356" s="54"/>
      <c r="AT1356" s="54"/>
      <c r="AU1356" s="54"/>
      <c r="AV1356" s="34"/>
      <c r="AW1356" s="34"/>
      <c r="AX1356" s="34"/>
      <c r="AY1356" s="34"/>
      <c r="AZ1356" s="34"/>
      <c r="BA1356" s="44"/>
      <c r="BB1356" s="34"/>
      <c r="BC1356" s="34"/>
    </row>
    <row r="1357" spans="1:55" x14ac:dyDescent="0.35" ht="15.0" customHeight="true">
      <c r="A1357" s="51"/>
      <c r="B1357" s="34"/>
      <c r="C1357" s="34"/>
      <c r="D1357" s="34"/>
      <c r="E1357" s="34"/>
      <c r="F1357" s="34"/>
      <c r="G1357" s="44"/>
      <c r="H1357" s="34"/>
      <c r="I1357" s="54"/>
      <c r="J1357" s="34"/>
      <c r="K1357" s="54"/>
      <c r="L1357" s="34"/>
      <c r="M1357" s="44"/>
      <c r="N1357" s="44"/>
      <c r="O1357" s="34"/>
      <c r="P1357" s="34"/>
      <c r="Q1357" s="34"/>
      <c r="R1357" s="34"/>
      <c r="V1357" s="44"/>
      <c r="X1357" s="95"/>
      <c r="Y1357" s="54"/>
      <c r="Z1357" s="54"/>
      <c r="AA1357" s="34"/>
      <c r="AB1357" s="34"/>
      <c r="AC1357" s="34"/>
      <c r="AD1357" s="34"/>
      <c r="AE1357" s="34"/>
      <c r="AF1357" s="34"/>
      <c r="AG1357" s="34"/>
      <c r="AH1357" s="34"/>
      <c r="AI1357" s="52"/>
      <c r="AJ1357" s="52"/>
      <c r="AL1357" s="34"/>
      <c r="AM1357" s="34"/>
      <c r="AN1357" s="34"/>
      <c r="AO1357" s="54"/>
      <c r="AP1357" s="34"/>
      <c r="AQ1357" s="34"/>
      <c r="AR1357" s="54"/>
      <c r="AS1357" s="54"/>
      <c r="AT1357" s="54"/>
      <c r="AU1357" s="54"/>
      <c r="AV1357" s="34"/>
      <c r="AW1357" s="34"/>
      <c r="AX1357" s="34"/>
      <c r="AY1357" s="34"/>
      <c r="AZ1357" s="34"/>
      <c r="BA1357" s="44"/>
      <c r="BB1357" s="34"/>
      <c r="BC1357" s="34"/>
    </row>
    <row r="1358" spans="1:55" x14ac:dyDescent="0.35" ht="15.0" customHeight="true">
      <c r="A1358" s="51"/>
      <c r="B1358" s="34"/>
      <c r="C1358" s="34"/>
      <c r="D1358" s="34"/>
      <c r="E1358" s="34"/>
      <c r="F1358" s="34"/>
      <c r="G1358" s="44"/>
      <c r="H1358" s="34"/>
      <c r="I1358" s="54"/>
      <c r="J1358" s="34"/>
      <c r="K1358" s="54"/>
      <c r="L1358" s="34"/>
      <c r="M1358" s="44"/>
      <c r="N1358" s="44"/>
      <c r="O1358" s="34"/>
      <c r="P1358" s="34"/>
      <c r="Q1358" s="34"/>
      <c r="R1358" s="34"/>
      <c r="V1358" s="44"/>
      <c r="X1358" s="95"/>
      <c r="Y1358" s="54"/>
      <c r="Z1358" s="54"/>
      <c r="AA1358" s="34"/>
      <c r="AB1358" s="34"/>
      <c r="AC1358" s="34"/>
      <c r="AD1358" s="34"/>
      <c r="AE1358" s="34"/>
      <c r="AF1358" s="34"/>
      <c r="AG1358" s="34"/>
      <c r="AH1358" s="34"/>
      <c r="AI1358" s="52"/>
      <c r="AJ1358" s="52"/>
      <c r="AL1358" s="34"/>
      <c r="AM1358" s="34"/>
      <c r="AN1358" s="34"/>
      <c r="AO1358" s="54"/>
      <c r="AP1358" s="34"/>
      <c r="AQ1358" s="34"/>
      <c r="AR1358" s="54"/>
      <c r="AS1358" s="54"/>
      <c r="AT1358" s="54"/>
      <c r="AU1358" s="54"/>
      <c r="AV1358" s="34"/>
      <c r="AW1358" s="34"/>
      <c r="AX1358" s="34"/>
      <c r="AY1358" s="34"/>
      <c r="AZ1358" s="34"/>
      <c r="BA1358" s="44"/>
      <c r="BB1358" s="34"/>
      <c r="BC1358" s="34"/>
    </row>
    <row r="1359" spans="1:55" x14ac:dyDescent="0.35" ht="15.0" customHeight="true">
      <c r="A1359" s="51"/>
      <c r="B1359" s="34"/>
      <c r="C1359" s="34"/>
      <c r="D1359" s="34"/>
      <c r="E1359" s="34"/>
      <c r="F1359" s="34"/>
      <c r="G1359" s="44"/>
      <c r="H1359" s="34"/>
      <c r="I1359" s="54"/>
      <c r="J1359" s="34"/>
      <c r="K1359" s="54"/>
      <c r="L1359" s="34"/>
      <c r="M1359" s="44"/>
      <c r="N1359" s="44"/>
      <c r="O1359" s="34"/>
      <c r="P1359" s="34"/>
      <c r="Q1359" s="34"/>
      <c r="R1359" s="34"/>
      <c r="V1359" s="44"/>
      <c r="X1359" s="95"/>
      <c r="Y1359" s="54"/>
      <c r="Z1359" s="54"/>
      <c r="AA1359" s="34"/>
      <c r="AB1359" s="34"/>
      <c r="AC1359" s="34"/>
      <c r="AD1359" s="34"/>
      <c r="AE1359" s="34"/>
      <c r="AF1359" s="34"/>
      <c r="AG1359" s="34"/>
      <c r="AH1359" s="34"/>
      <c r="AI1359" s="52"/>
      <c r="AJ1359" s="52"/>
      <c r="AL1359" s="34"/>
      <c r="AM1359" s="34"/>
      <c r="AN1359" s="34"/>
      <c r="AO1359" s="54"/>
      <c r="AP1359" s="34"/>
      <c r="AQ1359" s="34"/>
      <c r="AR1359" s="54"/>
      <c r="AS1359" s="54"/>
      <c r="AT1359" s="54"/>
      <c r="AU1359" s="54"/>
      <c r="AV1359" s="34"/>
      <c r="AW1359" s="34"/>
      <c r="AX1359" s="34"/>
      <c r="AY1359" s="34"/>
      <c r="AZ1359" s="34"/>
      <c r="BA1359" s="44"/>
      <c r="BB1359" s="34"/>
      <c r="BC1359" s="34"/>
    </row>
    <row r="1360" spans="1:55" x14ac:dyDescent="0.35" ht="15.0" customHeight="true">
      <c r="A1360" s="51"/>
      <c r="B1360" s="34"/>
      <c r="C1360" s="34"/>
      <c r="D1360" s="34"/>
      <c r="E1360" s="34"/>
      <c r="F1360" s="34"/>
      <c r="G1360" s="44"/>
      <c r="H1360" s="34"/>
      <c r="I1360" s="54"/>
      <c r="J1360" s="34"/>
      <c r="K1360" s="54"/>
      <c r="L1360" s="34"/>
      <c r="M1360" s="44"/>
      <c r="N1360" s="44"/>
      <c r="O1360" s="34"/>
      <c r="P1360" s="34"/>
      <c r="Q1360" s="34"/>
      <c r="R1360" s="34"/>
      <c r="V1360" s="44"/>
      <c r="X1360" s="95"/>
      <c r="Y1360" s="54"/>
      <c r="Z1360" s="54"/>
      <c r="AA1360" s="34"/>
      <c r="AB1360" s="34"/>
      <c r="AC1360" s="34"/>
      <c r="AD1360" s="34"/>
      <c r="AE1360" s="34"/>
      <c r="AF1360" s="34"/>
      <c r="AG1360" s="34"/>
      <c r="AH1360" s="34"/>
      <c r="AI1360" s="52"/>
      <c r="AJ1360" s="52"/>
      <c r="AL1360" s="34"/>
      <c r="AM1360" s="34"/>
      <c r="AN1360" s="34"/>
      <c r="AO1360" s="54"/>
      <c r="AP1360" s="34"/>
      <c r="AQ1360" s="34"/>
      <c r="AR1360" s="54"/>
      <c r="AS1360" s="54"/>
      <c r="AT1360" s="54"/>
      <c r="AU1360" s="54"/>
      <c r="AV1360" s="34"/>
      <c r="AW1360" s="34"/>
      <c r="AX1360" s="34"/>
      <c r="AY1360" s="34"/>
      <c r="AZ1360" s="34"/>
      <c r="BA1360" s="44"/>
      <c r="BB1360" s="34"/>
      <c r="BC1360" s="34"/>
    </row>
    <row r="1361" spans="1:55" x14ac:dyDescent="0.35" ht="15.0" customHeight="true">
      <c r="A1361" s="51"/>
      <c r="B1361" s="34"/>
      <c r="C1361" s="34"/>
      <c r="D1361" s="34"/>
      <c r="E1361" s="34"/>
      <c r="F1361" s="34"/>
      <c r="G1361" s="44"/>
      <c r="H1361" s="34"/>
      <c r="I1361" s="54"/>
      <c r="J1361" s="34"/>
      <c r="K1361" s="54"/>
      <c r="L1361" s="34"/>
      <c r="M1361" s="44"/>
      <c r="N1361" s="44"/>
      <c r="O1361" s="34"/>
      <c r="P1361" s="34"/>
      <c r="Q1361" s="34"/>
      <c r="R1361" s="34"/>
      <c r="V1361" s="44"/>
      <c r="X1361" s="95"/>
      <c r="Y1361" s="54"/>
      <c r="Z1361" s="54"/>
      <c r="AA1361" s="34"/>
      <c r="AB1361" s="34"/>
      <c r="AC1361" s="34"/>
      <c r="AD1361" s="34"/>
      <c r="AE1361" s="34"/>
      <c r="AF1361" s="34"/>
      <c r="AG1361" s="34"/>
      <c r="AH1361" s="34"/>
      <c r="AI1361" s="52"/>
      <c r="AJ1361" s="52"/>
      <c r="AL1361" s="34"/>
      <c r="AM1361" s="34"/>
      <c r="AN1361" s="34"/>
      <c r="AO1361" s="54"/>
      <c r="AP1361" s="34"/>
      <c r="AQ1361" s="34"/>
      <c r="AR1361" s="54"/>
      <c r="AS1361" s="54"/>
      <c r="AT1361" s="54"/>
      <c r="AU1361" s="54"/>
      <c r="AV1361" s="34"/>
      <c r="AW1361" s="34"/>
      <c r="AX1361" s="34"/>
      <c r="AY1361" s="34"/>
      <c r="AZ1361" s="34"/>
      <c r="BA1361" s="44"/>
      <c r="BB1361" s="34"/>
      <c r="BC1361" s="34"/>
    </row>
    <row r="1362" spans="1:55" x14ac:dyDescent="0.35" ht="15.0" customHeight="true">
      <c r="A1362" s="51"/>
      <c r="B1362" s="34"/>
      <c r="C1362" s="34"/>
      <c r="D1362" s="34"/>
      <c r="E1362" s="34"/>
      <c r="F1362" s="34"/>
      <c r="G1362" s="44"/>
      <c r="H1362" s="34"/>
      <c r="I1362" s="54"/>
      <c r="J1362" s="34"/>
      <c r="K1362" s="54"/>
      <c r="L1362" s="34"/>
      <c r="M1362" s="44"/>
      <c r="N1362" s="44"/>
      <c r="O1362" s="34"/>
      <c r="P1362" s="34"/>
      <c r="Q1362" s="34"/>
      <c r="R1362" s="34"/>
      <c r="V1362" s="44"/>
      <c r="X1362" s="95"/>
      <c r="Y1362" s="54"/>
      <c r="Z1362" s="54"/>
      <c r="AA1362" s="34"/>
      <c r="AB1362" s="34"/>
      <c r="AC1362" s="34"/>
      <c r="AD1362" s="34"/>
      <c r="AE1362" s="34"/>
      <c r="AF1362" s="34"/>
      <c r="AG1362" s="34"/>
      <c r="AH1362" s="34"/>
      <c r="AI1362" s="52"/>
      <c r="AJ1362" s="52"/>
      <c r="AL1362" s="34"/>
      <c r="AM1362" s="34"/>
      <c r="AN1362" s="34"/>
      <c r="AO1362" s="54"/>
      <c r="AP1362" s="34"/>
      <c r="AQ1362" s="34"/>
      <c r="AR1362" s="54"/>
      <c r="AS1362" s="54"/>
      <c r="AT1362" s="54"/>
      <c r="AU1362" s="54"/>
      <c r="AV1362" s="34"/>
      <c r="AW1362" s="34"/>
      <c r="AX1362" s="34"/>
      <c r="AY1362" s="34"/>
      <c r="AZ1362" s="34"/>
      <c r="BA1362" s="44"/>
      <c r="BB1362" s="34"/>
      <c r="BC1362" s="34"/>
    </row>
    <row r="1363" spans="1:55" x14ac:dyDescent="0.35" ht="15.0" customHeight="true">
      <c r="A1363" s="51"/>
      <c r="B1363" s="34"/>
      <c r="C1363" s="34"/>
      <c r="D1363" s="34"/>
      <c r="E1363" s="34"/>
      <c r="F1363" s="34"/>
      <c r="G1363" s="44"/>
      <c r="H1363" s="34"/>
      <c r="I1363" s="54"/>
      <c r="J1363" s="34"/>
      <c r="K1363" s="54"/>
      <c r="L1363" s="34"/>
      <c r="M1363" s="44"/>
      <c r="N1363" s="44"/>
      <c r="O1363" s="34"/>
      <c r="P1363" s="34"/>
      <c r="Q1363" s="34"/>
      <c r="R1363" s="34"/>
      <c r="V1363" s="44"/>
      <c r="X1363" s="95"/>
      <c r="Y1363" s="54"/>
      <c r="Z1363" s="54"/>
      <c r="AA1363" s="34"/>
      <c r="AB1363" s="34"/>
      <c r="AC1363" s="34"/>
      <c r="AD1363" s="34"/>
      <c r="AE1363" s="34"/>
      <c r="AF1363" s="34"/>
      <c r="AG1363" s="34"/>
      <c r="AH1363" s="34"/>
      <c r="AI1363" s="52"/>
      <c r="AJ1363" s="52"/>
      <c r="AL1363" s="34"/>
      <c r="AM1363" s="34"/>
      <c r="AN1363" s="34"/>
      <c r="AO1363" s="54"/>
      <c r="AP1363" s="34"/>
      <c r="AQ1363" s="34"/>
      <c r="AR1363" s="54"/>
      <c r="AS1363" s="54"/>
      <c r="AT1363" s="54"/>
      <c r="AU1363" s="54"/>
      <c r="AV1363" s="34"/>
      <c r="AW1363" s="34"/>
      <c r="AX1363" s="34"/>
      <c r="AY1363" s="34"/>
      <c r="AZ1363" s="34"/>
      <c r="BA1363" s="44"/>
      <c r="BB1363" s="34"/>
      <c r="BC1363" s="34"/>
    </row>
    <row r="1364" spans="1:55" x14ac:dyDescent="0.35" ht="15.0" customHeight="true">
      <c r="A1364" s="51"/>
      <c r="B1364" s="34"/>
      <c r="C1364" s="34"/>
      <c r="D1364" s="34"/>
      <c r="E1364" s="34"/>
      <c r="F1364" s="34"/>
      <c r="G1364" s="44"/>
      <c r="H1364" s="34"/>
      <c r="I1364" s="54"/>
      <c r="J1364" s="34"/>
      <c r="K1364" s="54"/>
      <c r="L1364" s="34"/>
      <c r="M1364" s="44"/>
      <c r="N1364" s="44"/>
      <c r="O1364" s="34"/>
      <c r="P1364" s="34"/>
      <c r="Q1364" s="34"/>
      <c r="R1364" s="34"/>
      <c r="V1364" s="44"/>
      <c r="X1364" s="95"/>
      <c r="Y1364" s="54"/>
      <c r="Z1364" s="54"/>
      <c r="AA1364" s="34"/>
      <c r="AB1364" s="34"/>
      <c r="AC1364" s="34"/>
      <c r="AD1364" s="34"/>
      <c r="AE1364" s="34"/>
      <c r="AF1364" s="34"/>
      <c r="AG1364" s="34"/>
      <c r="AH1364" s="34"/>
      <c r="AI1364" s="52"/>
      <c r="AJ1364" s="52"/>
      <c r="AL1364" s="34"/>
      <c r="AM1364" s="34"/>
      <c r="AN1364" s="34"/>
      <c r="AO1364" s="54"/>
      <c r="AP1364" s="34"/>
      <c r="AQ1364" s="34"/>
      <c r="AR1364" s="54"/>
      <c r="AS1364" s="54"/>
      <c r="AT1364" s="54"/>
      <c r="AU1364" s="54"/>
      <c r="AV1364" s="34"/>
      <c r="AW1364" s="34"/>
      <c r="AX1364" s="34"/>
      <c r="AY1364" s="34"/>
      <c r="AZ1364" s="34"/>
      <c r="BA1364" s="44"/>
      <c r="BB1364" s="34"/>
      <c r="BC1364" s="34"/>
    </row>
    <row r="1365" spans="1:55" x14ac:dyDescent="0.35" ht="15.0" customHeight="true">
      <c r="A1365" s="51"/>
      <c r="B1365" s="34"/>
      <c r="C1365" s="34"/>
      <c r="D1365" s="34"/>
      <c r="E1365" s="34"/>
      <c r="F1365" s="34"/>
      <c r="G1365" s="44"/>
      <c r="H1365" s="34"/>
      <c r="I1365" s="54"/>
      <c r="J1365" s="34"/>
      <c r="K1365" s="54"/>
      <c r="L1365" s="34"/>
      <c r="M1365" s="44"/>
      <c r="N1365" s="44"/>
      <c r="O1365" s="34"/>
      <c r="P1365" s="34"/>
      <c r="Q1365" s="34"/>
      <c r="R1365" s="34"/>
      <c r="V1365" s="44"/>
      <c r="X1365" s="95"/>
      <c r="Y1365" s="54"/>
      <c r="Z1365" s="54"/>
      <c r="AA1365" s="34"/>
      <c r="AB1365" s="34"/>
      <c r="AC1365" s="34"/>
      <c r="AD1365" s="34"/>
      <c r="AE1365" s="34"/>
      <c r="AF1365" s="34"/>
      <c r="AG1365" s="34"/>
      <c r="AH1365" s="34"/>
      <c r="AI1365" s="52"/>
      <c r="AJ1365" s="52"/>
      <c r="AL1365" s="34"/>
      <c r="AM1365" s="34"/>
      <c r="AN1365" s="34"/>
      <c r="AO1365" s="54"/>
      <c r="AP1365" s="34"/>
      <c r="AQ1365" s="34"/>
      <c r="AR1365" s="54"/>
      <c r="AS1365" s="54"/>
      <c r="AT1365" s="54"/>
      <c r="AU1365" s="54"/>
      <c r="AV1365" s="34"/>
      <c r="AW1365" s="34"/>
      <c r="AX1365" s="34"/>
      <c r="AY1365" s="34"/>
      <c r="AZ1365" s="34"/>
      <c r="BA1365" s="44"/>
      <c r="BB1365" s="34"/>
      <c r="BC1365" s="34"/>
    </row>
    <row r="1366" spans="1:55" x14ac:dyDescent="0.35" ht="15.0" customHeight="true">
      <c r="A1366" s="51"/>
      <c r="B1366" s="34"/>
      <c r="C1366" s="34"/>
      <c r="D1366" s="34"/>
      <c r="E1366" s="34"/>
      <c r="F1366" s="34"/>
      <c r="G1366" s="44"/>
      <c r="H1366" s="34"/>
      <c r="I1366" s="54"/>
      <c r="J1366" s="34"/>
      <c r="K1366" s="54"/>
      <c r="L1366" s="34"/>
      <c r="M1366" s="44"/>
      <c r="N1366" s="44"/>
      <c r="O1366" s="34"/>
      <c r="P1366" s="34"/>
      <c r="Q1366" s="34"/>
      <c r="R1366" s="34"/>
      <c r="V1366" s="44"/>
      <c r="X1366" s="95"/>
      <c r="Y1366" s="54"/>
      <c r="Z1366" s="54"/>
      <c r="AA1366" s="34"/>
      <c r="AB1366" s="34"/>
      <c r="AC1366" s="34"/>
      <c r="AD1366" s="34"/>
      <c r="AE1366" s="34"/>
      <c r="AF1366" s="34"/>
      <c r="AG1366" s="34"/>
      <c r="AH1366" s="34"/>
      <c r="AI1366" s="52"/>
      <c r="AJ1366" s="52"/>
      <c r="AL1366" s="34"/>
      <c r="AM1366" s="34"/>
      <c r="AN1366" s="34"/>
      <c r="AO1366" s="54"/>
      <c r="AP1366" s="34"/>
      <c r="AQ1366" s="34"/>
      <c r="AR1366" s="54"/>
      <c r="AS1366" s="54"/>
      <c r="AT1366" s="54"/>
      <c r="AU1366" s="54"/>
      <c r="AV1366" s="34"/>
      <c r="AW1366" s="34"/>
      <c r="AX1366" s="34"/>
      <c r="AY1366" s="34"/>
      <c r="AZ1366" s="34"/>
      <c r="BA1366" s="44"/>
      <c r="BB1366" s="34"/>
      <c r="BC1366" s="34"/>
    </row>
    <row r="1367" spans="1:55" x14ac:dyDescent="0.35" ht="15.0" customHeight="true">
      <c r="A1367" s="51"/>
      <c r="B1367" s="34"/>
      <c r="C1367" s="34"/>
      <c r="D1367" s="34"/>
      <c r="E1367" s="34"/>
      <c r="F1367" s="34"/>
      <c r="G1367" s="44"/>
      <c r="H1367" s="34"/>
      <c r="I1367" s="54"/>
      <c r="J1367" s="34"/>
      <c r="K1367" s="54"/>
      <c r="L1367" s="34"/>
      <c r="M1367" s="44"/>
      <c r="N1367" s="44"/>
      <c r="O1367" s="34"/>
      <c r="P1367" s="34"/>
      <c r="Q1367" s="34"/>
      <c r="R1367" s="34"/>
      <c r="V1367" s="44"/>
      <c r="X1367" s="95"/>
      <c r="Y1367" s="54"/>
      <c r="Z1367" s="54"/>
      <c r="AA1367" s="34"/>
      <c r="AB1367" s="34"/>
      <c r="AC1367" s="34"/>
      <c r="AD1367" s="34"/>
      <c r="AE1367" s="34"/>
      <c r="AF1367" s="34"/>
      <c r="AG1367" s="34"/>
      <c r="AH1367" s="34"/>
      <c r="AI1367" s="52"/>
      <c r="AJ1367" s="52"/>
      <c r="AL1367" s="34"/>
      <c r="AM1367" s="34"/>
      <c r="AN1367" s="34"/>
      <c r="AO1367" s="54"/>
      <c r="AP1367" s="34"/>
      <c r="AQ1367" s="34"/>
      <c r="AR1367" s="54"/>
      <c r="AS1367" s="54"/>
      <c r="AT1367" s="54"/>
      <c r="AU1367" s="54"/>
      <c r="AV1367" s="34"/>
      <c r="AW1367" s="34"/>
      <c r="AX1367" s="34"/>
      <c r="AY1367" s="34"/>
      <c r="AZ1367" s="34"/>
      <c r="BA1367" s="44"/>
      <c r="BB1367" s="34"/>
      <c r="BC1367" s="34"/>
    </row>
    <row r="1368" spans="1:55" x14ac:dyDescent="0.35" ht="15.0" customHeight="true">
      <c r="A1368" s="51"/>
      <c r="B1368" s="34"/>
      <c r="C1368" s="34"/>
      <c r="D1368" s="34"/>
      <c r="E1368" s="34"/>
      <c r="F1368" s="34"/>
      <c r="G1368" s="44"/>
      <c r="H1368" s="34"/>
      <c r="I1368" s="54"/>
      <c r="J1368" s="34"/>
      <c r="K1368" s="54"/>
      <c r="L1368" s="34"/>
      <c r="M1368" s="44"/>
      <c r="N1368" s="44"/>
      <c r="O1368" s="34"/>
      <c r="P1368" s="34"/>
      <c r="Q1368" s="34"/>
      <c r="R1368" s="34"/>
      <c r="V1368" s="44"/>
      <c r="X1368" s="95"/>
      <c r="Y1368" s="54"/>
      <c r="Z1368" s="54"/>
      <c r="AA1368" s="34"/>
      <c r="AB1368" s="34"/>
      <c r="AC1368" s="34"/>
      <c r="AD1368" s="34"/>
      <c r="AE1368" s="34"/>
      <c r="AF1368" s="34"/>
      <c r="AG1368" s="34"/>
      <c r="AH1368" s="34"/>
      <c r="AI1368" s="52"/>
      <c r="AJ1368" s="52"/>
      <c r="AL1368" s="34"/>
      <c r="AM1368" s="34"/>
      <c r="AN1368" s="34"/>
      <c r="AO1368" s="54"/>
      <c r="AP1368" s="34"/>
      <c r="AQ1368" s="34"/>
      <c r="AR1368" s="54"/>
      <c r="AS1368" s="54"/>
      <c r="AT1368" s="54"/>
      <c r="AU1368" s="54"/>
      <c r="AV1368" s="34"/>
      <c r="AW1368" s="34"/>
      <c r="AX1368" s="34"/>
      <c r="AY1368" s="34"/>
      <c r="AZ1368" s="34"/>
      <c r="BA1368" s="44"/>
      <c r="BB1368" s="34"/>
      <c r="BC1368" s="34"/>
    </row>
    <row r="1369" spans="1:55" x14ac:dyDescent="0.35" ht="15.0" customHeight="true">
      <c r="A1369" s="51"/>
      <c r="B1369" s="34"/>
      <c r="C1369" s="34"/>
      <c r="D1369" s="34"/>
      <c r="E1369" s="34"/>
      <c r="F1369" s="34"/>
      <c r="G1369" s="44"/>
      <c r="H1369" s="34"/>
      <c r="I1369" s="54"/>
      <c r="J1369" s="34"/>
      <c r="K1369" s="54"/>
      <c r="L1369" s="34"/>
      <c r="M1369" s="44"/>
      <c r="N1369" s="44"/>
      <c r="O1369" s="34"/>
      <c r="P1369" s="34"/>
      <c r="Q1369" s="34"/>
      <c r="R1369" s="34"/>
      <c r="V1369" s="44"/>
      <c r="X1369" s="95"/>
      <c r="Y1369" s="54"/>
      <c r="Z1369" s="54"/>
      <c r="AA1369" s="34"/>
      <c r="AB1369" s="34"/>
      <c r="AC1369" s="34"/>
      <c r="AD1369" s="34"/>
      <c r="AE1369" s="34"/>
      <c r="AF1369" s="34"/>
      <c r="AG1369" s="34"/>
      <c r="AH1369" s="34"/>
      <c r="AI1369" s="52"/>
      <c r="AJ1369" s="52"/>
      <c r="AL1369" s="34"/>
      <c r="AM1369" s="34"/>
      <c r="AN1369" s="34"/>
      <c r="AO1369" s="54"/>
      <c r="AP1369" s="34"/>
      <c r="AQ1369" s="34"/>
      <c r="AR1369" s="54"/>
      <c r="AS1369" s="54"/>
      <c r="AT1369" s="54"/>
      <c r="AU1369" s="54"/>
      <c r="AV1369" s="34"/>
      <c r="AW1369" s="34"/>
      <c r="AX1369" s="34"/>
      <c r="AY1369" s="34"/>
      <c r="AZ1369" s="34"/>
      <c r="BA1369" s="44"/>
      <c r="BB1369" s="34"/>
      <c r="BC1369" s="34"/>
    </row>
    <row r="1370" spans="1:55" x14ac:dyDescent="0.35" ht="15.0" customHeight="true">
      <c r="A1370" s="51"/>
      <c r="B1370" s="34"/>
      <c r="C1370" s="34"/>
      <c r="D1370" s="34"/>
      <c r="E1370" s="34"/>
      <c r="F1370" s="34"/>
      <c r="G1370" s="44"/>
      <c r="H1370" s="34"/>
      <c r="I1370" s="54"/>
      <c r="J1370" s="34"/>
      <c r="K1370" s="54"/>
      <c r="L1370" s="34"/>
      <c r="M1370" s="44"/>
      <c r="N1370" s="44"/>
      <c r="O1370" s="34"/>
      <c r="P1370" s="34"/>
      <c r="Q1370" s="34"/>
      <c r="R1370" s="34"/>
      <c r="V1370" s="44"/>
      <c r="X1370" s="95"/>
      <c r="Y1370" s="54"/>
      <c r="Z1370" s="54"/>
      <c r="AA1370" s="34"/>
      <c r="AB1370" s="34"/>
      <c r="AC1370" s="34"/>
      <c r="AD1370" s="34"/>
      <c r="AE1370" s="34"/>
      <c r="AF1370" s="34"/>
      <c r="AG1370" s="34"/>
      <c r="AH1370" s="34"/>
      <c r="AI1370" s="52"/>
      <c r="AJ1370" s="52"/>
      <c r="AL1370" s="34"/>
      <c r="AM1370" s="34"/>
      <c r="AN1370" s="34"/>
      <c r="AO1370" s="54"/>
      <c r="AP1370" s="34"/>
      <c r="AQ1370" s="34"/>
      <c r="AR1370" s="54"/>
      <c r="AS1370" s="54"/>
      <c r="AT1370" s="54"/>
      <c r="AU1370" s="54"/>
      <c r="AV1370" s="34"/>
      <c r="AW1370" s="34"/>
      <c r="AX1370" s="34"/>
      <c r="AY1370" s="34"/>
      <c r="AZ1370" s="34"/>
      <c r="BA1370" s="44"/>
      <c r="BB1370" s="34"/>
      <c r="BC1370" s="34"/>
    </row>
    <row r="1371" spans="1:55" x14ac:dyDescent="0.35" ht="15.0" customHeight="true">
      <c r="A1371" s="51"/>
      <c r="B1371" s="34"/>
      <c r="C1371" s="34"/>
      <c r="D1371" s="34"/>
      <c r="E1371" s="34"/>
      <c r="F1371" s="34"/>
      <c r="G1371" s="44"/>
      <c r="H1371" s="34"/>
      <c r="I1371" s="54"/>
      <c r="J1371" s="34"/>
      <c r="K1371" s="54"/>
      <c r="L1371" s="34"/>
      <c r="M1371" s="44"/>
      <c r="N1371" s="44"/>
      <c r="O1371" s="34"/>
      <c r="P1371" s="34"/>
      <c r="Q1371" s="34"/>
      <c r="R1371" s="34"/>
      <c r="V1371" s="44"/>
      <c r="X1371" s="95"/>
      <c r="Y1371" s="54"/>
      <c r="Z1371" s="54"/>
      <c r="AA1371" s="34"/>
      <c r="AB1371" s="34"/>
      <c r="AC1371" s="34"/>
      <c r="AD1371" s="34"/>
      <c r="AE1371" s="34"/>
      <c r="AF1371" s="34"/>
      <c r="AG1371" s="34"/>
      <c r="AH1371" s="34"/>
      <c r="AI1371" s="52"/>
      <c r="AJ1371" s="52"/>
      <c r="AL1371" s="34"/>
      <c r="AM1371" s="34"/>
      <c r="AN1371" s="34"/>
      <c r="AO1371" s="54"/>
      <c r="AP1371" s="34"/>
      <c r="AQ1371" s="34"/>
      <c r="AR1371" s="54"/>
      <c r="AS1371" s="54"/>
      <c r="AT1371" s="54"/>
      <c r="AU1371" s="54"/>
      <c r="AV1371" s="34"/>
      <c r="AW1371" s="34"/>
      <c r="AX1371" s="34"/>
      <c r="AY1371" s="34"/>
      <c r="AZ1371" s="34"/>
      <c r="BA1371" s="44"/>
      <c r="BB1371" s="34"/>
      <c r="BC1371" s="34"/>
    </row>
    <row r="1372" spans="1:55" x14ac:dyDescent="0.35" ht="15.0" customHeight="true">
      <c r="A1372" s="51"/>
      <c r="B1372" s="34"/>
      <c r="C1372" s="34"/>
      <c r="D1372" s="34"/>
      <c r="E1372" s="34"/>
      <c r="F1372" s="34"/>
      <c r="G1372" s="44"/>
      <c r="H1372" s="34"/>
      <c r="I1372" s="54"/>
      <c r="J1372" s="34"/>
      <c r="K1372" s="54"/>
      <c r="L1372" s="34"/>
      <c r="M1372" s="44"/>
      <c r="N1372" s="44"/>
      <c r="O1372" s="34"/>
      <c r="P1372" s="34"/>
      <c r="Q1372" s="34"/>
      <c r="R1372" s="34"/>
      <c r="V1372" s="44"/>
      <c r="X1372" s="95"/>
      <c r="Y1372" s="54"/>
      <c r="Z1372" s="54"/>
      <c r="AA1372" s="34"/>
      <c r="AB1372" s="34"/>
      <c r="AC1372" s="34"/>
      <c r="AD1372" s="34"/>
      <c r="AE1372" s="34"/>
      <c r="AF1372" s="34"/>
      <c r="AG1372" s="34"/>
      <c r="AH1372" s="34"/>
      <c r="AI1372" s="52"/>
      <c r="AJ1372" s="52"/>
      <c r="AL1372" s="34"/>
      <c r="AM1372" s="34"/>
      <c r="AN1372" s="34"/>
      <c r="AO1372" s="54"/>
      <c r="AP1372" s="34"/>
      <c r="AQ1372" s="34"/>
      <c r="AR1372" s="54"/>
      <c r="AS1372" s="54"/>
      <c r="AT1372" s="54"/>
      <c r="AU1372" s="54"/>
      <c r="AV1372" s="34"/>
      <c r="AW1372" s="34"/>
      <c r="AX1372" s="34"/>
      <c r="AY1372" s="34"/>
      <c r="AZ1372" s="34"/>
      <c r="BA1372" s="44"/>
      <c r="BB1372" s="34"/>
      <c r="BC1372" s="34"/>
    </row>
    <row r="1373" spans="1:55" x14ac:dyDescent="0.35" ht="15.0" customHeight="true">
      <c r="A1373" s="51"/>
      <c r="B1373" s="34"/>
      <c r="C1373" s="34"/>
      <c r="D1373" s="34"/>
      <c r="E1373" s="34"/>
      <c r="F1373" s="34"/>
      <c r="G1373" s="44"/>
      <c r="H1373" s="34"/>
      <c r="I1373" s="54"/>
      <c r="J1373" s="34"/>
      <c r="K1373" s="54"/>
      <c r="L1373" s="34"/>
      <c r="M1373" s="44"/>
      <c r="N1373" s="44"/>
      <c r="O1373" s="34"/>
      <c r="P1373" s="34"/>
      <c r="Q1373" s="34"/>
      <c r="R1373" s="34"/>
      <c r="V1373" s="44"/>
      <c r="X1373" s="95"/>
      <c r="Y1373" s="54"/>
      <c r="Z1373" s="54"/>
      <c r="AA1373" s="34"/>
      <c r="AB1373" s="34"/>
      <c r="AC1373" s="34"/>
      <c r="AD1373" s="34"/>
      <c r="AE1373" s="34"/>
      <c r="AF1373" s="34"/>
      <c r="AG1373" s="34"/>
      <c r="AH1373" s="34"/>
      <c r="AI1373" s="52"/>
      <c r="AJ1373" s="52"/>
      <c r="AL1373" s="34"/>
      <c r="AM1373" s="34"/>
      <c r="AN1373" s="34"/>
      <c r="AO1373" s="54"/>
      <c r="AP1373" s="34"/>
      <c r="AQ1373" s="34"/>
      <c r="AR1373" s="54"/>
      <c r="AS1373" s="54"/>
      <c r="AT1373" s="54"/>
      <c r="AU1373" s="54"/>
      <c r="AV1373" s="34"/>
      <c r="AW1373" s="34"/>
      <c r="AX1373" s="34"/>
      <c r="AY1373" s="34"/>
      <c r="AZ1373" s="34"/>
      <c r="BA1373" s="44"/>
      <c r="BB1373" s="34"/>
      <c r="BC1373" s="34"/>
    </row>
    <row r="1374" spans="1:55" x14ac:dyDescent="0.35" ht="15.0" customHeight="true">
      <c r="A1374" s="51"/>
      <c r="B1374" s="34"/>
      <c r="C1374" s="34"/>
      <c r="D1374" s="34"/>
      <c r="E1374" s="34"/>
      <c r="F1374" s="34"/>
      <c r="G1374" s="44"/>
      <c r="H1374" s="34"/>
      <c r="I1374" s="54"/>
      <c r="J1374" s="34"/>
      <c r="K1374" s="54"/>
      <c r="L1374" s="34"/>
      <c r="M1374" s="44"/>
      <c r="N1374" s="44"/>
      <c r="O1374" s="34"/>
      <c r="P1374" s="34"/>
      <c r="Q1374" s="34"/>
      <c r="R1374" s="34"/>
      <c r="V1374" s="44"/>
      <c r="X1374" s="95"/>
      <c r="Y1374" s="54"/>
      <c r="Z1374" s="54"/>
      <c r="AA1374" s="34"/>
      <c r="AB1374" s="34"/>
      <c r="AC1374" s="34"/>
      <c r="AD1374" s="34"/>
      <c r="AE1374" s="34"/>
      <c r="AF1374" s="34"/>
      <c r="AG1374" s="34"/>
      <c r="AH1374" s="34"/>
      <c r="AI1374" s="52"/>
      <c r="AJ1374" s="52"/>
      <c r="AL1374" s="34"/>
      <c r="AM1374" s="34"/>
      <c r="AN1374" s="34"/>
      <c r="AO1374" s="54"/>
      <c r="AP1374" s="34"/>
      <c r="AQ1374" s="34"/>
      <c r="AR1374" s="54"/>
      <c r="AS1374" s="54"/>
      <c r="AT1374" s="54"/>
      <c r="AU1374" s="54"/>
      <c r="AV1374" s="34"/>
      <c r="AW1374" s="34"/>
      <c r="AX1374" s="34"/>
      <c r="AY1374" s="34"/>
      <c r="AZ1374" s="34"/>
      <c r="BA1374" s="44"/>
      <c r="BB1374" s="34"/>
      <c r="BC1374" s="34"/>
    </row>
    <row r="1375" spans="1:55" x14ac:dyDescent="0.35" ht="15.0" customHeight="true">
      <c r="A1375" s="51"/>
      <c r="B1375" s="34"/>
      <c r="C1375" s="34"/>
      <c r="D1375" s="34"/>
      <c r="E1375" s="34"/>
      <c r="F1375" s="34"/>
      <c r="G1375" s="44"/>
      <c r="H1375" s="34"/>
      <c r="I1375" s="54"/>
      <c r="J1375" s="34"/>
      <c r="K1375" s="54"/>
      <c r="L1375" s="34"/>
      <c r="M1375" s="44"/>
      <c r="N1375" s="44"/>
      <c r="O1375" s="34"/>
      <c r="P1375" s="34"/>
      <c r="Q1375" s="34"/>
      <c r="R1375" s="34"/>
      <c r="V1375" s="44"/>
      <c r="X1375" s="95"/>
      <c r="Y1375" s="54"/>
      <c r="Z1375" s="54"/>
      <c r="AA1375" s="34"/>
      <c r="AB1375" s="34"/>
      <c r="AC1375" s="34"/>
      <c r="AD1375" s="34"/>
      <c r="AE1375" s="34"/>
      <c r="AF1375" s="34"/>
      <c r="AG1375" s="34"/>
      <c r="AH1375" s="34"/>
      <c r="AI1375" s="52"/>
      <c r="AJ1375" s="52"/>
      <c r="AL1375" s="34"/>
      <c r="AM1375" s="34"/>
      <c r="AN1375" s="34"/>
      <c r="AO1375" s="54"/>
      <c r="AP1375" s="34"/>
      <c r="AQ1375" s="34"/>
      <c r="AR1375" s="54"/>
      <c r="AS1375" s="54"/>
      <c r="AT1375" s="54"/>
      <c r="AU1375" s="54"/>
      <c r="AV1375" s="34"/>
      <c r="AW1375" s="34"/>
      <c r="AX1375" s="34"/>
      <c r="AY1375" s="34"/>
      <c r="AZ1375" s="34"/>
      <c r="BA1375" s="44"/>
      <c r="BB1375" s="34"/>
      <c r="BC1375" s="34"/>
    </row>
    <row r="1376" spans="1:55" x14ac:dyDescent="0.35" ht="15.0" customHeight="true">
      <c r="A1376" s="51"/>
      <c r="B1376" s="34"/>
      <c r="C1376" s="34"/>
      <c r="D1376" s="34"/>
      <c r="E1376" s="34"/>
      <c r="F1376" s="34"/>
      <c r="G1376" s="44"/>
      <c r="H1376" s="34"/>
      <c r="I1376" s="54"/>
      <c r="J1376" s="34"/>
      <c r="K1376" s="54"/>
      <c r="L1376" s="34"/>
      <c r="M1376" s="44"/>
      <c r="N1376" s="44"/>
      <c r="O1376" s="34"/>
      <c r="P1376" s="34"/>
      <c r="Q1376" s="34"/>
      <c r="R1376" s="34"/>
      <c r="V1376" s="44"/>
      <c r="X1376" s="95"/>
      <c r="Y1376" s="54"/>
      <c r="Z1376" s="54"/>
      <c r="AA1376" s="34"/>
      <c r="AB1376" s="34"/>
      <c r="AC1376" s="34"/>
      <c r="AD1376" s="34"/>
      <c r="AE1376" s="34"/>
      <c r="AF1376" s="34"/>
      <c r="AG1376" s="34"/>
      <c r="AH1376" s="34"/>
      <c r="AI1376" s="52"/>
      <c r="AJ1376" s="52"/>
      <c r="AL1376" s="34"/>
      <c r="AM1376" s="34"/>
      <c r="AN1376" s="34"/>
      <c r="AO1376" s="54"/>
      <c r="AP1376" s="34"/>
      <c r="AQ1376" s="34"/>
      <c r="AR1376" s="54"/>
      <c r="AS1376" s="54"/>
      <c r="AT1376" s="54"/>
      <c r="AU1376" s="54"/>
      <c r="AV1376" s="34"/>
      <c r="AW1376" s="34"/>
      <c r="AX1376" s="34"/>
      <c r="AY1376" s="34"/>
      <c r="AZ1376" s="34"/>
      <c r="BA1376" s="44"/>
      <c r="BB1376" s="34"/>
      <c r="BC1376" s="34"/>
    </row>
    <row r="1377" spans="1:55" x14ac:dyDescent="0.35" ht="15.0" customHeight="true">
      <c r="A1377" s="51"/>
      <c r="B1377" s="34"/>
      <c r="C1377" s="34"/>
      <c r="D1377" s="34"/>
      <c r="E1377" s="34"/>
      <c r="F1377" s="34"/>
      <c r="G1377" s="44"/>
      <c r="H1377" s="34"/>
      <c r="I1377" s="54"/>
      <c r="J1377" s="34"/>
      <c r="K1377" s="54"/>
      <c r="L1377" s="34"/>
      <c r="M1377" s="44"/>
      <c r="N1377" s="44"/>
      <c r="O1377" s="34"/>
      <c r="P1377" s="34"/>
      <c r="Q1377" s="34"/>
      <c r="R1377" s="34"/>
      <c r="V1377" s="44"/>
      <c r="X1377" s="95"/>
      <c r="Y1377" s="54"/>
      <c r="Z1377" s="54"/>
      <c r="AA1377" s="34"/>
      <c r="AB1377" s="34"/>
      <c r="AC1377" s="34"/>
      <c r="AD1377" s="34"/>
      <c r="AE1377" s="34"/>
      <c r="AF1377" s="34"/>
      <c r="AG1377" s="34"/>
      <c r="AH1377" s="34"/>
      <c r="AI1377" s="52"/>
      <c r="AJ1377" s="52"/>
      <c r="AL1377" s="34"/>
      <c r="AM1377" s="34"/>
      <c r="AN1377" s="34"/>
      <c r="AO1377" s="54"/>
      <c r="AP1377" s="34"/>
      <c r="AQ1377" s="34"/>
      <c r="AR1377" s="54"/>
      <c r="AS1377" s="54"/>
      <c r="AT1377" s="54"/>
      <c r="AU1377" s="54"/>
      <c r="AV1377" s="34"/>
      <c r="AW1377" s="34"/>
      <c r="AX1377" s="34"/>
      <c r="AY1377" s="34"/>
      <c r="AZ1377" s="34"/>
      <c r="BA1377" s="44"/>
      <c r="BB1377" s="34"/>
      <c r="BC1377" s="34"/>
    </row>
    <row r="1378" spans="1:55" x14ac:dyDescent="0.35" ht="15.0" customHeight="true">
      <c r="A1378" s="51"/>
      <c r="B1378" s="34"/>
      <c r="C1378" s="34"/>
      <c r="D1378" s="34"/>
      <c r="E1378" s="34"/>
      <c r="F1378" s="34"/>
      <c r="G1378" s="44"/>
      <c r="H1378" s="34"/>
      <c r="I1378" s="54"/>
      <c r="J1378" s="34"/>
      <c r="K1378" s="54"/>
      <c r="L1378" s="34"/>
      <c r="M1378" s="44"/>
      <c r="N1378" s="44"/>
      <c r="O1378" s="34"/>
      <c r="P1378" s="34"/>
      <c r="Q1378" s="34"/>
      <c r="R1378" s="34"/>
      <c r="V1378" s="44"/>
      <c r="X1378" s="95"/>
      <c r="Y1378" s="54"/>
      <c r="Z1378" s="54"/>
      <c r="AA1378" s="34"/>
      <c r="AB1378" s="34"/>
      <c r="AC1378" s="34"/>
      <c r="AD1378" s="34"/>
      <c r="AE1378" s="34"/>
      <c r="AF1378" s="34"/>
      <c r="AG1378" s="34"/>
      <c r="AH1378" s="34"/>
      <c r="AI1378" s="52"/>
      <c r="AJ1378" s="52"/>
      <c r="AL1378" s="34"/>
      <c r="AM1378" s="34"/>
      <c r="AN1378" s="34"/>
      <c r="AO1378" s="54"/>
      <c r="AP1378" s="34"/>
      <c r="AQ1378" s="34"/>
      <c r="AR1378" s="54"/>
      <c r="AS1378" s="54"/>
      <c r="AT1378" s="54"/>
      <c r="AU1378" s="54"/>
      <c r="AV1378" s="34"/>
      <c r="AW1378" s="34"/>
      <c r="AX1378" s="34"/>
      <c r="AY1378" s="34"/>
      <c r="AZ1378" s="34"/>
      <c r="BA1378" s="44"/>
      <c r="BB1378" s="34"/>
      <c r="BC1378" s="34"/>
    </row>
    <row r="1379" spans="1:55" x14ac:dyDescent="0.35" ht="15.0" customHeight="true">
      <c r="A1379" s="51"/>
      <c r="B1379" s="34"/>
      <c r="C1379" s="34"/>
      <c r="D1379" s="34"/>
      <c r="E1379" s="34"/>
      <c r="F1379" s="34"/>
      <c r="G1379" s="44"/>
      <c r="H1379" s="34"/>
      <c r="I1379" s="54"/>
      <c r="J1379" s="34"/>
      <c r="K1379" s="54"/>
      <c r="L1379" s="34"/>
      <c r="M1379" s="44"/>
      <c r="N1379" s="44"/>
      <c r="O1379" s="34"/>
      <c r="P1379" s="34"/>
      <c r="Q1379" s="34"/>
      <c r="R1379" s="34"/>
      <c r="V1379" s="44"/>
      <c r="X1379" s="95"/>
      <c r="Y1379" s="54"/>
      <c r="Z1379" s="54"/>
      <c r="AA1379" s="34"/>
      <c r="AB1379" s="34"/>
      <c r="AC1379" s="34"/>
      <c r="AD1379" s="34"/>
      <c r="AE1379" s="34"/>
      <c r="AF1379" s="34"/>
      <c r="AG1379" s="34"/>
      <c r="AH1379" s="34"/>
      <c r="AI1379" s="52"/>
      <c r="AJ1379" s="52"/>
      <c r="AL1379" s="34"/>
      <c r="AM1379" s="34"/>
      <c r="AN1379" s="34"/>
      <c r="AO1379" s="54"/>
      <c r="AP1379" s="34"/>
      <c r="AQ1379" s="34"/>
      <c r="AR1379" s="54"/>
      <c r="AS1379" s="54"/>
      <c r="AT1379" s="54"/>
      <c r="AU1379" s="54"/>
      <c r="AV1379" s="34"/>
      <c r="AW1379" s="34"/>
      <c r="AX1379" s="34"/>
      <c r="AY1379" s="34"/>
      <c r="AZ1379" s="34"/>
      <c r="BA1379" s="44"/>
      <c r="BB1379" s="34"/>
      <c r="BC1379" s="34"/>
    </row>
    <row r="1380" spans="1:55" x14ac:dyDescent="0.35" ht="15.0" customHeight="true">
      <c r="A1380" s="51"/>
      <c r="B1380" s="34"/>
      <c r="C1380" s="34"/>
      <c r="D1380" s="34"/>
      <c r="E1380" s="34"/>
      <c r="F1380" s="34"/>
      <c r="G1380" s="44"/>
      <c r="H1380" s="34"/>
      <c r="I1380" s="54"/>
      <c r="J1380" s="34"/>
      <c r="K1380" s="54"/>
      <c r="L1380" s="34"/>
      <c r="M1380" s="44"/>
      <c r="N1380" s="44"/>
      <c r="O1380" s="34"/>
      <c r="P1380" s="34"/>
      <c r="Q1380" s="34"/>
      <c r="R1380" s="34"/>
      <c r="V1380" s="44"/>
      <c r="X1380" s="95"/>
      <c r="Y1380" s="54"/>
      <c r="Z1380" s="54"/>
      <c r="AA1380" s="34"/>
      <c r="AB1380" s="34"/>
      <c r="AC1380" s="34"/>
      <c r="AD1380" s="34"/>
      <c r="AE1380" s="34"/>
      <c r="AF1380" s="34"/>
      <c r="AG1380" s="34"/>
      <c r="AH1380" s="34"/>
      <c r="AI1380" s="52"/>
      <c r="AJ1380" s="52"/>
      <c r="AL1380" s="34"/>
      <c r="AM1380" s="34"/>
      <c r="AN1380" s="34"/>
      <c r="AO1380" s="54"/>
      <c r="AP1380" s="34"/>
      <c r="AQ1380" s="34"/>
      <c r="AR1380" s="54"/>
      <c r="AS1380" s="54"/>
      <c r="AT1380" s="54"/>
      <c r="AU1380" s="54"/>
      <c r="AV1380" s="34"/>
      <c r="AW1380" s="34"/>
      <c r="AX1380" s="34"/>
      <c r="AY1380" s="34"/>
      <c r="AZ1380" s="34"/>
      <c r="BA1380" s="44"/>
      <c r="BB1380" s="34"/>
      <c r="BC1380" s="34"/>
    </row>
    <row r="1381" spans="1:55" x14ac:dyDescent="0.35" ht="15.0" customHeight="true">
      <c r="A1381" s="51"/>
      <c r="B1381" s="34"/>
      <c r="C1381" s="34"/>
      <c r="D1381" s="34"/>
      <c r="E1381" s="34"/>
      <c r="F1381" s="34"/>
      <c r="G1381" s="44"/>
      <c r="H1381" s="34"/>
      <c r="I1381" s="54"/>
      <c r="J1381" s="34"/>
      <c r="K1381" s="54"/>
      <c r="L1381" s="34"/>
      <c r="M1381" s="44"/>
      <c r="N1381" s="44"/>
      <c r="O1381" s="34"/>
      <c r="P1381" s="34"/>
      <c r="Q1381" s="34"/>
      <c r="R1381" s="34"/>
      <c r="V1381" s="44"/>
      <c r="X1381" s="95"/>
      <c r="Y1381" s="54"/>
      <c r="Z1381" s="54"/>
      <c r="AA1381" s="34"/>
      <c r="AB1381" s="34"/>
      <c r="AC1381" s="34"/>
      <c r="AD1381" s="34"/>
      <c r="AE1381" s="34"/>
      <c r="AF1381" s="34"/>
      <c r="AG1381" s="34"/>
      <c r="AH1381" s="34"/>
      <c r="AI1381" s="52"/>
      <c r="AJ1381" s="52"/>
      <c r="AL1381" s="34"/>
      <c r="AM1381" s="34"/>
      <c r="AN1381" s="34"/>
      <c r="AO1381" s="54"/>
      <c r="AP1381" s="34"/>
      <c r="AQ1381" s="34"/>
      <c r="AR1381" s="54"/>
      <c r="AS1381" s="54"/>
      <c r="AT1381" s="54"/>
      <c r="AU1381" s="54"/>
      <c r="AV1381" s="34"/>
      <c r="AW1381" s="34"/>
      <c r="AX1381" s="34"/>
      <c r="AY1381" s="34"/>
      <c r="AZ1381" s="34"/>
      <c r="BA1381" s="44"/>
      <c r="BB1381" s="34"/>
      <c r="BC1381" s="34"/>
    </row>
    <row r="1382" spans="1:55" x14ac:dyDescent="0.35" ht="15.0" customHeight="true">
      <c r="A1382" s="51"/>
      <c r="B1382" s="34"/>
      <c r="C1382" s="34"/>
      <c r="D1382" s="34"/>
      <c r="E1382" s="34"/>
      <c r="F1382" s="34"/>
      <c r="G1382" s="44"/>
      <c r="H1382" s="34"/>
      <c r="I1382" s="54"/>
      <c r="J1382" s="34"/>
      <c r="K1382" s="54"/>
      <c r="L1382" s="34"/>
      <c r="M1382" s="44"/>
      <c r="N1382" s="44"/>
      <c r="O1382" s="34"/>
      <c r="P1382" s="34"/>
      <c r="Q1382" s="34"/>
      <c r="R1382" s="34"/>
      <c r="V1382" s="44"/>
      <c r="X1382" s="95"/>
      <c r="Y1382" s="54"/>
      <c r="Z1382" s="54"/>
      <c r="AA1382" s="34"/>
      <c r="AB1382" s="34"/>
      <c r="AC1382" s="34"/>
      <c r="AD1382" s="34"/>
      <c r="AE1382" s="34"/>
      <c r="AF1382" s="34"/>
      <c r="AG1382" s="34"/>
      <c r="AH1382" s="34"/>
      <c r="AI1382" s="52"/>
      <c r="AJ1382" s="52"/>
      <c r="AL1382" s="34"/>
      <c r="AM1382" s="34"/>
      <c r="AN1382" s="34"/>
      <c r="AO1382" s="54"/>
      <c r="AP1382" s="34"/>
      <c r="AQ1382" s="34"/>
      <c r="AR1382" s="54"/>
      <c r="AS1382" s="54"/>
      <c r="AT1382" s="54"/>
      <c r="AU1382" s="54"/>
      <c r="AV1382" s="34"/>
      <c r="AW1382" s="34"/>
      <c r="AX1382" s="34"/>
      <c r="AY1382" s="34"/>
      <c r="AZ1382" s="34"/>
      <c r="BA1382" s="44"/>
      <c r="BB1382" s="34"/>
      <c r="BC1382" s="34"/>
    </row>
    <row r="1383" spans="1:55" x14ac:dyDescent="0.35" ht="15.0" customHeight="true">
      <c r="A1383" s="51"/>
      <c r="B1383" s="34"/>
      <c r="C1383" s="34"/>
      <c r="D1383" s="34"/>
      <c r="E1383" s="34"/>
      <c r="F1383" s="34"/>
      <c r="G1383" s="44"/>
      <c r="H1383" s="34"/>
      <c r="I1383" s="54"/>
      <c r="J1383" s="34"/>
      <c r="K1383" s="54"/>
      <c r="L1383" s="34"/>
      <c r="M1383" s="44"/>
      <c r="N1383" s="44"/>
      <c r="O1383" s="34"/>
      <c r="P1383" s="34"/>
      <c r="Q1383" s="34"/>
      <c r="R1383" s="34"/>
      <c r="V1383" s="44"/>
      <c r="X1383" s="95"/>
      <c r="Y1383" s="54"/>
      <c r="Z1383" s="54"/>
      <c r="AA1383" s="34"/>
      <c r="AB1383" s="34"/>
      <c r="AC1383" s="34"/>
      <c r="AD1383" s="34"/>
      <c r="AE1383" s="34"/>
      <c r="AF1383" s="34"/>
      <c r="AG1383" s="34"/>
      <c r="AH1383" s="34"/>
      <c r="AI1383" s="52"/>
      <c r="AJ1383" s="52"/>
      <c r="AL1383" s="34"/>
      <c r="AM1383" s="34"/>
      <c r="AN1383" s="34"/>
      <c r="AO1383" s="54"/>
      <c r="AP1383" s="34"/>
      <c r="AQ1383" s="34"/>
      <c r="AR1383" s="54"/>
      <c r="AS1383" s="54"/>
      <c r="AT1383" s="54"/>
      <c r="AU1383" s="54"/>
      <c r="AV1383" s="34"/>
      <c r="AW1383" s="34"/>
      <c r="AX1383" s="34"/>
      <c r="AY1383" s="34"/>
      <c r="AZ1383" s="34"/>
      <c r="BA1383" s="44"/>
      <c r="BB1383" s="34"/>
      <c r="BC1383" s="34"/>
    </row>
    <row r="1384" spans="1:55" x14ac:dyDescent="0.35" ht="15.0" customHeight="true">
      <c r="A1384" s="51"/>
      <c r="B1384" s="34"/>
      <c r="C1384" s="34"/>
      <c r="D1384" s="34"/>
      <c r="E1384" s="34"/>
      <c r="F1384" s="34"/>
      <c r="G1384" s="44"/>
      <c r="H1384" s="34"/>
      <c r="I1384" s="54"/>
      <c r="J1384" s="34"/>
      <c r="K1384" s="54"/>
      <c r="L1384" s="34"/>
      <c r="M1384" s="44"/>
      <c r="N1384" s="44"/>
      <c r="O1384" s="34"/>
      <c r="P1384" s="34"/>
      <c r="Q1384" s="34"/>
      <c r="R1384" s="34"/>
      <c r="V1384" s="44"/>
      <c r="X1384" s="95"/>
      <c r="Y1384" s="54"/>
      <c r="Z1384" s="54"/>
      <c r="AA1384" s="34"/>
      <c r="AB1384" s="34"/>
      <c r="AC1384" s="34"/>
      <c r="AD1384" s="34"/>
      <c r="AE1384" s="34"/>
      <c r="AF1384" s="34"/>
      <c r="AG1384" s="34"/>
      <c r="AH1384" s="34"/>
      <c r="AI1384" s="52"/>
      <c r="AJ1384" s="52"/>
      <c r="AL1384" s="34"/>
      <c r="AM1384" s="34"/>
      <c r="AN1384" s="34"/>
      <c r="AO1384" s="54"/>
      <c r="AP1384" s="34"/>
      <c r="AQ1384" s="34"/>
      <c r="AR1384" s="54"/>
      <c r="AS1384" s="54"/>
      <c r="AT1384" s="54"/>
      <c r="AU1384" s="54"/>
      <c r="AV1384" s="34"/>
      <c r="AW1384" s="34"/>
      <c r="AX1384" s="34"/>
      <c r="AY1384" s="34"/>
      <c r="AZ1384" s="34"/>
      <c r="BA1384" s="44"/>
      <c r="BB1384" s="34"/>
      <c r="BC1384" s="34"/>
    </row>
    <row r="1385" spans="1:55" x14ac:dyDescent="0.35" ht="15.0" customHeight="true">
      <c r="A1385" s="51"/>
      <c r="B1385" s="34"/>
      <c r="C1385" s="34"/>
      <c r="D1385" s="34"/>
      <c r="E1385" s="34"/>
      <c r="F1385" s="34"/>
      <c r="G1385" s="44"/>
      <c r="H1385" s="34"/>
      <c r="I1385" s="54"/>
      <c r="J1385" s="34"/>
      <c r="K1385" s="54"/>
      <c r="L1385" s="34"/>
      <c r="M1385" s="44"/>
      <c r="N1385" s="44"/>
      <c r="O1385" s="34"/>
      <c r="P1385" s="34"/>
      <c r="Q1385" s="34"/>
      <c r="R1385" s="34"/>
      <c r="V1385" s="44"/>
      <c r="X1385" s="95"/>
      <c r="Y1385" s="54"/>
      <c r="Z1385" s="54"/>
      <c r="AA1385" s="34"/>
      <c r="AB1385" s="34"/>
      <c r="AC1385" s="34"/>
      <c r="AD1385" s="34"/>
      <c r="AE1385" s="34"/>
      <c r="AF1385" s="34"/>
      <c r="AG1385" s="34"/>
      <c r="AH1385" s="34"/>
      <c r="AI1385" s="52"/>
      <c r="AJ1385" s="52"/>
      <c r="AL1385" s="34"/>
      <c r="AM1385" s="34"/>
      <c r="AN1385" s="34"/>
      <c r="AO1385" s="54"/>
      <c r="AP1385" s="34"/>
      <c r="AQ1385" s="34"/>
      <c r="AR1385" s="54"/>
      <c r="AS1385" s="54"/>
      <c r="AT1385" s="54"/>
      <c r="AU1385" s="54"/>
      <c r="AV1385" s="34"/>
      <c r="AW1385" s="34"/>
      <c r="AX1385" s="34"/>
      <c r="AY1385" s="34"/>
      <c r="AZ1385" s="34"/>
      <c r="BA1385" s="44"/>
      <c r="BB1385" s="34"/>
      <c r="BC1385" s="34"/>
    </row>
    <row r="1386" spans="1:55" x14ac:dyDescent="0.35" ht="15.0" customHeight="true">
      <c r="A1386" s="51"/>
      <c r="B1386" s="34"/>
      <c r="C1386" s="34"/>
      <c r="D1386" s="34"/>
      <c r="E1386" s="34"/>
      <c r="F1386" s="34"/>
      <c r="G1386" s="44"/>
      <c r="H1386" s="34"/>
      <c r="I1386" s="54"/>
      <c r="J1386" s="34"/>
      <c r="K1386" s="54"/>
      <c r="L1386" s="34"/>
      <c r="M1386" s="44"/>
      <c r="N1386" s="44"/>
      <c r="O1386" s="34"/>
      <c r="P1386" s="34"/>
      <c r="Q1386" s="34"/>
      <c r="R1386" s="34"/>
      <c r="V1386" s="44"/>
      <c r="X1386" s="95"/>
      <c r="Y1386" s="54"/>
      <c r="Z1386" s="54"/>
      <c r="AA1386" s="34"/>
      <c r="AB1386" s="34"/>
      <c r="AC1386" s="34"/>
      <c r="AD1386" s="34"/>
      <c r="AE1386" s="34"/>
      <c r="AF1386" s="34"/>
      <c r="AG1386" s="34"/>
      <c r="AH1386" s="34"/>
      <c r="AI1386" s="52"/>
      <c r="AJ1386" s="52"/>
      <c r="AL1386" s="34"/>
      <c r="AM1386" s="34"/>
      <c r="AN1386" s="34"/>
      <c r="AO1386" s="54"/>
      <c r="AP1386" s="34"/>
      <c r="AQ1386" s="34"/>
      <c r="AR1386" s="54"/>
      <c r="AS1386" s="54"/>
      <c r="AT1386" s="54"/>
      <c r="AU1386" s="54"/>
      <c r="AV1386" s="34"/>
      <c r="AW1386" s="34"/>
      <c r="AX1386" s="34"/>
      <c r="AY1386" s="34"/>
      <c r="AZ1386" s="34"/>
      <c r="BA1386" s="44"/>
      <c r="BB1386" s="34"/>
      <c r="BC1386" s="34"/>
    </row>
    <row r="1387" spans="1:55" x14ac:dyDescent="0.35" ht="15.0" customHeight="true">
      <c r="A1387" s="51"/>
      <c r="B1387" s="34"/>
      <c r="C1387" s="34"/>
      <c r="D1387" s="34"/>
      <c r="E1387" s="34"/>
      <c r="F1387" s="34"/>
      <c r="G1387" s="44"/>
      <c r="H1387" s="34"/>
      <c r="I1387" s="54"/>
      <c r="J1387" s="34"/>
      <c r="K1387" s="54"/>
      <c r="L1387" s="34"/>
      <c r="M1387" s="44"/>
      <c r="N1387" s="44"/>
      <c r="O1387" s="34"/>
      <c r="P1387" s="34"/>
      <c r="Q1387" s="34"/>
      <c r="R1387" s="34"/>
      <c r="V1387" s="44"/>
      <c r="X1387" s="95"/>
      <c r="Y1387" s="54"/>
      <c r="Z1387" s="54"/>
      <c r="AA1387" s="34"/>
      <c r="AB1387" s="34"/>
      <c r="AC1387" s="34"/>
      <c r="AD1387" s="34"/>
      <c r="AE1387" s="34"/>
      <c r="AF1387" s="34"/>
      <c r="AG1387" s="34"/>
      <c r="AH1387" s="34"/>
      <c r="AI1387" s="52"/>
      <c r="AJ1387" s="52"/>
      <c r="AL1387" s="34"/>
      <c r="AM1387" s="34"/>
      <c r="AN1387" s="34"/>
      <c r="AO1387" s="54"/>
      <c r="AP1387" s="34"/>
      <c r="AQ1387" s="34"/>
      <c r="AR1387" s="54"/>
      <c r="AS1387" s="54"/>
      <c r="AT1387" s="54"/>
      <c r="AU1387" s="54"/>
      <c r="AV1387" s="34"/>
      <c r="AW1387" s="34"/>
      <c r="AX1387" s="34"/>
      <c r="AY1387" s="34"/>
      <c r="AZ1387" s="34"/>
      <c r="BA1387" s="44"/>
      <c r="BB1387" s="34"/>
      <c r="BC1387" s="34"/>
    </row>
    <row r="1388" spans="1:55" x14ac:dyDescent="0.35" ht="15.0" customHeight="true">
      <c r="A1388" s="51"/>
      <c r="B1388" s="34"/>
      <c r="C1388" s="34"/>
      <c r="D1388" s="34"/>
      <c r="E1388" s="34"/>
      <c r="F1388" s="34"/>
      <c r="G1388" s="44"/>
      <c r="H1388" s="34"/>
      <c r="I1388" s="54"/>
      <c r="J1388" s="34"/>
      <c r="K1388" s="54"/>
      <c r="L1388" s="34"/>
      <c r="M1388" s="44"/>
      <c r="N1388" s="44"/>
      <c r="O1388" s="34"/>
      <c r="P1388" s="34"/>
      <c r="Q1388" s="34"/>
      <c r="R1388" s="34"/>
      <c r="V1388" s="44"/>
      <c r="X1388" s="95"/>
      <c r="Y1388" s="54"/>
      <c r="Z1388" s="54"/>
      <c r="AA1388" s="34"/>
      <c r="AB1388" s="34"/>
      <c r="AC1388" s="34"/>
      <c r="AD1388" s="34"/>
      <c r="AE1388" s="34"/>
      <c r="AF1388" s="34"/>
      <c r="AG1388" s="34"/>
      <c r="AH1388" s="34"/>
      <c r="AI1388" s="52"/>
      <c r="AJ1388" s="52"/>
      <c r="AL1388" s="34"/>
      <c r="AM1388" s="34"/>
      <c r="AN1388" s="34"/>
      <c r="AO1388" s="54"/>
      <c r="AP1388" s="34"/>
      <c r="AQ1388" s="34"/>
      <c r="AR1388" s="54"/>
      <c r="AS1388" s="54"/>
      <c r="AT1388" s="54"/>
      <c r="AU1388" s="54"/>
      <c r="AV1388" s="34"/>
      <c r="AW1388" s="34"/>
      <c r="AX1388" s="34"/>
      <c r="AY1388" s="34"/>
      <c r="AZ1388" s="34"/>
      <c r="BA1388" s="44"/>
      <c r="BB1388" s="34"/>
      <c r="BC1388" s="34"/>
    </row>
    <row r="1389" spans="1:55" x14ac:dyDescent="0.35" ht="15.0" customHeight="true">
      <c r="A1389" s="51"/>
      <c r="B1389" s="34"/>
      <c r="C1389" s="34"/>
      <c r="D1389" s="34"/>
      <c r="E1389" s="34"/>
      <c r="F1389" s="34"/>
      <c r="G1389" s="44"/>
      <c r="H1389" s="34"/>
      <c r="I1389" s="54"/>
      <c r="J1389" s="34"/>
      <c r="K1389" s="54"/>
      <c r="L1389" s="34"/>
      <c r="M1389" s="44"/>
      <c r="N1389" s="44"/>
      <c r="O1389" s="34"/>
      <c r="P1389" s="34"/>
      <c r="Q1389" s="34"/>
      <c r="R1389" s="34"/>
      <c r="V1389" s="44"/>
      <c r="X1389" s="95"/>
      <c r="Y1389" s="54"/>
      <c r="Z1389" s="54"/>
      <c r="AA1389" s="34"/>
      <c r="AB1389" s="34"/>
      <c r="AC1389" s="34"/>
      <c r="AD1389" s="34"/>
      <c r="AE1389" s="34"/>
      <c r="AF1389" s="34"/>
      <c r="AG1389" s="34"/>
      <c r="AH1389" s="34"/>
      <c r="AI1389" s="52"/>
      <c r="AJ1389" s="52"/>
      <c r="AL1389" s="34"/>
      <c r="AM1389" s="34"/>
      <c r="AN1389" s="34"/>
      <c r="AO1389" s="54"/>
      <c r="AP1389" s="34"/>
      <c r="AQ1389" s="34"/>
      <c r="AR1389" s="54"/>
      <c r="AS1389" s="54"/>
      <c r="AT1389" s="54"/>
      <c r="AU1389" s="54"/>
      <c r="AV1389" s="34"/>
      <c r="AW1389" s="34"/>
      <c r="AX1389" s="34"/>
      <c r="AY1389" s="34"/>
      <c r="AZ1389" s="34"/>
      <c r="BA1389" s="44"/>
      <c r="BB1389" s="34"/>
      <c r="BC1389" s="34"/>
    </row>
    <row r="1390" spans="1:55" x14ac:dyDescent="0.35" ht="15.0" customHeight="true">
      <c r="A1390" s="51"/>
      <c r="B1390" s="34"/>
      <c r="C1390" s="34"/>
      <c r="D1390" s="34"/>
      <c r="E1390" s="34"/>
      <c r="F1390" s="34"/>
      <c r="G1390" s="44"/>
      <c r="H1390" s="34"/>
      <c r="I1390" s="54"/>
      <c r="J1390" s="34"/>
      <c r="K1390" s="54"/>
      <c r="L1390" s="34"/>
      <c r="M1390" s="44"/>
      <c r="N1390" s="44"/>
      <c r="O1390" s="34"/>
      <c r="P1390" s="34"/>
      <c r="Q1390" s="34"/>
      <c r="R1390" s="34"/>
      <c r="V1390" s="44"/>
      <c r="X1390" s="95"/>
      <c r="Y1390" s="54"/>
      <c r="Z1390" s="54"/>
      <c r="AA1390" s="34"/>
      <c r="AB1390" s="34"/>
      <c r="AC1390" s="34"/>
      <c r="AD1390" s="34"/>
      <c r="AE1390" s="34"/>
      <c r="AF1390" s="34"/>
      <c r="AG1390" s="34"/>
      <c r="AH1390" s="34"/>
      <c r="AI1390" s="52"/>
      <c r="AJ1390" s="52"/>
      <c r="AL1390" s="34"/>
      <c r="AM1390" s="34"/>
      <c r="AN1390" s="34"/>
      <c r="AO1390" s="54"/>
      <c r="AP1390" s="34"/>
      <c r="AQ1390" s="34"/>
      <c r="AR1390" s="54"/>
      <c r="AS1390" s="54"/>
      <c r="AT1390" s="54"/>
      <c r="AU1390" s="54"/>
      <c r="AV1390" s="34"/>
      <c r="AW1390" s="34"/>
      <c r="AX1390" s="34"/>
      <c r="AY1390" s="34"/>
      <c r="AZ1390" s="34"/>
      <c r="BA1390" s="44"/>
      <c r="BB1390" s="34"/>
      <c r="BC1390" s="34"/>
    </row>
    <row r="1391" spans="1:55" x14ac:dyDescent="0.35" ht="15.0" customHeight="true">
      <c r="A1391" s="51"/>
      <c r="B1391" s="34"/>
      <c r="C1391" s="34"/>
      <c r="D1391" s="34"/>
      <c r="E1391" s="34"/>
      <c r="F1391" s="34"/>
      <c r="G1391" s="44"/>
      <c r="H1391" s="34"/>
      <c r="I1391" s="54"/>
      <c r="J1391" s="34"/>
      <c r="K1391" s="54"/>
      <c r="L1391" s="34"/>
      <c r="M1391" s="44"/>
      <c r="N1391" s="44"/>
      <c r="O1391" s="34"/>
      <c r="P1391" s="34"/>
      <c r="Q1391" s="34"/>
      <c r="R1391" s="34"/>
      <c r="V1391" s="44"/>
      <c r="X1391" s="95"/>
      <c r="Y1391" s="54"/>
      <c r="Z1391" s="54"/>
      <c r="AA1391" s="34"/>
      <c r="AB1391" s="34"/>
      <c r="AC1391" s="34"/>
      <c r="AD1391" s="34"/>
      <c r="AE1391" s="34"/>
      <c r="AF1391" s="34"/>
      <c r="AG1391" s="34"/>
      <c r="AH1391" s="34"/>
      <c r="AI1391" s="52"/>
      <c r="AJ1391" s="52"/>
      <c r="AL1391" s="34"/>
      <c r="AM1391" s="34"/>
      <c r="AN1391" s="34"/>
      <c r="AO1391" s="54"/>
      <c r="AP1391" s="34"/>
      <c r="AQ1391" s="34"/>
      <c r="AR1391" s="54"/>
      <c r="AS1391" s="54"/>
      <c r="AT1391" s="54"/>
      <c r="AU1391" s="54"/>
      <c r="AV1391" s="34"/>
      <c r="AW1391" s="34"/>
      <c r="AX1391" s="34"/>
      <c r="AY1391" s="34"/>
      <c r="AZ1391" s="34"/>
      <c r="BA1391" s="44"/>
      <c r="BB1391" s="34"/>
      <c r="BC1391" s="34"/>
    </row>
    <row r="1392" spans="1:55" x14ac:dyDescent="0.35" ht="15.0" customHeight="true">
      <c r="A1392" s="51"/>
      <c r="B1392" s="34"/>
      <c r="C1392" s="34"/>
      <c r="D1392" s="34"/>
      <c r="E1392" s="34"/>
      <c r="F1392" s="34"/>
      <c r="G1392" s="44"/>
      <c r="H1392" s="34"/>
      <c r="I1392" s="54"/>
      <c r="J1392" s="34"/>
      <c r="K1392" s="54"/>
      <c r="L1392" s="34"/>
      <c r="M1392" s="44"/>
      <c r="N1392" s="44"/>
      <c r="O1392" s="34"/>
      <c r="P1392" s="34"/>
      <c r="Q1392" s="34"/>
      <c r="R1392" s="34"/>
      <c r="V1392" s="44"/>
      <c r="X1392" s="95"/>
      <c r="Y1392" s="54"/>
      <c r="Z1392" s="54"/>
      <c r="AA1392" s="34"/>
      <c r="AB1392" s="34"/>
      <c r="AC1392" s="34"/>
      <c r="AD1392" s="34"/>
      <c r="AE1392" s="34"/>
      <c r="AF1392" s="34"/>
      <c r="AG1392" s="34"/>
      <c r="AH1392" s="34"/>
      <c r="AI1392" s="52"/>
      <c r="AJ1392" s="52"/>
      <c r="AL1392" s="34"/>
      <c r="AM1392" s="34"/>
      <c r="AN1392" s="34"/>
      <c r="AO1392" s="54"/>
      <c r="AP1392" s="34"/>
      <c r="AQ1392" s="34"/>
      <c r="AR1392" s="54"/>
      <c r="AS1392" s="54"/>
      <c r="AT1392" s="54"/>
      <c r="AU1392" s="54"/>
      <c r="AV1392" s="34"/>
      <c r="AW1392" s="34"/>
      <c r="AX1392" s="34"/>
      <c r="AY1392" s="34"/>
      <c r="AZ1392" s="34"/>
      <c r="BA1392" s="44"/>
      <c r="BB1392" s="34"/>
      <c r="BC1392" s="34"/>
    </row>
    <row r="1393" spans="1:55" x14ac:dyDescent="0.35" ht="15.0" customHeight="true">
      <c r="A1393" s="51"/>
      <c r="B1393" s="34"/>
      <c r="C1393" s="34"/>
      <c r="D1393" s="34"/>
      <c r="E1393" s="34"/>
      <c r="F1393" s="34"/>
      <c r="G1393" s="44"/>
      <c r="H1393" s="34"/>
      <c r="I1393" s="54"/>
      <c r="J1393" s="34"/>
      <c r="K1393" s="54"/>
      <c r="L1393" s="34"/>
      <c r="M1393" s="44"/>
      <c r="N1393" s="44"/>
      <c r="O1393" s="34"/>
      <c r="P1393" s="34"/>
      <c r="Q1393" s="34"/>
      <c r="R1393" s="34"/>
      <c r="V1393" s="44"/>
      <c r="X1393" s="95"/>
      <c r="Y1393" s="54"/>
      <c r="Z1393" s="54"/>
      <c r="AA1393" s="34"/>
      <c r="AB1393" s="34"/>
      <c r="AC1393" s="34"/>
      <c r="AD1393" s="34"/>
      <c r="AE1393" s="34"/>
      <c r="AF1393" s="34"/>
      <c r="AG1393" s="34"/>
      <c r="AH1393" s="34"/>
      <c r="AI1393" s="52"/>
      <c r="AJ1393" s="52"/>
      <c r="AL1393" s="34"/>
      <c r="AM1393" s="34"/>
      <c r="AN1393" s="34"/>
      <c r="AO1393" s="54"/>
      <c r="AP1393" s="34"/>
      <c r="AQ1393" s="34"/>
      <c r="AR1393" s="54"/>
      <c r="AS1393" s="54"/>
      <c r="AT1393" s="54"/>
      <c r="AU1393" s="54"/>
      <c r="AV1393" s="34"/>
      <c r="AW1393" s="34"/>
      <c r="AX1393" s="34"/>
      <c r="AY1393" s="34"/>
      <c r="AZ1393" s="34"/>
      <c r="BA1393" s="44"/>
      <c r="BB1393" s="34"/>
      <c r="BC1393" s="34"/>
    </row>
    <row r="1394" spans="1:55" x14ac:dyDescent="0.35" ht="15.0" customHeight="true">
      <c r="A1394" s="51"/>
      <c r="B1394" s="34"/>
      <c r="C1394" s="34"/>
      <c r="D1394" s="34"/>
      <c r="E1394" s="34"/>
      <c r="F1394" s="34"/>
      <c r="G1394" s="44"/>
      <c r="H1394" s="34"/>
      <c r="I1394" s="54"/>
      <c r="J1394" s="34"/>
      <c r="K1394" s="54"/>
      <c r="L1394" s="34"/>
      <c r="M1394" s="44"/>
      <c r="N1394" s="44"/>
      <c r="O1394" s="34"/>
      <c r="P1394" s="34"/>
      <c r="Q1394" s="34"/>
      <c r="R1394" s="34"/>
      <c r="V1394" s="44"/>
      <c r="X1394" s="95"/>
      <c r="Y1394" s="54"/>
      <c r="Z1394" s="54"/>
      <c r="AA1394" s="34"/>
      <c r="AB1394" s="34"/>
      <c r="AC1394" s="34"/>
      <c r="AD1394" s="34"/>
      <c r="AE1394" s="34"/>
      <c r="AF1394" s="34"/>
      <c r="AG1394" s="34"/>
      <c r="AH1394" s="34"/>
      <c r="AI1394" s="52"/>
      <c r="AJ1394" s="52"/>
      <c r="AL1394" s="34"/>
      <c r="AM1394" s="34"/>
      <c r="AN1394" s="34"/>
      <c r="AO1394" s="54"/>
      <c r="AP1394" s="34"/>
      <c r="AQ1394" s="34"/>
      <c r="AR1394" s="54"/>
      <c r="AS1394" s="54"/>
      <c r="AT1394" s="54"/>
      <c r="AU1394" s="54"/>
      <c r="AV1394" s="34"/>
      <c r="AW1394" s="34"/>
      <c r="AX1394" s="34"/>
      <c r="AY1394" s="34"/>
      <c r="AZ1394" s="34"/>
      <c r="BA1394" s="44"/>
      <c r="BB1394" s="34"/>
      <c r="BC1394" s="34"/>
    </row>
    <row r="1395" spans="1:55" x14ac:dyDescent="0.35" ht="15.0" customHeight="true">
      <c r="A1395" s="51"/>
      <c r="B1395" s="34"/>
      <c r="C1395" s="34"/>
      <c r="D1395" s="34"/>
      <c r="E1395" s="34"/>
      <c r="F1395" s="34"/>
      <c r="G1395" s="44"/>
      <c r="H1395" s="34"/>
      <c r="I1395" s="54"/>
      <c r="J1395" s="34"/>
      <c r="K1395" s="54"/>
      <c r="L1395" s="34"/>
      <c r="M1395" s="44"/>
      <c r="N1395" s="44"/>
      <c r="O1395" s="34"/>
      <c r="P1395" s="34"/>
      <c r="Q1395" s="34"/>
      <c r="R1395" s="34"/>
      <c r="V1395" s="44"/>
      <c r="X1395" s="95"/>
      <c r="Y1395" s="54"/>
      <c r="Z1395" s="54"/>
      <c r="AA1395" s="34"/>
      <c r="AB1395" s="34"/>
      <c r="AC1395" s="34"/>
      <c r="AD1395" s="34"/>
      <c r="AE1395" s="34"/>
      <c r="AF1395" s="34"/>
      <c r="AG1395" s="34"/>
      <c r="AH1395" s="34"/>
      <c r="AI1395" s="52"/>
      <c r="AJ1395" s="52"/>
      <c r="AL1395" s="34"/>
      <c r="AM1395" s="34"/>
      <c r="AN1395" s="34"/>
      <c r="AO1395" s="54"/>
      <c r="AP1395" s="34"/>
      <c r="AQ1395" s="34"/>
      <c r="AR1395" s="54"/>
      <c r="AS1395" s="54"/>
      <c r="AT1395" s="54"/>
      <c r="AU1395" s="54"/>
      <c r="AV1395" s="34"/>
      <c r="AW1395" s="34"/>
      <c r="AX1395" s="34"/>
      <c r="AY1395" s="34"/>
      <c r="AZ1395" s="34"/>
      <c r="BA1395" s="44"/>
      <c r="BB1395" s="34"/>
      <c r="BC1395" s="34"/>
    </row>
    <row r="1396" spans="1:55" x14ac:dyDescent="0.35" ht="15.0" customHeight="true">
      <c r="A1396" s="51"/>
      <c r="B1396" s="34"/>
      <c r="C1396" s="34"/>
      <c r="D1396" s="34"/>
      <c r="E1396" s="34"/>
      <c r="F1396" s="34"/>
      <c r="G1396" s="44"/>
      <c r="H1396" s="34"/>
      <c r="I1396" s="54"/>
      <c r="J1396" s="34"/>
      <c r="K1396" s="54"/>
      <c r="L1396" s="34"/>
      <c r="M1396" s="44"/>
      <c r="N1396" s="44"/>
      <c r="O1396" s="34"/>
      <c r="P1396" s="34"/>
      <c r="Q1396" s="34"/>
      <c r="R1396" s="34"/>
      <c r="V1396" s="44"/>
      <c r="X1396" s="95"/>
      <c r="Y1396" s="54"/>
      <c r="Z1396" s="54"/>
      <c r="AA1396" s="34"/>
      <c r="AB1396" s="34"/>
      <c r="AC1396" s="34"/>
      <c r="AD1396" s="34"/>
      <c r="AE1396" s="34"/>
      <c r="AF1396" s="34"/>
      <c r="AG1396" s="34"/>
      <c r="AH1396" s="34"/>
      <c r="AI1396" s="52"/>
      <c r="AJ1396" s="52"/>
      <c r="AL1396" s="34"/>
      <c r="AM1396" s="34"/>
      <c r="AN1396" s="34"/>
      <c r="AO1396" s="54"/>
      <c r="AP1396" s="34"/>
      <c r="AQ1396" s="34"/>
      <c r="AR1396" s="54"/>
      <c r="AS1396" s="54"/>
      <c r="AT1396" s="54"/>
      <c r="AU1396" s="54"/>
      <c r="AV1396" s="34"/>
      <c r="AW1396" s="34"/>
      <c r="AX1396" s="34"/>
      <c r="AY1396" s="34"/>
      <c r="AZ1396" s="34"/>
      <c r="BA1396" s="44"/>
      <c r="BB1396" s="34"/>
      <c r="BC1396" s="34"/>
    </row>
    <row r="1397" spans="1:55" x14ac:dyDescent="0.35" ht="15.0" customHeight="true">
      <c r="A1397" s="51"/>
      <c r="B1397" s="34"/>
      <c r="C1397" s="34"/>
      <c r="D1397" s="34"/>
      <c r="E1397" s="34"/>
      <c r="F1397" s="34"/>
      <c r="G1397" s="44"/>
      <c r="H1397" s="34"/>
      <c r="I1397" s="54"/>
      <c r="J1397" s="34"/>
      <c r="K1397" s="54"/>
      <c r="L1397" s="34"/>
      <c r="M1397" s="44"/>
      <c r="N1397" s="44"/>
      <c r="O1397" s="34"/>
      <c r="P1397" s="34"/>
      <c r="Q1397" s="34"/>
      <c r="R1397" s="34"/>
      <c r="V1397" s="44"/>
      <c r="X1397" s="95"/>
      <c r="Y1397" s="54"/>
      <c r="Z1397" s="54"/>
      <c r="AA1397" s="34"/>
      <c r="AB1397" s="34"/>
      <c r="AC1397" s="34"/>
      <c r="AD1397" s="34"/>
      <c r="AE1397" s="34"/>
      <c r="AF1397" s="34"/>
      <c r="AG1397" s="34"/>
      <c r="AH1397" s="34"/>
      <c r="AI1397" s="52"/>
      <c r="AJ1397" s="52"/>
      <c r="AL1397" s="34"/>
      <c r="AM1397" s="34"/>
      <c r="AN1397" s="34"/>
      <c r="AO1397" s="54"/>
      <c r="AP1397" s="34"/>
      <c r="AQ1397" s="34"/>
      <c r="AR1397" s="54"/>
      <c r="AS1397" s="54"/>
      <c r="AT1397" s="54"/>
      <c r="AU1397" s="54"/>
      <c r="AV1397" s="34"/>
      <c r="AW1397" s="34"/>
      <c r="AX1397" s="34"/>
      <c r="AY1397" s="34"/>
      <c r="AZ1397" s="34"/>
      <c r="BA1397" s="44"/>
      <c r="BB1397" s="34"/>
      <c r="BC1397" s="34"/>
    </row>
    <row r="1398" spans="1:55" x14ac:dyDescent="0.35" ht="15.0" customHeight="true">
      <c r="A1398" s="51"/>
      <c r="B1398" s="34"/>
      <c r="C1398" s="34"/>
      <c r="D1398" s="34"/>
      <c r="E1398" s="34"/>
      <c r="F1398" s="34"/>
      <c r="G1398" s="44"/>
      <c r="H1398" s="34"/>
      <c r="I1398" s="54"/>
      <c r="J1398" s="34"/>
      <c r="K1398" s="54"/>
      <c r="L1398" s="34"/>
      <c r="M1398" s="44"/>
      <c r="N1398" s="44"/>
      <c r="O1398" s="34"/>
      <c r="P1398" s="34"/>
      <c r="Q1398" s="34"/>
      <c r="R1398" s="34"/>
      <c r="V1398" s="44"/>
      <c r="X1398" s="95"/>
      <c r="Y1398" s="54"/>
      <c r="Z1398" s="54"/>
      <c r="AA1398" s="34"/>
      <c r="AB1398" s="34"/>
      <c r="AC1398" s="34"/>
      <c r="AD1398" s="34"/>
      <c r="AE1398" s="34"/>
      <c r="AF1398" s="34"/>
      <c r="AG1398" s="34"/>
      <c r="AH1398" s="34"/>
      <c r="AI1398" s="52"/>
      <c r="AJ1398" s="52"/>
      <c r="AL1398" s="34"/>
      <c r="AM1398" s="34"/>
      <c r="AN1398" s="34"/>
      <c r="AO1398" s="54"/>
      <c r="AP1398" s="34"/>
      <c r="AQ1398" s="34"/>
      <c r="AR1398" s="54"/>
      <c r="AS1398" s="54"/>
      <c r="AT1398" s="54"/>
      <c r="AU1398" s="54"/>
      <c r="AV1398" s="34"/>
      <c r="AW1398" s="34"/>
      <c r="AX1398" s="34"/>
      <c r="AY1398" s="34"/>
      <c r="AZ1398" s="34"/>
      <c r="BA1398" s="44"/>
      <c r="BB1398" s="34"/>
      <c r="BC1398" s="34"/>
    </row>
    <row r="1399" spans="1:55" x14ac:dyDescent="0.35" ht="15.0" customHeight="true">
      <c r="A1399" s="51"/>
      <c r="B1399" s="34"/>
      <c r="C1399" s="34"/>
      <c r="D1399" s="34"/>
      <c r="E1399" s="34"/>
      <c r="F1399" s="34"/>
      <c r="G1399" s="44"/>
      <c r="H1399" s="34"/>
      <c r="I1399" s="54"/>
      <c r="J1399" s="34"/>
      <c r="K1399" s="54"/>
      <c r="L1399" s="34"/>
      <c r="M1399" s="44"/>
      <c r="N1399" s="44"/>
      <c r="O1399" s="34"/>
      <c r="P1399" s="34"/>
      <c r="Q1399" s="34"/>
      <c r="R1399" s="34"/>
      <c r="V1399" s="44"/>
      <c r="X1399" s="95"/>
      <c r="Y1399" s="54"/>
      <c r="Z1399" s="54"/>
      <c r="AA1399" s="34"/>
      <c r="AB1399" s="34"/>
      <c r="AC1399" s="34"/>
      <c r="AD1399" s="34"/>
      <c r="AE1399" s="34"/>
      <c r="AF1399" s="34"/>
      <c r="AG1399" s="34"/>
      <c r="AH1399" s="34"/>
      <c r="AI1399" s="52"/>
      <c r="AJ1399" s="52"/>
      <c r="AL1399" s="34"/>
      <c r="AM1399" s="34"/>
      <c r="AN1399" s="34"/>
      <c r="AO1399" s="54"/>
      <c r="AP1399" s="34"/>
      <c r="AQ1399" s="34"/>
      <c r="AR1399" s="54"/>
      <c r="AS1399" s="54"/>
      <c r="AT1399" s="54"/>
      <c r="AU1399" s="54"/>
      <c r="AV1399" s="34"/>
      <c r="AW1399" s="34"/>
      <c r="AX1399" s="34"/>
      <c r="AY1399" s="34"/>
      <c r="AZ1399" s="34"/>
      <c r="BA1399" s="44"/>
      <c r="BB1399" s="34"/>
      <c r="BC1399" s="34"/>
    </row>
    <row r="1400" spans="1:55" x14ac:dyDescent="0.35" ht="15.0" customHeight="true">
      <c r="A1400" s="51"/>
      <c r="B1400" s="34"/>
      <c r="C1400" s="34"/>
      <c r="D1400" s="34"/>
      <c r="E1400" s="34"/>
      <c r="F1400" s="34"/>
      <c r="G1400" s="44"/>
      <c r="H1400" s="34"/>
      <c r="I1400" s="54"/>
      <c r="J1400" s="34"/>
      <c r="K1400" s="54"/>
      <c r="L1400" s="34"/>
      <c r="M1400" s="44"/>
      <c r="N1400" s="44"/>
      <c r="O1400" s="34"/>
      <c r="P1400" s="34"/>
      <c r="Q1400" s="34"/>
      <c r="R1400" s="34"/>
      <c r="V1400" s="44"/>
      <c r="X1400" s="95"/>
      <c r="Y1400" s="54"/>
      <c r="Z1400" s="54"/>
      <c r="AA1400" s="34"/>
      <c r="AB1400" s="34"/>
      <c r="AC1400" s="34"/>
      <c r="AD1400" s="34"/>
      <c r="AE1400" s="34"/>
      <c r="AF1400" s="34"/>
      <c r="AG1400" s="34"/>
      <c r="AH1400" s="34"/>
      <c r="AI1400" s="52"/>
      <c r="AJ1400" s="52"/>
      <c r="AL1400" s="34"/>
      <c r="AM1400" s="34"/>
      <c r="AN1400" s="34"/>
      <c r="AO1400" s="54"/>
      <c r="AP1400" s="34"/>
      <c r="AQ1400" s="34"/>
      <c r="AR1400" s="54"/>
      <c r="AS1400" s="54"/>
      <c r="AT1400" s="54"/>
      <c r="AU1400" s="54"/>
      <c r="AV1400" s="34"/>
      <c r="AW1400" s="34"/>
      <c r="AX1400" s="34"/>
      <c r="AY1400" s="34"/>
      <c r="AZ1400" s="34"/>
      <c r="BA1400" s="44"/>
      <c r="BB1400" s="34"/>
      <c r="BC1400" s="34"/>
    </row>
    <row r="1401" spans="1:55" x14ac:dyDescent="0.35" ht="15.0" customHeight="true">
      <c r="A1401" s="51"/>
      <c r="B1401" s="34"/>
      <c r="C1401" s="34"/>
      <c r="D1401" s="34"/>
      <c r="E1401" s="34"/>
      <c r="F1401" s="34"/>
      <c r="G1401" s="44"/>
      <c r="H1401" s="34"/>
      <c r="I1401" s="54"/>
      <c r="J1401" s="34"/>
      <c r="K1401" s="54"/>
      <c r="L1401" s="34"/>
      <c r="M1401" s="44"/>
      <c r="N1401" s="44"/>
      <c r="O1401" s="34"/>
      <c r="P1401" s="34"/>
      <c r="Q1401" s="34"/>
      <c r="R1401" s="34"/>
      <c r="V1401" s="44"/>
      <c r="X1401" s="95"/>
      <c r="Y1401" s="54"/>
      <c r="Z1401" s="54"/>
      <c r="AA1401" s="34"/>
      <c r="AB1401" s="34"/>
      <c r="AC1401" s="34"/>
      <c r="AD1401" s="34"/>
      <c r="AE1401" s="34"/>
      <c r="AF1401" s="34"/>
      <c r="AG1401" s="34"/>
      <c r="AH1401" s="34"/>
      <c r="AI1401" s="52"/>
      <c r="AJ1401" s="52"/>
      <c r="AL1401" s="34"/>
      <c r="AM1401" s="34"/>
      <c r="AN1401" s="34"/>
      <c r="AO1401" s="54"/>
      <c r="AP1401" s="34"/>
      <c r="AQ1401" s="34"/>
      <c r="AR1401" s="54"/>
      <c r="AS1401" s="54"/>
      <c r="AT1401" s="54"/>
      <c r="AU1401" s="54"/>
      <c r="AV1401" s="34"/>
      <c r="AW1401" s="34"/>
      <c r="AX1401" s="34"/>
      <c r="AY1401" s="34"/>
      <c r="AZ1401" s="34"/>
      <c r="BA1401" s="44"/>
      <c r="BB1401" s="34"/>
      <c r="BC1401" s="34"/>
    </row>
    <row r="1402" spans="1:55" x14ac:dyDescent="0.35" ht="15.0" customHeight="true">
      <c r="A1402" s="51"/>
      <c r="B1402" s="34"/>
      <c r="C1402" s="34"/>
      <c r="D1402" s="34"/>
      <c r="E1402" s="34"/>
      <c r="F1402" s="34"/>
      <c r="G1402" s="44"/>
      <c r="H1402" s="34"/>
      <c r="I1402" s="54"/>
      <c r="J1402" s="34"/>
      <c r="K1402" s="54"/>
      <c r="L1402" s="34"/>
      <c r="M1402" s="44"/>
      <c r="N1402" s="44"/>
      <c r="O1402" s="34"/>
      <c r="P1402" s="34"/>
      <c r="Q1402" s="34"/>
      <c r="R1402" s="34"/>
      <c r="V1402" s="44"/>
      <c r="X1402" s="95"/>
      <c r="Y1402" s="54"/>
      <c r="Z1402" s="54"/>
      <c r="AA1402" s="34"/>
      <c r="AB1402" s="34"/>
      <c r="AC1402" s="34"/>
      <c r="AD1402" s="34"/>
      <c r="AE1402" s="34"/>
      <c r="AF1402" s="34"/>
      <c r="AG1402" s="34"/>
      <c r="AH1402" s="34"/>
      <c r="AI1402" s="52"/>
      <c r="AJ1402" s="52"/>
      <c r="AL1402" s="34"/>
      <c r="AM1402" s="34"/>
      <c r="AN1402" s="34"/>
      <c r="AO1402" s="54"/>
      <c r="AP1402" s="34"/>
      <c r="AQ1402" s="34"/>
      <c r="AR1402" s="54"/>
      <c r="AS1402" s="54"/>
      <c r="AT1402" s="54"/>
      <c r="AU1402" s="54"/>
      <c r="AV1402" s="34"/>
      <c r="AW1402" s="34"/>
      <c r="AX1402" s="34"/>
      <c r="AY1402" s="34"/>
      <c r="AZ1402" s="34"/>
      <c r="BA1402" s="44"/>
      <c r="BB1402" s="34"/>
      <c r="BC1402" s="34"/>
    </row>
    <row r="1403" spans="1:55" x14ac:dyDescent="0.35" ht="15.0" customHeight="true">
      <c r="A1403" s="51"/>
      <c r="B1403" s="34"/>
      <c r="C1403" s="34"/>
      <c r="D1403" s="34"/>
      <c r="E1403" s="34"/>
      <c r="F1403" s="34"/>
      <c r="G1403" s="44"/>
      <c r="H1403" s="34"/>
      <c r="I1403" s="54"/>
      <c r="J1403" s="34"/>
      <c r="K1403" s="54"/>
      <c r="L1403" s="34"/>
      <c r="M1403" s="44"/>
      <c r="N1403" s="44"/>
      <c r="O1403" s="34"/>
      <c r="P1403" s="34"/>
      <c r="Q1403" s="34"/>
      <c r="R1403" s="34"/>
      <c r="V1403" s="44"/>
      <c r="X1403" s="95"/>
      <c r="Y1403" s="54"/>
      <c r="Z1403" s="54"/>
      <c r="AA1403" s="34"/>
      <c r="AB1403" s="34"/>
      <c r="AC1403" s="34"/>
      <c r="AD1403" s="34"/>
      <c r="AE1403" s="34"/>
      <c r="AF1403" s="34"/>
      <c r="AG1403" s="34"/>
      <c r="AH1403" s="34"/>
      <c r="AI1403" s="52"/>
      <c r="AJ1403" s="52"/>
      <c r="AL1403" s="34"/>
      <c r="AM1403" s="34"/>
      <c r="AN1403" s="34"/>
      <c r="AO1403" s="54"/>
      <c r="AP1403" s="34"/>
      <c r="AQ1403" s="34"/>
      <c r="AR1403" s="54"/>
      <c r="AS1403" s="54"/>
      <c r="AT1403" s="54"/>
      <c r="AU1403" s="54"/>
      <c r="AV1403" s="34"/>
      <c r="AW1403" s="34"/>
      <c r="AX1403" s="34"/>
      <c r="AY1403" s="34"/>
      <c r="AZ1403" s="34"/>
      <c r="BA1403" s="44"/>
      <c r="BB1403" s="34"/>
      <c r="BC1403" s="34"/>
    </row>
    <row r="1404" spans="1:55" x14ac:dyDescent="0.35" ht="15.0" customHeight="true">
      <c r="A1404" s="51"/>
      <c r="B1404" s="34"/>
      <c r="C1404" s="34"/>
      <c r="D1404" s="34"/>
      <c r="E1404" s="34"/>
      <c r="F1404" s="34"/>
      <c r="G1404" s="44"/>
      <c r="H1404" s="34"/>
      <c r="I1404" s="54"/>
      <c r="J1404" s="34"/>
      <c r="K1404" s="54"/>
      <c r="L1404" s="34"/>
      <c r="M1404" s="44"/>
      <c r="N1404" s="44"/>
      <c r="O1404" s="34"/>
      <c r="P1404" s="34"/>
      <c r="Q1404" s="34"/>
      <c r="R1404" s="34"/>
      <c r="V1404" s="44"/>
      <c r="X1404" s="95"/>
      <c r="Y1404" s="54"/>
      <c r="Z1404" s="54"/>
      <c r="AA1404" s="34"/>
      <c r="AB1404" s="34"/>
      <c r="AC1404" s="34"/>
      <c r="AD1404" s="34"/>
      <c r="AE1404" s="34"/>
      <c r="AF1404" s="34"/>
      <c r="AG1404" s="34"/>
      <c r="AH1404" s="34"/>
      <c r="AI1404" s="52"/>
      <c r="AJ1404" s="52"/>
      <c r="AL1404" s="34"/>
      <c r="AM1404" s="34"/>
      <c r="AN1404" s="34"/>
      <c r="AO1404" s="54"/>
      <c r="AP1404" s="34"/>
      <c r="AQ1404" s="34"/>
      <c r="AR1404" s="54"/>
      <c r="AS1404" s="54"/>
      <c r="AT1404" s="54"/>
      <c r="AU1404" s="54"/>
      <c r="AV1404" s="34"/>
      <c r="AW1404" s="34"/>
      <c r="AX1404" s="34"/>
      <c r="AY1404" s="34"/>
      <c r="AZ1404" s="34"/>
      <c r="BA1404" s="44"/>
      <c r="BB1404" s="34"/>
      <c r="BC1404" s="34"/>
    </row>
    <row r="1405" spans="1:55" x14ac:dyDescent="0.35" ht="15.0" customHeight="true">
      <c r="A1405" s="51"/>
      <c r="B1405" s="34"/>
      <c r="C1405" s="34"/>
      <c r="D1405" s="34"/>
      <c r="E1405" s="34"/>
      <c r="F1405" s="34"/>
      <c r="G1405" s="44"/>
      <c r="H1405" s="34"/>
      <c r="I1405" s="54"/>
      <c r="J1405" s="34"/>
      <c r="K1405" s="54"/>
      <c r="L1405" s="34"/>
      <c r="M1405" s="44"/>
      <c r="N1405" s="44"/>
      <c r="O1405" s="34"/>
      <c r="P1405" s="34"/>
      <c r="Q1405" s="34"/>
      <c r="R1405" s="34"/>
      <c r="V1405" s="44"/>
      <c r="X1405" s="95"/>
      <c r="Y1405" s="54"/>
      <c r="Z1405" s="54"/>
      <c r="AA1405" s="34"/>
      <c r="AB1405" s="34"/>
      <c r="AC1405" s="34"/>
      <c r="AD1405" s="34"/>
      <c r="AE1405" s="34"/>
      <c r="AF1405" s="34"/>
      <c r="AG1405" s="34"/>
      <c r="AH1405" s="34"/>
      <c r="AI1405" s="52"/>
      <c r="AJ1405" s="52"/>
      <c r="AL1405" s="34"/>
      <c r="AM1405" s="34"/>
      <c r="AN1405" s="34"/>
      <c r="AO1405" s="54"/>
      <c r="AP1405" s="34"/>
      <c r="AQ1405" s="34"/>
      <c r="AR1405" s="54"/>
      <c r="AS1405" s="54"/>
      <c r="AT1405" s="54"/>
      <c r="AU1405" s="54"/>
      <c r="AV1405" s="34"/>
      <c r="AW1405" s="34"/>
      <c r="AX1405" s="34"/>
      <c r="AY1405" s="34"/>
      <c r="AZ1405" s="34"/>
      <c r="BA1405" s="44"/>
      <c r="BB1405" s="34"/>
      <c r="BC1405" s="34"/>
    </row>
    <row r="1406" spans="1:55" x14ac:dyDescent="0.35" ht="15.0" customHeight="true">
      <c r="A1406" s="51"/>
      <c r="B1406" s="34"/>
      <c r="C1406" s="34"/>
      <c r="D1406" s="34"/>
      <c r="E1406" s="34"/>
      <c r="F1406" s="34"/>
      <c r="G1406" s="44"/>
      <c r="H1406" s="34"/>
      <c r="I1406" s="54"/>
      <c r="J1406" s="34"/>
      <c r="K1406" s="54"/>
      <c r="L1406" s="34"/>
      <c r="M1406" s="44"/>
      <c r="N1406" s="44"/>
      <c r="O1406" s="34"/>
      <c r="P1406" s="34"/>
      <c r="Q1406" s="34"/>
      <c r="R1406" s="34"/>
      <c r="V1406" s="44"/>
      <c r="X1406" s="95"/>
      <c r="Y1406" s="54"/>
      <c r="Z1406" s="54"/>
      <c r="AA1406" s="34"/>
      <c r="AB1406" s="34"/>
      <c r="AC1406" s="34"/>
      <c r="AD1406" s="34"/>
      <c r="AE1406" s="34"/>
      <c r="AF1406" s="34"/>
      <c r="AG1406" s="34"/>
      <c r="AH1406" s="34"/>
      <c r="AI1406" s="52"/>
      <c r="AJ1406" s="52"/>
      <c r="AL1406" s="34"/>
      <c r="AM1406" s="34"/>
      <c r="AN1406" s="34"/>
      <c r="AO1406" s="54"/>
      <c r="AP1406" s="34"/>
      <c r="AQ1406" s="34"/>
      <c r="AR1406" s="54"/>
      <c r="AS1406" s="54"/>
      <c r="AT1406" s="54"/>
      <c r="AU1406" s="54"/>
      <c r="AV1406" s="34"/>
      <c r="AW1406" s="34"/>
      <c r="AX1406" s="34"/>
      <c r="AY1406" s="34"/>
      <c r="AZ1406" s="34"/>
      <c r="BA1406" s="44"/>
      <c r="BB1406" s="34"/>
      <c r="BC1406" s="34"/>
    </row>
    <row r="1407" spans="1:55" x14ac:dyDescent="0.35" ht="15.0" customHeight="true">
      <c r="A1407" s="51"/>
      <c r="B1407" s="34"/>
      <c r="C1407" s="34"/>
      <c r="D1407" s="34"/>
      <c r="E1407" s="34"/>
      <c r="F1407" s="34"/>
      <c r="G1407" s="44"/>
      <c r="H1407" s="34"/>
      <c r="I1407" s="54"/>
      <c r="J1407" s="34"/>
      <c r="K1407" s="54"/>
      <c r="L1407" s="34"/>
      <c r="M1407" s="44"/>
      <c r="N1407" s="44"/>
      <c r="O1407" s="34"/>
      <c r="P1407" s="34"/>
      <c r="Q1407" s="34"/>
      <c r="R1407" s="34"/>
      <c r="V1407" s="44"/>
      <c r="X1407" s="95"/>
      <c r="Y1407" s="54"/>
      <c r="Z1407" s="54"/>
      <c r="AA1407" s="34"/>
      <c r="AB1407" s="34"/>
      <c r="AC1407" s="34"/>
      <c r="AD1407" s="34"/>
      <c r="AE1407" s="34"/>
      <c r="AF1407" s="34"/>
      <c r="AG1407" s="34"/>
      <c r="AH1407" s="34"/>
      <c r="AI1407" s="52"/>
      <c r="AJ1407" s="52"/>
      <c r="AL1407" s="34"/>
      <c r="AM1407" s="34"/>
      <c r="AN1407" s="34"/>
      <c r="AO1407" s="54"/>
      <c r="AP1407" s="34"/>
      <c r="AQ1407" s="34"/>
      <c r="AR1407" s="54"/>
      <c r="AS1407" s="54"/>
      <c r="AT1407" s="54"/>
      <c r="AU1407" s="54"/>
      <c r="AV1407" s="34"/>
      <c r="AW1407" s="34"/>
      <c r="AX1407" s="34"/>
      <c r="AY1407" s="34"/>
      <c r="AZ1407" s="34"/>
      <c r="BA1407" s="44"/>
      <c r="BB1407" s="34"/>
      <c r="BC1407" s="34"/>
    </row>
    <row r="1408" spans="1:55" x14ac:dyDescent="0.35" ht="15.0" customHeight="true">
      <c r="A1408" s="51"/>
      <c r="B1408" s="34"/>
      <c r="C1408" s="34"/>
      <c r="D1408" s="34"/>
      <c r="E1408" s="34"/>
      <c r="F1408" s="34"/>
      <c r="G1408" s="44"/>
      <c r="H1408" s="34"/>
      <c r="I1408" s="54"/>
      <c r="J1408" s="34"/>
      <c r="K1408" s="54"/>
      <c r="L1408" s="34"/>
      <c r="M1408" s="44"/>
      <c r="N1408" s="44"/>
      <c r="O1408" s="34"/>
      <c r="P1408" s="34"/>
      <c r="Q1408" s="34"/>
      <c r="R1408" s="34"/>
      <c r="V1408" s="44"/>
      <c r="X1408" s="95"/>
      <c r="Y1408" s="54"/>
      <c r="Z1408" s="54"/>
      <c r="AA1408" s="34"/>
      <c r="AB1408" s="34"/>
      <c r="AC1408" s="34"/>
      <c r="AD1408" s="34"/>
      <c r="AE1408" s="34"/>
      <c r="AF1408" s="34"/>
      <c r="AG1408" s="34"/>
      <c r="AH1408" s="34"/>
      <c r="AI1408" s="52"/>
      <c r="AJ1408" s="52"/>
      <c r="AL1408" s="34"/>
      <c r="AM1408" s="34"/>
      <c r="AN1408" s="34"/>
      <c r="AO1408" s="54"/>
      <c r="AP1408" s="34"/>
      <c r="AQ1408" s="34"/>
      <c r="AR1408" s="54"/>
      <c r="AS1408" s="54"/>
      <c r="AT1408" s="54"/>
      <c r="AU1408" s="54"/>
      <c r="AV1408" s="34"/>
      <c r="AW1408" s="34"/>
      <c r="AX1408" s="34"/>
      <c r="AY1408" s="34"/>
      <c r="AZ1408" s="34"/>
      <c r="BA1408" s="44"/>
      <c r="BB1408" s="34"/>
      <c r="BC1408" s="34"/>
    </row>
    <row r="1409" spans="1:55" x14ac:dyDescent="0.35" ht="15.0" customHeight="true">
      <c r="A1409" s="51"/>
      <c r="B1409" s="34"/>
      <c r="C1409" s="34"/>
      <c r="D1409" s="34"/>
      <c r="E1409" s="34"/>
      <c r="F1409" s="34"/>
      <c r="G1409" s="44"/>
      <c r="H1409" s="34"/>
      <c r="I1409" s="54"/>
      <c r="J1409" s="34"/>
      <c r="K1409" s="54"/>
      <c r="L1409" s="34"/>
      <c r="M1409" s="44"/>
      <c r="N1409" s="44"/>
      <c r="O1409" s="34"/>
      <c r="P1409" s="34"/>
      <c r="Q1409" s="34"/>
      <c r="R1409" s="34"/>
      <c r="V1409" s="44"/>
      <c r="X1409" s="95"/>
      <c r="Y1409" s="54"/>
      <c r="Z1409" s="54"/>
      <c r="AA1409" s="34"/>
      <c r="AB1409" s="34"/>
      <c r="AC1409" s="34"/>
      <c r="AD1409" s="34"/>
      <c r="AE1409" s="34"/>
      <c r="AF1409" s="34"/>
      <c r="AG1409" s="34"/>
      <c r="AH1409" s="34"/>
      <c r="AI1409" s="52"/>
      <c r="AJ1409" s="52"/>
      <c r="AL1409" s="34"/>
      <c r="AM1409" s="34"/>
      <c r="AN1409" s="34"/>
      <c r="AO1409" s="54"/>
      <c r="AP1409" s="34"/>
      <c r="AQ1409" s="34"/>
      <c r="AR1409" s="54"/>
      <c r="AS1409" s="54"/>
      <c r="AT1409" s="54"/>
      <c r="AU1409" s="54"/>
      <c r="AV1409" s="34"/>
      <c r="AW1409" s="34"/>
      <c r="AX1409" s="34"/>
      <c r="AY1409" s="34"/>
      <c r="AZ1409" s="34"/>
      <c r="BA1409" s="44"/>
      <c r="BB1409" s="34"/>
      <c r="BC1409" s="34"/>
    </row>
    <row r="1410" spans="1:55" x14ac:dyDescent="0.35" ht="15.0" customHeight="true">
      <c r="A1410" s="51"/>
      <c r="B1410" s="34"/>
      <c r="C1410" s="34"/>
      <c r="D1410" s="34"/>
      <c r="E1410" s="34"/>
      <c r="F1410" s="34"/>
      <c r="G1410" s="44"/>
      <c r="H1410" s="34"/>
      <c r="I1410" s="54"/>
      <c r="J1410" s="34"/>
      <c r="K1410" s="54"/>
      <c r="L1410" s="34"/>
      <c r="M1410" s="44"/>
      <c r="N1410" s="44"/>
      <c r="O1410" s="34"/>
      <c r="P1410" s="34"/>
      <c r="Q1410" s="34"/>
      <c r="R1410" s="34"/>
      <c r="V1410" s="44"/>
      <c r="X1410" s="95"/>
      <c r="Y1410" s="54"/>
      <c r="Z1410" s="54"/>
      <c r="AA1410" s="34"/>
      <c r="AB1410" s="34"/>
      <c r="AC1410" s="34"/>
      <c r="AD1410" s="34"/>
      <c r="AE1410" s="34"/>
      <c r="AF1410" s="34"/>
      <c r="AG1410" s="34"/>
      <c r="AH1410" s="34"/>
      <c r="AI1410" s="52"/>
      <c r="AJ1410" s="52"/>
      <c r="AL1410" s="34"/>
      <c r="AM1410" s="34"/>
      <c r="AN1410" s="34"/>
      <c r="AO1410" s="54"/>
      <c r="AP1410" s="34"/>
      <c r="AQ1410" s="34"/>
      <c r="AR1410" s="54"/>
      <c r="AS1410" s="54"/>
      <c r="AT1410" s="54"/>
      <c r="AU1410" s="54"/>
      <c r="AV1410" s="34"/>
      <c r="AW1410" s="34"/>
      <c r="AX1410" s="34"/>
      <c r="AY1410" s="34"/>
      <c r="AZ1410" s="34"/>
      <c r="BA1410" s="44"/>
      <c r="BB1410" s="34"/>
      <c r="BC1410" s="34"/>
    </row>
    <row r="1411" spans="1:55" x14ac:dyDescent="0.35" ht="15.0" customHeight="true">
      <c r="A1411" s="51"/>
      <c r="B1411" s="34"/>
      <c r="C1411" s="34"/>
      <c r="D1411" s="34"/>
      <c r="E1411" s="34"/>
      <c r="F1411" s="34"/>
      <c r="G1411" s="44"/>
      <c r="H1411" s="34"/>
      <c r="I1411" s="54"/>
      <c r="J1411" s="34"/>
      <c r="K1411" s="54"/>
      <c r="L1411" s="34"/>
      <c r="M1411" s="44"/>
      <c r="N1411" s="44"/>
      <c r="O1411" s="34"/>
      <c r="P1411" s="34"/>
      <c r="Q1411" s="34"/>
      <c r="R1411" s="34"/>
      <c r="V1411" s="44"/>
      <c r="X1411" s="95"/>
      <c r="Y1411" s="54"/>
      <c r="Z1411" s="54"/>
      <c r="AA1411" s="34"/>
      <c r="AB1411" s="34"/>
      <c r="AC1411" s="34"/>
      <c r="AD1411" s="34"/>
      <c r="AE1411" s="34"/>
      <c r="AF1411" s="34"/>
      <c r="AG1411" s="34"/>
      <c r="AH1411" s="34"/>
      <c r="AI1411" s="52"/>
      <c r="AJ1411" s="52"/>
      <c r="AL1411" s="34"/>
      <c r="AM1411" s="34"/>
      <c r="AN1411" s="34"/>
      <c r="AO1411" s="54"/>
      <c r="AP1411" s="34"/>
      <c r="AQ1411" s="34"/>
      <c r="AR1411" s="54"/>
      <c r="AS1411" s="54"/>
      <c r="AT1411" s="54"/>
      <c r="AU1411" s="54"/>
      <c r="AV1411" s="34"/>
      <c r="AW1411" s="34"/>
      <c r="AX1411" s="34"/>
      <c r="AY1411" s="34"/>
      <c r="AZ1411" s="34"/>
      <c r="BA1411" s="44"/>
      <c r="BB1411" s="34"/>
      <c r="BC1411" s="34"/>
    </row>
    <row r="1412" spans="1:55" x14ac:dyDescent="0.35" ht="15.0" customHeight="true">
      <c r="A1412" s="51"/>
      <c r="B1412" s="34"/>
      <c r="C1412" s="34"/>
      <c r="D1412" s="34"/>
      <c r="E1412" s="34"/>
      <c r="F1412" s="34"/>
      <c r="G1412" s="44"/>
      <c r="H1412" s="34"/>
      <c r="I1412" s="54"/>
      <c r="J1412" s="34"/>
      <c r="K1412" s="54"/>
      <c r="L1412" s="34"/>
      <c r="M1412" s="44"/>
      <c r="N1412" s="44"/>
      <c r="O1412" s="34"/>
      <c r="P1412" s="34"/>
      <c r="Q1412" s="34"/>
      <c r="R1412" s="34"/>
      <c r="V1412" s="44"/>
      <c r="X1412" s="95"/>
      <c r="Y1412" s="54"/>
      <c r="Z1412" s="54"/>
      <c r="AA1412" s="34"/>
      <c r="AB1412" s="34"/>
      <c r="AC1412" s="34"/>
      <c r="AD1412" s="34"/>
      <c r="AE1412" s="34"/>
      <c r="AF1412" s="34"/>
      <c r="AG1412" s="34"/>
      <c r="AH1412" s="34"/>
      <c r="AI1412" s="52"/>
      <c r="AJ1412" s="52"/>
      <c r="AL1412" s="34"/>
      <c r="AM1412" s="34"/>
      <c r="AN1412" s="34"/>
      <c r="AO1412" s="54"/>
      <c r="AP1412" s="34"/>
      <c r="AQ1412" s="34"/>
      <c r="AR1412" s="54"/>
      <c r="AS1412" s="54"/>
      <c r="AT1412" s="54"/>
      <c r="AU1412" s="54"/>
      <c r="AV1412" s="34"/>
      <c r="AW1412" s="34"/>
      <c r="AX1412" s="34"/>
      <c r="AY1412" s="34"/>
      <c r="AZ1412" s="34"/>
      <c r="BA1412" s="44"/>
      <c r="BB1412" s="34"/>
      <c r="BC1412" s="34"/>
    </row>
    <row r="1413" spans="1:55" x14ac:dyDescent="0.35" ht="15.0" customHeight="true">
      <c r="A1413" s="51"/>
      <c r="B1413" s="34"/>
      <c r="C1413" s="34"/>
      <c r="D1413" s="34"/>
      <c r="E1413" s="34"/>
      <c r="F1413" s="34"/>
      <c r="G1413" s="44"/>
      <c r="H1413" s="34"/>
      <c r="I1413" s="54"/>
      <c r="J1413" s="34"/>
      <c r="K1413" s="54"/>
      <c r="L1413" s="34"/>
      <c r="M1413" s="44"/>
      <c r="N1413" s="44"/>
      <c r="O1413" s="34"/>
      <c r="P1413" s="34"/>
      <c r="Q1413" s="34"/>
      <c r="R1413" s="34"/>
      <c r="V1413" s="44"/>
      <c r="X1413" s="95"/>
      <c r="Y1413" s="54"/>
      <c r="Z1413" s="54"/>
      <c r="AA1413" s="34"/>
      <c r="AB1413" s="34"/>
      <c r="AC1413" s="34"/>
      <c r="AD1413" s="34"/>
      <c r="AE1413" s="34"/>
      <c r="AF1413" s="34"/>
      <c r="AG1413" s="34"/>
      <c r="AH1413" s="34"/>
      <c r="AI1413" s="52"/>
      <c r="AJ1413" s="52"/>
      <c r="AL1413" s="34"/>
      <c r="AM1413" s="34"/>
      <c r="AN1413" s="34"/>
      <c r="AO1413" s="54"/>
      <c r="AP1413" s="34"/>
      <c r="AQ1413" s="34"/>
      <c r="AR1413" s="54"/>
      <c r="AS1413" s="54"/>
      <c r="AT1413" s="54"/>
      <c r="AU1413" s="54"/>
      <c r="AV1413" s="34"/>
      <c r="AW1413" s="34"/>
      <c r="AX1413" s="34"/>
      <c r="AY1413" s="34"/>
      <c r="AZ1413" s="34"/>
      <c r="BA1413" s="44"/>
      <c r="BB1413" s="34"/>
      <c r="BC1413" s="34"/>
    </row>
    <row r="1414" spans="1:55" x14ac:dyDescent="0.35" ht="15.0" customHeight="true">
      <c r="A1414" s="51"/>
      <c r="B1414" s="34"/>
      <c r="C1414" s="34"/>
      <c r="D1414" s="34"/>
      <c r="E1414" s="34"/>
      <c r="F1414" s="34"/>
      <c r="G1414" s="44"/>
      <c r="H1414" s="34"/>
      <c r="I1414" s="54"/>
      <c r="J1414" s="34"/>
      <c r="K1414" s="54"/>
      <c r="L1414" s="34"/>
      <c r="M1414" s="44"/>
      <c r="N1414" s="44"/>
      <c r="O1414" s="34"/>
      <c r="P1414" s="34"/>
      <c r="Q1414" s="34"/>
      <c r="R1414" s="34"/>
      <c r="V1414" s="44"/>
      <c r="X1414" s="95"/>
      <c r="Y1414" s="54"/>
      <c r="Z1414" s="54"/>
      <c r="AA1414" s="34"/>
      <c r="AB1414" s="34"/>
      <c r="AC1414" s="34"/>
      <c r="AD1414" s="34"/>
      <c r="AE1414" s="34"/>
      <c r="AF1414" s="34"/>
      <c r="AG1414" s="34"/>
      <c r="AH1414" s="34"/>
      <c r="AI1414" s="52"/>
      <c r="AJ1414" s="52"/>
      <c r="AL1414" s="34"/>
      <c r="AM1414" s="34"/>
      <c r="AN1414" s="34"/>
      <c r="AO1414" s="54"/>
      <c r="AP1414" s="34"/>
      <c r="AQ1414" s="34"/>
      <c r="AR1414" s="54"/>
      <c r="AS1414" s="54"/>
      <c r="AT1414" s="54"/>
      <c r="AU1414" s="54"/>
      <c r="AV1414" s="34"/>
      <c r="AW1414" s="34"/>
      <c r="AX1414" s="34"/>
      <c r="AY1414" s="34"/>
      <c r="AZ1414" s="34"/>
      <c r="BA1414" s="44"/>
      <c r="BB1414" s="34"/>
      <c r="BC1414" s="34"/>
    </row>
    <row r="1415" spans="1:55" x14ac:dyDescent="0.35" ht="15.0" customHeight="true">
      <c r="A1415" s="51"/>
      <c r="B1415" s="34"/>
      <c r="C1415" s="34"/>
      <c r="D1415" s="34"/>
      <c r="E1415" s="34"/>
      <c r="F1415" s="34"/>
      <c r="G1415" s="44"/>
      <c r="H1415" s="34"/>
      <c r="I1415" s="54"/>
      <c r="J1415" s="34"/>
      <c r="K1415" s="54"/>
      <c r="L1415" s="34"/>
      <c r="M1415" s="44"/>
      <c r="N1415" s="44"/>
      <c r="O1415" s="34"/>
      <c r="P1415" s="34"/>
      <c r="Q1415" s="34"/>
      <c r="R1415" s="34"/>
      <c r="V1415" s="44"/>
      <c r="X1415" s="95"/>
      <c r="Y1415" s="54"/>
      <c r="Z1415" s="54"/>
      <c r="AA1415" s="34"/>
      <c r="AB1415" s="34"/>
      <c r="AC1415" s="34"/>
      <c r="AD1415" s="34"/>
      <c r="AE1415" s="34"/>
      <c r="AF1415" s="34"/>
      <c r="AG1415" s="34"/>
      <c r="AH1415" s="34"/>
      <c r="AI1415" s="52"/>
      <c r="AJ1415" s="52"/>
      <c r="AL1415" s="34"/>
      <c r="AM1415" s="34"/>
      <c r="AN1415" s="34"/>
      <c r="AO1415" s="54"/>
      <c r="AP1415" s="34"/>
      <c r="AQ1415" s="34"/>
      <c r="AR1415" s="54"/>
      <c r="AS1415" s="54"/>
      <c r="AT1415" s="54"/>
      <c r="AU1415" s="54"/>
      <c r="AV1415" s="34"/>
      <c r="AW1415" s="34"/>
      <c r="AX1415" s="34"/>
      <c r="AY1415" s="34"/>
      <c r="AZ1415" s="34"/>
      <c r="BA1415" s="44"/>
      <c r="BB1415" s="34"/>
      <c r="BC1415" s="34"/>
    </row>
    <row r="1416" spans="1:55" x14ac:dyDescent="0.35" ht="15.0" customHeight="true">
      <c r="A1416" s="51"/>
      <c r="B1416" s="34"/>
      <c r="C1416" s="34"/>
      <c r="D1416" s="34"/>
      <c r="E1416" s="34"/>
      <c r="F1416" s="34"/>
      <c r="G1416" s="44"/>
      <c r="H1416" s="34"/>
      <c r="I1416" s="54"/>
      <c r="J1416" s="34"/>
      <c r="K1416" s="54"/>
      <c r="L1416" s="34"/>
      <c r="M1416" s="44"/>
      <c r="N1416" s="44"/>
      <c r="O1416" s="34"/>
      <c r="P1416" s="34"/>
      <c r="Q1416" s="34"/>
      <c r="R1416" s="34"/>
      <c r="V1416" s="44"/>
      <c r="X1416" s="95"/>
      <c r="Y1416" s="54"/>
      <c r="Z1416" s="54"/>
      <c r="AA1416" s="34"/>
      <c r="AB1416" s="34"/>
      <c r="AC1416" s="34"/>
      <c r="AD1416" s="34"/>
      <c r="AE1416" s="34"/>
      <c r="AF1416" s="34"/>
      <c r="AG1416" s="34"/>
      <c r="AH1416" s="34"/>
      <c r="AI1416" s="52"/>
      <c r="AJ1416" s="52"/>
      <c r="AL1416" s="34"/>
      <c r="AM1416" s="34"/>
      <c r="AN1416" s="34"/>
      <c r="AO1416" s="54"/>
      <c r="AP1416" s="34"/>
      <c r="AQ1416" s="34"/>
      <c r="AR1416" s="54"/>
      <c r="AS1416" s="54"/>
      <c r="AT1416" s="54"/>
      <c r="AU1416" s="54"/>
      <c r="AV1416" s="34"/>
      <c r="AW1416" s="34"/>
      <c r="AX1416" s="34"/>
      <c r="AY1416" s="34"/>
      <c r="AZ1416" s="34"/>
      <c r="BA1416" s="44"/>
      <c r="BB1416" s="34"/>
      <c r="BC1416" s="34"/>
    </row>
    <row r="1417" spans="1:55" x14ac:dyDescent="0.35" ht="15.0" customHeight="true">
      <c r="A1417" s="51"/>
      <c r="B1417" s="34"/>
      <c r="C1417" s="34"/>
      <c r="D1417" s="34"/>
      <c r="E1417" s="34"/>
      <c r="F1417" s="34"/>
      <c r="G1417" s="44"/>
      <c r="H1417" s="34"/>
      <c r="I1417" s="54"/>
      <c r="J1417" s="34"/>
      <c r="K1417" s="54"/>
      <c r="L1417" s="34"/>
      <c r="M1417" s="44"/>
      <c r="N1417" s="44"/>
      <c r="O1417" s="34"/>
      <c r="P1417" s="34"/>
      <c r="Q1417" s="34"/>
      <c r="R1417" s="34"/>
      <c r="V1417" s="44"/>
      <c r="X1417" s="95"/>
      <c r="Y1417" s="54"/>
      <c r="Z1417" s="54"/>
      <c r="AA1417" s="34"/>
      <c r="AB1417" s="34"/>
      <c r="AC1417" s="34"/>
      <c r="AD1417" s="34"/>
      <c r="AE1417" s="34"/>
      <c r="AF1417" s="34"/>
      <c r="AG1417" s="34"/>
      <c r="AH1417" s="34"/>
      <c r="AI1417" s="52"/>
      <c r="AJ1417" s="52"/>
      <c r="AL1417" s="34"/>
      <c r="AM1417" s="34"/>
      <c r="AN1417" s="34"/>
      <c r="AO1417" s="54"/>
      <c r="AP1417" s="34"/>
      <c r="AQ1417" s="34"/>
      <c r="AR1417" s="54"/>
      <c r="AS1417" s="54"/>
      <c r="AT1417" s="54"/>
      <c r="AU1417" s="54"/>
      <c r="AV1417" s="34"/>
      <c r="AW1417" s="34"/>
      <c r="AX1417" s="34"/>
      <c r="AY1417" s="34"/>
      <c r="AZ1417" s="34"/>
      <c r="BA1417" s="44"/>
      <c r="BB1417" s="34"/>
      <c r="BC1417" s="34"/>
    </row>
    <row r="1418" spans="1:55" x14ac:dyDescent="0.35" ht="15.0" customHeight="true">
      <c r="A1418" s="51"/>
      <c r="B1418" s="34"/>
      <c r="C1418" s="34"/>
      <c r="D1418" s="34"/>
      <c r="E1418" s="34"/>
      <c r="F1418" s="34"/>
      <c r="G1418" s="44"/>
      <c r="H1418" s="34"/>
      <c r="I1418" s="54"/>
      <c r="J1418" s="34"/>
      <c r="K1418" s="54"/>
      <c r="L1418" s="34"/>
      <c r="M1418" s="44"/>
      <c r="N1418" s="44"/>
      <c r="O1418" s="34"/>
      <c r="P1418" s="34"/>
      <c r="Q1418" s="34"/>
      <c r="R1418" s="34"/>
      <c r="V1418" s="44"/>
      <c r="X1418" s="95"/>
      <c r="Y1418" s="54"/>
      <c r="Z1418" s="54"/>
      <c r="AA1418" s="34"/>
      <c r="AB1418" s="34"/>
      <c r="AC1418" s="34"/>
      <c r="AD1418" s="34"/>
      <c r="AE1418" s="34"/>
      <c r="AF1418" s="34"/>
      <c r="AG1418" s="34"/>
      <c r="AH1418" s="34"/>
      <c r="AI1418" s="52"/>
      <c r="AJ1418" s="52"/>
      <c r="AL1418" s="34"/>
      <c r="AM1418" s="34"/>
      <c r="AN1418" s="34"/>
      <c r="AO1418" s="54"/>
      <c r="AP1418" s="34"/>
      <c r="AQ1418" s="34"/>
      <c r="AR1418" s="54"/>
      <c r="AS1418" s="54"/>
      <c r="AT1418" s="54"/>
      <c r="AU1418" s="54"/>
      <c r="AV1418" s="34"/>
      <c r="AW1418" s="34"/>
      <c r="AX1418" s="34"/>
      <c r="AY1418" s="34"/>
      <c r="AZ1418" s="34"/>
      <c r="BA1418" s="44"/>
      <c r="BB1418" s="34"/>
      <c r="BC1418" s="34"/>
    </row>
    <row r="1419" spans="1:55" x14ac:dyDescent="0.35" ht="15.0" customHeight="true">
      <c r="A1419" s="51"/>
      <c r="B1419" s="34"/>
      <c r="C1419" s="34"/>
      <c r="D1419" s="34"/>
      <c r="E1419" s="34"/>
      <c r="F1419" s="34"/>
      <c r="G1419" s="44"/>
      <c r="H1419" s="34"/>
      <c r="I1419" s="54"/>
      <c r="J1419" s="34"/>
      <c r="K1419" s="54"/>
      <c r="L1419" s="34"/>
      <c r="M1419" s="44"/>
      <c r="N1419" s="44"/>
      <c r="O1419" s="34"/>
      <c r="P1419" s="34"/>
      <c r="Q1419" s="34"/>
      <c r="R1419" s="34"/>
      <c r="V1419" s="44"/>
      <c r="X1419" s="95"/>
      <c r="Y1419" s="54"/>
      <c r="Z1419" s="54"/>
      <c r="AA1419" s="34"/>
      <c r="AB1419" s="34"/>
      <c r="AC1419" s="34"/>
      <c r="AD1419" s="34"/>
      <c r="AE1419" s="34"/>
      <c r="AF1419" s="34"/>
      <c r="AG1419" s="34"/>
      <c r="AH1419" s="34"/>
      <c r="AI1419" s="52"/>
      <c r="AJ1419" s="52"/>
      <c r="AL1419" s="34"/>
      <c r="AM1419" s="34"/>
      <c r="AN1419" s="34"/>
      <c r="AO1419" s="54"/>
      <c r="AP1419" s="34"/>
      <c r="AQ1419" s="34"/>
      <c r="AR1419" s="54"/>
      <c r="AS1419" s="54"/>
      <c r="AT1419" s="54"/>
      <c r="AU1419" s="54"/>
      <c r="AV1419" s="34"/>
      <c r="AW1419" s="34"/>
      <c r="AX1419" s="34"/>
      <c r="AY1419" s="34"/>
      <c r="AZ1419" s="34"/>
      <c r="BA1419" s="44"/>
      <c r="BB1419" s="34"/>
      <c r="BC1419" s="34"/>
    </row>
    <row r="1420" spans="1:55" x14ac:dyDescent="0.35" ht="15.0" customHeight="true">
      <c r="A1420" s="51"/>
      <c r="B1420" s="34"/>
      <c r="C1420" s="34"/>
      <c r="D1420" s="34"/>
      <c r="E1420" s="34"/>
      <c r="F1420" s="34"/>
      <c r="G1420" s="44"/>
      <c r="H1420" s="34"/>
      <c r="I1420" s="54"/>
      <c r="J1420" s="34"/>
      <c r="K1420" s="54"/>
      <c r="L1420" s="34"/>
      <c r="M1420" s="44"/>
      <c r="N1420" s="44"/>
      <c r="O1420" s="34"/>
      <c r="P1420" s="34"/>
      <c r="Q1420" s="34"/>
      <c r="R1420" s="34"/>
      <c r="V1420" s="44"/>
      <c r="X1420" s="95"/>
      <c r="Y1420" s="54"/>
      <c r="Z1420" s="54"/>
      <c r="AA1420" s="34"/>
      <c r="AB1420" s="34"/>
      <c r="AC1420" s="34"/>
      <c r="AD1420" s="34"/>
      <c r="AE1420" s="34"/>
      <c r="AF1420" s="34"/>
      <c r="AG1420" s="34"/>
      <c r="AH1420" s="34"/>
      <c r="AI1420" s="52"/>
      <c r="AJ1420" s="52"/>
      <c r="AL1420" s="34"/>
      <c r="AM1420" s="34"/>
      <c r="AN1420" s="34"/>
      <c r="AO1420" s="54"/>
      <c r="AP1420" s="34"/>
      <c r="AQ1420" s="34"/>
      <c r="AR1420" s="54"/>
      <c r="AS1420" s="54"/>
      <c r="AT1420" s="54"/>
      <c r="AU1420" s="54"/>
      <c r="AV1420" s="34"/>
      <c r="AW1420" s="34"/>
      <c r="AX1420" s="34"/>
      <c r="AY1420" s="34"/>
      <c r="AZ1420" s="34"/>
      <c r="BA1420" s="44"/>
      <c r="BB1420" s="34"/>
      <c r="BC1420" s="34"/>
    </row>
    <row r="1421" spans="1:55" x14ac:dyDescent="0.35" ht="15.0" customHeight="true">
      <c r="A1421" s="51"/>
      <c r="B1421" s="34"/>
      <c r="C1421" s="34"/>
      <c r="D1421" s="34"/>
      <c r="E1421" s="34"/>
      <c r="F1421" s="34"/>
      <c r="G1421" s="44"/>
      <c r="H1421" s="34"/>
      <c r="I1421" s="54"/>
      <c r="J1421" s="34"/>
      <c r="K1421" s="54"/>
      <c r="L1421" s="34"/>
      <c r="M1421" s="44"/>
      <c r="N1421" s="44"/>
      <c r="O1421" s="34"/>
      <c r="P1421" s="34"/>
      <c r="Q1421" s="34"/>
      <c r="R1421" s="34"/>
      <c r="V1421" s="44"/>
      <c r="X1421" s="95"/>
      <c r="Y1421" s="54"/>
      <c r="Z1421" s="54"/>
      <c r="AA1421" s="34"/>
      <c r="AB1421" s="34"/>
      <c r="AC1421" s="34"/>
      <c r="AD1421" s="34"/>
      <c r="AE1421" s="34"/>
      <c r="AF1421" s="34"/>
      <c r="AG1421" s="34"/>
      <c r="AH1421" s="34"/>
      <c r="AI1421" s="52"/>
      <c r="AJ1421" s="52"/>
      <c r="AL1421" s="34"/>
      <c r="AM1421" s="34"/>
      <c r="AN1421" s="34"/>
      <c r="AO1421" s="54"/>
      <c r="AP1421" s="34"/>
      <c r="AQ1421" s="34"/>
      <c r="AR1421" s="54"/>
      <c r="AS1421" s="54"/>
      <c r="AT1421" s="54"/>
      <c r="AU1421" s="54"/>
      <c r="AV1421" s="34"/>
      <c r="AW1421" s="34"/>
      <c r="AX1421" s="34"/>
      <c r="AY1421" s="34"/>
      <c r="AZ1421" s="34"/>
      <c r="BA1421" s="44"/>
      <c r="BB1421" s="34"/>
      <c r="BC1421" s="34"/>
    </row>
    <row r="1422" spans="1:55" x14ac:dyDescent="0.35" ht="15.0" customHeight="true">
      <c r="A1422" s="51"/>
      <c r="B1422" s="34"/>
      <c r="C1422" s="34"/>
      <c r="D1422" s="34"/>
      <c r="E1422" s="34"/>
      <c r="F1422" s="34"/>
      <c r="G1422" s="44"/>
      <c r="H1422" s="34"/>
      <c r="I1422" s="54"/>
      <c r="J1422" s="34"/>
      <c r="K1422" s="54"/>
      <c r="L1422" s="34"/>
      <c r="M1422" s="44"/>
      <c r="N1422" s="44"/>
      <c r="O1422" s="34"/>
      <c r="P1422" s="34"/>
      <c r="Q1422" s="34"/>
      <c r="R1422" s="34"/>
      <c r="V1422" s="44"/>
      <c r="X1422" s="95"/>
      <c r="Y1422" s="54"/>
      <c r="Z1422" s="54"/>
      <c r="AA1422" s="34"/>
      <c r="AB1422" s="34"/>
      <c r="AC1422" s="34"/>
      <c r="AD1422" s="34"/>
      <c r="AE1422" s="34"/>
      <c r="AF1422" s="34"/>
      <c r="AG1422" s="34"/>
      <c r="AH1422" s="34"/>
      <c r="AI1422" s="52"/>
      <c r="AJ1422" s="52"/>
      <c r="AL1422" s="34"/>
      <c r="AM1422" s="34"/>
      <c r="AN1422" s="34"/>
      <c r="AO1422" s="54"/>
      <c r="AP1422" s="34"/>
      <c r="AQ1422" s="34"/>
      <c r="AR1422" s="54"/>
      <c r="AS1422" s="54"/>
      <c r="AT1422" s="54"/>
      <c r="AU1422" s="54"/>
      <c r="AV1422" s="34"/>
      <c r="AW1422" s="34"/>
      <c r="AX1422" s="34"/>
      <c r="AY1422" s="34"/>
      <c r="AZ1422" s="34"/>
      <c r="BA1422" s="44"/>
      <c r="BB1422" s="34"/>
      <c r="BC1422" s="34"/>
    </row>
    <row r="1423" spans="1:55" x14ac:dyDescent="0.35" ht="15.0" customHeight="true">
      <c r="A1423" s="51"/>
      <c r="B1423" s="34"/>
      <c r="C1423" s="34"/>
      <c r="D1423" s="34"/>
      <c r="E1423" s="34"/>
      <c r="F1423" s="34"/>
      <c r="G1423" s="44"/>
      <c r="H1423" s="34"/>
      <c r="I1423" s="54"/>
      <c r="J1423" s="34"/>
      <c r="K1423" s="54"/>
      <c r="L1423" s="34"/>
      <c r="M1423" s="44"/>
      <c r="N1423" s="44"/>
      <c r="O1423" s="34"/>
      <c r="P1423" s="34"/>
      <c r="Q1423" s="34"/>
      <c r="R1423" s="34"/>
      <c r="V1423" s="44"/>
      <c r="X1423" s="95"/>
      <c r="Y1423" s="54"/>
      <c r="Z1423" s="54"/>
      <c r="AA1423" s="34"/>
      <c r="AB1423" s="34"/>
      <c r="AC1423" s="34"/>
      <c r="AD1423" s="34"/>
      <c r="AE1423" s="34"/>
      <c r="AF1423" s="34"/>
      <c r="AG1423" s="34"/>
      <c r="AH1423" s="34"/>
      <c r="AI1423" s="52"/>
      <c r="AJ1423" s="52"/>
      <c r="AL1423" s="34"/>
      <c r="AM1423" s="34"/>
      <c r="AN1423" s="34"/>
      <c r="AO1423" s="54"/>
      <c r="AP1423" s="34"/>
      <c r="AQ1423" s="34"/>
      <c r="AR1423" s="54"/>
      <c r="AS1423" s="54"/>
      <c r="AT1423" s="54"/>
      <c r="AU1423" s="54"/>
      <c r="AV1423" s="34"/>
      <c r="AW1423" s="34"/>
      <c r="AX1423" s="34"/>
      <c r="AY1423" s="34"/>
      <c r="AZ1423" s="34"/>
      <c r="BA1423" s="44"/>
      <c r="BB1423" s="34"/>
      <c r="BC1423" s="34"/>
    </row>
    <row r="1424" spans="1:55" x14ac:dyDescent="0.35" ht="15.0" customHeight="true">
      <c r="A1424" s="51"/>
      <c r="B1424" s="34"/>
      <c r="C1424" s="34"/>
      <c r="D1424" s="34"/>
      <c r="E1424" s="34"/>
      <c r="F1424" s="34"/>
      <c r="G1424" s="44"/>
      <c r="H1424" s="34"/>
      <c r="I1424" s="54"/>
      <c r="J1424" s="34"/>
      <c r="K1424" s="54"/>
      <c r="L1424" s="34"/>
      <c r="M1424" s="44"/>
      <c r="N1424" s="44"/>
      <c r="O1424" s="34"/>
      <c r="P1424" s="34"/>
      <c r="Q1424" s="34"/>
      <c r="R1424" s="34"/>
      <c r="V1424" s="44"/>
      <c r="X1424" s="95"/>
      <c r="Y1424" s="54"/>
      <c r="Z1424" s="54"/>
      <c r="AA1424" s="34"/>
      <c r="AB1424" s="34"/>
      <c r="AC1424" s="34"/>
      <c r="AD1424" s="34"/>
      <c r="AE1424" s="34"/>
      <c r="AF1424" s="34"/>
      <c r="AG1424" s="34"/>
      <c r="AH1424" s="34"/>
      <c r="AI1424" s="52"/>
      <c r="AJ1424" s="52"/>
      <c r="AL1424" s="34"/>
      <c r="AM1424" s="34"/>
      <c r="AN1424" s="34"/>
      <c r="AO1424" s="54"/>
      <c r="AP1424" s="34"/>
      <c r="AQ1424" s="34"/>
      <c r="AR1424" s="54"/>
      <c r="AS1424" s="54"/>
      <c r="AT1424" s="54"/>
      <c r="AU1424" s="54"/>
      <c r="AV1424" s="34"/>
      <c r="AW1424" s="34"/>
      <c r="AX1424" s="34"/>
      <c r="AY1424" s="34"/>
      <c r="AZ1424" s="34"/>
      <c r="BA1424" s="44"/>
      <c r="BB1424" s="34"/>
      <c r="BC1424" s="34"/>
    </row>
    <row r="1425" spans="1:55" x14ac:dyDescent="0.35" ht="15.0" customHeight="true">
      <c r="A1425" s="51"/>
      <c r="B1425" s="34"/>
      <c r="C1425" s="34"/>
      <c r="D1425" s="34"/>
      <c r="E1425" s="34"/>
      <c r="F1425" s="34"/>
      <c r="G1425" s="44"/>
      <c r="H1425" s="34"/>
      <c r="I1425" s="54"/>
      <c r="J1425" s="34"/>
      <c r="K1425" s="54"/>
      <c r="L1425" s="34"/>
      <c r="M1425" s="44"/>
      <c r="N1425" s="44"/>
      <c r="O1425" s="34"/>
      <c r="P1425" s="34"/>
      <c r="Q1425" s="34"/>
      <c r="R1425" s="34"/>
      <c r="V1425" s="44"/>
      <c r="X1425" s="95"/>
      <c r="Y1425" s="54"/>
      <c r="Z1425" s="54"/>
      <c r="AA1425" s="34"/>
      <c r="AB1425" s="34"/>
      <c r="AC1425" s="34"/>
      <c r="AD1425" s="34"/>
      <c r="AE1425" s="34"/>
      <c r="AF1425" s="34"/>
      <c r="AG1425" s="34"/>
      <c r="AH1425" s="34"/>
      <c r="AI1425" s="52"/>
      <c r="AJ1425" s="52"/>
      <c r="AL1425" s="34"/>
      <c r="AM1425" s="34"/>
      <c r="AN1425" s="34"/>
      <c r="AO1425" s="54"/>
      <c r="AP1425" s="34"/>
      <c r="AQ1425" s="34"/>
      <c r="AR1425" s="54"/>
      <c r="AS1425" s="54"/>
      <c r="AT1425" s="54"/>
      <c r="AU1425" s="54"/>
      <c r="AV1425" s="34"/>
      <c r="AW1425" s="34"/>
      <c r="AX1425" s="34"/>
      <c r="AY1425" s="34"/>
      <c r="AZ1425" s="34"/>
      <c r="BA1425" s="44"/>
      <c r="BB1425" s="34"/>
      <c r="BC1425" s="34"/>
    </row>
    <row r="1426" spans="1:55" x14ac:dyDescent="0.35" ht="15.0" customHeight="true">
      <c r="A1426" s="51"/>
      <c r="B1426" s="34"/>
      <c r="C1426" s="34"/>
      <c r="D1426" s="34"/>
      <c r="E1426" s="34"/>
      <c r="F1426" s="34"/>
      <c r="G1426" s="44"/>
      <c r="H1426" s="34"/>
      <c r="I1426" s="54"/>
      <c r="J1426" s="34"/>
      <c r="K1426" s="54"/>
      <c r="L1426" s="34"/>
      <c r="M1426" s="44"/>
      <c r="N1426" s="44"/>
      <c r="O1426" s="34"/>
      <c r="P1426" s="34"/>
      <c r="Q1426" s="34"/>
      <c r="R1426" s="34"/>
      <c r="V1426" s="44"/>
      <c r="X1426" s="95"/>
      <c r="Y1426" s="54"/>
      <c r="Z1426" s="54"/>
      <c r="AA1426" s="34"/>
      <c r="AB1426" s="34"/>
      <c r="AC1426" s="34"/>
      <c r="AD1426" s="34"/>
      <c r="AE1426" s="34"/>
      <c r="AF1426" s="34"/>
      <c r="AG1426" s="34"/>
      <c r="AH1426" s="34"/>
      <c r="AI1426" s="52"/>
      <c r="AJ1426" s="52"/>
      <c r="AL1426" s="34"/>
      <c r="AM1426" s="34"/>
      <c r="AN1426" s="34"/>
      <c r="AO1426" s="54"/>
      <c r="AP1426" s="34"/>
      <c r="AQ1426" s="34"/>
      <c r="AR1426" s="54"/>
      <c r="AS1426" s="54"/>
      <c r="AT1426" s="54"/>
      <c r="AU1426" s="54"/>
      <c r="AV1426" s="34"/>
      <c r="AW1426" s="34"/>
      <c r="AX1426" s="34"/>
      <c r="AY1426" s="34"/>
      <c r="AZ1426" s="34"/>
      <c r="BA1426" s="44"/>
      <c r="BB1426" s="34"/>
      <c r="BC1426" s="34"/>
    </row>
    <row r="1427" spans="1:55" x14ac:dyDescent="0.35" ht="15.0" customHeight="true">
      <c r="A1427" s="51"/>
      <c r="B1427" s="34"/>
      <c r="C1427" s="34"/>
      <c r="D1427" s="34"/>
      <c r="E1427" s="34"/>
      <c r="F1427" s="34"/>
      <c r="G1427" s="44"/>
      <c r="H1427" s="34"/>
      <c r="I1427" s="54"/>
      <c r="J1427" s="34"/>
      <c r="K1427" s="54"/>
      <c r="L1427" s="34"/>
      <c r="M1427" s="44"/>
      <c r="N1427" s="44"/>
      <c r="O1427" s="34"/>
      <c r="P1427" s="34"/>
      <c r="Q1427" s="34"/>
      <c r="R1427" s="34"/>
      <c r="V1427" s="44"/>
      <c r="X1427" s="95"/>
      <c r="Y1427" s="54"/>
      <c r="Z1427" s="54"/>
      <c r="AA1427" s="34"/>
      <c r="AB1427" s="34"/>
      <c r="AC1427" s="34"/>
      <c r="AD1427" s="34"/>
      <c r="AE1427" s="34"/>
      <c r="AF1427" s="34"/>
      <c r="AG1427" s="34"/>
      <c r="AH1427" s="34"/>
      <c r="AI1427" s="52"/>
      <c r="AJ1427" s="52"/>
      <c r="AL1427" s="34"/>
      <c r="AM1427" s="34"/>
      <c r="AN1427" s="34"/>
      <c r="AO1427" s="54"/>
      <c r="AP1427" s="34"/>
      <c r="AQ1427" s="34"/>
      <c r="AR1427" s="54"/>
      <c r="AS1427" s="54"/>
      <c r="AT1427" s="54"/>
      <c r="AU1427" s="54"/>
      <c r="AV1427" s="34"/>
      <c r="AW1427" s="34"/>
      <c r="AX1427" s="34"/>
      <c r="AY1427" s="34"/>
      <c r="AZ1427" s="34"/>
      <c r="BA1427" s="44"/>
      <c r="BB1427" s="34"/>
      <c r="BC1427" s="34"/>
    </row>
    <row r="1428" spans="1:55" x14ac:dyDescent="0.35" ht="15.0" customHeight="true">
      <c r="A1428" s="51"/>
      <c r="B1428" s="34"/>
      <c r="C1428" s="34"/>
      <c r="D1428" s="34"/>
      <c r="E1428" s="34"/>
      <c r="F1428" s="34"/>
      <c r="G1428" s="44"/>
      <c r="H1428" s="34"/>
      <c r="I1428" s="54"/>
      <c r="J1428" s="34"/>
      <c r="K1428" s="54"/>
      <c r="L1428" s="34"/>
      <c r="M1428" s="44"/>
      <c r="N1428" s="44"/>
      <c r="O1428" s="34"/>
      <c r="P1428" s="34"/>
      <c r="Q1428" s="34"/>
      <c r="R1428" s="34"/>
      <c r="V1428" s="44"/>
      <c r="X1428" s="95"/>
      <c r="Y1428" s="54"/>
      <c r="Z1428" s="54"/>
      <c r="AA1428" s="34"/>
      <c r="AB1428" s="34"/>
      <c r="AC1428" s="34"/>
      <c r="AD1428" s="34"/>
      <c r="AE1428" s="34"/>
      <c r="AF1428" s="34"/>
      <c r="AG1428" s="34"/>
      <c r="AH1428" s="34"/>
      <c r="AI1428" s="52"/>
      <c r="AJ1428" s="52"/>
      <c r="AL1428" s="34"/>
      <c r="AM1428" s="34"/>
      <c r="AN1428" s="34"/>
      <c r="AO1428" s="54"/>
      <c r="AP1428" s="34"/>
      <c r="AQ1428" s="34"/>
      <c r="AR1428" s="54"/>
      <c r="AS1428" s="54"/>
      <c r="AT1428" s="54"/>
      <c r="AU1428" s="54"/>
      <c r="AV1428" s="34"/>
      <c r="AW1428" s="34"/>
      <c r="AX1428" s="34"/>
      <c r="AY1428" s="34"/>
      <c r="AZ1428" s="34"/>
      <c r="BA1428" s="44"/>
      <c r="BB1428" s="34"/>
      <c r="BC1428" s="34"/>
    </row>
    <row r="1429" spans="1:55" x14ac:dyDescent="0.35" ht="15.0" customHeight="true">
      <c r="A1429" s="51"/>
      <c r="B1429" s="34"/>
      <c r="C1429" s="34"/>
      <c r="D1429" s="34"/>
      <c r="E1429" s="34"/>
      <c r="F1429" s="34"/>
      <c r="G1429" s="44"/>
      <c r="H1429" s="34"/>
      <c r="I1429" s="54"/>
      <c r="J1429" s="34"/>
      <c r="K1429" s="54"/>
      <c r="L1429" s="34"/>
      <c r="M1429" s="44"/>
      <c r="N1429" s="44"/>
      <c r="O1429" s="34"/>
      <c r="P1429" s="34"/>
      <c r="Q1429" s="34"/>
      <c r="R1429" s="34"/>
      <c r="V1429" s="44"/>
      <c r="X1429" s="95"/>
      <c r="Y1429" s="54"/>
      <c r="Z1429" s="54"/>
      <c r="AA1429" s="34"/>
      <c r="AB1429" s="34"/>
      <c r="AC1429" s="34"/>
      <c r="AD1429" s="34"/>
      <c r="AE1429" s="34"/>
      <c r="AF1429" s="34"/>
      <c r="AG1429" s="34"/>
      <c r="AH1429" s="34"/>
      <c r="AI1429" s="52"/>
      <c r="AJ1429" s="52"/>
      <c r="AL1429" s="34"/>
      <c r="AM1429" s="34"/>
      <c r="AN1429" s="34"/>
      <c r="AO1429" s="54"/>
      <c r="AP1429" s="34"/>
      <c r="AQ1429" s="34"/>
      <c r="AR1429" s="54"/>
      <c r="AS1429" s="54"/>
      <c r="AT1429" s="54"/>
      <c r="AU1429" s="54"/>
      <c r="AV1429" s="34"/>
      <c r="AW1429" s="34"/>
      <c r="AX1429" s="34"/>
      <c r="AY1429" s="34"/>
      <c r="AZ1429" s="34"/>
      <c r="BA1429" s="44"/>
      <c r="BB1429" s="34"/>
      <c r="BC1429" s="34"/>
    </row>
    <row r="1430" spans="1:55" x14ac:dyDescent="0.35" ht="15.0" customHeight="true">
      <c r="A1430" s="51"/>
      <c r="B1430" s="34"/>
      <c r="C1430" s="34"/>
      <c r="D1430" s="34"/>
      <c r="E1430" s="34"/>
      <c r="F1430" s="34"/>
      <c r="G1430" s="44"/>
      <c r="H1430" s="34"/>
      <c r="I1430" s="54"/>
      <c r="J1430" s="34"/>
      <c r="K1430" s="54"/>
      <c r="L1430" s="34"/>
      <c r="M1430" s="44"/>
      <c r="N1430" s="44"/>
      <c r="O1430" s="34"/>
      <c r="P1430" s="34"/>
      <c r="Q1430" s="34"/>
      <c r="R1430" s="34"/>
      <c r="V1430" s="44"/>
      <c r="X1430" s="95"/>
      <c r="Y1430" s="54"/>
      <c r="Z1430" s="54"/>
      <c r="AA1430" s="34"/>
      <c r="AB1430" s="34"/>
      <c r="AC1430" s="34"/>
      <c r="AD1430" s="34"/>
      <c r="AE1430" s="34"/>
      <c r="AF1430" s="34"/>
      <c r="AG1430" s="34"/>
      <c r="AH1430" s="34"/>
      <c r="AI1430" s="52"/>
      <c r="AJ1430" s="52"/>
      <c r="AL1430" s="34"/>
      <c r="AM1430" s="34"/>
      <c r="AN1430" s="34"/>
      <c r="AO1430" s="54"/>
      <c r="AP1430" s="34"/>
      <c r="AQ1430" s="34"/>
      <c r="AR1430" s="54"/>
      <c r="AS1430" s="54"/>
      <c r="AT1430" s="54"/>
      <c r="AU1430" s="54"/>
      <c r="AV1430" s="34"/>
      <c r="AW1430" s="34"/>
      <c r="AX1430" s="34"/>
      <c r="AY1430" s="34"/>
      <c r="AZ1430" s="34"/>
      <c r="BA1430" s="44"/>
      <c r="BB1430" s="34"/>
      <c r="BC1430" s="34"/>
    </row>
    <row r="1431" spans="1:55" x14ac:dyDescent="0.35" ht="15.0" customHeight="true">
      <c r="A1431" s="51"/>
      <c r="B1431" s="34"/>
      <c r="C1431" s="34"/>
      <c r="D1431" s="34"/>
      <c r="E1431" s="34"/>
      <c r="F1431" s="34"/>
      <c r="G1431" s="44"/>
      <c r="H1431" s="34"/>
      <c r="I1431" s="54"/>
      <c r="J1431" s="34"/>
      <c r="K1431" s="54"/>
      <c r="L1431" s="34"/>
      <c r="M1431" s="44"/>
      <c r="N1431" s="44"/>
      <c r="O1431" s="34"/>
      <c r="P1431" s="34"/>
      <c r="Q1431" s="34"/>
      <c r="R1431" s="34"/>
      <c r="V1431" s="44"/>
      <c r="X1431" s="95"/>
      <c r="Y1431" s="54"/>
      <c r="Z1431" s="54"/>
      <c r="AA1431" s="34"/>
      <c r="AB1431" s="34"/>
      <c r="AC1431" s="34"/>
      <c r="AD1431" s="34"/>
      <c r="AE1431" s="34"/>
      <c r="AF1431" s="34"/>
      <c r="AG1431" s="34"/>
      <c r="AH1431" s="34"/>
      <c r="AI1431" s="52"/>
      <c r="AJ1431" s="52"/>
      <c r="AL1431" s="34"/>
      <c r="AM1431" s="34"/>
      <c r="AN1431" s="34"/>
      <c r="AO1431" s="54"/>
      <c r="AP1431" s="34"/>
      <c r="AQ1431" s="34"/>
      <c r="AR1431" s="54"/>
      <c r="AS1431" s="54"/>
      <c r="AT1431" s="54"/>
      <c r="AU1431" s="54"/>
      <c r="AV1431" s="34"/>
      <c r="AW1431" s="34"/>
      <c r="AX1431" s="34"/>
      <c r="AY1431" s="34"/>
      <c r="AZ1431" s="34"/>
      <c r="BA1431" s="44"/>
      <c r="BB1431" s="34"/>
      <c r="BC1431" s="34"/>
    </row>
    <row r="1432" spans="1:55" x14ac:dyDescent="0.35" ht="15.0" customHeight="true">
      <c r="A1432" s="51"/>
      <c r="B1432" s="34"/>
      <c r="C1432" s="34"/>
      <c r="D1432" s="34"/>
      <c r="E1432" s="34"/>
      <c r="F1432" s="34"/>
      <c r="G1432" s="44"/>
      <c r="H1432" s="34"/>
      <c r="I1432" s="54"/>
      <c r="J1432" s="34"/>
      <c r="K1432" s="54"/>
      <c r="L1432" s="34"/>
      <c r="M1432" s="44"/>
      <c r="N1432" s="44"/>
      <c r="O1432" s="34"/>
      <c r="P1432" s="34"/>
      <c r="Q1432" s="34"/>
      <c r="R1432" s="34"/>
      <c r="V1432" s="44"/>
      <c r="X1432" s="95"/>
      <c r="Y1432" s="54"/>
      <c r="Z1432" s="54"/>
      <c r="AA1432" s="34"/>
      <c r="AB1432" s="34"/>
      <c r="AC1432" s="34"/>
      <c r="AD1432" s="34"/>
      <c r="AE1432" s="34"/>
      <c r="AF1432" s="34"/>
      <c r="AG1432" s="34"/>
      <c r="AH1432" s="34"/>
      <c r="AI1432" s="52"/>
      <c r="AJ1432" s="52"/>
      <c r="AL1432" s="34"/>
      <c r="AM1432" s="34"/>
      <c r="AN1432" s="34"/>
      <c r="AO1432" s="54"/>
      <c r="AP1432" s="34"/>
      <c r="AQ1432" s="34"/>
      <c r="AR1432" s="54"/>
      <c r="AS1432" s="54"/>
      <c r="AT1432" s="54"/>
      <c r="AU1432" s="54"/>
      <c r="AV1432" s="34"/>
      <c r="AW1432" s="34"/>
      <c r="AX1432" s="34"/>
      <c r="AY1432" s="34"/>
      <c r="AZ1432" s="34"/>
      <c r="BA1432" s="44"/>
      <c r="BB1432" s="34"/>
      <c r="BC1432" s="34"/>
    </row>
    <row r="1433" spans="1:55" x14ac:dyDescent="0.35" ht="15.0" customHeight="true">
      <c r="A1433" s="51"/>
      <c r="B1433" s="34"/>
      <c r="C1433" s="34"/>
      <c r="D1433" s="34"/>
      <c r="E1433" s="34"/>
      <c r="F1433" s="34"/>
      <c r="G1433" s="44"/>
      <c r="H1433" s="34"/>
      <c r="I1433" s="54"/>
      <c r="J1433" s="34"/>
      <c r="K1433" s="54"/>
      <c r="L1433" s="34"/>
      <c r="M1433" s="44"/>
      <c r="N1433" s="44"/>
      <c r="O1433" s="34"/>
      <c r="P1433" s="34"/>
      <c r="Q1433" s="34"/>
      <c r="R1433" s="34"/>
      <c r="V1433" s="44"/>
      <c r="X1433" s="95"/>
      <c r="Y1433" s="54"/>
      <c r="Z1433" s="54"/>
      <c r="AA1433" s="34"/>
      <c r="AB1433" s="34"/>
      <c r="AC1433" s="34"/>
      <c r="AD1433" s="34"/>
      <c r="AE1433" s="34"/>
      <c r="AF1433" s="34"/>
      <c r="AG1433" s="34"/>
      <c r="AH1433" s="34"/>
      <c r="AI1433" s="52"/>
      <c r="AJ1433" s="52"/>
      <c r="AL1433" s="34"/>
      <c r="AM1433" s="34"/>
      <c r="AN1433" s="34"/>
      <c r="AO1433" s="54"/>
      <c r="AP1433" s="34"/>
      <c r="AQ1433" s="34"/>
      <c r="AR1433" s="54"/>
      <c r="AS1433" s="54"/>
      <c r="AT1433" s="54"/>
      <c r="AU1433" s="54"/>
      <c r="AV1433" s="34"/>
      <c r="AW1433" s="34"/>
      <c r="AX1433" s="34"/>
      <c r="AY1433" s="34"/>
      <c r="AZ1433" s="34"/>
      <c r="BA1433" s="44"/>
      <c r="BB1433" s="34"/>
      <c r="BC1433" s="34"/>
    </row>
    <row r="1434" spans="1:55" x14ac:dyDescent="0.35" ht="15.0" customHeight="true">
      <c r="A1434" s="51"/>
      <c r="B1434" s="34"/>
      <c r="C1434" s="34"/>
      <c r="D1434" s="34"/>
      <c r="E1434" s="34"/>
      <c r="F1434" s="34"/>
      <c r="G1434" s="44"/>
      <c r="H1434" s="34"/>
      <c r="I1434" s="54"/>
      <c r="J1434" s="34"/>
      <c r="K1434" s="54"/>
      <c r="L1434" s="34"/>
      <c r="M1434" s="44"/>
      <c r="N1434" s="44"/>
      <c r="O1434" s="34"/>
      <c r="P1434" s="34"/>
      <c r="Q1434" s="34"/>
      <c r="R1434" s="34"/>
      <c r="V1434" s="44"/>
      <c r="X1434" s="95"/>
      <c r="Y1434" s="54"/>
      <c r="Z1434" s="54"/>
      <c r="AA1434" s="34"/>
      <c r="AB1434" s="34"/>
      <c r="AC1434" s="34"/>
      <c r="AD1434" s="34"/>
      <c r="AE1434" s="34"/>
      <c r="AF1434" s="34"/>
      <c r="AG1434" s="34"/>
      <c r="AH1434" s="34"/>
      <c r="AI1434" s="52"/>
      <c r="AJ1434" s="52"/>
      <c r="AL1434" s="34"/>
      <c r="AM1434" s="34"/>
      <c r="AN1434" s="34"/>
      <c r="AO1434" s="54"/>
      <c r="AP1434" s="34"/>
      <c r="AQ1434" s="34"/>
      <c r="AR1434" s="54"/>
      <c r="AS1434" s="54"/>
      <c r="AT1434" s="54"/>
      <c r="AU1434" s="54"/>
      <c r="AV1434" s="34"/>
      <c r="AW1434" s="34"/>
      <c r="AX1434" s="34"/>
      <c r="AY1434" s="34"/>
      <c r="AZ1434" s="34"/>
      <c r="BA1434" s="44"/>
      <c r="BB1434" s="34"/>
      <c r="BC1434" s="34"/>
    </row>
    <row r="1435" spans="1:55" x14ac:dyDescent="0.35" ht="15.0" customHeight="true">
      <c r="A1435" s="51"/>
      <c r="B1435" s="34"/>
      <c r="C1435" s="34"/>
      <c r="D1435" s="34"/>
      <c r="E1435" s="34"/>
      <c r="F1435" s="34"/>
      <c r="G1435" s="44"/>
      <c r="H1435" s="34"/>
      <c r="I1435" s="54"/>
      <c r="J1435" s="34"/>
      <c r="K1435" s="54"/>
      <c r="L1435" s="34"/>
      <c r="M1435" s="44"/>
      <c r="N1435" s="44"/>
      <c r="O1435" s="34"/>
      <c r="P1435" s="34"/>
      <c r="Q1435" s="34"/>
      <c r="R1435" s="34"/>
      <c r="V1435" s="44"/>
      <c r="X1435" s="95"/>
      <c r="Y1435" s="54"/>
      <c r="Z1435" s="54"/>
      <c r="AA1435" s="34"/>
      <c r="AB1435" s="34"/>
      <c r="AC1435" s="34"/>
      <c r="AD1435" s="34"/>
      <c r="AE1435" s="34"/>
      <c r="AF1435" s="34"/>
      <c r="AG1435" s="34"/>
      <c r="AH1435" s="34"/>
      <c r="AI1435" s="52"/>
      <c r="AJ1435" s="52"/>
      <c r="AL1435" s="34"/>
      <c r="AM1435" s="34"/>
      <c r="AN1435" s="34"/>
      <c r="AO1435" s="54"/>
      <c r="AP1435" s="34"/>
      <c r="AQ1435" s="34"/>
      <c r="AR1435" s="54"/>
      <c r="AS1435" s="54"/>
      <c r="AT1435" s="54"/>
      <c r="AU1435" s="54"/>
      <c r="AV1435" s="34"/>
      <c r="AW1435" s="34"/>
      <c r="AX1435" s="34"/>
      <c r="AY1435" s="34"/>
      <c r="AZ1435" s="34"/>
      <c r="BA1435" s="44"/>
      <c r="BB1435" s="34"/>
      <c r="BC1435" s="34"/>
    </row>
    <row r="1436" spans="1:55" x14ac:dyDescent="0.35" ht="15.0" customHeight="true">
      <c r="A1436" s="51"/>
      <c r="B1436" s="34"/>
      <c r="C1436" s="34"/>
      <c r="D1436" s="34"/>
      <c r="E1436" s="34"/>
      <c r="F1436" s="34"/>
      <c r="G1436" s="44"/>
      <c r="H1436" s="34"/>
      <c r="I1436" s="54"/>
      <c r="J1436" s="34"/>
      <c r="K1436" s="54"/>
      <c r="L1436" s="34"/>
      <c r="M1436" s="44"/>
      <c r="N1436" s="44"/>
      <c r="O1436" s="34"/>
      <c r="P1436" s="34"/>
      <c r="Q1436" s="34"/>
      <c r="R1436" s="34"/>
      <c r="V1436" s="44"/>
      <c r="X1436" s="95"/>
      <c r="Y1436" s="54"/>
      <c r="Z1436" s="54"/>
      <c r="AA1436" s="34"/>
      <c r="AB1436" s="34"/>
      <c r="AC1436" s="34"/>
      <c r="AD1436" s="34"/>
      <c r="AE1436" s="34"/>
      <c r="AF1436" s="34"/>
      <c r="AG1436" s="34"/>
      <c r="AH1436" s="34"/>
      <c r="AI1436" s="52"/>
      <c r="AJ1436" s="52"/>
      <c r="AL1436" s="34"/>
      <c r="AM1436" s="34"/>
      <c r="AN1436" s="34"/>
      <c r="AO1436" s="54"/>
      <c r="AP1436" s="34"/>
      <c r="AQ1436" s="34"/>
      <c r="AR1436" s="54"/>
      <c r="AS1436" s="54"/>
      <c r="AT1436" s="54"/>
      <c r="AU1436" s="54"/>
      <c r="AV1436" s="34"/>
      <c r="AW1436" s="34"/>
      <c r="AX1436" s="34"/>
      <c r="AY1436" s="34"/>
      <c r="AZ1436" s="34"/>
      <c r="BA1436" s="44"/>
      <c r="BB1436" s="34"/>
      <c r="BC1436" s="34"/>
    </row>
    <row r="1437" spans="1:55" x14ac:dyDescent="0.35" ht="15.0" customHeight="true">
      <c r="A1437" s="51"/>
      <c r="B1437" s="34"/>
      <c r="C1437" s="34"/>
      <c r="D1437" s="34"/>
      <c r="E1437" s="34"/>
      <c r="F1437" s="34"/>
      <c r="G1437" s="44"/>
      <c r="H1437" s="34"/>
      <c r="I1437" s="54"/>
      <c r="J1437" s="34"/>
      <c r="K1437" s="54"/>
      <c r="L1437" s="34"/>
      <c r="M1437" s="44"/>
      <c r="N1437" s="44"/>
      <c r="O1437" s="34"/>
      <c r="P1437" s="34"/>
      <c r="Q1437" s="34"/>
      <c r="R1437" s="34"/>
      <c r="V1437" s="44"/>
      <c r="X1437" s="95"/>
      <c r="Y1437" s="54"/>
      <c r="Z1437" s="54"/>
      <c r="AA1437" s="34"/>
      <c r="AB1437" s="34"/>
      <c r="AC1437" s="34"/>
      <c r="AD1437" s="34"/>
      <c r="AE1437" s="34"/>
      <c r="AF1437" s="34"/>
      <c r="AG1437" s="34"/>
      <c r="AH1437" s="34"/>
      <c r="AI1437" s="52"/>
      <c r="AJ1437" s="52"/>
      <c r="AL1437" s="34"/>
      <c r="AM1437" s="34"/>
      <c r="AN1437" s="34"/>
      <c r="AO1437" s="54"/>
      <c r="AP1437" s="34"/>
      <c r="AQ1437" s="34"/>
      <c r="AR1437" s="54"/>
      <c r="AS1437" s="54"/>
      <c r="AT1437" s="54"/>
      <c r="AU1437" s="54"/>
      <c r="AV1437" s="34"/>
      <c r="AW1437" s="34"/>
      <c r="AX1437" s="34"/>
      <c r="AY1437" s="34"/>
      <c r="AZ1437" s="34"/>
      <c r="BA1437" s="44"/>
      <c r="BB1437" s="34"/>
      <c r="BC1437" s="34"/>
    </row>
    <row r="1438" spans="1:55" x14ac:dyDescent="0.35" ht="15.0" customHeight="true">
      <c r="A1438" s="51"/>
      <c r="B1438" s="34"/>
      <c r="C1438" s="34"/>
      <c r="D1438" s="34"/>
      <c r="E1438" s="34"/>
      <c r="F1438" s="34"/>
      <c r="G1438" s="44"/>
      <c r="H1438" s="34"/>
      <c r="I1438" s="54"/>
      <c r="J1438" s="34"/>
      <c r="K1438" s="54"/>
      <c r="L1438" s="34"/>
      <c r="M1438" s="44"/>
      <c r="N1438" s="44"/>
      <c r="O1438" s="34"/>
      <c r="P1438" s="34"/>
      <c r="Q1438" s="34"/>
      <c r="R1438" s="34"/>
      <c r="V1438" s="44"/>
      <c r="X1438" s="95"/>
      <c r="Y1438" s="54"/>
      <c r="Z1438" s="54"/>
      <c r="AA1438" s="34"/>
      <c r="AB1438" s="34"/>
      <c r="AC1438" s="34"/>
      <c r="AD1438" s="34"/>
      <c r="AE1438" s="34"/>
      <c r="AF1438" s="34"/>
      <c r="AG1438" s="34"/>
      <c r="AH1438" s="34"/>
      <c r="AI1438" s="52"/>
      <c r="AJ1438" s="52"/>
      <c r="AL1438" s="34"/>
      <c r="AM1438" s="34"/>
      <c r="AN1438" s="34"/>
      <c r="AO1438" s="54"/>
      <c r="AP1438" s="34"/>
      <c r="AQ1438" s="34"/>
      <c r="AR1438" s="54"/>
      <c r="AS1438" s="54"/>
      <c r="AT1438" s="54"/>
      <c r="AU1438" s="54"/>
      <c r="AV1438" s="34"/>
      <c r="AW1438" s="34"/>
      <c r="AX1438" s="34"/>
      <c r="AY1438" s="34"/>
      <c r="AZ1438" s="34"/>
      <c r="BA1438" s="44"/>
      <c r="BB1438" s="34"/>
      <c r="BC1438" s="34"/>
    </row>
    <row r="1439" spans="1:55" x14ac:dyDescent="0.35" ht="15.0" customHeight="true">
      <c r="A1439" s="51"/>
      <c r="B1439" s="34"/>
      <c r="C1439" s="34"/>
      <c r="D1439" s="34"/>
      <c r="E1439" s="34"/>
      <c r="F1439" s="34"/>
      <c r="G1439" s="44"/>
      <c r="H1439" s="34"/>
      <c r="I1439" s="54"/>
      <c r="J1439" s="34"/>
      <c r="K1439" s="54"/>
      <c r="L1439" s="34"/>
      <c r="M1439" s="44"/>
      <c r="N1439" s="44"/>
      <c r="O1439" s="34"/>
      <c r="P1439" s="34"/>
      <c r="Q1439" s="34"/>
      <c r="R1439" s="34"/>
      <c r="V1439" s="44"/>
      <c r="X1439" s="95"/>
      <c r="Y1439" s="54"/>
      <c r="Z1439" s="54"/>
      <c r="AA1439" s="34"/>
      <c r="AB1439" s="34"/>
      <c r="AC1439" s="34"/>
      <c r="AD1439" s="34"/>
      <c r="AE1439" s="34"/>
      <c r="AF1439" s="34"/>
      <c r="AG1439" s="34"/>
      <c r="AH1439" s="34"/>
      <c r="AI1439" s="52"/>
      <c r="AJ1439" s="52"/>
      <c r="AL1439" s="34"/>
      <c r="AM1439" s="34"/>
      <c r="AN1439" s="34"/>
      <c r="AO1439" s="54"/>
      <c r="AP1439" s="34"/>
      <c r="AQ1439" s="34"/>
      <c r="AR1439" s="54"/>
      <c r="AS1439" s="54"/>
      <c r="AT1439" s="54"/>
      <c r="AU1439" s="54"/>
      <c r="AV1439" s="34"/>
      <c r="AW1439" s="34"/>
      <c r="AX1439" s="34"/>
      <c r="AY1439" s="34"/>
      <c r="AZ1439" s="34"/>
      <c r="BA1439" s="44"/>
      <c r="BB1439" s="34"/>
      <c r="BC1439" s="34"/>
    </row>
    <row r="1440" spans="1:55" x14ac:dyDescent="0.35" ht="15.0" customHeight="true">
      <c r="A1440" s="51"/>
      <c r="B1440" s="34"/>
      <c r="C1440" s="34"/>
      <c r="D1440" s="34"/>
      <c r="E1440" s="34"/>
      <c r="F1440" s="34"/>
      <c r="G1440" s="44"/>
      <c r="H1440" s="34"/>
      <c r="I1440" s="54"/>
      <c r="J1440" s="34"/>
      <c r="K1440" s="54"/>
      <c r="L1440" s="34"/>
      <c r="M1440" s="44"/>
      <c r="N1440" s="44"/>
      <c r="O1440" s="34"/>
      <c r="P1440" s="34"/>
      <c r="Q1440" s="34"/>
      <c r="R1440" s="34"/>
      <c r="V1440" s="44"/>
      <c r="X1440" s="95"/>
      <c r="Y1440" s="54"/>
      <c r="Z1440" s="54"/>
      <c r="AA1440" s="34"/>
      <c r="AB1440" s="34"/>
      <c r="AC1440" s="34"/>
      <c r="AD1440" s="34"/>
      <c r="AE1440" s="34"/>
      <c r="AF1440" s="34"/>
      <c r="AG1440" s="34"/>
      <c r="AH1440" s="34"/>
      <c r="AI1440" s="52"/>
      <c r="AJ1440" s="52"/>
      <c r="AL1440" s="34"/>
      <c r="AM1440" s="34"/>
      <c r="AN1440" s="34"/>
      <c r="AO1440" s="54"/>
      <c r="AP1440" s="34"/>
      <c r="AQ1440" s="34"/>
      <c r="AR1440" s="54"/>
      <c r="AS1440" s="54"/>
      <c r="AT1440" s="54"/>
      <c r="AU1440" s="54"/>
      <c r="AV1440" s="34"/>
      <c r="AW1440" s="34"/>
      <c r="AX1440" s="34"/>
      <c r="AY1440" s="34"/>
      <c r="AZ1440" s="34"/>
      <c r="BA1440" s="44"/>
      <c r="BB1440" s="34"/>
      <c r="BC1440" s="34"/>
    </row>
    <row r="1441" spans="1:55" x14ac:dyDescent="0.35" ht="15.0" customHeight="true">
      <c r="A1441" s="51"/>
      <c r="B1441" s="34"/>
      <c r="C1441" s="34"/>
      <c r="D1441" s="34"/>
      <c r="E1441" s="34"/>
      <c r="F1441" s="34"/>
      <c r="G1441" s="44"/>
      <c r="H1441" s="34"/>
      <c r="I1441" s="54"/>
      <c r="J1441" s="34"/>
      <c r="K1441" s="54"/>
      <c r="L1441" s="34"/>
      <c r="M1441" s="44"/>
      <c r="N1441" s="44"/>
      <c r="O1441" s="34"/>
      <c r="P1441" s="34"/>
      <c r="Q1441" s="34"/>
      <c r="R1441" s="34"/>
      <c r="V1441" s="44"/>
      <c r="X1441" s="95"/>
      <c r="Y1441" s="54"/>
      <c r="Z1441" s="54"/>
      <c r="AA1441" s="34"/>
      <c r="AB1441" s="34"/>
      <c r="AC1441" s="34"/>
      <c r="AD1441" s="34"/>
      <c r="AE1441" s="34"/>
      <c r="AF1441" s="34"/>
      <c r="AG1441" s="34"/>
      <c r="AH1441" s="34"/>
      <c r="AI1441" s="52"/>
      <c r="AJ1441" s="52"/>
      <c r="AL1441" s="34"/>
      <c r="AM1441" s="34"/>
      <c r="AN1441" s="34"/>
      <c r="AO1441" s="54"/>
      <c r="AP1441" s="34"/>
      <c r="AQ1441" s="34"/>
      <c r="AR1441" s="54"/>
      <c r="AS1441" s="54"/>
      <c r="AT1441" s="54"/>
      <c r="AU1441" s="54"/>
      <c r="AV1441" s="34"/>
      <c r="AW1441" s="34"/>
      <c r="AX1441" s="34"/>
      <c r="AY1441" s="34"/>
      <c r="AZ1441" s="34"/>
      <c r="BA1441" s="44"/>
      <c r="BB1441" s="34"/>
      <c r="BC1441" s="34"/>
    </row>
    <row r="1442" spans="1:55" x14ac:dyDescent="0.35" ht="15.0" customHeight="true">
      <c r="A1442" s="51"/>
      <c r="B1442" s="34"/>
      <c r="C1442" s="34"/>
      <c r="D1442" s="34"/>
      <c r="E1442" s="34"/>
      <c r="F1442" s="34"/>
      <c r="G1442" s="44"/>
      <c r="H1442" s="34"/>
      <c r="I1442" s="54"/>
      <c r="J1442" s="34"/>
      <c r="K1442" s="54"/>
      <c r="L1442" s="34"/>
      <c r="M1442" s="44"/>
      <c r="N1442" s="44"/>
      <c r="O1442" s="34"/>
      <c r="P1442" s="34"/>
      <c r="Q1442" s="34"/>
      <c r="R1442" s="34"/>
      <c r="V1442" s="44"/>
      <c r="X1442" s="95"/>
      <c r="Y1442" s="54"/>
      <c r="Z1442" s="54"/>
      <c r="AA1442" s="34"/>
      <c r="AB1442" s="34"/>
      <c r="AC1442" s="34"/>
      <c r="AD1442" s="34"/>
      <c r="AE1442" s="34"/>
      <c r="AF1442" s="34"/>
      <c r="AG1442" s="34"/>
      <c r="AH1442" s="34"/>
      <c r="AI1442" s="52"/>
      <c r="AJ1442" s="52"/>
      <c r="AL1442" s="34"/>
      <c r="AM1442" s="34"/>
      <c r="AN1442" s="34"/>
      <c r="AO1442" s="54"/>
      <c r="AP1442" s="34"/>
      <c r="AQ1442" s="34"/>
      <c r="AR1442" s="54"/>
      <c r="AS1442" s="54"/>
      <c r="AT1442" s="54"/>
      <c r="AU1442" s="54"/>
      <c r="AV1442" s="34"/>
      <c r="AW1442" s="34"/>
      <c r="AX1442" s="34"/>
      <c r="AY1442" s="34"/>
      <c r="AZ1442" s="34"/>
      <c r="BA1442" s="44"/>
      <c r="BB1442" s="34"/>
      <c r="BC1442" s="34"/>
    </row>
    <row r="1443" spans="1:55" x14ac:dyDescent="0.35" ht="15.0" customHeight="true">
      <c r="A1443" s="51"/>
      <c r="B1443" s="34"/>
      <c r="C1443" s="34"/>
      <c r="D1443" s="34"/>
      <c r="E1443" s="34"/>
      <c r="F1443" s="34"/>
      <c r="G1443" s="44"/>
      <c r="H1443" s="34"/>
      <c r="I1443" s="54"/>
      <c r="J1443" s="34"/>
      <c r="K1443" s="54"/>
      <c r="L1443" s="34"/>
      <c r="M1443" s="44"/>
      <c r="N1443" s="44"/>
      <c r="O1443" s="34"/>
      <c r="P1443" s="34"/>
      <c r="Q1443" s="34"/>
      <c r="R1443" s="34"/>
      <c r="V1443" s="44"/>
      <c r="X1443" s="95"/>
      <c r="Y1443" s="54"/>
      <c r="Z1443" s="54"/>
      <c r="AA1443" s="34"/>
      <c r="AB1443" s="34"/>
      <c r="AC1443" s="34"/>
      <c r="AD1443" s="34"/>
      <c r="AE1443" s="34"/>
      <c r="AF1443" s="34"/>
      <c r="AG1443" s="34"/>
      <c r="AH1443" s="34"/>
      <c r="AI1443" s="52"/>
      <c r="AJ1443" s="52"/>
      <c r="AL1443" s="34"/>
      <c r="AM1443" s="34"/>
      <c r="AN1443" s="34"/>
      <c r="AO1443" s="54"/>
      <c r="AP1443" s="34"/>
      <c r="AQ1443" s="34"/>
      <c r="AR1443" s="54"/>
      <c r="AS1443" s="54"/>
      <c r="AT1443" s="54"/>
      <c r="AU1443" s="54"/>
      <c r="AV1443" s="34"/>
      <c r="AW1443" s="34"/>
      <c r="AX1443" s="34"/>
      <c r="AY1443" s="34"/>
      <c r="AZ1443" s="34"/>
      <c r="BA1443" s="44"/>
      <c r="BB1443" s="34"/>
      <c r="BC1443" s="34"/>
    </row>
    <row r="1444" spans="1:55" x14ac:dyDescent="0.35" ht="15.0" customHeight="true">
      <c r="A1444" s="51"/>
      <c r="B1444" s="34"/>
      <c r="C1444" s="34"/>
      <c r="D1444" s="34"/>
      <c r="E1444" s="34"/>
      <c r="F1444" s="34"/>
      <c r="G1444" s="44"/>
      <c r="H1444" s="34"/>
      <c r="I1444" s="54"/>
      <c r="J1444" s="34"/>
      <c r="K1444" s="54"/>
      <c r="L1444" s="34"/>
      <c r="M1444" s="44"/>
      <c r="N1444" s="44"/>
      <c r="O1444" s="34"/>
      <c r="P1444" s="34"/>
      <c r="Q1444" s="34"/>
      <c r="R1444" s="34"/>
      <c r="V1444" s="44"/>
      <c r="X1444" s="95"/>
      <c r="Y1444" s="54"/>
      <c r="Z1444" s="54"/>
      <c r="AA1444" s="34"/>
      <c r="AB1444" s="34"/>
      <c r="AC1444" s="34"/>
      <c r="AD1444" s="34"/>
      <c r="AE1444" s="34"/>
      <c r="AF1444" s="34"/>
      <c r="AG1444" s="34"/>
      <c r="AH1444" s="34"/>
      <c r="AI1444" s="52"/>
      <c r="AJ1444" s="52"/>
      <c r="AL1444" s="34"/>
      <c r="AM1444" s="34"/>
      <c r="AN1444" s="34"/>
      <c r="AO1444" s="54"/>
      <c r="AP1444" s="34"/>
      <c r="AQ1444" s="34"/>
      <c r="AR1444" s="54"/>
      <c r="AS1444" s="54"/>
      <c r="AT1444" s="54"/>
      <c r="AU1444" s="54"/>
      <c r="AV1444" s="34"/>
      <c r="AW1444" s="34"/>
      <c r="AX1444" s="34"/>
      <c r="AY1444" s="34"/>
      <c r="AZ1444" s="34"/>
      <c r="BA1444" s="44"/>
      <c r="BB1444" s="34"/>
      <c r="BC1444" s="34"/>
    </row>
    <row r="1445" spans="1:55" x14ac:dyDescent="0.35" ht="15.0" customHeight="true">
      <c r="A1445" s="51"/>
      <c r="B1445" s="34"/>
      <c r="C1445" s="34"/>
      <c r="D1445" s="34"/>
      <c r="E1445" s="34"/>
      <c r="F1445" s="34"/>
      <c r="G1445" s="44"/>
      <c r="H1445" s="34"/>
      <c r="I1445" s="54"/>
      <c r="J1445" s="34"/>
      <c r="K1445" s="54"/>
      <c r="L1445" s="34"/>
      <c r="M1445" s="44"/>
      <c r="N1445" s="44"/>
      <c r="O1445" s="34"/>
      <c r="P1445" s="34"/>
      <c r="Q1445" s="34"/>
      <c r="R1445" s="34"/>
      <c r="V1445" s="44"/>
      <c r="X1445" s="95"/>
      <c r="Y1445" s="54"/>
      <c r="Z1445" s="54"/>
      <c r="AA1445" s="34"/>
      <c r="AB1445" s="34"/>
      <c r="AC1445" s="34"/>
      <c r="AD1445" s="34"/>
      <c r="AE1445" s="34"/>
      <c r="AF1445" s="34"/>
      <c r="AG1445" s="34"/>
      <c r="AH1445" s="34"/>
      <c r="AI1445" s="52"/>
      <c r="AJ1445" s="52"/>
      <c r="AL1445" s="34"/>
      <c r="AM1445" s="34"/>
      <c r="AN1445" s="34"/>
      <c r="AO1445" s="54"/>
      <c r="AP1445" s="34"/>
      <c r="AQ1445" s="34"/>
      <c r="AR1445" s="54"/>
      <c r="AS1445" s="54"/>
      <c r="AT1445" s="54"/>
      <c r="AU1445" s="54"/>
      <c r="AV1445" s="34"/>
      <c r="AW1445" s="34"/>
      <c r="AX1445" s="34"/>
      <c r="AY1445" s="34"/>
      <c r="AZ1445" s="34"/>
      <c r="BA1445" s="44"/>
      <c r="BB1445" s="34"/>
      <c r="BC1445" s="34"/>
    </row>
    <row r="1446" spans="1:55" x14ac:dyDescent="0.35" ht="15.0" customHeight="true">
      <c r="A1446" s="51"/>
      <c r="B1446" s="34"/>
      <c r="C1446" s="34"/>
      <c r="D1446" s="34"/>
      <c r="E1446" s="34"/>
      <c r="F1446" s="34"/>
      <c r="G1446" s="44"/>
      <c r="H1446" s="34"/>
      <c r="I1446" s="54"/>
      <c r="J1446" s="34"/>
      <c r="K1446" s="54"/>
      <c r="L1446" s="34"/>
      <c r="M1446" s="44"/>
      <c r="N1446" s="44"/>
      <c r="O1446" s="34"/>
      <c r="P1446" s="34"/>
      <c r="Q1446" s="34"/>
      <c r="R1446" s="34"/>
      <c r="V1446" s="44"/>
      <c r="X1446" s="95"/>
      <c r="Y1446" s="54"/>
      <c r="Z1446" s="54"/>
      <c r="AA1446" s="34"/>
      <c r="AB1446" s="34"/>
      <c r="AC1446" s="34"/>
      <c r="AD1446" s="34"/>
      <c r="AE1446" s="34"/>
      <c r="AF1446" s="34"/>
      <c r="AG1446" s="34"/>
      <c r="AH1446" s="34"/>
      <c r="AI1446" s="52"/>
      <c r="AJ1446" s="52"/>
      <c r="AL1446" s="34"/>
      <c r="AM1446" s="34"/>
      <c r="AN1446" s="34"/>
      <c r="AO1446" s="54"/>
      <c r="AP1446" s="34"/>
      <c r="AQ1446" s="34"/>
      <c r="AR1446" s="54"/>
      <c r="AS1446" s="54"/>
      <c r="AT1446" s="54"/>
      <c r="AU1446" s="54"/>
      <c r="AV1446" s="34"/>
      <c r="AW1446" s="34"/>
      <c r="AX1446" s="34"/>
      <c r="AY1446" s="34"/>
      <c r="AZ1446" s="34"/>
      <c r="BA1446" s="44"/>
      <c r="BB1446" s="34"/>
      <c r="BC1446" s="34"/>
    </row>
    <row r="1447" spans="1:55" x14ac:dyDescent="0.35" ht="15.0" customHeight="true">
      <c r="A1447" s="51"/>
      <c r="B1447" s="34"/>
      <c r="C1447" s="34"/>
      <c r="D1447" s="34"/>
      <c r="E1447" s="34"/>
      <c r="F1447" s="34"/>
      <c r="G1447" s="44"/>
      <c r="H1447" s="34"/>
      <c r="I1447" s="54"/>
      <c r="J1447" s="34"/>
      <c r="K1447" s="54"/>
      <c r="L1447" s="34"/>
      <c r="M1447" s="44"/>
      <c r="N1447" s="44"/>
      <c r="O1447" s="34"/>
      <c r="P1447" s="34"/>
      <c r="Q1447" s="34"/>
      <c r="R1447" s="34"/>
      <c r="V1447" s="44"/>
      <c r="X1447" s="95"/>
      <c r="Y1447" s="54"/>
      <c r="Z1447" s="54"/>
      <c r="AA1447" s="34"/>
      <c r="AB1447" s="34"/>
      <c r="AC1447" s="34"/>
      <c r="AD1447" s="34"/>
      <c r="AE1447" s="34"/>
      <c r="AF1447" s="34"/>
      <c r="AG1447" s="34"/>
      <c r="AH1447" s="34"/>
      <c r="AI1447" s="52"/>
      <c r="AJ1447" s="52"/>
      <c r="AL1447" s="34"/>
      <c r="AM1447" s="34"/>
      <c r="AN1447" s="34"/>
      <c r="AO1447" s="54"/>
      <c r="AP1447" s="34"/>
      <c r="AQ1447" s="34"/>
      <c r="AR1447" s="54"/>
      <c r="AS1447" s="54"/>
      <c r="AT1447" s="54"/>
      <c r="AU1447" s="54"/>
      <c r="AV1447" s="34"/>
      <c r="AW1447" s="34"/>
      <c r="AX1447" s="34"/>
      <c r="AY1447" s="34"/>
      <c r="AZ1447" s="34"/>
      <c r="BA1447" s="44"/>
      <c r="BB1447" s="34"/>
      <c r="BC1447" s="34"/>
    </row>
    <row r="1448" spans="1:55" x14ac:dyDescent="0.35" ht="15.0" customHeight="true">
      <c r="A1448" s="51"/>
      <c r="B1448" s="34"/>
      <c r="C1448" s="34"/>
      <c r="D1448" s="34"/>
      <c r="E1448" s="34"/>
      <c r="F1448" s="34"/>
      <c r="G1448" s="44"/>
      <c r="H1448" s="34"/>
      <c r="I1448" s="54"/>
      <c r="J1448" s="34"/>
      <c r="K1448" s="54"/>
      <c r="L1448" s="34"/>
      <c r="M1448" s="44"/>
      <c r="N1448" s="44"/>
      <c r="O1448" s="34"/>
      <c r="P1448" s="34"/>
      <c r="Q1448" s="34"/>
      <c r="R1448" s="34"/>
      <c r="V1448" s="44"/>
      <c r="X1448" s="95"/>
      <c r="Y1448" s="54"/>
      <c r="Z1448" s="54"/>
      <c r="AA1448" s="34"/>
      <c r="AB1448" s="34"/>
      <c r="AC1448" s="34"/>
      <c r="AD1448" s="34"/>
      <c r="AE1448" s="34"/>
      <c r="AF1448" s="34"/>
      <c r="AG1448" s="34"/>
      <c r="AH1448" s="34"/>
      <c r="AI1448" s="52"/>
      <c r="AJ1448" s="52"/>
      <c r="AL1448" s="34"/>
      <c r="AM1448" s="34"/>
      <c r="AN1448" s="34"/>
      <c r="AO1448" s="54"/>
      <c r="AP1448" s="34"/>
      <c r="AQ1448" s="34"/>
      <c r="AR1448" s="54"/>
      <c r="AS1448" s="54"/>
      <c r="AT1448" s="54"/>
      <c r="AU1448" s="54"/>
      <c r="AV1448" s="34"/>
      <c r="AW1448" s="34"/>
      <c r="AX1448" s="34"/>
      <c r="AY1448" s="34"/>
      <c r="AZ1448" s="34"/>
      <c r="BA1448" s="44"/>
      <c r="BB1448" s="34"/>
      <c r="BC1448" s="34"/>
    </row>
    <row r="1449" spans="1:55" x14ac:dyDescent="0.35" ht="15.0" customHeight="true">
      <c r="A1449" s="51"/>
      <c r="B1449" s="34"/>
      <c r="C1449" s="34"/>
      <c r="D1449" s="34"/>
      <c r="E1449" s="34"/>
      <c r="F1449" s="34"/>
      <c r="G1449" s="44"/>
      <c r="H1449" s="34"/>
      <c r="I1449" s="54"/>
      <c r="J1449" s="34"/>
      <c r="K1449" s="54"/>
      <c r="L1449" s="34"/>
      <c r="M1449" s="44"/>
      <c r="N1449" s="44"/>
      <c r="O1449" s="34"/>
      <c r="P1449" s="34"/>
      <c r="Q1449" s="34"/>
      <c r="R1449" s="34"/>
      <c r="V1449" s="44"/>
      <c r="X1449" s="95"/>
      <c r="Y1449" s="54"/>
      <c r="Z1449" s="54"/>
      <c r="AA1449" s="34"/>
      <c r="AB1449" s="34"/>
      <c r="AC1449" s="34"/>
      <c r="AD1449" s="34"/>
      <c r="AE1449" s="34"/>
      <c r="AF1449" s="34"/>
      <c r="AG1449" s="34"/>
      <c r="AH1449" s="34"/>
      <c r="AI1449" s="52"/>
      <c r="AJ1449" s="52"/>
      <c r="AL1449" s="34"/>
      <c r="AM1449" s="34"/>
      <c r="AN1449" s="34"/>
      <c r="AO1449" s="54"/>
      <c r="AP1449" s="34"/>
      <c r="AQ1449" s="34"/>
      <c r="AR1449" s="54"/>
      <c r="AS1449" s="54"/>
      <c r="AT1449" s="54"/>
      <c r="AU1449" s="54"/>
      <c r="AV1449" s="34"/>
      <c r="AW1449" s="34"/>
      <c r="AX1449" s="34"/>
      <c r="AY1449" s="34"/>
      <c r="AZ1449" s="34"/>
      <c r="BA1449" s="44"/>
      <c r="BB1449" s="34"/>
      <c r="BC1449" s="34"/>
    </row>
    <row r="1450" spans="1:55" x14ac:dyDescent="0.35" ht="15.0" customHeight="true">
      <c r="A1450" s="51"/>
      <c r="B1450" s="34"/>
      <c r="C1450" s="34"/>
      <c r="D1450" s="34"/>
      <c r="E1450" s="34"/>
      <c r="F1450" s="34"/>
      <c r="G1450" s="44"/>
      <c r="H1450" s="34"/>
      <c r="I1450" s="54"/>
      <c r="J1450" s="34"/>
      <c r="K1450" s="54"/>
      <c r="L1450" s="34"/>
      <c r="M1450" s="44"/>
      <c r="N1450" s="44"/>
      <c r="O1450" s="34"/>
      <c r="P1450" s="34"/>
      <c r="Q1450" s="34"/>
      <c r="R1450" s="34"/>
      <c r="V1450" s="44"/>
      <c r="X1450" s="95"/>
      <c r="Y1450" s="54"/>
      <c r="Z1450" s="54"/>
      <c r="AA1450" s="34"/>
      <c r="AB1450" s="34"/>
      <c r="AC1450" s="34"/>
      <c r="AD1450" s="34"/>
      <c r="AE1450" s="34"/>
      <c r="AF1450" s="34"/>
      <c r="AG1450" s="34"/>
      <c r="AH1450" s="34"/>
      <c r="AI1450" s="52"/>
      <c r="AJ1450" s="52"/>
      <c r="AL1450" s="34"/>
      <c r="AM1450" s="34"/>
      <c r="AN1450" s="34"/>
      <c r="AO1450" s="54"/>
      <c r="AP1450" s="34"/>
      <c r="AQ1450" s="34"/>
      <c r="AR1450" s="54"/>
      <c r="AS1450" s="54"/>
      <c r="AT1450" s="54"/>
      <c r="AU1450" s="54"/>
      <c r="AV1450" s="34"/>
      <c r="AW1450" s="34"/>
      <c r="AX1450" s="34"/>
      <c r="AY1450" s="34"/>
      <c r="AZ1450" s="34"/>
      <c r="BA1450" s="44"/>
      <c r="BB1450" s="34"/>
      <c r="BC1450" s="34"/>
    </row>
    <row r="1451" spans="1:55" x14ac:dyDescent="0.35" ht="15.0" customHeight="true">
      <c r="A1451" s="51"/>
      <c r="B1451" s="34"/>
      <c r="C1451" s="34"/>
      <c r="D1451" s="34"/>
      <c r="E1451" s="34"/>
      <c r="F1451" s="34"/>
      <c r="G1451" s="44"/>
      <c r="H1451" s="34"/>
      <c r="I1451" s="54"/>
      <c r="J1451" s="34"/>
      <c r="K1451" s="54"/>
      <c r="L1451" s="34"/>
      <c r="M1451" s="44"/>
      <c r="N1451" s="44"/>
      <c r="O1451" s="34"/>
      <c r="P1451" s="34"/>
      <c r="Q1451" s="34"/>
      <c r="R1451" s="34"/>
      <c r="V1451" s="44"/>
      <c r="X1451" s="95"/>
      <c r="Y1451" s="54"/>
      <c r="Z1451" s="54"/>
      <c r="AA1451" s="34"/>
      <c r="AB1451" s="34"/>
      <c r="AC1451" s="34"/>
      <c r="AD1451" s="34"/>
      <c r="AE1451" s="34"/>
      <c r="AF1451" s="34"/>
      <c r="AG1451" s="34"/>
      <c r="AH1451" s="34"/>
      <c r="AI1451" s="52"/>
      <c r="AJ1451" s="52"/>
      <c r="AL1451" s="34"/>
      <c r="AM1451" s="34"/>
      <c r="AN1451" s="34"/>
      <c r="AO1451" s="54"/>
      <c r="AP1451" s="34"/>
      <c r="AQ1451" s="34"/>
      <c r="AR1451" s="54"/>
      <c r="AS1451" s="54"/>
      <c r="AT1451" s="54"/>
      <c r="AU1451" s="54"/>
      <c r="AV1451" s="34"/>
      <c r="AW1451" s="34"/>
      <c r="AX1451" s="34"/>
      <c r="AY1451" s="34"/>
      <c r="AZ1451" s="34"/>
      <c r="BA1451" s="44"/>
      <c r="BB1451" s="34"/>
      <c r="BC1451" s="34"/>
    </row>
    <row r="1452" spans="1:55" x14ac:dyDescent="0.35" ht="15.0" customHeight="true">
      <c r="A1452" s="51"/>
      <c r="B1452" s="34"/>
      <c r="C1452" s="34"/>
      <c r="D1452" s="34"/>
      <c r="E1452" s="34"/>
      <c r="F1452" s="34"/>
      <c r="G1452" s="44"/>
      <c r="H1452" s="34"/>
      <c r="I1452" s="54"/>
      <c r="J1452" s="34"/>
      <c r="K1452" s="54"/>
      <c r="L1452" s="34"/>
      <c r="M1452" s="44"/>
      <c r="N1452" s="44"/>
      <c r="O1452" s="34"/>
      <c r="P1452" s="34"/>
      <c r="Q1452" s="34"/>
      <c r="R1452" s="34"/>
      <c r="V1452" s="44"/>
      <c r="X1452" s="95"/>
      <c r="Y1452" s="54"/>
      <c r="Z1452" s="54"/>
      <c r="AA1452" s="34"/>
      <c r="AB1452" s="34"/>
      <c r="AC1452" s="34"/>
      <c r="AD1452" s="34"/>
      <c r="AE1452" s="34"/>
      <c r="AF1452" s="34"/>
      <c r="AG1452" s="34"/>
      <c r="AH1452" s="34"/>
      <c r="AI1452" s="52"/>
      <c r="AJ1452" s="52"/>
      <c r="AL1452" s="34"/>
      <c r="AM1452" s="34"/>
      <c r="AN1452" s="34"/>
      <c r="AO1452" s="54"/>
      <c r="AP1452" s="34"/>
      <c r="AQ1452" s="34"/>
      <c r="AR1452" s="54"/>
      <c r="AS1452" s="54"/>
      <c r="AT1452" s="54"/>
      <c r="AU1452" s="54"/>
      <c r="AV1452" s="34"/>
      <c r="AW1452" s="34"/>
      <c r="AX1452" s="34"/>
      <c r="AY1452" s="34"/>
      <c r="AZ1452" s="34"/>
      <c r="BA1452" s="44"/>
      <c r="BB1452" s="34"/>
      <c r="BC1452" s="34"/>
    </row>
    <row r="1453" spans="1:55" x14ac:dyDescent="0.35" ht="15.0" customHeight="true">
      <c r="A1453" s="51"/>
      <c r="B1453" s="34"/>
      <c r="C1453" s="34"/>
      <c r="D1453" s="34"/>
      <c r="E1453" s="34"/>
      <c r="F1453" s="34"/>
      <c r="G1453" s="44"/>
      <c r="H1453" s="34"/>
      <c r="I1453" s="54"/>
      <c r="J1453" s="34"/>
      <c r="K1453" s="54"/>
      <c r="L1453" s="34"/>
      <c r="M1453" s="44"/>
      <c r="N1453" s="44"/>
      <c r="O1453" s="34"/>
      <c r="P1453" s="34"/>
      <c r="Q1453" s="34"/>
      <c r="R1453" s="34"/>
      <c r="V1453" s="44"/>
      <c r="X1453" s="95"/>
      <c r="Y1453" s="54"/>
      <c r="Z1453" s="54"/>
      <c r="AA1453" s="34"/>
      <c r="AB1453" s="34"/>
      <c r="AC1453" s="34"/>
      <c r="AD1453" s="34"/>
      <c r="AE1453" s="34"/>
      <c r="AF1453" s="34"/>
      <c r="AG1453" s="34"/>
      <c r="AH1453" s="34"/>
      <c r="AI1453" s="52"/>
      <c r="AJ1453" s="52"/>
      <c r="AL1453" s="34"/>
      <c r="AM1453" s="34"/>
      <c r="AN1453" s="34"/>
      <c r="AO1453" s="54"/>
      <c r="AP1453" s="34"/>
      <c r="AQ1453" s="34"/>
      <c r="AR1453" s="54"/>
      <c r="AS1453" s="54"/>
      <c r="AT1453" s="54"/>
      <c r="AU1453" s="54"/>
      <c r="AV1453" s="34"/>
      <c r="AW1453" s="34"/>
      <c r="AX1453" s="34"/>
      <c r="AY1453" s="34"/>
      <c r="AZ1453" s="34"/>
      <c r="BA1453" s="44"/>
      <c r="BB1453" s="34"/>
      <c r="BC1453" s="34"/>
    </row>
    <row r="1454" spans="1:55" x14ac:dyDescent="0.35" ht="15.0" customHeight="true">
      <c r="A1454" s="51"/>
      <c r="B1454" s="34"/>
      <c r="C1454" s="34"/>
      <c r="D1454" s="34"/>
      <c r="E1454" s="34"/>
      <c r="F1454" s="34"/>
      <c r="G1454" s="44"/>
      <c r="H1454" s="34"/>
      <c r="I1454" s="54"/>
      <c r="J1454" s="34"/>
      <c r="K1454" s="54"/>
      <c r="L1454" s="34"/>
      <c r="M1454" s="44"/>
      <c r="N1454" s="44"/>
      <c r="O1454" s="34"/>
      <c r="P1454" s="34"/>
      <c r="Q1454" s="34"/>
      <c r="R1454" s="34"/>
      <c r="V1454" s="44"/>
      <c r="X1454" s="95"/>
      <c r="Y1454" s="54"/>
      <c r="Z1454" s="54"/>
      <c r="AA1454" s="34"/>
      <c r="AB1454" s="34"/>
      <c r="AC1454" s="34"/>
      <c r="AD1454" s="34"/>
      <c r="AE1454" s="34"/>
      <c r="AF1454" s="34"/>
      <c r="AG1454" s="34"/>
      <c r="AH1454" s="34"/>
      <c r="AI1454" s="52"/>
      <c r="AJ1454" s="52"/>
      <c r="AL1454" s="34"/>
      <c r="AM1454" s="34"/>
      <c r="AN1454" s="34"/>
      <c r="AO1454" s="54"/>
      <c r="AP1454" s="34"/>
      <c r="AQ1454" s="34"/>
      <c r="AR1454" s="54"/>
      <c r="AS1454" s="54"/>
      <c r="AT1454" s="54"/>
      <c r="AU1454" s="54"/>
      <c r="AV1454" s="34"/>
      <c r="AW1454" s="34"/>
      <c r="AX1454" s="34"/>
      <c r="AY1454" s="34"/>
      <c r="AZ1454" s="34"/>
      <c r="BA1454" s="44"/>
      <c r="BB1454" s="34"/>
      <c r="BC1454" s="34"/>
    </row>
    <row r="1455" spans="1:55" x14ac:dyDescent="0.35" ht="15.0" customHeight="true">
      <c r="A1455" s="51"/>
      <c r="B1455" s="34"/>
      <c r="C1455" s="34"/>
      <c r="D1455" s="34"/>
      <c r="E1455" s="34"/>
      <c r="F1455" s="34"/>
      <c r="G1455" s="44"/>
      <c r="H1455" s="34"/>
      <c r="I1455" s="54"/>
      <c r="J1455" s="34"/>
      <c r="K1455" s="54"/>
      <c r="L1455" s="34"/>
      <c r="M1455" s="44"/>
      <c r="N1455" s="44"/>
      <c r="O1455" s="34"/>
      <c r="P1455" s="34"/>
      <c r="Q1455" s="34"/>
      <c r="R1455" s="34"/>
      <c r="V1455" s="44"/>
      <c r="X1455" s="95"/>
      <c r="Y1455" s="54"/>
      <c r="Z1455" s="54"/>
      <c r="AA1455" s="34"/>
      <c r="AB1455" s="34"/>
      <c r="AC1455" s="34"/>
      <c r="AD1455" s="34"/>
      <c r="AE1455" s="34"/>
      <c r="AF1455" s="34"/>
      <c r="AG1455" s="34"/>
      <c r="AH1455" s="34"/>
      <c r="AI1455" s="52"/>
      <c r="AJ1455" s="52"/>
      <c r="AL1455" s="34"/>
      <c r="AM1455" s="34"/>
      <c r="AN1455" s="34"/>
      <c r="AO1455" s="54"/>
      <c r="AP1455" s="34"/>
      <c r="AQ1455" s="34"/>
      <c r="AR1455" s="54"/>
      <c r="AS1455" s="54"/>
      <c r="AT1455" s="54"/>
      <c r="AU1455" s="54"/>
      <c r="AV1455" s="34"/>
      <c r="AW1455" s="34"/>
      <c r="AX1455" s="34"/>
      <c r="AY1455" s="34"/>
      <c r="AZ1455" s="34"/>
      <c r="BA1455" s="44"/>
      <c r="BB1455" s="34"/>
      <c r="BC1455" s="34"/>
    </row>
    <row r="1456" spans="1:55" x14ac:dyDescent="0.35" ht="15.0" customHeight="true">
      <c r="A1456" s="51"/>
      <c r="B1456" s="34"/>
      <c r="C1456" s="34"/>
      <c r="D1456" s="34"/>
      <c r="E1456" s="34"/>
      <c r="F1456" s="34"/>
      <c r="G1456" s="44"/>
      <c r="H1456" s="34"/>
      <c r="I1456" s="54"/>
      <c r="J1456" s="34"/>
      <c r="K1456" s="54"/>
      <c r="L1456" s="34"/>
      <c r="M1456" s="44"/>
      <c r="N1456" s="44"/>
      <c r="O1456" s="34"/>
      <c r="P1456" s="34"/>
      <c r="Q1456" s="34"/>
      <c r="R1456" s="34"/>
      <c r="V1456" s="44"/>
      <c r="X1456" s="95"/>
      <c r="Y1456" s="54"/>
      <c r="Z1456" s="54"/>
      <c r="AA1456" s="34"/>
      <c r="AB1456" s="34"/>
      <c r="AC1456" s="34"/>
      <c r="AD1456" s="34"/>
      <c r="AE1456" s="34"/>
      <c r="AF1456" s="34"/>
      <c r="AG1456" s="34"/>
      <c r="AH1456" s="34"/>
      <c r="AI1456" s="52"/>
      <c r="AJ1456" s="52"/>
      <c r="AL1456" s="34"/>
      <c r="AM1456" s="34"/>
      <c r="AN1456" s="34"/>
      <c r="AO1456" s="54"/>
      <c r="AP1456" s="34"/>
      <c r="AQ1456" s="34"/>
      <c r="AR1456" s="54"/>
      <c r="AS1456" s="54"/>
      <c r="AT1456" s="54"/>
      <c r="AU1456" s="54"/>
      <c r="AV1456" s="34"/>
      <c r="AW1456" s="34"/>
      <c r="AX1456" s="34"/>
      <c r="AY1456" s="34"/>
      <c r="AZ1456" s="34"/>
      <c r="BA1456" s="44"/>
      <c r="BB1456" s="34"/>
      <c r="BC1456" s="34"/>
    </row>
    <row r="1457" spans="1:55" x14ac:dyDescent="0.35" ht="15.0" customHeight="true">
      <c r="A1457" s="51"/>
      <c r="B1457" s="34"/>
      <c r="C1457" s="34"/>
      <c r="D1457" s="34"/>
      <c r="E1457" s="34"/>
      <c r="F1457" s="34"/>
      <c r="G1457" s="44"/>
      <c r="H1457" s="34"/>
      <c r="I1457" s="54"/>
      <c r="J1457" s="34"/>
      <c r="K1457" s="54"/>
      <c r="L1457" s="34"/>
      <c r="M1457" s="44"/>
      <c r="N1457" s="44"/>
      <c r="O1457" s="34"/>
      <c r="P1457" s="34"/>
      <c r="Q1457" s="34"/>
      <c r="R1457" s="34"/>
      <c r="V1457" s="44"/>
      <c r="X1457" s="95"/>
      <c r="Y1457" s="54"/>
      <c r="Z1457" s="54"/>
      <c r="AA1457" s="34"/>
      <c r="AB1457" s="34"/>
      <c r="AC1457" s="34"/>
      <c r="AD1457" s="34"/>
      <c r="AE1457" s="34"/>
      <c r="AF1457" s="34"/>
      <c r="AG1457" s="34"/>
      <c r="AH1457" s="34"/>
      <c r="AI1457" s="52"/>
      <c r="AJ1457" s="52"/>
      <c r="AL1457" s="34"/>
      <c r="AM1457" s="34"/>
      <c r="AN1457" s="34"/>
      <c r="AO1457" s="54"/>
      <c r="AP1457" s="34"/>
      <c r="AQ1457" s="34"/>
      <c r="AR1457" s="54"/>
      <c r="AS1457" s="54"/>
      <c r="AT1457" s="54"/>
      <c r="AU1457" s="54"/>
      <c r="AV1457" s="34"/>
      <c r="AW1457" s="34"/>
      <c r="AX1457" s="34"/>
      <c r="AY1457" s="34"/>
      <c r="AZ1457" s="34"/>
      <c r="BA1457" s="44"/>
      <c r="BB1457" s="34"/>
      <c r="BC1457" s="34"/>
    </row>
    <row r="1458" spans="1:55" x14ac:dyDescent="0.35" ht="15.0" customHeight="true">
      <c r="A1458" s="51"/>
      <c r="B1458" s="34"/>
      <c r="C1458" s="34"/>
      <c r="D1458" s="34"/>
      <c r="E1458" s="34"/>
      <c r="F1458" s="34"/>
      <c r="G1458" s="44"/>
      <c r="H1458" s="34"/>
      <c r="I1458" s="54"/>
      <c r="J1458" s="34"/>
      <c r="K1458" s="54"/>
      <c r="L1458" s="34"/>
      <c r="M1458" s="44"/>
      <c r="N1458" s="44"/>
      <c r="O1458" s="34"/>
      <c r="P1458" s="34"/>
      <c r="Q1458" s="34"/>
      <c r="R1458" s="34"/>
      <c r="V1458" s="44"/>
      <c r="X1458" s="95"/>
      <c r="Y1458" s="54"/>
      <c r="Z1458" s="54"/>
      <c r="AA1458" s="34"/>
      <c r="AB1458" s="34"/>
      <c r="AC1458" s="34"/>
      <c r="AD1458" s="34"/>
      <c r="AE1458" s="34"/>
      <c r="AF1458" s="34"/>
      <c r="AG1458" s="34"/>
      <c r="AH1458" s="34"/>
      <c r="AI1458" s="52"/>
      <c r="AJ1458" s="52"/>
      <c r="AL1458" s="34"/>
      <c r="AM1458" s="34"/>
      <c r="AN1458" s="34"/>
      <c r="AO1458" s="54"/>
      <c r="AP1458" s="34"/>
      <c r="AQ1458" s="34"/>
      <c r="AR1458" s="54"/>
      <c r="AS1458" s="54"/>
      <c r="AT1458" s="54"/>
      <c r="AU1458" s="54"/>
      <c r="AV1458" s="34"/>
      <c r="AW1458" s="34"/>
      <c r="AX1458" s="34"/>
      <c r="AY1458" s="34"/>
      <c r="AZ1458" s="34"/>
      <c r="BA1458" s="44"/>
      <c r="BB1458" s="34"/>
      <c r="BC1458" s="34"/>
    </row>
    <row r="1459" spans="1:55" x14ac:dyDescent="0.35" ht="15.0" customHeight="true">
      <c r="A1459" s="51"/>
      <c r="B1459" s="34"/>
      <c r="C1459" s="34"/>
      <c r="D1459" s="34"/>
      <c r="E1459" s="34"/>
      <c r="F1459" s="34"/>
      <c r="G1459" s="44"/>
      <c r="H1459" s="34"/>
      <c r="I1459" s="54"/>
      <c r="J1459" s="34"/>
      <c r="K1459" s="54"/>
      <c r="L1459" s="34"/>
      <c r="M1459" s="44"/>
      <c r="N1459" s="44"/>
      <c r="O1459" s="34"/>
      <c r="P1459" s="34"/>
      <c r="Q1459" s="34"/>
      <c r="R1459" s="34"/>
      <c r="V1459" s="44"/>
      <c r="X1459" s="95"/>
      <c r="Y1459" s="54"/>
      <c r="Z1459" s="54"/>
      <c r="AA1459" s="34"/>
      <c r="AB1459" s="34"/>
      <c r="AC1459" s="34"/>
      <c r="AD1459" s="34"/>
      <c r="AE1459" s="34"/>
      <c r="AF1459" s="34"/>
      <c r="AG1459" s="34"/>
      <c r="AH1459" s="34"/>
      <c r="AI1459" s="52"/>
      <c r="AJ1459" s="52"/>
      <c r="AL1459" s="34"/>
      <c r="AM1459" s="34"/>
      <c r="AN1459" s="34"/>
      <c r="AO1459" s="54"/>
      <c r="AP1459" s="34"/>
      <c r="AQ1459" s="34"/>
      <c r="AR1459" s="54"/>
      <c r="AS1459" s="54"/>
      <c r="AT1459" s="54"/>
      <c r="AU1459" s="54"/>
      <c r="AV1459" s="34"/>
      <c r="AW1459" s="34"/>
      <c r="AX1459" s="34"/>
      <c r="AY1459" s="34"/>
      <c r="AZ1459" s="34"/>
      <c r="BA1459" s="44"/>
      <c r="BB1459" s="34"/>
      <c r="BC1459" s="34"/>
    </row>
    <row r="1460" spans="1:55" x14ac:dyDescent="0.35" ht="15.0" customHeight="true">
      <c r="A1460" s="51"/>
      <c r="B1460" s="34"/>
      <c r="C1460" s="34"/>
      <c r="D1460" s="34"/>
      <c r="E1460" s="34"/>
      <c r="F1460" s="34"/>
      <c r="G1460" s="44"/>
      <c r="H1460" s="34"/>
      <c r="I1460" s="54"/>
      <c r="J1460" s="34"/>
      <c r="K1460" s="54"/>
      <c r="L1460" s="34"/>
      <c r="M1460" s="44"/>
      <c r="N1460" s="44"/>
      <c r="O1460" s="34"/>
      <c r="P1460" s="34"/>
      <c r="Q1460" s="34"/>
      <c r="R1460" s="34"/>
      <c r="V1460" s="44"/>
      <c r="X1460" s="95"/>
      <c r="Y1460" s="54"/>
      <c r="Z1460" s="54"/>
      <c r="AA1460" s="34"/>
      <c r="AB1460" s="34"/>
      <c r="AC1460" s="34"/>
      <c r="AD1460" s="34"/>
      <c r="AE1460" s="34"/>
      <c r="AF1460" s="34"/>
      <c r="AG1460" s="34"/>
      <c r="AH1460" s="34"/>
      <c r="AI1460" s="52"/>
      <c r="AJ1460" s="52"/>
      <c r="AL1460" s="34"/>
      <c r="AM1460" s="34"/>
      <c r="AN1460" s="34"/>
      <c r="AO1460" s="54"/>
      <c r="AP1460" s="34"/>
      <c r="AQ1460" s="34"/>
      <c r="AR1460" s="54"/>
      <c r="AS1460" s="54"/>
      <c r="AT1460" s="54"/>
      <c r="AU1460" s="54"/>
      <c r="AV1460" s="34"/>
      <c r="AW1460" s="34"/>
      <c r="AX1460" s="34"/>
      <c r="AY1460" s="34"/>
      <c r="AZ1460" s="34"/>
      <c r="BA1460" s="44"/>
      <c r="BB1460" s="34"/>
      <c r="BC1460" s="34"/>
    </row>
    <row r="1461" spans="1:55" x14ac:dyDescent="0.35" ht="15.0" customHeight="true">
      <c r="A1461" s="51"/>
      <c r="B1461" s="34"/>
      <c r="C1461" s="34"/>
      <c r="D1461" s="34"/>
      <c r="E1461" s="34"/>
      <c r="F1461" s="34"/>
      <c r="G1461" s="44"/>
      <c r="H1461" s="34"/>
      <c r="I1461" s="54"/>
      <c r="J1461" s="34"/>
      <c r="K1461" s="54"/>
      <c r="L1461" s="34"/>
      <c r="M1461" s="44"/>
      <c r="N1461" s="44"/>
      <c r="O1461" s="34"/>
      <c r="P1461" s="34"/>
      <c r="Q1461" s="34"/>
      <c r="R1461" s="34"/>
      <c r="V1461" s="44"/>
      <c r="X1461" s="95"/>
      <c r="Y1461" s="54"/>
      <c r="Z1461" s="54"/>
      <c r="AA1461" s="34"/>
      <c r="AB1461" s="34"/>
      <c r="AC1461" s="34"/>
      <c r="AD1461" s="34"/>
      <c r="AE1461" s="34"/>
      <c r="AF1461" s="34"/>
      <c r="AG1461" s="34"/>
      <c r="AH1461" s="34"/>
      <c r="AI1461" s="52"/>
      <c r="AJ1461" s="52"/>
      <c r="AL1461" s="34"/>
      <c r="AM1461" s="34"/>
      <c r="AN1461" s="34"/>
      <c r="AO1461" s="54"/>
      <c r="AP1461" s="34"/>
      <c r="AQ1461" s="34"/>
      <c r="AR1461" s="54"/>
      <c r="AS1461" s="54"/>
      <c r="AT1461" s="54"/>
      <c r="AU1461" s="54"/>
      <c r="AV1461" s="34"/>
      <c r="AW1461" s="34"/>
      <c r="AX1461" s="34"/>
      <c r="AY1461" s="34"/>
      <c r="AZ1461" s="34"/>
      <c r="BA1461" s="44"/>
      <c r="BB1461" s="34"/>
      <c r="BC1461" s="34"/>
    </row>
    <row r="1462" spans="1:55" x14ac:dyDescent="0.35" ht="15.0" customHeight="true">
      <c r="A1462" s="51"/>
      <c r="B1462" s="34"/>
      <c r="C1462" s="34"/>
      <c r="D1462" s="34"/>
      <c r="E1462" s="34"/>
      <c r="F1462" s="34"/>
      <c r="G1462" s="44"/>
      <c r="H1462" s="34"/>
      <c r="I1462" s="54"/>
      <c r="J1462" s="34"/>
      <c r="K1462" s="54"/>
      <c r="L1462" s="34"/>
      <c r="M1462" s="44"/>
      <c r="N1462" s="44"/>
      <c r="O1462" s="34"/>
      <c r="P1462" s="34"/>
      <c r="Q1462" s="34"/>
      <c r="R1462" s="34"/>
      <c r="V1462" s="44"/>
      <c r="X1462" s="95"/>
      <c r="Y1462" s="54"/>
      <c r="Z1462" s="54"/>
      <c r="AA1462" s="34"/>
      <c r="AB1462" s="34"/>
      <c r="AC1462" s="34"/>
      <c r="AD1462" s="34"/>
      <c r="AE1462" s="34"/>
      <c r="AF1462" s="34"/>
      <c r="AG1462" s="34"/>
      <c r="AH1462" s="34"/>
      <c r="AI1462" s="52"/>
      <c r="AJ1462" s="52"/>
      <c r="AL1462" s="34"/>
      <c r="AM1462" s="34"/>
      <c r="AN1462" s="34"/>
      <c r="AO1462" s="54"/>
      <c r="AP1462" s="34"/>
      <c r="AQ1462" s="34"/>
      <c r="AR1462" s="54"/>
      <c r="AS1462" s="54"/>
      <c r="AT1462" s="54"/>
      <c r="AU1462" s="54"/>
      <c r="AV1462" s="34"/>
      <c r="AW1462" s="34"/>
      <c r="AX1462" s="34"/>
      <c r="AY1462" s="34"/>
      <c r="AZ1462" s="34"/>
      <c r="BA1462" s="44"/>
      <c r="BB1462" s="34"/>
      <c r="BC1462" s="34"/>
    </row>
    <row r="1463" spans="1:55" x14ac:dyDescent="0.35" ht="15.0" customHeight="true">
      <c r="A1463" s="51"/>
      <c r="B1463" s="34"/>
      <c r="C1463" s="34"/>
      <c r="D1463" s="34"/>
      <c r="E1463" s="34"/>
      <c r="F1463" s="34"/>
      <c r="G1463" s="44"/>
      <c r="H1463" s="34"/>
      <c r="I1463" s="54"/>
      <c r="J1463" s="34"/>
      <c r="K1463" s="54"/>
      <c r="L1463" s="34"/>
      <c r="M1463" s="44"/>
      <c r="N1463" s="44"/>
      <c r="O1463" s="34"/>
      <c r="P1463" s="34"/>
      <c r="Q1463" s="34"/>
      <c r="R1463" s="34"/>
      <c r="V1463" s="44"/>
      <c r="X1463" s="95"/>
      <c r="Y1463" s="54"/>
      <c r="Z1463" s="54"/>
      <c r="AA1463" s="34"/>
      <c r="AB1463" s="34"/>
      <c r="AC1463" s="34"/>
      <c r="AD1463" s="34"/>
      <c r="AE1463" s="34"/>
      <c r="AF1463" s="34"/>
      <c r="AG1463" s="34"/>
      <c r="AH1463" s="34"/>
      <c r="AI1463" s="52"/>
      <c r="AJ1463" s="52"/>
      <c r="AL1463" s="34"/>
      <c r="AM1463" s="34"/>
      <c r="AN1463" s="34"/>
      <c r="AO1463" s="54"/>
      <c r="AP1463" s="34"/>
      <c r="AQ1463" s="34"/>
      <c r="AR1463" s="54"/>
      <c r="AS1463" s="54"/>
      <c r="AT1463" s="54"/>
      <c r="AU1463" s="54"/>
      <c r="AV1463" s="34"/>
      <c r="AW1463" s="34"/>
      <c r="AX1463" s="34"/>
      <c r="AY1463" s="34"/>
      <c r="AZ1463" s="34"/>
      <c r="BA1463" s="44"/>
      <c r="BB1463" s="34"/>
      <c r="BC1463" s="34"/>
    </row>
    <row r="1464" spans="1:55" x14ac:dyDescent="0.35" ht="15.0" customHeight="true">
      <c r="A1464" s="51"/>
      <c r="B1464" s="34"/>
      <c r="C1464" s="34"/>
      <c r="D1464" s="34"/>
      <c r="E1464" s="34"/>
      <c r="F1464" s="34"/>
      <c r="G1464" s="44"/>
      <c r="H1464" s="34"/>
      <c r="I1464" s="54"/>
      <c r="J1464" s="34"/>
      <c r="K1464" s="54"/>
      <c r="L1464" s="34"/>
      <c r="M1464" s="44"/>
      <c r="N1464" s="44"/>
      <c r="O1464" s="34"/>
      <c r="P1464" s="34"/>
      <c r="Q1464" s="34"/>
      <c r="R1464" s="34"/>
      <c r="V1464" s="44"/>
      <c r="X1464" s="95"/>
      <c r="Y1464" s="54"/>
      <c r="Z1464" s="54"/>
      <c r="AA1464" s="34"/>
      <c r="AB1464" s="34"/>
      <c r="AC1464" s="34"/>
      <c r="AD1464" s="34"/>
      <c r="AE1464" s="34"/>
      <c r="AF1464" s="34"/>
      <c r="AG1464" s="34"/>
      <c r="AH1464" s="34"/>
      <c r="AI1464" s="52"/>
      <c r="AJ1464" s="52"/>
      <c r="AL1464" s="34"/>
      <c r="AM1464" s="34"/>
      <c r="AN1464" s="34"/>
      <c r="AO1464" s="54"/>
      <c r="AP1464" s="34"/>
      <c r="AQ1464" s="34"/>
      <c r="AR1464" s="54"/>
      <c r="AS1464" s="54"/>
      <c r="AT1464" s="54"/>
      <c r="AU1464" s="54"/>
      <c r="AV1464" s="34"/>
      <c r="AW1464" s="34"/>
      <c r="AX1464" s="34"/>
      <c r="AY1464" s="34"/>
      <c r="AZ1464" s="34"/>
      <c r="BA1464" s="44"/>
      <c r="BB1464" s="34"/>
      <c r="BC1464" s="34"/>
    </row>
    <row r="1465" spans="1:55" x14ac:dyDescent="0.35" ht="15.0" customHeight="true">
      <c r="A1465" s="51"/>
      <c r="B1465" s="34"/>
      <c r="C1465" s="34"/>
      <c r="D1465" s="34"/>
      <c r="E1465" s="34"/>
      <c r="F1465" s="34"/>
      <c r="G1465" s="44"/>
      <c r="H1465" s="34"/>
      <c r="I1465" s="54"/>
      <c r="J1465" s="34"/>
      <c r="K1465" s="54"/>
      <c r="L1465" s="34"/>
      <c r="M1465" s="44"/>
      <c r="N1465" s="44"/>
      <c r="O1465" s="34"/>
      <c r="P1465" s="34"/>
      <c r="Q1465" s="34"/>
      <c r="R1465" s="34"/>
      <c r="V1465" s="44"/>
      <c r="X1465" s="95"/>
      <c r="Y1465" s="54"/>
      <c r="Z1465" s="54"/>
      <c r="AA1465" s="34"/>
      <c r="AB1465" s="34"/>
      <c r="AC1465" s="34"/>
      <c r="AD1465" s="34"/>
      <c r="AE1465" s="34"/>
      <c r="AF1465" s="34"/>
      <c r="AG1465" s="34"/>
      <c r="AH1465" s="34"/>
      <c r="AI1465" s="52"/>
      <c r="AJ1465" s="52"/>
      <c r="AL1465" s="34"/>
      <c r="AM1465" s="34"/>
      <c r="AN1465" s="34"/>
      <c r="AO1465" s="54"/>
      <c r="AP1465" s="34"/>
      <c r="AQ1465" s="34"/>
      <c r="AR1465" s="54"/>
      <c r="AS1465" s="54"/>
      <c r="AT1465" s="54"/>
      <c r="AU1465" s="54"/>
      <c r="AV1465" s="34"/>
      <c r="AW1465" s="34"/>
      <c r="AX1465" s="34"/>
      <c r="AY1465" s="34"/>
      <c r="AZ1465" s="34"/>
      <c r="BA1465" s="44"/>
      <c r="BB1465" s="34"/>
      <c r="BC1465" s="34"/>
    </row>
    <row r="1466" spans="1:55" x14ac:dyDescent="0.35" ht="15.0" customHeight="true">
      <c r="A1466" s="51"/>
      <c r="B1466" s="34"/>
      <c r="C1466" s="34"/>
      <c r="D1466" s="34"/>
      <c r="E1466" s="34"/>
      <c r="F1466" s="34"/>
      <c r="G1466" s="44"/>
      <c r="H1466" s="34"/>
      <c r="I1466" s="54"/>
      <c r="J1466" s="34"/>
      <c r="K1466" s="54"/>
      <c r="L1466" s="34"/>
      <c r="M1466" s="44"/>
      <c r="N1466" s="44"/>
      <c r="O1466" s="34"/>
      <c r="P1466" s="34"/>
      <c r="Q1466" s="34"/>
      <c r="R1466" s="34"/>
      <c r="V1466" s="44"/>
      <c r="X1466" s="95"/>
      <c r="Y1466" s="54"/>
      <c r="Z1466" s="54"/>
      <c r="AA1466" s="34"/>
      <c r="AB1466" s="34"/>
      <c r="AC1466" s="34"/>
      <c r="AD1466" s="34"/>
      <c r="AE1466" s="34"/>
      <c r="AF1466" s="34"/>
      <c r="AG1466" s="34"/>
      <c r="AH1466" s="34"/>
      <c r="AI1466" s="52"/>
      <c r="AJ1466" s="52"/>
      <c r="AL1466" s="34"/>
      <c r="AM1466" s="34"/>
      <c r="AN1466" s="34"/>
      <c r="AO1466" s="54"/>
      <c r="AP1466" s="34"/>
      <c r="AQ1466" s="34"/>
      <c r="AR1466" s="54"/>
      <c r="AS1466" s="54"/>
      <c r="AT1466" s="54"/>
      <c r="AU1466" s="54"/>
      <c r="AV1466" s="34"/>
      <c r="AW1466" s="34"/>
      <c r="AX1466" s="34"/>
      <c r="AY1466" s="34"/>
      <c r="AZ1466" s="34"/>
      <c r="BA1466" s="44"/>
      <c r="BB1466" s="34"/>
      <c r="BC1466" s="34"/>
    </row>
    <row r="1467" spans="1:55" x14ac:dyDescent="0.35" ht="15.0" customHeight="true">
      <c r="A1467" s="51"/>
      <c r="B1467" s="34"/>
      <c r="C1467" s="34"/>
      <c r="D1467" s="34"/>
      <c r="E1467" s="34"/>
      <c r="F1467" s="34"/>
      <c r="G1467" s="44"/>
      <c r="H1467" s="34"/>
      <c r="I1467" s="54"/>
      <c r="J1467" s="34"/>
      <c r="K1467" s="54"/>
      <c r="L1467" s="34"/>
      <c r="M1467" s="44"/>
      <c r="N1467" s="44"/>
      <c r="O1467" s="34"/>
      <c r="P1467" s="34"/>
      <c r="Q1467" s="34"/>
      <c r="R1467" s="34"/>
      <c r="V1467" s="44"/>
      <c r="X1467" s="95"/>
      <c r="Y1467" s="54"/>
      <c r="Z1467" s="54"/>
      <c r="AA1467" s="34"/>
      <c r="AB1467" s="34"/>
      <c r="AC1467" s="34"/>
      <c r="AD1467" s="34"/>
      <c r="AE1467" s="34"/>
      <c r="AF1467" s="34"/>
      <c r="AG1467" s="34"/>
      <c r="AH1467" s="34"/>
      <c r="AI1467" s="52"/>
      <c r="AJ1467" s="52"/>
      <c r="AL1467" s="34"/>
      <c r="AM1467" s="34"/>
      <c r="AN1467" s="34"/>
      <c r="AO1467" s="54"/>
      <c r="AP1467" s="34"/>
      <c r="AQ1467" s="34"/>
      <c r="AR1467" s="54"/>
      <c r="AS1467" s="54"/>
      <c r="AT1467" s="54"/>
      <c r="AU1467" s="54"/>
      <c r="AV1467" s="34"/>
      <c r="AW1467" s="34"/>
      <c r="AX1467" s="34"/>
      <c r="AY1467" s="34"/>
      <c r="AZ1467" s="34"/>
      <c r="BA1467" s="44"/>
      <c r="BB1467" s="34"/>
      <c r="BC1467" s="34"/>
    </row>
    <row r="1468" spans="1:55" x14ac:dyDescent="0.35" ht="15.0" customHeight="true">
      <c r="A1468" s="51"/>
      <c r="B1468" s="34"/>
      <c r="C1468" s="34"/>
      <c r="D1468" s="34"/>
      <c r="E1468" s="34"/>
      <c r="F1468" s="34"/>
      <c r="G1468" s="44"/>
      <c r="H1468" s="34"/>
      <c r="I1468" s="54"/>
      <c r="J1468" s="34"/>
      <c r="K1468" s="54"/>
      <c r="L1468" s="34"/>
      <c r="M1468" s="44"/>
      <c r="N1468" s="44"/>
      <c r="O1468" s="34"/>
      <c r="P1468" s="34"/>
      <c r="Q1468" s="34"/>
      <c r="R1468" s="34"/>
      <c r="V1468" s="44"/>
      <c r="X1468" s="95"/>
      <c r="Y1468" s="54"/>
      <c r="Z1468" s="54"/>
      <c r="AA1468" s="34"/>
      <c r="AB1468" s="34"/>
      <c r="AC1468" s="34"/>
      <c r="AD1468" s="34"/>
      <c r="AE1468" s="34"/>
      <c r="AF1468" s="34"/>
      <c r="AG1468" s="34"/>
      <c r="AH1468" s="34"/>
      <c r="AI1468" s="52"/>
      <c r="AJ1468" s="52"/>
      <c r="AL1468" s="34"/>
      <c r="AM1468" s="34"/>
      <c r="AN1468" s="34"/>
      <c r="AO1468" s="54"/>
      <c r="AP1468" s="34"/>
      <c r="AQ1468" s="34"/>
      <c r="AR1468" s="54"/>
      <c r="AS1468" s="54"/>
      <c r="AT1468" s="54"/>
      <c r="AU1468" s="54"/>
      <c r="AV1468" s="34"/>
      <c r="AW1468" s="34"/>
      <c r="AX1468" s="34"/>
      <c r="AY1468" s="34"/>
      <c r="AZ1468" s="34"/>
      <c r="BA1468" s="44"/>
      <c r="BB1468" s="34"/>
      <c r="BC1468" s="34"/>
    </row>
    <row r="1469" spans="1:55" x14ac:dyDescent="0.35" ht="15.0" customHeight="true">
      <c r="A1469" s="51"/>
      <c r="B1469" s="34"/>
      <c r="C1469" s="34"/>
      <c r="D1469" s="34"/>
      <c r="E1469" s="34"/>
      <c r="F1469" s="34"/>
      <c r="G1469" s="44"/>
      <c r="H1469" s="34"/>
      <c r="I1469" s="54"/>
      <c r="J1469" s="34"/>
      <c r="K1469" s="54"/>
      <c r="L1469" s="34"/>
      <c r="M1469" s="44"/>
      <c r="N1469" s="44"/>
      <c r="O1469" s="34"/>
      <c r="P1469" s="34"/>
      <c r="Q1469" s="34"/>
      <c r="R1469" s="34"/>
      <c r="V1469" s="44"/>
      <c r="X1469" s="95"/>
      <c r="Y1469" s="54"/>
      <c r="Z1469" s="54"/>
      <c r="AA1469" s="34"/>
      <c r="AB1469" s="34"/>
      <c r="AC1469" s="34"/>
      <c r="AD1469" s="34"/>
      <c r="AE1469" s="34"/>
      <c r="AF1469" s="34"/>
      <c r="AG1469" s="34"/>
      <c r="AH1469" s="34"/>
      <c r="AI1469" s="52"/>
      <c r="AJ1469" s="52"/>
      <c r="AL1469" s="34"/>
      <c r="AM1469" s="34"/>
      <c r="AN1469" s="34"/>
      <c r="AO1469" s="54"/>
      <c r="AP1469" s="34"/>
      <c r="AQ1469" s="34"/>
      <c r="AR1469" s="54"/>
      <c r="AS1469" s="54"/>
      <c r="AT1469" s="54"/>
      <c r="AU1469" s="54"/>
      <c r="AV1469" s="34"/>
      <c r="AW1469" s="34"/>
      <c r="AX1469" s="34"/>
      <c r="AY1469" s="34"/>
      <c r="AZ1469" s="34"/>
      <c r="BA1469" s="44"/>
      <c r="BB1469" s="34"/>
      <c r="BC1469" s="34"/>
    </row>
    <row r="1470" spans="1:55" x14ac:dyDescent="0.35" ht="15.0" customHeight="true">
      <c r="A1470" s="51"/>
      <c r="B1470" s="34"/>
      <c r="C1470" s="34"/>
      <c r="D1470" s="34"/>
      <c r="E1470" s="34"/>
      <c r="F1470" s="34"/>
      <c r="G1470" s="44"/>
      <c r="H1470" s="34"/>
      <c r="I1470" s="54"/>
      <c r="J1470" s="34"/>
      <c r="K1470" s="54"/>
      <c r="L1470" s="34"/>
      <c r="M1470" s="44"/>
      <c r="N1470" s="44"/>
      <c r="O1470" s="34"/>
      <c r="P1470" s="34"/>
      <c r="Q1470" s="34"/>
      <c r="R1470" s="34"/>
      <c r="V1470" s="44"/>
      <c r="X1470" s="95"/>
      <c r="Y1470" s="54"/>
      <c r="Z1470" s="54"/>
      <c r="AA1470" s="34"/>
      <c r="AB1470" s="34"/>
      <c r="AC1470" s="34"/>
      <c r="AD1470" s="34"/>
      <c r="AE1470" s="34"/>
      <c r="AF1470" s="34"/>
      <c r="AG1470" s="34"/>
      <c r="AH1470" s="34"/>
      <c r="AI1470" s="52"/>
      <c r="AJ1470" s="52"/>
      <c r="AL1470" s="34"/>
      <c r="AM1470" s="34"/>
      <c r="AN1470" s="34"/>
      <c r="AO1470" s="54"/>
      <c r="AP1470" s="34"/>
      <c r="AQ1470" s="34"/>
      <c r="AR1470" s="54"/>
      <c r="AS1470" s="54"/>
      <c r="AT1470" s="54"/>
      <c r="AU1470" s="54"/>
      <c r="AV1470" s="34"/>
      <c r="AW1470" s="34"/>
      <c r="AX1470" s="34"/>
      <c r="AY1470" s="34"/>
      <c r="AZ1470" s="34"/>
      <c r="BA1470" s="44"/>
      <c r="BB1470" s="34"/>
      <c r="BC1470" s="34"/>
    </row>
    <row r="1471" spans="1:55" x14ac:dyDescent="0.35" ht="15.0" customHeight="true">
      <c r="A1471" s="51"/>
      <c r="B1471" s="34"/>
      <c r="C1471" s="34"/>
      <c r="D1471" s="34"/>
      <c r="E1471" s="34"/>
      <c r="F1471" s="34"/>
      <c r="G1471" s="44"/>
      <c r="H1471" s="34"/>
      <c r="I1471" s="54"/>
      <c r="J1471" s="34"/>
      <c r="K1471" s="54"/>
      <c r="L1471" s="34"/>
      <c r="M1471" s="44"/>
      <c r="N1471" s="44"/>
      <c r="O1471" s="34"/>
      <c r="P1471" s="34"/>
      <c r="Q1471" s="34"/>
      <c r="R1471" s="34"/>
      <c r="V1471" s="44"/>
      <c r="X1471" s="95"/>
      <c r="Y1471" s="54"/>
      <c r="Z1471" s="54"/>
      <c r="AA1471" s="34"/>
      <c r="AB1471" s="34"/>
      <c r="AC1471" s="34"/>
      <c r="AD1471" s="34"/>
      <c r="AE1471" s="34"/>
      <c r="AF1471" s="34"/>
      <c r="AG1471" s="34"/>
      <c r="AH1471" s="34"/>
      <c r="AI1471" s="52"/>
      <c r="AJ1471" s="52"/>
      <c r="AL1471" s="34"/>
      <c r="AM1471" s="34"/>
      <c r="AN1471" s="34"/>
      <c r="AO1471" s="54"/>
      <c r="AP1471" s="34"/>
      <c r="AQ1471" s="34"/>
      <c r="AR1471" s="54"/>
      <c r="AS1471" s="54"/>
      <c r="AT1471" s="54"/>
      <c r="AU1471" s="54"/>
      <c r="AV1471" s="34"/>
      <c r="AW1471" s="34"/>
      <c r="AX1471" s="34"/>
      <c r="AY1471" s="34"/>
      <c r="AZ1471" s="34"/>
      <c r="BA1471" s="44"/>
      <c r="BB1471" s="34"/>
      <c r="BC1471" s="34"/>
    </row>
    <row r="1472" spans="1:55" x14ac:dyDescent="0.35" ht="15.0" customHeight="true">
      <c r="A1472" s="51"/>
      <c r="B1472" s="34"/>
      <c r="C1472" s="34"/>
      <c r="D1472" s="34"/>
      <c r="E1472" s="34"/>
      <c r="F1472" s="34"/>
      <c r="G1472" s="44"/>
      <c r="H1472" s="34"/>
      <c r="I1472" s="54"/>
      <c r="J1472" s="34"/>
      <c r="K1472" s="54"/>
      <c r="L1472" s="34"/>
      <c r="M1472" s="44"/>
      <c r="N1472" s="44"/>
      <c r="O1472" s="34"/>
      <c r="P1472" s="34"/>
      <c r="Q1472" s="34"/>
      <c r="R1472" s="34"/>
      <c r="V1472" s="44"/>
      <c r="X1472" s="95"/>
      <c r="Y1472" s="54"/>
      <c r="Z1472" s="54"/>
      <c r="AA1472" s="34"/>
      <c r="AB1472" s="34"/>
      <c r="AC1472" s="34"/>
      <c r="AD1472" s="34"/>
      <c r="AE1472" s="34"/>
      <c r="AF1472" s="34"/>
      <c r="AG1472" s="34"/>
      <c r="AH1472" s="34"/>
      <c r="AI1472" s="52"/>
      <c r="AJ1472" s="52"/>
      <c r="AL1472" s="34"/>
      <c r="AM1472" s="34"/>
      <c r="AN1472" s="34"/>
      <c r="AO1472" s="54"/>
      <c r="AP1472" s="34"/>
      <c r="AQ1472" s="34"/>
      <c r="AR1472" s="54"/>
      <c r="AS1472" s="54"/>
      <c r="AT1472" s="54"/>
      <c r="AU1472" s="54"/>
      <c r="AV1472" s="34"/>
      <c r="AW1472" s="34"/>
      <c r="AX1472" s="34"/>
      <c r="AY1472" s="34"/>
      <c r="AZ1472" s="34"/>
      <c r="BA1472" s="44"/>
      <c r="BB1472" s="34"/>
      <c r="BC1472" s="34"/>
    </row>
    <row r="1473" spans="1:55" x14ac:dyDescent="0.35" ht="15.0" customHeight="true">
      <c r="A1473" s="51"/>
      <c r="B1473" s="34"/>
      <c r="C1473" s="34"/>
      <c r="D1473" s="34"/>
      <c r="E1473" s="34"/>
      <c r="F1473" s="34"/>
      <c r="G1473" s="44"/>
      <c r="H1473" s="34"/>
      <c r="I1473" s="54"/>
      <c r="J1473" s="34"/>
      <c r="K1473" s="54"/>
      <c r="L1473" s="34"/>
      <c r="M1473" s="44"/>
      <c r="N1473" s="44"/>
      <c r="O1473" s="34"/>
      <c r="P1473" s="34"/>
      <c r="Q1473" s="34"/>
      <c r="R1473" s="34"/>
      <c r="V1473" s="44"/>
      <c r="X1473" s="95"/>
      <c r="Y1473" s="54"/>
      <c r="Z1473" s="54"/>
      <c r="AA1473" s="34"/>
      <c r="AB1473" s="34"/>
      <c r="AC1473" s="34"/>
      <c r="AD1473" s="34"/>
      <c r="AE1473" s="34"/>
      <c r="AF1473" s="34"/>
      <c r="AG1473" s="34"/>
      <c r="AH1473" s="34"/>
      <c r="AI1473" s="52"/>
      <c r="AJ1473" s="52"/>
      <c r="AL1473" s="34"/>
      <c r="AM1473" s="34"/>
      <c r="AN1473" s="34"/>
      <c r="AO1473" s="54"/>
      <c r="AP1473" s="34"/>
      <c r="AQ1473" s="34"/>
      <c r="AR1473" s="54"/>
      <c r="AS1473" s="54"/>
      <c r="AT1473" s="54"/>
      <c r="AU1473" s="54"/>
      <c r="AV1473" s="34"/>
      <c r="AW1473" s="34"/>
      <c r="AX1473" s="34"/>
      <c r="AY1473" s="34"/>
      <c r="AZ1473" s="34"/>
      <c r="BA1473" s="44"/>
      <c r="BB1473" s="34"/>
      <c r="BC1473" s="34"/>
    </row>
    <row r="1474" spans="1:55" x14ac:dyDescent="0.35" ht="15.0" customHeight="true">
      <c r="A1474" s="51"/>
      <c r="B1474" s="34"/>
      <c r="C1474" s="34"/>
      <c r="D1474" s="34"/>
      <c r="E1474" s="34"/>
      <c r="F1474" s="34"/>
      <c r="G1474" s="44"/>
      <c r="H1474" s="34"/>
      <c r="I1474" s="54"/>
      <c r="J1474" s="34"/>
      <c r="K1474" s="54"/>
      <c r="L1474" s="34"/>
      <c r="M1474" s="44"/>
      <c r="N1474" s="44"/>
      <c r="O1474" s="34"/>
      <c r="P1474" s="34"/>
      <c r="Q1474" s="34"/>
      <c r="R1474" s="34"/>
      <c r="V1474" s="44"/>
      <c r="X1474" s="95"/>
      <c r="Y1474" s="54"/>
      <c r="Z1474" s="54"/>
      <c r="AA1474" s="34"/>
      <c r="AB1474" s="34"/>
      <c r="AC1474" s="34"/>
      <c r="AD1474" s="34"/>
      <c r="AE1474" s="34"/>
      <c r="AF1474" s="34"/>
      <c r="AG1474" s="34"/>
      <c r="AH1474" s="34"/>
      <c r="AI1474" s="52"/>
      <c r="AJ1474" s="52"/>
      <c r="AL1474" s="34"/>
      <c r="AM1474" s="34"/>
      <c r="AN1474" s="34"/>
      <c r="AO1474" s="54"/>
      <c r="AP1474" s="34"/>
      <c r="AQ1474" s="34"/>
      <c r="AR1474" s="54"/>
      <c r="AS1474" s="54"/>
      <c r="AT1474" s="54"/>
      <c r="AU1474" s="54"/>
      <c r="AV1474" s="34"/>
      <c r="AW1474" s="34"/>
      <c r="AX1474" s="34"/>
      <c r="AY1474" s="34"/>
      <c r="AZ1474" s="34"/>
      <c r="BA1474" s="44"/>
      <c r="BB1474" s="34"/>
      <c r="BC1474" s="34"/>
    </row>
    <row r="1475" spans="1:55" x14ac:dyDescent="0.35" ht="15.0" customHeight="true">
      <c r="A1475" s="51"/>
      <c r="B1475" s="34"/>
      <c r="C1475" s="34"/>
      <c r="D1475" s="34"/>
      <c r="E1475" s="34"/>
      <c r="F1475" s="34"/>
      <c r="G1475" s="44"/>
      <c r="H1475" s="34"/>
      <c r="I1475" s="54"/>
      <c r="J1475" s="34"/>
      <c r="K1475" s="54"/>
      <c r="L1475" s="34"/>
      <c r="M1475" s="44"/>
      <c r="N1475" s="44"/>
      <c r="O1475" s="34"/>
      <c r="P1475" s="34"/>
      <c r="Q1475" s="34"/>
      <c r="R1475" s="34"/>
      <c r="V1475" s="44"/>
      <c r="X1475" s="95"/>
      <c r="Y1475" s="54"/>
      <c r="Z1475" s="54"/>
      <c r="AA1475" s="34"/>
      <c r="AB1475" s="34"/>
      <c r="AC1475" s="34"/>
      <c r="AD1475" s="34"/>
      <c r="AE1475" s="34"/>
      <c r="AF1475" s="34"/>
      <c r="AG1475" s="34"/>
      <c r="AH1475" s="34"/>
      <c r="AI1475" s="52"/>
      <c r="AJ1475" s="52"/>
      <c r="AL1475" s="34"/>
      <c r="AM1475" s="34"/>
      <c r="AN1475" s="34"/>
      <c r="AO1475" s="54"/>
      <c r="AP1475" s="34"/>
      <c r="AQ1475" s="34"/>
      <c r="AR1475" s="54"/>
      <c r="AS1475" s="54"/>
      <c r="AT1475" s="54"/>
      <c r="AU1475" s="54"/>
      <c r="AV1475" s="34"/>
      <c r="AW1475" s="34"/>
      <c r="AX1475" s="34"/>
      <c r="AY1475" s="34"/>
      <c r="AZ1475" s="34"/>
      <c r="BA1475" s="44"/>
      <c r="BB1475" s="34"/>
      <c r="BC1475" s="34"/>
    </row>
    <row r="1476" spans="1:55" x14ac:dyDescent="0.35" ht="15.0" customHeight="true">
      <c r="A1476" s="51"/>
      <c r="B1476" s="34"/>
      <c r="C1476" s="34"/>
      <c r="D1476" s="34"/>
      <c r="E1476" s="34"/>
      <c r="F1476" s="34"/>
      <c r="G1476" s="44"/>
      <c r="H1476" s="34"/>
      <c r="I1476" s="54"/>
      <c r="J1476" s="34"/>
      <c r="K1476" s="54"/>
      <c r="L1476" s="34"/>
      <c r="M1476" s="44"/>
      <c r="N1476" s="44"/>
      <c r="O1476" s="34"/>
      <c r="P1476" s="34"/>
      <c r="Q1476" s="34"/>
      <c r="R1476" s="34"/>
      <c r="V1476" s="44"/>
      <c r="X1476" s="95"/>
      <c r="Y1476" s="54"/>
      <c r="Z1476" s="54"/>
      <c r="AA1476" s="34"/>
      <c r="AB1476" s="34"/>
      <c r="AC1476" s="34"/>
      <c r="AD1476" s="34"/>
      <c r="AE1476" s="34"/>
      <c r="AF1476" s="34"/>
      <c r="AG1476" s="34"/>
      <c r="AH1476" s="34"/>
      <c r="AI1476" s="52"/>
      <c r="AJ1476" s="52"/>
      <c r="AL1476" s="34"/>
      <c r="AM1476" s="34"/>
      <c r="AN1476" s="34"/>
      <c r="AO1476" s="54"/>
      <c r="AP1476" s="34"/>
      <c r="AQ1476" s="34"/>
      <c r="AR1476" s="54"/>
      <c r="AS1476" s="54"/>
      <c r="AT1476" s="54"/>
      <c r="AU1476" s="54"/>
      <c r="AV1476" s="34"/>
      <c r="AW1476" s="34"/>
      <c r="AX1476" s="34"/>
      <c r="AY1476" s="34"/>
      <c r="AZ1476" s="34"/>
      <c r="BA1476" s="44"/>
      <c r="BB1476" s="34"/>
      <c r="BC1476" s="34"/>
    </row>
    <row r="1477" spans="1:55" x14ac:dyDescent="0.35" ht="15.0" customHeight="true">
      <c r="A1477" s="51"/>
      <c r="B1477" s="34"/>
      <c r="C1477" s="34"/>
      <c r="D1477" s="34"/>
      <c r="E1477" s="34"/>
      <c r="F1477" s="34"/>
      <c r="G1477" s="44"/>
      <c r="H1477" s="34"/>
      <c r="I1477" s="54"/>
      <c r="J1477" s="34"/>
      <c r="K1477" s="54"/>
      <c r="L1477" s="34"/>
      <c r="M1477" s="44"/>
      <c r="N1477" s="44"/>
      <c r="O1477" s="34"/>
      <c r="P1477" s="34"/>
      <c r="Q1477" s="34"/>
      <c r="R1477" s="34"/>
      <c r="V1477" s="44"/>
      <c r="X1477" s="95"/>
      <c r="Y1477" s="54"/>
      <c r="Z1477" s="54"/>
      <c r="AA1477" s="34"/>
      <c r="AB1477" s="34"/>
      <c r="AC1477" s="34"/>
      <c r="AD1477" s="34"/>
      <c r="AE1477" s="34"/>
      <c r="AF1477" s="34"/>
      <c r="AG1477" s="34"/>
      <c r="AH1477" s="34"/>
      <c r="AI1477" s="52"/>
      <c r="AJ1477" s="52"/>
      <c r="AL1477" s="34"/>
      <c r="AM1477" s="34"/>
      <c r="AN1477" s="34"/>
      <c r="AO1477" s="54"/>
      <c r="AP1477" s="34"/>
      <c r="AQ1477" s="34"/>
      <c r="AR1477" s="54"/>
      <c r="AS1477" s="54"/>
      <c r="AT1477" s="54"/>
      <c r="AU1477" s="54"/>
      <c r="AV1477" s="34"/>
      <c r="AW1477" s="34"/>
      <c r="AX1477" s="34"/>
      <c r="AY1477" s="34"/>
      <c r="AZ1477" s="34"/>
      <c r="BA1477" s="44"/>
      <c r="BB1477" s="34"/>
      <c r="BC1477" s="34"/>
    </row>
    <row r="1478" spans="1:55" x14ac:dyDescent="0.35" ht="15.0" customHeight="true">
      <c r="A1478" s="51"/>
      <c r="B1478" s="34"/>
      <c r="C1478" s="34"/>
      <c r="D1478" s="34"/>
      <c r="E1478" s="34"/>
      <c r="F1478" s="34"/>
      <c r="G1478" s="44"/>
      <c r="H1478" s="34"/>
      <c r="I1478" s="54"/>
      <c r="J1478" s="34"/>
      <c r="K1478" s="54"/>
      <c r="L1478" s="34"/>
      <c r="M1478" s="44"/>
      <c r="N1478" s="44"/>
      <c r="O1478" s="34"/>
      <c r="P1478" s="34"/>
      <c r="Q1478" s="34"/>
      <c r="R1478" s="34"/>
      <c r="V1478" s="44"/>
      <c r="X1478" s="95"/>
      <c r="Y1478" s="54"/>
      <c r="Z1478" s="54"/>
      <c r="AA1478" s="34"/>
      <c r="AB1478" s="34"/>
      <c r="AC1478" s="34"/>
      <c r="AD1478" s="34"/>
      <c r="AE1478" s="34"/>
      <c r="AF1478" s="34"/>
      <c r="AG1478" s="34"/>
      <c r="AH1478" s="34"/>
      <c r="AI1478" s="52"/>
      <c r="AJ1478" s="52"/>
      <c r="AL1478" s="34"/>
      <c r="AM1478" s="34"/>
      <c r="AN1478" s="34"/>
      <c r="AO1478" s="54"/>
      <c r="AP1478" s="34"/>
      <c r="AQ1478" s="34"/>
      <c r="AR1478" s="54"/>
      <c r="AS1478" s="54"/>
      <c r="AT1478" s="54"/>
      <c r="AU1478" s="54"/>
      <c r="AV1478" s="34"/>
      <c r="AW1478" s="34"/>
      <c r="AX1478" s="34"/>
      <c r="AY1478" s="34"/>
      <c r="AZ1478" s="34"/>
      <c r="BA1478" s="44"/>
      <c r="BB1478" s="34"/>
      <c r="BC1478" s="34"/>
    </row>
    <row r="1479" spans="1:55" x14ac:dyDescent="0.35" ht="15.0" customHeight="true">
      <c r="A1479" s="51"/>
      <c r="B1479" s="34"/>
      <c r="C1479" s="34"/>
      <c r="D1479" s="34"/>
      <c r="E1479" s="34"/>
      <c r="F1479" s="34"/>
      <c r="G1479" s="44"/>
      <c r="H1479" s="34"/>
      <c r="I1479" s="54"/>
      <c r="J1479" s="34"/>
      <c r="K1479" s="54"/>
      <c r="L1479" s="34"/>
      <c r="M1479" s="44"/>
      <c r="N1479" s="44"/>
      <c r="O1479" s="34"/>
      <c r="P1479" s="34"/>
      <c r="Q1479" s="34"/>
      <c r="R1479" s="34"/>
      <c r="V1479" s="44"/>
      <c r="X1479" s="95"/>
      <c r="Y1479" s="54"/>
      <c r="Z1479" s="54"/>
      <c r="AA1479" s="34"/>
      <c r="AB1479" s="34"/>
      <c r="AC1479" s="34"/>
      <c r="AD1479" s="34"/>
      <c r="AE1479" s="34"/>
      <c r="AF1479" s="34"/>
      <c r="AG1479" s="34"/>
      <c r="AH1479" s="34"/>
      <c r="AI1479" s="52"/>
      <c r="AJ1479" s="52"/>
      <c r="AL1479" s="34"/>
      <c r="AM1479" s="34"/>
      <c r="AN1479" s="34"/>
      <c r="AO1479" s="54"/>
      <c r="AP1479" s="34"/>
      <c r="AQ1479" s="34"/>
      <c r="AR1479" s="54"/>
      <c r="AS1479" s="54"/>
      <c r="AT1479" s="54"/>
      <c r="AU1479" s="54"/>
      <c r="AV1479" s="34"/>
      <c r="AW1479" s="34"/>
      <c r="AX1479" s="34"/>
      <c r="AY1479" s="34"/>
      <c r="AZ1479" s="34"/>
      <c r="BA1479" s="44"/>
      <c r="BB1479" s="34"/>
      <c r="BC1479" s="34"/>
    </row>
    <row r="1480" spans="1:55" x14ac:dyDescent="0.35" ht="15.0" customHeight="true">
      <c r="A1480" s="51"/>
      <c r="B1480" s="34"/>
      <c r="C1480" s="34"/>
      <c r="D1480" s="34"/>
      <c r="E1480" s="34"/>
      <c r="F1480" s="34"/>
      <c r="G1480" s="44"/>
      <c r="H1480" s="34"/>
      <c r="I1480" s="54"/>
      <c r="J1480" s="34"/>
      <c r="K1480" s="54"/>
      <c r="L1480" s="34"/>
      <c r="M1480" s="44"/>
      <c r="N1480" s="44"/>
      <c r="O1480" s="34"/>
      <c r="P1480" s="34"/>
      <c r="Q1480" s="34"/>
      <c r="R1480" s="34"/>
      <c r="V1480" s="44"/>
      <c r="X1480" s="95"/>
      <c r="Y1480" s="54"/>
      <c r="Z1480" s="54"/>
      <c r="AA1480" s="34"/>
      <c r="AB1480" s="34"/>
      <c r="AC1480" s="34"/>
      <c r="AD1480" s="34"/>
      <c r="AE1480" s="34"/>
      <c r="AF1480" s="34"/>
      <c r="AG1480" s="34"/>
      <c r="AH1480" s="34"/>
      <c r="AI1480" s="52"/>
      <c r="AJ1480" s="52"/>
      <c r="AL1480" s="34"/>
      <c r="AM1480" s="34"/>
      <c r="AN1480" s="34"/>
      <c r="AO1480" s="54"/>
      <c r="AP1480" s="34"/>
      <c r="AQ1480" s="34"/>
      <c r="AR1480" s="54"/>
      <c r="AS1480" s="54"/>
      <c r="AT1480" s="54"/>
      <c r="AU1480" s="54"/>
      <c r="AV1480" s="34"/>
      <c r="AW1480" s="34"/>
      <c r="AX1480" s="34"/>
      <c r="AY1480" s="34"/>
      <c r="AZ1480" s="34"/>
      <c r="BA1480" s="44"/>
      <c r="BB1480" s="34"/>
      <c r="BC1480" s="34"/>
    </row>
    <row r="1481" spans="1:55" x14ac:dyDescent="0.35" ht="15.0" customHeight="true">
      <c r="A1481" s="51"/>
      <c r="B1481" s="34"/>
      <c r="C1481" s="34"/>
      <c r="D1481" s="34"/>
      <c r="E1481" s="34"/>
      <c r="F1481" s="34"/>
      <c r="G1481" s="44"/>
      <c r="H1481" s="34"/>
      <c r="I1481" s="54"/>
      <c r="J1481" s="34"/>
      <c r="K1481" s="54"/>
      <c r="L1481" s="34"/>
      <c r="M1481" s="44"/>
      <c r="N1481" s="44"/>
      <c r="O1481" s="34"/>
      <c r="P1481" s="34"/>
      <c r="Q1481" s="34"/>
      <c r="R1481" s="34"/>
      <c r="V1481" s="44"/>
      <c r="X1481" s="95"/>
      <c r="Y1481" s="54"/>
      <c r="Z1481" s="54"/>
      <c r="AA1481" s="34"/>
      <c r="AB1481" s="34"/>
      <c r="AC1481" s="34"/>
      <c r="AD1481" s="34"/>
      <c r="AE1481" s="34"/>
      <c r="AF1481" s="34"/>
      <c r="AG1481" s="34"/>
      <c r="AH1481" s="34"/>
      <c r="AI1481" s="52"/>
      <c r="AJ1481" s="52"/>
      <c r="AL1481" s="34"/>
      <c r="AM1481" s="34"/>
      <c r="AN1481" s="34"/>
      <c r="AO1481" s="54"/>
      <c r="AP1481" s="34"/>
      <c r="AQ1481" s="34"/>
      <c r="AR1481" s="54"/>
      <c r="AS1481" s="54"/>
      <c r="AT1481" s="54"/>
      <c r="AU1481" s="54"/>
      <c r="AV1481" s="34"/>
      <c r="AW1481" s="34"/>
      <c r="AX1481" s="34"/>
      <c r="AY1481" s="34"/>
      <c r="AZ1481" s="34"/>
      <c r="BA1481" s="44"/>
      <c r="BB1481" s="34"/>
      <c r="BC1481" s="34"/>
    </row>
    <row r="1482" spans="1:55" x14ac:dyDescent="0.35" ht="15.0" customHeight="true">
      <c r="A1482" s="51"/>
      <c r="B1482" s="34"/>
      <c r="C1482" s="34"/>
      <c r="D1482" s="34"/>
      <c r="E1482" s="34"/>
      <c r="F1482" s="34"/>
      <c r="G1482" s="44"/>
      <c r="H1482" s="34"/>
      <c r="I1482" s="54"/>
      <c r="J1482" s="34"/>
      <c r="K1482" s="54"/>
      <c r="L1482" s="34"/>
      <c r="M1482" s="44"/>
      <c r="N1482" s="44"/>
      <c r="O1482" s="34"/>
      <c r="P1482" s="34"/>
      <c r="Q1482" s="34"/>
      <c r="R1482" s="34"/>
      <c r="V1482" s="44"/>
      <c r="X1482" s="95"/>
      <c r="Y1482" s="54"/>
      <c r="Z1482" s="54"/>
      <c r="AA1482" s="34"/>
      <c r="AB1482" s="34"/>
      <c r="AC1482" s="34"/>
      <c r="AD1482" s="34"/>
      <c r="AE1482" s="34"/>
      <c r="AF1482" s="34"/>
      <c r="AG1482" s="34"/>
      <c r="AH1482" s="34"/>
      <c r="AI1482" s="52"/>
      <c r="AJ1482" s="52"/>
      <c r="AL1482" s="34"/>
      <c r="AM1482" s="34"/>
      <c r="AN1482" s="34"/>
      <c r="AO1482" s="54"/>
      <c r="AP1482" s="34"/>
      <c r="AQ1482" s="34"/>
      <c r="AR1482" s="54"/>
      <c r="AS1482" s="54"/>
      <c r="AT1482" s="54"/>
      <c r="AU1482" s="54"/>
      <c r="AV1482" s="34"/>
      <c r="AW1482" s="34"/>
      <c r="AX1482" s="34"/>
      <c r="AY1482" s="34"/>
      <c r="AZ1482" s="34"/>
      <c r="BA1482" s="44"/>
      <c r="BB1482" s="34"/>
      <c r="BC1482" s="34"/>
    </row>
    <row r="1483" spans="1:55" x14ac:dyDescent="0.35" ht="15.0" customHeight="true">
      <c r="A1483" s="51"/>
      <c r="B1483" s="34"/>
      <c r="C1483" s="34"/>
      <c r="D1483" s="34"/>
      <c r="E1483" s="34"/>
      <c r="F1483" s="34"/>
      <c r="G1483" s="44"/>
      <c r="H1483" s="34"/>
      <c r="I1483" s="54"/>
      <c r="J1483" s="34"/>
      <c r="K1483" s="54"/>
      <c r="L1483" s="34"/>
      <c r="M1483" s="44"/>
      <c r="N1483" s="44"/>
      <c r="O1483" s="34"/>
      <c r="P1483" s="34"/>
      <c r="Q1483" s="34"/>
      <c r="R1483" s="34"/>
      <c r="V1483" s="44"/>
      <c r="X1483" s="95"/>
      <c r="Y1483" s="54"/>
      <c r="Z1483" s="54"/>
      <c r="AA1483" s="34"/>
      <c r="AB1483" s="34"/>
      <c r="AC1483" s="34"/>
      <c r="AD1483" s="34"/>
      <c r="AE1483" s="34"/>
      <c r="AF1483" s="34"/>
      <c r="AG1483" s="34"/>
      <c r="AH1483" s="34"/>
      <c r="AI1483" s="52"/>
      <c r="AJ1483" s="52"/>
      <c r="AL1483" s="34"/>
      <c r="AM1483" s="34"/>
      <c r="AN1483" s="34"/>
      <c r="AO1483" s="54"/>
      <c r="AP1483" s="34"/>
      <c r="AQ1483" s="34"/>
      <c r="AR1483" s="54"/>
      <c r="AS1483" s="54"/>
      <c r="AT1483" s="54"/>
      <c r="AU1483" s="54"/>
      <c r="AV1483" s="34"/>
      <c r="AW1483" s="34"/>
      <c r="AX1483" s="34"/>
      <c r="AY1483" s="34"/>
      <c r="AZ1483" s="34"/>
      <c r="BA1483" s="44"/>
      <c r="BB1483" s="34"/>
      <c r="BC1483" s="34"/>
    </row>
    <row r="1484" spans="1:55" x14ac:dyDescent="0.35" ht="15.0" customHeight="true">
      <c r="A1484" s="51"/>
      <c r="B1484" s="34"/>
      <c r="C1484" s="34"/>
      <c r="D1484" s="34"/>
      <c r="E1484" s="34"/>
      <c r="F1484" s="34"/>
      <c r="G1484" s="44"/>
      <c r="H1484" s="34"/>
      <c r="I1484" s="54"/>
      <c r="J1484" s="34"/>
      <c r="K1484" s="54"/>
      <c r="L1484" s="34"/>
      <c r="M1484" s="44"/>
      <c r="N1484" s="44"/>
      <c r="O1484" s="34"/>
      <c r="P1484" s="34"/>
      <c r="Q1484" s="34"/>
      <c r="R1484" s="34"/>
      <c r="V1484" s="44"/>
      <c r="X1484" s="95"/>
      <c r="Y1484" s="54"/>
      <c r="Z1484" s="54"/>
      <c r="AA1484" s="34"/>
      <c r="AB1484" s="34"/>
      <c r="AC1484" s="34"/>
      <c r="AD1484" s="34"/>
      <c r="AE1484" s="34"/>
      <c r="AF1484" s="34"/>
      <c r="AG1484" s="34"/>
      <c r="AH1484" s="34"/>
      <c r="AI1484" s="52"/>
      <c r="AJ1484" s="52"/>
      <c r="AL1484" s="34"/>
      <c r="AM1484" s="34"/>
      <c r="AN1484" s="34"/>
      <c r="AO1484" s="54"/>
      <c r="AP1484" s="34"/>
      <c r="AQ1484" s="34"/>
      <c r="AR1484" s="54"/>
      <c r="AS1484" s="54"/>
      <c r="AT1484" s="54"/>
      <c r="AU1484" s="54"/>
      <c r="AV1484" s="34"/>
      <c r="AW1484" s="34"/>
      <c r="AX1484" s="34"/>
      <c r="AY1484" s="34"/>
      <c r="AZ1484" s="34"/>
      <c r="BA1484" s="44"/>
      <c r="BB1484" s="34"/>
      <c r="BC1484" s="34"/>
    </row>
    <row r="1485" spans="1:55" x14ac:dyDescent="0.35" ht="15.0" customHeight="true">
      <c r="A1485" s="51"/>
      <c r="B1485" s="34"/>
      <c r="C1485" s="34"/>
      <c r="D1485" s="34"/>
      <c r="E1485" s="34"/>
      <c r="F1485" s="34"/>
      <c r="G1485" s="44"/>
      <c r="H1485" s="34"/>
      <c r="I1485" s="54"/>
      <c r="J1485" s="34"/>
      <c r="K1485" s="54"/>
      <c r="L1485" s="34"/>
      <c r="M1485" s="44"/>
      <c r="N1485" s="44"/>
      <c r="O1485" s="34"/>
      <c r="P1485" s="34"/>
      <c r="Q1485" s="34"/>
      <c r="R1485" s="34"/>
      <c r="V1485" s="44"/>
      <c r="X1485" s="95"/>
      <c r="Y1485" s="54"/>
      <c r="Z1485" s="54"/>
      <c r="AA1485" s="34"/>
      <c r="AB1485" s="34"/>
      <c r="AC1485" s="34"/>
      <c r="AD1485" s="34"/>
      <c r="AE1485" s="34"/>
      <c r="AF1485" s="34"/>
      <c r="AG1485" s="34"/>
      <c r="AH1485" s="34"/>
      <c r="AI1485" s="52"/>
      <c r="AJ1485" s="52"/>
      <c r="AL1485" s="34"/>
      <c r="AM1485" s="34"/>
      <c r="AN1485" s="34"/>
      <c r="AO1485" s="54"/>
      <c r="AP1485" s="34"/>
      <c r="AQ1485" s="34"/>
      <c r="AR1485" s="54"/>
      <c r="AS1485" s="54"/>
      <c r="AT1485" s="54"/>
      <c r="AU1485" s="54"/>
      <c r="AV1485" s="34"/>
      <c r="AW1485" s="34"/>
      <c r="AX1485" s="34"/>
      <c r="AY1485" s="34"/>
      <c r="AZ1485" s="34"/>
      <c r="BA1485" s="44"/>
      <c r="BB1485" s="34"/>
      <c r="BC1485" s="34"/>
    </row>
    <row r="1486" spans="1:55" x14ac:dyDescent="0.35" ht="15.0" customHeight="true">
      <c r="A1486" s="51"/>
      <c r="B1486" s="34"/>
      <c r="C1486" s="34"/>
      <c r="D1486" s="34"/>
      <c r="E1486" s="34"/>
      <c r="F1486" s="34"/>
      <c r="G1486" s="44"/>
      <c r="H1486" s="34"/>
      <c r="I1486" s="54"/>
      <c r="J1486" s="34"/>
      <c r="K1486" s="54"/>
      <c r="L1486" s="34"/>
      <c r="M1486" s="44"/>
      <c r="N1486" s="44"/>
      <c r="O1486" s="34"/>
      <c r="P1486" s="34"/>
      <c r="Q1486" s="34"/>
      <c r="R1486" s="34"/>
      <c r="V1486" s="44"/>
      <c r="X1486" s="95"/>
      <c r="Y1486" s="54"/>
      <c r="Z1486" s="54"/>
      <c r="AA1486" s="34"/>
      <c r="AB1486" s="34"/>
      <c r="AC1486" s="34"/>
      <c r="AD1486" s="34"/>
      <c r="AE1486" s="34"/>
      <c r="AF1486" s="34"/>
      <c r="AG1486" s="34"/>
      <c r="AH1486" s="34"/>
      <c r="AI1486" s="52"/>
      <c r="AJ1486" s="52"/>
      <c r="AL1486" s="34"/>
      <c r="AM1486" s="34"/>
      <c r="AN1486" s="34"/>
      <c r="AO1486" s="54"/>
      <c r="AP1486" s="34"/>
      <c r="AQ1486" s="34"/>
      <c r="AR1486" s="54"/>
      <c r="AS1486" s="54"/>
      <c r="AT1486" s="54"/>
      <c r="AU1486" s="54"/>
      <c r="AV1486" s="34"/>
      <c r="AW1486" s="34"/>
      <c r="AX1486" s="34"/>
      <c r="AY1486" s="34"/>
      <c r="AZ1486" s="34"/>
      <c r="BA1486" s="44"/>
      <c r="BB1486" s="34"/>
      <c r="BC1486" s="34"/>
    </row>
    <row r="1487" spans="1:55" x14ac:dyDescent="0.35" ht="15.0" customHeight="true">
      <c r="A1487" s="51"/>
      <c r="B1487" s="34"/>
      <c r="C1487" s="34"/>
      <c r="D1487" s="34"/>
      <c r="E1487" s="34"/>
      <c r="F1487" s="34"/>
      <c r="G1487" s="44"/>
      <c r="H1487" s="34"/>
      <c r="I1487" s="54"/>
      <c r="J1487" s="34"/>
      <c r="K1487" s="54"/>
      <c r="L1487" s="34"/>
      <c r="M1487" s="44"/>
      <c r="N1487" s="44"/>
      <c r="O1487" s="34"/>
      <c r="P1487" s="34"/>
      <c r="Q1487" s="34"/>
      <c r="R1487" s="34"/>
      <c r="V1487" s="44"/>
      <c r="X1487" s="95"/>
      <c r="Y1487" s="54"/>
      <c r="Z1487" s="54"/>
      <c r="AA1487" s="34"/>
      <c r="AB1487" s="34"/>
      <c r="AC1487" s="34"/>
      <c r="AD1487" s="34"/>
      <c r="AE1487" s="34"/>
      <c r="AF1487" s="34"/>
      <c r="AG1487" s="34"/>
      <c r="AH1487" s="34"/>
      <c r="AI1487" s="52"/>
      <c r="AJ1487" s="52"/>
      <c r="AL1487" s="34"/>
      <c r="AM1487" s="34"/>
      <c r="AN1487" s="34"/>
      <c r="AO1487" s="54"/>
      <c r="AP1487" s="34"/>
      <c r="AQ1487" s="34"/>
      <c r="AR1487" s="54"/>
      <c r="AS1487" s="54"/>
      <c r="AT1487" s="54"/>
      <c r="AU1487" s="54"/>
      <c r="AV1487" s="34"/>
      <c r="AW1487" s="34"/>
      <c r="AX1487" s="34"/>
      <c r="AY1487" s="34"/>
      <c r="AZ1487" s="34"/>
      <c r="BA1487" s="44"/>
      <c r="BB1487" s="34"/>
      <c r="BC1487" s="34"/>
    </row>
    <row r="1488" spans="1:55" x14ac:dyDescent="0.35" ht="15.0" customHeight="true">
      <c r="A1488" s="51"/>
      <c r="B1488" s="34"/>
      <c r="C1488" s="34"/>
      <c r="D1488" s="34"/>
      <c r="E1488" s="34"/>
      <c r="F1488" s="34"/>
      <c r="G1488" s="44"/>
      <c r="H1488" s="34"/>
      <c r="I1488" s="54"/>
      <c r="J1488" s="34"/>
      <c r="K1488" s="54"/>
      <c r="L1488" s="34"/>
      <c r="M1488" s="44"/>
      <c r="N1488" s="44"/>
      <c r="O1488" s="34"/>
      <c r="P1488" s="34"/>
      <c r="Q1488" s="34"/>
      <c r="R1488" s="34"/>
      <c r="V1488" s="44"/>
      <c r="X1488" s="95"/>
      <c r="Y1488" s="54"/>
      <c r="Z1488" s="54"/>
      <c r="AA1488" s="34"/>
      <c r="AB1488" s="34"/>
      <c r="AC1488" s="34"/>
      <c r="AD1488" s="34"/>
      <c r="AE1488" s="34"/>
      <c r="AF1488" s="34"/>
      <c r="AG1488" s="34"/>
      <c r="AH1488" s="34"/>
      <c r="AI1488" s="52"/>
      <c r="AJ1488" s="52"/>
      <c r="AL1488" s="34"/>
      <c r="AM1488" s="34"/>
      <c r="AN1488" s="34"/>
      <c r="AO1488" s="54"/>
      <c r="AP1488" s="34"/>
      <c r="AQ1488" s="34"/>
      <c r="AR1488" s="54"/>
      <c r="AS1488" s="54"/>
      <c r="AT1488" s="54"/>
      <c r="AU1488" s="54"/>
      <c r="AV1488" s="34"/>
      <c r="AW1488" s="34"/>
      <c r="AX1488" s="34"/>
      <c r="AY1488" s="34"/>
      <c r="AZ1488" s="34"/>
      <c r="BA1488" s="44"/>
      <c r="BB1488" s="34"/>
      <c r="BC1488" s="34"/>
    </row>
    <row r="1489" spans="1:55" x14ac:dyDescent="0.35" ht="15.0" customHeight="true">
      <c r="A1489" s="51"/>
      <c r="B1489" s="34"/>
      <c r="C1489" s="34"/>
      <c r="D1489" s="34"/>
      <c r="E1489" s="34"/>
      <c r="F1489" s="34"/>
      <c r="G1489" s="44"/>
      <c r="H1489" s="34"/>
      <c r="I1489" s="54"/>
      <c r="J1489" s="34"/>
      <c r="K1489" s="54"/>
      <c r="L1489" s="34"/>
      <c r="M1489" s="44"/>
      <c r="N1489" s="44"/>
      <c r="O1489" s="34"/>
      <c r="P1489" s="34"/>
      <c r="Q1489" s="34"/>
      <c r="R1489" s="34"/>
      <c r="V1489" s="44"/>
      <c r="X1489" s="95"/>
      <c r="Y1489" s="54"/>
      <c r="Z1489" s="54"/>
      <c r="AA1489" s="34"/>
      <c r="AB1489" s="34"/>
      <c r="AC1489" s="34"/>
      <c r="AD1489" s="34"/>
      <c r="AE1489" s="34"/>
      <c r="AF1489" s="34"/>
      <c r="AG1489" s="34"/>
      <c r="AH1489" s="34"/>
      <c r="AI1489" s="52"/>
      <c r="AJ1489" s="52"/>
      <c r="AL1489" s="34"/>
      <c r="AM1489" s="34"/>
      <c r="AN1489" s="34"/>
      <c r="AO1489" s="54"/>
      <c r="AP1489" s="34"/>
      <c r="AQ1489" s="34"/>
      <c r="AR1489" s="54"/>
      <c r="AS1489" s="54"/>
      <c r="AT1489" s="54"/>
      <c r="AU1489" s="54"/>
      <c r="AV1489" s="34"/>
      <c r="AW1489" s="34"/>
      <c r="AX1489" s="34"/>
      <c r="AY1489" s="34"/>
      <c r="AZ1489" s="34"/>
      <c r="BA1489" s="44"/>
      <c r="BB1489" s="34"/>
      <c r="BC1489" s="34"/>
    </row>
    <row r="1490" spans="1:55" x14ac:dyDescent="0.35" ht="15.0" customHeight="true">
      <c r="A1490" s="51"/>
      <c r="B1490" s="34"/>
      <c r="C1490" s="34"/>
      <c r="D1490" s="34"/>
      <c r="E1490" s="34"/>
      <c r="F1490" s="34"/>
      <c r="G1490" s="44"/>
      <c r="H1490" s="34"/>
      <c r="I1490" s="54"/>
      <c r="J1490" s="34"/>
      <c r="K1490" s="54"/>
      <c r="L1490" s="34"/>
      <c r="M1490" s="44"/>
      <c r="N1490" s="44"/>
      <c r="O1490" s="34"/>
      <c r="P1490" s="34"/>
      <c r="Q1490" s="34"/>
      <c r="R1490" s="34"/>
      <c r="V1490" s="44"/>
      <c r="X1490" s="95"/>
      <c r="Y1490" s="54"/>
      <c r="Z1490" s="54"/>
      <c r="AA1490" s="34"/>
      <c r="AB1490" s="34"/>
      <c r="AC1490" s="34"/>
      <c r="AD1490" s="34"/>
      <c r="AE1490" s="34"/>
      <c r="AF1490" s="34"/>
      <c r="AG1490" s="34"/>
      <c r="AH1490" s="34"/>
      <c r="AI1490" s="52"/>
      <c r="AJ1490" s="52"/>
      <c r="AL1490" s="34"/>
      <c r="AM1490" s="34"/>
      <c r="AN1490" s="34"/>
      <c r="AO1490" s="54"/>
      <c r="AP1490" s="34"/>
      <c r="AQ1490" s="34"/>
      <c r="AR1490" s="54"/>
      <c r="AS1490" s="54"/>
      <c r="AT1490" s="54"/>
      <c r="AU1490" s="54"/>
      <c r="AV1490" s="34"/>
      <c r="AW1490" s="34"/>
      <c r="AX1490" s="34"/>
      <c r="AY1490" s="34"/>
      <c r="AZ1490" s="34"/>
      <c r="BA1490" s="44"/>
      <c r="BB1490" s="34"/>
      <c r="BC1490" s="34"/>
    </row>
    <row r="1491" spans="1:55" x14ac:dyDescent="0.35" ht="15.0" customHeight="true">
      <c r="A1491" s="51"/>
      <c r="B1491" s="34"/>
      <c r="C1491" s="34"/>
      <c r="D1491" s="34"/>
      <c r="E1491" s="34"/>
      <c r="F1491" s="34"/>
      <c r="G1491" s="44"/>
      <c r="H1491" s="34"/>
      <c r="I1491" s="54"/>
      <c r="J1491" s="34"/>
      <c r="K1491" s="54"/>
      <c r="L1491" s="34"/>
      <c r="M1491" s="44"/>
      <c r="N1491" s="44"/>
      <c r="O1491" s="34"/>
      <c r="P1491" s="34"/>
      <c r="Q1491" s="34"/>
      <c r="R1491" s="34"/>
      <c r="V1491" s="44"/>
      <c r="X1491" s="95"/>
      <c r="Y1491" s="54"/>
      <c r="Z1491" s="54"/>
      <c r="AA1491" s="34"/>
      <c r="AB1491" s="34"/>
      <c r="AC1491" s="34"/>
      <c r="AD1491" s="34"/>
      <c r="AE1491" s="34"/>
      <c r="AF1491" s="34"/>
      <c r="AG1491" s="34"/>
      <c r="AH1491" s="34"/>
      <c r="AI1491" s="52"/>
      <c r="AJ1491" s="52"/>
      <c r="AL1491" s="34"/>
      <c r="AM1491" s="34"/>
      <c r="AN1491" s="34"/>
      <c r="AO1491" s="54"/>
      <c r="AP1491" s="34"/>
      <c r="AQ1491" s="34"/>
      <c r="AR1491" s="54"/>
      <c r="AS1491" s="54"/>
      <c r="AT1491" s="54"/>
      <c r="AU1491" s="54"/>
      <c r="AV1491" s="34"/>
      <c r="AW1491" s="34"/>
      <c r="AX1491" s="34"/>
      <c r="AY1491" s="34"/>
      <c r="AZ1491" s="34"/>
      <c r="BA1491" s="44"/>
      <c r="BB1491" s="34"/>
      <c r="BC1491" s="34"/>
    </row>
    <row r="1492" spans="1:55" x14ac:dyDescent="0.35" ht="15.0" customHeight="true">
      <c r="A1492" s="51"/>
      <c r="B1492" s="34"/>
      <c r="C1492" s="34"/>
      <c r="D1492" s="34"/>
      <c r="E1492" s="34"/>
      <c r="F1492" s="34"/>
      <c r="G1492" s="44"/>
      <c r="H1492" s="34"/>
      <c r="I1492" s="54"/>
      <c r="J1492" s="34"/>
      <c r="K1492" s="54"/>
      <c r="L1492" s="34"/>
      <c r="M1492" s="44"/>
      <c r="N1492" s="44"/>
      <c r="O1492" s="34"/>
      <c r="P1492" s="34"/>
      <c r="Q1492" s="34"/>
      <c r="R1492" s="34"/>
      <c r="V1492" s="44"/>
      <c r="X1492" s="95"/>
      <c r="Y1492" s="54"/>
      <c r="Z1492" s="54"/>
      <c r="AA1492" s="34"/>
      <c r="AB1492" s="34"/>
      <c r="AC1492" s="34"/>
      <c r="AD1492" s="34"/>
      <c r="AE1492" s="34"/>
      <c r="AF1492" s="34"/>
      <c r="AG1492" s="34"/>
      <c r="AH1492" s="34"/>
      <c r="AI1492" s="52"/>
      <c r="AJ1492" s="52"/>
      <c r="AL1492" s="34"/>
      <c r="AM1492" s="34"/>
      <c r="AN1492" s="34"/>
      <c r="AO1492" s="54"/>
      <c r="AP1492" s="34"/>
      <c r="AQ1492" s="34"/>
      <c r="AR1492" s="54"/>
      <c r="AS1492" s="54"/>
      <c r="AT1492" s="54"/>
      <c r="AU1492" s="54"/>
      <c r="AV1492" s="34"/>
      <c r="AW1492" s="34"/>
      <c r="AX1492" s="34"/>
      <c r="AY1492" s="34"/>
      <c r="AZ1492" s="34"/>
      <c r="BA1492" s="44"/>
      <c r="BB1492" s="34"/>
      <c r="BC1492" s="34"/>
    </row>
    <row r="1493" spans="1:55" x14ac:dyDescent="0.35" ht="15.0" customHeight="true">
      <c r="A1493" s="51"/>
      <c r="B1493" s="34"/>
      <c r="C1493" s="34"/>
      <c r="D1493" s="34"/>
      <c r="E1493" s="34"/>
      <c r="F1493" s="34"/>
      <c r="G1493" s="44"/>
      <c r="H1493" s="34"/>
      <c r="I1493" s="54"/>
      <c r="J1493" s="34"/>
      <c r="K1493" s="54"/>
      <c r="L1493" s="34"/>
      <c r="M1493" s="44"/>
      <c r="N1493" s="44"/>
      <c r="O1493" s="34"/>
      <c r="P1493" s="34"/>
      <c r="Q1493" s="34"/>
      <c r="R1493" s="34"/>
      <c r="V1493" s="44"/>
      <c r="X1493" s="95"/>
      <c r="Y1493" s="54"/>
      <c r="Z1493" s="54"/>
      <c r="AA1493" s="34"/>
      <c r="AB1493" s="34"/>
      <c r="AC1493" s="34"/>
      <c r="AD1493" s="34"/>
      <c r="AE1493" s="34"/>
      <c r="AF1493" s="34"/>
      <c r="AG1493" s="34"/>
      <c r="AH1493" s="34"/>
      <c r="AI1493" s="52"/>
      <c r="AJ1493" s="52"/>
      <c r="AL1493" s="34"/>
      <c r="AM1493" s="34"/>
      <c r="AN1493" s="34"/>
      <c r="AO1493" s="54"/>
      <c r="AP1493" s="34"/>
      <c r="AQ1493" s="34"/>
      <c r="AR1493" s="54"/>
      <c r="AS1493" s="54"/>
      <c r="AT1493" s="54"/>
      <c r="AU1493" s="54"/>
      <c r="AV1493" s="34"/>
      <c r="AW1493" s="34"/>
      <c r="AX1493" s="34"/>
      <c r="AY1493" s="34"/>
      <c r="AZ1493" s="34"/>
      <c r="BA1493" s="44"/>
      <c r="BB1493" s="34"/>
      <c r="BC1493" s="34"/>
    </row>
    <row r="1494" spans="1:55" x14ac:dyDescent="0.35" ht="15.0" customHeight="true">
      <c r="A1494" s="51"/>
      <c r="B1494" s="34"/>
      <c r="C1494" s="34"/>
      <c r="D1494" s="34"/>
      <c r="E1494" s="34"/>
      <c r="F1494" s="34"/>
      <c r="G1494" s="44"/>
      <c r="H1494" s="34"/>
      <c r="I1494" s="54"/>
      <c r="J1494" s="34"/>
      <c r="K1494" s="54"/>
      <c r="L1494" s="34"/>
      <c r="M1494" s="44"/>
      <c r="N1494" s="44"/>
      <c r="O1494" s="34"/>
      <c r="P1494" s="34"/>
      <c r="Q1494" s="34"/>
      <c r="R1494" s="34"/>
      <c r="V1494" s="44"/>
      <c r="X1494" s="95"/>
      <c r="Y1494" s="54"/>
      <c r="Z1494" s="54"/>
      <c r="AA1494" s="34"/>
      <c r="AB1494" s="34"/>
      <c r="AC1494" s="34"/>
      <c r="AD1494" s="34"/>
      <c r="AE1494" s="34"/>
      <c r="AF1494" s="34"/>
      <c r="AG1494" s="34"/>
      <c r="AH1494" s="34"/>
      <c r="AI1494" s="52"/>
      <c r="AJ1494" s="52"/>
      <c r="AL1494" s="34"/>
      <c r="AM1494" s="34"/>
      <c r="AN1494" s="34"/>
      <c r="AO1494" s="54"/>
      <c r="AP1494" s="34"/>
      <c r="AQ1494" s="34"/>
      <c r="AR1494" s="54"/>
      <c r="AS1494" s="54"/>
      <c r="AT1494" s="54"/>
      <c r="AU1494" s="54"/>
      <c r="AV1494" s="34"/>
      <c r="AW1494" s="34"/>
      <c r="AX1494" s="34"/>
      <c r="AY1494" s="34"/>
      <c r="AZ1494" s="34"/>
      <c r="BA1494" s="44"/>
      <c r="BB1494" s="34"/>
      <c r="BC1494" s="34"/>
    </row>
    <row r="1495" spans="1:55" x14ac:dyDescent="0.35" ht="15.0" customHeight="true">
      <c r="A1495" s="51"/>
      <c r="B1495" s="34"/>
      <c r="C1495" s="34"/>
      <c r="D1495" s="34"/>
      <c r="E1495" s="34"/>
      <c r="F1495" s="34"/>
      <c r="G1495" s="44"/>
      <c r="H1495" s="34"/>
      <c r="I1495" s="54"/>
      <c r="J1495" s="34"/>
      <c r="K1495" s="54"/>
      <c r="L1495" s="34"/>
      <c r="M1495" s="44"/>
      <c r="N1495" s="44"/>
      <c r="O1495" s="34"/>
      <c r="P1495" s="34"/>
      <c r="Q1495" s="34"/>
      <c r="R1495" s="34"/>
      <c r="V1495" s="44"/>
      <c r="X1495" s="95"/>
      <c r="Y1495" s="54"/>
      <c r="Z1495" s="54"/>
      <c r="AA1495" s="34"/>
      <c r="AB1495" s="34"/>
      <c r="AC1495" s="34"/>
      <c r="AD1495" s="34"/>
      <c r="AE1495" s="34"/>
      <c r="AF1495" s="34"/>
      <c r="AG1495" s="34"/>
      <c r="AH1495" s="34"/>
      <c r="AI1495" s="52"/>
      <c r="AJ1495" s="52"/>
      <c r="AL1495" s="34"/>
      <c r="AM1495" s="34"/>
      <c r="AN1495" s="34"/>
      <c r="AO1495" s="54"/>
      <c r="AP1495" s="34"/>
      <c r="AQ1495" s="34"/>
      <c r="AR1495" s="54"/>
      <c r="AS1495" s="54"/>
      <c r="AT1495" s="54"/>
      <c r="AU1495" s="54"/>
      <c r="AV1495" s="34"/>
      <c r="AW1495" s="34"/>
      <c r="AX1495" s="34"/>
      <c r="AY1495" s="34"/>
      <c r="AZ1495" s="34"/>
      <c r="BA1495" s="44"/>
      <c r="BB1495" s="34"/>
      <c r="BC1495" s="34"/>
    </row>
    <row r="1496" spans="1:55" x14ac:dyDescent="0.35" ht="15.0" customHeight="true">
      <c r="A1496" s="51"/>
      <c r="B1496" s="34"/>
      <c r="C1496" s="34"/>
      <c r="D1496" s="34"/>
      <c r="E1496" s="34"/>
      <c r="F1496" s="34"/>
      <c r="G1496" s="44"/>
      <c r="H1496" s="34"/>
      <c r="I1496" s="54"/>
      <c r="J1496" s="34"/>
      <c r="K1496" s="54"/>
      <c r="L1496" s="34"/>
      <c r="M1496" s="44"/>
      <c r="N1496" s="44"/>
      <c r="O1496" s="34"/>
      <c r="P1496" s="34"/>
      <c r="Q1496" s="34"/>
      <c r="R1496" s="34"/>
      <c r="V1496" s="44"/>
      <c r="X1496" s="95"/>
      <c r="Y1496" s="54"/>
      <c r="Z1496" s="54"/>
      <c r="AA1496" s="34"/>
      <c r="AB1496" s="34"/>
      <c r="AC1496" s="34"/>
      <c r="AD1496" s="34"/>
      <c r="AE1496" s="34"/>
      <c r="AF1496" s="34"/>
      <c r="AG1496" s="34"/>
      <c r="AH1496" s="34"/>
      <c r="AI1496" s="52"/>
      <c r="AJ1496" s="52"/>
      <c r="AL1496" s="34"/>
      <c r="AM1496" s="34"/>
      <c r="AN1496" s="34"/>
      <c r="AO1496" s="54"/>
      <c r="AP1496" s="34"/>
      <c r="AQ1496" s="34"/>
      <c r="AR1496" s="54"/>
      <c r="AS1496" s="54"/>
      <c r="AT1496" s="54"/>
      <c r="AU1496" s="54"/>
      <c r="AV1496" s="34"/>
      <c r="AW1496" s="34"/>
      <c r="AX1496" s="34"/>
      <c r="AY1496" s="34"/>
      <c r="AZ1496" s="34"/>
      <c r="BA1496" s="44"/>
      <c r="BB1496" s="34"/>
      <c r="BC1496" s="34"/>
    </row>
    <row r="1497" spans="1:55" x14ac:dyDescent="0.35" ht="15.0" customHeight="true">
      <c r="A1497" s="51"/>
      <c r="B1497" s="34"/>
      <c r="C1497" s="34"/>
      <c r="D1497" s="34"/>
      <c r="E1497" s="34"/>
      <c r="F1497" s="34"/>
      <c r="G1497" s="44"/>
      <c r="H1497" s="34"/>
      <c r="I1497" s="54"/>
      <c r="J1497" s="34"/>
      <c r="K1497" s="54"/>
      <c r="L1497" s="34"/>
      <c r="M1497" s="44"/>
      <c r="N1497" s="44"/>
      <c r="O1497" s="34"/>
      <c r="P1497" s="34"/>
      <c r="Q1497" s="34"/>
      <c r="R1497" s="34"/>
      <c r="V1497" s="44"/>
      <c r="X1497" s="95"/>
      <c r="Y1497" s="54"/>
      <c r="Z1497" s="54"/>
      <c r="AA1497" s="34"/>
      <c r="AB1497" s="34"/>
      <c r="AC1497" s="34"/>
      <c r="AD1497" s="34"/>
      <c r="AE1497" s="34"/>
      <c r="AF1497" s="34"/>
      <c r="AG1497" s="34"/>
      <c r="AH1497" s="34"/>
      <c r="AI1497" s="52"/>
      <c r="AJ1497" s="52"/>
      <c r="AL1497" s="34"/>
      <c r="AM1497" s="34"/>
      <c r="AN1497" s="34"/>
      <c r="AO1497" s="54"/>
      <c r="AP1497" s="34"/>
      <c r="AQ1497" s="34"/>
      <c r="AR1497" s="54"/>
      <c r="AS1497" s="54"/>
      <c r="AT1497" s="54"/>
      <c r="AU1497" s="54"/>
      <c r="AV1497" s="34"/>
      <c r="AW1497" s="34"/>
      <c r="AX1497" s="34"/>
      <c r="AY1497" s="34"/>
      <c r="AZ1497" s="34"/>
      <c r="BA1497" s="44"/>
      <c r="BB1497" s="34"/>
      <c r="BC1497" s="34"/>
    </row>
    <row r="1498" spans="1:55" x14ac:dyDescent="0.35" ht="15.0" customHeight="true">
      <c r="A1498" s="51"/>
      <c r="B1498" s="34"/>
      <c r="C1498" s="34"/>
      <c r="D1498" s="34"/>
      <c r="E1498" s="34"/>
      <c r="F1498" s="34"/>
      <c r="G1498" s="44"/>
      <c r="H1498" s="34"/>
      <c r="I1498" s="54"/>
      <c r="J1498" s="34"/>
      <c r="K1498" s="54"/>
      <c r="L1498" s="34"/>
      <c r="M1498" s="44"/>
      <c r="N1498" s="44"/>
      <c r="O1498" s="34"/>
      <c r="P1498" s="34"/>
      <c r="Q1498" s="34"/>
      <c r="R1498" s="34"/>
      <c r="V1498" s="44"/>
      <c r="X1498" s="95"/>
      <c r="Y1498" s="54"/>
      <c r="Z1498" s="54"/>
      <c r="AA1498" s="34"/>
      <c r="AB1498" s="34"/>
      <c r="AC1498" s="34"/>
      <c r="AD1498" s="34"/>
      <c r="AE1498" s="34"/>
      <c r="AF1498" s="34"/>
      <c r="AG1498" s="34"/>
      <c r="AH1498" s="34"/>
      <c r="AI1498" s="52"/>
      <c r="AJ1498" s="52"/>
      <c r="AL1498" s="34"/>
      <c r="AM1498" s="34"/>
      <c r="AN1498" s="34"/>
      <c r="AO1498" s="54"/>
      <c r="AP1498" s="34"/>
      <c r="AQ1498" s="34"/>
      <c r="AR1498" s="54"/>
      <c r="AS1498" s="54"/>
      <c r="AT1498" s="54"/>
      <c r="AU1498" s="54"/>
      <c r="AV1498" s="34"/>
      <c r="AW1498" s="34"/>
      <c r="AX1498" s="34"/>
      <c r="AY1498" s="34"/>
      <c r="AZ1498" s="34"/>
      <c r="BA1498" s="44"/>
      <c r="BB1498" s="34"/>
      <c r="BC1498" s="34"/>
    </row>
    <row r="1499" spans="1:55" x14ac:dyDescent="0.35" ht="15.0" customHeight="true">
      <c r="A1499" s="51"/>
      <c r="B1499" s="34"/>
      <c r="C1499" s="34"/>
      <c r="D1499" s="34"/>
      <c r="E1499" s="34"/>
      <c r="F1499" s="34"/>
      <c r="G1499" s="44"/>
      <c r="H1499" s="34"/>
      <c r="I1499" s="54"/>
      <c r="J1499" s="34"/>
      <c r="K1499" s="54"/>
      <c r="L1499" s="34"/>
      <c r="M1499" s="44"/>
      <c r="N1499" s="44"/>
      <c r="O1499" s="34"/>
      <c r="P1499" s="34"/>
      <c r="Q1499" s="34"/>
      <c r="R1499" s="34"/>
      <c r="V1499" s="44"/>
      <c r="X1499" s="95"/>
      <c r="Y1499" s="54"/>
      <c r="Z1499" s="54"/>
      <c r="AA1499" s="34"/>
      <c r="AB1499" s="34"/>
      <c r="AC1499" s="34"/>
      <c r="AD1499" s="34"/>
      <c r="AE1499" s="34"/>
      <c r="AF1499" s="34"/>
      <c r="AG1499" s="34"/>
      <c r="AH1499" s="34"/>
      <c r="AI1499" s="52"/>
      <c r="AJ1499" s="52"/>
      <c r="AL1499" s="34"/>
      <c r="AM1499" s="34"/>
      <c r="AN1499" s="34"/>
      <c r="AO1499" s="54"/>
      <c r="AP1499" s="34"/>
      <c r="AQ1499" s="34"/>
      <c r="AR1499" s="54"/>
      <c r="AS1499" s="54"/>
      <c r="AT1499" s="54"/>
      <c r="AU1499" s="54"/>
      <c r="AV1499" s="34"/>
      <c r="AW1499" s="34"/>
      <c r="AX1499" s="34"/>
      <c r="AY1499" s="34"/>
      <c r="AZ1499" s="34"/>
      <c r="BA1499" s="44"/>
      <c r="BB1499" s="34"/>
      <c r="BC1499" s="34"/>
    </row>
    <row r="1500" spans="1:55" x14ac:dyDescent="0.35" ht="15.0" customHeight="true">
      <c r="A1500" s="51"/>
      <c r="B1500" s="34"/>
      <c r="C1500" s="34"/>
      <c r="D1500" s="34"/>
      <c r="E1500" s="34"/>
      <c r="F1500" s="34"/>
      <c r="G1500" s="44"/>
      <c r="H1500" s="34"/>
      <c r="I1500" s="54"/>
      <c r="J1500" s="34"/>
      <c r="K1500" s="54"/>
      <c r="L1500" s="34"/>
      <c r="M1500" s="44"/>
      <c r="N1500" s="44"/>
      <c r="O1500" s="34"/>
      <c r="P1500" s="34"/>
      <c r="Q1500" s="34"/>
      <c r="R1500" s="34"/>
      <c r="V1500" s="44"/>
      <c r="X1500" s="95"/>
      <c r="Y1500" s="54"/>
      <c r="Z1500" s="54"/>
      <c r="AA1500" s="34"/>
      <c r="AB1500" s="34"/>
      <c r="AC1500" s="34"/>
      <c r="AD1500" s="34"/>
      <c r="AE1500" s="34"/>
      <c r="AF1500" s="34"/>
      <c r="AG1500" s="34"/>
      <c r="AH1500" s="34"/>
      <c r="AI1500" s="52"/>
      <c r="AJ1500" s="52"/>
      <c r="AL1500" s="34"/>
      <c r="AM1500" s="34"/>
      <c r="AN1500" s="34"/>
      <c r="AO1500" s="54"/>
      <c r="AP1500" s="34"/>
      <c r="AQ1500" s="34"/>
      <c r="AR1500" s="54"/>
      <c r="AS1500" s="54"/>
      <c r="AT1500" s="54"/>
      <c r="AU1500" s="54"/>
      <c r="AV1500" s="34"/>
      <c r="AW1500" s="34"/>
      <c r="AX1500" s="34"/>
      <c r="AY1500" s="34"/>
      <c r="AZ1500" s="34"/>
      <c r="BA1500" s="44"/>
      <c r="BB1500" s="34"/>
      <c r="BC1500" s="34"/>
    </row>
    <row r="1501" spans="1:55" x14ac:dyDescent="0.35" ht="15.0" customHeight="true">
      <c r="A1501" s="51"/>
      <c r="B1501" s="34"/>
      <c r="C1501" s="34"/>
      <c r="D1501" s="34"/>
      <c r="E1501" s="34"/>
      <c r="F1501" s="34"/>
      <c r="G1501" s="44"/>
      <c r="H1501" s="34"/>
      <c r="I1501" s="54"/>
      <c r="J1501" s="34"/>
      <c r="K1501" s="54"/>
      <c r="L1501" s="34"/>
      <c r="M1501" s="44"/>
      <c r="N1501" s="44"/>
      <c r="O1501" s="34"/>
      <c r="P1501" s="34"/>
      <c r="Q1501" s="34"/>
      <c r="R1501" s="34"/>
      <c r="V1501" s="44"/>
      <c r="X1501" s="95"/>
      <c r="Y1501" s="54"/>
      <c r="Z1501" s="54"/>
      <c r="AA1501" s="34"/>
      <c r="AB1501" s="34"/>
      <c r="AC1501" s="34"/>
      <c r="AD1501" s="34"/>
      <c r="AE1501" s="34"/>
      <c r="AF1501" s="34"/>
      <c r="AG1501" s="34"/>
      <c r="AH1501" s="34"/>
      <c r="AI1501" s="52"/>
      <c r="AJ1501" s="52"/>
      <c r="AL1501" s="34"/>
      <c r="AM1501" s="34"/>
      <c r="AN1501" s="34"/>
      <c r="AO1501" s="54"/>
      <c r="AP1501" s="34"/>
      <c r="AQ1501" s="34"/>
      <c r="AR1501" s="54"/>
      <c r="AS1501" s="54"/>
      <c r="AT1501" s="54"/>
      <c r="AU1501" s="54"/>
      <c r="AV1501" s="34"/>
      <c r="AW1501" s="34"/>
      <c r="AX1501" s="34"/>
      <c r="AY1501" s="34"/>
      <c r="AZ1501" s="34"/>
      <c r="BA1501" s="44"/>
      <c r="BB1501" s="34"/>
      <c r="BC1501" s="34"/>
    </row>
    <row r="1502" spans="1:55" x14ac:dyDescent="0.35" ht="15.0" customHeight="true">
      <c r="A1502" s="51"/>
      <c r="B1502" s="34"/>
      <c r="C1502" s="34"/>
      <c r="D1502" s="34"/>
      <c r="E1502" s="34"/>
      <c r="F1502" s="34"/>
      <c r="G1502" s="44"/>
      <c r="H1502" s="34"/>
      <c r="I1502" s="54"/>
      <c r="J1502" s="34"/>
      <c r="K1502" s="54"/>
      <c r="L1502" s="34"/>
      <c r="M1502" s="44"/>
      <c r="N1502" s="44"/>
      <c r="O1502" s="34"/>
      <c r="P1502" s="34"/>
      <c r="Q1502" s="34"/>
      <c r="R1502" s="34"/>
      <c r="V1502" s="44"/>
      <c r="X1502" s="95"/>
      <c r="Y1502" s="54"/>
      <c r="Z1502" s="54"/>
      <c r="AA1502" s="34"/>
      <c r="AB1502" s="34"/>
      <c r="AC1502" s="34"/>
      <c r="AD1502" s="34"/>
      <c r="AE1502" s="34"/>
      <c r="AF1502" s="34"/>
      <c r="AG1502" s="34"/>
      <c r="AH1502" s="34"/>
      <c r="AI1502" s="52"/>
      <c r="AJ1502" s="52"/>
      <c r="AL1502" s="34"/>
      <c r="AM1502" s="34"/>
      <c r="AN1502" s="34"/>
      <c r="AO1502" s="54"/>
      <c r="AP1502" s="34"/>
      <c r="AQ1502" s="34"/>
      <c r="AR1502" s="54"/>
      <c r="AS1502" s="54"/>
      <c r="AT1502" s="54"/>
      <c r="AU1502" s="54"/>
      <c r="AV1502" s="34"/>
      <c r="AW1502" s="34"/>
      <c r="AX1502" s="34"/>
      <c r="AY1502" s="34"/>
      <c r="AZ1502" s="34"/>
      <c r="BA1502" s="44"/>
      <c r="BB1502" s="34"/>
      <c r="BC1502" s="34"/>
    </row>
    <row r="1503" spans="1:55" x14ac:dyDescent="0.35" ht="15.0" customHeight="true">
      <c r="A1503" s="51"/>
      <c r="B1503" s="34"/>
      <c r="C1503" s="34"/>
      <c r="D1503" s="34"/>
      <c r="E1503" s="34"/>
      <c r="F1503" s="34"/>
      <c r="G1503" s="44"/>
      <c r="H1503" s="34"/>
      <c r="I1503" s="54"/>
      <c r="J1503" s="34"/>
      <c r="K1503" s="54"/>
      <c r="L1503" s="34"/>
      <c r="M1503" s="44"/>
      <c r="N1503" s="44"/>
      <c r="O1503" s="34"/>
      <c r="P1503" s="34"/>
      <c r="Q1503" s="34"/>
      <c r="R1503" s="34"/>
      <c r="V1503" s="44"/>
      <c r="X1503" s="95"/>
      <c r="Y1503" s="54"/>
      <c r="Z1503" s="54"/>
      <c r="AA1503" s="34"/>
      <c r="AB1503" s="34"/>
      <c r="AC1503" s="34"/>
      <c r="AD1503" s="34"/>
      <c r="AE1503" s="34"/>
      <c r="AF1503" s="34"/>
      <c r="AG1503" s="34"/>
      <c r="AH1503" s="34"/>
      <c r="AI1503" s="52"/>
      <c r="AJ1503" s="52"/>
      <c r="AL1503" s="34"/>
      <c r="AM1503" s="34"/>
      <c r="AN1503" s="34"/>
      <c r="AO1503" s="54"/>
      <c r="AP1503" s="34"/>
      <c r="AQ1503" s="34"/>
      <c r="AR1503" s="54"/>
      <c r="AS1503" s="54"/>
      <c r="AT1503" s="54"/>
      <c r="AU1503" s="54"/>
      <c r="AV1503" s="34"/>
      <c r="AW1503" s="34"/>
      <c r="AX1503" s="34"/>
      <c r="AY1503" s="34"/>
      <c r="AZ1503" s="34"/>
      <c r="BA1503" s="44"/>
      <c r="BB1503" s="34"/>
      <c r="BC1503" s="34"/>
    </row>
    <row r="1504" spans="1:55" x14ac:dyDescent="0.35" ht="15.0" customHeight="true">
      <c r="A1504" s="51"/>
      <c r="B1504" s="34"/>
      <c r="C1504" s="34"/>
      <c r="D1504" s="34"/>
      <c r="E1504" s="34"/>
      <c r="F1504" s="34"/>
      <c r="G1504" s="44"/>
      <c r="H1504" s="34"/>
      <c r="I1504" s="54"/>
      <c r="J1504" s="34"/>
      <c r="K1504" s="54"/>
      <c r="L1504" s="34"/>
      <c r="M1504" s="44"/>
      <c r="N1504" s="44"/>
      <c r="O1504" s="34"/>
      <c r="P1504" s="34"/>
      <c r="Q1504" s="34"/>
      <c r="R1504" s="34"/>
      <c r="V1504" s="44"/>
      <c r="X1504" s="95"/>
      <c r="Y1504" s="54"/>
      <c r="Z1504" s="54"/>
      <c r="AA1504" s="34"/>
      <c r="AB1504" s="34"/>
      <c r="AC1504" s="34"/>
      <c r="AD1504" s="34"/>
      <c r="AE1504" s="34"/>
      <c r="AF1504" s="34"/>
      <c r="AG1504" s="34"/>
      <c r="AH1504" s="34"/>
      <c r="AI1504" s="52"/>
      <c r="AJ1504" s="52"/>
      <c r="AL1504" s="34"/>
      <c r="AM1504" s="34"/>
      <c r="AN1504" s="34"/>
      <c r="AO1504" s="54"/>
      <c r="AP1504" s="34"/>
      <c r="AQ1504" s="34"/>
      <c r="AR1504" s="54"/>
      <c r="AS1504" s="54"/>
      <c r="AT1504" s="54"/>
      <c r="AU1504" s="54"/>
      <c r="AV1504" s="34"/>
      <c r="AW1504" s="34"/>
      <c r="AX1504" s="34"/>
      <c r="AY1504" s="34"/>
      <c r="AZ1504" s="34"/>
      <c r="BA1504" s="44"/>
      <c r="BB1504" s="34"/>
      <c r="BC1504" s="34"/>
    </row>
    <row r="1505" spans="1:55" x14ac:dyDescent="0.35" ht="15.0" customHeight="true">
      <c r="A1505" s="51"/>
      <c r="B1505" s="34"/>
      <c r="C1505" s="34"/>
      <c r="D1505" s="34"/>
      <c r="E1505" s="34"/>
      <c r="F1505" s="34"/>
      <c r="G1505" s="44"/>
      <c r="H1505" s="34"/>
      <c r="I1505" s="54"/>
      <c r="J1505" s="34"/>
      <c r="K1505" s="54"/>
      <c r="L1505" s="34"/>
      <c r="M1505" s="44"/>
      <c r="N1505" s="44"/>
      <c r="O1505" s="34"/>
      <c r="P1505" s="34"/>
      <c r="Q1505" s="34"/>
      <c r="R1505" s="34"/>
      <c r="V1505" s="44"/>
      <c r="X1505" s="95"/>
      <c r="Y1505" s="54"/>
      <c r="Z1505" s="54"/>
      <c r="AA1505" s="34"/>
      <c r="AB1505" s="34"/>
      <c r="AC1505" s="34"/>
      <c r="AD1505" s="34"/>
      <c r="AE1505" s="34"/>
      <c r="AF1505" s="34"/>
      <c r="AG1505" s="34"/>
      <c r="AH1505" s="34"/>
      <c r="AI1505" s="52"/>
      <c r="AJ1505" s="52"/>
      <c r="AL1505" s="34"/>
      <c r="AM1505" s="34"/>
      <c r="AN1505" s="34"/>
      <c r="AO1505" s="54"/>
      <c r="AP1505" s="34"/>
      <c r="AQ1505" s="34"/>
      <c r="AR1505" s="54"/>
      <c r="AS1505" s="54"/>
      <c r="AT1505" s="54"/>
      <c r="AU1505" s="54"/>
      <c r="AV1505" s="34"/>
      <c r="AW1505" s="34"/>
      <c r="AX1505" s="34"/>
      <c r="AY1505" s="34"/>
      <c r="AZ1505" s="34"/>
      <c r="BA1505" s="44"/>
      <c r="BB1505" s="34"/>
      <c r="BC1505" s="34"/>
    </row>
    <row r="1506" spans="1:55" x14ac:dyDescent="0.35" ht="15.0" customHeight="true">
      <c r="A1506" s="51"/>
      <c r="B1506" s="34"/>
      <c r="C1506" s="34"/>
      <c r="D1506" s="34"/>
      <c r="E1506" s="34"/>
      <c r="F1506" s="34"/>
      <c r="G1506" s="44"/>
      <c r="H1506" s="34"/>
      <c r="I1506" s="54"/>
      <c r="J1506" s="34"/>
      <c r="K1506" s="54"/>
      <c r="L1506" s="34"/>
      <c r="M1506" s="44"/>
      <c r="N1506" s="44"/>
      <c r="O1506" s="34"/>
      <c r="P1506" s="34"/>
      <c r="Q1506" s="34"/>
      <c r="R1506" s="34"/>
      <c r="V1506" s="44"/>
      <c r="X1506" s="95"/>
      <c r="Y1506" s="54"/>
      <c r="Z1506" s="54"/>
      <c r="AA1506" s="34"/>
      <c r="AB1506" s="34"/>
      <c r="AC1506" s="34"/>
      <c r="AD1506" s="34"/>
      <c r="AE1506" s="34"/>
      <c r="AF1506" s="34"/>
      <c r="AG1506" s="34"/>
      <c r="AH1506" s="34"/>
      <c r="AI1506" s="52"/>
      <c r="AJ1506" s="52"/>
      <c r="AL1506" s="34"/>
      <c r="AM1506" s="34"/>
      <c r="AN1506" s="34"/>
      <c r="AO1506" s="54"/>
      <c r="AP1506" s="34"/>
      <c r="AQ1506" s="34"/>
      <c r="AR1506" s="54"/>
      <c r="AS1506" s="54"/>
      <c r="AT1506" s="54"/>
      <c r="AU1506" s="54"/>
      <c r="AV1506" s="34"/>
      <c r="AW1506" s="34"/>
      <c r="AX1506" s="34"/>
      <c r="AY1506" s="34"/>
      <c r="AZ1506" s="34"/>
      <c r="BA1506" s="44"/>
      <c r="BB1506" s="34"/>
      <c r="BC1506" s="34"/>
    </row>
    <row r="1507" spans="1:55" x14ac:dyDescent="0.35" ht="15.0" customHeight="true">
      <c r="A1507" s="51"/>
      <c r="B1507" s="34"/>
      <c r="C1507" s="34"/>
      <c r="D1507" s="34"/>
      <c r="E1507" s="34"/>
      <c r="F1507" s="34"/>
      <c r="G1507" s="44"/>
      <c r="H1507" s="34"/>
      <c r="I1507" s="54"/>
      <c r="J1507" s="34"/>
      <c r="K1507" s="54"/>
      <c r="L1507" s="34"/>
      <c r="M1507" s="44"/>
      <c r="N1507" s="44"/>
      <c r="O1507" s="34"/>
      <c r="P1507" s="34"/>
      <c r="Q1507" s="34"/>
      <c r="R1507" s="34"/>
      <c r="V1507" s="44"/>
      <c r="X1507" s="95"/>
      <c r="Y1507" s="54"/>
      <c r="Z1507" s="54"/>
      <c r="AA1507" s="34"/>
      <c r="AB1507" s="34"/>
      <c r="AC1507" s="34"/>
      <c r="AD1507" s="34"/>
      <c r="AE1507" s="34"/>
      <c r="AF1507" s="34"/>
      <c r="AG1507" s="34"/>
      <c r="AH1507" s="34"/>
      <c r="AI1507" s="52"/>
      <c r="AJ1507" s="52"/>
      <c r="AL1507" s="34"/>
      <c r="AM1507" s="34"/>
      <c r="AN1507" s="34"/>
      <c r="AO1507" s="54"/>
      <c r="AP1507" s="34"/>
      <c r="AQ1507" s="34"/>
      <c r="AR1507" s="54"/>
      <c r="AS1507" s="54"/>
      <c r="AT1507" s="54"/>
      <c r="AU1507" s="54"/>
      <c r="AV1507" s="34"/>
      <c r="AW1507" s="34"/>
      <c r="AX1507" s="34"/>
      <c r="AY1507" s="34"/>
      <c r="AZ1507" s="34"/>
      <c r="BA1507" s="44"/>
      <c r="BB1507" s="34"/>
      <c r="BC1507" s="34"/>
    </row>
    <row r="1508" spans="1:55" x14ac:dyDescent="0.35" ht="15.0" customHeight="true">
      <c r="A1508" s="51"/>
      <c r="B1508" s="34"/>
      <c r="C1508" s="34"/>
      <c r="D1508" s="34"/>
      <c r="E1508" s="34"/>
      <c r="F1508" s="34"/>
      <c r="G1508" s="44"/>
      <c r="H1508" s="34"/>
      <c r="I1508" s="54"/>
      <c r="J1508" s="34"/>
      <c r="K1508" s="54"/>
      <c r="L1508" s="34"/>
      <c r="M1508" s="44"/>
      <c r="N1508" s="44"/>
      <c r="O1508" s="34"/>
      <c r="P1508" s="34"/>
      <c r="Q1508" s="34"/>
      <c r="R1508" s="34"/>
      <c r="V1508" s="44"/>
      <c r="X1508" s="95"/>
      <c r="Y1508" s="54"/>
      <c r="Z1508" s="54"/>
      <c r="AA1508" s="34"/>
      <c r="AB1508" s="34"/>
      <c r="AC1508" s="34"/>
      <c r="AD1508" s="34"/>
      <c r="AE1508" s="34"/>
      <c r="AF1508" s="34"/>
      <c r="AG1508" s="34"/>
      <c r="AH1508" s="34"/>
      <c r="AI1508" s="52"/>
      <c r="AJ1508" s="52"/>
      <c r="AL1508" s="34"/>
      <c r="AM1508" s="34"/>
      <c r="AN1508" s="34"/>
      <c r="AO1508" s="54"/>
      <c r="AP1508" s="34"/>
      <c r="AQ1508" s="34"/>
      <c r="AR1508" s="54"/>
      <c r="AS1508" s="54"/>
      <c r="AT1508" s="54"/>
      <c r="AU1508" s="54"/>
      <c r="AV1508" s="34"/>
      <c r="AW1508" s="34"/>
      <c r="AX1508" s="34"/>
      <c r="AY1508" s="34"/>
      <c r="AZ1508" s="34"/>
      <c r="BA1508" s="44"/>
      <c r="BB1508" s="34"/>
      <c r="BC1508" s="34"/>
    </row>
    <row r="1509" spans="1:55" x14ac:dyDescent="0.35" ht="15.0" customHeight="true">
      <c r="A1509" s="51"/>
      <c r="B1509" s="34"/>
      <c r="C1509" s="34"/>
      <c r="D1509" s="34"/>
      <c r="E1509" s="34"/>
      <c r="F1509" s="34"/>
      <c r="G1509" s="44"/>
      <c r="H1509" s="34"/>
      <c r="I1509" s="54"/>
      <c r="J1509" s="34"/>
      <c r="K1509" s="54"/>
      <c r="L1509" s="34"/>
      <c r="M1509" s="44"/>
      <c r="N1509" s="44"/>
      <c r="O1509" s="34"/>
      <c r="P1509" s="34"/>
      <c r="Q1509" s="34"/>
      <c r="R1509" s="34"/>
      <c r="V1509" s="44"/>
      <c r="X1509" s="95"/>
      <c r="Y1509" s="54"/>
      <c r="Z1509" s="54"/>
      <c r="AA1509" s="34"/>
      <c r="AB1509" s="34"/>
      <c r="AC1509" s="34"/>
      <c r="AD1509" s="34"/>
      <c r="AE1509" s="34"/>
      <c r="AF1509" s="34"/>
      <c r="AG1509" s="34"/>
      <c r="AH1509" s="34"/>
      <c r="AI1509" s="52"/>
      <c r="AJ1509" s="52"/>
      <c r="AL1509" s="34"/>
      <c r="AM1509" s="34"/>
      <c r="AN1509" s="34"/>
      <c r="AO1509" s="54"/>
      <c r="AP1509" s="34"/>
      <c r="AQ1509" s="34"/>
      <c r="AR1509" s="54"/>
      <c r="AS1509" s="54"/>
      <c r="AT1509" s="54"/>
      <c r="AU1509" s="54"/>
      <c r="AV1509" s="34"/>
      <c r="AW1509" s="34"/>
      <c r="AX1509" s="34"/>
      <c r="AY1509" s="34"/>
      <c r="AZ1509" s="34"/>
      <c r="BA1509" s="44"/>
      <c r="BB1509" s="34"/>
      <c r="BC1509" s="34"/>
    </row>
    <row r="1510" spans="1:55" x14ac:dyDescent="0.35" ht="15.0" customHeight="true">
      <c r="A1510" s="51"/>
      <c r="B1510" s="34"/>
      <c r="C1510" s="34"/>
      <c r="D1510" s="34"/>
      <c r="E1510" s="34"/>
      <c r="F1510" s="34"/>
      <c r="G1510" s="44"/>
      <c r="H1510" s="34"/>
      <c r="I1510" s="54"/>
      <c r="J1510" s="34"/>
      <c r="K1510" s="54"/>
      <c r="L1510" s="34"/>
      <c r="M1510" s="44"/>
      <c r="N1510" s="44"/>
      <c r="O1510" s="34"/>
      <c r="P1510" s="34"/>
      <c r="Q1510" s="34"/>
      <c r="R1510" s="34"/>
      <c r="V1510" s="44"/>
      <c r="X1510" s="95"/>
      <c r="Y1510" s="54"/>
      <c r="Z1510" s="54"/>
      <c r="AA1510" s="34"/>
      <c r="AB1510" s="34"/>
      <c r="AC1510" s="34"/>
      <c r="AD1510" s="34"/>
      <c r="AE1510" s="34"/>
      <c r="AF1510" s="34"/>
      <c r="AG1510" s="34"/>
      <c r="AH1510" s="34"/>
      <c r="AI1510" s="52"/>
      <c r="AJ1510" s="52"/>
      <c r="AL1510" s="34"/>
      <c r="AM1510" s="34"/>
      <c r="AN1510" s="34"/>
      <c r="AO1510" s="54"/>
      <c r="AP1510" s="34"/>
      <c r="AQ1510" s="34"/>
      <c r="AR1510" s="54"/>
      <c r="AS1510" s="54"/>
      <c r="AT1510" s="54"/>
      <c r="AU1510" s="54"/>
      <c r="AV1510" s="34"/>
      <c r="AW1510" s="34"/>
      <c r="AX1510" s="34"/>
      <c r="AY1510" s="34"/>
      <c r="AZ1510" s="34"/>
      <c r="BA1510" s="44"/>
      <c r="BB1510" s="34"/>
      <c r="BC1510" s="34"/>
    </row>
    <row r="1511" spans="1:55" x14ac:dyDescent="0.35" ht="15.0" customHeight="true">
      <c r="A1511" s="51"/>
      <c r="B1511" s="34"/>
      <c r="C1511" s="34"/>
      <c r="D1511" s="34"/>
      <c r="E1511" s="34"/>
      <c r="F1511" s="34"/>
      <c r="G1511" s="44"/>
      <c r="H1511" s="34"/>
      <c r="I1511" s="54"/>
      <c r="J1511" s="34"/>
      <c r="K1511" s="54"/>
      <c r="L1511" s="34"/>
      <c r="M1511" s="44"/>
      <c r="N1511" s="44"/>
      <c r="O1511" s="34"/>
      <c r="P1511" s="34"/>
      <c r="Q1511" s="34"/>
      <c r="R1511" s="34"/>
      <c r="V1511" s="44"/>
      <c r="X1511" s="95"/>
      <c r="Y1511" s="54"/>
      <c r="Z1511" s="54"/>
      <c r="AA1511" s="34"/>
      <c r="AB1511" s="34"/>
      <c r="AC1511" s="34"/>
      <c r="AD1511" s="34"/>
      <c r="AE1511" s="34"/>
      <c r="AF1511" s="34"/>
      <c r="AG1511" s="34"/>
      <c r="AH1511" s="34"/>
      <c r="AI1511" s="52"/>
      <c r="AJ1511" s="52"/>
      <c r="AL1511" s="34"/>
      <c r="AM1511" s="34"/>
      <c r="AN1511" s="34"/>
      <c r="AO1511" s="54"/>
      <c r="AP1511" s="34"/>
      <c r="AQ1511" s="34"/>
      <c r="AR1511" s="54"/>
      <c r="AS1511" s="54"/>
      <c r="AT1511" s="54"/>
      <c r="AU1511" s="54"/>
      <c r="AV1511" s="34"/>
      <c r="AW1511" s="34"/>
      <c r="AX1511" s="34"/>
      <c r="AY1511" s="34"/>
      <c r="AZ1511" s="34"/>
      <c r="BA1511" s="44"/>
      <c r="BB1511" s="34"/>
      <c r="BC1511" s="34"/>
    </row>
    <row r="1512" spans="1:55" x14ac:dyDescent="0.35" ht="15.0" customHeight="true">
      <c r="A1512" s="51"/>
      <c r="B1512" s="34"/>
      <c r="C1512" s="34"/>
      <c r="D1512" s="34"/>
      <c r="E1512" s="34"/>
      <c r="F1512" s="34"/>
      <c r="G1512" s="44"/>
      <c r="H1512" s="34"/>
      <c r="I1512" s="54"/>
      <c r="J1512" s="34"/>
      <c r="K1512" s="54"/>
      <c r="L1512" s="34"/>
      <c r="M1512" s="44"/>
      <c r="N1512" s="44"/>
      <c r="O1512" s="34"/>
      <c r="P1512" s="34"/>
      <c r="Q1512" s="34"/>
      <c r="R1512" s="34"/>
      <c r="V1512" s="44"/>
      <c r="X1512" s="95"/>
      <c r="Y1512" s="54"/>
      <c r="Z1512" s="54"/>
      <c r="AA1512" s="34"/>
      <c r="AB1512" s="34"/>
      <c r="AC1512" s="34"/>
      <c r="AD1512" s="34"/>
      <c r="AE1512" s="34"/>
      <c r="AF1512" s="34"/>
      <c r="AG1512" s="34"/>
      <c r="AH1512" s="34"/>
      <c r="AI1512" s="52"/>
      <c r="AJ1512" s="52"/>
      <c r="AL1512" s="34"/>
      <c r="AM1512" s="34"/>
      <c r="AN1512" s="34"/>
      <c r="AO1512" s="54"/>
      <c r="AP1512" s="34"/>
      <c r="AQ1512" s="34"/>
      <c r="AR1512" s="54"/>
      <c r="AS1512" s="54"/>
      <c r="AT1512" s="54"/>
      <c r="AU1512" s="54"/>
      <c r="AV1512" s="34"/>
      <c r="AW1512" s="34"/>
      <c r="AX1512" s="34"/>
      <c r="AY1512" s="34"/>
      <c r="AZ1512" s="34"/>
      <c r="BA1512" s="44"/>
      <c r="BB1512" s="34"/>
      <c r="BC1512" s="34"/>
    </row>
    <row r="1513" spans="1:55" x14ac:dyDescent="0.35" ht="15.0" customHeight="true">
      <c r="A1513" s="51"/>
      <c r="B1513" s="34"/>
      <c r="C1513" s="34"/>
      <c r="D1513" s="34"/>
      <c r="E1513" s="34"/>
      <c r="F1513" s="34"/>
      <c r="G1513" s="44"/>
      <c r="H1513" s="34"/>
      <c r="I1513" s="54"/>
      <c r="J1513" s="34"/>
      <c r="K1513" s="54"/>
      <c r="L1513" s="34"/>
      <c r="M1513" s="44"/>
      <c r="N1513" s="44"/>
      <c r="O1513" s="34"/>
      <c r="P1513" s="34"/>
      <c r="Q1513" s="34"/>
      <c r="R1513" s="34"/>
      <c r="V1513" s="44"/>
      <c r="X1513" s="95"/>
      <c r="Y1513" s="54"/>
      <c r="Z1513" s="54"/>
      <c r="AA1513" s="34"/>
      <c r="AB1513" s="34"/>
      <c r="AC1513" s="34"/>
      <c r="AD1513" s="34"/>
      <c r="AE1513" s="34"/>
      <c r="AF1513" s="34"/>
      <c r="AG1513" s="34"/>
      <c r="AH1513" s="34"/>
      <c r="AI1513" s="52"/>
      <c r="AJ1513" s="52"/>
      <c r="AL1513" s="34"/>
      <c r="AM1513" s="34"/>
      <c r="AN1513" s="34"/>
      <c r="AO1513" s="54"/>
      <c r="AP1513" s="34"/>
      <c r="AQ1513" s="34"/>
      <c r="AR1513" s="54"/>
      <c r="AS1513" s="54"/>
      <c r="AT1513" s="54"/>
      <c r="AU1513" s="54"/>
      <c r="AV1513" s="34"/>
      <c r="AW1513" s="34"/>
      <c r="AX1513" s="34"/>
      <c r="AY1513" s="34"/>
      <c r="AZ1513" s="34"/>
      <c r="BA1513" s="44"/>
      <c r="BB1513" s="34"/>
      <c r="BC1513" s="34"/>
    </row>
    <row r="1514" spans="1:55" x14ac:dyDescent="0.35" ht="15.0" customHeight="true">
      <c r="A1514" s="51"/>
      <c r="B1514" s="34"/>
      <c r="C1514" s="34"/>
      <c r="D1514" s="34"/>
      <c r="E1514" s="34"/>
      <c r="F1514" s="34"/>
      <c r="G1514" s="44"/>
      <c r="H1514" s="34"/>
      <c r="I1514" s="54"/>
      <c r="J1514" s="34"/>
      <c r="K1514" s="54"/>
      <c r="L1514" s="34"/>
      <c r="M1514" s="44"/>
      <c r="N1514" s="44"/>
      <c r="O1514" s="34"/>
      <c r="P1514" s="34"/>
      <c r="Q1514" s="34"/>
      <c r="R1514" s="34"/>
      <c r="V1514" s="44"/>
      <c r="X1514" s="95"/>
      <c r="Y1514" s="54"/>
      <c r="Z1514" s="54"/>
      <c r="AA1514" s="34"/>
      <c r="AB1514" s="34"/>
      <c r="AC1514" s="34"/>
      <c r="AD1514" s="34"/>
      <c r="AE1514" s="34"/>
      <c r="AF1514" s="34"/>
      <c r="AG1514" s="34"/>
      <c r="AH1514" s="34"/>
      <c r="AI1514" s="52"/>
      <c r="AJ1514" s="52"/>
      <c r="AL1514" s="34"/>
      <c r="AM1514" s="34"/>
      <c r="AN1514" s="34"/>
      <c r="AO1514" s="54"/>
      <c r="AP1514" s="34"/>
      <c r="AQ1514" s="34"/>
      <c r="AR1514" s="54"/>
      <c r="AS1514" s="54"/>
      <c r="AT1514" s="54"/>
      <c r="AU1514" s="54"/>
      <c r="AV1514" s="34"/>
      <c r="AW1514" s="34"/>
      <c r="AX1514" s="34"/>
      <c r="AY1514" s="34"/>
      <c r="AZ1514" s="34"/>
      <c r="BA1514" s="44"/>
      <c r="BB1514" s="34"/>
      <c r="BC1514" s="34"/>
    </row>
    <row r="1515" spans="1:55" x14ac:dyDescent="0.35" ht="15.0" customHeight="true">
      <c r="A1515" s="51"/>
      <c r="B1515" s="34"/>
      <c r="C1515" s="34"/>
      <c r="D1515" s="34"/>
      <c r="E1515" s="34"/>
      <c r="F1515" s="34"/>
      <c r="G1515" s="44"/>
      <c r="H1515" s="34"/>
      <c r="I1515" s="54"/>
      <c r="J1515" s="34"/>
      <c r="K1515" s="54"/>
      <c r="L1515" s="34"/>
      <c r="M1515" s="44"/>
      <c r="N1515" s="44"/>
      <c r="O1515" s="34"/>
      <c r="P1515" s="34"/>
      <c r="Q1515" s="34"/>
      <c r="R1515" s="34"/>
      <c r="V1515" s="44"/>
      <c r="X1515" s="95"/>
      <c r="Y1515" s="54"/>
      <c r="Z1515" s="54"/>
      <c r="AA1515" s="34"/>
      <c r="AB1515" s="34"/>
      <c r="AC1515" s="34"/>
      <c r="AD1515" s="34"/>
      <c r="AE1515" s="34"/>
      <c r="AF1515" s="34"/>
      <c r="AG1515" s="34"/>
      <c r="AH1515" s="34"/>
      <c r="AI1515" s="52"/>
      <c r="AJ1515" s="52"/>
      <c r="AL1515" s="34"/>
      <c r="AM1515" s="34"/>
      <c r="AN1515" s="34"/>
      <c r="AO1515" s="54"/>
      <c r="AP1515" s="34"/>
      <c r="AQ1515" s="34"/>
      <c r="AR1515" s="54"/>
      <c r="AS1515" s="54"/>
      <c r="AT1515" s="54"/>
      <c r="AU1515" s="54"/>
      <c r="AV1515" s="34"/>
      <c r="AW1515" s="34"/>
      <c r="AX1515" s="34"/>
      <c r="AY1515" s="34"/>
      <c r="AZ1515" s="34"/>
      <c r="BA1515" s="44"/>
      <c r="BB1515" s="34"/>
      <c r="BC1515" s="34"/>
    </row>
    <row r="1516" spans="1:55" x14ac:dyDescent="0.35" ht="15.0" customHeight="true">
      <c r="A1516" s="51"/>
      <c r="B1516" s="34"/>
      <c r="C1516" s="34"/>
      <c r="D1516" s="34"/>
      <c r="E1516" s="34"/>
      <c r="F1516" s="34"/>
      <c r="G1516" s="44"/>
      <c r="H1516" s="34"/>
      <c r="I1516" s="54"/>
      <c r="J1516" s="34"/>
      <c r="K1516" s="54"/>
      <c r="L1516" s="34"/>
      <c r="M1516" s="44"/>
      <c r="N1516" s="44"/>
      <c r="O1516" s="34"/>
      <c r="P1516" s="34"/>
      <c r="Q1516" s="34"/>
      <c r="R1516" s="34"/>
      <c r="V1516" s="44"/>
      <c r="X1516" s="95"/>
      <c r="Y1516" s="54"/>
      <c r="Z1516" s="54"/>
      <c r="AA1516" s="34"/>
      <c r="AB1516" s="34"/>
      <c r="AC1516" s="34"/>
      <c r="AD1516" s="34"/>
      <c r="AE1516" s="34"/>
      <c r="AF1516" s="34"/>
      <c r="AG1516" s="34"/>
      <c r="AH1516" s="34"/>
      <c r="AI1516" s="52"/>
      <c r="AJ1516" s="52"/>
      <c r="AL1516" s="34"/>
      <c r="AM1516" s="34"/>
      <c r="AN1516" s="34"/>
      <c r="AO1516" s="54"/>
      <c r="AP1516" s="34"/>
      <c r="AQ1516" s="34"/>
      <c r="AR1516" s="54"/>
      <c r="AS1516" s="54"/>
      <c r="AT1516" s="54"/>
      <c r="AU1516" s="54"/>
      <c r="AV1516" s="34"/>
      <c r="AW1516" s="34"/>
      <c r="AX1516" s="34"/>
      <c r="AY1516" s="34"/>
      <c r="AZ1516" s="34"/>
      <c r="BA1516" s="44"/>
      <c r="BB1516" s="34"/>
      <c r="BC1516" s="34"/>
    </row>
    <row r="1517" spans="1:55" x14ac:dyDescent="0.35" ht="15.0" customHeight="true">
      <c r="A1517" s="51"/>
      <c r="B1517" s="34"/>
      <c r="C1517" s="34"/>
      <c r="D1517" s="34"/>
      <c r="E1517" s="34"/>
      <c r="F1517" s="34"/>
      <c r="G1517" s="44"/>
      <c r="H1517" s="34"/>
      <c r="I1517" s="54"/>
      <c r="J1517" s="34"/>
      <c r="K1517" s="54"/>
      <c r="L1517" s="34"/>
      <c r="M1517" s="44"/>
      <c r="N1517" s="44"/>
      <c r="O1517" s="34"/>
      <c r="P1517" s="34"/>
      <c r="Q1517" s="34"/>
      <c r="R1517" s="34"/>
      <c r="V1517" s="44"/>
      <c r="X1517" s="95"/>
      <c r="Y1517" s="54"/>
      <c r="Z1517" s="54"/>
      <c r="AA1517" s="34"/>
      <c r="AB1517" s="34"/>
      <c r="AC1517" s="34"/>
      <c r="AD1517" s="34"/>
      <c r="AE1517" s="34"/>
      <c r="AF1517" s="34"/>
      <c r="AG1517" s="34"/>
      <c r="AH1517" s="34"/>
      <c r="AI1517" s="52"/>
      <c r="AJ1517" s="52"/>
      <c r="AL1517" s="34"/>
      <c r="AM1517" s="34"/>
      <c r="AN1517" s="34"/>
      <c r="AO1517" s="54"/>
      <c r="AP1517" s="34"/>
      <c r="AQ1517" s="34"/>
      <c r="AR1517" s="54"/>
      <c r="AS1517" s="54"/>
      <c r="AT1517" s="54"/>
      <c r="AU1517" s="54"/>
      <c r="AV1517" s="34"/>
      <c r="AW1517" s="34"/>
      <c r="AX1517" s="34"/>
      <c r="AY1517" s="34"/>
      <c r="AZ1517" s="34"/>
      <c r="BA1517" s="44"/>
      <c r="BB1517" s="34"/>
      <c r="BC1517" s="34"/>
    </row>
    <row r="1518" spans="1:55" x14ac:dyDescent="0.35" ht="15.0" customHeight="true">
      <c r="A1518" s="51"/>
      <c r="B1518" s="34"/>
      <c r="C1518" s="34"/>
      <c r="D1518" s="34"/>
      <c r="E1518" s="34"/>
      <c r="F1518" s="34"/>
      <c r="G1518" s="44"/>
      <c r="H1518" s="34"/>
      <c r="I1518" s="54"/>
      <c r="J1518" s="34"/>
      <c r="K1518" s="54"/>
      <c r="L1518" s="34"/>
      <c r="M1518" s="44"/>
      <c r="N1518" s="44"/>
      <c r="O1518" s="34"/>
      <c r="P1518" s="34"/>
      <c r="Q1518" s="34"/>
      <c r="R1518" s="34"/>
      <c r="V1518" s="44"/>
      <c r="X1518" s="95"/>
      <c r="Y1518" s="54"/>
      <c r="Z1518" s="54"/>
      <c r="AA1518" s="34"/>
      <c r="AB1518" s="34"/>
      <c r="AC1518" s="34"/>
      <c r="AD1518" s="34"/>
      <c r="AE1518" s="34"/>
      <c r="AF1518" s="34"/>
      <c r="AG1518" s="34"/>
      <c r="AH1518" s="34"/>
      <c r="AI1518" s="52"/>
      <c r="AJ1518" s="52"/>
      <c r="AL1518" s="34"/>
      <c r="AM1518" s="34"/>
      <c r="AN1518" s="34"/>
      <c r="AO1518" s="54"/>
      <c r="AP1518" s="34"/>
      <c r="AQ1518" s="34"/>
      <c r="AR1518" s="54"/>
      <c r="AS1518" s="54"/>
      <c r="AT1518" s="54"/>
      <c r="AU1518" s="54"/>
      <c r="AV1518" s="34"/>
      <c r="AW1518" s="34"/>
      <c r="AX1518" s="34"/>
      <c r="AY1518" s="34"/>
      <c r="AZ1518" s="34"/>
      <c r="BA1518" s="44"/>
      <c r="BB1518" s="34"/>
      <c r="BC1518" s="34"/>
    </row>
    <row r="1519" spans="1:55" x14ac:dyDescent="0.35" ht="15.0" customHeight="true">
      <c r="A1519" s="51"/>
      <c r="B1519" s="34"/>
      <c r="C1519" s="34"/>
      <c r="D1519" s="34"/>
      <c r="E1519" s="34"/>
      <c r="F1519" s="34"/>
      <c r="G1519" s="44"/>
      <c r="H1519" s="34"/>
      <c r="I1519" s="54"/>
      <c r="J1519" s="34"/>
      <c r="K1519" s="54"/>
      <c r="L1519" s="34"/>
      <c r="M1519" s="44"/>
      <c r="N1519" s="44"/>
      <c r="O1519" s="34"/>
      <c r="P1519" s="34"/>
      <c r="Q1519" s="34"/>
      <c r="R1519" s="34"/>
      <c r="V1519" s="44"/>
      <c r="X1519" s="95"/>
      <c r="Y1519" s="54"/>
      <c r="Z1519" s="54"/>
      <c r="AA1519" s="34"/>
      <c r="AB1519" s="34"/>
      <c r="AC1519" s="34"/>
      <c r="AD1519" s="34"/>
      <c r="AE1519" s="34"/>
      <c r="AF1519" s="34"/>
      <c r="AG1519" s="34"/>
      <c r="AH1519" s="34"/>
      <c r="AI1519" s="52"/>
      <c r="AJ1519" s="52"/>
      <c r="AL1519" s="34"/>
      <c r="AM1519" s="34"/>
      <c r="AN1519" s="34"/>
      <c r="AO1519" s="54"/>
      <c r="AP1519" s="34"/>
      <c r="AQ1519" s="34"/>
      <c r="AR1519" s="54"/>
      <c r="AS1519" s="54"/>
      <c r="AT1519" s="54"/>
      <c r="AU1519" s="54"/>
      <c r="AV1519" s="34"/>
      <c r="AW1519" s="34"/>
      <c r="AX1519" s="34"/>
      <c r="AY1519" s="34"/>
      <c r="AZ1519" s="34"/>
      <c r="BA1519" s="44"/>
      <c r="BB1519" s="34"/>
      <c r="BC1519" s="34"/>
    </row>
    <row r="1520" spans="1:55" x14ac:dyDescent="0.35" ht="15.0" customHeight="true">
      <c r="A1520" s="51"/>
      <c r="B1520" s="34"/>
      <c r="C1520" s="34"/>
      <c r="D1520" s="34"/>
      <c r="E1520" s="34"/>
      <c r="F1520" s="34"/>
      <c r="G1520" s="44"/>
      <c r="H1520" s="34"/>
      <c r="I1520" s="54"/>
      <c r="J1520" s="34"/>
      <c r="K1520" s="54"/>
      <c r="L1520" s="34"/>
      <c r="M1520" s="44"/>
      <c r="N1520" s="44"/>
      <c r="O1520" s="34"/>
      <c r="P1520" s="34"/>
      <c r="Q1520" s="34"/>
      <c r="R1520" s="34"/>
      <c r="V1520" s="44"/>
      <c r="X1520" s="95"/>
      <c r="Y1520" s="54"/>
      <c r="Z1520" s="54"/>
      <c r="AA1520" s="34"/>
      <c r="AB1520" s="34"/>
      <c r="AC1520" s="34"/>
      <c r="AD1520" s="34"/>
      <c r="AE1520" s="34"/>
      <c r="AF1520" s="34"/>
      <c r="AG1520" s="34"/>
      <c r="AH1520" s="34"/>
      <c r="AI1520" s="52"/>
      <c r="AJ1520" s="52"/>
      <c r="AL1520" s="34"/>
      <c r="AM1520" s="34"/>
      <c r="AN1520" s="34"/>
      <c r="AO1520" s="54"/>
      <c r="AP1520" s="34"/>
      <c r="AQ1520" s="34"/>
      <c r="AR1520" s="54"/>
      <c r="AS1520" s="54"/>
      <c r="AT1520" s="54"/>
      <c r="AU1520" s="54"/>
      <c r="AV1520" s="34"/>
      <c r="AW1520" s="34"/>
      <c r="AX1520" s="34"/>
      <c r="AY1520" s="34"/>
      <c r="AZ1520" s="34"/>
      <c r="BA1520" s="44"/>
      <c r="BB1520" s="34"/>
      <c r="BC1520" s="34"/>
    </row>
    <row r="1521" spans="1:55" x14ac:dyDescent="0.35" ht="15.0" customHeight="true">
      <c r="A1521" s="51"/>
      <c r="B1521" s="34"/>
      <c r="C1521" s="34"/>
      <c r="D1521" s="34"/>
      <c r="E1521" s="34"/>
      <c r="F1521" s="34"/>
      <c r="G1521" s="44"/>
      <c r="H1521" s="34"/>
      <c r="I1521" s="54"/>
      <c r="J1521" s="34"/>
      <c r="K1521" s="54"/>
      <c r="L1521" s="34"/>
      <c r="M1521" s="44"/>
      <c r="N1521" s="44"/>
      <c r="O1521" s="34"/>
      <c r="P1521" s="34"/>
      <c r="Q1521" s="34"/>
      <c r="R1521" s="34"/>
      <c r="V1521" s="44"/>
      <c r="X1521" s="95"/>
      <c r="Y1521" s="54"/>
      <c r="Z1521" s="54"/>
      <c r="AA1521" s="34"/>
      <c r="AB1521" s="34"/>
      <c r="AC1521" s="34"/>
      <c r="AD1521" s="34"/>
      <c r="AE1521" s="34"/>
      <c r="AF1521" s="34"/>
      <c r="AG1521" s="34"/>
      <c r="AH1521" s="34"/>
      <c r="AI1521" s="52"/>
      <c r="AJ1521" s="52"/>
      <c r="AL1521" s="34"/>
      <c r="AM1521" s="34"/>
      <c r="AN1521" s="34"/>
      <c r="AO1521" s="54"/>
      <c r="AP1521" s="34"/>
      <c r="AQ1521" s="34"/>
      <c r="AR1521" s="54"/>
      <c r="AS1521" s="54"/>
      <c r="AT1521" s="54"/>
      <c r="AU1521" s="54"/>
      <c r="AV1521" s="34"/>
      <c r="AW1521" s="34"/>
      <c r="AX1521" s="34"/>
      <c r="AY1521" s="34"/>
      <c r="AZ1521" s="34"/>
      <c r="BA1521" s="44"/>
      <c r="BB1521" s="34"/>
      <c r="BC1521" s="34"/>
    </row>
    <row r="1522" spans="1:55" x14ac:dyDescent="0.35" ht="15.0" customHeight="true">
      <c r="A1522" s="51"/>
      <c r="B1522" s="34"/>
      <c r="C1522" s="34"/>
      <c r="D1522" s="34"/>
      <c r="E1522" s="34"/>
      <c r="F1522" s="34"/>
      <c r="G1522" s="44"/>
      <c r="H1522" s="34"/>
      <c r="I1522" s="54"/>
      <c r="J1522" s="34"/>
      <c r="K1522" s="54"/>
      <c r="L1522" s="34"/>
      <c r="M1522" s="44"/>
      <c r="N1522" s="44"/>
      <c r="O1522" s="34"/>
      <c r="P1522" s="34"/>
      <c r="Q1522" s="34"/>
      <c r="R1522" s="34"/>
      <c r="V1522" s="44"/>
      <c r="X1522" s="95"/>
      <c r="Y1522" s="54"/>
      <c r="Z1522" s="54"/>
      <c r="AA1522" s="34"/>
      <c r="AB1522" s="34"/>
      <c r="AC1522" s="34"/>
      <c r="AD1522" s="34"/>
      <c r="AE1522" s="34"/>
      <c r="AF1522" s="34"/>
      <c r="AG1522" s="34"/>
      <c r="AH1522" s="34"/>
      <c r="AI1522" s="52"/>
      <c r="AJ1522" s="52"/>
      <c r="AL1522" s="34"/>
      <c r="AM1522" s="34"/>
      <c r="AN1522" s="34"/>
      <c r="AO1522" s="54"/>
      <c r="AP1522" s="34"/>
      <c r="AQ1522" s="34"/>
      <c r="AR1522" s="54"/>
      <c r="AS1522" s="54"/>
      <c r="AT1522" s="54"/>
      <c r="AU1522" s="54"/>
      <c r="AV1522" s="34"/>
      <c r="AW1522" s="34"/>
      <c r="AX1522" s="34"/>
      <c r="AY1522" s="34"/>
      <c r="AZ1522" s="34"/>
      <c r="BA1522" s="44"/>
      <c r="BB1522" s="34"/>
      <c r="BC1522" s="34"/>
    </row>
    <row r="1523" spans="1:55" x14ac:dyDescent="0.35" ht="15.0" customHeight="true">
      <c r="A1523" s="51"/>
      <c r="B1523" s="34"/>
      <c r="C1523" s="34"/>
      <c r="D1523" s="34"/>
      <c r="E1523" s="34"/>
      <c r="F1523" s="34"/>
      <c r="G1523" s="44"/>
      <c r="H1523" s="34"/>
      <c r="I1523" s="54"/>
      <c r="J1523" s="34"/>
      <c r="K1523" s="54"/>
      <c r="L1523" s="34"/>
      <c r="M1523" s="44"/>
      <c r="N1523" s="44"/>
      <c r="O1523" s="34"/>
      <c r="P1523" s="34"/>
      <c r="Q1523" s="34"/>
      <c r="R1523" s="34"/>
      <c r="V1523" s="44"/>
      <c r="X1523" s="95"/>
      <c r="Y1523" s="54"/>
      <c r="Z1523" s="54"/>
      <c r="AA1523" s="34"/>
      <c r="AB1523" s="34"/>
      <c r="AC1523" s="34"/>
      <c r="AD1523" s="34"/>
      <c r="AE1523" s="34"/>
      <c r="AF1523" s="34"/>
      <c r="AG1523" s="34"/>
      <c r="AH1523" s="34"/>
      <c r="AI1523" s="52"/>
      <c r="AJ1523" s="52"/>
      <c r="AL1523" s="34"/>
      <c r="AM1523" s="34"/>
      <c r="AN1523" s="34"/>
      <c r="AO1523" s="54"/>
      <c r="AP1523" s="34"/>
      <c r="AQ1523" s="34"/>
      <c r="AR1523" s="54"/>
      <c r="AS1523" s="54"/>
      <c r="AT1523" s="54"/>
      <c r="AU1523" s="54"/>
      <c r="AV1523" s="34"/>
      <c r="AW1523" s="34"/>
      <c r="AX1523" s="34"/>
      <c r="AY1523" s="34"/>
      <c r="AZ1523" s="34"/>
      <c r="BA1523" s="44"/>
      <c r="BB1523" s="34"/>
      <c r="BC1523" s="34"/>
    </row>
    <row r="1524" spans="1:55" x14ac:dyDescent="0.35" ht="15.0" customHeight="true">
      <c r="A1524" s="51"/>
      <c r="B1524" s="34"/>
      <c r="C1524" s="34"/>
      <c r="D1524" s="34"/>
      <c r="E1524" s="34"/>
      <c r="F1524" s="34"/>
      <c r="G1524" s="44"/>
      <c r="H1524" s="34"/>
      <c r="I1524" s="54"/>
      <c r="J1524" s="34"/>
      <c r="K1524" s="54"/>
      <c r="L1524" s="34"/>
      <c r="M1524" s="44"/>
      <c r="N1524" s="44"/>
      <c r="O1524" s="34"/>
      <c r="P1524" s="34"/>
      <c r="Q1524" s="34"/>
      <c r="R1524" s="34"/>
      <c r="V1524" s="44"/>
      <c r="X1524" s="95"/>
      <c r="Y1524" s="54"/>
      <c r="Z1524" s="54"/>
      <c r="AA1524" s="34"/>
      <c r="AB1524" s="34"/>
      <c r="AC1524" s="34"/>
      <c r="AD1524" s="34"/>
      <c r="AE1524" s="34"/>
      <c r="AF1524" s="34"/>
      <c r="AG1524" s="34"/>
      <c r="AH1524" s="34"/>
      <c r="AI1524" s="52"/>
      <c r="AJ1524" s="52"/>
      <c r="AL1524" s="34"/>
      <c r="AM1524" s="34"/>
      <c r="AN1524" s="34"/>
      <c r="AO1524" s="54"/>
      <c r="AP1524" s="34"/>
      <c r="AQ1524" s="34"/>
      <c r="AR1524" s="54"/>
      <c r="AS1524" s="54"/>
      <c r="AT1524" s="54"/>
      <c r="AU1524" s="54"/>
      <c r="AV1524" s="34"/>
      <c r="AW1524" s="34"/>
      <c r="AX1524" s="34"/>
      <c r="AY1524" s="34"/>
      <c r="AZ1524" s="34"/>
      <c r="BA1524" s="44"/>
      <c r="BB1524" s="34"/>
      <c r="BC1524" s="34"/>
    </row>
    <row r="1525" spans="1:55" x14ac:dyDescent="0.35" ht="15.0" customHeight="true">
      <c r="A1525" s="51"/>
      <c r="B1525" s="34"/>
      <c r="C1525" s="34"/>
      <c r="D1525" s="34"/>
      <c r="E1525" s="34"/>
      <c r="F1525" s="34"/>
      <c r="G1525" s="44"/>
      <c r="H1525" s="34"/>
      <c r="I1525" s="54"/>
      <c r="J1525" s="34"/>
      <c r="K1525" s="54"/>
      <c r="L1525" s="34"/>
      <c r="M1525" s="44"/>
      <c r="N1525" s="44"/>
      <c r="O1525" s="34"/>
      <c r="P1525" s="34"/>
      <c r="Q1525" s="34"/>
      <c r="R1525" s="34"/>
      <c r="V1525" s="44"/>
      <c r="X1525" s="95"/>
      <c r="Y1525" s="54"/>
      <c r="Z1525" s="54"/>
      <c r="AA1525" s="34"/>
      <c r="AB1525" s="34"/>
      <c r="AC1525" s="34"/>
      <c r="AD1525" s="34"/>
      <c r="AE1525" s="34"/>
      <c r="AF1525" s="34"/>
      <c r="AG1525" s="34"/>
      <c r="AH1525" s="34"/>
      <c r="AI1525" s="52"/>
      <c r="AJ1525" s="52"/>
      <c r="AL1525" s="34"/>
      <c r="AM1525" s="34"/>
      <c r="AN1525" s="34"/>
      <c r="AO1525" s="54"/>
      <c r="AP1525" s="34"/>
      <c r="AQ1525" s="34"/>
      <c r="AR1525" s="54"/>
      <c r="AS1525" s="54"/>
      <c r="AT1525" s="54"/>
      <c r="AU1525" s="54"/>
      <c r="AV1525" s="34"/>
      <c r="AW1525" s="34"/>
      <c r="AX1525" s="34"/>
      <c r="AY1525" s="34"/>
      <c r="AZ1525" s="34"/>
      <c r="BA1525" s="44"/>
      <c r="BB1525" s="34"/>
      <c r="BC1525" s="34"/>
    </row>
    <row r="1526" spans="1:55" x14ac:dyDescent="0.35" ht="15.0" customHeight="true">
      <c r="A1526" s="51"/>
      <c r="B1526" s="34"/>
      <c r="C1526" s="34"/>
      <c r="D1526" s="34"/>
      <c r="E1526" s="34"/>
      <c r="F1526" s="34"/>
      <c r="G1526" s="44"/>
      <c r="H1526" s="34"/>
      <c r="I1526" s="54"/>
      <c r="J1526" s="34"/>
      <c r="K1526" s="54"/>
      <c r="L1526" s="34"/>
      <c r="M1526" s="44"/>
      <c r="N1526" s="44"/>
      <c r="O1526" s="34"/>
      <c r="P1526" s="34"/>
      <c r="Q1526" s="34"/>
      <c r="R1526" s="34"/>
      <c r="V1526" s="44"/>
      <c r="X1526" s="95"/>
      <c r="Y1526" s="54"/>
      <c r="Z1526" s="54"/>
      <c r="AA1526" s="34"/>
      <c r="AB1526" s="34"/>
      <c r="AC1526" s="34"/>
      <c r="AD1526" s="34"/>
      <c r="AE1526" s="34"/>
      <c r="AF1526" s="34"/>
      <c r="AG1526" s="34"/>
      <c r="AH1526" s="34"/>
      <c r="AI1526" s="52"/>
      <c r="AJ1526" s="52"/>
      <c r="AL1526" s="34"/>
      <c r="AM1526" s="34"/>
      <c r="AN1526" s="34"/>
      <c r="AO1526" s="54"/>
      <c r="AP1526" s="34"/>
      <c r="AQ1526" s="34"/>
      <c r="AR1526" s="54"/>
      <c r="AS1526" s="54"/>
      <c r="AT1526" s="54"/>
      <c r="AU1526" s="54"/>
      <c r="AV1526" s="34"/>
      <c r="AW1526" s="34"/>
      <c r="AX1526" s="34"/>
      <c r="AY1526" s="34"/>
      <c r="AZ1526" s="34"/>
      <c r="BA1526" s="44"/>
      <c r="BB1526" s="34"/>
      <c r="BC1526" s="34"/>
    </row>
    <row r="1527" spans="1:55" x14ac:dyDescent="0.35" ht="15.0" customHeight="true">
      <c r="A1527" s="51"/>
      <c r="B1527" s="34"/>
      <c r="C1527" s="34"/>
      <c r="D1527" s="34"/>
      <c r="E1527" s="34"/>
      <c r="F1527" s="34"/>
      <c r="G1527" s="44"/>
      <c r="H1527" s="34"/>
      <c r="I1527" s="54"/>
      <c r="J1527" s="34"/>
      <c r="K1527" s="54"/>
      <c r="L1527" s="34"/>
      <c r="M1527" s="44"/>
      <c r="N1527" s="44"/>
      <c r="O1527" s="34"/>
      <c r="P1527" s="34"/>
      <c r="Q1527" s="34"/>
      <c r="R1527" s="34"/>
      <c r="V1527" s="44"/>
      <c r="X1527" s="95"/>
      <c r="Y1527" s="54"/>
      <c r="Z1527" s="54"/>
      <c r="AA1527" s="34"/>
      <c r="AB1527" s="34"/>
      <c r="AC1527" s="34"/>
      <c r="AD1527" s="34"/>
      <c r="AE1527" s="34"/>
      <c r="AF1527" s="34"/>
      <c r="AG1527" s="34"/>
      <c r="AH1527" s="34"/>
      <c r="AI1527" s="52"/>
      <c r="AJ1527" s="52"/>
      <c r="AL1527" s="34"/>
      <c r="AM1527" s="34"/>
      <c r="AN1527" s="34"/>
      <c r="AO1527" s="54"/>
      <c r="AP1527" s="34"/>
      <c r="AQ1527" s="34"/>
      <c r="AR1527" s="54"/>
      <c r="AS1527" s="54"/>
      <c r="AT1527" s="54"/>
      <c r="AU1527" s="54"/>
      <c r="AV1527" s="34"/>
      <c r="AW1527" s="34"/>
      <c r="AX1527" s="34"/>
      <c r="AY1527" s="34"/>
      <c r="AZ1527" s="34"/>
      <c r="BA1527" s="44"/>
      <c r="BB1527" s="34"/>
      <c r="BC1527" s="34"/>
    </row>
    <row r="1528" spans="1:55" x14ac:dyDescent="0.35" ht="15.0" customHeight="true">
      <c r="A1528" s="51"/>
      <c r="B1528" s="34"/>
      <c r="C1528" s="34"/>
      <c r="D1528" s="34"/>
      <c r="E1528" s="34"/>
      <c r="F1528" s="34"/>
      <c r="G1528" s="44"/>
      <c r="H1528" s="34"/>
      <c r="I1528" s="54"/>
      <c r="J1528" s="34"/>
      <c r="K1528" s="54"/>
      <c r="L1528" s="34"/>
      <c r="M1528" s="44"/>
      <c r="N1528" s="44"/>
      <c r="O1528" s="34"/>
      <c r="P1528" s="34"/>
      <c r="Q1528" s="34"/>
      <c r="R1528" s="34"/>
      <c r="V1528" s="44"/>
      <c r="X1528" s="95"/>
      <c r="Y1528" s="54"/>
      <c r="Z1528" s="54"/>
      <c r="AA1528" s="34"/>
      <c r="AB1528" s="34"/>
      <c r="AC1528" s="34"/>
      <c r="AD1528" s="34"/>
      <c r="AE1528" s="34"/>
      <c r="AF1528" s="34"/>
      <c r="AG1528" s="34"/>
      <c r="AH1528" s="34"/>
      <c r="AI1528" s="52"/>
      <c r="AJ1528" s="52"/>
      <c r="AL1528" s="34"/>
      <c r="AM1528" s="34"/>
      <c r="AN1528" s="34"/>
      <c r="AO1528" s="54"/>
      <c r="AP1528" s="34"/>
      <c r="AQ1528" s="34"/>
      <c r="AR1528" s="54"/>
      <c r="AS1528" s="54"/>
      <c r="AT1528" s="54"/>
      <c r="AU1528" s="54"/>
      <c r="AV1528" s="34"/>
      <c r="AW1528" s="34"/>
      <c r="AX1528" s="34"/>
      <c r="AY1528" s="34"/>
      <c r="AZ1528" s="34"/>
      <c r="BA1528" s="44"/>
      <c r="BB1528" s="34"/>
      <c r="BC1528" s="34"/>
    </row>
    <row r="1529" spans="1:55" x14ac:dyDescent="0.35" ht="15.0" customHeight="true">
      <c r="A1529" s="51"/>
      <c r="B1529" s="34"/>
      <c r="C1529" s="34"/>
      <c r="D1529" s="34"/>
      <c r="E1529" s="34"/>
      <c r="F1529" s="34"/>
      <c r="G1529" s="44"/>
      <c r="H1529" s="34"/>
      <c r="I1529" s="54"/>
      <c r="J1529" s="34"/>
      <c r="K1529" s="54"/>
      <c r="L1529" s="34"/>
      <c r="M1529" s="44"/>
      <c r="N1529" s="44"/>
      <c r="O1529" s="34"/>
      <c r="P1529" s="34"/>
      <c r="Q1529" s="34"/>
      <c r="R1529" s="34"/>
      <c r="V1529" s="44"/>
      <c r="X1529" s="95"/>
      <c r="Y1529" s="54"/>
      <c r="Z1529" s="54"/>
      <c r="AA1529" s="34"/>
      <c r="AB1529" s="34"/>
      <c r="AC1529" s="34"/>
      <c r="AD1529" s="34"/>
      <c r="AE1529" s="34"/>
      <c r="AF1529" s="34"/>
      <c r="AG1529" s="34"/>
      <c r="AH1529" s="34"/>
      <c r="AI1529" s="52"/>
      <c r="AJ1529" s="52"/>
      <c r="AL1529" s="34"/>
      <c r="AM1529" s="34"/>
      <c r="AN1529" s="34"/>
      <c r="AO1529" s="54"/>
      <c r="AP1529" s="34"/>
      <c r="AQ1529" s="34"/>
      <c r="AR1529" s="54"/>
      <c r="AS1529" s="54"/>
      <c r="AT1529" s="54"/>
      <c r="AU1529" s="54"/>
      <c r="AV1529" s="34"/>
      <c r="AW1529" s="34"/>
      <c r="AX1529" s="34"/>
      <c r="AY1529" s="34"/>
      <c r="AZ1529" s="34"/>
      <c r="BA1529" s="44"/>
      <c r="BB1529" s="34"/>
      <c r="BC1529" s="34"/>
    </row>
    <row r="1530" spans="1:55" x14ac:dyDescent="0.35" ht="15.0" customHeight="true">
      <c r="A1530" s="51"/>
      <c r="B1530" s="34"/>
      <c r="C1530" s="34"/>
      <c r="D1530" s="34"/>
      <c r="E1530" s="34"/>
      <c r="F1530" s="34"/>
      <c r="G1530" s="44"/>
      <c r="H1530" s="34"/>
      <c r="I1530" s="54"/>
      <c r="J1530" s="34"/>
      <c r="K1530" s="54"/>
      <c r="L1530" s="34"/>
      <c r="M1530" s="44"/>
      <c r="N1530" s="44"/>
      <c r="O1530" s="34"/>
      <c r="P1530" s="34"/>
      <c r="Q1530" s="34"/>
      <c r="R1530" s="34"/>
      <c r="V1530" s="44"/>
      <c r="X1530" s="95"/>
      <c r="Y1530" s="54"/>
      <c r="Z1530" s="54"/>
      <c r="AA1530" s="34"/>
      <c r="AB1530" s="34"/>
      <c r="AC1530" s="34"/>
      <c r="AD1530" s="34"/>
      <c r="AE1530" s="34"/>
      <c r="AF1530" s="34"/>
      <c r="AG1530" s="34"/>
      <c r="AH1530" s="34"/>
      <c r="AI1530" s="52"/>
      <c r="AJ1530" s="52"/>
      <c r="AL1530" s="34"/>
      <c r="AM1530" s="34"/>
      <c r="AN1530" s="34"/>
      <c r="AO1530" s="54"/>
      <c r="AP1530" s="34"/>
      <c r="AQ1530" s="34"/>
      <c r="AR1530" s="54"/>
      <c r="AS1530" s="54"/>
      <c r="AT1530" s="54"/>
      <c r="AU1530" s="54"/>
      <c r="AV1530" s="34"/>
      <c r="AW1530" s="34"/>
      <c r="AX1530" s="34"/>
      <c r="AY1530" s="34"/>
      <c r="AZ1530" s="34"/>
      <c r="BA1530" s="44"/>
      <c r="BB1530" s="34"/>
      <c r="BC1530" s="34"/>
    </row>
    <row r="1531" spans="1:55" x14ac:dyDescent="0.35" ht="15.0" customHeight="true">
      <c r="A1531" s="51"/>
      <c r="B1531" s="34"/>
      <c r="C1531" s="34"/>
      <c r="D1531" s="34"/>
      <c r="E1531" s="34"/>
      <c r="F1531" s="34"/>
      <c r="G1531" s="44"/>
      <c r="H1531" s="34"/>
      <c r="I1531" s="54"/>
      <c r="J1531" s="34"/>
      <c r="K1531" s="54"/>
      <c r="L1531" s="34"/>
      <c r="M1531" s="44"/>
      <c r="N1531" s="44"/>
      <c r="O1531" s="34"/>
      <c r="P1531" s="34"/>
      <c r="Q1531" s="34"/>
      <c r="R1531" s="34"/>
      <c r="V1531" s="44"/>
      <c r="X1531" s="95"/>
      <c r="Y1531" s="54"/>
      <c r="Z1531" s="54"/>
      <c r="AA1531" s="34"/>
      <c r="AB1531" s="34"/>
      <c r="AC1531" s="34"/>
      <c r="AD1531" s="34"/>
      <c r="AE1531" s="34"/>
      <c r="AF1531" s="34"/>
      <c r="AG1531" s="34"/>
      <c r="AH1531" s="34"/>
      <c r="AI1531" s="52"/>
      <c r="AJ1531" s="52"/>
      <c r="AL1531" s="34"/>
      <c r="AM1531" s="34"/>
      <c r="AN1531" s="34"/>
      <c r="AO1531" s="54"/>
      <c r="AP1531" s="34"/>
      <c r="AQ1531" s="34"/>
      <c r="AR1531" s="54"/>
      <c r="AS1531" s="54"/>
      <c r="AT1531" s="54"/>
      <c r="AU1531" s="54"/>
      <c r="AV1531" s="34"/>
      <c r="AW1531" s="34"/>
      <c r="AX1531" s="34"/>
      <c r="AY1531" s="34"/>
      <c r="AZ1531" s="34"/>
      <c r="BA1531" s="44"/>
      <c r="BB1531" s="34"/>
      <c r="BC1531" s="34"/>
    </row>
    <row r="1532" spans="1:55" x14ac:dyDescent="0.35" ht="15.0" customHeight="true">
      <c r="A1532" s="51"/>
      <c r="B1532" s="34"/>
      <c r="C1532" s="34"/>
      <c r="D1532" s="34"/>
      <c r="E1532" s="34"/>
      <c r="F1532" s="34"/>
      <c r="G1532" s="44"/>
      <c r="H1532" s="34"/>
      <c r="I1532" s="54"/>
      <c r="J1532" s="34"/>
      <c r="K1532" s="54"/>
      <c r="L1532" s="34"/>
      <c r="M1532" s="44"/>
      <c r="N1532" s="44"/>
      <c r="O1532" s="34"/>
      <c r="P1532" s="34"/>
      <c r="Q1532" s="34"/>
      <c r="R1532" s="34"/>
      <c r="V1532" s="44"/>
      <c r="X1532" s="95"/>
      <c r="Y1532" s="54"/>
      <c r="Z1532" s="54"/>
      <c r="AA1532" s="34"/>
      <c r="AB1532" s="34"/>
      <c r="AC1532" s="34"/>
      <c r="AD1532" s="34"/>
      <c r="AE1532" s="34"/>
      <c r="AF1532" s="34"/>
      <c r="AG1532" s="34"/>
      <c r="AH1532" s="34"/>
      <c r="AI1532" s="52"/>
      <c r="AJ1532" s="52"/>
      <c r="AL1532" s="34"/>
      <c r="AM1532" s="34"/>
      <c r="AN1532" s="34"/>
      <c r="AO1532" s="54"/>
      <c r="AP1532" s="34"/>
      <c r="AQ1532" s="34"/>
      <c r="AR1532" s="54"/>
      <c r="AS1532" s="54"/>
      <c r="AT1532" s="54"/>
      <c r="AU1532" s="54"/>
      <c r="AV1532" s="34"/>
      <c r="AW1532" s="34"/>
      <c r="AX1532" s="34"/>
      <c r="AY1532" s="34"/>
      <c r="AZ1532" s="34"/>
      <c r="BA1532" s="44"/>
      <c r="BB1532" s="34"/>
      <c r="BC1532" s="34"/>
    </row>
    <row r="1533" spans="1:55" x14ac:dyDescent="0.35" ht="15.0" customHeight="true">
      <c r="A1533" s="51"/>
      <c r="B1533" s="34"/>
      <c r="C1533" s="34"/>
      <c r="D1533" s="34"/>
      <c r="E1533" s="34"/>
      <c r="F1533" s="34"/>
      <c r="G1533" s="44"/>
      <c r="H1533" s="34"/>
      <c r="I1533" s="54"/>
      <c r="J1533" s="34"/>
      <c r="K1533" s="54"/>
      <c r="L1533" s="34"/>
      <c r="M1533" s="44"/>
      <c r="N1533" s="44"/>
      <c r="O1533" s="34"/>
      <c r="P1533" s="34"/>
      <c r="Q1533" s="34"/>
      <c r="R1533" s="34"/>
      <c r="V1533" s="44"/>
      <c r="X1533" s="95"/>
      <c r="Y1533" s="54"/>
      <c r="Z1533" s="54"/>
      <c r="AA1533" s="34"/>
      <c r="AB1533" s="34"/>
      <c r="AC1533" s="34"/>
      <c r="AD1533" s="34"/>
      <c r="AE1533" s="34"/>
      <c r="AF1533" s="34"/>
      <c r="AG1533" s="34"/>
      <c r="AH1533" s="34"/>
      <c r="AI1533" s="52"/>
      <c r="AJ1533" s="52"/>
      <c r="AL1533" s="34"/>
      <c r="AM1533" s="34"/>
      <c r="AN1533" s="34"/>
      <c r="AO1533" s="54"/>
      <c r="AP1533" s="34"/>
      <c r="AQ1533" s="34"/>
      <c r="AR1533" s="54"/>
      <c r="AS1533" s="54"/>
      <c r="AT1533" s="54"/>
      <c r="AU1533" s="54"/>
      <c r="AV1533" s="34"/>
      <c r="AW1533" s="34"/>
      <c r="AX1533" s="34"/>
      <c r="AY1533" s="34"/>
      <c r="AZ1533" s="34"/>
      <c r="BA1533" s="44"/>
      <c r="BB1533" s="34"/>
      <c r="BC1533" s="34"/>
    </row>
    <row r="1534" spans="1:55" x14ac:dyDescent="0.35" ht="15.0" customHeight="true">
      <c r="A1534" s="51"/>
      <c r="B1534" s="34"/>
      <c r="C1534" s="34"/>
      <c r="D1534" s="34"/>
      <c r="E1534" s="34"/>
      <c r="F1534" s="34"/>
      <c r="G1534" s="44"/>
      <c r="H1534" s="34"/>
      <c r="I1534" s="54"/>
      <c r="J1534" s="34"/>
      <c r="K1534" s="54"/>
      <c r="L1534" s="34"/>
      <c r="M1534" s="44"/>
      <c r="N1534" s="44"/>
      <c r="O1534" s="34"/>
      <c r="P1534" s="34"/>
      <c r="Q1534" s="34"/>
      <c r="R1534" s="34"/>
      <c r="V1534" s="44"/>
      <c r="X1534" s="95"/>
      <c r="Y1534" s="54"/>
      <c r="Z1534" s="54"/>
      <c r="AA1534" s="34"/>
      <c r="AB1534" s="34"/>
      <c r="AC1534" s="34"/>
      <c r="AD1534" s="34"/>
      <c r="AE1534" s="34"/>
      <c r="AF1534" s="34"/>
      <c r="AG1534" s="34"/>
      <c r="AH1534" s="34"/>
      <c r="AI1534" s="52"/>
      <c r="AJ1534" s="52"/>
      <c r="AL1534" s="34"/>
      <c r="AM1534" s="34"/>
      <c r="AN1534" s="34"/>
      <c r="AO1534" s="54"/>
      <c r="AP1534" s="34"/>
      <c r="AQ1534" s="34"/>
      <c r="AR1534" s="54"/>
      <c r="AS1534" s="54"/>
      <c r="AT1534" s="54"/>
      <c r="AU1534" s="54"/>
      <c r="AV1534" s="34"/>
      <c r="AW1534" s="34"/>
      <c r="AX1534" s="34"/>
      <c r="AY1534" s="34"/>
      <c r="AZ1534" s="34"/>
      <c r="BA1534" s="44"/>
      <c r="BB1534" s="34"/>
      <c r="BC1534" s="34"/>
    </row>
    <row r="1535" spans="1:55" x14ac:dyDescent="0.35" ht="15.0" customHeight="true">
      <c r="A1535" s="51"/>
      <c r="B1535" s="34"/>
      <c r="C1535" s="34"/>
      <c r="D1535" s="34"/>
      <c r="E1535" s="34"/>
      <c r="F1535" s="34"/>
      <c r="G1535" s="44"/>
      <c r="H1535" s="34"/>
      <c r="I1535" s="54"/>
      <c r="J1535" s="34"/>
      <c r="K1535" s="54"/>
      <c r="L1535" s="34"/>
      <c r="M1535" s="44"/>
      <c r="N1535" s="44"/>
      <c r="O1535" s="34"/>
      <c r="P1535" s="34"/>
      <c r="Q1535" s="34"/>
      <c r="R1535" s="34"/>
      <c r="V1535" s="44"/>
      <c r="X1535" s="95"/>
      <c r="Y1535" s="54"/>
      <c r="Z1535" s="54"/>
      <c r="AA1535" s="34"/>
      <c r="AB1535" s="34"/>
      <c r="AC1535" s="34"/>
      <c r="AD1535" s="34"/>
      <c r="AE1535" s="34"/>
      <c r="AF1535" s="34"/>
      <c r="AG1535" s="34"/>
      <c r="AH1535" s="34"/>
      <c r="AI1535" s="52"/>
      <c r="AJ1535" s="52"/>
      <c r="AL1535" s="34"/>
      <c r="AM1535" s="34"/>
      <c r="AN1535" s="34"/>
      <c r="AO1535" s="54"/>
      <c r="AP1535" s="34"/>
      <c r="AQ1535" s="34"/>
      <c r="AR1535" s="54"/>
      <c r="AS1535" s="54"/>
      <c r="AT1535" s="54"/>
      <c r="AU1535" s="54"/>
      <c r="AV1535" s="34"/>
      <c r="AW1535" s="34"/>
      <c r="AX1535" s="34"/>
      <c r="AY1535" s="34"/>
      <c r="AZ1535" s="34"/>
      <c r="BA1535" s="44"/>
      <c r="BB1535" s="34"/>
      <c r="BC1535" s="34"/>
    </row>
    <row r="1536" spans="1:55" x14ac:dyDescent="0.35" ht="15.0" customHeight="true">
      <c r="A1536" s="51"/>
      <c r="B1536" s="34"/>
      <c r="C1536" s="34"/>
      <c r="D1536" s="34"/>
      <c r="E1536" s="34"/>
      <c r="F1536" s="34"/>
      <c r="G1536" s="44"/>
      <c r="H1536" s="34"/>
      <c r="I1536" s="54"/>
      <c r="J1536" s="34"/>
      <c r="K1536" s="54"/>
      <c r="L1536" s="34"/>
      <c r="M1536" s="44"/>
      <c r="N1536" s="44"/>
      <c r="O1536" s="34"/>
      <c r="P1536" s="34"/>
      <c r="Q1536" s="34"/>
      <c r="R1536" s="34"/>
      <c r="V1536" s="44"/>
      <c r="X1536" s="95"/>
      <c r="Y1536" s="54"/>
      <c r="Z1536" s="54"/>
      <c r="AA1536" s="34"/>
      <c r="AB1536" s="34"/>
      <c r="AC1536" s="34"/>
      <c r="AD1536" s="34"/>
      <c r="AE1536" s="34"/>
      <c r="AF1536" s="34"/>
      <c r="AG1536" s="34"/>
      <c r="AH1536" s="34"/>
      <c r="AI1536" s="52"/>
      <c r="AJ1536" s="52"/>
      <c r="AL1536" s="34"/>
      <c r="AM1536" s="34"/>
      <c r="AN1536" s="34"/>
      <c r="AO1536" s="54"/>
      <c r="AP1536" s="34"/>
      <c r="AQ1536" s="34"/>
      <c r="AR1536" s="54"/>
      <c r="AS1536" s="54"/>
      <c r="AT1536" s="54"/>
      <c r="AU1536" s="54"/>
      <c r="AV1536" s="34"/>
      <c r="AW1536" s="34"/>
      <c r="AX1536" s="34"/>
      <c r="AY1536" s="34"/>
      <c r="AZ1536" s="34"/>
      <c r="BA1536" s="44"/>
      <c r="BB1536" s="34"/>
      <c r="BC1536" s="34"/>
    </row>
    <row r="1537" spans="1:55" x14ac:dyDescent="0.35" ht="15.0" customHeight="true">
      <c r="A1537" s="51"/>
      <c r="B1537" s="34"/>
      <c r="C1537" s="34"/>
      <c r="D1537" s="34"/>
      <c r="E1537" s="34"/>
      <c r="F1537" s="34"/>
      <c r="G1537" s="44"/>
      <c r="H1537" s="34"/>
      <c r="I1537" s="54"/>
      <c r="J1537" s="34"/>
      <c r="K1537" s="54"/>
      <c r="L1537" s="34"/>
      <c r="M1537" s="44"/>
      <c r="N1537" s="44"/>
      <c r="O1537" s="34"/>
      <c r="P1537" s="34"/>
      <c r="Q1537" s="34"/>
      <c r="R1537" s="34"/>
      <c r="V1537" s="44"/>
      <c r="X1537" s="95"/>
      <c r="Y1537" s="54"/>
      <c r="Z1537" s="54"/>
      <c r="AA1537" s="34"/>
      <c r="AB1537" s="34"/>
      <c r="AC1537" s="34"/>
      <c r="AD1537" s="34"/>
      <c r="AE1537" s="34"/>
      <c r="AF1537" s="34"/>
      <c r="AG1537" s="34"/>
      <c r="AH1537" s="34"/>
      <c r="AI1537" s="52"/>
      <c r="AJ1537" s="52"/>
      <c r="AL1537" s="34"/>
      <c r="AM1537" s="34"/>
      <c r="AN1537" s="34"/>
      <c r="AO1537" s="54"/>
      <c r="AP1537" s="34"/>
      <c r="AQ1537" s="34"/>
      <c r="AR1537" s="54"/>
      <c r="AS1537" s="54"/>
      <c r="AT1537" s="54"/>
      <c r="AU1537" s="54"/>
      <c r="AV1537" s="34"/>
      <c r="AW1537" s="34"/>
      <c r="AX1537" s="34"/>
      <c r="AY1537" s="34"/>
      <c r="AZ1537" s="34"/>
      <c r="BA1537" s="44"/>
      <c r="BB1537" s="34"/>
      <c r="BC1537" s="34"/>
    </row>
    <row r="1538" spans="1:55" x14ac:dyDescent="0.35" ht="15.0" customHeight="true">
      <c r="A1538" s="51"/>
      <c r="B1538" s="34"/>
      <c r="C1538" s="34"/>
      <c r="D1538" s="34"/>
      <c r="E1538" s="34"/>
      <c r="F1538" s="34"/>
      <c r="G1538" s="44"/>
      <c r="H1538" s="34"/>
      <c r="I1538" s="54"/>
      <c r="J1538" s="34"/>
      <c r="K1538" s="54"/>
      <c r="L1538" s="34"/>
      <c r="M1538" s="44"/>
      <c r="N1538" s="44"/>
      <c r="O1538" s="34"/>
      <c r="P1538" s="34"/>
      <c r="Q1538" s="34"/>
      <c r="R1538" s="34"/>
      <c r="V1538" s="44"/>
      <c r="X1538" s="95"/>
      <c r="Y1538" s="54"/>
      <c r="Z1538" s="54"/>
      <c r="AA1538" s="34"/>
      <c r="AB1538" s="34"/>
      <c r="AC1538" s="34"/>
      <c r="AD1538" s="34"/>
      <c r="AE1538" s="34"/>
      <c r="AF1538" s="34"/>
      <c r="AG1538" s="34"/>
      <c r="AH1538" s="34"/>
      <c r="AI1538" s="52"/>
      <c r="AJ1538" s="52"/>
      <c r="AL1538" s="34"/>
      <c r="AM1538" s="34"/>
      <c r="AN1538" s="34"/>
      <c r="AO1538" s="54"/>
      <c r="AP1538" s="34"/>
      <c r="AQ1538" s="34"/>
      <c r="AR1538" s="54"/>
      <c r="AS1538" s="54"/>
      <c r="AT1538" s="54"/>
      <c r="AU1538" s="54"/>
      <c r="AV1538" s="34"/>
      <c r="AW1538" s="34"/>
      <c r="AX1538" s="34"/>
      <c r="AY1538" s="34"/>
      <c r="AZ1538" s="34"/>
      <c r="BA1538" s="44"/>
      <c r="BB1538" s="34"/>
      <c r="BC1538" s="34"/>
    </row>
    <row r="1539" spans="1:55" x14ac:dyDescent="0.35" ht="15.0" customHeight="true">
      <c r="A1539" s="51"/>
      <c r="B1539" s="34"/>
      <c r="C1539" s="34"/>
      <c r="D1539" s="34"/>
      <c r="E1539" s="34"/>
      <c r="F1539" s="34"/>
      <c r="G1539" s="44"/>
      <c r="H1539" s="34"/>
      <c r="I1539" s="54"/>
      <c r="J1539" s="34"/>
      <c r="K1539" s="54"/>
      <c r="L1539" s="34"/>
      <c r="M1539" s="44"/>
      <c r="N1539" s="44"/>
      <c r="O1539" s="34"/>
      <c r="P1539" s="34"/>
      <c r="Q1539" s="34"/>
      <c r="R1539" s="34"/>
      <c r="V1539" s="44"/>
      <c r="X1539" s="95"/>
      <c r="Y1539" s="54"/>
      <c r="Z1539" s="54"/>
      <c r="AA1539" s="34"/>
      <c r="AB1539" s="34"/>
      <c r="AC1539" s="34"/>
      <c r="AD1539" s="34"/>
      <c r="AE1539" s="34"/>
      <c r="AF1539" s="34"/>
      <c r="AG1539" s="34"/>
      <c r="AH1539" s="34"/>
      <c r="AI1539" s="52"/>
      <c r="AJ1539" s="52"/>
      <c r="AL1539" s="34"/>
      <c r="AM1539" s="34"/>
      <c r="AN1539" s="34"/>
      <c r="AO1539" s="54"/>
      <c r="AP1539" s="34"/>
      <c r="AQ1539" s="34"/>
      <c r="AR1539" s="54"/>
      <c r="AS1539" s="54"/>
      <c r="AT1539" s="54"/>
      <c r="AU1539" s="54"/>
      <c r="AV1539" s="34"/>
      <c r="AW1539" s="34"/>
      <c r="AX1539" s="34"/>
      <c r="AY1539" s="34"/>
      <c r="AZ1539" s="34"/>
      <c r="BA1539" s="44"/>
      <c r="BB1539" s="34"/>
      <c r="BC1539" s="34"/>
    </row>
    <row r="1540" spans="1:55" x14ac:dyDescent="0.35" ht="15.0" customHeight="true">
      <c r="A1540" s="51"/>
      <c r="B1540" s="34"/>
      <c r="C1540" s="34"/>
      <c r="D1540" s="34"/>
      <c r="E1540" s="34"/>
      <c r="F1540" s="34"/>
      <c r="G1540" s="44"/>
      <c r="H1540" s="34"/>
      <c r="I1540" s="54"/>
      <c r="J1540" s="34"/>
      <c r="K1540" s="54"/>
      <c r="L1540" s="34"/>
      <c r="M1540" s="44"/>
      <c r="N1540" s="44"/>
      <c r="O1540" s="34"/>
      <c r="P1540" s="34"/>
      <c r="Q1540" s="34"/>
      <c r="R1540" s="34"/>
      <c r="V1540" s="44"/>
      <c r="X1540" s="95"/>
      <c r="Y1540" s="54"/>
      <c r="Z1540" s="54"/>
      <c r="AA1540" s="34"/>
      <c r="AB1540" s="34"/>
      <c r="AC1540" s="34"/>
      <c r="AD1540" s="34"/>
      <c r="AE1540" s="34"/>
      <c r="AF1540" s="34"/>
      <c r="AG1540" s="34"/>
      <c r="AH1540" s="34"/>
      <c r="AI1540" s="52"/>
      <c r="AJ1540" s="52"/>
      <c r="AL1540" s="34"/>
      <c r="AM1540" s="34"/>
      <c r="AN1540" s="34"/>
      <c r="AO1540" s="54"/>
      <c r="AP1540" s="34"/>
      <c r="AQ1540" s="34"/>
      <c r="AR1540" s="54"/>
      <c r="AS1540" s="54"/>
      <c r="AT1540" s="54"/>
      <c r="AU1540" s="54"/>
      <c r="AV1540" s="34"/>
      <c r="AW1540" s="34"/>
      <c r="AX1540" s="34"/>
      <c r="AY1540" s="34"/>
      <c r="AZ1540" s="34"/>
      <c r="BA1540" s="44"/>
      <c r="BB1540" s="34"/>
      <c r="BC1540" s="34"/>
    </row>
    <row r="1541" spans="1:55" x14ac:dyDescent="0.35" ht="15.0" customHeight="true">
      <c r="A1541" s="51"/>
      <c r="B1541" s="34"/>
      <c r="C1541" s="34"/>
      <c r="D1541" s="34"/>
      <c r="E1541" s="34"/>
      <c r="F1541" s="34"/>
      <c r="G1541" s="44"/>
      <c r="H1541" s="34"/>
      <c r="I1541" s="54"/>
      <c r="J1541" s="34"/>
      <c r="K1541" s="54"/>
      <c r="L1541" s="34"/>
      <c r="M1541" s="44"/>
      <c r="N1541" s="44"/>
      <c r="O1541" s="34"/>
      <c r="P1541" s="34"/>
      <c r="Q1541" s="34"/>
      <c r="R1541" s="34"/>
      <c r="V1541" s="44"/>
      <c r="X1541" s="95"/>
      <c r="Y1541" s="54"/>
      <c r="Z1541" s="54"/>
      <c r="AA1541" s="34"/>
      <c r="AB1541" s="34"/>
      <c r="AC1541" s="34"/>
      <c r="AD1541" s="34"/>
      <c r="AE1541" s="34"/>
      <c r="AF1541" s="34"/>
      <c r="AG1541" s="34"/>
      <c r="AH1541" s="34"/>
      <c r="AI1541" s="52"/>
      <c r="AJ1541" s="52"/>
      <c r="AL1541" s="34"/>
      <c r="AM1541" s="34"/>
      <c r="AN1541" s="34"/>
      <c r="AO1541" s="54"/>
      <c r="AP1541" s="34"/>
      <c r="AQ1541" s="34"/>
      <c r="AR1541" s="54"/>
      <c r="AS1541" s="54"/>
      <c r="AT1541" s="54"/>
      <c r="AU1541" s="54"/>
      <c r="AV1541" s="34"/>
      <c r="AW1541" s="34"/>
      <c r="AX1541" s="34"/>
      <c r="AY1541" s="34"/>
      <c r="AZ1541" s="34"/>
      <c r="BA1541" s="44"/>
      <c r="BB1541" s="34"/>
      <c r="BC1541" s="34"/>
    </row>
    <row r="1542" spans="1:55" x14ac:dyDescent="0.35" ht="15.0" customHeight="true">
      <c r="A1542" s="51"/>
      <c r="B1542" s="34"/>
      <c r="C1542" s="34"/>
      <c r="D1542" s="34"/>
      <c r="E1542" s="34"/>
      <c r="F1542" s="34"/>
      <c r="G1542" s="44"/>
      <c r="H1542" s="34"/>
      <c r="I1542" s="54"/>
      <c r="J1542" s="34"/>
      <c r="K1542" s="54"/>
      <c r="L1542" s="34"/>
      <c r="M1542" s="44"/>
      <c r="N1542" s="44"/>
      <c r="O1542" s="34"/>
      <c r="P1542" s="34"/>
      <c r="Q1542" s="34"/>
      <c r="R1542" s="34"/>
      <c r="V1542" s="44"/>
      <c r="X1542" s="95"/>
      <c r="Y1542" s="54"/>
      <c r="Z1542" s="54"/>
      <c r="AA1542" s="34"/>
      <c r="AB1542" s="34"/>
      <c r="AC1542" s="34"/>
      <c r="AD1542" s="34"/>
      <c r="AE1542" s="34"/>
      <c r="AF1542" s="34"/>
      <c r="AG1542" s="34"/>
      <c r="AH1542" s="34"/>
      <c r="AI1542" s="52"/>
      <c r="AJ1542" s="52"/>
      <c r="AL1542" s="34"/>
      <c r="AM1542" s="34"/>
      <c r="AN1542" s="34"/>
      <c r="AO1542" s="54"/>
      <c r="AP1542" s="34"/>
      <c r="AQ1542" s="34"/>
      <c r="AR1542" s="54"/>
      <c r="AS1542" s="54"/>
      <c r="AT1542" s="54"/>
      <c r="AU1542" s="54"/>
      <c r="AV1542" s="34"/>
      <c r="AW1542" s="34"/>
      <c r="AX1542" s="34"/>
      <c r="AY1542" s="34"/>
      <c r="AZ1542" s="34"/>
      <c r="BA1542" s="44"/>
      <c r="BB1542" s="34"/>
      <c r="BC1542" s="34"/>
    </row>
    <row r="1543" spans="1:55" x14ac:dyDescent="0.35" ht="15.0" customHeight="true">
      <c r="A1543" s="51"/>
      <c r="B1543" s="34"/>
      <c r="C1543" s="34"/>
      <c r="D1543" s="34"/>
      <c r="E1543" s="34"/>
      <c r="F1543" s="34"/>
      <c r="G1543" s="44"/>
      <c r="H1543" s="34"/>
      <c r="I1543" s="54"/>
      <c r="J1543" s="34"/>
      <c r="K1543" s="54"/>
      <c r="L1543" s="34"/>
      <c r="M1543" s="44"/>
      <c r="N1543" s="44"/>
      <c r="O1543" s="34"/>
      <c r="P1543" s="34"/>
      <c r="Q1543" s="34"/>
      <c r="R1543" s="34"/>
      <c r="V1543" s="44"/>
      <c r="X1543" s="95"/>
      <c r="Y1543" s="54"/>
      <c r="Z1543" s="54"/>
      <c r="AA1543" s="34"/>
      <c r="AB1543" s="34"/>
      <c r="AC1543" s="34"/>
      <c r="AD1543" s="34"/>
      <c r="AE1543" s="34"/>
      <c r="AF1543" s="34"/>
      <c r="AG1543" s="34"/>
      <c r="AH1543" s="34"/>
      <c r="AI1543" s="52"/>
      <c r="AJ1543" s="52"/>
      <c r="AL1543" s="34"/>
      <c r="AM1543" s="34"/>
      <c r="AN1543" s="34"/>
      <c r="AO1543" s="54"/>
      <c r="AP1543" s="34"/>
      <c r="AQ1543" s="34"/>
      <c r="AR1543" s="54"/>
      <c r="AS1543" s="54"/>
      <c r="AT1543" s="54"/>
      <c r="AU1543" s="54"/>
      <c r="AV1543" s="34"/>
      <c r="AW1543" s="34"/>
      <c r="AX1543" s="34"/>
      <c r="AY1543" s="34"/>
      <c r="AZ1543" s="34"/>
      <c r="BA1543" s="44"/>
      <c r="BB1543" s="34"/>
      <c r="BC1543" s="34"/>
    </row>
    <row r="1544" spans="1:55" x14ac:dyDescent="0.35" ht="15.0" customHeight="true">
      <c r="A1544" s="51"/>
      <c r="B1544" s="34"/>
      <c r="C1544" s="34"/>
      <c r="D1544" s="34"/>
      <c r="E1544" s="34"/>
      <c r="F1544" s="34"/>
      <c r="G1544" s="44"/>
      <c r="H1544" s="34"/>
      <c r="I1544" s="54"/>
      <c r="J1544" s="34"/>
      <c r="K1544" s="54"/>
      <c r="L1544" s="34"/>
      <c r="M1544" s="44"/>
      <c r="N1544" s="44"/>
      <c r="O1544" s="34"/>
      <c r="P1544" s="34"/>
      <c r="Q1544" s="34"/>
      <c r="R1544" s="34"/>
      <c r="V1544" s="44"/>
      <c r="X1544" s="95"/>
      <c r="Y1544" s="54"/>
      <c r="Z1544" s="54"/>
      <c r="AA1544" s="34"/>
      <c r="AB1544" s="34"/>
      <c r="AC1544" s="34"/>
      <c r="AD1544" s="34"/>
      <c r="AE1544" s="34"/>
      <c r="AF1544" s="34"/>
      <c r="AG1544" s="34"/>
      <c r="AH1544" s="34"/>
      <c r="AI1544" s="52"/>
      <c r="AJ1544" s="52"/>
      <c r="AL1544" s="34"/>
      <c r="AM1544" s="34"/>
      <c r="AN1544" s="34"/>
      <c r="AO1544" s="54"/>
      <c r="AP1544" s="34"/>
      <c r="AQ1544" s="34"/>
      <c r="AR1544" s="54"/>
      <c r="AS1544" s="54"/>
      <c r="AT1544" s="54"/>
      <c r="AU1544" s="54"/>
      <c r="AV1544" s="34"/>
      <c r="AW1544" s="34"/>
      <c r="AX1544" s="34"/>
      <c r="AY1544" s="34"/>
      <c r="AZ1544" s="34"/>
      <c r="BA1544" s="44"/>
      <c r="BB1544" s="34"/>
      <c r="BC1544" s="34"/>
    </row>
    <row r="1545" spans="1:55" x14ac:dyDescent="0.35" ht="15.0" customHeight="true">
      <c r="A1545" s="51"/>
      <c r="B1545" s="34"/>
      <c r="C1545" s="34"/>
      <c r="D1545" s="34"/>
      <c r="E1545" s="34"/>
      <c r="F1545" s="34"/>
      <c r="G1545" s="44"/>
      <c r="H1545" s="34"/>
      <c r="I1545" s="54"/>
      <c r="J1545" s="34"/>
      <c r="K1545" s="54"/>
      <c r="L1545" s="34"/>
      <c r="M1545" s="44"/>
      <c r="N1545" s="44"/>
      <c r="O1545" s="34"/>
      <c r="P1545" s="34"/>
      <c r="Q1545" s="34"/>
      <c r="R1545" s="34"/>
      <c r="V1545" s="44"/>
      <c r="X1545" s="95"/>
      <c r="Y1545" s="54"/>
      <c r="Z1545" s="54"/>
      <c r="AA1545" s="34"/>
      <c r="AB1545" s="34"/>
      <c r="AC1545" s="34"/>
      <c r="AD1545" s="34"/>
      <c r="AE1545" s="34"/>
      <c r="AF1545" s="34"/>
      <c r="AG1545" s="34"/>
      <c r="AH1545" s="34"/>
      <c r="AI1545" s="52"/>
      <c r="AJ1545" s="52"/>
      <c r="AL1545" s="34"/>
      <c r="AM1545" s="34"/>
      <c r="AN1545" s="34"/>
      <c r="AO1545" s="54"/>
      <c r="AP1545" s="34"/>
      <c r="AQ1545" s="34"/>
      <c r="AR1545" s="54"/>
      <c r="AS1545" s="54"/>
      <c r="AT1545" s="54"/>
      <c r="AU1545" s="54"/>
      <c r="AV1545" s="34"/>
      <c r="AW1545" s="34"/>
      <c r="AX1545" s="34"/>
      <c r="AY1545" s="34"/>
      <c r="AZ1545" s="34"/>
      <c r="BA1545" s="44"/>
      <c r="BB1545" s="34"/>
      <c r="BC1545" s="34"/>
    </row>
    <row r="1546" spans="1:55" x14ac:dyDescent="0.35" ht="15.0" customHeight="true">
      <c r="A1546" s="51"/>
      <c r="B1546" s="34"/>
      <c r="C1546" s="34"/>
      <c r="D1546" s="34"/>
      <c r="E1546" s="34"/>
      <c r="F1546" s="34"/>
      <c r="G1546" s="44"/>
      <c r="H1546" s="34"/>
      <c r="I1546" s="54"/>
      <c r="J1546" s="34"/>
      <c r="K1546" s="54"/>
      <c r="L1546" s="34"/>
      <c r="M1546" s="44"/>
      <c r="N1546" s="44"/>
      <c r="O1546" s="34"/>
      <c r="P1546" s="34"/>
      <c r="Q1546" s="34"/>
      <c r="R1546" s="34"/>
      <c r="V1546" s="44"/>
      <c r="X1546" s="95"/>
      <c r="Y1546" s="54"/>
      <c r="Z1546" s="54"/>
      <c r="AA1546" s="34"/>
      <c r="AB1546" s="34"/>
      <c r="AC1546" s="34"/>
      <c r="AD1546" s="34"/>
      <c r="AE1546" s="34"/>
      <c r="AF1546" s="34"/>
      <c r="AG1546" s="34"/>
      <c r="AH1546" s="34"/>
      <c r="AI1546" s="52"/>
      <c r="AJ1546" s="52"/>
      <c r="AL1546" s="34"/>
      <c r="AM1546" s="34"/>
      <c r="AN1546" s="34"/>
      <c r="AO1546" s="54"/>
      <c r="AP1546" s="34"/>
      <c r="AQ1546" s="34"/>
      <c r="AR1546" s="54"/>
      <c r="AS1546" s="54"/>
      <c r="AT1546" s="54"/>
      <c r="AU1546" s="54"/>
      <c r="AV1546" s="34"/>
      <c r="AW1546" s="34"/>
      <c r="AX1546" s="34"/>
      <c r="AY1546" s="34"/>
      <c r="AZ1546" s="34"/>
      <c r="BA1546" s="44"/>
      <c r="BB1546" s="34"/>
      <c r="BC1546" s="34"/>
    </row>
    <row r="1547" spans="1:55" x14ac:dyDescent="0.35" ht="15.0" customHeight="true">
      <c r="A1547" s="51"/>
      <c r="B1547" s="34"/>
      <c r="C1547" s="34"/>
      <c r="D1547" s="34"/>
      <c r="E1547" s="34"/>
      <c r="F1547" s="34"/>
      <c r="G1547" s="44"/>
      <c r="H1547" s="34"/>
      <c r="I1547" s="54"/>
      <c r="J1547" s="34"/>
      <c r="K1547" s="54"/>
      <c r="L1547" s="34"/>
      <c r="M1547" s="44"/>
      <c r="N1547" s="44"/>
      <c r="O1547" s="34"/>
      <c r="P1547" s="34"/>
      <c r="Q1547" s="34"/>
      <c r="R1547" s="34"/>
      <c r="V1547" s="44"/>
      <c r="X1547" s="95"/>
      <c r="Y1547" s="54"/>
      <c r="Z1547" s="54"/>
      <c r="AA1547" s="34"/>
      <c r="AB1547" s="34"/>
      <c r="AC1547" s="34"/>
      <c r="AD1547" s="34"/>
      <c r="AE1547" s="34"/>
      <c r="AF1547" s="34"/>
      <c r="AG1547" s="34"/>
      <c r="AH1547" s="34"/>
      <c r="AI1547" s="52"/>
      <c r="AJ1547" s="52"/>
      <c r="AL1547" s="34"/>
      <c r="AM1547" s="34"/>
      <c r="AN1547" s="34"/>
      <c r="AO1547" s="54"/>
      <c r="AP1547" s="34"/>
      <c r="AQ1547" s="34"/>
      <c r="AR1547" s="54"/>
      <c r="AS1547" s="54"/>
      <c r="AT1547" s="54"/>
      <c r="AU1547" s="54"/>
      <c r="AV1547" s="34"/>
      <c r="AW1547" s="34"/>
      <c r="AX1547" s="34"/>
      <c r="AY1547" s="34"/>
      <c r="AZ1547" s="34"/>
      <c r="BA1547" s="44"/>
      <c r="BB1547" s="34"/>
      <c r="BC1547" s="34"/>
    </row>
    <row r="1548" spans="1:55" x14ac:dyDescent="0.35" ht="15.0" customHeight="true">
      <c r="A1548" s="51"/>
      <c r="B1548" s="34"/>
      <c r="C1548" s="34"/>
      <c r="D1548" s="34"/>
      <c r="E1548" s="34"/>
      <c r="F1548" s="34"/>
      <c r="G1548" s="44"/>
      <c r="H1548" s="34"/>
      <c r="I1548" s="54"/>
      <c r="J1548" s="34"/>
      <c r="K1548" s="54"/>
      <c r="L1548" s="34"/>
      <c r="M1548" s="44"/>
      <c r="N1548" s="44"/>
      <c r="O1548" s="34"/>
      <c r="P1548" s="34"/>
      <c r="Q1548" s="34"/>
      <c r="R1548" s="34"/>
      <c r="V1548" s="44"/>
      <c r="X1548" s="95"/>
      <c r="Y1548" s="54"/>
      <c r="Z1548" s="54"/>
      <c r="AA1548" s="34"/>
      <c r="AB1548" s="34"/>
      <c r="AC1548" s="34"/>
      <c r="AD1548" s="34"/>
      <c r="AE1548" s="34"/>
      <c r="AF1548" s="34"/>
      <c r="AG1548" s="34"/>
      <c r="AH1548" s="34"/>
      <c r="AI1548" s="52"/>
      <c r="AJ1548" s="52"/>
      <c r="AL1548" s="34"/>
      <c r="AM1548" s="34"/>
      <c r="AN1548" s="34"/>
      <c r="AO1548" s="54"/>
      <c r="AP1548" s="34"/>
      <c r="AQ1548" s="34"/>
      <c r="AR1548" s="54"/>
      <c r="AS1548" s="54"/>
      <c r="AT1548" s="54"/>
      <c r="AU1548" s="54"/>
      <c r="AV1548" s="34"/>
      <c r="AW1548" s="34"/>
      <c r="AX1548" s="34"/>
      <c r="AY1548" s="34"/>
      <c r="AZ1548" s="34"/>
      <c r="BA1548" s="44"/>
      <c r="BB1548" s="34"/>
      <c r="BC1548" s="34"/>
    </row>
    <row r="1549" spans="1:55" x14ac:dyDescent="0.35" ht="15.0" customHeight="true">
      <c r="A1549" s="51"/>
      <c r="B1549" s="34"/>
      <c r="C1549" s="34"/>
      <c r="D1549" s="34"/>
      <c r="E1549" s="34"/>
      <c r="F1549" s="34"/>
      <c r="G1549" s="44"/>
      <c r="H1549" s="34"/>
      <c r="I1549" s="54"/>
      <c r="J1549" s="34"/>
      <c r="K1549" s="54"/>
      <c r="L1549" s="34"/>
      <c r="M1549" s="44"/>
      <c r="N1549" s="44"/>
      <c r="O1549" s="34"/>
      <c r="P1549" s="34"/>
      <c r="Q1549" s="34"/>
      <c r="R1549" s="34"/>
      <c r="V1549" s="44"/>
      <c r="X1549" s="95"/>
      <c r="Y1549" s="54"/>
      <c r="Z1549" s="54"/>
      <c r="AA1549" s="34"/>
      <c r="AB1549" s="34"/>
      <c r="AC1549" s="34"/>
      <c r="AD1549" s="34"/>
      <c r="AE1549" s="34"/>
      <c r="AF1549" s="34"/>
      <c r="AG1549" s="34"/>
      <c r="AH1549" s="34"/>
      <c r="AI1549" s="52"/>
      <c r="AJ1549" s="52"/>
      <c r="AL1549" s="34"/>
      <c r="AM1549" s="34"/>
      <c r="AN1549" s="34"/>
      <c r="AO1549" s="54"/>
      <c r="AP1549" s="34"/>
      <c r="AQ1549" s="34"/>
      <c r="AR1549" s="54"/>
      <c r="AS1549" s="54"/>
      <c r="AT1549" s="54"/>
      <c r="AU1549" s="54"/>
      <c r="AV1549" s="34"/>
      <c r="AW1549" s="34"/>
      <c r="AX1549" s="34"/>
      <c r="AY1549" s="34"/>
      <c r="AZ1549" s="34"/>
      <c r="BA1549" s="44"/>
      <c r="BB1549" s="34"/>
      <c r="BC1549" s="34"/>
    </row>
    <row r="1550" spans="1:55" x14ac:dyDescent="0.35" ht="15.0" customHeight="true">
      <c r="A1550" s="51"/>
      <c r="B1550" s="34"/>
      <c r="C1550" s="34"/>
      <c r="D1550" s="34"/>
      <c r="E1550" s="34"/>
      <c r="F1550" s="34"/>
      <c r="G1550" s="44"/>
      <c r="H1550" s="34"/>
      <c r="I1550" s="54"/>
      <c r="J1550" s="34"/>
      <c r="K1550" s="54"/>
      <c r="L1550" s="34"/>
      <c r="M1550" s="44"/>
      <c r="N1550" s="44"/>
      <c r="O1550" s="34"/>
      <c r="P1550" s="34"/>
      <c r="Q1550" s="34"/>
      <c r="R1550" s="34"/>
      <c r="V1550" s="44"/>
      <c r="X1550" s="95"/>
      <c r="Y1550" s="54"/>
      <c r="Z1550" s="54"/>
      <c r="AA1550" s="34"/>
      <c r="AB1550" s="34"/>
      <c r="AC1550" s="34"/>
      <c r="AD1550" s="34"/>
      <c r="AE1550" s="34"/>
      <c r="AF1550" s="34"/>
      <c r="AG1550" s="34"/>
      <c r="AH1550" s="34"/>
      <c r="AI1550" s="52"/>
      <c r="AJ1550" s="52"/>
      <c r="AL1550" s="34"/>
      <c r="AM1550" s="34"/>
      <c r="AN1550" s="34"/>
      <c r="AO1550" s="54"/>
      <c r="AP1550" s="34"/>
      <c r="AQ1550" s="34"/>
      <c r="AR1550" s="54"/>
      <c r="AS1550" s="54"/>
      <c r="AT1550" s="54"/>
      <c r="AU1550" s="54"/>
      <c r="AV1550" s="34"/>
      <c r="AW1550" s="34"/>
      <c r="AX1550" s="34"/>
      <c r="AY1550" s="34"/>
      <c r="AZ1550" s="34"/>
      <c r="BA1550" s="44"/>
      <c r="BB1550" s="34"/>
      <c r="BC1550" s="34"/>
    </row>
    <row r="1551" spans="1:55" x14ac:dyDescent="0.35" ht="15.0" customHeight="true">
      <c r="A1551" s="51"/>
      <c r="B1551" s="34"/>
      <c r="C1551" s="34"/>
      <c r="D1551" s="34"/>
      <c r="E1551" s="34"/>
      <c r="F1551" s="34"/>
      <c r="G1551" s="44"/>
      <c r="H1551" s="34"/>
      <c r="I1551" s="54"/>
      <c r="J1551" s="34"/>
      <c r="K1551" s="54"/>
      <c r="L1551" s="34"/>
      <c r="M1551" s="44"/>
      <c r="N1551" s="44"/>
      <c r="O1551" s="34"/>
      <c r="P1551" s="34"/>
      <c r="Q1551" s="34"/>
      <c r="R1551" s="34"/>
      <c r="V1551" s="44"/>
      <c r="X1551" s="95"/>
      <c r="Y1551" s="54"/>
      <c r="Z1551" s="54"/>
      <c r="AA1551" s="34"/>
      <c r="AB1551" s="34"/>
      <c r="AC1551" s="34"/>
      <c r="AD1551" s="34"/>
      <c r="AE1551" s="34"/>
      <c r="AF1551" s="34"/>
      <c r="AG1551" s="34"/>
      <c r="AH1551" s="34"/>
      <c r="AI1551" s="52"/>
      <c r="AJ1551" s="52"/>
      <c r="AL1551" s="34"/>
      <c r="AM1551" s="34"/>
      <c r="AN1551" s="34"/>
      <c r="AO1551" s="54"/>
      <c r="AP1551" s="34"/>
      <c r="AQ1551" s="34"/>
      <c r="AR1551" s="54"/>
      <c r="AS1551" s="54"/>
      <c r="AT1551" s="54"/>
      <c r="AU1551" s="54"/>
      <c r="AV1551" s="34"/>
      <c r="AW1551" s="34"/>
      <c r="AX1551" s="34"/>
      <c r="AY1551" s="34"/>
      <c r="AZ1551" s="34"/>
      <c r="BA1551" s="44"/>
      <c r="BB1551" s="34"/>
      <c r="BC1551" s="34"/>
    </row>
    <row r="1552" spans="1:55" x14ac:dyDescent="0.35" ht="15.0" customHeight="true">
      <c r="A1552" s="51"/>
      <c r="B1552" s="34"/>
      <c r="C1552" s="34"/>
      <c r="D1552" s="34"/>
      <c r="E1552" s="34"/>
      <c r="F1552" s="34"/>
      <c r="G1552" s="44"/>
      <c r="H1552" s="34"/>
      <c r="I1552" s="54"/>
      <c r="J1552" s="34"/>
      <c r="K1552" s="54"/>
      <c r="L1552" s="34"/>
      <c r="M1552" s="44"/>
      <c r="N1552" s="44"/>
      <c r="O1552" s="34"/>
      <c r="P1552" s="34"/>
      <c r="Q1552" s="34"/>
      <c r="R1552" s="34"/>
      <c r="V1552" s="44"/>
      <c r="X1552" s="95"/>
      <c r="Y1552" s="54"/>
      <c r="Z1552" s="54"/>
      <c r="AA1552" s="34"/>
      <c r="AB1552" s="34"/>
      <c r="AC1552" s="34"/>
      <c r="AD1552" s="34"/>
      <c r="AE1552" s="34"/>
      <c r="AF1552" s="34"/>
      <c r="AG1552" s="34"/>
      <c r="AH1552" s="34"/>
      <c r="AI1552" s="52"/>
      <c r="AJ1552" s="52"/>
      <c r="AL1552" s="34"/>
      <c r="AM1552" s="34"/>
      <c r="AN1552" s="34"/>
      <c r="AO1552" s="54"/>
      <c r="AP1552" s="34"/>
      <c r="AQ1552" s="34"/>
      <c r="AR1552" s="54"/>
      <c r="AS1552" s="54"/>
      <c r="AT1552" s="54"/>
      <c r="AU1552" s="54"/>
      <c r="AV1552" s="34"/>
      <c r="AW1552" s="34"/>
      <c r="AX1552" s="34"/>
      <c r="AY1552" s="34"/>
      <c r="AZ1552" s="34"/>
      <c r="BA1552" s="44"/>
      <c r="BB1552" s="34"/>
      <c r="BC1552" s="34"/>
    </row>
    <row r="1553" spans="1:55" x14ac:dyDescent="0.35" ht="15.0" customHeight="true">
      <c r="A1553" s="51"/>
      <c r="B1553" s="34"/>
      <c r="C1553" s="34"/>
      <c r="D1553" s="34"/>
      <c r="E1553" s="34"/>
      <c r="F1553" s="34"/>
      <c r="G1553" s="44"/>
      <c r="H1553" s="34"/>
      <c r="I1553" s="54"/>
      <c r="J1553" s="34"/>
      <c r="K1553" s="54"/>
      <c r="L1553" s="34"/>
      <c r="M1553" s="44"/>
      <c r="N1553" s="44"/>
      <c r="O1553" s="34"/>
      <c r="P1553" s="34"/>
      <c r="Q1553" s="34"/>
      <c r="R1553" s="34"/>
      <c r="V1553" s="44"/>
      <c r="X1553" s="95"/>
      <c r="Y1553" s="54"/>
      <c r="Z1553" s="54"/>
      <c r="AA1553" s="34"/>
      <c r="AB1553" s="34"/>
      <c r="AC1553" s="34"/>
      <c r="AD1553" s="34"/>
      <c r="AE1553" s="34"/>
      <c r="AF1553" s="34"/>
      <c r="AG1553" s="34"/>
      <c r="AH1553" s="34"/>
      <c r="AI1553" s="52"/>
      <c r="AJ1553" s="52"/>
      <c r="AL1553" s="34"/>
      <c r="AM1553" s="34"/>
      <c r="AN1553" s="34"/>
      <c r="AO1553" s="54"/>
      <c r="AP1553" s="34"/>
      <c r="AQ1553" s="34"/>
      <c r="AR1553" s="54"/>
      <c r="AS1553" s="54"/>
      <c r="AT1553" s="54"/>
      <c r="AU1553" s="54"/>
      <c r="AV1553" s="34"/>
      <c r="AW1553" s="34"/>
      <c r="AX1553" s="34"/>
      <c r="AY1553" s="34"/>
      <c r="AZ1553" s="34"/>
      <c r="BA1553" s="44"/>
      <c r="BB1553" s="34"/>
      <c r="BC1553" s="34"/>
    </row>
    <row r="1554" spans="1:55" x14ac:dyDescent="0.35" ht="15.0" customHeight="true">
      <c r="A1554" s="51"/>
      <c r="B1554" s="34"/>
      <c r="C1554" s="34"/>
      <c r="D1554" s="34"/>
      <c r="E1554" s="34"/>
      <c r="F1554" s="34"/>
      <c r="G1554" s="44"/>
      <c r="H1554" s="34"/>
      <c r="I1554" s="54"/>
      <c r="J1554" s="34"/>
      <c r="K1554" s="54"/>
      <c r="L1554" s="34"/>
      <c r="M1554" s="44"/>
      <c r="N1554" s="44"/>
      <c r="O1554" s="34"/>
      <c r="P1554" s="34"/>
      <c r="Q1554" s="34"/>
      <c r="R1554" s="34"/>
      <c r="V1554" s="44"/>
      <c r="X1554" s="95"/>
      <c r="Y1554" s="54"/>
      <c r="Z1554" s="54"/>
      <c r="AA1554" s="34"/>
      <c r="AB1554" s="34"/>
      <c r="AC1554" s="34"/>
      <c r="AD1554" s="34"/>
      <c r="AE1554" s="34"/>
      <c r="AF1554" s="34"/>
      <c r="AG1554" s="34"/>
      <c r="AH1554" s="34"/>
      <c r="AI1554" s="52"/>
      <c r="AJ1554" s="52"/>
      <c r="AL1554" s="34"/>
      <c r="AM1554" s="34"/>
      <c r="AN1554" s="34"/>
      <c r="AO1554" s="54"/>
      <c r="AP1554" s="34"/>
      <c r="AQ1554" s="34"/>
      <c r="AR1554" s="54"/>
      <c r="AS1554" s="54"/>
      <c r="AT1554" s="54"/>
      <c r="AU1554" s="54"/>
      <c r="AV1554" s="34"/>
      <c r="AW1554" s="34"/>
      <c r="AX1554" s="34"/>
      <c r="AY1554" s="34"/>
      <c r="AZ1554" s="34"/>
      <c r="BA1554" s="44"/>
      <c r="BB1554" s="34"/>
      <c r="BC1554" s="34"/>
    </row>
    <row r="1555" spans="1:55" x14ac:dyDescent="0.35" ht="15.0" customHeight="true">
      <c r="A1555" s="51"/>
      <c r="B1555" s="34"/>
      <c r="C1555" s="34"/>
      <c r="D1555" s="34"/>
      <c r="E1555" s="34"/>
      <c r="F1555" s="34"/>
      <c r="G1555" s="44"/>
      <c r="H1555" s="34"/>
      <c r="I1555" s="54"/>
      <c r="J1555" s="34"/>
      <c r="K1555" s="54"/>
      <c r="L1555" s="34"/>
      <c r="M1555" s="44"/>
      <c r="N1555" s="44"/>
      <c r="O1555" s="34"/>
      <c r="P1555" s="34"/>
      <c r="Q1555" s="34"/>
      <c r="R1555" s="34"/>
      <c r="V1555" s="44"/>
      <c r="X1555" s="95"/>
      <c r="Y1555" s="54"/>
      <c r="Z1555" s="54"/>
      <c r="AA1555" s="34"/>
      <c r="AB1555" s="34"/>
      <c r="AC1555" s="34"/>
      <c r="AD1555" s="34"/>
      <c r="AE1555" s="34"/>
      <c r="AF1555" s="34"/>
      <c r="AG1555" s="34"/>
      <c r="AH1555" s="34"/>
      <c r="AI1555" s="52"/>
      <c r="AJ1555" s="52"/>
      <c r="AL1555" s="34"/>
      <c r="AM1555" s="34"/>
      <c r="AN1555" s="34"/>
      <c r="AO1555" s="54"/>
      <c r="AP1555" s="34"/>
      <c r="AQ1555" s="34"/>
      <c r="AR1555" s="54"/>
      <c r="AS1555" s="54"/>
      <c r="AT1555" s="54"/>
      <c r="AU1555" s="54"/>
      <c r="AV1555" s="34"/>
      <c r="AW1555" s="34"/>
      <c r="AX1555" s="34"/>
      <c r="AY1555" s="34"/>
      <c r="AZ1555" s="34"/>
      <c r="BA1555" s="44"/>
      <c r="BB1555" s="34"/>
      <c r="BC1555" s="34"/>
    </row>
    <row r="1556" spans="1:55" x14ac:dyDescent="0.35" ht="15.0" customHeight="true">
      <c r="A1556" s="51"/>
      <c r="B1556" s="34"/>
      <c r="C1556" s="34"/>
      <c r="D1556" s="34"/>
      <c r="E1556" s="34"/>
      <c r="F1556" s="34"/>
      <c r="G1556" s="44"/>
      <c r="H1556" s="34"/>
      <c r="I1556" s="54"/>
      <c r="J1556" s="34"/>
      <c r="K1556" s="54"/>
      <c r="L1556" s="34"/>
      <c r="M1556" s="44"/>
      <c r="N1556" s="44"/>
      <c r="O1556" s="34"/>
      <c r="P1556" s="34"/>
      <c r="Q1556" s="34"/>
      <c r="R1556" s="34"/>
      <c r="V1556" s="44"/>
      <c r="X1556" s="95"/>
      <c r="Y1556" s="54"/>
      <c r="Z1556" s="54"/>
      <c r="AA1556" s="34"/>
      <c r="AB1556" s="34"/>
      <c r="AC1556" s="34"/>
      <c r="AD1556" s="34"/>
      <c r="AE1556" s="34"/>
      <c r="AF1556" s="34"/>
      <c r="AG1556" s="34"/>
      <c r="AH1556" s="34"/>
      <c r="AI1556" s="52"/>
      <c r="AJ1556" s="52"/>
      <c r="AL1556" s="34"/>
      <c r="AM1556" s="34"/>
      <c r="AN1556" s="34"/>
      <c r="AO1556" s="54"/>
      <c r="AP1556" s="34"/>
      <c r="AQ1556" s="34"/>
      <c r="AR1556" s="54"/>
      <c r="AS1556" s="54"/>
      <c r="AT1556" s="54"/>
      <c r="AU1556" s="54"/>
      <c r="AV1556" s="34"/>
      <c r="AW1556" s="34"/>
      <c r="AX1556" s="34"/>
      <c r="AY1556" s="34"/>
      <c r="AZ1556" s="34"/>
      <c r="BA1556" s="44"/>
      <c r="BB1556" s="34"/>
      <c r="BC1556" s="34"/>
    </row>
    <row r="1557" spans="1:55" x14ac:dyDescent="0.35" ht="15.0" customHeight="true">
      <c r="A1557" s="51"/>
      <c r="B1557" s="34"/>
      <c r="C1557" s="34"/>
      <c r="D1557" s="34"/>
      <c r="E1557" s="34"/>
      <c r="F1557" s="34"/>
      <c r="G1557" s="44"/>
      <c r="H1557" s="34"/>
      <c r="I1557" s="54"/>
      <c r="J1557" s="34"/>
      <c r="K1557" s="54"/>
      <c r="L1557" s="34"/>
      <c r="M1557" s="44"/>
      <c r="N1557" s="44"/>
      <c r="O1557" s="34"/>
      <c r="P1557" s="34"/>
      <c r="Q1557" s="34"/>
      <c r="R1557" s="34"/>
      <c r="V1557" s="44"/>
      <c r="X1557" s="95"/>
      <c r="Y1557" s="54"/>
      <c r="Z1557" s="54"/>
      <c r="AA1557" s="34"/>
      <c r="AB1557" s="34"/>
      <c r="AC1557" s="34"/>
      <c r="AD1557" s="34"/>
      <c r="AE1557" s="34"/>
      <c r="AF1557" s="34"/>
      <c r="AG1557" s="34"/>
      <c r="AH1557" s="34"/>
      <c r="AI1557" s="52"/>
      <c r="AJ1557" s="52"/>
      <c r="AL1557" s="34"/>
      <c r="AM1557" s="34"/>
      <c r="AN1557" s="34"/>
      <c r="AO1557" s="54"/>
      <c r="AP1557" s="34"/>
      <c r="AQ1557" s="34"/>
      <c r="AR1557" s="54"/>
      <c r="AS1557" s="54"/>
      <c r="AT1557" s="54"/>
      <c r="AU1557" s="54"/>
      <c r="AV1557" s="34"/>
      <c r="AW1557" s="34"/>
      <c r="AX1557" s="34"/>
      <c r="AY1557" s="34"/>
      <c r="AZ1557" s="34"/>
      <c r="BA1557" s="44"/>
      <c r="BB1557" s="34"/>
      <c r="BC1557" s="34"/>
    </row>
    <row r="1558" spans="1:55" x14ac:dyDescent="0.35" ht="15.0" customHeight="true">
      <c r="A1558" s="51"/>
      <c r="B1558" s="34"/>
      <c r="C1558" s="34"/>
      <c r="D1558" s="34"/>
      <c r="E1558" s="34"/>
      <c r="F1558" s="34"/>
      <c r="G1558" s="44"/>
      <c r="H1558" s="34"/>
      <c r="I1558" s="54"/>
      <c r="J1558" s="34"/>
      <c r="K1558" s="54"/>
      <c r="L1558" s="34"/>
      <c r="M1558" s="44"/>
      <c r="N1558" s="44"/>
      <c r="O1558" s="34"/>
      <c r="P1558" s="34"/>
      <c r="Q1558" s="34"/>
      <c r="R1558" s="34"/>
      <c r="V1558" s="44"/>
      <c r="X1558" s="95"/>
      <c r="Y1558" s="54"/>
      <c r="Z1558" s="54"/>
      <c r="AA1558" s="34"/>
      <c r="AB1558" s="34"/>
      <c r="AC1558" s="34"/>
      <c r="AD1558" s="34"/>
      <c r="AE1558" s="34"/>
      <c r="AF1558" s="34"/>
      <c r="AG1558" s="34"/>
      <c r="AH1558" s="34"/>
      <c r="AI1558" s="52"/>
      <c r="AJ1558" s="52"/>
      <c r="AL1558" s="34"/>
      <c r="AM1558" s="34"/>
      <c r="AN1558" s="34"/>
      <c r="AO1558" s="54"/>
      <c r="AP1558" s="34"/>
      <c r="AQ1558" s="34"/>
      <c r="AR1558" s="54"/>
      <c r="AS1558" s="54"/>
      <c r="AT1558" s="54"/>
      <c r="AU1558" s="54"/>
      <c r="AV1558" s="34"/>
      <c r="AW1558" s="34"/>
      <c r="AX1558" s="34"/>
      <c r="AY1558" s="34"/>
      <c r="AZ1558" s="34"/>
      <c r="BA1558" s="44"/>
      <c r="BB1558" s="34"/>
      <c r="BC1558" s="34"/>
    </row>
    <row r="1559" spans="1:55" x14ac:dyDescent="0.35" ht="15.0" customHeight="true">
      <c r="A1559" s="51"/>
      <c r="B1559" s="34"/>
      <c r="C1559" s="34"/>
      <c r="D1559" s="34"/>
      <c r="E1559" s="34"/>
      <c r="F1559" s="34"/>
      <c r="G1559" s="44"/>
      <c r="H1559" s="34"/>
      <c r="I1559" s="54"/>
      <c r="J1559" s="34"/>
      <c r="K1559" s="54"/>
      <c r="L1559" s="34"/>
      <c r="M1559" s="44"/>
      <c r="N1559" s="44"/>
      <c r="O1559" s="34"/>
      <c r="P1559" s="34"/>
      <c r="Q1559" s="34"/>
      <c r="R1559" s="34"/>
      <c r="V1559" s="44"/>
      <c r="X1559" s="95"/>
      <c r="Y1559" s="54"/>
      <c r="Z1559" s="54"/>
      <c r="AA1559" s="34"/>
      <c r="AB1559" s="34"/>
      <c r="AC1559" s="34"/>
      <c r="AD1559" s="34"/>
      <c r="AE1559" s="34"/>
      <c r="AF1559" s="34"/>
      <c r="AG1559" s="34"/>
      <c r="AH1559" s="34"/>
      <c r="AI1559" s="52"/>
      <c r="AJ1559" s="52"/>
      <c r="AL1559" s="34"/>
      <c r="AM1559" s="34"/>
      <c r="AN1559" s="34"/>
      <c r="AO1559" s="54"/>
      <c r="AP1559" s="34"/>
      <c r="AQ1559" s="34"/>
      <c r="AR1559" s="54"/>
      <c r="AS1559" s="54"/>
      <c r="AT1559" s="54"/>
      <c r="AU1559" s="54"/>
      <c r="AV1559" s="34"/>
      <c r="AW1559" s="34"/>
      <c r="AX1559" s="34"/>
      <c r="AY1559" s="34"/>
      <c r="AZ1559" s="34"/>
      <c r="BA1559" s="44"/>
      <c r="BB1559" s="34"/>
      <c r="BC1559" s="34"/>
    </row>
    <row r="1560" spans="1:55" x14ac:dyDescent="0.35" ht="15.0" customHeight="true">
      <c r="A1560" s="51"/>
      <c r="B1560" s="34"/>
      <c r="C1560" s="34"/>
      <c r="D1560" s="34"/>
      <c r="E1560" s="34"/>
      <c r="F1560" s="34"/>
      <c r="G1560" s="44"/>
      <c r="H1560" s="34"/>
      <c r="I1560" s="54"/>
      <c r="J1560" s="34"/>
      <c r="K1560" s="54"/>
      <c r="L1560" s="34"/>
      <c r="M1560" s="44"/>
      <c r="N1560" s="44"/>
      <c r="O1560" s="34"/>
      <c r="P1560" s="34"/>
      <c r="Q1560" s="34"/>
      <c r="R1560" s="34"/>
      <c r="V1560" s="44"/>
      <c r="X1560" s="95"/>
      <c r="Y1560" s="54"/>
      <c r="Z1560" s="54"/>
      <c r="AA1560" s="34"/>
      <c r="AB1560" s="34"/>
      <c r="AC1560" s="34"/>
      <c r="AD1560" s="34"/>
      <c r="AE1560" s="34"/>
      <c r="AF1560" s="34"/>
      <c r="AG1560" s="34"/>
      <c r="AH1560" s="34"/>
      <c r="AI1560" s="52"/>
      <c r="AJ1560" s="52"/>
      <c r="AL1560" s="34"/>
      <c r="AM1560" s="34"/>
      <c r="AN1560" s="34"/>
      <c r="AO1560" s="54"/>
      <c r="AP1560" s="34"/>
      <c r="AQ1560" s="34"/>
      <c r="AR1560" s="54"/>
      <c r="AS1560" s="54"/>
      <c r="AT1560" s="54"/>
      <c r="AU1560" s="54"/>
      <c r="AV1560" s="34"/>
      <c r="AW1560" s="34"/>
      <c r="AX1560" s="34"/>
      <c r="AY1560" s="34"/>
      <c r="AZ1560" s="34"/>
      <c r="BA1560" s="44"/>
      <c r="BB1560" s="34"/>
      <c r="BC1560" s="34"/>
    </row>
    <row r="1561" spans="1:55" x14ac:dyDescent="0.35" ht="15.0" customHeight="true">
      <c r="A1561" s="51"/>
      <c r="B1561" s="34"/>
      <c r="C1561" s="34"/>
      <c r="D1561" s="34"/>
      <c r="E1561" s="34"/>
      <c r="F1561" s="34"/>
      <c r="G1561" s="44"/>
      <c r="H1561" s="34"/>
      <c r="I1561" s="54"/>
      <c r="J1561" s="34"/>
      <c r="K1561" s="54"/>
      <c r="L1561" s="34"/>
      <c r="M1561" s="44"/>
      <c r="N1561" s="44"/>
      <c r="O1561" s="34"/>
      <c r="P1561" s="34"/>
      <c r="Q1561" s="34"/>
      <c r="R1561" s="34"/>
      <c r="V1561" s="44"/>
      <c r="X1561" s="95"/>
      <c r="Y1561" s="54"/>
      <c r="Z1561" s="54"/>
      <c r="AA1561" s="34"/>
      <c r="AB1561" s="34"/>
      <c r="AC1561" s="34"/>
      <c r="AD1561" s="34"/>
      <c r="AE1561" s="34"/>
      <c r="AF1561" s="34"/>
      <c r="AG1561" s="34"/>
      <c r="AH1561" s="34"/>
      <c r="AI1561" s="52"/>
      <c r="AJ1561" s="52"/>
      <c r="AL1561" s="34"/>
      <c r="AM1561" s="34"/>
      <c r="AN1561" s="34"/>
      <c r="AO1561" s="54"/>
      <c r="AP1561" s="34"/>
      <c r="AQ1561" s="34"/>
      <c r="AR1561" s="54"/>
      <c r="AS1561" s="54"/>
      <c r="AT1561" s="54"/>
      <c r="AU1561" s="54"/>
      <c r="AV1561" s="34"/>
      <c r="AW1561" s="34"/>
      <c r="AX1561" s="34"/>
      <c r="AY1561" s="34"/>
      <c r="AZ1561" s="34"/>
      <c r="BA1561" s="44"/>
      <c r="BB1561" s="34"/>
      <c r="BC1561" s="34"/>
    </row>
    <row r="1562" spans="1:55" x14ac:dyDescent="0.35" ht="15.0" customHeight="true">
      <c r="A1562" s="51"/>
      <c r="B1562" s="34"/>
      <c r="C1562" s="34"/>
      <c r="D1562" s="34"/>
      <c r="E1562" s="34"/>
      <c r="F1562" s="34"/>
      <c r="G1562" s="44"/>
      <c r="H1562" s="34"/>
      <c r="I1562" s="54"/>
      <c r="J1562" s="34"/>
      <c r="K1562" s="54"/>
      <c r="L1562" s="34"/>
      <c r="M1562" s="44"/>
      <c r="N1562" s="44"/>
      <c r="O1562" s="34"/>
      <c r="P1562" s="34"/>
      <c r="Q1562" s="34"/>
      <c r="R1562" s="34"/>
      <c r="V1562" s="44"/>
      <c r="X1562" s="95"/>
      <c r="Y1562" s="54"/>
      <c r="Z1562" s="54"/>
      <c r="AA1562" s="34"/>
      <c r="AB1562" s="34"/>
      <c r="AC1562" s="34"/>
      <c r="AD1562" s="34"/>
      <c r="AE1562" s="34"/>
      <c r="AF1562" s="34"/>
      <c r="AG1562" s="34"/>
      <c r="AH1562" s="34"/>
      <c r="AI1562" s="52"/>
      <c r="AJ1562" s="52"/>
      <c r="AL1562" s="34"/>
      <c r="AM1562" s="34"/>
      <c r="AN1562" s="34"/>
      <c r="AO1562" s="54"/>
      <c r="AP1562" s="34"/>
      <c r="AQ1562" s="34"/>
      <c r="AR1562" s="54"/>
      <c r="AS1562" s="54"/>
      <c r="AT1562" s="54"/>
      <c r="AU1562" s="54"/>
      <c r="AV1562" s="34"/>
      <c r="AW1562" s="34"/>
      <c r="AX1562" s="34"/>
      <c r="AY1562" s="34"/>
      <c r="AZ1562" s="34"/>
      <c r="BA1562" s="44"/>
      <c r="BB1562" s="34"/>
      <c r="BC1562" s="34"/>
    </row>
    <row r="1563" spans="1:55" x14ac:dyDescent="0.35" ht="15.0" customHeight="true">
      <c r="A1563" s="51"/>
      <c r="B1563" s="34"/>
      <c r="C1563" s="34"/>
      <c r="D1563" s="34"/>
      <c r="E1563" s="34"/>
      <c r="F1563" s="34"/>
      <c r="G1563" s="44"/>
      <c r="H1563" s="34"/>
      <c r="I1563" s="54"/>
      <c r="J1563" s="34"/>
      <c r="K1563" s="54"/>
      <c r="L1563" s="34"/>
      <c r="M1563" s="44"/>
      <c r="N1563" s="44"/>
      <c r="O1563" s="34"/>
      <c r="P1563" s="34"/>
      <c r="Q1563" s="34"/>
      <c r="R1563" s="34"/>
      <c r="V1563" s="44"/>
      <c r="X1563" s="95"/>
      <c r="Y1563" s="54"/>
      <c r="Z1563" s="54"/>
      <c r="AA1563" s="34"/>
      <c r="AB1563" s="34"/>
      <c r="AC1563" s="34"/>
      <c r="AD1563" s="34"/>
      <c r="AE1563" s="34"/>
      <c r="AF1563" s="34"/>
      <c r="AG1563" s="34"/>
      <c r="AH1563" s="34"/>
      <c r="AI1563" s="52"/>
      <c r="AJ1563" s="52"/>
      <c r="AL1563" s="34"/>
      <c r="AM1563" s="34"/>
      <c r="AN1563" s="34"/>
      <c r="AO1563" s="54"/>
      <c r="AP1563" s="34"/>
      <c r="AQ1563" s="34"/>
      <c r="AR1563" s="54"/>
      <c r="AS1563" s="54"/>
      <c r="AT1563" s="54"/>
      <c r="AU1563" s="54"/>
      <c r="AV1563" s="34"/>
      <c r="AW1563" s="34"/>
      <c r="AX1563" s="34"/>
      <c r="AY1563" s="34"/>
      <c r="AZ1563" s="34"/>
      <c r="BA1563" s="44"/>
      <c r="BB1563" s="34"/>
      <c r="BC1563" s="34"/>
    </row>
    <row r="1564" spans="1:55" x14ac:dyDescent="0.35" ht="15.0" customHeight="true">
      <c r="A1564" s="51"/>
      <c r="B1564" s="34"/>
      <c r="C1564" s="34"/>
      <c r="D1564" s="34"/>
      <c r="E1564" s="34"/>
      <c r="F1564" s="34"/>
      <c r="G1564" s="44"/>
      <c r="H1564" s="34"/>
      <c r="I1564" s="54"/>
      <c r="J1564" s="34"/>
      <c r="K1564" s="54"/>
      <c r="L1564" s="34"/>
      <c r="M1564" s="44"/>
      <c r="N1564" s="44"/>
      <c r="O1564" s="34"/>
      <c r="P1564" s="34"/>
      <c r="Q1564" s="34"/>
      <c r="R1564" s="34"/>
      <c r="V1564" s="44"/>
      <c r="X1564" s="95"/>
      <c r="Y1564" s="54"/>
      <c r="Z1564" s="54"/>
      <c r="AA1564" s="34"/>
      <c r="AB1564" s="34"/>
      <c r="AC1564" s="34"/>
      <c r="AD1564" s="34"/>
      <c r="AE1564" s="34"/>
      <c r="AF1564" s="34"/>
      <c r="AG1564" s="34"/>
      <c r="AH1564" s="34"/>
      <c r="AI1564" s="52"/>
      <c r="AJ1564" s="52"/>
      <c r="AL1564" s="34"/>
      <c r="AM1564" s="34"/>
      <c r="AN1564" s="34"/>
      <c r="AO1564" s="54"/>
      <c r="AP1564" s="34"/>
      <c r="AQ1564" s="34"/>
      <c r="AR1564" s="54"/>
      <c r="AS1564" s="54"/>
      <c r="AT1564" s="54"/>
      <c r="AU1564" s="54"/>
      <c r="AV1564" s="34"/>
      <c r="AW1564" s="34"/>
      <c r="AX1564" s="34"/>
      <c r="AY1564" s="34"/>
      <c r="AZ1564" s="34"/>
      <c r="BA1564" s="44"/>
      <c r="BB1564" s="34"/>
      <c r="BC1564" s="34"/>
    </row>
    <row r="1565" spans="1:55" x14ac:dyDescent="0.35" ht="15.0" customHeight="true">
      <c r="A1565" s="51"/>
      <c r="B1565" s="34"/>
      <c r="C1565" s="34"/>
      <c r="D1565" s="34"/>
      <c r="E1565" s="34"/>
      <c r="F1565" s="34"/>
      <c r="G1565" s="44"/>
      <c r="H1565" s="34"/>
      <c r="I1565" s="54"/>
      <c r="J1565" s="34"/>
      <c r="K1565" s="54"/>
      <c r="L1565" s="34"/>
      <c r="M1565" s="44"/>
      <c r="N1565" s="44"/>
      <c r="O1565" s="34"/>
      <c r="P1565" s="34"/>
      <c r="Q1565" s="34"/>
      <c r="R1565" s="34"/>
      <c r="V1565" s="44"/>
      <c r="X1565" s="95"/>
      <c r="Y1565" s="54"/>
      <c r="Z1565" s="54"/>
      <c r="AA1565" s="34"/>
      <c r="AB1565" s="34"/>
      <c r="AC1565" s="34"/>
      <c r="AD1565" s="34"/>
      <c r="AE1565" s="34"/>
      <c r="AF1565" s="34"/>
      <c r="AG1565" s="34"/>
      <c r="AH1565" s="34"/>
      <c r="AI1565" s="52"/>
      <c r="AJ1565" s="52"/>
      <c r="AL1565" s="34"/>
      <c r="AM1565" s="34"/>
      <c r="AN1565" s="34"/>
      <c r="AO1565" s="54"/>
      <c r="AP1565" s="34"/>
      <c r="AQ1565" s="34"/>
      <c r="AR1565" s="54"/>
      <c r="AS1565" s="54"/>
      <c r="AT1565" s="54"/>
      <c r="AU1565" s="54"/>
      <c r="AV1565" s="34"/>
      <c r="AW1565" s="34"/>
      <c r="AX1565" s="34"/>
      <c r="AY1565" s="34"/>
      <c r="AZ1565" s="34"/>
      <c r="BA1565" s="44"/>
      <c r="BB1565" s="34"/>
      <c r="BC1565" s="34"/>
    </row>
    <row r="1566" spans="1:55" x14ac:dyDescent="0.35" ht="15.0" customHeight="true">
      <c r="A1566" s="51"/>
      <c r="B1566" s="34"/>
      <c r="C1566" s="34"/>
      <c r="D1566" s="34"/>
      <c r="E1566" s="34"/>
      <c r="F1566" s="34"/>
      <c r="G1566" s="44"/>
      <c r="H1566" s="34"/>
      <c r="I1566" s="54"/>
      <c r="J1566" s="34"/>
      <c r="K1566" s="54"/>
      <c r="L1566" s="34"/>
      <c r="M1566" s="44"/>
      <c r="N1566" s="44"/>
      <c r="O1566" s="34"/>
      <c r="P1566" s="34"/>
      <c r="Q1566" s="34"/>
      <c r="R1566" s="34"/>
      <c r="V1566" s="44"/>
      <c r="X1566" s="95"/>
      <c r="Y1566" s="54"/>
      <c r="Z1566" s="54"/>
      <c r="AA1566" s="34"/>
      <c r="AB1566" s="34"/>
      <c r="AC1566" s="34"/>
      <c r="AD1566" s="34"/>
      <c r="AE1566" s="34"/>
      <c r="AF1566" s="34"/>
      <c r="AG1566" s="34"/>
      <c r="AH1566" s="34"/>
      <c r="AI1566" s="52"/>
      <c r="AJ1566" s="52"/>
      <c r="AL1566" s="34"/>
      <c r="AM1566" s="34"/>
      <c r="AN1566" s="34"/>
      <c r="AO1566" s="54"/>
      <c r="AP1566" s="34"/>
      <c r="AQ1566" s="34"/>
      <c r="AR1566" s="54"/>
      <c r="AS1566" s="54"/>
      <c r="AT1566" s="54"/>
      <c r="AU1566" s="54"/>
      <c r="AV1566" s="34"/>
      <c r="AW1566" s="34"/>
      <c r="AX1566" s="34"/>
      <c r="AY1566" s="34"/>
      <c r="AZ1566" s="34"/>
      <c r="BA1566" s="44"/>
      <c r="BB1566" s="34"/>
      <c r="BC1566" s="34"/>
    </row>
    <row r="1567" spans="1:55" x14ac:dyDescent="0.35" ht="15.0" customHeight="true">
      <c r="A1567" s="51"/>
      <c r="B1567" s="34"/>
      <c r="C1567" s="34"/>
      <c r="D1567" s="34"/>
      <c r="E1567" s="34"/>
      <c r="F1567" s="34"/>
      <c r="G1567" s="44"/>
      <c r="H1567" s="34"/>
      <c r="I1567" s="54"/>
      <c r="J1567" s="34"/>
      <c r="K1567" s="54"/>
      <c r="L1567" s="34"/>
      <c r="M1567" s="44"/>
      <c r="N1567" s="44"/>
      <c r="O1567" s="34"/>
      <c r="P1567" s="34"/>
      <c r="Q1567" s="34"/>
      <c r="R1567" s="34"/>
      <c r="V1567" s="44"/>
      <c r="X1567" s="95"/>
      <c r="Y1567" s="54"/>
      <c r="Z1567" s="54"/>
      <c r="AA1567" s="34"/>
      <c r="AB1567" s="34"/>
      <c r="AC1567" s="34"/>
      <c r="AD1567" s="34"/>
      <c r="AE1567" s="34"/>
      <c r="AF1567" s="34"/>
      <c r="AG1567" s="34"/>
      <c r="AH1567" s="34"/>
      <c r="AI1567" s="52"/>
      <c r="AJ1567" s="52"/>
      <c r="AL1567" s="34"/>
      <c r="AM1567" s="34"/>
      <c r="AN1567" s="34"/>
      <c r="AO1567" s="54"/>
      <c r="AP1567" s="34"/>
      <c r="AQ1567" s="34"/>
      <c r="AR1567" s="54"/>
      <c r="AS1567" s="54"/>
      <c r="AT1567" s="54"/>
      <c r="AU1567" s="54"/>
      <c r="AV1567" s="34"/>
      <c r="AW1567" s="34"/>
      <c r="AX1567" s="34"/>
      <c r="AY1567" s="34"/>
      <c r="AZ1567" s="34"/>
      <c r="BA1567" s="44"/>
      <c r="BB1567" s="34"/>
      <c r="BC1567" s="34"/>
    </row>
    <row r="1568" spans="1:55" x14ac:dyDescent="0.35" ht="15.0" customHeight="true">
      <c r="A1568" s="51"/>
      <c r="B1568" s="34"/>
      <c r="C1568" s="34"/>
      <c r="D1568" s="34"/>
      <c r="E1568" s="34"/>
      <c r="F1568" s="34"/>
      <c r="G1568" s="44"/>
      <c r="H1568" s="34"/>
      <c r="I1568" s="54"/>
      <c r="J1568" s="34"/>
      <c r="K1568" s="54"/>
      <c r="L1568" s="34"/>
      <c r="M1568" s="44"/>
      <c r="N1568" s="44"/>
      <c r="O1568" s="34"/>
      <c r="P1568" s="34"/>
      <c r="Q1568" s="34"/>
      <c r="R1568" s="34"/>
      <c r="V1568" s="44"/>
      <c r="X1568" s="95"/>
      <c r="Y1568" s="54"/>
      <c r="Z1568" s="54"/>
      <c r="AA1568" s="34"/>
      <c r="AB1568" s="34"/>
      <c r="AC1568" s="34"/>
      <c r="AD1568" s="34"/>
      <c r="AE1568" s="34"/>
      <c r="AF1568" s="34"/>
      <c r="AG1568" s="34"/>
      <c r="AH1568" s="34"/>
      <c r="AI1568" s="52"/>
      <c r="AJ1568" s="52"/>
      <c r="AL1568" s="34"/>
      <c r="AM1568" s="34"/>
      <c r="AN1568" s="34"/>
      <c r="AO1568" s="54"/>
      <c r="AP1568" s="34"/>
      <c r="AQ1568" s="34"/>
      <c r="AR1568" s="54"/>
      <c r="AS1568" s="54"/>
      <c r="AT1568" s="54"/>
      <c r="AU1568" s="54"/>
      <c r="AV1568" s="34"/>
      <c r="AW1568" s="34"/>
      <c r="AX1568" s="34"/>
      <c r="AY1568" s="34"/>
      <c r="AZ1568" s="34"/>
      <c r="BA1568" s="44"/>
      <c r="BB1568" s="34"/>
      <c r="BC1568" s="34"/>
    </row>
    <row r="1569" spans="1:55" x14ac:dyDescent="0.35" ht="15.0" customHeight="true">
      <c r="A1569" s="51"/>
      <c r="B1569" s="34"/>
      <c r="C1569" s="34"/>
      <c r="D1569" s="34"/>
      <c r="E1569" s="34"/>
      <c r="F1569" s="34"/>
      <c r="G1569" s="44"/>
      <c r="H1569" s="34"/>
      <c r="I1569" s="54"/>
      <c r="J1569" s="34"/>
      <c r="K1569" s="54"/>
      <c r="L1569" s="34"/>
      <c r="M1569" s="44"/>
      <c r="N1569" s="44"/>
      <c r="O1569" s="34"/>
      <c r="P1569" s="34"/>
      <c r="Q1569" s="34"/>
      <c r="R1569" s="34"/>
      <c r="V1569" s="44"/>
      <c r="X1569" s="95"/>
      <c r="Y1569" s="54"/>
      <c r="Z1569" s="54"/>
      <c r="AA1569" s="34"/>
      <c r="AB1569" s="34"/>
      <c r="AC1569" s="34"/>
      <c r="AD1569" s="34"/>
      <c r="AE1569" s="34"/>
      <c r="AF1569" s="34"/>
      <c r="AG1569" s="34"/>
      <c r="AH1569" s="34"/>
      <c r="AI1569" s="52"/>
      <c r="AJ1569" s="52"/>
      <c r="AL1569" s="34"/>
      <c r="AM1569" s="34"/>
      <c r="AN1569" s="34"/>
      <c r="AO1569" s="54"/>
      <c r="AP1569" s="34"/>
      <c r="AQ1569" s="34"/>
      <c r="AR1569" s="54"/>
      <c r="AS1569" s="54"/>
      <c r="AT1569" s="54"/>
      <c r="AU1569" s="54"/>
      <c r="AV1569" s="34"/>
      <c r="AW1569" s="34"/>
      <c r="AX1569" s="34"/>
      <c r="AY1569" s="34"/>
      <c r="AZ1569" s="34"/>
      <c r="BA1569" s="44"/>
      <c r="BB1569" s="34"/>
      <c r="BC1569" s="34"/>
    </row>
    <row r="1570" spans="1:55" x14ac:dyDescent="0.35" ht="15.0" customHeight="true">
      <c r="A1570" s="51"/>
      <c r="B1570" s="34"/>
      <c r="C1570" s="34"/>
      <c r="D1570" s="34"/>
      <c r="E1570" s="34"/>
      <c r="F1570" s="34"/>
      <c r="G1570" s="44"/>
      <c r="H1570" s="34"/>
      <c r="I1570" s="54"/>
      <c r="J1570" s="34"/>
      <c r="K1570" s="54"/>
      <c r="L1570" s="34"/>
      <c r="M1570" s="44"/>
      <c r="N1570" s="44"/>
      <c r="O1570" s="34"/>
      <c r="P1570" s="34"/>
      <c r="Q1570" s="34"/>
      <c r="R1570" s="34"/>
      <c r="V1570" s="44"/>
      <c r="X1570" s="95"/>
      <c r="Y1570" s="54"/>
      <c r="Z1570" s="54"/>
      <c r="AA1570" s="34"/>
      <c r="AB1570" s="34"/>
      <c r="AC1570" s="34"/>
      <c r="AD1570" s="34"/>
      <c r="AE1570" s="34"/>
      <c r="AF1570" s="34"/>
      <c r="AG1570" s="34"/>
      <c r="AH1570" s="34"/>
      <c r="AI1570" s="52"/>
      <c r="AJ1570" s="52"/>
      <c r="AL1570" s="34"/>
      <c r="AM1570" s="34"/>
      <c r="AN1570" s="34"/>
      <c r="AO1570" s="54"/>
      <c r="AP1570" s="34"/>
      <c r="AQ1570" s="34"/>
      <c r="AR1570" s="54"/>
      <c r="AS1570" s="54"/>
      <c r="AT1570" s="54"/>
      <c r="AU1570" s="54"/>
      <c r="AV1570" s="34"/>
      <c r="AW1570" s="34"/>
      <c r="AX1570" s="34"/>
      <c r="AY1570" s="34"/>
      <c r="AZ1570" s="34"/>
      <c r="BA1570" s="44"/>
      <c r="BB1570" s="34"/>
      <c r="BC1570" s="34"/>
    </row>
    <row r="1571" spans="1:55" x14ac:dyDescent="0.35" ht="15.0" customHeight="true">
      <c r="A1571" s="51"/>
      <c r="B1571" s="34"/>
      <c r="C1571" s="34"/>
      <c r="D1571" s="34"/>
      <c r="E1571" s="34"/>
      <c r="F1571" s="34"/>
      <c r="G1571" s="44"/>
      <c r="H1571" s="34"/>
      <c r="I1571" s="54"/>
      <c r="J1571" s="34"/>
      <c r="K1571" s="54"/>
      <c r="L1571" s="34"/>
      <c r="M1571" s="44"/>
      <c r="N1571" s="44"/>
      <c r="O1571" s="34"/>
      <c r="P1571" s="34"/>
      <c r="Q1571" s="34"/>
      <c r="R1571" s="34"/>
      <c r="V1571" s="44"/>
      <c r="X1571" s="95"/>
      <c r="Y1571" s="54"/>
      <c r="Z1571" s="54"/>
      <c r="AA1571" s="34"/>
      <c r="AB1571" s="34"/>
      <c r="AC1571" s="34"/>
      <c r="AD1571" s="34"/>
      <c r="AE1571" s="34"/>
      <c r="AF1571" s="34"/>
      <c r="AG1571" s="34"/>
      <c r="AH1571" s="34"/>
      <c r="AI1571" s="52"/>
      <c r="AJ1571" s="52"/>
      <c r="AL1571" s="34"/>
      <c r="AM1571" s="34"/>
      <c r="AN1571" s="34"/>
      <c r="AO1571" s="54"/>
      <c r="AP1571" s="34"/>
      <c r="AQ1571" s="34"/>
      <c r="AR1571" s="54"/>
      <c r="AS1571" s="54"/>
      <c r="AT1571" s="54"/>
      <c r="AU1571" s="54"/>
      <c r="AV1571" s="34"/>
      <c r="AW1571" s="34"/>
      <c r="AX1571" s="34"/>
      <c r="AY1571" s="34"/>
      <c r="AZ1571" s="34"/>
      <c r="BA1571" s="44"/>
      <c r="BB1571" s="34"/>
      <c r="BC1571" s="34"/>
    </row>
    <row r="1572" spans="1:55" x14ac:dyDescent="0.35" ht="15.0" customHeight="true">
      <c r="A1572" s="51"/>
      <c r="B1572" s="34"/>
      <c r="C1572" s="34"/>
      <c r="D1572" s="34"/>
      <c r="E1572" s="34"/>
      <c r="F1572" s="34"/>
      <c r="G1572" s="44"/>
      <c r="H1572" s="34"/>
      <c r="I1572" s="54"/>
      <c r="J1572" s="34"/>
      <c r="K1572" s="54"/>
      <c r="L1572" s="34"/>
      <c r="M1572" s="44"/>
      <c r="N1572" s="44"/>
      <c r="O1572" s="34"/>
      <c r="P1572" s="34"/>
      <c r="Q1572" s="34"/>
      <c r="R1572" s="34"/>
      <c r="V1572" s="44"/>
      <c r="X1572" s="95"/>
      <c r="Y1572" s="54"/>
      <c r="Z1572" s="54"/>
      <c r="AA1572" s="34"/>
      <c r="AB1572" s="34"/>
      <c r="AC1572" s="34"/>
      <c r="AD1572" s="34"/>
      <c r="AE1572" s="34"/>
      <c r="AF1572" s="34"/>
      <c r="AG1572" s="34"/>
      <c r="AH1572" s="34"/>
      <c r="AI1572" s="52"/>
      <c r="AJ1572" s="52"/>
      <c r="AL1572" s="34"/>
      <c r="AM1572" s="34"/>
      <c r="AN1572" s="34"/>
      <c r="AO1572" s="54"/>
      <c r="AP1572" s="34"/>
      <c r="AQ1572" s="34"/>
      <c r="AR1572" s="54"/>
      <c r="AS1572" s="54"/>
      <c r="AT1572" s="54"/>
      <c r="AU1572" s="54"/>
      <c r="AV1572" s="34"/>
      <c r="AW1572" s="34"/>
      <c r="AX1572" s="34"/>
      <c r="AY1572" s="34"/>
      <c r="AZ1572" s="34"/>
      <c r="BA1572" s="44"/>
      <c r="BB1572" s="34"/>
      <c r="BC1572" s="34"/>
    </row>
    <row r="1573" spans="1:55" x14ac:dyDescent="0.35" ht="15.0" customHeight="true">
      <c r="A1573" s="51"/>
      <c r="B1573" s="34"/>
      <c r="C1573" s="34"/>
      <c r="D1573" s="34"/>
      <c r="E1573" s="34"/>
      <c r="F1573" s="34"/>
      <c r="G1573" s="44"/>
      <c r="H1573" s="34"/>
      <c r="I1573" s="54"/>
      <c r="J1573" s="34"/>
      <c r="K1573" s="54"/>
      <c r="L1573" s="34"/>
      <c r="M1573" s="44"/>
      <c r="N1573" s="44"/>
      <c r="O1573" s="34"/>
      <c r="P1573" s="34"/>
      <c r="Q1573" s="34"/>
      <c r="R1573" s="34"/>
      <c r="V1573" s="44"/>
      <c r="X1573" s="95"/>
      <c r="Y1573" s="54"/>
      <c r="Z1573" s="54"/>
      <c r="AA1573" s="34"/>
      <c r="AB1573" s="34"/>
      <c r="AC1573" s="34"/>
      <c r="AD1573" s="34"/>
      <c r="AE1573" s="34"/>
      <c r="AF1573" s="34"/>
      <c r="AG1573" s="34"/>
      <c r="AH1573" s="34"/>
      <c r="AI1573" s="52"/>
      <c r="AJ1573" s="52"/>
      <c r="AL1573" s="34"/>
      <c r="AM1573" s="34"/>
      <c r="AN1573" s="34"/>
      <c r="AO1573" s="54"/>
      <c r="AP1573" s="34"/>
      <c r="AQ1573" s="34"/>
      <c r="AR1573" s="54"/>
      <c r="AS1573" s="54"/>
      <c r="AT1573" s="54"/>
      <c r="AU1573" s="54"/>
      <c r="AV1573" s="34"/>
      <c r="AW1573" s="34"/>
      <c r="AX1573" s="34"/>
      <c r="AY1573" s="34"/>
      <c r="AZ1573" s="34"/>
      <c r="BA1573" s="44"/>
      <c r="BB1573" s="34"/>
      <c r="BC1573" s="34"/>
    </row>
    <row r="1574" spans="1:55" x14ac:dyDescent="0.35" ht="15.0" customHeight="true">
      <c r="A1574" s="51"/>
      <c r="B1574" s="34"/>
      <c r="C1574" s="34"/>
      <c r="D1574" s="34"/>
      <c r="E1574" s="34"/>
      <c r="F1574" s="34"/>
      <c r="G1574" s="44"/>
      <c r="H1574" s="34"/>
      <c r="I1574" s="54"/>
      <c r="J1574" s="34"/>
      <c r="K1574" s="54"/>
      <c r="L1574" s="34"/>
      <c r="M1574" s="44"/>
      <c r="N1574" s="44"/>
      <c r="O1574" s="34"/>
      <c r="P1574" s="34"/>
      <c r="Q1574" s="34"/>
      <c r="R1574" s="34"/>
      <c r="V1574" s="44"/>
      <c r="X1574" s="95"/>
      <c r="Y1574" s="54"/>
      <c r="Z1574" s="54"/>
      <c r="AA1574" s="34"/>
      <c r="AB1574" s="34"/>
      <c r="AC1574" s="34"/>
      <c r="AD1574" s="34"/>
      <c r="AE1574" s="34"/>
      <c r="AF1574" s="34"/>
      <c r="AG1574" s="34"/>
      <c r="AH1574" s="34"/>
      <c r="AI1574" s="52"/>
      <c r="AJ1574" s="52"/>
      <c r="AL1574" s="34"/>
      <c r="AM1574" s="34"/>
      <c r="AN1574" s="34"/>
      <c r="AO1574" s="54"/>
      <c r="AP1574" s="34"/>
      <c r="AQ1574" s="34"/>
      <c r="AR1574" s="54"/>
      <c r="AS1574" s="54"/>
      <c r="AT1574" s="54"/>
      <c r="AU1574" s="54"/>
      <c r="AV1574" s="34"/>
      <c r="AW1574" s="34"/>
      <c r="AX1574" s="34"/>
      <c r="AY1574" s="34"/>
      <c r="AZ1574" s="34"/>
      <c r="BA1574" s="44"/>
      <c r="BB1574" s="34"/>
      <c r="BC1574" s="34"/>
    </row>
    <row r="1575" spans="1:55" x14ac:dyDescent="0.35" ht="15.0" customHeight="true">
      <c r="A1575" s="51"/>
      <c r="B1575" s="34"/>
      <c r="C1575" s="34"/>
      <c r="D1575" s="34"/>
      <c r="E1575" s="34"/>
      <c r="F1575" s="34"/>
      <c r="G1575" s="44"/>
      <c r="H1575" s="34"/>
      <c r="I1575" s="54"/>
      <c r="J1575" s="34"/>
      <c r="K1575" s="54"/>
      <c r="L1575" s="34"/>
      <c r="M1575" s="44"/>
      <c r="N1575" s="44"/>
      <c r="O1575" s="34"/>
      <c r="P1575" s="34"/>
      <c r="Q1575" s="34"/>
      <c r="R1575" s="34"/>
      <c r="V1575" s="44"/>
      <c r="X1575" s="95"/>
      <c r="Y1575" s="54"/>
      <c r="Z1575" s="54"/>
      <c r="AA1575" s="34"/>
      <c r="AB1575" s="34"/>
      <c r="AC1575" s="34"/>
      <c r="AD1575" s="34"/>
      <c r="AE1575" s="34"/>
      <c r="AF1575" s="34"/>
      <c r="AG1575" s="34"/>
      <c r="AH1575" s="34"/>
      <c r="AI1575" s="52"/>
      <c r="AJ1575" s="52"/>
      <c r="AL1575" s="34"/>
      <c r="AM1575" s="34"/>
      <c r="AN1575" s="34"/>
      <c r="AO1575" s="54"/>
      <c r="AP1575" s="34"/>
      <c r="AQ1575" s="34"/>
      <c r="AR1575" s="54"/>
      <c r="AS1575" s="54"/>
      <c r="AT1575" s="54"/>
      <c r="AU1575" s="54"/>
      <c r="AV1575" s="34"/>
      <c r="AW1575" s="34"/>
      <c r="AX1575" s="34"/>
      <c r="AY1575" s="34"/>
      <c r="AZ1575" s="34"/>
      <c r="BA1575" s="44"/>
      <c r="BB1575" s="34"/>
      <c r="BC1575" s="34"/>
    </row>
    <row r="1576" spans="1:55" x14ac:dyDescent="0.35" ht="15.0" customHeight="true">
      <c r="A1576" s="51"/>
      <c r="B1576" s="34"/>
      <c r="C1576" s="34"/>
      <c r="D1576" s="34"/>
      <c r="E1576" s="34"/>
      <c r="F1576" s="34"/>
      <c r="G1576" s="44"/>
      <c r="H1576" s="34"/>
      <c r="I1576" s="54"/>
      <c r="J1576" s="34"/>
      <c r="K1576" s="54"/>
      <c r="L1576" s="34"/>
      <c r="M1576" s="44"/>
      <c r="N1576" s="44"/>
      <c r="O1576" s="34"/>
      <c r="P1576" s="34"/>
      <c r="Q1576" s="34"/>
      <c r="R1576" s="34"/>
      <c r="V1576" s="44"/>
      <c r="X1576" s="95"/>
      <c r="Y1576" s="54"/>
      <c r="Z1576" s="54"/>
      <c r="AA1576" s="34"/>
      <c r="AB1576" s="34"/>
      <c r="AC1576" s="34"/>
      <c r="AD1576" s="34"/>
      <c r="AE1576" s="34"/>
      <c r="AF1576" s="34"/>
      <c r="AG1576" s="34"/>
      <c r="AH1576" s="34"/>
      <c r="AI1576" s="52"/>
      <c r="AJ1576" s="52"/>
      <c r="AL1576" s="34"/>
      <c r="AM1576" s="34"/>
      <c r="AN1576" s="34"/>
      <c r="AO1576" s="54"/>
      <c r="AP1576" s="34"/>
      <c r="AQ1576" s="34"/>
      <c r="AR1576" s="54"/>
      <c r="AS1576" s="54"/>
      <c r="AT1576" s="54"/>
      <c r="AU1576" s="54"/>
      <c r="AV1576" s="34"/>
      <c r="AW1576" s="34"/>
      <c r="AX1576" s="34"/>
      <c r="AY1576" s="34"/>
      <c r="AZ1576" s="34"/>
      <c r="BA1576" s="44"/>
      <c r="BB1576" s="34"/>
      <c r="BC1576" s="34"/>
    </row>
    <row r="1577" spans="1:55" x14ac:dyDescent="0.35" ht="15.0" customHeight="true">
      <c r="A1577" s="51"/>
      <c r="B1577" s="34"/>
      <c r="C1577" s="34"/>
      <c r="D1577" s="34"/>
      <c r="E1577" s="34"/>
      <c r="F1577" s="34"/>
      <c r="G1577" s="44"/>
      <c r="H1577" s="34"/>
      <c r="I1577" s="54"/>
      <c r="J1577" s="34"/>
      <c r="K1577" s="54"/>
      <c r="L1577" s="34"/>
      <c r="M1577" s="44"/>
      <c r="N1577" s="44"/>
      <c r="O1577" s="34"/>
      <c r="P1577" s="34"/>
      <c r="Q1577" s="34"/>
      <c r="R1577" s="34"/>
      <c r="V1577" s="44"/>
      <c r="X1577" s="95"/>
      <c r="Y1577" s="54"/>
      <c r="Z1577" s="54"/>
      <c r="AA1577" s="34"/>
      <c r="AB1577" s="34"/>
      <c r="AC1577" s="34"/>
      <c r="AD1577" s="34"/>
      <c r="AE1577" s="34"/>
      <c r="AF1577" s="34"/>
      <c r="AG1577" s="34"/>
      <c r="AH1577" s="34"/>
      <c r="AI1577" s="52"/>
      <c r="AJ1577" s="52"/>
      <c r="AL1577" s="34"/>
      <c r="AM1577" s="34"/>
      <c r="AN1577" s="34"/>
      <c r="AO1577" s="54"/>
      <c r="AP1577" s="34"/>
      <c r="AQ1577" s="34"/>
      <c r="AR1577" s="54"/>
      <c r="AS1577" s="54"/>
      <c r="AT1577" s="54"/>
      <c r="AU1577" s="54"/>
      <c r="AV1577" s="34"/>
      <c r="AW1577" s="34"/>
      <c r="AX1577" s="34"/>
      <c r="AY1577" s="34"/>
      <c r="AZ1577" s="34"/>
      <c r="BA1577" s="44"/>
      <c r="BB1577" s="34"/>
      <c r="BC1577" s="34"/>
    </row>
    <row r="1578" spans="1:55" x14ac:dyDescent="0.35" ht="15.0" customHeight="true">
      <c r="A1578" s="51"/>
      <c r="B1578" s="34"/>
      <c r="C1578" s="34"/>
      <c r="D1578" s="34"/>
      <c r="E1578" s="34"/>
      <c r="F1578" s="34"/>
      <c r="G1578" s="44"/>
      <c r="H1578" s="34"/>
      <c r="I1578" s="54"/>
      <c r="J1578" s="34"/>
      <c r="K1578" s="54"/>
      <c r="L1578" s="34"/>
      <c r="M1578" s="44"/>
      <c r="N1578" s="44"/>
      <c r="O1578" s="34"/>
      <c r="P1578" s="34"/>
      <c r="Q1578" s="34"/>
      <c r="R1578" s="34"/>
      <c r="V1578" s="44"/>
      <c r="X1578" s="95"/>
      <c r="Y1578" s="54"/>
      <c r="Z1578" s="54"/>
      <c r="AA1578" s="34"/>
      <c r="AB1578" s="34"/>
      <c r="AC1578" s="34"/>
      <c r="AD1578" s="34"/>
      <c r="AE1578" s="34"/>
      <c r="AF1578" s="34"/>
      <c r="AG1578" s="34"/>
      <c r="AH1578" s="34"/>
      <c r="AI1578" s="52"/>
      <c r="AJ1578" s="52"/>
      <c r="AL1578" s="34"/>
      <c r="AM1578" s="34"/>
      <c r="AN1578" s="34"/>
      <c r="AO1578" s="54"/>
      <c r="AP1578" s="34"/>
      <c r="AQ1578" s="34"/>
      <c r="AR1578" s="54"/>
      <c r="AS1578" s="54"/>
      <c r="AT1578" s="54"/>
      <c r="AU1578" s="54"/>
      <c r="AV1578" s="34"/>
      <c r="AW1578" s="34"/>
      <c r="AX1578" s="34"/>
      <c r="AY1578" s="34"/>
      <c r="AZ1578" s="34"/>
      <c r="BA1578" s="44"/>
      <c r="BB1578" s="34"/>
      <c r="BC1578" s="34"/>
    </row>
    <row r="1579" spans="1:55" x14ac:dyDescent="0.35" ht="15.0" customHeight="true">
      <c r="A1579" s="51"/>
      <c r="B1579" s="34"/>
      <c r="C1579" s="34"/>
      <c r="D1579" s="34"/>
      <c r="E1579" s="34"/>
      <c r="F1579" s="34"/>
      <c r="G1579" s="44"/>
      <c r="H1579" s="34"/>
      <c r="I1579" s="54"/>
      <c r="J1579" s="34"/>
      <c r="K1579" s="54"/>
      <c r="L1579" s="34"/>
      <c r="M1579" s="44"/>
      <c r="N1579" s="44"/>
      <c r="O1579" s="34"/>
      <c r="P1579" s="34"/>
      <c r="Q1579" s="34"/>
      <c r="R1579" s="34"/>
      <c r="V1579" s="44"/>
      <c r="X1579" s="95"/>
      <c r="Y1579" s="54"/>
      <c r="Z1579" s="54"/>
      <c r="AA1579" s="34"/>
      <c r="AB1579" s="34"/>
      <c r="AC1579" s="34"/>
      <c r="AD1579" s="34"/>
      <c r="AE1579" s="34"/>
      <c r="AF1579" s="34"/>
      <c r="AG1579" s="34"/>
      <c r="AH1579" s="34"/>
      <c r="AI1579" s="52"/>
      <c r="AJ1579" s="52"/>
      <c r="AL1579" s="34"/>
      <c r="AM1579" s="34"/>
      <c r="AN1579" s="34"/>
      <c r="AO1579" s="54"/>
      <c r="AP1579" s="34"/>
      <c r="AQ1579" s="34"/>
      <c r="AR1579" s="54"/>
      <c r="AS1579" s="54"/>
      <c r="AT1579" s="54"/>
      <c r="AU1579" s="54"/>
      <c r="AV1579" s="34"/>
      <c r="AW1579" s="34"/>
      <c r="AX1579" s="34"/>
      <c r="AY1579" s="34"/>
      <c r="AZ1579" s="34"/>
      <c r="BA1579" s="44"/>
      <c r="BB1579" s="34"/>
      <c r="BC1579" s="34"/>
    </row>
    <row r="1580" spans="1:55" x14ac:dyDescent="0.35" ht="15.0" customHeight="true">
      <c r="A1580" s="51"/>
      <c r="B1580" s="34"/>
      <c r="C1580" s="34"/>
      <c r="D1580" s="34"/>
      <c r="E1580" s="34"/>
      <c r="F1580" s="34"/>
      <c r="G1580" s="44"/>
      <c r="H1580" s="34"/>
      <c r="I1580" s="54"/>
      <c r="J1580" s="34"/>
      <c r="K1580" s="54"/>
      <c r="L1580" s="34"/>
      <c r="M1580" s="44"/>
      <c r="N1580" s="44"/>
      <c r="O1580" s="34"/>
      <c r="P1580" s="34"/>
      <c r="Q1580" s="34"/>
      <c r="R1580" s="34"/>
      <c r="V1580" s="44"/>
      <c r="X1580" s="95"/>
      <c r="Y1580" s="54"/>
      <c r="Z1580" s="54"/>
      <c r="AA1580" s="34"/>
      <c r="AB1580" s="34"/>
      <c r="AC1580" s="34"/>
      <c r="AD1580" s="34"/>
      <c r="AE1580" s="34"/>
      <c r="AF1580" s="34"/>
      <c r="AG1580" s="34"/>
      <c r="AH1580" s="34"/>
      <c r="AI1580" s="52"/>
      <c r="AJ1580" s="52"/>
      <c r="AL1580" s="34"/>
      <c r="AM1580" s="34"/>
      <c r="AN1580" s="34"/>
      <c r="AO1580" s="54"/>
      <c r="AP1580" s="34"/>
      <c r="AQ1580" s="34"/>
      <c r="AR1580" s="54"/>
      <c r="AS1580" s="54"/>
      <c r="AT1580" s="54"/>
      <c r="AU1580" s="54"/>
      <c r="AV1580" s="34"/>
      <c r="AW1580" s="34"/>
      <c r="AX1580" s="34"/>
      <c r="AY1580" s="34"/>
      <c r="AZ1580" s="34"/>
      <c r="BA1580" s="44"/>
      <c r="BB1580" s="34"/>
      <c r="BC1580" s="34"/>
    </row>
    <row r="1581" spans="1:55" x14ac:dyDescent="0.35" ht="15.0" customHeight="true">
      <c r="A1581" s="51"/>
      <c r="B1581" s="34"/>
      <c r="C1581" s="34"/>
      <c r="D1581" s="34"/>
      <c r="E1581" s="34"/>
      <c r="F1581" s="34"/>
      <c r="G1581" s="44"/>
      <c r="H1581" s="34"/>
      <c r="I1581" s="54"/>
      <c r="J1581" s="34"/>
      <c r="K1581" s="54"/>
      <c r="L1581" s="34"/>
      <c r="M1581" s="44"/>
      <c r="N1581" s="44"/>
      <c r="O1581" s="34"/>
      <c r="P1581" s="34"/>
      <c r="Q1581" s="34"/>
      <c r="R1581" s="34"/>
      <c r="V1581" s="44"/>
      <c r="X1581" s="95"/>
      <c r="Y1581" s="54"/>
      <c r="Z1581" s="54"/>
      <c r="AA1581" s="34"/>
      <c r="AB1581" s="34"/>
      <c r="AC1581" s="34"/>
      <c r="AD1581" s="34"/>
      <c r="AE1581" s="34"/>
      <c r="AF1581" s="34"/>
      <c r="AG1581" s="34"/>
      <c r="AH1581" s="34"/>
      <c r="AI1581" s="52"/>
      <c r="AJ1581" s="52"/>
      <c r="AL1581" s="34"/>
      <c r="AM1581" s="34"/>
      <c r="AN1581" s="34"/>
      <c r="AO1581" s="54"/>
      <c r="AP1581" s="34"/>
      <c r="AQ1581" s="34"/>
      <c r="AR1581" s="54"/>
      <c r="AS1581" s="54"/>
      <c r="AT1581" s="54"/>
      <c r="AU1581" s="54"/>
      <c r="AV1581" s="34"/>
      <c r="AW1581" s="34"/>
      <c r="AX1581" s="34"/>
      <c r="AY1581" s="34"/>
      <c r="AZ1581" s="34"/>
      <c r="BA1581" s="44"/>
      <c r="BB1581" s="34"/>
      <c r="BC1581" s="34"/>
    </row>
    <row r="1582" spans="1:55" x14ac:dyDescent="0.35" ht="15.0" customHeight="true">
      <c r="A1582" s="51"/>
      <c r="B1582" s="34"/>
      <c r="C1582" s="34"/>
      <c r="D1582" s="34"/>
      <c r="E1582" s="34"/>
      <c r="F1582" s="34"/>
      <c r="G1582" s="44"/>
      <c r="H1582" s="34"/>
      <c r="I1582" s="54"/>
      <c r="J1582" s="34"/>
      <c r="K1582" s="54"/>
      <c r="L1582" s="34"/>
      <c r="M1582" s="44"/>
      <c r="N1582" s="44"/>
      <c r="O1582" s="34"/>
      <c r="P1582" s="34"/>
      <c r="Q1582" s="34"/>
      <c r="R1582" s="34"/>
      <c r="V1582" s="44"/>
      <c r="X1582" s="95"/>
      <c r="Y1582" s="54"/>
      <c r="Z1582" s="54"/>
      <c r="AA1582" s="34"/>
      <c r="AB1582" s="34"/>
      <c r="AC1582" s="34"/>
      <c r="AD1582" s="34"/>
      <c r="AE1582" s="34"/>
      <c r="AF1582" s="34"/>
      <c r="AG1582" s="34"/>
      <c r="AH1582" s="34"/>
      <c r="AI1582" s="52"/>
      <c r="AJ1582" s="52"/>
      <c r="AL1582" s="34"/>
      <c r="AM1582" s="34"/>
      <c r="AN1582" s="34"/>
      <c r="AO1582" s="54"/>
      <c r="AP1582" s="34"/>
      <c r="AQ1582" s="34"/>
      <c r="AR1582" s="54"/>
      <c r="AS1582" s="54"/>
      <c r="AT1582" s="54"/>
      <c r="AU1582" s="54"/>
      <c r="AV1582" s="34"/>
      <c r="AW1582" s="34"/>
      <c r="AX1582" s="34"/>
      <c r="AY1582" s="34"/>
      <c r="AZ1582" s="34"/>
      <c r="BA1582" s="44"/>
      <c r="BB1582" s="34"/>
      <c r="BC1582" s="34"/>
    </row>
    <row r="1583" spans="1:55" x14ac:dyDescent="0.35" ht="15.0" customHeight="true">
      <c r="A1583" s="51"/>
      <c r="B1583" s="34"/>
      <c r="C1583" s="34"/>
      <c r="D1583" s="34"/>
      <c r="E1583" s="34"/>
      <c r="F1583" s="34"/>
      <c r="G1583" s="44"/>
      <c r="H1583" s="34"/>
      <c r="I1583" s="54"/>
      <c r="J1583" s="34"/>
      <c r="K1583" s="54"/>
      <c r="L1583" s="34"/>
      <c r="M1583" s="44"/>
      <c r="N1583" s="44"/>
      <c r="O1583" s="34"/>
      <c r="P1583" s="34"/>
      <c r="Q1583" s="34"/>
      <c r="R1583" s="34"/>
      <c r="V1583" s="44"/>
      <c r="X1583" s="95"/>
      <c r="Y1583" s="54"/>
      <c r="Z1583" s="54"/>
      <c r="AA1583" s="34"/>
      <c r="AB1583" s="34"/>
      <c r="AC1583" s="34"/>
      <c r="AD1583" s="34"/>
      <c r="AE1583" s="34"/>
      <c r="AF1583" s="34"/>
      <c r="AG1583" s="34"/>
      <c r="AH1583" s="34"/>
      <c r="AI1583" s="52"/>
      <c r="AJ1583" s="52"/>
      <c r="AL1583" s="34"/>
      <c r="AM1583" s="34"/>
      <c r="AN1583" s="34"/>
      <c r="AO1583" s="54"/>
      <c r="AP1583" s="34"/>
      <c r="AQ1583" s="34"/>
      <c r="AR1583" s="54"/>
      <c r="AS1583" s="54"/>
      <c r="AT1583" s="54"/>
      <c r="AU1583" s="54"/>
      <c r="AV1583" s="34"/>
      <c r="AW1583" s="34"/>
      <c r="AX1583" s="34"/>
      <c r="AY1583" s="34"/>
      <c r="AZ1583" s="34"/>
      <c r="BA1583" s="44"/>
      <c r="BB1583" s="34"/>
      <c r="BC1583" s="34"/>
    </row>
    <row r="1584" spans="1:55" x14ac:dyDescent="0.35" ht="15.0" customHeight="true">
      <c r="A1584" s="51"/>
      <c r="B1584" s="34"/>
      <c r="C1584" s="34"/>
      <c r="D1584" s="34"/>
      <c r="E1584" s="34"/>
      <c r="F1584" s="34"/>
      <c r="G1584" s="44"/>
      <c r="H1584" s="34"/>
      <c r="I1584" s="54"/>
      <c r="J1584" s="34"/>
      <c r="K1584" s="54"/>
      <c r="L1584" s="34"/>
      <c r="M1584" s="44"/>
      <c r="N1584" s="44"/>
      <c r="O1584" s="34"/>
      <c r="P1584" s="34"/>
      <c r="Q1584" s="34"/>
      <c r="R1584" s="34"/>
      <c r="V1584" s="44"/>
      <c r="X1584" s="95"/>
      <c r="Y1584" s="54"/>
      <c r="Z1584" s="54"/>
      <c r="AA1584" s="34"/>
      <c r="AB1584" s="34"/>
      <c r="AC1584" s="34"/>
      <c r="AD1584" s="34"/>
      <c r="AE1584" s="34"/>
      <c r="AF1584" s="34"/>
      <c r="AG1584" s="34"/>
      <c r="AH1584" s="34"/>
      <c r="AI1584" s="52"/>
      <c r="AJ1584" s="52"/>
      <c r="AL1584" s="34"/>
      <c r="AM1584" s="34"/>
      <c r="AN1584" s="34"/>
      <c r="AO1584" s="54"/>
      <c r="AP1584" s="34"/>
      <c r="AQ1584" s="34"/>
      <c r="AR1584" s="54"/>
      <c r="AS1584" s="54"/>
      <c r="AT1584" s="54"/>
      <c r="AU1584" s="54"/>
      <c r="AV1584" s="34"/>
      <c r="AW1584" s="34"/>
      <c r="AX1584" s="34"/>
      <c r="AY1584" s="34"/>
      <c r="AZ1584" s="34"/>
      <c r="BA1584" s="44"/>
      <c r="BB1584" s="34"/>
      <c r="BC1584" s="34"/>
    </row>
    <row r="1585" spans="1:55" x14ac:dyDescent="0.35" ht="15.0" customHeight="true">
      <c r="A1585" s="51"/>
      <c r="B1585" s="34"/>
      <c r="C1585" s="34"/>
      <c r="D1585" s="34"/>
      <c r="E1585" s="34"/>
      <c r="F1585" s="34"/>
      <c r="G1585" s="44"/>
      <c r="H1585" s="34"/>
      <c r="I1585" s="54"/>
      <c r="J1585" s="34"/>
      <c r="K1585" s="54"/>
      <c r="L1585" s="34"/>
      <c r="M1585" s="44"/>
      <c r="N1585" s="44"/>
      <c r="O1585" s="34"/>
      <c r="P1585" s="34"/>
      <c r="Q1585" s="34"/>
      <c r="R1585" s="34"/>
      <c r="V1585" s="44"/>
      <c r="X1585" s="95"/>
      <c r="Y1585" s="54"/>
      <c r="Z1585" s="54"/>
      <c r="AA1585" s="34"/>
      <c r="AB1585" s="34"/>
      <c r="AC1585" s="34"/>
      <c r="AD1585" s="34"/>
      <c r="AE1585" s="34"/>
      <c r="AF1585" s="34"/>
      <c r="AG1585" s="34"/>
      <c r="AH1585" s="34"/>
      <c r="AI1585" s="52"/>
      <c r="AJ1585" s="52"/>
      <c r="AL1585" s="34"/>
      <c r="AM1585" s="34"/>
      <c r="AN1585" s="34"/>
      <c r="AO1585" s="54"/>
      <c r="AP1585" s="34"/>
      <c r="AQ1585" s="34"/>
      <c r="AR1585" s="54"/>
      <c r="AS1585" s="54"/>
      <c r="AT1585" s="54"/>
      <c r="AU1585" s="54"/>
      <c r="AV1585" s="34"/>
      <c r="AW1585" s="34"/>
      <c r="AX1585" s="34"/>
      <c r="AY1585" s="34"/>
      <c r="AZ1585" s="34"/>
      <c r="BA1585" s="44"/>
      <c r="BB1585" s="34"/>
      <c r="BC1585" s="34"/>
    </row>
    <row r="1586" spans="1:55" x14ac:dyDescent="0.35" ht="15.0" customHeight="true">
      <c r="A1586" s="51"/>
      <c r="B1586" s="34"/>
      <c r="C1586" s="34"/>
      <c r="D1586" s="34"/>
      <c r="E1586" s="34"/>
      <c r="F1586" s="34"/>
      <c r="G1586" s="44"/>
      <c r="H1586" s="34"/>
      <c r="I1586" s="54"/>
      <c r="J1586" s="34"/>
      <c r="K1586" s="54"/>
      <c r="L1586" s="34"/>
      <c r="M1586" s="44"/>
      <c r="N1586" s="44"/>
      <c r="O1586" s="34"/>
      <c r="P1586" s="34"/>
      <c r="Q1586" s="34"/>
      <c r="R1586" s="34"/>
      <c r="V1586" s="44"/>
      <c r="X1586" s="95"/>
      <c r="Y1586" s="54"/>
      <c r="Z1586" s="54"/>
      <c r="AA1586" s="34"/>
      <c r="AB1586" s="34"/>
      <c r="AC1586" s="34"/>
      <c r="AD1586" s="34"/>
      <c r="AE1586" s="34"/>
      <c r="AF1586" s="34"/>
      <c r="AG1586" s="34"/>
      <c r="AH1586" s="34"/>
      <c r="AI1586" s="52"/>
      <c r="AJ1586" s="52"/>
      <c r="AL1586" s="34"/>
      <c r="AM1586" s="34"/>
      <c r="AN1586" s="34"/>
      <c r="AO1586" s="54"/>
      <c r="AP1586" s="34"/>
      <c r="AQ1586" s="34"/>
      <c r="AR1586" s="54"/>
      <c r="AS1586" s="54"/>
      <c r="AT1586" s="54"/>
      <c r="AU1586" s="54"/>
      <c r="AV1586" s="34"/>
      <c r="AW1586" s="34"/>
      <c r="AX1586" s="34"/>
      <c r="AY1586" s="34"/>
      <c r="AZ1586" s="34"/>
      <c r="BA1586" s="44"/>
      <c r="BB1586" s="34"/>
      <c r="BC1586" s="34"/>
    </row>
    <row r="1587" spans="1:55" x14ac:dyDescent="0.35" ht="15.0" customHeight="true">
      <c r="A1587" s="51"/>
      <c r="B1587" s="34"/>
      <c r="C1587" s="34"/>
      <c r="D1587" s="34"/>
      <c r="E1587" s="34"/>
      <c r="F1587" s="34"/>
      <c r="G1587" s="44"/>
      <c r="H1587" s="34"/>
      <c r="I1587" s="54"/>
      <c r="J1587" s="34"/>
      <c r="K1587" s="54"/>
      <c r="L1587" s="34"/>
      <c r="M1587" s="44"/>
      <c r="N1587" s="44"/>
      <c r="O1587" s="34"/>
      <c r="P1587" s="34"/>
      <c r="Q1587" s="34"/>
      <c r="R1587" s="34"/>
      <c r="V1587" s="44"/>
      <c r="X1587" s="95"/>
      <c r="Y1587" s="54"/>
      <c r="Z1587" s="54"/>
      <c r="AA1587" s="34"/>
      <c r="AB1587" s="34"/>
      <c r="AC1587" s="34"/>
      <c r="AD1587" s="34"/>
      <c r="AE1587" s="34"/>
      <c r="AF1587" s="34"/>
      <c r="AG1587" s="34"/>
      <c r="AH1587" s="34"/>
      <c r="AI1587" s="52"/>
      <c r="AJ1587" s="52"/>
      <c r="AL1587" s="34"/>
      <c r="AM1587" s="34"/>
      <c r="AN1587" s="34"/>
      <c r="AO1587" s="54"/>
      <c r="AP1587" s="34"/>
      <c r="AQ1587" s="34"/>
      <c r="AR1587" s="54"/>
      <c r="AS1587" s="54"/>
      <c r="AT1587" s="54"/>
      <c r="AU1587" s="54"/>
      <c r="AV1587" s="34"/>
      <c r="AW1587" s="34"/>
      <c r="AX1587" s="34"/>
      <c r="AY1587" s="34"/>
      <c r="AZ1587" s="34"/>
      <c r="BA1587" s="44"/>
      <c r="BB1587" s="34"/>
      <c r="BC1587" s="34"/>
    </row>
    <row r="1588" spans="1:55" x14ac:dyDescent="0.35" ht="15.0" customHeight="true">
      <c r="A1588" s="51"/>
      <c r="B1588" s="34"/>
      <c r="C1588" s="34"/>
      <c r="D1588" s="34"/>
      <c r="E1588" s="34"/>
      <c r="F1588" s="34"/>
      <c r="G1588" s="44"/>
      <c r="H1588" s="34"/>
      <c r="I1588" s="54"/>
      <c r="J1588" s="34"/>
      <c r="K1588" s="54"/>
      <c r="L1588" s="34"/>
      <c r="M1588" s="44"/>
      <c r="N1588" s="44"/>
      <c r="O1588" s="34"/>
      <c r="P1588" s="34"/>
      <c r="Q1588" s="34"/>
      <c r="R1588" s="34"/>
      <c r="V1588" s="44"/>
      <c r="X1588" s="95"/>
      <c r="Y1588" s="54"/>
      <c r="Z1588" s="54"/>
      <c r="AA1588" s="34"/>
      <c r="AB1588" s="34"/>
      <c r="AC1588" s="34"/>
      <c r="AD1588" s="34"/>
      <c r="AE1588" s="34"/>
      <c r="AF1588" s="34"/>
      <c r="AG1588" s="34"/>
      <c r="AH1588" s="34"/>
      <c r="AI1588" s="52"/>
      <c r="AJ1588" s="52"/>
      <c r="AL1588" s="34"/>
      <c r="AM1588" s="34"/>
      <c r="AN1588" s="34"/>
      <c r="AO1588" s="54"/>
      <c r="AP1588" s="34"/>
      <c r="AQ1588" s="34"/>
      <c r="AR1588" s="54"/>
      <c r="AS1588" s="54"/>
      <c r="AT1588" s="54"/>
      <c r="AU1588" s="54"/>
      <c r="AV1588" s="34"/>
      <c r="AW1588" s="34"/>
      <c r="AX1588" s="34"/>
      <c r="AY1588" s="34"/>
      <c r="AZ1588" s="34"/>
      <c r="BA1588" s="44"/>
      <c r="BB1588" s="34"/>
      <c r="BC1588" s="34"/>
    </row>
    <row r="1589" spans="1:55" x14ac:dyDescent="0.35" ht="15.0" customHeight="true">
      <c r="A1589" s="51"/>
      <c r="B1589" s="34"/>
      <c r="C1589" s="34"/>
      <c r="D1589" s="34"/>
      <c r="E1589" s="34"/>
      <c r="F1589" s="34"/>
      <c r="G1589" s="44"/>
      <c r="H1589" s="34"/>
      <c r="I1589" s="54"/>
      <c r="J1589" s="34"/>
      <c r="K1589" s="54"/>
      <c r="L1589" s="34"/>
      <c r="M1589" s="44"/>
      <c r="N1589" s="44"/>
      <c r="O1589" s="34"/>
      <c r="P1589" s="34"/>
      <c r="Q1589" s="34"/>
      <c r="R1589" s="34"/>
      <c r="V1589" s="44"/>
      <c r="X1589" s="95"/>
      <c r="Y1589" s="54"/>
      <c r="Z1589" s="54"/>
      <c r="AA1589" s="34"/>
      <c r="AB1589" s="34"/>
      <c r="AC1589" s="34"/>
      <c r="AD1589" s="34"/>
      <c r="AE1589" s="34"/>
      <c r="AF1589" s="34"/>
      <c r="AG1589" s="34"/>
      <c r="AH1589" s="34"/>
      <c r="AI1589" s="52"/>
      <c r="AJ1589" s="52"/>
      <c r="AL1589" s="34"/>
      <c r="AM1589" s="34"/>
      <c r="AN1589" s="34"/>
      <c r="AO1589" s="54"/>
      <c r="AP1589" s="34"/>
      <c r="AQ1589" s="34"/>
      <c r="AR1589" s="54"/>
      <c r="AS1589" s="54"/>
      <c r="AT1589" s="54"/>
      <c r="AU1589" s="54"/>
      <c r="AV1589" s="34"/>
      <c r="AW1589" s="34"/>
      <c r="AX1589" s="34"/>
      <c r="AY1589" s="34"/>
      <c r="AZ1589" s="34"/>
      <c r="BA1589" s="44"/>
      <c r="BB1589" s="34"/>
      <c r="BC1589" s="34"/>
    </row>
    <row r="1590" spans="1:55" x14ac:dyDescent="0.35" ht="15.0" customHeight="true">
      <c r="A1590" s="51"/>
      <c r="B1590" s="34"/>
      <c r="C1590" s="34"/>
      <c r="D1590" s="34"/>
      <c r="E1590" s="34"/>
      <c r="F1590" s="34"/>
      <c r="G1590" s="44"/>
      <c r="H1590" s="34"/>
      <c r="I1590" s="54"/>
      <c r="J1590" s="34"/>
      <c r="K1590" s="54"/>
      <c r="L1590" s="34"/>
      <c r="M1590" s="44"/>
      <c r="N1590" s="44"/>
      <c r="O1590" s="34"/>
      <c r="P1590" s="34"/>
      <c r="Q1590" s="34"/>
      <c r="R1590" s="34"/>
      <c r="V1590" s="44"/>
      <c r="X1590" s="95"/>
      <c r="Y1590" s="54"/>
      <c r="Z1590" s="54"/>
      <c r="AA1590" s="34"/>
      <c r="AB1590" s="34"/>
      <c r="AC1590" s="34"/>
      <c r="AD1590" s="34"/>
      <c r="AE1590" s="34"/>
      <c r="AF1590" s="34"/>
      <c r="AG1590" s="34"/>
      <c r="AH1590" s="34"/>
      <c r="AI1590" s="52"/>
      <c r="AJ1590" s="52"/>
      <c r="AL1590" s="34"/>
      <c r="AM1590" s="34"/>
      <c r="AN1590" s="34"/>
      <c r="AO1590" s="54"/>
      <c r="AP1590" s="34"/>
      <c r="AQ1590" s="34"/>
      <c r="AR1590" s="54"/>
      <c r="AS1590" s="54"/>
      <c r="AT1590" s="54"/>
      <c r="AU1590" s="54"/>
      <c r="AV1590" s="34"/>
      <c r="AW1590" s="34"/>
      <c r="AX1590" s="34"/>
      <c r="AY1590" s="34"/>
      <c r="AZ1590" s="34"/>
      <c r="BA1590" s="44"/>
      <c r="BB1590" s="34"/>
      <c r="BC1590" s="34"/>
    </row>
    <row r="1591" spans="1:55" x14ac:dyDescent="0.35" ht="15.0" customHeight="true">
      <c r="A1591" s="51"/>
      <c r="B1591" s="34"/>
      <c r="C1591" s="34"/>
      <c r="D1591" s="34"/>
      <c r="E1591" s="34"/>
      <c r="F1591" s="34"/>
      <c r="G1591" s="44"/>
      <c r="H1591" s="34"/>
      <c r="I1591" s="54"/>
      <c r="J1591" s="34"/>
      <c r="K1591" s="54"/>
      <c r="L1591" s="34"/>
      <c r="M1591" s="44"/>
      <c r="N1591" s="44"/>
      <c r="O1591" s="34"/>
      <c r="P1591" s="34"/>
      <c r="Q1591" s="34"/>
      <c r="R1591" s="34"/>
      <c r="V1591" s="44"/>
      <c r="X1591" s="95"/>
      <c r="Y1591" s="54"/>
      <c r="Z1591" s="54"/>
      <c r="AA1591" s="34"/>
      <c r="AB1591" s="34"/>
      <c r="AC1591" s="34"/>
      <c r="AD1591" s="34"/>
      <c r="AE1591" s="34"/>
      <c r="AF1591" s="34"/>
      <c r="AG1591" s="34"/>
      <c r="AH1591" s="34"/>
      <c r="AI1591" s="52"/>
      <c r="AJ1591" s="52"/>
      <c r="AL1591" s="34"/>
      <c r="AM1591" s="34"/>
      <c r="AN1591" s="34"/>
      <c r="AO1591" s="54"/>
      <c r="AP1591" s="34"/>
      <c r="AQ1591" s="34"/>
      <c r="AR1591" s="54"/>
      <c r="AS1591" s="54"/>
      <c r="AT1591" s="54"/>
      <c r="AU1591" s="54"/>
      <c r="AV1591" s="34"/>
      <c r="AW1591" s="34"/>
      <c r="AX1591" s="34"/>
      <c r="AY1591" s="34"/>
      <c r="AZ1591" s="34"/>
      <c r="BA1591" s="44"/>
      <c r="BB1591" s="34"/>
      <c r="BC1591" s="34"/>
    </row>
    <row r="1592" spans="1:55" x14ac:dyDescent="0.35" ht="15.0" customHeight="true">
      <c r="A1592" s="51"/>
      <c r="B1592" s="34"/>
      <c r="C1592" s="34"/>
      <c r="D1592" s="34"/>
      <c r="E1592" s="34"/>
      <c r="F1592" s="34"/>
      <c r="G1592" s="44"/>
      <c r="H1592" s="34"/>
      <c r="I1592" s="54"/>
      <c r="J1592" s="34"/>
      <c r="K1592" s="54"/>
      <c r="L1592" s="34"/>
      <c r="M1592" s="44"/>
      <c r="N1592" s="44"/>
      <c r="O1592" s="34"/>
      <c r="P1592" s="34"/>
      <c r="Q1592" s="34"/>
      <c r="R1592" s="34"/>
      <c r="V1592" s="44"/>
      <c r="X1592" s="95"/>
      <c r="Y1592" s="54"/>
      <c r="Z1592" s="54"/>
      <c r="AA1592" s="34"/>
      <c r="AB1592" s="34"/>
      <c r="AC1592" s="34"/>
      <c r="AD1592" s="34"/>
      <c r="AE1592" s="34"/>
      <c r="AF1592" s="34"/>
      <c r="AG1592" s="34"/>
      <c r="AH1592" s="34"/>
      <c r="AI1592" s="52"/>
      <c r="AJ1592" s="52"/>
      <c r="AL1592" s="34"/>
      <c r="AM1592" s="34"/>
      <c r="AN1592" s="34"/>
      <c r="AO1592" s="54"/>
      <c r="AP1592" s="34"/>
      <c r="AQ1592" s="34"/>
      <c r="AR1592" s="54"/>
      <c r="AS1592" s="54"/>
      <c r="AT1592" s="54"/>
      <c r="AU1592" s="54"/>
      <c r="AV1592" s="34"/>
      <c r="AW1592" s="34"/>
      <c r="AX1592" s="34"/>
      <c r="AY1592" s="34"/>
      <c r="AZ1592" s="34"/>
      <c r="BA1592" s="44"/>
      <c r="BB1592" s="34"/>
      <c r="BC1592" s="34"/>
    </row>
    <row r="1593" spans="1:55" x14ac:dyDescent="0.35" ht="15.0" customHeight="true">
      <c r="A1593" s="51"/>
      <c r="B1593" s="34"/>
      <c r="C1593" s="34"/>
      <c r="D1593" s="34"/>
      <c r="E1593" s="34"/>
      <c r="F1593" s="34"/>
      <c r="G1593" s="44"/>
      <c r="H1593" s="34"/>
      <c r="I1593" s="54"/>
      <c r="J1593" s="34"/>
      <c r="K1593" s="54"/>
      <c r="L1593" s="34"/>
      <c r="M1593" s="44"/>
      <c r="N1593" s="44"/>
      <c r="O1593" s="34"/>
      <c r="P1593" s="34"/>
      <c r="Q1593" s="34"/>
      <c r="R1593" s="34"/>
      <c r="V1593" s="44"/>
      <c r="X1593" s="95"/>
      <c r="Y1593" s="54"/>
      <c r="Z1593" s="54"/>
      <c r="AA1593" s="34"/>
      <c r="AB1593" s="34"/>
      <c r="AC1593" s="34"/>
      <c r="AD1593" s="34"/>
      <c r="AE1593" s="34"/>
      <c r="AF1593" s="34"/>
      <c r="AG1593" s="34"/>
      <c r="AH1593" s="34"/>
      <c r="AI1593" s="52"/>
      <c r="AJ1593" s="52"/>
      <c r="AL1593" s="34"/>
      <c r="AM1593" s="34"/>
      <c r="AN1593" s="34"/>
      <c r="AO1593" s="54"/>
      <c r="AP1593" s="34"/>
      <c r="AQ1593" s="34"/>
      <c r="AR1593" s="54"/>
      <c r="AS1593" s="54"/>
      <c r="AT1593" s="54"/>
      <c r="AU1593" s="54"/>
      <c r="AV1593" s="34"/>
      <c r="AW1593" s="34"/>
      <c r="AX1593" s="34"/>
      <c r="AY1593" s="34"/>
      <c r="AZ1593" s="34"/>
      <c r="BA1593" s="44"/>
      <c r="BB1593" s="34"/>
      <c r="BC1593" s="34"/>
    </row>
    <row r="1594" spans="1:55" x14ac:dyDescent="0.35" ht="15.0" customHeight="true">
      <c r="A1594" s="51"/>
      <c r="B1594" s="34"/>
      <c r="C1594" s="34"/>
      <c r="D1594" s="34"/>
      <c r="E1594" s="34"/>
      <c r="F1594" s="34"/>
      <c r="G1594" s="44"/>
      <c r="H1594" s="34"/>
      <c r="I1594" s="54"/>
      <c r="J1594" s="34"/>
      <c r="K1594" s="54"/>
      <c r="L1594" s="34"/>
      <c r="M1594" s="44"/>
      <c r="N1594" s="44"/>
      <c r="O1594" s="34"/>
      <c r="P1594" s="34"/>
      <c r="Q1594" s="34"/>
      <c r="R1594" s="34"/>
      <c r="V1594" s="44"/>
      <c r="X1594" s="95"/>
      <c r="Y1594" s="54"/>
      <c r="Z1594" s="54"/>
      <c r="AA1594" s="34"/>
      <c r="AB1594" s="34"/>
      <c r="AC1594" s="34"/>
      <c r="AD1594" s="34"/>
      <c r="AE1594" s="34"/>
      <c r="AF1594" s="34"/>
      <c r="AG1594" s="34"/>
      <c r="AH1594" s="34"/>
      <c r="AI1594" s="52"/>
      <c r="AJ1594" s="52"/>
      <c r="AL1594" s="34"/>
      <c r="AM1594" s="34"/>
      <c r="AN1594" s="34"/>
      <c r="AO1594" s="54"/>
      <c r="AP1594" s="34"/>
      <c r="AQ1594" s="34"/>
      <c r="AR1594" s="54"/>
      <c r="AS1594" s="54"/>
      <c r="AT1594" s="54"/>
      <c r="AU1594" s="54"/>
      <c r="AV1594" s="34"/>
      <c r="AW1594" s="34"/>
      <c r="AX1594" s="34"/>
      <c r="AY1594" s="34"/>
      <c r="AZ1594" s="34"/>
      <c r="BA1594" s="44"/>
      <c r="BB1594" s="34"/>
      <c r="BC1594" s="34"/>
    </row>
    <row r="1595" spans="1:55" x14ac:dyDescent="0.35" ht="15.0" customHeight="true">
      <c r="A1595" s="51"/>
      <c r="B1595" s="34"/>
      <c r="C1595" s="34"/>
      <c r="D1595" s="34"/>
      <c r="E1595" s="34"/>
      <c r="F1595" s="34"/>
      <c r="G1595" s="44"/>
      <c r="H1595" s="34"/>
      <c r="I1595" s="54"/>
      <c r="J1595" s="34"/>
      <c r="K1595" s="54"/>
      <c r="L1595" s="34"/>
      <c r="M1595" s="44"/>
      <c r="N1595" s="44"/>
      <c r="O1595" s="34"/>
      <c r="P1595" s="34"/>
      <c r="Q1595" s="34"/>
      <c r="R1595" s="34"/>
      <c r="V1595" s="44"/>
      <c r="X1595" s="95"/>
      <c r="Y1595" s="54"/>
      <c r="Z1595" s="54"/>
      <c r="AA1595" s="34"/>
      <c r="AB1595" s="34"/>
      <c r="AC1595" s="34"/>
      <c r="AD1595" s="34"/>
      <c r="AE1595" s="34"/>
      <c r="AF1595" s="34"/>
      <c r="AG1595" s="34"/>
      <c r="AH1595" s="34"/>
      <c r="AI1595" s="52"/>
      <c r="AJ1595" s="52"/>
      <c r="AL1595" s="34"/>
      <c r="AM1595" s="34"/>
      <c r="AN1595" s="34"/>
      <c r="AO1595" s="54"/>
      <c r="AP1595" s="34"/>
      <c r="AQ1595" s="34"/>
      <c r="AR1595" s="54"/>
      <c r="AS1595" s="54"/>
      <c r="AT1595" s="54"/>
      <c r="AU1595" s="54"/>
      <c r="AV1595" s="34"/>
      <c r="AW1595" s="34"/>
      <c r="AX1595" s="34"/>
      <c r="AY1595" s="34"/>
      <c r="AZ1595" s="34"/>
      <c r="BA1595" s="44"/>
      <c r="BB1595" s="34"/>
      <c r="BC1595" s="34"/>
    </row>
    <row r="1596" spans="1:55" x14ac:dyDescent="0.35" ht="15.0" customHeight="true">
      <c r="A1596" s="51"/>
      <c r="B1596" s="34"/>
      <c r="C1596" s="34"/>
      <c r="D1596" s="34"/>
      <c r="E1596" s="34"/>
      <c r="F1596" s="34"/>
      <c r="G1596" s="44"/>
      <c r="H1596" s="34"/>
      <c r="I1596" s="54"/>
      <c r="J1596" s="34"/>
      <c r="K1596" s="54"/>
      <c r="L1596" s="34"/>
      <c r="M1596" s="44"/>
      <c r="N1596" s="44"/>
      <c r="O1596" s="34"/>
      <c r="P1596" s="34"/>
      <c r="Q1596" s="34"/>
      <c r="R1596" s="34"/>
      <c r="V1596" s="44"/>
      <c r="X1596" s="95"/>
      <c r="Y1596" s="54"/>
      <c r="Z1596" s="54"/>
      <c r="AA1596" s="34"/>
      <c r="AB1596" s="34"/>
      <c r="AC1596" s="34"/>
      <c r="AD1596" s="34"/>
      <c r="AE1596" s="34"/>
      <c r="AF1596" s="34"/>
      <c r="AG1596" s="34"/>
      <c r="AH1596" s="34"/>
      <c r="AI1596" s="52"/>
      <c r="AJ1596" s="52"/>
      <c r="AL1596" s="34"/>
      <c r="AM1596" s="34"/>
      <c r="AN1596" s="34"/>
      <c r="AO1596" s="54"/>
      <c r="AP1596" s="34"/>
      <c r="AQ1596" s="34"/>
      <c r="AR1596" s="54"/>
      <c r="AS1596" s="54"/>
      <c r="AT1596" s="54"/>
      <c r="AU1596" s="54"/>
      <c r="AV1596" s="34"/>
      <c r="AW1596" s="34"/>
      <c r="AX1596" s="34"/>
      <c r="AY1596" s="34"/>
      <c r="AZ1596" s="34"/>
      <c r="BA1596" s="44"/>
      <c r="BB1596" s="34"/>
      <c r="BC1596" s="34"/>
    </row>
    <row r="1597" spans="1:55" x14ac:dyDescent="0.35" ht="15.0" customHeight="true">
      <c r="A1597" s="51"/>
      <c r="B1597" s="34"/>
      <c r="C1597" s="34"/>
      <c r="D1597" s="34"/>
      <c r="E1597" s="34"/>
      <c r="F1597" s="34"/>
      <c r="G1597" s="44"/>
      <c r="H1597" s="34"/>
      <c r="I1597" s="54"/>
      <c r="J1597" s="34"/>
      <c r="K1597" s="54"/>
      <c r="L1597" s="34"/>
      <c r="M1597" s="44"/>
      <c r="N1597" s="44"/>
      <c r="O1597" s="34"/>
      <c r="P1597" s="34"/>
      <c r="Q1597" s="34"/>
      <c r="R1597" s="34"/>
      <c r="V1597" s="44"/>
      <c r="X1597" s="95"/>
      <c r="Y1597" s="54"/>
      <c r="Z1597" s="54"/>
      <c r="AA1597" s="34"/>
      <c r="AB1597" s="34"/>
      <c r="AC1597" s="34"/>
      <c r="AD1597" s="34"/>
      <c r="AE1597" s="34"/>
      <c r="AF1597" s="34"/>
      <c r="AG1597" s="34"/>
      <c r="AH1597" s="34"/>
      <c r="AI1597" s="52"/>
      <c r="AJ1597" s="52"/>
      <c r="AL1597" s="34"/>
      <c r="AM1597" s="34"/>
      <c r="AN1597" s="34"/>
      <c r="AO1597" s="54"/>
      <c r="AP1597" s="34"/>
      <c r="AQ1597" s="34"/>
      <c r="AR1597" s="54"/>
      <c r="AS1597" s="54"/>
      <c r="AT1597" s="54"/>
      <c r="AU1597" s="54"/>
      <c r="AV1597" s="34"/>
      <c r="AW1597" s="34"/>
      <c r="AX1597" s="34"/>
      <c r="AY1597" s="34"/>
      <c r="AZ1597" s="34"/>
      <c r="BA1597" s="44"/>
      <c r="BB1597" s="34"/>
      <c r="BC1597" s="34"/>
    </row>
    <row r="1598" spans="1:55" x14ac:dyDescent="0.35" ht="15.0" customHeight="true">
      <c r="A1598" s="51"/>
      <c r="B1598" s="34"/>
      <c r="C1598" s="34"/>
      <c r="D1598" s="34"/>
      <c r="E1598" s="34"/>
      <c r="F1598" s="34"/>
      <c r="G1598" s="44"/>
      <c r="H1598" s="34"/>
      <c r="I1598" s="54"/>
      <c r="J1598" s="34"/>
      <c r="K1598" s="54"/>
      <c r="L1598" s="34"/>
      <c r="M1598" s="44"/>
      <c r="N1598" s="44"/>
      <c r="O1598" s="34"/>
      <c r="P1598" s="34"/>
      <c r="Q1598" s="34"/>
      <c r="R1598" s="34"/>
      <c r="V1598" s="44"/>
      <c r="X1598" s="95"/>
      <c r="Y1598" s="54"/>
      <c r="Z1598" s="54"/>
      <c r="AA1598" s="34"/>
      <c r="AB1598" s="34"/>
      <c r="AC1598" s="34"/>
      <c r="AD1598" s="34"/>
      <c r="AE1598" s="34"/>
      <c r="AF1598" s="34"/>
      <c r="AG1598" s="34"/>
      <c r="AH1598" s="34"/>
      <c r="AI1598" s="52"/>
      <c r="AJ1598" s="52"/>
      <c r="AL1598" s="34"/>
      <c r="AM1598" s="34"/>
      <c r="AN1598" s="34"/>
      <c r="AO1598" s="54"/>
      <c r="AP1598" s="34"/>
      <c r="AQ1598" s="34"/>
      <c r="AR1598" s="54"/>
      <c r="AS1598" s="54"/>
      <c r="AT1598" s="54"/>
      <c r="AU1598" s="54"/>
      <c r="AV1598" s="34"/>
      <c r="AW1598" s="34"/>
      <c r="AX1598" s="34"/>
      <c r="AY1598" s="34"/>
      <c r="AZ1598" s="34"/>
      <c r="BA1598" s="44"/>
      <c r="BB1598" s="34"/>
      <c r="BC1598" s="34"/>
    </row>
    <row r="1599" spans="1:55" x14ac:dyDescent="0.35" ht="15.0" customHeight="true">
      <c r="A1599" s="51"/>
      <c r="B1599" s="34"/>
      <c r="C1599" s="34"/>
      <c r="D1599" s="34"/>
      <c r="E1599" s="34"/>
      <c r="F1599" s="34"/>
      <c r="G1599" s="44"/>
      <c r="H1599" s="34"/>
      <c r="I1599" s="54"/>
      <c r="J1599" s="34"/>
      <c r="K1599" s="54"/>
      <c r="L1599" s="34"/>
      <c r="M1599" s="44"/>
      <c r="N1599" s="44"/>
      <c r="O1599" s="34"/>
      <c r="P1599" s="34"/>
      <c r="Q1599" s="34"/>
      <c r="R1599" s="34"/>
      <c r="V1599" s="44"/>
      <c r="X1599" s="95"/>
      <c r="Y1599" s="54"/>
      <c r="Z1599" s="54"/>
      <c r="AA1599" s="34"/>
      <c r="AB1599" s="34"/>
      <c r="AC1599" s="34"/>
      <c r="AD1599" s="34"/>
      <c r="AE1599" s="34"/>
      <c r="AF1599" s="34"/>
      <c r="AG1599" s="34"/>
      <c r="AH1599" s="34"/>
      <c r="AI1599" s="52"/>
      <c r="AJ1599" s="52"/>
      <c r="AL1599" s="34"/>
      <c r="AM1599" s="34"/>
      <c r="AN1599" s="34"/>
      <c r="AO1599" s="54"/>
      <c r="AP1599" s="34"/>
      <c r="AQ1599" s="34"/>
      <c r="AR1599" s="54"/>
      <c r="AS1599" s="54"/>
      <c r="AT1599" s="54"/>
      <c r="AU1599" s="54"/>
      <c r="AV1599" s="34"/>
      <c r="AW1599" s="34"/>
      <c r="AX1599" s="34"/>
      <c r="AY1599" s="34"/>
      <c r="AZ1599" s="34"/>
      <c r="BA1599" s="44"/>
      <c r="BB1599" s="34"/>
      <c r="BC1599" s="34"/>
    </row>
    <row r="1600" spans="1:55" x14ac:dyDescent="0.35" ht="15.0" customHeight="true">
      <c r="A1600" s="51"/>
      <c r="B1600" s="34"/>
      <c r="C1600" s="34"/>
      <c r="D1600" s="34"/>
      <c r="E1600" s="34"/>
      <c r="F1600" s="34"/>
      <c r="G1600" s="44"/>
      <c r="H1600" s="34"/>
      <c r="I1600" s="54"/>
      <c r="J1600" s="34"/>
      <c r="K1600" s="54"/>
      <c r="L1600" s="34"/>
      <c r="M1600" s="44"/>
      <c r="N1600" s="44"/>
      <c r="O1600" s="34"/>
      <c r="P1600" s="34"/>
      <c r="Q1600" s="34"/>
      <c r="R1600" s="34"/>
      <c r="V1600" s="44"/>
      <c r="X1600" s="95"/>
      <c r="Y1600" s="54"/>
      <c r="Z1600" s="54"/>
      <c r="AA1600" s="34"/>
      <c r="AB1600" s="34"/>
      <c r="AC1600" s="34"/>
      <c r="AD1600" s="34"/>
      <c r="AE1600" s="34"/>
      <c r="AF1600" s="34"/>
      <c r="AG1600" s="34"/>
      <c r="AH1600" s="34"/>
      <c r="AI1600" s="52"/>
      <c r="AJ1600" s="52"/>
      <c r="AL1600" s="34"/>
      <c r="AM1600" s="34"/>
      <c r="AN1600" s="34"/>
      <c r="AO1600" s="54"/>
      <c r="AP1600" s="34"/>
      <c r="AQ1600" s="34"/>
      <c r="AR1600" s="54"/>
      <c r="AS1600" s="54"/>
      <c r="AT1600" s="54"/>
      <c r="AU1600" s="54"/>
      <c r="AV1600" s="34"/>
      <c r="AW1600" s="34"/>
      <c r="AX1600" s="34"/>
      <c r="AY1600" s="34"/>
      <c r="AZ1600" s="34"/>
      <c r="BA1600" s="44"/>
      <c r="BB1600" s="34"/>
      <c r="BC1600" s="34"/>
    </row>
    <row r="1601" spans="1:55" x14ac:dyDescent="0.35" ht="15.0" customHeight="true">
      <c r="A1601" s="51"/>
      <c r="B1601" s="34"/>
      <c r="C1601" s="34"/>
      <c r="D1601" s="34"/>
      <c r="E1601" s="34"/>
      <c r="F1601" s="34"/>
      <c r="G1601" s="44"/>
      <c r="H1601" s="34"/>
      <c r="I1601" s="54"/>
      <c r="J1601" s="34"/>
      <c r="K1601" s="54"/>
      <c r="L1601" s="34"/>
      <c r="M1601" s="44"/>
      <c r="N1601" s="44"/>
      <c r="O1601" s="34"/>
      <c r="P1601" s="34"/>
      <c r="Q1601" s="34"/>
      <c r="R1601" s="34"/>
      <c r="V1601" s="44"/>
      <c r="X1601" s="95"/>
      <c r="Y1601" s="54"/>
      <c r="Z1601" s="54"/>
      <c r="AA1601" s="34"/>
      <c r="AB1601" s="34"/>
      <c r="AC1601" s="34"/>
      <c r="AD1601" s="34"/>
      <c r="AE1601" s="34"/>
      <c r="AF1601" s="34"/>
      <c r="AG1601" s="34"/>
      <c r="AH1601" s="34"/>
      <c r="AI1601" s="52"/>
      <c r="AJ1601" s="52"/>
      <c r="AL1601" s="34"/>
      <c r="AM1601" s="34"/>
      <c r="AN1601" s="34"/>
      <c r="AO1601" s="54"/>
      <c r="AP1601" s="34"/>
      <c r="AQ1601" s="34"/>
      <c r="AR1601" s="54"/>
      <c r="AS1601" s="54"/>
      <c r="AT1601" s="54"/>
      <c r="AU1601" s="54"/>
      <c r="AV1601" s="34"/>
      <c r="AW1601" s="34"/>
      <c r="AX1601" s="34"/>
      <c r="AY1601" s="34"/>
      <c r="AZ1601" s="34"/>
      <c r="BA1601" s="44"/>
      <c r="BB1601" s="34"/>
      <c r="BC1601" s="34"/>
    </row>
    <row r="1602" spans="1:55" x14ac:dyDescent="0.35" ht="15.0" customHeight="true">
      <c r="A1602" s="51"/>
      <c r="B1602" s="34"/>
      <c r="C1602" s="34"/>
      <c r="D1602" s="34"/>
      <c r="E1602" s="34"/>
      <c r="F1602" s="34"/>
      <c r="G1602" s="44"/>
      <c r="H1602" s="34"/>
      <c r="I1602" s="54"/>
      <c r="J1602" s="34"/>
      <c r="K1602" s="54"/>
      <c r="L1602" s="34"/>
      <c r="M1602" s="44"/>
      <c r="N1602" s="44"/>
      <c r="O1602" s="34"/>
      <c r="P1602" s="34"/>
      <c r="Q1602" s="34"/>
      <c r="R1602" s="34"/>
      <c r="V1602" s="44"/>
      <c r="X1602" s="95"/>
      <c r="Y1602" s="54"/>
      <c r="Z1602" s="54"/>
      <c r="AA1602" s="34"/>
      <c r="AB1602" s="34"/>
      <c r="AC1602" s="34"/>
      <c r="AD1602" s="34"/>
      <c r="AE1602" s="34"/>
      <c r="AF1602" s="34"/>
      <c r="AG1602" s="34"/>
      <c r="AH1602" s="34"/>
      <c r="AI1602" s="52"/>
      <c r="AJ1602" s="52"/>
      <c r="AL1602" s="34"/>
      <c r="AM1602" s="34"/>
      <c r="AN1602" s="34"/>
      <c r="AO1602" s="54"/>
      <c r="AP1602" s="34"/>
      <c r="AQ1602" s="34"/>
      <c r="AR1602" s="54"/>
      <c r="AS1602" s="54"/>
      <c r="AT1602" s="54"/>
      <c r="AU1602" s="54"/>
      <c r="AV1602" s="34"/>
      <c r="AW1602" s="34"/>
      <c r="AX1602" s="34"/>
      <c r="AY1602" s="34"/>
      <c r="AZ1602" s="34"/>
      <c r="BA1602" s="44"/>
      <c r="BB1602" s="34"/>
      <c r="BC1602" s="34"/>
    </row>
    <row r="1603" spans="1:55" x14ac:dyDescent="0.35" ht="15.0" customHeight="true">
      <c r="A1603" s="51"/>
      <c r="B1603" s="34"/>
      <c r="C1603" s="34"/>
      <c r="D1603" s="34"/>
      <c r="E1603" s="34"/>
      <c r="F1603" s="34"/>
      <c r="G1603" s="44"/>
      <c r="H1603" s="34"/>
      <c r="I1603" s="54"/>
      <c r="J1603" s="34"/>
      <c r="K1603" s="54"/>
      <c r="L1603" s="34"/>
      <c r="M1603" s="44"/>
      <c r="N1603" s="44"/>
      <c r="O1603" s="34"/>
      <c r="P1603" s="34"/>
      <c r="Q1603" s="34"/>
      <c r="R1603" s="34"/>
      <c r="V1603" s="44"/>
      <c r="X1603" s="95"/>
      <c r="Y1603" s="54"/>
      <c r="Z1603" s="54"/>
      <c r="AA1603" s="34"/>
      <c r="AB1603" s="34"/>
      <c r="AC1603" s="34"/>
      <c r="AD1603" s="34"/>
      <c r="AE1603" s="34"/>
      <c r="AF1603" s="34"/>
      <c r="AG1603" s="34"/>
      <c r="AH1603" s="34"/>
      <c r="AI1603" s="52"/>
      <c r="AJ1603" s="52"/>
      <c r="AL1603" s="34"/>
      <c r="AM1603" s="34"/>
      <c r="AN1603" s="34"/>
      <c r="AO1603" s="54"/>
      <c r="AP1603" s="34"/>
      <c r="AQ1603" s="34"/>
      <c r="AR1603" s="54"/>
      <c r="AS1603" s="54"/>
      <c r="AT1603" s="54"/>
      <c r="AU1603" s="54"/>
      <c r="AV1603" s="34"/>
      <c r="AW1603" s="34"/>
      <c r="AX1603" s="34"/>
      <c r="AY1603" s="34"/>
      <c r="AZ1603" s="34"/>
      <c r="BA1603" s="44"/>
      <c r="BB1603" s="34"/>
      <c r="BC1603" s="34"/>
    </row>
    <row r="1604" spans="1:55" x14ac:dyDescent="0.35" ht="15.0" customHeight="true">
      <c r="A1604" s="51"/>
      <c r="B1604" s="34"/>
      <c r="C1604" s="34"/>
      <c r="D1604" s="34"/>
      <c r="E1604" s="34"/>
      <c r="F1604" s="34"/>
      <c r="G1604" s="44"/>
      <c r="H1604" s="34"/>
      <c r="I1604" s="54"/>
      <c r="J1604" s="34"/>
      <c r="K1604" s="54"/>
      <c r="L1604" s="34"/>
      <c r="M1604" s="44"/>
      <c r="N1604" s="44"/>
      <c r="O1604" s="34"/>
      <c r="P1604" s="34"/>
      <c r="Q1604" s="34"/>
      <c r="R1604" s="34"/>
      <c r="V1604" s="44"/>
      <c r="X1604" s="95"/>
      <c r="Y1604" s="54"/>
      <c r="Z1604" s="54"/>
      <c r="AA1604" s="34"/>
      <c r="AB1604" s="34"/>
      <c r="AC1604" s="34"/>
      <c r="AD1604" s="34"/>
      <c r="AE1604" s="34"/>
      <c r="AF1604" s="34"/>
      <c r="AG1604" s="34"/>
      <c r="AH1604" s="34"/>
      <c r="AI1604" s="52"/>
      <c r="AJ1604" s="52"/>
      <c r="AL1604" s="34"/>
      <c r="AM1604" s="34"/>
      <c r="AN1604" s="34"/>
      <c r="AO1604" s="54"/>
      <c r="AP1604" s="34"/>
      <c r="AQ1604" s="34"/>
      <c r="AR1604" s="54"/>
      <c r="AS1604" s="54"/>
      <c r="AT1604" s="54"/>
      <c r="AU1604" s="54"/>
      <c r="AV1604" s="34"/>
      <c r="AW1604" s="34"/>
      <c r="AX1604" s="34"/>
      <c r="AY1604" s="34"/>
      <c r="AZ1604" s="34"/>
      <c r="BA1604" s="44"/>
      <c r="BB1604" s="34"/>
      <c r="BC1604" s="34"/>
    </row>
    <row r="1605" spans="1:55" x14ac:dyDescent="0.35" ht="15.0" customHeight="true">
      <c r="A1605" s="51"/>
      <c r="B1605" s="34"/>
      <c r="C1605" s="34"/>
      <c r="D1605" s="34"/>
      <c r="E1605" s="34"/>
      <c r="F1605" s="34"/>
      <c r="G1605" s="44"/>
      <c r="H1605" s="34"/>
      <c r="I1605" s="54"/>
      <c r="J1605" s="34"/>
      <c r="K1605" s="54"/>
      <c r="L1605" s="34"/>
      <c r="M1605" s="44"/>
      <c r="N1605" s="44"/>
      <c r="O1605" s="34"/>
      <c r="P1605" s="34"/>
      <c r="Q1605" s="34"/>
      <c r="R1605" s="34"/>
      <c r="V1605" s="44"/>
      <c r="X1605" s="95"/>
      <c r="Y1605" s="54"/>
      <c r="Z1605" s="54"/>
      <c r="AA1605" s="34"/>
      <c r="AB1605" s="34"/>
      <c r="AC1605" s="34"/>
      <c r="AD1605" s="34"/>
      <c r="AE1605" s="34"/>
      <c r="AF1605" s="34"/>
      <c r="AG1605" s="34"/>
      <c r="AH1605" s="34"/>
      <c r="AI1605" s="52"/>
      <c r="AJ1605" s="52"/>
      <c r="AL1605" s="34"/>
      <c r="AM1605" s="34"/>
      <c r="AN1605" s="34"/>
      <c r="AO1605" s="54"/>
      <c r="AP1605" s="34"/>
      <c r="AQ1605" s="34"/>
      <c r="AR1605" s="54"/>
      <c r="AS1605" s="54"/>
      <c r="AT1605" s="54"/>
      <c r="AU1605" s="54"/>
      <c r="AV1605" s="34"/>
      <c r="AW1605" s="34"/>
      <c r="AX1605" s="34"/>
      <c r="AY1605" s="34"/>
      <c r="AZ1605" s="34"/>
      <c r="BA1605" s="44"/>
      <c r="BB1605" s="34"/>
      <c r="BC1605" s="34"/>
    </row>
    <row r="1606" spans="1:55" x14ac:dyDescent="0.35" ht="15.0" customHeight="true">
      <c r="A1606" s="51"/>
      <c r="B1606" s="34"/>
      <c r="C1606" s="34"/>
      <c r="D1606" s="34"/>
      <c r="E1606" s="34"/>
      <c r="F1606" s="34"/>
      <c r="G1606" s="44"/>
      <c r="H1606" s="34"/>
      <c r="I1606" s="54"/>
      <c r="J1606" s="34"/>
      <c r="K1606" s="54"/>
      <c r="L1606" s="34"/>
      <c r="M1606" s="44"/>
      <c r="N1606" s="44"/>
      <c r="O1606" s="34"/>
      <c r="P1606" s="34"/>
      <c r="Q1606" s="34"/>
      <c r="R1606" s="34"/>
      <c r="V1606" s="44"/>
      <c r="X1606" s="95"/>
      <c r="Y1606" s="54"/>
      <c r="Z1606" s="54"/>
      <c r="AA1606" s="34"/>
      <c r="AB1606" s="34"/>
      <c r="AC1606" s="34"/>
      <c r="AD1606" s="34"/>
      <c r="AE1606" s="34"/>
      <c r="AF1606" s="34"/>
      <c r="AG1606" s="34"/>
      <c r="AH1606" s="34"/>
      <c r="AI1606" s="52"/>
      <c r="AJ1606" s="52"/>
      <c r="AL1606" s="34"/>
      <c r="AM1606" s="34"/>
      <c r="AN1606" s="34"/>
      <c r="AO1606" s="54"/>
      <c r="AP1606" s="34"/>
      <c r="AQ1606" s="34"/>
      <c r="AR1606" s="54"/>
      <c r="AS1606" s="54"/>
      <c r="AT1606" s="54"/>
      <c r="AU1606" s="54"/>
      <c r="AV1606" s="34"/>
      <c r="AW1606" s="34"/>
      <c r="AX1606" s="34"/>
      <c r="AY1606" s="34"/>
      <c r="AZ1606" s="34"/>
      <c r="BA1606" s="44"/>
      <c r="BB1606" s="34"/>
      <c r="BC1606" s="34"/>
    </row>
    <row r="1607" spans="1:55" x14ac:dyDescent="0.35" ht="15.0" customHeight="true">
      <c r="A1607" s="51"/>
      <c r="B1607" s="34"/>
      <c r="C1607" s="34"/>
      <c r="D1607" s="34"/>
      <c r="E1607" s="34"/>
      <c r="F1607" s="34"/>
      <c r="G1607" s="44"/>
      <c r="H1607" s="34"/>
      <c r="I1607" s="54"/>
      <c r="J1607" s="34"/>
      <c r="K1607" s="54"/>
      <c r="L1607" s="34"/>
      <c r="M1607" s="44"/>
      <c r="N1607" s="44"/>
      <c r="O1607" s="34"/>
      <c r="P1607" s="34"/>
      <c r="Q1607" s="34"/>
      <c r="R1607" s="34"/>
      <c r="V1607" s="44"/>
      <c r="X1607" s="95"/>
      <c r="Y1607" s="54"/>
      <c r="Z1607" s="54"/>
      <c r="AA1607" s="34"/>
      <c r="AB1607" s="34"/>
      <c r="AC1607" s="34"/>
      <c r="AD1607" s="34"/>
      <c r="AE1607" s="34"/>
      <c r="AF1607" s="34"/>
      <c r="AG1607" s="34"/>
      <c r="AH1607" s="34"/>
      <c r="AI1607" s="52"/>
      <c r="AJ1607" s="52"/>
      <c r="AL1607" s="34"/>
      <c r="AM1607" s="34"/>
      <c r="AN1607" s="34"/>
      <c r="AO1607" s="54"/>
      <c r="AP1607" s="34"/>
      <c r="AQ1607" s="34"/>
      <c r="AR1607" s="54"/>
      <c r="AS1607" s="54"/>
      <c r="AT1607" s="54"/>
      <c r="AU1607" s="54"/>
      <c r="AV1607" s="34"/>
      <c r="AW1607" s="34"/>
      <c r="AX1607" s="34"/>
      <c r="AY1607" s="34"/>
      <c r="AZ1607" s="34"/>
      <c r="BA1607" s="44"/>
      <c r="BB1607" s="34"/>
      <c r="BC1607" s="34"/>
    </row>
    <row r="1608" spans="1:55" x14ac:dyDescent="0.35" ht="15.0" customHeight="true">
      <c r="A1608" s="51"/>
      <c r="B1608" s="34"/>
      <c r="C1608" s="34"/>
      <c r="D1608" s="34"/>
      <c r="E1608" s="34"/>
      <c r="F1608" s="34"/>
      <c r="G1608" s="44"/>
      <c r="H1608" s="34"/>
      <c r="I1608" s="54"/>
      <c r="J1608" s="34"/>
      <c r="K1608" s="54"/>
      <c r="L1608" s="34"/>
      <c r="M1608" s="44"/>
      <c r="N1608" s="44"/>
      <c r="O1608" s="34"/>
      <c r="P1608" s="34"/>
      <c r="Q1608" s="34"/>
      <c r="R1608" s="34"/>
      <c r="V1608" s="44"/>
      <c r="X1608" s="95"/>
      <c r="Y1608" s="54"/>
      <c r="Z1608" s="54"/>
      <c r="AA1608" s="34"/>
      <c r="AB1608" s="34"/>
      <c r="AC1608" s="34"/>
      <c r="AD1608" s="34"/>
      <c r="AE1608" s="34"/>
      <c r="AF1608" s="34"/>
      <c r="AG1608" s="34"/>
      <c r="AH1608" s="34"/>
      <c r="AI1608" s="52"/>
      <c r="AJ1608" s="52"/>
      <c r="AL1608" s="34"/>
      <c r="AM1608" s="34"/>
      <c r="AN1608" s="34"/>
      <c r="AO1608" s="54"/>
      <c r="AP1608" s="34"/>
      <c r="AQ1608" s="34"/>
      <c r="AR1608" s="54"/>
      <c r="AS1608" s="54"/>
      <c r="AT1608" s="54"/>
      <c r="AU1608" s="54"/>
      <c r="AV1608" s="34"/>
      <c r="AW1608" s="34"/>
      <c r="AX1608" s="34"/>
      <c r="AY1608" s="34"/>
      <c r="AZ1608" s="34"/>
      <c r="BA1608" s="44"/>
      <c r="BB1608" s="34"/>
      <c r="BC1608" s="34"/>
    </row>
    <row r="1609" spans="1:55" x14ac:dyDescent="0.35" ht="15.0" customHeight="true">
      <c r="A1609" s="51"/>
      <c r="B1609" s="34"/>
      <c r="C1609" s="34"/>
      <c r="D1609" s="34"/>
      <c r="E1609" s="34"/>
      <c r="F1609" s="34"/>
      <c r="G1609" s="44"/>
      <c r="H1609" s="34"/>
      <c r="I1609" s="54"/>
      <c r="J1609" s="34"/>
      <c r="K1609" s="54"/>
      <c r="L1609" s="34"/>
      <c r="M1609" s="44"/>
      <c r="N1609" s="44"/>
      <c r="O1609" s="34"/>
      <c r="P1609" s="34"/>
      <c r="Q1609" s="34"/>
      <c r="R1609" s="34"/>
      <c r="V1609" s="44"/>
      <c r="X1609" s="95"/>
      <c r="Y1609" s="54"/>
      <c r="Z1609" s="54"/>
      <c r="AA1609" s="34"/>
      <c r="AB1609" s="34"/>
      <c r="AC1609" s="34"/>
      <c r="AD1609" s="34"/>
      <c r="AE1609" s="34"/>
      <c r="AF1609" s="34"/>
      <c r="AG1609" s="34"/>
      <c r="AH1609" s="34"/>
      <c r="AI1609" s="52"/>
      <c r="AJ1609" s="52"/>
      <c r="AL1609" s="34"/>
      <c r="AM1609" s="34"/>
      <c r="AN1609" s="34"/>
      <c r="AO1609" s="54"/>
      <c r="AP1609" s="34"/>
      <c r="AQ1609" s="34"/>
      <c r="AR1609" s="54"/>
      <c r="AS1609" s="54"/>
      <c r="AT1609" s="54"/>
      <c r="AU1609" s="54"/>
      <c r="AV1609" s="34"/>
      <c r="AW1609" s="34"/>
      <c r="AX1609" s="34"/>
      <c r="AY1609" s="34"/>
      <c r="AZ1609" s="34"/>
      <c r="BA1609" s="44"/>
      <c r="BB1609" s="34"/>
      <c r="BC1609" s="34"/>
    </row>
    <row r="1610" spans="1:55" x14ac:dyDescent="0.35" ht="15.0" customHeight="true">
      <c r="A1610" s="51"/>
      <c r="B1610" s="34"/>
      <c r="C1610" s="34"/>
      <c r="D1610" s="34"/>
      <c r="E1610" s="34"/>
      <c r="F1610" s="34"/>
      <c r="G1610" s="44"/>
      <c r="H1610" s="34"/>
      <c r="I1610" s="54"/>
      <c r="J1610" s="34"/>
      <c r="K1610" s="54"/>
      <c r="L1610" s="34"/>
      <c r="M1610" s="44"/>
      <c r="N1610" s="44"/>
      <c r="O1610" s="34"/>
      <c r="P1610" s="34"/>
      <c r="Q1610" s="34"/>
      <c r="R1610" s="34"/>
      <c r="V1610" s="44"/>
      <c r="X1610" s="95"/>
      <c r="Y1610" s="54"/>
      <c r="Z1610" s="54"/>
      <c r="AA1610" s="34"/>
      <c r="AB1610" s="34"/>
      <c r="AC1610" s="34"/>
      <c r="AD1610" s="34"/>
      <c r="AE1610" s="34"/>
      <c r="AF1610" s="34"/>
      <c r="AG1610" s="34"/>
      <c r="AH1610" s="34"/>
      <c r="AI1610" s="52"/>
      <c r="AJ1610" s="52"/>
      <c r="AL1610" s="34"/>
      <c r="AM1610" s="34"/>
      <c r="AN1610" s="34"/>
      <c r="AO1610" s="54"/>
      <c r="AP1610" s="34"/>
      <c r="AQ1610" s="34"/>
      <c r="AR1610" s="54"/>
      <c r="AS1610" s="54"/>
      <c r="AT1610" s="54"/>
      <c r="AU1610" s="54"/>
      <c r="AV1610" s="34"/>
      <c r="AW1610" s="34"/>
      <c r="AX1610" s="34"/>
      <c r="AY1610" s="34"/>
      <c r="AZ1610" s="34"/>
      <c r="BA1610" s="44"/>
      <c r="BB1610" s="34"/>
      <c r="BC1610" s="34"/>
    </row>
    <row r="1611" spans="1:55" x14ac:dyDescent="0.35" ht="15.0" customHeight="true">
      <c r="A1611" s="51"/>
      <c r="B1611" s="34"/>
      <c r="C1611" s="34"/>
      <c r="D1611" s="34"/>
      <c r="E1611" s="34"/>
      <c r="F1611" s="34"/>
      <c r="G1611" s="44"/>
      <c r="H1611" s="34"/>
      <c r="I1611" s="54"/>
      <c r="J1611" s="34"/>
      <c r="K1611" s="54"/>
      <c r="L1611" s="34"/>
      <c r="M1611" s="44"/>
      <c r="N1611" s="44"/>
      <c r="O1611" s="34"/>
      <c r="P1611" s="34"/>
      <c r="Q1611" s="34"/>
      <c r="R1611" s="34"/>
      <c r="V1611" s="44"/>
      <c r="X1611" s="95"/>
      <c r="Y1611" s="54"/>
      <c r="Z1611" s="54"/>
      <c r="AA1611" s="34"/>
      <c r="AB1611" s="34"/>
      <c r="AC1611" s="34"/>
      <c r="AD1611" s="34"/>
      <c r="AE1611" s="34"/>
      <c r="AF1611" s="34"/>
      <c r="AG1611" s="34"/>
      <c r="AH1611" s="34"/>
      <c r="AI1611" s="52"/>
      <c r="AJ1611" s="52"/>
      <c r="AL1611" s="34"/>
      <c r="AM1611" s="34"/>
      <c r="AN1611" s="34"/>
      <c r="AO1611" s="54"/>
      <c r="AP1611" s="34"/>
      <c r="AQ1611" s="34"/>
      <c r="AR1611" s="54"/>
      <c r="AS1611" s="54"/>
      <c r="AT1611" s="54"/>
      <c r="AU1611" s="54"/>
      <c r="AV1611" s="34"/>
      <c r="AW1611" s="34"/>
      <c r="AX1611" s="34"/>
      <c r="AY1611" s="34"/>
      <c r="AZ1611" s="34"/>
      <c r="BA1611" s="44"/>
      <c r="BB1611" s="34"/>
      <c r="BC1611" s="34"/>
    </row>
    <row r="1612" spans="1:55" x14ac:dyDescent="0.35" ht="15.0" customHeight="true">
      <c r="A1612" s="51"/>
      <c r="B1612" s="34"/>
      <c r="C1612" s="34"/>
      <c r="D1612" s="34"/>
      <c r="E1612" s="34"/>
      <c r="F1612" s="34"/>
      <c r="G1612" s="44"/>
      <c r="H1612" s="34"/>
      <c r="I1612" s="54"/>
      <c r="J1612" s="34"/>
      <c r="K1612" s="54"/>
      <c r="L1612" s="34"/>
      <c r="M1612" s="44"/>
      <c r="N1612" s="44"/>
      <c r="O1612" s="34"/>
      <c r="P1612" s="34"/>
      <c r="Q1612" s="34"/>
      <c r="R1612" s="34"/>
      <c r="V1612" s="44"/>
      <c r="X1612" s="95"/>
      <c r="Y1612" s="54"/>
      <c r="Z1612" s="54"/>
      <c r="AA1612" s="34"/>
      <c r="AB1612" s="34"/>
      <c r="AC1612" s="34"/>
      <c r="AD1612" s="34"/>
      <c r="AE1612" s="34"/>
      <c r="AF1612" s="34"/>
      <c r="AG1612" s="34"/>
      <c r="AH1612" s="34"/>
      <c r="AI1612" s="52"/>
      <c r="AJ1612" s="52"/>
      <c r="AL1612" s="34"/>
      <c r="AM1612" s="34"/>
      <c r="AN1612" s="34"/>
      <c r="AO1612" s="54"/>
      <c r="AP1612" s="34"/>
      <c r="AQ1612" s="34"/>
      <c r="AR1612" s="54"/>
      <c r="AS1612" s="54"/>
      <c r="AT1612" s="54"/>
      <c r="AU1612" s="54"/>
      <c r="AV1612" s="34"/>
      <c r="AW1612" s="34"/>
      <c r="AX1612" s="34"/>
      <c r="AY1612" s="34"/>
      <c r="AZ1612" s="34"/>
      <c r="BA1612" s="44"/>
      <c r="BB1612" s="34"/>
      <c r="BC1612" s="34"/>
    </row>
    <row r="1613" spans="1:55" x14ac:dyDescent="0.35" ht="15.0" customHeight="true">
      <c r="A1613" s="51"/>
      <c r="B1613" s="34"/>
      <c r="C1613" s="34"/>
      <c r="D1613" s="34"/>
      <c r="E1613" s="34"/>
      <c r="F1613" s="34"/>
      <c r="G1613" s="44"/>
      <c r="H1613" s="34"/>
      <c r="I1613" s="54"/>
      <c r="J1613" s="34"/>
      <c r="K1613" s="54"/>
      <c r="L1613" s="34"/>
      <c r="M1613" s="44"/>
      <c r="N1613" s="44"/>
      <c r="O1613" s="34"/>
      <c r="P1613" s="34"/>
      <c r="Q1613" s="34"/>
      <c r="R1613" s="34"/>
      <c r="V1613" s="44"/>
      <c r="X1613" s="95"/>
      <c r="Y1613" s="54"/>
      <c r="Z1613" s="54"/>
      <c r="AA1613" s="34"/>
      <c r="AB1613" s="34"/>
      <c r="AC1613" s="34"/>
      <c r="AD1613" s="34"/>
      <c r="AE1613" s="34"/>
      <c r="AF1613" s="34"/>
      <c r="AG1613" s="34"/>
      <c r="AH1613" s="34"/>
      <c r="AI1613" s="52"/>
      <c r="AJ1613" s="52"/>
      <c r="AL1613" s="34"/>
      <c r="AM1613" s="34"/>
      <c r="AN1613" s="34"/>
      <c r="AO1613" s="54"/>
      <c r="AP1613" s="34"/>
      <c r="AQ1613" s="34"/>
      <c r="AR1613" s="54"/>
      <c r="AS1613" s="54"/>
      <c r="AT1613" s="54"/>
      <c r="AU1613" s="54"/>
      <c r="AV1613" s="34"/>
      <c r="AW1613" s="34"/>
      <c r="AX1613" s="34"/>
      <c r="AY1613" s="34"/>
      <c r="AZ1613" s="34"/>
      <c r="BA1613" s="44"/>
      <c r="BB1613" s="34"/>
      <c r="BC1613" s="34"/>
    </row>
    <row r="1614" spans="1:55" x14ac:dyDescent="0.35" ht="15.0" customHeight="true">
      <c r="A1614" s="51"/>
      <c r="B1614" s="34"/>
      <c r="C1614" s="34"/>
      <c r="D1614" s="34"/>
      <c r="E1614" s="34"/>
      <c r="F1614" s="34"/>
      <c r="G1614" s="44"/>
      <c r="H1614" s="34"/>
      <c r="I1614" s="54"/>
      <c r="J1614" s="34"/>
      <c r="K1614" s="54"/>
      <c r="L1614" s="34"/>
      <c r="M1614" s="44"/>
      <c r="N1614" s="44"/>
      <c r="O1614" s="34"/>
      <c r="P1614" s="34"/>
      <c r="Q1614" s="34"/>
      <c r="R1614" s="34"/>
      <c r="V1614" s="44"/>
      <c r="X1614" s="95"/>
      <c r="Y1614" s="54"/>
      <c r="Z1614" s="54"/>
      <c r="AA1614" s="34"/>
      <c r="AB1614" s="34"/>
      <c r="AC1614" s="34"/>
      <c r="AD1614" s="34"/>
      <c r="AE1614" s="34"/>
      <c r="AF1614" s="34"/>
      <c r="AG1614" s="34"/>
      <c r="AH1614" s="34"/>
      <c r="AI1614" s="52"/>
      <c r="AJ1614" s="52"/>
      <c r="AL1614" s="34"/>
      <c r="AM1614" s="34"/>
      <c r="AN1614" s="34"/>
      <c r="AO1614" s="54"/>
      <c r="AP1614" s="34"/>
      <c r="AQ1614" s="34"/>
      <c r="AR1614" s="54"/>
      <c r="AS1614" s="54"/>
      <c r="AT1614" s="54"/>
      <c r="AU1614" s="54"/>
      <c r="AV1614" s="34"/>
      <c r="AW1614" s="34"/>
      <c r="AX1614" s="34"/>
      <c r="AY1614" s="34"/>
      <c r="AZ1614" s="34"/>
      <c r="BA1614" s="44"/>
      <c r="BB1614" s="34"/>
      <c r="BC1614" s="34"/>
    </row>
    <row r="1615" spans="1:55" x14ac:dyDescent="0.35" ht="15.0" customHeight="true">
      <c r="A1615" s="51"/>
      <c r="B1615" s="34"/>
      <c r="C1615" s="34"/>
      <c r="D1615" s="34"/>
      <c r="E1615" s="34"/>
      <c r="F1615" s="34"/>
      <c r="G1615" s="44"/>
      <c r="H1615" s="34"/>
      <c r="I1615" s="54"/>
      <c r="J1615" s="34"/>
      <c r="K1615" s="54"/>
      <c r="L1615" s="34"/>
      <c r="M1615" s="44"/>
      <c r="N1615" s="44"/>
      <c r="O1615" s="34"/>
      <c r="P1615" s="34"/>
      <c r="Q1615" s="34"/>
      <c r="R1615" s="34"/>
      <c r="V1615" s="44"/>
      <c r="X1615" s="95"/>
      <c r="Y1615" s="54"/>
      <c r="Z1615" s="54"/>
      <c r="AA1615" s="34"/>
      <c r="AB1615" s="34"/>
      <c r="AC1615" s="34"/>
      <c r="AD1615" s="34"/>
      <c r="AE1615" s="34"/>
      <c r="AF1615" s="34"/>
      <c r="AG1615" s="34"/>
      <c r="AH1615" s="34"/>
      <c r="AI1615" s="52"/>
      <c r="AJ1615" s="52"/>
      <c r="AL1615" s="34"/>
      <c r="AM1615" s="34"/>
      <c r="AN1615" s="34"/>
      <c r="AO1615" s="54"/>
      <c r="AP1615" s="34"/>
      <c r="AQ1615" s="34"/>
      <c r="AR1615" s="54"/>
      <c r="AS1615" s="54"/>
      <c r="AT1615" s="54"/>
      <c r="AU1615" s="54"/>
      <c r="AV1615" s="34"/>
      <c r="AW1615" s="34"/>
      <c r="AX1615" s="34"/>
      <c r="AY1615" s="34"/>
      <c r="AZ1615" s="34"/>
      <c r="BA1615" s="44"/>
      <c r="BB1615" s="34"/>
      <c r="BC1615" s="34"/>
    </row>
    <row r="1616" spans="1:55" x14ac:dyDescent="0.35" ht="15.0" customHeight="true">
      <c r="A1616" s="51"/>
      <c r="B1616" s="34"/>
      <c r="C1616" s="34"/>
      <c r="D1616" s="34"/>
      <c r="E1616" s="34"/>
      <c r="F1616" s="34"/>
      <c r="G1616" s="44"/>
      <c r="H1616" s="34"/>
      <c r="I1616" s="54"/>
      <c r="J1616" s="34"/>
      <c r="K1616" s="54"/>
      <c r="L1616" s="34"/>
      <c r="M1616" s="44"/>
      <c r="N1616" s="44"/>
      <c r="O1616" s="34"/>
      <c r="P1616" s="34"/>
      <c r="Q1616" s="34"/>
      <c r="R1616" s="34"/>
      <c r="V1616" s="44"/>
      <c r="X1616" s="95"/>
      <c r="Y1616" s="54"/>
      <c r="Z1616" s="54"/>
      <c r="AA1616" s="34"/>
      <c r="AB1616" s="34"/>
      <c r="AC1616" s="34"/>
      <c r="AD1616" s="34"/>
      <c r="AE1616" s="34"/>
      <c r="AF1616" s="34"/>
      <c r="AG1616" s="34"/>
      <c r="AH1616" s="34"/>
      <c r="AI1616" s="52"/>
      <c r="AJ1616" s="52"/>
      <c r="AL1616" s="34"/>
      <c r="AM1616" s="34"/>
      <c r="AN1616" s="34"/>
      <c r="AO1616" s="54"/>
      <c r="AP1616" s="34"/>
      <c r="AQ1616" s="34"/>
      <c r="AR1616" s="54"/>
      <c r="AS1616" s="54"/>
      <c r="AT1616" s="54"/>
      <c r="AU1616" s="54"/>
      <c r="AV1616" s="34"/>
      <c r="AW1616" s="34"/>
      <c r="AX1616" s="34"/>
      <c r="AY1616" s="34"/>
      <c r="AZ1616" s="34"/>
      <c r="BA1616" s="44"/>
      <c r="BB1616" s="34"/>
      <c r="BC1616" s="34"/>
    </row>
    <row r="1617" spans="1:55" x14ac:dyDescent="0.35" ht="15.0" customHeight="true">
      <c r="A1617" s="51"/>
      <c r="B1617" s="34"/>
      <c r="C1617" s="34"/>
      <c r="D1617" s="34"/>
      <c r="E1617" s="34"/>
      <c r="F1617" s="34"/>
      <c r="G1617" s="44"/>
      <c r="H1617" s="34"/>
      <c r="I1617" s="54"/>
      <c r="J1617" s="34"/>
      <c r="K1617" s="54"/>
      <c r="L1617" s="34"/>
      <c r="M1617" s="44"/>
      <c r="N1617" s="44"/>
      <c r="O1617" s="34"/>
      <c r="P1617" s="34"/>
      <c r="Q1617" s="34"/>
      <c r="R1617" s="34"/>
      <c r="V1617" s="44"/>
      <c r="X1617" s="95"/>
      <c r="Y1617" s="54"/>
      <c r="Z1617" s="54"/>
      <c r="AA1617" s="34"/>
      <c r="AB1617" s="34"/>
      <c r="AC1617" s="34"/>
      <c r="AD1617" s="34"/>
      <c r="AE1617" s="34"/>
      <c r="AF1617" s="34"/>
      <c r="AG1617" s="34"/>
      <c r="AH1617" s="34"/>
      <c r="AI1617" s="52"/>
      <c r="AJ1617" s="52"/>
      <c r="AL1617" s="34"/>
      <c r="AM1617" s="34"/>
      <c r="AN1617" s="34"/>
      <c r="AO1617" s="54"/>
      <c r="AP1617" s="34"/>
      <c r="AQ1617" s="34"/>
      <c r="AR1617" s="54"/>
      <c r="AS1617" s="54"/>
      <c r="AT1617" s="54"/>
      <c r="AU1617" s="54"/>
      <c r="AV1617" s="34"/>
      <c r="AW1617" s="34"/>
      <c r="AX1617" s="34"/>
      <c r="AY1617" s="34"/>
      <c r="AZ1617" s="34"/>
      <c r="BA1617" s="44"/>
      <c r="BB1617" s="34"/>
      <c r="BC1617" s="34"/>
    </row>
    <row r="1618" spans="1:55" x14ac:dyDescent="0.35" ht="15.0" customHeight="true">
      <c r="A1618" s="51"/>
      <c r="B1618" s="34"/>
      <c r="C1618" s="34"/>
      <c r="D1618" s="34"/>
      <c r="E1618" s="34"/>
      <c r="F1618" s="34"/>
      <c r="G1618" s="44"/>
      <c r="H1618" s="34"/>
      <c r="I1618" s="54"/>
      <c r="J1618" s="34"/>
      <c r="K1618" s="54"/>
      <c r="L1618" s="34"/>
      <c r="M1618" s="44"/>
      <c r="N1618" s="44"/>
      <c r="O1618" s="34"/>
      <c r="P1618" s="34"/>
      <c r="Q1618" s="34"/>
      <c r="R1618" s="34"/>
      <c r="V1618" s="44"/>
      <c r="X1618" s="95"/>
      <c r="Y1618" s="54"/>
      <c r="Z1618" s="54"/>
      <c r="AA1618" s="34"/>
      <c r="AB1618" s="34"/>
      <c r="AC1618" s="34"/>
      <c r="AD1618" s="34"/>
      <c r="AE1618" s="34"/>
      <c r="AF1618" s="34"/>
      <c r="AG1618" s="34"/>
      <c r="AH1618" s="34"/>
      <c r="AI1618" s="52"/>
      <c r="AJ1618" s="52"/>
      <c r="AL1618" s="34"/>
      <c r="AM1618" s="34"/>
      <c r="AN1618" s="34"/>
      <c r="AO1618" s="54"/>
      <c r="AP1618" s="34"/>
      <c r="AQ1618" s="34"/>
      <c r="AR1618" s="54"/>
      <c r="AS1618" s="54"/>
      <c r="AT1618" s="54"/>
      <c r="AU1618" s="54"/>
      <c r="AV1618" s="34"/>
      <c r="AW1618" s="34"/>
      <c r="AX1618" s="34"/>
      <c r="AY1618" s="34"/>
      <c r="AZ1618" s="34"/>
      <c r="BA1618" s="44"/>
      <c r="BB1618" s="34"/>
      <c r="BC1618" s="34"/>
    </row>
    <row r="1619" spans="1:55" x14ac:dyDescent="0.35" ht="15.0" customHeight="true">
      <c r="A1619" s="51"/>
      <c r="B1619" s="34"/>
      <c r="C1619" s="34"/>
      <c r="D1619" s="34"/>
      <c r="E1619" s="34"/>
      <c r="F1619" s="34"/>
      <c r="G1619" s="44"/>
      <c r="H1619" s="34"/>
      <c r="I1619" s="54"/>
      <c r="J1619" s="34"/>
      <c r="K1619" s="54"/>
      <c r="L1619" s="34"/>
      <c r="M1619" s="44"/>
      <c r="N1619" s="44"/>
      <c r="O1619" s="34"/>
      <c r="P1619" s="34"/>
      <c r="Q1619" s="34"/>
      <c r="R1619" s="34"/>
      <c r="V1619" s="44"/>
      <c r="X1619" s="95"/>
      <c r="Y1619" s="54"/>
      <c r="Z1619" s="54"/>
      <c r="AA1619" s="34"/>
      <c r="AB1619" s="34"/>
      <c r="AC1619" s="34"/>
      <c r="AD1619" s="34"/>
      <c r="AE1619" s="34"/>
      <c r="AF1619" s="34"/>
      <c r="AG1619" s="34"/>
      <c r="AH1619" s="34"/>
      <c r="AI1619" s="52"/>
      <c r="AJ1619" s="52"/>
      <c r="AL1619" s="34"/>
      <c r="AM1619" s="34"/>
      <c r="AN1619" s="34"/>
      <c r="AO1619" s="54"/>
      <c r="AP1619" s="34"/>
      <c r="AQ1619" s="34"/>
      <c r="AR1619" s="54"/>
      <c r="AS1619" s="54"/>
      <c r="AT1619" s="54"/>
      <c r="AU1619" s="54"/>
      <c r="AV1619" s="34"/>
      <c r="AW1619" s="34"/>
      <c r="AX1619" s="34"/>
      <c r="AY1619" s="34"/>
      <c r="AZ1619" s="34"/>
      <c r="BA1619" s="44"/>
      <c r="BB1619" s="34"/>
      <c r="BC1619" s="34"/>
    </row>
    <row r="1620" spans="1:55" x14ac:dyDescent="0.35" ht="15.0" customHeight="true">
      <c r="A1620" s="51"/>
      <c r="B1620" s="34"/>
      <c r="C1620" s="34"/>
      <c r="D1620" s="34"/>
      <c r="E1620" s="34"/>
      <c r="F1620" s="34"/>
      <c r="G1620" s="44"/>
      <c r="H1620" s="34"/>
      <c r="I1620" s="54"/>
      <c r="J1620" s="34"/>
      <c r="K1620" s="54"/>
      <c r="L1620" s="34"/>
      <c r="M1620" s="44"/>
      <c r="N1620" s="44"/>
      <c r="O1620" s="34"/>
      <c r="P1620" s="34"/>
      <c r="Q1620" s="34"/>
      <c r="R1620" s="34"/>
      <c r="V1620" s="44"/>
      <c r="X1620" s="95"/>
      <c r="Y1620" s="54"/>
      <c r="Z1620" s="54"/>
      <c r="AA1620" s="34"/>
      <c r="AB1620" s="34"/>
      <c r="AC1620" s="34"/>
      <c r="AD1620" s="34"/>
      <c r="AE1620" s="34"/>
      <c r="AF1620" s="34"/>
      <c r="AG1620" s="34"/>
      <c r="AH1620" s="34"/>
      <c r="AI1620" s="52"/>
      <c r="AJ1620" s="52"/>
      <c r="AL1620" s="34"/>
      <c r="AM1620" s="34"/>
      <c r="AN1620" s="34"/>
      <c r="AO1620" s="54"/>
      <c r="AP1620" s="34"/>
      <c r="AQ1620" s="34"/>
      <c r="AR1620" s="54"/>
      <c r="AS1620" s="54"/>
      <c r="AT1620" s="54"/>
      <c r="AU1620" s="54"/>
      <c r="AV1620" s="34"/>
      <c r="AW1620" s="34"/>
      <c r="AX1620" s="34"/>
      <c r="AY1620" s="34"/>
      <c r="AZ1620" s="34"/>
      <c r="BA1620" s="44"/>
      <c r="BB1620" s="34"/>
      <c r="BC1620" s="34"/>
    </row>
    <row r="1621" spans="1:55" x14ac:dyDescent="0.35" ht="15.0" customHeight="true">
      <c r="A1621" s="51"/>
      <c r="B1621" s="34"/>
      <c r="C1621" s="34"/>
      <c r="D1621" s="34"/>
      <c r="E1621" s="34"/>
      <c r="F1621" s="34"/>
      <c r="G1621" s="44"/>
      <c r="H1621" s="34"/>
      <c r="I1621" s="54"/>
      <c r="J1621" s="34"/>
      <c r="K1621" s="54"/>
      <c r="L1621" s="34"/>
      <c r="M1621" s="44"/>
      <c r="N1621" s="44"/>
      <c r="O1621" s="34"/>
      <c r="P1621" s="34"/>
      <c r="Q1621" s="34"/>
      <c r="R1621" s="34"/>
      <c r="V1621" s="44"/>
      <c r="X1621" s="95"/>
      <c r="Y1621" s="54"/>
      <c r="Z1621" s="54"/>
      <c r="AA1621" s="34"/>
      <c r="AB1621" s="34"/>
      <c r="AC1621" s="34"/>
      <c r="AD1621" s="34"/>
      <c r="AE1621" s="34"/>
      <c r="AF1621" s="34"/>
      <c r="AG1621" s="34"/>
      <c r="AH1621" s="34"/>
      <c r="AI1621" s="52"/>
      <c r="AJ1621" s="52"/>
      <c r="AL1621" s="34"/>
      <c r="AM1621" s="34"/>
      <c r="AN1621" s="34"/>
      <c r="AO1621" s="54"/>
      <c r="AP1621" s="34"/>
      <c r="AQ1621" s="34"/>
      <c r="AR1621" s="54"/>
      <c r="AS1621" s="54"/>
      <c r="AT1621" s="54"/>
      <c r="AU1621" s="54"/>
      <c r="AV1621" s="34"/>
      <c r="AW1621" s="34"/>
      <c r="AX1621" s="34"/>
      <c r="AY1621" s="34"/>
      <c r="AZ1621" s="34"/>
      <c r="BA1621" s="44"/>
      <c r="BB1621" s="34"/>
      <c r="BC1621" s="34"/>
    </row>
    <row r="1622" spans="1:55" x14ac:dyDescent="0.35" ht="15.0" customHeight="true">
      <c r="A1622" s="51"/>
      <c r="B1622" s="34"/>
      <c r="C1622" s="34"/>
      <c r="D1622" s="34"/>
      <c r="E1622" s="34"/>
      <c r="F1622" s="34"/>
      <c r="G1622" s="44"/>
      <c r="H1622" s="34"/>
      <c r="I1622" s="54"/>
      <c r="J1622" s="34"/>
      <c r="K1622" s="54"/>
      <c r="L1622" s="34"/>
      <c r="M1622" s="44"/>
      <c r="N1622" s="44"/>
      <c r="O1622" s="34"/>
      <c r="P1622" s="34"/>
      <c r="Q1622" s="34"/>
      <c r="R1622" s="34"/>
      <c r="V1622" s="44"/>
      <c r="X1622" s="95"/>
      <c r="Y1622" s="54"/>
      <c r="Z1622" s="54"/>
      <c r="AA1622" s="34"/>
      <c r="AB1622" s="34"/>
      <c r="AC1622" s="34"/>
      <c r="AD1622" s="34"/>
      <c r="AE1622" s="34"/>
      <c r="AF1622" s="34"/>
      <c r="AG1622" s="34"/>
      <c r="AH1622" s="34"/>
      <c r="AI1622" s="52"/>
      <c r="AJ1622" s="52"/>
      <c r="AL1622" s="34"/>
      <c r="AM1622" s="34"/>
      <c r="AN1622" s="34"/>
      <c r="AO1622" s="54"/>
      <c r="AP1622" s="34"/>
      <c r="AQ1622" s="34"/>
      <c r="AR1622" s="54"/>
      <c r="AS1622" s="54"/>
      <c r="AT1622" s="54"/>
      <c r="AU1622" s="54"/>
      <c r="AV1622" s="34"/>
      <c r="AW1622" s="34"/>
      <c r="AX1622" s="34"/>
      <c r="AY1622" s="34"/>
      <c r="AZ1622" s="34"/>
      <c r="BA1622" s="44"/>
      <c r="BB1622" s="34"/>
      <c r="BC1622" s="34"/>
    </row>
    <row r="1623" spans="1:55" x14ac:dyDescent="0.35" ht="15.0" customHeight="true">
      <c r="A1623" s="51"/>
      <c r="B1623" s="34"/>
      <c r="C1623" s="34"/>
      <c r="D1623" s="34"/>
      <c r="E1623" s="34"/>
      <c r="F1623" s="34"/>
      <c r="G1623" s="44"/>
      <c r="H1623" s="34"/>
      <c r="I1623" s="54"/>
      <c r="J1623" s="34"/>
      <c r="K1623" s="54"/>
      <c r="L1623" s="34"/>
      <c r="M1623" s="44"/>
      <c r="N1623" s="44"/>
      <c r="O1623" s="34"/>
      <c r="P1623" s="34"/>
      <c r="Q1623" s="34"/>
      <c r="R1623" s="34"/>
      <c r="V1623" s="44"/>
      <c r="X1623" s="95"/>
      <c r="Y1623" s="54"/>
      <c r="Z1623" s="54"/>
      <c r="AA1623" s="34"/>
      <c r="AB1623" s="34"/>
      <c r="AC1623" s="34"/>
      <c r="AD1623" s="34"/>
      <c r="AE1623" s="34"/>
      <c r="AF1623" s="34"/>
      <c r="AG1623" s="34"/>
      <c r="AH1623" s="34"/>
      <c r="AI1623" s="52"/>
      <c r="AJ1623" s="52"/>
      <c r="AL1623" s="34"/>
      <c r="AM1623" s="34"/>
      <c r="AN1623" s="34"/>
      <c r="AO1623" s="54"/>
      <c r="AP1623" s="34"/>
      <c r="AQ1623" s="34"/>
      <c r="AR1623" s="54"/>
      <c r="AS1623" s="54"/>
      <c r="AT1623" s="54"/>
      <c r="AU1623" s="54"/>
      <c r="AV1623" s="34"/>
      <c r="AW1623" s="34"/>
      <c r="AX1623" s="34"/>
      <c r="AY1623" s="34"/>
      <c r="AZ1623" s="34"/>
      <c r="BA1623" s="44"/>
      <c r="BB1623" s="34"/>
      <c r="BC1623" s="34"/>
    </row>
    <row r="1624" spans="1:55" x14ac:dyDescent="0.35" ht="15.0" customHeight="true">
      <c r="A1624" s="51"/>
      <c r="B1624" s="34"/>
      <c r="C1624" s="34"/>
      <c r="D1624" s="34"/>
      <c r="E1624" s="34"/>
      <c r="F1624" s="34"/>
      <c r="G1624" s="44"/>
      <c r="H1624" s="34"/>
      <c r="I1624" s="54"/>
      <c r="J1624" s="34"/>
      <c r="K1624" s="54"/>
      <c r="L1624" s="34"/>
      <c r="M1624" s="44"/>
      <c r="N1624" s="44"/>
      <c r="O1624" s="34"/>
      <c r="P1624" s="34"/>
      <c r="Q1624" s="34"/>
      <c r="R1624" s="34"/>
      <c r="V1624" s="44"/>
      <c r="X1624" s="95"/>
      <c r="Y1624" s="54"/>
      <c r="Z1624" s="54"/>
      <c r="AA1624" s="34"/>
      <c r="AB1624" s="34"/>
      <c r="AC1624" s="34"/>
      <c r="AD1624" s="34"/>
      <c r="AE1624" s="34"/>
      <c r="AF1624" s="34"/>
      <c r="AG1624" s="34"/>
      <c r="AH1624" s="34"/>
      <c r="AI1624" s="52"/>
      <c r="AJ1624" s="52"/>
      <c r="AL1624" s="34"/>
      <c r="AM1624" s="34"/>
      <c r="AN1624" s="34"/>
      <c r="AO1624" s="54"/>
      <c r="AP1624" s="34"/>
      <c r="AQ1624" s="34"/>
      <c r="AR1624" s="54"/>
      <c r="AS1624" s="54"/>
      <c r="AT1624" s="54"/>
      <c r="AU1624" s="54"/>
      <c r="AV1624" s="34"/>
      <c r="AW1624" s="34"/>
      <c r="AX1624" s="34"/>
      <c r="AY1624" s="34"/>
      <c r="AZ1624" s="34"/>
      <c r="BA1624" s="44"/>
      <c r="BB1624" s="34"/>
      <c r="BC1624" s="34"/>
    </row>
    <row r="1625" spans="1:55" x14ac:dyDescent="0.35" ht="15.0" customHeight="true">
      <c r="A1625" s="51"/>
      <c r="B1625" s="34"/>
      <c r="C1625" s="34"/>
      <c r="D1625" s="34"/>
      <c r="E1625" s="34"/>
      <c r="F1625" s="34"/>
      <c r="G1625" s="44"/>
      <c r="H1625" s="34"/>
      <c r="I1625" s="54"/>
      <c r="J1625" s="34"/>
      <c r="K1625" s="54"/>
      <c r="L1625" s="34"/>
      <c r="M1625" s="44"/>
      <c r="N1625" s="44"/>
      <c r="O1625" s="34"/>
      <c r="P1625" s="34"/>
      <c r="Q1625" s="34"/>
      <c r="R1625" s="34"/>
      <c r="V1625" s="44"/>
      <c r="X1625" s="95"/>
      <c r="Y1625" s="54"/>
      <c r="Z1625" s="54"/>
      <c r="AA1625" s="34"/>
      <c r="AB1625" s="34"/>
      <c r="AC1625" s="34"/>
      <c r="AD1625" s="34"/>
      <c r="AE1625" s="34"/>
      <c r="AF1625" s="34"/>
      <c r="AG1625" s="34"/>
      <c r="AH1625" s="34"/>
      <c r="AI1625" s="52"/>
      <c r="AJ1625" s="52"/>
      <c r="AL1625" s="34"/>
      <c r="AM1625" s="34"/>
      <c r="AN1625" s="34"/>
      <c r="AO1625" s="54"/>
      <c r="AP1625" s="34"/>
      <c r="AQ1625" s="34"/>
      <c r="AR1625" s="54"/>
      <c r="AS1625" s="54"/>
      <c r="AT1625" s="54"/>
      <c r="AU1625" s="54"/>
      <c r="AV1625" s="34"/>
      <c r="AW1625" s="34"/>
      <c r="AX1625" s="34"/>
      <c r="AY1625" s="34"/>
      <c r="AZ1625" s="34"/>
      <c r="BA1625" s="44"/>
      <c r="BB1625" s="34"/>
      <c r="BC1625" s="34"/>
    </row>
    <row r="1626" spans="1:55" x14ac:dyDescent="0.35" ht="15.0" customHeight="true">
      <c r="A1626" s="51"/>
      <c r="B1626" s="34"/>
      <c r="C1626" s="34"/>
      <c r="D1626" s="34"/>
      <c r="E1626" s="34"/>
      <c r="F1626" s="34"/>
      <c r="G1626" s="44"/>
      <c r="H1626" s="34"/>
      <c r="I1626" s="54"/>
      <c r="J1626" s="34"/>
      <c r="K1626" s="54"/>
      <c r="L1626" s="34"/>
      <c r="M1626" s="44"/>
      <c r="N1626" s="44"/>
      <c r="O1626" s="34"/>
      <c r="P1626" s="34"/>
      <c r="Q1626" s="34"/>
      <c r="R1626" s="34"/>
      <c r="V1626" s="44"/>
      <c r="X1626" s="95"/>
      <c r="Y1626" s="54"/>
      <c r="Z1626" s="54"/>
      <c r="AA1626" s="34"/>
      <c r="AB1626" s="34"/>
      <c r="AC1626" s="34"/>
      <c r="AD1626" s="34"/>
      <c r="AE1626" s="34"/>
      <c r="AF1626" s="34"/>
      <c r="AG1626" s="34"/>
      <c r="AH1626" s="34"/>
      <c r="AI1626" s="52"/>
      <c r="AJ1626" s="52"/>
      <c r="AL1626" s="34"/>
      <c r="AM1626" s="34"/>
      <c r="AN1626" s="34"/>
      <c r="AO1626" s="54"/>
      <c r="AP1626" s="34"/>
      <c r="AQ1626" s="34"/>
      <c r="AR1626" s="54"/>
      <c r="AS1626" s="54"/>
      <c r="AT1626" s="54"/>
      <c r="AU1626" s="54"/>
      <c r="AV1626" s="34"/>
      <c r="AW1626" s="34"/>
      <c r="AX1626" s="34"/>
      <c r="AY1626" s="34"/>
      <c r="AZ1626" s="34"/>
      <c r="BA1626" s="44"/>
      <c r="BB1626" s="34"/>
      <c r="BC1626" s="34"/>
    </row>
    <row r="1627" spans="1:55" x14ac:dyDescent="0.35" ht="15.0" customHeight="true">
      <c r="A1627" s="51"/>
      <c r="B1627" s="34"/>
      <c r="C1627" s="34"/>
      <c r="D1627" s="34"/>
      <c r="E1627" s="34"/>
      <c r="F1627" s="34"/>
      <c r="G1627" s="44"/>
      <c r="H1627" s="34"/>
      <c r="I1627" s="54"/>
      <c r="J1627" s="34"/>
      <c r="K1627" s="54"/>
      <c r="L1627" s="34"/>
      <c r="M1627" s="44"/>
      <c r="N1627" s="44"/>
      <c r="O1627" s="34"/>
      <c r="P1627" s="34"/>
      <c r="Q1627" s="34"/>
      <c r="R1627" s="34"/>
      <c r="V1627" s="44"/>
      <c r="X1627" s="95"/>
      <c r="Y1627" s="54"/>
      <c r="Z1627" s="54"/>
      <c r="AA1627" s="34"/>
      <c r="AB1627" s="34"/>
      <c r="AC1627" s="34"/>
      <c r="AD1627" s="34"/>
      <c r="AE1627" s="34"/>
      <c r="AF1627" s="34"/>
      <c r="AG1627" s="34"/>
      <c r="AH1627" s="34"/>
      <c r="AI1627" s="52"/>
      <c r="AJ1627" s="52"/>
      <c r="AL1627" s="34"/>
      <c r="AM1627" s="34"/>
      <c r="AN1627" s="34"/>
      <c r="AO1627" s="54"/>
      <c r="AP1627" s="34"/>
      <c r="AQ1627" s="34"/>
      <c r="AR1627" s="54"/>
      <c r="AS1627" s="54"/>
      <c r="AT1627" s="54"/>
      <c r="AU1627" s="54"/>
      <c r="AV1627" s="34"/>
      <c r="AW1627" s="34"/>
      <c r="AX1627" s="34"/>
      <c r="AY1627" s="34"/>
      <c r="AZ1627" s="34"/>
      <c r="BA1627" s="44"/>
      <c r="BB1627" s="34"/>
      <c r="BC1627" s="34"/>
    </row>
    <row r="1628" spans="1:55" x14ac:dyDescent="0.35" ht="15.0" customHeight="true">
      <c r="A1628" s="51"/>
      <c r="B1628" s="34"/>
      <c r="C1628" s="34"/>
      <c r="D1628" s="34"/>
      <c r="E1628" s="34"/>
      <c r="F1628" s="34"/>
      <c r="G1628" s="44"/>
      <c r="H1628" s="34"/>
      <c r="I1628" s="54"/>
      <c r="J1628" s="34"/>
      <c r="K1628" s="54"/>
      <c r="L1628" s="34"/>
      <c r="M1628" s="44"/>
      <c r="N1628" s="44"/>
      <c r="O1628" s="34"/>
      <c r="P1628" s="34"/>
      <c r="Q1628" s="34"/>
      <c r="R1628" s="34"/>
      <c r="V1628" s="44"/>
      <c r="X1628" s="95"/>
      <c r="Y1628" s="54"/>
      <c r="Z1628" s="54"/>
      <c r="AA1628" s="34"/>
      <c r="AB1628" s="34"/>
      <c r="AC1628" s="34"/>
      <c r="AD1628" s="34"/>
      <c r="AE1628" s="34"/>
      <c r="AF1628" s="34"/>
      <c r="AG1628" s="34"/>
      <c r="AH1628" s="34"/>
      <c r="AI1628" s="52"/>
      <c r="AJ1628" s="52"/>
      <c r="AL1628" s="34"/>
      <c r="AM1628" s="34"/>
      <c r="AN1628" s="34"/>
      <c r="AO1628" s="54"/>
      <c r="AP1628" s="34"/>
      <c r="AQ1628" s="34"/>
      <c r="AR1628" s="54"/>
      <c r="AS1628" s="54"/>
      <c r="AT1628" s="54"/>
      <c r="AU1628" s="54"/>
      <c r="AV1628" s="34"/>
      <c r="AW1628" s="34"/>
      <c r="AX1628" s="34"/>
      <c r="AY1628" s="34"/>
      <c r="AZ1628" s="34"/>
      <c r="BA1628" s="44"/>
      <c r="BB1628" s="34"/>
      <c r="BC1628" s="34"/>
    </row>
    <row r="1629" spans="1:55" x14ac:dyDescent="0.35" ht="15.0" customHeight="true">
      <c r="A1629" s="51"/>
      <c r="B1629" s="34"/>
      <c r="C1629" s="34"/>
      <c r="D1629" s="34"/>
      <c r="E1629" s="34"/>
      <c r="F1629" s="34"/>
      <c r="G1629" s="44"/>
      <c r="H1629" s="34"/>
      <c r="I1629" s="54"/>
      <c r="J1629" s="34"/>
      <c r="K1629" s="54"/>
      <c r="L1629" s="34"/>
      <c r="M1629" s="44"/>
      <c r="N1629" s="44"/>
      <c r="O1629" s="34"/>
      <c r="P1629" s="34"/>
      <c r="Q1629" s="34"/>
      <c r="R1629" s="34"/>
      <c r="V1629" s="44"/>
      <c r="X1629" s="95"/>
      <c r="Y1629" s="54"/>
      <c r="Z1629" s="54"/>
      <c r="AA1629" s="34"/>
      <c r="AB1629" s="34"/>
      <c r="AC1629" s="34"/>
      <c r="AD1629" s="34"/>
      <c r="AE1629" s="34"/>
      <c r="AF1629" s="34"/>
      <c r="AG1629" s="34"/>
      <c r="AH1629" s="34"/>
      <c r="AI1629" s="52"/>
      <c r="AJ1629" s="52"/>
      <c r="AL1629" s="34"/>
      <c r="AM1629" s="34"/>
      <c r="AN1629" s="34"/>
      <c r="AO1629" s="54"/>
      <c r="AP1629" s="34"/>
      <c r="AQ1629" s="34"/>
      <c r="AR1629" s="54"/>
      <c r="AS1629" s="54"/>
      <c r="AT1629" s="54"/>
      <c r="AU1629" s="54"/>
      <c r="AV1629" s="34"/>
      <c r="AW1629" s="34"/>
      <c r="AX1629" s="34"/>
      <c r="AY1629" s="34"/>
      <c r="AZ1629" s="34"/>
      <c r="BA1629" s="44"/>
      <c r="BB1629" s="34"/>
      <c r="BC1629" s="34"/>
    </row>
    <row r="1630" spans="1:55" x14ac:dyDescent="0.35" ht="15.0" customHeight="true">
      <c r="A1630" s="51"/>
      <c r="B1630" s="34"/>
      <c r="C1630" s="34"/>
      <c r="D1630" s="34"/>
      <c r="E1630" s="34"/>
      <c r="F1630" s="34"/>
      <c r="G1630" s="44"/>
      <c r="H1630" s="34"/>
      <c r="I1630" s="54"/>
      <c r="J1630" s="34"/>
      <c r="K1630" s="54"/>
      <c r="L1630" s="34"/>
      <c r="M1630" s="44"/>
      <c r="N1630" s="44"/>
      <c r="O1630" s="34"/>
      <c r="P1630" s="34"/>
      <c r="Q1630" s="34"/>
      <c r="R1630" s="34"/>
      <c r="V1630" s="44"/>
      <c r="X1630" s="95"/>
      <c r="Y1630" s="54"/>
      <c r="Z1630" s="54"/>
      <c r="AA1630" s="34"/>
      <c r="AB1630" s="34"/>
      <c r="AC1630" s="34"/>
      <c r="AD1630" s="34"/>
      <c r="AE1630" s="34"/>
      <c r="AF1630" s="34"/>
      <c r="AG1630" s="34"/>
      <c r="AH1630" s="34"/>
      <c r="AI1630" s="52"/>
      <c r="AJ1630" s="52"/>
      <c r="AL1630" s="34"/>
      <c r="AM1630" s="34"/>
      <c r="AN1630" s="34"/>
      <c r="AO1630" s="54"/>
      <c r="AP1630" s="34"/>
      <c r="AQ1630" s="34"/>
      <c r="AR1630" s="54"/>
      <c r="AS1630" s="54"/>
      <c r="AT1630" s="54"/>
      <c r="AU1630" s="54"/>
      <c r="AV1630" s="34"/>
      <c r="AW1630" s="34"/>
      <c r="AX1630" s="34"/>
      <c r="AY1630" s="34"/>
      <c r="AZ1630" s="34"/>
      <c r="BA1630" s="44"/>
      <c r="BB1630" s="34"/>
      <c r="BC1630" s="34"/>
    </row>
    <row r="1631" spans="1:55" x14ac:dyDescent="0.35" ht="15.0" customHeight="true">
      <c r="A1631" s="51"/>
      <c r="B1631" s="34"/>
      <c r="C1631" s="34"/>
      <c r="D1631" s="34"/>
      <c r="E1631" s="34"/>
      <c r="F1631" s="34"/>
      <c r="G1631" s="44"/>
      <c r="H1631" s="34"/>
      <c r="I1631" s="54"/>
      <c r="J1631" s="34"/>
      <c r="K1631" s="54"/>
      <c r="L1631" s="34"/>
      <c r="M1631" s="44"/>
      <c r="N1631" s="44"/>
      <c r="O1631" s="34"/>
      <c r="P1631" s="34"/>
      <c r="Q1631" s="34"/>
      <c r="R1631" s="34"/>
      <c r="V1631" s="44"/>
      <c r="X1631" s="95"/>
      <c r="Y1631" s="54"/>
      <c r="Z1631" s="54"/>
      <c r="AA1631" s="34"/>
      <c r="AB1631" s="34"/>
      <c r="AC1631" s="34"/>
      <c r="AD1631" s="34"/>
      <c r="AE1631" s="34"/>
      <c r="AF1631" s="34"/>
      <c r="AG1631" s="34"/>
      <c r="AH1631" s="34"/>
      <c r="AI1631" s="52"/>
      <c r="AJ1631" s="52"/>
      <c r="AL1631" s="34"/>
      <c r="AM1631" s="34"/>
      <c r="AN1631" s="34"/>
      <c r="AO1631" s="54"/>
      <c r="AP1631" s="34"/>
      <c r="AQ1631" s="34"/>
      <c r="AR1631" s="54"/>
      <c r="AS1631" s="54"/>
      <c r="AT1631" s="54"/>
      <c r="AU1631" s="54"/>
      <c r="AV1631" s="34"/>
      <c r="AW1631" s="34"/>
      <c r="AX1631" s="34"/>
      <c r="AY1631" s="34"/>
      <c r="AZ1631" s="34"/>
      <c r="BA1631" s="44"/>
      <c r="BB1631" s="34"/>
      <c r="BC1631" s="34"/>
    </row>
    <row r="1632" spans="1:55" x14ac:dyDescent="0.35" ht="15.0" customHeight="true">
      <c r="A1632" s="51"/>
      <c r="B1632" s="34"/>
      <c r="C1632" s="34"/>
      <c r="D1632" s="34"/>
      <c r="E1632" s="34"/>
      <c r="F1632" s="34"/>
      <c r="G1632" s="44"/>
      <c r="H1632" s="34"/>
      <c r="I1632" s="54"/>
      <c r="J1632" s="34"/>
      <c r="K1632" s="54"/>
      <c r="L1632" s="34"/>
      <c r="M1632" s="44"/>
      <c r="N1632" s="44"/>
      <c r="O1632" s="34"/>
      <c r="P1632" s="34"/>
      <c r="Q1632" s="34"/>
      <c r="R1632" s="34"/>
      <c r="V1632" s="44"/>
      <c r="X1632" s="95"/>
      <c r="Y1632" s="54"/>
      <c r="Z1632" s="54"/>
      <c r="AA1632" s="34"/>
      <c r="AB1632" s="34"/>
      <c r="AC1632" s="34"/>
      <c r="AD1632" s="34"/>
      <c r="AE1632" s="34"/>
      <c r="AF1632" s="34"/>
      <c r="AG1632" s="34"/>
      <c r="AH1632" s="34"/>
      <c r="AI1632" s="52"/>
      <c r="AJ1632" s="52"/>
      <c r="AL1632" s="34"/>
      <c r="AM1632" s="34"/>
      <c r="AN1632" s="34"/>
      <c r="AO1632" s="54"/>
      <c r="AP1632" s="34"/>
      <c r="AQ1632" s="34"/>
      <c r="AR1632" s="54"/>
      <c r="AS1632" s="54"/>
      <c r="AT1632" s="54"/>
      <c r="AU1632" s="54"/>
      <c r="AV1632" s="34"/>
      <c r="AW1632" s="34"/>
      <c r="AX1632" s="34"/>
      <c r="AY1632" s="34"/>
      <c r="AZ1632" s="34"/>
      <c r="BA1632" s="44"/>
      <c r="BB1632" s="34"/>
      <c r="BC1632" s="34"/>
    </row>
    <row r="1633" spans="1:55" x14ac:dyDescent="0.35" ht="15.0" customHeight="true">
      <c r="A1633" s="51"/>
      <c r="B1633" s="34"/>
      <c r="C1633" s="34"/>
      <c r="D1633" s="34"/>
      <c r="E1633" s="34"/>
      <c r="F1633" s="34"/>
      <c r="G1633" s="44"/>
      <c r="H1633" s="34"/>
      <c r="I1633" s="54"/>
      <c r="J1633" s="34"/>
      <c r="K1633" s="54"/>
      <c r="L1633" s="34"/>
      <c r="M1633" s="44"/>
      <c r="N1633" s="44"/>
      <c r="O1633" s="34"/>
      <c r="P1633" s="34"/>
      <c r="Q1633" s="34"/>
      <c r="R1633" s="34"/>
      <c r="V1633" s="44"/>
      <c r="X1633" s="95"/>
      <c r="Y1633" s="54"/>
      <c r="Z1633" s="54"/>
      <c r="AA1633" s="34"/>
      <c r="AB1633" s="34"/>
      <c r="AC1633" s="34"/>
      <c r="AD1633" s="34"/>
      <c r="AE1633" s="34"/>
      <c r="AF1633" s="34"/>
      <c r="AG1633" s="34"/>
      <c r="AH1633" s="34"/>
      <c r="AI1633" s="52"/>
      <c r="AJ1633" s="52"/>
      <c r="AL1633" s="34"/>
      <c r="AM1633" s="34"/>
      <c r="AN1633" s="34"/>
      <c r="AO1633" s="54"/>
      <c r="AP1633" s="34"/>
      <c r="AQ1633" s="34"/>
      <c r="AR1633" s="54"/>
      <c r="AS1633" s="54"/>
      <c r="AT1633" s="54"/>
      <c r="AU1633" s="54"/>
      <c r="AV1633" s="34"/>
      <c r="AW1633" s="34"/>
      <c r="AX1633" s="34"/>
      <c r="AY1633" s="34"/>
      <c r="AZ1633" s="34"/>
      <c r="BA1633" s="44"/>
      <c r="BB1633" s="34"/>
      <c r="BC1633" s="34"/>
    </row>
    <row r="1634" spans="1:55" x14ac:dyDescent="0.35" ht="15.0" customHeight="true">
      <c r="A1634" s="51"/>
      <c r="B1634" s="34"/>
      <c r="C1634" s="34"/>
      <c r="D1634" s="34"/>
      <c r="E1634" s="34"/>
      <c r="F1634" s="34"/>
      <c r="G1634" s="44"/>
      <c r="H1634" s="34"/>
      <c r="I1634" s="54"/>
      <c r="J1634" s="34"/>
      <c r="K1634" s="54"/>
      <c r="L1634" s="34"/>
      <c r="M1634" s="44"/>
      <c r="N1634" s="44"/>
      <c r="O1634" s="34"/>
      <c r="P1634" s="34"/>
      <c r="Q1634" s="34"/>
      <c r="R1634" s="34"/>
      <c r="V1634" s="44"/>
      <c r="X1634" s="95"/>
      <c r="Y1634" s="54"/>
      <c r="Z1634" s="54"/>
      <c r="AA1634" s="34"/>
      <c r="AB1634" s="34"/>
      <c r="AC1634" s="34"/>
      <c r="AD1634" s="34"/>
      <c r="AE1634" s="34"/>
      <c r="AF1634" s="34"/>
      <c r="AG1634" s="34"/>
      <c r="AH1634" s="34"/>
      <c r="AI1634" s="52"/>
      <c r="AJ1634" s="52"/>
      <c r="AL1634" s="34"/>
      <c r="AM1634" s="34"/>
      <c r="AN1634" s="34"/>
      <c r="AO1634" s="54"/>
      <c r="AP1634" s="34"/>
      <c r="AQ1634" s="34"/>
      <c r="AR1634" s="54"/>
      <c r="AS1634" s="54"/>
      <c r="AT1634" s="54"/>
      <c r="AU1634" s="54"/>
      <c r="AV1634" s="34"/>
      <c r="AW1634" s="34"/>
      <c r="AX1634" s="34"/>
      <c r="AY1634" s="34"/>
      <c r="AZ1634" s="34"/>
      <c r="BA1634" s="44"/>
      <c r="BB1634" s="34"/>
      <c r="BC1634" s="34"/>
    </row>
    <row r="1635" spans="1:55" x14ac:dyDescent="0.35" ht="15.0" customHeight="true">
      <c r="A1635" s="51"/>
      <c r="B1635" s="34"/>
      <c r="C1635" s="34"/>
      <c r="D1635" s="34"/>
      <c r="E1635" s="34"/>
      <c r="F1635" s="34"/>
      <c r="G1635" s="44"/>
      <c r="H1635" s="34"/>
      <c r="I1635" s="54"/>
      <c r="J1635" s="34"/>
      <c r="K1635" s="54"/>
      <c r="L1635" s="34"/>
      <c r="M1635" s="44"/>
      <c r="N1635" s="44"/>
      <c r="O1635" s="34"/>
      <c r="P1635" s="34"/>
      <c r="Q1635" s="34"/>
      <c r="R1635" s="34"/>
      <c r="V1635" s="44"/>
      <c r="X1635" s="95"/>
      <c r="Y1635" s="54"/>
      <c r="Z1635" s="54"/>
      <c r="AA1635" s="34"/>
      <c r="AB1635" s="34"/>
      <c r="AC1635" s="34"/>
      <c r="AD1635" s="34"/>
      <c r="AE1635" s="34"/>
      <c r="AF1635" s="34"/>
      <c r="AG1635" s="34"/>
      <c r="AH1635" s="34"/>
      <c r="AI1635" s="52"/>
      <c r="AJ1635" s="52"/>
      <c r="AL1635" s="34"/>
      <c r="AM1635" s="34"/>
      <c r="AN1635" s="34"/>
      <c r="AO1635" s="54"/>
      <c r="AP1635" s="34"/>
      <c r="AQ1635" s="34"/>
      <c r="AR1635" s="54"/>
      <c r="AS1635" s="54"/>
      <c r="AT1635" s="54"/>
      <c r="AU1635" s="54"/>
      <c r="AV1635" s="34"/>
      <c r="AW1635" s="34"/>
      <c r="AX1635" s="34"/>
      <c r="AY1635" s="34"/>
      <c r="AZ1635" s="34"/>
      <c r="BA1635" s="44"/>
      <c r="BB1635" s="34"/>
      <c r="BC1635" s="34"/>
    </row>
    <row r="1636" spans="1:55" x14ac:dyDescent="0.35" ht="15.0" customHeight="true">
      <c r="A1636" s="51"/>
      <c r="B1636" s="34"/>
      <c r="C1636" s="34"/>
      <c r="D1636" s="34"/>
      <c r="E1636" s="34"/>
      <c r="F1636" s="34"/>
      <c r="G1636" s="44"/>
      <c r="H1636" s="34"/>
      <c r="I1636" s="54"/>
      <c r="J1636" s="34"/>
      <c r="K1636" s="54"/>
      <c r="L1636" s="34"/>
      <c r="M1636" s="44"/>
      <c r="N1636" s="44"/>
      <c r="O1636" s="34"/>
      <c r="P1636" s="34"/>
      <c r="Q1636" s="34"/>
      <c r="R1636" s="34"/>
      <c r="V1636" s="44"/>
      <c r="X1636" s="95"/>
      <c r="Y1636" s="54"/>
      <c r="Z1636" s="54"/>
      <c r="AA1636" s="34"/>
      <c r="AB1636" s="34"/>
      <c r="AC1636" s="34"/>
      <c r="AD1636" s="34"/>
      <c r="AE1636" s="34"/>
      <c r="AF1636" s="34"/>
      <c r="AG1636" s="34"/>
      <c r="AH1636" s="34"/>
      <c r="AI1636" s="52"/>
      <c r="AJ1636" s="52"/>
      <c r="AL1636" s="34"/>
      <c r="AM1636" s="34"/>
      <c r="AN1636" s="34"/>
      <c r="AO1636" s="54"/>
      <c r="AP1636" s="34"/>
      <c r="AQ1636" s="34"/>
      <c r="AR1636" s="54"/>
      <c r="AS1636" s="54"/>
      <c r="AT1636" s="54"/>
      <c r="AU1636" s="54"/>
      <c r="AV1636" s="34"/>
      <c r="AW1636" s="34"/>
      <c r="AX1636" s="34"/>
      <c r="AY1636" s="34"/>
      <c r="AZ1636" s="34"/>
      <c r="BA1636" s="44"/>
      <c r="BB1636" s="34"/>
      <c r="BC1636" s="34"/>
    </row>
    <row r="1637" spans="1:55" x14ac:dyDescent="0.35" ht="15.0" customHeight="true">
      <c r="A1637" s="51"/>
      <c r="B1637" s="34"/>
      <c r="C1637" s="34"/>
      <c r="D1637" s="34"/>
      <c r="E1637" s="34"/>
      <c r="F1637" s="34"/>
      <c r="G1637" s="44"/>
      <c r="H1637" s="34"/>
      <c r="I1637" s="54"/>
      <c r="J1637" s="34"/>
      <c r="K1637" s="54"/>
      <c r="L1637" s="34"/>
      <c r="M1637" s="44"/>
      <c r="N1637" s="44"/>
      <c r="O1637" s="34"/>
      <c r="P1637" s="34"/>
      <c r="Q1637" s="34"/>
      <c r="R1637" s="34"/>
      <c r="V1637" s="44"/>
      <c r="X1637" s="95"/>
      <c r="Y1637" s="54"/>
      <c r="Z1637" s="54"/>
      <c r="AA1637" s="34"/>
      <c r="AB1637" s="34"/>
      <c r="AC1637" s="34"/>
      <c r="AD1637" s="34"/>
      <c r="AE1637" s="34"/>
      <c r="AF1637" s="34"/>
      <c r="AG1637" s="34"/>
      <c r="AH1637" s="34"/>
      <c r="AI1637" s="52"/>
      <c r="AJ1637" s="52"/>
      <c r="AL1637" s="34"/>
      <c r="AM1637" s="34"/>
      <c r="AN1637" s="34"/>
      <c r="AO1637" s="54"/>
      <c r="AP1637" s="34"/>
      <c r="AQ1637" s="34"/>
      <c r="AR1637" s="54"/>
      <c r="AS1637" s="54"/>
      <c r="AT1637" s="54"/>
      <c r="AU1637" s="54"/>
      <c r="AV1637" s="34"/>
      <c r="AW1637" s="34"/>
      <c r="AX1637" s="34"/>
      <c r="AY1637" s="34"/>
      <c r="AZ1637" s="34"/>
      <c r="BA1637" s="44"/>
      <c r="BB1637" s="34"/>
      <c r="BC1637" s="34"/>
    </row>
    <row r="1638" spans="1:55" x14ac:dyDescent="0.35" ht="15.0" customHeight="true">
      <c r="A1638" s="51"/>
      <c r="B1638" s="34"/>
      <c r="C1638" s="34"/>
      <c r="D1638" s="34"/>
      <c r="E1638" s="34"/>
      <c r="F1638" s="34"/>
      <c r="G1638" s="44"/>
      <c r="H1638" s="34"/>
      <c r="I1638" s="54"/>
      <c r="J1638" s="34"/>
      <c r="K1638" s="54"/>
      <c r="L1638" s="34"/>
      <c r="M1638" s="44"/>
      <c r="N1638" s="44"/>
      <c r="O1638" s="34"/>
      <c r="P1638" s="34"/>
      <c r="Q1638" s="34"/>
      <c r="R1638" s="34"/>
      <c r="V1638" s="44"/>
      <c r="X1638" s="95"/>
      <c r="Y1638" s="54"/>
      <c r="Z1638" s="54"/>
      <c r="AA1638" s="34"/>
      <c r="AB1638" s="34"/>
      <c r="AC1638" s="34"/>
      <c r="AD1638" s="34"/>
      <c r="AE1638" s="34"/>
      <c r="AF1638" s="34"/>
      <c r="AG1638" s="34"/>
      <c r="AH1638" s="34"/>
      <c r="AI1638" s="52"/>
      <c r="AJ1638" s="52"/>
      <c r="AL1638" s="34"/>
      <c r="AM1638" s="34"/>
      <c r="AN1638" s="34"/>
      <c r="AO1638" s="54"/>
      <c r="AP1638" s="34"/>
      <c r="AQ1638" s="34"/>
      <c r="AR1638" s="54"/>
      <c r="AS1638" s="54"/>
      <c r="AT1638" s="54"/>
      <c r="AU1638" s="54"/>
      <c r="AV1638" s="34"/>
      <c r="AW1638" s="34"/>
      <c r="AX1638" s="34"/>
      <c r="AY1638" s="34"/>
      <c r="AZ1638" s="34"/>
      <c r="BA1638" s="44"/>
      <c r="BB1638" s="34"/>
      <c r="BC1638" s="34"/>
    </row>
    <row r="1639" spans="1:55" x14ac:dyDescent="0.35" ht="15.0" customHeight="true">
      <c r="A1639" s="51"/>
      <c r="B1639" s="34"/>
      <c r="C1639" s="34"/>
      <c r="D1639" s="34"/>
      <c r="E1639" s="34"/>
      <c r="F1639" s="34"/>
      <c r="G1639" s="44"/>
      <c r="H1639" s="34"/>
      <c r="I1639" s="54"/>
      <c r="J1639" s="34"/>
      <c r="K1639" s="54"/>
      <c r="L1639" s="34"/>
      <c r="M1639" s="44"/>
      <c r="N1639" s="44"/>
      <c r="O1639" s="34"/>
      <c r="P1639" s="34"/>
      <c r="Q1639" s="34"/>
      <c r="R1639" s="34"/>
      <c r="V1639" s="44"/>
      <c r="X1639" s="95"/>
      <c r="Y1639" s="54"/>
      <c r="Z1639" s="54"/>
      <c r="AA1639" s="34"/>
      <c r="AB1639" s="34"/>
      <c r="AC1639" s="34"/>
      <c r="AD1639" s="34"/>
      <c r="AE1639" s="34"/>
      <c r="AF1639" s="34"/>
      <c r="AG1639" s="34"/>
      <c r="AH1639" s="34"/>
      <c r="AI1639" s="52"/>
      <c r="AJ1639" s="52"/>
      <c r="AL1639" s="34"/>
      <c r="AM1639" s="34"/>
      <c r="AN1639" s="34"/>
      <c r="AO1639" s="54"/>
      <c r="AP1639" s="34"/>
      <c r="AQ1639" s="34"/>
      <c r="AR1639" s="54"/>
      <c r="AS1639" s="54"/>
      <c r="AT1639" s="54"/>
      <c r="AU1639" s="54"/>
      <c r="AV1639" s="34"/>
      <c r="AW1639" s="34"/>
      <c r="AX1639" s="34"/>
      <c r="AY1639" s="34"/>
      <c r="AZ1639" s="34"/>
      <c r="BA1639" s="44"/>
      <c r="BB1639" s="34"/>
      <c r="BC1639" s="34"/>
    </row>
    <row r="1640" spans="1:55" x14ac:dyDescent="0.35" ht="15.0" customHeight="true">
      <c r="A1640" s="51"/>
      <c r="B1640" s="34"/>
      <c r="C1640" s="34"/>
      <c r="D1640" s="34"/>
      <c r="E1640" s="34"/>
      <c r="F1640" s="34"/>
      <c r="G1640" s="44"/>
      <c r="H1640" s="34"/>
      <c r="I1640" s="54"/>
      <c r="J1640" s="34"/>
      <c r="K1640" s="54"/>
      <c r="L1640" s="34"/>
      <c r="M1640" s="44"/>
      <c r="N1640" s="44"/>
      <c r="O1640" s="34"/>
      <c r="P1640" s="34"/>
      <c r="Q1640" s="34"/>
      <c r="R1640" s="34"/>
      <c r="V1640" s="44"/>
      <c r="X1640" s="95"/>
      <c r="Y1640" s="54"/>
      <c r="Z1640" s="54"/>
      <c r="AA1640" s="34"/>
      <c r="AB1640" s="34"/>
      <c r="AC1640" s="34"/>
      <c r="AD1640" s="34"/>
      <c r="AE1640" s="34"/>
      <c r="AF1640" s="34"/>
      <c r="AG1640" s="34"/>
      <c r="AH1640" s="34"/>
      <c r="AI1640" s="52"/>
      <c r="AJ1640" s="52"/>
      <c r="AL1640" s="34"/>
      <c r="AM1640" s="34"/>
      <c r="AN1640" s="34"/>
      <c r="AO1640" s="54"/>
      <c r="AP1640" s="34"/>
      <c r="AQ1640" s="34"/>
      <c r="AR1640" s="54"/>
      <c r="AS1640" s="54"/>
      <c r="AT1640" s="54"/>
      <c r="AU1640" s="54"/>
      <c r="AV1640" s="34"/>
      <c r="AW1640" s="34"/>
      <c r="AX1640" s="34"/>
      <c r="AY1640" s="34"/>
      <c r="AZ1640" s="34"/>
      <c r="BA1640" s="44"/>
      <c r="BB1640" s="34"/>
      <c r="BC1640" s="34"/>
    </row>
    <row r="1641" spans="1:55" x14ac:dyDescent="0.35" ht="15.0" customHeight="true">
      <c r="A1641" s="51"/>
      <c r="B1641" s="34"/>
      <c r="C1641" s="34"/>
      <c r="D1641" s="34"/>
      <c r="E1641" s="34"/>
      <c r="F1641" s="34"/>
      <c r="G1641" s="44"/>
      <c r="H1641" s="34"/>
      <c r="I1641" s="54"/>
      <c r="J1641" s="34"/>
      <c r="K1641" s="54"/>
      <c r="L1641" s="34"/>
      <c r="M1641" s="44"/>
      <c r="N1641" s="44"/>
      <c r="O1641" s="34"/>
      <c r="P1641" s="34"/>
      <c r="Q1641" s="34"/>
      <c r="R1641" s="34"/>
      <c r="V1641" s="44"/>
      <c r="X1641" s="95"/>
      <c r="Y1641" s="54"/>
      <c r="Z1641" s="54"/>
      <c r="AA1641" s="34"/>
      <c r="AB1641" s="34"/>
      <c r="AC1641" s="34"/>
      <c r="AD1641" s="34"/>
      <c r="AE1641" s="34"/>
      <c r="AF1641" s="34"/>
      <c r="AG1641" s="34"/>
      <c r="AH1641" s="34"/>
      <c r="AI1641" s="52"/>
      <c r="AJ1641" s="52"/>
      <c r="AL1641" s="34"/>
      <c r="AM1641" s="34"/>
      <c r="AN1641" s="34"/>
      <c r="AO1641" s="54"/>
      <c r="AP1641" s="34"/>
      <c r="AQ1641" s="34"/>
      <c r="AR1641" s="54"/>
      <c r="AS1641" s="54"/>
      <c r="AT1641" s="54"/>
      <c r="AU1641" s="54"/>
      <c r="AV1641" s="34"/>
      <c r="AW1641" s="34"/>
      <c r="AX1641" s="34"/>
      <c r="AY1641" s="34"/>
      <c r="AZ1641" s="34"/>
      <c r="BA1641" s="44"/>
      <c r="BB1641" s="34"/>
      <c r="BC1641" s="34"/>
    </row>
    <row r="1642" spans="1:55" x14ac:dyDescent="0.35" ht="15.0" customHeight="true">
      <c r="A1642" s="51"/>
      <c r="B1642" s="34"/>
      <c r="C1642" s="34"/>
      <c r="D1642" s="34"/>
      <c r="E1642" s="34"/>
      <c r="F1642" s="34"/>
      <c r="G1642" s="44"/>
      <c r="H1642" s="34"/>
      <c r="I1642" s="54"/>
      <c r="J1642" s="34"/>
      <c r="K1642" s="54"/>
      <c r="L1642" s="34"/>
      <c r="M1642" s="44"/>
      <c r="N1642" s="44"/>
      <c r="O1642" s="34"/>
      <c r="P1642" s="34"/>
      <c r="Q1642" s="34"/>
      <c r="R1642" s="34"/>
      <c r="V1642" s="44"/>
      <c r="X1642" s="95"/>
      <c r="Y1642" s="54"/>
      <c r="Z1642" s="54"/>
      <c r="AA1642" s="34"/>
      <c r="AB1642" s="34"/>
      <c r="AC1642" s="34"/>
      <c r="AD1642" s="34"/>
      <c r="AE1642" s="34"/>
      <c r="AF1642" s="34"/>
      <c r="AG1642" s="34"/>
      <c r="AH1642" s="34"/>
      <c r="AI1642" s="52"/>
      <c r="AJ1642" s="52"/>
      <c r="AL1642" s="34"/>
      <c r="AM1642" s="34"/>
      <c r="AN1642" s="34"/>
      <c r="AO1642" s="54"/>
      <c r="AP1642" s="34"/>
      <c r="AQ1642" s="34"/>
      <c r="AR1642" s="54"/>
      <c r="AS1642" s="54"/>
      <c r="AT1642" s="54"/>
      <c r="AU1642" s="54"/>
      <c r="AV1642" s="34"/>
      <c r="AW1642" s="34"/>
      <c r="AX1642" s="34"/>
      <c r="AY1642" s="34"/>
      <c r="AZ1642" s="34"/>
      <c r="BA1642" s="44"/>
      <c r="BB1642" s="34"/>
      <c r="BC1642" s="34"/>
    </row>
    <row r="1643" spans="1:55" x14ac:dyDescent="0.35" ht="15.0" customHeight="true">
      <c r="A1643" s="51"/>
      <c r="B1643" s="34"/>
      <c r="C1643" s="34"/>
      <c r="D1643" s="34"/>
      <c r="E1643" s="34"/>
      <c r="F1643" s="34"/>
      <c r="G1643" s="44"/>
      <c r="H1643" s="34"/>
      <c r="I1643" s="54"/>
      <c r="J1643" s="34"/>
      <c r="K1643" s="54"/>
      <c r="L1643" s="34"/>
      <c r="M1643" s="44"/>
      <c r="N1643" s="44"/>
      <c r="O1643" s="34"/>
      <c r="P1643" s="34"/>
      <c r="Q1643" s="34"/>
      <c r="R1643" s="34"/>
      <c r="V1643" s="44"/>
      <c r="X1643" s="95"/>
      <c r="Y1643" s="54"/>
      <c r="Z1643" s="54"/>
      <c r="AA1643" s="34"/>
      <c r="AB1643" s="34"/>
      <c r="AC1643" s="34"/>
      <c r="AD1643" s="34"/>
      <c r="AE1643" s="34"/>
      <c r="AF1643" s="34"/>
      <c r="AG1643" s="34"/>
      <c r="AH1643" s="34"/>
      <c r="AI1643" s="52"/>
      <c r="AJ1643" s="52"/>
      <c r="AL1643" s="34"/>
      <c r="AM1643" s="34"/>
      <c r="AN1643" s="34"/>
      <c r="AO1643" s="54"/>
      <c r="AP1643" s="34"/>
      <c r="AQ1643" s="34"/>
      <c r="AR1643" s="54"/>
      <c r="AS1643" s="54"/>
      <c r="AT1643" s="54"/>
      <c r="AU1643" s="54"/>
      <c r="AV1643" s="34"/>
      <c r="AW1643" s="34"/>
      <c r="AX1643" s="34"/>
      <c r="AY1643" s="34"/>
      <c r="AZ1643" s="34"/>
      <c r="BA1643" s="44"/>
      <c r="BB1643" s="34"/>
      <c r="BC1643" s="34"/>
    </row>
    <row r="1644" spans="1:55" x14ac:dyDescent="0.35" ht="15.0" customHeight="true">
      <c r="A1644" s="51"/>
      <c r="B1644" s="34"/>
      <c r="C1644" s="34"/>
      <c r="D1644" s="34"/>
      <c r="E1644" s="34"/>
      <c r="F1644" s="34"/>
      <c r="G1644" s="44"/>
      <c r="H1644" s="34"/>
      <c r="I1644" s="54"/>
      <c r="J1644" s="34"/>
      <c r="K1644" s="54"/>
      <c r="L1644" s="34"/>
      <c r="M1644" s="44"/>
      <c r="N1644" s="44"/>
      <c r="O1644" s="34"/>
      <c r="P1644" s="34"/>
      <c r="Q1644" s="34"/>
      <c r="R1644" s="34"/>
      <c r="V1644" s="44"/>
      <c r="X1644" s="95"/>
      <c r="Y1644" s="54"/>
      <c r="Z1644" s="54"/>
      <c r="AA1644" s="34"/>
      <c r="AB1644" s="34"/>
      <c r="AC1644" s="34"/>
      <c r="AD1644" s="34"/>
      <c r="AE1644" s="34"/>
      <c r="AF1644" s="34"/>
      <c r="AG1644" s="34"/>
      <c r="AH1644" s="34"/>
      <c r="AI1644" s="52"/>
      <c r="AJ1644" s="52"/>
      <c r="AL1644" s="34"/>
      <c r="AM1644" s="34"/>
      <c r="AN1644" s="34"/>
      <c r="AO1644" s="54"/>
      <c r="AP1644" s="34"/>
      <c r="AQ1644" s="34"/>
      <c r="AR1644" s="54"/>
      <c r="AS1644" s="54"/>
      <c r="AT1644" s="54"/>
      <c r="AU1644" s="54"/>
      <c r="AV1644" s="34"/>
      <c r="AW1644" s="34"/>
      <c r="AX1644" s="34"/>
      <c r="AY1644" s="34"/>
      <c r="AZ1644" s="34"/>
      <c r="BA1644" s="44"/>
      <c r="BB1644" s="34"/>
      <c r="BC1644" s="34"/>
    </row>
    <row r="1645" spans="1:55" x14ac:dyDescent="0.35" ht="15.0" customHeight="true">
      <c r="A1645" s="51"/>
      <c r="B1645" s="34"/>
      <c r="C1645" s="34"/>
      <c r="D1645" s="34"/>
      <c r="E1645" s="34"/>
      <c r="F1645" s="34"/>
      <c r="G1645" s="44"/>
      <c r="H1645" s="34"/>
      <c r="I1645" s="54"/>
      <c r="J1645" s="34"/>
      <c r="K1645" s="54"/>
      <c r="L1645" s="34"/>
      <c r="M1645" s="44"/>
      <c r="N1645" s="44"/>
      <c r="O1645" s="34"/>
      <c r="P1645" s="34"/>
      <c r="Q1645" s="34"/>
      <c r="R1645" s="34"/>
      <c r="V1645" s="44"/>
      <c r="X1645" s="95"/>
      <c r="Y1645" s="54"/>
      <c r="Z1645" s="54"/>
      <c r="AA1645" s="34"/>
      <c r="AB1645" s="34"/>
      <c r="AC1645" s="34"/>
      <c r="AD1645" s="34"/>
      <c r="AE1645" s="34"/>
      <c r="AF1645" s="34"/>
      <c r="AG1645" s="34"/>
      <c r="AH1645" s="34"/>
      <c r="AI1645" s="52"/>
      <c r="AJ1645" s="52"/>
      <c r="AL1645" s="34"/>
      <c r="AM1645" s="34"/>
      <c r="AN1645" s="34"/>
      <c r="AO1645" s="54"/>
      <c r="AP1645" s="34"/>
      <c r="AQ1645" s="34"/>
      <c r="AR1645" s="54"/>
      <c r="AS1645" s="54"/>
      <c r="AT1645" s="54"/>
      <c r="AU1645" s="54"/>
      <c r="AV1645" s="34"/>
      <c r="AW1645" s="34"/>
      <c r="AX1645" s="34"/>
      <c r="AY1645" s="34"/>
      <c r="AZ1645" s="34"/>
      <c r="BA1645" s="44"/>
      <c r="BB1645" s="34"/>
      <c r="BC1645" s="34"/>
    </row>
    <row r="1646" spans="1:55" x14ac:dyDescent="0.35" ht="15.0" customHeight="true">
      <c r="A1646" s="51"/>
      <c r="B1646" s="34"/>
      <c r="C1646" s="34"/>
      <c r="D1646" s="34"/>
      <c r="E1646" s="34"/>
      <c r="F1646" s="34"/>
      <c r="G1646" s="44"/>
      <c r="H1646" s="34"/>
      <c r="I1646" s="54"/>
      <c r="J1646" s="34"/>
      <c r="K1646" s="54"/>
      <c r="L1646" s="34"/>
      <c r="M1646" s="44"/>
      <c r="N1646" s="44"/>
      <c r="O1646" s="34"/>
      <c r="P1646" s="34"/>
      <c r="Q1646" s="34"/>
      <c r="R1646" s="34"/>
      <c r="V1646" s="44"/>
      <c r="X1646" s="95"/>
      <c r="Y1646" s="54"/>
      <c r="Z1646" s="54"/>
      <c r="AA1646" s="34"/>
      <c r="AB1646" s="34"/>
      <c r="AC1646" s="34"/>
      <c r="AD1646" s="34"/>
      <c r="AE1646" s="34"/>
      <c r="AF1646" s="34"/>
      <c r="AG1646" s="34"/>
      <c r="AH1646" s="34"/>
      <c r="AI1646" s="52"/>
      <c r="AJ1646" s="52"/>
      <c r="AL1646" s="34"/>
      <c r="AM1646" s="34"/>
      <c r="AN1646" s="34"/>
      <c r="AO1646" s="54"/>
      <c r="AP1646" s="34"/>
      <c r="AQ1646" s="34"/>
      <c r="AR1646" s="54"/>
      <c r="AS1646" s="54"/>
      <c r="AT1646" s="54"/>
      <c r="AU1646" s="54"/>
      <c r="AV1646" s="34"/>
      <c r="AW1646" s="34"/>
      <c r="AX1646" s="34"/>
      <c r="AY1646" s="34"/>
      <c r="AZ1646" s="34"/>
      <c r="BA1646" s="44"/>
      <c r="BB1646" s="34"/>
      <c r="BC1646" s="34"/>
    </row>
    <row r="1647" spans="1:55" x14ac:dyDescent="0.35" ht="15.0" customHeight="true">
      <c r="A1647" s="51"/>
      <c r="B1647" s="34"/>
      <c r="C1647" s="34"/>
      <c r="D1647" s="34"/>
      <c r="E1647" s="34"/>
      <c r="F1647" s="34"/>
      <c r="G1647" s="44"/>
      <c r="H1647" s="34"/>
      <c r="I1647" s="54"/>
      <c r="J1647" s="34"/>
      <c r="K1647" s="54"/>
      <c r="L1647" s="34"/>
      <c r="M1647" s="44"/>
      <c r="N1647" s="44"/>
      <c r="O1647" s="34"/>
      <c r="P1647" s="34"/>
      <c r="Q1647" s="34"/>
      <c r="R1647" s="34"/>
      <c r="V1647" s="44"/>
      <c r="X1647" s="95"/>
      <c r="Y1647" s="54"/>
      <c r="Z1647" s="54"/>
      <c r="AA1647" s="34"/>
      <c r="AB1647" s="34"/>
      <c r="AC1647" s="34"/>
      <c r="AD1647" s="34"/>
      <c r="AE1647" s="34"/>
      <c r="AF1647" s="34"/>
      <c r="AG1647" s="34"/>
      <c r="AH1647" s="34"/>
      <c r="AI1647" s="52"/>
      <c r="AJ1647" s="52"/>
      <c r="AL1647" s="34"/>
      <c r="AM1647" s="34"/>
      <c r="AN1647" s="34"/>
      <c r="AO1647" s="54"/>
      <c r="AP1647" s="34"/>
      <c r="AQ1647" s="34"/>
      <c r="AR1647" s="54"/>
      <c r="AS1647" s="54"/>
      <c r="AT1647" s="54"/>
      <c r="AU1647" s="54"/>
      <c r="AV1647" s="34"/>
      <c r="AW1647" s="34"/>
      <c r="AX1647" s="34"/>
      <c r="AY1647" s="34"/>
      <c r="AZ1647" s="34"/>
      <c r="BA1647" s="44"/>
      <c r="BB1647" s="34"/>
      <c r="BC1647" s="34"/>
    </row>
    <row r="1648" spans="1:55" x14ac:dyDescent="0.35" ht="15.0" customHeight="true">
      <c r="A1648" s="51"/>
      <c r="B1648" s="34"/>
      <c r="C1648" s="34"/>
      <c r="D1648" s="34"/>
      <c r="E1648" s="34"/>
      <c r="F1648" s="34"/>
      <c r="G1648" s="44"/>
      <c r="H1648" s="34"/>
      <c r="I1648" s="54"/>
      <c r="J1648" s="34"/>
      <c r="K1648" s="54"/>
      <c r="L1648" s="34"/>
      <c r="M1648" s="44"/>
      <c r="N1648" s="44"/>
      <c r="O1648" s="34"/>
      <c r="P1648" s="34"/>
      <c r="Q1648" s="34"/>
      <c r="R1648" s="34"/>
      <c r="V1648" s="44"/>
      <c r="X1648" s="95"/>
      <c r="Y1648" s="54"/>
      <c r="Z1648" s="54"/>
      <c r="AA1648" s="34"/>
      <c r="AB1648" s="34"/>
      <c r="AC1648" s="34"/>
      <c r="AD1648" s="34"/>
      <c r="AE1648" s="34"/>
      <c r="AF1648" s="34"/>
      <c r="AG1648" s="34"/>
      <c r="AH1648" s="34"/>
      <c r="AI1648" s="52"/>
      <c r="AJ1648" s="52"/>
      <c r="AL1648" s="34"/>
      <c r="AM1648" s="34"/>
      <c r="AN1648" s="34"/>
      <c r="AO1648" s="54"/>
      <c r="AP1648" s="34"/>
      <c r="AQ1648" s="34"/>
      <c r="AR1648" s="54"/>
      <c r="AS1648" s="54"/>
      <c r="AT1648" s="54"/>
      <c r="AU1648" s="54"/>
      <c r="AV1648" s="34"/>
      <c r="AW1648" s="34"/>
      <c r="AX1648" s="34"/>
      <c r="AY1648" s="34"/>
      <c r="AZ1648" s="34"/>
      <c r="BA1648" s="44"/>
      <c r="BB1648" s="34"/>
      <c r="BC1648" s="34"/>
    </row>
    <row r="1649" spans="1:55" x14ac:dyDescent="0.35" ht="15.0" customHeight="true">
      <c r="A1649" s="51"/>
      <c r="B1649" s="34"/>
      <c r="C1649" s="34"/>
      <c r="D1649" s="34"/>
      <c r="E1649" s="34"/>
      <c r="F1649" s="34"/>
      <c r="G1649" s="44"/>
      <c r="H1649" s="34"/>
      <c r="I1649" s="54"/>
      <c r="J1649" s="34"/>
      <c r="K1649" s="54"/>
      <c r="L1649" s="34"/>
      <c r="M1649" s="44"/>
      <c r="N1649" s="44"/>
      <c r="O1649" s="34"/>
      <c r="P1649" s="34"/>
      <c r="Q1649" s="34"/>
      <c r="R1649" s="34"/>
      <c r="V1649" s="44"/>
      <c r="X1649" s="95"/>
      <c r="Y1649" s="54"/>
      <c r="Z1649" s="54"/>
      <c r="AA1649" s="34"/>
      <c r="AB1649" s="34"/>
      <c r="AC1649" s="34"/>
      <c r="AD1649" s="34"/>
      <c r="AE1649" s="34"/>
      <c r="AF1649" s="34"/>
      <c r="AG1649" s="34"/>
      <c r="AH1649" s="34"/>
      <c r="AI1649" s="52"/>
      <c r="AJ1649" s="52"/>
      <c r="AL1649" s="34"/>
      <c r="AM1649" s="34"/>
      <c r="AN1649" s="34"/>
      <c r="AO1649" s="54"/>
      <c r="AP1649" s="34"/>
      <c r="AQ1649" s="34"/>
      <c r="AR1649" s="54"/>
      <c r="AS1649" s="54"/>
      <c r="AT1649" s="54"/>
      <c r="AU1649" s="54"/>
      <c r="AV1649" s="34"/>
      <c r="AW1649" s="34"/>
      <c r="AX1649" s="34"/>
      <c r="AY1649" s="34"/>
      <c r="AZ1649" s="34"/>
      <c r="BA1649" s="44"/>
      <c r="BB1649" s="34"/>
      <c r="BC1649" s="34"/>
    </row>
    <row r="1650" spans="1:55" x14ac:dyDescent="0.35" ht="15.0" customHeight="true">
      <c r="A1650" s="51"/>
      <c r="B1650" s="34"/>
      <c r="C1650" s="34"/>
      <c r="D1650" s="34"/>
      <c r="E1650" s="34"/>
      <c r="F1650" s="34"/>
      <c r="G1650" s="44"/>
      <c r="H1650" s="34"/>
      <c r="I1650" s="54"/>
      <c r="J1650" s="34"/>
      <c r="K1650" s="54"/>
      <c r="L1650" s="34"/>
      <c r="M1650" s="44"/>
      <c r="N1650" s="44"/>
      <c r="O1650" s="34"/>
      <c r="P1650" s="34"/>
      <c r="Q1650" s="34"/>
      <c r="R1650" s="34"/>
      <c r="V1650" s="44"/>
      <c r="X1650" s="95"/>
      <c r="Y1650" s="54"/>
      <c r="Z1650" s="54"/>
      <c r="AA1650" s="34"/>
      <c r="AB1650" s="34"/>
      <c r="AC1650" s="34"/>
      <c r="AD1650" s="34"/>
      <c r="AE1650" s="34"/>
      <c r="AF1650" s="34"/>
      <c r="AG1650" s="34"/>
      <c r="AH1650" s="34"/>
      <c r="AI1650" s="52"/>
      <c r="AJ1650" s="52"/>
      <c r="AL1650" s="34"/>
      <c r="AM1650" s="34"/>
      <c r="AN1650" s="34"/>
      <c r="AO1650" s="54"/>
      <c r="AP1650" s="34"/>
      <c r="AQ1650" s="34"/>
      <c r="AR1650" s="54"/>
      <c r="AS1650" s="54"/>
      <c r="AT1650" s="54"/>
      <c r="AU1650" s="54"/>
      <c r="AV1650" s="34"/>
      <c r="AW1650" s="34"/>
      <c r="AX1650" s="34"/>
      <c r="AY1650" s="34"/>
      <c r="AZ1650" s="34"/>
      <c r="BA1650" s="44"/>
      <c r="BB1650" s="34"/>
      <c r="BC1650" s="34"/>
    </row>
    <row r="1651" spans="1:55" x14ac:dyDescent="0.35" ht="15.0" customHeight="true">
      <c r="A1651" s="51"/>
      <c r="B1651" s="34"/>
      <c r="C1651" s="34"/>
      <c r="D1651" s="34"/>
      <c r="E1651" s="34"/>
      <c r="F1651" s="34"/>
      <c r="G1651" s="44"/>
      <c r="H1651" s="34"/>
      <c r="I1651" s="54"/>
      <c r="J1651" s="34"/>
      <c r="K1651" s="54"/>
      <c r="L1651" s="34"/>
      <c r="M1651" s="44"/>
      <c r="N1651" s="44"/>
      <c r="O1651" s="34"/>
      <c r="P1651" s="34"/>
      <c r="Q1651" s="34"/>
      <c r="R1651" s="34"/>
      <c r="V1651" s="44"/>
      <c r="X1651" s="95"/>
      <c r="Y1651" s="54"/>
      <c r="Z1651" s="54"/>
      <c r="AA1651" s="34"/>
      <c r="AB1651" s="34"/>
      <c r="AC1651" s="34"/>
      <c r="AD1651" s="34"/>
      <c r="AE1651" s="34"/>
      <c r="AF1651" s="34"/>
      <c r="AG1651" s="34"/>
      <c r="AH1651" s="34"/>
      <c r="AI1651" s="52"/>
      <c r="AJ1651" s="52"/>
      <c r="AL1651" s="34"/>
      <c r="AM1651" s="34"/>
      <c r="AN1651" s="34"/>
      <c r="AO1651" s="54"/>
      <c r="AP1651" s="34"/>
      <c r="AQ1651" s="34"/>
      <c r="AR1651" s="54"/>
      <c r="AS1651" s="54"/>
      <c r="AT1651" s="54"/>
      <c r="AU1651" s="54"/>
      <c r="AV1651" s="34"/>
      <c r="AW1651" s="34"/>
      <c r="AX1651" s="34"/>
      <c r="AY1651" s="34"/>
      <c r="AZ1651" s="34"/>
      <c r="BA1651" s="44"/>
      <c r="BB1651" s="34"/>
      <c r="BC1651" s="34"/>
    </row>
    <row r="1652" spans="1:55" x14ac:dyDescent="0.35" ht="15.0" customHeight="true">
      <c r="A1652" s="51"/>
      <c r="B1652" s="34"/>
      <c r="C1652" s="34"/>
      <c r="D1652" s="34"/>
      <c r="E1652" s="34"/>
      <c r="F1652" s="34"/>
      <c r="G1652" s="44"/>
      <c r="H1652" s="34"/>
      <c r="I1652" s="54"/>
      <c r="J1652" s="34"/>
      <c r="K1652" s="54"/>
      <c r="L1652" s="34"/>
      <c r="M1652" s="44"/>
      <c r="N1652" s="44"/>
      <c r="O1652" s="34"/>
      <c r="P1652" s="34"/>
      <c r="Q1652" s="34"/>
      <c r="R1652" s="34"/>
      <c r="V1652" s="44"/>
      <c r="X1652" s="95"/>
      <c r="Y1652" s="54"/>
      <c r="Z1652" s="54"/>
      <c r="AA1652" s="34"/>
      <c r="AB1652" s="34"/>
      <c r="AC1652" s="34"/>
      <c r="AD1652" s="34"/>
      <c r="AE1652" s="34"/>
      <c r="AF1652" s="34"/>
      <c r="AG1652" s="34"/>
      <c r="AH1652" s="34"/>
      <c r="AI1652" s="52"/>
      <c r="AJ1652" s="52"/>
      <c r="AL1652" s="34"/>
      <c r="AM1652" s="34"/>
      <c r="AN1652" s="34"/>
      <c r="AO1652" s="54"/>
      <c r="AP1652" s="34"/>
      <c r="AQ1652" s="34"/>
      <c r="AR1652" s="54"/>
      <c r="AS1652" s="54"/>
      <c r="AT1652" s="54"/>
      <c r="AU1652" s="54"/>
      <c r="AV1652" s="34"/>
      <c r="AW1652" s="34"/>
      <c r="AX1652" s="34"/>
      <c r="AY1652" s="34"/>
      <c r="AZ1652" s="34"/>
      <c r="BA1652" s="44"/>
      <c r="BB1652" s="34"/>
      <c r="BC1652" s="34"/>
    </row>
    <row r="1653" spans="1:55" x14ac:dyDescent="0.35" ht="15.0" customHeight="true">
      <c r="A1653" s="51"/>
      <c r="B1653" s="34"/>
      <c r="C1653" s="34"/>
      <c r="D1653" s="34"/>
      <c r="E1653" s="34"/>
      <c r="F1653" s="34"/>
      <c r="G1653" s="44"/>
      <c r="H1653" s="34"/>
      <c r="I1653" s="54"/>
      <c r="J1653" s="34"/>
      <c r="K1653" s="54"/>
      <c r="L1653" s="34"/>
      <c r="M1653" s="44"/>
      <c r="N1653" s="44"/>
      <c r="O1653" s="34"/>
      <c r="P1653" s="34"/>
      <c r="Q1653" s="34"/>
      <c r="R1653" s="34"/>
      <c r="V1653" s="44"/>
      <c r="X1653" s="95"/>
      <c r="Y1653" s="54"/>
      <c r="Z1653" s="54"/>
      <c r="AA1653" s="34"/>
      <c r="AB1653" s="34"/>
      <c r="AC1653" s="34"/>
      <c r="AD1653" s="34"/>
      <c r="AE1653" s="34"/>
      <c r="AF1653" s="34"/>
      <c r="AG1653" s="34"/>
      <c r="AH1653" s="34"/>
      <c r="AI1653" s="52"/>
      <c r="AJ1653" s="52"/>
      <c r="AL1653" s="34"/>
      <c r="AM1653" s="34"/>
      <c r="AN1653" s="34"/>
      <c r="AO1653" s="54"/>
      <c r="AP1653" s="34"/>
      <c r="AQ1653" s="34"/>
      <c r="AR1653" s="54"/>
      <c r="AS1653" s="54"/>
      <c r="AT1653" s="54"/>
      <c r="AU1653" s="54"/>
      <c r="AV1653" s="34"/>
      <c r="AW1653" s="34"/>
      <c r="AX1653" s="34"/>
      <c r="AY1653" s="34"/>
      <c r="AZ1653" s="34"/>
      <c r="BA1653" s="44"/>
      <c r="BB1653" s="34"/>
      <c r="BC1653" s="34"/>
    </row>
    <row r="1654" spans="1:55" x14ac:dyDescent="0.35" ht="15.0" customHeight="true">
      <c r="A1654" s="51"/>
      <c r="B1654" s="34"/>
      <c r="C1654" s="34"/>
      <c r="D1654" s="34"/>
      <c r="E1654" s="34"/>
      <c r="F1654" s="34"/>
      <c r="G1654" s="44"/>
      <c r="H1654" s="34"/>
      <c r="I1654" s="54"/>
      <c r="J1654" s="34"/>
      <c r="K1654" s="54"/>
      <c r="L1654" s="34"/>
      <c r="M1654" s="44"/>
      <c r="N1654" s="44"/>
      <c r="O1654" s="34"/>
      <c r="P1654" s="34"/>
      <c r="Q1654" s="34"/>
      <c r="R1654" s="34"/>
      <c r="V1654" s="44"/>
      <c r="X1654" s="95"/>
      <c r="Y1654" s="54"/>
      <c r="Z1654" s="54"/>
      <c r="AA1654" s="34"/>
      <c r="AB1654" s="34"/>
      <c r="AC1654" s="34"/>
      <c r="AD1654" s="34"/>
      <c r="AE1654" s="34"/>
      <c r="AF1654" s="34"/>
      <c r="AG1654" s="34"/>
      <c r="AH1654" s="34"/>
      <c r="AI1654" s="52"/>
      <c r="AJ1654" s="52"/>
      <c r="AL1654" s="34"/>
      <c r="AM1654" s="34"/>
      <c r="AN1654" s="34"/>
      <c r="AO1654" s="54"/>
      <c r="AP1654" s="34"/>
      <c r="AQ1654" s="34"/>
      <c r="AR1654" s="54"/>
      <c r="AS1654" s="54"/>
      <c r="AT1654" s="54"/>
      <c r="AU1654" s="54"/>
      <c r="AV1654" s="34"/>
      <c r="AW1654" s="34"/>
      <c r="AX1654" s="34"/>
      <c r="AY1654" s="34"/>
      <c r="AZ1654" s="34"/>
      <c r="BA1654" s="44"/>
      <c r="BB1654" s="34"/>
      <c r="BC1654" s="34"/>
    </row>
    <row r="1655" spans="1:55" x14ac:dyDescent="0.35" ht="15.0" customHeight="true">
      <c r="A1655" s="51"/>
      <c r="B1655" s="34"/>
      <c r="C1655" s="34"/>
      <c r="D1655" s="34"/>
      <c r="E1655" s="34"/>
      <c r="F1655" s="34"/>
      <c r="G1655" s="44"/>
      <c r="H1655" s="34"/>
      <c r="I1655" s="54"/>
      <c r="J1655" s="34"/>
      <c r="K1655" s="54"/>
      <c r="L1655" s="34"/>
      <c r="M1655" s="44"/>
      <c r="N1655" s="44"/>
      <c r="O1655" s="34"/>
      <c r="P1655" s="34"/>
      <c r="Q1655" s="34"/>
      <c r="R1655" s="34"/>
      <c r="V1655" s="44"/>
      <c r="X1655" s="95"/>
      <c r="Y1655" s="54"/>
      <c r="Z1655" s="54"/>
      <c r="AA1655" s="34"/>
      <c r="AB1655" s="34"/>
      <c r="AC1655" s="34"/>
      <c r="AD1655" s="34"/>
      <c r="AE1655" s="34"/>
      <c r="AF1655" s="34"/>
      <c r="AG1655" s="34"/>
      <c r="AH1655" s="34"/>
      <c r="AI1655" s="52"/>
      <c r="AJ1655" s="52"/>
      <c r="AL1655" s="34"/>
      <c r="AM1655" s="34"/>
      <c r="AN1655" s="34"/>
      <c r="AO1655" s="54"/>
      <c r="AP1655" s="34"/>
      <c r="AQ1655" s="34"/>
      <c r="AR1655" s="54"/>
      <c r="AS1655" s="54"/>
      <c r="AT1655" s="54"/>
      <c r="AU1655" s="54"/>
      <c r="AV1655" s="34"/>
      <c r="AW1655" s="34"/>
      <c r="AX1655" s="34"/>
      <c r="AY1655" s="34"/>
      <c r="AZ1655" s="34"/>
      <c r="BA1655" s="44"/>
      <c r="BB1655" s="34"/>
      <c r="BC1655" s="34"/>
    </row>
    <row r="1656" spans="1:55" x14ac:dyDescent="0.35" ht="15.0" customHeight="true">
      <c r="A1656" s="51"/>
      <c r="B1656" s="34"/>
      <c r="C1656" s="34"/>
      <c r="D1656" s="34"/>
      <c r="E1656" s="34"/>
      <c r="F1656" s="34"/>
      <c r="G1656" s="44"/>
      <c r="H1656" s="34"/>
      <c r="I1656" s="54"/>
      <c r="J1656" s="34"/>
      <c r="K1656" s="54"/>
      <c r="L1656" s="34"/>
      <c r="M1656" s="44"/>
      <c r="N1656" s="44"/>
      <c r="O1656" s="34"/>
      <c r="P1656" s="34"/>
      <c r="Q1656" s="34"/>
      <c r="R1656" s="34"/>
      <c r="V1656" s="44"/>
      <c r="X1656" s="95"/>
      <c r="Y1656" s="54"/>
      <c r="Z1656" s="54"/>
      <c r="AA1656" s="34"/>
      <c r="AB1656" s="34"/>
      <c r="AC1656" s="34"/>
      <c r="AD1656" s="34"/>
      <c r="AE1656" s="34"/>
      <c r="AF1656" s="34"/>
      <c r="AG1656" s="34"/>
      <c r="AH1656" s="34"/>
      <c r="AI1656" s="52"/>
      <c r="AJ1656" s="52"/>
      <c r="AL1656" s="34"/>
      <c r="AM1656" s="34"/>
      <c r="AN1656" s="34"/>
      <c r="AO1656" s="54"/>
      <c r="AP1656" s="34"/>
      <c r="AQ1656" s="34"/>
      <c r="AR1656" s="54"/>
      <c r="AS1656" s="54"/>
      <c r="AT1656" s="54"/>
      <c r="AU1656" s="54"/>
      <c r="AV1656" s="34"/>
      <c r="AW1656" s="34"/>
      <c r="AX1656" s="34"/>
      <c r="AY1656" s="34"/>
      <c r="AZ1656" s="34"/>
      <c r="BA1656" s="44"/>
      <c r="BB1656" s="34"/>
      <c r="BC1656" s="34"/>
    </row>
    <row r="1657" spans="1:55" x14ac:dyDescent="0.35" ht="15.0" customHeight="true">
      <c r="A1657" s="51"/>
      <c r="B1657" s="34"/>
      <c r="C1657" s="34"/>
      <c r="D1657" s="34"/>
      <c r="E1657" s="34"/>
      <c r="F1657" s="34"/>
      <c r="G1657" s="44"/>
      <c r="H1657" s="34"/>
      <c r="I1657" s="54"/>
      <c r="J1657" s="34"/>
      <c r="K1657" s="54"/>
      <c r="L1657" s="34"/>
      <c r="M1657" s="44"/>
      <c r="N1657" s="44"/>
      <c r="O1657" s="34"/>
      <c r="P1657" s="34"/>
      <c r="Q1657" s="34"/>
      <c r="R1657" s="34"/>
      <c r="V1657" s="44"/>
      <c r="X1657" s="95"/>
      <c r="Y1657" s="54"/>
      <c r="Z1657" s="54"/>
      <c r="AA1657" s="34"/>
      <c r="AB1657" s="34"/>
      <c r="AC1657" s="34"/>
      <c r="AD1657" s="34"/>
      <c r="AE1657" s="34"/>
      <c r="AF1657" s="34"/>
      <c r="AG1657" s="34"/>
      <c r="AH1657" s="34"/>
      <c r="AI1657" s="52"/>
      <c r="AJ1657" s="52"/>
      <c r="AL1657" s="34"/>
      <c r="AM1657" s="34"/>
      <c r="AN1657" s="34"/>
      <c r="AO1657" s="54"/>
      <c r="AP1657" s="34"/>
      <c r="AQ1657" s="34"/>
      <c r="AR1657" s="54"/>
      <c r="AS1657" s="54"/>
      <c r="AT1657" s="54"/>
      <c r="AU1657" s="54"/>
      <c r="AV1657" s="34"/>
      <c r="AW1657" s="34"/>
      <c r="AX1657" s="34"/>
      <c r="AY1657" s="34"/>
      <c r="AZ1657" s="34"/>
      <c r="BA1657" s="44"/>
      <c r="BB1657" s="34"/>
      <c r="BC1657" s="34"/>
    </row>
    <row r="1658" spans="1:55" x14ac:dyDescent="0.35" ht="15.0" customHeight="true">
      <c r="A1658" s="51"/>
      <c r="B1658" s="34"/>
      <c r="C1658" s="34"/>
      <c r="D1658" s="34"/>
      <c r="E1658" s="34"/>
      <c r="F1658" s="34"/>
      <c r="G1658" s="44"/>
      <c r="H1658" s="34"/>
      <c r="I1658" s="54"/>
      <c r="J1658" s="34"/>
      <c r="K1658" s="54"/>
      <c r="L1658" s="34"/>
      <c r="M1658" s="44"/>
      <c r="N1658" s="44"/>
      <c r="O1658" s="34"/>
      <c r="P1658" s="34"/>
      <c r="Q1658" s="34"/>
      <c r="R1658" s="34"/>
      <c r="V1658" s="44"/>
      <c r="X1658" s="95"/>
      <c r="Y1658" s="54"/>
      <c r="Z1658" s="54"/>
      <c r="AA1658" s="34"/>
      <c r="AB1658" s="34"/>
      <c r="AC1658" s="34"/>
      <c r="AD1658" s="34"/>
      <c r="AE1658" s="34"/>
      <c r="AF1658" s="34"/>
      <c r="AG1658" s="34"/>
      <c r="AH1658" s="34"/>
      <c r="AI1658" s="52"/>
      <c r="AJ1658" s="52"/>
      <c r="AL1658" s="34"/>
      <c r="AM1658" s="34"/>
      <c r="AN1658" s="34"/>
      <c r="AO1658" s="54"/>
      <c r="AP1658" s="34"/>
      <c r="AQ1658" s="34"/>
      <c r="AR1658" s="54"/>
      <c r="AS1658" s="54"/>
      <c r="AT1658" s="54"/>
      <c r="AU1658" s="54"/>
      <c r="AV1658" s="34"/>
      <c r="AW1658" s="34"/>
      <c r="AX1658" s="34"/>
      <c r="AY1658" s="34"/>
      <c r="AZ1658" s="34"/>
      <c r="BA1658" s="44"/>
      <c r="BB1658" s="34"/>
      <c r="BC1658" s="34"/>
    </row>
    <row r="1659" spans="1:55" x14ac:dyDescent="0.35" ht="15.0" customHeight="true">
      <c r="A1659" s="51"/>
      <c r="B1659" s="34"/>
      <c r="C1659" s="34"/>
      <c r="D1659" s="34"/>
      <c r="E1659" s="34"/>
      <c r="F1659" s="34"/>
      <c r="G1659" s="44"/>
      <c r="H1659" s="34"/>
      <c r="I1659" s="54"/>
      <c r="J1659" s="34"/>
      <c r="K1659" s="54"/>
      <c r="L1659" s="34"/>
      <c r="M1659" s="44"/>
      <c r="N1659" s="44"/>
      <c r="O1659" s="34"/>
      <c r="P1659" s="34"/>
      <c r="Q1659" s="34"/>
      <c r="R1659" s="34"/>
      <c r="V1659" s="44"/>
      <c r="X1659" s="95"/>
      <c r="Y1659" s="54"/>
      <c r="Z1659" s="54"/>
      <c r="AA1659" s="34"/>
      <c r="AB1659" s="34"/>
      <c r="AC1659" s="34"/>
      <c r="AD1659" s="34"/>
      <c r="AE1659" s="34"/>
      <c r="AF1659" s="34"/>
      <c r="AG1659" s="34"/>
      <c r="AH1659" s="34"/>
      <c r="AI1659" s="52"/>
      <c r="AJ1659" s="52"/>
      <c r="AL1659" s="34"/>
      <c r="AM1659" s="34"/>
      <c r="AN1659" s="34"/>
      <c r="AO1659" s="54"/>
      <c r="AP1659" s="34"/>
      <c r="AQ1659" s="34"/>
      <c r="AR1659" s="54"/>
      <c r="AS1659" s="54"/>
      <c r="AT1659" s="54"/>
      <c r="AU1659" s="54"/>
      <c r="AV1659" s="34"/>
      <c r="AW1659" s="34"/>
      <c r="AX1659" s="34"/>
      <c r="AY1659" s="34"/>
      <c r="AZ1659" s="34"/>
      <c r="BA1659" s="44"/>
      <c r="BB1659" s="34"/>
      <c r="BC1659" s="34"/>
    </row>
    <row r="1660" spans="1:55" x14ac:dyDescent="0.35" ht="15.0" customHeight="true">
      <c r="A1660" s="51"/>
      <c r="B1660" s="34"/>
      <c r="C1660" s="34"/>
      <c r="D1660" s="34"/>
      <c r="E1660" s="34"/>
      <c r="F1660" s="34"/>
      <c r="G1660" s="44"/>
      <c r="H1660" s="34"/>
      <c r="I1660" s="54"/>
      <c r="J1660" s="34"/>
      <c r="K1660" s="54"/>
      <c r="L1660" s="34"/>
      <c r="M1660" s="44"/>
      <c r="N1660" s="44"/>
      <c r="O1660" s="34"/>
      <c r="P1660" s="34"/>
      <c r="Q1660" s="34"/>
      <c r="R1660" s="34"/>
      <c r="V1660" s="44"/>
      <c r="X1660" s="95"/>
      <c r="Y1660" s="54"/>
      <c r="Z1660" s="54"/>
      <c r="AA1660" s="34"/>
      <c r="AB1660" s="34"/>
      <c r="AC1660" s="34"/>
      <c r="AD1660" s="34"/>
      <c r="AE1660" s="34"/>
      <c r="AF1660" s="34"/>
      <c r="AG1660" s="34"/>
      <c r="AH1660" s="34"/>
      <c r="AI1660" s="52"/>
      <c r="AJ1660" s="52"/>
      <c r="AL1660" s="34"/>
      <c r="AM1660" s="34"/>
      <c r="AN1660" s="34"/>
      <c r="AO1660" s="54"/>
      <c r="AP1660" s="34"/>
      <c r="AQ1660" s="34"/>
      <c r="AR1660" s="54"/>
      <c r="AS1660" s="54"/>
      <c r="AT1660" s="54"/>
      <c r="AU1660" s="54"/>
      <c r="AV1660" s="34"/>
      <c r="AW1660" s="34"/>
      <c r="AX1660" s="34"/>
      <c r="AY1660" s="34"/>
      <c r="AZ1660" s="34"/>
      <c r="BA1660" s="44"/>
      <c r="BB1660" s="34"/>
      <c r="BC1660" s="34"/>
    </row>
    <row r="1661" spans="1:55" x14ac:dyDescent="0.35" ht="15.0" customHeight="true">
      <c r="A1661" s="51"/>
      <c r="B1661" s="34"/>
      <c r="C1661" s="34"/>
      <c r="D1661" s="34"/>
      <c r="E1661" s="34"/>
      <c r="F1661" s="34"/>
      <c r="G1661" s="44"/>
      <c r="H1661" s="34"/>
      <c r="I1661" s="54"/>
      <c r="J1661" s="34"/>
      <c r="K1661" s="54"/>
      <c r="L1661" s="34"/>
      <c r="M1661" s="44"/>
      <c r="N1661" s="44"/>
      <c r="O1661" s="34"/>
      <c r="P1661" s="34"/>
      <c r="Q1661" s="34"/>
      <c r="R1661" s="34"/>
      <c r="V1661" s="44"/>
      <c r="X1661" s="95"/>
      <c r="Y1661" s="54"/>
      <c r="Z1661" s="54"/>
      <c r="AA1661" s="34"/>
      <c r="AB1661" s="34"/>
      <c r="AC1661" s="34"/>
      <c r="AD1661" s="34"/>
      <c r="AE1661" s="34"/>
      <c r="AF1661" s="34"/>
      <c r="AG1661" s="34"/>
      <c r="AH1661" s="34"/>
      <c r="AI1661" s="52"/>
      <c r="AJ1661" s="52"/>
      <c r="AL1661" s="34"/>
      <c r="AM1661" s="34"/>
      <c r="AN1661" s="34"/>
      <c r="AO1661" s="54"/>
      <c r="AP1661" s="34"/>
      <c r="AQ1661" s="34"/>
      <c r="AR1661" s="54"/>
      <c r="AS1661" s="54"/>
      <c r="AT1661" s="54"/>
      <c r="AU1661" s="54"/>
      <c r="AV1661" s="34"/>
      <c r="AW1661" s="34"/>
      <c r="AX1661" s="34"/>
      <c r="AY1661" s="34"/>
      <c r="AZ1661" s="34"/>
      <c r="BA1661" s="44"/>
      <c r="BB1661" s="34"/>
      <c r="BC1661" s="34"/>
    </row>
    <row r="1662" spans="1:55" x14ac:dyDescent="0.35" ht="15.0" customHeight="true">
      <c r="A1662" s="51"/>
      <c r="B1662" s="34"/>
      <c r="C1662" s="34"/>
      <c r="D1662" s="34"/>
      <c r="E1662" s="34"/>
      <c r="F1662" s="34"/>
      <c r="G1662" s="44"/>
      <c r="H1662" s="34"/>
      <c r="I1662" s="54"/>
      <c r="J1662" s="34"/>
      <c r="K1662" s="54"/>
      <c r="L1662" s="34"/>
      <c r="M1662" s="44"/>
      <c r="N1662" s="44"/>
      <c r="O1662" s="34"/>
      <c r="P1662" s="34"/>
      <c r="Q1662" s="34"/>
      <c r="R1662" s="34"/>
      <c r="V1662" s="44"/>
      <c r="X1662" s="95"/>
      <c r="Y1662" s="54"/>
      <c r="Z1662" s="54"/>
      <c r="AA1662" s="34"/>
      <c r="AB1662" s="34"/>
      <c r="AC1662" s="34"/>
      <c r="AD1662" s="34"/>
      <c r="AE1662" s="34"/>
      <c r="AF1662" s="34"/>
      <c r="AG1662" s="34"/>
      <c r="AH1662" s="34"/>
      <c r="AI1662" s="52"/>
      <c r="AJ1662" s="52"/>
      <c r="AL1662" s="34"/>
      <c r="AM1662" s="34"/>
      <c r="AN1662" s="34"/>
      <c r="AO1662" s="54"/>
      <c r="AP1662" s="34"/>
      <c r="AQ1662" s="34"/>
      <c r="AR1662" s="54"/>
      <c r="AS1662" s="54"/>
      <c r="AT1662" s="54"/>
      <c r="AU1662" s="54"/>
      <c r="AV1662" s="34"/>
      <c r="AW1662" s="34"/>
      <c r="AX1662" s="34"/>
      <c r="AY1662" s="34"/>
      <c r="AZ1662" s="34"/>
      <c r="BA1662" s="44"/>
      <c r="BB1662" s="34"/>
      <c r="BC1662" s="34"/>
    </row>
    <row r="1663" spans="1:55" x14ac:dyDescent="0.35" ht="15.0" customHeight="true">
      <c r="A1663" s="51"/>
      <c r="B1663" s="34"/>
      <c r="C1663" s="34"/>
      <c r="D1663" s="34"/>
      <c r="E1663" s="34"/>
      <c r="F1663" s="34"/>
      <c r="G1663" s="44"/>
      <c r="H1663" s="34"/>
      <c r="I1663" s="54"/>
      <c r="J1663" s="34"/>
      <c r="K1663" s="54"/>
      <c r="L1663" s="34"/>
      <c r="M1663" s="44"/>
      <c r="N1663" s="44"/>
      <c r="O1663" s="34"/>
      <c r="P1663" s="34"/>
      <c r="Q1663" s="34"/>
      <c r="R1663" s="34"/>
      <c r="V1663" s="44"/>
      <c r="X1663" s="95"/>
      <c r="Y1663" s="54"/>
      <c r="Z1663" s="54"/>
      <c r="AA1663" s="34"/>
      <c r="AB1663" s="34"/>
      <c r="AC1663" s="34"/>
      <c r="AD1663" s="34"/>
      <c r="AE1663" s="34"/>
      <c r="AF1663" s="34"/>
      <c r="AG1663" s="34"/>
      <c r="AH1663" s="34"/>
      <c r="AI1663" s="52"/>
      <c r="AJ1663" s="52"/>
      <c r="AL1663" s="34"/>
      <c r="AM1663" s="34"/>
      <c r="AN1663" s="34"/>
      <c r="AO1663" s="54"/>
      <c r="AP1663" s="34"/>
      <c r="AQ1663" s="34"/>
      <c r="AR1663" s="54"/>
      <c r="AS1663" s="54"/>
      <c r="AT1663" s="54"/>
      <c r="AU1663" s="54"/>
      <c r="AV1663" s="34"/>
      <c r="AW1663" s="34"/>
      <c r="AX1663" s="34"/>
      <c r="AY1663" s="34"/>
      <c r="AZ1663" s="34"/>
      <c r="BA1663" s="44"/>
      <c r="BB1663" s="34"/>
      <c r="BC1663" s="34"/>
    </row>
    <row r="1664" spans="1:55" x14ac:dyDescent="0.35" ht="15.0" customHeight="true">
      <c r="A1664" s="51"/>
      <c r="B1664" s="34"/>
      <c r="C1664" s="34"/>
      <c r="D1664" s="34"/>
      <c r="E1664" s="34"/>
      <c r="F1664" s="34"/>
      <c r="G1664" s="44"/>
      <c r="H1664" s="34"/>
      <c r="I1664" s="54"/>
      <c r="J1664" s="34"/>
      <c r="K1664" s="54"/>
      <c r="L1664" s="34"/>
      <c r="M1664" s="44"/>
      <c r="N1664" s="44"/>
      <c r="O1664" s="34"/>
      <c r="P1664" s="34"/>
      <c r="Q1664" s="34"/>
      <c r="R1664" s="34"/>
      <c r="V1664" s="44"/>
      <c r="X1664" s="95"/>
      <c r="Y1664" s="54"/>
      <c r="Z1664" s="54"/>
      <c r="AA1664" s="34"/>
      <c r="AB1664" s="34"/>
      <c r="AC1664" s="34"/>
      <c r="AD1664" s="34"/>
      <c r="AE1664" s="34"/>
      <c r="AF1664" s="34"/>
      <c r="AG1664" s="34"/>
      <c r="AH1664" s="34"/>
      <c r="AI1664" s="52"/>
      <c r="AJ1664" s="52"/>
      <c r="AL1664" s="34"/>
      <c r="AM1664" s="34"/>
      <c r="AN1664" s="34"/>
      <c r="AO1664" s="54"/>
      <c r="AP1664" s="34"/>
      <c r="AQ1664" s="34"/>
      <c r="AR1664" s="54"/>
      <c r="AS1664" s="54"/>
      <c r="AT1664" s="54"/>
      <c r="AU1664" s="54"/>
      <c r="AV1664" s="34"/>
      <c r="AW1664" s="34"/>
      <c r="AX1664" s="34"/>
      <c r="AY1664" s="34"/>
      <c r="AZ1664" s="34"/>
      <c r="BA1664" s="44"/>
      <c r="BB1664" s="34"/>
      <c r="BC1664" s="34"/>
    </row>
    <row r="1665" spans="1:55" x14ac:dyDescent="0.35" ht="15.0" customHeight="true">
      <c r="A1665" s="51"/>
      <c r="B1665" s="34"/>
      <c r="C1665" s="34"/>
      <c r="D1665" s="34"/>
      <c r="E1665" s="34"/>
      <c r="F1665" s="34"/>
      <c r="G1665" s="44"/>
      <c r="H1665" s="34"/>
      <c r="I1665" s="54"/>
      <c r="J1665" s="34"/>
      <c r="K1665" s="54"/>
      <c r="L1665" s="34"/>
      <c r="M1665" s="44"/>
      <c r="N1665" s="44"/>
      <c r="O1665" s="34"/>
      <c r="P1665" s="34"/>
      <c r="Q1665" s="34"/>
      <c r="R1665" s="34"/>
      <c r="V1665" s="44"/>
      <c r="X1665" s="95"/>
      <c r="Y1665" s="54"/>
      <c r="Z1665" s="54"/>
      <c r="AA1665" s="34"/>
      <c r="AB1665" s="34"/>
      <c r="AC1665" s="34"/>
      <c r="AD1665" s="34"/>
      <c r="AE1665" s="34"/>
      <c r="AF1665" s="34"/>
      <c r="AG1665" s="34"/>
      <c r="AH1665" s="34"/>
      <c r="AI1665" s="52"/>
      <c r="AJ1665" s="52"/>
      <c r="AL1665" s="34"/>
      <c r="AM1665" s="34"/>
      <c r="AN1665" s="34"/>
      <c r="AO1665" s="54"/>
      <c r="AP1665" s="34"/>
      <c r="AQ1665" s="34"/>
      <c r="AR1665" s="54"/>
      <c r="AS1665" s="54"/>
      <c r="AT1665" s="54"/>
      <c r="AU1665" s="54"/>
      <c r="AV1665" s="34"/>
      <c r="AW1665" s="34"/>
      <c r="AX1665" s="34"/>
      <c r="AY1665" s="34"/>
      <c r="AZ1665" s="34"/>
      <c r="BA1665" s="44"/>
      <c r="BB1665" s="34"/>
      <c r="BC1665" s="34"/>
    </row>
    <row r="1666" spans="1:55" x14ac:dyDescent="0.35" ht="15.0" customHeight="true">
      <c r="A1666" s="51"/>
      <c r="B1666" s="34"/>
      <c r="C1666" s="34"/>
      <c r="D1666" s="34"/>
      <c r="E1666" s="34"/>
      <c r="F1666" s="34"/>
      <c r="G1666" s="44"/>
      <c r="H1666" s="34"/>
      <c r="I1666" s="54"/>
      <c r="J1666" s="34"/>
      <c r="K1666" s="54"/>
      <c r="L1666" s="34"/>
      <c r="M1666" s="44"/>
      <c r="N1666" s="44"/>
      <c r="O1666" s="34"/>
      <c r="P1666" s="34"/>
      <c r="Q1666" s="34"/>
      <c r="R1666" s="34"/>
      <c r="V1666" s="44"/>
      <c r="X1666" s="95"/>
      <c r="Y1666" s="54"/>
      <c r="Z1666" s="54"/>
      <c r="AA1666" s="34"/>
      <c r="AB1666" s="34"/>
      <c r="AC1666" s="34"/>
      <c r="AD1666" s="34"/>
      <c r="AE1666" s="34"/>
      <c r="AF1666" s="34"/>
      <c r="AG1666" s="34"/>
      <c r="AH1666" s="34"/>
      <c r="AI1666" s="52"/>
      <c r="AJ1666" s="52"/>
      <c r="AL1666" s="34"/>
      <c r="AM1666" s="34"/>
      <c r="AN1666" s="34"/>
      <c r="AO1666" s="54"/>
      <c r="AP1666" s="34"/>
      <c r="AQ1666" s="34"/>
      <c r="AR1666" s="54"/>
      <c r="AS1666" s="54"/>
      <c r="AT1666" s="54"/>
      <c r="AU1666" s="54"/>
      <c r="AV1666" s="34"/>
      <c r="AW1666" s="34"/>
      <c r="AX1666" s="34"/>
      <c r="AY1666" s="34"/>
      <c r="AZ1666" s="34"/>
      <c r="BA1666" s="44"/>
      <c r="BB1666" s="34"/>
      <c r="BC1666" s="34"/>
    </row>
    <row r="1667" spans="1:55" x14ac:dyDescent="0.35" ht="15.0" customHeight="true">
      <c r="A1667" s="51"/>
      <c r="B1667" s="34"/>
      <c r="C1667" s="34"/>
      <c r="D1667" s="34"/>
      <c r="E1667" s="34"/>
      <c r="F1667" s="34"/>
      <c r="G1667" s="44"/>
      <c r="H1667" s="34"/>
      <c r="I1667" s="54"/>
      <c r="J1667" s="34"/>
      <c r="K1667" s="54"/>
      <c r="L1667" s="34"/>
      <c r="M1667" s="44"/>
      <c r="N1667" s="44"/>
      <c r="O1667" s="34"/>
      <c r="P1667" s="34"/>
      <c r="Q1667" s="34"/>
      <c r="R1667" s="34"/>
      <c r="V1667" s="44"/>
      <c r="X1667" s="95"/>
      <c r="Y1667" s="54"/>
      <c r="Z1667" s="54"/>
      <c r="AA1667" s="34"/>
      <c r="AB1667" s="34"/>
      <c r="AC1667" s="34"/>
      <c r="AD1667" s="34"/>
      <c r="AE1667" s="34"/>
      <c r="AF1667" s="34"/>
      <c r="AG1667" s="34"/>
      <c r="AH1667" s="34"/>
      <c r="AI1667" s="52"/>
      <c r="AJ1667" s="52"/>
      <c r="AL1667" s="34"/>
      <c r="AM1667" s="34"/>
      <c r="AN1667" s="34"/>
      <c r="AO1667" s="54"/>
      <c r="AP1667" s="34"/>
      <c r="AQ1667" s="34"/>
      <c r="AR1667" s="54"/>
      <c r="AS1667" s="54"/>
      <c r="AT1667" s="54"/>
      <c r="AU1667" s="54"/>
      <c r="AV1667" s="34"/>
      <c r="AW1667" s="34"/>
      <c r="AX1667" s="34"/>
      <c r="AY1667" s="34"/>
      <c r="AZ1667" s="34"/>
      <c r="BA1667" s="44"/>
      <c r="BB1667" s="34"/>
      <c r="BC1667" s="34"/>
    </row>
    <row r="1668" spans="1:55" x14ac:dyDescent="0.35" ht="15.0" customHeight="true">
      <c r="A1668" s="51"/>
      <c r="B1668" s="34"/>
      <c r="C1668" s="34"/>
      <c r="D1668" s="34"/>
      <c r="E1668" s="34"/>
      <c r="F1668" s="34"/>
      <c r="G1668" s="44"/>
      <c r="H1668" s="34"/>
      <c r="I1668" s="54"/>
      <c r="J1668" s="34"/>
      <c r="K1668" s="54"/>
      <c r="L1668" s="34"/>
      <c r="M1668" s="44"/>
      <c r="N1668" s="44"/>
      <c r="O1668" s="34"/>
      <c r="P1668" s="34"/>
      <c r="Q1668" s="34"/>
      <c r="R1668" s="34"/>
      <c r="V1668" s="44"/>
      <c r="X1668" s="95"/>
      <c r="Y1668" s="54"/>
      <c r="Z1668" s="54"/>
      <c r="AA1668" s="34"/>
      <c r="AB1668" s="34"/>
      <c r="AC1668" s="34"/>
      <c r="AD1668" s="34"/>
      <c r="AE1668" s="34"/>
      <c r="AF1668" s="34"/>
      <c r="AG1668" s="34"/>
      <c r="AH1668" s="34"/>
      <c r="AI1668" s="52"/>
      <c r="AJ1668" s="52"/>
      <c r="AL1668" s="34"/>
      <c r="AM1668" s="34"/>
      <c r="AN1668" s="34"/>
      <c r="AO1668" s="54"/>
      <c r="AP1668" s="34"/>
      <c r="AQ1668" s="34"/>
      <c r="AR1668" s="54"/>
      <c r="AS1668" s="54"/>
      <c r="AT1668" s="54"/>
      <c r="AU1668" s="54"/>
      <c r="AV1668" s="34"/>
      <c r="AW1668" s="34"/>
      <c r="AX1668" s="34"/>
      <c r="AY1668" s="34"/>
      <c r="AZ1668" s="34"/>
      <c r="BA1668" s="44"/>
      <c r="BB1668" s="34"/>
      <c r="BC1668" s="34"/>
    </row>
    <row r="1669" spans="1:55" x14ac:dyDescent="0.35" ht="15.0" customHeight="true">
      <c r="A1669" s="51"/>
      <c r="B1669" s="34"/>
      <c r="C1669" s="34"/>
      <c r="D1669" s="34"/>
      <c r="E1669" s="34"/>
      <c r="F1669" s="34"/>
      <c r="G1669" s="44"/>
      <c r="H1669" s="34"/>
      <c r="I1669" s="54"/>
      <c r="J1669" s="34"/>
      <c r="K1669" s="54"/>
      <c r="L1669" s="34"/>
      <c r="M1669" s="44"/>
      <c r="N1669" s="44"/>
      <c r="O1669" s="34"/>
      <c r="P1669" s="34"/>
      <c r="Q1669" s="34"/>
      <c r="R1669" s="34"/>
      <c r="V1669" s="44"/>
      <c r="X1669" s="95"/>
      <c r="Y1669" s="54"/>
      <c r="Z1669" s="54"/>
      <c r="AA1669" s="34"/>
      <c r="AB1669" s="34"/>
      <c r="AC1669" s="34"/>
      <c r="AD1669" s="34"/>
      <c r="AE1669" s="34"/>
      <c r="AF1669" s="34"/>
      <c r="AG1669" s="34"/>
      <c r="AH1669" s="34"/>
      <c r="AI1669" s="52"/>
      <c r="AJ1669" s="52"/>
      <c r="AL1669" s="34"/>
      <c r="AM1669" s="34"/>
      <c r="AN1669" s="34"/>
      <c r="AO1669" s="54"/>
      <c r="AP1669" s="34"/>
      <c r="AQ1669" s="34"/>
      <c r="AR1669" s="54"/>
      <c r="AS1669" s="54"/>
      <c r="AT1669" s="54"/>
      <c r="AU1669" s="54"/>
      <c r="AV1669" s="34"/>
      <c r="AW1669" s="34"/>
      <c r="AX1669" s="34"/>
      <c r="AY1669" s="34"/>
      <c r="AZ1669" s="34"/>
      <c r="BA1669" s="44"/>
      <c r="BB1669" s="34"/>
      <c r="BC1669" s="34"/>
    </row>
    <row r="1670" spans="1:55" x14ac:dyDescent="0.35" ht="15.0" customHeight="true">
      <c r="A1670" s="51"/>
      <c r="B1670" s="34"/>
      <c r="C1670" s="34"/>
      <c r="D1670" s="34"/>
      <c r="E1670" s="34"/>
      <c r="F1670" s="34"/>
      <c r="G1670" s="44"/>
      <c r="H1670" s="34"/>
      <c r="I1670" s="54"/>
      <c r="J1670" s="34"/>
      <c r="K1670" s="54"/>
      <c r="L1670" s="34"/>
      <c r="M1670" s="44"/>
      <c r="N1670" s="44"/>
      <c r="O1670" s="34"/>
      <c r="P1670" s="34"/>
      <c r="Q1670" s="34"/>
      <c r="R1670" s="34"/>
      <c r="V1670" s="44"/>
      <c r="X1670" s="95"/>
      <c r="Y1670" s="54"/>
      <c r="Z1670" s="54"/>
      <c r="AA1670" s="34"/>
      <c r="AB1670" s="34"/>
      <c r="AC1670" s="34"/>
      <c r="AD1670" s="34"/>
      <c r="AE1670" s="34"/>
      <c r="AF1670" s="34"/>
      <c r="AG1670" s="34"/>
      <c r="AH1670" s="34"/>
      <c r="AI1670" s="52"/>
      <c r="AJ1670" s="52"/>
      <c r="AL1670" s="34"/>
      <c r="AM1670" s="34"/>
      <c r="AN1670" s="34"/>
      <c r="AO1670" s="54"/>
      <c r="AP1670" s="34"/>
      <c r="AQ1670" s="34"/>
      <c r="AR1670" s="54"/>
      <c r="AS1670" s="54"/>
      <c r="AT1670" s="54"/>
      <c r="AU1670" s="54"/>
      <c r="AV1670" s="34"/>
      <c r="AW1670" s="34"/>
      <c r="AX1670" s="34"/>
      <c r="AY1670" s="34"/>
      <c r="AZ1670" s="34"/>
      <c r="BA1670" s="44"/>
      <c r="BB1670" s="34"/>
      <c r="BC1670" s="34"/>
    </row>
    <row r="1671" spans="1:55" x14ac:dyDescent="0.35" ht="15.0" customHeight="true">
      <c r="A1671" s="51"/>
      <c r="B1671" s="34"/>
      <c r="C1671" s="34"/>
      <c r="D1671" s="34"/>
      <c r="E1671" s="34"/>
      <c r="F1671" s="34"/>
      <c r="G1671" s="44"/>
      <c r="H1671" s="34"/>
      <c r="I1671" s="54"/>
      <c r="J1671" s="34"/>
      <c r="K1671" s="54"/>
      <c r="L1671" s="34"/>
      <c r="M1671" s="44"/>
      <c r="N1671" s="44"/>
      <c r="O1671" s="34"/>
      <c r="P1671" s="34"/>
      <c r="Q1671" s="34"/>
      <c r="R1671" s="34"/>
      <c r="V1671" s="44"/>
      <c r="X1671" s="95"/>
      <c r="Y1671" s="54"/>
      <c r="Z1671" s="54"/>
      <c r="AA1671" s="34"/>
      <c r="AB1671" s="34"/>
      <c r="AC1671" s="34"/>
      <c r="AD1671" s="34"/>
      <c r="AE1671" s="34"/>
      <c r="AF1671" s="34"/>
      <c r="AG1671" s="34"/>
      <c r="AH1671" s="34"/>
      <c r="AI1671" s="52"/>
      <c r="AJ1671" s="52"/>
      <c r="AL1671" s="34"/>
      <c r="AM1671" s="34"/>
      <c r="AN1671" s="34"/>
      <c r="AO1671" s="54"/>
      <c r="AP1671" s="34"/>
      <c r="AQ1671" s="34"/>
      <c r="AR1671" s="54"/>
      <c r="AS1671" s="54"/>
      <c r="AT1671" s="54"/>
      <c r="AU1671" s="54"/>
      <c r="AV1671" s="34"/>
      <c r="AW1671" s="34"/>
      <c r="AX1671" s="34"/>
      <c r="AY1671" s="34"/>
      <c r="AZ1671" s="34"/>
      <c r="BA1671" s="44"/>
      <c r="BB1671" s="34"/>
      <c r="BC1671" s="34"/>
    </row>
    <row r="1672" spans="1:55" x14ac:dyDescent="0.35" ht="15.0" customHeight="true">
      <c r="A1672" s="51"/>
      <c r="B1672" s="34"/>
      <c r="C1672" s="34"/>
      <c r="D1672" s="34"/>
      <c r="E1672" s="34"/>
      <c r="F1672" s="34"/>
      <c r="G1672" s="44"/>
      <c r="H1672" s="34"/>
      <c r="I1672" s="54"/>
      <c r="J1672" s="34"/>
      <c r="K1672" s="54"/>
      <c r="L1672" s="34"/>
      <c r="M1672" s="44"/>
      <c r="N1672" s="44"/>
      <c r="O1672" s="34"/>
      <c r="P1672" s="34"/>
      <c r="Q1672" s="34"/>
      <c r="R1672" s="34"/>
      <c r="V1672" s="44"/>
      <c r="X1672" s="95"/>
      <c r="Y1672" s="54"/>
      <c r="Z1672" s="54"/>
      <c r="AA1672" s="34"/>
      <c r="AB1672" s="34"/>
      <c r="AC1672" s="34"/>
      <c r="AD1672" s="34"/>
      <c r="AE1672" s="34"/>
      <c r="AF1672" s="34"/>
      <c r="AG1672" s="34"/>
      <c r="AH1672" s="34"/>
      <c r="AI1672" s="52"/>
      <c r="AJ1672" s="52"/>
      <c r="AL1672" s="34"/>
      <c r="AM1672" s="34"/>
      <c r="AN1672" s="34"/>
      <c r="AO1672" s="54"/>
      <c r="AP1672" s="34"/>
      <c r="AQ1672" s="34"/>
      <c r="AR1672" s="54"/>
      <c r="AS1672" s="54"/>
      <c r="AT1672" s="54"/>
      <c r="AU1672" s="54"/>
      <c r="AV1672" s="34"/>
      <c r="AW1672" s="34"/>
      <c r="AX1672" s="34"/>
      <c r="AY1672" s="34"/>
      <c r="AZ1672" s="34"/>
      <c r="BA1672" s="44"/>
      <c r="BB1672" s="34"/>
      <c r="BC1672" s="34"/>
    </row>
    <row r="1673" spans="1:55" x14ac:dyDescent="0.35" ht="15.0" customHeight="true">
      <c r="A1673" s="51"/>
      <c r="B1673" s="34"/>
      <c r="C1673" s="34"/>
      <c r="D1673" s="34"/>
      <c r="E1673" s="34"/>
      <c r="F1673" s="34"/>
      <c r="G1673" s="44"/>
      <c r="H1673" s="34"/>
      <c r="I1673" s="54"/>
      <c r="J1673" s="34"/>
      <c r="K1673" s="54"/>
      <c r="L1673" s="34"/>
      <c r="M1673" s="44"/>
      <c r="N1673" s="44"/>
      <c r="O1673" s="34"/>
      <c r="P1673" s="34"/>
      <c r="Q1673" s="34"/>
      <c r="R1673" s="34"/>
      <c r="V1673" s="44"/>
      <c r="X1673" s="95"/>
      <c r="Y1673" s="54"/>
      <c r="Z1673" s="54"/>
      <c r="AA1673" s="34"/>
      <c r="AB1673" s="34"/>
      <c r="AC1673" s="34"/>
      <c r="AD1673" s="34"/>
      <c r="AE1673" s="34"/>
      <c r="AF1673" s="34"/>
      <c r="AG1673" s="34"/>
      <c r="AH1673" s="34"/>
      <c r="AI1673" s="52"/>
      <c r="AJ1673" s="52"/>
      <c r="AL1673" s="34"/>
      <c r="AM1673" s="34"/>
      <c r="AN1673" s="34"/>
      <c r="AO1673" s="54"/>
      <c r="AP1673" s="34"/>
      <c r="AQ1673" s="34"/>
      <c r="AR1673" s="54"/>
      <c r="AS1673" s="54"/>
      <c r="AT1673" s="54"/>
      <c r="AU1673" s="54"/>
      <c r="AV1673" s="34"/>
      <c r="AW1673" s="34"/>
      <c r="AX1673" s="34"/>
      <c r="AY1673" s="34"/>
      <c r="AZ1673" s="34"/>
      <c r="BA1673" s="44"/>
      <c r="BB1673" s="34"/>
      <c r="BC1673" s="34"/>
    </row>
    <row r="1674" spans="1:55" x14ac:dyDescent="0.35" ht="15.0" customHeight="true">
      <c r="A1674" s="51"/>
      <c r="B1674" s="34"/>
      <c r="C1674" s="34"/>
      <c r="D1674" s="34"/>
      <c r="E1674" s="34"/>
      <c r="F1674" s="34"/>
      <c r="G1674" s="44"/>
      <c r="H1674" s="34"/>
      <c r="I1674" s="54"/>
      <c r="J1674" s="34"/>
      <c r="K1674" s="54"/>
      <c r="L1674" s="34"/>
      <c r="M1674" s="44"/>
      <c r="N1674" s="44"/>
      <c r="O1674" s="34"/>
      <c r="P1674" s="34"/>
      <c r="Q1674" s="34"/>
      <c r="R1674" s="34"/>
      <c r="V1674" s="44"/>
      <c r="X1674" s="95"/>
      <c r="Y1674" s="54"/>
      <c r="Z1674" s="54"/>
      <c r="AA1674" s="34"/>
      <c r="AB1674" s="34"/>
      <c r="AC1674" s="34"/>
      <c r="AD1674" s="34"/>
      <c r="AE1674" s="34"/>
      <c r="AF1674" s="34"/>
      <c r="AG1674" s="34"/>
      <c r="AH1674" s="34"/>
      <c r="AI1674" s="52"/>
      <c r="AJ1674" s="52"/>
      <c r="AL1674" s="34"/>
      <c r="AM1674" s="34"/>
      <c r="AN1674" s="34"/>
      <c r="AO1674" s="54"/>
      <c r="AP1674" s="34"/>
      <c r="AQ1674" s="34"/>
      <c r="AR1674" s="54"/>
      <c r="AS1674" s="54"/>
      <c r="AT1674" s="54"/>
      <c r="AU1674" s="54"/>
      <c r="AV1674" s="34"/>
      <c r="AW1674" s="34"/>
      <c r="AX1674" s="34"/>
      <c r="AY1674" s="34"/>
      <c r="AZ1674" s="34"/>
      <c r="BA1674" s="44"/>
      <c r="BB1674" s="34"/>
      <c r="BC1674" s="34"/>
    </row>
    <row r="1675" spans="1:55" x14ac:dyDescent="0.35" ht="15.0" customHeight="true">
      <c r="A1675" s="51"/>
      <c r="B1675" s="34"/>
      <c r="C1675" s="34"/>
      <c r="D1675" s="34"/>
      <c r="E1675" s="34"/>
      <c r="F1675" s="34"/>
      <c r="G1675" s="44"/>
      <c r="H1675" s="34"/>
      <c r="I1675" s="54"/>
      <c r="J1675" s="34"/>
      <c r="K1675" s="54"/>
      <c r="L1675" s="34"/>
      <c r="M1675" s="44"/>
      <c r="N1675" s="44"/>
      <c r="O1675" s="34"/>
      <c r="P1675" s="34"/>
      <c r="Q1675" s="34"/>
      <c r="R1675" s="34"/>
      <c r="V1675" s="44"/>
      <c r="X1675" s="95"/>
      <c r="Y1675" s="54"/>
      <c r="Z1675" s="54"/>
      <c r="AA1675" s="34"/>
      <c r="AB1675" s="34"/>
      <c r="AC1675" s="34"/>
      <c r="AD1675" s="34"/>
      <c r="AE1675" s="34"/>
      <c r="AF1675" s="34"/>
      <c r="AG1675" s="34"/>
      <c r="AH1675" s="34"/>
      <c r="AI1675" s="52"/>
      <c r="AJ1675" s="52"/>
      <c r="AL1675" s="34"/>
      <c r="AM1675" s="34"/>
      <c r="AN1675" s="34"/>
      <c r="AO1675" s="54"/>
      <c r="AP1675" s="34"/>
      <c r="AQ1675" s="34"/>
      <c r="AR1675" s="54"/>
      <c r="AS1675" s="54"/>
      <c r="AT1675" s="54"/>
      <c r="AU1675" s="54"/>
      <c r="AV1675" s="34"/>
      <c r="AW1675" s="34"/>
      <c r="AX1675" s="34"/>
      <c r="AY1675" s="34"/>
      <c r="AZ1675" s="34"/>
      <c r="BA1675" s="44"/>
      <c r="BB1675" s="34"/>
      <c r="BC1675" s="34"/>
    </row>
    <row r="1676" spans="1:55" x14ac:dyDescent="0.35" ht="15.0" customHeight="true">
      <c r="A1676" s="51"/>
      <c r="B1676" s="34"/>
      <c r="C1676" s="34"/>
      <c r="D1676" s="34"/>
      <c r="E1676" s="34"/>
      <c r="F1676" s="34"/>
      <c r="G1676" s="44"/>
      <c r="H1676" s="34"/>
      <c r="I1676" s="54"/>
      <c r="J1676" s="34"/>
      <c r="K1676" s="54"/>
      <c r="L1676" s="34"/>
      <c r="M1676" s="44"/>
      <c r="N1676" s="44"/>
      <c r="O1676" s="34"/>
      <c r="P1676" s="34"/>
      <c r="Q1676" s="34"/>
      <c r="R1676" s="34"/>
      <c r="V1676" s="44"/>
      <c r="X1676" s="95"/>
      <c r="Y1676" s="54"/>
      <c r="Z1676" s="54"/>
      <c r="AA1676" s="34"/>
      <c r="AB1676" s="34"/>
      <c r="AC1676" s="34"/>
      <c r="AD1676" s="34"/>
      <c r="AE1676" s="34"/>
      <c r="AF1676" s="34"/>
      <c r="AG1676" s="34"/>
      <c r="AH1676" s="34"/>
      <c r="AI1676" s="52"/>
      <c r="AJ1676" s="52"/>
      <c r="AL1676" s="34"/>
      <c r="AM1676" s="34"/>
      <c r="AN1676" s="34"/>
      <c r="AO1676" s="54"/>
      <c r="AP1676" s="34"/>
      <c r="AQ1676" s="34"/>
      <c r="AR1676" s="54"/>
      <c r="AS1676" s="54"/>
      <c r="AT1676" s="54"/>
      <c r="AU1676" s="54"/>
      <c r="AV1676" s="34"/>
      <c r="AW1676" s="34"/>
      <c r="AX1676" s="34"/>
      <c r="AY1676" s="34"/>
      <c r="AZ1676" s="34"/>
      <c r="BA1676" s="44"/>
      <c r="BB1676" s="34"/>
      <c r="BC1676" s="34"/>
    </row>
    <row r="1677" spans="1:55" x14ac:dyDescent="0.35" ht="15.0" customHeight="true">
      <c r="A1677" s="51"/>
      <c r="B1677" s="34"/>
      <c r="C1677" s="34"/>
      <c r="D1677" s="34"/>
      <c r="E1677" s="34"/>
      <c r="F1677" s="34"/>
      <c r="G1677" s="44"/>
      <c r="H1677" s="34"/>
      <c r="I1677" s="54"/>
      <c r="J1677" s="34"/>
      <c r="K1677" s="54"/>
      <c r="L1677" s="34"/>
      <c r="M1677" s="44"/>
      <c r="N1677" s="44"/>
      <c r="O1677" s="34"/>
      <c r="P1677" s="34"/>
      <c r="Q1677" s="34"/>
      <c r="R1677" s="34"/>
      <c r="V1677" s="44"/>
      <c r="X1677" s="95"/>
      <c r="Y1677" s="54"/>
      <c r="Z1677" s="54"/>
      <c r="AA1677" s="34"/>
      <c r="AB1677" s="34"/>
      <c r="AC1677" s="34"/>
      <c r="AD1677" s="34"/>
      <c r="AE1677" s="34"/>
      <c r="AF1677" s="34"/>
      <c r="AG1677" s="34"/>
      <c r="AH1677" s="34"/>
      <c r="AI1677" s="52"/>
      <c r="AJ1677" s="52"/>
      <c r="AL1677" s="34"/>
      <c r="AM1677" s="34"/>
      <c r="AN1677" s="34"/>
      <c r="AO1677" s="54"/>
      <c r="AP1677" s="34"/>
      <c r="AQ1677" s="34"/>
      <c r="AR1677" s="54"/>
      <c r="AS1677" s="54"/>
      <c r="AT1677" s="54"/>
      <c r="AU1677" s="54"/>
      <c r="AV1677" s="34"/>
      <c r="AW1677" s="34"/>
      <c r="AX1677" s="34"/>
      <c r="AY1677" s="34"/>
      <c r="AZ1677" s="34"/>
      <c r="BA1677" s="44"/>
      <c r="BB1677" s="34"/>
      <c r="BC1677" s="34"/>
    </row>
    <row r="1678" spans="1:55" x14ac:dyDescent="0.35" ht="15.0" customHeight="true">
      <c r="A1678" s="51"/>
      <c r="B1678" s="34"/>
      <c r="C1678" s="34"/>
      <c r="D1678" s="34"/>
      <c r="E1678" s="34"/>
      <c r="F1678" s="34"/>
      <c r="G1678" s="44"/>
      <c r="H1678" s="34"/>
      <c r="I1678" s="54"/>
      <c r="J1678" s="34"/>
      <c r="K1678" s="54"/>
      <c r="L1678" s="34"/>
      <c r="M1678" s="44"/>
      <c r="N1678" s="44"/>
      <c r="O1678" s="34"/>
      <c r="P1678" s="34"/>
      <c r="Q1678" s="34"/>
      <c r="R1678" s="34"/>
      <c r="V1678" s="44"/>
      <c r="X1678" s="95"/>
      <c r="Y1678" s="54"/>
      <c r="Z1678" s="54"/>
      <c r="AA1678" s="34"/>
      <c r="AB1678" s="34"/>
      <c r="AC1678" s="34"/>
      <c r="AD1678" s="34"/>
      <c r="AE1678" s="34"/>
      <c r="AF1678" s="34"/>
      <c r="AG1678" s="34"/>
      <c r="AH1678" s="34"/>
      <c r="AI1678" s="52"/>
      <c r="AJ1678" s="52"/>
      <c r="AL1678" s="34"/>
      <c r="AM1678" s="34"/>
      <c r="AN1678" s="34"/>
      <c r="AO1678" s="54"/>
      <c r="AP1678" s="34"/>
      <c r="AQ1678" s="34"/>
      <c r="AR1678" s="54"/>
      <c r="AS1678" s="54"/>
      <c r="AT1678" s="54"/>
      <c r="AU1678" s="54"/>
      <c r="AV1678" s="34"/>
      <c r="AW1678" s="34"/>
      <c r="AX1678" s="34"/>
      <c r="AY1678" s="34"/>
      <c r="AZ1678" s="34"/>
      <c r="BA1678" s="44"/>
      <c r="BB1678" s="34"/>
      <c r="BC1678" s="34"/>
    </row>
    <row r="1679" spans="1:55" x14ac:dyDescent="0.35" ht="15.0" customHeight="true">
      <c r="A1679" s="51"/>
      <c r="B1679" s="34"/>
      <c r="C1679" s="34"/>
      <c r="D1679" s="34"/>
      <c r="E1679" s="34"/>
      <c r="F1679" s="34"/>
      <c r="G1679" s="44"/>
      <c r="H1679" s="34"/>
      <c r="I1679" s="54"/>
      <c r="J1679" s="34"/>
      <c r="K1679" s="54"/>
      <c r="L1679" s="34"/>
      <c r="M1679" s="44"/>
      <c r="N1679" s="44"/>
      <c r="O1679" s="34"/>
      <c r="P1679" s="34"/>
      <c r="Q1679" s="34"/>
      <c r="R1679" s="34"/>
      <c r="V1679" s="44"/>
      <c r="X1679" s="95"/>
      <c r="Y1679" s="54"/>
      <c r="Z1679" s="54"/>
      <c r="AA1679" s="34"/>
      <c r="AB1679" s="34"/>
      <c r="AC1679" s="34"/>
      <c r="AD1679" s="34"/>
      <c r="AE1679" s="34"/>
      <c r="AF1679" s="34"/>
      <c r="AG1679" s="34"/>
      <c r="AH1679" s="34"/>
      <c r="AI1679" s="52"/>
      <c r="AJ1679" s="52"/>
      <c r="AL1679" s="34"/>
      <c r="AM1679" s="34"/>
      <c r="AN1679" s="34"/>
      <c r="AO1679" s="54"/>
      <c r="AP1679" s="34"/>
      <c r="AQ1679" s="34"/>
      <c r="AR1679" s="54"/>
      <c r="AS1679" s="54"/>
      <c r="AT1679" s="54"/>
      <c r="AU1679" s="54"/>
      <c r="AV1679" s="34"/>
      <c r="AW1679" s="34"/>
      <c r="AX1679" s="34"/>
      <c r="AY1679" s="34"/>
      <c r="AZ1679" s="34"/>
      <c r="BA1679" s="44"/>
      <c r="BB1679" s="34"/>
      <c r="BC1679" s="34"/>
    </row>
    <row r="1680" spans="1:55" x14ac:dyDescent="0.35" ht="15.0" customHeight="true">
      <c r="A1680" s="51"/>
      <c r="B1680" s="34"/>
      <c r="C1680" s="34"/>
      <c r="D1680" s="34"/>
      <c r="E1680" s="34"/>
      <c r="F1680" s="34"/>
      <c r="G1680" s="44"/>
      <c r="H1680" s="34"/>
      <c r="I1680" s="54"/>
      <c r="J1680" s="34"/>
      <c r="K1680" s="54"/>
      <c r="L1680" s="34"/>
      <c r="M1680" s="44"/>
      <c r="N1680" s="44"/>
      <c r="O1680" s="34"/>
      <c r="P1680" s="34"/>
      <c r="Q1680" s="34"/>
      <c r="R1680" s="34"/>
      <c r="V1680" s="44"/>
      <c r="X1680" s="95"/>
      <c r="Y1680" s="54"/>
      <c r="Z1680" s="54"/>
      <c r="AA1680" s="34"/>
      <c r="AB1680" s="34"/>
      <c r="AC1680" s="34"/>
      <c r="AD1680" s="34"/>
      <c r="AE1680" s="34"/>
      <c r="AF1680" s="34"/>
      <c r="AG1680" s="34"/>
      <c r="AH1680" s="34"/>
      <c r="AI1680" s="52"/>
      <c r="AJ1680" s="52"/>
      <c r="AL1680" s="34"/>
      <c r="AM1680" s="34"/>
      <c r="AN1680" s="34"/>
      <c r="AO1680" s="54"/>
      <c r="AP1680" s="34"/>
      <c r="AQ1680" s="34"/>
      <c r="AR1680" s="54"/>
      <c r="AS1680" s="54"/>
      <c r="AT1680" s="54"/>
      <c r="AU1680" s="54"/>
      <c r="AV1680" s="34"/>
      <c r="AW1680" s="34"/>
      <c r="AX1680" s="34"/>
      <c r="AY1680" s="34"/>
      <c r="AZ1680" s="34"/>
      <c r="BA1680" s="44"/>
      <c r="BB1680" s="34"/>
      <c r="BC1680" s="34"/>
    </row>
    <row r="1681" spans="1:55" x14ac:dyDescent="0.35" ht="15.0" customHeight="true">
      <c r="A1681" s="51"/>
      <c r="B1681" s="34"/>
      <c r="C1681" s="34"/>
      <c r="D1681" s="34"/>
      <c r="E1681" s="34"/>
      <c r="F1681" s="34"/>
      <c r="G1681" s="44"/>
      <c r="H1681" s="34"/>
      <c r="I1681" s="54"/>
      <c r="J1681" s="34"/>
      <c r="K1681" s="54"/>
      <c r="L1681" s="34"/>
      <c r="M1681" s="44"/>
      <c r="N1681" s="44"/>
      <c r="O1681" s="34"/>
      <c r="P1681" s="34"/>
      <c r="Q1681" s="34"/>
      <c r="R1681" s="34"/>
      <c r="V1681" s="44"/>
      <c r="X1681" s="95"/>
      <c r="Y1681" s="54"/>
      <c r="Z1681" s="54"/>
      <c r="AA1681" s="34"/>
      <c r="AB1681" s="34"/>
      <c r="AC1681" s="34"/>
      <c r="AD1681" s="34"/>
      <c r="AE1681" s="34"/>
      <c r="AF1681" s="34"/>
      <c r="AG1681" s="34"/>
      <c r="AH1681" s="34"/>
      <c r="AI1681" s="52"/>
      <c r="AJ1681" s="52"/>
      <c r="AL1681" s="34"/>
      <c r="AM1681" s="34"/>
      <c r="AN1681" s="34"/>
      <c r="AO1681" s="54"/>
      <c r="AP1681" s="34"/>
      <c r="AQ1681" s="34"/>
      <c r="AR1681" s="54"/>
      <c r="AS1681" s="54"/>
      <c r="AT1681" s="54"/>
      <c r="AU1681" s="54"/>
      <c r="AV1681" s="34"/>
      <c r="AW1681" s="34"/>
      <c r="AX1681" s="34"/>
      <c r="AY1681" s="34"/>
      <c r="AZ1681" s="34"/>
      <c r="BA1681" s="44"/>
      <c r="BB1681" s="34"/>
      <c r="BC1681" s="34"/>
    </row>
    <row r="1682" spans="1:55" x14ac:dyDescent="0.35" ht="15.0" customHeight="true">
      <c r="A1682" s="51"/>
      <c r="B1682" s="34"/>
      <c r="C1682" s="34"/>
      <c r="D1682" s="34"/>
      <c r="E1682" s="34"/>
      <c r="F1682" s="34"/>
      <c r="G1682" s="44"/>
      <c r="H1682" s="34"/>
      <c r="I1682" s="54"/>
      <c r="J1682" s="34"/>
      <c r="K1682" s="54"/>
      <c r="L1682" s="34"/>
      <c r="M1682" s="44"/>
      <c r="N1682" s="44"/>
      <c r="O1682" s="34"/>
      <c r="P1682" s="34"/>
      <c r="Q1682" s="34"/>
      <c r="R1682" s="34"/>
      <c r="V1682" s="44"/>
      <c r="X1682" s="95"/>
      <c r="Y1682" s="54"/>
      <c r="Z1682" s="54"/>
      <c r="AA1682" s="34"/>
      <c r="AB1682" s="34"/>
      <c r="AC1682" s="34"/>
      <c r="AD1682" s="34"/>
      <c r="AE1682" s="34"/>
      <c r="AF1682" s="34"/>
      <c r="AG1682" s="34"/>
      <c r="AH1682" s="34"/>
      <c r="AI1682" s="52"/>
      <c r="AJ1682" s="52"/>
      <c r="AL1682" s="34"/>
      <c r="AM1682" s="34"/>
      <c r="AN1682" s="34"/>
      <c r="AO1682" s="54"/>
      <c r="AP1682" s="34"/>
      <c r="AQ1682" s="34"/>
      <c r="AR1682" s="54"/>
      <c r="AS1682" s="54"/>
      <c r="AT1682" s="54"/>
      <c r="AU1682" s="54"/>
      <c r="AV1682" s="34"/>
      <c r="AW1682" s="34"/>
      <c r="AX1682" s="34"/>
      <c r="AY1682" s="34"/>
      <c r="AZ1682" s="34"/>
      <c r="BA1682" s="44"/>
      <c r="BB1682" s="34"/>
      <c r="BC1682" s="34"/>
    </row>
    <row r="1683" spans="1:55" x14ac:dyDescent="0.35" ht="15.0" customHeight="true">
      <c r="A1683" s="51"/>
      <c r="B1683" s="34"/>
      <c r="C1683" s="34"/>
      <c r="D1683" s="34"/>
      <c r="E1683" s="34"/>
      <c r="F1683" s="34"/>
      <c r="G1683" s="44"/>
      <c r="H1683" s="34"/>
      <c r="I1683" s="54"/>
      <c r="J1683" s="34"/>
      <c r="K1683" s="54"/>
      <c r="L1683" s="34"/>
      <c r="M1683" s="44"/>
      <c r="N1683" s="44"/>
      <c r="O1683" s="34"/>
      <c r="P1683" s="34"/>
      <c r="Q1683" s="34"/>
      <c r="R1683" s="34"/>
      <c r="V1683" s="44"/>
      <c r="X1683" s="95"/>
      <c r="Y1683" s="54"/>
      <c r="Z1683" s="54"/>
      <c r="AA1683" s="34"/>
      <c r="AB1683" s="34"/>
      <c r="AC1683" s="34"/>
      <c r="AD1683" s="34"/>
      <c r="AE1683" s="34"/>
      <c r="AF1683" s="34"/>
      <c r="AG1683" s="34"/>
      <c r="AH1683" s="34"/>
      <c r="AI1683" s="52"/>
      <c r="AJ1683" s="52"/>
      <c r="AL1683" s="34"/>
      <c r="AM1683" s="34"/>
      <c r="AN1683" s="34"/>
      <c r="AO1683" s="54"/>
      <c r="AP1683" s="34"/>
      <c r="AQ1683" s="34"/>
      <c r="AR1683" s="54"/>
      <c r="AS1683" s="54"/>
      <c r="AT1683" s="54"/>
      <c r="AU1683" s="54"/>
      <c r="AV1683" s="34"/>
      <c r="AW1683" s="34"/>
      <c r="AX1683" s="34"/>
      <c r="AY1683" s="34"/>
      <c r="AZ1683" s="34"/>
      <c r="BA1683" s="44"/>
      <c r="BB1683" s="34"/>
      <c r="BC1683" s="34"/>
    </row>
    <row r="1684" spans="1:55" x14ac:dyDescent="0.35" ht="15.0" customHeight="true">
      <c r="A1684" s="51"/>
      <c r="B1684" s="34"/>
      <c r="C1684" s="34"/>
      <c r="D1684" s="34"/>
      <c r="E1684" s="34"/>
      <c r="F1684" s="34"/>
      <c r="G1684" s="44"/>
      <c r="H1684" s="34"/>
      <c r="I1684" s="54"/>
      <c r="J1684" s="34"/>
      <c r="K1684" s="54"/>
      <c r="L1684" s="34"/>
      <c r="M1684" s="44"/>
      <c r="N1684" s="44"/>
      <c r="O1684" s="34"/>
      <c r="P1684" s="34"/>
      <c r="Q1684" s="34"/>
      <c r="R1684" s="34"/>
      <c r="V1684" s="44"/>
      <c r="X1684" s="95"/>
      <c r="Y1684" s="54"/>
      <c r="Z1684" s="54"/>
      <c r="AA1684" s="34"/>
      <c r="AB1684" s="34"/>
      <c r="AC1684" s="34"/>
      <c r="AD1684" s="34"/>
      <c r="AE1684" s="34"/>
      <c r="AF1684" s="34"/>
      <c r="AG1684" s="34"/>
      <c r="AH1684" s="34"/>
      <c r="AI1684" s="52"/>
      <c r="AJ1684" s="52"/>
      <c r="AL1684" s="34"/>
      <c r="AM1684" s="34"/>
      <c r="AN1684" s="34"/>
      <c r="AO1684" s="54"/>
      <c r="AP1684" s="34"/>
      <c r="AQ1684" s="34"/>
      <c r="AR1684" s="54"/>
      <c r="AS1684" s="54"/>
      <c r="AT1684" s="54"/>
      <c r="AU1684" s="54"/>
      <c r="AV1684" s="34"/>
      <c r="AW1684" s="34"/>
      <c r="AX1684" s="34"/>
      <c r="AY1684" s="34"/>
      <c r="AZ1684" s="34"/>
      <c r="BA1684" s="44"/>
      <c r="BB1684" s="34"/>
      <c r="BC1684" s="34"/>
    </row>
    <row r="1685" spans="1:55" x14ac:dyDescent="0.35" ht="15.0" customHeight="true">
      <c r="A1685" s="51"/>
      <c r="B1685" s="34"/>
      <c r="C1685" s="34"/>
      <c r="D1685" s="34"/>
      <c r="E1685" s="34"/>
      <c r="F1685" s="34"/>
      <c r="G1685" s="44"/>
      <c r="H1685" s="34"/>
      <c r="I1685" s="54"/>
      <c r="J1685" s="34"/>
      <c r="K1685" s="54"/>
      <c r="L1685" s="34"/>
      <c r="M1685" s="44"/>
      <c r="N1685" s="44"/>
      <c r="O1685" s="34"/>
      <c r="P1685" s="34"/>
      <c r="Q1685" s="34"/>
      <c r="R1685" s="34"/>
      <c r="V1685" s="44"/>
      <c r="X1685" s="95"/>
      <c r="Y1685" s="54"/>
      <c r="Z1685" s="54"/>
      <c r="AA1685" s="34"/>
      <c r="AB1685" s="34"/>
      <c r="AC1685" s="34"/>
      <c r="AD1685" s="34"/>
      <c r="AE1685" s="34"/>
      <c r="AF1685" s="34"/>
      <c r="AG1685" s="34"/>
      <c r="AH1685" s="34"/>
      <c r="AI1685" s="52"/>
      <c r="AJ1685" s="52"/>
      <c r="AL1685" s="34"/>
      <c r="AM1685" s="34"/>
      <c r="AN1685" s="34"/>
      <c r="AO1685" s="54"/>
      <c r="AP1685" s="34"/>
      <c r="AQ1685" s="34"/>
      <c r="AR1685" s="54"/>
      <c r="AS1685" s="54"/>
      <c r="AT1685" s="54"/>
      <c r="AU1685" s="54"/>
      <c r="AV1685" s="34"/>
      <c r="AW1685" s="34"/>
      <c r="AX1685" s="34"/>
      <c r="AY1685" s="34"/>
      <c r="AZ1685" s="34"/>
      <c r="BA1685" s="44"/>
      <c r="BB1685" s="34"/>
      <c r="BC1685" s="34"/>
    </row>
    <row r="1686" spans="1:55" x14ac:dyDescent="0.35" ht="15.0" customHeight="true">
      <c r="A1686" s="51"/>
      <c r="B1686" s="34"/>
      <c r="C1686" s="34"/>
      <c r="D1686" s="34"/>
      <c r="E1686" s="34"/>
      <c r="F1686" s="34"/>
      <c r="G1686" s="44"/>
      <c r="H1686" s="34"/>
      <c r="I1686" s="54"/>
      <c r="J1686" s="34"/>
      <c r="K1686" s="54"/>
      <c r="L1686" s="34"/>
      <c r="M1686" s="44"/>
      <c r="N1686" s="44"/>
      <c r="O1686" s="34"/>
      <c r="P1686" s="34"/>
      <c r="Q1686" s="34"/>
      <c r="R1686" s="34"/>
      <c r="V1686" s="44"/>
      <c r="X1686" s="95"/>
      <c r="Y1686" s="54"/>
      <c r="Z1686" s="54"/>
      <c r="AA1686" s="34"/>
      <c r="AB1686" s="34"/>
      <c r="AC1686" s="34"/>
      <c r="AD1686" s="34"/>
      <c r="AE1686" s="34"/>
      <c r="AF1686" s="34"/>
      <c r="AG1686" s="34"/>
      <c r="AH1686" s="34"/>
      <c r="AI1686" s="52"/>
      <c r="AJ1686" s="52"/>
      <c r="AL1686" s="34"/>
      <c r="AM1686" s="34"/>
      <c r="AN1686" s="34"/>
      <c r="AO1686" s="54"/>
      <c r="AP1686" s="34"/>
      <c r="AQ1686" s="34"/>
      <c r="AR1686" s="54"/>
      <c r="AS1686" s="54"/>
      <c r="AT1686" s="54"/>
      <c r="AU1686" s="54"/>
      <c r="AV1686" s="34"/>
      <c r="AW1686" s="34"/>
      <c r="AX1686" s="34"/>
      <c r="AY1686" s="34"/>
      <c r="AZ1686" s="34"/>
      <c r="BA1686" s="44"/>
      <c r="BB1686" s="34"/>
      <c r="BC1686" s="34"/>
    </row>
    <row r="1687" spans="1:55" x14ac:dyDescent="0.35" ht="15.0" customHeight="true">
      <c r="A1687" s="51"/>
      <c r="B1687" s="34"/>
      <c r="C1687" s="34"/>
      <c r="D1687" s="34"/>
      <c r="E1687" s="34"/>
      <c r="F1687" s="34"/>
      <c r="G1687" s="44"/>
      <c r="H1687" s="34"/>
      <c r="I1687" s="54"/>
      <c r="J1687" s="34"/>
      <c r="K1687" s="54"/>
      <c r="L1687" s="34"/>
      <c r="M1687" s="44"/>
      <c r="N1687" s="44"/>
      <c r="O1687" s="34"/>
      <c r="P1687" s="34"/>
      <c r="Q1687" s="34"/>
      <c r="R1687" s="34"/>
      <c r="V1687" s="44"/>
      <c r="X1687" s="95"/>
      <c r="Y1687" s="54"/>
      <c r="Z1687" s="54"/>
      <c r="AA1687" s="34"/>
      <c r="AB1687" s="34"/>
      <c r="AC1687" s="34"/>
      <c r="AD1687" s="34"/>
      <c r="AE1687" s="34"/>
      <c r="AF1687" s="34"/>
      <c r="AG1687" s="34"/>
      <c r="AH1687" s="34"/>
      <c r="AI1687" s="52"/>
      <c r="AJ1687" s="52"/>
      <c r="AL1687" s="34"/>
      <c r="AM1687" s="34"/>
      <c r="AN1687" s="34"/>
      <c r="AO1687" s="54"/>
      <c r="AP1687" s="34"/>
      <c r="AQ1687" s="34"/>
      <c r="AR1687" s="54"/>
      <c r="AS1687" s="54"/>
      <c r="AT1687" s="54"/>
      <c r="AU1687" s="54"/>
      <c r="AV1687" s="34"/>
      <c r="AW1687" s="34"/>
      <c r="AX1687" s="34"/>
      <c r="AY1687" s="34"/>
      <c r="AZ1687" s="34"/>
      <c r="BA1687" s="44"/>
      <c r="BB1687" s="34"/>
      <c r="BC1687" s="34"/>
    </row>
    <row r="1688" spans="1:55" x14ac:dyDescent="0.35" ht="15.0" customHeight="true">
      <c r="A1688" s="51"/>
      <c r="B1688" s="34"/>
      <c r="C1688" s="34"/>
      <c r="D1688" s="34"/>
      <c r="E1688" s="34"/>
      <c r="F1688" s="34"/>
      <c r="G1688" s="44"/>
      <c r="H1688" s="34"/>
      <c r="I1688" s="54"/>
      <c r="J1688" s="34"/>
      <c r="K1688" s="54"/>
      <c r="L1688" s="34"/>
      <c r="M1688" s="44"/>
      <c r="N1688" s="44"/>
      <c r="O1688" s="34"/>
      <c r="P1688" s="34"/>
      <c r="Q1688" s="34"/>
      <c r="R1688" s="34"/>
      <c r="V1688" s="44"/>
      <c r="X1688" s="95"/>
      <c r="Y1688" s="54"/>
      <c r="Z1688" s="54"/>
      <c r="AA1688" s="34"/>
      <c r="AB1688" s="34"/>
      <c r="AC1688" s="34"/>
      <c r="AD1688" s="34"/>
      <c r="AE1688" s="34"/>
      <c r="AF1688" s="34"/>
      <c r="AG1688" s="34"/>
      <c r="AH1688" s="34"/>
      <c r="AI1688" s="52"/>
      <c r="AJ1688" s="52"/>
      <c r="AL1688" s="34"/>
      <c r="AM1688" s="34"/>
      <c r="AN1688" s="34"/>
      <c r="AO1688" s="54"/>
      <c r="AP1688" s="34"/>
      <c r="AQ1688" s="34"/>
      <c r="AR1688" s="54"/>
      <c r="AS1688" s="54"/>
      <c r="AT1688" s="54"/>
      <c r="AU1688" s="54"/>
      <c r="AV1688" s="34"/>
      <c r="AW1688" s="34"/>
      <c r="AX1688" s="34"/>
      <c r="AY1688" s="34"/>
      <c r="AZ1688" s="34"/>
      <c r="BA1688" s="44"/>
      <c r="BB1688" s="34"/>
      <c r="BC1688" s="34"/>
    </row>
    <row r="1689" spans="1:55" x14ac:dyDescent="0.35" ht="15.0" customHeight="true">
      <c r="A1689" s="51"/>
      <c r="B1689" s="34"/>
      <c r="C1689" s="34"/>
      <c r="D1689" s="34"/>
      <c r="E1689" s="34"/>
      <c r="F1689" s="34"/>
      <c r="G1689" s="44"/>
      <c r="H1689" s="34"/>
      <c r="I1689" s="54"/>
      <c r="J1689" s="34"/>
      <c r="K1689" s="54"/>
      <c r="L1689" s="34"/>
      <c r="M1689" s="44"/>
      <c r="N1689" s="44"/>
      <c r="O1689" s="34"/>
      <c r="P1689" s="34"/>
      <c r="Q1689" s="34"/>
      <c r="R1689" s="34"/>
      <c r="V1689" s="44"/>
      <c r="X1689" s="95"/>
      <c r="Y1689" s="54"/>
      <c r="Z1689" s="54"/>
      <c r="AA1689" s="34"/>
      <c r="AB1689" s="34"/>
      <c r="AC1689" s="34"/>
      <c r="AD1689" s="34"/>
      <c r="AE1689" s="34"/>
      <c r="AF1689" s="34"/>
      <c r="AG1689" s="34"/>
      <c r="AH1689" s="34"/>
      <c r="AI1689" s="52"/>
      <c r="AJ1689" s="52"/>
      <c r="AL1689" s="34"/>
      <c r="AM1689" s="34"/>
      <c r="AN1689" s="34"/>
      <c r="AO1689" s="54"/>
      <c r="AP1689" s="34"/>
      <c r="AQ1689" s="34"/>
      <c r="AR1689" s="54"/>
      <c r="AS1689" s="54"/>
      <c r="AT1689" s="54"/>
      <c r="AU1689" s="54"/>
      <c r="AV1689" s="34"/>
      <c r="AW1689" s="34"/>
      <c r="AX1689" s="34"/>
      <c r="AY1689" s="34"/>
      <c r="AZ1689" s="34"/>
      <c r="BA1689" s="44"/>
      <c r="BB1689" s="34"/>
      <c r="BC1689" s="34"/>
    </row>
    <row r="1690" spans="1:55" x14ac:dyDescent="0.35" ht="15.0" customHeight="true">
      <c r="A1690" s="51"/>
      <c r="B1690" s="34"/>
      <c r="C1690" s="34"/>
      <c r="D1690" s="34"/>
      <c r="E1690" s="34"/>
      <c r="F1690" s="34"/>
      <c r="G1690" s="44"/>
      <c r="H1690" s="34"/>
      <c r="I1690" s="54"/>
      <c r="J1690" s="34"/>
      <c r="K1690" s="54"/>
      <c r="L1690" s="34"/>
      <c r="M1690" s="44"/>
      <c r="N1690" s="44"/>
      <c r="O1690" s="34"/>
      <c r="P1690" s="34"/>
      <c r="Q1690" s="34"/>
      <c r="R1690" s="34"/>
      <c r="V1690" s="44"/>
      <c r="X1690" s="95"/>
      <c r="Y1690" s="54"/>
      <c r="Z1690" s="54"/>
      <c r="AA1690" s="34"/>
      <c r="AB1690" s="34"/>
      <c r="AC1690" s="34"/>
      <c r="AD1690" s="34"/>
      <c r="AE1690" s="34"/>
      <c r="AF1690" s="34"/>
      <c r="AG1690" s="34"/>
      <c r="AH1690" s="34"/>
      <c r="AI1690" s="52"/>
      <c r="AJ1690" s="52"/>
      <c r="AL1690" s="34"/>
      <c r="AM1690" s="34"/>
      <c r="AN1690" s="34"/>
      <c r="AO1690" s="54"/>
      <c r="AP1690" s="34"/>
      <c r="AQ1690" s="34"/>
      <c r="AR1690" s="54"/>
      <c r="AS1690" s="54"/>
      <c r="AT1690" s="54"/>
      <c r="AU1690" s="54"/>
      <c r="AV1690" s="34"/>
      <c r="AW1690" s="34"/>
      <c r="AX1690" s="34"/>
      <c r="AY1690" s="34"/>
      <c r="AZ1690" s="34"/>
      <c r="BA1690" s="44"/>
      <c r="BB1690" s="34"/>
      <c r="BC1690" s="34"/>
    </row>
    <row r="1691" spans="1:55" x14ac:dyDescent="0.35" ht="15.0" customHeight="true">
      <c r="A1691" s="51"/>
      <c r="B1691" s="34"/>
      <c r="C1691" s="34"/>
      <c r="D1691" s="34"/>
      <c r="E1691" s="34"/>
      <c r="F1691" s="34"/>
      <c r="G1691" s="44"/>
      <c r="H1691" s="34"/>
      <c r="I1691" s="54"/>
      <c r="J1691" s="34"/>
      <c r="K1691" s="54"/>
      <c r="L1691" s="34"/>
      <c r="M1691" s="44"/>
      <c r="N1691" s="44"/>
      <c r="O1691" s="34"/>
      <c r="P1691" s="34"/>
      <c r="Q1691" s="34"/>
      <c r="R1691" s="34"/>
      <c r="V1691" s="44"/>
      <c r="X1691" s="95"/>
      <c r="Y1691" s="54"/>
      <c r="Z1691" s="54"/>
      <c r="AA1691" s="34"/>
      <c r="AB1691" s="34"/>
      <c r="AC1691" s="34"/>
      <c r="AD1691" s="34"/>
      <c r="AE1691" s="34"/>
      <c r="AF1691" s="34"/>
      <c r="AG1691" s="34"/>
      <c r="AH1691" s="34"/>
      <c r="AI1691" s="52"/>
      <c r="AJ1691" s="52"/>
      <c r="AL1691" s="34"/>
      <c r="AM1691" s="34"/>
      <c r="AN1691" s="34"/>
      <c r="AO1691" s="54"/>
      <c r="AP1691" s="34"/>
      <c r="AQ1691" s="34"/>
      <c r="AR1691" s="54"/>
      <c r="AS1691" s="54"/>
      <c r="AT1691" s="54"/>
      <c r="AU1691" s="54"/>
      <c r="AV1691" s="34"/>
      <c r="AW1691" s="34"/>
      <c r="AX1691" s="34"/>
      <c r="AY1691" s="34"/>
      <c r="AZ1691" s="34"/>
      <c r="BA1691" s="44"/>
      <c r="BB1691" s="34"/>
      <c r="BC1691" s="34"/>
    </row>
    <row r="1692" spans="1:55" x14ac:dyDescent="0.35" ht="15.0" customHeight="true">
      <c r="A1692" s="51"/>
      <c r="B1692" s="34"/>
      <c r="C1692" s="34"/>
      <c r="D1692" s="34"/>
      <c r="E1692" s="34"/>
      <c r="F1692" s="34"/>
      <c r="G1692" s="44"/>
      <c r="H1692" s="34"/>
      <c r="I1692" s="54"/>
      <c r="J1692" s="34"/>
      <c r="K1692" s="54"/>
      <c r="L1692" s="34"/>
      <c r="M1692" s="44"/>
      <c r="N1692" s="44"/>
      <c r="O1692" s="34"/>
      <c r="P1692" s="34"/>
      <c r="Q1692" s="34"/>
      <c r="R1692" s="34"/>
      <c r="V1692" s="44"/>
      <c r="X1692" s="95"/>
      <c r="Y1692" s="54"/>
      <c r="Z1692" s="54"/>
      <c r="AA1692" s="34"/>
      <c r="AB1692" s="34"/>
      <c r="AC1692" s="34"/>
      <c r="AD1692" s="34"/>
      <c r="AE1692" s="34"/>
      <c r="AF1692" s="34"/>
      <c r="AG1692" s="34"/>
      <c r="AH1692" s="34"/>
      <c r="AI1692" s="52"/>
      <c r="AJ1692" s="52"/>
      <c r="AL1692" s="34"/>
      <c r="AM1692" s="34"/>
      <c r="AN1692" s="34"/>
      <c r="AO1692" s="54"/>
      <c r="AP1692" s="34"/>
      <c r="AQ1692" s="34"/>
      <c r="AR1692" s="54"/>
      <c r="AS1692" s="54"/>
      <c r="AT1692" s="54"/>
      <c r="AU1692" s="54"/>
      <c r="AV1692" s="34"/>
      <c r="AW1692" s="34"/>
      <c r="AX1692" s="34"/>
      <c r="AY1692" s="34"/>
      <c r="AZ1692" s="34"/>
      <c r="BA1692" s="44"/>
      <c r="BB1692" s="34"/>
      <c r="BC1692" s="34"/>
    </row>
    <row r="1693" spans="1:55" x14ac:dyDescent="0.35" ht="15.0" customHeight="true">
      <c r="A1693" s="51"/>
      <c r="B1693" s="34"/>
      <c r="C1693" s="34"/>
      <c r="D1693" s="34"/>
      <c r="E1693" s="34"/>
      <c r="F1693" s="34"/>
      <c r="G1693" s="44"/>
      <c r="H1693" s="34"/>
      <c r="I1693" s="54"/>
      <c r="J1693" s="34"/>
      <c r="K1693" s="54"/>
      <c r="L1693" s="34"/>
      <c r="M1693" s="44"/>
      <c r="N1693" s="44"/>
      <c r="O1693" s="34"/>
      <c r="P1693" s="34"/>
      <c r="Q1693" s="34"/>
      <c r="R1693" s="34"/>
      <c r="V1693" s="44"/>
      <c r="X1693" s="95"/>
      <c r="Y1693" s="54"/>
      <c r="Z1693" s="54"/>
      <c r="AA1693" s="34"/>
      <c r="AB1693" s="34"/>
      <c r="AC1693" s="34"/>
      <c r="AD1693" s="34"/>
      <c r="AE1693" s="34"/>
      <c r="AF1693" s="34"/>
      <c r="AG1693" s="34"/>
      <c r="AH1693" s="34"/>
      <c r="AI1693" s="52"/>
      <c r="AJ1693" s="52"/>
      <c r="AL1693" s="34"/>
      <c r="AM1693" s="34"/>
      <c r="AN1693" s="34"/>
      <c r="AO1693" s="54"/>
      <c r="AP1693" s="34"/>
      <c r="AQ1693" s="34"/>
      <c r="AR1693" s="54"/>
      <c r="AS1693" s="54"/>
      <c r="AT1693" s="54"/>
      <c r="AU1693" s="54"/>
      <c r="AV1693" s="34"/>
      <c r="AW1693" s="34"/>
      <c r="AX1693" s="34"/>
      <c r="AY1693" s="34"/>
      <c r="AZ1693" s="34"/>
      <c r="BA1693" s="44"/>
      <c r="BB1693" s="34"/>
      <c r="BC1693" s="34"/>
    </row>
    <row r="1694" spans="1:55" x14ac:dyDescent="0.35" ht="15.0" customHeight="true">
      <c r="A1694" s="51"/>
      <c r="B1694" s="34"/>
      <c r="C1694" s="34"/>
      <c r="D1694" s="34"/>
      <c r="E1694" s="34"/>
      <c r="F1694" s="34"/>
      <c r="G1694" s="44"/>
      <c r="H1694" s="34"/>
      <c r="I1694" s="54"/>
      <c r="J1694" s="34"/>
      <c r="K1694" s="54"/>
      <c r="L1694" s="34"/>
      <c r="M1694" s="44"/>
      <c r="N1694" s="44"/>
      <c r="O1694" s="34"/>
      <c r="P1694" s="34"/>
      <c r="Q1694" s="34"/>
      <c r="R1694" s="34"/>
      <c r="V1694" s="44"/>
      <c r="X1694" s="95"/>
      <c r="Y1694" s="54"/>
      <c r="Z1694" s="54"/>
      <c r="AA1694" s="34"/>
      <c r="AB1694" s="34"/>
      <c r="AC1694" s="34"/>
      <c r="AD1694" s="34"/>
      <c r="AE1694" s="34"/>
      <c r="AF1694" s="34"/>
      <c r="AG1694" s="34"/>
      <c r="AH1694" s="34"/>
      <c r="AI1694" s="52"/>
      <c r="AJ1694" s="52"/>
      <c r="AL1694" s="34"/>
      <c r="AM1694" s="34"/>
      <c r="AN1694" s="34"/>
      <c r="AO1694" s="54"/>
      <c r="AP1694" s="34"/>
      <c r="AQ1694" s="34"/>
      <c r="AR1694" s="54"/>
      <c r="AS1694" s="54"/>
      <c r="AT1694" s="54"/>
      <c r="AU1694" s="54"/>
      <c r="AV1694" s="34"/>
      <c r="AW1694" s="34"/>
      <c r="AX1694" s="34"/>
      <c r="AY1694" s="34"/>
      <c r="AZ1694" s="34"/>
      <c r="BA1694" s="44"/>
      <c r="BB1694" s="34"/>
      <c r="BC1694" s="34"/>
    </row>
    <row r="1695" spans="1:55" x14ac:dyDescent="0.35" ht="15.0" customHeight="true">
      <c r="A1695" s="51"/>
      <c r="B1695" s="34"/>
      <c r="C1695" s="34"/>
      <c r="D1695" s="34"/>
      <c r="E1695" s="34"/>
      <c r="F1695" s="34"/>
      <c r="G1695" s="44"/>
      <c r="H1695" s="34"/>
      <c r="I1695" s="54"/>
      <c r="J1695" s="34"/>
      <c r="K1695" s="54"/>
      <c r="L1695" s="34"/>
      <c r="M1695" s="44"/>
      <c r="N1695" s="44"/>
      <c r="O1695" s="34"/>
      <c r="P1695" s="34"/>
      <c r="Q1695" s="34"/>
      <c r="R1695" s="34"/>
      <c r="V1695" s="44"/>
      <c r="X1695" s="95"/>
      <c r="Y1695" s="54"/>
      <c r="Z1695" s="54"/>
      <c r="AA1695" s="34"/>
      <c r="AB1695" s="34"/>
      <c r="AC1695" s="34"/>
      <c r="AD1695" s="34"/>
      <c r="AE1695" s="34"/>
      <c r="AF1695" s="34"/>
      <c r="AG1695" s="34"/>
      <c r="AH1695" s="34"/>
      <c r="AI1695" s="52"/>
      <c r="AJ1695" s="52"/>
      <c r="AL1695" s="34"/>
      <c r="AM1695" s="34"/>
      <c r="AN1695" s="34"/>
      <c r="AO1695" s="54"/>
      <c r="AP1695" s="34"/>
      <c r="AQ1695" s="34"/>
      <c r="AR1695" s="54"/>
      <c r="AS1695" s="54"/>
      <c r="AT1695" s="54"/>
      <c r="AU1695" s="54"/>
      <c r="AV1695" s="34"/>
      <c r="AW1695" s="34"/>
      <c r="AX1695" s="34"/>
      <c r="AY1695" s="34"/>
      <c r="AZ1695" s="34"/>
      <c r="BA1695" s="44"/>
      <c r="BB1695" s="34"/>
      <c r="BC1695" s="34"/>
    </row>
    <row r="1696" spans="1:55" x14ac:dyDescent="0.35" ht="15.0" customHeight="true">
      <c r="A1696" s="51"/>
      <c r="B1696" s="34"/>
      <c r="C1696" s="34"/>
      <c r="D1696" s="34"/>
      <c r="E1696" s="34"/>
      <c r="F1696" s="34"/>
      <c r="G1696" s="44"/>
      <c r="H1696" s="34"/>
      <c r="I1696" s="54"/>
      <c r="J1696" s="34"/>
      <c r="K1696" s="54"/>
      <c r="L1696" s="34"/>
      <c r="M1696" s="44"/>
      <c r="N1696" s="44"/>
      <c r="O1696" s="34"/>
      <c r="P1696" s="34"/>
      <c r="Q1696" s="34"/>
      <c r="R1696" s="34"/>
      <c r="V1696" s="44"/>
      <c r="X1696" s="95"/>
      <c r="Y1696" s="54"/>
      <c r="Z1696" s="54"/>
      <c r="AA1696" s="34"/>
      <c r="AB1696" s="34"/>
      <c r="AC1696" s="34"/>
      <c r="AD1696" s="34"/>
      <c r="AE1696" s="34"/>
      <c r="AF1696" s="34"/>
      <c r="AG1696" s="34"/>
      <c r="AH1696" s="34"/>
      <c r="AI1696" s="52"/>
      <c r="AJ1696" s="52"/>
      <c r="AL1696" s="34"/>
      <c r="AM1696" s="34"/>
      <c r="AN1696" s="34"/>
      <c r="AO1696" s="54"/>
      <c r="AP1696" s="34"/>
      <c r="AQ1696" s="34"/>
      <c r="AR1696" s="54"/>
      <c r="AS1696" s="54"/>
      <c r="AT1696" s="54"/>
      <c r="AU1696" s="54"/>
      <c r="AV1696" s="34"/>
      <c r="AW1696" s="34"/>
      <c r="AX1696" s="34"/>
      <c r="AY1696" s="34"/>
      <c r="AZ1696" s="34"/>
      <c r="BA1696" s="44"/>
      <c r="BB1696" s="34"/>
      <c r="BC1696" s="34"/>
    </row>
    <row r="1697" spans="1:55" x14ac:dyDescent="0.35" ht="15.0" customHeight="true">
      <c r="A1697" s="51"/>
      <c r="B1697" s="34"/>
      <c r="C1697" s="34"/>
      <c r="D1697" s="34"/>
      <c r="E1697" s="34"/>
      <c r="F1697" s="34"/>
      <c r="G1697" s="44"/>
      <c r="H1697" s="34"/>
      <c r="I1697" s="54"/>
      <c r="J1697" s="34"/>
      <c r="K1697" s="54"/>
      <c r="L1697" s="34"/>
      <c r="M1697" s="44"/>
      <c r="N1697" s="44"/>
      <c r="O1697" s="34"/>
      <c r="P1697" s="34"/>
      <c r="Q1697" s="34"/>
      <c r="R1697" s="34"/>
      <c r="V1697" s="44"/>
      <c r="X1697" s="95"/>
      <c r="Y1697" s="54"/>
      <c r="Z1697" s="54"/>
      <c r="AA1697" s="34"/>
      <c r="AB1697" s="34"/>
      <c r="AC1697" s="34"/>
      <c r="AD1697" s="34"/>
      <c r="AE1697" s="34"/>
      <c r="AF1697" s="34"/>
      <c r="AG1697" s="34"/>
      <c r="AH1697" s="34"/>
      <c r="AI1697" s="52"/>
      <c r="AJ1697" s="52"/>
      <c r="AL1697" s="34"/>
      <c r="AM1697" s="34"/>
      <c r="AN1697" s="34"/>
      <c r="AO1697" s="54"/>
      <c r="AP1697" s="34"/>
      <c r="AQ1697" s="34"/>
      <c r="AR1697" s="54"/>
      <c r="AS1697" s="54"/>
      <c r="AT1697" s="54"/>
      <c r="AU1697" s="54"/>
      <c r="AV1697" s="34"/>
      <c r="AW1697" s="34"/>
      <c r="AX1697" s="34"/>
      <c r="AY1697" s="34"/>
      <c r="AZ1697" s="34"/>
      <c r="BA1697" s="44"/>
      <c r="BB1697" s="34"/>
      <c r="BC1697" s="34"/>
    </row>
    <row r="1698" spans="1:55" x14ac:dyDescent="0.35" ht="15.0" customHeight="true">
      <c r="A1698" s="51"/>
      <c r="B1698" s="34"/>
      <c r="C1698" s="34"/>
      <c r="D1698" s="34"/>
      <c r="E1698" s="34"/>
      <c r="F1698" s="34"/>
      <c r="G1698" s="44"/>
      <c r="H1698" s="34"/>
      <c r="I1698" s="54"/>
      <c r="J1698" s="34"/>
      <c r="K1698" s="54"/>
      <c r="L1698" s="34"/>
      <c r="M1698" s="44"/>
      <c r="N1698" s="44"/>
      <c r="O1698" s="34"/>
      <c r="P1698" s="34"/>
      <c r="Q1698" s="34"/>
      <c r="R1698" s="34"/>
      <c r="V1698" s="44"/>
      <c r="X1698" s="95"/>
      <c r="Y1698" s="54"/>
      <c r="Z1698" s="54"/>
      <c r="AA1698" s="34"/>
      <c r="AB1698" s="34"/>
      <c r="AC1698" s="34"/>
      <c r="AD1698" s="34"/>
      <c r="AE1698" s="34"/>
      <c r="AF1698" s="34"/>
      <c r="AG1698" s="34"/>
      <c r="AH1698" s="34"/>
      <c r="AI1698" s="52"/>
      <c r="AJ1698" s="52"/>
      <c r="AL1698" s="34"/>
      <c r="AM1698" s="34"/>
      <c r="AN1698" s="34"/>
      <c r="AO1698" s="54"/>
      <c r="AP1698" s="34"/>
      <c r="AQ1698" s="34"/>
      <c r="AR1698" s="54"/>
      <c r="AS1698" s="54"/>
      <c r="AT1698" s="54"/>
      <c r="AU1698" s="54"/>
      <c r="AV1698" s="34"/>
      <c r="AW1698" s="34"/>
      <c r="AX1698" s="34"/>
      <c r="AY1698" s="34"/>
      <c r="AZ1698" s="34"/>
      <c r="BA1698" s="44"/>
      <c r="BB1698" s="34"/>
      <c r="BC1698" s="34"/>
    </row>
    <row r="1699" spans="1:55" x14ac:dyDescent="0.35" ht="15.0" customHeight="true">
      <c r="A1699" s="51"/>
      <c r="B1699" s="34"/>
      <c r="C1699" s="34"/>
      <c r="D1699" s="34"/>
      <c r="E1699" s="34"/>
      <c r="F1699" s="34"/>
      <c r="G1699" s="44"/>
      <c r="H1699" s="34"/>
      <c r="I1699" s="54"/>
      <c r="J1699" s="34"/>
      <c r="K1699" s="54"/>
      <c r="L1699" s="34"/>
      <c r="M1699" s="44"/>
      <c r="N1699" s="44"/>
      <c r="O1699" s="34"/>
      <c r="P1699" s="34"/>
      <c r="Q1699" s="34"/>
      <c r="R1699" s="34"/>
      <c r="V1699" s="44"/>
      <c r="X1699" s="95"/>
      <c r="Y1699" s="54"/>
      <c r="Z1699" s="54"/>
      <c r="AA1699" s="34"/>
      <c r="AB1699" s="34"/>
      <c r="AC1699" s="34"/>
      <c r="AD1699" s="34"/>
      <c r="AE1699" s="34"/>
      <c r="AF1699" s="34"/>
      <c r="AG1699" s="34"/>
      <c r="AH1699" s="34"/>
      <c r="AI1699" s="52"/>
      <c r="AJ1699" s="52"/>
      <c r="AL1699" s="34"/>
      <c r="AM1699" s="34"/>
      <c r="AN1699" s="34"/>
      <c r="AO1699" s="54"/>
      <c r="AP1699" s="34"/>
      <c r="AQ1699" s="34"/>
      <c r="AR1699" s="54"/>
      <c r="AS1699" s="54"/>
      <c r="AT1699" s="54"/>
      <c r="AU1699" s="54"/>
      <c r="AV1699" s="34"/>
      <c r="AW1699" s="34"/>
      <c r="AX1699" s="34"/>
      <c r="AY1699" s="34"/>
      <c r="AZ1699" s="34"/>
      <c r="BA1699" s="44"/>
      <c r="BB1699" s="34"/>
      <c r="BC1699" s="34"/>
    </row>
    <row r="1700" spans="1:55" x14ac:dyDescent="0.35" ht="15.0" customHeight="true">
      <c r="A1700" s="51"/>
      <c r="B1700" s="34"/>
      <c r="C1700" s="34"/>
      <c r="D1700" s="34"/>
      <c r="E1700" s="34"/>
      <c r="F1700" s="34"/>
      <c r="G1700" s="44"/>
      <c r="H1700" s="34"/>
      <c r="I1700" s="54"/>
      <c r="J1700" s="34"/>
      <c r="K1700" s="54"/>
      <c r="L1700" s="34"/>
      <c r="M1700" s="44"/>
      <c r="N1700" s="44"/>
      <c r="O1700" s="34"/>
      <c r="P1700" s="34"/>
      <c r="Q1700" s="34"/>
      <c r="R1700" s="34"/>
      <c r="V1700" s="44"/>
      <c r="X1700" s="95"/>
      <c r="Y1700" s="54"/>
      <c r="Z1700" s="54"/>
      <c r="AA1700" s="34"/>
      <c r="AB1700" s="34"/>
      <c r="AC1700" s="34"/>
      <c r="AD1700" s="34"/>
      <c r="AE1700" s="34"/>
      <c r="AF1700" s="34"/>
      <c r="AG1700" s="34"/>
      <c r="AH1700" s="34"/>
      <c r="AI1700" s="52"/>
      <c r="AJ1700" s="52"/>
      <c r="AL1700" s="34"/>
      <c r="AM1700" s="34"/>
      <c r="AN1700" s="34"/>
      <c r="AO1700" s="54"/>
      <c r="AP1700" s="34"/>
      <c r="AQ1700" s="34"/>
      <c r="AR1700" s="54"/>
      <c r="AS1700" s="54"/>
      <c r="AT1700" s="54"/>
      <c r="AU1700" s="54"/>
      <c r="AV1700" s="34"/>
      <c r="AW1700" s="34"/>
      <c r="AX1700" s="34"/>
      <c r="AY1700" s="34"/>
      <c r="AZ1700" s="34"/>
      <c r="BA1700" s="44"/>
      <c r="BB1700" s="34"/>
      <c r="BC1700" s="34"/>
    </row>
    <row r="1701" spans="1:55" x14ac:dyDescent="0.35" ht="15.0" customHeight="true">
      <c r="A1701" s="51"/>
      <c r="B1701" s="34"/>
      <c r="C1701" s="34"/>
      <c r="D1701" s="34"/>
      <c r="E1701" s="34"/>
      <c r="F1701" s="34"/>
      <c r="G1701" s="44"/>
      <c r="H1701" s="34"/>
      <c r="I1701" s="54"/>
      <c r="J1701" s="34"/>
      <c r="K1701" s="54"/>
      <c r="L1701" s="34"/>
      <c r="M1701" s="44"/>
      <c r="N1701" s="44"/>
      <c r="O1701" s="34"/>
      <c r="P1701" s="34"/>
      <c r="Q1701" s="34"/>
      <c r="R1701" s="34"/>
      <c r="V1701" s="44"/>
      <c r="X1701" s="95"/>
      <c r="Y1701" s="54"/>
      <c r="Z1701" s="54"/>
      <c r="AA1701" s="34"/>
      <c r="AB1701" s="34"/>
      <c r="AC1701" s="34"/>
      <c r="AD1701" s="34"/>
      <c r="AE1701" s="34"/>
      <c r="AF1701" s="34"/>
      <c r="AG1701" s="34"/>
      <c r="AH1701" s="34"/>
      <c r="AI1701" s="52"/>
      <c r="AJ1701" s="52"/>
      <c r="AL1701" s="34"/>
      <c r="AM1701" s="34"/>
      <c r="AN1701" s="34"/>
      <c r="AO1701" s="54"/>
      <c r="AP1701" s="34"/>
      <c r="AQ1701" s="34"/>
      <c r="AR1701" s="54"/>
      <c r="AS1701" s="54"/>
      <c r="AT1701" s="54"/>
      <c r="AU1701" s="54"/>
      <c r="AV1701" s="34"/>
      <c r="AW1701" s="34"/>
      <c r="AX1701" s="34"/>
      <c r="AY1701" s="34"/>
      <c r="AZ1701" s="34"/>
      <c r="BA1701" s="44"/>
      <c r="BB1701" s="34"/>
      <c r="BC1701" s="34"/>
    </row>
    <row r="1702" spans="1:55" x14ac:dyDescent="0.35" ht="15.0" customHeight="true">
      <c r="A1702" s="51"/>
      <c r="B1702" s="34"/>
      <c r="C1702" s="34"/>
      <c r="D1702" s="34"/>
      <c r="E1702" s="34"/>
      <c r="F1702" s="34"/>
      <c r="G1702" s="44"/>
      <c r="H1702" s="34"/>
      <c r="I1702" s="54"/>
      <c r="J1702" s="34"/>
      <c r="K1702" s="54"/>
      <c r="L1702" s="34"/>
      <c r="M1702" s="44"/>
      <c r="N1702" s="44"/>
      <c r="O1702" s="34"/>
      <c r="P1702" s="34"/>
      <c r="Q1702" s="34"/>
      <c r="R1702" s="34"/>
      <c r="V1702" s="44"/>
      <c r="X1702" s="95"/>
      <c r="Y1702" s="54"/>
      <c r="Z1702" s="54"/>
      <c r="AA1702" s="34"/>
      <c r="AB1702" s="34"/>
      <c r="AC1702" s="34"/>
      <c r="AD1702" s="34"/>
      <c r="AE1702" s="34"/>
      <c r="AF1702" s="34"/>
      <c r="AG1702" s="34"/>
      <c r="AH1702" s="34"/>
      <c r="AI1702" s="52"/>
      <c r="AJ1702" s="52"/>
      <c r="AL1702" s="34"/>
      <c r="AM1702" s="34"/>
      <c r="AN1702" s="34"/>
      <c r="AO1702" s="54"/>
      <c r="AP1702" s="34"/>
      <c r="AQ1702" s="34"/>
      <c r="AR1702" s="54"/>
      <c r="AS1702" s="54"/>
      <c r="AT1702" s="54"/>
      <c r="AU1702" s="54"/>
      <c r="AV1702" s="34"/>
      <c r="AW1702" s="34"/>
      <c r="AX1702" s="34"/>
      <c r="AY1702" s="34"/>
      <c r="AZ1702" s="34"/>
      <c r="BA1702" s="44"/>
      <c r="BB1702" s="34"/>
      <c r="BC1702" s="34"/>
    </row>
    <row r="1703" spans="1:55" x14ac:dyDescent="0.35" ht="15.0" customHeight="true">
      <c r="A1703" s="51"/>
      <c r="B1703" s="34"/>
      <c r="C1703" s="34"/>
      <c r="D1703" s="34"/>
      <c r="E1703" s="34"/>
      <c r="F1703" s="34"/>
      <c r="G1703" s="44"/>
      <c r="H1703" s="34"/>
      <c r="I1703" s="54"/>
      <c r="J1703" s="34"/>
      <c r="K1703" s="54"/>
      <c r="L1703" s="34"/>
      <c r="M1703" s="44"/>
      <c r="N1703" s="44"/>
      <c r="O1703" s="34"/>
      <c r="P1703" s="34"/>
      <c r="Q1703" s="34"/>
      <c r="R1703" s="34"/>
      <c r="V1703" s="44"/>
      <c r="X1703" s="95"/>
      <c r="Y1703" s="54"/>
      <c r="Z1703" s="54"/>
      <c r="AA1703" s="34"/>
      <c r="AB1703" s="34"/>
      <c r="AC1703" s="34"/>
      <c r="AD1703" s="34"/>
      <c r="AE1703" s="34"/>
      <c r="AF1703" s="34"/>
      <c r="AG1703" s="34"/>
      <c r="AH1703" s="34"/>
      <c r="AI1703" s="52"/>
      <c r="AJ1703" s="52"/>
      <c r="AL1703" s="34"/>
      <c r="AM1703" s="34"/>
      <c r="AN1703" s="34"/>
      <c r="AO1703" s="54"/>
      <c r="AP1703" s="34"/>
      <c r="AQ1703" s="34"/>
      <c r="AR1703" s="54"/>
      <c r="AS1703" s="54"/>
      <c r="AT1703" s="54"/>
      <c r="AU1703" s="54"/>
      <c r="AV1703" s="34"/>
      <c r="AW1703" s="34"/>
      <c r="AX1703" s="34"/>
      <c r="AY1703" s="34"/>
      <c r="AZ1703" s="34"/>
      <c r="BA1703" s="44"/>
      <c r="BB1703" s="34"/>
      <c r="BC1703" s="34"/>
    </row>
    <row r="1704" spans="1:55" x14ac:dyDescent="0.35" ht="15.0" customHeight="true">
      <c r="A1704" s="51"/>
      <c r="B1704" s="34"/>
      <c r="C1704" s="34"/>
      <c r="D1704" s="34"/>
      <c r="E1704" s="34"/>
      <c r="F1704" s="34"/>
      <c r="G1704" s="44"/>
      <c r="H1704" s="34"/>
      <c r="I1704" s="54"/>
      <c r="J1704" s="34"/>
      <c r="K1704" s="54"/>
      <c r="L1704" s="34"/>
      <c r="M1704" s="44"/>
      <c r="N1704" s="44"/>
      <c r="O1704" s="34"/>
      <c r="P1704" s="34"/>
      <c r="Q1704" s="34"/>
      <c r="R1704" s="34"/>
      <c r="V1704" s="44"/>
      <c r="X1704" s="95"/>
      <c r="Y1704" s="54"/>
      <c r="Z1704" s="54"/>
      <c r="AA1704" s="34"/>
      <c r="AB1704" s="34"/>
      <c r="AC1704" s="34"/>
      <c r="AD1704" s="34"/>
      <c r="AE1704" s="34"/>
      <c r="AF1704" s="34"/>
      <c r="AG1704" s="34"/>
      <c r="AH1704" s="34"/>
      <c r="AI1704" s="52"/>
      <c r="AJ1704" s="52"/>
      <c r="AL1704" s="34"/>
      <c r="AM1704" s="34"/>
      <c r="AN1704" s="34"/>
      <c r="AO1704" s="54"/>
      <c r="AP1704" s="34"/>
      <c r="AQ1704" s="34"/>
      <c r="AR1704" s="54"/>
      <c r="AS1704" s="54"/>
      <c r="AT1704" s="54"/>
      <c r="AU1704" s="54"/>
      <c r="AV1704" s="34"/>
      <c r="AW1704" s="34"/>
      <c r="AX1704" s="34"/>
      <c r="AY1704" s="34"/>
      <c r="AZ1704" s="34"/>
      <c r="BA1704" s="44"/>
      <c r="BB1704" s="34"/>
      <c r="BC1704" s="34"/>
    </row>
    <row r="1705" spans="1:55" x14ac:dyDescent="0.35" ht="15.0" customHeight="true">
      <c r="A1705" s="51"/>
      <c r="B1705" s="34"/>
      <c r="C1705" s="34"/>
      <c r="D1705" s="34"/>
      <c r="E1705" s="34"/>
      <c r="F1705" s="34"/>
      <c r="G1705" s="44"/>
      <c r="H1705" s="34"/>
      <c r="I1705" s="54"/>
      <c r="J1705" s="34"/>
      <c r="K1705" s="54"/>
      <c r="L1705" s="34"/>
      <c r="M1705" s="44"/>
      <c r="N1705" s="44"/>
      <c r="O1705" s="34"/>
      <c r="P1705" s="34"/>
      <c r="Q1705" s="34"/>
      <c r="R1705" s="34"/>
      <c r="V1705" s="44"/>
      <c r="X1705" s="95"/>
      <c r="Y1705" s="54"/>
      <c r="Z1705" s="54"/>
      <c r="AA1705" s="34"/>
      <c r="AB1705" s="34"/>
      <c r="AC1705" s="34"/>
      <c r="AD1705" s="34"/>
      <c r="AE1705" s="34"/>
      <c r="AF1705" s="34"/>
      <c r="AG1705" s="34"/>
      <c r="AH1705" s="34"/>
      <c r="AI1705" s="52"/>
      <c r="AJ1705" s="52"/>
      <c r="AL1705" s="34"/>
      <c r="AM1705" s="34"/>
      <c r="AN1705" s="34"/>
      <c r="AO1705" s="54"/>
      <c r="AP1705" s="34"/>
      <c r="AQ1705" s="34"/>
      <c r="AR1705" s="54"/>
      <c r="AS1705" s="54"/>
      <c r="AT1705" s="54"/>
      <c r="AU1705" s="54"/>
      <c r="AV1705" s="34"/>
      <c r="AW1705" s="34"/>
      <c r="AX1705" s="34"/>
      <c r="AY1705" s="34"/>
      <c r="AZ1705" s="34"/>
      <c r="BA1705" s="44"/>
      <c r="BB1705" s="34"/>
      <c r="BC1705" s="34"/>
    </row>
    <row r="1706" spans="1:55" x14ac:dyDescent="0.35" ht="15.0" customHeight="true">
      <c r="A1706" s="51"/>
      <c r="B1706" s="34"/>
      <c r="C1706" s="34"/>
      <c r="D1706" s="34"/>
      <c r="E1706" s="34"/>
      <c r="F1706" s="34"/>
      <c r="G1706" s="44"/>
      <c r="H1706" s="34"/>
      <c r="I1706" s="54"/>
      <c r="J1706" s="34"/>
      <c r="K1706" s="54"/>
      <c r="L1706" s="34"/>
      <c r="M1706" s="44"/>
      <c r="N1706" s="44"/>
      <c r="O1706" s="34"/>
      <c r="P1706" s="34"/>
      <c r="Q1706" s="34"/>
      <c r="R1706" s="34"/>
      <c r="V1706" s="44"/>
      <c r="X1706" s="95"/>
      <c r="Y1706" s="54"/>
      <c r="Z1706" s="54"/>
      <c r="AA1706" s="34"/>
      <c r="AB1706" s="34"/>
      <c r="AC1706" s="34"/>
      <c r="AD1706" s="34"/>
      <c r="AE1706" s="34"/>
      <c r="AF1706" s="34"/>
      <c r="AG1706" s="34"/>
      <c r="AH1706" s="34"/>
      <c r="AI1706" s="52"/>
      <c r="AJ1706" s="52"/>
      <c r="AL1706" s="34"/>
      <c r="AM1706" s="34"/>
      <c r="AN1706" s="34"/>
      <c r="AO1706" s="54"/>
      <c r="AP1706" s="34"/>
      <c r="AQ1706" s="34"/>
      <c r="AR1706" s="54"/>
      <c r="AS1706" s="54"/>
      <c r="AT1706" s="54"/>
      <c r="AU1706" s="54"/>
      <c r="AV1706" s="34"/>
      <c r="AW1706" s="34"/>
      <c r="AX1706" s="34"/>
      <c r="AY1706" s="34"/>
      <c r="AZ1706" s="34"/>
      <c r="BA1706" s="44"/>
      <c r="BB1706" s="34"/>
      <c r="BC1706" s="34"/>
    </row>
    <row r="1707" spans="1:55" x14ac:dyDescent="0.35" ht="15.0" customHeight="true">
      <c r="A1707" s="51"/>
      <c r="B1707" s="34"/>
      <c r="C1707" s="34"/>
      <c r="D1707" s="34"/>
      <c r="E1707" s="34"/>
      <c r="F1707" s="34"/>
      <c r="G1707" s="44"/>
      <c r="H1707" s="34"/>
      <c r="I1707" s="54"/>
      <c r="J1707" s="34"/>
      <c r="K1707" s="54"/>
      <c r="L1707" s="34"/>
      <c r="M1707" s="44"/>
      <c r="N1707" s="44"/>
      <c r="O1707" s="34"/>
      <c r="P1707" s="34"/>
      <c r="Q1707" s="34"/>
      <c r="R1707" s="34"/>
      <c r="V1707" s="44"/>
      <c r="X1707" s="95"/>
      <c r="Y1707" s="54"/>
      <c r="Z1707" s="54"/>
      <c r="AA1707" s="34"/>
      <c r="AB1707" s="34"/>
      <c r="AC1707" s="34"/>
      <c r="AD1707" s="34"/>
      <c r="AE1707" s="34"/>
      <c r="AF1707" s="34"/>
      <c r="AG1707" s="34"/>
      <c r="AH1707" s="34"/>
      <c r="AI1707" s="52"/>
      <c r="AJ1707" s="52"/>
      <c r="AL1707" s="34"/>
      <c r="AM1707" s="34"/>
      <c r="AN1707" s="34"/>
      <c r="AO1707" s="54"/>
      <c r="AP1707" s="34"/>
      <c r="AQ1707" s="34"/>
      <c r="AR1707" s="54"/>
      <c r="AS1707" s="54"/>
      <c r="AT1707" s="54"/>
      <c r="AU1707" s="54"/>
      <c r="AV1707" s="34"/>
      <c r="AW1707" s="34"/>
      <c r="AX1707" s="34"/>
      <c r="AY1707" s="34"/>
      <c r="AZ1707" s="34"/>
      <c r="BA1707" s="44"/>
      <c r="BB1707" s="34"/>
      <c r="BC1707" s="34"/>
    </row>
    <row r="1708" spans="1:55" x14ac:dyDescent="0.35" ht="15.0" customHeight="true">
      <c r="A1708" s="51"/>
      <c r="B1708" s="34"/>
      <c r="C1708" s="34"/>
      <c r="D1708" s="34"/>
      <c r="E1708" s="34"/>
      <c r="F1708" s="34"/>
      <c r="G1708" s="44"/>
      <c r="H1708" s="34"/>
      <c r="I1708" s="54"/>
      <c r="J1708" s="34"/>
      <c r="K1708" s="54"/>
      <c r="L1708" s="34"/>
      <c r="M1708" s="44"/>
      <c r="N1708" s="44"/>
      <c r="O1708" s="34"/>
      <c r="P1708" s="34"/>
      <c r="Q1708" s="34"/>
      <c r="R1708" s="34"/>
      <c r="V1708" s="44"/>
      <c r="X1708" s="95"/>
      <c r="Y1708" s="54"/>
      <c r="Z1708" s="54"/>
      <c r="AA1708" s="34"/>
      <c r="AB1708" s="34"/>
      <c r="AC1708" s="34"/>
      <c r="AD1708" s="34"/>
      <c r="AE1708" s="34"/>
      <c r="AF1708" s="34"/>
      <c r="AG1708" s="34"/>
      <c r="AH1708" s="34"/>
      <c r="AI1708" s="52"/>
      <c r="AJ1708" s="52"/>
      <c r="AL1708" s="34"/>
      <c r="AM1708" s="34"/>
      <c r="AN1708" s="34"/>
      <c r="AO1708" s="54"/>
      <c r="AP1708" s="34"/>
      <c r="AQ1708" s="34"/>
      <c r="AR1708" s="54"/>
      <c r="AS1708" s="54"/>
      <c r="AT1708" s="54"/>
      <c r="AU1708" s="54"/>
      <c r="AV1708" s="34"/>
      <c r="AW1708" s="34"/>
      <c r="AX1708" s="34"/>
      <c r="AY1708" s="34"/>
      <c r="AZ1708" s="34"/>
      <c r="BA1708" s="44"/>
      <c r="BB1708" s="34"/>
      <c r="BC1708" s="34"/>
    </row>
    <row r="1709" spans="1:55" x14ac:dyDescent="0.35" ht="15.0" customHeight="true">
      <c r="A1709" s="51"/>
      <c r="B1709" s="34"/>
      <c r="C1709" s="34"/>
      <c r="D1709" s="34"/>
      <c r="E1709" s="34"/>
      <c r="F1709" s="34"/>
      <c r="G1709" s="44"/>
      <c r="H1709" s="34"/>
      <c r="I1709" s="54"/>
      <c r="J1709" s="34"/>
      <c r="K1709" s="54"/>
      <c r="L1709" s="34"/>
      <c r="M1709" s="44"/>
      <c r="N1709" s="44"/>
      <c r="O1709" s="34"/>
      <c r="P1709" s="34"/>
      <c r="Q1709" s="34"/>
      <c r="R1709" s="34"/>
      <c r="V1709" s="44"/>
      <c r="X1709" s="95"/>
      <c r="Y1709" s="54"/>
      <c r="Z1709" s="54"/>
      <c r="AA1709" s="34"/>
      <c r="AB1709" s="34"/>
      <c r="AC1709" s="34"/>
      <c r="AD1709" s="34"/>
      <c r="AE1709" s="34"/>
      <c r="AF1709" s="34"/>
      <c r="AG1709" s="34"/>
      <c r="AH1709" s="34"/>
      <c r="AI1709" s="52"/>
      <c r="AJ1709" s="52"/>
      <c r="AL1709" s="34"/>
      <c r="AM1709" s="34"/>
      <c r="AN1709" s="34"/>
      <c r="AO1709" s="54"/>
      <c r="AP1709" s="34"/>
      <c r="AQ1709" s="34"/>
      <c r="AR1709" s="54"/>
      <c r="AS1709" s="54"/>
      <c r="AT1709" s="54"/>
      <c r="AU1709" s="54"/>
      <c r="AV1709" s="34"/>
      <c r="AW1709" s="34"/>
      <c r="AX1709" s="34"/>
      <c r="AY1709" s="34"/>
      <c r="AZ1709" s="34"/>
      <c r="BA1709" s="44"/>
      <c r="BB1709" s="34"/>
      <c r="BC1709" s="34"/>
    </row>
    <row r="1710" spans="1:55" x14ac:dyDescent="0.35" ht="15.0" customHeight="true">
      <c r="A1710" s="51"/>
      <c r="B1710" s="34"/>
      <c r="C1710" s="34"/>
      <c r="D1710" s="34"/>
      <c r="E1710" s="34"/>
      <c r="F1710" s="34"/>
      <c r="G1710" s="44"/>
      <c r="H1710" s="34"/>
      <c r="I1710" s="54"/>
      <c r="J1710" s="34"/>
      <c r="K1710" s="54"/>
      <c r="L1710" s="34"/>
      <c r="M1710" s="44"/>
      <c r="N1710" s="44"/>
      <c r="O1710" s="34"/>
      <c r="P1710" s="34"/>
      <c r="Q1710" s="34"/>
      <c r="R1710" s="34"/>
      <c r="V1710" s="44"/>
      <c r="X1710" s="95"/>
      <c r="Y1710" s="54"/>
      <c r="Z1710" s="54"/>
      <c r="AA1710" s="34"/>
      <c r="AB1710" s="34"/>
      <c r="AC1710" s="34"/>
      <c r="AD1710" s="34"/>
      <c r="AE1710" s="34"/>
      <c r="AF1710" s="34"/>
      <c r="AG1710" s="34"/>
      <c r="AH1710" s="34"/>
      <c r="AI1710" s="52"/>
      <c r="AJ1710" s="52"/>
      <c r="AL1710" s="34"/>
      <c r="AM1710" s="34"/>
      <c r="AN1710" s="34"/>
      <c r="AO1710" s="54"/>
      <c r="AP1710" s="34"/>
      <c r="AQ1710" s="34"/>
      <c r="AR1710" s="54"/>
      <c r="AS1710" s="54"/>
      <c r="AT1710" s="54"/>
      <c r="AU1710" s="54"/>
      <c r="AV1710" s="34"/>
      <c r="AW1710" s="34"/>
      <c r="AX1710" s="34"/>
      <c r="AY1710" s="34"/>
      <c r="AZ1710" s="34"/>
      <c r="BA1710" s="44"/>
      <c r="BB1710" s="34"/>
      <c r="BC1710" s="34"/>
    </row>
    <row r="1711" spans="1:55" x14ac:dyDescent="0.35" ht="15.0" customHeight="true">
      <c r="A1711" s="51"/>
      <c r="B1711" s="34"/>
      <c r="C1711" s="34"/>
      <c r="D1711" s="34"/>
      <c r="E1711" s="34"/>
      <c r="F1711" s="34"/>
      <c r="G1711" s="44"/>
      <c r="H1711" s="34"/>
      <c r="I1711" s="54"/>
      <c r="J1711" s="34"/>
      <c r="K1711" s="54"/>
      <c r="L1711" s="34"/>
      <c r="M1711" s="44"/>
      <c r="N1711" s="44"/>
      <c r="O1711" s="34"/>
      <c r="P1711" s="34"/>
      <c r="Q1711" s="34"/>
      <c r="R1711" s="34"/>
      <c r="V1711" s="44"/>
      <c r="X1711" s="95"/>
      <c r="Y1711" s="54"/>
      <c r="Z1711" s="54"/>
      <c r="AA1711" s="34"/>
      <c r="AB1711" s="34"/>
      <c r="AC1711" s="34"/>
      <c r="AD1711" s="34"/>
      <c r="AE1711" s="34"/>
      <c r="AF1711" s="34"/>
      <c r="AG1711" s="34"/>
      <c r="AH1711" s="34"/>
      <c r="AI1711" s="52"/>
      <c r="AJ1711" s="52"/>
      <c r="AL1711" s="34"/>
      <c r="AM1711" s="34"/>
      <c r="AN1711" s="34"/>
      <c r="AO1711" s="54"/>
      <c r="AP1711" s="34"/>
      <c r="AQ1711" s="34"/>
      <c r="AR1711" s="54"/>
      <c r="AS1711" s="54"/>
      <c r="AT1711" s="54"/>
      <c r="AU1711" s="54"/>
      <c r="AV1711" s="34"/>
      <c r="AW1711" s="34"/>
      <c r="AX1711" s="34"/>
      <c r="AY1711" s="34"/>
      <c r="AZ1711" s="34"/>
      <c r="BA1711" s="44"/>
      <c r="BB1711" s="34"/>
      <c r="BC1711" s="34"/>
    </row>
    <row r="1712" spans="1:55" x14ac:dyDescent="0.35" ht="15.0" customHeight="true">
      <c r="A1712" s="51"/>
      <c r="B1712" s="34"/>
      <c r="C1712" s="34"/>
      <c r="D1712" s="34"/>
      <c r="E1712" s="34"/>
      <c r="F1712" s="34"/>
      <c r="G1712" s="44"/>
      <c r="H1712" s="34"/>
      <c r="I1712" s="54"/>
      <c r="J1712" s="34"/>
      <c r="K1712" s="54"/>
      <c r="L1712" s="34"/>
      <c r="M1712" s="44"/>
      <c r="N1712" s="44"/>
      <c r="O1712" s="34"/>
      <c r="P1712" s="34"/>
      <c r="Q1712" s="34"/>
      <c r="R1712" s="34"/>
      <c r="V1712" s="44"/>
      <c r="X1712" s="95"/>
      <c r="Y1712" s="54"/>
      <c r="Z1712" s="54"/>
      <c r="AA1712" s="34"/>
      <c r="AB1712" s="34"/>
      <c r="AC1712" s="34"/>
      <c r="AD1712" s="34"/>
      <c r="AE1712" s="34"/>
      <c r="AF1712" s="34"/>
      <c r="AG1712" s="34"/>
      <c r="AH1712" s="34"/>
      <c r="AI1712" s="52"/>
      <c r="AJ1712" s="52"/>
      <c r="AL1712" s="34"/>
      <c r="AM1712" s="34"/>
      <c r="AN1712" s="34"/>
      <c r="AO1712" s="54"/>
      <c r="AP1712" s="34"/>
      <c r="AQ1712" s="34"/>
      <c r="AR1712" s="54"/>
      <c r="AS1712" s="54"/>
      <c r="AT1712" s="54"/>
      <c r="AU1712" s="54"/>
      <c r="AV1712" s="34"/>
      <c r="AW1712" s="34"/>
      <c r="AX1712" s="34"/>
      <c r="AY1712" s="34"/>
      <c r="AZ1712" s="34"/>
      <c r="BA1712" s="44"/>
      <c r="BB1712" s="34"/>
      <c r="BC1712" s="34"/>
    </row>
    <row r="1713" spans="1:55" x14ac:dyDescent="0.35" ht="15.0" customHeight="true">
      <c r="A1713" s="51"/>
      <c r="B1713" s="34"/>
      <c r="C1713" s="34"/>
      <c r="D1713" s="34"/>
      <c r="E1713" s="34"/>
      <c r="F1713" s="34"/>
      <c r="G1713" s="44"/>
      <c r="H1713" s="34"/>
      <c r="I1713" s="54"/>
      <c r="J1713" s="34"/>
      <c r="K1713" s="54"/>
      <c r="L1713" s="34"/>
      <c r="M1713" s="44"/>
      <c r="N1713" s="44"/>
      <c r="O1713" s="34"/>
      <c r="P1713" s="34"/>
      <c r="Q1713" s="34"/>
      <c r="R1713" s="34"/>
      <c r="V1713" s="44"/>
      <c r="X1713" s="95"/>
      <c r="Y1713" s="54"/>
      <c r="Z1713" s="54"/>
      <c r="AA1713" s="34"/>
      <c r="AB1713" s="34"/>
      <c r="AC1713" s="34"/>
      <c r="AD1713" s="34"/>
      <c r="AE1713" s="34"/>
      <c r="AF1713" s="34"/>
      <c r="AG1713" s="34"/>
      <c r="AH1713" s="34"/>
      <c r="AI1713" s="52"/>
      <c r="AJ1713" s="52"/>
      <c r="AL1713" s="34"/>
      <c r="AM1713" s="34"/>
      <c r="AN1713" s="34"/>
      <c r="AO1713" s="54"/>
      <c r="AP1713" s="34"/>
      <c r="AQ1713" s="34"/>
      <c r="AR1713" s="54"/>
      <c r="AS1713" s="54"/>
      <c r="AT1713" s="54"/>
      <c r="AU1713" s="54"/>
      <c r="AV1713" s="34"/>
      <c r="AW1713" s="34"/>
      <c r="AX1713" s="34"/>
      <c r="AY1713" s="34"/>
      <c r="AZ1713" s="34"/>
      <c r="BA1713" s="44"/>
      <c r="BB1713" s="34"/>
      <c r="BC1713" s="34"/>
    </row>
    <row r="1714" spans="1:55" x14ac:dyDescent="0.35" ht="15.0" customHeight="true">
      <c r="A1714" s="51"/>
      <c r="B1714" s="34"/>
      <c r="C1714" s="34"/>
      <c r="D1714" s="34"/>
      <c r="E1714" s="34"/>
      <c r="F1714" s="34"/>
      <c r="G1714" s="44"/>
      <c r="H1714" s="34"/>
      <c r="I1714" s="54"/>
      <c r="J1714" s="34"/>
      <c r="K1714" s="54"/>
      <c r="L1714" s="34"/>
      <c r="M1714" s="44"/>
      <c r="N1714" s="44"/>
      <c r="O1714" s="34"/>
      <c r="P1714" s="34"/>
      <c r="Q1714" s="34"/>
      <c r="R1714" s="34"/>
      <c r="V1714" s="44"/>
      <c r="X1714" s="95"/>
      <c r="Y1714" s="54"/>
      <c r="Z1714" s="54"/>
      <c r="AA1714" s="34"/>
      <c r="AB1714" s="34"/>
      <c r="AC1714" s="34"/>
      <c r="AD1714" s="34"/>
      <c r="AE1714" s="34"/>
      <c r="AF1714" s="34"/>
      <c r="AG1714" s="34"/>
      <c r="AH1714" s="34"/>
      <c r="AI1714" s="52"/>
      <c r="AJ1714" s="52"/>
      <c r="AL1714" s="34"/>
      <c r="AM1714" s="34"/>
      <c r="AN1714" s="34"/>
      <c r="AO1714" s="54"/>
      <c r="AP1714" s="34"/>
      <c r="AQ1714" s="34"/>
      <c r="AR1714" s="54"/>
      <c r="AS1714" s="54"/>
      <c r="AT1714" s="54"/>
      <c r="AU1714" s="54"/>
      <c r="AV1714" s="34"/>
      <c r="AW1714" s="34"/>
      <c r="AX1714" s="34"/>
      <c r="AY1714" s="34"/>
      <c r="AZ1714" s="34"/>
      <c r="BA1714" s="44"/>
      <c r="BB1714" s="34"/>
      <c r="BC1714" s="34"/>
    </row>
    <row r="1715" spans="1:55" x14ac:dyDescent="0.35" ht="15.0" customHeight="true">
      <c r="A1715" s="51"/>
      <c r="B1715" s="34"/>
      <c r="C1715" s="34"/>
      <c r="D1715" s="34"/>
      <c r="E1715" s="34"/>
      <c r="F1715" s="34"/>
      <c r="G1715" s="44"/>
      <c r="H1715" s="34"/>
      <c r="I1715" s="54"/>
      <c r="J1715" s="34"/>
      <c r="K1715" s="54"/>
      <c r="L1715" s="34"/>
      <c r="M1715" s="44"/>
      <c r="N1715" s="44"/>
      <c r="O1715" s="34"/>
      <c r="P1715" s="34"/>
      <c r="Q1715" s="34"/>
      <c r="R1715" s="34"/>
      <c r="V1715" s="44"/>
      <c r="X1715" s="95"/>
      <c r="Y1715" s="54"/>
      <c r="Z1715" s="54"/>
      <c r="AA1715" s="34"/>
      <c r="AB1715" s="34"/>
      <c r="AC1715" s="34"/>
      <c r="AD1715" s="34"/>
      <c r="AE1715" s="34"/>
      <c r="AF1715" s="34"/>
      <c r="AG1715" s="34"/>
      <c r="AH1715" s="34"/>
      <c r="AI1715" s="52"/>
      <c r="AJ1715" s="52"/>
      <c r="AL1715" s="34"/>
      <c r="AM1715" s="34"/>
      <c r="AN1715" s="34"/>
      <c r="AO1715" s="54"/>
      <c r="AP1715" s="34"/>
      <c r="AQ1715" s="34"/>
      <c r="AR1715" s="54"/>
      <c r="AS1715" s="54"/>
      <c r="AT1715" s="54"/>
      <c r="AU1715" s="54"/>
      <c r="AV1715" s="34"/>
      <c r="AW1715" s="34"/>
      <c r="AX1715" s="34"/>
      <c r="AY1715" s="34"/>
      <c r="AZ1715" s="34"/>
      <c r="BA1715" s="44"/>
      <c r="BB1715" s="34"/>
      <c r="BC1715" s="34"/>
    </row>
    <row r="1716" spans="1:55" x14ac:dyDescent="0.35" ht="15.0" customHeight="true">
      <c r="A1716" s="51"/>
      <c r="B1716" s="34"/>
      <c r="C1716" s="34"/>
      <c r="D1716" s="34"/>
      <c r="E1716" s="34"/>
      <c r="F1716" s="34"/>
      <c r="G1716" s="44"/>
      <c r="H1716" s="34"/>
      <c r="I1716" s="54"/>
      <c r="J1716" s="34"/>
      <c r="K1716" s="54"/>
      <c r="L1716" s="34"/>
      <c r="M1716" s="44"/>
      <c r="N1716" s="44"/>
      <c r="O1716" s="34"/>
      <c r="P1716" s="34"/>
      <c r="Q1716" s="34"/>
      <c r="R1716" s="34"/>
      <c r="V1716" s="44"/>
      <c r="X1716" s="95"/>
      <c r="Y1716" s="54"/>
      <c r="Z1716" s="54"/>
      <c r="AA1716" s="34"/>
      <c r="AB1716" s="34"/>
      <c r="AC1716" s="34"/>
      <c r="AD1716" s="34"/>
      <c r="AE1716" s="34"/>
      <c r="AF1716" s="34"/>
      <c r="AG1716" s="34"/>
      <c r="AH1716" s="34"/>
      <c r="AI1716" s="52"/>
      <c r="AJ1716" s="52"/>
      <c r="AL1716" s="34"/>
      <c r="AM1716" s="34"/>
      <c r="AN1716" s="34"/>
      <c r="AO1716" s="54"/>
      <c r="AP1716" s="34"/>
      <c r="AQ1716" s="34"/>
      <c r="AR1716" s="54"/>
      <c r="AS1716" s="54"/>
      <c r="AT1716" s="54"/>
      <c r="AU1716" s="54"/>
      <c r="AV1716" s="34"/>
      <c r="AW1716" s="34"/>
      <c r="AX1716" s="34"/>
      <c r="AY1716" s="34"/>
      <c r="AZ1716" s="34"/>
      <c r="BA1716" s="44"/>
      <c r="BB1716" s="34"/>
      <c r="BC1716" s="34"/>
    </row>
    <row r="1717" spans="1:55" x14ac:dyDescent="0.35" ht="15.0" customHeight="true">
      <c r="A1717" s="51"/>
      <c r="B1717" s="34"/>
      <c r="C1717" s="34"/>
      <c r="D1717" s="34"/>
      <c r="E1717" s="34"/>
      <c r="F1717" s="34"/>
      <c r="G1717" s="44"/>
      <c r="H1717" s="34"/>
      <c r="I1717" s="54"/>
      <c r="J1717" s="34"/>
      <c r="K1717" s="54"/>
      <c r="L1717" s="34"/>
      <c r="M1717" s="44"/>
      <c r="N1717" s="44"/>
      <c r="O1717" s="34"/>
      <c r="P1717" s="34"/>
      <c r="Q1717" s="34"/>
      <c r="R1717" s="34"/>
      <c r="V1717" s="44"/>
      <c r="X1717" s="95"/>
      <c r="Y1717" s="54"/>
      <c r="Z1717" s="54"/>
      <c r="AA1717" s="34"/>
      <c r="AB1717" s="34"/>
      <c r="AC1717" s="34"/>
      <c r="AD1717" s="34"/>
      <c r="AE1717" s="34"/>
      <c r="AF1717" s="34"/>
      <c r="AG1717" s="34"/>
      <c r="AH1717" s="34"/>
      <c r="AI1717" s="52"/>
      <c r="AJ1717" s="52"/>
      <c r="AL1717" s="34"/>
      <c r="AM1717" s="34"/>
      <c r="AN1717" s="34"/>
      <c r="AO1717" s="54"/>
      <c r="AP1717" s="34"/>
      <c r="AQ1717" s="34"/>
      <c r="AR1717" s="54"/>
      <c r="AS1717" s="54"/>
      <c r="AT1717" s="54"/>
      <c r="AU1717" s="54"/>
      <c r="AV1717" s="34"/>
      <c r="AW1717" s="34"/>
      <c r="AX1717" s="34"/>
      <c r="AY1717" s="34"/>
      <c r="AZ1717" s="34"/>
      <c r="BA1717" s="44"/>
      <c r="BB1717" s="34"/>
      <c r="BC1717" s="34"/>
    </row>
    <row r="1718" spans="1:55" x14ac:dyDescent="0.35" ht="15.0" customHeight="true">
      <c r="A1718" s="51"/>
      <c r="B1718" s="34"/>
      <c r="C1718" s="34"/>
      <c r="D1718" s="34"/>
      <c r="E1718" s="34"/>
      <c r="F1718" s="34"/>
      <c r="G1718" s="44"/>
      <c r="H1718" s="34"/>
      <c r="I1718" s="54"/>
      <c r="J1718" s="34"/>
      <c r="K1718" s="54"/>
      <c r="L1718" s="34"/>
      <c r="M1718" s="44"/>
      <c r="N1718" s="44"/>
      <c r="O1718" s="34"/>
      <c r="P1718" s="34"/>
      <c r="Q1718" s="34"/>
      <c r="R1718" s="34"/>
      <c r="V1718" s="44"/>
      <c r="X1718" s="95"/>
      <c r="Y1718" s="54"/>
      <c r="Z1718" s="54"/>
      <c r="AA1718" s="34"/>
      <c r="AB1718" s="34"/>
      <c r="AC1718" s="34"/>
      <c r="AD1718" s="34"/>
      <c r="AE1718" s="34"/>
      <c r="AF1718" s="34"/>
      <c r="AG1718" s="34"/>
      <c r="AH1718" s="34"/>
      <c r="AI1718" s="52"/>
      <c r="AJ1718" s="52"/>
      <c r="AL1718" s="34"/>
      <c r="AM1718" s="34"/>
      <c r="AN1718" s="34"/>
      <c r="AO1718" s="54"/>
      <c r="AP1718" s="34"/>
      <c r="AQ1718" s="34"/>
      <c r="AR1718" s="54"/>
      <c r="AS1718" s="54"/>
      <c r="AT1718" s="54"/>
      <c r="AU1718" s="54"/>
      <c r="AV1718" s="34"/>
      <c r="AW1718" s="34"/>
      <c r="AX1718" s="34"/>
      <c r="AY1718" s="34"/>
      <c r="AZ1718" s="34"/>
      <c r="BA1718" s="44"/>
      <c r="BB1718" s="34"/>
      <c r="BC1718" s="34"/>
    </row>
    <row r="1719" spans="1:55" x14ac:dyDescent="0.35" ht="15.0" customHeight="true">
      <c r="A1719" s="51"/>
      <c r="B1719" s="34"/>
      <c r="C1719" s="34"/>
      <c r="D1719" s="34"/>
      <c r="E1719" s="34"/>
      <c r="F1719" s="34"/>
      <c r="G1719" s="44"/>
      <c r="H1719" s="34"/>
      <c r="I1719" s="54"/>
      <c r="J1719" s="34"/>
      <c r="K1719" s="54"/>
      <c r="L1719" s="34"/>
      <c r="M1719" s="44"/>
      <c r="N1719" s="44"/>
      <c r="O1719" s="34"/>
      <c r="P1719" s="34"/>
      <c r="Q1719" s="34"/>
      <c r="R1719" s="34"/>
      <c r="V1719" s="44"/>
      <c r="X1719" s="95"/>
      <c r="Y1719" s="54"/>
      <c r="Z1719" s="54"/>
      <c r="AA1719" s="34"/>
      <c r="AB1719" s="34"/>
      <c r="AC1719" s="34"/>
      <c r="AD1719" s="34"/>
      <c r="AE1719" s="34"/>
      <c r="AF1719" s="34"/>
      <c r="AG1719" s="34"/>
      <c r="AH1719" s="34"/>
      <c r="AI1719" s="52"/>
      <c r="AJ1719" s="52"/>
      <c r="AL1719" s="34"/>
      <c r="AM1719" s="34"/>
      <c r="AN1719" s="34"/>
      <c r="AO1719" s="54"/>
      <c r="AP1719" s="34"/>
      <c r="AQ1719" s="34"/>
      <c r="AR1719" s="54"/>
      <c r="AS1719" s="54"/>
      <c r="AT1719" s="54"/>
      <c r="AU1719" s="54"/>
      <c r="AV1719" s="34"/>
      <c r="AW1719" s="34"/>
      <c r="AX1719" s="34"/>
      <c r="AY1719" s="34"/>
      <c r="AZ1719" s="34"/>
      <c r="BA1719" s="44"/>
      <c r="BB1719" s="34"/>
      <c r="BC1719" s="34"/>
    </row>
    <row r="1720" spans="1:55" x14ac:dyDescent="0.35" ht="15.0" customHeight="true">
      <c r="A1720" s="51"/>
      <c r="B1720" s="34"/>
      <c r="C1720" s="34"/>
      <c r="D1720" s="34"/>
      <c r="E1720" s="34"/>
      <c r="F1720" s="34"/>
      <c r="G1720" s="44"/>
      <c r="H1720" s="34"/>
      <c r="I1720" s="54"/>
      <c r="J1720" s="34"/>
      <c r="K1720" s="54"/>
      <c r="L1720" s="34"/>
      <c r="M1720" s="44"/>
      <c r="N1720" s="44"/>
      <c r="O1720" s="34"/>
      <c r="P1720" s="34"/>
      <c r="Q1720" s="34"/>
      <c r="R1720" s="34"/>
      <c r="V1720" s="44"/>
      <c r="X1720" s="95"/>
      <c r="Y1720" s="54"/>
      <c r="Z1720" s="54"/>
      <c r="AA1720" s="34"/>
      <c r="AB1720" s="34"/>
      <c r="AC1720" s="34"/>
      <c r="AD1720" s="34"/>
      <c r="AE1720" s="34"/>
      <c r="AF1720" s="34"/>
      <c r="AG1720" s="34"/>
      <c r="AH1720" s="34"/>
      <c r="AI1720" s="52"/>
      <c r="AJ1720" s="52"/>
      <c r="AL1720" s="34"/>
      <c r="AM1720" s="34"/>
      <c r="AN1720" s="34"/>
      <c r="AO1720" s="54"/>
      <c r="AP1720" s="34"/>
      <c r="AQ1720" s="34"/>
      <c r="AR1720" s="54"/>
      <c r="AS1720" s="54"/>
      <c r="AT1720" s="54"/>
      <c r="AU1720" s="54"/>
      <c r="AV1720" s="34"/>
      <c r="AW1720" s="34"/>
      <c r="AX1720" s="34"/>
      <c r="AY1720" s="34"/>
      <c r="AZ1720" s="34"/>
      <c r="BA1720" s="44"/>
      <c r="BB1720" s="34"/>
      <c r="BC1720" s="34"/>
    </row>
    <row r="1721" spans="1:55" x14ac:dyDescent="0.35" ht="15.0" customHeight="true">
      <c r="A1721" s="51"/>
      <c r="B1721" s="34"/>
      <c r="C1721" s="34"/>
      <c r="D1721" s="34"/>
      <c r="E1721" s="34"/>
      <c r="F1721" s="34"/>
      <c r="G1721" s="44"/>
      <c r="H1721" s="34"/>
      <c r="I1721" s="54"/>
      <c r="J1721" s="34"/>
      <c r="K1721" s="54"/>
      <c r="L1721" s="34"/>
      <c r="M1721" s="44"/>
      <c r="N1721" s="44"/>
      <c r="O1721" s="34"/>
      <c r="P1721" s="34"/>
      <c r="Q1721" s="34"/>
      <c r="R1721" s="34"/>
      <c r="V1721" s="44"/>
      <c r="X1721" s="95"/>
      <c r="Y1721" s="54"/>
      <c r="Z1721" s="54"/>
      <c r="AA1721" s="34"/>
      <c r="AB1721" s="34"/>
      <c r="AC1721" s="34"/>
      <c r="AD1721" s="34"/>
      <c r="AE1721" s="34"/>
      <c r="AF1721" s="34"/>
      <c r="AG1721" s="34"/>
      <c r="AH1721" s="34"/>
      <c r="AI1721" s="52"/>
      <c r="AJ1721" s="52"/>
      <c r="AL1721" s="34"/>
      <c r="AM1721" s="34"/>
      <c r="AN1721" s="34"/>
      <c r="AO1721" s="54"/>
      <c r="AP1721" s="34"/>
      <c r="AQ1721" s="34"/>
      <c r="AR1721" s="54"/>
      <c r="AS1721" s="54"/>
      <c r="AT1721" s="54"/>
      <c r="AU1721" s="54"/>
      <c r="AV1721" s="34"/>
      <c r="AW1721" s="34"/>
      <c r="AX1721" s="34"/>
      <c r="AY1721" s="34"/>
      <c r="AZ1721" s="34"/>
      <c r="BA1721" s="44"/>
      <c r="BB1721" s="34"/>
      <c r="BC1721" s="34"/>
    </row>
    <row r="1722" spans="1:55" x14ac:dyDescent="0.35" ht="15.0" customHeight="true">
      <c r="A1722" s="51"/>
      <c r="B1722" s="34"/>
      <c r="C1722" s="34"/>
      <c r="D1722" s="34"/>
      <c r="E1722" s="34"/>
      <c r="F1722" s="34"/>
      <c r="G1722" s="44"/>
      <c r="H1722" s="34"/>
      <c r="I1722" s="54"/>
      <c r="J1722" s="34"/>
      <c r="K1722" s="54"/>
      <c r="L1722" s="34"/>
      <c r="M1722" s="44"/>
      <c r="N1722" s="44"/>
      <c r="O1722" s="34"/>
      <c r="P1722" s="34"/>
      <c r="Q1722" s="34"/>
      <c r="R1722" s="34"/>
      <c r="V1722" s="44"/>
      <c r="X1722" s="95"/>
      <c r="Y1722" s="54"/>
      <c r="Z1722" s="54"/>
      <c r="AA1722" s="34"/>
      <c r="AB1722" s="34"/>
      <c r="AC1722" s="34"/>
      <c r="AD1722" s="34"/>
      <c r="AE1722" s="34"/>
      <c r="AF1722" s="34"/>
      <c r="AG1722" s="34"/>
      <c r="AH1722" s="34"/>
      <c r="AI1722" s="52"/>
      <c r="AJ1722" s="52"/>
      <c r="AL1722" s="34"/>
      <c r="AM1722" s="34"/>
      <c r="AN1722" s="34"/>
      <c r="AO1722" s="54"/>
      <c r="AP1722" s="34"/>
      <c r="AQ1722" s="34"/>
      <c r="AR1722" s="54"/>
      <c r="AS1722" s="54"/>
      <c r="AT1722" s="54"/>
      <c r="AU1722" s="54"/>
      <c r="AV1722" s="34"/>
      <c r="AW1722" s="34"/>
      <c r="AX1722" s="34"/>
      <c r="AY1722" s="34"/>
      <c r="AZ1722" s="34"/>
      <c r="BA1722" s="44"/>
      <c r="BB1722" s="34"/>
      <c r="BC1722" s="34"/>
    </row>
    <row r="1723" spans="1:55" x14ac:dyDescent="0.35" ht="15.0" customHeight="true">
      <c r="A1723" s="51"/>
      <c r="B1723" s="34"/>
      <c r="C1723" s="34"/>
      <c r="D1723" s="34"/>
      <c r="E1723" s="34"/>
      <c r="F1723" s="34"/>
      <c r="G1723" s="44"/>
      <c r="H1723" s="34"/>
      <c r="I1723" s="54"/>
      <c r="J1723" s="34"/>
      <c r="K1723" s="54"/>
      <c r="L1723" s="34"/>
      <c r="M1723" s="44"/>
      <c r="N1723" s="44"/>
      <c r="O1723" s="34"/>
      <c r="P1723" s="34"/>
      <c r="Q1723" s="34"/>
      <c r="R1723" s="34"/>
      <c r="V1723" s="44"/>
      <c r="X1723" s="95"/>
      <c r="Y1723" s="54"/>
      <c r="Z1723" s="54"/>
      <c r="AA1723" s="34"/>
      <c r="AB1723" s="34"/>
      <c r="AC1723" s="34"/>
      <c r="AD1723" s="34"/>
      <c r="AE1723" s="34"/>
      <c r="AF1723" s="34"/>
      <c r="AG1723" s="34"/>
      <c r="AH1723" s="34"/>
      <c r="AI1723" s="52"/>
      <c r="AJ1723" s="52"/>
      <c r="AL1723" s="34"/>
      <c r="AM1723" s="34"/>
      <c r="AN1723" s="34"/>
      <c r="AO1723" s="54"/>
      <c r="AP1723" s="34"/>
      <c r="AQ1723" s="34"/>
      <c r="AR1723" s="54"/>
      <c r="AS1723" s="54"/>
      <c r="AT1723" s="54"/>
      <c r="AU1723" s="54"/>
      <c r="AV1723" s="34"/>
      <c r="AW1723" s="34"/>
      <c r="AX1723" s="34"/>
      <c r="AY1723" s="34"/>
      <c r="AZ1723" s="34"/>
      <c r="BA1723" s="44"/>
      <c r="BB1723" s="34"/>
      <c r="BC1723" s="34"/>
    </row>
    <row r="1724" spans="1:55" x14ac:dyDescent="0.35" ht="15.0" customHeight="true">
      <c r="A1724" s="51"/>
      <c r="B1724" s="34"/>
      <c r="C1724" s="34"/>
      <c r="D1724" s="34"/>
      <c r="E1724" s="34"/>
      <c r="F1724" s="34"/>
      <c r="G1724" s="44"/>
      <c r="H1724" s="34"/>
      <c r="I1724" s="54"/>
      <c r="J1724" s="34"/>
      <c r="K1724" s="54"/>
      <c r="L1724" s="34"/>
      <c r="M1724" s="44"/>
      <c r="N1724" s="44"/>
      <c r="O1724" s="34"/>
      <c r="P1724" s="34"/>
      <c r="Q1724" s="34"/>
      <c r="R1724" s="34"/>
      <c r="V1724" s="44"/>
      <c r="X1724" s="95"/>
      <c r="Y1724" s="54"/>
      <c r="Z1724" s="54"/>
      <c r="AA1724" s="34"/>
      <c r="AB1724" s="34"/>
      <c r="AC1724" s="34"/>
      <c r="AD1724" s="34"/>
      <c r="AE1724" s="34"/>
      <c r="AF1724" s="34"/>
      <c r="AG1724" s="34"/>
      <c r="AH1724" s="34"/>
      <c r="AI1724" s="52"/>
      <c r="AJ1724" s="52"/>
      <c r="AL1724" s="34"/>
      <c r="AM1724" s="34"/>
      <c r="AN1724" s="34"/>
      <c r="AO1724" s="54"/>
      <c r="AP1724" s="34"/>
      <c r="AQ1724" s="34"/>
      <c r="AR1724" s="54"/>
      <c r="AS1724" s="54"/>
      <c r="AT1724" s="54"/>
      <c r="AU1724" s="54"/>
      <c r="AV1724" s="34"/>
      <c r="AW1724" s="34"/>
      <c r="AX1724" s="34"/>
      <c r="AY1724" s="34"/>
      <c r="AZ1724" s="34"/>
      <c r="BA1724" s="44"/>
      <c r="BB1724" s="34"/>
      <c r="BC1724" s="34"/>
    </row>
    <row r="1725" spans="1:55" x14ac:dyDescent="0.35" ht="15.0" customHeight="true">
      <c r="A1725" s="51"/>
      <c r="B1725" s="34"/>
      <c r="C1725" s="34"/>
      <c r="D1725" s="34"/>
      <c r="E1725" s="34"/>
      <c r="F1725" s="34"/>
      <c r="G1725" s="44"/>
      <c r="H1725" s="34"/>
      <c r="I1725" s="54"/>
      <c r="J1725" s="34"/>
      <c r="K1725" s="54"/>
      <c r="L1725" s="34"/>
      <c r="M1725" s="44"/>
      <c r="N1725" s="44"/>
      <c r="O1725" s="34"/>
      <c r="P1725" s="34"/>
      <c r="Q1725" s="34"/>
      <c r="R1725" s="34"/>
      <c r="V1725" s="44"/>
      <c r="X1725" s="95"/>
      <c r="Y1725" s="54"/>
      <c r="Z1725" s="54"/>
      <c r="AA1725" s="34"/>
      <c r="AB1725" s="34"/>
      <c r="AC1725" s="34"/>
      <c r="AD1725" s="34"/>
      <c r="AE1725" s="34"/>
      <c r="AF1725" s="34"/>
      <c r="AG1725" s="34"/>
      <c r="AH1725" s="34"/>
      <c r="AI1725" s="52"/>
      <c r="AJ1725" s="52"/>
      <c r="AL1725" s="34"/>
      <c r="AM1725" s="34"/>
      <c r="AN1725" s="34"/>
      <c r="AO1725" s="54"/>
      <c r="AP1725" s="34"/>
      <c r="AQ1725" s="34"/>
      <c r="AR1725" s="54"/>
      <c r="AS1725" s="54"/>
      <c r="AT1725" s="54"/>
      <c r="AU1725" s="54"/>
      <c r="AV1725" s="34"/>
      <c r="AW1725" s="34"/>
      <c r="AX1725" s="34"/>
      <c r="AY1725" s="34"/>
      <c r="AZ1725" s="34"/>
      <c r="BA1725" s="44"/>
      <c r="BB1725" s="34"/>
      <c r="BC1725" s="34"/>
    </row>
    <row r="1726" spans="1:55" x14ac:dyDescent="0.35" ht="15.0" customHeight="true">
      <c r="A1726" s="51"/>
      <c r="B1726" s="34"/>
      <c r="C1726" s="34"/>
      <c r="D1726" s="34"/>
      <c r="E1726" s="34"/>
      <c r="F1726" s="34"/>
      <c r="G1726" s="44"/>
      <c r="H1726" s="34"/>
      <c r="I1726" s="54"/>
      <c r="J1726" s="34"/>
      <c r="K1726" s="54"/>
      <c r="L1726" s="34"/>
      <c r="M1726" s="44"/>
      <c r="N1726" s="44"/>
      <c r="O1726" s="34"/>
      <c r="P1726" s="34"/>
      <c r="Q1726" s="34"/>
      <c r="R1726" s="34"/>
      <c r="V1726" s="44"/>
      <c r="X1726" s="95"/>
      <c r="Y1726" s="54"/>
      <c r="Z1726" s="54"/>
      <c r="AA1726" s="34"/>
      <c r="AB1726" s="34"/>
      <c r="AC1726" s="34"/>
      <c r="AD1726" s="34"/>
      <c r="AE1726" s="34"/>
      <c r="AF1726" s="34"/>
      <c r="AG1726" s="34"/>
      <c r="AH1726" s="34"/>
      <c r="AI1726" s="52"/>
      <c r="AJ1726" s="52"/>
      <c r="AL1726" s="34"/>
      <c r="AM1726" s="34"/>
      <c r="AN1726" s="34"/>
      <c r="AO1726" s="54"/>
      <c r="AP1726" s="34"/>
      <c r="AQ1726" s="34"/>
      <c r="AR1726" s="54"/>
      <c r="AS1726" s="54"/>
      <c r="AT1726" s="54"/>
      <c r="AU1726" s="54"/>
      <c r="AV1726" s="34"/>
      <c r="AW1726" s="34"/>
      <c r="AX1726" s="34"/>
      <c r="AY1726" s="34"/>
      <c r="AZ1726" s="34"/>
      <c r="BA1726" s="44"/>
      <c r="BB1726" s="34"/>
      <c r="BC1726" s="34"/>
    </row>
    <row r="1727" spans="1:55" x14ac:dyDescent="0.35" ht="15.0" customHeight="true">
      <c r="A1727" s="51"/>
      <c r="B1727" s="34"/>
      <c r="C1727" s="34"/>
      <c r="D1727" s="34"/>
      <c r="E1727" s="34"/>
      <c r="F1727" s="34"/>
      <c r="G1727" s="44"/>
      <c r="H1727" s="34"/>
      <c r="I1727" s="54"/>
      <c r="J1727" s="34"/>
      <c r="K1727" s="54"/>
      <c r="L1727" s="34"/>
      <c r="M1727" s="44"/>
      <c r="N1727" s="44"/>
      <c r="O1727" s="34"/>
      <c r="P1727" s="34"/>
      <c r="Q1727" s="34"/>
      <c r="R1727" s="34"/>
      <c r="V1727" s="44"/>
      <c r="X1727" s="95"/>
      <c r="Y1727" s="54"/>
      <c r="Z1727" s="54"/>
      <c r="AA1727" s="34"/>
      <c r="AB1727" s="34"/>
      <c r="AC1727" s="34"/>
      <c r="AD1727" s="34"/>
      <c r="AE1727" s="34"/>
      <c r="AF1727" s="34"/>
      <c r="AG1727" s="34"/>
      <c r="AH1727" s="34"/>
      <c r="AI1727" s="52"/>
      <c r="AJ1727" s="52"/>
      <c r="AL1727" s="34"/>
      <c r="AM1727" s="34"/>
      <c r="AN1727" s="34"/>
      <c r="AO1727" s="54"/>
      <c r="AP1727" s="34"/>
      <c r="AQ1727" s="34"/>
      <c r="AR1727" s="54"/>
      <c r="AS1727" s="54"/>
      <c r="AT1727" s="54"/>
      <c r="AU1727" s="54"/>
      <c r="AV1727" s="34"/>
      <c r="AW1727" s="34"/>
      <c r="AX1727" s="34"/>
      <c r="AY1727" s="34"/>
      <c r="AZ1727" s="34"/>
      <c r="BA1727" s="44"/>
      <c r="BB1727" s="34"/>
      <c r="BC1727" s="34"/>
    </row>
    <row r="1728" spans="1:55" x14ac:dyDescent="0.35" ht="15.0" customHeight="true">
      <c r="A1728" s="51"/>
      <c r="B1728" s="34"/>
      <c r="C1728" s="34"/>
      <c r="D1728" s="34"/>
      <c r="E1728" s="34"/>
      <c r="F1728" s="34"/>
      <c r="G1728" s="44"/>
      <c r="H1728" s="34"/>
      <c r="I1728" s="54"/>
      <c r="J1728" s="34"/>
      <c r="K1728" s="54"/>
      <c r="L1728" s="34"/>
      <c r="M1728" s="44"/>
      <c r="N1728" s="44"/>
      <c r="O1728" s="34"/>
      <c r="P1728" s="34"/>
      <c r="Q1728" s="34"/>
      <c r="R1728" s="34"/>
      <c r="V1728" s="44"/>
      <c r="X1728" s="95"/>
      <c r="Y1728" s="54"/>
      <c r="Z1728" s="54"/>
      <c r="AA1728" s="34"/>
      <c r="AB1728" s="34"/>
      <c r="AC1728" s="34"/>
      <c r="AD1728" s="34"/>
      <c r="AE1728" s="34"/>
      <c r="AF1728" s="34"/>
      <c r="AG1728" s="34"/>
      <c r="AH1728" s="34"/>
      <c r="AI1728" s="52"/>
      <c r="AJ1728" s="52"/>
      <c r="AL1728" s="34"/>
      <c r="AM1728" s="34"/>
      <c r="AN1728" s="34"/>
      <c r="AO1728" s="54"/>
      <c r="AP1728" s="34"/>
      <c r="AQ1728" s="34"/>
      <c r="AR1728" s="54"/>
      <c r="AS1728" s="54"/>
      <c r="AT1728" s="54"/>
      <c r="AU1728" s="54"/>
      <c r="AV1728" s="34"/>
      <c r="AW1728" s="34"/>
      <c r="AX1728" s="34"/>
      <c r="AY1728" s="34"/>
      <c r="AZ1728" s="34"/>
      <c r="BA1728" s="44"/>
      <c r="BB1728" s="34"/>
      <c r="BC1728" s="34"/>
    </row>
    <row r="1729" spans="1:55" x14ac:dyDescent="0.35" ht="15.0" customHeight="true">
      <c r="A1729" s="51"/>
      <c r="B1729" s="34"/>
      <c r="C1729" s="34"/>
      <c r="D1729" s="34"/>
      <c r="E1729" s="34"/>
      <c r="F1729" s="34"/>
      <c r="G1729" s="44"/>
      <c r="H1729" s="34"/>
      <c r="I1729" s="54"/>
      <c r="J1729" s="34"/>
      <c r="K1729" s="54"/>
      <c r="L1729" s="34"/>
      <c r="M1729" s="44"/>
      <c r="N1729" s="44"/>
      <c r="O1729" s="34"/>
      <c r="P1729" s="34"/>
      <c r="Q1729" s="34"/>
      <c r="R1729" s="34"/>
      <c r="V1729" s="44"/>
      <c r="X1729" s="95"/>
      <c r="Y1729" s="54"/>
      <c r="Z1729" s="54"/>
      <c r="AA1729" s="34"/>
      <c r="AB1729" s="34"/>
      <c r="AC1729" s="34"/>
      <c r="AD1729" s="34"/>
      <c r="AE1729" s="34"/>
      <c r="AF1729" s="34"/>
      <c r="AG1729" s="34"/>
      <c r="AH1729" s="34"/>
      <c r="AI1729" s="52"/>
      <c r="AJ1729" s="52"/>
      <c r="AL1729" s="34"/>
      <c r="AM1729" s="34"/>
      <c r="AN1729" s="34"/>
      <c r="AO1729" s="54"/>
      <c r="AP1729" s="34"/>
      <c r="AQ1729" s="34"/>
      <c r="AR1729" s="54"/>
      <c r="AS1729" s="54"/>
      <c r="AT1729" s="54"/>
      <c r="AU1729" s="54"/>
      <c r="AV1729" s="34"/>
      <c r="AW1729" s="34"/>
      <c r="AX1729" s="34"/>
      <c r="AY1729" s="34"/>
      <c r="AZ1729" s="34"/>
      <c r="BA1729" s="44"/>
      <c r="BB1729" s="34"/>
      <c r="BC1729" s="34"/>
    </row>
    <row r="1730" spans="1:55" x14ac:dyDescent="0.35" ht="15.0" customHeight="true">
      <c r="A1730" s="51"/>
      <c r="B1730" s="34"/>
      <c r="C1730" s="34"/>
      <c r="D1730" s="34"/>
      <c r="E1730" s="34"/>
      <c r="F1730" s="34"/>
      <c r="G1730" s="44"/>
      <c r="H1730" s="34"/>
      <c r="I1730" s="54"/>
      <c r="J1730" s="34"/>
      <c r="K1730" s="54"/>
      <c r="L1730" s="34"/>
      <c r="M1730" s="44"/>
      <c r="N1730" s="44"/>
      <c r="O1730" s="34"/>
      <c r="P1730" s="34"/>
      <c r="Q1730" s="34"/>
      <c r="R1730" s="34"/>
      <c r="V1730" s="44"/>
      <c r="X1730" s="95"/>
      <c r="Y1730" s="54"/>
      <c r="Z1730" s="54"/>
      <c r="AA1730" s="34"/>
      <c r="AB1730" s="34"/>
      <c r="AC1730" s="34"/>
      <c r="AD1730" s="34"/>
      <c r="AE1730" s="34"/>
      <c r="AF1730" s="34"/>
      <c r="AG1730" s="34"/>
      <c r="AH1730" s="34"/>
      <c r="AI1730" s="52"/>
      <c r="AJ1730" s="52"/>
      <c r="AL1730" s="34"/>
      <c r="AM1730" s="34"/>
      <c r="AN1730" s="34"/>
      <c r="AO1730" s="54"/>
      <c r="AP1730" s="34"/>
      <c r="AQ1730" s="34"/>
      <c r="AR1730" s="54"/>
      <c r="AS1730" s="54"/>
      <c r="AT1730" s="54"/>
      <c r="AU1730" s="54"/>
      <c r="AV1730" s="34"/>
      <c r="AW1730" s="34"/>
      <c r="AX1730" s="34"/>
      <c r="AY1730" s="34"/>
      <c r="AZ1730" s="34"/>
      <c r="BA1730" s="44"/>
      <c r="BB1730" s="34"/>
      <c r="BC1730" s="34"/>
    </row>
    <row r="1731" spans="1:55" x14ac:dyDescent="0.35" ht="15.0" customHeight="true">
      <c r="A1731" s="51"/>
      <c r="B1731" s="34"/>
      <c r="C1731" s="34"/>
      <c r="D1731" s="34"/>
      <c r="E1731" s="34"/>
      <c r="F1731" s="34"/>
      <c r="G1731" s="44"/>
      <c r="H1731" s="34"/>
      <c r="I1731" s="54"/>
      <c r="J1731" s="34"/>
      <c r="K1731" s="54"/>
      <c r="L1731" s="34"/>
      <c r="M1731" s="44"/>
      <c r="N1731" s="44"/>
      <c r="O1731" s="34"/>
      <c r="P1731" s="34"/>
      <c r="Q1731" s="34"/>
      <c r="R1731" s="34"/>
      <c r="V1731" s="44"/>
      <c r="X1731" s="95"/>
      <c r="Y1731" s="54"/>
      <c r="Z1731" s="54"/>
      <c r="AA1731" s="34"/>
      <c r="AB1731" s="34"/>
      <c r="AC1731" s="34"/>
      <c r="AD1731" s="34"/>
      <c r="AE1731" s="34"/>
      <c r="AF1731" s="34"/>
      <c r="AG1731" s="34"/>
      <c r="AH1731" s="34"/>
      <c r="AI1731" s="52"/>
      <c r="AJ1731" s="52"/>
      <c r="AL1731" s="34"/>
      <c r="AM1731" s="34"/>
      <c r="AN1731" s="34"/>
      <c r="AO1731" s="54"/>
      <c r="AP1731" s="34"/>
      <c r="AQ1731" s="34"/>
      <c r="AR1731" s="54"/>
      <c r="AS1731" s="54"/>
      <c r="AT1731" s="54"/>
      <c r="AU1731" s="54"/>
      <c r="AV1731" s="34"/>
      <c r="AW1731" s="34"/>
      <c r="AX1731" s="34"/>
      <c r="AY1731" s="34"/>
      <c r="AZ1731" s="34"/>
      <c r="BA1731" s="44"/>
      <c r="BB1731" s="34"/>
      <c r="BC1731" s="34"/>
    </row>
    <row r="1732" spans="1:55" x14ac:dyDescent="0.35" ht="15.0" customHeight="true">
      <c r="A1732" s="51"/>
      <c r="B1732" s="34"/>
      <c r="C1732" s="34"/>
      <c r="D1732" s="34"/>
      <c r="E1732" s="34"/>
      <c r="F1732" s="34"/>
      <c r="G1732" s="44"/>
      <c r="H1732" s="34"/>
      <c r="I1732" s="54"/>
      <c r="J1732" s="34"/>
      <c r="K1732" s="54"/>
      <c r="L1732" s="34"/>
      <c r="M1732" s="44"/>
      <c r="N1732" s="44"/>
      <c r="O1732" s="34"/>
      <c r="P1732" s="34"/>
      <c r="Q1732" s="34"/>
      <c r="R1732" s="34"/>
      <c r="V1732" s="44"/>
      <c r="X1732" s="95"/>
      <c r="Y1732" s="54"/>
      <c r="Z1732" s="54"/>
      <c r="AA1732" s="34"/>
      <c r="AB1732" s="34"/>
      <c r="AC1732" s="34"/>
      <c r="AD1732" s="34"/>
      <c r="AE1732" s="34"/>
      <c r="AF1732" s="34"/>
      <c r="AG1732" s="34"/>
      <c r="AH1732" s="34"/>
      <c r="AI1732" s="52"/>
      <c r="AJ1732" s="52"/>
      <c r="AL1732" s="34"/>
      <c r="AM1732" s="34"/>
      <c r="AN1732" s="34"/>
      <c r="AO1732" s="54"/>
      <c r="AP1732" s="34"/>
      <c r="AQ1732" s="34"/>
      <c r="AR1732" s="54"/>
      <c r="AS1732" s="54"/>
      <c r="AT1732" s="54"/>
      <c r="AU1732" s="54"/>
      <c r="AV1732" s="34"/>
      <c r="AW1732" s="34"/>
      <c r="AX1732" s="34"/>
      <c r="AY1732" s="34"/>
      <c r="AZ1732" s="34"/>
      <c r="BA1732" s="44"/>
      <c r="BB1732" s="34"/>
      <c r="BC1732" s="34"/>
    </row>
    <row r="1733" spans="1:55" x14ac:dyDescent="0.35" ht="15.0" customHeight="true">
      <c r="A1733" s="51"/>
      <c r="B1733" s="34"/>
      <c r="C1733" s="34"/>
      <c r="D1733" s="34"/>
      <c r="E1733" s="34"/>
      <c r="F1733" s="34"/>
      <c r="G1733" s="44"/>
      <c r="H1733" s="34"/>
      <c r="I1733" s="54"/>
      <c r="J1733" s="34"/>
      <c r="K1733" s="54"/>
      <c r="L1733" s="34"/>
      <c r="M1733" s="44"/>
      <c r="N1733" s="44"/>
      <c r="O1733" s="34"/>
      <c r="P1733" s="34"/>
      <c r="Q1733" s="34"/>
      <c r="R1733" s="34"/>
      <c r="V1733" s="44"/>
      <c r="X1733" s="95"/>
      <c r="Y1733" s="54"/>
      <c r="Z1733" s="54"/>
      <c r="AA1733" s="34"/>
      <c r="AB1733" s="34"/>
      <c r="AC1733" s="34"/>
      <c r="AD1733" s="34"/>
      <c r="AE1733" s="34"/>
      <c r="AF1733" s="34"/>
      <c r="AG1733" s="34"/>
      <c r="AH1733" s="34"/>
      <c r="AI1733" s="52"/>
      <c r="AJ1733" s="52"/>
      <c r="AL1733" s="34"/>
      <c r="AM1733" s="34"/>
      <c r="AN1733" s="34"/>
      <c r="AO1733" s="54"/>
      <c r="AP1733" s="34"/>
      <c r="AQ1733" s="34"/>
      <c r="AR1733" s="54"/>
      <c r="AS1733" s="54"/>
      <c r="AT1733" s="54"/>
      <c r="AU1733" s="54"/>
      <c r="AV1733" s="34"/>
      <c r="AW1733" s="34"/>
      <c r="AX1733" s="34"/>
      <c r="AY1733" s="34"/>
      <c r="AZ1733" s="34"/>
      <c r="BA1733" s="44"/>
      <c r="BB1733" s="34"/>
      <c r="BC1733" s="34"/>
    </row>
    <row r="1734" spans="1:55" x14ac:dyDescent="0.35" ht="15.0" customHeight="true">
      <c r="A1734" s="51"/>
      <c r="B1734" s="34"/>
      <c r="C1734" s="34"/>
      <c r="D1734" s="34"/>
      <c r="E1734" s="34"/>
      <c r="F1734" s="34"/>
      <c r="G1734" s="44"/>
      <c r="H1734" s="34"/>
      <c r="I1734" s="54"/>
      <c r="J1734" s="34"/>
      <c r="K1734" s="54"/>
      <c r="L1734" s="34"/>
      <c r="M1734" s="44"/>
      <c r="N1734" s="44"/>
      <c r="O1734" s="34"/>
      <c r="P1734" s="34"/>
      <c r="Q1734" s="34"/>
      <c r="R1734" s="34"/>
      <c r="V1734" s="44"/>
      <c r="X1734" s="95"/>
      <c r="Y1734" s="54"/>
      <c r="Z1734" s="54"/>
      <c r="AA1734" s="34"/>
      <c r="AB1734" s="34"/>
      <c r="AC1734" s="34"/>
      <c r="AD1734" s="34"/>
      <c r="AE1734" s="34"/>
      <c r="AF1734" s="34"/>
      <c r="AG1734" s="34"/>
      <c r="AH1734" s="34"/>
      <c r="AI1734" s="52"/>
      <c r="AJ1734" s="52"/>
      <c r="AL1734" s="34"/>
      <c r="AM1734" s="34"/>
      <c r="AN1734" s="34"/>
      <c r="AO1734" s="54"/>
      <c r="AP1734" s="34"/>
      <c r="AQ1734" s="34"/>
      <c r="AR1734" s="54"/>
      <c r="AS1734" s="54"/>
      <c r="AT1734" s="54"/>
      <c r="AU1734" s="54"/>
      <c r="AV1734" s="34"/>
      <c r="AW1734" s="34"/>
      <c r="AX1734" s="34"/>
      <c r="AY1734" s="34"/>
      <c r="AZ1734" s="34"/>
      <c r="BA1734" s="44"/>
      <c r="BB1734" s="34"/>
      <c r="BC1734" s="34"/>
    </row>
    <row r="1735" spans="1:55" x14ac:dyDescent="0.35" ht="15.0" customHeight="true">
      <c r="A1735" s="51"/>
      <c r="B1735" s="34"/>
      <c r="C1735" s="34"/>
      <c r="D1735" s="34"/>
      <c r="E1735" s="34"/>
      <c r="F1735" s="34"/>
      <c r="G1735" s="44"/>
      <c r="H1735" s="34"/>
      <c r="I1735" s="54"/>
      <c r="J1735" s="34"/>
      <c r="K1735" s="54"/>
      <c r="L1735" s="34"/>
      <c r="M1735" s="44"/>
      <c r="N1735" s="44"/>
      <c r="O1735" s="34"/>
      <c r="P1735" s="34"/>
      <c r="Q1735" s="34"/>
      <c r="R1735" s="34"/>
      <c r="V1735" s="44"/>
      <c r="X1735" s="95"/>
      <c r="Y1735" s="54"/>
      <c r="Z1735" s="54"/>
      <c r="AA1735" s="34"/>
      <c r="AB1735" s="34"/>
      <c r="AC1735" s="34"/>
      <c r="AD1735" s="34"/>
      <c r="AE1735" s="34"/>
      <c r="AF1735" s="34"/>
      <c r="AG1735" s="34"/>
      <c r="AH1735" s="34"/>
      <c r="AI1735" s="52"/>
      <c r="AJ1735" s="52"/>
      <c r="AL1735" s="34"/>
      <c r="AM1735" s="34"/>
      <c r="AN1735" s="34"/>
      <c r="AO1735" s="54"/>
      <c r="AP1735" s="34"/>
      <c r="AQ1735" s="34"/>
      <c r="AR1735" s="54"/>
      <c r="AS1735" s="54"/>
      <c r="AT1735" s="54"/>
      <c r="AU1735" s="54"/>
      <c r="AV1735" s="34"/>
      <c r="AW1735" s="34"/>
      <c r="AX1735" s="34"/>
      <c r="AY1735" s="34"/>
      <c r="AZ1735" s="34"/>
      <c r="BA1735" s="44"/>
      <c r="BB1735" s="34"/>
      <c r="BC1735" s="34"/>
    </row>
    <row r="1736" spans="1:55" x14ac:dyDescent="0.35" ht="15.0" customHeight="true">
      <c r="A1736" s="51"/>
      <c r="B1736" s="34"/>
      <c r="C1736" s="34"/>
      <c r="D1736" s="34"/>
      <c r="E1736" s="34"/>
      <c r="F1736" s="34"/>
      <c r="G1736" s="44"/>
      <c r="H1736" s="34"/>
      <c r="I1736" s="54"/>
      <c r="J1736" s="34"/>
      <c r="K1736" s="54"/>
      <c r="L1736" s="34"/>
      <c r="M1736" s="44"/>
      <c r="N1736" s="44"/>
      <c r="O1736" s="34"/>
      <c r="P1736" s="34"/>
      <c r="Q1736" s="34"/>
      <c r="R1736" s="34"/>
      <c r="V1736" s="44"/>
      <c r="X1736" s="95"/>
      <c r="Y1736" s="54"/>
      <c r="Z1736" s="54"/>
      <c r="AA1736" s="34"/>
      <c r="AB1736" s="34"/>
      <c r="AC1736" s="34"/>
      <c r="AD1736" s="34"/>
      <c r="AE1736" s="34"/>
      <c r="AF1736" s="34"/>
      <c r="AG1736" s="34"/>
      <c r="AH1736" s="34"/>
      <c r="AI1736" s="52"/>
      <c r="AJ1736" s="52"/>
      <c r="AL1736" s="34"/>
      <c r="AM1736" s="34"/>
      <c r="AN1736" s="34"/>
      <c r="AO1736" s="54"/>
      <c r="AP1736" s="34"/>
      <c r="AQ1736" s="34"/>
      <c r="AR1736" s="54"/>
      <c r="AS1736" s="54"/>
      <c r="AT1736" s="54"/>
      <c r="AU1736" s="54"/>
      <c r="AV1736" s="34"/>
      <c r="AW1736" s="34"/>
      <c r="AX1736" s="34"/>
      <c r="AY1736" s="34"/>
      <c r="AZ1736" s="34"/>
      <c r="BA1736" s="44"/>
      <c r="BB1736" s="34"/>
      <c r="BC1736" s="34"/>
    </row>
    <row r="1737" spans="1:55" x14ac:dyDescent="0.35" ht="15.0" customHeight="true">
      <c r="A1737" s="51"/>
      <c r="B1737" s="34"/>
      <c r="C1737" s="34"/>
      <c r="D1737" s="34"/>
      <c r="E1737" s="34"/>
      <c r="F1737" s="34"/>
      <c r="G1737" s="44"/>
      <c r="H1737" s="34"/>
      <c r="I1737" s="54"/>
      <c r="J1737" s="34"/>
      <c r="K1737" s="54"/>
      <c r="L1737" s="34"/>
      <c r="M1737" s="44"/>
      <c r="N1737" s="44"/>
      <c r="O1737" s="34"/>
      <c r="P1737" s="34"/>
      <c r="Q1737" s="34"/>
      <c r="R1737" s="34"/>
      <c r="V1737" s="44"/>
      <c r="X1737" s="95"/>
      <c r="Y1737" s="54"/>
      <c r="Z1737" s="54"/>
      <c r="AA1737" s="34"/>
      <c r="AB1737" s="34"/>
      <c r="AC1737" s="34"/>
      <c r="AD1737" s="34"/>
      <c r="AE1737" s="34"/>
      <c r="AF1737" s="34"/>
      <c r="AG1737" s="34"/>
      <c r="AH1737" s="34"/>
      <c r="AI1737" s="52"/>
      <c r="AJ1737" s="52"/>
      <c r="AL1737" s="34"/>
      <c r="AM1737" s="34"/>
      <c r="AN1737" s="34"/>
      <c r="AO1737" s="54"/>
      <c r="AP1737" s="34"/>
      <c r="AQ1737" s="34"/>
      <c r="AR1737" s="54"/>
      <c r="AS1737" s="54"/>
      <c r="AT1737" s="54"/>
      <c r="AU1737" s="54"/>
      <c r="AV1737" s="34"/>
      <c r="AW1737" s="34"/>
      <c r="AX1737" s="34"/>
      <c r="AY1737" s="34"/>
      <c r="AZ1737" s="34"/>
      <c r="BA1737" s="44"/>
      <c r="BB1737" s="34"/>
      <c r="BC1737" s="34"/>
    </row>
    <row r="1738" spans="1:55" x14ac:dyDescent="0.35" ht="15.0" customHeight="true">
      <c r="A1738" s="51"/>
      <c r="B1738" s="34"/>
      <c r="C1738" s="34"/>
      <c r="D1738" s="34"/>
      <c r="E1738" s="34"/>
      <c r="F1738" s="34"/>
      <c r="G1738" s="44"/>
      <c r="H1738" s="34"/>
      <c r="I1738" s="54"/>
      <c r="J1738" s="34"/>
      <c r="K1738" s="54"/>
      <c r="L1738" s="34"/>
      <c r="M1738" s="44"/>
      <c r="N1738" s="44"/>
      <c r="O1738" s="34"/>
      <c r="P1738" s="34"/>
      <c r="Q1738" s="34"/>
      <c r="R1738" s="34"/>
      <c r="V1738" s="44"/>
      <c r="X1738" s="95"/>
      <c r="Y1738" s="54"/>
      <c r="Z1738" s="54"/>
      <c r="AA1738" s="34"/>
      <c r="AB1738" s="34"/>
      <c r="AC1738" s="34"/>
      <c r="AD1738" s="34"/>
      <c r="AE1738" s="34"/>
      <c r="AF1738" s="34"/>
      <c r="AG1738" s="34"/>
      <c r="AH1738" s="34"/>
      <c r="AI1738" s="52"/>
      <c r="AJ1738" s="52"/>
      <c r="AL1738" s="34"/>
      <c r="AM1738" s="34"/>
      <c r="AN1738" s="34"/>
      <c r="AO1738" s="54"/>
      <c r="AP1738" s="34"/>
      <c r="AQ1738" s="34"/>
      <c r="AR1738" s="54"/>
      <c r="AS1738" s="54"/>
      <c r="AT1738" s="54"/>
      <c r="AU1738" s="54"/>
      <c r="AV1738" s="34"/>
      <c r="AW1738" s="34"/>
      <c r="AX1738" s="34"/>
      <c r="AY1738" s="34"/>
      <c r="AZ1738" s="34"/>
      <c r="BA1738" s="44"/>
      <c r="BB1738" s="34"/>
      <c r="BC1738" s="34"/>
    </row>
    <row r="1739" spans="1:55" x14ac:dyDescent="0.35" ht="15.0" customHeight="true">
      <c r="A1739" s="51"/>
      <c r="B1739" s="34"/>
      <c r="C1739" s="34"/>
      <c r="D1739" s="34"/>
      <c r="E1739" s="34"/>
      <c r="F1739" s="34"/>
      <c r="G1739" s="44"/>
      <c r="H1739" s="34"/>
      <c r="I1739" s="54"/>
      <c r="J1739" s="34"/>
      <c r="K1739" s="54"/>
      <c r="L1739" s="34"/>
      <c r="M1739" s="44"/>
      <c r="N1739" s="44"/>
      <c r="O1739" s="34"/>
      <c r="P1739" s="34"/>
      <c r="Q1739" s="34"/>
      <c r="R1739" s="34"/>
      <c r="V1739" s="44"/>
      <c r="X1739" s="95"/>
      <c r="Y1739" s="54"/>
      <c r="Z1739" s="54"/>
      <c r="AA1739" s="34"/>
      <c r="AB1739" s="34"/>
      <c r="AC1739" s="34"/>
      <c r="AD1739" s="34"/>
      <c r="AE1739" s="34"/>
      <c r="AF1739" s="34"/>
      <c r="AG1739" s="34"/>
      <c r="AH1739" s="34"/>
      <c r="AI1739" s="52"/>
      <c r="AJ1739" s="52"/>
      <c r="AL1739" s="34"/>
      <c r="AM1739" s="34"/>
      <c r="AN1739" s="34"/>
      <c r="AO1739" s="54"/>
      <c r="AP1739" s="34"/>
      <c r="AQ1739" s="34"/>
      <c r="AR1739" s="54"/>
      <c r="AS1739" s="54"/>
      <c r="AT1739" s="54"/>
      <c r="AU1739" s="54"/>
      <c r="AV1739" s="34"/>
      <c r="AW1739" s="34"/>
      <c r="AX1739" s="34"/>
      <c r="AY1739" s="34"/>
      <c r="AZ1739" s="34"/>
      <c r="BA1739" s="44"/>
      <c r="BB1739" s="34"/>
      <c r="BC1739" s="34"/>
    </row>
    <row r="1740" spans="1:55" x14ac:dyDescent="0.35" ht="15.0" customHeight="true">
      <c r="A1740" s="51"/>
      <c r="B1740" s="34"/>
      <c r="C1740" s="34"/>
      <c r="D1740" s="34"/>
      <c r="E1740" s="34"/>
      <c r="F1740" s="34"/>
      <c r="G1740" s="44"/>
      <c r="H1740" s="34"/>
      <c r="I1740" s="54"/>
      <c r="J1740" s="34"/>
      <c r="K1740" s="54"/>
      <c r="L1740" s="34"/>
      <c r="M1740" s="44"/>
      <c r="N1740" s="44"/>
      <c r="O1740" s="34"/>
      <c r="P1740" s="34"/>
      <c r="Q1740" s="34"/>
      <c r="R1740" s="34"/>
      <c r="V1740" s="44"/>
      <c r="X1740" s="95"/>
      <c r="Y1740" s="54"/>
      <c r="Z1740" s="54"/>
      <c r="AA1740" s="34"/>
      <c r="AB1740" s="34"/>
      <c r="AC1740" s="34"/>
      <c r="AD1740" s="34"/>
      <c r="AE1740" s="34"/>
      <c r="AF1740" s="34"/>
      <c r="AG1740" s="34"/>
      <c r="AH1740" s="34"/>
      <c r="AI1740" s="52"/>
      <c r="AJ1740" s="52"/>
      <c r="AL1740" s="34"/>
      <c r="AM1740" s="34"/>
      <c r="AN1740" s="34"/>
      <c r="AO1740" s="54"/>
      <c r="AP1740" s="34"/>
      <c r="AQ1740" s="34"/>
      <c r="AR1740" s="54"/>
      <c r="AS1740" s="54"/>
      <c r="AT1740" s="54"/>
      <c r="AU1740" s="54"/>
      <c r="AV1740" s="34"/>
      <c r="AW1740" s="34"/>
      <c r="AX1740" s="34"/>
      <c r="AY1740" s="34"/>
      <c r="AZ1740" s="34"/>
      <c r="BA1740" s="44"/>
      <c r="BB1740" s="34"/>
      <c r="BC1740" s="34"/>
    </row>
    <row r="1741" spans="1:55" x14ac:dyDescent="0.35" ht="15.0" customHeight="true">
      <c r="A1741" s="51"/>
      <c r="B1741" s="34"/>
      <c r="C1741" s="34"/>
      <c r="D1741" s="34"/>
      <c r="E1741" s="34"/>
      <c r="F1741" s="34"/>
      <c r="G1741" s="44"/>
      <c r="H1741" s="34"/>
      <c r="I1741" s="54"/>
      <c r="J1741" s="34"/>
      <c r="K1741" s="54"/>
      <c r="L1741" s="34"/>
      <c r="M1741" s="44"/>
      <c r="N1741" s="44"/>
      <c r="O1741" s="34"/>
      <c r="P1741" s="34"/>
      <c r="Q1741" s="34"/>
      <c r="R1741" s="34"/>
      <c r="V1741" s="44"/>
      <c r="X1741" s="95"/>
      <c r="Y1741" s="54"/>
      <c r="Z1741" s="54"/>
      <c r="AA1741" s="34"/>
      <c r="AB1741" s="34"/>
      <c r="AC1741" s="34"/>
      <c r="AD1741" s="34"/>
      <c r="AE1741" s="34"/>
      <c r="AF1741" s="34"/>
      <c r="AG1741" s="34"/>
      <c r="AH1741" s="34"/>
      <c r="AI1741" s="52"/>
      <c r="AJ1741" s="52"/>
      <c r="AL1741" s="34"/>
      <c r="AM1741" s="34"/>
      <c r="AN1741" s="34"/>
      <c r="AO1741" s="54"/>
      <c r="AP1741" s="34"/>
      <c r="AQ1741" s="34"/>
      <c r="AR1741" s="54"/>
      <c r="AS1741" s="54"/>
      <c r="AT1741" s="54"/>
      <c r="AU1741" s="54"/>
      <c r="AV1741" s="34"/>
      <c r="AW1741" s="34"/>
      <c r="AX1741" s="34"/>
      <c r="AY1741" s="34"/>
      <c r="AZ1741" s="34"/>
      <c r="BA1741" s="44"/>
      <c r="BB1741" s="34"/>
      <c r="BC1741" s="34"/>
    </row>
    <row r="1742" spans="1:55" x14ac:dyDescent="0.35" ht="15.0" customHeight="true">
      <c r="A1742" s="51"/>
      <c r="B1742" s="34"/>
      <c r="C1742" s="34"/>
      <c r="D1742" s="34"/>
      <c r="E1742" s="34"/>
      <c r="F1742" s="34"/>
      <c r="G1742" s="44"/>
      <c r="H1742" s="34"/>
      <c r="I1742" s="54"/>
      <c r="J1742" s="34"/>
      <c r="K1742" s="54"/>
      <c r="L1742" s="34"/>
      <c r="M1742" s="44"/>
      <c r="N1742" s="44"/>
      <c r="O1742" s="34"/>
      <c r="P1742" s="34"/>
      <c r="Q1742" s="34"/>
      <c r="R1742" s="34"/>
      <c r="V1742" s="44"/>
      <c r="X1742" s="95"/>
      <c r="Y1742" s="54"/>
      <c r="Z1742" s="54"/>
      <c r="AA1742" s="34"/>
      <c r="AB1742" s="34"/>
      <c r="AC1742" s="34"/>
      <c r="AD1742" s="34"/>
      <c r="AE1742" s="34"/>
      <c r="AF1742" s="34"/>
      <c r="AG1742" s="34"/>
      <c r="AH1742" s="34"/>
      <c r="AI1742" s="52"/>
      <c r="AJ1742" s="52"/>
      <c r="AL1742" s="34"/>
      <c r="AM1742" s="34"/>
      <c r="AN1742" s="34"/>
      <c r="AO1742" s="54"/>
      <c r="AP1742" s="34"/>
      <c r="AQ1742" s="34"/>
      <c r="AR1742" s="54"/>
      <c r="AS1742" s="54"/>
      <c r="AT1742" s="54"/>
      <c r="AU1742" s="54"/>
      <c r="AV1742" s="34"/>
      <c r="AW1742" s="34"/>
      <c r="AX1742" s="34"/>
      <c r="AY1742" s="34"/>
      <c r="AZ1742" s="34"/>
      <c r="BA1742" s="44"/>
      <c r="BB1742" s="34"/>
      <c r="BC1742" s="34"/>
    </row>
    <row r="1743" spans="1:55" x14ac:dyDescent="0.35" ht="15.0" customHeight="true">
      <c r="A1743" s="51"/>
      <c r="B1743" s="34"/>
      <c r="C1743" s="34"/>
      <c r="D1743" s="34"/>
      <c r="E1743" s="34"/>
      <c r="F1743" s="34"/>
      <c r="G1743" s="44"/>
      <c r="H1743" s="34"/>
      <c r="I1743" s="54"/>
      <c r="J1743" s="34"/>
      <c r="K1743" s="54"/>
      <c r="L1743" s="34"/>
      <c r="M1743" s="44"/>
      <c r="N1743" s="44"/>
      <c r="O1743" s="34"/>
      <c r="P1743" s="34"/>
      <c r="Q1743" s="34"/>
      <c r="R1743" s="34"/>
      <c r="V1743" s="44"/>
      <c r="X1743" s="95"/>
      <c r="Y1743" s="54"/>
      <c r="Z1743" s="54"/>
      <c r="AA1743" s="34"/>
      <c r="AB1743" s="34"/>
      <c r="AC1743" s="34"/>
      <c r="AD1743" s="34"/>
      <c r="AE1743" s="34"/>
      <c r="AF1743" s="34"/>
      <c r="AG1743" s="34"/>
      <c r="AH1743" s="34"/>
      <c r="AI1743" s="52"/>
      <c r="AJ1743" s="52"/>
      <c r="AL1743" s="34"/>
      <c r="AM1743" s="34"/>
      <c r="AN1743" s="34"/>
      <c r="AO1743" s="54"/>
      <c r="AP1743" s="34"/>
      <c r="AQ1743" s="34"/>
      <c r="AR1743" s="54"/>
      <c r="AS1743" s="54"/>
      <c r="AT1743" s="54"/>
      <c r="AU1743" s="54"/>
      <c r="AV1743" s="34"/>
      <c r="AW1743" s="34"/>
      <c r="AX1743" s="34"/>
      <c r="AY1743" s="34"/>
      <c r="AZ1743" s="34"/>
      <c r="BA1743" s="44"/>
      <c r="BB1743" s="34"/>
      <c r="BC1743" s="34"/>
    </row>
    <row r="1744" spans="1:55" x14ac:dyDescent="0.35" ht="15.0" customHeight="true">
      <c r="A1744" s="51"/>
      <c r="B1744" s="34"/>
      <c r="C1744" s="34"/>
      <c r="D1744" s="34"/>
      <c r="E1744" s="34"/>
      <c r="F1744" s="34"/>
      <c r="G1744" s="44"/>
      <c r="H1744" s="34"/>
      <c r="I1744" s="54"/>
      <c r="J1744" s="34"/>
      <c r="K1744" s="54"/>
      <c r="L1744" s="34"/>
      <c r="M1744" s="44"/>
      <c r="N1744" s="44"/>
      <c r="O1744" s="34"/>
      <c r="P1744" s="34"/>
      <c r="Q1744" s="34"/>
      <c r="R1744" s="34"/>
      <c r="V1744" s="44"/>
      <c r="X1744" s="95"/>
      <c r="Y1744" s="54"/>
      <c r="Z1744" s="54"/>
      <c r="AA1744" s="34"/>
      <c r="AB1744" s="34"/>
      <c r="AC1744" s="34"/>
      <c r="AD1744" s="34"/>
      <c r="AE1744" s="34"/>
      <c r="AF1744" s="34"/>
      <c r="AG1744" s="34"/>
      <c r="AH1744" s="34"/>
      <c r="AI1744" s="52"/>
      <c r="AJ1744" s="52"/>
      <c r="AL1744" s="34"/>
      <c r="AM1744" s="34"/>
      <c r="AN1744" s="34"/>
      <c r="AO1744" s="54"/>
      <c r="AP1744" s="34"/>
      <c r="AQ1744" s="34"/>
      <c r="AR1744" s="54"/>
      <c r="AS1744" s="54"/>
      <c r="AT1744" s="54"/>
      <c r="AU1744" s="54"/>
      <c r="AV1744" s="34"/>
      <c r="AW1744" s="34"/>
      <c r="AX1744" s="34"/>
      <c r="AY1744" s="34"/>
      <c r="AZ1744" s="34"/>
      <c r="BA1744" s="44"/>
      <c r="BB1744" s="34"/>
      <c r="BC1744" s="34"/>
    </row>
    <row r="1745" spans="1:55" x14ac:dyDescent="0.35" ht="15.0" customHeight="true">
      <c r="A1745" s="51"/>
      <c r="B1745" s="34"/>
      <c r="C1745" s="34"/>
      <c r="D1745" s="34"/>
      <c r="E1745" s="34"/>
      <c r="F1745" s="34"/>
      <c r="G1745" s="44"/>
      <c r="H1745" s="34"/>
      <c r="I1745" s="54"/>
      <c r="J1745" s="34"/>
      <c r="K1745" s="54"/>
      <c r="L1745" s="34"/>
      <c r="M1745" s="44"/>
      <c r="N1745" s="44"/>
      <c r="O1745" s="34"/>
      <c r="P1745" s="34"/>
      <c r="Q1745" s="34"/>
      <c r="R1745" s="34"/>
      <c r="V1745" s="44"/>
      <c r="X1745" s="95"/>
      <c r="Y1745" s="54"/>
      <c r="Z1745" s="54"/>
      <c r="AA1745" s="34"/>
      <c r="AB1745" s="34"/>
      <c r="AC1745" s="34"/>
      <c r="AD1745" s="34"/>
      <c r="AE1745" s="34"/>
      <c r="AF1745" s="34"/>
      <c r="AG1745" s="34"/>
      <c r="AH1745" s="34"/>
      <c r="AI1745" s="52"/>
      <c r="AJ1745" s="52"/>
      <c r="AL1745" s="34"/>
      <c r="AM1745" s="34"/>
      <c r="AN1745" s="34"/>
      <c r="AO1745" s="54"/>
      <c r="AP1745" s="34"/>
      <c r="AQ1745" s="34"/>
      <c r="AR1745" s="54"/>
      <c r="AS1745" s="54"/>
      <c r="AT1745" s="54"/>
      <c r="AU1745" s="54"/>
      <c r="AV1745" s="34"/>
      <c r="AW1745" s="34"/>
      <c r="AX1745" s="34"/>
      <c r="AY1745" s="34"/>
      <c r="AZ1745" s="34"/>
      <c r="BA1745" s="44"/>
      <c r="BB1745" s="34"/>
      <c r="BC1745" s="34"/>
    </row>
    <row r="1746" spans="1:55" x14ac:dyDescent="0.35" ht="15.0" customHeight="true">
      <c r="A1746" s="51"/>
      <c r="B1746" s="34"/>
      <c r="C1746" s="34"/>
      <c r="D1746" s="34"/>
      <c r="E1746" s="34"/>
      <c r="F1746" s="34"/>
      <c r="G1746" s="44"/>
      <c r="H1746" s="34"/>
      <c r="I1746" s="54"/>
      <c r="J1746" s="34"/>
      <c r="K1746" s="54"/>
      <c r="L1746" s="34"/>
      <c r="M1746" s="44"/>
      <c r="N1746" s="44"/>
      <c r="O1746" s="34"/>
      <c r="P1746" s="34"/>
      <c r="Q1746" s="34"/>
      <c r="R1746" s="34"/>
      <c r="V1746" s="44"/>
      <c r="X1746" s="95"/>
      <c r="Y1746" s="54"/>
      <c r="Z1746" s="54"/>
      <c r="AA1746" s="34"/>
      <c r="AB1746" s="34"/>
      <c r="AC1746" s="34"/>
      <c r="AD1746" s="34"/>
      <c r="AE1746" s="34"/>
      <c r="AF1746" s="34"/>
      <c r="AG1746" s="34"/>
      <c r="AH1746" s="34"/>
      <c r="AI1746" s="52"/>
      <c r="AJ1746" s="52"/>
      <c r="AL1746" s="34"/>
      <c r="AM1746" s="34"/>
      <c r="AN1746" s="34"/>
      <c r="AO1746" s="54"/>
      <c r="AP1746" s="34"/>
      <c r="AQ1746" s="34"/>
      <c r="AR1746" s="54"/>
      <c r="AS1746" s="54"/>
      <c r="AT1746" s="54"/>
      <c r="AU1746" s="54"/>
      <c r="AV1746" s="34"/>
      <c r="AW1746" s="34"/>
      <c r="AX1746" s="34"/>
      <c r="AY1746" s="34"/>
      <c r="AZ1746" s="34"/>
      <c r="BA1746" s="44"/>
      <c r="BB1746" s="34"/>
      <c r="BC1746" s="34"/>
    </row>
    <row r="1747" spans="1:55" x14ac:dyDescent="0.35" ht="15.0" customHeight="true">
      <c r="A1747" s="51"/>
      <c r="B1747" s="34"/>
      <c r="C1747" s="34"/>
      <c r="D1747" s="34"/>
      <c r="E1747" s="34"/>
      <c r="F1747" s="34"/>
      <c r="G1747" s="44"/>
      <c r="H1747" s="34"/>
      <c r="I1747" s="54"/>
      <c r="J1747" s="34"/>
      <c r="K1747" s="54"/>
      <c r="L1747" s="34"/>
      <c r="M1747" s="44"/>
      <c r="N1747" s="44"/>
      <c r="O1747" s="34"/>
      <c r="P1747" s="34"/>
      <c r="Q1747" s="34"/>
      <c r="R1747" s="34"/>
      <c r="V1747" s="44"/>
      <c r="X1747" s="95"/>
      <c r="Y1747" s="54"/>
      <c r="Z1747" s="54"/>
      <c r="AA1747" s="34"/>
      <c r="AB1747" s="34"/>
      <c r="AC1747" s="34"/>
      <c r="AD1747" s="34"/>
      <c r="AE1747" s="34"/>
      <c r="AF1747" s="34"/>
      <c r="AG1747" s="34"/>
      <c r="AH1747" s="34"/>
      <c r="AI1747" s="52"/>
      <c r="AJ1747" s="52"/>
      <c r="AL1747" s="34"/>
      <c r="AM1747" s="34"/>
      <c r="AN1747" s="34"/>
      <c r="AO1747" s="54"/>
      <c r="AP1747" s="34"/>
      <c r="AQ1747" s="34"/>
      <c r="AR1747" s="54"/>
      <c r="AS1747" s="54"/>
      <c r="AT1747" s="54"/>
      <c r="AU1747" s="54"/>
      <c r="AV1747" s="34"/>
      <c r="AW1747" s="34"/>
      <c r="AX1747" s="34"/>
      <c r="AY1747" s="34"/>
      <c r="AZ1747" s="34"/>
      <c r="BA1747" s="44"/>
      <c r="BB1747" s="34"/>
      <c r="BC1747" s="34"/>
    </row>
    <row r="1748" spans="1:55" x14ac:dyDescent="0.35" ht="15.0" customHeight="true">
      <c r="A1748" s="51"/>
      <c r="B1748" s="34"/>
      <c r="C1748" s="34"/>
      <c r="D1748" s="34"/>
      <c r="E1748" s="34"/>
      <c r="F1748" s="34"/>
      <c r="G1748" s="44"/>
      <c r="H1748" s="34"/>
      <c r="I1748" s="54"/>
      <c r="J1748" s="34"/>
      <c r="K1748" s="54"/>
      <c r="L1748" s="34"/>
      <c r="M1748" s="44"/>
      <c r="N1748" s="44"/>
      <c r="O1748" s="34"/>
      <c r="P1748" s="34"/>
      <c r="Q1748" s="34"/>
      <c r="R1748" s="34"/>
      <c r="V1748" s="44"/>
      <c r="X1748" s="95"/>
      <c r="Y1748" s="54"/>
      <c r="Z1748" s="54"/>
      <c r="AA1748" s="34"/>
      <c r="AB1748" s="34"/>
      <c r="AC1748" s="34"/>
      <c r="AD1748" s="34"/>
      <c r="AE1748" s="34"/>
      <c r="AF1748" s="34"/>
      <c r="AG1748" s="34"/>
      <c r="AH1748" s="34"/>
      <c r="AI1748" s="52"/>
      <c r="AJ1748" s="52"/>
      <c r="AL1748" s="34"/>
      <c r="AM1748" s="34"/>
      <c r="AN1748" s="34"/>
      <c r="AO1748" s="54"/>
      <c r="AP1748" s="34"/>
      <c r="AQ1748" s="34"/>
      <c r="AR1748" s="54"/>
      <c r="AS1748" s="54"/>
      <c r="AT1748" s="54"/>
      <c r="AU1748" s="54"/>
      <c r="AV1748" s="34"/>
      <c r="AW1748" s="34"/>
      <c r="AX1748" s="34"/>
      <c r="AY1748" s="34"/>
      <c r="AZ1748" s="34"/>
      <c r="BA1748" s="44"/>
      <c r="BB1748" s="34"/>
      <c r="BC1748" s="34"/>
    </row>
    <row r="1749" spans="1:55" x14ac:dyDescent="0.35" ht="15.0" customHeight="true">
      <c r="A1749" s="51"/>
      <c r="B1749" s="34"/>
      <c r="C1749" s="34"/>
      <c r="D1749" s="34"/>
      <c r="E1749" s="34"/>
      <c r="F1749" s="34"/>
      <c r="G1749" s="44"/>
      <c r="H1749" s="34"/>
      <c r="I1749" s="54"/>
      <c r="J1749" s="34"/>
      <c r="K1749" s="54"/>
      <c r="L1749" s="34"/>
      <c r="M1749" s="44"/>
      <c r="N1749" s="44"/>
      <c r="O1749" s="34"/>
      <c r="P1749" s="34"/>
      <c r="Q1749" s="34"/>
      <c r="R1749" s="34"/>
      <c r="V1749" s="44"/>
      <c r="X1749" s="95"/>
      <c r="Y1749" s="54"/>
      <c r="Z1749" s="54"/>
      <c r="AA1749" s="34"/>
      <c r="AB1749" s="34"/>
      <c r="AC1749" s="34"/>
      <c r="AD1749" s="34"/>
      <c r="AE1749" s="34"/>
      <c r="AF1749" s="34"/>
      <c r="AG1749" s="34"/>
      <c r="AH1749" s="34"/>
      <c r="AI1749" s="52"/>
      <c r="AJ1749" s="52"/>
      <c r="AL1749" s="34"/>
      <c r="AM1749" s="34"/>
      <c r="AN1749" s="34"/>
      <c r="AO1749" s="54"/>
      <c r="AP1749" s="34"/>
      <c r="AQ1749" s="34"/>
      <c r="AR1749" s="54"/>
      <c r="AS1749" s="54"/>
      <c r="AT1749" s="54"/>
      <c r="AU1749" s="54"/>
      <c r="AV1749" s="34"/>
      <c r="AW1749" s="34"/>
      <c r="AX1749" s="34"/>
      <c r="AY1749" s="34"/>
      <c r="AZ1749" s="34"/>
      <c r="BA1749" s="44"/>
      <c r="BB1749" s="34"/>
      <c r="BC1749" s="34"/>
    </row>
    <row r="1750" spans="1:55" x14ac:dyDescent="0.35" ht="15.0" customHeight="true">
      <c r="A1750" s="51"/>
      <c r="B1750" s="34"/>
      <c r="C1750" s="34"/>
      <c r="D1750" s="34"/>
      <c r="E1750" s="34"/>
      <c r="F1750" s="34"/>
      <c r="G1750" s="44"/>
      <c r="H1750" s="34"/>
      <c r="I1750" s="54"/>
      <c r="J1750" s="34"/>
      <c r="K1750" s="54"/>
      <c r="L1750" s="34"/>
      <c r="M1750" s="44"/>
      <c r="N1750" s="44"/>
      <c r="O1750" s="34"/>
      <c r="P1750" s="34"/>
      <c r="Q1750" s="34"/>
      <c r="R1750" s="34"/>
      <c r="V1750" s="44"/>
      <c r="X1750" s="95"/>
      <c r="Y1750" s="54"/>
      <c r="Z1750" s="54"/>
      <c r="AA1750" s="34"/>
      <c r="AB1750" s="34"/>
      <c r="AC1750" s="34"/>
      <c r="AD1750" s="34"/>
      <c r="AE1750" s="34"/>
      <c r="AF1750" s="34"/>
      <c r="AG1750" s="34"/>
      <c r="AH1750" s="34"/>
      <c r="AI1750" s="52"/>
      <c r="AJ1750" s="52"/>
      <c r="AL1750" s="34"/>
      <c r="AM1750" s="34"/>
      <c r="AN1750" s="34"/>
      <c r="AO1750" s="54"/>
      <c r="AP1750" s="34"/>
      <c r="AQ1750" s="34"/>
      <c r="AR1750" s="54"/>
      <c r="AS1750" s="54"/>
      <c r="AT1750" s="54"/>
      <c r="AU1750" s="54"/>
      <c r="AV1750" s="34"/>
      <c r="AW1750" s="34"/>
      <c r="AX1750" s="34"/>
      <c r="AY1750" s="34"/>
      <c r="AZ1750" s="34"/>
      <c r="BA1750" s="44"/>
      <c r="BB1750" s="34"/>
      <c r="BC1750" s="34"/>
    </row>
    <row r="1751" spans="1:55" x14ac:dyDescent="0.35" ht="15.0" customHeight="true">
      <c r="A1751" s="51"/>
      <c r="B1751" s="34"/>
      <c r="C1751" s="34"/>
      <c r="D1751" s="34"/>
      <c r="E1751" s="34"/>
      <c r="F1751" s="34"/>
      <c r="G1751" s="44"/>
      <c r="H1751" s="34"/>
      <c r="I1751" s="54"/>
      <c r="J1751" s="34"/>
      <c r="K1751" s="54"/>
      <c r="L1751" s="34"/>
      <c r="M1751" s="44"/>
      <c r="N1751" s="44"/>
      <c r="O1751" s="34"/>
      <c r="P1751" s="34"/>
      <c r="Q1751" s="34"/>
      <c r="R1751" s="34"/>
      <c r="V1751" s="44"/>
      <c r="X1751" s="95"/>
      <c r="Y1751" s="54"/>
      <c r="Z1751" s="54"/>
      <c r="AA1751" s="34"/>
      <c r="AB1751" s="34"/>
      <c r="AC1751" s="34"/>
      <c r="AD1751" s="34"/>
      <c r="AE1751" s="34"/>
      <c r="AF1751" s="34"/>
      <c r="AG1751" s="34"/>
      <c r="AH1751" s="34"/>
      <c r="AI1751" s="52"/>
      <c r="AJ1751" s="52"/>
      <c r="AL1751" s="34"/>
      <c r="AM1751" s="34"/>
      <c r="AN1751" s="34"/>
      <c r="AO1751" s="54"/>
      <c r="AP1751" s="34"/>
      <c r="AQ1751" s="34"/>
      <c r="AR1751" s="54"/>
      <c r="AS1751" s="54"/>
      <c r="AT1751" s="54"/>
      <c r="AU1751" s="54"/>
      <c r="AV1751" s="34"/>
      <c r="AW1751" s="34"/>
      <c r="AX1751" s="34"/>
      <c r="AY1751" s="34"/>
      <c r="AZ1751" s="34"/>
      <c r="BA1751" s="44"/>
      <c r="BB1751" s="34"/>
      <c r="BC1751" s="34"/>
    </row>
    <row r="1752" spans="1:55" x14ac:dyDescent="0.35" ht="15.0" customHeight="true">
      <c r="A1752" s="51"/>
      <c r="B1752" s="34"/>
      <c r="C1752" s="34"/>
      <c r="D1752" s="34"/>
      <c r="E1752" s="34"/>
      <c r="F1752" s="34"/>
      <c r="G1752" s="44"/>
      <c r="H1752" s="34"/>
      <c r="I1752" s="54"/>
      <c r="J1752" s="34"/>
      <c r="K1752" s="54"/>
      <c r="L1752" s="34"/>
      <c r="M1752" s="44"/>
      <c r="N1752" s="44"/>
      <c r="O1752" s="34"/>
      <c r="P1752" s="34"/>
      <c r="Q1752" s="34"/>
      <c r="R1752" s="34"/>
      <c r="V1752" s="44"/>
      <c r="X1752" s="95"/>
      <c r="Y1752" s="54"/>
      <c r="Z1752" s="54"/>
      <c r="AA1752" s="34"/>
      <c r="AB1752" s="34"/>
      <c r="AC1752" s="34"/>
      <c r="AD1752" s="34"/>
      <c r="AE1752" s="34"/>
      <c r="AF1752" s="34"/>
      <c r="AG1752" s="34"/>
      <c r="AH1752" s="34"/>
      <c r="AI1752" s="52"/>
      <c r="AJ1752" s="52"/>
      <c r="AL1752" s="34"/>
      <c r="AM1752" s="34"/>
      <c r="AN1752" s="34"/>
      <c r="AO1752" s="54"/>
      <c r="AP1752" s="34"/>
      <c r="AQ1752" s="34"/>
      <c r="AR1752" s="54"/>
      <c r="AS1752" s="54"/>
      <c r="AT1752" s="54"/>
      <c r="AU1752" s="54"/>
      <c r="AV1752" s="34"/>
      <c r="AW1752" s="34"/>
      <c r="AX1752" s="34"/>
      <c r="AY1752" s="34"/>
      <c r="AZ1752" s="34"/>
      <c r="BA1752" s="44"/>
      <c r="BB1752" s="34"/>
      <c r="BC1752" s="34"/>
    </row>
    <row r="1753" spans="1:55" x14ac:dyDescent="0.35" ht="15.0" customHeight="true">
      <c r="A1753" s="51"/>
      <c r="B1753" s="34"/>
      <c r="C1753" s="34"/>
      <c r="D1753" s="34"/>
      <c r="E1753" s="34"/>
      <c r="F1753" s="34"/>
      <c r="G1753" s="44"/>
      <c r="H1753" s="34"/>
      <c r="I1753" s="54"/>
      <c r="J1753" s="34"/>
      <c r="K1753" s="54"/>
      <c r="L1753" s="34"/>
      <c r="M1753" s="44"/>
      <c r="N1753" s="44"/>
      <c r="O1753" s="34"/>
      <c r="P1753" s="34"/>
      <c r="Q1753" s="34"/>
      <c r="R1753" s="34"/>
      <c r="V1753" s="44"/>
      <c r="X1753" s="95"/>
      <c r="Y1753" s="54"/>
      <c r="Z1753" s="54"/>
      <c r="AA1753" s="34"/>
      <c r="AB1753" s="34"/>
      <c r="AC1753" s="34"/>
      <c r="AD1753" s="34"/>
      <c r="AE1753" s="34"/>
      <c r="AF1753" s="34"/>
      <c r="AG1753" s="34"/>
      <c r="AH1753" s="34"/>
      <c r="AI1753" s="52"/>
      <c r="AJ1753" s="52"/>
      <c r="AL1753" s="34"/>
      <c r="AM1753" s="34"/>
      <c r="AN1753" s="34"/>
      <c r="AO1753" s="54"/>
      <c r="AP1753" s="34"/>
      <c r="AQ1753" s="34"/>
      <c r="AR1753" s="54"/>
      <c r="AS1753" s="54"/>
      <c r="AT1753" s="54"/>
      <c r="AU1753" s="54"/>
      <c r="AV1753" s="34"/>
      <c r="AW1753" s="34"/>
      <c r="AX1753" s="34"/>
      <c r="AY1753" s="34"/>
      <c r="AZ1753" s="34"/>
      <c r="BA1753" s="44"/>
      <c r="BB1753" s="34"/>
      <c r="BC1753" s="34"/>
    </row>
    <row r="1754" spans="1:55" x14ac:dyDescent="0.35" ht="15.0" customHeight="true">
      <c r="A1754" s="51"/>
      <c r="B1754" s="34"/>
      <c r="C1754" s="34"/>
      <c r="D1754" s="34"/>
      <c r="E1754" s="34"/>
      <c r="F1754" s="34"/>
      <c r="G1754" s="44"/>
      <c r="H1754" s="34"/>
      <c r="I1754" s="54"/>
      <c r="J1754" s="34"/>
      <c r="K1754" s="54"/>
      <c r="L1754" s="34"/>
      <c r="M1754" s="44"/>
      <c r="N1754" s="44"/>
      <c r="O1754" s="34"/>
      <c r="P1754" s="34"/>
      <c r="Q1754" s="34"/>
      <c r="R1754" s="34"/>
      <c r="V1754" s="44"/>
      <c r="X1754" s="95"/>
      <c r="Y1754" s="54"/>
      <c r="Z1754" s="54"/>
      <c r="AA1754" s="34"/>
      <c r="AB1754" s="34"/>
      <c r="AC1754" s="34"/>
      <c r="AD1754" s="34"/>
      <c r="AE1754" s="34"/>
      <c r="AF1754" s="34"/>
      <c r="AG1754" s="34"/>
      <c r="AH1754" s="34"/>
      <c r="AI1754" s="52"/>
      <c r="AJ1754" s="52"/>
      <c r="AL1754" s="34"/>
      <c r="AM1754" s="34"/>
      <c r="AN1754" s="34"/>
      <c r="AO1754" s="54"/>
      <c r="AP1754" s="34"/>
      <c r="AQ1754" s="34"/>
      <c r="AR1754" s="54"/>
      <c r="AS1754" s="54"/>
      <c r="AT1754" s="54"/>
      <c r="AU1754" s="54"/>
      <c r="AV1754" s="34"/>
      <c r="AW1754" s="34"/>
      <c r="AX1754" s="34"/>
      <c r="AY1754" s="34"/>
      <c r="AZ1754" s="34"/>
      <c r="BA1754" s="44"/>
      <c r="BB1754" s="34"/>
      <c r="BC1754" s="34"/>
    </row>
    <row r="1755" spans="1:55" x14ac:dyDescent="0.35" ht="15.0" customHeight="true">
      <c r="A1755" s="51"/>
      <c r="B1755" s="34"/>
      <c r="C1755" s="34"/>
      <c r="D1755" s="34"/>
      <c r="E1755" s="34"/>
      <c r="F1755" s="34"/>
      <c r="G1755" s="44"/>
      <c r="H1755" s="34"/>
      <c r="I1755" s="54"/>
      <c r="J1755" s="34"/>
      <c r="K1755" s="54"/>
      <c r="L1755" s="34"/>
      <c r="M1755" s="44"/>
      <c r="N1755" s="44"/>
      <c r="O1755" s="34"/>
      <c r="P1755" s="34"/>
      <c r="Q1755" s="34"/>
      <c r="R1755" s="34"/>
      <c r="V1755" s="44"/>
      <c r="X1755" s="95"/>
      <c r="Y1755" s="54"/>
      <c r="Z1755" s="54"/>
      <c r="AA1755" s="34"/>
      <c r="AB1755" s="34"/>
      <c r="AC1755" s="34"/>
      <c r="AD1755" s="34"/>
      <c r="AE1755" s="34"/>
      <c r="AF1755" s="34"/>
      <c r="AG1755" s="34"/>
      <c r="AH1755" s="34"/>
      <c r="AI1755" s="52"/>
      <c r="AJ1755" s="52"/>
      <c r="AL1755" s="34"/>
      <c r="AM1755" s="34"/>
      <c r="AN1755" s="34"/>
      <c r="AO1755" s="54"/>
      <c r="AP1755" s="34"/>
      <c r="AQ1755" s="34"/>
      <c r="AR1755" s="54"/>
      <c r="AS1755" s="54"/>
      <c r="AT1755" s="54"/>
      <c r="AU1755" s="54"/>
      <c r="AV1755" s="34"/>
      <c r="AW1755" s="34"/>
      <c r="AX1755" s="34"/>
      <c r="AY1755" s="34"/>
      <c r="AZ1755" s="34"/>
      <c r="BA1755" s="44"/>
      <c r="BB1755" s="34"/>
      <c r="BC1755" s="34"/>
    </row>
    <row r="1756" spans="1:55" x14ac:dyDescent="0.35" ht="15.0" customHeight="true">
      <c r="A1756" s="51"/>
      <c r="B1756" s="34"/>
      <c r="C1756" s="34"/>
      <c r="D1756" s="34"/>
      <c r="E1756" s="34"/>
      <c r="F1756" s="34"/>
      <c r="G1756" s="44"/>
      <c r="H1756" s="34"/>
      <c r="I1756" s="54"/>
      <c r="J1756" s="34"/>
      <c r="K1756" s="54"/>
      <c r="L1756" s="34"/>
      <c r="M1756" s="44"/>
      <c r="N1756" s="44"/>
      <c r="O1756" s="34"/>
      <c r="P1756" s="34"/>
      <c r="Q1756" s="34"/>
      <c r="R1756" s="34"/>
      <c r="V1756" s="44"/>
      <c r="X1756" s="95"/>
      <c r="Y1756" s="54"/>
      <c r="Z1756" s="54"/>
      <c r="AA1756" s="34"/>
      <c r="AB1756" s="34"/>
      <c r="AC1756" s="34"/>
      <c r="AD1756" s="34"/>
      <c r="AE1756" s="34"/>
      <c r="AF1756" s="34"/>
      <c r="AG1756" s="34"/>
      <c r="AH1756" s="34"/>
      <c r="AI1756" s="52"/>
      <c r="AJ1756" s="52"/>
      <c r="AL1756" s="34"/>
      <c r="AM1756" s="34"/>
      <c r="AN1756" s="34"/>
      <c r="AO1756" s="54"/>
      <c r="AP1756" s="34"/>
      <c r="AQ1756" s="34"/>
      <c r="AR1756" s="54"/>
      <c r="AS1756" s="54"/>
      <c r="AT1756" s="54"/>
      <c r="AU1756" s="54"/>
      <c r="AV1756" s="34"/>
      <c r="AW1756" s="34"/>
      <c r="AX1756" s="34"/>
      <c r="AY1756" s="34"/>
      <c r="AZ1756" s="34"/>
      <c r="BA1756" s="44"/>
      <c r="BB1756" s="34"/>
      <c r="BC1756" s="34"/>
    </row>
    <row r="1757" spans="1:55" x14ac:dyDescent="0.35" ht="15.0" customHeight="true">
      <c r="A1757" s="51"/>
      <c r="B1757" s="34"/>
      <c r="C1757" s="34"/>
      <c r="D1757" s="34"/>
      <c r="E1757" s="34"/>
      <c r="F1757" s="34"/>
      <c r="G1757" s="44"/>
      <c r="H1757" s="34"/>
      <c r="I1757" s="54"/>
      <c r="J1757" s="34"/>
      <c r="K1757" s="54"/>
      <c r="L1757" s="34"/>
      <c r="M1757" s="44"/>
      <c r="N1757" s="44"/>
      <c r="O1757" s="34"/>
      <c r="P1757" s="34"/>
      <c r="Q1757" s="34"/>
      <c r="R1757" s="34"/>
      <c r="V1757" s="44"/>
      <c r="X1757" s="95"/>
      <c r="Y1757" s="54"/>
      <c r="Z1757" s="54"/>
      <c r="AA1757" s="34"/>
      <c r="AB1757" s="34"/>
      <c r="AC1757" s="34"/>
      <c r="AD1757" s="34"/>
      <c r="AE1757" s="34"/>
      <c r="AF1757" s="34"/>
      <c r="AG1757" s="34"/>
      <c r="AH1757" s="34"/>
      <c r="AI1757" s="52"/>
      <c r="AJ1757" s="52"/>
      <c r="AL1757" s="34"/>
      <c r="AM1757" s="34"/>
      <c r="AN1757" s="34"/>
      <c r="AO1757" s="54"/>
      <c r="AP1757" s="34"/>
      <c r="AQ1757" s="34"/>
      <c r="AR1757" s="54"/>
      <c r="AS1757" s="54"/>
      <c r="AT1757" s="54"/>
      <c r="AU1757" s="54"/>
      <c r="AV1757" s="34"/>
      <c r="AW1757" s="34"/>
      <c r="AX1757" s="34"/>
      <c r="AY1757" s="34"/>
      <c r="AZ1757" s="34"/>
      <c r="BA1757" s="44"/>
      <c r="BB1757" s="34"/>
      <c r="BC1757" s="34"/>
    </row>
    <row r="1758" spans="1:55" x14ac:dyDescent="0.35" ht="15.0" customHeight="true">
      <c r="A1758" s="51"/>
      <c r="B1758" s="34"/>
      <c r="C1758" s="34"/>
      <c r="D1758" s="34"/>
      <c r="E1758" s="34"/>
      <c r="F1758" s="34"/>
      <c r="G1758" s="44"/>
      <c r="H1758" s="34"/>
      <c r="I1758" s="54"/>
      <c r="J1758" s="34"/>
      <c r="K1758" s="54"/>
      <c r="L1758" s="34"/>
      <c r="M1758" s="44"/>
      <c r="N1758" s="44"/>
      <c r="O1758" s="34"/>
      <c r="P1758" s="34"/>
      <c r="Q1758" s="34"/>
      <c r="R1758" s="34"/>
      <c r="V1758" s="44"/>
      <c r="X1758" s="95"/>
      <c r="Y1758" s="54"/>
      <c r="Z1758" s="54"/>
      <c r="AA1758" s="34"/>
      <c r="AB1758" s="34"/>
      <c r="AC1758" s="34"/>
      <c r="AD1758" s="34"/>
      <c r="AE1758" s="34"/>
      <c r="AF1758" s="34"/>
      <c r="AG1758" s="34"/>
      <c r="AH1758" s="34"/>
      <c r="AI1758" s="52"/>
      <c r="AJ1758" s="52"/>
      <c r="AL1758" s="34"/>
      <c r="AM1758" s="34"/>
      <c r="AN1758" s="34"/>
      <c r="AO1758" s="54"/>
      <c r="AP1758" s="34"/>
      <c r="AQ1758" s="34"/>
      <c r="AR1758" s="54"/>
      <c r="AS1758" s="54"/>
      <c r="AT1758" s="54"/>
      <c r="AU1758" s="54"/>
      <c r="AV1758" s="34"/>
      <c r="AW1758" s="34"/>
      <c r="AX1758" s="34"/>
      <c r="AY1758" s="34"/>
      <c r="AZ1758" s="34"/>
      <c r="BA1758" s="44"/>
      <c r="BB1758" s="34"/>
      <c r="BC1758" s="34"/>
    </row>
    <row r="1759" spans="1:55" x14ac:dyDescent="0.35" ht="15.0" customHeight="true">
      <c r="A1759" s="51"/>
      <c r="B1759" s="34"/>
      <c r="C1759" s="34"/>
      <c r="D1759" s="34"/>
      <c r="E1759" s="34"/>
      <c r="F1759" s="34"/>
      <c r="G1759" s="44"/>
      <c r="H1759" s="34"/>
      <c r="I1759" s="54"/>
      <c r="J1759" s="34"/>
      <c r="K1759" s="54"/>
      <c r="L1759" s="34"/>
      <c r="M1759" s="44"/>
      <c r="N1759" s="44"/>
      <c r="O1759" s="34"/>
      <c r="P1759" s="34"/>
      <c r="Q1759" s="34"/>
      <c r="R1759" s="34"/>
      <c r="V1759" s="44"/>
      <c r="X1759" s="95"/>
      <c r="Y1759" s="54"/>
      <c r="Z1759" s="54"/>
      <c r="AA1759" s="34"/>
      <c r="AB1759" s="34"/>
      <c r="AC1759" s="34"/>
      <c r="AD1759" s="34"/>
      <c r="AE1759" s="34"/>
      <c r="AF1759" s="34"/>
      <c r="AG1759" s="34"/>
      <c r="AH1759" s="34"/>
      <c r="AI1759" s="52"/>
      <c r="AJ1759" s="52"/>
      <c r="AL1759" s="34"/>
      <c r="AM1759" s="34"/>
      <c r="AN1759" s="34"/>
      <c r="AO1759" s="54"/>
      <c r="AP1759" s="34"/>
      <c r="AQ1759" s="34"/>
      <c r="AR1759" s="54"/>
      <c r="AS1759" s="54"/>
      <c r="AT1759" s="54"/>
      <c r="AU1759" s="54"/>
      <c r="AV1759" s="34"/>
      <c r="AW1759" s="34"/>
      <c r="AX1759" s="34"/>
      <c r="AY1759" s="34"/>
      <c r="AZ1759" s="34"/>
      <c r="BA1759" s="44"/>
      <c r="BB1759" s="34"/>
      <c r="BC1759" s="34"/>
    </row>
    <row r="1760" spans="1:55" x14ac:dyDescent="0.35" ht="15.0" customHeight="true">
      <c r="A1760" s="51"/>
      <c r="B1760" s="34"/>
      <c r="C1760" s="34"/>
      <c r="D1760" s="34"/>
      <c r="E1760" s="34"/>
      <c r="F1760" s="34"/>
      <c r="G1760" s="44"/>
      <c r="H1760" s="34"/>
      <c r="I1760" s="54"/>
      <c r="J1760" s="34"/>
      <c r="K1760" s="54"/>
      <c r="L1760" s="34"/>
      <c r="M1760" s="44"/>
      <c r="N1760" s="44"/>
      <c r="O1760" s="34"/>
      <c r="P1760" s="34"/>
      <c r="Q1760" s="34"/>
      <c r="R1760" s="34"/>
      <c r="V1760" s="44"/>
      <c r="X1760" s="95"/>
      <c r="Y1760" s="54"/>
      <c r="Z1760" s="54"/>
      <c r="AA1760" s="34"/>
      <c r="AB1760" s="34"/>
      <c r="AC1760" s="34"/>
      <c r="AD1760" s="34"/>
      <c r="AE1760" s="34"/>
      <c r="AF1760" s="34"/>
      <c r="AG1760" s="34"/>
      <c r="AH1760" s="34"/>
      <c r="AI1760" s="52"/>
      <c r="AJ1760" s="52"/>
      <c r="AL1760" s="34"/>
      <c r="AM1760" s="34"/>
      <c r="AN1760" s="34"/>
      <c r="AO1760" s="54"/>
      <c r="AP1760" s="34"/>
      <c r="AQ1760" s="34"/>
      <c r="AR1760" s="54"/>
      <c r="AS1760" s="54"/>
      <c r="AT1760" s="54"/>
      <c r="AU1760" s="54"/>
      <c r="AV1760" s="34"/>
      <c r="AW1760" s="34"/>
      <c r="AX1760" s="34"/>
      <c r="AY1760" s="34"/>
      <c r="AZ1760" s="34"/>
      <c r="BA1760" s="44"/>
      <c r="BB1760" s="34"/>
      <c r="BC1760" s="34"/>
    </row>
    <row r="1761" spans="1:55" x14ac:dyDescent="0.35" ht="15.0" customHeight="true">
      <c r="A1761" s="51"/>
      <c r="B1761" s="34"/>
      <c r="C1761" s="34"/>
      <c r="D1761" s="34"/>
      <c r="E1761" s="34"/>
      <c r="F1761" s="34"/>
      <c r="G1761" s="44"/>
      <c r="H1761" s="34"/>
      <c r="I1761" s="54"/>
      <c r="J1761" s="34"/>
      <c r="K1761" s="54"/>
      <c r="L1761" s="34"/>
      <c r="M1761" s="44"/>
      <c r="N1761" s="44"/>
      <c r="O1761" s="34"/>
      <c r="P1761" s="34"/>
      <c r="Q1761" s="34"/>
      <c r="R1761" s="34"/>
      <c r="V1761" s="44"/>
      <c r="X1761" s="95"/>
      <c r="Y1761" s="54"/>
      <c r="Z1761" s="54"/>
      <c r="AA1761" s="34"/>
      <c r="AB1761" s="34"/>
      <c r="AC1761" s="34"/>
      <c r="AD1761" s="34"/>
      <c r="AE1761" s="34"/>
      <c r="AF1761" s="34"/>
      <c r="AG1761" s="34"/>
      <c r="AH1761" s="34"/>
      <c r="AI1761" s="52"/>
      <c r="AJ1761" s="52"/>
      <c r="AL1761" s="34"/>
      <c r="AM1761" s="34"/>
      <c r="AN1761" s="34"/>
      <c r="AO1761" s="54"/>
      <c r="AP1761" s="34"/>
      <c r="AQ1761" s="34"/>
      <c r="AR1761" s="54"/>
      <c r="AS1761" s="54"/>
      <c r="AT1761" s="54"/>
      <c r="AU1761" s="54"/>
      <c r="AV1761" s="34"/>
      <c r="AW1761" s="34"/>
      <c r="AX1761" s="34"/>
      <c r="AY1761" s="34"/>
      <c r="AZ1761" s="34"/>
      <c r="BA1761" s="44"/>
      <c r="BB1761" s="34"/>
      <c r="BC1761" s="34"/>
    </row>
    <row r="1762" spans="1:55" x14ac:dyDescent="0.35" ht="15.0" customHeight="true">
      <c r="A1762" s="51"/>
      <c r="B1762" s="34"/>
      <c r="C1762" s="34"/>
      <c r="D1762" s="34"/>
      <c r="E1762" s="34"/>
      <c r="F1762" s="34"/>
      <c r="G1762" s="44"/>
      <c r="H1762" s="34"/>
      <c r="I1762" s="54"/>
      <c r="J1762" s="34"/>
      <c r="K1762" s="54"/>
      <c r="L1762" s="34"/>
      <c r="M1762" s="44"/>
      <c r="N1762" s="44"/>
      <c r="O1762" s="34"/>
      <c r="P1762" s="34"/>
      <c r="Q1762" s="34"/>
      <c r="R1762" s="34"/>
      <c r="V1762" s="44"/>
      <c r="X1762" s="95"/>
      <c r="Y1762" s="54"/>
      <c r="Z1762" s="54"/>
      <c r="AA1762" s="34"/>
      <c r="AB1762" s="34"/>
      <c r="AC1762" s="34"/>
      <c r="AD1762" s="34"/>
      <c r="AE1762" s="34"/>
      <c r="AF1762" s="34"/>
      <c r="AG1762" s="34"/>
      <c r="AH1762" s="34"/>
      <c r="AI1762" s="52"/>
      <c r="AJ1762" s="52"/>
      <c r="AL1762" s="34"/>
      <c r="AM1762" s="34"/>
      <c r="AN1762" s="34"/>
      <c r="AO1762" s="54"/>
      <c r="AP1762" s="34"/>
      <c r="AQ1762" s="34"/>
      <c r="AR1762" s="54"/>
      <c r="AS1762" s="54"/>
      <c r="AT1762" s="54"/>
      <c r="AU1762" s="54"/>
      <c r="AV1762" s="34"/>
      <c r="AW1762" s="34"/>
      <c r="AX1762" s="34"/>
      <c r="AY1762" s="34"/>
      <c r="AZ1762" s="34"/>
      <c r="BA1762" s="44"/>
      <c r="BB1762" s="34"/>
      <c r="BC1762" s="34"/>
    </row>
    <row r="1763" spans="1:55" x14ac:dyDescent="0.35" ht="15.0" customHeight="true">
      <c r="A1763" s="51"/>
      <c r="B1763" s="34"/>
      <c r="C1763" s="34"/>
      <c r="D1763" s="34"/>
      <c r="E1763" s="34"/>
      <c r="F1763" s="34"/>
      <c r="G1763" s="44"/>
      <c r="H1763" s="34"/>
      <c r="I1763" s="54"/>
      <c r="J1763" s="34"/>
      <c r="K1763" s="54"/>
      <c r="L1763" s="34"/>
      <c r="M1763" s="44"/>
      <c r="N1763" s="44"/>
      <c r="O1763" s="34"/>
      <c r="P1763" s="34"/>
      <c r="Q1763" s="34"/>
      <c r="R1763" s="34"/>
      <c r="V1763" s="44"/>
      <c r="X1763" s="95"/>
      <c r="Y1763" s="54"/>
      <c r="Z1763" s="54"/>
      <c r="AA1763" s="34"/>
      <c r="AB1763" s="34"/>
      <c r="AC1763" s="34"/>
      <c r="AD1763" s="34"/>
      <c r="AE1763" s="34"/>
      <c r="AF1763" s="34"/>
      <c r="AG1763" s="34"/>
      <c r="AH1763" s="34"/>
      <c r="AI1763" s="52"/>
      <c r="AJ1763" s="52"/>
      <c r="AL1763" s="34"/>
      <c r="AM1763" s="34"/>
      <c r="AN1763" s="34"/>
      <c r="AO1763" s="54"/>
      <c r="AP1763" s="34"/>
      <c r="AQ1763" s="34"/>
      <c r="AR1763" s="54"/>
      <c r="AS1763" s="54"/>
      <c r="AT1763" s="54"/>
      <c r="AU1763" s="54"/>
      <c r="AV1763" s="34"/>
      <c r="AW1763" s="34"/>
      <c r="AX1763" s="34"/>
      <c r="AY1763" s="34"/>
      <c r="AZ1763" s="34"/>
      <c r="BA1763" s="44"/>
      <c r="BB1763" s="34"/>
      <c r="BC1763" s="34"/>
    </row>
    <row r="1764" spans="1:55" x14ac:dyDescent="0.35" ht="15.0" customHeight="true">
      <c r="A1764" s="51"/>
      <c r="B1764" s="34"/>
      <c r="C1764" s="34"/>
      <c r="D1764" s="34"/>
      <c r="E1764" s="34"/>
      <c r="F1764" s="34"/>
      <c r="G1764" s="44"/>
      <c r="H1764" s="34"/>
      <c r="I1764" s="54"/>
      <c r="J1764" s="34"/>
      <c r="K1764" s="54"/>
      <c r="L1764" s="34"/>
      <c r="M1764" s="44"/>
      <c r="N1764" s="44"/>
      <c r="O1764" s="34"/>
      <c r="P1764" s="34"/>
      <c r="Q1764" s="34"/>
      <c r="R1764" s="34"/>
      <c r="V1764" s="44"/>
      <c r="X1764" s="95"/>
      <c r="Y1764" s="54"/>
      <c r="Z1764" s="54"/>
      <c r="AA1764" s="34"/>
      <c r="AB1764" s="34"/>
      <c r="AC1764" s="34"/>
      <c r="AD1764" s="34"/>
      <c r="AE1764" s="34"/>
      <c r="AF1764" s="34"/>
      <c r="AG1764" s="34"/>
      <c r="AH1764" s="34"/>
      <c r="AI1764" s="52"/>
      <c r="AJ1764" s="52"/>
      <c r="AL1764" s="34"/>
      <c r="AM1764" s="34"/>
      <c r="AN1764" s="34"/>
      <c r="AO1764" s="54"/>
      <c r="AP1764" s="34"/>
      <c r="AQ1764" s="34"/>
      <c r="AR1764" s="54"/>
      <c r="AS1764" s="54"/>
      <c r="AT1764" s="54"/>
      <c r="AU1764" s="54"/>
      <c r="AV1764" s="34"/>
      <c r="AW1764" s="34"/>
      <c r="AX1764" s="34"/>
      <c r="AY1764" s="34"/>
      <c r="AZ1764" s="34"/>
      <c r="BA1764" s="44"/>
      <c r="BB1764" s="34"/>
      <c r="BC1764" s="34"/>
    </row>
    <row r="1765" spans="1:55" x14ac:dyDescent="0.35" ht="15.0" customHeight="true">
      <c r="A1765" s="51"/>
      <c r="B1765" s="34"/>
      <c r="C1765" s="34"/>
      <c r="D1765" s="34"/>
      <c r="E1765" s="34"/>
      <c r="F1765" s="34"/>
      <c r="G1765" s="44"/>
      <c r="H1765" s="34"/>
      <c r="I1765" s="54"/>
      <c r="J1765" s="34"/>
      <c r="K1765" s="54"/>
      <c r="L1765" s="34"/>
      <c r="M1765" s="44"/>
      <c r="N1765" s="44"/>
      <c r="O1765" s="34"/>
      <c r="P1765" s="34"/>
      <c r="Q1765" s="34"/>
      <c r="R1765" s="34"/>
      <c r="V1765" s="44"/>
      <c r="X1765" s="95"/>
      <c r="Y1765" s="54"/>
      <c r="Z1765" s="54"/>
      <c r="AA1765" s="34"/>
      <c r="AB1765" s="34"/>
      <c r="AC1765" s="34"/>
      <c r="AD1765" s="34"/>
      <c r="AE1765" s="34"/>
      <c r="AF1765" s="34"/>
      <c r="AG1765" s="34"/>
      <c r="AH1765" s="34"/>
      <c r="AI1765" s="52"/>
      <c r="AJ1765" s="52"/>
      <c r="AL1765" s="34"/>
      <c r="AM1765" s="34"/>
      <c r="AN1765" s="34"/>
      <c r="AO1765" s="54"/>
      <c r="AP1765" s="34"/>
      <c r="AQ1765" s="34"/>
      <c r="AR1765" s="54"/>
      <c r="AS1765" s="54"/>
      <c r="AT1765" s="54"/>
      <c r="AU1765" s="54"/>
      <c r="AV1765" s="34"/>
      <c r="AW1765" s="34"/>
      <c r="AX1765" s="34"/>
      <c r="AY1765" s="34"/>
      <c r="AZ1765" s="34"/>
      <c r="BA1765" s="44"/>
      <c r="BB1765" s="34"/>
      <c r="BC1765" s="34"/>
    </row>
    <row r="1766" spans="1:55" x14ac:dyDescent="0.35" ht="15.0" customHeight="true">
      <c r="A1766" s="51"/>
      <c r="B1766" s="34"/>
      <c r="C1766" s="34"/>
      <c r="D1766" s="34"/>
      <c r="E1766" s="34"/>
      <c r="F1766" s="34"/>
      <c r="G1766" s="44"/>
      <c r="H1766" s="34"/>
      <c r="I1766" s="54"/>
      <c r="J1766" s="34"/>
      <c r="K1766" s="54"/>
      <c r="L1766" s="34"/>
      <c r="M1766" s="44"/>
      <c r="N1766" s="44"/>
      <c r="O1766" s="34"/>
      <c r="P1766" s="34"/>
      <c r="Q1766" s="34"/>
      <c r="R1766" s="34"/>
      <c r="V1766" s="44"/>
      <c r="X1766" s="95"/>
      <c r="Y1766" s="54"/>
      <c r="Z1766" s="54"/>
      <c r="AA1766" s="34"/>
      <c r="AB1766" s="34"/>
      <c r="AC1766" s="34"/>
      <c r="AD1766" s="34"/>
      <c r="AE1766" s="34"/>
      <c r="AF1766" s="34"/>
      <c r="AG1766" s="34"/>
      <c r="AH1766" s="34"/>
      <c r="AI1766" s="52"/>
      <c r="AJ1766" s="52"/>
      <c r="AL1766" s="34"/>
      <c r="AM1766" s="34"/>
      <c r="AN1766" s="34"/>
      <c r="AO1766" s="54"/>
      <c r="AP1766" s="34"/>
      <c r="AQ1766" s="34"/>
      <c r="AR1766" s="54"/>
      <c r="AS1766" s="54"/>
      <c r="AT1766" s="54"/>
      <c r="AU1766" s="54"/>
      <c r="AV1766" s="34"/>
      <c r="AW1766" s="34"/>
      <c r="AX1766" s="34"/>
      <c r="AY1766" s="34"/>
      <c r="AZ1766" s="34"/>
      <c r="BA1766" s="44"/>
      <c r="BB1766" s="34"/>
      <c r="BC1766" s="34"/>
    </row>
    <row r="1767" spans="1:55" x14ac:dyDescent="0.35" ht="15.0" customHeight="true">
      <c r="A1767" s="51"/>
      <c r="B1767" s="34"/>
      <c r="C1767" s="34"/>
      <c r="D1767" s="34"/>
      <c r="E1767" s="34"/>
      <c r="F1767" s="34"/>
      <c r="G1767" s="44"/>
      <c r="H1767" s="34"/>
      <c r="I1767" s="54"/>
      <c r="J1767" s="34"/>
      <c r="K1767" s="54"/>
      <c r="L1767" s="34"/>
      <c r="M1767" s="44"/>
      <c r="N1767" s="44"/>
      <c r="O1767" s="34"/>
      <c r="P1767" s="34"/>
      <c r="Q1767" s="34"/>
      <c r="R1767" s="34"/>
      <c r="V1767" s="44"/>
      <c r="X1767" s="95"/>
      <c r="Y1767" s="54"/>
      <c r="Z1767" s="54"/>
      <c r="AA1767" s="34"/>
      <c r="AB1767" s="34"/>
      <c r="AC1767" s="34"/>
      <c r="AD1767" s="34"/>
      <c r="AE1767" s="34"/>
      <c r="AF1767" s="34"/>
      <c r="AG1767" s="34"/>
      <c r="AH1767" s="34"/>
      <c r="AI1767" s="52"/>
      <c r="AJ1767" s="52"/>
      <c r="AL1767" s="34"/>
      <c r="AM1767" s="34"/>
      <c r="AN1767" s="34"/>
      <c r="AO1767" s="54"/>
      <c r="AP1767" s="34"/>
      <c r="AQ1767" s="34"/>
      <c r="AR1767" s="54"/>
      <c r="AS1767" s="54"/>
      <c r="AT1767" s="54"/>
      <c r="AU1767" s="54"/>
      <c r="AV1767" s="34"/>
      <c r="AW1767" s="34"/>
      <c r="AX1767" s="34"/>
      <c r="AY1767" s="34"/>
      <c r="AZ1767" s="34"/>
      <c r="BA1767" s="44"/>
      <c r="BB1767" s="34"/>
      <c r="BC1767" s="34"/>
    </row>
    <row r="1768" spans="1:55" x14ac:dyDescent="0.35" ht="15.0" customHeight="true">
      <c r="A1768" s="51"/>
      <c r="B1768" s="34"/>
      <c r="C1768" s="34"/>
      <c r="D1768" s="34"/>
      <c r="E1768" s="34"/>
      <c r="F1768" s="34"/>
      <c r="G1768" s="44"/>
      <c r="H1768" s="34"/>
      <c r="I1768" s="54"/>
      <c r="J1768" s="34"/>
      <c r="K1768" s="54"/>
      <c r="L1768" s="34"/>
      <c r="M1768" s="44"/>
      <c r="N1768" s="44"/>
      <c r="O1768" s="34"/>
      <c r="P1768" s="34"/>
      <c r="Q1768" s="34"/>
      <c r="R1768" s="34"/>
      <c r="V1768" s="44"/>
      <c r="X1768" s="95"/>
      <c r="Y1768" s="54"/>
      <c r="Z1768" s="54"/>
      <c r="AA1768" s="34"/>
      <c r="AB1768" s="34"/>
      <c r="AC1768" s="34"/>
      <c r="AD1768" s="34"/>
      <c r="AE1768" s="34"/>
      <c r="AF1768" s="34"/>
      <c r="AG1768" s="34"/>
      <c r="AH1768" s="34"/>
      <c r="AI1768" s="52"/>
      <c r="AJ1768" s="52"/>
      <c r="AL1768" s="34"/>
      <c r="AM1768" s="34"/>
      <c r="AN1768" s="34"/>
      <c r="AO1768" s="54"/>
      <c r="AP1768" s="34"/>
      <c r="AQ1768" s="34"/>
      <c r="AR1768" s="54"/>
      <c r="AS1768" s="54"/>
      <c r="AT1768" s="54"/>
      <c r="AU1768" s="54"/>
      <c r="AV1768" s="34"/>
      <c r="AW1768" s="34"/>
      <c r="AX1768" s="34"/>
      <c r="AY1768" s="34"/>
      <c r="AZ1768" s="34"/>
      <c r="BA1768" s="44"/>
      <c r="BB1768" s="34"/>
      <c r="BC1768" s="34"/>
    </row>
    <row r="1769" spans="1:55" x14ac:dyDescent="0.35" ht="15.0" customHeight="true">
      <c r="A1769" s="51"/>
      <c r="B1769" s="34"/>
      <c r="C1769" s="34"/>
      <c r="D1769" s="34"/>
      <c r="E1769" s="34"/>
      <c r="F1769" s="34"/>
      <c r="G1769" s="44"/>
      <c r="H1769" s="34"/>
      <c r="I1769" s="54"/>
      <c r="J1769" s="34"/>
      <c r="K1769" s="54"/>
      <c r="L1769" s="34"/>
      <c r="M1769" s="44"/>
      <c r="N1769" s="44"/>
      <c r="O1769" s="34"/>
      <c r="P1769" s="34"/>
      <c r="Q1769" s="34"/>
      <c r="R1769" s="34"/>
      <c r="V1769" s="44"/>
      <c r="X1769" s="95"/>
      <c r="Y1769" s="54"/>
      <c r="Z1769" s="54"/>
      <c r="AA1769" s="34"/>
      <c r="AB1769" s="34"/>
      <c r="AC1769" s="34"/>
      <c r="AD1769" s="34"/>
      <c r="AE1769" s="34"/>
      <c r="AF1769" s="34"/>
      <c r="AG1769" s="34"/>
      <c r="AH1769" s="34"/>
      <c r="AI1769" s="52"/>
      <c r="AJ1769" s="52"/>
      <c r="AL1769" s="34"/>
      <c r="AM1769" s="34"/>
      <c r="AN1769" s="34"/>
      <c r="AO1769" s="54"/>
      <c r="AP1769" s="34"/>
      <c r="AQ1769" s="34"/>
      <c r="AR1769" s="54"/>
      <c r="AS1769" s="54"/>
      <c r="AT1769" s="54"/>
      <c r="AU1769" s="54"/>
      <c r="AV1769" s="34"/>
      <c r="AW1769" s="34"/>
      <c r="AX1769" s="34"/>
      <c r="AY1769" s="34"/>
      <c r="AZ1769" s="34"/>
      <c r="BA1769" s="44"/>
      <c r="BB1769" s="34"/>
      <c r="BC1769" s="34"/>
    </row>
    <row r="1770" spans="1:55" x14ac:dyDescent="0.35" ht="15.0" customHeight="true">
      <c r="A1770" s="51"/>
      <c r="B1770" s="34"/>
      <c r="C1770" s="34"/>
      <c r="D1770" s="34"/>
      <c r="E1770" s="34"/>
      <c r="F1770" s="34"/>
      <c r="G1770" s="44"/>
      <c r="H1770" s="34"/>
      <c r="I1770" s="54"/>
      <c r="J1770" s="34"/>
      <c r="K1770" s="54"/>
      <c r="L1770" s="34"/>
      <c r="M1770" s="44"/>
      <c r="N1770" s="44"/>
      <c r="O1770" s="34"/>
      <c r="P1770" s="34"/>
      <c r="Q1770" s="34"/>
      <c r="R1770" s="34"/>
      <c r="V1770" s="44"/>
      <c r="X1770" s="95"/>
      <c r="Y1770" s="54"/>
      <c r="Z1770" s="54"/>
      <c r="AA1770" s="34"/>
      <c r="AB1770" s="34"/>
      <c r="AC1770" s="34"/>
      <c r="AD1770" s="34"/>
      <c r="AE1770" s="34"/>
      <c r="AF1770" s="34"/>
      <c r="AG1770" s="34"/>
      <c r="AH1770" s="34"/>
      <c r="AI1770" s="52"/>
      <c r="AJ1770" s="52"/>
      <c r="AL1770" s="34"/>
      <c r="AM1770" s="34"/>
      <c r="AN1770" s="34"/>
      <c r="AO1770" s="54"/>
      <c r="AP1770" s="34"/>
      <c r="AQ1770" s="34"/>
      <c r="AR1770" s="54"/>
      <c r="AS1770" s="54"/>
      <c r="AT1770" s="54"/>
      <c r="AU1770" s="54"/>
      <c r="AV1770" s="34"/>
      <c r="AW1770" s="34"/>
      <c r="AX1770" s="34"/>
      <c r="AY1770" s="34"/>
      <c r="AZ1770" s="34"/>
      <c r="BA1770" s="44"/>
      <c r="BB1770" s="34"/>
      <c r="BC1770" s="34"/>
    </row>
    <row r="1771" spans="1:55" x14ac:dyDescent="0.35" ht="15.0" customHeight="true">
      <c r="A1771" s="51"/>
      <c r="B1771" s="34"/>
      <c r="C1771" s="34"/>
      <c r="D1771" s="34"/>
      <c r="E1771" s="34"/>
      <c r="F1771" s="34"/>
      <c r="G1771" s="44"/>
      <c r="H1771" s="34"/>
      <c r="I1771" s="54"/>
      <c r="J1771" s="34"/>
      <c r="K1771" s="54"/>
      <c r="L1771" s="34"/>
      <c r="M1771" s="44"/>
      <c r="N1771" s="44"/>
      <c r="O1771" s="34"/>
      <c r="P1771" s="34"/>
      <c r="Q1771" s="34"/>
      <c r="R1771" s="34"/>
      <c r="V1771" s="44"/>
      <c r="X1771" s="95"/>
      <c r="Y1771" s="54"/>
      <c r="Z1771" s="54"/>
      <c r="AA1771" s="34"/>
      <c r="AB1771" s="34"/>
      <c r="AC1771" s="34"/>
      <c r="AD1771" s="34"/>
      <c r="AE1771" s="34"/>
      <c r="AF1771" s="34"/>
      <c r="AG1771" s="34"/>
      <c r="AH1771" s="34"/>
      <c r="AI1771" s="52"/>
      <c r="AJ1771" s="52"/>
      <c r="AL1771" s="34"/>
      <c r="AM1771" s="34"/>
      <c r="AN1771" s="34"/>
      <c r="AO1771" s="54"/>
      <c r="AP1771" s="34"/>
      <c r="AQ1771" s="34"/>
      <c r="AR1771" s="54"/>
      <c r="AS1771" s="54"/>
      <c r="AT1771" s="54"/>
      <c r="AU1771" s="54"/>
      <c r="AV1771" s="34"/>
      <c r="AW1771" s="34"/>
      <c r="AX1771" s="34"/>
      <c r="AY1771" s="34"/>
      <c r="AZ1771" s="34"/>
      <c r="BA1771" s="44"/>
      <c r="BB1771" s="34"/>
      <c r="BC1771" s="34"/>
    </row>
    <row r="1772" spans="1:55" x14ac:dyDescent="0.35" ht="15.0" customHeight="true">
      <c r="A1772" s="51"/>
      <c r="B1772" s="34"/>
      <c r="C1772" s="34"/>
      <c r="D1772" s="34"/>
      <c r="E1772" s="34"/>
      <c r="F1772" s="34"/>
      <c r="G1772" s="44"/>
      <c r="H1772" s="34"/>
      <c r="I1772" s="54"/>
      <c r="J1772" s="34"/>
      <c r="K1772" s="54"/>
      <c r="L1772" s="34"/>
      <c r="M1772" s="44"/>
      <c r="N1772" s="44"/>
      <c r="O1772" s="34"/>
      <c r="P1772" s="34"/>
      <c r="Q1772" s="34"/>
      <c r="R1772" s="34"/>
      <c r="V1772" s="44"/>
      <c r="X1772" s="95"/>
      <c r="Y1772" s="54"/>
      <c r="Z1772" s="54"/>
      <c r="AA1772" s="34"/>
      <c r="AB1772" s="34"/>
      <c r="AC1772" s="34"/>
      <c r="AD1772" s="34"/>
      <c r="AE1772" s="34"/>
      <c r="AF1772" s="34"/>
      <c r="AG1772" s="34"/>
      <c r="AH1772" s="34"/>
      <c r="AI1772" s="52"/>
      <c r="AJ1772" s="52"/>
      <c r="AL1772" s="34"/>
      <c r="AM1772" s="34"/>
      <c r="AN1772" s="34"/>
      <c r="AO1772" s="54"/>
      <c r="AP1772" s="34"/>
      <c r="AQ1772" s="34"/>
      <c r="AR1772" s="54"/>
      <c r="AS1772" s="54"/>
      <c r="AT1772" s="54"/>
      <c r="AU1772" s="54"/>
      <c r="AV1772" s="34"/>
      <c r="AW1772" s="34"/>
      <c r="AX1772" s="34"/>
      <c r="AY1772" s="34"/>
      <c r="AZ1772" s="34"/>
      <c r="BA1772" s="44"/>
      <c r="BB1772" s="34"/>
      <c r="BC1772" s="34"/>
    </row>
    <row r="1773" spans="1:55" x14ac:dyDescent="0.35" ht="15.0" customHeight="true">
      <c r="A1773" s="51"/>
      <c r="B1773" s="34"/>
      <c r="C1773" s="34"/>
      <c r="D1773" s="34"/>
      <c r="E1773" s="34"/>
      <c r="F1773" s="34"/>
      <c r="G1773" s="44"/>
      <c r="H1773" s="34"/>
      <c r="I1773" s="54"/>
      <c r="J1773" s="34"/>
      <c r="K1773" s="54"/>
      <c r="L1773" s="34"/>
      <c r="M1773" s="44"/>
      <c r="N1773" s="44"/>
      <c r="O1773" s="34"/>
      <c r="P1773" s="34"/>
      <c r="Q1773" s="34"/>
      <c r="R1773" s="34"/>
      <c r="V1773" s="44"/>
      <c r="X1773" s="95"/>
      <c r="Y1773" s="54"/>
      <c r="Z1773" s="54"/>
      <c r="AA1773" s="34"/>
      <c r="AB1773" s="34"/>
      <c r="AC1773" s="34"/>
      <c r="AD1773" s="34"/>
      <c r="AE1773" s="34"/>
      <c r="AF1773" s="34"/>
      <c r="AG1773" s="34"/>
      <c r="AH1773" s="34"/>
      <c r="AI1773" s="52"/>
      <c r="AJ1773" s="52"/>
      <c r="AL1773" s="34"/>
      <c r="AM1773" s="34"/>
      <c r="AN1773" s="34"/>
      <c r="AO1773" s="54"/>
      <c r="AP1773" s="34"/>
      <c r="AQ1773" s="34"/>
      <c r="AR1773" s="54"/>
      <c r="AS1773" s="54"/>
      <c r="AT1773" s="54"/>
      <c r="AU1773" s="54"/>
      <c r="AV1773" s="34"/>
      <c r="AW1773" s="34"/>
      <c r="AX1773" s="34"/>
      <c r="AY1773" s="34"/>
      <c r="AZ1773" s="34"/>
      <c r="BA1773" s="44"/>
      <c r="BB1773" s="34"/>
      <c r="BC1773" s="34"/>
    </row>
    <row r="1774" spans="1:55" x14ac:dyDescent="0.35" ht="15.0" customHeight="true">
      <c r="A1774" s="51"/>
      <c r="B1774" s="34"/>
      <c r="C1774" s="34"/>
      <c r="D1774" s="34"/>
      <c r="E1774" s="34"/>
      <c r="F1774" s="34"/>
      <c r="G1774" s="44"/>
      <c r="H1774" s="34"/>
      <c r="I1774" s="54"/>
      <c r="J1774" s="34"/>
      <c r="K1774" s="54"/>
      <c r="L1774" s="34"/>
      <c r="M1774" s="44"/>
      <c r="N1774" s="44"/>
      <c r="O1774" s="34"/>
      <c r="P1774" s="34"/>
      <c r="Q1774" s="34"/>
      <c r="R1774" s="34"/>
      <c r="V1774" s="44"/>
      <c r="X1774" s="95"/>
      <c r="Y1774" s="54"/>
      <c r="Z1774" s="54"/>
      <c r="AA1774" s="34"/>
      <c r="AB1774" s="34"/>
      <c r="AC1774" s="34"/>
      <c r="AD1774" s="34"/>
      <c r="AE1774" s="34"/>
      <c r="AF1774" s="34"/>
      <c r="AG1774" s="34"/>
      <c r="AH1774" s="34"/>
      <c r="AI1774" s="52"/>
      <c r="AJ1774" s="52"/>
      <c r="AL1774" s="34"/>
      <c r="AM1774" s="34"/>
      <c r="AN1774" s="34"/>
      <c r="AO1774" s="54"/>
      <c r="AP1774" s="34"/>
      <c r="AQ1774" s="34"/>
      <c r="AR1774" s="54"/>
      <c r="AS1774" s="54"/>
      <c r="AT1774" s="54"/>
      <c r="AU1774" s="54"/>
      <c r="AV1774" s="34"/>
      <c r="AW1774" s="34"/>
      <c r="AX1774" s="34"/>
      <c r="AY1774" s="34"/>
      <c r="AZ1774" s="34"/>
      <c r="BA1774" s="44"/>
      <c r="BB1774" s="34"/>
      <c r="BC1774" s="34"/>
    </row>
    <row r="1775" spans="1:55" x14ac:dyDescent="0.35" ht="15.0" customHeight="true">
      <c r="A1775" s="51"/>
      <c r="B1775" s="34"/>
      <c r="C1775" s="34"/>
      <c r="D1775" s="34"/>
      <c r="E1775" s="34"/>
      <c r="F1775" s="34"/>
      <c r="G1775" s="44"/>
      <c r="H1775" s="34"/>
      <c r="I1775" s="54"/>
      <c r="J1775" s="34"/>
      <c r="K1775" s="54"/>
      <c r="L1775" s="34"/>
      <c r="M1775" s="44"/>
      <c r="N1775" s="44"/>
      <c r="O1775" s="34"/>
      <c r="P1775" s="34"/>
      <c r="Q1775" s="34"/>
      <c r="R1775" s="34"/>
      <c r="V1775" s="44"/>
      <c r="X1775" s="95"/>
      <c r="Y1775" s="54"/>
      <c r="Z1775" s="54"/>
      <c r="AA1775" s="34"/>
      <c r="AB1775" s="34"/>
      <c r="AC1775" s="34"/>
      <c r="AD1775" s="34"/>
      <c r="AE1775" s="34"/>
      <c r="AF1775" s="34"/>
      <c r="AG1775" s="34"/>
      <c r="AH1775" s="34"/>
      <c r="AI1775" s="52"/>
      <c r="AJ1775" s="52"/>
      <c r="AL1775" s="34"/>
      <c r="AM1775" s="34"/>
      <c r="AN1775" s="34"/>
      <c r="AO1775" s="54"/>
      <c r="AP1775" s="34"/>
      <c r="AQ1775" s="34"/>
      <c r="AR1775" s="54"/>
      <c r="AS1775" s="54"/>
      <c r="AT1775" s="54"/>
      <c r="AU1775" s="54"/>
      <c r="AV1775" s="34"/>
      <c r="AW1775" s="34"/>
      <c r="AX1775" s="34"/>
      <c r="AY1775" s="34"/>
      <c r="AZ1775" s="34"/>
      <c r="BA1775" s="44"/>
      <c r="BB1775" s="34"/>
      <c r="BC1775" s="34"/>
    </row>
    <row r="1776" spans="1:55" x14ac:dyDescent="0.35" ht="15.0" customHeight="true">
      <c r="A1776" s="51"/>
      <c r="B1776" s="34"/>
      <c r="C1776" s="34"/>
      <c r="D1776" s="34"/>
      <c r="E1776" s="34"/>
      <c r="F1776" s="34"/>
      <c r="G1776" s="44"/>
      <c r="H1776" s="34"/>
      <c r="I1776" s="54"/>
      <c r="J1776" s="34"/>
      <c r="K1776" s="54"/>
      <c r="L1776" s="34"/>
      <c r="M1776" s="44"/>
      <c r="N1776" s="44"/>
      <c r="O1776" s="34"/>
      <c r="P1776" s="34"/>
      <c r="Q1776" s="34"/>
      <c r="R1776" s="34"/>
      <c r="V1776" s="44"/>
      <c r="X1776" s="95"/>
      <c r="Y1776" s="54"/>
      <c r="Z1776" s="54"/>
      <c r="AA1776" s="34"/>
      <c r="AB1776" s="34"/>
      <c r="AC1776" s="34"/>
      <c r="AD1776" s="34"/>
      <c r="AE1776" s="34"/>
      <c r="AF1776" s="34"/>
      <c r="AG1776" s="34"/>
      <c r="AH1776" s="34"/>
      <c r="AI1776" s="52"/>
      <c r="AJ1776" s="52"/>
      <c r="AL1776" s="34"/>
      <c r="AM1776" s="34"/>
      <c r="AN1776" s="34"/>
      <c r="AO1776" s="54"/>
      <c r="AP1776" s="34"/>
      <c r="AQ1776" s="34"/>
      <c r="AR1776" s="54"/>
      <c r="AS1776" s="54"/>
      <c r="AT1776" s="54"/>
      <c r="AU1776" s="54"/>
      <c r="AV1776" s="34"/>
      <c r="AW1776" s="34"/>
      <c r="AX1776" s="34"/>
      <c r="AY1776" s="34"/>
      <c r="AZ1776" s="34"/>
      <c r="BA1776" s="44"/>
      <c r="BB1776" s="34"/>
      <c r="BC1776" s="34"/>
    </row>
    <row r="1777" spans="1:55" x14ac:dyDescent="0.35" ht="15.0" customHeight="true">
      <c r="A1777" s="51"/>
      <c r="B1777" s="34"/>
      <c r="C1777" s="34"/>
      <c r="D1777" s="34"/>
      <c r="E1777" s="34"/>
      <c r="F1777" s="34"/>
      <c r="G1777" s="44"/>
      <c r="H1777" s="34"/>
      <c r="I1777" s="54"/>
      <c r="J1777" s="34"/>
      <c r="K1777" s="54"/>
      <c r="L1777" s="34"/>
      <c r="M1777" s="44"/>
      <c r="N1777" s="44"/>
      <c r="O1777" s="34"/>
      <c r="P1777" s="34"/>
      <c r="Q1777" s="34"/>
      <c r="R1777" s="34"/>
      <c r="V1777" s="44"/>
      <c r="X1777" s="95"/>
      <c r="Y1777" s="54"/>
      <c r="Z1777" s="54"/>
      <c r="AA1777" s="34"/>
      <c r="AB1777" s="34"/>
      <c r="AC1777" s="34"/>
      <c r="AD1777" s="34"/>
      <c r="AE1777" s="34"/>
      <c r="AF1777" s="34"/>
      <c r="AG1777" s="34"/>
      <c r="AH1777" s="34"/>
      <c r="AI1777" s="52"/>
      <c r="AJ1777" s="52"/>
      <c r="AL1777" s="34"/>
      <c r="AM1777" s="34"/>
      <c r="AN1777" s="34"/>
      <c r="AO1777" s="54"/>
      <c r="AP1777" s="34"/>
      <c r="AQ1777" s="34"/>
      <c r="AR1777" s="54"/>
      <c r="AS1777" s="54"/>
      <c r="AT1777" s="54"/>
      <c r="AU1777" s="54"/>
      <c r="AV1777" s="34"/>
      <c r="AW1777" s="34"/>
      <c r="AX1777" s="34"/>
      <c r="AY1777" s="34"/>
      <c r="AZ1777" s="34"/>
      <c r="BA1777" s="44"/>
      <c r="BB1777" s="34"/>
      <c r="BC1777" s="34"/>
    </row>
    <row r="1778" spans="1:55" x14ac:dyDescent="0.35" ht="15.0" customHeight="true">
      <c r="A1778" s="51"/>
      <c r="B1778" s="34"/>
      <c r="C1778" s="34"/>
      <c r="D1778" s="34"/>
      <c r="E1778" s="34"/>
      <c r="F1778" s="34"/>
      <c r="G1778" s="44"/>
      <c r="H1778" s="34"/>
      <c r="I1778" s="54"/>
      <c r="J1778" s="34"/>
      <c r="K1778" s="54"/>
      <c r="L1778" s="34"/>
      <c r="M1778" s="44"/>
      <c r="N1778" s="44"/>
      <c r="O1778" s="34"/>
      <c r="P1778" s="34"/>
      <c r="Q1778" s="34"/>
      <c r="R1778" s="34"/>
      <c r="V1778" s="44"/>
      <c r="X1778" s="95"/>
      <c r="Y1778" s="54"/>
      <c r="Z1778" s="54"/>
      <c r="AA1778" s="34"/>
      <c r="AB1778" s="34"/>
      <c r="AC1778" s="34"/>
      <c r="AD1778" s="34"/>
      <c r="AE1778" s="34"/>
      <c r="AF1778" s="34"/>
      <c r="AG1778" s="34"/>
      <c r="AH1778" s="34"/>
      <c r="AI1778" s="52"/>
      <c r="AJ1778" s="52"/>
      <c r="AL1778" s="34"/>
      <c r="AM1778" s="34"/>
      <c r="AN1778" s="34"/>
      <c r="AO1778" s="54"/>
      <c r="AP1778" s="34"/>
      <c r="AQ1778" s="34"/>
      <c r="AR1778" s="54"/>
      <c r="AS1778" s="54"/>
      <c r="AT1778" s="54"/>
      <c r="AU1778" s="54"/>
      <c r="AV1778" s="34"/>
      <c r="AW1778" s="34"/>
      <c r="AX1778" s="34"/>
      <c r="AY1778" s="34"/>
      <c r="AZ1778" s="34"/>
      <c r="BA1778" s="44"/>
      <c r="BB1778" s="34"/>
      <c r="BC1778" s="34"/>
    </row>
    <row r="1779" spans="1:55" x14ac:dyDescent="0.35" ht="15.0" customHeight="true">
      <c r="A1779" s="51"/>
      <c r="B1779" s="34"/>
      <c r="C1779" s="34"/>
      <c r="D1779" s="34"/>
      <c r="E1779" s="34"/>
      <c r="F1779" s="34"/>
      <c r="G1779" s="44"/>
      <c r="H1779" s="34"/>
      <c r="I1779" s="54"/>
      <c r="J1779" s="34"/>
      <c r="K1779" s="54"/>
      <c r="L1779" s="34"/>
      <c r="M1779" s="44"/>
      <c r="N1779" s="44"/>
      <c r="O1779" s="34"/>
      <c r="P1779" s="34"/>
      <c r="Q1779" s="34"/>
      <c r="R1779" s="34"/>
      <c r="V1779" s="44"/>
      <c r="X1779" s="95"/>
      <c r="Y1779" s="54"/>
      <c r="Z1779" s="54"/>
      <c r="AA1779" s="34"/>
      <c r="AB1779" s="34"/>
      <c r="AC1779" s="34"/>
      <c r="AD1779" s="34"/>
      <c r="AE1779" s="34"/>
      <c r="AF1779" s="34"/>
      <c r="AG1779" s="34"/>
      <c r="AH1779" s="34"/>
      <c r="AI1779" s="52"/>
      <c r="AJ1779" s="52"/>
      <c r="AL1779" s="34"/>
      <c r="AM1779" s="34"/>
      <c r="AN1779" s="34"/>
      <c r="AO1779" s="54"/>
      <c r="AP1779" s="34"/>
      <c r="AQ1779" s="34"/>
      <c r="AR1779" s="54"/>
      <c r="AS1779" s="54"/>
      <c r="AT1779" s="54"/>
      <c r="AU1779" s="54"/>
      <c r="AV1779" s="34"/>
      <c r="AW1779" s="34"/>
      <c r="AX1779" s="34"/>
      <c r="AY1779" s="34"/>
      <c r="AZ1779" s="34"/>
      <c r="BA1779" s="44"/>
      <c r="BB1779" s="34"/>
      <c r="BC1779" s="34"/>
    </row>
    <row r="1780" spans="1:55" x14ac:dyDescent="0.35" ht="15.0" customHeight="true">
      <c r="A1780" s="51"/>
      <c r="B1780" s="34"/>
      <c r="C1780" s="34"/>
      <c r="D1780" s="34"/>
      <c r="E1780" s="34"/>
      <c r="F1780" s="34"/>
      <c r="G1780" s="44"/>
      <c r="H1780" s="34"/>
      <c r="I1780" s="54"/>
      <c r="J1780" s="34"/>
      <c r="K1780" s="54"/>
      <c r="L1780" s="34"/>
      <c r="M1780" s="44"/>
      <c r="N1780" s="44"/>
      <c r="O1780" s="34"/>
      <c r="P1780" s="34"/>
      <c r="Q1780" s="34"/>
      <c r="R1780" s="34"/>
      <c r="V1780" s="44"/>
      <c r="X1780" s="95"/>
      <c r="Y1780" s="54"/>
      <c r="Z1780" s="54"/>
      <c r="AA1780" s="34"/>
      <c r="AB1780" s="34"/>
      <c r="AC1780" s="34"/>
      <c r="AD1780" s="34"/>
      <c r="AE1780" s="34"/>
      <c r="AF1780" s="34"/>
      <c r="AG1780" s="34"/>
      <c r="AH1780" s="34"/>
      <c r="AI1780" s="52"/>
      <c r="AJ1780" s="52"/>
      <c r="AL1780" s="34"/>
      <c r="AM1780" s="34"/>
      <c r="AN1780" s="34"/>
      <c r="AO1780" s="54"/>
      <c r="AP1780" s="34"/>
      <c r="AQ1780" s="34"/>
      <c r="AR1780" s="54"/>
      <c r="AS1780" s="54"/>
      <c r="AT1780" s="54"/>
      <c r="AU1780" s="54"/>
      <c r="AV1780" s="34"/>
      <c r="AW1780" s="34"/>
      <c r="AX1780" s="34"/>
      <c r="AY1780" s="34"/>
      <c r="AZ1780" s="34"/>
      <c r="BA1780" s="44"/>
      <c r="BB1780" s="34"/>
      <c r="BC1780" s="34"/>
    </row>
    <row r="1781" spans="1:55" x14ac:dyDescent="0.35" ht="15.0" customHeight="true">
      <c r="A1781" s="51"/>
      <c r="B1781" s="34"/>
      <c r="C1781" s="34"/>
      <c r="D1781" s="34"/>
      <c r="E1781" s="34"/>
      <c r="F1781" s="34"/>
      <c r="G1781" s="44"/>
      <c r="H1781" s="34"/>
      <c r="I1781" s="54"/>
      <c r="J1781" s="34"/>
      <c r="K1781" s="54"/>
      <c r="L1781" s="34"/>
      <c r="M1781" s="44"/>
      <c r="N1781" s="44"/>
      <c r="O1781" s="34"/>
      <c r="P1781" s="34"/>
      <c r="Q1781" s="34"/>
      <c r="R1781" s="34"/>
      <c r="V1781" s="44"/>
      <c r="X1781" s="95"/>
      <c r="Y1781" s="54"/>
      <c r="Z1781" s="54"/>
      <c r="AA1781" s="34"/>
      <c r="AB1781" s="34"/>
      <c r="AC1781" s="34"/>
      <c r="AD1781" s="34"/>
      <c r="AE1781" s="34"/>
      <c r="AF1781" s="34"/>
      <c r="AG1781" s="34"/>
      <c r="AH1781" s="34"/>
      <c r="AI1781" s="52"/>
      <c r="AJ1781" s="52"/>
      <c r="AL1781" s="34"/>
      <c r="AM1781" s="34"/>
      <c r="AN1781" s="34"/>
      <c r="AO1781" s="54"/>
      <c r="AP1781" s="34"/>
      <c r="AQ1781" s="34"/>
      <c r="AR1781" s="54"/>
      <c r="AS1781" s="54"/>
      <c r="AT1781" s="54"/>
      <c r="AU1781" s="54"/>
      <c r="AV1781" s="34"/>
      <c r="AW1781" s="34"/>
      <c r="AX1781" s="34"/>
      <c r="AY1781" s="34"/>
      <c r="AZ1781" s="34"/>
      <c r="BA1781" s="44"/>
      <c r="BB1781" s="34"/>
      <c r="BC1781" s="34"/>
    </row>
    <row r="1782" spans="1:55" x14ac:dyDescent="0.35" ht="15.0" customHeight="true">
      <c r="A1782" s="51"/>
      <c r="B1782" s="34"/>
      <c r="C1782" s="34"/>
      <c r="D1782" s="34"/>
      <c r="E1782" s="34"/>
      <c r="F1782" s="34"/>
      <c r="G1782" s="44"/>
      <c r="H1782" s="34"/>
      <c r="I1782" s="54"/>
      <c r="J1782" s="34"/>
      <c r="K1782" s="54"/>
      <c r="L1782" s="34"/>
      <c r="M1782" s="44"/>
      <c r="N1782" s="44"/>
      <c r="O1782" s="34"/>
      <c r="P1782" s="34"/>
      <c r="Q1782" s="34"/>
      <c r="R1782" s="34"/>
      <c r="V1782" s="44"/>
      <c r="X1782" s="95"/>
      <c r="Y1782" s="54"/>
      <c r="Z1782" s="54"/>
      <c r="AA1782" s="34"/>
      <c r="AB1782" s="34"/>
      <c r="AC1782" s="34"/>
      <c r="AD1782" s="34"/>
      <c r="AE1782" s="34"/>
      <c r="AF1782" s="34"/>
      <c r="AG1782" s="34"/>
      <c r="AH1782" s="34"/>
      <c r="AI1782" s="52"/>
      <c r="AJ1782" s="52"/>
      <c r="AL1782" s="34"/>
      <c r="AM1782" s="34"/>
      <c r="AN1782" s="34"/>
      <c r="AO1782" s="54"/>
      <c r="AP1782" s="34"/>
      <c r="AQ1782" s="34"/>
      <c r="AR1782" s="54"/>
      <c r="AS1782" s="54"/>
      <c r="AT1782" s="54"/>
      <c r="AU1782" s="54"/>
      <c r="AV1782" s="34"/>
      <c r="AW1782" s="34"/>
      <c r="AX1782" s="34"/>
      <c r="AY1782" s="34"/>
      <c r="AZ1782" s="34"/>
      <c r="BA1782" s="44"/>
      <c r="BB1782" s="34"/>
      <c r="BC1782" s="34"/>
    </row>
    <row r="1783" spans="1:55" x14ac:dyDescent="0.35" ht="15.0" customHeight="true">
      <c r="A1783" s="51"/>
      <c r="B1783" s="34"/>
      <c r="C1783" s="34"/>
      <c r="D1783" s="34"/>
      <c r="E1783" s="34"/>
      <c r="F1783" s="34"/>
      <c r="G1783" s="44"/>
      <c r="H1783" s="34"/>
      <c r="I1783" s="54"/>
      <c r="J1783" s="34"/>
      <c r="K1783" s="54"/>
      <c r="L1783" s="34"/>
      <c r="M1783" s="44"/>
      <c r="N1783" s="44"/>
      <c r="O1783" s="34"/>
      <c r="P1783" s="34"/>
      <c r="Q1783" s="34"/>
      <c r="R1783" s="34"/>
      <c r="V1783" s="44"/>
      <c r="X1783" s="95"/>
      <c r="Y1783" s="54"/>
      <c r="Z1783" s="54"/>
      <c r="AA1783" s="34"/>
      <c r="AB1783" s="34"/>
      <c r="AC1783" s="34"/>
      <c r="AD1783" s="34"/>
      <c r="AE1783" s="34"/>
      <c r="AF1783" s="34"/>
      <c r="AG1783" s="34"/>
      <c r="AH1783" s="34"/>
      <c r="AI1783" s="52"/>
      <c r="AJ1783" s="52"/>
      <c r="AL1783" s="34"/>
      <c r="AM1783" s="34"/>
      <c r="AN1783" s="34"/>
      <c r="AO1783" s="54"/>
      <c r="AP1783" s="34"/>
      <c r="AQ1783" s="34"/>
      <c r="AR1783" s="54"/>
      <c r="AS1783" s="54"/>
      <c r="AT1783" s="54"/>
      <c r="AU1783" s="54"/>
      <c r="AV1783" s="34"/>
      <c r="AW1783" s="34"/>
      <c r="AX1783" s="34"/>
      <c r="AY1783" s="34"/>
      <c r="AZ1783" s="34"/>
      <c r="BA1783" s="44"/>
      <c r="BB1783" s="34"/>
      <c r="BC1783" s="34"/>
    </row>
    <row r="1784" spans="1:55" x14ac:dyDescent="0.35" ht="15.0" customHeight="true">
      <c r="A1784" s="51"/>
      <c r="B1784" s="34"/>
      <c r="C1784" s="34"/>
      <c r="D1784" s="34"/>
      <c r="E1784" s="34"/>
      <c r="F1784" s="34"/>
      <c r="G1784" s="44"/>
      <c r="H1784" s="34"/>
      <c r="I1784" s="54"/>
      <c r="J1784" s="34"/>
      <c r="K1784" s="54"/>
      <c r="L1784" s="34"/>
      <c r="M1784" s="44"/>
      <c r="N1784" s="44"/>
      <c r="O1784" s="34"/>
      <c r="P1784" s="34"/>
      <c r="Q1784" s="34"/>
      <c r="R1784" s="34"/>
      <c r="V1784" s="44"/>
      <c r="X1784" s="95"/>
      <c r="Y1784" s="54"/>
      <c r="Z1784" s="54"/>
      <c r="AA1784" s="34"/>
      <c r="AB1784" s="34"/>
      <c r="AC1784" s="34"/>
      <c r="AD1784" s="34"/>
      <c r="AE1784" s="34"/>
      <c r="AF1784" s="34"/>
      <c r="AG1784" s="34"/>
      <c r="AH1784" s="34"/>
      <c r="AI1784" s="52"/>
      <c r="AJ1784" s="52"/>
      <c r="AL1784" s="34"/>
      <c r="AM1784" s="34"/>
      <c r="AN1784" s="34"/>
      <c r="AO1784" s="54"/>
      <c r="AP1784" s="34"/>
      <c r="AQ1784" s="34"/>
      <c r="AR1784" s="54"/>
      <c r="AS1784" s="54"/>
      <c r="AT1784" s="54"/>
      <c r="AU1784" s="54"/>
      <c r="AV1784" s="34"/>
      <c r="AW1784" s="34"/>
      <c r="AX1784" s="34"/>
      <c r="AY1784" s="34"/>
      <c r="AZ1784" s="34"/>
      <c r="BA1784" s="44"/>
      <c r="BB1784" s="34"/>
      <c r="BC1784" s="34"/>
    </row>
    <row r="1785" spans="1:55" x14ac:dyDescent="0.35" ht="15.0" customHeight="true">
      <c r="A1785" s="51"/>
      <c r="B1785" s="34"/>
      <c r="C1785" s="34"/>
      <c r="D1785" s="34"/>
      <c r="E1785" s="34"/>
      <c r="F1785" s="34"/>
      <c r="G1785" s="44"/>
      <c r="H1785" s="34"/>
      <c r="I1785" s="54"/>
      <c r="J1785" s="34"/>
      <c r="K1785" s="54"/>
      <c r="L1785" s="34"/>
      <c r="M1785" s="44"/>
      <c r="N1785" s="44"/>
      <c r="O1785" s="34"/>
      <c r="P1785" s="34"/>
      <c r="Q1785" s="34"/>
      <c r="R1785" s="34"/>
      <c r="V1785" s="44"/>
      <c r="X1785" s="95"/>
      <c r="Y1785" s="54"/>
      <c r="Z1785" s="54"/>
      <c r="AA1785" s="34"/>
      <c r="AB1785" s="34"/>
      <c r="AC1785" s="34"/>
      <c r="AD1785" s="34"/>
      <c r="AE1785" s="34"/>
      <c r="AF1785" s="34"/>
      <c r="AG1785" s="34"/>
      <c r="AH1785" s="34"/>
      <c r="AI1785" s="52"/>
      <c r="AJ1785" s="52"/>
      <c r="AL1785" s="34"/>
      <c r="AM1785" s="34"/>
      <c r="AN1785" s="34"/>
      <c r="AO1785" s="54"/>
      <c r="AP1785" s="34"/>
      <c r="AQ1785" s="34"/>
      <c r="AR1785" s="54"/>
      <c r="AS1785" s="54"/>
      <c r="AT1785" s="54"/>
      <c r="AU1785" s="54"/>
      <c r="AV1785" s="34"/>
      <c r="AW1785" s="34"/>
      <c r="AX1785" s="34"/>
      <c r="AY1785" s="34"/>
      <c r="AZ1785" s="34"/>
      <c r="BA1785" s="44"/>
      <c r="BB1785" s="34"/>
      <c r="BC1785" s="34"/>
    </row>
    <row r="1786" spans="1:55" x14ac:dyDescent="0.35" ht="15.0" customHeight="true">
      <c r="A1786" s="51"/>
      <c r="B1786" s="34"/>
      <c r="C1786" s="34"/>
      <c r="D1786" s="34"/>
      <c r="E1786" s="34"/>
      <c r="F1786" s="34"/>
      <c r="G1786" s="44"/>
      <c r="H1786" s="34"/>
      <c r="I1786" s="54"/>
      <c r="J1786" s="34"/>
      <c r="K1786" s="54"/>
      <c r="L1786" s="34"/>
      <c r="M1786" s="44"/>
      <c r="N1786" s="44"/>
      <c r="O1786" s="34"/>
      <c r="P1786" s="34"/>
      <c r="Q1786" s="34"/>
      <c r="R1786" s="34"/>
      <c r="V1786" s="44"/>
      <c r="X1786" s="95"/>
      <c r="Y1786" s="54"/>
      <c r="Z1786" s="54"/>
      <c r="AA1786" s="34"/>
      <c r="AB1786" s="34"/>
      <c r="AC1786" s="34"/>
      <c r="AD1786" s="34"/>
      <c r="AE1786" s="34"/>
      <c r="AF1786" s="34"/>
      <c r="AG1786" s="34"/>
      <c r="AH1786" s="34"/>
      <c r="AI1786" s="52"/>
      <c r="AJ1786" s="52"/>
      <c r="AL1786" s="34"/>
      <c r="AM1786" s="34"/>
      <c r="AN1786" s="34"/>
      <c r="AO1786" s="54"/>
      <c r="AP1786" s="34"/>
      <c r="AQ1786" s="34"/>
      <c r="AR1786" s="54"/>
      <c r="AS1786" s="54"/>
      <c r="AT1786" s="54"/>
      <c r="AU1786" s="54"/>
      <c r="AV1786" s="34"/>
      <c r="AW1786" s="34"/>
      <c r="AX1786" s="34"/>
      <c r="AY1786" s="34"/>
      <c r="AZ1786" s="34"/>
      <c r="BA1786" s="44"/>
      <c r="BB1786" s="34"/>
      <c r="BC1786" s="34"/>
    </row>
    <row r="1787" spans="1:55" x14ac:dyDescent="0.35" ht="15.0" customHeight="true">
      <c r="A1787" s="51"/>
      <c r="B1787" s="34"/>
      <c r="C1787" s="34"/>
      <c r="D1787" s="34"/>
      <c r="E1787" s="34"/>
      <c r="F1787" s="34"/>
      <c r="G1787" s="44"/>
      <c r="H1787" s="34"/>
      <c r="I1787" s="54"/>
      <c r="J1787" s="34"/>
      <c r="K1787" s="54"/>
      <c r="L1787" s="34"/>
      <c r="M1787" s="44"/>
      <c r="N1787" s="44"/>
      <c r="O1787" s="34"/>
      <c r="P1787" s="34"/>
      <c r="Q1787" s="34"/>
      <c r="R1787" s="34"/>
      <c r="V1787" s="44"/>
      <c r="X1787" s="95"/>
      <c r="Y1787" s="54"/>
      <c r="Z1787" s="54"/>
      <c r="AA1787" s="34"/>
      <c r="AB1787" s="34"/>
      <c r="AC1787" s="34"/>
      <c r="AD1787" s="34"/>
      <c r="AE1787" s="34"/>
      <c r="AF1787" s="34"/>
      <c r="AG1787" s="34"/>
      <c r="AH1787" s="34"/>
      <c r="AI1787" s="52"/>
      <c r="AJ1787" s="52"/>
      <c r="AL1787" s="34"/>
      <c r="AM1787" s="34"/>
      <c r="AN1787" s="34"/>
      <c r="AO1787" s="54"/>
      <c r="AP1787" s="34"/>
      <c r="AQ1787" s="34"/>
      <c r="AR1787" s="54"/>
      <c r="AS1787" s="54"/>
      <c r="AT1787" s="54"/>
      <c r="AU1787" s="54"/>
      <c r="AV1787" s="34"/>
      <c r="AW1787" s="34"/>
      <c r="AX1787" s="34"/>
      <c r="AY1787" s="34"/>
      <c r="AZ1787" s="34"/>
      <c r="BA1787" s="44"/>
      <c r="BB1787" s="34"/>
      <c r="BC1787" s="34"/>
    </row>
    <row r="1788" spans="1:55" x14ac:dyDescent="0.35" ht="15.0" customHeight="true">
      <c r="A1788" s="51"/>
      <c r="B1788" s="34"/>
      <c r="C1788" s="34"/>
      <c r="D1788" s="34"/>
      <c r="E1788" s="34"/>
      <c r="F1788" s="34"/>
      <c r="G1788" s="44"/>
      <c r="H1788" s="34"/>
      <c r="I1788" s="54"/>
      <c r="J1788" s="34"/>
      <c r="K1788" s="54"/>
      <c r="L1788" s="34"/>
      <c r="M1788" s="44"/>
      <c r="N1788" s="44"/>
      <c r="O1788" s="34"/>
      <c r="P1788" s="34"/>
      <c r="Q1788" s="34"/>
      <c r="R1788" s="34"/>
      <c r="V1788" s="44"/>
      <c r="X1788" s="95"/>
      <c r="Y1788" s="54"/>
      <c r="Z1788" s="54"/>
      <c r="AA1788" s="34"/>
      <c r="AB1788" s="34"/>
      <c r="AC1788" s="34"/>
      <c r="AD1788" s="34"/>
      <c r="AE1788" s="34"/>
      <c r="AF1788" s="34"/>
      <c r="AG1788" s="34"/>
      <c r="AH1788" s="34"/>
      <c r="AI1788" s="52"/>
      <c r="AJ1788" s="52"/>
      <c r="AL1788" s="34"/>
      <c r="AM1788" s="34"/>
      <c r="AN1788" s="34"/>
      <c r="AO1788" s="54"/>
      <c r="AP1788" s="34"/>
      <c r="AQ1788" s="34"/>
      <c r="AR1788" s="54"/>
      <c r="AS1788" s="54"/>
      <c r="AT1788" s="54"/>
      <c r="AU1788" s="54"/>
      <c r="AV1788" s="34"/>
      <c r="AW1788" s="34"/>
      <c r="AX1788" s="34"/>
      <c r="AY1788" s="34"/>
      <c r="AZ1788" s="34"/>
      <c r="BA1788" s="44"/>
      <c r="BB1788" s="34"/>
      <c r="BC1788" s="34"/>
    </row>
    <row r="1789" spans="1:55" x14ac:dyDescent="0.35" ht="15.0" customHeight="true">
      <c r="A1789" s="51"/>
      <c r="B1789" s="34"/>
      <c r="C1789" s="34"/>
      <c r="D1789" s="34"/>
      <c r="E1789" s="34"/>
      <c r="F1789" s="34"/>
      <c r="G1789" s="44"/>
      <c r="H1789" s="34"/>
      <c r="I1789" s="54"/>
      <c r="J1789" s="34"/>
      <c r="K1789" s="54"/>
      <c r="L1789" s="34"/>
      <c r="M1789" s="44"/>
      <c r="N1789" s="44"/>
      <c r="O1789" s="34"/>
      <c r="P1789" s="34"/>
      <c r="Q1789" s="34"/>
      <c r="R1789" s="34"/>
      <c r="V1789" s="44"/>
      <c r="X1789" s="95"/>
      <c r="Y1789" s="54"/>
      <c r="Z1789" s="54"/>
      <c r="AA1789" s="34"/>
      <c r="AB1789" s="34"/>
      <c r="AC1789" s="34"/>
      <c r="AD1789" s="34"/>
      <c r="AE1789" s="34"/>
      <c r="AF1789" s="34"/>
      <c r="AG1789" s="34"/>
      <c r="AH1789" s="34"/>
      <c r="AI1789" s="52"/>
      <c r="AJ1789" s="52"/>
      <c r="AL1789" s="34"/>
      <c r="AM1789" s="34"/>
      <c r="AN1789" s="34"/>
      <c r="AO1789" s="54"/>
      <c r="AP1789" s="34"/>
      <c r="AQ1789" s="34"/>
      <c r="AR1789" s="54"/>
      <c r="AS1789" s="54"/>
      <c r="AT1789" s="54"/>
      <c r="AU1789" s="54"/>
      <c r="AV1789" s="34"/>
      <c r="AW1789" s="34"/>
      <c r="AX1789" s="34"/>
      <c r="AY1789" s="34"/>
      <c r="AZ1789" s="34"/>
      <c r="BA1789" s="44"/>
      <c r="BB1789" s="34"/>
      <c r="BC1789" s="34"/>
    </row>
    <row r="1790" spans="1:55" x14ac:dyDescent="0.35" ht="15.0" customHeight="true">
      <c r="A1790" s="51"/>
      <c r="B1790" s="34"/>
      <c r="C1790" s="34"/>
      <c r="D1790" s="34"/>
      <c r="E1790" s="34"/>
      <c r="F1790" s="34"/>
      <c r="G1790" s="44"/>
      <c r="H1790" s="34"/>
      <c r="I1790" s="54"/>
      <c r="J1790" s="34"/>
      <c r="K1790" s="54"/>
      <c r="L1790" s="34"/>
      <c r="M1790" s="44"/>
      <c r="N1790" s="44"/>
      <c r="O1790" s="34"/>
      <c r="P1790" s="34"/>
      <c r="Q1790" s="34"/>
      <c r="R1790" s="34"/>
      <c r="V1790" s="44"/>
      <c r="X1790" s="95"/>
      <c r="Y1790" s="54"/>
      <c r="Z1790" s="54"/>
      <c r="AA1790" s="34"/>
      <c r="AB1790" s="34"/>
      <c r="AC1790" s="34"/>
      <c r="AD1790" s="34"/>
      <c r="AE1790" s="34"/>
      <c r="AF1790" s="34"/>
      <c r="AG1790" s="34"/>
      <c r="AH1790" s="34"/>
      <c r="AI1790" s="52"/>
      <c r="AJ1790" s="52"/>
      <c r="AL1790" s="34"/>
      <c r="AM1790" s="34"/>
      <c r="AN1790" s="34"/>
      <c r="AO1790" s="54"/>
      <c r="AP1790" s="34"/>
      <c r="AQ1790" s="34"/>
      <c r="AR1790" s="54"/>
      <c r="AS1790" s="54"/>
      <c r="AT1790" s="54"/>
      <c r="AU1790" s="54"/>
      <c r="AV1790" s="34"/>
      <c r="AW1790" s="34"/>
      <c r="AX1790" s="34"/>
      <c r="AY1790" s="34"/>
      <c r="AZ1790" s="34"/>
      <c r="BA1790" s="44"/>
      <c r="BB1790" s="34"/>
      <c r="BC1790" s="34"/>
    </row>
    <row r="1791" spans="1:55" x14ac:dyDescent="0.35" ht="15.0" customHeight="true">
      <c r="A1791" s="51"/>
      <c r="B1791" s="34"/>
      <c r="C1791" s="34"/>
      <c r="D1791" s="34"/>
      <c r="E1791" s="34"/>
      <c r="F1791" s="34"/>
      <c r="G1791" s="44"/>
      <c r="H1791" s="34"/>
      <c r="I1791" s="54"/>
      <c r="J1791" s="34"/>
      <c r="K1791" s="54"/>
      <c r="L1791" s="34"/>
      <c r="M1791" s="44"/>
      <c r="N1791" s="44"/>
      <c r="O1791" s="34"/>
      <c r="P1791" s="34"/>
      <c r="Q1791" s="34"/>
      <c r="R1791" s="34"/>
      <c r="V1791" s="44"/>
      <c r="X1791" s="95"/>
      <c r="Y1791" s="54"/>
      <c r="Z1791" s="54"/>
      <c r="AA1791" s="34"/>
      <c r="AB1791" s="34"/>
      <c r="AC1791" s="34"/>
      <c r="AD1791" s="34"/>
      <c r="AE1791" s="34"/>
      <c r="AF1791" s="34"/>
      <c r="AG1791" s="34"/>
      <c r="AH1791" s="34"/>
      <c r="AI1791" s="52"/>
      <c r="AJ1791" s="52"/>
      <c r="AL1791" s="34"/>
      <c r="AM1791" s="34"/>
      <c r="AN1791" s="34"/>
      <c r="AO1791" s="54"/>
      <c r="AP1791" s="34"/>
      <c r="AQ1791" s="34"/>
      <c r="AR1791" s="54"/>
      <c r="AS1791" s="54"/>
      <c r="AT1791" s="54"/>
      <c r="AU1791" s="54"/>
      <c r="AV1791" s="34"/>
      <c r="AW1791" s="34"/>
      <c r="AX1791" s="34"/>
      <c r="AY1791" s="34"/>
      <c r="AZ1791" s="34"/>
      <c r="BA1791" s="44"/>
      <c r="BB1791" s="34"/>
      <c r="BC1791" s="34"/>
    </row>
    <row r="1792" spans="1:55" x14ac:dyDescent="0.35" ht="15.0" customHeight="true">
      <c r="A1792" s="51"/>
      <c r="B1792" s="34"/>
      <c r="C1792" s="34"/>
      <c r="D1792" s="34"/>
      <c r="E1792" s="34"/>
      <c r="F1792" s="34"/>
      <c r="G1792" s="44"/>
      <c r="H1792" s="34"/>
      <c r="I1792" s="54"/>
      <c r="J1792" s="34"/>
      <c r="K1792" s="54"/>
      <c r="L1792" s="34"/>
      <c r="M1792" s="44"/>
      <c r="N1792" s="44"/>
      <c r="O1792" s="34"/>
      <c r="P1792" s="34"/>
      <c r="Q1792" s="34"/>
      <c r="R1792" s="34"/>
      <c r="V1792" s="44"/>
      <c r="X1792" s="95"/>
      <c r="Y1792" s="54"/>
      <c r="Z1792" s="54"/>
      <c r="AA1792" s="34"/>
      <c r="AB1792" s="34"/>
      <c r="AC1792" s="34"/>
      <c r="AD1792" s="34"/>
      <c r="AE1792" s="34"/>
      <c r="AF1792" s="34"/>
      <c r="AG1792" s="34"/>
      <c r="AH1792" s="34"/>
      <c r="AI1792" s="52"/>
      <c r="AJ1792" s="52"/>
      <c r="AL1792" s="34"/>
      <c r="AM1792" s="34"/>
      <c r="AN1792" s="34"/>
      <c r="AO1792" s="54"/>
      <c r="AP1792" s="34"/>
      <c r="AQ1792" s="34"/>
      <c r="AR1792" s="54"/>
      <c r="AS1792" s="54"/>
      <c r="AT1792" s="54"/>
      <c r="AU1792" s="54"/>
      <c r="AV1792" s="34"/>
      <c r="AW1792" s="34"/>
      <c r="AX1792" s="34"/>
      <c r="AY1792" s="34"/>
      <c r="AZ1792" s="34"/>
      <c r="BA1792" s="44"/>
      <c r="BB1792" s="34"/>
      <c r="BC1792" s="34"/>
    </row>
    <row r="1793" spans="1:55" x14ac:dyDescent="0.35" ht="15.0" customHeight="true">
      <c r="A1793" s="51"/>
      <c r="B1793" s="34"/>
      <c r="C1793" s="34"/>
      <c r="D1793" s="34"/>
      <c r="E1793" s="34"/>
      <c r="F1793" s="34"/>
      <c r="G1793" s="44"/>
      <c r="H1793" s="34"/>
      <c r="I1793" s="54"/>
      <c r="J1793" s="34"/>
      <c r="K1793" s="54"/>
      <c r="L1793" s="34"/>
      <c r="M1793" s="44"/>
      <c r="N1793" s="44"/>
      <c r="O1793" s="34"/>
      <c r="P1793" s="34"/>
      <c r="Q1793" s="34"/>
      <c r="R1793" s="34"/>
      <c r="V1793" s="44"/>
      <c r="X1793" s="95"/>
      <c r="Y1793" s="54"/>
      <c r="Z1793" s="54"/>
      <c r="AA1793" s="34"/>
      <c r="AB1793" s="34"/>
      <c r="AC1793" s="34"/>
      <c r="AD1793" s="34"/>
      <c r="AE1793" s="34"/>
      <c r="AF1793" s="34"/>
      <c r="AG1793" s="34"/>
      <c r="AH1793" s="34"/>
      <c r="AI1793" s="52"/>
      <c r="AJ1793" s="52"/>
      <c r="AL1793" s="34"/>
      <c r="AM1793" s="34"/>
      <c r="AN1793" s="34"/>
      <c r="AO1793" s="54"/>
      <c r="AP1793" s="34"/>
      <c r="AQ1793" s="34"/>
      <c r="AR1793" s="54"/>
      <c r="AS1793" s="54"/>
      <c r="AT1793" s="54"/>
      <c r="AU1793" s="54"/>
      <c r="AV1793" s="34"/>
      <c r="AW1793" s="34"/>
      <c r="AX1793" s="34"/>
      <c r="AY1793" s="34"/>
      <c r="AZ1793" s="34"/>
      <c r="BA1793" s="44"/>
      <c r="BB1793" s="34"/>
      <c r="BC1793" s="34"/>
    </row>
    <row r="1794" spans="1:55" x14ac:dyDescent="0.35" ht="15.0" customHeight="true">
      <c r="A1794" s="51"/>
      <c r="B1794" s="34"/>
      <c r="C1794" s="34"/>
      <c r="D1794" s="34"/>
      <c r="E1794" s="34"/>
      <c r="F1794" s="34"/>
      <c r="G1794" s="44"/>
      <c r="H1794" s="34"/>
      <c r="I1794" s="54"/>
      <c r="J1794" s="34"/>
      <c r="K1794" s="54"/>
      <c r="L1794" s="34"/>
      <c r="M1794" s="44"/>
      <c r="N1794" s="44"/>
      <c r="O1794" s="34"/>
      <c r="P1794" s="34"/>
      <c r="Q1794" s="34"/>
      <c r="R1794" s="34"/>
      <c r="V1794" s="44"/>
      <c r="X1794" s="95"/>
      <c r="Y1794" s="54"/>
      <c r="Z1794" s="54"/>
      <c r="AA1794" s="34"/>
      <c r="AB1794" s="34"/>
      <c r="AC1794" s="34"/>
      <c r="AD1794" s="34"/>
      <c r="AE1794" s="34"/>
      <c r="AF1794" s="34"/>
      <c r="AG1794" s="34"/>
      <c r="AH1794" s="34"/>
      <c r="AI1794" s="52"/>
      <c r="AJ1794" s="52"/>
      <c r="AL1794" s="34"/>
      <c r="AM1794" s="34"/>
      <c r="AN1794" s="34"/>
      <c r="AO1794" s="54"/>
      <c r="AP1794" s="34"/>
      <c r="AQ1794" s="34"/>
      <c r="AR1794" s="54"/>
      <c r="AS1794" s="54"/>
      <c r="AT1794" s="54"/>
      <c r="AU1794" s="54"/>
      <c r="AV1794" s="34"/>
      <c r="AW1794" s="34"/>
      <c r="AX1794" s="34"/>
      <c r="AY1794" s="34"/>
      <c r="AZ1794" s="34"/>
      <c r="BA1794" s="44"/>
      <c r="BB1794" s="34"/>
      <c r="BC1794" s="34"/>
    </row>
    <row r="1795" spans="1:55" x14ac:dyDescent="0.35" ht="15.0" customHeight="true">
      <c r="A1795" s="51"/>
      <c r="B1795" s="34"/>
      <c r="C1795" s="34"/>
      <c r="D1795" s="34"/>
      <c r="E1795" s="34"/>
      <c r="F1795" s="34"/>
      <c r="G1795" s="44"/>
      <c r="H1795" s="34"/>
      <c r="I1795" s="54"/>
      <c r="J1795" s="34"/>
      <c r="K1795" s="54"/>
      <c r="L1795" s="34"/>
      <c r="M1795" s="44"/>
      <c r="N1795" s="44"/>
      <c r="O1795" s="34"/>
      <c r="P1795" s="34"/>
      <c r="Q1795" s="34"/>
      <c r="R1795" s="34"/>
      <c r="V1795" s="44"/>
      <c r="X1795" s="95"/>
      <c r="Y1795" s="54"/>
      <c r="Z1795" s="54"/>
      <c r="AA1795" s="34"/>
      <c r="AB1795" s="34"/>
      <c r="AC1795" s="34"/>
      <c r="AD1795" s="34"/>
      <c r="AE1795" s="34"/>
      <c r="AF1795" s="34"/>
      <c r="AG1795" s="34"/>
      <c r="AH1795" s="34"/>
      <c r="AI1795" s="52"/>
      <c r="AJ1795" s="52"/>
      <c r="AL1795" s="34"/>
      <c r="AM1795" s="34"/>
      <c r="AN1795" s="34"/>
      <c r="AO1795" s="54"/>
      <c r="AP1795" s="34"/>
      <c r="AQ1795" s="34"/>
      <c r="AR1795" s="54"/>
      <c r="AS1795" s="54"/>
      <c r="AT1795" s="54"/>
      <c r="AU1795" s="54"/>
      <c r="AV1795" s="34"/>
      <c r="AW1795" s="34"/>
      <c r="AX1795" s="34"/>
      <c r="AY1795" s="34"/>
      <c r="AZ1795" s="34"/>
      <c r="BA1795" s="44"/>
      <c r="BB1795" s="34"/>
      <c r="BC1795" s="34"/>
    </row>
    <row r="1796" spans="1:55" x14ac:dyDescent="0.35" ht="15.0" customHeight="true">
      <c r="A1796" s="51"/>
      <c r="B1796" s="34"/>
      <c r="C1796" s="34"/>
      <c r="D1796" s="34"/>
      <c r="E1796" s="34"/>
      <c r="F1796" s="34"/>
      <c r="G1796" s="44"/>
      <c r="H1796" s="34"/>
      <c r="I1796" s="54"/>
      <c r="J1796" s="34"/>
      <c r="K1796" s="54"/>
      <c r="L1796" s="34"/>
      <c r="M1796" s="44"/>
      <c r="N1796" s="44"/>
      <c r="O1796" s="34"/>
      <c r="P1796" s="34"/>
      <c r="Q1796" s="34"/>
      <c r="R1796" s="34"/>
      <c r="V1796" s="44"/>
      <c r="X1796" s="95"/>
      <c r="Y1796" s="54"/>
      <c r="Z1796" s="54"/>
      <c r="AA1796" s="34"/>
      <c r="AB1796" s="34"/>
      <c r="AC1796" s="34"/>
      <c r="AD1796" s="34"/>
      <c r="AE1796" s="34"/>
      <c r="AF1796" s="34"/>
      <c r="AG1796" s="34"/>
      <c r="AH1796" s="34"/>
      <c r="AI1796" s="52"/>
      <c r="AJ1796" s="52"/>
      <c r="AL1796" s="34"/>
      <c r="AM1796" s="34"/>
      <c r="AN1796" s="34"/>
      <c r="AO1796" s="54"/>
      <c r="AP1796" s="34"/>
      <c r="AQ1796" s="34"/>
      <c r="AR1796" s="54"/>
      <c r="AS1796" s="54"/>
      <c r="AT1796" s="54"/>
      <c r="AU1796" s="54"/>
      <c r="AV1796" s="34"/>
      <c r="AW1796" s="34"/>
      <c r="AX1796" s="34"/>
      <c r="AY1796" s="34"/>
      <c r="AZ1796" s="34"/>
      <c r="BA1796" s="44"/>
      <c r="BB1796" s="34"/>
      <c r="BC1796" s="34"/>
    </row>
    <row r="1797" spans="1:55" x14ac:dyDescent="0.35" ht="15.0" customHeight="true">
      <c r="A1797" s="51"/>
      <c r="B1797" s="34"/>
      <c r="C1797" s="34"/>
      <c r="D1797" s="34"/>
      <c r="E1797" s="34"/>
      <c r="F1797" s="34"/>
      <c r="G1797" s="44"/>
      <c r="H1797" s="34"/>
      <c r="I1797" s="54"/>
      <c r="J1797" s="34"/>
      <c r="K1797" s="54"/>
      <c r="L1797" s="34"/>
      <c r="M1797" s="44"/>
      <c r="N1797" s="44"/>
      <c r="O1797" s="34"/>
      <c r="P1797" s="34"/>
      <c r="Q1797" s="34"/>
      <c r="R1797" s="34"/>
      <c r="V1797" s="44"/>
      <c r="X1797" s="95"/>
      <c r="Y1797" s="54"/>
      <c r="Z1797" s="54"/>
      <c r="AA1797" s="34"/>
      <c r="AB1797" s="34"/>
      <c r="AC1797" s="34"/>
      <c r="AD1797" s="34"/>
      <c r="AE1797" s="34"/>
      <c r="AF1797" s="34"/>
      <c r="AG1797" s="34"/>
      <c r="AH1797" s="34"/>
      <c r="AI1797" s="52"/>
      <c r="AJ1797" s="52"/>
      <c r="AL1797" s="34"/>
      <c r="AM1797" s="34"/>
      <c r="AN1797" s="34"/>
      <c r="AO1797" s="54"/>
      <c r="AP1797" s="34"/>
      <c r="AQ1797" s="34"/>
      <c r="AR1797" s="54"/>
      <c r="AS1797" s="54"/>
      <c r="AT1797" s="54"/>
      <c r="AU1797" s="54"/>
      <c r="AV1797" s="34"/>
      <c r="AW1797" s="34"/>
      <c r="AX1797" s="34"/>
      <c r="AY1797" s="34"/>
      <c r="AZ1797" s="34"/>
      <c r="BA1797" s="44"/>
      <c r="BB1797" s="34"/>
      <c r="BC1797" s="34"/>
    </row>
    <row r="1798" spans="1:55" x14ac:dyDescent="0.35" ht="15.0" customHeight="true">
      <c r="A1798" s="51"/>
      <c r="B1798" s="34"/>
      <c r="C1798" s="34"/>
      <c r="D1798" s="34"/>
      <c r="E1798" s="34"/>
      <c r="F1798" s="34"/>
      <c r="G1798" s="44"/>
      <c r="H1798" s="34"/>
      <c r="I1798" s="54"/>
      <c r="J1798" s="34"/>
      <c r="K1798" s="54"/>
      <c r="L1798" s="34"/>
      <c r="M1798" s="44"/>
      <c r="N1798" s="44"/>
      <c r="O1798" s="34"/>
      <c r="P1798" s="34"/>
      <c r="Q1798" s="34"/>
      <c r="R1798" s="34"/>
      <c r="V1798" s="44"/>
      <c r="X1798" s="95"/>
      <c r="Y1798" s="54"/>
      <c r="Z1798" s="54"/>
      <c r="AA1798" s="34"/>
      <c r="AB1798" s="34"/>
      <c r="AC1798" s="34"/>
      <c r="AD1798" s="34"/>
      <c r="AE1798" s="34"/>
      <c r="AF1798" s="34"/>
      <c r="AG1798" s="34"/>
      <c r="AH1798" s="34"/>
      <c r="AI1798" s="52"/>
      <c r="AJ1798" s="52"/>
      <c r="AL1798" s="34"/>
      <c r="AM1798" s="34"/>
      <c r="AN1798" s="34"/>
      <c r="AO1798" s="54"/>
      <c r="AP1798" s="34"/>
      <c r="AQ1798" s="34"/>
      <c r="AR1798" s="54"/>
      <c r="AS1798" s="54"/>
      <c r="AT1798" s="54"/>
      <c r="AU1798" s="54"/>
      <c r="AV1798" s="34"/>
      <c r="AW1798" s="34"/>
      <c r="AX1798" s="34"/>
      <c r="AY1798" s="34"/>
      <c r="AZ1798" s="34"/>
      <c r="BA1798" s="44"/>
      <c r="BB1798" s="34"/>
      <c r="BC1798" s="34"/>
    </row>
    <row r="1799" spans="1:55" x14ac:dyDescent="0.35" ht="15.0" customHeight="true">
      <c r="A1799" s="51"/>
      <c r="B1799" s="34"/>
      <c r="C1799" s="34"/>
      <c r="D1799" s="34"/>
      <c r="E1799" s="34"/>
      <c r="F1799" s="34"/>
      <c r="G1799" s="44"/>
      <c r="H1799" s="34"/>
      <c r="I1799" s="54"/>
      <c r="J1799" s="34"/>
      <c r="K1799" s="54"/>
      <c r="L1799" s="34"/>
      <c r="M1799" s="44"/>
      <c r="N1799" s="44"/>
      <c r="O1799" s="34"/>
      <c r="P1799" s="34"/>
      <c r="Q1799" s="34"/>
      <c r="R1799" s="34"/>
      <c r="V1799" s="44"/>
      <c r="X1799" s="95"/>
      <c r="Y1799" s="54"/>
      <c r="Z1799" s="54"/>
      <c r="AA1799" s="34"/>
      <c r="AB1799" s="34"/>
      <c r="AC1799" s="34"/>
      <c r="AD1799" s="34"/>
      <c r="AE1799" s="34"/>
      <c r="AF1799" s="34"/>
      <c r="AG1799" s="34"/>
      <c r="AH1799" s="34"/>
      <c r="AI1799" s="52"/>
      <c r="AJ1799" s="52"/>
      <c r="AL1799" s="34"/>
      <c r="AM1799" s="34"/>
      <c r="AN1799" s="34"/>
      <c r="AO1799" s="54"/>
      <c r="AP1799" s="34"/>
      <c r="AQ1799" s="34"/>
      <c r="AR1799" s="54"/>
      <c r="AS1799" s="54"/>
      <c r="AT1799" s="54"/>
      <c r="AU1799" s="54"/>
      <c r="AV1799" s="34"/>
      <c r="AW1799" s="34"/>
      <c r="AX1799" s="34"/>
      <c r="AY1799" s="34"/>
      <c r="AZ1799" s="34"/>
      <c r="BA1799" s="44"/>
      <c r="BB1799" s="34"/>
      <c r="BC1799" s="34"/>
    </row>
    <row r="1800" spans="1:55" x14ac:dyDescent="0.35" ht="15.0" customHeight="true">
      <c r="A1800" s="51"/>
      <c r="B1800" s="34"/>
      <c r="C1800" s="34"/>
      <c r="D1800" s="34"/>
      <c r="E1800" s="34"/>
      <c r="F1800" s="34"/>
      <c r="G1800" s="44"/>
      <c r="H1800" s="34"/>
      <c r="I1800" s="54"/>
      <c r="J1800" s="34"/>
      <c r="K1800" s="54"/>
      <c r="L1800" s="34"/>
      <c r="M1800" s="44"/>
      <c r="N1800" s="44"/>
      <c r="O1800" s="34"/>
      <c r="P1800" s="34"/>
      <c r="Q1800" s="34"/>
      <c r="R1800" s="34"/>
      <c r="V1800" s="44"/>
      <c r="X1800" s="95"/>
      <c r="Y1800" s="54"/>
      <c r="Z1800" s="54"/>
      <c r="AA1800" s="34"/>
      <c r="AB1800" s="34"/>
      <c r="AC1800" s="34"/>
      <c r="AD1800" s="34"/>
      <c r="AE1800" s="34"/>
      <c r="AF1800" s="34"/>
      <c r="AG1800" s="34"/>
      <c r="AH1800" s="34"/>
      <c r="AI1800" s="52"/>
      <c r="AJ1800" s="52"/>
      <c r="AL1800" s="34"/>
      <c r="AM1800" s="34"/>
      <c r="AN1800" s="34"/>
      <c r="AO1800" s="54"/>
      <c r="AP1800" s="34"/>
      <c r="AQ1800" s="34"/>
      <c r="AR1800" s="54"/>
      <c r="AS1800" s="54"/>
      <c r="AT1800" s="54"/>
      <c r="AU1800" s="54"/>
      <c r="AV1800" s="34"/>
      <c r="AW1800" s="34"/>
      <c r="AX1800" s="34"/>
      <c r="AY1800" s="34"/>
      <c r="AZ1800" s="34"/>
      <c r="BA1800" s="44"/>
      <c r="BB1800" s="34"/>
      <c r="BC1800" s="34"/>
    </row>
    <row r="1801" spans="1:55" x14ac:dyDescent="0.35" ht="15.0" customHeight="true">
      <c r="A1801" s="51"/>
      <c r="B1801" s="34"/>
      <c r="C1801" s="34"/>
      <c r="D1801" s="34"/>
      <c r="E1801" s="34"/>
      <c r="F1801" s="34"/>
      <c r="G1801" s="44"/>
      <c r="H1801" s="34"/>
      <c r="I1801" s="54"/>
      <c r="J1801" s="34"/>
      <c r="K1801" s="54"/>
      <c r="L1801" s="34"/>
      <c r="M1801" s="44"/>
      <c r="N1801" s="44"/>
      <c r="O1801" s="34"/>
      <c r="P1801" s="34"/>
      <c r="Q1801" s="34"/>
      <c r="R1801" s="34"/>
      <c r="V1801" s="44"/>
      <c r="X1801" s="95"/>
      <c r="Y1801" s="54"/>
      <c r="Z1801" s="54"/>
      <c r="AA1801" s="34"/>
      <c r="AB1801" s="34"/>
      <c r="AC1801" s="34"/>
      <c r="AD1801" s="34"/>
      <c r="AE1801" s="34"/>
      <c r="AF1801" s="34"/>
      <c r="AG1801" s="34"/>
      <c r="AH1801" s="34"/>
      <c r="AI1801" s="52"/>
      <c r="AJ1801" s="52"/>
      <c r="AL1801" s="34"/>
      <c r="AM1801" s="34"/>
      <c r="AN1801" s="34"/>
      <c r="AO1801" s="54"/>
      <c r="AP1801" s="34"/>
      <c r="AQ1801" s="34"/>
      <c r="AR1801" s="54"/>
      <c r="AS1801" s="54"/>
      <c r="AT1801" s="54"/>
      <c r="AU1801" s="54"/>
      <c r="AV1801" s="34"/>
      <c r="AW1801" s="34"/>
      <c r="AX1801" s="34"/>
      <c r="AY1801" s="34"/>
      <c r="AZ1801" s="34"/>
      <c r="BA1801" s="44"/>
      <c r="BB1801" s="34"/>
      <c r="BC1801" s="34"/>
    </row>
    <row r="1802" spans="1:55" x14ac:dyDescent="0.35" ht="15.0" customHeight="true">
      <c r="A1802" s="51"/>
      <c r="B1802" s="34"/>
      <c r="C1802" s="34"/>
      <c r="D1802" s="34"/>
      <c r="E1802" s="34"/>
      <c r="F1802" s="34"/>
      <c r="G1802" s="44"/>
      <c r="H1802" s="34"/>
      <c r="I1802" s="54"/>
      <c r="J1802" s="34"/>
      <c r="K1802" s="54"/>
      <c r="L1802" s="34"/>
      <c r="M1802" s="44"/>
      <c r="N1802" s="44"/>
      <c r="O1802" s="34"/>
      <c r="P1802" s="34"/>
      <c r="Q1802" s="34"/>
      <c r="R1802" s="34"/>
      <c r="V1802" s="44"/>
      <c r="X1802" s="95"/>
      <c r="Y1802" s="54"/>
      <c r="Z1802" s="54"/>
      <c r="AA1802" s="34"/>
      <c r="AB1802" s="34"/>
      <c r="AC1802" s="34"/>
      <c r="AD1802" s="34"/>
      <c r="AE1802" s="34"/>
      <c r="AF1802" s="34"/>
      <c r="AG1802" s="34"/>
      <c r="AH1802" s="34"/>
      <c r="AI1802" s="52"/>
      <c r="AJ1802" s="52"/>
      <c r="AL1802" s="34"/>
      <c r="AM1802" s="34"/>
      <c r="AN1802" s="34"/>
      <c r="AO1802" s="54"/>
      <c r="AP1802" s="34"/>
      <c r="AQ1802" s="34"/>
      <c r="AR1802" s="54"/>
      <c r="AS1802" s="54"/>
      <c r="AT1802" s="54"/>
      <c r="AU1802" s="54"/>
      <c r="AV1802" s="34"/>
      <c r="AW1802" s="34"/>
      <c r="AX1802" s="34"/>
      <c r="AY1802" s="34"/>
      <c r="AZ1802" s="34"/>
      <c r="BA1802" s="44"/>
      <c r="BB1802" s="34"/>
      <c r="BC1802" s="34"/>
    </row>
    <row r="1803" spans="1:55" x14ac:dyDescent="0.35" ht="15.0" customHeight="true">
      <c r="A1803" s="51"/>
      <c r="B1803" s="34"/>
      <c r="C1803" s="34"/>
      <c r="D1803" s="34"/>
      <c r="E1803" s="34"/>
      <c r="F1803" s="34"/>
      <c r="G1803" s="44"/>
      <c r="H1803" s="34"/>
      <c r="I1803" s="54"/>
      <c r="J1803" s="34"/>
      <c r="K1803" s="54"/>
      <c r="L1803" s="34"/>
      <c r="M1803" s="44"/>
      <c r="N1803" s="44"/>
      <c r="O1803" s="34"/>
      <c r="P1803" s="34"/>
      <c r="Q1803" s="34"/>
      <c r="R1803" s="34"/>
      <c r="V1803" s="44"/>
      <c r="X1803" s="95"/>
      <c r="Y1803" s="54"/>
      <c r="Z1803" s="54"/>
      <c r="AA1803" s="34"/>
      <c r="AB1803" s="34"/>
      <c r="AC1803" s="34"/>
      <c r="AD1803" s="34"/>
      <c r="AE1803" s="34"/>
      <c r="AF1803" s="34"/>
      <c r="AG1803" s="34"/>
      <c r="AH1803" s="34"/>
      <c r="AI1803" s="52"/>
      <c r="AJ1803" s="52"/>
      <c r="AL1803" s="34"/>
      <c r="AM1803" s="34"/>
      <c r="AN1803" s="34"/>
      <c r="AO1803" s="54"/>
      <c r="AP1803" s="34"/>
      <c r="AQ1803" s="34"/>
      <c r="AR1803" s="54"/>
      <c r="AS1803" s="54"/>
      <c r="AT1803" s="54"/>
      <c r="AU1803" s="54"/>
      <c r="AV1803" s="34"/>
      <c r="AW1803" s="34"/>
      <c r="AX1803" s="34"/>
      <c r="AY1803" s="34"/>
      <c r="AZ1803" s="34"/>
      <c r="BA1803" s="44"/>
      <c r="BB1803" s="34"/>
      <c r="BC1803" s="34"/>
    </row>
    <row r="1804" spans="1:55" x14ac:dyDescent="0.35" ht="15.0" customHeight="true">
      <c r="A1804" s="51"/>
      <c r="B1804" s="34"/>
      <c r="C1804" s="34"/>
      <c r="D1804" s="34"/>
      <c r="E1804" s="34"/>
      <c r="F1804" s="34"/>
      <c r="G1804" s="44"/>
      <c r="H1804" s="34"/>
      <c r="I1804" s="54"/>
      <c r="J1804" s="34"/>
      <c r="K1804" s="54"/>
      <c r="L1804" s="34"/>
      <c r="M1804" s="44"/>
      <c r="N1804" s="44"/>
      <c r="O1804" s="34"/>
      <c r="P1804" s="34"/>
      <c r="Q1804" s="34"/>
      <c r="R1804" s="34"/>
      <c r="V1804" s="44"/>
      <c r="X1804" s="95"/>
      <c r="Y1804" s="54"/>
      <c r="Z1804" s="54"/>
      <c r="AA1804" s="34"/>
      <c r="AB1804" s="34"/>
      <c r="AC1804" s="34"/>
      <c r="AD1804" s="34"/>
      <c r="AE1804" s="34"/>
      <c r="AF1804" s="34"/>
      <c r="AG1804" s="34"/>
      <c r="AH1804" s="34"/>
      <c r="AI1804" s="52"/>
      <c r="AJ1804" s="52"/>
      <c r="AL1804" s="34"/>
      <c r="AM1804" s="34"/>
      <c r="AN1804" s="34"/>
      <c r="AO1804" s="54"/>
      <c r="AP1804" s="34"/>
      <c r="AQ1804" s="34"/>
      <c r="AR1804" s="54"/>
      <c r="AS1804" s="54"/>
      <c r="AT1804" s="54"/>
      <c r="AU1804" s="54"/>
      <c r="AV1804" s="34"/>
      <c r="AW1804" s="34"/>
      <c r="AX1804" s="34"/>
      <c r="AY1804" s="34"/>
      <c r="AZ1804" s="34"/>
      <c r="BA1804" s="44"/>
      <c r="BB1804" s="34"/>
      <c r="BC1804" s="34"/>
    </row>
    <row r="1805" spans="1:55" x14ac:dyDescent="0.35" ht="15.0" customHeight="true">
      <c r="A1805" s="51"/>
      <c r="B1805" s="34"/>
      <c r="C1805" s="34"/>
      <c r="D1805" s="34"/>
      <c r="E1805" s="34"/>
      <c r="F1805" s="34"/>
      <c r="G1805" s="44"/>
      <c r="H1805" s="34"/>
      <c r="I1805" s="54"/>
      <c r="J1805" s="34"/>
      <c r="K1805" s="54"/>
      <c r="L1805" s="34"/>
      <c r="M1805" s="44"/>
      <c r="N1805" s="44"/>
      <c r="O1805" s="34"/>
      <c r="P1805" s="34"/>
      <c r="Q1805" s="34"/>
      <c r="R1805" s="34"/>
      <c r="V1805" s="44"/>
      <c r="X1805" s="95"/>
      <c r="Y1805" s="54"/>
      <c r="Z1805" s="54"/>
      <c r="AA1805" s="34"/>
      <c r="AB1805" s="34"/>
      <c r="AC1805" s="34"/>
      <c r="AD1805" s="34"/>
      <c r="AE1805" s="34"/>
      <c r="AF1805" s="34"/>
      <c r="AG1805" s="34"/>
      <c r="AH1805" s="34"/>
      <c r="AI1805" s="52"/>
      <c r="AJ1805" s="52"/>
      <c r="AL1805" s="34"/>
      <c r="AM1805" s="34"/>
      <c r="AN1805" s="34"/>
      <c r="AO1805" s="54"/>
      <c r="AP1805" s="34"/>
      <c r="AQ1805" s="34"/>
      <c r="AR1805" s="54"/>
      <c r="AS1805" s="54"/>
      <c r="AT1805" s="54"/>
      <c r="AU1805" s="54"/>
      <c r="AV1805" s="34"/>
      <c r="AW1805" s="34"/>
      <c r="AX1805" s="34"/>
      <c r="AY1805" s="34"/>
      <c r="AZ1805" s="34"/>
      <c r="BA1805" s="44"/>
      <c r="BB1805" s="34"/>
      <c r="BC1805" s="34"/>
    </row>
    <row r="1806" spans="1:55" x14ac:dyDescent="0.35" ht="15.0" customHeight="true">
      <c r="A1806" s="51"/>
      <c r="B1806" s="34"/>
      <c r="C1806" s="34"/>
      <c r="D1806" s="34"/>
      <c r="E1806" s="34"/>
      <c r="F1806" s="34"/>
      <c r="G1806" s="44"/>
      <c r="H1806" s="34"/>
      <c r="I1806" s="54"/>
      <c r="J1806" s="34"/>
      <c r="K1806" s="54"/>
      <c r="L1806" s="34"/>
      <c r="M1806" s="44"/>
      <c r="N1806" s="44"/>
      <c r="O1806" s="34"/>
      <c r="P1806" s="34"/>
      <c r="Q1806" s="34"/>
      <c r="R1806" s="34"/>
      <c r="V1806" s="44"/>
      <c r="X1806" s="95"/>
      <c r="Y1806" s="54"/>
      <c r="Z1806" s="54"/>
      <c r="AA1806" s="34"/>
      <c r="AB1806" s="34"/>
      <c r="AC1806" s="34"/>
      <c r="AD1806" s="34"/>
      <c r="AE1806" s="34"/>
      <c r="AF1806" s="34"/>
      <c r="AG1806" s="34"/>
      <c r="AH1806" s="34"/>
      <c r="AI1806" s="52"/>
      <c r="AJ1806" s="52"/>
      <c r="AL1806" s="34"/>
      <c r="AM1806" s="34"/>
      <c r="AN1806" s="34"/>
      <c r="AO1806" s="54"/>
      <c r="AP1806" s="34"/>
      <c r="AQ1806" s="34"/>
      <c r="AR1806" s="54"/>
      <c r="AS1806" s="54"/>
      <c r="AT1806" s="54"/>
      <c r="AU1806" s="54"/>
      <c r="AV1806" s="34"/>
      <c r="AW1806" s="34"/>
      <c r="AX1806" s="34"/>
      <c r="AY1806" s="34"/>
      <c r="AZ1806" s="34"/>
      <c r="BA1806" s="44"/>
      <c r="BB1806" s="34"/>
      <c r="BC1806" s="34"/>
    </row>
    <row r="1807" spans="1:55" x14ac:dyDescent="0.35" ht="15.0" customHeight="true">
      <c r="A1807" s="51"/>
      <c r="B1807" s="34"/>
      <c r="C1807" s="34"/>
      <c r="D1807" s="34"/>
      <c r="E1807" s="34"/>
      <c r="F1807" s="34"/>
      <c r="G1807" s="44"/>
      <c r="H1807" s="34"/>
      <c r="I1807" s="54"/>
      <c r="J1807" s="34"/>
      <c r="K1807" s="54"/>
      <c r="L1807" s="34"/>
      <c r="M1807" s="44"/>
      <c r="N1807" s="44"/>
      <c r="O1807" s="34"/>
      <c r="P1807" s="34"/>
      <c r="Q1807" s="34"/>
      <c r="R1807" s="34"/>
      <c r="V1807" s="44"/>
      <c r="X1807" s="95"/>
      <c r="Y1807" s="54"/>
      <c r="Z1807" s="54"/>
      <c r="AA1807" s="34"/>
      <c r="AB1807" s="34"/>
      <c r="AC1807" s="34"/>
      <c r="AD1807" s="34"/>
      <c r="AE1807" s="34"/>
      <c r="AF1807" s="34"/>
      <c r="AG1807" s="34"/>
      <c r="AH1807" s="34"/>
      <c r="AI1807" s="52"/>
      <c r="AJ1807" s="52"/>
      <c r="AL1807" s="34"/>
      <c r="AM1807" s="34"/>
      <c r="AN1807" s="34"/>
      <c r="AO1807" s="54"/>
      <c r="AP1807" s="34"/>
      <c r="AQ1807" s="34"/>
      <c r="AR1807" s="54"/>
      <c r="AS1807" s="54"/>
      <c r="AT1807" s="54"/>
      <c r="AU1807" s="54"/>
      <c r="AV1807" s="34"/>
      <c r="AW1807" s="34"/>
      <c r="AX1807" s="34"/>
      <c r="AY1807" s="34"/>
      <c r="AZ1807" s="34"/>
      <c r="BA1807" s="44"/>
      <c r="BB1807" s="34"/>
      <c r="BC1807" s="34"/>
    </row>
    <row r="1808" spans="1:55" x14ac:dyDescent="0.35" ht="15.0" customHeight="true">
      <c r="A1808" s="51"/>
      <c r="B1808" s="34"/>
      <c r="C1808" s="34"/>
      <c r="D1808" s="34"/>
      <c r="E1808" s="34"/>
      <c r="F1808" s="34"/>
      <c r="G1808" s="44"/>
      <c r="H1808" s="34"/>
      <c r="I1808" s="54"/>
      <c r="J1808" s="34"/>
      <c r="K1808" s="54"/>
      <c r="L1808" s="34"/>
      <c r="M1808" s="44"/>
      <c r="N1808" s="44"/>
      <c r="O1808" s="34"/>
      <c r="P1808" s="34"/>
      <c r="Q1808" s="34"/>
      <c r="R1808" s="34"/>
      <c r="V1808" s="44"/>
      <c r="X1808" s="95"/>
      <c r="Y1808" s="54"/>
      <c r="Z1808" s="54"/>
      <c r="AA1808" s="34"/>
      <c r="AB1808" s="34"/>
      <c r="AC1808" s="34"/>
      <c r="AD1808" s="34"/>
      <c r="AE1808" s="34"/>
      <c r="AF1808" s="34"/>
      <c r="AG1808" s="34"/>
      <c r="AH1808" s="34"/>
      <c r="AI1808" s="52"/>
      <c r="AJ1808" s="52"/>
      <c r="AL1808" s="34"/>
      <c r="AM1808" s="34"/>
      <c r="AN1808" s="34"/>
      <c r="AO1808" s="54"/>
      <c r="AP1808" s="34"/>
      <c r="AQ1808" s="34"/>
      <c r="AR1808" s="54"/>
      <c r="AS1808" s="54"/>
      <c r="AT1808" s="54"/>
      <c r="AU1808" s="54"/>
      <c r="AV1808" s="34"/>
      <c r="AW1808" s="34"/>
      <c r="AX1808" s="34"/>
      <c r="AY1808" s="34"/>
      <c r="AZ1808" s="34"/>
      <c r="BA1808" s="44"/>
      <c r="BB1808" s="34"/>
      <c r="BC1808" s="34"/>
    </row>
    <row r="1809" spans="1:55" x14ac:dyDescent="0.35" ht="15.0" customHeight="true">
      <c r="A1809" s="51"/>
      <c r="B1809" s="34"/>
      <c r="C1809" s="34"/>
      <c r="D1809" s="34"/>
      <c r="E1809" s="34"/>
      <c r="F1809" s="34"/>
      <c r="G1809" s="44"/>
      <c r="H1809" s="34"/>
      <c r="I1809" s="54"/>
      <c r="J1809" s="34"/>
      <c r="K1809" s="54"/>
      <c r="L1809" s="34"/>
      <c r="M1809" s="44"/>
      <c r="N1809" s="44"/>
      <c r="O1809" s="34"/>
      <c r="P1809" s="34"/>
      <c r="Q1809" s="34"/>
      <c r="R1809" s="34"/>
      <c r="V1809" s="44"/>
      <c r="X1809" s="95"/>
      <c r="Y1809" s="54"/>
      <c r="Z1809" s="54"/>
      <c r="AA1809" s="34"/>
      <c r="AB1809" s="34"/>
      <c r="AC1809" s="34"/>
      <c r="AD1809" s="34"/>
      <c r="AE1809" s="34"/>
      <c r="AF1809" s="34"/>
      <c r="AG1809" s="34"/>
      <c r="AH1809" s="34"/>
      <c r="AI1809" s="52"/>
      <c r="AJ1809" s="52"/>
      <c r="AL1809" s="34"/>
      <c r="AM1809" s="34"/>
      <c r="AN1809" s="34"/>
      <c r="AO1809" s="54"/>
      <c r="AP1809" s="34"/>
      <c r="AQ1809" s="34"/>
      <c r="AR1809" s="54"/>
      <c r="AS1809" s="54"/>
      <c r="AT1809" s="54"/>
      <c r="AU1809" s="54"/>
      <c r="AV1809" s="34"/>
      <c r="AW1809" s="34"/>
      <c r="AX1809" s="34"/>
      <c r="AY1809" s="34"/>
      <c r="AZ1809" s="34"/>
      <c r="BA1809" s="44"/>
      <c r="BB1809" s="34"/>
      <c r="BC1809" s="34"/>
    </row>
    <row r="1810" spans="1:55" x14ac:dyDescent="0.35" ht="15.0" customHeight="true">
      <c r="A1810" s="51"/>
      <c r="B1810" s="34"/>
      <c r="C1810" s="34"/>
      <c r="D1810" s="34"/>
      <c r="E1810" s="34"/>
      <c r="F1810" s="34"/>
      <c r="G1810" s="44"/>
      <c r="H1810" s="34"/>
      <c r="I1810" s="54"/>
      <c r="J1810" s="34"/>
      <c r="K1810" s="54"/>
      <c r="L1810" s="34"/>
      <c r="M1810" s="44"/>
      <c r="N1810" s="44"/>
      <c r="O1810" s="34"/>
      <c r="P1810" s="34"/>
      <c r="Q1810" s="34"/>
      <c r="R1810" s="34"/>
      <c r="V1810" s="44"/>
      <c r="X1810" s="95"/>
      <c r="Y1810" s="54"/>
      <c r="Z1810" s="54"/>
      <c r="AA1810" s="34"/>
      <c r="AB1810" s="34"/>
      <c r="AC1810" s="34"/>
      <c r="AD1810" s="34"/>
      <c r="AE1810" s="34"/>
      <c r="AF1810" s="34"/>
      <c r="AG1810" s="34"/>
      <c r="AH1810" s="34"/>
      <c r="AI1810" s="52"/>
      <c r="AJ1810" s="52"/>
      <c r="AL1810" s="34"/>
      <c r="AM1810" s="34"/>
      <c r="AN1810" s="34"/>
      <c r="AO1810" s="54"/>
      <c r="AP1810" s="34"/>
      <c r="AQ1810" s="34"/>
      <c r="AR1810" s="54"/>
      <c r="AS1810" s="54"/>
      <c r="AT1810" s="54"/>
      <c r="AU1810" s="54"/>
      <c r="AV1810" s="34"/>
      <c r="AW1810" s="34"/>
      <c r="AX1810" s="34"/>
      <c r="AY1810" s="34"/>
      <c r="AZ1810" s="34"/>
      <c r="BA1810" s="44"/>
      <c r="BB1810" s="34"/>
      <c r="BC1810" s="34"/>
    </row>
    <row r="1811" spans="1:55" x14ac:dyDescent="0.35" ht="15.0" customHeight="true">
      <c r="A1811" s="51"/>
      <c r="B1811" s="34"/>
      <c r="C1811" s="34"/>
      <c r="D1811" s="34"/>
      <c r="E1811" s="34"/>
      <c r="F1811" s="34"/>
      <c r="G1811" s="44"/>
      <c r="H1811" s="34"/>
      <c r="I1811" s="54"/>
      <c r="J1811" s="34"/>
      <c r="K1811" s="54"/>
      <c r="L1811" s="34"/>
      <c r="M1811" s="44"/>
      <c r="N1811" s="44"/>
      <c r="O1811" s="34"/>
      <c r="P1811" s="34"/>
      <c r="Q1811" s="34"/>
      <c r="R1811" s="34"/>
      <c r="V1811" s="44"/>
      <c r="X1811" s="95"/>
      <c r="Y1811" s="54"/>
      <c r="Z1811" s="54"/>
      <c r="AA1811" s="34"/>
      <c r="AB1811" s="34"/>
      <c r="AC1811" s="34"/>
      <c r="AD1811" s="34"/>
      <c r="AE1811" s="34"/>
      <c r="AF1811" s="34"/>
      <c r="AG1811" s="34"/>
      <c r="AH1811" s="34"/>
      <c r="AI1811" s="52"/>
      <c r="AJ1811" s="52"/>
      <c r="AL1811" s="34"/>
      <c r="AM1811" s="34"/>
      <c r="AN1811" s="34"/>
      <c r="AO1811" s="54"/>
      <c r="AP1811" s="34"/>
      <c r="AQ1811" s="34"/>
      <c r="AR1811" s="54"/>
      <c r="AS1811" s="54"/>
      <c r="AT1811" s="54"/>
      <c r="AU1811" s="54"/>
      <c r="AV1811" s="34"/>
      <c r="AW1811" s="34"/>
      <c r="AX1811" s="34"/>
      <c r="AY1811" s="34"/>
      <c r="AZ1811" s="34"/>
      <c r="BA1811" s="44"/>
      <c r="BB1811" s="34"/>
      <c r="BC1811" s="34"/>
    </row>
    <row r="1812" spans="1:55" x14ac:dyDescent="0.35" ht="15.0" customHeight="true">
      <c r="A1812" s="51"/>
      <c r="B1812" s="34"/>
      <c r="C1812" s="34"/>
      <c r="D1812" s="34"/>
      <c r="E1812" s="34"/>
      <c r="F1812" s="34"/>
      <c r="G1812" s="44"/>
      <c r="H1812" s="34"/>
      <c r="I1812" s="54"/>
      <c r="J1812" s="34"/>
      <c r="K1812" s="54"/>
      <c r="L1812" s="34"/>
      <c r="M1812" s="44"/>
      <c r="N1812" s="44"/>
      <c r="O1812" s="34"/>
      <c r="P1812" s="34"/>
      <c r="Q1812" s="34"/>
      <c r="R1812" s="34"/>
      <c r="V1812" s="44"/>
      <c r="X1812" s="95"/>
      <c r="Y1812" s="54"/>
      <c r="Z1812" s="54"/>
      <c r="AA1812" s="34"/>
      <c r="AB1812" s="34"/>
      <c r="AC1812" s="34"/>
      <c r="AD1812" s="34"/>
      <c r="AE1812" s="34"/>
      <c r="AF1812" s="34"/>
      <c r="AG1812" s="34"/>
      <c r="AH1812" s="34"/>
      <c r="AI1812" s="52"/>
      <c r="AJ1812" s="52"/>
      <c r="AL1812" s="34"/>
      <c r="AM1812" s="34"/>
      <c r="AN1812" s="34"/>
      <c r="AO1812" s="54"/>
      <c r="AP1812" s="34"/>
      <c r="AQ1812" s="34"/>
      <c r="AR1812" s="54"/>
      <c r="AS1812" s="54"/>
      <c r="AT1812" s="54"/>
      <c r="AU1812" s="54"/>
      <c r="AV1812" s="34"/>
      <c r="AW1812" s="34"/>
      <c r="AX1812" s="34"/>
      <c r="AY1812" s="34"/>
      <c r="AZ1812" s="34"/>
      <c r="BA1812" s="44"/>
      <c r="BB1812" s="34"/>
      <c r="BC1812" s="34"/>
    </row>
    <row r="1813" spans="1:55" x14ac:dyDescent="0.35" ht="15.0" customHeight="true">
      <c r="A1813" s="51"/>
      <c r="B1813" s="34"/>
      <c r="C1813" s="34"/>
      <c r="D1813" s="34"/>
      <c r="E1813" s="34"/>
      <c r="F1813" s="34"/>
      <c r="G1813" s="44"/>
      <c r="H1813" s="34"/>
      <c r="I1813" s="54"/>
      <c r="J1813" s="34"/>
      <c r="K1813" s="54"/>
      <c r="L1813" s="34"/>
      <c r="M1813" s="44"/>
      <c r="N1813" s="44"/>
      <c r="O1813" s="34"/>
      <c r="P1813" s="34"/>
      <c r="Q1813" s="34"/>
      <c r="R1813" s="34"/>
      <c r="V1813" s="44"/>
      <c r="X1813" s="95"/>
      <c r="Y1813" s="54"/>
      <c r="Z1813" s="54"/>
      <c r="AA1813" s="34"/>
      <c r="AB1813" s="34"/>
      <c r="AC1813" s="34"/>
      <c r="AD1813" s="34"/>
      <c r="AE1813" s="34"/>
      <c r="AF1813" s="34"/>
      <c r="AG1813" s="34"/>
      <c r="AH1813" s="34"/>
      <c r="AI1813" s="52"/>
      <c r="AJ1813" s="52"/>
      <c r="AL1813" s="34"/>
      <c r="AM1813" s="34"/>
      <c r="AN1813" s="34"/>
      <c r="AO1813" s="54"/>
      <c r="AP1813" s="34"/>
      <c r="AQ1813" s="34"/>
      <c r="AR1813" s="54"/>
      <c r="AS1813" s="54"/>
      <c r="AT1813" s="54"/>
      <c r="AU1813" s="54"/>
      <c r="AV1813" s="34"/>
      <c r="AW1813" s="34"/>
      <c r="AX1813" s="34"/>
      <c r="AY1813" s="34"/>
      <c r="AZ1813" s="34"/>
      <c r="BA1813" s="44"/>
      <c r="BB1813" s="34"/>
      <c r="BC1813" s="34"/>
    </row>
    <row r="1814" spans="1:55" x14ac:dyDescent="0.35" ht="15.0" customHeight="true">
      <c r="A1814" s="51"/>
      <c r="B1814" s="34"/>
      <c r="C1814" s="34"/>
      <c r="D1814" s="34"/>
      <c r="E1814" s="34"/>
      <c r="F1814" s="34"/>
      <c r="G1814" s="44"/>
      <c r="H1814" s="34"/>
      <c r="I1814" s="54"/>
      <c r="J1814" s="34"/>
      <c r="K1814" s="54"/>
      <c r="L1814" s="34"/>
      <c r="M1814" s="44"/>
      <c r="N1814" s="44"/>
      <c r="O1814" s="34"/>
      <c r="P1814" s="34"/>
      <c r="Q1814" s="34"/>
      <c r="R1814" s="34"/>
      <c r="V1814" s="44"/>
      <c r="X1814" s="95"/>
      <c r="Y1814" s="54"/>
      <c r="Z1814" s="54"/>
      <c r="AA1814" s="34"/>
      <c r="AB1814" s="34"/>
      <c r="AC1814" s="34"/>
      <c r="AD1814" s="34"/>
      <c r="AE1814" s="34"/>
      <c r="AF1814" s="34"/>
      <c r="AG1814" s="34"/>
      <c r="AH1814" s="34"/>
      <c r="AI1814" s="52"/>
      <c r="AJ1814" s="52"/>
      <c r="AL1814" s="34"/>
      <c r="AM1814" s="34"/>
      <c r="AN1814" s="34"/>
      <c r="AO1814" s="54"/>
      <c r="AP1814" s="34"/>
      <c r="AQ1814" s="34"/>
      <c r="AR1814" s="54"/>
      <c r="AS1814" s="54"/>
      <c r="AT1814" s="54"/>
      <c r="AU1814" s="54"/>
      <c r="AV1814" s="34"/>
      <c r="AW1814" s="34"/>
      <c r="AX1814" s="34"/>
      <c r="AY1814" s="34"/>
      <c r="AZ1814" s="34"/>
      <c r="BA1814" s="44"/>
      <c r="BB1814" s="34"/>
      <c r="BC1814" s="34"/>
    </row>
    <row r="1815" spans="1:55" x14ac:dyDescent="0.35" ht="15.0" customHeight="true">
      <c r="A1815" s="51"/>
      <c r="B1815" s="34"/>
      <c r="C1815" s="34"/>
      <c r="D1815" s="34"/>
      <c r="E1815" s="34"/>
      <c r="F1815" s="34"/>
      <c r="G1815" s="44"/>
      <c r="H1815" s="34"/>
      <c r="I1815" s="54"/>
      <c r="J1815" s="34"/>
      <c r="K1815" s="54"/>
      <c r="L1815" s="34"/>
      <c r="M1815" s="44"/>
      <c r="N1815" s="44"/>
      <c r="O1815" s="34"/>
      <c r="P1815" s="34"/>
      <c r="Q1815" s="34"/>
      <c r="R1815" s="34"/>
      <c r="V1815" s="44"/>
      <c r="X1815" s="95"/>
      <c r="Y1815" s="54"/>
      <c r="Z1815" s="54"/>
      <c r="AA1815" s="34"/>
      <c r="AB1815" s="34"/>
      <c r="AC1815" s="34"/>
      <c r="AD1815" s="34"/>
      <c r="AE1815" s="34"/>
      <c r="AF1815" s="34"/>
      <c r="AG1815" s="34"/>
      <c r="AH1815" s="34"/>
      <c r="AI1815" s="52"/>
      <c r="AJ1815" s="52"/>
      <c r="AL1815" s="34"/>
      <c r="AM1815" s="34"/>
      <c r="AN1815" s="34"/>
      <c r="AO1815" s="54"/>
      <c r="AP1815" s="34"/>
      <c r="AQ1815" s="34"/>
      <c r="AR1815" s="54"/>
      <c r="AS1815" s="54"/>
      <c r="AT1815" s="54"/>
      <c r="AU1815" s="54"/>
      <c r="AV1815" s="34"/>
      <c r="AW1815" s="34"/>
      <c r="AX1815" s="34"/>
      <c r="AY1815" s="34"/>
      <c r="AZ1815" s="34"/>
      <c r="BA1815" s="44"/>
      <c r="BB1815" s="34"/>
      <c r="BC1815" s="34"/>
    </row>
    <row r="1816" spans="1:55" x14ac:dyDescent="0.35" ht="15.0" customHeight="true">
      <c r="A1816" s="51"/>
      <c r="B1816" s="34"/>
      <c r="C1816" s="34"/>
      <c r="D1816" s="34"/>
      <c r="E1816" s="34"/>
      <c r="F1816" s="34"/>
      <c r="G1816" s="44"/>
      <c r="H1816" s="34"/>
      <c r="I1816" s="54"/>
      <c r="J1816" s="34"/>
      <c r="K1816" s="54"/>
      <c r="L1816" s="34"/>
      <c r="M1816" s="44"/>
      <c r="N1816" s="44"/>
      <c r="O1816" s="34"/>
      <c r="P1816" s="34"/>
      <c r="Q1816" s="34"/>
      <c r="R1816" s="34"/>
      <c r="V1816" s="44"/>
      <c r="X1816" s="95"/>
      <c r="Y1816" s="54"/>
      <c r="Z1816" s="54"/>
      <c r="AA1816" s="34"/>
      <c r="AB1816" s="34"/>
      <c r="AC1816" s="34"/>
      <c r="AD1816" s="34"/>
      <c r="AE1816" s="34"/>
      <c r="AF1816" s="34"/>
      <c r="AG1816" s="34"/>
      <c r="AH1816" s="34"/>
      <c r="AI1816" s="52"/>
      <c r="AJ1816" s="52"/>
      <c r="AL1816" s="34"/>
      <c r="AM1816" s="34"/>
      <c r="AN1816" s="34"/>
      <c r="AO1816" s="54"/>
      <c r="AP1816" s="34"/>
      <c r="AQ1816" s="34"/>
      <c r="AR1816" s="54"/>
      <c r="AS1816" s="54"/>
      <c r="AT1816" s="54"/>
      <c r="AU1816" s="54"/>
      <c r="AV1816" s="34"/>
      <c r="AW1816" s="34"/>
      <c r="AX1816" s="34"/>
      <c r="AY1816" s="34"/>
      <c r="AZ1816" s="34"/>
      <c r="BA1816" s="44"/>
      <c r="BB1816" s="34"/>
      <c r="BC1816" s="34"/>
    </row>
    <row r="1817" spans="1:55" x14ac:dyDescent="0.35" ht="15.0" customHeight="true">
      <c r="A1817" s="51"/>
      <c r="B1817" s="34"/>
      <c r="C1817" s="34"/>
      <c r="D1817" s="34"/>
      <c r="E1817" s="34"/>
      <c r="F1817" s="34"/>
      <c r="G1817" s="44"/>
      <c r="H1817" s="34"/>
      <c r="I1817" s="54"/>
      <c r="J1817" s="34"/>
      <c r="K1817" s="54"/>
      <c r="L1817" s="34"/>
      <c r="M1817" s="44"/>
      <c r="N1817" s="44"/>
      <c r="O1817" s="34"/>
      <c r="P1817" s="34"/>
      <c r="Q1817" s="34"/>
      <c r="R1817" s="34"/>
      <c r="V1817" s="44"/>
      <c r="X1817" s="95"/>
      <c r="Y1817" s="54"/>
      <c r="Z1817" s="54"/>
      <c r="AA1817" s="34"/>
      <c r="AB1817" s="34"/>
      <c r="AC1817" s="34"/>
      <c r="AD1817" s="34"/>
      <c r="AE1817" s="34"/>
      <c r="AF1817" s="34"/>
      <c r="AG1817" s="34"/>
      <c r="AH1817" s="34"/>
      <c r="AI1817" s="52"/>
      <c r="AJ1817" s="52"/>
      <c r="AL1817" s="34"/>
      <c r="AM1817" s="34"/>
      <c r="AN1817" s="34"/>
      <c r="AO1817" s="54"/>
      <c r="AP1817" s="34"/>
      <c r="AQ1817" s="34"/>
      <c r="AR1817" s="54"/>
      <c r="AS1817" s="54"/>
      <c r="AT1817" s="54"/>
      <c r="AU1817" s="54"/>
      <c r="AV1817" s="34"/>
      <c r="AW1817" s="34"/>
      <c r="AX1817" s="34"/>
      <c r="AY1817" s="34"/>
      <c r="AZ1817" s="34"/>
      <c r="BA1817" s="44"/>
      <c r="BB1817" s="34"/>
      <c r="BC1817" s="34"/>
    </row>
    <row r="1818" spans="1:55" x14ac:dyDescent="0.35" ht="15.0" customHeight="true">
      <c r="A1818" s="51"/>
      <c r="B1818" s="34"/>
      <c r="C1818" s="34"/>
      <c r="D1818" s="34"/>
      <c r="E1818" s="34"/>
      <c r="F1818" s="34"/>
      <c r="G1818" s="44"/>
      <c r="H1818" s="34"/>
      <c r="I1818" s="54"/>
      <c r="J1818" s="34"/>
      <c r="K1818" s="54"/>
      <c r="L1818" s="34"/>
      <c r="M1818" s="44"/>
      <c r="N1818" s="44"/>
      <c r="O1818" s="34"/>
      <c r="P1818" s="34"/>
      <c r="Q1818" s="34"/>
      <c r="R1818" s="34"/>
      <c r="V1818" s="44"/>
      <c r="X1818" s="95"/>
      <c r="Y1818" s="54"/>
      <c r="Z1818" s="54"/>
      <c r="AA1818" s="34"/>
      <c r="AB1818" s="34"/>
      <c r="AC1818" s="34"/>
      <c r="AD1818" s="34"/>
      <c r="AE1818" s="34"/>
      <c r="AF1818" s="34"/>
      <c r="AG1818" s="34"/>
      <c r="AH1818" s="34"/>
      <c r="AI1818" s="52"/>
      <c r="AJ1818" s="52"/>
      <c r="AL1818" s="34"/>
      <c r="AM1818" s="34"/>
      <c r="AN1818" s="34"/>
      <c r="AO1818" s="54"/>
      <c r="AP1818" s="34"/>
      <c r="AQ1818" s="34"/>
      <c r="AR1818" s="54"/>
      <c r="AS1818" s="54"/>
      <c r="AT1818" s="54"/>
      <c r="AU1818" s="54"/>
      <c r="AV1818" s="34"/>
      <c r="AW1818" s="34"/>
      <c r="AX1818" s="34"/>
      <c r="AY1818" s="34"/>
      <c r="AZ1818" s="34"/>
      <c r="BA1818" s="44"/>
      <c r="BB1818" s="34"/>
      <c r="BC1818" s="34"/>
    </row>
    <row r="1819" spans="1:55" x14ac:dyDescent="0.35" ht="15.0" customHeight="true">
      <c r="A1819" s="51"/>
      <c r="B1819" s="34"/>
      <c r="C1819" s="34"/>
      <c r="D1819" s="34"/>
      <c r="E1819" s="34"/>
      <c r="F1819" s="34"/>
      <c r="G1819" s="44"/>
      <c r="H1819" s="34"/>
      <c r="I1819" s="54"/>
      <c r="J1819" s="34"/>
      <c r="K1819" s="54"/>
      <c r="L1819" s="34"/>
      <c r="M1819" s="44"/>
      <c r="N1819" s="44"/>
      <c r="O1819" s="34"/>
      <c r="P1819" s="34"/>
      <c r="Q1819" s="34"/>
      <c r="R1819" s="34"/>
      <c r="V1819" s="44"/>
      <c r="X1819" s="95"/>
      <c r="Y1819" s="54"/>
      <c r="Z1819" s="54"/>
      <c r="AA1819" s="34"/>
      <c r="AB1819" s="34"/>
      <c r="AC1819" s="34"/>
      <c r="AD1819" s="34"/>
      <c r="AE1819" s="34"/>
      <c r="AF1819" s="34"/>
      <c r="AG1819" s="34"/>
      <c r="AH1819" s="34"/>
      <c r="AI1819" s="52"/>
      <c r="AJ1819" s="52"/>
      <c r="AL1819" s="34"/>
      <c r="AM1819" s="34"/>
      <c r="AN1819" s="34"/>
      <c r="AO1819" s="54"/>
      <c r="AP1819" s="34"/>
      <c r="AQ1819" s="34"/>
      <c r="AR1819" s="54"/>
      <c r="AS1819" s="54"/>
      <c r="AT1819" s="54"/>
      <c r="AU1819" s="54"/>
      <c r="AV1819" s="34"/>
      <c r="AW1819" s="34"/>
      <c r="AX1819" s="34"/>
      <c r="AY1819" s="34"/>
      <c r="AZ1819" s="34"/>
      <c r="BA1819" s="44"/>
      <c r="BB1819" s="34"/>
      <c r="BC1819" s="34"/>
    </row>
    <row r="1820" spans="1:55" x14ac:dyDescent="0.35" ht="15.0" customHeight="true">
      <c r="A1820" s="51"/>
      <c r="B1820" s="34"/>
      <c r="C1820" s="34"/>
      <c r="D1820" s="34"/>
      <c r="E1820" s="34"/>
      <c r="F1820" s="34"/>
      <c r="G1820" s="44"/>
      <c r="H1820" s="34"/>
      <c r="I1820" s="54"/>
      <c r="J1820" s="34"/>
      <c r="K1820" s="54"/>
      <c r="L1820" s="34"/>
      <c r="M1820" s="44"/>
      <c r="N1820" s="44"/>
      <c r="O1820" s="34"/>
      <c r="P1820" s="34"/>
      <c r="Q1820" s="34"/>
      <c r="R1820" s="34"/>
      <c r="V1820" s="44"/>
      <c r="X1820" s="95"/>
      <c r="Y1820" s="54"/>
      <c r="Z1820" s="54"/>
      <c r="AA1820" s="34"/>
      <c r="AB1820" s="34"/>
      <c r="AC1820" s="34"/>
      <c r="AD1820" s="34"/>
      <c r="AE1820" s="34"/>
      <c r="AF1820" s="34"/>
      <c r="AG1820" s="34"/>
      <c r="AH1820" s="34"/>
      <c r="AI1820" s="52"/>
      <c r="AJ1820" s="52"/>
      <c r="AL1820" s="34"/>
      <c r="AM1820" s="34"/>
      <c r="AN1820" s="34"/>
      <c r="AO1820" s="54"/>
      <c r="AP1820" s="34"/>
      <c r="AQ1820" s="34"/>
      <c r="AR1820" s="54"/>
      <c r="AS1820" s="54"/>
      <c r="AT1820" s="54"/>
      <c r="AU1820" s="54"/>
      <c r="AV1820" s="34"/>
      <c r="AW1820" s="34"/>
      <c r="AX1820" s="34"/>
      <c r="AY1820" s="34"/>
      <c r="AZ1820" s="34"/>
      <c r="BA1820" s="44"/>
      <c r="BB1820" s="34"/>
      <c r="BC1820" s="34"/>
    </row>
    <row r="1821" spans="1:55" x14ac:dyDescent="0.35" ht="15.0" customHeight="true">
      <c r="A1821" s="51"/>
      <c r="B1821" s="34"/>
      <c r="C1821" s="34"/>
      <c r="D1821" s="34"/>
      <c r="E1821" s="34"/>
      <c r="F1821" s="34"/>
      <c r="G1821" s="44"/>
      <c r="H1821" s="34"/>
      <c r="I1821" s="54"/>
      <c r="J1821" s="34"/>
      <c r="K1821" s="54"/>
      <c r="L1821" s="34"/>
      <c r="M1821" s="44"/>
      <c r="N1821" s="44"/>
      <c r="O1821" s="34"/>
      <c r="P1821" s="34"/>
      <c r="Q1821" s="34"/>
      <c r="R1821" s="34"/>
      <c r="V1821" s="44"/>
      <c r="X1821" s="95"/>
      <c r="Y1821" s="54"/>
      <c r="Z1821" s="54"/>
      <c r="AA1821" s="34"/>
      <c r="AB1821" s="34"/>
      <c r="AC1821" s="34"/>
      <c r="AD1821" s="34"/>
      <c r="AE1821" s="34"/>
      <c r="AF1821" s="34"/>
      <c r="AG1821" s="34"/>
      <c r="AH1821" s="34"/>
      <c r="AI1821" s="52"/>
      <c r="AJ1821" s="52"/>
      <c r="AL1821" s="34"/>
      <c r="AM1821" s="34"/>
      <c r="AN1821" s="34"/>
      <c r="AO1821" s="54"/>
      <c r="AP1821" s="34"/>
      <c r="AQ1821" s="34"/>
      <c r="AR1821" s="54"/>
      <c r="AS1821" s="54"/>
      <c r="AT1821" s="54"/>
      <c r="AU1821" s="54"/>
      <c r="AV1821" s="34"/>
      <c r="AW1821" s="34"/>
      <c r="AX1821" s="34"/>
      <c r="AY1821" s="34"/>
      <c r="AZ1821" s="34"/>
      <c r="BA1821" s="44"/>
      <c r="BB1821" s="34"/>
      <c r="BC1821" s="34"/>
    </row>
    <row r="1822" spans="1:55" x14ac:dyDescent="0.35" ht="15.0" customHeight="true">
      <c r="A1822" s="51"/>
      <c r="B1822" s="34"/>
      <c r="C1822" s="34"/>
      <c r="D1822" s="34"/>
      <c r="E1822" s="34"/>
      <c r="F1822" s="34"/>
      <c r="G1822" s="44"/>
      <c r="H1822" s="34"/>
      <c r="I1822" s="54"/>
      <c r="J1822" s="34"/>
      <c r="K1822" s="54"/>
      <c r="L1822" s="34"/>
      <c r="M1822" s="44"/>
      <c r="N1822" s="44"/>
      <c r="O1822" s="34"/>
      <c r="P1822" s="34"/>
      <c r="Q1822" s="34"/>
      <c r="R1822" s="34"/>
      <c r="V1822" s="44"/>
      <c r="X1822" s="95"/>
      <c r="Y1822" s="54"/>
      <c r="Z1822" s="54"/>
      <c r="AA1822" s="34"/>
      <c r="AB1822" s="34"/>
      <c r="AC1822" s="34"/>
      <c r="AD1822" s="34"/>
      <c r="AE1822" s="34"/>
      <c r="AF1822" s="34"/>
      <c r="AG1822" s="34"/>
      <c r="AH1822" s="34"/>
      <c r="AI1822" s="52"/>
      <c r="AJ1822" s="52"/>
      <c r="AL1822" s="34"/>
      <c r="AM1822" s="34"/>
      <c r="AN1822" s="34"/>
      <c r="AO1822" s="54"/>
      <c r="AP1822" s="34"/>
      <c r="AQ1822" s="34"/>
      <c r="AR1822" s="54"/>
      <c r="AS1822" s="54"/>
      <c r="AT1822" s="54"/>
      <c r="AU1822" s="54"/>
      <c r="AV1822" s="34"/>
      <c r="AW1822" s="34"/>
      <c r="AX1822" s="34"/>
      <c r="AY1822" s="34"/>
      <c r="AZ1822" s="34"/>
      <c r="BA1822" s="44"/>
      <c r="BB1822" s="34"/>
      <c r="BC1822" s="34"/>
    </row>
    <row r="1823" spans="1:55" x14ac:dyDescent="0.35" ht="15.0" customHeight="true">
      <c r="A1823" s="51"/>
      <c r="B1823" s="34"/>
      <c r="C1823" s="34"/>
      <c r="D1823" s="34"/>
      <c r="E1823" s="34"/>
      <c r="F1823" s="34"/>
      <c r="G1823" s="44"/>
      <c r="H1823" s="34"/>
      <c r="I1823" s="54"/>
      <c r="J1823" s="34"/>
      <c r="K1823" s="54"/>
      <c r="L1823" s="34"/>
      <c r="M1823" s="44"/>
      <c r="N1823" s="44"/>
      <c r="O1823" s="34"/>
      <c r="P1823" s="34"/>
      <c r="Q1823" s="34"/>
      <c r="R1823" s="34"/>
      <c r="V1823" s="44"/>
      <c r="X1823" s="95"/>
      <c r="Y1823" s="54"/>
      <c r="Z1823" s="54"/>
      <c r="AA1823" s="34"/>
      <c r="AB1823" s="34"/>
      <c r="AC1823" s="34"/>
      <c r="AD1823" s="34"/>
      <c r="AE1823" s="34"/>
      <c r="AF1823" s="34"/>
      <c r="AG1823" s="34"/>
      <c r="AH1823" s="34"/>
      <c r="AI1823" s="52"/>
      <c r="AJ1823" s="52"/>
      <c r="AL1823" s="34"/>
      <c r="AM1823" s="34"/>
      <c r="AN1823" s="34"/>
      <c r="AO1823" s="54"/>
      <c r="AP1823" s="34"/>
      <c r="AQ1823" s="34"/>
      <c r="AR1823" s="54"/>
      <c r="AS1823" s="54"/>
      <c r="AT1823" s="54"/>
      <c r="AU1823" s="54"/>
      <c r="AV1823" s="34"/>
      <c r="AW1823" s="34"/>
      <c r="AX1823" s="34"/>
      <c r="AY1823" s="34"/>
      <c r="AZ1823" s="34"/>
      <c r="BA1823" s="44"/>
      <c r="BB1823" s="34"/>
      <c r="BC1823" s="34"/>
    </row>
    <row r="1824" spans="1:55" x14ac:dyDescent="0.35" ht="15.0" customHeight="true">
      <c r="A1824" s="51"/>
      <c r="B1824" s="34"/>
      <c r="C1824" s="34"/>
      <c r="D1824" s="34"/>
      <c r="E1824" s="34"/>
      <c r="F1824" s="34"/>
      <c r="G1824" s="44"/>
      <c r="H1824" s="34"/>
      <c r="I1824" s="54"/>
      <c r="J1824" s="34"/>
      <c r="K1824" s="54"/>
      <c r="L1824" s="34"/>
      <c r="M1824" s="44"/>
      <c r="N1824" s="44"/>
      <c r="O1824" s="34"/>
      <c r="P1824" s="34"/>
      <c r="Q1824" s="34"/>
      <c r="R1824" s="34"/>
      <c r="V1824" s="44"/>
      <c r="X1824" s="95"/>
      <c r="Y1824" s="54"/>
      <c r="Z1824" s="54"/>
      <c r="AA1824" s="34"/>
      <c r="AB1824" s="34"/>
      <c r="AC1824" s="34"/>
      <c r="AD1824" s="34"/>
      <c r="AE1824" s="34"/>
      <c r="AF1824" s="34"/>
      <c r="AG1824" s="34"/>
      <c r="AH1824" s="34"/>
      <c r="AI1824" s="52"/>
      <c r="AJ1824" s="52"/>
      <c r="AL1824" s="34"/>
      <c r="AM1824" s="34"/>
      <c r="AN1824" s="34"/>
      <c r="AO1824" s="54"/>
      <c r="AP1824" s="34"/>
      <c r="AQ1824" s="34"/>
      <c r="AR1824" s="54"/>
      <c r="AS1824" s="54"/>
      <c r="AT1824" s="54"/>
      <c r="AU1824" s="54"/>
      <c r="AV1824" s="34"/>
      <c r="AW1824" s="34"/>
      <c r="AX1824" s="34"/>
      <c r="AY1824" s="34"/>
      <c r="AZ1824" s="34"/>
      <c r="BA1824" s="44"/>
      <c r="BB1824" s="34"/>
      <c r="BC1824" s="34"/>
    </row>
    <row r="1825" spans="1:55" x14ac:dyDescent="0.35" ht="15.0" customHeight="true">
      <c r="A1825" s="51"/>
      <c r="B1825" s="34"/>
      <c r="C1825" s="34"/>
      <c r="D1825" s="34"/>
      <c r="E1825" s="34"/>
      <c r="F1825" s="34"/>
      <c r="G1825" s="44"/>
      <c r="H1825" s="34"/>
      <c r="I1825" s="54"/>
      <c r="J1825" s="34"/>
      <c r="K1825" s="54"/>
      <c r="L1825" s="34"/>
      <c r="M1825" s="44"/>
      <c r="N1825" s="44"/>
      <c r="O1825" s="34"/>
      <c r="P1825" s="34"/>
      <c r="Q1825" s="34"/>
      <c r="R1825" s="34"/>
      <c r="V1825" s="44"/>
      <c r="X1825" s="95"/>
      <c r="Y1825" s="54"/>
      <c r="Z1825" s="54"/>
      <c r="AA1825" s="34"/>
      <c r="AB1825" s="34"/>
      <c r="AC1825" s="34"/>
      <c r="AD1825" s="34"/>
      <c r="AE1825" s="34"/>
      <c r="AF1825" s="34"/>
      <c r="AG1825" s="34"/>
      <c r="AH1825" s="34"/>
      <c r="AI1825" s="52"/>
      <c r="AJ1825" s="52"/>
      <c r="AL1825" s="34"/>
      <c r="AM1825" s="34"/>
      <c r="AN1825" s="34"/>
      <c r="AO1825" s="54"/>
      <c r="AP1825" s="34"/>
      <c r="AQ1825" s="34"/>
      <c r="AR1825" s="54"/>
      <c r="AS1825" s="54"/>
      <c r="AT1825" s="54"/>
      <c r="AU1825" s="54"/>
      <c r="AV1825" s="34"/>
      <c r="AW1825" s="34"/>
      <c r="AX1825" s="34"/>
      <c r="AY1825" s="34"/>
      <c r="AZ1825" s="34"/>
      <c r="BA1825" s="44"/>
      <c r="BB1825" s="34"/>
      <c r="BC1825" s="34"/>
    </row>
    <row r="1826" spans="1:55" x14ac:dyDescent="0.35" ht="15.0" customHeight="true">
      <c r="A1826" s="51"/>
      <c r="B1826" s="34"/>
      <c r="C1826" s="34"/>
      <c r="D1826" s="34"/>
      <c r="E1826" s="34"/>
      <c r="F1826" s="34"/>
      <c r="G1826" s="44"/>
      <c r="H1826" s="34"/>
      <c r="I1826" s="54"/>
      <c r="J1826" s="34"/>
      <c r="K1826" s="54"/>
      <c r="L1826" s="34"/>
      <c r="M1826" s="44"/>
      <c r="N1826" s="44"/>
      <c r="O1826" s="34"/>
      <c r="P1826" s="34"/>
      <c r="Q1826" s="34"/>
      <c r="R1826" s="34"/>
      <c r="V1826" s="44"/>
      <c r="X1826" s="95"/>
      <c r="Y1826" s="54"/>
      <c r="Z1826" s="54"/>
      <c r="AA1826" s="34"/>
      <c r="AB1826" s="34"/>
      <c r="AC1826" s="34"/>
      <c r="AD1826" s="34"/>
      <c r="AE1826" s="34"/>
      <c r="AF1826" s="34"/>
      <c r="AG1826" s="34"/>
      <c r="AH1826" s="34"/>
      <c r="AI1826" s="52"/>
      <c r="AJ1826" s="52"/>
      <c r="AL1826" s="34"/>
      <c r="AM1826" s="34"/>
      <c r="AN1826" s="34"/>
      <c r="AO1826" s="54"/>
      <c r="AP1826" s="34"/>
      <c r="AQ1826" s="34"/>
      <c r="AR1826" s="54"/>
      <c r="AS1826" s="54"/>
      <c r="AT1826" s="54"/>
      <c r="AU1826" s="54"/>
      <c r="AV1826" s="34"/>
      <c r="AW1826" s="34"/>
      <c r="AX1826" s="34"/>
      <c r="AY1826" s="34"/>
      <c r="AZ1826" s="34"/>
      <c r="BA1826" s="44"/>
      <c r="BB1826" s="34"/>
      <c r="BC1826" s="34"/>
    </row>
    <row r="1827" spans="1:55" x14ac:dyDescent="0.35" ht="15.0" customHeight="true">
      <c r="A1827" s="51"/>
      <c r="B1827" s="34"/>
      <c r="C1827" s="34"/>
      <c r="D1827" s="34"/>
      <c r="E1827" s="34"/>
      <c r="F1827" s="34"/>
      <c r="G1827" s="44"/>
      <c r="H1827" s="34"/>
      <c r="I1827" s="54"/>
      <c r="J1827" s="34"/>
      <c r="K1827" s="54"/>
      <c r="L1827" s="34"/>
      <c r="M1827" s="44"/>
      <c r="N1827" s="44"/>
      <c r="O1827" s="34"/>
      <c r="P1827" s="34"/>
      <c r="Q1827" s="34"/>
      <c r="R1827" s="34"/>
      <c r="V1827" s="44"/>
      <c r="X1827" s="95"/>
      <c r="Y1827" s="54"/>
      <c r="Z1827" s="54"/>
      <c r="AA1827" s="34"/>
      <c r="AB1827" s="34"/>
      <c r="AC1827" s="34"/>
      <c r="AD1827" s="34"/>
      <c r="AE1827" s="34"/>
      <c r="AF1827" s="34"/>
      <c r="AG1827" s="34"/>
      <c r="AH1827" s="34"/>
      <c r="AI1827" s="52"/>
      <c r="AJ1827" s="52"/>
      <c r="AL1827" s="34"/>
      <c r="AM1827" s="34"/>
      <c r="AN1827" s="34"/>
      <c r="AO1827" s="54"/>
      <c r="AP1827" s="34"/>
      <c r="AQ1827" s="34"/>
      <c r="AR1827" s="54"/>
      <c r="AS1827" s="54"/>
      <c r="AT1827" s="54"/>
      <c r="AU1827" s="54"/>
      <c r="AV1827" s="34"/>
      <c r="AW1827" s="34"/>
      <c r="AX1827" s="34"/>
      <c r="AY1827" s="34"/>
      <c r="AZ1827" s="34"/>
      <c r="BA1827" s="44"/>
      <c r="BB1827" s="34"/>
      <c r="BC1827" s="34"/>
    </row>
    <row r="1828" spans="1:55" x14ac:dyDescent="0.35" ht="15.0" customHeight="true">
      <c r="A1828" s="51"/>
      <c r="B1828" s="34"/>
      <c r="C1828" s="34"/>
      <c r="D1828" s="34"/>
      <c r="E1828" s="34"/>
      <c r="F1828" s="34"/>
      <c r="G1828" s="44"/>
      <c r="H1828" s="34"/>
      <c r="I1828" s="54"/>
      <c r="J1828" s="34"/>
      <c r="K1828" s="54"/>
      <c r="L1828" s="34"/>
      <c r="M1828" s="44"/>
      <c r="N1828" s="44"/>
      <c r="O1828" s="34"/>
      <c r="P1828" s="34"/>
      <c r="Q1828" s="34"/>
      <c r="R1828" s="34"/>
      <c r="V1828" s="44"/>
      <c r="X1828" s="95"/>
      <c r="Y1828" s="54"/>
      <c r="Z1828" s="54"/>
      <c r="AA1828" s="34"/>
      <c r="AB1828" s="34"/>
      <c r="AC1828" s="34"/>
      <c r="AD1828" s="34"/>
      <c r="AE1828" s="34"/>
      <c r="AF1828" s="34"/>
      <c r="AG1828" s="34"/>
      <c r="AH1828" s="34"/>
      <c r="AI1828" s="52"/>
      <c r="AJ1828" s="52"/>
      <c r="AL1828" s="34"/>
      <c r="AM1828" s="34"/>
      <c r="AN1828" s="34"/>
      <c r="AO1828" s="54"/>
      <c r="AP1828" s="34"/>
      <c r="AQ1828" s="34"/>
      <c r="AR1828" s="54"/>
      <c r="AS1828" s="54"/>
      <c r="AT1828" s="54"/>
      <c r="AU1828" s="54"/>
      <c r="AV1828" s="34"/>
      <c r="AW1828" s="34"/>
      <c r="AX1828" s="34"/>
      <c r="AY1828" s="34"/>
      <c r="AZ1828" s="34"/>
      <c r="BA1828" s="44"/>
      <c r="BB1828" s="34"/>
      <c r="BC1828" s="34"/>
    </row>
    <row r="1829" spans="1:55" x14ac:dyDescent="0.35" ht="15.0" customHeight="true">
      <c r="A1829" s="51"/>
      <c r="B1829" s="34"/>
      <c r="C1829" s="34"/>
      <c r="D1829" s="34"/>
      <c r="E1829" s="34"/>
      <c r="F1829" s="34"/>
      <c r="G1829" s="44"/>
      <c r="H1829" s="34"/>
      <c r="I1829" s="54"/>
      <c r="J1829" s="34"/>
      <c r="K1829" s="54"/>
      <c r="L1829" s="34"/>
      <c r="M1829" s="44"/>
      <c r="N1829" s="44"/>
      <c r="O1829" s="34"/>
      <c r="P1829" s="34"/>
      <c r="Q1829" s="34"/>
      <c r="R1829" s="34"/>
      <c r="V1829" s="44"/>
      <c r="X1829" s="95"/>
      <c r="Y1829" s="54"/>
      <c r="Z1829" s="54"/>
      <c r="AA1829" s="34"/>
      <c r="AB1829" s="34"/>
      <c r="AC1829" s="34"/>
      <c r="AD1829" s="34"/>
      <c r="AE1829" s="34"/>
      <c r="AF1829" s="34"/>
      <c r="AG1829" s="34"/>
      <c r="AH1829" s="34"/>
      <c r="AI1829" s="52"/>
      <c r="AJ1829" s="52"/>
      <c r="AL1829" s="34"/>
      <c r="AM1829" s="34"/>
      <c r="AN1829" s="34"/>
      <c r="AO1829" s="54"/>
      <c r="AP1829" s="34"/>
      <c r="AQ1829" s="34"/>
      <c r="AR1829" s="54"/>
      <c r="AS1829" s="54"/>
      <c r="AT1829" s="54"/>
      <c r="AU1829" s="54"/>
      <c r="AV1829" s="34"/>
      <c r="AW1829" s="34"/>
      <c r="AX1829" s="34"/>
      <c r="AY1829" s="34"/>
      <c r="AZ1829" s="34"/>
      <c r="BA1829" s="44"/>
      <c r="BB1829" s="34"/>
      <c r="BC1829" s="34"/>
    </row>
    <row r="1830" spans="1:55" x14ac:dyDescent="0.35" ht="15.0" customHeight="true">
      <c r="A1830" s="51"/>
      <c r="B1830" s="34"/>
      <c r="C1830" s="34"/>
      <c r="D1830" s="34"/>
      <c r="E1830" s="34"/>
      <c r="F1830" s="34"/>
      <c r="G1830" s="44"/>
      <c r="H1830" s="34"/>
      <c r="I1830" s="54"/>
      <c r="J1830" s="34"/>
      <c r="K1830" s="54"/>
      <c r="L1830" s="34"/>
      <c r="M1830" s="44"/>
      <c r="N1830" s="44"/>
      <c r="O1830" s="34"/>
      <c r="P1830" s="34"/>
      <c r="Q1830" s="34"/>
      <c r="R1830" s="34"/>
      <c r="V1830" s="44"/>
      <c r="X1830" s="95"/>
      <c r="Y1830" s="54"/>
      <c r="Z1830" s="54"/>
      <c r="AA1830" s="34"/>
      <c r="AB1830" s="34"/>
      <c r="AC1830" s="34"/>
      <c r="AD1830" s="34"/>
      <c r="AE1830" s="34"/>
      <c r="AF1830" s="34"/>
      <c r="AG1830" s="34"/>
      <c r="AH1830" s="34"/>
      <c r="AI1830" s="52"/>
      <c r="AJ1830" s="52"/>
      <c r="AL1830" s="34"/>
      <c r="AM1830" s="34"/>
      <c r="AN1830" s="34"/>
      <c r="AO1830" s="54"/>
      <c r="AP1830" s="34"/>
      <c r="AQ1830" s="34"/>
      <c r="AR1830" s="54"/>
      <c r="AS1830" s="54"/>
      <c r="AT1830" s="54"/>
      <c r="AU1830" s="54"/>
      <c r="AV1830" s="34"/>
      <c r="AW1830" s="34"/>
      <c r="AX1830" s="34"/>
      <c r="AY1830" s="34"/>
      <c r="AZ1830" s="34"/>
      <c r="BA1830" s="44"/>
      <c r="BB1830" s="34"/>
      <c r="BC1830" s="34"/>
    </row>
    <row r="1831" spans="1:55" x14ac:dyDescent="0.35" ht="15.0" customHeight="true">
      <c r="A1831" s="51"/>
      <c r="B1831" s="34"/>
      <c r="C1831" s="34"/>
      <c r="D1831" s="34"/>
      <c r="E1831" s="34"/>
      <c r="F1831" s="34"/>
      <c r="G1831" s="44"/>
      <c r="H1831" s="34"/>
      <c r="I1831" s="54"/>
      <c r="J1831" s="34"/>
      <c r="K1831" s="54"/>
      <c r="L1831" s="34"/>
      <c r="M1831" s="44"/>
      <c r="N1831" s="44"/>
      <c r="O1831" s="34"/>
      <c r="P1831" s="34"/>
      <c r="Q1831" s="34"/>
      <c r="R1831" s="34"/>
      <c r="V1831" s="44"/>
      <c r="X1831" s="95"/>
      <c r="Y1831" s="54"/>
      <c r="Z1831" s="54"/>
      <c r="AA1831" s="34"/>
      <c r="AB1831" s="34"/>
      <c r="AC1831" s="34"/>
      <c r="AD1831" s="34"/>
      <c r="AE1831" s="34"/>
      <c r="AF1831" s="34"/>
      <c r="AG1831" s="34"/>
      <c r="AH1831" s="34"/>
      <c r="AI1831" s="52"/>
      <c r="AJ1831" s="52"/>
      <c r="AL1831" s="34"/>
      <c r="AM1831" s="34"/>
      <c r="AN1831" s="34"/>
      <c r="AO1831" s="54"/>
      <c r="AP1831" s="34"/>
      <c r="AQ1831" s="34"/>
      <c r="AR1831" s="54"/>
      <c r="AS1831" s="54"/>
      <c r="AT1831" s="54"/>
      <c r="AU1831" s="54"/>
      <c r="AV1831" s="34"/>
      <c r="AW1831" s="34"/>
      <c r="AX1831" s="34"/>
      <c r="AY1831" s="34"/>
      <c r="AZ1831" s="34"/>
      <c r="BA1831" s="44"/>
      <c r="BB1831" s="34"/>
      <c r="BC1831" s="34"/>
    </row>
    <row r="1832" spans="1:55" x14ac:dyDescent="0.35" ht="15.0" customHeight="true">
      <c r="A1832" s="51"/>
      <c r="B1832" s="34"/>
      <c r="C1832" s="34"/>
      <c r="D1832" s="34"/>
      <c r="E1832" s="34"/>
      <c r="F1832" s="34"/>
      <c r="G1832" s="44"/>
      <c r="H1832" s="34"/>
      <c r="I1832" s="54"/>
      <c r="J1832" s="34"/>
      <c r="K1832" s="54"/>
      <c r="L1832" s="34"/>
      <c r="M1832" s="44"/>
      <c r="N1832" s="44"/>
      <c r="O1832" s="34"/>
      <c r="P1832" s="34"/>
      <c r="Q1832" s="34"/>
      <c r="R1832" s="34"/>
      <c r="V1832" s="44"/>
      <c r="X1832" s="95"/>
      <c r="Y1832" s="54"/>
      <c r="Z1832" s="54"/>
      <c r="AA1832" s="34"/>
      <c r="AB1832" s="34"/>
      <c r="AC1832" s="34"/>
      <c r="AD1832" s="34"/>
      <c r="AE1832" s="34"/>
      <c r="AF1832" s="34"/>
      <c r="AG1832" s="34"/>
      <c r="AH1832" s="34"/>
      <c r="AI1832" s="52"/>
      <c r="AJ1832" s="52"/>
      <c r="AL1832" s="34"/>
      <c r="AM1832" s="34"/>
      <c r="AN1832" s="34"/>
      <c r="AO1832" s="54"/>
      <c r="AP1832" s="34"/>
      <c r="AQ1832" s="34"/>
      <c r="AR1832" s="54"/>
      <c r="AS1832" s="54"/>
      <c r="AT1832" s="54"/>
      <c r="AU1832" s="54"/>
      <c r="AV1832" s="34"/>
      <c r="AW1832" s="34"/>
      <c r="AX1832" s="34"/>
      <c r="AY1832" s="34"/>
      <c r="AZ1832" s="34"/>
      <c r="BA1832" s="44"/>
      <c r="BB1832" s="34"/>
      <c r="BC1832" s="34"/>
    </row>
    <row r="1833" spans="1:55" x14ac:dyDescent="0.35" ht="15.0" customHeight="true">
      <c r="A1833" s="51"/>
      <c r="B1833" s="34"/>
      <c r="C1833" s="34"/>
      <c r="D1833" s="34"/>
      <c r="E1833" s="34"/>
      <c r="F1833" s="34"/>
      <c r="G1833" s="44"/>
      <c r="H1833" s="34"/>
      <c r="I1833" s="54"/>
      <c r="J1833" s="34"/>
      <c r="K1833" s="54"/>
      <c r="L1833" s="34"/>
      <c r="M1833" s="44"/>
      <c r="N1833" s="44"/>
      <c r="O1833" s="34"/>
      <c r="P1833" s="34"/>
      <c r="Q1833" s="34"/>
      <c r="R1833" s="34"/>
      <c r="V1833" s="44"/>
      <c r="X1833" s="95"/>
      <c r="Y1833" s="54"/>
      <c r="Z1833" s="54"/>
      <c r="AA1833" s="34"/>
      <c r="AB1833" s="34"/>
      <c r="AC1833" s="34"/>
      <c r="AD1833" s="34"/>
      <c r="AE1833" s="34"/>
      <c r="AF1833" s="34"/>
      <c r="AG1833" s="34"/>
      <c r="AH1833" s="34"/>
      <c r="AI1833" s="52"/>
      <c r="AJ1833" s="52"/>
      <c r="AL1833" s="34"/>
      <c r="AM1833" s="34"/>
      <c r="AN1833" s="34"/>
      <c r="AO1833" s="54"/>
      <c r="AP1833" s="34"/>
      <c r="AQ1833" s="34"/>
      <c r="AR1833" s="54"/>
      <c r="AS1833" s="54"/>
      <c r="AT1833" s="54"/>
      <c r="AU1833" s="54"/>
      <c r="AV1833" s="34"/>
      <c r="AW1833" s="34"/>
      <c r="AX1833" s="34"/>
      <c r="AY1833" s="34"/>
      <c r="AZ1833" s="34"/>
      <c r="BA1833" s="44"/>
      <c r="BB1833" s="34"/>
      <c r="BC1833" s="34"/>
    </row>
    <row r="1834" spans="1:55" x14ac:dyDescent="0.35" ht="15.0" customHeight="true">
      <c r="A1834" s="51"/>
      <c r="B1834" s="34"/>
      <c r="C1834" s="34"/>
      <c r="D1834" s="34"/>
      <c r="E1834" s="34"/>
      <c r="F1834" s="34"/>
      <c r="G1834" s="44"/>
      <c r="H1834" s="34"/>
      <c r="I1834" s="54"/>
      <c r="J1834" s="34"/>
      <c r="K1834" s="54"/>
      <c r="L1834" s="34"/>
      <c r="M1834" s="44"/>
      <c r="N1834" s="44"/>
      <c r="O1834" s="34"/>
      <c r="P1834" s="34"/>
      <c r="Q1834" s="34"/>
      <c r="R1834" s="34"/>
      <c r="V1834" s="44"/>
      <c r="X1834" s="95"/>
      <c r="Y1834" s="54"/>
      <c r="Z1834" s="54"/>
      <c r="AA1834" s="34"/>
      <c r="AB1834" s="34"/>
      <c r="AC1834" s="34"/>
      <c r="AD1834" s="34"/>
      <c r="AE1834" s="34"/>
      <c r="AF1834" s="34"/>
      <c r="AG1834" s="34"/>
      <c r="AH1834" s="34"/>
      <c r="AI1834" s="52"/>
      <c r="AJ1834" s="52"/>
      <c r="AL1834" s="34"/>
      <c r="AM1834" s="34"/>
      <c r="AN1834" s="34"/>
      <c r="AO1834" s="54"/>
      <c r="AP1834" s="34"/>
      <c r="AQ1834" s="34"/>
      <c r="AR1834" s="54"/>
      <c r="AS1834" s="54"/>
      <c r="AT1834" s="54"/>
      <c r="AU1834" s="54"/>
      <c r="AV1834" s="34"/>
      <c r="AW1834" s="34"/>
      <c r="AX1834" s="34"/>
      <c r="AY1834" s="34"/>
      <c r="AZ1834" s="34"/>
      <c r="BA1834" s="44"/>
      <c r="BB1834" s="34"/>
      <c r="BC1834" s="34"/>
    </row>
    <row r="1835" spans="1:55" x14ac:dyDescent="0.35" ht="15.0" customHeight="true">
      <c r="A1835" s="51"/>
      <c r="B1835" s="34"/>
      <c r="C1835" s="34"/>
      <c r="D1835" s="34"/>
      <c r="E1835" s="34"/>
      <c r="F1835" s="34"/>
      <c r="G1835" s="44"/>
      <c r="H1835" s="34"/>
      <c r="I1835" s="54"/>
      <c r="J1835" s="34"/>
      <c r="K1835" s="54"/>
      <c r="L1835" s="34"/>
      <c r="M1835" s="44"/>
      <c r="N1835" s="44"/>
      <c r="O1835" s="34"/>
      <c r="P1835" s="34"/>
      <c r="Q1835" s="34"/>
      <c r="R1835" s="34"/>
      <c r="V1835" s="44"/>
      <c r="X1835" s="95"/>
      <c r="Y1835" s="54"/>
      <c r="Z1835" s="54"/>
      <c r="AA1835" s="34"/>
      <c r="AB1835" s="34"/>
      <c r="AC1835" s="34"/>
      <c r="AD1835" s="34"/>
      <c r="AE1835" s="34"/>
      <c r="AF1835" s="34"/>
      <c r="AG1835" s="34"/>
      <c r="AH1835" s="34"/>
      <c r="AI1835" s="52"/>
      <c r="AJ1835" s="52"/>
      <c r="AL1835" s="34"/>
      <c r="AM1835" s="34"/>
      <c r="AN1835" s="34"/>
      <c r="AO1835" s="54"/>
      <c r="AP1835" s="34"/>
      <c r="AQ1835" s="34"/>
      <c r="AR1835" s="54"/>
      <c r="AS1835" s="54"/>
      <c r="AT1835" s="54"/>
      <c r="AU1835" s="54"/>
      <c r="AV1835" s="34"/>
      <c r="AW1835" s="34"/>
      <c r="AX1835" s="34"/>
      <c r="AY1835" s="34"/>
      <c r="AZ1835" s="34"/>
      <c r="BA1835" s="44"/>
      <c r="BB1835" s="34"/>
      <c r="BC1835" s="34"/>
    </row>
    <row r="1836" spans="1:55" x14ac:dyDescent="0.35" ht="15.0" customHeight="true">
      <c r="A1836" s="51"/>
      <c r="B1836" s="34"/>
      <c r="C1836" s="34"/>
      <c r="D1836" s="34"/>
      <c r="E1836" s="34"/>
      <c r="F1836" s="34"/>
      <c r="G1836" s="44"/>
      <c r="H1836" s="34"/>
      <c r="I1836" s="54"/>
      <c r="J1836" s="34"/>
      <c r="K1836" s="54"/>
      <c r="L1836" s="34"/>
      <c r="M1836" s="44"/>
      <c r="N1836" s="44"/>
      <c r="O1836" s="34"/>
      <c r="P1836" s="34"/>
      <c r="Q1836" s="34"/>
      <c r="R1836" s="34"/>
      <c r="V1836" s="44"/>
      <c r="X1836" s="95"/>
      <c r="Y1836" s="54"/>
      <c r="Z1836" s="54"/>
      <c r="AA1836" s="34"/>
      <c r="AB1836" s="34"/>
      <c r="AC1836" s="34"/>
      <c r="AD1836" s="34"/>
      <c r="AE1836" s="34"/>
      <c r="AF1836" s="34"/>
      <c r="AG1836" s="34"/>
      <c r="AH1836" s="34"/>
      <c r="AI1836" s="52"/>
      <c r="AJ1836" s="52"/>
      <c r="AL1836" s="34"/>
      <c r="AM1836" s="34"/>
      <c r="AN1836" s="34"/>
      <c r="AO1836" s="54"/>
      <c r="AP1836" s="34"/>
      <c r="AQ1836" s="34"/>
      <c r="AR1836" s="54"/>
      <c r="AS1836" s="54"/>
      <c r="AT1836" s="54"/>
      <c r="AU1836" s="54"/>
      <c r="AV1836" s="34"/>
      <c r="AW1836" s="34"/>
      <c r="AX1836" s="34"/>
      <c r="AY1836" s="34"/>
      <c r="AZ1836" s="34"/>
      <c r="BA1836" s="44"/>
      <c r="BB1836" s="34"/>
      <c r="BC1836" s="34"/>
    </row>
    <row r="1837" spans="1:55" x14ac:dyDescent="0.35" ht="15.0" customHeight="true">
      <c r="A1837" s="51"/>
      <c r="B1837" s="34"/>
      <c r="C1837" s="34"/>
      <c r="D1837" s="34"/>
      <c r="E1837" s="34"/>
      <c r="F1837" s="34"/>
      <c r="G1837" s="44"/>
      <c r="H1837" s="34"/>
      <c r="I1837" s="54"/>
      <c r="J1837" s="34"/>
      <c r="K1837" s="54"/>
      <c r="L1837" s="34"/>
      <c r="M1837" s="44"/>
      <c r="N1837" s="44"/>
      <c r="O1837" s="34"/>
      <c r="P1837" s="34"/>
      <c r="Q1837" s="34"/>
      <c r="R1837" s="34"/>
      <c r="V1837" s="44"/>
      <c r="X1837" s="95"/>
      <c r="Y1837" s="54"/>
      <c r="Z1837" s="54"/>
      <c r="AA1837" s="34"/>
      <c r="AB1837" s="34"/>
      <c r="AC1837" s="34"/>
      <c r="AD1837" s="34"/>
      <c r="AE1837" s="34"/>
      <c r="AF1837" s="34"/>
      <c r="AG1837" s="34"/>
      <c r="AH1837" s="34"/>
      <c r="AI1837" s="52"/>
      <c r="AJ1837" s="52"/>
      <c r="AL1837" s="34"/>
      <c r="AM1837" s="34"/>
      <c r="AN1837" s="34"/>
      <c r="AO1837" s="54"/>
      <c r="AP1837" s="34"/>
      <c r="AQ1837" s="34"/>
      <c r="AR1837" s="54"/>
      <c r="AS1837" s="54"/>
      <c r="AT1837" s="54"/>
      <c r="AU1837" s="54"/>
      <c r="AV1837" s="34"/>
      <c r="AW1837" s="34"/>
      <c r="AX1837" s="34"/>
      <c r="AY1837" s="34"/>
      <c r="AZ1837" s="34"/>
      <c r="BA1837" s="44"/>
      <c r="BB1837" s="34"/>
      <c r="BC1837" s="34"/>
    </row>
    <row r="1838" spans="1:55" x14ac:dyDescent="0.35" ht="15.0" customHeight="true">
      <c r="A1838" s="51"/>
      <c r="B1838" s="34"/>
      <c r="C1838" s="34"/>
      <c r="D1838" s="34"/>
      <c r="E1838" s="34"/>
      <c r="F1838" s="34"/>
      <c r="G1838" s="44"/>
      <c r="H1838" s="34"/>
      <c r="I1838" s="54"/>
      <c r="J1838" s="34"/>
      <c r="K1838" s="54"/>
      <c r="L1838" s="34"/>
      <c r="M1838" s="44"/>
      <c r="N1838" s="44"/>
      <c r="O1838" s="34"/>
      <c r="P1838" s="34"/>
      <c r="Q1838" s="34"/>
      <c r="R1838" s="34"/>
      <c r="V1838" s="44"/>
      <c r="X1838" s="95"/>
      <c r="Y1838" s="54"/>
      <c r="Z1838" s="54"/>
      <c r="AA1838" s="34"/>
      <c r="AB1838" s="34"/>
      <c r="AC1838" s="34"/>
      <c r="AD1838" s="34"/>
      <c r="AE1838" s="34"/>
      <c r="AF1838" s="34"/>
      <c r="AG1838" s="34"/>
      <c r="AH1838" s="34"/>
      <c r="AI1838" s="52"/>
      <c r="AJ1838" s="52"/>
      <c r="AL1838" s="34"/>
      <c r="AM1838" s="34"/>
      <c r="AN1838" s="34"/>
      <c r="AO1838" s="54"/>
      <c r="AP1838" s="34"/>
      <c r="AQ1838" s="34"/>
      <c r="AR1838" s="54"/>
      <c r="AS1838" s="54"/>
      <c r="AT1838" s="54"/>
      <c r="AU1838" s="54"/>
      <c r="AV1838" s="34"/>
      <c r="AW1838" s="34"/>
      <c r="AX1838" s="34"/>
      <c r="AY1838" s="34"/>
      <c r="AZ1838" s="34"/>
      <c r="BA1838" s="44"/>
      <c r="BB1838" s="34"/>
      <c r="BC1838" s="34"/>
    </row>
    <row r="1839" spans="1:55" x14ac:dyDescent="0.35" ht="15.0" customHeight="true">
      <c r="A1839" s="51"/>
      <c r="B1839" s="34"/>
      <c r="C1839" s="34"/>
      <c r="D1839" s="34"/>
      <c r="E1839" s="34"/>
      <c r="F1839" s="34"/>
      <c r="G1839" s="44"/>
      <c r="H1839" s="34"/>
      <c r="I1839" s="54"/>
      <c r="J1839" s="34"/>
      <c r="K1839" s="54"/>
      <c r="L1839" s="34"/>
      <c r="M1839" s="44"/>
      <c r="N1839" s="44"/>
      <c r="O1839" s="34"/>
      <c r="P1839" s="34"/>
      <c r="Q1839" s="34"/>
      <c r="R1839" s="34"/>
      <c r="V1839" s="44"/>
      <c r="X1839" s="95"/>
      <c r="Y1839" s="54"/>
      <c r="Z1839" s="54"/>
      <c r="AA1839" s="34"/>
      <c r="AB1839" s="34"/>
      <c r="AC1839" s="34"/>
      <c r="AD1839" s="34"/>
      <c r="AE1839" s="34"/>
      <c r="AF1839" s="34"/>
      <c r="AG1839" s="34"/>
      <c r="AH1839" s="34"/>
      <c r="AI1839" s="52"/>
      <c r="AJ1839" s="52"/>
      <c r="AL1839" s="34"/>
      <c r="AM1839" s="34"/>
      <c r="AN1839" s="34"/>
      <c r="AO1839" s="54"/>
      <c r="AP1839" s="34"/>
      <c r="AQ1839" s="34"/>
      <c r="AR1839" s="54"/>
      <c r="AS1839" s="54"/>
      <c r="AT1839" s="54"/>
      <c r="AU1839" s="54"/>
      <c r="AV1839" s="34"/>
      <c r="AW1839" s="34"/>
      <c r="AX1839" s="34"/>
      <c r="AY1839" s="34"/>
      <c r="AZ1839" s="34"/>
      <c r="BA1839" s="44"/>
      <c r="BB1839" s="34"/>
      <c r="BC1839" s="34"/>
    </row>
    <row r="1840" spans="1:55" x14ac:dyDescent="0.35" ht="15.0" customHeight="true">
      <c r="A1840" s="51"/>
      <c r="B1840" s="34"/>
      <c r="C1840" s="34"/>
      <c r="D1840" s="34"/>
      <c r="E1840" s="34"/>
      <c r="F1840" s="34"/>
      <c r="G1840" s="44"/>
      <c r="H1840" s="34"/>
      <c r="I1840" s="54"/>
      <c r="J1840" s="34"/>
      <c r="K1840" s="54"/>
      <c r="L1840" s="34"/>
      <c r="M1840" s="44"/>
      <c r="N1840" s="44"/>
      <c r="O1840" s="34"/>
      <c r="P1840" s="34"/>
      <c r="Q1840" s="34"/>
      <c r="R1840" s="34"/>
      <c r="V1840" s="44"/>
      <c r="X1840" s="95"/>
      <c r="Y1840" s="54"/>
      <c r="Z1840" s="54"/>
      <c r="AA1840" s="34"/>
      <c r="AB1840" s="34"/>
      <c r="AC1840" s="34"/>
      <c r="AD1840" s="34"/>
      <c r="AE1840" s="34"/>
      <c r="AF1840" s="34"/>
      <c r="AG1840" s="34"/>
      <c r="AH1840" s="34"/>
      <c r="AI1840" s="52"/>
      <c r="AJ1840" s="52"/>
      <c r="AL1840" s="34"/>
      <c r="AM1840" s="34"/>
      <c r="AN1840" s="34"/>
      <c r="AO1840" s="54"/>
      <c r="AP1840" s="34"/>
      <c r="AQ1840" s="34"/>
      <c r="AR1840" s="54"/>
      <c r="AS1840" s="54"/>
      <c r="AT1840" s="54"/>
      <c r="AU1840" s="54"/>
      <c r="AV1840" s="34"/>
      <c r="AW1840" s="34"/>
      <c r="AX1840" s="34"/>
      <c r="AY1840" s="34"/>
      <c r="AZ1840" s="34"/>
      <c r="BA1840" s="44"/>
      <c r="BB1840" s="34"/>
      <c r="BC1840" s="34"/>
    </row>
    <row r="1841" spans="1:55" x14ac:dyDescent="0.35" ht="15.0" customHeight="true">
      <c r="A1841" s="51"/>
      <c r="B1841" s="34"/>
      <c r="C1841" s="34"/>
      <c r="D1841" s="34"/>
      <c r="E1841" s="34"/>
      <c r="F1841" s="34"/>
      <c r="G1841" s="44"/>
      <c r="H1841" s="34"/>
      <c r="I1841" s="54"/>
      <c r="J1841" s="34"/>
      <c r="K1841" s="54"/>
      <c r="L1841" s="34"/>
      <c r="M1841" s="44"/>
      <c r="N1841" s="44"/>
      <c r="O1841" s="34"/>
      <c r="P1841" s="34"/>
      <c r="Q1841" s="34"/>
      <c r="R1841" s="34"/>
      <c r="V1841" s="44"/>
      <c r="X1841" s="95"/>
      <c r="Y1841" s="54"/>
      <c r="Z1841" s="54"/>
      <c r="AA1841" s="34"/>
      <c r="AB1841" s="34"/>
      <c r="AC1841" s="34"/>
      <c r="AD1841" s="34"/>
      <c r="AE1841" s="34"/>
      <c r="AF1841" s="34"/>
      <c r="AG1841" s="34"/>
      <c r="AH1841" s="34"/>
      <c r="AI1841" s="52"/>
      <c r="AJ1841" s="52"/>
      <c r="AL1841" s="34"/>
      <c r="AM1841" s="34"/>
      <c r="AN1841" s="34"/>
      <c r="AO1841" s="54"/>
      <c r="AP1841" s="34"/>
      <c r="AQ1841" s="34"/>
      <c r="AR1841" s="54"/>
      <c r="AS1841" s="54"/>
      <c r="AT1841" s="54"/>
      <c r="AU1841" s="54"/>
      <c r="AV1841" s="34"/>
      <c r="AW1841" s="34"/>
      <c r="AX1841" s="34"/>
      <c r="AY1841" s="34"/>
      <c r="AZ1841" s="34"/>
      <c r="BA1841" s="44"/>
      <c r="BB1841" s="34"/>
      <c r="BC1841" s="34"/>
    </row>
    <row r="1842" spans="1:55" x14ac:dyDescent="0.35" ht="15.0" customHeight="true">
      <c r="A1842" s="51"/>
      <c r="B1842" s="34"/>
      <c r="C1842" s="34"/>
      <c r="D1842" s="34"/>
      <c r="E1842" s="34"/>
      <c r="F1842" s="34"/>
      <c r="G1842" s="44"/>
      <c r="H1842" s="34"/>
      <c r="I1842" s="54"/>
      <c r="J1842" s="34"/>
      <c r="K1842" s="54"/>
      <c r="L1842" s="34"/>
      <c r="M1842" s="44"/>
      <c r="N1842" s="44"/>
      <c r="O1842" s="34"/>
      <c r="P1842" s="34"/>
      <c r="Q1842" s="34"/>
      <c r="R1842" s="34"/>
      <c r="V1842" s="44"/>
      <c r="X1842" s="95"/>
      <c r="Y1842" s="54"/>
      <c r="Z1842" s="54"/>
      <c r="AA1842" s="34"/>
      <c r="AB1842" s="34"/>
      <c r="AC1842" s="34"/>
      <c r="AD1842" s="34"/>
      <c r="AE1842" s="34"/>
      <c r="AF1842" s="34"/>
      <c r="AG1842" s="34"/>
      <c r="AH1842" s="34"/>
      <c r="AI1842" s="52"/>
      <c r="AJ1842" s="52"/>
      <c r="AL1842" s="34"/>
      <c r="AM1842" s="34"/>
      <c r="AN1842" s="34"/>
      <c r="AO1842" s="54"/>
      <c r="AP1842" s="34"/>
      <c r="AQ1842" s="34"/>
      <c r="AR1842" s="54"/>
      <c r="AS1842" s="54"/>
      <c r="AT1842" s="54"/>
      <c r="AU1842" s="54"/>
      <c r="AV1842" s="34"/>
      <c r="AW1842" s="34"/>
      <c r="AX1842" s="34"/>
      <c r="AY1842" s="34"/>
      <c r="AZ1842" s="34"/>
      <c r="BA1842" s="44"/>
      <c r="BB1842" s="34"/>
      <c r="BC1842" s="34"/>
    </row>
    <row r="1843" spans="1:55" x14ac:dyDescent="0.35" ht="15.0" customHeight="true">
      <c r="A1843" s="51"/>
      <c r="B1843" s="34"/>
      <c r="C1843" s="34"/>
      <c r="D1843" s="34"/>
      <c r="E1843" s="34"/>
      <c r="F1843" s="34"/>
      <c r="G1843" s="44"/>
      <c r="H1843" s="34"/>
      <c r="I1843" s="54"/>
      <c r="J1843" s="34"/>
      <c r="K1843" s="54"/>
      <c r="L1843" s="34"/>
      <c r="M1843" s="44"/>
      <c r="N1843" s="44"/>
      <c r="O1843" s="34"/>
      <c r="P1843" s="34"/>
      <c r="Q1843" s="34"/>
      <c r="R1843" s="34"/>
      <c r="V1843" s="44"/>
      <c r="X1843" s="95"/>
      <c r="Y1843" s="54"/>
      <c r="Z1843" s="54"/>
      <c r="AA1843" s="34"/>
      <c r="AB1843" s="34"/>
      <c r="AC1843" s="34"/>
      <c r="AD1843" s="34"/>
      <c r="AE1843" s="34"/>
      <c r="AF1843" s="34"/>
      <c r="AG1843" s="34"/>
      <c r="AH1843" s="34"/>
      <c r="AI1843" s="52"/>
      <c r="AJ1843" s="52"/>
      <c r="AL1843" s="34"/>
      <c r="AM1843" s="34"/>
      <c r="AN1843" s="34"/>
      <c r="AO1843" s="54"/>
      <c r="AP1843" s="34"/>
      <c r="AQ1843" s="34"/>
      <c r="AR1843" s="54"/>
      <c r="AS1843" s="54"/>
      <c r="AT1843" s="54"/>
      <c r="AU1843" s="54"/>
      <c r="AV1843" s="34"/>
      <c r="AW1843" s="34"/>
      <c r="AX1843" s="34"/>
      <c r="AY1843" s="34"/>
      <c r="AZ1843" s="34"/>
      <c r="BA1843" s="44"/>
      <c r="BB1843" s="34"/>
      <c r="BC1843" s="34"/>
    </row>
    <row r="1844" spans="1:55" x14ac:dyDescent="0.35" ht="15.0" customHeight="true">
      <c r="A1844" s="51"/>
      <c r="B1844" s="34"/>
      <c r="C1844" s="34"/>
      <c r="D1844" s="34"/>
      <c r="E1844" s="34"/>
      <c r="F1844" s="34"/>
      <c r="G1844" s="44"/>
      <c r="H1844" s="34"/>
      <c r="I1844" s="54"/>
      <c r="J1844" s="34"/>
      <c r="K1844" s="54"/>
      <c r="L1844" s="34"/>
      <c r="M1844" s="44"/>
      <c r="N1844" s="44"/>
      <c r="O1844" s="34"/>
      <c r="P1844" s="34"/>
      <c r="Q1844" s="34"/>
      <c r="R1844" s="34"/>
      <c r="V1844" s="44"/>
      <c r="X1844" s="95"/>
      <c r="Y1844" s="54"/>
      <c r="Z1844" s="54"/>
      <c r="AA1844" s="34"/>
      <c r="AB1844" s="34"/>
      <c r="AC1844" s="34"/>
      <c r="AD1844" s="34"/>
      <c r="AE1844" s="34"/>
      <c r="AF1844" s="34"/>
      <c r="AG1844" s="34"/>
      <c r="AH1844" s="34"/>
      <c r="AI1844" s="52"/>
      <c r="AJ1844" s="52"/>
      <c r="AL1844" s="34"/>
      <c r="AM1844" s="34"/>
      <c r="AN1844" s="34"/>
      <c r="AO1844" s="54"/>
      <c r="AP1844" s="34"/>
      <c r="AQ1844" s="34"/>
      <c r="AR1844" s="54"/>
      <c r="AS1844" s="54"/>
      <c r="AT1844" s="54"/>
      <c r="AU1844" s="54"/>
      <c r="AV1844" s="34"/>
      <c r="AW1844" s="34"/>
      <c r="AX1844" s="34"/>
      <c r="AY1844" s="34"/>
      <c r="AZ1844" s="34"/>
      <c r="BA1844" s="44"/>
      <c r="BB1844" s="34"/>
      <c r="BC1844" s="34"/>
    </row>
    <row r="1845" spans="1:55" x14ac:dyDescent="0.35" ht="15.0" customHeight="true">
      <c r="A1845" s="51"/>
      <c r="B1845" s="34"/>
      <c r="C1845" s="34"/>
      <c r="D1845" s="34"/>
      <c r="E1845" s="34"/>
      <c r="F1845" s="34"/>
      <c r="G1845" s="44"/>
      <c r="H1845" s="34"/>
      <c r="I1845" s="54"/>
      <c r="J1845" s="34"/>
      <c r="K1845" s="54"/>
      <c r="L1845" s="34"/>
      <c r="M1845" s="44"/>
      <c r="N1845" s="44"/>
      <c r="O1845" s="34"/>
      <c r="P1845" s="34"/>
      <c r="Q1845" s="34"/>
      <c r="R1845" s="34"/>
      <c r="V1845" s="44"/>
      <c r="X1845" s="95"/>
      <c r="Y1845" s="54"/>
      <c r="Z1845" s="54"/>
      <c r="AA1845" s="34"/>
      <c r="AB1845" s="34"/>
      <c r="AC1845" s="34"/>
      <c r="AD1845" s="34"/>
      <c r="AE1845" s="34"/>
      <c r="AF1845" s="34"/>
      <c r="AG1845" s="34"/>
      <c r="AH1845" s="34"/>
      <c r="AI1845" s="52"/>
      <c r="AJ1845" s="52"/>
      <c r="AL1845" s="34"/>
      <c r="AM1845" s="34"/>
      <c r="AN1845" s="34"/>
      <c r="AO1845" s="54"/>
      <c r="AP1845" s="34"/>
      <c r="AQ1845" s="34"/>
      <c r="AR1845" s="54"/>
      <c r="AS1845" s="54"/>
      <c r="AT1845" s="54"/>
      <c r="AU1845" s="54"/>
      <c r="AV1845" s="34"/>
      <c r="AW1845" s="34"/>
      <c r="AX1845" s="34"/>
      <c r="AY1845" s="34"/>
      <c r="AZ1845" s="34"/>
      <c r="BA1845" s="44"/>
      <c r="BB1845" s="34"/>
      <c r="BC1845" s="34"/>
    </row>
    <row r="1846" spans="1:55" x14ac:dyDescent="0.35" ht="15.0" customHeight="true">
      <c r="A1846" s="51"/>
      <c r="B1846" s="34"/>
      <c r="C1846" s="34"/>
      <c r="D1846" s="34"/>
      <c r="E1846" s="34"/>
      <c r="F1846" s="34"/>
      <c r="G1846" s="44"/>
      <c r="H1846" s="34"/>
      <c r="I1846" s="54"/>
      <c r="J1846" s="34"/>
      <c r="K1846" s="54"/>
      <c r="L1846" s="34"/>
      <c r="M1846" s="44"/>
      <c r="N1846" s="44"/>
      <c r="O1846" s="34"/>
      <c r="P1846" s="34"/>
      <c r="Q1846" s="34"/>
      <c r="R1846" s="34"/>
      <c r="V1846" s="44"/>
      <c r="X1846" s="95"/>
      <c r="Y1846" s="54"/>
      <c r="Z1846" s="54"/>
      <c r="AA1846" s="34"/>
      <c r="AB1846" s="34"/>
      <c r="AC1846" s="34"/>
      <c r="AD1846" s="34"/>
      <c r="AE1846" s="34"/>
      <c r="AF1846" s="34"/>
      <c r="AG1846" s="34"/>
      <c r="AH1846" s="34"/>
      <c r="AI1846" s="52"/>
      <c r="AJ1846" s="52"/>
      <c r="AL1846" s="34"/>
      <c r="AM1846" s="34"/>
      <c r="AN1846" s="34"/>
      <c r="AO1846" s="54"/>
      <c r="AP1846" s="34"/>
      <c r="AQ1846" s="34"/>
      <c r="AR1846" s="54"/>
      <c r="AS1846" s="54"/>
      <c r="AT1846" s="54"/>
      <c r="AU1846" s="54"/>
      <c r="AV1846" s="34"/>
      <c r="AW1846" s="34"/>
      <c r="AX1846" s="34"/>
      <c r="AY1846" s="34"/>
      <c r="AZ1846" s="34"/>
      <c r="BA1846" s="44"/>
      <c r="BB1846" s="34"/>
      <c r="BC1846" s="34"/>
    </row>
    <row r="1847" spans="1:55" x14ac:dyDescent="0.35" ht="15.0" customHeight="true">
      <c r="A1847" s="51"/>
      <c r="B1847" s="34"/>
      <c r="C1847" s="34"/>
      <c r="D1847" s="34"/>
      <c r="E1847" s="34"/>
      <c r="F1847" s="34"/>
      <c r="G1847" s="44"/>
      <c r="H1847" s="34"/>
      <c r="I1847" s="54"/>
      <c r="J1847" s="34"/>
      <c r="K1847" s="54"/>
      <c r="L1847" s="34"/>
      <c r="M1847" s="44"/>
      <c r="N1847" s="44"/>
      <c r="O1847" s="34"/>
      <c r="P1847" s="34"/>
      <c r="Q1847" s="34"/>
      <c r="R1847" s="34"/>
      <c r="V1847" s="44"/>
      <c r="X1847" s="95"/>
      <c r="Y1847" s="54"/>
      <c r="Z1847" s="54"/>
      <c r="AA1847" s="34"/>
      <c r="AB1847" s="34"/>
      <c r="AC1847" s="34"/>
      <c r="AD1847" s="34"/>
      <c r="AE1847" s="34"/>
      <c r="AF1847" s="34"/>
      <c r="AG1847" s="34"/>
      <c r="AH1847" s="34"/>
      <c r="AI1847" s="52"/>
      <c r="AJ1847" s="52"/>
      <c r="AL1847" s="34"/>
      <c r="AM1847" s="34"/>
      <c r="AN1847" s="34"/>
      <c r="AO1847" s="54"/>
      <c r="AP1847" s="34"/>
      <c r="AQ1847" s="34"/>
      <c r="AR1847" s="54"/>
      <c r="AS1847" s="54"/>
      <c r="AT1847" s="54"/>
      <c r="AU1847" s="54"/>
      <c r="AV1847" s="34"/>
      <c r="AW1847" s="34"/>
      <c r="AX1847" s="34"/>
      <c r="AY1847" s="34"/>
      <c r="AZ1847" s="34"/>
      <c r="BA1847" s="44"/>
      <c r="BB1847" s="34"/>
      <c r="BC1847" s="34"/>
    </row>
    <row r="1848" spans="1:55" x14ac:dyDescent="0.35" ht="15.0" customHeight="true">
      <c r="A1848" s="51"/>
      <c r="B1848" s="34"/>
      <c r="C1848" s="34"/>
      <c r="D1848" s="34"/>
      <c r="E1848" s="34"/>
      <c r="F1848" s="34"/>
      <c r="G1848" s="44"/>
      <c r="H1848" s="34"/>
      <c r="I1848" s="54"/>
      <c r="J1848" s="34"/>
      <c r="K1848" s="54"/>
      <c r="L1848" s="34"/>
      <c r="M1848" s="44"/>
      <c r="N1848" s="44"/>
      <c r="O1848" s="34"/>
      <c r="P1848" s="34"/>
      <c r="Q1848" s="34"/>
      <c r="R1848" s="34"/>
      <c r="V1848" s="44"/>
      <c r="X1848" s="95"/>
      <c r="Y1848" s="54"/>
      <c r="Z1848" s="54"/>
      <c r="AA1848" s="34"/>
      <c r="AB1848" s="34"/>
      <c r="AC1848" s="34"/>
      <c r="AD1848" s="34"/>
      <c r="AE1848" s="34"/>
      <c r="AF1848" s="34"/>
      <c r="AG1848" s="34"/>
      <c r="AH1848" s="34"/>
      <c r="AI1848" s="52"/>
      <c r="AJ1848" s="52"/>
      <c r="AL1848" s="34"/>
      <c r="AM1848" s="34"/>
      <c r="AN1848" s="34"/>
      <c r="AO1848" s="54"/>
      <c r="AP1848" s="34"/>
      <c r="AQ1848" s="34"/>
      <c r="AR1848" s="54"/>
      <c r="AS1848" s="54"/>
      <c r="AT1848" s="54"/>
      <c r="AU1848" s="54"/>
      <c r="AV1848" s="34"/>
      <c r="AW1848" s="34"/>
      <c r="AX1848" s="34"/>
      <c r="AY1848" s="34"/>
      <c r="AZ1848" s="34"/>
      <c r="BA1848" s="44"/>
      <c r="BB1848" s="34"/>
      <c r="BC1848" s="34"/>
    </row>
    <row r="1849" spans="1:55" x14ac:dyDescent="0.35" ht="15.0" customHeight="true">
      <c r="A1849" s="51"/>
      <c r="B1849" s="34"/>
      <c r="C1849" s="34"/>
      <c r="D1849" s="34"/>
      <c r="E1849" s="34"/>
      <c r="F1849" s="34"/>
      <c r="G1849" s="44"/>
      <c r="H1849" s="34"/>
      <c r="I1849" s="54"/>
      <c r="J1849" s="34"/>
      <c r="K1849" s="54"/>
      <c r="L1849" s="34"/>
      <c r="M1849" s="44"/>
      <c r="N1849" s="44"/>
      <c r="O1849" s="34"/>
      <c r="P1849" s="34"/>
      <c r="Q1849" s="34"/>
      <c r="R1849" s="34"/>
      <c r="V1849" s="44"/>
      <c r="X1849" s="95"/>
      <c r="Y1849" s="54"/>
      <c r="Z1849" s="54"/>
      <c r="AA1849" s="34"/>
      <c r="AB1849" s="34"/>
      <c r="AC1849" s="34"/>
      <c r="AD1849" s="34"/>
      <c r="AE1849" s="34"/>
      <c r="AF1849" s="34"/>
      <c r="AG1849" s="34"/>
      <c r="AH1849" s="34"/>
      <c r="AI1849" s="52"/>
      <c r="AJ1849" s="52"/>
      <c r="AL1849" s="34"/>
      <c r="AM1849" s="34"/>
      <c r="AN1849" s="34"/>
      <c r="AO1849" s="54"/>
      <c r="AP1849" s="34"/>
      <c r="AQ1849" s="34"/>
      <c r="AR1849" s="54"/>
      <c r="AS1849" s="54"/>
      <c r="AT1849" s="54"/>
      <c r="AU1849" s="54"/>
      <c r="AV1849" s="34"/>
      <c r="AW1849" s="34"/>
      <c r="AX1849" s="34"/>
      <c r="AY1849" s="34"/>
      <c r="AZ1849" s="34"/>
      <c r="BA1849" s="44"/>
      <c r="BB1849" s="34"/>
      <c r="BC1849" s="34"/>
    </row>
    <row r="1850" spans="1:55" x14ac:dyDescent="0.35" ht="15.0" customHeight="true">
      <c r="A1850" s="51"/>
      <c r="B1850" s="34"/>
      <c r="C1850" s="34"/>
      <c r="D1850" s="34"/>
      <c r="E1850" s="34"/>
      <c r="F1850" s="34"/>
      <c r="G1850" s="44"/>
      <c r="H1850" s="34"/>
      <c r="I1850" s="54"/>
      <c r="J1850" s="34"/>
      <c r="K1850" s="54"/>
      <c r="L1850" s="34"/>
      <c r="M1850" s="44"/>
      <c r="N1850" s="44"/>
      <c r="O1850" s="34"/>
      <c r="P1850" s="34"/>
      <c r="Q1850" s="34"/>
      <c r="R1850" s="34"/>
      <c r="V1850" s="44"/>
      <c r="X1850" s="95"/>
      <c r="Y1850" s="54"/>
      <c r="Z1850" s="54"/>
      <c r="AA1850" s="34"/>
      <c r="AB1850" s="34"/>
      <c r="AC1850" s="34"/>
      <c r="AD1850" s="34"/>
      <c r="AE1850" s="34"/>
      <c r="AF1850" s="34"/>
      <c r="AG1850" s="34"/>
      <c r="AH1850" s="34"/>
      <c r="AI1850" s="52"/>
      <c r="AJ1850" s="52"/>
      <c r="AL1850" s="34"/>
      <c r="AM1850" s="34"/>
      <c r="AN1850" s="34"/>
      <c r="AO1850" s="54"/>
      <c r="AP1850" s="34"/>
      <c r="AQ1850" s="34"/>
      <c r="AR1850" s="54"/>
      <c r="AS1850" s="54"/>
      <c r="AT1850" s="54"/>
      <c r="AU1850" s="54"/>
      <c r="AV1850" s="34"/>
      <c r="AW1850" s="34"/>
      <c r="AX1850" s="34"/>
      <c r="AY1850" s="34"/>
      <c r="AZ1850" s="34"/>
      <c r="BA1850" s="44"/>
      <c r="BB1850" s="34"/>
      <c r="BC1850" s="34"/>
    </row>
    <row r="1851" spans="1:55" x14ac:dyDescent="0.35" ht="15.0" customHeight="true">
      <c r="A1851" s="51"/>
      <c r="B1851" s="34"/>
      <c r="C1851" s="34"/>
      <c r="D1851" s="34"/>
      <c r="E1851" s="34"/>
      <c r="F1851" s="34"/>
      <c r="G1851" s="44"/>
      <c r="H1851" s="34"/>
      <c r="I1851" s="54"/>
      <c r="J1851" s="34"/>
      <c r="K1851" s="54"/>
      <c r="L1851" s="34"/>
      <c r="M1851" s="44"/>
      <c r="N1851" s="44"/>
      <c r="O1851" s="34"/>
      <c r="P1851" s="34"/>
      <c r="Q1851" s="34"/>
      <c r="R1851" s="34"/>
      <c r="V1851" s="44"/>
      <c r="X1851" s="95"/>
      <c r="Y1851" s="54"/>
      <c r="Z1851" s="54"/>
      <c r="AA1851" s="34"/>
      <c r="AB1851" s="34"/>
      <c r="AC1851" s="34"/>
      <c r="AD1851" s="34"/>
      <c r="AE1851" s="34"/>
      <c r="AF1851" s="34"/>
      <c r="AG1851" s="34"/>
      <c r="AH1851" s="34"/>
      <c r="AI1851" s="52"/>
      <c r="AJ1851" s="52"/>
      <c r="AL1851" s="34"/>
      <c r="AM1851" s="34"/>
      <c r="AN1851" s="34"/>
      <c r="AO1851" s="54"/>
      <c r="AP1851" s="34"/>
      <c r="AQ1851" s="34"/>
      <c r="AR1851" s="54"/>
      <c r="AS1851" s="54"/>
      <c r="AT1851" s="54"/>
      <c r="AU1851" s="54"/>
      <c r="AV1851" s="34"/>
      <c r="AW1851" s="34"/>
      <c r="AX1851" s="34"/>
      <c r="AY1851" s="34"/>
      <c r="AZ1851" s="34"/>
      <c r="BA1851" s="44"/>
      <c r="BB1851" s="34"/>
      <c r="BC1851" s="34"/>
    </row>
    <row r="1852" spans="1:55" x14ac:dyDescent="0.35" ht="15.0" customHeight="true">
      <c r="A1852" s="51"/>
      <c r="F1852" s="33"/>
      <c r="H1852" s="33"/>
      <c r="I1852" s="51"/>
      <c r="J1852" s="33"/>
      <c r="K1852" s="51"/>
      <c r="L1852" s="33"/>
      <c r="U1852" s="56"/>
      <c r="V1852" s="44"/>
      <c r="Y1852" s="51"/>
      <c r="Z1852" s="51"/>
      <c r="AD1852" s="34"/>
      <c r="AE1852" s="34"/>
      <c r="AF1852" s="34"/>
      <c r="AG1852" s="34"/>
      <c r="AH1852" s="34"/>
      <c r="AN1852" s="33"/>
      <c r="AO1852" s="51"/>
      <c r="AR1852" s="51"/>
      <c r="AS1852" s="54"/>
      <c r="AT1852" s="54"/>
      <c r="AU1852" s="54"/>
      <c r="AV1852" s="34"/>
      <c r="AW1852" s="34"/>
      <c r="AX1852" s="34"/>
      <c r="AY1852" s="34"/>
      <c r="AZ1852" s="34"/>
      <c r="BA1852" s="44"/>
      <c r="BB1852" s="34"/>
      <c r="BC1852" s="34"/>
    </row>
    <row r="1853" spans="1:55" x14ac:dyDescent="0.35" ht="15.0" customHeight="true">
      <c r="A1853" s="51"/>
      <c r="F1853" s="33"/>
      <c r="H1853" s="33"/>
      <c r="I1853" s="51"/>
      <c r="J1853" s="33"/>
      <c r="K1853" s="51"/>
      <c r="L1853" s="33"/>
      <c r="U1853" s="56"/>
      <c r="V1853" s="44"/>
      <c r="Y1853" s="51"/>
      <c r="Z1853" s="51"/>
      <c r="AD1853" s="34"/>
      <c r="AE1853" s="34"/>
      <c r="AF1853" s="34"/>
      <c r="AG1853" s="34"/>
      <c r="AH1853" s="34"/>
      <c r="AN1853" s="33"/>
      <c r="AO1853" s="51"/>
      <c r="AR1853" s="51"/>
      <c r="AS1853" s="54"/>
      <c r="AT1853" s="54"/>
      <c r="AU1853" s="54"/>
      <c r="AV1853" s="34"/>
      <c r="AW1853" s="34"/>
      <c r="AX1853" s="34"/>
      <c r="AY1853" s="34"/>
      <c r="AZ1853" s="34"/>
      <c r="BA1853" s="44"/>
      <c r="BB1853" s="34"/>
      <c r="BC1853" s="34"/>
    </row>
    <row r="1854" spans="1:55" x14ac:dyDescent="0.35" ht="15.0" customHeight="true">
      <c r="A1854" s="51"/>
      <c r="F1854" s="33"/>
      <c r="H1854" s="33"/>
      <c r="I1854" s="51"/>
      <c r="J1854" s="33"/>
      <c r="K1854" s="51"/>
      <c r="L1854" s="33"/>
      <c r="U1854" s="56"/>
      <c r="V1854" s="44"/>
      <c r="Y1854" s="51"/>
      <c r="Z1854" s="51"/>
      <c r="AD1854" s="34"/>
      <c r="AE1854" s="34"/>
      <c r="AF1854" s="34"/>
      <c r="AG1854" s="34"/>
      <c r="AH1854" s="34"/>
      <c r="AN1854" s="33"/>
      <c r="AO1854" s="51"/>
      <c r="AR1854" s="51"/>
      <c r="AS1854" s="54"/>
      <c r="AT1854" s="54"/>
      <c r="AU1854" s="54"/>
      <c r="AV1854" s="34"/>
      <c r="AW1854" s="34"/>
      <c r="AX1854" s="34"/>
      <c r="AY1854" s="34"/>
      <c r="AZ1854" s="34"/>
      <c r="BA1854" s="44"/>
      <c r="BB1854" s="34"/>
      <c r="BC1854" s="34"/>
    </row>
    <row r="1855" spans="1:55" x14ac:dyDescent="0.35" ht="15.0" customHeight="true">
      <c r="A1855" s="51"/>
      <c r="F1855" s="33"/>
      <c r="H1855" s="33"/>
      <c r="I1855" s="51"/>
      <c r="J1855" s="33"/>
      <c r="K1855" s="51"/>
      <c r="L1855" s="33"/>
      <c r="U1855" s="56"/>
      <c r="V1855" s="44"/>
      <c r="Y1855" s="51"/>
      <c r="Z1855" s="51"/>
      <c r="AN1855" s="33"/>
      <c r="AO1855" s="51"/>
      <c r="AR1855" s="51"/>
      <c r="AS1855" s="54"/>
      <c r="AT1855" s="54"/>
      <c r="AU1855" s="54"/>
      <c r="AV1855" s="34"/>
      <c r="AW1855" s="34"/>
      <c r="AX1855" s="34"/>
      <c r="AY1855" s="34"/>
      <c r="AZ1855" s="34"/>
      <c r="BA1855" s="44"/>
      <c r="BB1855" s="34"/>
      <c r="BC1855" s="34"/>
    </row>
    <row r="1856" spans="1:55" x14ac:dyDescent="0.35" ht="15.0" customHeight="true">
      <c r="A1856" s="51"/>
      <c r="F1856" s="33"/>
      <c r="H1856" s="33"/>
      <c r="I1856" s="51"/>
      <c r="J1856" s="33"/>
      <c r="K1856" s="51"/>
      <c r="L1856" s="33"/>
      <c r="U1856" s="56"/>
      <c r="V1856" s="44"/>
      <c r="Y1856" s="51"/>
      <c r="Z1856" s="51"/>
      <c r="AN1856" s="33"/>
      <c r="AO1856" s="51"/>
      <c r="AR1856" s="51"/>
      <c r="AS1856" s="54"/>
      <c r="AT1856" s="54"/>
      <c r="AU1856" s="54"/>
      <c r="AV1856" s="34"/>
      <c r="AW1856" s="34"/>
      <c r="AX1856" s="34"/>
      <c r="AY1856" s="34"/>
      <c r="AZ1856" s="34"/>
      <c r="BA1856" s="44"/>
      <c r="BB1856" s="34"/>
      <c r="BC1856" s="34"/>
    </row>
    <row r="1857" spans="1:55" x14ac:dyDescent="0.35" ht="15.0" customHeight="true">
      <c r="A1857" s="51"/>
      <c r="F1857" s="33"/>
      <c r="H1857" s="33"/>
      <c r="I1857" s="51"/>
      <c r="J1857" s="33"/>
      <c r="K1857" s="51"/>
      <c r="L1857" s="33"/>
      <c r="U1857" s="56"/>
      <c r="V1857" s="44"/>
      <c r="Y1857" s="51"/>
      <c r="Z1857" s="51"/>
      <c r="AN1857" s="33"/>
      <c r="AO1857" s="51"/>
      <c r="AR1857" s="51"/>
      <c r="AS1857" s="54"/>
      <c r="AT1857" s="54"/>
      <c r="AU1857" s="54"/>
      <c r="AV1857" s="34"/>
      <c r="AW1857" s="34"/>
      <c r="AX1857" s="34"/>
      <c r="AY1857" s="34"/>
      <c r="AZ1857" s="34"/>
      <c r="BA1857" s="44"/>
      <c r="BB1857" s="34"/>
      <c r="BC1857" s="34"/>
    </row>
    <row r="1858" spans="1:55" x14ac:dyDescent="0.35" ht="15.0" customHeight="true">
      <c r="A1858" s="51"/>
      <c r="F1858" s="33"/>
      <c r="H1858" s="33"/>
      <c r="I1858" s="51"/>
      <c r="J1858" s="33"/>
      <c r="K1858" s="51"/>
      <c r="L1858" s="33"/>
      <c r="U1858" s="56"/>
      <c r="V1858" s="44"/>
      <c r="Y1858" s="51"/>
      <c r="Z1858" s="51"/>
      <c r="AN1858" s="33"/>
      <c r="AO1858" s="51"/>
      <c r="AR1858" s="51"/>
      <c r="AS1858" s="54"/>
      <c r="AT1858" s="54"/>
      <c r="AU1858" s="54"/>
      <c r="AV1858" s="34"/>
      <c r="AW1858" s="34"/>
      <c r="AX1858" s="34"/>
      <c r="AY1858" s="34"/>
      <c r="AZ1858" s="34"/>
      <c r="BA1858" s="44"/>
      <c r="BB1858" s="34"/>
      <c r="BC1858" s="34"/>
    </row>
    <row r="1859" spans="1:55" x14ac:dyDescent="0.35" ht="15.0" customHeight="true">
      <c r="A1859" s="51"/>
      <c r="F1859" s="33"/>
      <c r="H1859" s="33"/>
      <c r="I1859" s="51"/>
      <c r="J1859" s="33"/>
      <c r="K1859" s="51"/>
      <c r="L1859" s="33"/>
      <c r="U1859" s="56"/>
      <c r="V1859" s="44"/>
      <c r="Y1859" s="51"/>
      <c r="Z1859" s="51"/>
      <c r="AN1859" s="33"/>
      <c r="AO1859" s="51"/>
      <c r="AR1859" s="51"/>
      <c r="AS1859" s="54"/>
      <c r="AT1859" s="54"/>
      <c r="AU1859" s="54"/>
      <c r="AV1859" s="34"/>
      <c r="AW1859" s="34"/>
      <c r="AX1859" s="34"/>
      <c r="AY1859" s="34"/>
      <c r="AZ1859" s="34"/>
      <c r="BA1859" s="44"/>
      <c r="BB1859" s="34"/>
      <c r="BC1859" s="34"/>
    </row>
    <row r="1860" spans="1:55" x14ac:dyDescent="0.35" ht="15.0" customHeight="true">
      <c r="A1860" s="51"/>
      <c r="F1860" s="33"/>
      <c r="H1860" s="33"/>
      <c r="I1860" s="51"/>
      <c r="J1860" s="33"/>
      <c r="K1860" s="51"/>
      <c r="L1860" s="33"/>
      <c r="U1860" s="56"/>
      <c r="V1860" s="44"/>
      <c r="Y1860" s="51"/>
      <c r="Z1860" s="51"/>
      <c r="AN1860" s="33"/>
      <c r="AO1860" s="51"/>
      <c r="AR1860" s="51"/>
      <c r="AS1860" s="54"/>
      <c r="AT1860" s="54"/>
      <c r="AU1860" s="54"/>
      <c r="AV1860" s="34"/>
      <c r="AW1860" s="34"/>
      <c r="AX1860" s="34"/>
      <c r="AY1860" s="34"/>
      <c r="AZ1860" s="34"/>
      <c r="BA1860" s="44"/>
      <c r="BB1860" s="34"/>
      <c r="BC1860" s="34"/>
    </row>
    <row r="1861" spans="1:55" x14ac:dyDescent="0.35" ht="15.0" customHeight="true">
      <c r="A1861" s="51"/>
      <c r="F1861" s="33"/>
      <c r="H1861" s="33"/>
      <c r="I1861" s="51"/>
      <c r="J1861" s="33"/>
      <c r="K1861" s="51"/>
      <c r="L1861" s="33"/>
      <c r="U1861" s="56"/>
      <c r="V1861" s="44"/>
      <c r="Y1861" s="51"/>
      <c r="Z1861" s="51"/>
      <c r="AN1861" s="33"/>
      <c r="AO1861" s="51"/>
      <c r="AR1861" s="51"/>
      <c r="AS1861" s="54"/>
      <c r="AT1861" s="54"/>
      <c r="AU1861" s="54"/>
      <c r="AV1861" s="34"/>
      <c r="AW1861" s="34"/>
      <c r="AX1861" s="34"/>
      <c r="AY1861" s="34"/>
      <c r="AZ1861" s="34"/>
      <c r="BA1861" s="44"/>
      <c r="BB1861" s="34"/>
      <c r="BC1861" s="34"/>
    </row>
    <row r="1862" spans="1:55" x14ac:dyDescent="0.35" ht="15.0" customHeight="true">
      <c r="A1862" s="51"/>
      <c r="F1862" s="33"/>
      <c r="H1862" s="33"/>
      <c r="I1862" s="51"/>
      <c r="J1862" s="33"/>
      <c r="K1862" s="51"/>
      <c r="L1862" s="33"/>
      <c r="U1862" s="56"/>
      <c r="V1862" s="44"/>
      <c r="Y1862" s="51"/>
      <c r="Z1862" s="51"/>
      <c r="AN1862" s="33"/>
      <c r="AO1862" s="51"/>
      <c r="AR1862" s="51"/>
      <c r="AS1862" s="54"/>
      <c r="AT1862" s="54"/>
      <c r="AU1862" s="54"/>
      <c r="AV1862" s="34"/>
      <c r="AW1862" s="34"/>
      <c r="AX1862" s="34"/>
      <c r="AY1862" s="34"/>
      <c r="AZ1862" s="34"/>
      <c r="BA1862" s="44"/>
      <c r="BB1862" s="34"/>
      <c r="BC1862" s="34"/>
    </row>
    <row r="1863" spans="1:55" x14ac:dyDescent="0.35" ht="15.0" customHeight="true">
      <c r="A1863" s="51"/>
      <c r="F1863" s="33"/>
      <c r="H1863" s="33"/>
      <c r="I1863" s="51"/>
      <c r="J1863" s="33"/>
      <c r="K1863" s="51"/>
      <c r="L1863" s="33"/>
      <c r="U1863" s="56"/>
      <c r="V1863" s="44"/>
      <c r="Y1863" s="51"/>
      <c r="Z1863" s="51"/>
      <c r="AN1863" s="33"/>
      <c r="AO1863" s="51"/>
      <c r="AR1863" s="51"/>
      <c r="AS1863" s="54"/>
      <c r="AT1863" s="54"/>
      <c r="AU1863" s="54"/>
      <c r="AV1863" s="34"/>
      <c r="AW1863" s="34"/>
      <c r="AX1863" s="34"/>
      <c r="AY1863" s="34"/>
      <c r="AZ1863" s="34"/>
      <c r="BA1863" s="44"/>
      <c r="BB1863" s="34"/>
      <c r="BC1863" s="34"/>
    </row>
    <row r="1864" spans="1:55" x14ac:dyDescent="0.35" ht="15.0" customHeight="true">
      <c r="A1864" s="51"/>
      <c r="F1864" s="33"/>
      <c r="H1864" s="33"/>
      <c r="I1864" s="51"/>
      <c r="J1864" s="33"/>
      <c r="K1864" s="51"/>
      <c r="L1864" s="33"/>
      <c r="U1864" s="56"/>
      <c r="V1864" s="44"/>
      <c r="Y1864" s="51"/>
      <c r="Z1864" s="51"/>
      <c r="AN1864" s="33"/>
      <c r="AO1864" s="51"/>
      <c r="AR1864" s="51"/>
      <c r="AS1864" s="54"/>
      <c r="AT1864" s="54"/>
      <c r="AU1864" s="54"/>
      <c r="AV1864" s="34"/>
      <c r="AW1864" s="34"/>
      <c r="AX1864" s="34"/>
      <c r="AY1864" s="34"/>
      <c r="AZ1864" s="34"/>
      <c r="BA1864" s="44"/>
      <c r="BB1864" s="34"/>
      <c r="BC1864" s="34"/>
    </row>
    <row r="1865" spans="1:55" x14ac:dyDescent="0.35" ht="15.0" customHeight="true">
      <c r="A1865" s="51"/>
      <c r="F1865" s="33"/>
      <c r="H1865" s="33"/>
      <c r="I1865" s="51"/>
      <c r="J1865" s="33"/>
      <c r="K1865" s="51"/>
      <c r="L1865" s="33"/>
      <c r="U1865" s="56"/>
      <c r="V1865" s="44"/>
      <c r="Y1865" s="51"/>
      <c r="Z1865" s="51"/>
      <c r="AN1865" s="33"/>
      <c r="AO1865" s="51"/>
      <c r="AR1865" s="51"/>
      <c r="AS1865" s="54"/>
      <c r="AT1865" s="54"/>
      <c r="AU1865" s="54"/>
      <c r="AV1865" s="34"/>
      <c r="AW1865" s="34"/>
      <c r="AX1865" s="34"/>
      <c r="AY1865" s="34"/>
      <c r="AZ1865" s="34"/>
      <c r="BA1865" s="44"/>
      <c r="BB1865" s="34"/>
      <c r="BC1865" s="34"/>
    </row>
    <row r="1866" spans="1:55" x14ac:dyDescent="0.35" ht="15.0" customHeight="true">
      <c r="A1866" s="51"/>
      <c r="F1866" s="33"/>
      <c r="H1866" s="33"/>
      <c r="I1866" s="51"/>
      <c r="J1866" s="33"/>
      <c r="K1866" s="51"/>
      <c r="L1866" s="33"/>
      <c r="U1866" s="56"/>
      <c r="V1866" s="44"/>
      <c r="Y1866" s="51"/>
      <c r="Z1866" s="51"/>
      <c r="AN1866" s="33"/>
      <c r="AO1866" s="51"/>
      <c r="AR1866" s="51"/>
      <c r="AS1866" s="54"/>
      <c r="AT1866" s="54"/>
      <c r="AU1866" s="54"/>
      <c r="AV1866" s="34"/>
      <c r="AW1866" s="34"/>
      <c r="AX1866" s="34"/>
      <c r="AY1866" s="34"/>
      <c r="AZ1866" s="34"/>
      <c r="BA1866" s="44"/>
      <c r="BB1866" s="34"/>
      <c r="BC1866" s="34"/>
    </row>
    <row r="1867" spans="1:55" x14ac:dyDescent="0.35" ht="15.0" customHeight="true">
      <c r="A1867" s="51"/>
      <c r="F1867" s="33"/>
      <c r="H1867" s="33"/>
      <c r="I1867" s="51"/>
      <c r="J1867" s="33"/>
      <c r="K1867" s="51"/>
      <c r="L1867" s="33"/>
      <c r="U1867" s="56"/>
      <c r="V1867" s="44"/>
      <c r="Y1867" s="51"/>
      <c r="Z1867" s="51"/>
      <c r="AN1867" s="33"/>
      <c r="AO1867" s="51"/>
      <c r="AR1867" s="51"/>
      <c r="AS1867" s="54"/>
      <c r="AT1867" s="54"/>
      <c r="AU1867" s="54"/>
      <c r="AV1867" s="34"/>
      <c r="AW1867" s="34"/>
      <c r="AX1867" s="34"/>
      <c r="AY1867" s="34"/>
      <c r="AZ1867" s="34"/>
      <c r="BA1867" s="44"/>
      <c r="BB1867" s="34"/>
      <c r="BC1867" s="34"/>
    </row>
    <row r="1868" spans="1:55" x14ac:dyDescent="0.35" ht="15.0" customHeight="true">
      <c r="A1868" s="51"/>
      <c r="F1868" s="33"/>
      <c r="H1868" s="33"/>
      <c r="I1868" s="51"/>
      <c r="J1868" s="33"/>
      <c r="K1868" s="51"/>
      <c r="L1868" s="33"/>
      <c r="U1868" s="56"/>
      <c r="V1868" s="44"/>
      <c r="Y1868" s="51"/>
      <c r="Z1868" s="51"/>
      <c r="AN1868" s="33"/>
      <c r="AO1868" s="51"/>
      <c r="AR1868" s="51"/>
      <c r="AS1868" s="54"/>
      <c r="AT1868" s="54"/>
      <c r="AU1868" s="54"/>
      <c r="AV1868" s="34"/>
      <c r="AW1868" s="34"/>
      <c r="AX1868" s="34"/>
      <c r="AY1868" s="34"/>
      <c r="AZ1868" s="34"/>
      <c r="BA1868" s="44"/>
      <c r="BB1868" s="34"/>
      <c r="BC1868" s="34"/>
    </row>
    <row r="1869" spans="1:55" x14ac:dyDescent="0.35" ht="15.0" customHeight="true">
      <c r="A1869" s="51"/>
      <c r="F1869" s="33"/>
      <c r="H1869" s="33"/>
      <c r="I1869" s="51"/>
      <c r="J1869" s="33"/>
      <c r="K1869" s="51"/>
      <c r="L1869" s="33"/>
      <c r="U1869" s="56"/>
      <c r="V1869" s="44"/>
      <c r="Y1869" s="51"/>
      <c r="Z1869" s="51"/>
      <c r="AN1869" s="33"/>
      <c r="AO1869" s="51"/>
      <c r="AR1869" s="51"/>
      <c r="AS1869" s="54"/>
      <c r="AT1869" s="54"/>
      <c r="AU1869" s="54"/>
      <c r="AV1869" s="34"/>
      <c r="AW1869" s="34"/>
      <c r="AX1869" s="34"/>
      <c r="AY1869" s="34"/>
      <c r="AZ1869" s="34"/>
      <c r="BA1869" s="44"/>
      <c r="BB1869" s="34"/>
      <c r="BC1869" s="34"/>
    </row>
    <row r="1870" spans="1:55" x14ac:dyDescent="0.35" ht="15.0" customHeight="true">
      <c r="A1870" s="51"/>
      <c r="F1870" s="33"/>
      <c r="H1870" s="33"/>
      <c r="I1870" s="51"/>
      <c r="J1870" s="33"/>
      <c r="K1870" s="51"/>
      <c r="L1870" s="33"/>
      <c r="U1870" s="56"/>
      <c r="V1870" s="44"/>
      <c r="Y1870" s="51"/>
      <c r="Z1870" s="51"/>
      <c r="AN1870" s="33"/>
      <c r="AO1870" s="51"/>
      <c r="AR1870" s="51"/>
      <c r="AS1870" s="54"/>
      <c r="AT1870" s="54"/>
      <c r="AU1870" s="54"/>
      <c r="AV1870" s="34"/>
      <c r="AW1870" s="34"/>
      <c r="AX1870" s="34"/>
      <c r="AY1870" s="34"/>
      <c r="AZ1870" s="34"/>
      <c r="BA1870" s="44"/>
      <c r="BB1870" s="34"/>
      <c r="BC1870" s="34"/>
    </row>
    <row r="1871" spans="1:55" x14ac:dyDescent="0.35" ht="15.0" customHeight="true">
      <c r="A1871" s="51"/>
      <c r="F1871" s="33"/>
      <c r="H1871" s="33"/>
      <c r="I1871" s="51"/>
      <c r="J1871" s="33"/>
      <c r="K1871" s="51"/>
      <c r="L1871" s="33"/>
      <c r="U1871" s="56"/>
      <c r="V1871" s="44"/>
      <c r="Y1871" s="51"/>
      <c r="Z1871" s="51"/>
      <c r="AN1871" s="33"/>
      <c r="AO1871" s="51"/>
      <c r="AR1871" s="51"/>
      <c r="AS1871" s="54"/>
      <c r="AT1871" s="54"/>
      <c r="AU1871" s="54"/>
      <c r="AV1871" s="34"/>
      <c r="AW1871" s="34"/>
      <c r="AX1871" s="34"/>
      <c r="AY1871" s="34"/>
      <c r="AZ1871" s="34"/>
      <c r="BA1871" s="44"/>
      <c r="BB1871" s="34"/>
      <c r="BC1871" s="34"/>
    </row>
    <row r="1872" spans="1:55" x14ac:dyDescent="0.35" ht="15.0" customHeight="true">
      <c r="A1872" s="51"/>
      <c r="F1872" s="33"/>
      <c r="H1872" s="33"/>
      <c r="I1872" s="51"/>
      <c r="J1872" s="33"/>
      <c r="K1872" s="51"/>
      <c r="L1872" s="33"/>
      <c r="U1872" s="56"/>
      <c r="V1872" s="44"/>
      <c r="Y1872" s="51"/>
      <c r="Z1872" s="51"/>
      <c r="AN1872" s="33"/>
      <c r="AO1872" s="51"/>
      <c r="AR1872" s="51"/>
      <c r="AS1872" s="54"/>
      <c r="AT1872" s="54"/>
      <c r="AU1872" s="54"/>
      <c r="AV1872" s="34"/>
      <c r="AW1872" s="34"/>
      <c r="AX1872" s="34"/>
      <c r="AY1872" s="34"/>
      <c r="AZ1872" s="34"/>
      <c r="BA1872" s="44"/>
      <c r="BB1872" s="34"/>
      <c r="BC1872" s="34"/>
    </row>
    <row r="1873" spans="1:55" x14ac:dyDescent="0.35" ht="15.0" customHeight="true">
      <c r="A1873" s="51"/>
      <c r="F1873" s="33"/>
      <c r="H1873" s="33"/>
      <c r="I1873" s="51"/>
      <c r="J1873" s="33"/>
      <c r="K1873" s="51"/>
      <c r="L1873" s="33"/>
      <c r="U1873" s="56"/>
      <c r="V1873" s="44"/>
      <c r="Y1873" s="51"/>
      <c r="Z1873" s="51"/>
      <c r="AN1873" s="33"/>
      <c r="AO1873" s="51"/>
      <c r="AR1873" s="51"/>
      <c r="AS1873" s="54"/>
      <c r="AT1873" s="54"/>
      <c r="AU1873" s="54"/>
      <c r="AV1873" s="34"/>
      <c r="AW1873" s="34"/>
      <c r="AX1873" s="34"/>
      <c r="AY1873" s="34"/>
      <c r="AZ1873" s="34"/>
      <c r="BA1873" s="44"/>
      <c r="BB1873" s="34"/>
      <c r="BC1873" s="34"/>
    </row>
    <row r="1874" spans="1:55" x14ac:dyDescent="0.35" ht="15.0" customHeight="true">
      <c r="A1874" s="51"/>
      <c r="F1874" s="33"/>
      <c r="H1874" s="33"/>
      <c r="I1874" s="51"/>
      <c r="J1874" s="33"/>
      <c r="K1874" s="51"/>
      <c r="L1874" s="33"/>
      <c r="U1874" s="56"/>
      <c r="V1874" s="44"/>
      <c r="Y1874" s="51"/>
      <c r="Z1874" s="51"/>
      <c r="AN1874" s="33"/>
      <c r="AO1874" s="51"/>
      <c r="AR1874" s="51"/>
      <c r="AS1874" s="54"/>
      <c r="AT1874" s="54"/>
      <c r="AU1874" s="54"/>
      <c r="AV1874" s="34"/>
      <c r="AW1874" s="34"/>
      <c r="AX1874" s="34"/>
      <c r="AY1874" s="34"/>
      <c r="AZ1874" s="34"/>
      <c r="BA1874" s="44"/>
      <c r="BB1874" s="34"/>
      <c r="BC1874" s="34"/>
    </row>
    <row r="1875" spans="1:55" x14ac:dyDescent="0.35" ht="15.0" customHeight="true">
      <c r="A1875" s="51"/>
      <c r="F1875" s="33"/>
      <c r="H1875" s="33"/>
      <c r="I1875" s="51"/>
      <c r="J1875" s="33"/>
      <c r="K1875" s="51"/>
      <c r="L1875" s="33"/>
      <c r="U1875" s="56"/>
      <c r="V1875" s="44"/>
      <c r="Y1875" s="51"/>
      <c r="Z1875" s="51"/>
      <c r="AN1875" s="33"/>
      <c r="AO1875" s="51"/>
      <c r="AR1875" s="51"/>
      <c r="AS1875" s="54"/>
      <c r="AT1875" s="54"/>
      <c r="AU1875" s="54"/>
      <c r="AV1875" s="34"/>
      <c r="AW1875" s="34"/>
      <c r="AX1875" s="34"/>
      <c r="AY1875" s="34"/>
      <c r="AZ1875" s="34"/>
      <c r="BA1875" s="44"/>
      <c r="BB1875" s="34"/>
      <c r="BC1875" s="34"/>
    </row>
    <row r="1876" spans="1:55" x14ac:dyDescent="0.35" ht="15.0" customHeight="true">
      <c r="A1876" s="51"/>
      <c r="F1876" s="33"/>
      <c r="H1876" s="33"/>
      <c r="I1876" s="51"/>
      <c r="J1876" s="33"/>
      <c r="K1876" s="51"/>
      <c r="L1876" s="33"/>
      <c r="U1876" s="56"/>
      <c r="V1876" s="44"/>
      <c r="Y1876" s="51"/>
      <c r="Z1876" s="51"/>
      <c r="AN1876" s="33"/>
      <c r="AO1876" s="51"/>
      <c r="AR1876" s="51"/>
      <c r="AS1876" s="54"/>
      <c r="AT1876" s="54"/>
      <c r="AU1876" s="54"/>
      <c r="AV1876" s="34"/>
      <c r="AW1876" s="34"/>
      <c r="AX1876" s="34"/>
      <c r="AY1876" s="34"/>
      <c r="AZ1876" s="34"/>
      <c r="BA1876" s="44"/>
      <c r="BB1876" s="34"/>
      <c r="BC1876" s="34"/>
    </row>
    <row r="1877" spans="1:55" x14ac:dyDescent="0.35" ht="15.0" customHeight="true">
      <c r="A1877" s="51"/>
      <c r="F1877" s="33"/>
      <c r="H1877" s="33"/>
      <c r="I1877" s="51"/>
      <c r="J1877" s="33"/>
      <c r="K1877" s="51"/>
      <c r="L1877" s="33"/>
      <c r="U1877" s="56"/>
      <c r="V1877" s="44"/>
      <c r="Y1877" s="51"/>
      <c r="Z1877" s="51"/>
      <c r="AN1877" s="33"/>
      <c r="AO1877" s="51"/>
      <c r="AR1877" s="51"/>
      <c r="AS1877" s="54"/>
      <c r="AT1877" s="54"/>
      <c r="AU1877" s="54"/>
      <c r="AV1877" s="34"/>
      <c r="AW1877" s="34"/>
      <c r="AX1877" s="34"/>
      <c r="AY1877" s="34"/>
      <c r="AZ1877" s="34"/>
      <c r="BA1877" s="44"/>
      <c r="BB1877" s="34"/>
      <c r="BC1877" s="34"/>
    </row>
    <row r="1878" spans="1:55" x14ac:dyDescent="0.35" ht="15.0" customHeight="true">
      <c r="A1878" s="51"/>
      <c r="F1878" s="33"/>
      <c r="H1878" s="33"/>
      <c r="I1878" s="51"/>
      <c r="J1878" s="33"/>
      <c r="K1878" s="51"/>
      <c r="L1878" s="33"/>
      <c r="U1878" s="56"/>
      <c r="V1878" s="44"/>
      <c r="Y1878" s="51"/>
      <c r="Z1878" s="51"/>
      <c r="AN1878" s="33"/>
      <c r="AO1878" s="51"/>
      <c r="AR1878" s="51"/>
      <c r="AS1878" s="54"/>
      <c r="AT1878" s="54"/>
      <c r="AU1878" s="54"/>
      <c r="AV1878" s="34"/>
      <c r="AW1878" s="34"/>
      <c r="AX1878" s="34"/>
      <c r="AY1878" s="34"/>
      <c r="AZ1878" s="34"/>
      <c r="BA1878" s="44"/>
      <c r="BB1878" s="34"/>
      <c r="BC1878" s="34"/>
    </row>
    <row r="1879" spans="1:55" x14ac:dyDescent="0.35" ht="15.0" customHeight="true">
      <c r="A1879" s="51"/>
      <c r="F1879" s="33"/>
      <c r="H1879" s="33"/>
      <c r="I1879" s="51"/>
      <c r="J1879" s="33"/>
      <c r="K1879" s="51"/>
      <c r="L1879" s="33"/>
      <c r="U1879" s="56"/>
      <c r="V1879" s="44"/>
      <c r="Y1879" s="51"/>
      <c r="Z1879" s="51"/>
      <c r="AN1879" s="33"/>
      <c r="AO1879" s="51"/>
      <c r="AR1879" s="51"/>
      <c r="AS1879" s="54"/>
      <c r="AT1879" s="54"/>
      <c r="AU1879" s="54"/>
      <c r="AV1879" s="34"/>
      <c r="AW1879" s="34"/>
      <c r="AX1879" s="34"/>
      <c r="AY1879" s="34"/>
      <c r="AZ1879" s="34"/>
      <c r="BA1879" s="44"/>
      <c r="BB1879" s="34"/>
      <c r="BC1879" s="34"/>
    </row>
    <row r="1880" spans="1:55" x14ac:dyDescent="0.35" ht="15.0" customHeight="true">
      <c r="A1880" s="51"/>
      <c r="F1880" s="33"/>
      <c r="H1880" s="33"/>
      <c r="I1880" s="51"/>
      <c r="J1880" s="33"/>
      <c r="K1880" s="51"/>
      <c r="L1880" s="33"/>
      <c r="U1880" s="56"/>
      <c r="V1880" s="44"/>
      <c r="Y1880" s="51"/>
      <c r="Z1880" s="51"/>
      <c r="AN1880" s="33"/>
      <c r="AO1880" s="51"/>
      <c r="AR1880" s="51"/>
      <c r="AS1880" s="54"/>
      <c r="AT1880" s="54"/>
      <c r="AU1880" s="54"/>
      <c r="AV1880" s="34"/>
      <c r="AW1880" s="34"/>
      <c r="AX1880" s="34"/>
      <c r="AY1880" s="34"/>
      <c r="AZ1880" s="34"/>
      <c r="BA1880" s="44"/>
      <c r="BB1880" s="34"/>
      <c r="BC1880" s="34"/>
    </row>
    <row r="1881" spans="1:55" x14ac:dyDescent="0.35" ht="15.0" customHeight="true">
      <c r="A1881" s="51"/>
      <c r="F1881" s="33"/>
      <c r="H1881" s="33"/>
      <c r="I1881" s="51"/>
      <c r="J1881" s="33"/>
      <c r="K1881" s="51"/>
      <c r="L1881" s="33"/>
      <c r="U1881" s="56"/>
      <c r="V1881" s="44"/>
      <c r="Y1881" s="51"/>
      <c r="Z1881" s="51"/>
      <c r="AN1881" s="33"/>
      <c r="AO1881" s="51"/>
      <c r="AR1881" s="51"/>
      <c r="AS1881" s="54"/>
      <c r="AT1881" s="54"/>
      <c r="AU1881" s="54"/>
      <c r="AV1881" s="34"/>
      <c r="AW1881" s="34"/>
      <c r="AX1881" s="34"/>
      <c r="AY1881" s="34"/>
      <c r="AZ1881" s="34"/>
      <c r="BA1881" s="44"/>
      <c r="BB1881" s="34"/>
      <c r="BC1881" s="34"/>
    </row>
    <row r="1882" spans="1:55" x14ac:dyDescent="0.35" ht="15.0" customHeight="true">
      <c r="A1882" s="51"/>
      <c r="F1882" s="33"/>
      <c r="H1882" s="33"/>
      <c r="I1882" s="51"/>
      <c r="J1882" s="33"/>
      <c r="K1882" s="51"/>
      <c r="L1882" s="33"/>
      <c r="U1882" s="56"/>
      <c r="V1882" s="44"/>
      <c r="Y1882" s="51"/>
      <c r="Z1882" s="51"/>
      <c r="AN1882" s="33"/>
      <c r="AO1882" s="51"/>
      <c r="AR1882" s="51"/>
      <c r="AS1882" s="54"/>
      <c r="AT1882" s="54"/>
      <c r="AU1882" s="54"/>
      <c r="AV1882" s="34"/>
      <c r="AW1882" s="34"/>
      <c r="AX1882" s="34"/>
      <c r="AY1882" s="34"/>
      <c r="AZ1882" s="34"/>
      <c r="BA1882" s="44"/>
      <c r="BB1882" s="34"/>
      <c r="BC1882" s="34"/>
    </row>
    <row r="1883" spans="1:55" x14ac:dyDescent="0.35" ht="15.0" customHeight="true">
      <c r="A1883" s="51"/>
      <c r="F1883" s="33"/>
      <c r="H1883" s="33"/>
      <c r="I1883" s="51"/>
      <c r="J1883" s="33"/>
      <c r="K1883" s="51"/>
      <c r="L1883" s="33"/>
      <c r="U1883" s="56"/>
      <c r="V1883" s="44"/>
      <c r="Y1883" s="51"/>
      <c r="Z1883" s="51"/>
      <c r="AN1883" s="33"/>
      <c r="AO1883" s="51"/>
      <c r="AR1883" s="51"/>
      <c r="AS1883" s="54"/>
      <c r="AT1883" s="54"/>
      <c r="AU1883" s="54"/>
      <c r="AV1883" s="34"/>
      <c r="AW1883" s="34"/>
      <c r="AX1883" s="34"/>
      <c r="AY1883" s="34"/>
      <c r="AZ1883" s="34"/>
      <c r="BA1883" s="44"/>
      <c r="BB1883" s="34"/>
      <c r="BC1883" s="34"/>
    </row>
    <row r="1884" spans="1:55" x14ac:dyDescent="0.35" ht="15.0" customHeight="true">
      <c r="A1884" s="51"/>
      <c r="F1884" s="33"/>
      <c r="H1884" s="33"/>
      <c r="I1884" s="51"/>
      <c r="J1884" s="33"/>
      <c r="K1884" s="51"/>
      <c r="L1884" s="33"/>
      <c r="U1884" s="56"/>
      <c r="V1884" s="44"/>
      <c r="Y1884" s="51"/>
      <c r="Z1884" s="51"/>
      <c r="AN1884" s="33"/>
      <c r="AO1884" s="51"/>
      <c r="AR1884" s="51"/>
      <c r="AS1884" s="54"/>
      <c r="AT1884" s="54"/>
      <c r="AU1884" s="54"/>
      <c r="AV1884" s="34"/>
      <c r="AW1884" s="34"/>
      <c r="AX1884" s="34"/>
      <c r="AY1884" s="34"/>
      <c r="AZ1884" s="34"/>
      <c r="BA1884" s="44"/>
      <c r="BB1884" s="34"/>
      <c r="BC1884" s="34"/>
    </row>
    <row r="1885" spans="1:55" x14ac:dyDescent="0.35" ht="15.0" customHeight="true">
      <c r="A1885" s="51"/>
      <c r="F1885" s="33"/>
      <c r="H1885" s="33"/>
      <c r="I1885" s="51"/>
      <c r="J1885" s="33"/>
      <c r="K1885" s="51"/>
      <c r="L1885" s="33"/>
      <c r="U1885" s="56"/>
      <c r="V1885" s="44"/>
      <c r="Y1885" s="51"/>
      <c r="Z1885" s="51"/>
      <c r="AN1885" s="33"/>
      <c r="AO1885" s="51"/>
      <c r="AR1885" s="51"/>
      <c r="AS1885" s="54"/>
      <c r="AT1885" s="54"/>
      <c r="AU1885" s="54"/>
      <c r="AV1885" s="34"/>
      <c r="AW1885" s="34"/>
      <c r="AX1885" s="34"/>
      <c r="AY1885" s="34"/>
      <c r="AZ1885" s="34"/>
      <c r="BA1885" s="44"/>
      <c r="BB1885" s="34"/>
      <c r="BC1885" s="34"/>
    </row>
    <row r="1886" spans="1:55" x14ac:dyDescent="0.35" ht="15.0" customHeight="true">
      <c r="A1886" s="51"/>
      <c r="F1886" s="33"/>
      <c r="H1886" s="33"/>
      <c r="I1886" s="51"/>
      <c r="J1886" s="33"/>
      <c r="K1886" s="51"/>
      <c r="L1886" s="33"/>
      <c r="U1886" s="56"/>
      <c r="V1886" s="44"/>
      <c r="Y1886" s="51"/>
      <c r="Z1886" s="51"/>
      <c r="AN1886" s="33"/>
      <c r="AO1886" s="51"/>
      <c r="AR1886" s="51"/>
      <c r="AS1886" s="54"/>
      <c r="AT1886" s="54"/>
      <c r="AU1886" s="54"/>
      <c r="AV1886" s="34"/>
      <c r="AW1886" s="34"/>
      <c r="AX1886" s="34"/>
      <c r="AY1886" s="34"/>
      <c r="AZ1886" s="34"/>
      <c r="BA1886" s="44"/>
      <c r="BB1886" s="34"/>
      <c r="BC1886" s="34"/>
    </row>
    <row r="1887" spans="1:55" x14ac:dyDescent="0.35" ht="15.0" customHeight="true">
      <c r="A1887" s="51"/>
      <c r="F1887" s="33"/>
      <c r="H1887" s="33"/>
      <c r="I1887" s="51"/>
      <c r="J1887" s="33"/>
      <c r="K1887" s="51"/>
      <c r="L1887" s="33"/>
      <c r="U1887" s="56"/>
      <c r="V1887" s="44"/>
      <c r="Y1887" s="51"/>
      <c r="Z1887" s="51"/>
      <c r="AN1887" s="33"/>
      <c r="AO1887" s="51"/>
      <c r="AR1887" s="51"/>
      <c r="AS1887" s="54"/>
      <c r="AT1887" s="54"/>
      <c r="AU1887" s="54"/>
      <c r="AV1887" s="34"/>
      <c r="AW1887" s="34"/>
      <c r="AX1887" s="34"/>
      <c r="AY1887" s="34"/>
      <c r="AZ1887" s="34"/>
      <c r="BA1887" s="44"/>
      <c r="BB1887" s="34"/>
      <c r="BC1887" s="34"/>
    </row>
    <row r="1888" spans="1:55" x14ac:dyDescent="0.35" ht="15.0" customHeight="true">
      <c r="A1888" s="51"/>
      <c r="F1888" s="33"/>
      <c r="H1888" s="33"/>
      <c r="I1888" s="51"/>
      <c r="J1888" s="33"/>
      <c r="K1888" s="51"/>
      <c r="L1888" s="33"/>
      <c r="U1888" s="56"/>
      <c r="V1888" s="44"/>
      <c r="Y1888" s="51"/>
      <c r="Z1888" s="51"/>
      <c r="AN1888" s="33"/>
      <c r="AO1888" s="51"/>
      <c r="AR1888" s="51"/>
      <c r="AS1888" s="54"/>
      <c r="AT1888" s="54"/>
      <c r="AU1888" s="54"/>
      <c r="AV1888" s="34"/>
      <c r="AW1888" s="34"/>
      <c r="AX1888" s="34"/>
      <c r="AY1888" s="34"/>
      <c r="AZ1888" s="34"/>
      <c r="BA1888" s="44"/>
      <c r="BB1888" s="34"/>
      <c r="BC1888" s="34"/>
    </row>
    <row r="1889" spans="1:55" x14ac:dyDescent="0.35" ht="15.0" customHeight="true">
      <c r="A1889" s="51"/>
      <c r="F1889" s="33"/>
      <c r="H1889" s="33"/>
      <c r="I1889" s="51"/>
      <c r="J1889" s="33"/>
      <c r="K1889" s="51"/>
      <c r="L1889" s="33"/>
      <c r="U1889" s="56"/>
      <c r="V1889" s="44"/>
      <c r="Y1889" s="51"/>
      <c r="Z1889" s="51"/>
      <c r="AN1889" s="33"/>
      <c r="AO1889" s="51"/>
      <c r="AR1889" s="51"/>
      <c r="AS1889" s="54"/>
      <c r="AT1889" s="54"/>
      <c r="AU1889" s="54"/>
      <c r="AV1889" s="34"/>
      <c r="AW1889" s="34"/>
      <c r="AX1889" s="34"/>
      <c r="AY1889" s="34"/>
      <c r="AZ1889" s="34"/>
      <c r="BA1889" s="44"/>
      <c r="BB1889" s="34"/>
      <c r="BC1889" s="34"/>
    </row>
    <row r="1890" spans="1:55" x14ac:dyDescent="0.35" ht="15.0" customHeight="true">
      <c r="A1890" s="51"/>
      <c r="F1890" s="33"/>
      <c r="H1890" s="33"/>
      <c r="I1890" s="51"/>
      <c r="J1890" s="33"/>
      <c r="K1890" s="51"/>
      <c r="L1890" s="33"/>
      <c r="U1890" s="56"/>
      <c r="V1890" s="44"/>
      <c r="Y1890" s="51"/>
      <c r="Z1890" s="51"/>
      <c r="AN1890" s="33"/>
      <c r="AO1890" s="51"/>
      <c r="AR1890" s="51"/>
      <c r="AS1890" s="54"/>
      <c r="AT1890" s="54"/>
      <c r="AU1890" s="54"/>
      <c r="AV1890" s="34"/>
      <c r="AW1890" s="34"/>
      <c r="AX1890" s="34"/>
      <c r="AY1890" s="34"/>
      <c r="AZ1890" s="34"/>
      <c r="BA1890" s="44"/>
      <c r="BB1890" s="34"/>
      <c r="BC1890" s="34"/>
    </row>
    <row r="1891" spans="1:55" x14ac:dyDescent="0.35" ht="15.0" customHeight="true">
      <c r="A1891" s="51"/>
      <c r="F1891" s="33"/>
      <c r="H1891" s="33"/>
      <c r="I1891" s="51"/>
      <c r="J1891" s="33"/>
      <c r="K1891" s="51"/>
      <c r="L1891" s="33"/>
      <c r="U1891" s="56"/>
      <c r="V1891" s="44"/>
      <c r="Y1891" s="51"/>
      <c r="Z1891" s="51"/>
      <c r="AN1891" s="33"/>
      <c r="AO1891" s="51"/>
      <c r="AR1891" s="51"/>
      <c r="AS1891" s="54"/>
      <c r="AT1891" s="54"/>
      <c r="AU1891" s="54"/>
      <c r="AV1891" s="34"/>
      <c r="AW1891" s="34"/>
      <c r="AX1891" s="34"/>
      <c r="AY1891" s="34"/>
      <c r="AZ1891" s="34"/>
      <c r="BA1891" s="44"/>
      <c r="BB1891" s="34"/>
      <c r="BC1891" s="34"/>
    </row>
    <row r="1892" spans="1:55" x14ac:dyDescent="0.35" ht="15.0" customHeight="true">
      <c r="A1892" s="51"/>
      <c r="F1892" s="33"/>
      <c r="H1892" s="33"/>
      <c r="I1892" s="51"/>
      <c r="J1892" s="33"/>
      <c r="K1892" s="51"/>
      <c r="L1892" s="33"/>
      <c r="U1892" s="56"/>
      <c r="V1892" s="44"/>
      <c r="Y1892" s="51"/>
      <c r="Z1892" s="51"/>
      <c r="AN1892" s="33"/>
      <c r="AO1892" s="51"/>
      <c r="AR1892" s="51"/>
      <c r="AS1892" s="54"/>
      <c r="AT1892" s="54"/>
      <c r="AU1892" s="54"/>
      <c r="AV1892" s="34"/>
      <c r="AW1892" s="34"/>
      <c r="AX1892" s="34"/>
      <c r="AY1892" s="34"/>
      <c r="AZ1892" s="34"/>
      <c r="BA1892" s="44"/>
      <c r="BB1892" s="34"/>
      <c r="BC1892" s="34"/>
    </row>
    <row r="1893" spans="1:55" x14ac:dyDescent="0.35" ht="15.0" customHeight="true">
      <c r="A1893" s="51"/>
      <c r="F1893" s="33"/>
      <c r="H1893" s="33"/>
      <c r="I1893" s="51"/>
      <c r="J1893" s="33"/>
      <c r="K1893" s="51"/>
      <c r="L1893" s="33"/>
      <c r="U1893" s="56"/>
      <c r="V1893" s="44"/>
      <c r="Y1893" s="51"/>
      <c r="Z1893" s="51"/>
      <c r="AN1893" s="33"/>
      <c r="AO1893" s="51"/>
      <c r="AR1893" s="51"/>
      <c r="AS1893" s="54"/>
      <c r="AT1893" s="54"/>
      <c r="AU1893" s="54"/>
      <c r="AV1893" s="34"/>
      <c r="AW1893" s="34"/>
      <c r="AX1893" s="34"/>
      <c r="AY1893" s="34"/>
      <c r="AZ1893" s="34"/>
      <c r="BA1893" s="44"/>
      <c r="BB1893" s="34"/>
      <c r="BC1893" s="34"/>
    </row>
    <row r="1894" spans="1:55" x14ac:dyDescent="0.35" ht="15.0" customHeight="true">
      <c r="A1894" s="51"/>
      <c r="F1894" s="33"/>
      <c r="H1894" s="33"/>
      <c r="I1894" s="51"/>
      <c r="J1894" s="33"/>
      <c r="K1894" s="51"/>
      <c r="L1894" s="33"/>
      <c r="U1894" s="56"/>
      <c r="V1894" s="44"/>
      <c r="Y1894" s="51"/>
      <c r="Z1894" s="51"/>
      <c r="AN1894" s="33"/>
      <c r="AO1894" s="51"/>
      <c r="AR1894" s="51"/>
      <c r="AS1894" s="54"/>
      <c r="AT1894" s="54"/>
      <c r="AU1894" s="54"/>
      <c r="AV1894" s="34"/>
      <c r="AW1894" s="34"/>
      <c r="AX1894" s="34"/>
      <c r="AY1894" s="34"/>
      <c r="AZ1894" s="34"/>
      <c r="BA1894" s="44"/>
      <c r="BB1894" s="34"/>
      <c r="BC1894" s="34"/>
    </row>
    <row r="1895" spans="1:55" x14ac:dyDescent="0.35" ht="15.0" customHeight="true">
      <c r="A1895" s="51"/>
      <c r="F1895" s="33"/>
      <c r="H1895" s="33"/>
      <c r="I1895" s="51"/>
      <c r="J1895" s="33"/>
      <c r="K1895" s="51"/>
      <c r="L1895" s="33"/>
      <c r="U1895" s="56"/>
      <c r="V1895" s="44"/>
      <c r="Y1895" s="51"/>
      <c r="Z1895" s="51"/>
      <c r="AN1895" s="33"/>
      <c r="AO1895" s="51"/>
      <c r="AR1895" s="51"/>
      <c r="AS1895" s="54"/>
      <c r="AT1895" s="54"/>
      <c r="AU1895" s="54"/>
      <c r="AV1895" s="34"/>
      <c r="AW1895" s="34"/>
      <c r="AX1895" s="34"/>
      <c r="AY1895" s="34"/>
      <c r="AZ1895" s="34"/>
      <c r="BA1895" s="44"/>
      <c r="BB1895" s="34"/>
      <c r="BC1895" s="34"/>
    </row>
    <row r="1896" spans="1:55" x14ac:dyDescent="0.35" ht="15.0" customHeight="true">
      <c r="A1896" s="51"/>
      <c r="F1896" s="33"/>
      <c r="H1896" s="33"/>
      <c r="I1896" s="51"/>
      <c r="J1896" s="33"/>
      <c r="K1896" s="51"/>
      <c r="L1896" s="33"/>
      <c r="U1896" s="56"/>
      <c r="V1896" s="44"/>
      <c r="Y1896" s="51"/>
      <c r="Z1896" s="51"/>
      <c r="AN1896" s="33"/>
      <c r="AO1896" s="51"/>
      <c r="AR1896" s="51"/>
      <c r="AS1896" s="54"/>
      <c r="AT1896" s="54"/>
      <c r="AU1896" s="54"/>
      <c r="AV1896" s="34"/>
      <c r="AW1896" s="34"/>
      <c r="AX1896" s="34"/>
      <c r="AY1896" s="34"/>
      <c r="AZ1896" s="34"/>
      <c r="BA1896" s="44"/>
      <c r="BB1896" s="34"/>
      <c r="BC1896" s="34"/>
    </row>
    <row r="1897" spans="1:55" x14ac:dyDescent="0.35" ht="15.0" customHeight="true">
      <c r="A1897" s="51"/>
      <c r="F1897" s="33"/>
      <c r="H1897" s="33"/>
      <c r="I1897" s="51"/>
      <c r="J1897" s="33"/>
      <c r="K1897" s="51"/>
      <c r="L1897" s="33"/>
      <c r="U1897" s="56"/>
      <c r="V1897" s="44"/>
      <c r="Y1897" s="51"/>
      <c r="Z1897" s="51"/>
      <c r="AN1897" s="33"/>
      <c r="AO1897" s="51"/>
      <c r="AR1897" s="51"/>
      <c r="AS1897" s="54"/>
      <c r="AT1897" s="54"/>
      <c r="AU1897" s="54"/>
      <c r="AV1897" s="34"/>
      <c r="AW1897" s="34"/>
      <c r="AX1897" s="34"/>
      <c r="AY1897" s="34"/>
      <c r="AZ1897" s="34"/>
      <c r="BA1897" s="44"/>
      <c r="BB1897" s="34"/>
      <c r="BC1897" s="34"/>
    </row>
    <row r="1898" spans="1:55" x14ac:dyDescent="0.35" ht="15.0" customHeight="true">
      <c r="A1898" s="51"/>
      <c r="F1898" s="33"/>
      <c r="H1898" s="33"/>
      <c r="I1898" s="51"/>
      <c r="J1898" s="33"/>
      <c r="K1898" s="51"/>
      <c r="L1898" s="33"/>
      <c r="U1898" s="56"/>
      <c r="V1898" s="44"/>
      <c r="Y1898" s="51"/>
      <c r="Z1898" s="51"/>
      <c r="AN1898" s="33"/>
      <c r="AO1898" s="51"/>
      <c r="AR1898" s="51"/>
      <c r="AS1898" s="54"/>
      <c r="AT1898" s="54"/>
      <c r="AU1898" s="54"/>
      <c r="AV1898" s="34"/>
      <c r="AW1898" s="34"/>
      <c r="AX1898" s="34"/>
      <c r="AY1898" s="34"/>
      <c r="AZ1898" s="34"/>
      <c r="BA1898" s="44"/>
      <c r="BB1898" s="34"/>
      <c r="BC1898" s="34"/>
    </row>
    <row r="1899" spans="1:55" x14ac:dyDescent="0.35" ht="15.0" customHeight="true">
      <c r="A1899" s="51"/>
      <c r="F1899" s="33"/>
      <c r="H1899" s="33"/>
      <c r="I1899" s="51"/>
      <c r="J1899" s="33"/>
      <c r="K1899" s="51"/>
      <c r="L1899" s="33"/>
      <c r="U1899" s="56"/>
      <c r="V1899" s="44"/>
      <c r="Y1899" s="51"/>
      <c r="Z1899" s="51"/>
      <c r="AN1899" s="33"/>
      <c r="AO1899" s="51"/>
      <c r="AR1899" s="51"/>
      <c r="AS1899" s="54"/>
      <c r="AT1899" s="54"/>
      <c r="AU1899" s="54"/>
      <c r="AV1899" s="34"/>
      <c r="AW1899" s="34"/>
      <c r="AX1899" s="34"/>
      <c r="AY1899" s="34"/>
      <c r="AZ1899" s="34"/>
      <c r="BA1899" s="44"/>
      <c r="BB1899" s="34"/>
      <c r="BC1899" s="34"/>
    </row>
    <row r="1900" spans="1:55" x14ac:dyDescent="0.35" ht="15.0" customHeight="true">
      <c r="A1900" s="51"/>
      <c r="F1900" s="33"/>
      <c r="H1900" s="33"/>
      <c r="I1900" s="51"/>
      <c r="J1900" s="33"/>
      <c r="K1900" s="51"/>
      <c r="L1900" s="33"/>
      <c r="U1900" s="56"/>
      <c r="V1900" s="44"/>
      <c r="Y1900" s="51"/>
      <c r="Z1900" s="51"/>
      <c r="AN1900" s="33"/>
      <c r="AO1900" s="51"/>
      <c r="AR1900" s="51"/>
      <c r="AS1900" s="54"/>
      <c r="AT1900" s="54"/>
      <c r="AU1900" s="54"/>
      <c r="AV1900" s="34"/>
      <c r="AW1900" s="34"/>
      <c r="AX1900" s="34"/>
      <c r="AY1900" s="34"/>
      <c r="AZ1900" s="34"/>
      <c r="BA1900" s="44"/>
      <c r="BB1900" s="34"/>
      <c r="BC1900" s="34"/>
    </row>
    <row r="1901" spans="1:55" x14ac:dyDescent="0.35" ht="15.0" customHeight="true">
      <c r="A1901" s="51"/>
      <c r="F1901" s="33"/>
      <c r="H1901" s="33"/>
      <c r="I1901" s="51"/>
      <c r="J1901" s="33"/>
      <c r="K1901" s="51"/>
      <c r="L1901" s="33"/>
      <c r="U1901" s="56"/>
      <c r="V1901" s="44"/>
      <c r="Y1901" s="51"/>
      <c r="Z1901" s="51"/>
      <c r="AN1901" s="33"/>
      <c r="AO1901" s="51"/>
      <c r="AR1901" s="51"/>
      <c r="AS1901" s="54"/>
      <c r="AT1901" s="54"/>
      <c r="AU1901" s="54"/>
      <c r="AV1901" s="34"/>
      <c r="AW1901" s="34"/>
      <c r="AX1901" s="34"/>
      <c r="AY1901" s="34"/>
      <c r="AZ1901" s="34"/>
      <c r="BA1901" s="44"/>
      <c r="BB1901" s="34"/>
      <c r="BC1901" s="34"/>
    </row>
    <row r="1902" spans="1:55" x14ac:dyDescent="0.35" ht="15.0" customHeight="true">
      <c r="A1902" s="51"/>
      <c r="F1902" s="33"/>
      <c r="H1902" s="33"/>
      <c r="I1902" s="51"/>
      <c r="J1902" s="33"/>
      <c r="K1902" s="51"/>
      <c r="L1902" s="33"/>
      <c r="U1902" s="56"/>
      <c r="V1902" s="44"/>
      <c r="Y1902" s="51"/>
      <c r="Z1902" s="51"/>
      <c r="AN1902" s="33"/>
      <c r="AO1902" s="51"/>
      <c r="AR1902" s="51"/>
      <c r="AS1902" s="54"/>
      <c r="AT1902" s="54"/>
      <c r="AU1902" s="54"/>
      <c r="AV1902" s="34"/>
      <c r="AW1902" s="34"/>
      <c r="AX1902" s="34"/>
      <c r="AY1902" s="34"/>
      <c r="AZ1902" s="34"/>
      <c r="BA1902" s="44"/>
      <c r="BB1902" s="34"/>
      <c r="BC1902" s="34"/>
    </row>
    <row r="1903" spans="1:55" x14ac:dyDescent="0.35" ht="15.0" customHeight="true">
      <c r="A1903" s="51"/>
      <c r="F1903" s="33"/>
      <c r="H1903" s="33"/>
      <c r="I1903" s="51"/>
      <c r="J1903" s="33"/>
      <c r="K1903" s="51"/>
      <c r="L1903" s="33"/>
      <c r="U1903" s="56"/>
      <c r="V1903" s="44"/>
      <c r="Y1903" s="51"/>
      <c r="Z1903" s="51"/>
      <c r="AN1903" s="33"/>
      <c r="AO1903" s="51"/>
      <c r="AR1903" s="51"/>
      <c r="AS1903" s="54"/>
      <c r="AT1903" s="54"/>
      <c r="AU1903" s="54"/>
      <c r="AV1903" s="34"/>
      <c r="AW1903" s="34"/>
      <c r="AX1903" s="34"/>
      <c r="AY1903" s="34"/>
      <c r="AZ1903" s="34"/>
      <c r="BA1903" s="44"/>
      <c r="BB1903" s="34"/>
      <c r="BC1903" s="34"/>
    </row>
    <row r="1904" spans="1:55" x14ac:dyDescent="0.35" ht="15.0" customHeight="true">
      <c r="A1904" s="51"/>
      <c r="F1904" s="33"/>
      <c r="H1904" s="33"/>
      <c r="I1904" s="51"/>
      <c r="J1904" s="33"/>
      <c r="K1904" s="51"/>
      <c r="L1904" s="33"/>
      <c r="U1904" s="56"/>
      <c r="V1904" s="44"/>
      <c r="Y1904" s="51"/>
      <c r="Z1904" s="51"/>
      <c r="AN1904" s="33"/>
      <c r="AO1904" s="51"/>
      <c r="AR1904" s="51"/>
      <c r="AS1904" s="54"/>
      <c r="AT1904" s="54"/>
      <c r="AU1904" s="54"/>
      <c r="AV1904" s="34"/>
      <c r="AW1904" s="34"/>
      <c r="AX1904" s="34"/>
      <c r="AY1904" s="34"/>
      <c r="AZ1904" s="34"/>
      <c r="BA1904" s="44"/>
      <c r="BB1904" s="34"/>
      <c r="BC1904" s="34"/>
    </row>
    <row r="1905" spans="1:55" x14ac:dyDescent="0.35" ht="15.0" customHeight="true">
      <c r="A1905" s="51"/>
      <c r="F1905" s="33"/>
      <c r="H1905" s="33"/>
      <c r="I1905" s="51"/>
      <c r="J1905" s="33"/>
      <c r="K1905" s="51"/>
      <c r="L1905" s="33"/>
      <c r="U1905" s="56"/>
      <c r="V1905" s="44"/>
      <c r="Y1905" s="51"/>
      <c r="Z1905" s="51"/>
      <c r="AN1905" s="33"/>
      <c r="AO1905" s="51"/>
      <c r="AR1905" s="51"/>
      <c r="AS1905" s="54"/>
      <c r="AT1905" s="54"/>
      <c r="AU1905" s="54"/>
      <c r="AV1905" s="34"/>
      <c r="AW1905" s="34"/>
      <c r="AX1905" s="34"/>
      <c r="AY1905" s="34"/>
      <c r="AZ1905" s="34"/>
      <c r="BA1905" s="44"/>
      <c r="BB1905" s="34"/>
      <c r="BC1905" s="34"/>
    </row>
    <row r="1906" spans="1:55" x14ac:dyDescent="0.35" ht="15.0" customHeight="true">
      <c r="A1906" s="51"/>
      <c r="F1906" s="33"/>
      <c r="H1906" s="33"/>
      <c r="I1906" s="51"/>
      <c r="J1906" s="33"/>
      <c r="K1906" s="51"/>
      <c r="L1906" s="33"/>
      <c r="U1906" s="56"/>
      <c r="V1906" s="44"/>
      <c r="Y1906" s="51"/>
      <c r="Z1906" s="51"/>
      <c r="AN1906" s="33"/>
      <c r="AO1906" s="51"/>
      <c r="AR1906" s="51"/>
      <c r="AS1906" s="54"/>
      <c r="AT1906" s="54"/>
      <c r="AU1906" s="54"/>
      <c r="AV1906" s="34"/>
      <c r="AW1906" s="34"/>
      <c r="AX1906" s="34"/>
      <c r="AY1906" s="34"/>
      <c r="AZ1906" s="34"/>
      <c r="BA1906" s="44"/>
      <c r="BB1906" s="34"/>
      <c r="BC1906" s="34"/>
    </row>
    <row r="1907" spans="1:55" x14ac:dyDescent="0.35" ht="15.0" customHeight="true">
      <c r="A1907" s="51"/>
      <c r="F1907" s="33"/>
      <c r="H1907" s="33"/>
      <c r="I1907" s="51"/>
      <c r="J1907" s="33"/>
      <c r="K1907" s="51"/>
      <c r="L1907" s="33"/>
      <c r="U1907" s="56"/>
      <c r="V1907" s="44"/>
      <c r="Y1907" s="51"/>
      <c r="Z1907" s="51"/>
      <c r="AN1907" s="33"/>
      <c r="AO1907" s="51"/>
      <c r="AR1907" s="51"/>
      <c r="AS1907" s="54"/>
      <c r="AT1907" s="54"/>
      <c r="AU1907" s="54"/>
      <c r="AV1907" s="34"/>
      <c r="AW1907" s="34"/>
      <c r="AX1907" s="34"/>
      <c r="AY1907" s="34"/>
      <c r="AZ1907" s="34"/>
      <c r="BA1907" s="44"/>
      <c r="BB1907" s="34"/>
      <c r="BC1907" s="34"/>
    </row>
    <row r="1908" spans="1:55" x14ac:dyDescent="0.35" ht="15.0" customHeight="true">
      <c r="A1908" s="51"/>
      <c r="F1908" s="33"/>
      <c r="H1908" s="33"/>
      <c r="I1908" s="51"/>
      <c r="J1908" s="33"/>
      <c r="K1908" s="51"/>
      <c r="L1908" s="33"/>
      <c r="U1908" s="56"/>
      <c r="V1908" s="44"/>
      <c r="Y1908" s="51"/>
      <c r="Z1908" s="51"/>
      <c r="AN1908" s="33"/>
      <c r="AO1908" s="51"/>
      <c r="AR1908" s="51"/>
      <c r="AS1908" s="54"/>
      <c r="AT1908" s="54"/>
      <c r="AU1908" s="54"/>
      <c r="AV1908" s="34"/>
      <c r="AW1908" s="34"/>
      <c r="AX1908" s="34"/>
      <c r="AY1908" s="34"/>
      <c r="AZ1908" s="34"/>
      <c r="BA1908" s="44"/>
      <c r="BB1908" s="34"/>
      <c r="BC1908" s="34"/>
    </row>
    <row r="1909" spans="1:55" x14ac:dyDescent="0.35" ht="15.0" customHeight="true">
      <c r="A1909" s="51"/>
      <c r="F1909" s="33"/>
      <c r="H1909" s="33"/>
      <c r="I1909" s="51"/>
      <c r="J1909" s="33"/>
      <c r="K1909" s="51"/>
      <c r="L1909" s="33"/>
      <c r="U1909" s="56"/>
      <c r="V1909" s="44"/>
      <c r="Y1909" s="51"/>
      <c r="Z1909" s="51"/>
      <c r="AN1909" s="33"/>
      <c r="AO1909" s="51"/>
      <c r="AR1909" s="51"/>
      <c r="AS1909" s="54"/>
      <c r="AT1909" s="54"/>
      <c r="AU1909" s="54"/>
      <c r="AV1909" s="34"/>
      <c r="AW1909" s="34"/>
      <c r="AX1909" s="34"/>
      <c r="AY1909" s="34"/>
      <c r="AZ1909" s="34"/>
      <c r="BA1909" s="44"/>
      <c r="BB1909" s="34"/>
      <c r="BC1909" s="34"/>
    </row>
    <row r="1910" spans="1:55" x14ac:dyDescent="0.35" ht="15.0" customHeight="true">
      <c r="A1910" s="51"/>
      <c r="F1910" s="33"/>
      <c r="H1910" s="33"/>
      <c r="I1910" s="51"/>
      <c r="J1910" s="33"/>
      <c r="K1910" s="51"/>
      <c r="L1910" s="33"/>
      <c r="U1910" s="56"/>
      <c r="V1910" s="44"/>
      <c r="Y1910" s="51"/>
      <c r="Z1910" s="51"/>
      <c r="AN1910" s="33"/>
      <c r="AO1910" s="51"/>
      <c r="AR1910" s="51"/>
      <c r="AS1910" s="54"/>
      <c r="AT1910" s="54"/>
      <c r="AU1910" s="54"/>
      <c r="AV1910" s="34"/>
      <c r="AW1910" s="34"/>
      <c r="AX1910" s="34"/>
      <c r="AY1910" s="34"/>
      <c r="AZ1910" s="34"/>
      <c r="BA1910" s="44"/>
      <c r="BB1910" s="34"/>
      <c r="BC1910" s="34"/>
    </row>
    <row r="1911" spans="1:55" x14ac:dyDescent="0.35" ht="15.0" customHeight="true">
      <c r="A1911" s="51"/>
      <c r="F1911" s="33"/>
      <c r="H1911" s="33"/>
      <c r="I1911" s="51"/>
      <c r="J1911" s="33"/>
      <c r="K1911" s="51"/>
      <c r="L1911" s="33"/>
      <c r="U1911" s="56"/>
      <c r="V1911" s="44"/>
      <c r="Y1911" s="51"/>
      <c r="Z1911" s="51"/>
      <c r="AN1911" s="33"/>
      <c r="AO1911" s="51"/>
      <c r="AR1911" s="51"/>
      <c r="AS1911" s="54"/>
      <c r="AT1911" s="54"/>
      <c r="AU1911" s="54"/>
      <c r="AV1911" s="34"/>
      <c r="AW1911" s="34"/>
      <c r="AX1911" s="34"/>
      <c r="AY1911" s="34"/>
      <c r="AZ1911" s="34"/>
      <c r="BA1911" s="44"/>
      <c r="BB1911" s="34"/>
      <c r="BC1911" s="34"/>
    </row>
    <row r="1912" spans="1:55" x14ac:dyDescent="0.35" ht="15.0" customHeight="true">
      <c r="A1912" s="51"/>
      <c r="F1912" s="33"/>
      <c r="H1912" s="33"/>
      <c r="I1912" s="51"/>
      <c r="J1912" s="33"/>
      <c r="K1912" s="51"/>
      <c r="L1912" s="33"/>
      <c r="U1912" s="56"/>
      <c r="V1912" s="44"/>
      <c r="Y1912" s="51"/>
      <c r="Z1912" s="51"/>
      <c r="AN1912" s="33"/>
      <c r="AO1912" s="51"/>
      <c r="AR1912" s="51"/>
      <c r="AS1912" s="54"/>
      <c r="AT1912" s="54"/>
      <c r="AU1912" s="54"/>
      <c r="AV1912" s="34"/>
      <c r="AW1912" s="34"/>
      <c r="AX1912" s="34"/>
      <c r="AY1912" s="34"/>
      <c r="AZ1912" s="34"/>
      <c r="BA1912" s="44"/>
      <c r="BB1912" s="34"/>
      <c r="BC1912" s="34"/>
    </row>
    <row r="1913" spans="1:55" x14ac:dyDescent="0.35" ht="15.0" customHeight="true">
      <c r="A1913" s="51"/>
      <c r="F1913" s="33"/>
      <c r="H1913" s="33"/>
      <c r="I1913" s="51"/>
      <c r="J1913" s="33"/>
      <c r="K1913" s="51"/>
      <c r="L1913" s="33"/>
      <c r="U1913" s="56"/>
      <c r="V1913" s="44"/>
      <c r="Y1913" s="51"/>
      <c r="Z1913" s="51"/>
      <c r="AN1913" s="33"/>
      <c r="AO1913" s="51"/>
      <c r="AR1913" s="51"/>
      <c r="AS1913" s="54"/>
      <c r="AT1913" s="54"/>
      <c r="AU1913" s="54"/>
      <c r="AV1913" s="34"/>
      <c r="AW1913" s="34"/>
      <c r="AX1913" s="34"/>
      <c r="AY1913" s="34"/>
      <c r="AZ1913" s="34"/>
      <c r="BA1913" s="44"/>
      <c r="BB1913" s="34"/>
      <c r="BC1913" s="34"/>
    </row>
    <row r="1914" spans="1:55" x14ac:dyDescent="0.35" ht="15.0" customHeight="true">
      <c r="A1914" s="51"/>
      <c r="F1914" s="33"/>
      <c r="H1914" s="33"/>
      <c r="I1914" s="51"/>
      <c r="J1914" s="33"/>
      <c r="K1914" s="51"/>
      <c r="L1914" s="33"/>
      <c r="U1914" s="56"/>
      <c r="V1914" s="44"/>
      <c r="Y1914" s="51"/>
      <c r="Z1914" s="51"/>
      <c r="AN1914" s="33"/>
      <c r="AO1914" s="51"/>
      <c r="AR1914" s="51"/>
      <c r="AS1914" s="54"/>
      <c r="AT1914" s="54"/>
      <c r="AU1914" s="54"/>
      <c r="AV1914" s="34"/>
      <c r="AW1914" s="34"/>
      <c r="AX1914" s="34"/>
      <c r="AY1914" s="34"/>
      <c r="AZ1914" s="34"/>
      <c r="BA1914" s="44"/>
      <c r="BB1914" s="34"/>
      <c r="BC1914" s="34"/>
    </row>
    <row r="1915" spans="1:55" x14ac:dyDescent="0.35" ht="15.0" customHeight="true">
      <c r="A1915" s="51"/>
      <c r="F1915" s="33"/>
      <c r="H1915" s="33"/>
      <c r="I1915" s="51"/>
      <c r="J1915" s="33"/>
      <c r="K1915" s="51"/>
      <c r="L1915" s="33"/>
      <c r="U1915" s="56"/>
      <c r="V1915" s="44"/>
      <c r="Y1915" s="51"/>
      <c r="Z1915" s="51"/>
      <c r="AN1915" s="33"/>
      <c r="AO1915" s="51"/>
      <c r="AR1915" s="51"/>
      <c r="AS1915" s="54"/>
      <c r="AT1915" s="54"/>
      <c r="AU1915" s="54"/>
      <c r="AV1915" s="34"/>
      <c r="AW1915" s="34"/>
      <c r="AX1915" s="34"/>
      <c r="AY1915" s="34"/>
      <c r="AZ1915" s="34"/>
      <c r="BA1915" s="44"/>
      <c r="BB1915" s="34"/>
      <c r="BC1915" s="34"/>
    </row>
    <row r="1916" spans="1:55" x14ac:dyDescent="0.35" ht="15.0" customHeight="true">
      <c r="A1916" s="51"/>
      <c r="F1916" s="33"/>
      <c r="H1916" s="33"/>
      <c r="I1916" s="51"/>
      <c r="J1916" s="33"/>
      <c r="K1916" s="51"/>
      <c r="L1916" s="33"/>
      <c r="U1916" s="56"/>
      <c r="V1916" s="44"/>
      <c r="Y1916" s="51"/>
      <c r="Z1916" s="51"/>
      <c r="AN1916" s="33"/>
      <c r="AO1916" s="51"/>
      <c r="AR1916" s="51"/>
      <c r="AS1916" s="54"/>
      <c r="AT1916" s="54"/>
      <c r="AU1916" s="54"/>
      <c r="AV1916" s="34"/>
      <c r="AW1916" s="34"/>
      <c r="AX1916" s="34"/>
      <c r="AY1916" s="34"/>
      <c r="AZ1916" s="34"/>
      <c r="BA1916" s="44"/>
      <c r="BB1916" s="34"/>
      <c r="BC1916" s="34"/>
    </row>
    <row r="1917" spans="1:55" x14ac:dyDescent="0.35" ht="15.0" customHeight="true">
      <c r="A1917" s="51"/>
      <c r="F1917" s="33"/>
      <c r="H1917" s="33"/>
      <c r="I1917" s="51"/>
      <c r="J1917" s="33"/>
      <c r="K1917" s="51"/>
      <c r="L1917" s="33"/>
      <c r="U1917" s="56"/>
      <c r="V1917" s="44"/>
      <c r="Y1917" s="51"/>
      <c r="Z1917" s="51"/>
      <c r="AN1917" s="33"/>
      <c r="AO1917" s="51"/>
      <c r="AR1917" s="51"/>
      <c r="AS1917" s="54"/>
      <c r="AT1917" s="54"/>
      <c r="AU1917" s="54"/>
      <c r="AV1917" s="34"/>
      <c r="AW1917" s="34"/>
      <c r="AX1917" s="34"/>
      <c r="AY1917" s="34"/>
      <c r="AZ1917" s="34"/>
      <c r="BA1917" s="44"/>
      <c r="BB1917" s="34"/>
      <c r="BC1917" s="34"/>
    </row>
    <row r="1918" spans="1:55" x14ac:dyDescent="0.35" ht="15.0" customHeight="true">
      <c r="Y1918" s="51"/>
      <c r="Z1918" s="51"/>
      <c r="AR1918" s="54"/>
      <c r="AS1918" s="54"/>
      <c r="AT1918" s="54"/>
      <c r="AU1918" s="51"/>
    </row>
    <row r="1919" spans="1:55" x14ac:dyDescent="0.35" ht="15.0" customHeight="true">
      <c r="Y1919" s="51"/>
      <c r="Z1919" s="51"/>
      <c r="AR1919" s="54"/>
      <c r="AS1919" s="54"/>
      <c r="AT1919" s="54"/>
      <c r="AU1919" s="51"/>
    </row>
    <row r="1920" spans="1:55" x14ac:dyDescent="0.35" ht="15.0" customHeight="true">
      <c r="Y1920" s="51"/>
      <c r="Z1920" s="51"/>
      <c r="AR1920" s="54"/>
      <c r="AS1920" s="54"/>
      <c r="AT1920" s="54"/>
      <c r="AU1920" s="51"/>
    </row>
    <row r="1921" spans="1:55" x14ac:dyDescent="0.35" ht="15.0" customHeight="true">
      <c r="Y1921" s="51"/>
      <c r="Z1921" s="51"/>
      <c r="AR1921" s="54"/>
      <c r="AS1921" s="54"/>
      <c r="AT1921" s="54"/>
      <c r="AU1921" s="51"/>
    </row>
    <row r="1922" spans="25:47" x14ac:dyDescent="0.35" ht="15.0" customHeight="true">
      <c r="Y1922" s="51"/>
      <c r="Z1922" s="51"/>
      <c r="AR1922" s="51"/>
      <c r="AS1922" s="51"/>
      <c r="AT1922" s="51"/>
      <c r="AU1922" s="51"/>
    </row>
    <row r="1923" spans="25:47" x14ac:dyDescent="0.35" ht="15.0" customHeight="true">
      <c r="Y1923" s="51"/>
      <c r="Z1923" s="51"/>
      <c r="AR1923" s="51"/>
      <c r="AS1923" s="51"/>
      <c r="AT1923" s="51"/>
      <c r="AU1923" s="51"/>
    </row>
    <row r="1924" spans="25:47" x14ac:dyDescent="0.35" ht="15.0" customHeight="true">
      <c r="Y1924" s="51"/>
      <c r="Z1924" s="51"/>
      <c r="AR1924" s="51"/>
      <c r="AS1924" s="51"/>
      <c r="AT1924" s="51"/>
      <c r="AU1924" s="51"/>
    </row>
    <row r="1925" spans="25:47" x14ac:dyDescent="0.35" ht="15.0" customHeight="true">
      <c r="Y1925" s="51"/>
      <c r="Z1925" s="51"/>
      <c r="AR1925" s="51"/>
      <c r="AS1925" s="51"/>
      <c r="AT1925" s="51"/>
      <c r="AU1925" s="51"/>
    </row>
    <row r="1926" spans="25:47" x14ac:dyDescent="0.35" ht="15.0" customHeight="true">
      <c r="Y1926" s="51"/>
      <c r="Z1926" s="51"/>
      <c r="AR1926" s="51"/>
      <c r="AS1926" s="51"/>
      <c r="AT1926" s="51"/>
      <c r="AU1926" s="51"/>
    </row>
    <row r="1927" spans="25:47" x14ac:dyDescent="0.35" ht="15.0" customHeight="true">
      <c r="Y1927" s="51"/>
      <c r="Z1927" s="51"/>
      <c r="AR1927" s="51"/>
      <c r="AS1927" s="51"/>
      <c r="AT1927" s="51"/>
      <c r="AU1927" s="51"/>
    </row>
    <row r="1928" spans="25:47" x14ac:dyDescent="0.35" ht="15.0" customHeight="true">
      <c r="Y1928" s="51"/>
      <c r="Z1928" s="51"/>
      <c r="AR1928" s="51"/>
      <c r="AS1928" s="51"/>
      <c r="AT1928" s="51"/>
      <c r="AU1928" s="51"/>
    </row>
    <row r="1929" spans="25:47" x14ac:dyDescent="0.35" ht="15.0" customHeight="true">
      <c r="Y1929" s="51"/>
      <c r="Z1929" s="51"/>
      <c r="AR1929" s="51"/>
      <c r="AS1929" s="51"/>
      <c r="AT1929" s="51"/>
      <c r="AU1929" s="51"/>
    </row>
    <row r="1930" spans="25:47" x14ac:dyDescent="0.35" ht="15.0" customHeight="true">
      <c r="Y1930" s="51"/>
      <c r="Z1930" s="51"/>
      <c r="AR1930" s="51"/>
      <c r="AS1930" s="51"/>
      <c r="AT1930" s="51"/>
      <c r="AU1930" s="51"/>
    </row>
    <row r="1931" spans="25:47" x14ac:dyDescent="0.35" ht="15.0" customHeight="true">
      <c r="Y1931" s="51"/>
      <c r="Z1931" s="51"/>
      <c r="AR1931" s="51"/>
      <c r="AS1931" s="51"/>
      <c r="AT1931" s="51"/>
      <c r="AU1931" s="51"/>
    </row>
    <row r="1932" spans="25:47" x14ac:dyDescent="0.35" ht="15.0" customHeight="true">
      <c r="Y1932" s="51"/>
      <c r="Z1932" s="51"/>
      <c r="AR1932" s="51"/>
      <c r="AS1932" s="51"/>
      <c r="AT1932" s="51"/>
      <c r="AU1932" s="51"/>
    </row>
    <row r="1933" spans="25:47" x14ac:dyDescent="0.35" ht="15.0" customHeight="true">
      <c r="Y1933" s="51"/>
      <c r="Z1933" s="51"/>
      <c r="AR1933" s="51"/>
      <c r="AS1933" s="51"/>
      <c r="AT1933" s="51"/>
      <c r="AU1933" s="51"/>
    </row>
    <row r="1934" spans="25:47" x14ac:dyDescent="0.35" ht="15.0" customHeight="true">
      <c r="Y1934" s="51"/>
      <c r="Z1934" s="51"/>
      <c r="AR1934" s="51"/>
      <c r="AS1934" s="51"/>
      <c r="AT1934" s="51"/>
      <c r="AU1934" s="51"/>
    </row>
    <row r="1935" spans="25:47" x14ac:dyDescent="0.35" ht="15.0" customHeight="true">
      <c r="Y1935" s="51"/>
      <c r="Z1935" s="51"/>
      <c r="AR1935" s="51"/>
      <c r="AS1935" s="51"/>
      <c r="AT1935" s="51"/>
      <c r="AU1935" s="51"/>
    </row>
    <row r="1936" spans="25:47" x14ac:dyDescent="0.35" ht="15.0" customHeight="true">
      <c r="Y1936" s="51"/>
      <c r="Z1936" s="51"/>
      <c r="AR1936" s="51"/>
      <c r="AS1936" s="51"/>
      <c r="AT1936" s="51"/>
      <c r="AU1936" s="51"/>
    </row>
    <row r="1937" spans="25:47" x14ac:dyDescent="0.35" ht="15.0" customHeight="true">
      <c r="Y1937" s="51"/>
      <c r="Z1937" s="51"/>
      <c r="AR1937" s="51"/>
      <c r="AS1937" s="51"/>
      <c r="AT1937" s="51"/>
      <c r="AU1937" s="51"/>
    </row>
    <row r="1938" spans="25:47" x14ac:dyDescent="0.35" ht="15.0" customHeight="true">
      <c r="Y1938" s="51"/>
      <c r="Z1938" s="51"/>
      <c r="AR1938" s="51"/>
      <c r="AS1938" s="51"/>
      <c r="AT1938" s="51"/>
      <c r="AU1938" s="51"/>
    </row>
    <row r="1939" spans="25:47" x14ac:dyDescent="0.35" ht="15.0" customHeight="true">
      <c r="Y1939" s="51"/>
      <c r="Z1939" s="51"/>
      <c r="AR1939" s="51"/>
      <c r="AS1939" s="51"/>
      <c r="AT1939" s="51"/>
      <c r="AU1939" s="51"/>
    </row>
    <row r="1940" spans="25:47" x14ac:dyDescent="0.35" ht="15.0" customHeight="true">
      <c r="Y1940" s="51"/>
      <c r="Z1940" s="51"/>
      <c r="AR1940" s="51"/>
      <c r="AS1940" s="51"/>
      <c r="AT1940" s="51"/>
      <c r="AU1940" s="51"/>
    </row>
    <row r="1941" spans="25:47" x14ac:dyDescent="0.35" ht="15.0" customHeight="true">
      <c r="Y1941" s="51"/>
      <c r="Z1941" s="51"/>
      <c r="AR1941" s="51"/>
      <c r="AS1941" s="51"/>
      <c r="AT1941" s="51"/>
      <c r="AU1941" s="51"/>
    </row>
    <row r="1942" spans="25:47" x14ac:dyDescent="0.35" ht="15.0" customHeight="true">
      <c r="Y1942" s="51"/>
      <c r="Z1942" s="51"/>
      <c r="AR1942" s="51"/>
      <c r="AS1942" s="51"/>
      <c r="AT1942" s="51"/>
      <c r="AU1942" s="51"/>
    </row>
    <row r="1943" spans="25:47" x14ac:dyDescent="0.35" ht="15.0" customHeight="true">
      <c r="Y1943" s="51"/>
      <c r="Z1943" s="51"/>
      <c r="AR1943" s="51"/>
      <c r="AS1943" s="51"/>
      <c r="AT1943" s="51"/>
      <c r="AU1943" s="51"/>
    </row>
    <row r="1944" spans="25:47" x14ac:dyDescent="0.35" ht="14.5" customHeight="true">
      <c r="Y1944" s="51"/>
      <c r="Z1944" s="51"/>
      <c r="AR1944" s="51"/>
      <c r="AS1944" s="51"/>
      <c r="AT1944" s="51"/>
      <c r="AU1944" s="51"/>
    </row>
    <row r="1945" spans="25:47" x14ac:dyDescent="0.35" ht="14.5" customHeight="true">
      <c r="Y1945" s="51"/>
      <c r="Z1945" s="51"/>
      <c r="AR1945" s="51"/>
      <c r="AS1945" s="51"/>
      <c r="AT1945" s="51"/>
      <c r="AU1945" s="51"/>
    </row>
    <row r="1946" spans="25:47" x14ac:dyDescent="0.35" ht="14.5" customHeight="true">
      <c r="Y1946" s="51"/>
      <c r="Z1946" s="51"/>
      <c r="AR1946" s="51"/>
      <c r="AS1946" s="51"/>
      <c r="AT1946" s="51"/>
      <c r="AU1946" s="51"/>
    </row>
    <row r="1947" spans="25:47" x14ac:dyDescent="0.35" ht="14.5" customHeight="true">
      <c r="Y1947" s="51"/>
      <c r="Z1947" s="51"/>
      <c r="AR1947" s="51"/>
      <c r="AS1947" s="51"/>
      <c r="AT1947" s="51"/>
      <c r="AU1947" s="51"/>
    </row>
    <row r="1948" spans="25:47" x14ac:dyDescent="0.35" ht="14.5" customHeight="true">
      <c r="Y1948" s="51"/>
      <c r="Z1948" s="51"/>
      <c r="AR1948" s="51"/>
      <c r="AS1948" s="51"/>
      <c r="AT1948" s="51"/>
      <c r="AU1948" s="51"/>
    </row>
    <row r="1949" spans="25:47" x14ac:dyDescent="0.35" ht="14.5" customHeight="true">
      <c r="Y1949" s="51"/>
      <c r="Z1949" s="51"/>
      <c r="AR1949" s="51"/>
      <c r="AS1949" s="51"/>
      <c r="AT1949" s="51"/>
      <c r="AU1949" s="51"/>
    </row>
    <row r="1950" spans="25:47" x14ac:dyDescent="0.35" ht="14.5" customHeight="true">
      <c r="Y1950" s="51"/>
      <c r="Z1950" s="51"/>
      <c r="AR1950" s="51"/>
      <c r="AS1950" s="51"/>
      <c r="AT1950" s="51"/>
      <c r="AU1950" s="51"/>
    </row>
    <row r="1951" spans="25:47" x14ac:dyDescent="0.35" ht="14.5" customHeight="true">
      <c r="Y1951" s="51"/>
      <c r="Z1951" s="51"/>
      <c r="AR1951" s="51"/>
      <c r="AS1951" s="51"/>
      <c r="AT1951" s="51"/>
      <c r="AU1951" s="51"/>
    </row>
    <row r="1952" spans="25:47" x14ac:dyDescent="0.35" ht="14.5" customHeight="true">
      <c r="Y1952" s="51"/>
      <c r="Z1952" s="51"/>
      <c r="AR1952" s="51"/>
      <c r="AS1952" s="51"/>
      <c r="AT1952" s="51"/>
      <c r="AU1952" s="51"/>
    </row>
    <row r="1953" spans="25:47" x14ac:dyDescent="0.35" ht="14.5" customHeight="true">
      <c r="Y1953" s="51"/>
      <c r="Z1953" s="51"/>
      <c r="AR1953" s="51"/>
      <c r="AS1953" s="51"/>
      <c r="AT1953" s="51"/>
      <c r="AU1953" s="51"/>
    </row>
    <row r="1954" spans="25:47" x14ac:dyDescent="0.35" ht="14.5" customHeight="true">
      <c r="Y1954" s="51"/>
      <c r="Z1954" s="51"/>
      <c r="AR1954" s="51"/>
      <c r="AS1954" s="51"/>
      <c r="AT1954" s="51"/>
      <c r="AU1954" s="51"/>
    </row>
    <row r="1955" spans="25:47" x14ac:dyDescent="0.35" ht="14.5" customHeight="true">
      <c r="Y1955" s="51"/>
      <c r="Z1955" s="51"/>
      <c r="AR1955" s="51"/>
      <c r="AS1955" s="51"/>
      <c r="AT1955" s="51"/>
      <c r="AU1955" s="51"/>
    </row>
    <row r="1956" spans="25:47" x14ac:dyDescent="0.35" ht="14.5" customHeight="true">
      <c r="Y1956" s="51"/>
      <c r="Z1956" s="51"/>
      <c r="AR1956" s="51"/>
      <c r="AS1956" s="51"/>
      <c r="AT1956" s="51"/>
      <c r="AU1956" s="51"/>
    </row>
    <row r="1957" spans="25:47" x14ac:dyDescent="0.35" ht="14.5" customHeight="true">
      <c r="Y1957" s="51"/>
      <c r="Z1957" s="51"/>
      <c r="AR1957" s="51"/>
      <c r="AS1957" s="51"/>
      <c r="AT1957" s="51"/>
      <c r="AU1957" s="51"/>
    </row>
    <row r="1958" spans="25:47" x14ac:dyDescent="0.35" ht="14.5" customHeight="true">
      <c r="Y1958" s="51"/>
      <c r="Z1958" s="51"/>
      <c r="AR1958" s="51"/>
      <c r="AS1958" s="51"/>
      <c r="AT1958" s="51"/>
      <c r="AU1958" s="51"/>
    </row>
    <row r="1959" spans="25:47" x14ac:dyDescent="0.35" ht="14.5" customHeight="true">
      <c r="Y1959" s="51"/>
      <c r="Z1959" s="51"/>
      <c r="AR1959" s="51"/>
      <c r="AS1959" s="51"/>
      <c r="AT1959" s="51"/>
      <c r="AU1959" s="51"/>
    </row>
    <row r="1960" spans="25:47" x14ac:dyDescent="0.35" ht="14.5" customHeight="true">
      <c r="Y1960" s="51"/>
      <c r="Z1960" s="51"/>
      <c r="AR1960" s="51"/>
      <c r="AS1960" s="51"/>
      <c r="AT1960" s="51"/>
      <c r="AU1960" s="51"/>
    </row>
    <row r="1961" spans="25:47" x14ac:dyDescent="0.35" ht="14.5" customHeight="true">
      <c r="Y1961" s="51"/>
      <c r="Z1961" s="51"/>
      <c r="AR1961" s="51"/>
      <c r="AS1961" s="51"/>
      <c r="AT1961" s="51"/>
      <c r="AU1961" s="51"/>
    </row>
    <row r="1962" spans="25:47" x14ac:dyDescent="0.35" ht="14.5" customHeight="true">
      <c r="Y1962" s="51"/>
      <c r="Z1962" s="51"/>
      <c r="AR1962" s="51"/>
      <c r="AS1962" s="51"/>
      <c r="AT1962" s="51"/>
      <c r="AU1962" s="51"/>
    </row>
    <row r="1963" spans="25:47" x14ac:dyDescent="0.35" ht="14.5" customHeight="true">
      <c r="Y1963" s="51"/>
      <c r="Z1963" s="51"/>
      <c r="AR1963" s="51"/>
      <c r="AS1963" s="51"/>
      <c r="AT1963" s="51"/>
      <c r="AU1963" s="51"/>
    </row>
    <row r="1964" spans="25:47" x14ac:dyDescent="0.35" ht="14.5" customHeight="true">
      <c r="Y1964" s="51"/>
      <c r="Z1964" s="51"/>
      <c r="AR1964" s="51"/>
      <c r="AS1964" s="51"/>
      <c r="AT1964" s="51"/>
      <c r="AU1964" s="51"/>
    </row>
    <row r="1965" spans="25:47" x14ac:dyDescent="0.35" ht="14.5" customHeight="true">
      <c r="Y1965" s="51"/>
      <c r="Z1965" s="51"/>
      <c r="AR1965" s="51"/>
      <c r="AS1965" s="51"/>
      <c r="AT1965" s="51"/>
      <c r="AU1965" s="51"/>
    </row>
    <row r="1966" spans="25:47" x14ac:dyDescent="0.35" ht="14.5" customHeight="true">
      <c r="Y1966" s="51"/>
      <c r="Z1966" s="51"/>
      <c r="AR1966" s="51"/>
      <c r="AS1966" s="51"/>
      <c r="AT1966" s="51"/>
      <c r="AU1966" s="51"/>
    </row>
    <row r="1967" spans="25:47" x14ac:dyDescent="0.35" ht="14.5" customHeight="true">
      <c r="Y1967" s="51"/>
      <c r="Z1967" s="51"/>
      <c r="AR1967" s="51"/>
      <c r="AS1967" s="51"/>
      <c r="AT1967" s="51"/>
      <c r="AU1967" s="51"/>
    </row>
    <row r="1968" spans="25:47" x14ac:dyDescent="0.35" ht="14.5" customHeight="true">
      <c r="Y1968" s="51"/>
      <c r="Z1968" s="51"/>
      <c r="AR1968" s="51"/>
      <c r="AS1968" s="51"/>
      <c r="AT1968" s="51"/>
      <c r="AU1968" s="51"/>
    </row>
    <row r="1969" spans="25:47" x14ac:dyDescent="0.35" ht="14.5" customHeight="true">
      <c r="Y1969" s="51"/>
      <c r="Z1969" s="51"/>
      <c r="AR1969" s="51"/>
      <c r="AS1969" s="51"/>
      <c r="AT1969" s="51"/>
      <c r="AU1969" s="51"/>
    </row>
    <row r="1970" spans="25:47" x14ac:dyDescent="0.35" ht="14.5" customHeight="true">
      <c r="Y1970" s="51"/>
      <c r="Z1970" s="51"/>
      <c r="AR1970" s="51"/>
      <c r="AS1970" s="51"/>
      <c r="AT1970" s="51"/>
      <c r="AU1970" s="51"/>
    </row>
    <row r="1971" spans="25:47" x14ac:dyDescent="0.35" ht="14.5" customHeight="true">
      <c r="Y1971" s="51"/>
      <c r="Z1971" s="51"/>
      <c r="AR1971" s="51"/>
      <c r="AS1971" s="51"/>
      <c r="AT1971" s="51"/>
      <c r="AU1971" s="51"/>
    </row>
    <row r="1972" spans="25:47" x14ac:dyDescent="0.35" ht="14.5" customHeight="true">
      <c r="Y1972" s="51"/>
      <c r="Z1972" s="51"/>
      <c r="AR1972" s="51"/>
      <c r="AS1972" s="51"/>
      <c r="AT1972" s="51"/>
      <c r="AU1972" s="51"/>
    </row>
    <row r="1973" spans="25:47" x14ac:dyDescent="0.35" ht="14.5" customHeight="true">
      <c r="Y1973" s="51"/>
      <c r="Z1973" s="51"/>
      <c r="AR1973" s="51"/>
      <c r="AS1973" s="51"/>
      <c r="AT1973" s="51"/>
      <c r="AU1973" s="51"/>
    </row>
    <row r="1974" spans="25:47" x14ac:dyDescent="0.35" ht="14.5" customHeight="true">
      <c r="Y1974" s="51"/>
      <c r="Z1974" s="51"/>
      <c r="AR1974" s="51"/>
      <c r="AS1974" s="51"/>
      <c r="AT1974" s="51"/>
      <c r="AU1974" s="51"/>
    </row>
    <row r="1975" spans="25:47" x14ac:dyDescent="0.35" ht="14.5" customHeight="true">
      <c r="Y1975" s="51"/>
      <c r="Z1975" s="51"/>
      <c r="AR1975" s="51"/>
      <c r="AS1975" s="51"/>
      <c r="AT1975" s="51"/>
      <c r="AU1975" s="51"/>
    </row>
    <row r="1976" spans="25:47" x14ac:dyDescent="0.35" ht="14.5" customHeight="true">
      <c r="Y1976" s="51"/>
      <c r="Z1976" s="51"/>
      <c r="AR1976" s="51"/>
      <c r="AS1976" s="51"/>
      <c r="AT1976" s="51"/>
      <c r="AU1976" s="51"/>
    </row>
    <row r="1977" spans="25:47" x14ac:dyDescent="0.35" ht="14.5" customHeight="true">
      <c r="Y1977" s="51"/>
      <c r="Z1977" s="51"/>
      <c r="AR1977" s="51"/>
      <c r="AS1977" s="51"/>
      <c r="AT1977" s="51"/>
      <c r="AU1977" s="51"/>
    </row>
    <row r="1978" spans="25:47" x14ac:dyDescent="0.35" ht="14.5" customHeight="true">
      <c r="Y1978" s="51"/>
      <c r="Z1978" s="51"/>
      <c r="AR1978" s="51"/>
      <c r="AS1978" s="51"/>
      <c r="AT1978" s="51"/>
      <c r="AU1978" s="51"/>
    </row>
    <row r="1979" spans="25:47" x14ac:dyDescent="0.35" ht="14.5" customHeight="true">
      <c r="Y1979" s="51"/>
      <c r="Z1979" s="51"/>
      <c r="AR1979" s="51"/>
      <c r="AS1979" s="51"/>
      <c r="AT1979" s="51"/>
      <c r="AU1979" s="51"/>
    </row>
    <row r="1980" spans="25:47" x14ac:dyDescent="0.35" ht="14.5" customHeight="true">
      <c r="Y1980" s="51"/>
      <c r="Z1980" s="51"/>
      <c r="AR1980" s="51"/>
      <c r="AS1980" s="51"/>
      <c r="AT1980" s="51"/>
      <c r="AU1980" s="51"/>
    </row>
    <row r="1981" spans="25:47" x14ac:dyDescent="0.35" ht="14.5" customHeight="true">
      <c r="Y1981" s="51"/>
      <c r="Z1981" s="51"/>
      <c r="AR1981" s="51"/>
      <c r="AS1981" s="51"/>
      <c r="AT1981" s="51"/>
      <c r="AU1981" s="51"/>
    </row>
    <row r="1982" spans="25:47" x14ac:dyDescent="0.35" ht="14.5" customHeight="true">
      <c r="Y1982" s="51"/>
      <c r="Z1982" s="51"/>
      <c r="AR1982" s="51"/>
      <c r="AS1982" s="51"/>
      <c r="AT1982" s="51"/>
      <c r="AU1982" s="51"/>
    </row>
    <row r="1983" spans="25:47" x14ac:dyDescent="0.35" ht="14.5" customHeight="true">
      <c r="Y1983" s="51"/>
      <c r="Z1983" s="51"/>
      <c r="AR1983" s="51"/>
      <c r="AS1983" s="51"/>
      <c r="AT1983" s="51"/>
      <c r="AU1983" s="51"/>
    </row>
    <row r="1984" spans="25:47" x14ac:dyDescent="0.35" ht="14.5" customHeight="true">
      <c r="Y1984" s="51"/>
      <c r="Z1984" s="51"/>
      <c r="AR1984" s="51"/>
      <c r="AS1984" s="51"/>
      <c r="AT1984" s="51"/>
      <c r="AU1984" s="51"/>
    </row>
    <row r="1985" spans="25:47" x14ac:dyDescent="0.35" ht="14.5" customHeight="true">
      <c r="Y1985" s="51"/>
      <c r="Z1985" s="51"/>
      <c r="AR1985" s="51"/>
      <c r="AS1985" s="51"/>
      <c r="AT1985" s="51"/>
      <c r="AU1985" s="51"/>
    </row>
    <row r="1986" spans="25:47" x14ac:dyDescent="0.35" ht="14.5" customHeight="true">
      <c r="Y1986" s="51"/>
      <c r="Z1986" s="51"/>
      <c r="AR1986" s="51"/>
      <c r="AS1986" s="51"/>
      <c r="AT1986" s="51"/>
      <c r="AU1986" s="51"/>
    </row>
    <row r="1987" spans="25:47" x14ac:dyDescent="0.35" ht="14.5" customHeight="true">
      <c r="Y1987" s="51"/>
      <c r="Z1987" s="51"/>
      <c r="AR1987" s="51"/>
      <c r="AS1987" s="51"/>
      <c r="AT1987" s="51"/>
      <c r="AU1987" s="51"/>
    </row>
    <row r="1988" spans="25:47" x14ac:dyDescent="0.35" ht="14.5" customHeight="true">
      <c r="Y1988" s="51"/>
      <c r="Z1988" s="51"/>
      <c r="AR1988" s="51"/>
      <c r="AS1988" s="51"/>
      <c r="AT1988" s="51"/>
      <c r="AU1988" s="51"/>
    </row>
    <row r="1989" spans="25:47" x14ac:dyDescent="0.35" ht="14.5" customHeight="true">
      <c r="Y1989" s="51"/>
      <c r="Z1989" s="51"/>
      <c r="AR1989" s="51"/>
      <c r="AS1989" s="51"/>
      <c r="AT1989" s="51"/>
      <c r="AU1989" s="51"/>
    </row>
    <row r="1990" spans="25:47" x14ac:dyDescent="0.35" ht="14.5" customHeight="true">
      <c r="Y1990" s="51"/>
      <c r="Z1990" s="51"/>
      <c r="AR1990" s="51"/>
      <c r="AS1990" s="51"/>
      <c r="AT1990" s="51"/>
      <c r="AU1990" s="51"/>
    </row>
    <row r="1991" spans="25:47" x14ac:dyDescent="0.35" ht="14.5" customHeight="true">
      <c r="Y1991" s="51"/>
      <c r="Z1991" s="51"/>
      <c r="AR1991" s="51"/>
      <c r="AS1991" s="51"/>
      <c r="AT1991" s="51"/>
      <c r="AU1991" s="51"/>
    </row>
    <row r="1992" spans="25:47" x14ac:dyDescent="0.35" ht="14.5" customHeight="true">
      <c r="Y1992" s="51"/>
      <c r="Z1992" s="51"/>
      <c r="AR1992" s="51"/>
      <c r="AS1992" s="51"/>
      <c r="AT1992" s="51"/>
      <c r="AU1992" s="51"/>
    </row>
    <row r="1993" spans="25:47" x14ac:dyDescent="0.35" ht="14.5" customHeight="true">
      <c r="Y1993" s="51"/>
      <c r="Z1993" s="51"/>
      <c r="AR1993" s="51"/>
      <c r="AS1993" s="51"/>
      <c r="AT1993" s="51"/>
      <c r="AU1993" s="51"/>
    </row>
    <row r="1994" spans="25:47" x14ac:dyDescent="0.35" ht="14.5" customHeight="true">
      <c r="Y1994" s="51"/>
      <c r="Z1994" s="51"/>
      <c r="AR1994" s="51"/>
      <c r="AS1994" s="51"/>
      <c r="AT1994" s="51"/>
      <c r="AU1994" s="51"/>
    </row>
    <row r="1995" spans="25:47" x14ac:dyDescent="0.35" ht="14.5" customHeight="true">
      <c r="Y1995" s="51"/>
      <c r="Z1995" s="51"/>
      <c r="AR1995" s="51"/>
      <c r="AS1995" s="51"/>
      <c r="AT1995" s="51"/>
      <c r="AU1995" s="51"/>
    </row>
    <row r="1996" spans="25:47" x14ac:dyDescent="0.35" ht="14.5" customHeight="true">
      <c r="Y1996" s="51"/>
      <c r="Z1996" s="51"/>
      <c r="AR1996" s="51"/>
      <c r="AS1996" s="51"/>
      <c r="AT1996" s="51"/>
      <c r="AU1996" s="51"/>
    </row>
    <row r="1997" spans="25:47" x14ac:dyDescent="0.35" ht="14.5" customHeight="true">
      <c r="Y1997" s="51"/>
      <c r="Z1997" s="51"/>
      <c r="AR1997" s="51"/>
      <c r="AS1997" s="51"/>
      <c r="AT1997" s="51"/>
      <c r="AU1997" s="51"/>
    </row>
    <row r="1998" spans="25:47" x14ac:dyDescent="0.35" ht="14.5" customHeight="true">
      <c r="Y1998" s="51"/>
      <c r="Z1998" s="51"/>
      <c r="AR1998" s="51"/>
      <c r="AS1998" s="51"/>
      <c r="AT1998" s="51"/>
      <c r="AU1998" s="51"/>
    </row>
    <row r="1999" spans="25:47" x14ac:dyDescent="0.35" ht="14.5" customHeight="true">
      <c r="Y1999" s="51"/>
      <c r="Z1999" s="51"/>
      <c r="AR1999" s="51"/>
      <c r="AS1999" s="51"/>
      <c r="AT1999" s="51"/>
      <c r="AU1999" s="51"/>
    </row>
    <row r="2000" spans="25:47" x14ac:dyDescent="0.35" ht="14.5" customHeight="true">
      <c r="Y2000" s="51"/>
      <c r="Z2000" s="51"/>
      <c r="AR2000" s="51"/>
      <c r="AS2000" s="51"/>
      <c r="AT2000" s="51"/>
      <c r="AU2000" s="51"/>
    </row>
    <row r="2001" spans="25:47" x14ac:dyDescent="0.35" ht="14.5" customHeight="true">
      <c r="Y2001" s="51"/>
      <c r="Z2001" s="51"/>
      <c r="AR2001" s="51"/>
      <c r="AS2001" s="51"/>
      <c r="AT2001" s="51"/>
      <c r="AU2001" s="51"/>
    </row>
    <row r="2002" spans="25:47" x14ac:dyDescent="0.35" ht="14.5" customHeight="true">
      <c r="Y2002" s="51"/>
      <c r="Z2002" s="51"/>
      <c r="AR2002" s="51"/>
      <c r="AS2002" s="51"/>
      <c r="AT2002" s="51"/>
      <c r="AU2002" s="51"/>
    </row>
    <row r="2003" spans="25:47" x14ac:dyDescent="0.35" ht="14.5" customHeight="true">
      <c r="Y2003" s="51"/>
      <c r="Z2003" s="51"/>
      <c r="AR2003" s="51"/>
      <c r="AS2003" s="51"/>
      <c r="AT2003" s="51"/>
      <c r="AU2003" s="51"/>
    </row>
    <row r="2004" spans="25:47" x14ac:dyDescent="0.35" ht="14.5" customHeight="true">
      <c r="Y2004" s="51"/>
      <c r="Z2004" s="51"/>
      <c r="AR2004" s="51"/>
      <c r="AS2004" s="51"/>
      <c r="AT2004" s="51"/>
      <c r="AU2004" s="51"/>
    </row>
    <row r="2005" spans="25:47" x14ac:dyDescent="0.35" ht="14.5" customHeight="true">
      <c r="Y2005" s="51"/>
      <c r="Z2005" s="51"/>
      <c r="AR2005" s="51"/>
      <c r="AS2005" s="51"/>
      <c r="AT2005" s="51"/>
      <c r="AU2005" s="51"/>
    </row>
    <row r="2006" spans="25:47" x14ac:dyDescent="0.35" ht="14.5" customHeight="true">
      <c r="Y2006" s="51"/>
      <c r="Z2006" s="51"/>
      <c r="AR2006" s="51"/>
      <c r="AS2006" s="51"/>
      <c r="AT2006" s="51"/>
      <c r="AU2006" s="51"/>
    </row>
    <row r="2007" spans="25:47" x14ac:dyDescent="0.35" ht="14.5" customHeight="true">
      <c r="Y2007" s="51"/>
      <c r="Z2007" s="51"/>
      <c r="AR2007" s="51"/>
      <c r="AS2007" s="51"/>
      <c r="AT2007" s="51"/>
      <c r="AU2007" s="51"/>
    </row>
    <row r="2008" spans="25:47" x14ac:dyDescent="0.35" ht="14.5" customHeight="true">
      <c r="Y2008" s="51"/>
      <c r="Z2008" s="51"/>
      <c r="AR2008" s="51"/>
      <c r="AS2008" s="51"/>
      <c r="AT2008" s="51"/>
      <c r="AU2008" s="51"/>
    </row>
    <row r="2009" spans="25:47" x14ac:dyDescent="0.35" ht="14.5" customHeight="true">
      <c r="Y2009" s="51"/>
      <c r="Z2009" s="51"/>
      <c r="AR2009" s="51"/>
      <c r="AS2009" s="51"/>
      <c r="AT2009" s="51"/>
      <c r="AU2009" s="51"/>
    </row>
    <row r="2010" spans="25:47" x14ac:dyDescent="0.35" ht="14.5" customHeight="true">
      <c r="Y2010" s="51"/>
      <c r="Z2010" s="51"/>
      <c r="AR2010" s="51"/>
      <c r="AS2010" s="51"/>
      <c r="AT2010" s="51"/>
      <c r="AU2010" s="51"/>
    </row>
    <row r="2011" spans="25:47" x14ac:dyDescent="0.35" ht="14.5" customHeight="true">
      <c r="Y2011" s="51"/>
      <c r="Z2011" s="51"/>
      <c r="AR2011" s="51"/>
      <c r="AS2011" s="51"/>
      <c r="AT2011" s="51"/>
      <c r="AU2011" s="51"/>
    </row>
    <row r="2012" spans="25:47" x14ac:dyDescent="0.35" ht="14.5" customHeight="true">
      <c r="Y2012" s="51"/>
      <c r="Z2012" s="51"/>
      <c r="AR2012" s="51"/>
      <c r="AS2012" s="51"/>
      <c r="AT2012" s="51"/>
      <c r="AU2012" s="51"/>
    </row>
    <row r="2013" spans="25:47" x14ac:dyDescent="0.35" ht="14.5" customHeight="true">
      <c r="Y2013" s="51"/>
      <c r="Z2013" s="51"/>
      <c r="AR2013" s="51"/>
      <c r="AS2013" s="51"/>
      <c r="AT2013" s="51"/>
      <c r="AU2013" s="51"/>
    </row>
    <row r="2014" spans="25:47" x14ac:dyDescent="0.35" ht="14.5" customHeight="true">
      <c r="Y2014" s="51"/>
      <c r="Z2014" s="51"/>
      <c r="AR2014" s="51"/>
      <c r="AS2014" s="51"/>
      <c r="AT2014" s="51"/>
      <c r="AU2014" s="51"/>
    </row>
    <row r="2015" spans="25:47" x14ac:dyDescent="0.35" ht="14.5" customHeight="true">
      <c r="Y2015" s="51"/>
      <c r="Z2015" s="51"/>
      <c r="AR2015" s="51"/>
      <c r="AS2015" s="51"/>
      <c r="AT2015" s="51"/>
      <c r="AU2015" s="51"/>
    </row>
    <row r="2016" spans="25:47" x14ac:dyDescent="0.35" ht="14.5" customHeight="true">
      <c r="Y2016" s="51"/>
      <c r="Z2016" s="51"/>
      <c r="AR2016" s="51"/>
      <c r="AS2016" s="51"/>
      <c r="AT2016" s="51"/>
      <c r="AU2016" s="51"/>
    </row>
    <row r="2017" spans="25:47" x14ac:dyDescent="0.35" ht="14.5" customHeight="true">
      <c r="Y2017" s="51"/>
      <c r="Z2017" s="51"/>
      <c r="AR2017" s="51"/>
      <c r="AS2017" s="51"/>
      <c r="AT2017" s="51"/>
      <c r="AU2017" s="51"/>
    </row>
  </sheetData>
  <sheetProtection algorithmName="SHA-512" autoFilter="0" hashValue="ndD/viEKEjunkgtw85jxmn8fAjGSjzVrvMrWcuvflJG+/ycoGnX2pMkCr4lHDhBQT+0ZwGyMVg559U1b5Pkoew==" objects="1" saltValue="Q1XZewZeODVCGpid8HB3uw==" scenarios="1" sheet="1" spinCount="100000"/>
  <autoFilter ref="A4:AQ4" xr:uid="{A756D8C9-2E7C-4D01-A70B-7F424FDB1F37}"/>
  <dataConsolidate/>
  <dataValidations count="57" xWindow="422" yWindow="477">
    <dataValidation allowBlank="1" operator="equal" prompt="Hourly, Salaried" promptTitle="Pay Type" showInputMessage="1" sqref="R4" xr:uid="{00000000-0002-0000-0100-000000000000}">
      <formula1>0</formula1>
      <formula2>0</formula2>
    </dataValidation>
    <dataValidation allowBlank="1" operator="equal" promptTitle="Pay Group" showErrorMessage="1" showInputMessage="1" sqref="S4:T4" xr:uid="{00000000-0002-0000-0100-000001000000}"/>
    <dataValidation allowBlank="1" error="Please enter 1 to 50 lengths character only." errorTitle="Error:" prompt="Please enter details if the Employment Type I is 'Other'." promptTitle="Conditional:" showErrorMessage="1" showInputMessage="1" sqref="Q5:Q1021" type="textLength" xr:uid="{00000000-0002-0000-0100-000002000000}">
      <formula1>1</formula1>
      <formula2>50</formula2>
    </dataValidation>
    <dataValidation allowBlank="1" error="Please select the value from the drop down only." errorTitle="Error:" prompt="Please select State(Abbreviation)" promptTitle="Required:" showInputMessage="1" sqref="AP5 AP7:AP1021" type="list" xr:uid="{00000000-0002-0000-0100-000003000000}">
      <formula1>State_Codes</formula1>
    </dataValidation>
    <dataValidation allowBlank="1" error="Rate should be number and character length should be upto 5." errorTitle="Error:" prompt="Information is required if 'Pay Type' selected as 'Hourly'." promptTitle="Conditional:" showErrorMessage="1" showInputMessage="1" sqref="X5:X1021" type="custom" xr:uid="{00000000-0002-0000-0100-000004000000}">
      <formula1>AND(ISNUMBER(X5),LEN(X5)&lt;=5)</formula1>
    </dataValidation>
    <dataValidation allowBlank="1" error="Please enter 2 to 30 lengths character only." errorTitle="Error:" prompt="Please enter City." promptTitle="Required:" showErrorMessage="1" showInputMessage="1" sqref="AN5:AN1021" type="textLength" xr:uid="{00000000-0002-0000-0100-000005000000}">
      <formula1>2</formula1>
      <formula2>30</formula2>
    </dataValidation>
    <dataValidation allowBlank="1" error="Please enter 1 to 55 lengths character only." errorTitle="Error:" prompt="Please enter employee's Address Line 2." promptTitle="Optional:" showErrorMessage="1" showInputMessage="1" sqref="AM5:AM1021" type="textLength" xr:uid="{00000000-0002-0000-0100-000006000000}">
      <formula1>1</formula1>
      <formula2>55</formula2>
    </dataValidation>
    <dataValidation allowBlank="1" error="Please enter valid E-Mail address." errorTitle="Error:" prompt="Please enter employee's official email address." promptTitle="Required:" showErrorMessage="1" showInputMessage="1" sqref="AJ5:AJ1021" type="custom" xr:uid="{00000000-0002-0000-0100-000007000000}">
      <formula1>FIND("@",AJ5)</formula1>
    </dataValidation>
    <dataValidation allowBlank="1" error="Please enter 1 to 30 lengths character only." errorTitle="Error:" prompt="Please enter Employee's Job Title." promptTitle="Optional:" showErrorMessage="1" showInputMessage="1" sqref="AB5:AB1021" type="textLength" xr:uid="{00000000-0002-0000-0100-000008000000}">
      <formula1>1</formula1>
      <formula2>30</formula2>
    </dataValidation>
    <dataValidation allowBlank="1" error="Please enter 1 to 50 lengths character only." errorTitle="Error:" prompt="Please enter Employee's Department." promptTitle="Optional:" showErrorMessage="1" showInputMessage="1" sqref="AC5:AC1021" type="textLength" xr:uid="{00000000-0002-0000-0100-000009000000}">
      <formula1>1</formula1>
      <formula2>50</formula2>
    </dataValidation>
    <dataValidation allowBlank="1" error="Please select the Employment Type I from the drop down only." errorTitle="Error:" prompt="Please select the Employment Type I." promptTitle="Required:" showInputMessage="1" sqref="P7:P1021 P5" type="list" xr:uid="{00000000-0002-0000-0100-00000A000000}">
      <formula1>"Full Time,Part Time,Other,Seasonal"</formula1>
    </dataValidation>
    <dataValidation allowBlank="1" error="Please enter only date in this field._x000a_Date should be in MM/DD/YYYY format." errorTitle="Error:" operator="greaterThanOrEqual" prompt="Date should be in MM/DD/YYYY format." promptTitle="Required:" showErrorMessage="1" showInputMessage="1" sqref="M5:M1021 G5:G1021 BA5:BA1100" type="date" xr:uid="{00000000-0002-0000-0100-00000B000000}">
      <formula1>1</formula1>
    </dataValidation>
    <dataValidation allowBlank="1" error="Length should be 1 to 35 character." errorTitle="Error:" prompt="Please enter employee's first name." promptTitle="Required:" showErrorMessage="1" showInputMessage="1" sqref="C5:C1021" type="textLength" xr:uid="{00000000-0002-0000-0100-00000C000000}">
      <formula1>1</formula1>
      <formula2>35</formula2>
    </dataValidation>
    <dataValidation allowBlank="1" error="Please enter only the first character of employee's middle name." errorTitle="Error:" prompt="Please enter employee's middle initial." promptTitle="Optional:" showErrorMessage="1" showInputMessage="1" sqref="D5:D1021" type="custom" xr:uid="{00000000-0002-0000-0100-00000D000000}">
      <formula1>AND(ISNUMBER(D5)=FALSE,LEN(D5)=1)</formula1>
    </dataValidation>
    <dataValidation allowBlank="1" error="Please enter text length 1 to 60 characters only." errorTitle="Error:" prompt="Please enter employee's last name." promptTitle="Required:" showErrorMessage="1" showInputMessage="1" sqref="E5:E1021" type="textLength" xr:uid="{00000000-0002-0000-0100-00000E000000}">
      <formula1>1</formula1>
      <formula2>60</formula2>
    </dataValidation>
    <dataValidation allowBlank="1" error="Please select employee's suffix from the drop down only." errorTitle="Error:" prompt="Please select employee's suffix." promptTitle="Optional:" showInputMessage="1" sqref="F5:F1100" type="list" xr:uid="{00000000-0002-0000-0100-00000F000000}">
      <formula1>"Jr., Sr., I, II, III,IV"</formula1>
    </dataValidation>
    <dataValidation allowBlank="1" error="Please select employee's gender from the drop down only." errorTitle="Error:" prompt="Please select employee's gender." showInputMessage="1" sqref="H5:H1021" type="list" xr:uid="{00000000-0002-0000-0100-000010000000}">
      <formula1>"Male,Female"</formula1>
    </dataValidation>
    <dataValidation allowBlank="1" error="Please select Employee Tobacco usage in last 6 months from the drop down only." errorTitle="Error:" prompt="Please select YES if your employee has used any tobacco product in the past twelve months." promptTitle="Optional:" showInputMessage="1" sqref="J5:J1021" type="list" xr:uid="{00000000-0002-0000-0100-000011000000}">
      <formula1>"Yes,No"</formula1>
    </dataValidation>
    <dataValidation allowBlank="1" error="Please enter 1 to 50 lengths character only." errorTitle="Error:" prompt="Please enter Employee Class." promptTitle="Optional:" showErrorMessage="1" showInputMessage="1" sqref="AA5:AA1021" type="textLength" xr:uid="{00000000-0002-0000-0100-000012000000}">
      <formula1>1</formula1>
      <formula2>50</formula2>
    </dataValidation>
    <dataValidation allowBlank="1" error="Please enter valid E-Mail address." errorTitle="Error:" prompt="Please enter employee's personal email address." promptTitle="Optional:" showErrorMessage="1" showInputMessage="1" sqref="AI5:AI1021" type="custom" xr:uid="{00000000-0002-0000-0100-000013000000}">
      <formula1>FIND("@",AI5)</formula1>
    </dataValidation>
    <dataValidation allowBlank="1" error="Please enter 1 to 55 lengths character only." errorTitle="Error:" prompt="Please enter employee's Address Line 1." showErrorMessage="1" showInputMessage="1" sqref="AL5:AL1021" type="textLength" xr:uid="{00000000-0002-0000-0100-000014000000}">
      <formula1>1</formula1>
      <formula2>55</formula2>
    </dataValidation>
    <dataValidation allowBlank="1" error="Please enter 1 to 50 length only." errorTitle="Error:" prompt="Please enter the Employee ID." promptTitle="Required:" showErrorMessage="1" showInputMessage="1" sqref="K5:K1021" type="textLength" xr:uid="{00000000-0002-0000-0100-000015000000}">
      <formula1>1</formula1>
      <formula2>50</formula2>
    </dataValidation>
    <dataValidation allowBlank="1" error="Please select the Employment status from the drop down only." errorTitle="Error:" prompt="Please select the Employment status." promptTitle="Required:" showInputMessage="1" sqref="L5:L1021" type="list" xr:uid="{00000000-0002-0000-0100-000016000000}">
      <formula1>"Active,Terminated"</formula1>
    </dataValidation>
    <dataValidation allowBlank="1" error="Please enter only date in this field._x000a_Date should be in MM/DD/YYYY format." errorTitle="Error:" operator="greaterThanOrEqual" prompt="Date should be in MM/DD/YYYY format." promptTitle="Optional:" showErrorMessage="1" showInputMessage="1" sqref="N5:N1021" type="date" xr:uid="{00000000-0002-0000-0100-000017000000}">
      <formula1>1</formula1>
    </dataValidation>
    <dataValidation allowBlank="1" error="Please enter 5 digit ZIP Code." errorTitle="Error:" operator="equal" prompt="Please enter 5 digit zipcode." promptTitle="Required:" showErrorMessage="1" showInputMessage="1" sqref="AO5:AO1021" type="textLength" xr:uid="{00000000-0002-0000-0100-000018000000}">
      <formula1>5</formula1>
    </dataValidation>
    <dataValidation allowBlank="1" error="Please select the Pay Type from the drop down only." errorTitle="Error:" prompt="Please select the Pay type." promptTitle="Required:" showInputMessage="1" sqref="R5:R1021" type="list" xr:uid="{00000000-0002-0000-0100-000019000000}">
      <formula1>"Salaried,Hourly"</formula1>
    </dataValidation>
    <dataValidation allowBlank="1" error="Please select the value from the drop down only." errorTitle="Error:" prompt="Please select Termination Reason." promptTitle="Optional:" showInputMessage="1" sqref="O5 O7:O1021" type="list" xr:uid="{00000000-0002-0000-0100-00001B000000}">
      <formula1>"Death,Retirement,Voluntary Termination of Employment,Involuntary Termination of Employment,Permanent Disability, Transfer,Other"</formula1>
    </dataValidation>
    <dataValidation allowBlank="1" error="Please select Employment Type II from the drop down only." errorTitle="Error:" prompt="Please select Employee Type." promptTitle="Optional:" showInputMessage="1" sqref="AD5:AD1021" type="list" xr:uid="{00000000-0002-0000-0100-00001C000000}">
      <formula1>"Permanent,Temporary"</formula1>
    </dataValidation>
    <dataValidation allowBlank="1" error="Please select Employment Classification I from the drop down only." errorTitle="Error:" prompt="Please select Employment Classification I." promptTitle="Optional:" showInputMessage="1" sqref="AE5 AE7:AE1021" type="list" xr:uid="{00000000-0002-0000-0100-00001D000000}">
      <formula1>"Union,Non-Union"</formula1>
    </dataValidation>
    <dataValidation allowBlank="1" error="Please select Employment Classification II from the drop down only." errorTitle="Error:" prompt="Please select Employment Classification II." promptTitle="Optional:" showInputMessage="1" sqref="AF5 AF7:AF1021" type="list" xr:uid="{00000000-0002-0000-0100-00001E000000}">
      <formula1>"Exempt,Non-Exempt"</formula1>
    </dataValidation>
    <dataValidation allowBlank="1" error="Please enter 1 to 80 lengths character only." errorTitle="Error:" prompt="Please enter Employee's Work Location." promptTitle="Optional:" showErrorMessage="1" showInputMessage="1" sqref="AG5:AG1021" type="textLength" xr:uid="{00000000-0002-0000-0100-00001F000000}">
      <formula1>1</formula1>
      <formula2>80</formula2>
    </dataValidation>
    <dataValidation allowBlank="1" error="Please enter 1 to 50 lengths character only." errorTitle="Error:" prompt="Please enter Employee's Division." promptTitle="Optional:" showErrorMessage="1" showInputMessage="1" sqref="AH5:AH1021" type="textLength" xr:uid="{00000000-0002-0000-0100-000020000000}">
      <formula1>1</formula1>
      <formula2>50</formula2>
    </dataValidation>
    <dataValidation allowBlank="1" operator="greaterThanOrEqual" prompt="Date should be in MM/DD/YYYY format." promptTitle="Optional" showErrorMessage="1" showInputMessage="1" sqref="V5:V1021" type="date" xr:uid="{00000000-0002-0000-0100-000021000000}">
      <formula1>32874</formula1>
    </dataValidation>
    <dataValidation allowBlank="1" error="Please select employee's suffix from the drop down only." errorTitle="Error:" prompt="Please select dependent's suffix." promptTitle="Optional:" showErrorMessage="1" showInputMessage="1" sqref="AZ5:AZ1100" type="list" xr:uid="{D4FF6DC5-413F-448D-85CC-DE2C380CE81E}">
      <formula1>"Jr., Sr., I, II, III, IV"</formula1>
    </dataValidation>
    <dataValidation allowBlank="1" error="Please select employee's prefix from the drop down only." errorTitle="Error:" prompt="Please select dependent's prefix." promptTitle="Optional:" showErrorMessage="1" showInputMessage="1" sqref="AV5:AV1100" type="list" xr:uid="{DC69138A-51DA-4CE8-8D3A-7159F45F7614}">
      <formula1>"Mr.,Mrs.,Ms.,Miss.,Dr."</formula1>
    </dataValidation>
    <dataValidation allowBlank="1" error="Please select Is Disabled from the drop down only." errorTitle="Error:" prompt="Please select dependent's disability status." promptTitle="Optional:" showErrorMessage="1" showInputMessage="1" sqref="BE5:BE1100" type="list" xr:uid="{2992D148-2216-4403-9C78-791F2AA52120}">
      <formula1>"Yes,No"</formula1>
    </dataValidation>
    <dataValidation allowBlank="1" error="Please select Employee Tobacco usage in last 6 months from the drop down only." errorTitle="Error:" prompt="Please select YES if employee's dependent has used any tobacco product in the past six months." promptTitle="Optional:" showErrorMessage="1" showInputMessage="1" sqref="BC5:BC1100" type="list" xr:uid="{E76B3F41-2D19-4244-8889-1F66321A65AE}">
      <formula1>"Yes,No"</formula1>
    </dataValidation>
    <dataValidation allowBlank="1" error="Please enter text length 1 to 60 characters only." errorTitle="Error:" prompt="Please enter dependent's last name." promptTitle="Required:" showErrorMessage="1" showInputMessage="1" sqref="AY5:AY1100" type="textLength" xr:uid="{FCE8E19D-9285-4DA6-A602-F59DF15B8AA8}">
      <formula1>1</formula1>
      <formula2>60</formula2>
    </dataValidation>
    <dataValidation allowBlank="1" error="Please enter only the first character of dependent's middle name." errorTitle="Error:" prompt="Please enter dependent's middle initial." promptTitle="Optional:" showErrorMessage="1" showInputMessage="1" sqref="AX5:AX1100" type="custom" xr:uid="{377A1661-12B2-4B07-B5FC-139CB37F7DFF}">
      <formula1>AND(EXACT(AX5,AX5),LEN(AX5)=1)</formula1>
    </dataValidation>
    <dataValidation allowBlank="1" error="Length should be 1 to 35 character." errorTitle="Error:" prompt="Please enter dependent's first name." promptTitle="Required:" showErrorMessage="1" showInputMessage="1" sqref="AW5:AW1100" type="textLength" xr:uid="{802C3005-DA8D-4BC5-80FF-B4C44194E822}">
      <formula1>1</formula1>
      <formula2>35</formula2>
    </dataValidation>
    <dataValidation allowBlank="1" error="Please select Relationship from the drop down only." errorTitle="Error:" prompt="Please select Relationship." promptTitle="Required:" showErrorMessage="1" showInputMessage="1" sqref="BD5:BD1100" type="list" xr:uid="{A39805DE-6B14-417A-B131-50EAFAEDD26C}">
      <formula1>"Spouse,Child,Domestic Partner,Other dependent"</formula1>
    </dataValidation>
    <dataValidation allowBlank="1" operator="greaterThanOrEqual" showErrorMessage="1" showInputMessage="1" sqref="U1101:U1048576 V1022:V1100" type="date" xr:uid="{00000000-0002-0000-0100-00002C000000}">
      <formula1>32874</formula1>
    </dataValidation>
    <dataValidation allowBlank="1" operator="greaterThanOrEqual" showErrorMessage="1" showInputMessage="1" sqref="U2:U3 V4" xr:uid="{00000000-0002-0000-0100-00002D000000}"/>
    <dataValidation allowBlank="1" error="Enter a valid 9 digit Employer Identification Number" errorTitle="Error" prompt="Enter 9 digit Employer Identification Number." promptTitle="Conditional:" showErrorMessage="1" showInputMessage="1" sqref="A5:A1100" type="custom" xr:uid="{00000000-0002-0000-0100-00002E000000}">
      <formula1>AND(ISNUMBER(A5+0),LEN(A5)=9)</formula1>
    </dataValidation>
    <dataValidation allowBlank="1" prompt="Enter 9 digit Employee SSN." promptTitle="Employee SSN" showErrorMessage="1" showInputMessage="1" sqref="I5:I1100" xr:uid="{00000000-0002-0000-0100-00002F000000}"/>
    <dataValidation allowBlank="1" prompt="Enter 10 digit phone number." promptTitle="Phone Number" showErrorMessage="1" showInputMessage="1" sqref="AK1:AK1048576" xr:uid="{00000000-0002-0000-0100-000030000000}"/>
    <dataValidation allowBlank="1" error="Please enter numbers only, upto 10 character value." errorTitle="Error:" prompt="Information is required if 'Pay Type' selected as 'Salaried'." promptTitle="Conditional:" showErrorMessage="1" showInputMessage="1" sqref="U5:U1100" type="custom" xr:uid="{00000000-0002-0000-0100-000031000000}">
      <formula1>AND(ISNUMBER(U5),LEN(U5)&lt;=10)</formula1>
    </dataValidation>
    <dataValidation allowBlank="1" error="Please select employee's prefix from the drop down only." errorTitle="Error:" prompt="Please select employee's prefix." promptTitle="Optional:" showInputMessage="1" sqref="B5:B1100" type="list" xr:uid="{00000000-0002-0000-0100-000032000000}">
      <formula1>"Mr.,Mrs.,Ms.,Miss.,Dr."</formula1>
    </dataValidation>
    <dataValidation allowBlank="1" error="Please select the value from the drop down only." errorTitle="Error:" operator="equal" prompt="Please select State(Abbreviation)" promptTitle="Required:" showInputMessage="1" sqref="AP6" type="list" xr:uid="{00000000-0002-0000-0100-000034000000}">
      <formula1>State_Codes</formula1>
    </dataValidation>
    <dataValidation allowBlank="1" error="Please select employee's gender from the drop down only." errorTitle="Error:" prompt="Please select dependent's gender." promptTitle="Optional:" showInputMessage="1" sqref="BB5:BB1100" type="list" xr:uid="{27A950B5-70BA-42E1-B540-EB8C7327F4AE}">
      <formula1>"Male,Female"</formula1>
    </dataValidation>
    <dataValidation allowBlank="1" prompt="This should be entered as an annualized value e.g. if amount is $500 per quarter then only 2000 should be entered without $ as an annual value. if it is 5% per quarter then 20% should be entered as the annual value." promptTitle="Optional:" showErrorMessage="1" showInputMessage="1" sqref="Y5:Y1205 Z5:Z1200" xr:uid="{686AEFD4-B5B3-49CA-B30F-B8F957DCB3E7}"/>
    <dataValidation allowBlank="1" prompt="Enter the value as per the format provided in the column header comment." showErrorMessage="1" showInputMessage="1" sqref="AQ5:AU1200" xr:uid="{E677F442-D4C9-4124-8844-F36048F1836A}"/>
    <dataValidation allowBlank="1" error="Please enter numbers only, upto 2 digits and 2 decimal value." errorTitle="Error:" prompt="Information is required if 'Pay Type' selected as 'Hourly'." promptTitle="Conditional:" showErrorMessage="1" showInputMessage="1" sqref="W5:W1048576" type="custom" xr:uid="{4CFF8AEA-84DD-4368-B377-417AC7A8E9F4}">
      <formula1>AND(ROUND(W5,2)=W5,W5&lt;100,W5&gt;=0)</formula1>
    </dataValidation>
    <dataValidation allowBlank="1" error="Please select Pay Frequency from the drop down only." errorTitle="Error:" prompt="Please select Pay Group." promptTitle="Required:" showInputMessage="1" sqref="S5:T1216" xr:uid="{6C626173-76DF-4729-961E-73D6DA1392CA}"/>
    <dataValidation allowBlank="1" error="Please select the Employment Type I from the drop down only." errorTitle="Error:" prompt="Please select the Employment Type." promptTitle="Required:" showInputMessage="1" sqref="P6" type="list" xr:uid="{5570EBDD-FD1F-48F4-8ADE-C4A146BF4D75}">
      <formula1>"Full Time,Part Time,Other,Seasonal"</formula1>
    </dataValidation>
    <dataValidation allowBlank="1" error="Please select Employment Classification I from the drop down only." errorTitle="Error:" prompt="Please select Union Classification." promptTitle="Optional:" showInputMessage="1" sqref="AE6" type="list" xr:uid="{1356DD09-AB35-4EF5-A22A-1D52DC0523FF}">
      <formula1>"Union,Non-Union"</formula1>
    </dataValidation>
    <dataValidation allowBlank="1" error="Please select Employment Classification II from the drop down only." errorTitle="Error:" prompt="Please select FLSA Classification." promptTitle="Optional:" showInputMessage="1" sqref="AF6" type="list" xr:uid="{43C760C3-0616-4277-AF93-5BBE7B63A61F}">
      <formula1>"Exempt,Non-Exempt"</formula1>
    </dataValidation>
  </dataValidations>
  <pageMargins bottom="0.75" footer="0.3" header="0.3" left="0.7" right="0.7" top="0.75"/>
  <pageSetup orientation="portrait" r:id="rId1"/>
  <drawing r:id="rId2"/>
  <legacyDrawing r:id="rId3"/>
  <mc:AlternateContent>
    <mc:Choice Requires="x14">
      <controls>
        <mc:AlternateContent>
          <mc:Choice Requires="x14">
            <control name="Button 1" r:id="rId4" shapeId="5121">
              <controlPr autoFill="0" autoPict="0" defaultSize="0" macro="[0]!Show_Form_Custom_Column" print="0">
                <anchor moveWithCells="1" sizeWithCells="1">
                  <from>
                    <xdr:col>1</xdr:col>
                    <xdr:colOff>1536700</xdr:colOff>
                    <xdr:row>0</xdr:row>
                    <xdr:rowOff>57150</xdr:rowOff>
                  </from>
                  <to>
                    <xdr:col>3</xdr:col>
                    <xdr:colOff>0</xdr:colOff>
                    <xdr:row>2</xdr:row>
                    <xdr:rowOff>19050</xdr:rowOff>
                  </to>
                </anchor>
              </controlPr>
            </control>
          </mc:Choice>
        </mc:AlternateContent>
        <mc:AlternateContent>
          <mc:Choice Requires="x14">
            <control name="Button 2" r:id="rId5" shapeId="5122">
              <controlPr autoFill="0" autoPict="0" defaultSize="0" macro="[0]!validate_data" print="0">
                <anchor moveWithCells="1">
                  <from>
                    <xdr:col>3</xdr:col>
                    <xdr:colOff>1581150</xdr:colOff>
                    <xdr:row>0</xdr:row>
                    <xdr:rowOff>57150</xdr:rowOff>
                  </from>
                  <to>
                    <xdr:col>4</xdr:col>
                    <xdr:colOff>742950</xdr:colOff>
                    <xdr:row>2</xdr:row>
                    <xdr:rowOff>31750</xdr:rowOff>
                  </to>
                </anchor>
              </controlPr>
            </control>
          </mc:Choice>
        </mc:AlternateContent>
        <mc:AlternateContent>
          <mc:Choice Requires="x14">
            <control name="Button 10" r:id="rId6" shapeId="5130">
              <controlPr autoFill="0" autoPict="0" defaultSize="0" macro="[0]!Show_Form_Dependent" print="0">
                <anchor moveWithCells="1" sizeWithCells="1">
                  <from>
                    <xdr:col>3</xdr:col>
                    <xdr:colOff>127000</xdr:colOff>
                    <xdr:row>0</xdr:row>
                    <xdr:rowOff>38100</xdr:rowOff>
                  </from>
                  <to>
                    <xdr:col>3</xdr:col>
                    <xdr:colOff>1428750</xdr:colOff>
                    <xdr:row>2</xdr:row>
                    <xdr:rowOff>31750</xdr:rowOff>
                  </to>
                </anchor>
              </controlPr>
            </control>
          </mc:Choice>
        </mc:AlternateContent>
      </controls>
    </mc:Choice>
  </mc:AlternateContent>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DX10407"/>
  <sheetViews>
    <sheetView topLeftCell="DD1" workbookViewId="0" zoomScale="90" zoomScaleNormal="90" zoomScalePageLayoutView="90">
      <selection activeCell="DR2" sqref="DR2"/>
    </sheetView>
  </sheetViews>
  <sheetFormatPr defaultColWidth="8.81640625" defaultRowHeight="14.5" x14ac:dyDescent="0.35"/>
  <cols>
    <col min="1" max="1" bestFit="true" customWidth="true" width="11.453125" collapsed="false"/>
    <col min="2" max="4" customWidth="true" width="11.453125" collapsed="false"/>
    <col min="5" max="5" customWidth="true" style="42" width="16.81640625" collapsed="false"/>
    <col min="6" max="6" customWidth="true" style="42" width="58.0" collapsed="false"/>
    <col min="7" max="7" customWidth="true" width="7.7265625" collapsed="false"/>
    <col min="8" max="8" bestFit="true" customWidth="true" width="15.1796875" collapsed="false"/>
    <col min="9" max="9" customWidth="true" width="15.1796875" collapsed="false"/>
    <col min="11" max="11" customWidth="true" width="10.453125" collapsed="false"/>
    <col min="12" max="12" bestFit="true" customWidth="true" width="13.26953125" collapsed="false"/>
    <col min="14" max="14" customWidth="true" width="47.81640625" collapsed="false"/>
    <col min="16" max="16" bestFit="true" customWidth="true" width="20.453125" collapsed="false"/>
    <col min="17" max="17" bestFit="true" customWidth="true" width="15.81640625" collapsed="false"/>
    <col min="24" max="24" customWidth="true" width="42.1796875" collapsed="false"/>
    <col min="25" max="25" customWidth="true" width="68.7265625" collapsed="false"/>
    <col min="27" max="27" bestFit="true" customWidth="true" width="24.453125" collapsed="false"/>
    <col min="32" max="32" customWidth="true" width="12.1796875" collapsed="false"/>
    <col min="33" max="33" customWidth="true" width="20.0" collapsed="false"/>
    <col min="34" max="34" bestFit="true" customWidth="true" width="13.1796875" collapsed="false"/>
    <col min="35" max="35" customWidth="true" width="25.26953125" collapsed="false"/>
    <col min="36" max="36" customWidth="true" width="11.81640625" collapsed="false"/>
    <col min="37" max="37" customWidth="true" width="15.453125" collapsed="false"/>
    <col min="38" max="38" customWidth="true" width="11.453125" collapsed="false"/>
    <col min="39" max="39" customWidth="true" width="18.0" collapsed="false"/>
    <col min="40" max="40" bestFit="true" customWidth="true" width="12.1796875" collapsed="false"/>
    <col min="41" max="41" customWidth="true" width="16.7265625" collapsed="false"/>
    <col min="42" max="42" customWidth="true" width="4.453125" collapsed="false"/>
    <col min="43" max="43" bestFit="true" customWidth="true" width="22.0" collapsed="false"/>
    <col min="46" max="46" bestFit="true" customWidth="true" width="37.26953125" collapsed="false"/>
    <col min="47" max="47" bestFit="true" customWidth="true" width="58.0" collapsed="false"/>
    <col min="48" max="48" bestFit="true" customWidth="true" width="25.7265625" collapsed="false"/>
    <col min="52" max="52" bestFit="true" customWidth="true" width="27.453125" collapsed="false"/>
    <col min="56" max="56" customWidth="true" width="12.26953125" collapsed="false"/>
    <col min="57" max="57" customWidth="true" width="15.7265625" collapsed="false"/>
    <col min="58" max="58" customWidth="true" width="16.0" collapsed="false"/>
    <col min="59" max="59" customWidth="true" width="18.0" collapsed="false"/>
    <col min="60" max="60" customWidth="true" width="16.453125" collapsed="false"/>
    <col min="61" max="61" customWidth="true" width="15.26953125" collapsed="false"/>
    <col min="62" max="62" customWidth="true" width="14.1796875" collapsed="false"/>
    <col min="63" max="63" customWidth="true" width="20.0" collapsed="false"/>
    <col min="64" max="64" customWidth="true" width="15.26953125" collapsed="false"/>
    <col min="65" max="65" customWidth="true" width="14.7265625" collapsed="false"/>
    <col min="66" max="66" customWidth="true" width="13.453125" collapsed="false"/>
    <col min="73" max="73" customWidth="true" width="19.7265625" collapsed="false"/>
    <col min="75" max="75" bestFit="true" customWidth="true" width="27.81640625" collapsed="false"/>
    <col min="79" max="79" bestFit="true" customWidth="true" width="29.26953125" collapsed="false"/>
    <col min="80" max="80" bestFit="true" customWidth="true" width="15.453125" collapsed="false"/>
    <col min="81" max="81" bestFit="true" customWidth="true" width="18.0" collapsed="false"/>
    <col min="82" max="82" bestFit="true" customWidth="true" width="13.81640625" collapsed="false"/>
    <col min="83" max="83" bestFit="true" customWidth="true" width="16.453125" collapsed="false"/>
    <col min="84" max="84" bestFit="true" customWidth="true" width="15.0" collapsed="false"/>
    <col min="86" max="86" bestFit="true" customWidth="true" width="17.453125" collapsed="false"/>
    <col min="89" max="89" bestFit="true" customWidth="true" width="16.26953125" collapsed="false"/>
    <col min="90" max="90" customWidth="true" width="9.453125" collapsed="false"/>
    <col min="91" max="91" bestFit="true" customWidth="true" width="14.26953125" collapsed="false"/>
    <col min="93" max="93" bestFit="true" customWidth="true" width="24.453125" collapsed="false"/>
    <col min="104" max="104" customWidth="true" width="19.453125" collapsed="false"/>
    <col min="109" max="109" bestFit="true" customWidth="true" width="19.26953125" collapsed="false"/>
  </cols>
  <sheetData>
    <row ht="21.5" r="1" spans="1:127" thickBot="1" x14ac:dyDescent="0.4">
      <c r="A1" s="50" t="s">
        <v>171</v>
      </c>
      <c r="C1" s="21" t="s">
        <v>162</v>
      </c>
      <c r="E1" s="41" t="s">
        <v>163</v>
      </c>
      <c r="F1" s="41" t="s">
        <v>164</v>
      </c>
      <c r="G1" s="26"/>
      <c r="H1" s="21" t="s">
        <v>165</v>
      </c>
      <c r="K1" s="26" t="s">
        <v>163</v>
      </c>
      <c r="L1" s="21" t="s">
        <v>166</v>
      </c>
      <c r="N1" s="26" t="s">
        <v>164</v>
      </c>
      <c r="O1" s="26"/>
      <c r="P1" s="21" t="s">
        <v>167</v>
      </c>
      <c r="X1" s="39" t="s">
        <v>168</v>
      </c>
      <c r="Y1" s="39" t="s">
        <v>169</v>
      </c>
      <c r="AA1" s="21" t="s">
        <v>170</v>
      </c>
      <c r="AF1" s="87" t="s">
        <v>257</v>
      </c>
      <c r="AG1" s="88"/>
      <c r="AH1" s="88"/>
      <c r="AI1" s="88"/>
      <c r="AJ1" s="88"/>
      <c r="AK1" s="88"/>
      <c r="AL1" s="88"/>
      <c r="AM1" s="88"/>
      <c r="AN1" s="88"/>
      <c r="AO1" s="89"/>
      <c r="AQ1" s="20" t="s">
        <v>138</v>
      </c>
      <c r="AT1" t="s">
        <v>146</v>
      </c>
      <c r="AU1">
        <f>MATCH("COUNTY*",'Employee Details'!$A$4:$AQ$4,0)+1</f>
        <v>44</v>
      </c>
      <c r="AV1" s="21" t="s">
        <v>147</v>
      </c>
      <c r="AY1" s="22"/>
      <c r="AZ1" s="21" t="s">
        <v>154</v>
      </c>
      <c r="BD1" s="90" t="s">
        <v>237</v>
      </c>
      <c r="BE1" s="91"/>
      <c r="BF1" s="91"/>
      <c r="BG1" s="91"/>
      <c r="BH1" s="91"/>
      <c r="BI1" s="91"/>
      <c r="BJ1" s="91"/>
      <c r="BK1" s="91"/>
      <c r="BL1" s="91"/>
      <c r="BM1" s="91"/>
      <c r="BN1" s="92"/>
      <c r="BU1" s="25"/>
      <c r="BV1" s="46"/>
      <c r="BW1" s="21" t="s">
        <v>270</v>
      </c>
      <c r="CA1" s="47" t="s">
        <v>272</v>
      </c>
      <c r="CB1" s="47" t="s">
        <v>273</v>
      </c>
      <c r="CC1" s="47" t="s">
        <v>274</v>
      </c>
      <c r="CD1" s="47" t="s">
        <v>275</v>
      </c>
      <c r="CE1" s="47" t="s">
        <v>276</v>
      </c>
      <c r="CF1" s="47" t="s">
        <v>277</v>
      </c>
      <c r="CH1" s="48" t="s">
        <v>278</v>
      </c>
      <c r="CK1" t="s">
        <v>287</v>
      </c>
      <c r="CL1">
        <f>IF(ISERROR(MATCH(CK1,'Employee Details'!$4:$4,0)),0,MATCH(CK1,'Employee Details'!$4:$4,0))</f>
        <v>53</v>
      </c>
      <c r="CM1" t="s">
        <v>280</v>
      </c>
      <c r="CO1" s="48" t="s">
        <v>288</v>
      </c>
      <c r="DE1" s="23" t="s">
        <v>153</v>
      </c>
      <c r="DJ1" t="s">
        <v>230</v>
      </c>
      <c r="DK1" t="s">
        <v>3</v>
      </c>
      <c r="DL1" t="s">
        <v>268</v>
      </c>
      <c r="DM1" t="s">
        <v>2343</v>
      </c>
      <c r="DN1" t="s">
        <v>2241</v>
      </c>
      <c r="DO1" t="s">
        <v>241</v>
      </c>
      <c r="DP1" t="s">
        <v>2242</v>
      </c>
      <c r="DQ1" t="s">
        <v>2243</v>
      </c>
      <c r="DR1" t="s">
        <v>2244</v>
      </c>
      <c r="DS1" t="s">
        <v>2237</v>
      </c>
      <c r="DT1" t="s">
        <v>2239</v>
      </c>
      <c r="DU1" t="s">
        <v>2238</v>
      </c>
      <c r="DV1" t="s">
        <v>2245</v>
      </c>
      <c r="DW1" t="s">
        <v>2246</v>
      </c>
    </row>
    <row ht="39.5" r="2" spans="1:127" thickBot="1" x14ac:dyDescent="0.4">
      <c r="A2" s="50" t="s">
        <v>173</v>
      </c>
      <c r="E2" t="s">
        <v>171</v>
      </c>
      <c r="F2" t="s">
        <v>301</v>
      </c>
      <c r="G2" s="28"/>
      <c r="K2" s="29"/>
      <c r="O2" s="28"/>
      <c r="P2" s="21" t="s">
        <v>172</v>
      </c>
      <c r="X2" s="40"/>
      <c r="Y2" s="40"/>
      <c r="AF2" s="43" t="s">
        <v>29</v>
      </c>
      <c r="AG2" s="43" t="s">
        <v>2285</v>
      </c>
      <c r="AH2" s="43" t="s">
        <v>31</v>
      </c>
      <c r="AI2" s="43" t="s">
        <v>2286</v>
      </c>
      <c r="AJ2" s="43" t="s">
        <v>33</v>
      </c>
      <c r="AK2" s="43" t="s">
        <v>2287</v>
      </c>
      <c r="AL2" s="43" t="s">
        <v>2354</v>
      </c>
      <c r="AM2" s="43" t="s">
        <v>2345</v>
      </c>
      <c r="AN2" s="43" t="s">
        <v>2288</v>
      </c>
      <c r="AO2" s="43" t="s">
        <v>2289</v>
      </c>
      <c r="AQ2" s="21" t="s">
        <v>139</v>
      </c>
      <c r="AT2" t="s">
        <v>144</v>
      </c>
      <c r="AU2">
        <f>Col_Heading+1</f>
        <v>5</v>
      </c>
      <c r="AV2" s="21" t="s">
        <v>148</v>
      </c>
      <c r="BD2" s="35" t="s">
        <v>63</v>
      </c>
      <c r="BE2" s="36" t="s">
        <v>156</v>
      </c>
      <c r="BF2" s="36" t="s">
        <v>136</v>
      </c>
      <c r="BG2" s="36" t="s">
        <v>157</v>
      </c>
      <c r="BH2" s="36" t="s">
        <v>137</v>
      </c>
      <c r="BI2" s="36" t="s">
        <v>158</v>
      </c>
      <c r="BJ2" s="36" t="s">
        <v>159</v>
      </c>
      <c r="BK2" s="37" t="s">
        <v>2346</v>
      </c>
      <c r="BL2" s="36" t="s">
        <v>160</v>
      </c>
      <c r="BM2" s="36" t="s">
        <v>161</v>
      </c>
      <c r="BN2" s="38" t="s">
        <v>231</v>
      </c>
      <c r="BU2" s="34"/>
      <c r="BV2" s="34"/>
      <c r="BW2" s="21" t="s">
        <v>271</v>
      </c>
      <c r="CA2" t="s">
        <v>279</v>
      </c>
      <c r="CB2">
        <f>MATCH(CA2,'Employee Details'!$4:$4,0)</f>
        <v>7</v>
      </c>
      <c r="CC2" t="s">
        <v>280</v>
      </c>
      <c r="CD2" t="s">
        <v>281</v>
      </c>
      <c r="DE2" s="24" t="s">
        <v>152</v>
      </c>
      <c r="DJ2" t="s">
        <v>2357</v>
      </c>
      <c r="DK2" t="s">
        <v>2362</v>
      </c>
      <c r="DL2" t="s">
        <v>2247</v>
      </c>
      <c r="DM2" t="s">
        <v>2248</v>
      </c>
      <c r="DN2" t="s">
        <v>2249</v>
      </c>
      <c r="DO2" t="s">
        <v>2250</v>
      </c>
      <c r="DP2" t="s">
        <v>2251</v>
      </c>
      <c r="DQ2" t="s">
        <v>2252</v>
      </c>
      <c r="DR2" t="s">
        <v>2253</v>
      </c>
      <c r="DS2" t="s">
        <v>2254</v>
      </c>
      <c r="DT2" t="s">
        <v>2255</v>
      </c>
      <c r="DU2" t="s">
        <v>2256</v>
      </c>
      <c r="DV2" t="s">
        <v>2257</v>
      </c>
      <c r="DW2" t="s">
        <v>2248</v>
      </c>
    </row>
    <row r="3" spans="1:127" x14ac:dyDescent="0.35">
      <c r="A3" s="50" t="s">
        <v>175</v>
      </c>
      <c r="E3" t="s">
        <v>171</v>
      </c>
      <c r="F3" t="s">
        <v>302</v>
      </c>
      <c r="G3" s="28"/>
      <c r="K3" s="30"/>
      <c r="O3" s="28"/>
      <c r="P3" s="21" t="s">
        <v>174</v>
      </c>
      <c r="X3" s="40"/>
      <c r="Y3" s="40"/>
      <c r="AF3" s="34"/>
      <c r="AG3" s="34"/>
      <c r="AH3" s="34"/>
      <c r="AI3" s="34"/>
      <c r="AJ3" s="34"/>
      <c r="AK3" s="44"/>
      <c r="AL3" s="34"/>
      <c r="AM3" s="34"/>
      <c r="AN3" s="33"/>
      <c r="AO3" s="33"/>
      <c r="AQ3" s="21" t="s">
        <v>258</v>
      </c>
      <c r="AT3" t="s">
        <v>145</v>
      </c>
      <c r="AU3">
        <v>4</v>
      </c>
      <c r="AV3" s="21" t="s">
        <v>149</v>
      </c>
      <c r="BD3" s="34"/>
      <c r="BE3" s="34"/>
      <c r="BF3" s="34"/>
      <c r="BG3" s="34"/>
      <c r="BH3" s="34"/>
      <c r="BI3" s="44"/>
      <c r="BJ3" s="34"/>
      <c r="BK3" s="34"/>
      <c r="BL3" s="33"/>
      <c r="BM3" s="33"/>
      <c r="BN3" s="33"/>
      <c r="CA3" t="s">
        <v>282</v>
      </c>
      <c r="CB3">
        <f>MATCH(CA3,'Employee Details'!$4:$4,0)</f>
        <v>13</v>
      </c>
      <c r="CC3" t="s">
        <v>280</v>
      </c>
      <c r="CD3" t="s">
        <v>281</v>
      </c>
      <c r="CK3" t="s">
        <v>260</v>
      </c>
      <c r="CL3">
        <f>IF(ISERROR(MATCH(CK3,'Employee Details'!$4:$4,0)),0,MATCH(CK3,'Employee Details'!$4:$4,0))</f>
        <v>48</v>
      </c>
      <c r="CO3" s="48" t="s">
        <v>292</v>
      </c>
      <c r="DJ3" t="s">
        <v>2358</v>
      </c>
      <c r="DK3" t="s">
        <v>2363</v>
      </c>
      <c r="DL3" t="s">
        <v>2258</v>
      </c>
      <c r="DM3" t="s">
        <v>2259</v>
      </c>
      <c r="DN3" t="s">
        <v>2260</v>
      </c>
      <c r="DO3" t="s">
        <v>2261</v>
      </c>
      <c r="DP3" t="s">
        <v>2262</v>
      </c>
      <c r="DQ3" t="s">
        <v>2263</v>
      </c>
      <c r="DR3" t="s">
        <v>2264</v>
      </c>
      <c r="DS3" t="s">
        <v>2265</v>
      </c>
      <c r="DT3" t="s">
        <v>2266</v>
      </c>
      <c r="DU3" t="s">
        <v>2267</v>
      </c>
      <c r="DV3" t="s">
        <v>2268</v>
      </c>
      <c r="DW3" t="s">
        <v>2269</v>
      </c>
    </row>
    <row r="4" spans="1:127" x14ac:dyDescent="0.35">
      <c r="A4" s="50" t="s">
        <v>293</v>
      </c>
      <c r="E4" t="s">
        <v>171</v>
      </c>
      <c r="F4" t="s">
        <v>303</v>
      </c>
      <c r="G4" s="28"/>
      <c r="K4" s="27"/>
      <c r="O4" s="28"/>
      <c r="X4" s="40"/>
      <c r="Y4" s="40"/>
      <c r="AT4" t="s">
        <v>151</v>
      </c>
      <c r="AU4">
        <f>Col_Heading-1</f>
        <v>3</v>
      </c>
      <c r="AV4" s="21" t="s">
        <v>150</v>
      </c>
      <c r="CA4" t="s">
        <v>240</v>
      </c>
      <c r="CB4">
        <f>MATCH(CA4,'Employee Details'!$4:$4,0)</f>
        <v>14</v>
      </c>
      <c r="CC4" t="s">
        <v>280</v>
      </c>
      <c r="CD4" t="s">
        <v>281</v>
      </c>
      <c r="DJ4" t="s">
        <v>2359</v>
      </c>
      <c r="DK4" t="s">
        <v>2270</v>
      </c>
      <c r="DL4" t="s">
        <v>76</v>
      </c>
      <c r="DO4" t="s">
        <v>2271</v>
      </c>
      <c r="DP4" t="s">
        <v>2272</v>
      </c>
      <c r="DR4" t="s">
        <v>2273</v>
      </c>
      <c r="DV4" t="s">
        <v>2274</v>
      </c>
    </row>
    <row r="5" spans="1:127" x14ac:dyDescent="0.35">
      <c r="A5" s="50" t="s">
        <v>177</v>
      </c>
      <c r="E5" t="s">
        <v>171</v>
      </c>
      <c r="F5" t="s">
        <v>304</v>
      </c>
      <c r="G5" s="28"/>
      <c r="K5" s="27"/>
      <c r="O5" s="28"/>
      <c r="X5" s="40"/>
      <c r="Y5" s="40"/>
      <c r="AT5" t="s">
        <v>225</v>
      </c>
      <c r="AU5">
        <f>MATCH("State(Abbreviation)*",'Employee Details'!$A$4:$AQ$4,0)</f>
        <v>42</v>
      </c>
      <c r="AV5" s="21" t="s">
        <v>226</v>
      </c>
      <c r="CA5" t="s">
        <v>13</v>
      </c>
      <c r="CB5">
        <v>20</v>
      </c>
      <c r="CC5" s="49" t="s">
        <v>283</v>
      </c>
      <c r="CD5" t="s">
        <v>284</v>
      </c>
      <c r="CE5" t="s">
        <v>285</v>
      </c>
      <c r="CF5">
        <v>10</v>
      </c>
      <c r="DJ5" t="s">
        <v>2360</v>
      </c>
      <c r="DK5" t="s">
        <v>2275</v>
      </c>
      <c r="DL5" t="s">
        <v>2378</v>
      </c>
      <c r="DO5" t="s">
        <v>2276</v>
      </c>
      <c r="DR5" t="s">
        <v>2277</v>
      </c>
      <c r="DV5" t="s">
        <v>2278</v>
      </c>
    </row>
    <row r="6" spans="1:127" x14ac:dyDescent="0.35">
      <c r="A6" s="50" t="s">
        <v>178</v>
      </c>
      <c r="E6" t="s">
        <v>171</v>
      </c>
      <c r="F6" t="s">
        <v>305</v>
      </c>
      <c r="G6" s="28"/>
      <c r="K6" s="27"/>
      <c r="O6" s="28"/>
      <c r="X6" s="40"/>
      <c r="Y6" s="40"/>
      <c r="AT6" t="s">
        <v>227</v>
      </c>
      <c r="AV6" s="21" t="s">
        <v>176</v>
      </c>
      <c r="CA6" t="s">
        <v>2350</v>
      </c>
      <c r="CB6">
        <f>MATCH(CA6,'Employee Details'!$4:$4,0)</f>
        <v>23</v>
      </c>
      <c r="CC6" t="s">
        <v>286</v>
      </c>
      <c r="CD6" t="s">
        <v>284</v>
      </c>
      <c r="CE6" t="s">
        <v>285</v>
      </c>
      <c r="CF6">
        <v>2</v>
      </c>
      <c r="DJ6" t="s">
        <v>2361</v>
      </c>
      <c r="DK6" t="s">
        <v>2279</v>
      </c>
      <c r="DO6" t="s">
        <v>2280</v>
      </c>
    </row>
    <row r="7" spans="1:127" x14ac:dyDescent="0.35">
      <c r="A7" s="50" t="s">
        <v>179</v>
      </c>
      <c r="E7" t="s">
        <v>171</v>
      </c>
      <c r="F7" t="s">
        <v>306</v>
      </c>
      <c r="G7" s="28"/>
      <c r="K7" s="27"/>
      <c r="O7" s="28"/>
      <c r="X7" s="40"/>
      <c r="Y7" s="40"/>
      <c r="AT7" t="s">
        <v>234</v>
      </c>
      <c r="AU7" t="e">
        <f>MATCH("Employment Type I*",'Employee Details'!$A$4:$AQ$4,0)</f>
        <v>#N/A</v>
      </c>
      <c r="AV7" s="21" t="s">
        <v>233</v>
      </c>
      <c r="CA7" t="s">
        <v>2349</v>
      </c>
      <c r="CB7">
        <f>MATCH(CA7,'Employee Details'!$4:$4,0)</f>
        <v>24</v>
      </c>
      <c r="CC7" t="s">
        <v>286</v>
      </c>
      <c r="CD7" t="s">
        <v>284</v>
      </c>
      <c r="CE7" t="s">
        <v>285</v>
      </c>
      <c r="CF7">
        <v>5</v>
      </c>
      <c r="DK7" t="s">
        <v>2284</v>
      </c>
    </row>
    <row r="8" spans="1:127" x14ac:dyDescent="0.35">
      <c r="A8" s="50" t="s">
        <v>180</v>
      </c>
      <c r="E8" t="s">
        <v>171</v>
      </c>
      <c r="F8" t="s">
        <v>307</v>
      </c>
      <c r="G8" s="28"/>
      <c r="K8" s="27"/>
      <c r="O8" s="28"/>
      <c r="X8" s="40"/>
      <c r="Y8" s="40"/>
      <c r="AT8" t="s">
        <v>235</v>
      </c>
      <c r="AU8">
        <v>1100</v>
      </c>
      <c r="AV8" s="21" t="s">
        <v>236</v>
      </c>
      <c r="CA8" t="s">
        <v>22</v>
      </c>
      <c r="CB8">
        <f>MATCH(CA8,'Employee Details'!$4:$4,0)</f>
        <v>37</v>
      </c>
      <c r="CC8" t="s">
        <v>286</v>
      </c>
      <c r="CD8" t="s">
        <v>2342</v>
      </c>
      <c r="CE8" t="s">
        <v>285</v>
      </c>
      <c r="CF8">
        <v>10</v>
      </c>
    </row>
    <row r="9" spans="1:127" x14ac:dyDescent="0.35">
      <c r="A9" s="50" t="s">
        <v>181</v>
      </c>
      <c r="E9" t="s">
        <v>171</v>
      </c>
      <c r="F9" t="s">
        <v>308</v>
      </c>
      <c r="G9" s="28"/>
      <c r="K9" s="27"/>
      <c r="O9" s="28"/>
      <c r="X9" s="40"/>
      <c r="Y9" s="40"/>
      <c r="AT9" t="s">
        <v>238</v>
      </c>
      <c r="AU9" t="e">
        <f>MATCH("Others (Employment-Type I)*",'Employee Details'!$A$4:$AQ$4,0)</f>
        <v>#N/A</v>
      </c>
      <c r="AV9" s="21" t="s">
        <v>239</v>
      </c>
    </row>
    <row r="10" spans="1:127" x14ac:dyDescent="0.35">
      <c r="A10" s="50" t="s">
        <v>182</v>
      </c>
      <c r="E10" t="s">
        <v>171</v>
      </c>
      <c r="F10" t="s">
        <v>309</v>
      </c>
      <c r="G10" s="28"/>
      <c r="K10" s="27"/>
      <c r="O10" s="28"/>
      <c r="X10" s="40"/>
      <c r="Y10" s="40"/>
      <c r="AT10" t="s">
        <v>242</v>
      </c>
      <c r="AU10">
        <f>MATCH("Employment
Status*",'Employee Details'!$A$4:$AQ$4,0)</f>
        <v>12</v>
      </c>
      <c r="AV10" s="21" t="s">
        <v>245</v>
      </c>
    </row>
    <row r="11" spans="1:127" x14ac:dyDescent="0.35">
      <c r="A11" s="50" t="s">
        <v>183</v>
      </c>
      <c r="E11" t="s">
        <v>171</v>
      </c>
      <c r="F11" t="s">
        <v>310</v>
      </c>
      <c r="G11" s="28"/>
      <c r="K11" s="27"/>
      <c r="O11" s="28"/>
      <c r="X11" s="40"/>
      <c r="Y11" s="40"/>
      <c r="AT11" t="s">
        <v>243</v>
      </c>
      <c r="AU11">
        <f>MATCH("Termination Date",'Employee Details'!$A$4:$AQ$4,0)</f>
        <v>14</v>
      </c>
      <c r="AV11" s="21" t="s">
        <v>246</v>
      </c>
    </row>
    <row r="12" spans="1:127" x14ac:dyDescent="0.35">
      <c r="A12" s="50" t="s">
        <v>294</v>
      </c>
      <c r="E12" t="s">
        <v>171</v>
      </c>
      <c r="F12" t="s">
        <v>311</v>
      </c>
      <c r="G12" s="28"/>
      <c r="K12" s="27"/>
      <c r="O12" s="28"/>
      <c r="X12" s="40"/>
      <c r="Y12" s="40"/>
      <c r="AT12" s="45" t="s">
        <v>244</v>
      </c>
      <c r="AU12" s="45" t="s">
        <v>269</v>
      </c>
      <c r="AV12" s="21" t="s">
        <v>247</v>
      </c>
    </row>
    <row r="13" spans="1:127" x14ac:dyDescent="0.35">
      <c r="A13" s="50" t="s">
        <v>184</v>
      </c>
      <c r="E13" t="s">
        <v>171</v>
      </c>
      <c r="F13" t="s">
        <v>312</v>
      </c>
      <c r="G13" s="28"/>
      <c r="K13" s="27"/>
      <c r="O13" s="28"/>
      <c r="X13" s="40"/>
      <c r="Y13" s="40"/>
      <c r="AT13" t="s">
        <v>241</v>
      </c>
      <c r="AU13">
        <f>MATCH("Termination Reason",'Employee Details'!$A$4:$AQ$4,0)</f>
        <v>15</v>
      </c>
      <c r="AV13" s="21" t="s">
        <v>248</v>
      </c>
    </row>
    <row r="14" spans="1:127" x14ac:dyDescent="0.35">
      <c r="A14" s="50" t="s">
        <v>295</v>
      </c>
      <c r="E14" t="s">
        <v>171</v>
      </c>
      <c r="F14" t="s">
        <v>313</v>
      </c>
      <c r="G14" s="28"/>
      <c r="K14" s="31"/>
      <c r="O14" s="28"/>
      <c r="X14" s="40"/>
      <c r="Y14" s="40"/>
      <c r="AT14" t="s">
        <v>2350</v>
      </c>
      <c r="AU14">
        <f>MATCH("Working Hours per Week(Digits)**",'Employee Details'!$A$4:$AQ$4,0)</f>
        <v>23</v>
      </c>
      <c r="AV14" s="21" t="s">
        <v>249</v>
      </c>
    </row>
    <row r="15" spans="1:127" x14ac:dyDescent="0.35">
      <c r="A15" s="50" t="s">
        <v>185</v>
      </c>
      <c r="E15" t="s">
        <v>171</v>
      </c>
      <c r="F15" t="s">
        <v>314</v>
      </c>
      <c r="G15" s="28"/>
      <c r="K15" s="27"/>
      <c r="O15" s="28"/>
      <c r="X15" s="40"/>
      <c r="Y15" s="40"/>
      <c r="AT15" t="s">
        <v>250</v>
      </c>
      <c r="AU15">
        <f>MATCH("COUNTY*",'Employee Details'!$A$4:$AQ$4,0)</f>
        <v>43</v>
      </c>
      <c r="AV15" s="21" t="s">
        <v>251</v>
      </c>
    </row>
    <row r="16" spans="1:127" x14ac:dyDescent="0.35">
      <c r="A16" s="50" t="s">
        <v>186</v>
      </c>
      <c r="E16" t="s">
        <v>171</v>
      </c>
      <c r="F16" t="s">
        <v>315</v>
      </c>
      <c r="G16" s="28"/>
      <c r="K16" s="27"/>
      <c r="O16" s="28"/>
      <c r="X16" s="40"/>
      <c r="Y16" s="40"/>
      <c r="AT16" t="s">
        <v>253</v>
      </c>
      <c r="AU16">
        <f>MATCH("Pay Type*",'Employee Details'!$A$4:$AQ$4,0)</f>
        <v>18</v>
      </c>
      <c r="AV16" s="21" t="s">
        <v>256</v>
      </c>
    </row>
    <row r="17" spans="1:48" x14ac:dyDescent="0.35">
      <c r="A17" s="50" t="s">
        <v>187</v>
      </c>
      <c r="E17" t="s">
        <v>171</v>
      </c>
      <c r="F17" t="s">
        <v>316</v>
      </c>
      <c r="G17" s="28"/>
      <c r="O17" s="28"/>
      <c r="X17" s="40"/>
      <c r="Y17" s="40"/>
      <c r="AT17" t="s">
        <v>254</v>
      </c>
      <c r="AU17" t="e">
        <f>MATCH("Pay Frequency*",'Employee Details'!$A$4:$AQ$4,0)</f>
        <v>#N/A</v>
      </c>
      <c r="AV17" s="21" t="s">
        <v>255</v>
      </c>
    </row>
    <row r="18" spans="1:48" x14ac:dyDescent="0.35">
      <c r="A18" s="50" t="s">
        <v>188</v>
      </c>
      <c r="E18" t="s">
        <v>171</v>
      </c>
      <c r="F18" t="s">
        <v>317</v>
      </c>
      <c r="G18" s="28"/>
      <c r="O18" s="28"/>
      <c r="X18" s="40"/>
      <c r="Y18" s="40"/>
      <c r="AT18" t="s">
        <v>261</v>
      </c>
      <c r="AU18" t="s">
        <v>260</v>
      </c>
      <c r="AV18" s="21" t="s">
        <v>262</v>
      </c>
    </row>
    <row r="19" spans="1:48" x14ac:dyDescent="0.35">
      <c r="A19" s="50" t="s">
        <v>189</v>
      </c>
      <c r="E19" t="s">
        <v>171</v>
      </c>
      <c r="F19" t="s">
        <v>318</v>
      </c>
      <c r="G19" s="28"/>
      <c r="O19" s="28"/>
      <c r="X19" s="40"/>
      <c r="Y19" s="40"/>
      <c r="AT19" t="s">
        <v>289</v>
      </c>
      <c r="AU19">
        <f>MATCH("Employee SSN",'Employee Details'!$A$4:$AQ$4,0)</f>
        <v>9</v>
      </c>
      <c r="AV19" s="21" t="s">
        <v>290</v>
      </c>
    </row>
    <row r="20" spans="1:48" x14ac:dyDescent="0.35">
      <c r="A20" s="50" t="s">
        <v>190</v>
      </c>
      <c r="E20" t="s">
        <v>171</v>
      </c>
      <c r="F20" t="s">
        <v>319</v>
      </c>
      <c r="G20" s="28"/>
      <c r="O20" s="28"/>
      <c r="X20" s="40"/>
      <c r="Y20" s="40"/>
      <c r="AT20" t="s">
        <v>2350</v>
      </c>
      <c r="AU20">
        <f>MATCH("Hourly Pay Rate**",'Employee Details'!$A$4:$AQ$4,0)</f>
        <v>24</v>
      </c>
      <c r="AV20" s="21" t="s">
        <v>291</v>
      </c>
    </row>
    <row r="21" spans="1:48" x14ac:dyDescent="0.35">
      <c r="A21" s="50" t="s">
        <v>191</v>
      </c>
      <c r="E21" t="s">
        <v>171</v>
      </c>
      <c r="F21" t="s">
        <v>320</v>
      </c>
      <c r="G21" s="28"/>
      <c r="O21" s="28"/>
      <c r="X21" s="40"/>
      <c r="Y21" s="40"/>
      <c r="AT21" t="s">
        <v>2382</v>
      </c>
      <c r="AU21" t="s">
        <v>2383</v>
      </c>
      <c r="AV21" t="s">
        <v>2384</v>
      </c>
    </row>
    <row r="22" spans="1:48" x14ac:dyDescent="0.35">
      <c r="A22" s="50" t="s">
        <v>192</v>
      </c>
      <c r="E22" t="s">
        <v>171</v>
      </c>
      <c r="F22" t="s">
        <v>321</v>
      </c>
      <c r="G22" s="28"/>
      <c r="O22" s="28"/>
      <c r="X22" s="40"/>
      <c r="Y22" s="40"/>
    </row>
    <row r="23" spans="1:48" x14ac:dyDescent="0.35">
      <c r="A23" s="50" t="s">
        <v>193</v>
      </c>
      <c r="E23" t="s">
        <v>171</v>
      </c>
      <c r="F23" t="s">
        <v>322</v>
      </c>
      <c r="G23" s="28"/>
      <c r="O23" s="28"/>
      <c r="X23" s="40"/>
      <c r="Y23" s="40"/>
    </row>
    <row r="24" spans="1:48" x14ac:dyDescent="0.35">
      <c r="A24" s="50" t="s">
        <v>194</v>
      </c>
      <c r="E24" t="s">
        <v>171</v>
      </c>
      <c r="F24" t="s">
        <v>323</v>
      </c>
      <c r="G24" s="28"/>
      <c r="O24" s="28"/>
      <c r="X24" s="40"/>
      <c r="Y24" s="40"/>
    </row>
    <row r="25" spans="1:48" x14ac:dyDescent="0.35">
      <c r="A25" s="50" t="s">
        <v>195</v>
      </c>
      <c r="E25" t="s">
        <v>171</v>
      </c>
      <c r="F25" t="s">
        <v>324</v>
      </c>
      <c r="G25" s="28"/>
      <c r="O25" s="28"/>
      <c r="X25" s="40"/>
      <c r="Y25" s="40"/>
    </row>
    <row r="26" spans="1:48" x14ac:dyDescent="0.35">
      <c r="A26" s="50" t="s">
        <v>296</v>
      </c>
      <c r="E26" t="s">
        <v>171</v>
      </c>
      <c r="F26" t="s">
        <v>325</v>
      </c>
      <c r="G26" s="28"/>
      <c r="O26" s="28"/>
      <c r="X26" s="40"/>
      <c r="Y26" s="40"/>
    </row>
    <row r="27" spans="1:48" x14ac:dyDescent="0.35">
      <c r="A27" s="50" t="s">
        <v>196</v>
      </c>
      <c r="E27" t="s">
        <v>171</v>
      </c>
      <c r="F27" t="s">
        <v>326</v>
      </c>
      <c r="G27" s="28"/>
      <c r="O27" s="28"/>
      <c r="X27" s="40"/>
      <c r="Y27" s="40"/>
    </row>
    <row r="28" spans="1:48" x14ac:dyDescent="0.35">
      <c r="A28" s="50" t="s">
        <v>197</v>
      </c>
      <c r="E28" t="s">
        <v>171</v>
      </c>
      <c r="F28" t="s">
        <v>327</v>
      </c>
      <c r="G28" s="28"/>
      <c r="O28" s="28"/>
      <c r="X28" s="40"/>
      <c r="Y28" s="40"/>
    </row>
    <row r="29" spans="1:48" x14ac:dyDescent="0.35">
      <c r="A29" s="50" t="s">
        <v>198</v>
      </c>
      <c r="E29" t="s">
        <v>171</v>
      </c>
      <c r="F29" t="s">
        <v>328</v>
      </c>
      <c r="G29" s="28"/>
      <c r="O29" s="28"/>
      <c r="X29" s="40"/>
      <c r="Y29" s="40"/>
    </row>
    <row r="30" spans="1:48" x14ac:dyDescent="0.35">
      <c r="A30" s="50" t="s">
        <v>297</v>
      </c>
      <c r="E30" t="s">
        <v>171</v>
      </c>
      <c r="F30" t="s">
        <v>329</v>
      </c>
      <c r="G30" s="28"/>
      <c r="O30" s="28"/>
      <c r="X30" s="40"/>
      <c r="Y30" s="40"/>
    </row>
    <row r="31" spans="1:48" x14ac:dyDescent="0.35">
      <c r="A31" s="50" t="s">
        <v>199</v>
      </c>
      <c r="E31" t="s">
        <v>173</v>
      </c>
      <c r="F31" t="s">
        <v>330</v>
      </c>
      <c r="G31" s="28"/>
      <c r="O31" s="28"/>
      <c r="X31" s="40"/>
      <c r="Y31" s="40"/>
    </row>
    <row r="32" spans="1:48" x14ac:dyDescent="0.35">
      <c r="A32" s="50" t="s">
        <v>200</v>
      </c>
      <c r="E32" t="s">
        <v>173</v>
      </c>
      <c r="F32" t="s">
        <v>331</v>
      </c>
      <c r="G32" s="28"/>
      <c r="O32" s="28"/>
      <c r="X32" s="40"/>
      <c r="Y32" s="40"/>
    </row>
    <row r="33" spans="1:25" x14ac:dyDescent="0.35">
      <c r="A33" s="50" t="s">
        <v>201</v>
      </c>
      <c r="E33" t="s">
        <v>173</v>
      </c>
      <c r="F33" t="s">
        <v>332</v>
      </c>
      <c r="G33" s="28"/>
      <c r="O33" s="28"/>
      <c r="X33" s="40"/>
      <c r="Y33" s="40"/>
    </row>
    <row r="34" spans="1:25" x14ac:dyDescent="0.35">
      <c r="A34" s="50" t="s">
        <v>202</v>
      </c>
      <c r="E34" t="s">
        <v>173</v>
      </c>
      <c r="F34" t="s">
        <v>333</v>
      </c>
      <c r="G34" s="28"/>
      <c r="O34" s="28"/>
      <c r="X34" s="40"/>
      <c r="Y34" s="40"/>
    </row>
    <row r="35" spans="1:25" x14ac:dyDescent="0.35">
      <c r="A35" s="50" t="s">
        <v>203</v>
      </c>
      <c r="E35" t="s">
        <v>173</v>
      </c>
      <c r="F35" t="s">
        <v>334</v>
      </c>
      <c r="G35" s="28"/>
      <c r="O35" s="28"/>
      <c r="X35" s="40"/>
      <c r="Y35" s="40"/>
    </row>
    <row r="36" spans="1:25" x14ac:dyDescent="0.35">
      <c r="A36" s="50" t="s">
        <v>204</v>
      </c>
      <c r="E36" t="s">
        <v>173</v>
      </c>
      <c r="F36" t="s">
        <v>335</v>
      </c>
      <c r="G36" s="28"/>
      <c r="O36" s="28"/>
      <c r="X36" s="40"/>
      <c r="Y36" s="40"/>
    </row>
    <row r="37" spans="1:25" x14ac:dyDescent="0.35">
      <c r="A37" s="50" t="s">
        <v>205</v>
      </c>
      <c r="E37" t="s">
        <v>173</v>
      </c>
      <c r="F37" t="s">
        <v>336</v>
      </c>
      <c r="G37" s="28"/>
      <c r="O37" s="28"/>
      <c r="X37" s="40"/>
      <c r="Y37" s="40"/>
    </row>
    <row r="38" spans="1:25" x14ac:dyDescent="0.35">
      <c r="A38" s="50" t="s">
        <v>206</v>
      </c>
      <c r="E38" t="s">
        <v>173</v>
      </c>
      <c r="F38" t="s">
        <v>337</v>
      </c>
      <c r="G38" s="28"/>
      <c r="O38" s="28"/>
      <c r="X38" s="40"/>
      <c r="Y38" s="40"/>
    </row>
    <row r="39" spans="1:25" x14ac:dyDescent="0.35">
      <c r="A39" s="50" t="s">
        <v>207</v>
      </c>
      <c r="E39" t="s">
        <v>173</v>
      </c>
      <c r="F39" t="s">
        <v>338</v>
      </c>
      <c r="G39" s="28"/>
      <c r="O39" s="28"/>
      <c r="X39" s="40"/>
      <c r="Y39" s="40"/>
    </row>
    <row r="40" spans="1:25" x14ac:dyDescent="0.35">
      <c r="A40" s="50" t="s">
        <v>208</v>
      </c>
      <c r="E40" t="s">
        <v>173</v>
      </c>
      <c r="F40" t="s">
        <v>339</v>
      </c>
      <c r="G40" s="28"/>
      <c r="O40" s="28"/>
      <c r="X40" s="40"/>
      <c r="Y40" s="40"/>
    </row>
    <row r="41" spans="1:25" x14ac:dyDescent="0.35">
      <c r="A41" s="50" t="s">
        <v>209</v>
      </c>
      <c r="E41" t="s">
        <v>173</v>
      </c>
      <c r="F41" t="s">
        <v>340</v>
      </c>
      <c r="G41" s="28"/>
      <c r="O41" s="28"/>
      <c r="X41" s="40"/>
      <c r="Y41" s="40"/>
    </row>
    <row r="42" spans="1:25" x14ac:dyDescent="0.35">
      <c r="A42" s="50" t="s">
        <v>210</v>
      </c>
      <c r="E42" t="s">
        <v>173</v>
      </c>
      <c r="F42" t="s">
        <v>341</v>
      </c>
      <c r="G42" s="28"/>
      <c r="O42" s="28"/>
      <c r="X42" s="40"/>
      <c r="Y42" s="40"/>
    </row>
    <row r="43" spans="1:25" x14ac:dyDescent="0.35">
      <c r="A43" s="50" t="s">
        <v>211</v>
      </c>
      <c r="E43" t="s">
        <v>173</v>
      </c>
      <c r="F43" t="s">
        <v>342</v>
      </c>
      <c r="G43" s="28"/>
      <c r="O43" s="28"/>
      <c r="X43" s="40"/>
      <c r="Y43" s="40"/>
    </row>
    <row r="44" spans="1:25" x14ac:dyDescent="0.35">
      <c r="A44" s="50" t="s">
        <v>212</v>
      </c>
      <c r="E44" t="s">
        <v>173</v>
      </c>
      <c r="F44" t="s">
        <v>343</v>
      </c>
      <c r="G44" s="28"/>
      <c r="O44" s="28"/>
      <c r="X44" s="40"/>
      <c r="Y44" s="40"/>
    </row>
    <row r="45" spans="1:25" x14ac:dyDescent="0.35">
      <c r="A45" s="50" t="s">
        <v>298</v>
      </c>
      <c r="E45" t="s">
        <v>173</v>
      </c>
      <c r="F45" t="s">
        <v>344</v>
      </c>
      <c r="G45" s="28"/>
      <c r="O45" s="28"/>
      <c r="X45" s="40"/>
      <c r="Y45" s="40"/>
    </row>
    <row r="46" spans="1:25" x14ac:dyDescent="0.35">
      <c r="A46" s="50" t="s">
        <v>299</v>
      </c>
      <c r="E46" t="s">
        <v>173</v>
      </c>
      <c r="F46" t="s">
        <v>345</v>
      </c>
      <c r="G46" s="28"/>
      <c r="O46" s="28"/>
      <c r="X46" s="40"/>
      <c r="Y46" s="40"/>
    </row>
    <row r="47" spans="1:25" x14ac:dyDescent="0.35">
      <c r="A47" s="50" t="s">
        <v>213</v>
      </c>
      <c r="E47" t="s">
        <v>173</v>
      </c>
      <c r="F47" t="s">
        <v>346</v>
      </c>
      <c r="G47" s="28"/>
      <c r="O47" s="28"/>
      <c r="X47" s="40"/>
      <c r="Y47" s="40"/>
    </row>
    <row r="48" spans="1:25" x14ac:dyDescent="0.35">
      <c r="A48" s="50" t="s">
        <v>214</v>
      </c>
      <c r="E48" t="s">
        <v>173</v>
      </c>
      <c r="F48" t="s">
        <v>347</v>
      </c>
      <c r="G48" s="28"/>
      <c r="O48" s="28"/>
      <c r="X48" s="40"/>
      <c r="Y48" s="40"/>
    </row>
    <row r="49" spans="1:25" x14ac:dyDescent="0.35">
      <c r="A49" s="50" t="s">
        <v>215</v>
      </c>
      <c r="E49" t="s">
        <v>173</v>
      </c>
      <c r="F49" t="s">
        <v>348</v>
      </c>
      <c r="G49" s="28"/>
      <c r="O49" s="28"/>
      <c r="X49" s="40"/>
      <c r="Y49" s="40"/>
    </row>
    <row r="50" spans="1:25" x14ac:dyDescent="0.35">
      <c r="A50" s="50" t="s">
        <v>216</v>
      </c>
      <c r="E50" t="s">
        <v>173</v>
      </c>
      <c r="F50" t="s">
        <v>349</v>
      </c>
      <c r="G50" s="28"/>
      <c r="O50" s="28"/>
      <c r="X50" s="40"/>
      <c r="Y50" s="40"/>
    </row>
    <row r="51" spans="1:25" x14ac:dyDescent="0.35">
      <c r="A51" s="50" t="s">
        <v>217</v>
      </c>
      <c r="E51" t="s">
        <v>173</v>
      </c>
      <c r="F51" t="s">
        <v>350</v>
      </c>
      <c r="G51" s="28"/>
      <c r="O51" s="28"/>
      <c r="X51" s="40"/>
      <c r="Y51" s="40"/>
    </row>
    <row r="52" spans="1:25" x14ac:dyDescent="0.35">
      <c r="A52" s="50" t="s">
        <v>218</v>
      </c>
      <c r="E52" t="s">
        <v>173</v>
      </c>
      <c r="F52" t="s">
        <v>351</v>
      </c>
      <c r="G52" s="28"/>
      <c r="O52" s="28"/>
      <c r="X52" s="40"/>
      <c r="Y52" s="40"/>
    </row>
    <row r="53" spans="1:25" x14ac:dyDescent="0.35">
      <c r="A53" s="50" t="s">
        <v>219</v>
      </c>
      <c r="E53" t="s">
        <v>173</v>
      </c>
      <c r="F53" t="s">
        <v>352</v>
      </c>
      <c r="G53" s="28"/>
      <c r="O53" s="28"/>
      <c r="X53" s="40"/>
      <c r="Y53" s="40"/>
    </row>
    <row r="54" spans="1:25" x14ac:dyDescent="0.35">
      <c r="A54" s="50" t="s">
        <v>300</v>
      </c>
      <c r="E54" t="s">
        <v>173</v>
      </c>
      <c r="F54" t="s">
        <v>353</v>
      </c>
      <c r="G54" s="28"/>
      <c r="O54" s="28"/>
      <c r="X54" s="40"/>
      <c r="Y54" s="40"/>
    </row>
    <row r="55" spans="1:25" x14ac:dyDescent="0.35">
      <c r="A55" s="50" t="s">
        <v>220</v>
      </c>
      <c r="E55" t="s">
        <v>173</v>
      </c>
      <c r="F55" t="s">
        <v>354</v>
      </c>
      <c r="G55" s="28"/>
      <c r="O55" s="28"/>
      <c r="X55" s="40"/>
      <c r="Y55" s="40"/>
    </row>
    <row r="56" spans="1:25" x14ac:dyDescent="0.35">
      <c r="A56" s="50" t="s">
        <v>221</v>
      </c>
      <c r="E56" t="s">
        <v>173</v>
      </c>
      <c r="F56" t="s">
        <v>355</v>
      </c>
      <c r="G56" s="28"/>
      <c r="O56" s="28"/>
      <c r="X56" s="40"/>
      <c r="Y56" s="40"/>
    </row>
    <row r="57" spans="1:25" x14ac:dyDescent="0.35">
      <c r="A57" s="50" t="s">
        <v>222</v>
      </c>
      <c r="E57" t="s">
        <v>173</v>
      </c>
      <c r="F57" t="s">
        <v>356</v>
      </c>
      <c r="G57" s="28"/>
      <c r="O57" s="28"/>
      <c r="X57" s="40"/>
      <c r="Y57" s="40"/>
    </row>
    <row r="58" spans="1:25" x14ac:dyDescent="0.35">
      <c r="A58" s="50" t="s">
        <v>223</v>
      </c>
      <c r="E58" t="s">
        <v>173</v>
      </c>
      <c r="F58" t="s">
        <v>357</v>
      </c>
      <c r="G58" s="28"/>
      <c r="O58" s="28"/>
      <c r="X58" s="40"/>
      <c r="Y58" s="40"/>
    </row>
    <row r="59" spans="1:25" x14ac:dyDescent="0.35">
      <c r="A59" s="50" t="s">
        <v>224</v>
      </c>
      <c r="E59" t="s">
        <v>173</v>
      </c>
      <c r="F59" t="s">
        <v>358</v>
      </c>
      <c r="G59" s="28"/>
      <c r="O59" s="28"/>
      <c r="X59" s="40"/>
      <c r="Y59" s="40"/>
    </row>
    <row r="60" spans="1:25" x14ac:dyDescent="0.35">
      <c r="E60" t="s">
        <v>173</v>
      </c>
      <c r="F60" t="s">
        <v>359</v>
      </c>
      <c r="G60" s="28"/>
      <c r="O60" s="28"/>
      <c r="X60" s="40"/>
      <c r="Y60" s="40"/>
    </row>
    <row r="61" spans="1:25" x14ac:dyDescent="0.35">
      <c r="E61" t="s">
        <v>173</v>
      </c>
      <c r="F61" t="s">
        <v>360</v>
      </c>
      <c r="G61" s="28"/>
      <c r="O61" s="28"/>
      <c r="X61" s="40"/>
      <c r="Y61" s="40"/>
    </row>
    <row r="62" spans="1:25" x14ac:dyDescent="0.35">
      <c r="E62" t="s">
        <v>173</v>
      </c>
      <c r="F62" t="s">
        <v>361</v>
      </c>
      <c r="G62" s="28"/>
      <c r="O62" s="28"/>
      <c r="X62" s="40"/>
      <c r="Y62" s="40"/>
    </row>
    <row r="63" spans="1:25" x14ac:dyDescent="0.35">
      <c r="E63" t="s">
        <v>173</v>
      </c>
      <c r="F63" t="s">
        <v>362</v>
      </c>
      <c r="G63" s="28"/>
      <c r="O63" s="28"/>
      <c r="X63" s="40"/>
      <c r="Y63" s="40"/>
    </row>
    <row r="64" spans="1:25" x14ac:dyDescent="0.35">
      <c r="E64" t="s">
        <v>173</v>
      </c>
      <c r="F64" t="s">
        <v>363</v>
      </c>
      <c r="G64" s="28"/>
      <c r="O64" s="28"/>
      <c r="X64" s="40"/>
      <c r="Y64" s="40"/>
    </row>
    <row r="65" spans="5:25" x14ac:dyDescent="0.35">
      <c r="E65" t="s">
        <v>173</v>
      </c>
      <c r="F65" t="s">
        <v>364</v>
      </c>
      <c r="G65" s="28"/>
      <c r="O65" s="28"/>
      <c r="X65" s="40"/>
      <c r="Y65" s="40"/>
    </row>
    <row r="66" spans="5:25" x14ac:dyDescent="0.35">
      <c r="E66" t="s">
        <v>173</v>
      </c>
      <c r="F66" t="s">
        <v>365</v>
      </c>
      <c r="G66" s="28"/>
      <c r="O66" s="28"/>
      <c r="X66" s="40"/>
      <c r="Y66" s="40"/>
    </row>
    <row r="67" spans="5:25" x14ac:dyDescent="0.35">
      <c r="E67" t="s">
        <v>173</v>
      </c>
      <c r="F67" t="s">
        <v>366</v>
      </c>
      <c r="G67" s="28"/>
      <c r="O67" s="28"/>
      <c r="X67" s="40"/>
      <c r="Y67" s="40"/>
    </row>
    <row r="68" spans="5:25" x14ac:dyDescent="0.35">
      <c r="E68" t="s">
        <v>173</v>
      </c>
      <c r="F68" t="s">
        <v>367</v>
      </c>
      <c r="G68" s="28"/>
      <c r="O68" s="28"/>
      <c r="X68" s="40"/>
      <c r="Y68" s="40"/>
    </row>
    <row r="69" spans="5:25" x14ac:dyDescent="0.35">
      <c r="E69" t="s">
        <v>173</v>
      </c>
      <c r="F69" t="s">
        <v>368</v>
      </c>
      <c r="G69" s="28"/>
      <c r="O69" s="28"/>
      <c r="X69" s="40"/>
      <c r="Y69" s="40"/>
    </row>
    <row r="70" spans="5:25" x14ac:dyDescent="0.35">
      <c r="E70" t="s">
        <v>173</v>
      </c>
      <c r="F70" t="s">
        <v>369</v>
      </c>
      <c r="G70" s="28"/>
      <c r="O70" s="28"/>
      <c r="X70" s="40"/>
      <c r="Y70" s="40"/>
    </row>
    <row r="71" spans="5:25" x14ac:dyDescent="0.35">
      <c r="E71" t="s">
        <v>173</v>
      </c>
      <c r="F71" t="s">
        <v>370</v>
      </c>
      <c r="G71" s="28"/>
      <c r="O71" s="28"/>
      <c r="X71" s="40"/>
      <c r="Y71" s="40"/>
    </row>
    <row r="72" spans="5:25" x14ac:dyDescent="0.35">
      <c r="E72" t="s">
        <v>173</v>
      </c>
      <c r="F72" t="s">
        <v>371</v>
      </c>
      <c r="G72" s="28"/>
      <c r="O72" s="28"/>
      <c r="X72" s="40"/>
      <c r="Y72" s="40"/>
    </row>
    <row r="73" spans="5:25" x14ac:dyDescent="0.35">
      <c r="E73" t="s">
        <v>173</v>
      </c>
      <c r="F73" t="s">
        <v>372</v>
      </c>
      <c r="G73" s="28"/>
      <c r="O73" s="28"/>
      <c r="X73" s="40"/>
      <c r="Y73" s="40"/>
    </row>
    <row r="74" spans="5:25" x14ac:dyDescent="0.35">
      <c r="E74" t="s">
        <v>173</v>
      </c>
      <c r="F74" t="s">
        <v>373</v>
      </c>
      <c r="G74" s="28"/>
      <c r="O74" s="28"/>
      <c r="X74" s="40"/>
      <c r="Y74" s="40"/>
    </row>
    <row r="75" spans="5:25" x14ac:dyDescent="0.35">
      <c r="E75" t="s">
        <v>173</v>
      </c>
      <c r="F75" t="s">
        <v>374</v>
      </c>
      <c r="G75" s="28"/>
      <c r="O75" s="28"/>
      <c r="X75" s="40"/>
      <c r="Y75" s="40"/>
    </row>
    <row r="76" spans="5:25" x14ac:dyDescent="0.35">
      <c r="E76" t="s">
        <v>173</v>
      </c>
      <c r="F76" t="s">
        <v>375</v>
      </c>
      <c r="G76" s="28"/>
      <c r="O76" s="28"/>
      <c r="X76" s="40"/>
      <c r="Y76" s="40"/>
    </row>
    <row r="77" spans="5:25" x14ac:dyDescent="0.35">
      <c r="E77" t="s">
        <v>173</v>
      </c>
      <c r="F77" t="s">
        <v>376</v>
      </c>
      <c r="G77" s="28"/>
      <c r="O77" s="28"/>
      <c r="X77" s="40"/>
      <c r="Y77" s="40"/>
    </row>
    <row r="78" spans="5:25" x14ac:dyDescent="0.35">
      <c r="E78" t="s">
        <v>173</v>
      </c>
      <c r="F78" t="s">
        <v>377</v>
      </c>
      <c r="G78" s="28"/>
      <c r="O78" s="28"/>
      <c r="X78" s="40"/>
      <c r="Y78" s="40"/>
    </row>
    <row r="79" spans="5:25" x14ac:dyDescent="0.35">
      <c r="E79" t="s">
        <v>173</v>
      </c>
      <c r="F79" t="s">
        <v>378</v>
      </c>
      <c r="G79" s="28"/>
      <c r="O79" s="28"/>
      <c r="X79" s="40"/>
      <c r="Y79" s="40"/>
    </row>
    <row r="80" spans="5:25" x14ac:dyDescent="0.35">
      <c r="E80" t="s">
        <v>173</v>
      </c>
      <c r="F80" t="s">
        <v>379</v>
      </c>
      <c r="G80" s="28"/>
      <c r="O80" s="28"/>
      <c r="X80" s="40"/>
      <c r="Y80" s="40"/>
    </row>
    <row r="81" spans="5:25" x14ac:dyDescent="0.35">
      <c r="E81" t="s">
        <v>173</v>
      </c>
      <c r="F81" t="s">
        <v>380</v>
      </c>
      <c r="G81" s="28"/>
      <c r="O81" s="28"/>
      <c r="X81" s="40"/>
      <c r="Y81" s="40"/>
    </row>
    <row r="82" spans="5:25" x14ac:dyDescent="0.35">
      <c r="E82" t="s">
        <v>173</v>
      </c>
      <c r="F82" t="s">
        <v>381</v>
      </c>
      <c r="G82" s="28"/>
      <c r="O82" s="28"/>
      <c r="X82" s="40"/>
      <c r="Y82" s="40"/>
    </row>
    <row r="83" spans="5:25" x14ac:dyDescent="0.35">
      <c r="E83" t="s">
        <v>173</v>
      </c>
      <c r="F83" t="s">
        <v>382</v>
      </c>
      <c r="G83" s="28"/>
      <c r="O83" s="28"/>
      <c r="X83" s="40"/>
      <c r="Y83" s="40"/>
    </row>
    <row r="84" spans="5:25" x14ac:dyDescent="0.35">
      <c r="E84" t="s">
        <v>173</v>
      </c>
      <c r="F84" t="s">
        <v>383</v>
      </c>
      <c r="G84" s="28"/>
      <c r="O84" s="28"/>
      <c r="X84" s="40"/>
      <c r="Y84" s="40"/>
    </row>
    <row r="85" spans="5:25" x14ac:dyDescent="0.35">
      <c r="E85" t="s">
        <v>173</v>
      </c>
      <c r="F85" t="s">
        <v>384</v>
      </c>
      <c r="G85" s="28"/>
      <c r="O85" s="28"/>
      <c r="X85" s="40"/>
      <c r="Y85" s="40"/>
    </row>
    <row r="86" spans="5:25" x14ac:dyDescent="0.35">
      <c r="E86" t="s">
        <v>173</v>
      </c>
      <c r="F86" t="s">
        <v>385</v>
      </c>
      <c r="G86" s="28"/>
      <c r="O86" s="28"/>
      <c r="X86" s="40"/>
      <c r="Y86" s="40"/>
    </row>
    <row r="87" spans="5:25" x14ac:dyDescent="0.35">
      <c r="E87" t="s">
        <v>173</v>
      </c>
      <c r="F87" t="s">
        <v>386</v>
      </c>
      <c r="G87" s="28"/>
      <c r="O87" s="28"/>
      <c r="X87" s="40"/>
      <c r="Y87" s="40"/>
    </row>
    <row r="88" spans="5:25" x14ac:dyDescent="0.35">
      <c r="E88" t="s">
        <v>173</v>
      </c>
      <c r="F88" t="s">
        <v>387</v>
      </c>
      <c r="G88" s="28"/>
      <c r="O88" s="28"/>
      <c r="X88" s="40"/>
      <c r="Y88" s="40"/>
    </row>
    <row r="89" spans="5:25" x14ac:dyDescent="0.35">
      <c r="E89" t="s">
        <v>173</v>
      </c>
      <c r="F89" t="s">
        <v>388</v>
      </c>
      <c r="G89" s="28"/>
      <c r="O89" s="28"/>
      <c r="X89" s="40"/>
      <c r="Y89" s="40"/>
    </row>
    <row r="90" spans="5:25" x14ac:dyDescent="0.35">
      <c r="E90" t="s">
        <v>173</v>
      </c>
      <c r="F90" t="s">
        <v>389</v>
      </c>
      <c r="G90" s="28"/>
      <c r="O90" s="28"/>
      <c r="X90" s="40"/>
      <c r="Y90" s="40"/>
    </row>
    <row r="91" spans="5:25" x14ac:dyDescent="0.35">
      <c r="E91" t="s">
        <v>173</v>
      </c>
      <c r="F91" t="s">
        <v>390</v>
      </c>
      <c r="G91" s="28"/>
      <c r="O91" s="28"/>
      <c r="X91" s="40"/>
      <c r="Y91" s="40"/>
    </row>
    <row r="92" spans="5:25" x14ac:dyDescent="0.35">
      <c r="E92" t="s">
        <v>173</v>
      </c>
      <c r="F92" t="s">
        <v>391</v>
      </c>
      <c r="G92" s="28"/>
      <c r="O92" s="28"/>
      <c r="X92" s="40"/>
      <c r="Y92" s="40"/>
    </row>
    <row r="93" spans="5:25" x14ac:dyDescent="0.35">
      <c r="E93" t="s">
        <v>173</v>
      </c>
      <c r="F93" t="s">
        <v>392</v>
      </c>
      <c r="G93" s="28"/>
      <c r="O93" s="28"/>
      <c r="X93" s="40"/>
      <c r="Y93" s="40"/>
    </row>
    <row r="94" spans="5:25" x14ac:dyDescent="0.35">
      <c r="E94" t="s">
        <v>173</v>
      </c>
      <c r="F94" t="s">
        <v>393</v>
      </c>
      <c r="G94" s="28"/>
      <c r="O94" s="28"/>
      <c r="X94" s="40"/>
      <c r="Y94" s="40"/>
    </row>
    <row r="95" spans="5:25" x14ac:dyDescent="0.35">
      <c r="E95" t="s">
        <v>173</v>
      </c>
      <c r="F95" t="s">
        <v>394</v>
      </c>
      <c r="G95" s="28"/>
      <c r="O95" s="28"/>
      <c r="X95" s="40"/>
      <c r="Y95" s="40"/>
    </row>
    <row r="96" spans="5:25" x14ac:dyDescent="0.35">
      <c r="E96" t="s">
        <v>173</v>
      </c>
      <c r="F96" t="s">
        <v>395</v>
      </c>
      <c r="G96" s="28"/>
      <c r="O96" s="28"/>
      <c r="X96" s="40"/>
      <c r="Y96" s="40"/>
    </row>
    <row r="97" spans="5:25" x14ac:dyDescent="0.35">
      <c r="E97" t="s">
        <v>173</v>
      </c>
      <c r="F97" t="s">
        <v>396</v>
      </c>
      <c r="G97" s="28"/>
      <c r="O97" s="28"/>
      <c r="X97" s="40"/>
      <c r="Y97" s="40"/>
    </row>
    <row r="98" spans="5:25" x14ac:dyDescent="0.35">
      <c r="E98" t="s">
        <v>175</v>
      </c>
      <c r="F98" t="s">
        <v>397</v>
      </c>
      <c r="G98" s="28"/>
      <c r="O98" s="28"/>
      <c r="X98" s="40"/>
      <c r="Y98" s="40"/>
    </row>
    <row r="99" spans="5:25" x14ac:dyDescent="0.35">
      <c r="E99" t="s">
        <v>175</v>
      </c>
      <c r="F99" t="s">
        <v>398</v>
      </c>
      <c r="G99" s="28"/>
      <c r="O99" s="28"/>
      <c r="X99" s="40"/>
      <c r="Y99" s="40"/>
    </row>
    <row r="100" spans="5:25" x14ac:dyDescent="0.35">
      <c r="E100" t="s">
        <v>175</v>
      </c>
      <c r="F100" t="s">
        <v>399</v>
      </c>
      <c r="G100" s="28"/>
      <c r="O100" s="28"/>
      <c r="X100" s="40"/>
      <c r="Y100" s="40"/>
    </row>
    <row r="101" spans="5:25" x14ac:dyDescent="0.35">
      <c r="E101" t="s">
        <v>175</v>
      </c>
      <c r="F101" t="s">
        <v>400</v>
      </c>
      <c r="G101" s="28"/>
      <c r="O101" s="28"/>
      <c r="X101" s="40"/>
      <c r="Y101" s="40"/>
    </row>
    <row r="102" spans="5:25" x14ac:dyDescent="0.35">
      <c r="E102" t="s">
        <v>175</v>
      </c>
      <c r="F102" t="s">
        <v>401</v>
      </c>
      <c r="G102" s="28"/>
      <c r="O102" s="28"/>
      <c r="X102" s="40"/>
      <c r="Y102" s="40"/>
    </row>
    <row r="103" spans="5:25" x14ac:dyDescent="0.35">
      <c r="E103" t="s">
        <v>175</v>
      </c>
      <c r="F103" t="s">
        <v>402</v>
      </c>
      <c r="G103" s="28"/>
      <c r="O103" s="28"/>
      <c r="X103" s="40"/>
      <c r="Y103" s="40"/>
    </row>
    <row r="104" spans="5:25" x14ac:dyDescent="0.35">
      <c r="E104" t="s">
        <v>175</v>
      </c>
      <c r="F104" t="s">
        <v>337</v>
      </c>
      <c r="G104" s="28"/>
      <c r="O104" s="28"/>
      <c r="X104" s="40"/>
      <c r="Y104" s="40"/>
    </row>
    <row r="105" spans="5:25" x14ac:dyDescent="0.35">
      <c r="E105" t="s">
        <v>175</v>
      </c>
      <c r="F105" t="s">
        <v>403</v>
      </c>
      <c r="G105" s="28"/>
      <c r="O105" s="28"/>
      <c r="X105" s="40"/>
      <c r="Y105" s="40"/>
    </row>
    <row r="106" spans="5:25" x14ac:dyDescent="0.35">
      <c r="E106" t="s">
        <v>175</v>
      </c>
      <c r="F106" t="s">
        <v>404</v>
      </c>
      <c r="G106" s="28"/>
      <c r="O106" s="28"/>
      <c r="X106" s="40"/>
      <c r="Y106" s="40"/>
    </row>
    <row r="107" spans="5:25" x14ac:dyDescent="0.35">
      <c r="E107" t="s">
        <v>175</v>
      </c>
      <c r="F107" t="s">
        <v>405</v>
      </c>
      <c r="G107" s="28"/>
      <c r="O107" s="28"/>
      <c r="X107" s="40"/>
      <c r="Y107" s="40"/>
    </row>
    <row r="108" spans="5:25" x14ac:dyDescent="0.35">
      <c r="E108" t="s">
        <v>175</v>
      </c>
      <c r="F108" t="s">
        <v>343</v>
      </c>
      <c r="G108" s="28"/>
      <c r="O108" s="28"/>
      <c r="X108" s="40"/>
      <c r="Y108" s="40"/>
    </row>
    <row r="109" spans="5:25" x14ac:dyDescent="0.35">
      <c r="E109" t="s">
        <v>175</v>
      </c>
      <c r="F109" t="s">
        <v>344</v>
      </c>
      <c r="G109" s="28"/>
      <c r="O109" s="28"/>
      <c r="X109" s="40"/>
      <c r="Y109" s="40"/>
    </row>
    <row r="110" spans="5:25" x14ac:dyDescent="0.35">
      <c r="E110" t="s">
        <v>175</v>
      </c>
      <c r="F110" t="s">
        <v>406</v>
      </c>
      <c r="G110" s="28"/>
      <c r="O110" s="28"/>
      <c r="X110" s="40"/>
      <c r="Y110" s="40"/>
    </row>
    <row r="111" spans="5:25" x14ac:dyDescent="0.35">
      <c r="E111" t="s">
        <v>175</v>
      </c>
      <c r="F111" t="s">
        <v>407</v>
      </c>
      <c r="G111" s="28"/>
      <c r="O111" s="28"/>
      <c r="X111" s="40"/>
      <c r="Y111" s="40"/>
    </row>
    <row r="112" spans="5:25" x14ac:dyDescent="0.35">
      <c r="E112" t="s">
        <v>175</v>
      </c>
      <c r="F112" t="s">
        <v>408</v>
      </c>
      <c r="G112" s="28"/>
      <c r="O112" s="28"/>
      <c r="X112" s="40"/>
      <c r="Y112" s="40"/>
    </row>
    <row r="113" spans="5:25" x14ac:dyDescent="0.35">
      <c r="E113" t="s">
        <v>175</v>
      </c>
      <c r="F113" t="s">
        <v>409</v>
      </c>
      <c r="G113" s="28"/>
      <c r="O113" s="28"/>
      <c r="X113" s="40"/>
      <c r="Y113" s="40"/>
    </row>
    <row r="114" spans="5:25" x14ac:dyDescent="0.35">
      <c r="E114" t="s">
        <v>175</v>
      </c>
      <c r="F114" t="s">
        <v>410</v>
      </c>
      <c r="G114" s="28"/>
      <c r="O114" s="28"/>
      <c r="X114" s="40"/>
      <c r="Y114" s="40"/>
    </row>
    <row r="115" spans="5:25" x14ac:dyDescent="0.35">
      <c r="E115" t="s">
        <v>175</v>
      </c>
      <c r="F115" t="s">
        <v>411</v>
      </c>
      <c r="G115" s="28"/>
      <c r="O115" s="28"/>
      <c r="X115" s="40"/>
      <c r="Y115" s="40"/>
    </row>
    <row r="116" spans="5:25" x14ac:dyDescent="0.35">
      <c r="E116" t="s">
        <v>175</v>
      </c>
      <c r="F116" t="s">
        <v>412</v>
      </c>
      <c r="G116" s="28"/>
      <c r="O116" s="28"/>
      <c r="X116" s="40"/>
      <c r="Y116" s="40"/>
    </row>
    <row r="117" spans="5:25" x14ac:dyDescent="0.35">
      <c r="E117" t="s">
        <v>175</v>
      </c>
      <c r="F117" t="s">
        <v>353</v>
      </c>
      <c r="G117" s="28"/>
      <c r="O117" s="28"/>
      <c r="X117" s="40"/>
      <c r="Y117" s="40"/>
    </row>
    <row r="118" spans="5:25" x14ac:dyDescent="0.35">
      <c r="E118" t="s">
        <v>175</v>
      </c>
      <c r="F118" t="s">
        <v>413</v>
      </c>
      <c r="G118" s="28"/>
      <c r="O118" s="28"/>
      <c r="X118" s="40"/>
      <c r="Y118" s="40"/>
    </row>
    <row r="119" spans="5:25" x14ac:dyDescent="0.35">
      <c r="E119" t="s">
        <v>175</v>
      </c>
      <c r="F119" t="s">
        <v>414</v>
      </c>
      <c r="G119" s="28"/>
      <c r="O119" s="28"/>
      <c r="X119" s="40"/>
      <c r="Y119" s="40"/>
    </row>
    <row r="120" spans="5:25" x14ac:dyDescent="0.35">
      <c r="E120" t="s">
        <v>175</v>
      </c>
      <c r="F120" t="s">
        <v>415</v>
      </c>
      <c r="G120" s="28"/>
      <c r="O120" s="28"/>
      <c r="X120" s="40"/>
      <c r="Y120" s="40"/>
    </row>
    <row r="121" spans="5:25" x14ac:dyDescent="0.35">
      <c r="E121" t="s">
        <v>175</v>
      </c>
      <c r="F121" t="s">
        <v>359</v>
      </c>
      <c r="G121" s="28"/>
      <c r="O121" s="28"/>
      <c r="X121" s="40"/>
      <c r="Y121" s="40"/>
    </row>
    <row r="122" spans="5:25" x14ac:dyDescent="0.35">
      <c r="E122" t="s">
        <v>175</v>
      </c>
      <c r="F122" t="s">
        <v>416</v>
      </c>
      <c r="G122" s="28"/>
      <c r="O122" s="28"/>
      <c r="X122" s="40"/>
      <c r="Y122" s="40"/>
    </row>
    <row r="123" spans="5:25" x14ac:dyDescent="0.35">
      <c r="E123" t="s">
        <v>175</v>
      </c>
      <c r="F123" t="s">
        <v>417</v>
      </c>
      <c r="G123" s="28"/>
      <c r="O123" s="28"/>
      <c r="X123" s="40"/>
      <c r="Y123" s="40"/>
    </row>
    <row r="124" spans="5:25" x14ac:dyDescent="0.35">
      <c r="E124" t="s">
        <v>175</v>
      </c>
      <c r="F124" t="s">
        <v>418</v>
      </c>
      <c r="G124" s="28"/>
      <c r="O124" s="28"/>
      <c r="X124" s="40"/>
      <c r="Y124" s="40"/>
    </row>
    <row r="125" spans="5:25" x14ac:dyDescent="0.35">
      <c r="E125" t="s">
        <v>175</v>
      </c>
      <c r="F125" t="s">
        <v>361</v>
      </c>
      <c r="G125" s="28"/>
      <c r="O125" s="28"/>
      <c r="X125" s="40"/>
      <c r="Y125" s="40"/>
    </row>
    <row r="126" spans="5:25" x14ac:dyDescent="0.35">
      <c r="E126" t="s">
        <v>175</v>
      </c>
      <c r="F126" t="s">
        <v>419</v>
      </c>
      <c r="G126" s="28"/>
      <c r="O126" s="28"/>
      <c r="X126" s="40"/>
      <c r="Y126" s="40"/>
    </row>
    <row r="127" spans="5:25" x14ac:dyDescent="0.35">
      <c r="E127" t="s">
        <v>175</v>
      </c>
      <c r="F127" t="s">
        <v>420</v>
      </c>
      <c r="G127" s="28"/>
      <c r="O127" s="28"/>
      <c r="X127" s="40"/>
      <c r="Y127" s="40"/>
    </row>
    <row r="128" spans="5:25" x14ac:dyDescent="0.35">
      <c r="E128" t="s">
        <v>175</v>
      </c>
      <c r="F128" t="s">
        <v>421</v>
      </c>
      <c r="G128" s="28"/>
      <c r="O128" s="28"/>
      <c r="X128" s="40"/>
      <c r="Y128" s="40"/>
    </row>
    <row r="129" spans="5:25" x14ac:dyDescent="0.35">
      <c r="E129" t="s">
        <v>175</v>
      </c>
      <c r="F129" t="s">
        <v>422</v>
      </c>
      <c r="G129" s="28"/>
      <c r="O129" s="28"/>
      <c r="X129" s="40"/>
      <c r="Y129" s="40"/>
    </row>
    <row r="130" spans="5:25" x14ac:dyDescent="0.35">
      <c r="E130" t="s">
        <v>175</v>
      </c>
      <c r="F130" t="s">
        <v>423</v>
      </c>
      <c r="G130" s="28"/>
      <c r="O130" s="28"/>
      <c r="X130" s="40"/>
      <c r="Y130" s="40"/>
    </row>
    <row r="131" spans="5:25" x14ac:dyDescent="0.35">
      <c r="E131" t="s">
        <v>175</v>
      </c>
      <c r="F131" t="s">
        <v>365</v>
      </c>
      <c r="G131" s="28"/>
      <c r="O131" s="28"/>
      <c r="X131" s="40"/>
      <c r="Y131" s="40"/>
    </row>
    <row r="132" spans="5:25" x14ac:dyDescent="0.35">
      <c r="E132" t="s">
        <v>175</v>
      </c>
      <c r="F132" t="s">
        <v>366</v>
      </c>
      <c r="G132" s="28"/>
      <c r="O132" s="28"/>
      <c r="X132" s="40"/>
      <c r="Y132" s="40"/>
    </row>
    <row r="133" spans="5:25" x14ac:dyDescent="0.35">
      <c r="E133" t="s">
        <v>175</v>
      </c>
      <c r="F133" t="s">
        <v>424</v>
      </c>
      <c r="G133" s="28"/>
      <c r="O133" s="28"/>
      <c r="X133" s="40"/>
      <c r="Y133" s="40"/>
    </row>
    <row r="134" spans="5:25" x14ac:dyDescent="0.35">
      <c r="E134" t="s">
        <v>175</v>
      </c>
      <c r="F134" t="s">
        <v>425</v>
      </c>
      <c r="G134" s="28"/>
      <c r="O134" s="28"/>
      <c r="X134" s="40"/>
      <c r="Y134" s="40"/>
    </row>
    <row r="135" spans="5:25" x14ac:dyDescent="0.35">
      <c r="E135" t="s">
        <v>175</v>
      </c>
      <c r="F135" t="s">
        <v>369</v>
      </c>
      <c r="G135" s="28"/>
      <c r="O135" s="28"/>
      <c r="X135" s="40"/>
      <c r="Y135" s="40"/>
    </row>
    <row r="136" spans="5:25" x14ac:dyDescent="0.35">
      <c r="E136" t="s">
        <v>175</v>
      </c>
      <c r="F136" t="s">
        <v>370</v>
      </c>
      <c r="G136" s="28"/>
      <c r="O136" s="28"/>
      <c r="X136" s="40"/>
      <c r="Y136" s="40"/>
    </row>
    <row r="137" spans="5:25" x14ac:dyDescent="0.35">
      <c r="E137" t="s">
        <v>175</v>
      </c>
      <c r="F137" t="s">
        <v>426</v>
      </c>
      <c r="G137" s="28"/>
      <c r="O137" s="28"/>
      <c r="X137" s="40"/>
      <c r="Y137" s="40"/>
    </row>
    <row r="138" spans="5:25" x14ac:dyDescent="0.35">
      <c r="E138" t="s">
        <v>175</v>
      </c>
      <c r="F138" t="s">
        <v>427</v>
      </c>
      <c r="G138" s="28"/>
      <c r="O138" s="28"/>
      <c r="X138" s="40"/>
      <c r="Y138" s="40"/>
    </row>
    <row r="139" spans="5:25" x14ac:dyDescent="0.35">
      <c r="E139" t="s">
        <v>175</v>
      </c>
      <c r="F139" t="s">
        <v>428</v>
      </c>
      <c r="G139" s="28"/>
      <c r="O139" s="28"/>
      <c r="X139" s="40"/>
      <c r="Y139" s="40"/>
    </row>
    <row r="140" spans="5:25" x14ac:dyDescent="0.35">
      <c r="E140" t="s">
        <v>175</v>
      </c>
      <c r="F140" t="s">
        <v>429</v>
      </c>
      <c r="G140" s="28"/>
      <c r="O140" s="28"/>
      <c r="X140" s="40"/>
      <c r="Y140" s="40"/>
    </row>
    <row r="141" spans="5:25" x14ac:dyDescent="0.35">
      <c r="E141" t="s">
        <v>175</v>
      </c>
      <c r="F141" t="s">
        <v>374</v>
      </c>
      <c r="G141" s="28"/>
      <c r="O141" s="28"/>
      <c r="X141" s="40"/>
      <c r="Y141" s="40"/>
    </row>
    <row r="142" spans="5:25" x14ac:dyDescent="0.35">
      <c r="E142" t="s">
        <v>175</v>
      </c>
      <c r="F142" t="s">
        <v>376</v>
      </c>
      <c r="G142" s="28"/>
      <c r="O142" s="28"/>
      <c r="X142" s="40"/>
      <c r="Y142" s="40"/>
    </row>
    <row r="143" spans="5:25" x14ac:dyDescent="0.35">
      <c r="E143" t="s">
        <v>175</v>
      </c>
      <c r="F143" t="s">
        <v>430</v>
      </c>
      <c r="G143" s="28"/>
      <c r="O143" s="28"/>
      <c r="X143" s="40"/>
      <c r="Y143" s="40"/>
    </row>
    <row r="144" spans="5:25" x14ac:dyDescent="0.35">
      <c r="E144" t="s">
        <v>175</v>
      </c>
      <c r="F144" t="s">
        <v>431</v>
      </c>
      <c r="G144" s="28"/>
      <c r="O144" s="28"/>
      <c r="X144" s="40"/>
      <c r="Y144" s="40"/>
    </row>
    <row r="145" spans="5:25" x14ac:dyDescent="0.35">
      <c r="E145" t="s">
        <v>175</v>
      </c>
      <c r="F145" t="s">
        <v>379</v>
      </c>
      <c r="G145" s="28"/>
      <c r="O145" s="28"/>
      <c r="X145" s="40"/>
      <c r="Y145" s="40"/>
    </row>
    <row r="146" spans="5:25" x14ac:dyDescent="0.35">
      <c r="E146" t="s">
        <v>175</v>
      </c>
      <c r="F146" t="s">
        <v>380</v>
      </c>
      <c r="G146" s="28"/>
      <c r="O146" s="28"/>
      <c r="X146" s="40"/>
      <c r="Y146" s="40"/>
    </row>
    <row r="147" spans="5:25" x14ac:dyDescent="0.35">
      <c r="E147" t="s">
        <v>175</v>
      </c>
      <c r="F147" t="s">
        <v>432</v>
      </c>
      <c r="G147" s="28"/>
      <c r="O147" s="28"/>
      <c r="X147" s="40"/>
      <c r="Y147" s="40"/>
    </row>
    <row r="148" spans="5:25" x14ac:dyDescent="0.35">
      <c r="E148" t="s">
        <v>175</v>
      </c>
      <c r="F148" t="s">
        <v>433</v>
      </c>
      <c r="G148" s="28"/>
      <c r="O148" s="28"/>
      <c r="X148" s="40"/>
      <c r="Y148" s="40"/>
    </row>
    <row r="149" spans="5:25" x14ac:dyDescent="0.35">
      <c r="E149" t="s">
        <v>175</v>
      </c>
      <c r="F149" t="s">
        <v>434</v>
      </c>
      <c r="G149" s="28"/>
      <c r="O149" s="28"/>
      <c r="X149" s="40"/>
      <c r="Y149" s="40"/>
    </row>
    <row r="150" spans="5:25" x14ac:dyDescent="0.35">
      <c r="E150" t="s">
        <v>175</v>
      </c>
      <c r="F150" t="s">
        <v>382</v>
      </c>
      <c r="G150" s="28"/>
      <c r="O150" s="28"/>
      <c r="X150" s="40"/>
      <c r="Y150" s="40"/>
    </row>
    <row r="151" spans="5:25" x14ac:dyDescent="0.35">
      <c r="E151" t="s">
        <v>175</v>
      </c>
      <c r="F151" t="s">
        <v>435</v>
      </c>
      <c r="G151" s="28"/>
      <c r="O151" s="28"/>
      <c r="X151" s="40"/>
      <c r="Y151" s="40"/>
    </row>
    <row r="152" spans="5:25" x14ac:dyDescent="0.35">
      <c r="E152" t="s">
        <v>175</v>
      </c>
      <c r="F152" t="s">
        <v>384</v>
      </c>
      <c r="G152" s="28"/>
      <c r="O152" s="28"/>
      <c r="X152" s="40"/>
      <c r="Y152" s="40"/>
    </row>
    <row r="153" spans="5:25" x14ac:dyDescent="0.35">
      <c r="E153" t="s">
        <v>175</v>
      </c>
      <c r="F153" t="s">
        <v>436</v>
      </c>
      <c r="G153" s="28"/>
      <c r="O153" s="28"/>
      <c r="X153" s="40"/>
      <c r="Y153" s="40"/>
    </row>
    <row r="154" spans="5:25" x14ac:dyDescent="0.35">
      <c r="E154" t="s">
        <v>175</v>
      </c>
      <c r="F154" t="s">
        <v>437</v>
      </c>
      <c r="G154" s="28"/>
      <c r="O154" s="28"/>
      <c r="X154" s="40"/>
      <c r="Y154" s="40"/>
    </row>
    <row r="155" spans="5:25" x14ac:dyDescent="0.35">
      <c r="E155" t="s">
        <v>175</v>
      </c>
      <c r="F155" t="s">
        <v>438</v>
      </c>
      <c r="G155" s="28"/>
      <c r="O155" s="28"/>
      <c r="X155" s="40"/>
      <c r="Y155" s="40"/>
    </row>
    <row r="156" spans="5:25" x14ac:dyDescent="0.35">
      <c r="E156" t="s">
        <v>175</v>
      </c>
      <c r="F156" t="s">
        <v>439</v>
      </c>
      <c r="G156" s="28"/>
      <c r="O156" s="28"/>
      <c r="X156" s="40"/>
      <c r="Y156" s="40"/>
    </row>
    <row r="157" spans="5:25" x14ac:dyDescent="0.35">
      <c r="E157" t="s">
        <v>175</v>
      </c>
      <c r="F157" t="s">
        <v>440</v>
      </c>
      <c r="G157" s="28"/>
      <c r="O157" s="28"/>
      <c r="X157" s="40"/>
      <c r="Y157" s="40"/>
    </row>
    <row r="158" spans="5:25" x14ac:dyDescent="0.35">
      <c r="E158" t="s">
        <v>175</v>
      </c>
      <c r="F158" t="s">
        <v>385</v>
      </c>
      <c r="G158" s="28"/>
      <c r="O158" s="28"/>
      <c r="X158" s="40"/>
      <c r="Y158" s="40"/>
    </row>
    <row r="159" spans="5:25" x14ac:dyDescent="0.35">
      <c r="E159" t="s">
        <v>175</v>
      </c>
      <c r="F159" t="s">
        <v>441</v>
      </c>
      <c r="G159" s="28"/>
      <c r="O159" s="28"/>
      <c r="X159" s="40"/>
      <c r="Y159" s="40"/>
    </row>
    <row r="160" spans="5:25" x14ac:dyDescent="0.35">
      <c r="E160" t="s">
        <v>175</v>
      </c>
      <c r="F160" t="s">
        <v>442</v>
      </c>
      <c r="G160" s="28"/>
      <c r="O160" s="28"/>
      <c r="X160" s="40"/>
      <c r="Y160" s="40"/>
    </row>
    <row r="161" spans="5:25" x14ac:dyDescent="0.35">
      <c r="E161" t="s">
        <v>175</v>
      </c>
      <c r="F161" t="s">
        <v>443</v>
      </c>
      <c r="G161" s="28"/>
      <c r="O161" s="28"/>
      <c r="X161" s="40"/>
      <c r="Y161" s="40"/>
    </row>
    <row r="162" spans="5:25" x14ac:dyDescent="0.35">
      <c r="E162" t="s">
        <v>175</v>
      </c>
      <c r="F162" t="s">
        <v>444</v>
      </c>
      <c r="G162" s="28"/>
      <c r="O162" s="28"/>
      <c r="X162" s="40"/>
      <c r="Y162" s="40"/>
    </row>
    <row r="163" spans="5:25" x14ac:dyDescent="0.35">
      <c r="E163" t="s">
        <v>175</v>
      </c>
      <c r="F163" t="s">
        <v>445</v>
      </c>
      <c r="G163" s="28"/>
      <c r="O163" s="28"/>
      <c r="X163" s="40"/>
      <c r="Y163" s="40"/>
    </row>
    <row r="164" spans="5:25" x14ac:dyDescent="0.35">
      <c r="E164" t="s">
        <v>175</v>
      </c>
      <c r="F164" t="s">
        <v>446</v>
      </c>
      <c r="G164" s="28"/>
      <c r="O164" s="28"/>
      <c r="X164" s="40"/>
      <c r="Y164" s="40"/>
    </row>
    <row r="165" spans="5:25" x14ac:dyDescent="0.35">
      <c r="E165" t="s">
        <v>175</v>
      </c>
      <c r="F165" t="s">
        <v>447</v>
      </c>
      <c r="G165" s="28"/>
      <c r="O165" s="28"/>
      <c r="X165" s="40"/>
      <c r="Y165" s="40"/>
    </row>
    <row r="166" spans="5:25" x14ac:dyDescent="0.35">
      <c r="E166" t="s">
        <v>175</v>
      </c>
      <c r="F166" t="s">
        <v>448</v>
      </c>
      <c r="G166" s="28"/>
      <c r="O166" s="28"/>
      <c r="X166" s="40"/>
      <c r="Y166" s="40"/>
    </row>
    <row r="167" spans="5:25" x14ac:dyDescent="0.35">
      <c r="E167" t="s">
        <v>175</v>
      </c>
      <c r="F167" t="s">
        <v>449</v>
      </c>
      <c r="G167" s="28"/>
      <c r="O167" s="28"/>
      <c r="X167" s="40"/>
      <c r="Y167" s="40"/>
    </row>
    <row r="168" spans="5:25" x14ac:dyDescent="0.35">
      <c r="E168" t="s">
        <v>175</v>
      </c>
      <c r="F168" t="s">
        <v>450</v>
      </c>
      <c r="G168" s="28"/>
      <c r="O168" s="28"/>
      <c r="X168" s="40"/>
      <c r="Y168" s="40"/>
    </row>
    <row r="169" spans="5:25" x14ac:dyDescent="0.35">
      <c r="E169" t="s">
        <v>175</v>
      </c>
      <c r="F169" t="s">
        <v>394</v>
      </c>
      <c r="G169" s="28"/>
      <c r="O169" s="28"/>
      <c r="X169" s="40"/>
      <c r="Y169" s="40"/>
    </row>
    <row r="170" spans="5:25" x14ac:dyDescent="0.35">
      <c r="E170" t="s">
        <v>175</v>
      </c>
      <c r="F170" t="s">
        <v>451</v>
      </c>
      <c r="G170" s="28"/>
      <c r="O170" s="28"/>
      <c r="X170" s="40"/>
      <c r="Y170" s="40"/>
    </row>
    <row r="171" spans="5:25" x14ac:dyDescent="0.35">
      <c r="E171" t="s">
        <v>175</v>
      </c>
      <c r="F171" t="s">
        <v>452</v>
      </c>
      <c r="G171" s="28"/>
      <c r="O171" s="28"/>
      <c r="X171" s="40"/>
      <c r="Y171" s="40"/>
    </row>
    <row r="172" spans="5:25" x14ac:dyDescent="0.35">
      <c r="E172" t="s">
        <v>175</v>
      </c>
      <c r="F172" t="s">
        <v>453</v>
      </c>
      <c r="G172" s="28"/>
      <c r="O172" s="28"/>
      <c r="X172" s="40"/>
      <c r="Y172" s="40"/>
    </row>
    <row r="173" spans="5:25" x14ac:dyDescent="0.35">
      <c r="E173" t="s">
        <v>293</v>
      </c>
      <c r="F173" t="s">
        <v>454</v>
      </c>
      <c r="G173" s="28"/>
      <c r="O173" s="28"/>
      <c r="X173" s="40"/>
      <c r="Y173" s="40"/>
    </row>
    <row r="174" spans="5:25" x14ac:dyDescent="0.35">
      <c r="E174" t="s">
        <v>177</v>
      </c>
      <c r="F174" t="s">
        <v>455</v>
      </c>
      <c r="G174" s="28"/>
      <c r="O174" s="28"/>
      <c r="X174" s="40"/>
      <c r="Y174" s="40"/>
    </row>
    <row r="175" spans="5:25" x14ac:dyDescent="0.35">
      <c r="E175" t="s">
        <v>177</v>
      </c>
      <c r="F175" t="s">
        <v>456</v>
      </c>
      <c r="G175" s="28"/>
      <c r="O175" s="28"/>
      <c r="X175" s="40"/>
      <c r="Y175" s="40"/>
    </row>
    <row r="176" spans="5:25" x14ac:dyDescent="0.35">
      <c r="E176" t="s">
        <v>177</v>
      </c>
      <c r="F176" t="s">
        <v>457</v>
      </c>
      <c r="G176" s="28"/>
      <c r="O176" s="28"/>
      <c r="X176" s="40"/>
      <c r="Y176" s="40"/>
    </row>
    <row r="177" spans="5:25" x14ac:dyDescent="0.35">
      <c r="E177" t="s">
        <v>177</v>
      </c>
      <c r="F177" t="s">
        <v>458</v>
      </c>
      <c r="G177" s="28"/>
      <c r="O177" s="28"/>
      <c r="X177" s="40"/>
      <c r="Y177" s="40"/>
    </row>
    <row r="178" spans="5:25" x14ac:dyDescent="0.35">
      <c r="E178" t="s">
        <v>177</v>
      </c>
      <c r="F178" t="s">
        <v>459</v>
      </c>
      <c r="G178" s="28"/>
      <c r="O178" s="28"/>
      <c r="X178" s="40"/>
      <c r="Y178" s="40"/>
    </row>
    <row r="179" spans="5:25" x14ac:dyDescent="0.35">
      <c r="E179" t="s">
        <v>177</v>
      </c>
      <c r="F179" t="s">
        <v>460</v>
      </c>
      <c r="G179" s="28"/>
      <c r="O179" s="28"/>
      <c r="X179" s="40"/>
      <c r="Y179" s="40"/>
    </row>
    <row r="180" spans="5:25" x14ac:dyDescent="0.35">
      <c r="E180" t="s">
        <v>177</v>
      </c>
      <c r="F180" t="s">
        <v>461</v>
      </c>
      <c r="G180" s="28"/>
      <c r="O180" s="28"/>
      <c r="X180" s="40"/>
      <c r="Y180" s="40"/>
    </row>
    <row r="181" spans="5:25" x14ac:dyDescent="0.35">
      <c r="E181" t="s">
        <v>177</v>
      </c>
      <c r="F181" t="s">
        <v>462</v>
      </c>
      <c r="G181" s="28"/>
      <c r="O181" s="28"/>
      <c r="X181" s="40"/>
      <c r="Y181" s="40"/>
    </row>
    <row r="182" spans="5:25" x14ac:dyDescent="0.35">
      <c r="E182" t="s">
        <v>177</v>
      </c>
      <c r="F182" t="s">
        <v>463</v>
      </c>
      <c r="G182" s="28"/>
      <c r="O182" s="28"/>
      <c r="X182" s="40"/>
      <c r="Y182" s="40"/>
    </row>
    <row r="183" spans="5:25" x14ac:dyDescent="0.35">
      <c r="E183" t="s">
        <v>177</v>
      </c>
      <c r="F183" t="s">
        <v>464</v>
      </c>
      <c r="G183" s="28"/>
      <c r="O183" s="28"/>
      <c r="X183" s="40"/>
      <c r="Y183" s="40"/>
    </row>
    <row r="184" spans="5:25" x14ac:dyDescent="0.35">
      <c r="E184" t="s">
        <v>177</v>
      </c>
      <c r="F184" t="s">
        <v>465</v>
      </c>
      <c r="G184" s="28"/>
      <c r="O184" s="28"/>
      <c r="X184" s="40"/>
      <c r="Y184" s="40"/>
    </row>
    <row r="185" spans="5:25" x14ac:dyDescent="0.35">
      <c r="E185" t="s">
        <v>177</v>
      </c>
      <c r="F185" t="s">
        <v>466</v>
      </c>
      <c r="G185" s="28"/>
      <c r="O185" s="28"/>
      <c r="X185" s="40"/>
      <c r="Y185" s="40"/>
    </row>
    <row r="186" spans="5:25" x14ac:dyDescent="0.35">
      <c r="E186" t="s">
        <v>177</v>
      </c>
      <c r="F186" t="s">
        <v>467</v>
      </c>
      <c r="G186" s="28"/>
      <c r="O186" s="28"/>
      <c r="X186" s="40"/>
      <c r="Y186" s="40"/>
    </row>
    <row r="187" spans="5:25" x14ac:dyDescent="0.35">
      <c r="E187" t="s">
        <v>177</v>
      </c>
      <c r="F187" t="s">
        <v>468</v>
      </c>
      <c r="G187" s="28"/>
      <c r="O187" s="28"/>
      <c r="X187" s="40"/>
      <c r="Y187" s="40"/>
    </row>
    <row r="188" spans="5:25" x14ac:dyDescent="0.35">
      <c r="E188" t="s">
        <v>177</v>
      </c>
      <c r="F188" t="s">
        <v>469</v>
      </c>
      <c r="G188" s="28"/>
      <c r="O188" s="28"/>
      <c r="X188" s="40"/>
      <c r="Y188" s="40"/>
    </row>
    <row r="189" spans="5:25" x14ac:dyDescent="0.35">
      <c r="E189" t="s">
        <v>178</v>
      </c>
      <c r="F189" t="s">
        <v>470</v>
      </c>
      <c r="G189" s="28"/>
      <c r="O189" s="28"/>
      <c r="X189" s="40"/>
      <c r="Y189" s="40"/>
    </row>
    <row r="190" spans="5:25" x14ac:dyDescent="0.35">
      <c r="E190" t="s">
        <v>178</v>
      </c>
      <c r="F190" t="s">
        <v>471</v>
      </c>
      <c r="G190" s="28"/>
      <c r="O190" s="28"/>
      <c r="X190" s="40"/>
      <c r="Y190" s="40"/>
    </row>
    <row r="191" spans="5:25" x14ac:dyDescent="0.35">
      <c r="E191" t="s">
        <v>178</v>
      </c>
      <c r="F191" t="s">
        <v>472</v>
      </c>
      <c r="G191" s="28"/>
      <c r="O191" s="28"/>
      <c r="X191" s="40"/>
      <c r="Y191" s="40"/>
    </row>
    <row r="192" spans="5:25" x14ac:dyDescent="0.35">
      <c r="E192" t="s">
        <v>178</v>
      </c>
      <c r="F192" t="s">
        <v>473</v>
      </c>
      <c r="G192" s="28"/>
      <c r="O192" s="28"/>
      <c r="X192" s="40"/>
      <c r="Y192" s="40"/>
    </row>
    <row r="193" spans="5:25" x14ac:dyDescent="0.35">
      <c r="E193" t="s">
        <v>178</v>
      </c>
      <c r="F193" t="s">
        <v>474</v>
      </c>
      <c r="G193" s="28"/>
      <c r="O193" s="28"/>
      <c r="X193" s="40"/>
      <c r="Y193" s="40"/>
    </row>
    <row r="194" spans="5:25" x14ac:dyDescent="0.35">
      <c r="E194" t="s">
        <v>178</v>
      </c>
      <c r="F194" t="s">
        <v>475</v>
      </c>
      <c r="G194" s="28"/>
      <c r="O194" s="28"/>
      <c r="X194" s="40"/>
      <c r="Y194" s="40"/>
    </row>
    <row r="195" spans="5:25" x14ac:dyDescent="0.35">
      <c r="E195" t="s">
        <v>178</v>
      </c>
      <c r="F195" t="s">
        <v>476</v>
      </c>
      <c r="G195" s="28"/>
      <c r="O195" s="28"/>
      <c r="X195" s="40"/>
      <c r="Y195" s="40"/>
    </row>
    <row r="196" spans="5:25" x14ac:dyDescent="0.35">
      <c r="E196" t="s">
        <v>178</v>
      </c>
      <c r="F196" t="s">
        <v>477</v>
      </c>
      <c r="G196" s="28"/>
      <c r="O196" s="28"/>
      <c r="X196" s="40"/>
      <c r="Y196" s="40"/>
    </row>
    <row r="197" spans="5:25" x14ac:dyDescent="0.35">
      <c r="E197" t="s">
        <v>178</v>
      </c>
      <c r="F197" t="s">
        <v>478</v>
      </c>
      <c r="G197" s="28"/>
      <c r="O197" s="28"/>
      <c r="X197" s="40"/>
      <c r="Y197" s="40"/>
    </row>
    <row r="198" spans="5:25" x14ac:dyDescent="0.35">
      <c r="E198" t="s">
        <v>178</v>
      </c>
      <c r="F198" t="s">
        <v>479</v>
      </c>
      <c r="G198" s="28"/>
      <c r="O198" s="28"/>
      <c r="X198" s="40"/>
      <c r="Y198" s="40"/>
    </row>
    <row r="199" spans="5:25" x14ac:dyDescent="0.35">
      <c r="E199" t="s">
        <v>178</v>
      </c>
      <c r="F199" t="s">
        <v>480</v>
      </c>
      <c r="G199" s="28"/>
      <c r="O199" s="28"/>
      <c r="X199" s="40"/>
      <c r="Y199" s="40"/>
    </row>
    <row r="200" spans="5:25" x14ac:dyDescent="0.35">
      <c r="E200" t="s">
        <v>178</v>
      </c>
      <c r="F200" t="s">
        <v>481</v>
      </c>
      <c r="G200" s="28"/>
      <c r="O200" s="28"/>
      <c r="X200" s="40"/>
      <c r="Y200" s="40"/>
    </row>
    <row r="201" spans="5:25" x14ac:dyDescent="0.35">
      <c r="E201" t="s">
        <v>178</v>
      </c>
      <c r="F201" t="s">
        <v>482</v>
      </c>
      <c r="G201" s="28"/>
      <c r="O201" s="28"/>
      <c r="X201" s="40"/>
      <c r="Y201" s="40"/>
    </row>
    <row r="202" spans="5:25" x14ac:dyDescent="0.35">
      <c r="E202" t="s">
        <v>178</v>
      </c>
      <c r="F202" t="s">
        <v>483</v>
      </c>
      <c r="G202" s="28"/>
      <c r="O202" s="28"/>
      <c r="X202" s="40"/>
      <c r="Y202" s="40"/>
    </row>
    <row r="203" spans="5:25" x14ac:dyDescent="0.35">
      <c r="E203" t="s">
        <v>178</v>
      </c>
      <c r="F203" t="s">
        <v>484</v>
      </c>
      <c r="G203" s="28"/>
      <c r="O203" s="28"/>
      <c r="X203" s="40"/>
      <c r="Y203" s="40"/>
    </row>
    <row r="204" spans="5:25" x14ac:dyDescent="0.35">
      <c r="E204" t="s">
        <v>178</v>
      </c>
      <c r="F204" t="s">
        <v>485</v>
      </c>
      <c r="G204" s="28"/>
      <c r="O204" s="28"/>
      <c r="X204" s="40"/>
      <c r="Y204" s="40"/>
    </row>
    <row r="205" spans="5:25" x14ac:dyDescent="0.35">
      <c r="E205" t="s">
        <v>178</v>
      </c>
      <c r="F205" t="s">
        <v>486</v>
      </c>
      <c r="G205" s="28"/>
      <c r="O205" s="28"/>
      <c r="X205" s="40"/>
      <c r="Y205" s="40"/>
    </row>
    <row r="206" spans="5:25" x14ac:dyDescent="0.35">
      <c r="E206" t="s">
        <v>178</v>
      </c>
      <c r="F206" t="s">
        <v>487</v>
      </c>
      <c r="G206" s="28"/>
      <c r="O206" s="28"/>
      <c r="X206" s="40"/>
      <c r="Y206" s="40"/>
    </row>
    <row r="207" spans="5:25" x14ac:dyDescent="0.35">
      <c r="E207" t="s">
        <v>178</v>
      </c>
      <c r="F207" t="s">
        <v>488</v>
      </c>
      <c r="G207" s="28"/>
      <c r="O207" s="28"/>
      <c r="X207" s="40"/>
      <c r="Y207" s="40"/>
    </row>
    <row r="208" spans="5:25" x14ac:dyDescent="0.35">
      <c r="E208" t="s">
        <v>178</v>
      </c>
      <c r="F208" t="s">
        <v>489</v>
      </c>
      <c r="G208" s="28"/>
      <c r="O208" s="28"/>
      <c r="X208" s="40"/>
      <c r="Y208" s="40"/>
    </row>
    <row r="209" spans="5:25" x14ac:dyDescent="0.35">
      <c r="E209" t="s">
        <v>178</v>
      </c>
      <c r="F209" t="s">
        <v>490</v>
      </c>
      <c r="G209" s="28"/>
      <c r="O209" s="28"/>
      <c r="X209" s="40"/>
      <c r="Y209" s="40"/>
    </row>
    <row r="210" spans="5:25" x14ac:dyDescent="0.35">
      <c r="E210" t="s">
        <v>178</v>
      </c>
      <c r="F210" t="s">
        <v>491</v>
      </c>
      <c r="G210" s="28"/>
      <c r="O210" s="28"/>
      <c r="X210" s="40"/>
      <c r="Y210" s="40"/>
    </row>
    <row r="211" spans="5:25" x14ac:dyDescent="0.35">
      <c r="E211" t="s">
        <v>178</v>
      </c>
      <c r="F211" t="s">
        <v>492</v>
      </c>
      <c r="G211" s="28"/>
      <c r="O211" s="28"/>
      <c r="X211" s="40"/>
      <c r="Y211" s="40"/>
    </row>
    <row r="212" spans="5:25" x14ac:dyDescent="0.35">
      <c r="E212" t="s">
        <v>178</v>
      </c>
      <c r="F212" t="s">
        <v>493</v>
      </c>
      <c r="G212" s="28"/>
      <c r="O212" s="28"/>
      <c r="X212" s="40"/>
      <c r="Y212" s="40"/>
    </row>
    <row r="213" spans="5:25" x14ac:dyDescent="0.35">
      <c r="E213" t="s">
        <v>178</v>
      </c>
      <c r="F213" t="s">
        <v>494</v>
      </c>
      <c r="G213" s="28"/>
      <c r="O213" s="28"/>
      <c r="X213" s="40"/>
      <c r="Y213" s="40"/>
    </row>
    <row r="214" spans="5:25" x14ac:dyDescent="0.35">
      <c r="E214" t="s">
        <v>178</v>
      </c>
      <c r="F214" t="s">
        <v>495</v>
      </c>
      <c r="G214" s="28"/>
      <c r="O214" s="28"/>
      <c r="X214" s="40"/>
      <c r="Y214" s="40"/>
    </row>
    <row r="215" spans="5:25" x14ac:dyDescent="0.35">
      <c r="E215" t="s">
        <v>178</v>
      </c>
      <c r="F215" t="s">
        <v>496</v>
      </c>
      <c r="G215" s="28"/>
      <c r="O215" s="28"/>
      <c r="X215" s="40"/>
      <c r="Y215" s="40"/>
    </row>
    <row r="216" spans="5:25" x14ac:dyDescent="0.35">
      <c r="E216" t="s">
        <v>178</v>
      </c>
      <c r="F216" t="s">
        <v>497</v>
      </c>
      <c r="G216" s="28"/>
      <c r="O216" s="28"/>
      <c r="X216" s="40"/>
      <c r="Y216" s="40"/>
    </row>
    <row r="217" spans="5:25" x14ac:dyDescent="0.35">
      <c r="E217" t="s">
        <v>178</v>
      </c>
      <c r="F217" t="s">
        <v>432</v>
      </c>
      <c r="G217" s="28"/>
      <c r="O217" s="28"/>
      <c r="X217" s="40"/>
      <c r="Y217" s="40"/>
    </row>
    <row r="218" spans="5:25" x14ac:dyDescent="0.35">
      <c r="E218" t="s">
        <v>178</v>
      </c>
      <c r="F218" t="s">
        <v>498</v>
      </c>
      <c r="G218" s="28"/>
      <c r="O218" s="28"/>
      <c r="X218" s="40"/>
      <c r="Y218" s="40"/>
    </row>
    <row r="219" spans="5:25" x14ac:dyDescent="0.35">
      <c r="E219" t="s">
        <v>178</v>
      </c>
      <c r="F219" t="s">
        <v>499</v>
      </c>
      <c r="G219" s="28"/>
      <c r="O219" s="28"/>
      <c r="X219" s="40"/>
      <c r="Y219" s="40"/>
    </row>
    <row r="220" spans="5:25" x14ac:dyDescent="0.35">
      <c r="E220" t="s">
        <v>178</v>
      </c>
      <c r="F220" t="s">
        <v>500</v>
      </c>
      <c r="G220" s="28"/>
      <c r="O220" s="28"/>
      <c r="X220" s="40"/>
      <c r="Y220" s="40"/>
    </row>
    <row r="221" spans="5:25" x14ac:dyDescent="0.35">
      <c r="E221" t="s">
        <v>178</v>
      </c>
      <c r="F221" t="s">
        <v>501</v>
      </c>
      <c r="G221" s="28"/>
      <c r="O221" s="28"/>
      <c r="X221" s="40"/>
      <c r="Y221" s="40"/>
    </row>
    <row r="222" spans="5:25" x14ac:dyDescent="0.35">
      <c r="E222" t="s">
        <v>178</v>
      </c>
      <c r="F222" t="s">
        <v>502</v>
      </c>
      <c r="G222" s="28"/>
      <c r="O222" s="28"/>
      <c r="X222" s="40"/>
      <c r="Y222" s="40"/>
    </row>
    <row r="223" spans="5:25" x14ac:dyDescent="0.35">
      <c r="E223" t="s">
        <v>178</v>
      </c>
      <c r="F223" t="s">
        <v>503</v>
      </c>
      <c r="G223" s="28"/>
      <c r="O223" s="28"/>
      <c r="X223" s="40"/>
      <c r="Y223" s="40"/>
    </row>
    <row r="224" spans="5:25" x14ac:dyDescent="0.35">
      <c r="E224" t="s">
        <v>178</v>
      </c>
      <c r="F224" t="s">
        <v>504</v>
      </c>
      <c r="G224" s="28"/>
      <c r="O224" s="28"/>
      <c r="X224" s="40"/>
      <c r="Y224" s="40"/>
    </row>
    <row r="225" spans="5:25" x14ac:dyDescent="0.35">
      <c r="E225" t="s">
        <v>178</v>
      </c>
      <c r="F225" t="s">
        <v>505</v>
      </c>
      <c r="G225" s="28"/>
      <c r="O225" s="28"/>
      <c r="X225" s="40"/>
      <c r="Y225" s="40"/>
    </row>
    <row r="226" spans="5:25" x14ac:dyDescent="0.35">
      <c r="E226" t="s">
        <v>178</v>
      </c>
      <c r="F226" t="s">
        <v>506</v>
      </c>
      <c r="G226" s="28"/>
      <c r="O226" s="28"/>
      <c r="X226" s="40"/>
      <c r="Y226" s="40"/>
    </row>
    <row r="227" spans="5:25" x14ac:dyDescent="0.35">
      <c r="E227" t="s">
        <v>178</v>
      </c>
      <c r="F227" t="s">
        <v>507</v>
      </c>
      <c r="G227" s="28"/>
      <c r="O227" s="28"/>
      <c r="X227" s="40"/>
      <c r="Y227" s="40"/>
    </row>
    <row r="228" spans="5:25" x14ac:dyDescent="0.35">
      <c r="E228" t="s">
        <v>178</v>
      </c>
      <c r="F228" t="s">
        <v>508</v>
      </c>
      <c r="G228" s="28"/>
      <c r="O228" s="28"/>
      <c r="X228" s="40"/>
      <c r="Y228" s="40"/>
    </row>
    <row r="229" spans="5:25" x14ac:dyDescent="0.35">
      <c r="E229" t="s">
        <v>178</v>
      </c>
      <c r="F229" t="s">
        <v>509</v>
      </c>
      <c r="G229" s="28"/>
      <c r="O229" s="28"/>
      <c r="X229" s="40"/>
      <c r="Y229" s="40"/>
    </row>
    <row r="230" spans="5:25" x14ac:dyDescent="0.35">
      <c r="E230" t="s">
        <v>178</v>
      </c>
      <c r="F230" t="s">
        <v>510</v>
      </c>
      <c r="G230" s="28"/>
      <c r="O230" s="28"/>
      <c r="X230" s="40"/>
      <c r="Y230" s="40"/>
    </row>
    <row r="231" spans="5:25" x14ac:dyDescent="0.35">
      <c r="E231" t="s">
        <v>178</v>
      </c>
      <c r="F231" t="s">
        <v>511</v>
      </c>
      <c r="G231" s="28"/>
      <c r="O231" s="28"/>
      <c r="X231" s="40"/>
      <c r="Y231" s="40"/>
    </row>
    <row r="232" spans="5:25" x14ac:dyDescent="0.35">
      <c r="E232" t="s">
        <v>178</v>
      </c>
      <c r="F232" t="s">
        <v>467</v>
      </c>
      <c r="G232" s="28"/>
      <c r="O232" s="28"/>
      <c r="X232" s="40"/>
      <c r="Y232" s="40"/>
    </row>
    <row r="233" spans="5:25" x14ac:dyDescent="0.35">
      <c r="E233" t="s">
        <v>178</v>
      </c>
      <c r="F233" t="s">
        <v>512</v>
      </c>
      <c r="G233" s="28"/>
      <c r="O233" s="28"/>
      <c r="X233" s="40"/>
      <c r="Y233" s="40"/>
    </row>
    <row r="234" spans="5:25" x14ac:dyDescent="0.35">
      <c r="E234" t="s">
        <v>178</v>
      </c>
      <c r="F234" t="s">
        <v>513</v>
      </c>
      <c r="G234" s="28"/>
      <c r="O234" s="28"/>
      <c r="X234" s="40"/>
      <c r="Y234" s="40"/>
    </row>
    <row r="235" spans="5:25" x14ac:dyDescent="0.35">
      <c r="E235" t="s">
        <v>178</v>
      </c>
      <c r="F235" t="s">
        <v>514</v>
      </c>
      <c r="G235" s="28"/>
      <c r="O235" s="28"/>
      <c r="X235" s="40"/>
      <c r="Y235" s="40"/>
    </row>
    <row r="236" spans="5:25" x14ac:dyDescent="0.35">
      <c r="E236" t="s">
        <v>178</v>
      </c>
      <c r="F236" t="s">
        <v>515</v>
      </c>
      <c r="G236" s="28"/>
      <c r="O236" s="28"/>
      <c r="X236" s="40"/>
      <c r="Y236" s="40"/>
    </row>
    <row r="237" spans="5:25" x14ac:dyDescent="0.35">
      <c r="E237" t="s">
        <v>178</v>
      </c>
      <c r="F237" t="s">
        <v>516</v>
      </c>
      <c r="G237" s="28"/>
      <c r="O237" s="28"/>
      <c r="X237" s="40"/>
      <c r="Y237" s="40"/>
    </row>
    <row r="238" spans="5:25" x14ac:dyDescent="0.35">
      <c r="E238" t="s">
        <v>178</v>
      </c>
      <c r="F238" t="s">
        <v>517</v>
      </c>
      <c r="G238" s="28"/>
      <c r="O238" s="28"/>
      <c r="X238" s="40"/>
      <c r="Y238" s="40"/>
    </row>
    <row r="239" spans="5:25" x14ac:dyDescent="0.35">
      <c r="E239" t="s">
        <v>178</v>
      </c>
      <c r="F239" t="s">
        <v>518</v>
      </c>
      <c r="G239" s="28"/>
      <c r="O239" s="28"/>
      <c r="X239" s="40"/>
      <c r="Y239" s="40"/>
    </row>
    <row r="240" spans="5:25" x14ac:dyDescent="0.35">
      <c r="E240" t="s">
        <v>178</v>
      </c>
      <c r="F240" t="s">
        <v>519</v>
      </c>
      <c r="G240" s="28"/>
      <c r="O240" s="28"/>
      <c r="X240" s="40"/>
      <c r="Y240" s="40"/>
    </row>
    <row r="241" spans="5:25" x14ac:dyDescent="0.35">
      <c r="E241" t="s">
        <v>178</v>
      </c>
      <c r="F241" t="s">
        <v>520</v>
      </c>
      <c r="G241" s="28"/>
      <c r="O241" s="28"/>
      <c r="X241" s="40"/>
      <c r="Y241" s="40"/>
    </row>
    <row r="242" spans="5:25" x14ac:dyDescent="0.35">
      <c r="E242" t="s">
        <v>178</v>
      </c>
      <c r="F242" t="s">
        <v>521</v>
      </c>
      <c r="G242" s="28"/>
      <c r="O242" s="28"/>
      <c r="X242" s="40"/>
      <c r="Y242" s="40"/>
    </row>
    <row r="243" spans="5:25" x14ac:dyDescent="0.35">
      <c r="E243" t="s">
        <v>178</v>
      </c>
      <c r="F243" t="s">
        <v>522</v>
      </c>
      <c r="G243" s="28"/>
      <c r="O243" s="28"/>
      <c r="X243" s="40"/>
      <c r="Y243" s="40"/>
    </row>
    <row r="244" spans="5:25" x14ac:dyDescent="0.35">
      <c r="E244" t="s">
        <v>178</v>
      </c>
      <c r="F244" t="s">
        <v>523</v>
      </c>
      <c r="G244" s="28"/>
      <c r="O244" s="28"/>
      <c r="X244" s="40"/>
      <c r="Y244" s="40"/>
    </row>
    <row r="245" spans="5:25" x14ac:dyDescent="0.35">
      <c r="E245" t="s">
        <v>178</v>
      </c>
      <c r="F245" t="s">
        <v>524</v>
      </c>
      <c r="G245" s="28"/>
      <c r="O245" s="28"/>
      <c r="X245" s="40"/>
      <c r="Y245" s="40"/>
    </row>
    <row r="246" spans="5:25" x14ac:dyDescent="0.35">
      <c r="E246" t="s">
        <v>178</v>
      </c>
      <c r="F246" t="s">
        <v>525</v>
      </c>
      <c r="G246" s="28"/>
      <c r="O246" s="28"/>
      <c r="X246" s="40"/>
      <c r="Y246" s="40"/>
    </row>
    <row r="247" spans="5:25" x14ac:dyDescent="0.35">
      <c r="E247" t="s">
        <v>179</v>
      </c>
      <c r="F247" t="s">
        <v>526</v>
      </c>
      <c r="G247" s="28"/>
      <c r="O247" s="28"/>
      <c r="X247" s="40"/>
      <c r="Y247" s="40"/>
    </row>
    <row r="248" spans="5:25" x14ac:dyDescent="0.35">
      <c r="E248" t="s">
        <v>179</v>
      </c>
      <c r="F248" t="s">
        <v>527</v>
      </c>
      <c r="G248" s="28"/>
      <c r="O248" s="28"/>
      <c r="X248" s="40"/>
      <c r="Y248" s="40"/>
    </row>
    <row r="249" spans="5:25" x14ac:dyDescent="0.35">
      <c r="E249" t="s">
        <v>179</v>
      </c>
      <c r="F249" t="s">
        <v>528</v>
      </c>
      <c r="G249" s="28"/>
      <c r="O249" s="28"/>
      <c r="X249" s="40"/>
      <c r="Y249" s="40"/>
    </row>
    <row r="250" spans="5:25" x14ac:dyDescent="0.35">
      <c r="E250" t="s">
        <v>179</v>
      </c>
      <c r="F250" t="s">
        <v>529</v>
      </c>
      <c r="G250" s="28"/>
      <c r="O250" s="28"/>
      <c r="X250" s="40"/>
      <c r="Y250" s="40"/>
    </row>
    <row r="251" spans="5:25" x14ac:dyDescent="0.35">
      <c r="E251" t="s">
        <v>179</v>
      </c>
      <c r="F251" t="s">
        <v>530</v>
      </c>
      <c r="G251" s="28"/>
      <c r="O251" s="28"/>
      <c r="X251" s="40"/>
      <c r="Y251" s="40"/>
    </row>
    <row r="252" spans="5:25" x14ac:dyDescent="0.35">
      <c r="E252" t="s">
        <v>179</v>
      </c>
      <c r="F252" t="s">
        <v>531</v>
      </c>
      <c r="G252" s="28"/>
      <c r="O252" s="28"/>
      <c r="X252" s="40"/>
      <c r="Y252" s="40"/>
    </row>
    <row r="253" spans="5:25" x14ac:dyDescent="0.35">
      <c r="E253" t="s">
        <v>179</v>
      </c>
      <c r="F253" t="s">
        <v>532</v>
      </c>
      <c r="G253" s="28"/>
      <c r="O253" s="28"/>
      <c r="X253" s="40"/>
      <c r="Y253" s="40"/>
    </row>
    <row r="254" spans="5:25" x14ac:dyDescent="0.35">
      <c r="E254" t="s">
        <v>179</v>
      </c>
      <c r="F254" t="s">
        <v>533</v>
      </c>
      <c r="G254" s="28"/>
      <c r="O254" s="28"/>
      <c r="X254" s="40"/>
      <c r="Y254" s="40"/>
    </row>
    <row r="255" spans="5:25" x14ac:dyDescent="0.35">
      <c r="E255" t="s">
        <v>179</v>
      </c>
      <c r="F255" t="s">
        <v>534</v>
      </c>
      <c r="G255" s="28"/>
      <c r="O255" s="28"/>
      <c r="X255" s="40"/>
      <c r="Y255" s="40"/>
    </row>
    <row r="256" spans="5:25" x14ac:dyDescent="0.35">
      <c r="E256" t="s">
        <v>179</v>
      </c>
      <c r="F256" t="s">
        <v>535</v>
      </c>
      <c r="G256" s="28"/>
      <c r="N256" s="28"/>
      <c r="O256" s="28"/>
      <c r="X256" s="40"/>
      <c r="Y256" s="40"/>
    </row>
    <row r="257" spans="5:25" x14ac:dyDescent="0.35">
      <c r="E257" t="s">
        <v>179</v>
      </c>
      <c r="F257" t="s">
        <v>536</v>
      </c>
      <c r="G257" s="28"/>
      <c r="N257" s="28"/>
      <c r="O257" s="28"/>
      <c r="X257" s="40"/>
      <c r="Y257" s="40"/>
    </row>
    <row r="258" spans="5:25" x14ac:dyDescent="0.35">
      <c r="E258" t="s">
        <v>179</v>
      </c>
      <c r="F258" t="s">
        <v>537</v>
      </c>
      <c r="G258" s="28"/>
      <c r="N258" s="28"/>
      <c r="O258" s="28"/>
      <c r="X258" s="40"/>
      <c r="Y258" s="40"/>
    </row>
    <row r="259" spans="5:25" x14ac:dyDescent="0.35">
      <c r="E259" t="s">
        <v>179</v>
      </c>
      <c r="F259" t="s">
        <v>538</v>
      </c>
      <c r="G259" s="28"/>
      <c r="N259" s="28"/>
      <c r="O259" s="28"/>
      <c r="X259" s="40"/>
      <c r="Y259" s="40"/>
    </row>
    <row r="260" spans="5:25" x14ac:dyDescent="0.35">
      <c r="E260" t="s">
        <v>179</v>
      </c>
      <c r="F260" t="s">
        <v>539</v>
      </c>
      <c r="G260" s="28"/>
      <c r="N260" s="28"/>
      <c r="O260" s="28"/>
      <c r="X260" s="40"/>
      <c r="Y260" s="40"/>
    </row>
    <row r="261" spans="5:25" x14ac:dyDescent="0.35">
      <c r="E261" t="s">
        <v>179</v>
      </c>
      <c r="F261" t="s">
        <v>540</v>
      </c>
      <c r="G261" s="28"/>
      <c r="N261" s="28"/>
      <c r="O261" s="28"/>
      <c r="X261" s="40"/>
      <c r="Y261" s="40"/>
    </row>
    <row r="262" spans="5:25" x14ac:dyDescent="0.35">
      <c r="E262" t="s">
        <v>179</v>
      </c>
      <c r="F262" t="s">
        <v>541</v>
      </c>
      <c r="G262" s="28"/>
      <c r="N262" s="28"/>
      <c r="O262" s="28"/>
      <c r="X262" s="40"/>
      <c r="Y262" s="40"/>
    </row>
    <row r="263" spans="5:25" x14ac:dyDescent="0.35">
      <c r="E263" t="s">
        <v>179</v>
      </c>
      <c r="F263" t="s">
        <v>542</v>
      </c>
      <c r="G263" s="28"/>
      <c r="N263" s="28"/>
      <c r="O263" s="28"/>
      <c r="X263" s="40"/>
      <c r="Y263" s="40"/>
    </row>
    <row r="264" spans="5:25" x14ac:dyDescent="0.35">
      <c r="E264" t="s">
        <v>179</v>
      </c>
      <c r="F264" t="s">
        <v>543</v>
      </c>
      <c r="G264" s="28"/>
      <c r="N264" s="28"/>
      <c r="O264" s="28"/>
      <c r="X264" s="40"/>
      <c r="Y264" s="40"/>
    </row>
    <row r="265" spans="5:25" x14ac:dyDescent="0.35">
      <c r="E265" t="s">
        <v>179</v>
      </c>
      <c r="F265" t="s">
        <v>544</v>
      </c>
      <c r="G265" s="28"/>
      <c r="N265" s="28"/>
      <c r="O265" s="28"/>
      <c r="X265" s="40"/>
      <c r="Y265" s="40"/>
    </row>
    <row r="266" spans="5:25" x14ac:dyDescent="0.35">
      <c r="E266" t="s">
        <v>179</v>
      </c>
      <c r="F266" t="s">
        <v>545</v>
      </c>
      <c r="G266" s="28"/>
      <c r="N266" s="28"/>
      <c r="O266" s="28"/>
      <c r="X266" s="40"/>
      <c r="Y266" s="40"/>
    </row>
    <row r="267" spans="5:25" x14ac:dyDescent="0.35">
      <c r="E267" t="s">
        <v>179</v>
      </c>
      <c r="F267" t="s">
        <v>546</v>
      </c>
      <c r="G267" s="28"/>
      <c r="N267" s="28"/>
      <c r="O267" s="28"/>
      <c r="X267" s="40"/>
      <c r="Y267" s="40"/>
    </row>
    <row r="268" spans="5:25" x14ac:dyDescent="0.35">
      <c r="E268" t="s">
        <v>179</v>
      </c>
      <c r="F268" t="s">
        <v>547</v>
      </c>
      <c r="G268" s="28"/>
      <c r="N268" s="28"/>
      <c r="O268" s="28"/>
      <c r="X268" s="40"/>
      <c r="Y268" s="40"/>
    </row>
    <row r="269" spans="5:25" x14ac:dyDescent="0.35">
      <c r="E269" t="s">
        <v>179</v>
      </c>
      <c r="F269" t="s">
        <v>548</v>
      </c>
      <c r="G269" s="28"/>
      <c r="N269" s="28"/>
      <c r="O269" s="28"/>
      <c r="X269" s="40"/>
      <c r="Y269" s="40"/>
    </row>
    <row r="270" spans="5:25" x14ac:dyDescent="0.35">
      <c r="E270" t="s">
        <v>179</v>
      </c>
      <c r="F270" t="s">
        <v>549</v>
      </c>
      <c r="G270" s="28"/>
      <c r="N270" s="28"/>
      <c r="O270" s="28"/>
      <c r="X270" s="40"/>
      <c r="Y270" s="40"/>
    </row>
    <row r="271" spans="5:25" x14ac:dyDescent="0.35">
      <c r="E271" t="s">
        <v>179</v>
      </c>
      <c r="F271" t="s">
        <v>550</v>
      </c>
      <c r="G271" s="28"/>
      <c r="N271" s="28"/>
      <c r="O271" s="28"/>
      <c r="X271" s="40"/>
      <c r="Y271" s="40"/>
    </row>
    <row r="272" spans="5:25" x14ac:dyDescent="0.35">
      <c r="E272" t="s">
        <v>179</v>
      </c>
      <c r="F272" t="s">
        <v>551</v>
      </c>
      <c r="G272" s="28"/>
      <c r="N272" s="28"/>
      <c r="O272" s="28"/>
      <c r="X272" s="40"/>
      <c r="Y272" s="40"/>
    </row>
    <row r="273" spans="5:25" x14ac:dyDescent="0.35">
      <c r="E273" t="s">
        <v>179</v>
      </c>
      <c r="F273" t="s">
        <v>552</v>
      </c>
      <c r="G273" s="28"/>
      <c r="N273" s="28"/>
      <c r="O273" s="28"/>
      <c r="X273" s="40"/>
      <c r="Y273" s="40"/>
    </row>
    <row r="274" spans="5:25" x14ac:dyDescent="0.35">
      <c r="E274" t="s">
        <v>179</v>
      </c>
      <c r="F274" t="s">
        <v>553</v>
      </c>
      <c r="G274" s="28"/>
      <c r="N274" s="28"/>
      <c r="O274" s="28"/>
      <c r="X274" s="40"/>
      <c r="Y274" s="40"/>
    </row>
    <row r="275" spans="5:25" x14ac:dyDescent="0.35">
      <c r="E275" t="s">
        <v>179</v>
      </c>
      <c r="F275" t="s">
        <v>554</v>
      </c>
      <c r="G275" s="28"/>
      <c r="N275" s="28"/>
      <c r="O275" s="28"/>
      <c r="X275" s="40"/>
      <c r="Y275" s="40"/>
    </row>
    <row r="276" spans="5:25" x14ac:dyDescent="0.35">
      <c r="E276" t="s">
        <v>179</v>
      </c>
      <c r="F276" t="s">
        <v>365</v>
      </c>
      <c r="G276" s="28"/>
      <c r="N276" s="28"/>
      <c r="O276" s="28"/>
      <c r="X276" s="40"/>
      <c r="Y276" s="40"/>
    </row>
    <row r="277" spans="5:25" x14ac:dyDescent="0.35">
      <c r="E277" t="s">
        <v>179</v>
      </c>
      <c r="F277" t="s">
        <v>366</v>
      </c>
      <c r="G277" s="28"/>
      <c r="N277" s="28"/>
      <c r="O277" s="28"/>
      <c r="X277" s="40"/>
      <c r="Y277" s="40"/>
    </row>
    <row r="278" spans="5:25" x14ac:dyDescent="0.35">
      <c r="E278" t="s">
        <v>179</v>
      </c>
      <c r="F278" t="s">
        <v>555</v>
      </c>
      <c r="G278" s="28"/>
      <c r="N278" s="28"/>
      <c r="O278" s="28"/>
      <c r="X278" s="40"/>
      <c r="Y278" s="40"/>
    </row>
    <row r="279" spans="5:25" x14ac:dyDescent="0.35">
      <c r="E279" t="s">
        <v>179</v>
      </c>
      <c r="F279" t="s">
        <v>556</v>
      </c>
      <c r="G279" s="28"/>
      <c r="N279" s="28"/>
      <c r="O279" s="28"/>
      <c r="X279" s="40"/>
      <c r="Y279" s="40"/>
    </row>
    <row r="280" spans="5:25" x14ac:dyDescent="0.35">
      <c r="E280" t="s">
        <v>179</v>
      </c>
      <c r="F280" t="s">
        <v>557</v>
      </c>
      <c r="G280" s="28"/>
      <c r="N280" s="28"/>
      <c r="O280" s="28"/>
      <c r="X280" s="40"/>
      <c r="Y280" s="40"/>
    </row>
    <row r="281" spans="5:25" x14ac:dyDescent="0.35">
      <c r="E281" t="s">
        <v>179</v>
      </c>
      <c r="F281" t="s">
        <v>486</v>
      </c>
      <c r="G281" s="28"/>
      <c r="N281" s="28"/>
      <c r="O281" s="28"/>
      <c r="X281" s="40"/>
      <c r="Y281" s="40"/>
    </row>
    <row r="282" spans="5:25" x14ac:dyDescent="0.35">
      <c r="E282" t="s">
        <v>179</v>
      </c>
      <c r="F282" t="s">
        <v>558</v>
      </c>
      <c r="G282" s="28"/>
      <c r="N282" s="28"/>
      <c r="O282" s="28"/>
      <c r="X282" s="40"/>
      <c r="Y282" s="40"/>
    </row>
    <row r="283" spans="5:25" x14ac:dyDescent="0.35">
      <c r="E283" t="s">
        <v>179</v>
      </c>
      <c r="F283" t="s">
        <v>559</v>
      </c>
      <c r="G283" s="28"/>
      <c r="N283" s="28"/>
      <c r="O283" s="28"/>
      <c r="X283" s="40"/>
      <c r="Y283" s="40"/>
    </row>
    <row r="284" spans="5:25" x14ac:dyDescent="0.35">
      <c r="E284" t="s">
        <v>179</v>
      </c>
      <c r="F284" t="s">
        <v>426</v>
      </c>
      <c r="G284" s="28"/>
      <c r="N284" s="28"/>
      <c r="O284" s="28"/>
      <c r="X284" s="40"/>
      <c r="Y284" s="40"/>
    </row>
    <row r="285" spans="5:25" x14ac:dyDescent="0.35">
      <c r="E285" t="s">
        <v>179</v>
      </c>
      <c r="F285" t="s">
        <v>428</v>
      </c>
      <c r="G285" s="28"/>
      <c r="N285" s="28"/>
      <c r="O285" s="28"/>
      <c r="X285" s="40"/>
      <c r="Y285" s="40"/>
    </row>
    <row r="286" spans="5:25" x14ac:dyDescent="0.35">
      <c r="E286" t="s">
        <v>179</v>
      </c>
      <c r="F286" t="s">
        <v>560</v>
      </c>
      <c r="G286" s="28"/>
      <c r="N286" s="28"/>
      <c r="O286" s="28"/>
      <c r="X286" s="40"/>
      <c r="Y286" s="40"/>
    </row>
    <row r="287" spans="5:25" x14ac:dyDescent="0.35">
      <c r="E287" t="s">
        <v>179</v>
      </c>
      <c r="F287" t="s">
        <v>561</v>
      </c>
      <c r="G287" s="28"/>
      <c r="N287" s="28"/>
      <c r="O287" s="28"/>
      <c r="X287" s="40"/>
      <c r="Y287" s="40"/>
    </row>
    <row r="288" spans="5:25" x14ac:dyDescent="0.35">
      <c r="E288" t="s">
        <v>179</v>
      </c>
      <c r="F288" t="s">
        <v>562</v>
      </c>
      <c r="G288" s="28"/>
      <c r="N288" s="28"/>
      <c r="O288" s="28"/>
      <c r="X288" s="40"/>
      <c r="Y288" s="40"/>
    </row>
    <row r="289" spans="5:25" x14ac:dyDescent="0.35">
      <c r="E289" t="s">
        <v>179</v>
      </c>
      <c r="F289" t="s">
        <v>563</v>
      </c>
      <c r="G289" s="28"/>
      <c r="N289" s="28"/>
      <c r="O289" s="28"/>
      <c r="X289" s="40"/>
      <c r="Y289" s="40"/>
    </row>
    <row r="290" spans="5:25" x14ac:dyDescent="0.35">
      <c r="E290" t="s">
        <v>179</v>
      </c>
      <c r="F290" t="s">
        <v>564</v>
      </c>
      <c r="G290" s="28"/>
      <c r="N290" s="28"/>
      <c r="O290" s="28"/>
      <c r="X290" s="40"/>
      <c r="Y290" s="40"/>
    </row>
    <row r="291" spans="5:25" x14ac:dyDescent="0.35">
      <c r="E291" t="s">
        <v>179</v>
      </c>
      <c r="F291" t="s">
        <v>381</v>
      </c>
      <c r="G291" s="28"/>
      <c r="N291" s="28"/>
      <c r="O291" s="28"/>
      <c r="X291" s="40"/>
      <c r="Y291" s="40"/>
    </row>
    <row r="292" spans="5:25" x14ac:dyDescent="0.35">
      <c r="E292" t="s">
        <v>179</v>
      </c>
      <c r="F292" t="s">
        <v>565</v>
      </c>
      <c r="G292" s="28"/>
      <c r="N292" s="28"/>
      <c r="O292" s="28"/>
      <c r="X292" s="40"/>
      <c r="Y292" s="40"/>
    </row>
    <row r="293" spans="5:25" x14ac:dyDescent="0.35">
      <c r="E293" t="s">
        <v>179</v>
      </c>
      <c r="F293" t="s">
        <v>566</v>
      </c>
      <c r="G293" s="28"/>
      <c r="N293" s="28"/>
      <c r="O293" s="28"/>
      <c r="X293" s="40"/>
      <c r="Y293" s="40"/>
    </row>
    <row r="294" spans="5:25" x14ac:dyDescent="0.35">
      <c r="E294" t="s">
        <v>179</v>
      </c>
      <c r="F294" t="s">
        <v>567</v>
      </c>
      <c r="G294" s="28"/>
      <c r="N294" s="28"/>
      <c r="O294" s="28"/>
      <c r="X294" s="40"/>
      <c r="Y294" s="40"/>
    </row>
    <row r="295" spans="5:25" x14ac:dyDescent="0.35">
      <c r="E295" t="s">
        <v>179</v>
      </c>
      <c r="F295" t="s">
        <v>435</v>
      </c>
      <c r="G295" s="28"/>
      <c r="N295" s="28"/>
      <c r="O295" s="28"/>
      <c r="X295" s="40"/>
      <c r="Y295" s="40"/>
    </row>
    <row r="296" spans="5:25" x14ac:dyDescent="0.35">
      <c r="E296" t="s">
        <v>179</v>
      </c>
      <c r="F296" t="s">
        <v>568</v>
      </c>
      <c r="G296" s="28"/>
      <c r="N296" s="28"/>
      <c r="O296" s="28"/>
      <c r="X296" s="40"/>
      <c r="Y296" s="40"/>
    </row>
    <row r="297" spans="5:25" x14ac:dyDescent="0.35">
      <c r="E297" t="s">
        <v>179</v>
      </c>
      <c r="F297" t="s">
        <v>569</v>
      </c>
      <c r="G297" s="28"/>
      <c r="N297" s="28"/>
      <c r="O297" s="28"/>
      <c r="X297" s="40"/>
      <c r="Y297" s="40"/>
    </row>
    <row r="298" spans="5:25" x14ac:dyDescent="0.35">
      <c r="E298" t="s">
        <v>179</v>
      </c>
      <c r="F298" t="s">
        <v>570</v>
      </c>
      <c r="G298" s="28"/>
      <c r="N298" s="28"/>
      <c r="O298" s="28"/>
      <c r="X298" s="40"/>
      <c r="Y298" s="40"/>
    </row>
    <row r="299" spans="5:25" x14ac:dyDescent="0.35">
      <c r="E299" t="s">
        <v>179</v>
      </c>
      <c r="F299" t="s">
        <v>571</v>
      </c>
      <c r="G299" s="28"/>
      <c r="N299" s="28"/>
      <c r="O299" s="28"/>
      <c r="X299" s="40"/>
      <c r="Y299" s="40"/>
    </row>
    <row r="300" spans="5:25" x14ac:dyDescent="0.35">
      <c r="E300" t="s">
        <v>179</v>
      </c>
      <c r="F300" t="s">
        <v>572</v>
      </c>
      <c r="G300" s="28"/>
      <c r="N300" s="28"/>
      <c r="O300" s="28"/>
      <c r="X300" s="40"/>
      <c r="Y300" s="40"/>
    </row>
    <row r="301" spans="5:25" x14ac:dyDescent="0.35">
      <c r="E301" t="s">
        <v>179</v>
      </c>
      <c r="F301" t="s">
        <v>573</v>
      </c>
      <c r="G301" s="28"/>
      <c r="N301" s="28"/>
      <c r="O301" s="28"/>
      <c r="X301" s="40"/>
      <c r="Y301" s="40"/>
    </row>
    <row r="302" spans="5:25" x14ac:dyDescent="0.35">
      <c r="E302" t="s">
        <v>179</v>
      </c>
      <c r="F302" t="s">
        <v>574</v>
      </c>
      <c r="G302" s="28"/>
      <c r="N302" s="28"/>
      <c r="O302" s="28"/>
      <c r="X302" s="40"/>
      <c r="Y302" s="40"/>
    </row>
    <row r="303" spans="5:25" x14ac:dyDescent="0.35">
      <c r="E303" t="s">
        <v>179</v>
      </c>
      <c r="F303" t="s">
        <v>575</v>
      </c>
      <c r="G303" s="28"/>
      <c r="N303" s="28"/>
      <c r="O303" s="28"/>
      <c r="X303" s="40"/>
      <c r="Y303" s="40"/>
    </row>
    <row r="304" spans="5:25" x14ac:dyDescent="0.35">
      <c r="E304" t="s">
        <v>179</v>
      </c>
      <c r="F304" t="s">
        <v>576</v>
      </c>
      <c r="G304" s="28"/>
      <c r="N304" s="28"/>
      <c r="O304" s="28"/>
      <c r="X304" s="40"/>
      <c r="Y304" s="40"/>
    </row>
    <row r="305" spans="5:25" x14ac:dyDescent="0.35">
      <c r="E305" t="s">
        <v>179</v>
      </c>
      <c r="F305" t="s">
        <v>577</v>
      </c>
      <c r="G305" s="28"/>
      <c r="N305" s="28"/>
      <c r="O305" s="28"/>
      <c r="X305" s="40"/>
      <c r="Y305" s="40"/>
    </row>
    <row r="306" spans="5:25" x14ac:dyDescent="0.35">
      <c r="E306" t="s">
        <v>179</v>
      </c>
      <c r="F306" t="s">
        <v>578</v>
      </c>
      <c r="G306" s="28"/>
      <c r="N306" s="28"/>
      <c r="O306" s="28"/>
      <c r="X306" s="40"/>
      <c r="Y306" s="40"/>
    </row>
    <row r="307" spans="5:25" x14ac:dyDescent="0.35">
      <c r="E307" t="s">
        <v>179</v>
      </c>
      <c r="F307" t="s">
        <v>579</v>
      </c>
      <c r="G307" s="28"/>
      <c r="N307" s="28"/>
      <c r="O307" s="28"/>
      <c r="X307" s="40"/>
      <c r="Y307" s="40"/>
    </row>
    <row r="308" spans="5:25" x14ac:dyDescent="0.35">
      <c r="E308" t="s">
        <v>179</v>
      </c>
      <c r="F308" t="s">
        <v>394</v>
      </c>
      <c r="G308" s="28"/>
      <c r="N308" s="28"/>
      <c r="O308" s="28"/>
      <c r="X308" s="40"/>
      <c r="Y308" s="40"/>
    </row>
    <row r="309" spans="5:25" x14ac:dyDescent="0.35">
      <c r="E309" t="s">
        <v>179</v>
      </c>
      <c r="F309" t="s">
        <v>580</v>
      </c>
      <c r="G309" s="28"/>
      <c r="N309" s="28"/>
      <c r="O309" s="28"/>
      <c r="X309" s="40"/>
      <c r="Y309" s="40"/>
    </row>
    <row r="310" spans="5:25" x14ac:dyDescent="0.35">
      <c r="E310" t="s">
        <v>179</v>
      </c>
      <c r="F310" t="s">
        <v>469</v>
      </c>
      <c r="G310" s="28"/>
      <c r="N310" s="28"/>
      <c r="O310" s="28"/>
      <c r="X310" s="40"/>
      <c r="Y310" s="40"/>
    </row>
    <row r="311" spans="5:25" x14ac:dyDescent="0.35">
      <c r="E311" t="s">
        <v>180</v>
      </c>
      <c r="F311" t="s">
        <v>581</v>
      </c>
      <c r="G311" s="28"/>
      <c r="N311" s="28"/>
      <c r="O311" s="28"/>
      <c r="X311" s="40"/>
      <c r="Y311" s="40"/>
    </row>
    <row r="312" spans="5:25" x14ac:dyDescent="0.35">
      <c r="E312" t="s">
        <v>180</v>
      </c>
      <c r="F312" t="s">
        <v>582</v>
      </c>
      <c r="G312" s="28"/>
      <c r="N312" s="28"/>
      <c r="O312" s="28"/>
      <c r="X312" s="40"/>
      <c r="Y312" s="40"/>
    </row>
    <row r="313" spans="5:25" x14ac:dyDescent="0.35">
      <c r="E313" t="s">
        <v>180</v>
      </c>
      <c r="F313" t="s">
        <v>583</v>
      </c>
      <c r="G313" s="28"/>
      <c r="N313" s="28"/>
      <c r="O313" s="28"/>
      <c r="X313" s="40"/>
      <c r="Y313" s="40"/>
    </row>
    <row r="314" spans="5:25" x14ac:dyDescent="0.35">
      <c r="E314" t="s">
        <v>180</v>
      </c>
      <c r="F314" t="s">
        <v>584</v>
      </c>
      <c r="G314" s="28"/>
      <c r="N314" s="28"/>
      <c r="O314" s="28"/>
      <c r="X314" s="40"/>
      <c r="Y314" s="40"/>
    </row>
    <row r="315" spans="5:25" x14ac:dyDescent="0.35">
      <c r="E315" t="s">
        <v>180</v>
      </c>
      <c r="F315" t="s">
        <v>585</v>
      </c>
      <c r="G315" s="28"/>
      <c r="N315" s="28"/>
      <c r="O315" s="28"/>
      <c r="X315" s="40"/>
      <c r="Y315" s="40"/>
    </row>
    <row r="316" spans="5:25" x14ac:dyDescent="0.35">
      <c r="E316" t="s">
        <v>180</v>
      </c>
      <c r="F316" t="s">
        <v>586</v>
      </c>
      <c r="G316" s="28"/>
      <c r="N316" s="28"/>
      <c r="O316" s="28"/>
      <c r="X316" s="40"/>
      <c r="Y316" s="40"/>
    </row>
    <row r="317" spans="5:25" x14ac:dyDescent="0.35">
      <c r="E317" t="s">
        <v>180</v>
      </c>
      <c r="F317" t="s">
        <v>587</v>
      </c>
      <c r="G317" s="28"/>
      <c r="N317" s="28"/>
      <c r="O317" s="28"/>
      <c r="X317" s="40"/>
      <c r="Y317" s="40"/>
    </row>
    <row r="318" spans="5:25" x14ac:dyDescent="0.35">
      <c r="E318" t="s">
        <v>180</v>
      </c>
      <c r="F318" t="s">
        <v>588</v>
      </c>
      <c r="G318" s="28"/>
      <c r="N318" s="28"/>
      <c r="O318" s="28"/>
      <c r="X318" s="40"/>
      <c r="Y318" s="40"/>
    </row>
    <row r="319" spans="5:25" x14ac:dyDescent="0.35">
      <c r="E319" t="s">
        <v>181</v>
      </c>
      <c r="F319" t="s">
        <v>589</v>
      </c>
      <c r="G319" s="28"/>
      <c r="N319" s="28"/>
      <c r="O319" s="28"/>
      <c r="X319" s="40"/>
      <c r="Y319" s="40"/>
    </row>
    <row r="320" spans="5:25" x14ac:dyDescent="0.35">
      <c r="E320" t="s">
        <v>182</v>
      </c>
      <c r="F320" t="s">
        <v>590</v>
      </c>
      <c r="G320" s="28"/>
      <c r="N320" s="28"/>
      <c r="O320" s="28"/>
      <c r="X320" s="40"/>
      <c r="Y320" s="40"/>
    </row>
    <row r="321" spans="5:25" x14ac:dyDescent="0.35">
      <c r="E321" t="s">
        <v>182</v>
      </c>
      <c r="F321" t="s">
        <v>591</v>
      </c>
      <c r="G321" s="28"/>
      <c r="N321" s="28"/>
      <c r="O321" s="28"/>
      <c r="X321" s="40"/>
      <c r="Y321" s="40"/>
    </row>
    <row r="322" spans="5:25" x14ac:dyDescent="0.35">
      <c r="E322" t="s">
        <v>182</v>
      </c>
      <c r="F322" t="s">
        <v>592</v>
      </c>
      <c r="G322" s="28"/>
      <c r="N322" s="28"/>
      <c r="O322" s="28"/>
      <c r="X322" s="40"/>
      <c r="Y322" s="40"/>
    </row>
    <row r="323" spans="5:25" x14ac:dyDescent="0.35">
      <c r="E323" t="s">
        <v>183</v>
      </c>
      <c r="F323" t="s">
        <v>593</v>
      </c>
      <c r="G323" s="28"/>
      <c r="N323" s="28"/>
      <c r="O323" s="28"/>
      <c r="X323" s="40"/>
      <c r="Y323" s="40"/>
    </row>
    <row r="324" spans="5:25" x14ac:dyDescent="0.35">
      <c r="E324" t="s">
        <v>183</v>
      </c>
      <c r="F324" t="s">
        <v>594</v>
      </c>
      <c r="G324" s="28"/>
      <c r="N324" s="28"/>
      <c r="O324" s="28"/>
      <c r="X324" s="40"/>
      <c r="Y324" s="40"/>
    </row>
    <row r="325" spans="5:25" x14ac:dyDescent="0.35">
      <c r="E325" t="s">
        <v>183</v>
      </c>
      <c r="F325" t="s">
        <v>595</v>
      </c>
      <c r="G325" s="28"/>
      <c r="N325" s="28"/>
      <c r="O325" s="28"/>
      <c r="X325" s="40"/>
      <c r="Y325" s="40"/>
    </row>
    <row r="326" spans="5:25" x14ac:dyDescent="0.35">
      <c r="E326" t="s">
        <v>183</v>
      </c>
      <c r="F326" t="s">
        <v>596</v>
      </c>
      <c r="G326" s="28"/>
      <c r="N326" s="28"/>
      <c r="O326" s="28"/>
      <c r="X326" s="40"/>
      <c r="Y326" s="40"/>
    </row>
    <row r="327" spans="5:25" x14ac:dyDescent="0.35">
      <c r="E327" t="s">
        <v>183</v>
      </c>
      <c r="F327" t="s">
        <v>597</v>
      </c>
      <c r="G327" s="28"/>
      <c r="N327" s="28"/>
      <c r="O327" s="28"/>
      <c r="X327" s="40"/>
      <c r="Y327" s="40"/>
    </row>
    <row r="328" spans="5:25" x14ac:dyDescent="0.35">
      <c r="E328" t="s">
        <v>183</v>
      </c>
      <c r="F328" t="s">
        <v>598</v>
      </c>
      <c r="G328" s="28"/>
      <c r="N328" s="28"/>
      <c r="O328" s="28"/>
      <c r="X328" s="40"/>
      <c r="Y328" s="40"/>
    </row>
    <row r="329" spans="5:25" x14ac:dyDescent="0.35">
      <c r="E329" t="s">
        <v>183</v>
      </c>
      <c r="F329" t="s">
        <v>337</v>
      </c>
      <c r="G329" s="28"/>
      <c r="N329" s="28"/>
      <c r="O329" s="28"/>
      <c r="X329" s="40"/>
      <c r="Y329" s="40"/>
    </row>
    <row r="330" spans="5:25" x14ac:dyDescent="0.35">
      <c r="E330" t="s">
        <v>183</v>
      </c>
      <c r="F330" t="s">
        <v>599</v>
      </c>
      <c r="G330" s="28"/>
      <c r="N330" s="28"/>
      <c r="O330" s="28"/>
      <c r="X330" s="40"/>
      <c r="Y330" s="40"/>
    </row>
    <row r="331" spans="5:25" x14ac:dyDescent="0.35">
      <c r="E331" t="s">
        <v>183</v>
      </c>
      <c r="F331" t="s">
        <v>600</v>
      </c>
      <c r="G331" s="28"/>
      <c r="N331" s="28"/>
      <c r="O331" s="28"/>
      <c r="X331" s="40"/>
      <c r="Y331" s="40"/>
    </row>
    <row r="332" spans="5:25" x14ac:dyDescent="0.35">
      <c r="E332" t="s">
        <v>183</v>
      </c>
      <c r="F332" t="s">
        <v>343</v>
      </c>
      <c r="G332" s="28"/>
      <c r="N332" s="28"/>
      <c r="O332" s="28"/>
      <c r="X332" s="40"/>
      <c r="Y332" s="40"/>
    </row>
    <row r="333" spans="5:25" x14ac:dyDescent="0.35">
      <c r="E333" t="s">
        <v>183</v>
      </c>
      <c r="F333" t="s">
        <v>601</v>
      </c>
      <c r="G333" s="28"/>
      <c r="N333" s="28"/>
      <c r="O333" s="28"/>
      <c r="X333" s="40"/>
      <c r="Y333" s="40"/>
    </row>
    <row r="334" spans="5:25" x14ac:dyDescent="0.35">
      <c r="E334" t="s">
        <v>183</v>
      </c>
      <c r="F334" t="s">
        <v>407</v>
      </c>
      <c r="G334" s="28"/>
      <c r="N334" s="28"/>
      <c r="O334" s="28"/>
      <c r="X334" s="40"/>
      <c r="Y334" s="40"/>
    </row>
    <row r="335" spans="5:25" x14ac:dyDescent="0.35">
      <c r="E335" t="s">
        <v>183</v>
      </c>
      <c r="F335" t="s">
        <v>602</v>
      </c>
      <c r="G335" s="28"/>
      <c r="N335" s="28"/>
      <c r="O335" s="28"/>
      <c r="X335" s="40"/>
      <c r="Y335" s="40"/>
    </row>
    <row r="336" spans="5:25" x14ac:dyDescent="0.35">
      <c r="E336" t="s">
        <v>183</v>
      </c>
      <c r="F336" t="s">
        <v>603</v>
      </c>
      <c r="G336" s="28"/>
      <c r="N336" s="28"/>
      <c r="O336" s="28"/>
      <c r="X336" s="40"/>
      <c r="Y336" s="40"/>
    </row>
    <row r="337" spans="5:25" x14ac:dyDescent="0.35">
      <c r="E337" t="s">
        <v>183</v>
      </c>
      <c r="F337" t="s">
        <v>604</v>
      </c>
      <c r="G337" s="28"/>
      <c r="N337" s="28"/>
      <c r="O337" s="28"/>
      <c r="X337" s="40"/>
      <c r="Y337" s="40"/>
    </row>
    <row r="338" spans="5:25" x14ac:dyDescent="0.35">
      <c r="E338" t="s">
        <v>183</v>
      </c>
      <c r="F338" t="s">
        <v>356</v>
      </c>
      <c r="G338" s="28"/>
      <c r="N338" s="28"/>
      <c r="O338" s="28"/>
      <c r="X338" s="40"/>
      <c r="Y338" s="40"/>
    </row>
    <row r="339" spans="5:25" x14ac:dyDescent="0.35">
      <c r="E339" t="s">
        <v>183</v>
      </c>
      <c r="F339" t="s">
        <v>605</v>
      </c>
      <c r="G339" s="28"/>
      <c r="N339" s="28"/>
      <c r="O339" s="28"/>
      <c r="X339" s="40"/>
      <c r="Y339" s="40"/>
    </row>
    <row r="340" spans="5:25" x14ac:dyDescent="0.35">
      <c r="E340" t="s">
        <v>183</v>
      </c>
      <c r="F340" t="s">
        <v>359</v>
      </c>
      <c r="G340" s="28"/>
      <c r="N340" s="28"/>
      <c r="O340" s="28"/>
      <c r="X340" s="40"/>
      <c r="Y340" s="40"/>
    </row>
    <row r="341" spans="5:25" x14ac:dyDescent="0.35">
      <c r="E341" t="s">
        <v>183</v>
      </c>
      <c r="F341" t="s">
        <v>606</v>
      </c>
      <c r="G341" s="28"/>
      <c r="N341" s="28"/>
      <c r="O341" s="28"/>
      <c r="X341" s="40"/>
      <c r="Y341" s="40"/>
    </row>
    <row r="342" spans="5:25" x14ac:dyDescent="0.35">
      <c r="E342" t="s">
        <v>183</v>
      </c>
      <c r="F342" t="s">
        <v>607</v>
      </c>
      <c r="G342" s="28"/>
      <c r="N342" s="28"/>
      <c r="O342" s="28"/>
      <c r="X342" s="40"/>
      <c r="Y342" s="40"/>
    </row>
    <row r="343" spans="5:25" x14ac:dyDescent="0.35">
      <c r="E343" t="s">
        <v>183</v>
      </c>
      <c r="F343" t="s">
        <v>608</v>
      </c>
      <c r="G343" s="28"/>
      <c r="N343" s="28"/>
      <c r="O343" s="28"/>
      <c r="X343" s="40"/>
      <c r="Y343" s="40"/>
    </row>
    <row r="344" spans="5:25" x14ac:dyDescent="0.35">
      <c r="E344" t="s">
        <v>183</v>
      </c>
      <c r="F344" t="s">
        <v>609</v>
      </c>
      <c r="G344" s="28"/>
      <c r="N344" s="28"/>
      <c r="O344" s="28"/>
      <c r="X344" s="40"/>
      <c r="Y344" s="40"/>
    </row>
    <row r="345" spans="5:25" x14ac:dyDescent="0.35">
      <c r="E345" t="s">
        <v>183</v>
      </c>
      <c r="F345" t="s">
        <v>610</v>
      </c>
      <c r="G345" s="28"/>
      <c r="N345" s="28"/>
      <c r="O345" s="28"/>
      <c r="X345" s="40"/>
      <c r="Y345" s="40"/>
    </row>
    <row r="346" spans="5:25" x14ac:dyDescent="0.35">
      <c r="E346" t="s">
        <v>183</v>
      </c>
      <c r="F346" t="s">
        <v>611</v>
      </c>
      <c r="G346" s="28"/>
      <c r="N346" s="28"/>
      <c r="O346" s="28"/>
      <c r="X346" s="40"/>
      <c r="Y346" s="40"/>
    </row>
    <row r="347" spans="5:25" x14ac:dyDescent="0.35">
      <c r="E347" t="s">
        <v>183</v>
      </c>
      <c r="F347" t="s">
        <v>612</v>
      </c>
      <c r="G347" s="28"/>
      <c r="N347" s="28"/>
      <c r="O347" s="28"/>
      <c r="X347" s="40"/>
      <c r="Y347" s="40"/>
    </row>
    <row r="348" spans="5:25" x14ac:dyDescent="0.35">
      <c r="E348" t="s">
        <v>183</v>
      </c>
      <c r="F348" t="s">
        <v>613</v>
      </c>
      <c r="G348" s="28"/>
      <c r="N348" s="28"/>
      <c r="O348" s="28"/>
      <c r="X348" s="40"/>
      <c r="Y348" s="40"/>
    </row>
    <row r="349" spans="5:25" x14ac:dyDescent="0.35">
      <c r="E349" t="s">
        <v>183</v>
      </c>
      <c r="F349" t="s">
        <v>614</v>
      </c>
      <c r="G349" s="28"/>
      <c r="N349" s="28"/>
      <c r="O349" s="28"/>
      <c r="X349" s="40"/>
      <c r="Y349" s="40"/>
    </row>
    <row r="350" spans="5:25" x14ac:dyDescent="0.35">
      <c r="E350" t="s">
        <v>183</v>
      </c>
      <c r="F350" t="s">
        <v>615</v>
      </c>
      <c r="G350" s="28"/>
      <c r="N350" s="28"/>
      <c r="O350" s="28"/>
      <c r="X350" s="40"/>
      <c r="Y350" s="40"/>
    </row>
    <row r="351" spans="5:25" x14ac:dyDescent="0.35">
      <c r="E351" t="s">
        <v>183</v>
      </c>
      <c r="F351" t="s">
        <v>616</v>
      </c>
      <c r="G351" s="28"/>
      <c r="N351" s="28"/>
      <c r="O351" s="28"/>
      <c r="X351" s="40"/>
      <c r="Y351" s="40"/>
    </row>
    <row r="352" spans="5:25" x14ac:dyDescent="0.35">
      <c r="E352" t="s">
        <v>183</v>
      </c>
      <c r="F352" t="s">
        <v>617</v>
      </c>
      <c r="G352" s="28"/>
      <c r="N352" s="28"/>
      <c r="O352" s="28"/>
      <c r="X352" s="40"/>
      <c r="Y352" s="40"/>
    </row>
    <row r="353" spans="5:25" x14ac:dyDescent="0.35">
      <c r="E353" t="s">
        <v>183</v>
      </c>
      <c r="F353" t="s">
        <v>365</v>
      </c>
      <c r="G353" s="28"/>
      <c r="N353" s="28"/>
      <c r="O353" s="28"/>
      <c r="X353" s="40"/>
      <c r="Y353" s="40"/>
    </row>
    <row r="354" spans="5:25" x14ac:dyDescent="0.35">
      <c r="E354" t="s">
        <v>183</v>
      </c>
      <c r="F354" t="s">
        <v>366</v>
      </c>
      <c r="G354" s="28"/>
      <c r="N354" s="28"/>
      <c r="O354" s="28"/>
      <c r="X354" s="40"/>
      <c r="Y354" s="40"/>
    </row>
    <row r="355" spans="5:25" x14ac:dyDescent="0.35">
      <c r="E355" t="s">
        <v>183</v>
      </c>
      <c r="F355" t="s">
        <v>425</v>
      </c>
      <c r="G355" s="28"/>
      <c r="N355" s="28"/>
      <c r="O355" s="28"/>
      <c r="X355" s="40"/>
      <c r="Y355" s="40"/>
    </row>
    <row r="356" spans="5:25" x14ac:dyDescent="0.35">
      <c r="E356" t="s">
        <v>183</v>
      </c>
      <c r="F356" t="s">
        <v>486</v>
      </c>
      <c r="G356" s="28"/>
      <c r="N356" s="28"/>
      <c r="O356" s="28"/>
      <c r="X356" s="40"/>
      <c r="Y356" s="40"/>
    </row>
    <row r="357" spans="5:25" x14ac:dyDescent="0.35">
      <c r="E357" t="s">
        <v>183</v>
      </c>
      <c r="F357" t="s">
        <v>370</v>
      </c>
      <c r="G357" s="28"/>
      <c r="N357" s="28"/>
      <c r="O357" s="28"/>
      <c r="X357" s="40"/>
      <c r="Y357" s="40"/>
    </row>
    <row r="358" spans="5:25" x14ac:dyDescent="0.35">
      <c r="E358" t="s">
        <v>183</v>
      </c>
      <c r="F358" t="s">
        <v>618</v>
      </c>
      <c r="G358" s="28"/>
      <c r="N358" s="28"/>
      <c r="O358" s="28"/>
      <c r="X358" s="40"/>
      <c r="Y358" s="40"/>
    </row>
    <row r="359" spans="5:25" x14ac:dyDescent="0.35">
      <c r="E359" t="s">
        <v>183</v>
      </c>
      <c r="F359" t="s">
        <v>619</v>
      </c>
      <c r="G359" s="28"/>
      <c r="N359" s="28"/>
      <c r="O359" s="28"/>
      <c r="X359" s="40"/>
      <c r="Y359" s="40"/>
    </row>
    <row r="360" spans="5:25" x14ac:dyDescent="0.35">
      <c r="E360" t="s">
        <v>183</v>
      </c>
      <c r="F360" t="s">
        <v>620</v>
      </c>
      <c r="G360" s="28"/>
      <c r="N360" s="28"/>
      <c r="O360" s="28"/>
      <c r="X360" s="40"/>
      <c r="Y360" s="40"/>
    </row>
    <row r="361" spans="5:25" x14ac:dyDescent="0.35">
      <c r="E361" t="s">
        <v>183</v>
      </c>
      <c r="F361" t="s">
        <v>374</v>
      </c>
      <c r="G361" s="28"/>
      <c r="N361" s="28"/>
      <c r="O361" s="28"/>
      <c r="X361" s="40"/>
      <c r="Y361" s="40"/>
    </row>
    <row r="362" spans="5:25" x14ac:dyDescent="0.35">
      <c r="E362" t="s">
        <v>183</v>
      </c>
      <c r="F362" t="s">
        <v>621</v>
      </c>
      <c r="G362" s="28"/>
      <c r="N362" s="28"/>
      <c r="O362" s="28"/>
      <c r="X362" s="40"/>
      <c r="Y362" s="40"/>
    </row>
    <row r="363" spans="5:25" x14ac:dyDescent="0.35">
      <c r="E363" t="s">
        <v>183</v>
      </c>
      <c r="F363" t="s">
        <v>376</v>
      </c>
      <c r="G363" s="28"/>
      <c r="N363" s="28"/>
      <c r="O363" s="28"/>
      <c r="X363" s="40"/>
      <c r="Y363" s="40"/>
    </row>
    <row r="364" spans="5:25" x14ac:dyDescent="0.35">
      <c r="E364" t="s">
        <v>183</v>
      </c>
      <c r="F364" t="s">
        <v>622</v>
      </c>
      <c r="G364" s="28"/>
      <c r="N364" s="28"/>
      <c r="O364" s="28"/>
      <c r="X364" s="40"/>
      <c r="Y364" s="40"/>
    </row>
    <row r="365" spans="5:25" x14ac:dyDescent="0.35">
      <c r="E365" t="s">
        <v>183</v>
      </c>
      <c r="F365" t="s">
        <v>623</v>
      </c>
      <c r="G365" s="28"/>
      <c r="N365" s="28"/>
      <c r="O365" s="28"/>
      <c r="X365" s="40"/>
      <c r="Y365" s="40"/>
    </row>
    <row r="366" spans="5:25" x14ac:dyDescent="0.35">
      <c r="E366" t="s">
        <v>183</v>
      </c>
      <c r="F366" t="s">
        <v>379</v>
      </c>
      <c r="G366" s="28"/>
      <c r="N366" s="28"/>
      <c r="O366" s="28"/>
      <c r="X366" s="40"/>
      <c r="Y366" s="40"/>
    </row>
    <row r="367" spans="5:25" x14ac:dyDescent="0.35">
      <c r="E367" t="s">
        <v>183</v>
      </c>
      <c r="F367" t="s">
        <v>624</v>
      </c>
      <c r="G367" s="28"/>
      <c r="N367" s="28"/>
      <c r="O367" s="28"/>
      <c r="X367" s="40"/>
      <c r="Y367" s="40"/>
    </row>
    <row r="368" spans="5:25" x14ac:dyDescent="0.35">
      <c r="E368" t="s">
        <v>183</v>
      </c>
      <c r="F368" t="s">
        <v>625</v>
      </c>
      <c r="G368" s="28"/>
      <c r="N368" s="28"/>
      <c r="O368" s="28"/>
      <c r="X368" s="40"/>
      <c r="Y368" s="40"/>
    </row>
    <row r="369" spans="5:25" x14ac:dyDescent="0.35">
      <c r="E369" t="s">
        <v>183</v>
      </c>
      <c r="F369" t="s">
        <v>626</v>
      </c>
      <c r="G369" s="28"/>
      <c r="N369" s="28"/>
      <c r="O369" s="28"/>
      <c r="X369" s="40"/>
      <c r="Y369" s="40"/>
    </row>
    <row r="370" spans="5:25" x14ac:dyDescent="0.35">
      <c r="E370" t="s">
        <v>183</v>
      </c>
      <c r="F370" t="s">
        <v>498</v>
      </c>
      <c r="G370" s="28"/>
      <c r="N370" s="28"/>
      <c r="O370" s="28"/>
      <c r="X370" s="40"/>
      <c r="Y370" s="40"/>
    </row>
    <row r="371" spans="5:25" x14ac:dyDescent="0.35">
      <c r="E371" t="s">
        <v>183</v>
      </c>
      <c r="F371" t="s">
        <v>627</v>
      </c>
      <c r="G371" s="28"/>
      <c r="N371" s="28"/>
      <c r="O371" s="28"/>
      <c r="X371" s="40"/>
      <c r="Y371" s="40"/>
    </row>
    <row r="372" spans="5:25" x14ac:dyDescent="0.35">
      <c r="E372" t="s">
        <v>183</v>
      </c>
      <c r="F372" t="s">
        <v>628</v>
      </c>
      <c r="G372" s="28"/>
      <c r="N372" s="28"/>
      <c r="O372" s="28"/>
      <c r="X372" s="40"/>
      <c r="Y372" s="40"/>
    </row>
    <row r="373" spans="5:25" x14ac:dyDescent="0.35">
      <c r="E373" t="s">
        <v>183</v>
      </c>
      <c r="F373" t="s">
        <v>629</v>
      </c>
      <c r="G373" s="28"/>
      <c r="N373" s="28"/>
      <c r="O373" s="28"/>
      <c r="X373" s="40"/>
      <c r="Y373" s="40"/>
    </row>
    <row r="374" spans="5:25" x14ac:dyDescent="0.35">
      <c r="E374" t="s">
        <v>183</v>
      </c>
      <c r="F374" t="s">
        <v>630</v>
      </c>
      <c r="G374" s="28"/>
      <c r="N374" s="28"/>
      <c r="O374" s="28"/>
      <c r="X374" s="40"/>
      <c r="Y374" s="40"/>
    </row>
    <row r="375" spans="5:25" x14ac:dyDescent="0.35">
      <c r="E375" t="s">
        <v>183</v>
      </c>
      <c r="F375" t="s">
        <v>437</v>
      </c>
      <c r="G375" s="28"/>
      <c r="N375" s="28"/>
      <c r="O375" s="28"/>
      <c r="X375" s="40"/>
      <c r="Y375" s="40"/>
    </row>
    <row r="376" spans="5:25" x14ac:dyDescent="0.35">
      <c r="E376" t="s">
        <v>183</v>
      </c>
      <c r="F376" t="s">
        <v>631</v>
      </c>
      <c r="G376" s="28"/>
      <c r="N376" s="28"/>
      <c r="O376" s="28"/>
      <c r="X376" s="40"/>
      <c r="Y376" s="40"/>
    </row>
    <row r="377" spans="5:25" x14ac:dyDescent="0.35">
      <c r="E377" t="s">
        <v>183</v>
      </c>
      <c r="F377" t="s">
        <v>632</v>
      </c>
      <c r="G377" s="28"/>
      <c r="N377" s="28"/>
      <c r="O377" s="28"/>
      <c r="X377" s="40"/>
      <c r="Y377" s="40"/>
    </row>
    <row r="378" spans="5:25" x14ac:dyDescent="0.35">
      <c r="E378" t="s">
        <v>183</v>
      </c>
      <c r="F378" t="s">
        <v>633</v>
      </c>
      <c r="G378" s="28"/>
      <c r="N378" s="28"/>
      <c r="O378" s="28"/>
      <c r="X378" s="40"/>
      <c r="Y378" s="40"/>
    </row>
    <row r="379" spans="5:25" x14ac:dyDescent="0.35">
      <c r="E379" t="s">
        <v>183</v>
      </c>
      <c r="F379" t="s">
        <v>634</v>
      </c>
      <c r="G379" s="28"/>
      <c r="N379" s="28"/>
      <c r="O379" s="28"/>
      <c r="X379" s="40"/>
      <c r="Y379" s="40"/>
    </row>
    <row r="380" spans="5:25" x14ac:dyDescent="0.35">
      <c r="E380" t="s">
        <v>183</v>
      </c>
      <c r="F380" t="s">
        <v>635</v>
      </c>
      <c r="G380" s="28"/>
      <c r="N380" s="28"/>
      <c r="O380" s="28"/>
      <c r="X380" s="40"/>
      <c r="Y380" s="40"/>
    </row>
    <row r="381" spans="5:25" x14ac:dyDescent="0.35">
      <c r="E381" t="s">
        <v>183</v>
      </c>
      <c r="F381" t="s">
        <v>636</v>
      </c>
      <c r="G381" s="28"/>
      <c r="N381" s="28"/>
      <c r="O381" s="28"/>
      <c r="X381" s="40"/>
      <c r="Y381" s="40"/>
    </row>
    <row r="382" spans="5:25" x14ac:dyDescent="0.35">
      <c r="E382" t="s">
        <v>183</v>
      </c>
      <c r="F382" t="s">
        <v>389</v>
      </c>
      <c r="G382" s="28"/>
      <c r="N382" s="28"/>
      <c r="O382" s="28"/>
      <c r="X382" s="40"/>
      <c r="Y382" s="40"/>
    </row>
    <row r="383" spans="5:25" x14ac:dyDescent="0.35">
      <c r="E383" t="s">
        <v>183</v>
      </c>
      <c r="F383" t="s">
        <v>637</v>
      </c>
      <c r="G383" s="28"/>
      <c r="N383" s="28"/>
      <c r="O383" s="28"/>
      <c r="X383" s="40"/>
      <c r="Y383" s="40"/>
    </row>
    <row r="384" spans="5:25" x14ac:dyDescent="0.35">
      <c r="E384" t="s">
        <v>183</v>
      </c>
      <c r="F384" t="s">
        <v>638</v>
      </c>
      <c r="G384" s="28"/>
      <c r="N384" s="28"/>
      <c r="O384" s="28"/>
      <c r="X384" s="40"/>
      <c r="Y384" s="40"/>
    </row>
    <row r="385" spans="5:25" x14ac:dyDescent="0.35">
      <c r="E385" t="s">
        <v>183</v>
      </c>
      <c r="F385" t="s">
        <v>449</v>
      </c>
      <c r="G385" s="28"/>
      <c r="N385" s="28"/>
      <c r="O385" s="28"/>
      <c r="X385" s="40"/>
      <c r="Y385" s="40"/>
    </row>
    <row r="386" spans="5:25" x14ac:dyDescent="0.35">
      <c r="E386" t="s">
        <v>183</v>
      </c>
      <c r="F386" t="s">
        <v>639</v>
      </c>
      <c r="G386" s="28"/>
      <c r="N386" s="28"/>
      <c r="O386" s="28"/>
      <c r="X386" s="40"/>
      <c r="Y386" s="40"/>
    </row>
    <row r="387" spans="5:25" x14ac:dyDescent="0.35">
      <c r="E387" t="s">
        <v>183</v>
      </c>
      <c r="F387" t="s">
        <v>640</v>
      </c>
      <c r="G387" s="28"/>
      <c r="N387" s="28"/>
      <c r="O387" s="28"/>
      <c r="X387" s="40"/>
      <c r="Y387" s="40"/>
    </row>
    <row r="388" spans="5:25" x14ac:dyDescent="0.35">
      <c r="E388" t="s">
        <v>183</v>
      </c>
      <c r="F388" t="s">
        <v>641</v>
      </c>
      <c r="G388" s="28"/>
      <c r="N388" s="28"/>
      <c r="O388" s="28"/>
      <c r="X388" s="40"/>
      <c r="Y388" s="40"/>
    </row>
    <row r="389" spans="5:25" x14ac:dyDescent="0.35">
      <c r="E389" t="s">
        <v>183</v>
      </c>
      <c r="F389" t="s">
        <v>394</v>
      </c>
      <c r="G389" s="28"/>
      <c r="N389" s="28"/>
      <c r="O389" s="28"/>
      <c r="X389" s="40"/>
      <c r="Y389" s="40"/>
    </row>
    <row r="390" spans="5:25" x14ac:dyDescent="0.35">
      <c r="E390" t="s">
        <v>294</v>
      </c>
      <c r="F390" t="s">
        <v>642</v>
      </c>
      <c r="G390" s="28"/>
      <c r="N390" s="28"/>
      <c r="O390" s="28"/>
      <c r="X390" s="40"/>
      <c r="Y390" s="40"/>
    </row>
    <row r="391" spans="5:25" x14ac:dyDescent="0.35">
      <c r="E391" t="s">
        <v>184</v>
      </c>
      <c r="F391" t="s">
        <v>643</v>
      </c>
      <c r="G391" s="28"/>
      <c r="N391" s="28"/>
      <c r="O391" s="28"/>
      <c r="X391" s="40"/>
      <c r="Y391" s="40"/>
    </row>
    <row r="392" spans="5:25" x14ac:dyDescent="0.35">
      <c r="E392" t="s">
        <v>184</v>
      </c>
      <c r="F392" t="s">
        <v>644</v>
      </c>
      <c r="G392" s="28"/>
      <c r="N392" s="28"/>
      <c r="O392" s="28"/>
      <c r="X392" s="40"/>
      <c r="Y392" s="40"/>
    </row>
    <row r="393" spans="5:25" x14ac:dyDescent="0.35">
      <c r="E393" t="s">
        <v>184</v>
      </c>
      <c r="F393" t="s">
        <v>645</v>
      </c>
      <c r="G393" s="28"/>
      <c r="N393" s="28"/>
      <c r="O393" s="28"/>
      <c r="X393" s="40"/>
      <c r="Y393" s="40"/>
    </row>
    <row r="394" spans="5:25" x14ac:dyDescent="0.35">
      <c r="E394" t="s">
        <v>184</v>
      </c>
      <c r="F394" t="s">
        <v>594</v>
      </c>
      <c r="G394" s="28"/>
      <c r="N394" s="28"/>
      <c r="O394" s="28"/>
      <c r="X394" s="40"/>
      <c r="Y394" s="40"/>
    </row>
    <row r="395" spans="5:25" x14ac:dyDescent="0.35">
      <c r="E395" t="s">
        <v>184</v>
      </c>
      <c r="F395" t="s">
        <v>331</v>
      </c>
      <c r="G395" s="28"/>
      <c r="N395" s="28"/>
      <c r="O395" s="28"/>
      <c r="X395" s="40"/>
      <c r="Y395" s="40"/>
    </row>
    <row r="396" spans="5:25" x14ac:dyDescent="0.35">
      <c r="E396" t="s">
        <v>184</v>
      </c>
      <c r="F396" t="s">
        <v>646</v>
      </c>
      <c r="G396" s="28"/>
      <c r="N396" s="28"/>
      <c r="O396" s="28"/>
      <c r="X396" s="40"/>
      <c r="Y396" s="40"/>
    </row>
    <row r="397" spans="5:25" x14ac:dyDescent="0.35">
      <c r="E397" t="s">
        <v>184</v>
      </c>
      <c r="F397" t="s">
        <v>647</v>
      </c>
      <c r="G397" s="28"/>
      <c r="N397" s="28"/>
      <c r="O397" s="28"/>
      <c r="X397" s="40"/>
      <c r="Y397" s="40"/>
    </row>
    <row r="398" spans="5:25" x14ac:dyDescent="0.35">
      <c r="E398" t="s">
        <v>184</v>
      </c>
      <c r="F398" t="s">
        <v>648</v>
      </c>
      <c r="G398" s="28"/>
      <c r="N398" s="28"/>
      <c r="O398" s="28"/>
      <c r="X398" s="40"/>
      <c r="Y398" s="40"/>
    </row>
    <row r="399" spans="5:25" x14ac:dyDescent="0.35">
      <c r="E399" t="s">
        <v>184</v>
      </c>
      <c r="F399" t="s">
        <v>649</v>
      </c>
      <c r="G399" s="28"/>
      <c r="N399" s="28"/>
      <c r="O399" s="28"/>
      <c r="X399" s="40"/>
      <c r="Y399" s="40"/>
    </row>
    <row r="400" spans="5:25" x14ac:dyDescent="0.35">
      <c r="E400" t="s">
        <v>184</v>
      </c>
      <c r="F400" t="s">
        <v>650</v>
      </c>
      <c r="G400" s="28"/>
      <c r="N400" s="28"/>
      <c r="O400" s="28"/>
      <c r="X400" s="40"/>
      <c r="Y400" s="40"/>
    </row>
    <row r="401" spans="5:25" x14ac:dyDescent="0.35">
      <c r="E401" t="s">
        <v>184</v>
      </c>
      <c r="F401" t="s">
        <v>333</v>
      </c>
      <c r="G401" s="28"/>
      <c r="N401" s="28"/>
      <c r="O401" s="28"/>
      <c r="X401" s="40"/>
      <c r="Y401" s="40"/>
    </row>
    <row r="402" spans="5:25" x14ac:dyDescent="0.35">
      <c r="E402" t="s">
        <v>184</v>
      </c>
      <c r="F402" t="s">
        <v>651</v>
      </c>
      <c r="G402" s="28"/>
      <c r="N402" s="28"/>
      <c r="O402" s="28"/>
      <c r="X402" s="40"/>
      <c r="Y402" s="40"/>
    </row>
    <row r="403" spans="5:25" x14ac:dyDescent="0.35">
      <c r="E403" t="s">
        <v>184</v>
      </c>
      <c r="F403" t="s">
        <v>652</v>
      </c>
      <c r="G403" s="28"/>
      <c r="N403" s="28"/>
      <c r="O403" s="28"/>
      <c r="X403" s="40"/>
      <c r="Y403" s="40"/>
    </row>
    <row r="404" spans="5:25" x14ac:dyDescent="0.35">
      <c r="E404" t="s">
        <v>184</v>
      </c>
      <c r="F404" t="s">
        <v>653</v>
      </c>
      <c r="G404" s="28"/>
      <c r="N404" s="28"/>
      <c r="O404" s="28"/>
      <c r="X404" s="40"/>
      <c r="Y404" s="40"/>
    </row>
    <row r="405" spans="5:25" x14ac:dyDescent="0.35">
      <c r="E405" t="s">
        <v>184</v>
      </c>
      <c r="F405" t="s">
        <v>654</v>
      </c>
      <c r="G405" s="28"/>
      <c r="N405" s="28"/>
      <c r="O405" s="28"/>
      <c r="X405" s="40"/>
      <c r="Y405" s="40"/>
    </row>
    <row r="406" spans="5:25" x14ac:dyDescent="0.35">
      <c r="E406" t="s">
        <v>184</v>
      </c>
      <c r="F406" t="s">
        <v>655</v>
      </c>
      <c r="G406" s="28"/>
      <c r="N406" s="28"/>
      <c r="O406" s="28"/>
      <c r="X406" s="40"/>
      <c r="Y406" s="40"/>
    </row>
    <row r="407" spans="5:25" x14ac:dyDescent="0.35">
      <c r="E407" t="s">
        <v>184</v>
      </c>
      <c r="F407" t="s">
        <v>656</v>
      </c>
      <c r="G407" s="28"/>
      <c r="N407" s="28"/>
      <c r="O407" s="28"/>
      <c r="X407" s="40"/>
      <c r="Y407" s="40"/>
    </row>
    <row r="408" spans="5:25" x14ac:dyDescent="0.35">
      <c r="E408" t="s">
        <v>184</v>
      </c>
      <c r="F408" t="s">
        <v>657</v>
      </c>
      <c r="G408" s="28"/>
      <c r="N408" s="28"/>
      <c r="O408" s="28"/>
      <c r="X408" s="40"/>
      <c r="Y408" s="40"/>
    </row>
    <row r="409" spans="5:25" x14ac:dyDescent="0.35">
      <c r="E409" t="s">
        <v>184</v>
      </c>
      <c r="F409" t="s">
        <v>337</v>
      </c>
      <c r="G409" s="28"/>
      <c r="N409" s="28"/>
      <c r="O409" s="28"/>
      <c r="X409" s="40"/>
      <c r="Y409" s="40"/>
    </row>
    <row r="410" spans="5:25" x14ac:dyDescent="0.35">
      <c r="E410" t="s">
        <v>184</v>
      </c>
      <c r="F410" t="s">
        <v>658</v>
      </c>
      <c r="G410" s="28"/>
      <c r="N410" s="28"/>
      <c r="O410" s="28"/>
      <c r="X410" s="40"/>
      <c r="Y410" s="40"/>
    </row>
    <row r="411" spans="5:25" x14ac:dyDescent="0.35">
      <c r="E411" t="s">
        <v>184</v>
      </c>
      <c r="F411" t="s">
        <v>659</v>
      </c>
      <c r="G411" s="28"/>
      <c r="N411" s="28"/>
      <c r="O411" s="28"/>
      <c r="X411" s="40"/>
      <c r="Y411" s="40"/>
    </row>
    <row r="412" spans="5:25" x14ac:dyDescent="0.35">
      <c r="E412" t="s">
        <v>184</v>
      </c>
      <c r="F412" t="s">
        <v>403</v>
      </c>
      <c r="G412" s="28"/>
      <c r="N412" s="28"/>
      <c r="O412" s="28"/>
      <c r="X412" s="40"/>
      <c r="Y412" s="40"/>
    </row>
    <row r="413" spans="5:25" x14ac:dyDescent="0.35">
      <c r="E413" t="s">
        <v>184</v>
      </c>
      <c r="F413" t="s">
        <v>660</v>
      </c>
      <c r="G413" s="28"/>
      <c r="N413" s="28"/>
      <c r="O413" s="28"/>
      <c r="X413" s="40"/>
      <c r="Y413" s="40"/>
    </row>
    <row r="414" spans="5:25" x14ac:dyDescent="0.35">
      <c r="E414" t="s">
        <v>184</v>
      </c>
      <c r="F414" t="s">
        <v>661</v>
      </c>
      <c r="G414" s="28"/>
      <c r="N414" s="28"/>
      <c r="O414" s="28"/>
      <c r="X414" s="40"/>
      <c r="Y414" s="40"/>
    </row>
    <row r="415" spans="5:25" x14ac:dyDescent="0.35">
      <c r="E415" t="s">
        <v>184</v>
      </c>
      <c r="F415" t="s">
        <v>662</v>
      </c>
      <c r="G415" s="28"/>
      <c r="N415" s="28"/>
      <c r="O415" s="28"/>
      <c r="X415" s="40"/>
      <c r="Y415" s="40"/>
    </row>
    <row r="416" spans="5:25" x14ac:dyDescent="0.35">
      <c r="E416" t="s">
        <v>184</v>
      </c>
      <c r="F416" t="s">
        <v>663</v>
      </c>
      <c r="G416" s="28"/>
      <c r="N416" s="28"/>
      <c r="O416" s="28"/>
      <c r="X416" s="40"/>
      <c r="Y416" s="40"/>
    </row>
    <row r="417" spans="5:25" x14ac:dyDescent="0.35">
      <c r="E417" t="s">
        <v>184</v>
      </c>
      <c r="F417" t="s">
        <v>664</v>
      </c>
      <c r="G417" s="28"/>
      <c r="N417" s="28"/>
      <c r="O417" s="28"/>
      <c r="X417" s="40"/>
      <c r="Y417" s="40"/>
    </row>
    <row r="418" spans="5:25" x14ac:dyDescent="0.35">
      <c r="E418" t="s">
        <v>184</v>
      </c>
      <c r="F418" t="s">
        <v>339</v>
      </c>
      <c r="G418" s="28"/>
      <c r="N418" s="28"/>
      <c r="O418" s="28"/>
      <c r="X418" s="40"/>
      <c r="Y418" s="40"/>
    </row>
    <row r="419" spans="5:25" x14ac:dyDescent="0.35">
      <c r="E419" t="s">
        <v>184</v>
      </c>
      <c r="F419" t="s">
        <v>342</v>
      </c>
      <c r="G419" s="28"/>
      <c r="N419" s="28"/>
      <c r="O419" s="28"/>
      <c r="X419" s="40"/>
      <c r="Y419" s="40"/>
    </row>
    <row r="420" spans="5:25" x14ac:dyDescent="0.35">
      <c r="E420" t="s">
        <v>184</v>
      </c>
      <c r="F420" t="s">
        <v>343</v>
      </c>
      <c r="G420" s="28"/>
      <c r="N420" s="28"/>
      <c r="O420" s="28"/>
      <c r="X420" s="40"/>
      <c r="Y420" s="40"/>
    </row>
    <row r="421" spans="5:25" x14ac:dyDescent="0.35">
      <c r="E421" t="s">
        <v>184</v>
      </c>
      <c r="F421" t="s">
        <v>665</v>
      </c>
      <c r="G421" s="28"/>
      <c r="N421" s="28"/>
      <c r="O421" s="28"/>
      <c r="X421" s="40"/>
      <c r="Y421" s="40"/>
    </row>
    <row r="422" spans="5:25" x14ac:dyDescent="0.35">
      <c r="E422" t="s">
        <v>184</v>
      </c>
      <c r="F422" t="s">
        <v>666</v>
      </c>
      <c r="G422" s="28"/>
      <c r="N422" s="28"/>
      <c r="O422" s="28"/>
      <c r="X422" s="40"/>
      <c r="Y422" s="40"/>
    </row>
    <row r="423" spans="5:25" x14ac:dyDescent="0.35">
      <c r="E423" t="s">
        <v>184</v>
      </c>
      <c r="F423" t="s">
        <v>667</v>
      </c>
      <c r="G423" s="28"/>
      <c r="N423" s="28"/>
      <c r="O423" s="28"/>
      <c r="X423" s="40"/>
      <c r="Y423" s="40"/>
    </row>
    <row r="424" spans="5:25" x14ac:dyDescent="0.35">
      <c r="E424" t="s">
        <v>184</v>
      </c>
      <c r="F424" t="s">
        <v>345</v>
      </c>
      <c r="G424" s="28"/>
      <c r="N424" s="28"/>
      <c r="O424" s="28"/>
      <c r="X424" s="40"/>
      <c r="Y424" s="40"/>
    </row>
    <row r="425" spans="5:25" x14ac:dyDescent="0.35">
      <c r="E425" t="s">
        <v>184</v>
      </c>
      <c r="F425" t="s">
        <v>668</v>
      </c>
      <c r="G425" s="28"/>
      <c r="N425" s="28"/>
      <c r="O425" s="28"/>
      <c r="X425" s="40"/>
      <c r="Y425" s="40"/>
    </row>
    <row r="426" spans="5:25" x14ac:dyDescent="0.35">
      <c r="E426" t="s">
        <v>184</v>
      </c>
      <c r="F426" t="s">
        <v>407</v>
      </c>
      <c r="G426" s="28"/>
      <c r="N426" s="28"/>
      <c r="O426" s="28"/>
      <c r="X426" s="40"/>
      <c r="Y426" s="40"/>
    </row>
    <row r="427" spans="5:25" x14ac:dyDescent="0.35">
      <c r="E427" t="s">
        <v>184</v>
      </c>
      <c r="F427" t="s">
        <v>669</v>
      </c>
      <c r="G427" s="28"/>
      <c r="N427" s="28"/>
      <c r="O427" s="28"/>
      <c r="X427" s="40"/>
      <c r="Y427" s="40"/>
    </row>
    <row r="428" spans="5:25" x14ac:dyDescent="0.35">
      <c r="E428" t="s">
        <v>184</v>
      </c>
      <c r="F428" t="s">
        <v>670</v>
      </c>
      <c r="G428" s="28"/>
      <c r="N428" s="28"/>
      <c r="O428" s="28"/>
      <c r="X428" s="40"/>
      <c r="Y428" s="40"/>
    </row>
    <row r="429" spans="5:25" x14ac:dyDescent="0.35">
      <c r="E429" t="s">
        <v>184</v>
      </c>
      <c r="F429" t="s">
        <v>410</v>
      </c>
      <c r="G429" s="28"/>
      <c r="N429" s="28"/>
      <c r="O429" s="28"/>
      <c r="X429" s="40"/>
      <c r="Y429" s="40"/>
    </row>
    <row r="430" spans="5:25" x14ac:dyDescent="0.35">
      <c r="E430" t="s">
        <v>184</v>
      </c>
      <c r="F430" t="s">
        <v>671</v>
      </c>
      <c r="G430" s="28"/>
      <c r="N430" s="28"/>
      <c r="O430" s="28"/>
      <c r="X430" s="40"/>
      <c r="Y430" s="40"/>
    </row>
    <row r="431" spans="5:25" x14ac:dyDescent="0.35">
      <c r="E431" t="s">
        <v>184</v>
      </c>
      <c r="F431" t="s">
        <v>672</v>
      </c>
      <c r="G431" s="28"/>
      <c r="N431" s="28"/>
      <c r="O431" s="28"/>
      <c r="X431" s="40"/>
      <c r="Y431" s="40"/>
    </row>
    <row r="432" spans="5:25" x14ac:dyDescent="0.35">
      <c r="E432" t="s">
        <v>184</v>
      </c>
      <c r="F432" t="s">
        <v>673</v>
      </c>
      <c r="G432" s="28"/>
      <c r="N432" s="28"/>
      <c r="O432" s="28"/>
      <c r="X432" s="40"/>
      <c r="Y432" s="40"/>
    </row>
    <row r="433" spans="5:25" x14ac:dyDescent="0.35">
      <c r="E433" t="s">
        <v>184</v>
      </c>
      <c r="F433" t="s">
        <v>674</v>
      </c>
      <c r="G433" s="28"/>
      <c r="N433" s="28"/>
      <c r="O433" s="28"/>
      <c r="X433" s="40"/>
      <c r="Y433" s="40"/>
    </row>
    <row r="434" spans="5:25" x14ac:dyDescent="0.35">
      <c r="E434" t="s">
        <v>184</v>
      </c>
      <c r="F434" t="s">
        <v>675</v>
      </c>
      <c r="G434" s="28"/>
      <c r="N434" s="28"/>
      <c r="O434" s="28"/>
      <c r="X434" s="40"/>
      <c r="Y434" s="40"/>
    </row>
    <row r="435" spans="5:25" x14ac:dyDescent="0.35">
      <c r="E435" t="s">
        <v>184</v>
      </c>
      <c r="F435" t="s">
        <v>676</v>
      </c>
      <c r="G435" s="28"/>
      <c r="N435" s="28"/>
      <c r="O435" s="28"/>
      <c r="X435" s="40"/>
      <c r="Y435" s="40"/>
    </row>
    <row r="436" spans="5:25" x14ac:dyDescent="0.35">
      <c r="E436" t="s">
        <v>184</v>
      </c>
      <c r="F436" t="s">
        <v>677</v>
      </c>
      <c r="G436" s="28"/>
      <c r="N436" s="28"/>
      <c r="O436" s="28"/>
      <c r="X436" s="40"/>
      <c r="Y436" s="40"/>
    </row>
    <row r="437" spans="5:25" x14ac:dyDescent="0.35">
      <c r="E437" t="s">
        <v>184</v>
      </c>
      <c r="F437" t="s">
        <v>678</v>
      </c>
      <c r="G437" s="28"/>
      <c r="N437" s="28"/>
      <c r="O437" s="28"/>
      <c r="X437" s="40"/>
      <c r="Y437" s="40"/>
    </row>
    <row r="438" spans="5:25" x14ac:dyDescent="0.35">
      <c r="E438" t="s">
        <v>184</v>
      </c>
      <c r="F438" t="s">
        <v>544</v>
      </c>
      <c r="G438" s="28"/>
      <c r="N438" s="28"/>
      <c r="O438" s="28"/>
      <c r="X438" s="40"/>
      <c r="Y438" s="40"/>
    </row>
    <row r="439" spans="5:25" x14ac:dyDescent="0.35">
      <c r="E439" t="s">
        <v>184</v>
      </c>
      <c r="F439" t="s">
        <v>679</v>
      </c>
      <c r="G439" s="28"/>
      <c r="N439" s="28"/>
      <c r="O439" s="28"/>
      <c r="X439" s="40"/>
      <c r="Y439" s="40"/>
    </row>
    <row r="440" spans="5:25" x14ac:dyDescent="0.35">
      <c r="E440" t="s">
        <v>184</v>
      </c>
      <c r="F440" t="s">
        <v>680</v>
      </c>
      <c r="G440" s="28"/>
      <c r="N440" s="28"/>
      <c r="O440" s="28"/>
      <c r="X440" s="40"/>
      <c r="Y440" s="40"/>
    </row>
    <row r="441" spans="5:25" x14ac:dyDescent="0.35">
      <c r="E441" t="s">
        <v>184</v>
      </c>
      <c r="F441" t="s">
        <v>681</v>
      </c>
      <c r="G441" s="28"/>
      <c r="N441" s="28"/>
      <c r="O441" s="28"/>
      <c r="X441" s="40"/>
      <c r="Y441" s="40"/>
    </row>
    <row r="442" spans="5:25" x14ac:dyDescent="0.35">
      <c r="E442" t="s">
        <v>184</v>
      </c>
      <c r="F442" t="s">
        <v>547</v>
      </c>
      <c r="G442" s="28"/>
      <c r="N442" s="28"/>
      <c r="O442" s="28"/>
      <c r="X442" s="40"/>
      <c r="Y442" s="40"/>
    </row>
    <row r="443" spans="5:25" x14ac:dyDescent="0.35">
      <c r="E443" t="s">
        <v>184</v>
      </c>
      <c r="F443" t="s">
        <v>682</v>
      </c>
      <c r="G443" s="28"/>
      <c r="N443" s="28"/>
      <c r="O443" s="28"/>
      <c r="X443" s="40"/>
      <c r="Y443" s="40"/>
    </row>
    <row r="444" spans="5:25" x14ac:dyDescent="0.35">
      <c r="E444" t="s">
        <v>184</v>
      </c>
      <c r="F444" t="s">
        <v>683</v>
      </c>
      <c r="G444" s="28"/>
      <c r="N444" s="28"/>
      <c r="O444" s="28"/>
      <c r="X444" s="40"/>
      <c r="Y444" s="40"/>
    </row>
    <row r="445" spans="5:25" x14ac:dyDescent="0.35">
      <c r="E445" t="s">
        <v>184</v>
      </c>
      <c r="F445" t="s">
        <v>684</v>
      </c>
      <c r="G445" s="28"/>
      <c r="N445" s="28"/>
      <c r="O445" s="28"/>
      <c r="X445" s="40"/>
      <c r="Y445" s="40"/>
    </row>
    <row r="446" spans="5:25" x14ac:dyDescent="0.35">
      <c r="E446" t="s">
        <v>184</v>
      </c>
      <c r="F446" t="s">
        <v>358</v>
      </c>
      <c r="G446" s="28"/>
      <c r="N446" s="28"/>
      <c r="O446" s="28"/>
      <c r="X446" s="40"/>
      <c r="Y446" s="40"/>
    </row>
    <row r="447" spans="5:25" x14ac:dyDescent="0.35">
      <c r="E447" t="s">
        <v>184</v>
      </c>
      <c r="F447" t="s">
        <v>685</v>
      </c>
      <c r="G447" s="28"/>
      <c r="N447" s="28"/>
      <c r="O447" s="28"/>
      <c r="X447" s="40"/>
      <c r="Y447" s="40"/>
    </row>
    <row r="448" spans="5:25" x14ac:dyDescent="0.35">
      <c r="E448" t="s">
        <v>184</v>
      </c>
      <c r="F448" t="s">
        <v>686</v>
      </c>
      <c r="G448" s="28"/>
      <c r="N448" s="32"/>
      <c r="O448" s="32"/>
      <c r="X448" s="40"/>
      <c r="Y448" s="40"/>
    </row>
    <row r="449" spans="5:25" x14ac:dyDescent="0.35">
      <c r="E449" t="s">
        <v>184</v>
      </c>
      <c r="F449" t="s">
        <v>359</v>
      </c>
      <c r="G449" s="28"/>
      <c r="N449" s="32"/>
      <c r="O449" s="32"/>
      <c r="X449" s="40"/>
      <c r="Y449" s="40"/>
    </row>
    <row r="450" spans="5:25" x14ac:dyDescent="0.35">
      <c r="E450" t="s">
        <v>184</v>
      </c>
      <c r="F450" t="s">
        <v>416</v>
      </c>
      <c r="G450" s="28"/>
      <c r="N450" s="32"/>
      <c r="O450" s="32"/>
      <c r="X450" s="40"/>
      <c r="Y450" s="40"/>
    </row>
    <row r="451" spans="5:25" x14ac:dyDescent="0.35">
      <c r="E451" t="s">
        <v>184</v>
      </c>
      <c r="F451" t="s">
        <v>687</v>
      </c>
      <c r="G451" s="28"/>
      <c r="N451" s="32"/>
      <c r="O451" s="32"/>
      <c r="X451" s="40"/>
      <c r="Y451" s="40"/>
    </row>
    <row r="452" spans="5:25" x14ac:dyDescent="0.35">
      <c r="E452" t="s">
        <v>184</v>
      </c>
      <c r="F452" t="s">
        <v>688</v>
      </c>
      <c r="G452" s="28"/>
      <c r="N452" s="32"/>
      <c r="O452" s="32"/>
      <c r="X452" s="40"/>
      <c r="Y452" s="40"/>
    </row>
    <row r="453" spans="5:25" x14ac:dyDescent="0.35">
      <c r="E453" t="s">
        <v>184</v>
      </c>
      <c r="F453" t="s">
        <v>689</v>
      </c>
      <c r="G453" s="28"/>
      <c r="N453" s="28"/>
      <c r="O453" s="28"/>
      <c r="X453" s="40"/>
      <c r="Y453" s="40"/>
    </row>
    <row r="454" spans="5:25" x14ac:dyDescent="0.35">
      <c r="E454" t="s">
        <v>184</v>
      </c>
      <c r="F454" t="s">
        <v>690</v>
      </c>
      <c r="G454" s="28"/>
      <c r="N454" s="28"/>
      <c r="O454" s="28"/>
      <c r="X454" s="40"/>
      <c r="Y454" s="40"/>
    </row>
    <row r="455" spans="5:25" x14ac:dyDescent="0.35">
      <c r="E455" t="s">
        <v>184</v>
      </c>
      <c r="F455" t="s">
        <v>691</v>
      </c>
      <c r="G455" s="28"/>
      <c r="N455" s="28"/>
      <c r="O455" s="28"/>
      <c r="X455" s="40"/>
      <c r="Y455" s="40"/>
    </row>
    <row r="456" spans="5:25" x14ac:dyDescent="0.35">
      <c r="E456" t="s">
        <v>184</v>
      </c>
      <c r="F456" t="s">
        <v>361</v>
      </c>
      <c r="G456" s="28"/>
      <c r="N456" s="28"/>
      <c r="O456" s="28"/>
      <c r="X456" s="40"/>
      <c r="Y456" s="40"/>
    </row>
    <row r="457" spans="5:25" x14ac:dyDescent="0.35">
      <c r="E457" t="s">
        <v>184</v>
      </c>
      <c r="F457" t="s">
        <v>692</v>
      </c>
      <c r="G457" s="28"/>
      <c r="N457" s="28"/>
      <c r="O457" s="28"/>
      <c r="X457" s="40"/>
      <c r="Y457" s="40"/>
    </row>
    <row r="458" spans="5:25" x14ac:dyDescent="0.35">
      <c r="E458" t="s">
        <v>184</v>
      </c>
      <c r="F458" t="s">
        <v>693</v>
      </c>
      <c r="G458" s="28"/>
      <c r="N458" s="28"/>
      <c r="O458" s="28"/>
      <c r="X458" s="40"/>
      <c r="Y458" s="40"/>
    </row>
    <row r="459" spans="5:25" x14ac:dyDescent="0.35">
      <c r="E459" t="s">
        <v>184</v>
      </c>
      <c r="F459" t="s">
        <v>694</v>
      </c>
      <c r="G459" s="28"/>
      <c r="N459" s="28"/>
      <c r="O459" s="28"/>
      <c r="X459" s="40"/>
      <c r="Y459" s="40"/>
    </row>
    <row r="460" spans="5:25" x14ac:dyDescent="0.35">
      <c r="E460" t="s">
        <v>184</v>
      </c>
      <c r="F460" t="s">
        <v>695</v>
      </c>
      <c r="G460" s="28"/>
      <c r="N460" s="28"/>
      <c r="O460" s="28"/>
      <c r="X460" s="40"/>
      <c r="Y460" s="40"/>
    </row>
    <row r="461" spans="5:25" x14ac:dyDescent="0.35">
      <c r="E461" t="s">
        <v>184</v>
      </c>
      <c r="F461" t="s">
        <v>696</v>
      </c>
      <c r="G461" s="28"/>
      <c r="N461" s="28"/>
      <c r="O461" s="28"/>
      <c r="X461" s="40"/>
      <c r="Y461" s="40"/>
    </row>
    <row r="462" spans="5:25" x14ac:dyDescent="0.35">
      <c r="E462" t="s">
        <v>184</v>
      </c>
      <c r="F462" t="s">
        <v>697</v>
      </c>
      <c r="G462" s="28"/>
      <c r="N462" s="28"/>
      <c r="O462" s="28"/>
      <c r="X462" s="40"/>
      <c r="Y462" s="40"/>
    </row>
    <row r="463" spans="5:25" x14ac:dyDescent="0.35">
      <c r="E463" t="s">
        <v>184</v>
      </c>
      <c r="F463" t="s">
        <v>698</v>
      </c>
      <c r="G463" s="28"/>
      <c r="N463" s="28"/>
      <c r="O463" s="28"/>
      <c r="X463" s="40"/>
      <c r="Y463" s="40"/>
    </row>
    <row r="464" spans="5:25" x14ac:dyDescent="0.35">
      <c r="E464" t="s">
        <v>184</v>
      </c>
      <c r="F464" t="s">
        <v>699</v>
      </c>
      <c r="G464" s="28"/>
      <c r="N464" s="28"/>
      <c r="O464" s="28"/>
      <c r="X464" s="40"/>
      <c r="Y464" s="40"/>
    </row>
    <row r="465" spans="5:25" x14ac:dyDescent="0.35">
      <c r="E465" t="s">
        <v>184</v>
      </c>
      <c r="F465" t="s">
        <v>363</v>
      </c>
      <c r="G465" s="28"/>
      <c r="N465" s="28"/>
      <c r="O465" s="28"/>
      <c r="X465" s="40"/>
      <c r="Y465" s="40"/>
    </row>
    <row r="466" spans="5:25" x14ac:dyDescent="0.35">
      <c r="E466" t="s">
        <v>184</v>
      </c>
      <c r="F466" t="s">
        <v>364</v>
      </c>
      <c r="G466" s="28"/>
      <c r="N466" s="28"/>
      <c r="O466" s="28"/>
      <c r="X466" s="40"/>
      <c r="Y466" s="40"/>
    </row>
    <row r="467" spans="5:25" x14ac:dyDescent="0.35">
      <c r="E467" t="s">
        <v>184</v>
      </c>
      <c r="F467" t="s">
        <v>700</v>
      </c>
      <c r="G467" s="28"/>
      <c r="N467" s="28"/>
      <c r="O467" s="28"/>
      <c r="X467" s="40"/>
      <c r="Y467" s="40"/>
    </row>
    <row r="468" spans="5:25" x14ac:dyDescent="0.35">
      <c r="E468" t="s">
        <v>184</v>
      </c>
      <c r="F468" t="s">
        <v>365</v>
      </c>
      <c r="G468" s="28"/>
      <c r="N468" s="28"/>
      <c r="O468" s="28"/>
      <c r="X468" s="40"/>
      <c r="Y468" s="40"/>
    </row>
    <row r="469" spans="5:25" x14ac:dyDescent="0.35">
      <c r="E469" t="s">
        <v>184</v>
      </c>
      <c r="F469" t="s">
        <v>701</v>
      </c>
      <c r="G469" s="28"/>
      <c r="N469" s="28"/>
      <c r="O469" s="28"/>
      <c r="X469" s="40"/>
      <c r="Y469" s="40"/>
    </row>
    <row r="470" spans="5:25" x14ac:dyDescent="0.35">
      <c r="E470" t="s">
        <v>184</v>
      </c>
      <c r="F470" t="s">
        <v>702</v>
      </c>
      <c r="G470" s="28"/>
      <c r="N470" s="28"/>
      <c r="O470" s="28"/>
      <c r="X470" s="40"/>
      <c r="Y470" s="40"/>
    </row>
    <row r="471" spans="5:25" x14ac:dyDescent="0.35">
      <c r="E471" t="s">
        <v>184</v>
      </c>
      <c r="F471" t="s">
        <v>366</v>
      </c>
      <c r="G471" s="28"/>
      <c r="N471" s="28"/>
      <c r="O471" s="28"/>
      <c r="X471" s="40"/>
      <c r="Y471" s="40"/>
    </row>
    <row r="472" spans="5:25" x14ac:dyDescent="0.35">
      <c r="E472" t="s">
        <v>184</v>
      </c>
      <c r="F472" t="s">
        <v>703</v>
      </c>
      <c r="G472" s="28"/>
      <c r="N472" s="28"/>
      <c r="O472" s="28"/>
      <c r="X472" s="40"/>
      <c r="Y472" s="40"/>
    </row>
    <row r="473" spans="5:25" x14ac:dyDescent="0.35">
      <c r="E473" t="s">
        <v>184</v>
      </c>
      <c r="F473" t="s">
        <v>424</v>
      </c>
      <c r="G473" s="28"/>
      <c r="N473" s="28"/>
      <c r="O473" s="28"/>
      <c r="X473" s="40"/>
      <c r="Y473" s="40"/>
    </row>
    <row r="474" spans="5:25" x14ac:dyDescent="0.35">
      <c r="E474" t="s">
        <v>184</v>
      </c>
      <c r="F474" t="s">
        <v>704</v>
      </c>
      <c r="G474" s="28"/>
      <c r="N474" s="28"/>
      <c r="O474" s="28"/>
      <c r="X474" s="40"/>
      <c r="Y474" s="40"/>
    </row>
    <row r="475" spans="5:25" x14ac:dyDescent="0.35">
      <c r="E475" t="s">
        <v>184</v>
      </c>
      <c r="F475" t="s">
        <v>367</v>
      </c>
      <c r="G475" s="28"/>
      <c r="N475" s="28"/>
      <c r="O475" s="28"/>
      <c r="X475" s="40"/>
      <c r="Y475" s="40"/>
    </row>
    <row r="476" spans="5:25" x14ac:dyDescent="0.35">
      <c r="E476" t="s">
        <v>184</v>
      </c>
      <c r="F476" t="s">
        <v>705</v>
      </c>
      <c r="G476" s="28"/>
      <c r="N476" s="28"/>
      <c r="O476" s="28"/>
      <c r="X476" s="40"/>
      <c r="Y476" s="40"/>
    </row>
    <row r="477" spans="5:25" x14ac:dyDescent="0.35">
      <c r="E477" t="s">
        <v>184</v>
      </c>
      <c r="F477" t="s">
        <v>706</v>
      </c>
      <c r="G477" s="28"/>
      <c r="N477" s="28"/>
      <c r="O477" s="28"/>
      <c r="X477" s="40"/>
      <c r="Y477" s="40"/>
    </row>
    <row r="478" spans="5:25" x14ac:dyDescent="0.35">
      <c r="E478" t="s">
        <v>184</v>
      </c>
      <c r="F478" t="s">
        <v>370</v>
      </c>
      <c r="G478" s="28"/>
      <c r="N478" s="28"/>
      <c r="O478" s="28"/>
      <c r="X478" s="40"/>
      <c r="Y478" s="40"/>
    </row>
    <row r="479" spans="5:25" x14ac:dyDescent="0.35">
      <c r="E479" t="s">
        <v>184</v>
      </c>
      <c r="F479" t="s">
        <v>620</v>
      </c>
      <c r="G479" s="28"/>
      <c r="N479" s="28"/>
      <c r="O479" s="28"/>
      <c r="X479" s="40"/>
      <c r="Y479" s="40"/>
    </row>
    <row r="480" spans="5:25" x14ac:dyDescent="0.35">
      <c r="E480" t="s">
        <v>184</v>
      </c>
      <c r="F480" t="s">
        <v>426</v>
      </c>
      <c r="G480" s="28"/>
      <c r="N480" s="28"/>
      <c r="O480" s="28"/>
      <c r="X480" s="40"/>
      <c r="Y480" s="40"/>
    </row>
    <row r="481" spans="5:25" x14ac:dyDescent="0.35">
      <c r="E481" t="s">
        <v>184</v>
      </c>
      <c r="F481" t="s">
        <v>707</v>
      </c>
      <c r="G481" s="28"/>
      <c r="N481" s="28"/>
      <c r="O481" s="28"/>
      <c r="X481" s="40"/>
      <c r="Y481" s="40"/>
    </row>
    <row r="482" spans="5:25" x14ac:dyDescent="0.35">
      <c r="E482" t="s">
        <v>184</v>
      </c>
      <c r="F482" t="s">
        <v>372</v>
      </c>
      <c r="G482" s="28"/>
      <c r="N482" s="28"/>
      <c r="O482" s="28"/>
      <c r="X482" s="40"/>
      <c r="Y482" s="40"/>
    </row>
    <row r="483" spans="5:25" x14ac:dyDescent="0.35">
      <c r="E483" t="s">
        <v>184</v>
      </c>
      <c r="F483" t="s">
        <v>708</v>
      </c>
      <c r="G483" s="28"/>
      <c r="N483" s="28"/>
      <c r="O483" s="28"/>
      <c r="X483" s="40"/>
      <c r="Y483" s="40"/>
    </row>
    <row r="484" spans="5:25" x14ac:dyDescent="0.35">
      <c r="E484" t="s">
        <v>184</v>
      </c>
      <c r="F484" t="s">
        <v>373</v>
      </c>
      <c r="G484" s="28"/>
      <c r="N484" s="28"/>
      <c r="O484" s="28"/>
      <c r="X484" s="40"/>
      <c r="Y484" s="40"/>
    </row>
    <row r="485" spans="5:25" x14ac:dyDescent="0.35">
      <c r="E485" t="s">
        <v>184</v>
      </c>
      <c r="F485" t="s">
        <v>374</v>
      </c>
      <c r="G485" s="28"/>
      <c r="N485" s="28"/>
      <c r="O485" s="28"/>
      <c r="X485" s="40"/>
      <c r="Y485" s="40"/>
    </row>
    <row r="486" spans="5:25" x14ac:dyDescent="0.35">
      <c r="E486" t="s">
        <v>184</v>
      </c>
      <c r="F486" t="s">
        <v>376</v>
      </c>
      <c r="G486" s="28"/>
      <c r="N486" s="28"/>
      <c r="O486" s="28"/>
      <c r="X486" s="40"/>
      <c r="Y486" s="40"/>
    </row>
    <row r="487" spans="5:25" x14ac:dyDescent="0.35">
      <c r="E487" t="s">
        <v>184</v>
      </c>
      <c r="F487" t="s">
        <v>709</v>
      </c>
      <c r="G487" s="28"/>
      <c r="N487" s="28"/>
      <c r="O487" s="28"/>
      <c r="X487" s="40"/>
      <c r="Y487" s="40"/>
    </row>
    <row r="488" spans="5:25" x14ac:dyDescent="0.35">
      <c r="E488" t="s">
        <v>184</v>
      </c>
      <c r="F488" t="s">
        <v>710</v>
      </c>
      <c r="G488" s="28"/>
      <c r="N488" s="28"/>
      <c r="O488" s="28"/>
      <c r="X488" s="40"/>
      <c r="Y488" s="40"/>
    </row>
    <row r="489" spans="5:25" x14ac:dyDescent="0.35">
      <c r="E489" t="s">
        <v>184</v>
      </c>
      <c r="F489" t="s">
        <v>711</v>
      </c>
      <c r="G489" s="28"/>
      <c r="N489" s="28"/>
      <c r="O489" s="28"/>
      <c r="X489" s="40"/>
      <c r="Y489" s="40"/>
    </row>
    <row r="490" spans="5:25" x14ac:dyDescent="0.35">
      <c r="E490" t="s">
        <v>184</v>
      </c>
      <c r="F490" t="s">
        <v>430</v>
      </c>
      <c r="G490" s="28"/>
      <c r="N490" s="28"/>
      <c r="O490" s="28"/>
      <c r="X490" s="40"/>
      <c r="Y490" s="40"/>
    </row>
    <row r="491" spans="5:25" x14ac:dyDescent="0.35">
      <c r="E491" t="s">
        <v>184</v>
      </c>
      <c r="F491" t="s">
        <v>712</v>
      </c>
      <c r="G491" s="28"/>
      <c r="N491" s="28"/>
      <c r="O491" s="28"/>
      <c r="X491" s="40"/>
      <c r="Y491" s="40"/>
    </row>
    <row r="492" spans="5:25" x14ac:dyDescent="0.35">
      <c r="E492" t="s">
        <v>184</v>
      </c>
      <c r="F492" t="s">
        <v>379</v>
      </c>
      <c r="G492" s="28"/>
      <c r="N492" s="28"/>
      <c r="O492" s="28"/>
      <c r="X492" s="40"/>
      <c r="Y492" s="40"/>
    </row>
    <row r="493" spans="5:25" x14ac:dyDescent="0.35">
      <c r="E493" t="s">
        <v>184</v>
      </c>
      <c r="F493" t="s">
        <v>380</v>
      </c>
      <c r="G493" s="28"/>
      <c r="N493" s="28"/>
      <c r="O493" s="28"/>
      <c r="X493" s="40"/>
      <c r="Y493" s="40"/>
    </row>
    <row r="494" spans="5:25" x14ac:dyDescent="0.35">
      <c r="E494" t="s">
        <v>184</v>
      </c>
      <c r="F494" t="s">
        <v>381</v>
      </c>
      <c r="G494" s="28"/>
      <c r="N494" s="28"/>
      <c r="O494" s="28"/>
      <c r="X494" s="40"/>
      <c r="Y494" s="40"/>
    </row>
    <row r="495" spans="5:25" x14ac:dyDescent="0.35">
      <c r="E495" t="s">
        <v>184</v>
      </c>
      <c r="F495" t="s">
        <v>713</v>
      </c>
      <c r="G495" s="28"/>
      <c r="N495" s="28"/>
      <c r="O495" s="28"/>
      <c r="X495" s="40"/>
      <c r="Y495" s="40"/>
    </row>
    <row r="496" spans="5:25" x14ac:dyDescent="0.35">
      <c r="E496" t="s">
        <v>184</v>
      </c>
      <c r="F496" t="s">
        <v>714</v>
      </c>
      <c r="G496" s="28"/>
      <c r="N496" s="28"/>
      <c r="O496" s="28"/>
      <c r="X496" s="40"/>
      <c r="Y496" s="40"/>
    </row>
    <row r="497" spans="5:25" x14ac:dyDescent="0.35">
      <c r="E497" t="s">
        <v>184</v>
      </c>
      <c r="F497" t="s">
        <v>433</v>
      </c>
      <c r="G497" s="28"/>
      <c r="N497" s="28"/>
      <c r="O497" s="28"/>
      <c r="X497" s="40"/>
      <c r="Y497" s="40"/>
    </row>
    <row r="498" spans="5:25" x14ac:dyDescent="0.35">
      <c r="E498" t="s">
        <v>184</v>
      </c>
      <c r="F498" t="s">
        <v>715</v>
      </c>
      <c r="G498" s="28"/>
      <c r="N498" s="28"/>
      <c r="O498" s="28"/>
      <c r="X498" s="40"/>
      <c r="Y498" s="40"/>
    </row>
    <row r="499" spans="5:25" x14ac:dyDescent="0.35">
      <c r="E499" t="s">
        <v>184</v>
      </c>
      <c r="F499" t="s">
        <v>716</v>
      </c>
      <c r="G499" s="28"/>
      <c r="N499" s="28"/>
      <c r="O499" s="28"/>
      <c r="X499" s="40"/>
      <c r="Y499" s="40"/>
    </row>
    <row r="500" spans="5:25" x14ac:dyDescent="0.35">
      <c r="E500" t="s">
        <v>184</v>
      </c>
      <c r="F500" t="s">
        <v>717</v>
      </c>
      <c r="G500" s="28"/>
      <c r="N500" s="28"/>
      <c r="O500" s="28"/>
      <c r="X500" s="40"/>
      <c r="Y500" s="40"/>
    </row>
    <row r="501" spans="5:25" x14ac:dyDescent="0.35">
      <c r="E501" t="s">
        <v>184</v>
      </c>
      <c r="F501" t="s">
        <v>718</v>
      </c>
      <c r="G501" s="28"/>
      <c r="N501" s="28"/>
      <c r="O501" s="28"/>
      <c r="X501" s="40"/>
      <c r="Y501" s="40"/>
    </row>
    <row r="502" spans="5:25" x14ac:dyDescent="0.35">
      <c r="E502" t="s">
        <v>184</v>
      </c>
      <c r="F502" t="s">
        <v>383</v>
      </c>
      <c r="G502" s="28"/>
      <c r="N502" s="28"/>
      <c r="O502" s="28"/>
      <c r="X502" s="40"/>
      <c r="Y502" s="40"/>
    </row>
    <row r="503" spans="5:25" x14ac:dyDescent="0.35">
      <c r="E503" t="s">
        <v>184</v>
      </c>
      <c r="F503" t="s">
        <v>719</v>
      </c>
      <c r="G503" s="28"/>
      <c r="N503" s="28"/>
      <c r="O503" s="28"/>
      <c r="X503" s="40"/>
      <c r="Y503" s="40"/>
    </row>
    <row r="504" spans="5:25" x14ac:dyDescent="0.35">
      <c r="E504" t="s">
        <v>184</v>
      </c>
      <c r="F504" t="s">
        <v>384</v>
      </c>
      <c r="G504" s="28"/>
      <c r="N504" s="28"/>
      <c r="O504" s="28"/>
      <c r="X504" s="40"/>
      <c r="Y504" s="40"/>
    </row>
    <row r="505" spans="5:25" x14ac:dyDescent="0.35">
      <c r="E505" t="s">
        <v>184</v>
      </c>
      <c r="F505" t="s">
        <v>437</v>
      </c>
      <c r="G505" s="28"/>
      <c r="N505" s="28"/>
      <c r="O505" s="28"/>
      <c r="X505" s="40"/>
      <c r="Y505" s="40"/>
    </row>
    <row r="506" spans="5:25" x14ac:dyDescent="0.35">
      <c r="E506" t="s">
        <v>184</v>
      </c>
      <c r="F506" t="s">
        <v>440</v>
      </c>
      <c r="G506" s="28"/>
      <c r="N506" s="28"/>
      <c r="O506" s="28"/>
      <c r="X506" s="40"/>
      <c r="Y506" s="40"/>
    </row>
    <row r="507" spans="5:25" x14ac:dyDescent="0.35">
      <c r="E507" t="s">
        <v>184</v>
      </c>
      <c r="F507" t="s">
        <v>631</v>
      </c>
      <c r="G507" s="28"/>
      <c r="N507" s="28"/>
      <c r="O507" s="28"/>
      <c r="X507" s="40"/>
      <c r="Y507" s="40"/>
    </row>
    <row r="508" spans="5:25" x14ac:dyDescent="0.35">
      <c r="E508" t="s">
        <v>184</v>
      </c>
      <c r="F508" t="s">
        <v>720</v>
      </c>
      <c r="G508" s="28"/>
      <c r="N508" s="28"/>
      <c r="O508" s="28"/>
      <c r="X508" s="40"/>
      <c r="Y508" s="40"/>
    </row>
    <row r="509" spans="5:25" x14ac:dyDescent="0.35">
      <c r="E509" t="s">
        <v>184</v>
      </c>
      <c r="F509" t="s">
        <v>721</v>
      </c>
      <c r="G509" s="28"/>
      <c r="N509" s="28"/>
      <c r="O509" s="28"/>
      <c r="X509" s="40"/>
      <c r="Y509" s="40"/>
    </row>
    <row r="510" spans="5:25" x14ac:dyDescent="0.35">
      <c r="E510" t="s">
        <v>184</v>
      </c>
      <c r="F510" t="s">
        <v>385</v>
      </c>
      <c r="G510" s="28"/>
      <c r="N510" s="28"/>
      <c r="O510" s="28"/>
      <c r="X510" s="40"/>
      <c r="Y510" s="40"/>
    </row>
    <row r="511" spans="5:25" x14ac:dyDescent="0.35">
      <c r="E511" t="s">
        <v>184</v>
      </c>
      <c r="F511" t="s">
        <v>722</v>
      </c>
      <c r="G511" s="28"/>
      <c r="N511" s="28"/>
      <c r="O511" s="28"/>
      <c r="X511" s="40"/>
      <c r="Y511" s="40"/>
    </row>
    <row r="512" spans="5:25" x14ac:dyDescent="0.35">
      <c r="E512" t="s">
        <v>184</v>
      </c>
      <c r="F512" t="s">
        <v>723</v>
      </c>
      <c r="G512" s="28"/>
      <c r="N512" s="28"/>
      <c r="O512" s="28"/>
      <c r="X512" s="40"/>
      <c r="Y512" s="40"/>
    </row>
    <row r="513" spans="5:25" x14ac:dyDescent="0.35">
      <c r="E513" t="s">
        <v>184</v>
      </c>
      <c r="F513" t="s">
        <v>724</v>
      </c>
      <c r="G513" s="28"/>
      <c r="N513" s="28"/>
      <c r="O513" s="28"/>
      <c r="X513" s="40"/>
      <c r="Y513" s="40"/>
    </row>
    <row r="514" spans="5:25" x14ac:dyDescent="0.35">
      <c r="E514" t="s">
        <v>184</v>
      </c>
      <c r="F514" t="s">
        <v>725</v>
      </c>
      <c r="G514" s="28"/>
      <c r="N514" s="28"/>
      <c r="O514" s="28"/>
      <c r="X514" s="40"/>
      <c r="Y514" s="40"/>
    </row>
    <row r="515" spans="5:25" x14ac:dyDescent="0.35">
      <c r="E515" t="s">
        <v>184</v>
      </c>
      <c r="F515" t="s">
        <v>636</v>
      </c>
      <c r="G515" s="28"/>
      <c r="N515" s="28"/>
      <c r="O515" s="28"/>
      <c r="X515" s="40"/>
      <c r="Y515" s="40"/>
    </row>
    <row r="516" spans="5:25" x14ac:dyDescent="0.35">
      <c r="E516" t="s">
        <v>184</v>
      </c>
      <c r="F516" t="s">
        <v>726</v>
      </c>
      <c r="G516" s="28"/>
      <c r="N516" s="28"/>
      <c r="O516" s="28"/>
      <c r="X516" s="40"/>
      <c r="Y516" s="40"/>
    </row>
    <row r="517" spans="5:25" x14ac:dyDescent="0.35">
      <c r="E517" t="s">
        <v>184</v>
      </c>
      <c r="F517" t="s">
        <v>727</v>
      </c>
      <c r="G517" s="28"/>
      <c r="N517" s="28"/>
      <c r="O517" s="28"/>
      <c r="X517" s="40"/>
      <c r="Y517" s="40"/>
    </row>
    <row r="518" spans="5:25" x14ac:dyDescent="0.35">
      <c r="E518" t="s">
        <v>184</v>
      </c>
      <c r="F518" t="s">
        <v>728</v>
      </c>
      <c r="G518" s="28"/>
      <c r="N518" s="28"/>
      <c r="O518" s="28"/>
      <c r="X518" s="40"/>
      <c r="Y518" s="40"/>
    </row>
    <row r="519" spans="5:25" x14ac:dyDescent="0.35">
      <c r="E519" t="s">
        <v>184</v>
      </c>
      <c r="F519" t="s">
        <v>389</v>
      </c>
      <c r="G519" s="28"/>
      <c r="N519" s="28"/>
      <c r="O519" s="28"/>
      <c r="X519" s="40"/>
      <c r="Y519" s="40"/>
    </row>
    <row r="520" spans="5:25" x14ac:dyDescent="0.35">
      <c r="E520" t="s">
        <v>184</v>
      </c>
      <c r="F520" t="s">
        <v>729</v>
      </c>
      <c r="G520" s="28"/>
      <c r="N520" s="28"/>
      <c r="O520" s="28"/>
      <c r="X520" s="40"/>
      <c r="Y520" s="40"/>
    </row>
    <row r="521" spans="5:25" x14ac:dyDescent="0.35">
      <c r="E521" t="s">
        <v>184</v>
      </c>
      <c r="F521" t="s">
        <v>730</v>
      </c>
      <c r="G521" s="28"/>
      <c r="N521" s="28"/>
      <c r="O521" s="28"/>
      <c r="X521" s="40"/>
      <c r="Y521" s="40"/>
    </row>
    <row r="522" spans="5:25" x14ac:dyDescent="0.35">
      <c r="E522" t="s">
        <v>184</v>
      </c>
      <c r="F522" t="s">
        <v>731</v>
      </c>
      <c r="G522" s="28"/>
      <c r="N522" s="28"/>
      <c r="O522" s="28"/>
      <c r="X522" s="40"/>
      <c r="Y522" s="40"/>
    </row>
    <row r="523" spans="5:25" x14ac:dyDescent="0.35">
      <c r="E523" t="s">
        <v>184</v>
      </c>
      <c r="F523" t="s">
        <v>638</v>
      </c>
      <c r="G523" s="28"/>
      <c r="N523" s="28"/>
      <c r="O523" s="28"/>
      <c r="X523" s="40"/>
      <c r="Y523" s="40"/>
    </row>
    <row r="524" spans="5:25" x14ac:dyDescent="0.35">
      <c r="E524" t="s">
        <v>184</v>
      </c>
      <c r="F524" t="s">
        <v>732</v>
      </c>
      <c r="G524" s="28"/>
      <c r="N524" s="28"/>
      <c r="O524" s="28"/>
      <c r="X524" s="40"/>
      <c r="Y524" s="40"/>
    </row>
    <row r="525" spans="5:25" x14ac:dyDescent="0.35">
      <c r="E525" t="s">
        <v>184</v>
      </c>
      <c r="F525" t="s">
        <v>733</v>
      </c>
      <c r="G525" s="28"/>
      <c r="N525" s="28"/>
      <c r="O525" s="28"/>
      <c r="X525" s="40"/>
      <c r="Y525" s="40"/>
    </row>
    <row r="526" spans="5:25" x14ac:dyDescent="0.35">
      <c r="E526" t="s">
        <v>184</v>
      </c>
      <c r="F526" t="s">
        <v>734</v>
      </c>
      <c r="G526" s="28"/>
      <c r="N526" s="28"/>
      <c r="O526" s="28"/>
      <c r="X526" s="40"/>
      <c r="Y526" s="40"/>
    </row>
    <row r="527" spans="5:25" x14ac:dyDescent="0.35">
      <c r="E527" t="s">
        <v>184</v>
      </c>
      <c r="F527" t="s">
        <v>735</v>
      </c>
      <c r="G527" s="28"/>
      <c r="N527" s="28"/>
      <c r="O527" s="28"/>
      <c r="X527" s="40"/>
      <c r="Y527" s="40"/>
    </row>
    <row r="528" spans="5:25" x14ac:dyDescent="0.35">
      <c r="E528" t="s">
        <v>184</v>
      </c>
      <c r="F528" t="s">
        <v>736</v>
      </c>
      <c r="G528" s="28"/>
      <c r="N528" s="28"/>
      <c r="O528" s="28"/>
      <c r="X528" s="40"/>
      <c r="Y528" s="40"/>
    </row>
    <row r="529" spans="5:25" x14ac:dyDescent="0.35">
      <c r="E529" t="s">
        <v>184</v>
      </c>
      <c r="F529" t="s">
        <v>737</v>
      </c>
      <c r="G529" s="28"/>
      <c r="N529" s="28"/>
      <c r="O529" s="28"/>
      <c r="X529" s="40"/>
      <c r="Y529" s="40"/>
    </row>
    <row r="530" spans="5:25" x14ac:dyDescent="0.35">
      <c r="E530" t="s">
        <v>184</v>
      </c>
      <c r="F530" t="s">
        <v>738</v>
      </c>
      <c r="G530" s="28"/>
      <c r="N530" s="28"/>
      <c r="O530" s="28"/>
      <c r="X530" s="40"/>
      <c r="Y530" s="40"/>
    </row>
    <row r="531" spans="5:25" x14ac:dyDescent="0.35">
      <c r="E531" t="s">
        <v>184</v>
      </c>
      <c r="F531" t="s">
        <v>739</v>
      </c>
      <c r="G531" s="28"/>
      <c r="N531" s="28"/>
      <c r="O531" s="28"/>
      <c r="X531" s="40"/>
      <c r="Y531" s="40"/>
    </row>
    <row r="532" spans="5:25" x14ac:dyDescent="0.35">
      <c r="E532" t="s">
        <v>184</v>
      </c>
      <c r="F532" t="s">
        <v>740</v>
      </c>
      <c r="G532" s="28"/>
      <c r="N532" s="28"/>
      <c r="O532" s="28"/>
      <c r="X532" s="40"/>
      <c r="Y532" s="40"/>
    </row>
    <row r="533" spans="5:25" x14ac:dyDescent="0.35">
      <c r="E533" t="s">
        <v>184</v>
      </c>
      <c r="F533" t="s">
        <v>741</v>
      </c>
      <c r="G533" s="28"/>
      <c r="N533" s="28"/>
      <c r="O533" s="28"/>
      <c r="X533" s="40"/>
      <c r="Y533" s="40"/>
    </row>
    <row r="534" spans="5:25" x14ac:dyDescent="0.35">
      <c r="E534" t="s">
        <v>184</v>
      </c>
      <c r="F534" t="s">
        <v>449</v>
      </c>
      <c r="G534" s="28"/>
      <c r="N534" s="28"/>
      <c r="O534" s="28"/>
      <c r="X534" s="40"/>
      <c r="Y534" s="40"/>
    </row>
    <row r="535" spans="5:25" x14ac:dyDescent="0.35">
      <c r="E535" t="s">
        <v>184</v>
      </c>
      <c r="F535" t="s">
        <v>742</v>
      </c>
      <c r="G535" s="28"/>
      <c r="N535" s="28"/>
      <c r="O535" s="28"/>
      <c r="X535" s="40"/>
      <c r="Y535" s="40"/>
    </row>
    <row r="536" spans="5:25" x14ac:dyDescent="0.35">
      <c r="E536" t="s">
        <v>184</v>
      </c>
      <c r="F536" t="s">
        <v>393</v>
      </c>
      <c r="G536" s="28"/>
      <c r="N536" s="28"/>
      <c r="O536" s="28"/>
      <c r="X536" s="40"/>
      <c r="Y536" s="40"/>
    </row>
    <row r="537" spans="5:25" x14ac:dyDescent="0.35">
      <c r="E537" t="s">
        <v>184</v>
      </c>
      <c r="F537" t="s">
        <v>641</v>
      </c>
      <c r="G537" s="28"/>
      <c r="N537" s="28"/>
      <c r="O537" s="28"/>
      <c r="X537" s="40"/>
      <c r="Y537" s="40"/>
    </row>
    <row r="538" spans="5:25" x14ac:dyDescent="0.35">
      <c r="E538" t="s">
        <v>184</v>
      </c>
      <c r="F538" t="s">
        <v>743</v>
      </c>
      <c r="G538" s="28"/>
      <c r="N538" s="28"/>
      <c r="O538" s="28"/>
      <c r="X538" s="40"/>
      <c r="Y538" s="40"/>
    </row>
    <row r="539" spans="5:25" x14ac:dyDescent="0.35">
      <c r="E539" t="s">
        <v>184</v>
      </c>
      <c r="F539" t="s">
        <v>744</v>
      </c>
      <c r="G539" s="28"/>
      <c r="N539" s="28"/>
      <c r="O539" s="28"/>
      <c r="X539" s="40"/>
      <c r="Y539" s="40"/>
    </row>
    <row r="540" spans="5:25" x14ac:dyDescent="0.35">
      <c r="E540" t="s">
        <v>184</v>
      </c>
      <c r="F540" t="s">
        <v>394</v>
      </c>
      <c r="G540" s="28"/>
      <c r="N540" s="28"/>
      <c r="O540" s="28"/>
      <c r="X540" s="40"/>
      <c r="Y540" s="40"/>
    </row>
    <row r="541" spans="5:25" x14ac:dyDescent="0.35">
      <c r="E541" t="s">
        <v>184</v>
      </c>
      <c r="F541" t="s">
        <v>745</v>
      </c>
      <c r="G541" s="28"/>
      <c r="N541" s="28"/>
      <c r="O541" s="28"/>
      <c r="X541" s="40"/>
      <c r="Y541" s="40"/>
    </row>
    <row r="542" spans="5:25" x14ac:dyDescent="0.35">
      <c r="E542" t="s">
        <v>184</v>
      </c>
      <c r="F542" t="s">
        <v>746</v>
      </c>
      <c r="G542" s="28"/>
      <c r="N542" s="28"/>
      <c r="O542" s="28"/>
      <c r="X542" s="40"/>
      <c r="Y542" s="40"/>
    </row>
    <row r="543" spans="5:25" x14ac:dyDescent="0.35">
      <c r="E543" t="s">
        <v>184</v>
      </c>
      <c r="F543" t="s">
        <v>747</v>
      </c>
      <c r="G543" s="28"/>
      <c r="N543" s="28"/>
      <c r="O543" s="28"/>
      <c r="X543" s="40"/>
      <c r="Y543" s="40"/>
    </row>
    <row r="544" spans="5:25" x14ac:dyDescent="0.35">
      <c r="E544" t="s">
        <v>184</v>
      </c>
      <c r="F544" t="s">
        <v>451</v>
      </c>
      <c r="G544" s="28"/>
      <c r="N544" s="28"/>
      <c r="O544" s="28"/>
      <c r="X544" s="40"/>
      <c r="Y544" s="40"/>
    </row>
    <row r="545" spans="5:25" x14ac:dyDescent="0.35">
      <c r="E545" t="s">
        <v>184</v>
      </c>
      <c r="F545" t="s">
        <v>748</v>
      </c>
      <c r="G545" s="28"/>
      <c r="N545" s="28"/>
      <c r="O545" s="28"/>
      <c r="X545" s="40"/>
      <c r="Y545" s="40"/>
    </row>
    <row r="546" spans="5:25" x14ac:dyDescent="0.35">
      <c r="E546" t="s">
        <v>184</v>
      </c>
      <c r="F546" t="s">
        <v>395</v>
      </c>
      <c r="G546" s="32"/>
      <c r="N546" s="28"/>
      <c r="O546" s="28"/>
      <c r="X546" s="40"/>
      <c r="Y546" s="40"/>
    </row>
    <row r="547" spans="5:25" x14ac:dyDescent="0.35">
      <c r="E547" t="s">
        <v>184</v>
      </c>
      <c r="F547" t="s">
        <v>749</v>
      </c>
      <c r="G547" s="32"/>
      <c r="N547" s="28"/>
      <c r="O547" s="28"/>
      <c r="X547" s="40"/>
      <c r="Y547" s="40"/>
    </row>
    <row r="548" spans="5:25" x14ac:dyDescent="0.35">
      <c r="E548" t="s">
        <v>184</v>
      </c>
      <c r="F548" t="s">
        <v>750</v>
      </c>
      <c r="G548" s="32"/>
      <c r="N548" s="28"/>
      <c r="O548" s="28"/>
      <c r="X548" s="40"/>
      <c r="Y548" s="40"/>
    </row>
    <row r="549" spans="5:25" x14ac:dyDescent="0.35">
      <c r="E549" t="s">
        <v>184</v>
      </c>
      <c r="F549" t="s">
        <v>751</v>
      </c>
      <c r="G549" s="32"/>
      <c r="N549" s="28"/>
      <c r="O549" s="28"/>
      <c r="X549" s="40"/>
      <c r="Y549" s="40"/>
    </row>
    <row r="550" spans="5:25" x14ac:dyDescent="0.35">
      <c r="E550" t="s">
        <v>295</v>
      </c>
      <c r="F550" t="s">
        <v>752</v>
      </c>
      <c r="G550" s="32"/>
      <c r="N550" s="28"/>
      <c r="O550" s="28"/>
      <c r="X550" s="40"/>
      <c r="Y550" s="40"/>
    </row>
    <row r="551" spans="5:25" x14ac:dyDescent="0.35">
      <c r="E551" t="s">
        <v>185</v>
      </c>
      <c r="F551" t="s">
        <v>454</v>
      </c>
      <c r="G551" s="28"/>
      <c r="N551" s="28"/>
      <c r="O551" s="28"/>
      <c r="X551" s="40"/>
      <c r="Y551" s="40"/>
    </row>
    <row r="552" spans="5:25" x14ac:dyDescent="0.35">
      <c r="E552" t="s">
        <v>185</v>
      </c>
      <c r="F552" t="s">
        <v>753</v>
      </c>
      <c r="G552" s="28"/>
      <c r="N552" s="28"/>
      <c r="O552" s="28"/>
      <c r="X552" s="40"/>
      <c r="Y552" s="40"/>
    </row>
    <row r="553" spans="5:25" x14ac:dyDescent="0.35">
      <c r="E553" t="s">
        <v>185</v>
      </c>
      <c r="F553" t="s">
        <v>754</v>
      </c>
      <c r="G553" s="28"/>
      <c r="N553" s="28"/>
      <c r="O553" s="28"/>
      <c r="X553" s="40"/>
      <c r="Y553" s="40"/>
    </row>
    <row r="554" spans="5:25" x14ac:dyDescent="0.35">
      <c r="E554" t="s">
        <v>185</v>
      </c>
      <c r="F554" t="s">
        <v>755</v>
      </c>
      <c r="G554" s="28"/>
      <c r="N554" s="28"/>
      <c r="O554" s="28"/>
      <c r="X554" s="40"/>
      <c r="Y554" s="40"/>
    </row>
    <row r="555" spans="5:25" x14ac:dyDescent="0.35">
      <c r="E555" t="s">
        <v>185</v>
      </c>
      <c r="F555" t="s">
        <v>756</v>
      </c>
      <c r="G555" s="28"/>
      <c r="N555" s="28"/>
      <c r="O555" s="28"/>
      <c r="X555" s="40"/>
      <c r="Y555" s="40"/>
    </row>
    <row r="556" spans="5:25" x14ac:dyDescent="0.35">
      <c r="E556" t="s">
        <v>186</v>
      </c>
      <c r="F556" t="s">
        <v>757</v>
      </c>
      <c r="G556" s="28"/>
      <c r="N556" s="28"/>
      <c r="O556" s="28"/>
      <c r="X556" s="40"/>
      <c r="Y556" s="40"/>
    </row>
    <row r="557" spans="5:25" x14ac:dyDescent="0.35">
      <c r="E557" t="s">
        <v>186</v>
      </c>
      <c r="F557" t="s">
        <v>526</v>
      </c>
      <c r="G557" s="28"/>
      <c r="N557" s="28"/>
      <c r="O557" s="28"/>
      <c r="X557" s="40"/>
      <c r="Y557" s="40"/>
    </row>
    <row r="558" spans="5:25" x14ac:dyDescent="0.35">
      <c r="E558" t="s">
        <v>186</v>
      </c>
      <c r="F558" t="s">
        <v>758</v>
      </c>
      <c r="G558" s="28"/>
      <c r="N558" s="28"/>
      <c r="O558" s="28"/>
      <c r="X558" s="40"/>
      <c r="Y558" s="40"/>
    </row>
    <row r="559" spans="5:25" x14ac:dyDescent="0.35">
      <c r="E559" t="s">
        <v>186</v>
      </c>
      <c r="F559" t="s">
        <v>759</v>
      </c>
      <c r="G559" s="28"/>
      <c r="N559" s="28"/>
      <c r="O559" s="28"/>
      <c r="X559" s="40"/>
      <c r="Y559" s="40"/>
    </row>
    <row r="560" spans="5:25" x14ac:dyDescent="0.35">
      <c r="E560" t="s">
        <v>186</v>
      </c>
      <c r="F560" t="s">
        <v>760</v>
      </c>
      <c r="G560" s="28"/>
      <c r="N560" s="28"/>
      <c r="O560" s="28"/>
      <c r="X560" s="40"/>
      <c r="Y560" s="40"/>
    </row>
    <row r="561" spans="5:25" x14ac:dyDescent="0.35">
      <c r="E561" t="s">
        <v>186</v>
      </c>
      <c r="F561" t="s">
        <v>400</v>
      </c>
      <c r="G561" s="28"/>
      <c r="N561" s="28"/>
      <c r="O561" s="28"/>
      <c r="X561" s="40"/>
      <c r="Y561" s="40"/>
    </row>
    <row r="562" spans="5:25" x14ac:dyDescent="0.35">
      <c r="E562" t="s">
        <v>186</v>
      </c>
      <c r="F562" t="s">
        <v>761</v>
      </c>
      <c r="G562" s="28"/>
      <c r="N562" s="28"/>
      <c r="O562" s="28"/>
      <c r="X562" s="40"/>
      <c r="Y562" s="40"/>
    </row>
    <row r="563" spans="5:25" x14ac:dyDescent="0.35">
      <c r="E563" t="s">
        <v>186</v>
      </c>
      <c r="F563" t="s">
        <v>401</v>
      </c>
      <c r="G563" s="28"/>
      <c r="N563" s="28"/>
      <c r="O563" s="28"/>
      <c r="X563" s="40"/>
      <c r="Y563" s="40"/>
    </row>
    <row r="564" spans="5:25" x14ac:dyDescent="0.35">
      <c r="E564" t="s">
        <v>186</v>
      </c>
      <c r="F564" t="s">
        <v>762</v>
      </c>
      <c r="G564" s="28"/>
      <c r="N564" s="28"/>
      <c r="O564" s="28"/>
      <c r="X564" s="40"/>
      <c r="Y564" s="40"/>
    </row>
    <row r="565" spans="5:25" x14ac:dyDescent="0.35">
      <c r="E565" t="s">
        <v>186</v>
      </c>
      <c r="F565" t="s">
        <v>763</v>
      </c>
      <c r="G565" s="28"/>
      <c r="N565" s="28"/>
      <c r="O565" s="28"/>
      <c r="X565" s="40"/>
      <c r="Y565" s="40"/>
    </row>
    <row r="566" spans="5:25" x14ac:dyDescent="0.35">
      <c r="E566" t="s">
        <v>186</v>
      </c>
      <c r="F566" t="s">
        <v>764</v>
      </c>
      <c r="G566" s="28"/>
      <c r="N566" s="28"/>
      <c r="O566" s="28"/>
      <c r="X566" s="40"/>
      <c r="Y566" s="40"/>
    </row>
    <row r="567" spans="5:25" x14ac:dyDescent="0.35">
      <c r="E567" t="s">
        <v>186</v>
      </c>
      <c r="F567" t="s">
        <v>336</v>
      </c>
      <c r="G567" s="28"/>
      <c r="N567" s="28"/>
      <c r="O567" s="28"/>
      <c r="X567" s="40"/>
      <c r="Y567" s="40"/>
    </row>
    <row r="568" spans="5:25" x14ac:dyDescent="0.35">
      <c r="E568" t="s">
        <v>186</v>
      </c>
      <c r="F568" t="s">
        <v>337</v>
      </c>
      <c r="G568" s="28"/>
      <c r="N568" s="28"/>
      <c r="O568" s="28"/>
      <c r="X568" s="40"/>
      <c r="Y568" s="40"/>
    </row>
    <row r="569" spans="5:25" x14ac:dyDescent="0.35">
      <c r="E569" t="s">
        <v>186</v>
      </c>
      <c r="F569" t="s">
        <v>403</v>
      </c>
      <c r="G569" s="28"/>
      <c r="N569" s="28"/>
      <c r="O569" s="28"/>
      <c r="X569" s="40"/>
      <c r="Y569" s="40"/>
    </row>
    <row r="570" spans="5:25" x14ac:dyDescent="0.35">
      <c r="E570" t="s">
        <v>186</v>
      </c>
      <c r="F570" t="s">
        <v>765</v>
      </c>
      <c r="G570" s="28"/>
      <c r="N570" s="28"/>
      <c r="O570" s="28"/>
      <c r="X570" s="40"/>
      <c r="Y570" s="40"/>
    </row>
    <row r="571" spans="5:25" x14ac:dyDescent="0.35">
      <c r="E571" t="s">
        <v>186</v>
      </c>
      <c r="F571" t="s">
        <v>766</v>
      </c>
      <c r="G571" s="28"/>
      <c r="N571" s="28"/>
      <c r="O571" s="28"/>
      <c r="X571" s="40"/>
      <c r="Y571" s="40"/>
    </row>
    <row r="572" spans="5:25" x14ac:dyDescent="0.35">
      <c r="E572" t="s">
        <v>186</v>
      </c>
      <c r="F572" t="s">
        <v>767</v>
      </c>
      <c r="G572" s="28"/>
      <c r="N572" s="28"/>
      <c r="O572" s="28"/>
      <c r="X572" s="40"/>
      <c r="Y572" s="40"/>
    </row>
    <row r="573" spans="5:25" x14ac:dyDescent="0.35">
      <c r="E573" t="s">
        <v>186</v>
      </c>
      <c r="F573" t="s">
        <v>339</v>
      </c>
      <c r="G573" s="28"/>
      <c r="N573" s="28"/>
      <c r="O573" s="28"/>
      <c r="X573" s="40"/>
      <c r="Y573" s="40"/>
    </row>
    <row r="574" spans="5:25" x14ac:dyDescent="0.35">
      <c r="E574" t="s">
        <v>186</v>
      </c>
      <c r="F574" t="s">
        <v>768</v>
      </c>
      <c r="G574" s="28"/>
      <c r="N574" s="28"/>
      <c r="O574" s="28"/>
      <c r="X574" s="40"/>
      <c r="Y574" s="40"/>
    </row>
    <row r="575" spans="5:25" x14ac:dyDescent="0.35">
      <c r="E575" t="s">
        <v>186</v>
      </c>
      <c r="F575" t="s">
        <v>342</v>
      </c>
      <c r="G575" s="28"/>
      <c r="N575" s="28"/>
      <c r="O575" s="28"/>
      <c r="X575" s="40"/>
      <c r="Y575" s="40"/>
    </row>
    <row r="576" spans="5:25" x14ac:dyDescent="0.35">
      <c r="E576" t="s">
        <v>186</v>
      </c>
      <c r="F576" t="s">
        <v>343</v>
      </c>
      <c r="G576" s="28"/>
      <c r="N576" s="28"/>
      <c r="O576" s="28"/>
      <c r="X576" s="40"/>
      <c r="Y576" s="40"/>
    </row>
    <row r="577" spans="5:25" x14ac:dyDescent="0.35">
      <c r="E577" t="s">
        <v>186</v>
      </c>
      <c r="F577" t="s">
        <v>665</v>
      </c>
      <c r="G577" s="28"/>
      <c r="N577" s="28"/>
      <c r="O577" s="28"/>
      <c r="X577" s="40"/>
      <c r="Y577" s="40"/>
    </row>
    <row r="578" spans="5:25" x14ac:dyDescent="0.35">
      <c r="E578" t="s">
        <v>186</v>
      </c>
      <c r="F578" t="s">
        <v>769</v>
      </c>
      <c r="G578" s="28"/>
      <c r="N578" s="28"/>
      <c r="O578" s="28"/>
      <c r="X578" s="40"/>
      <c r="Y578" s="40"/>
    </row>
    <row r="579" spans="5:25" x14ac:dyDescent="0.35">
      <c r="E579" t="s">
        <v>186</v>
      </c>
      <c r="F579" t="s">
        <v>410</v>
      </c>
      <c r="G579" s="28"/>
      <c r="N579" s="28"/>
      <c r="O579" s="28"/>
      <c r="X579" s="40"/>
      <c r="Y579" s="40"/>
    </row>
    <row r="580" spans="5:25" x14ac:dyDescent="0.35">
      <c r="E580" t="s">
        <v>186</v>
      </c>
      <c r="F580" t="s">
        <v>353</v>
      </c>
      <c r="G580" s="28"/>
      <c r="N580" s="28"/>
      <c r="O580" s="28"/>
      <c r="X580" s="40"/>
      <c r="Y580" s="40"/>
    </row>
    <row r="581" spans="5:25" x14ac:dyDescent="0.35">
      <c r="E581" t="s">
        <v>186</v>
      </c>
      <c r="F581" t="s">
        <v>770</v>
      </c>
      <c r="G581" s="28"/>
      <c r="N581" s="28"/>
      <c r="O581" s="28"/>
      <c r="X581" s="40"/>
      <c r="Y581" s="40"/>
    </row>
    <row r="582" spans="5:25" x14ac:dyDescent="0.35">
      <c r="E582" t="s">
        <v>186</v>
      </c>
      <c r="F582" t="s">
        <v>674</v>
      </c>
      <c r="G582" s="28"/>
      <c r="N582" s="28"/>
      <c r="O582" s="28"/>
      <c r="X582" s="40"/>
      <c r="Y582" s="40"/>
    </row>
    <row r="583" spans="5:25" x14ac:dyDescent="0.35">
      <c r="E583" t="s">
        <v>186</v>
      </c>
      <c r="F583" t="s">
        <v>771</v>
      </c>
      <c r="G583" s="28"/>
      <c r="N583" s="28"/>
      <c r="O583" s="28"/>
      <c r="X583" s="40"/>
      <c r="Y583" s="40"/>
    </row>
    <row r="584" spans="5:25" x14ac:dyDescent="0.35">
      <c r="E584" t="s">
        <v>186</v>
      </c>
      <c r="F584" t="s">
        <v>772</v>
      </c>
      <c r="G584" s="28"/>
      <c r="N584" s="28"/>
      <c r="O584" s="28"/>
      <c r="X584" s="40"/>
      <c r="Y584" s="40"/>
    </row>
    <row r="585" spans="5:25" x14ac:dyDescent="0.35">
      <c r="E585" t="s">
        <v>186</v>
      </c>
      <c r="F585" t="s">
        <v>773</v>
      </c>
      <c r="G585" s="28"/>
      <c r="N585" s="28"/>
      <c r="O585" s="28"/>
      <c r="X585" s="40"/>
      <c r="Y585" s="40"/>
    </row>
    <row r="586" spans="5:25" x14ac:dyDescent="0.35">
      <c r="E586" t="s">
        <v>186</v>
      </c>
      <c r="F586" t="s">
        <v>774</v>
      </c>
      <c r="G586" s="28"/>
      <c r="N586" s="28"/>
      <c r="O586" s="28"/>
      <c r="X586" s="40"/>
      <c r="Y586" s="40"/>
    </row>
    <row r="587" spans="5:25" x14ac:dyDescent="0.35">
      <c r="E587" t="s">
        <v>186</v>
      </c>
      <c r="F587" t="s">
        <v>775</v>
      </c>
      <c r="G587" s="28"/>
      <c r="N587" s="28"/>
      <c r="O587" s="28"/>
      <c r="X587" s="40"/>
      <c r="Y587" s="40"/>
    </row>
    <row r="588" spans="5:25" x14ac:dyDescent="0.35">
      <c r="E588" t="s">
        <v>186</v>
      </c>
      <c r="F588" t="s">
        <v>358</v>
      </c>
      <c r="G588" s="28"/>
      <c r="N588" s="28"/>
      <c r="O588" s="28"/>
      <c r="X588" s="40"/>
      <c r="Y588" s="40"/>
    </row>
    <row r="589" spans="5:25" x14ac:dyDescent="0.35">
      <c r="E589" t="s">
        <v>186</v>
      </c>
      <c r="F589" t="s">
        <v>685</v>
      </c>
      <c r="G589" s="28"/>
      <c r="N589" s="28"/>
      <c r="O589" s="28"/>
      <c r="X589" s="40"/>
      <c r="Y589" s="40"/>
    </row>
    <row r="590" spans="5:25" x14ac:dyDescent="0.35">
      <c r="E590" t="s">
        <v>186</v>
      </c>
      <c r="F590" t="s">
        <v>359</v>
      </c>
      <c r="G590" s="28"/>
      <c r="N590" s="28"/>
      <c r="O590" s="28"/>
      <c r="X590" s="40"/>
      <c r="Y590" s="40"/>
    </row>
    <row r="591" spans="5:25" x14ac:dyDescent="0.35">
      <c r="E591" t="s">
        <v>186</v>
      </c>
      <c r="F591" t="s">
        <v>548</v>
      </c>
      <c r="G591" s="28"/>
      <c r="N591" s="28"/>
      <c r="O591" s="28"/>
      <c r="X591" s="40"/>
      <c r="Y591" s="40"/>
    </row>
    <row r="592" spans="5:25" x14ac:dyDescent="0.35">
      <c r="E592" t="s">
        <v>186</v>
      </c>
      <c r="F592" t="s">
        <v>361</v>
      </c>
      <c r="G592" s="28"/>
      <c r="N592" s="28"/>
      <c r="O592" s="28"/>
      <c r="X592" s="40"/>
      <c r="Y592" s="40"/>
    </row>
    <row r="593" spans="5:25" x14ac:dyDescent="0.35">
      <c r="E593" t="s">
        <v>186</v>
      </c>
      <c r="F593" t="s">
        <v>776</v>
      </c>
      <c r="G593" s="28"/>
      <c r="N593" s="28"/>
      <c r="O593" s="28"/>
      <c r="X593" s="40"/>
      <c r="Y593" s="40"/>
    </row>
    <row r="594" spans="5:25" x14ac:dyDescent="0.35">
      <c r="E594" t="s">
        <v>186</v>
      </c>
      <c r="F594" t="s">
        <v>777</v>
      </c>
      <c r="G594" s="28"/>
      <c r="N594" s="28"/>
      <c r="O594" s="28"/>
      <c r="X594" s="40"/>
      <c r="Y594" s="40"/>
    </row>
    <row r="595" spans="5:25" x14ac:dyDescent="0.35">
      <c r="E595" t="s">
        <v>186</v>
      </c>
      <c r="F595" t="s">
        <v>610</v>
      </c>
      <c r="G595" s="28"/>
      <c r="N595" s="28"/>
      <c r="O595" s="28"/>
      <c r="X595" s="40"/>
      <c r="Y595" s="40"/>
    </row>
    <row r="596" spans="5:25" x14ac:dyDescent="0.35">
      <c r="E596" t="s">
        <v>186</v>
      </c>
      <c r="F596" t="s">
        <v>695</v>
      </c>
      <c r="G596" s="28"/>
      <c r="N596" s="28"/>
      <c r="O596" s="28"/>
      <c r="X596" s="40"/>
      <c r="Y596" s="40"/>
    </row>
    <row r="597" spans="5:25" x14ac:dyDescent="0.35">
      <c r="E597" t="s">
        <v>186</v>
      </c>
      <c r="F597" t="s">
        <v>778</v>
      </c>
      <c r="G597" s="28"/>
      <c r="N597" s="28"/>
      <c r="O597" s="28"/>
      <c r="X597" s="40"/>
      <c r="Y597" s="40"/>
    </row>
    <row r="598" spans="5:25" x14ac:dyDescent="0.35">
      <c r="E598" t="s">
        <v>186</v>
      </c>
      <c r="F598" t="s">
        <v>779</v>
      </c>
      <c r="G598" s="28"/>
      <c r="N598" s="28"/>
      <c r="O598" s="28"/>
      <c r="X598" s="40"/>
      <c r="Y598" s="40"/>
    </row>
    <row r="599" spans="5:25" x14ac:dyDescent="0.35">
      <c r="E599" t="s">
        <v>186</v>
      </c>
      <c r="F599" t="s">
        <v>363</v>
      </c>
      <c r="G599" s="28"/>
      <c r="N599" s="28"/>
      <c r="O599" s="28"/>
      <c r="X599" s="40"/>
      <c r="Y599" s="40"/>
    </row>
    <row r="600" spans="5:25" x14ac:dyDescent="0.35">
      <c r="E600" t="s">
        <v>186</v>
      </c>
      <c r="F600" t="s">
        <v>421</v>
      </c>
      <c r="G600" s="28"/>
      <c r="N600" s="28"/>
      <c r="O600" s="28"/>
      <c r="X600" s="40"/>
      <c r="Y600" s="40"/>
    </row>
    <row r="601" spans="5:25" x14ac:dyDescent="0.35">
      <c r="E601" t="s">
        <v>186</v>
      </c>
      <c r="F601" t="s">
        <v>481</v>
      </c>
      <c r="G601" s="28"/>
      <c r="N601" s="28"/>
      <c r="O601" s="28"/>
      <c r="X601" s="40"/>
      <c r="Y601" s="40"/>
    </row>
    <row r="602" spans="5:25" x14ac:dyDescent="0.35">
      <c r="E602" t="s">
        <v>186</v>
      </c>
      <c r="F602" t="s">
        <v>780</v>
      </c>
      <c r="G602" s="28"/>
      <c r="N602" s="28"/>
      <c r="O602" s="28"/>
      <c r="X602" s="40"/>
      <c r="Y602" s="40"/>
    </row>
    <row r="603" spans="5:25" x14ac:dyDescent="0.35">
      <c r="E603" t="s">
        <v>186</v>
      </c>
      <c r="F603" t="s">
        <v>781</v>
      </c>
      <c r="G603" s="28"/>
      <c r="N603" s="28"/>
      <c r="O603" s="28"/>
      <c r="X603" s="40"/>
      <c r="Y603" s="40"/>
    </row>
    <row r="604" spans="5:25" x14ac:dyDescent="0.35">
      <c r="E604" t="s">
        <v>186</v>
      </c>
      <c r="F604" t="s">
        <v>365</v>
      </c>
      <c r="G604" s="28"/>
      <c r="N604" s="28"/>
      <c r="O604" s="28"/>
      <c r="X604" s="40"/>
      <c r="Y604" s="40"/>
    </row>
    <row r="605" spans="5:25" x14ac:dyDescent="0.35">
      <c r="E605" t="s">
        <v>186</v>
      </c>
      <c r="F605" t="s">
        <v>701</v>
      </c>
      <c r="G605" s="28"/>
      <c r="N605" s="28"/>
      <c r="O605" s="28"/>
      <c r="X605" s="40"/>
      <c r="Y605" s="40"/>
    </row>
    <row r="606" spans="5:25" x14ac:dyDescent="0.35">
      <c r="E606" t="s">
        <v>186</v>
      </c>
      <c r="F606" t="s">
        <v>366</v>
      </c>
      <c r="G606" s="28"/>
      <c r="N606" s="28"/>
      <c r="O606" s="28"/>
      <c r="X606" s="40"/>
      <c r="Y606" s="40"/>
    </row>
    <row r="607" spans="5:25" x14ac:dyDescent="0.35">
      <c r="E607" t="s">
        <v>186</v>
      </c>
      <c r="F607" t="s">
        <v>424</v>
      </c>
      <c r="G607" s="28"/>
      <c r="N607" s="28"/>
      <c r="O607" s="28"/>
      <c r="X607" s="40"/>
      <c r="Y607" s="40"/>
    </row>
    <row r="608" spans="5:25" x14ac:dyDescent="0.35">
      <c r="E608" t="s">
        <v>186</v>
      </c>
      <c r="F608" t="s">
        <v>704</v>
      </c>
      <c r="G608" s="28"/>
      <c r="N608" s="28"/>
      <c r="O608" s="28"/>
      <c r="X608" s="40"/>
      <c r="Y608" s="40"/>
    </row>
    <row r="609" spans="5:25" x14ac:dyDescent="0.35">
      <c r="E609" t="s">
        <v>186</v>
      </c>
      <c r="F609" t="s">
        <v>782</v>
      </c>
      <c r="G609" s="28"/>
      <c r="N609" s="28"/>
      <c r="O609" s="28"/>
      <c r="X609" s="40"/>
      <c r="Y609" s="40"/>
    </row>
    <row r="610" spans="5:25" x14ac:dyDescent="0.35">
      <c r="E610" t="s">
        <v>186</v>
      </c>
      <c r="F610" t="s">
        <v>783</v>
      </c>
      <c r="G610" s="28"/>
      <c r="N610" s="28"/>
      <c r="O610" s="28"/>
      <c r="X610" s="40"/>
      <c r="Y610" s="40"/>
    </row>
    <row r="611" spans="5:25" x14ac:dyDescent="0.35">
      <c r="E611" t="s">
        <v>186</v>
      </c>
      <c r="F611" t="s">
        <v>370</v>
      </c>
      <c r="G611" s="28"/>
      <c r="N611" s="28"/>
      <c r="O611" s="28"/>
      <c r="X611" s="40"/>
      <c r="Y611" s="40"/>
    </row>
    <row r="612" spans="5:25" x14ac:dyDescent="0.35">
      <c r="E612" t="s">
        <v>186</v>
      </c>
      <c r="F612" t="s">
        <v>784</v>
      </c>
      <c r="G612" s="28"/>
      <c r="N612" s="28"/>
      <c r="O612" s="28"/>
      <c r="X612" s="40"/>
      <c r="Y612" s="40"/>
    </row>
    <row r="613" spans="5:25" x14ac:dyDescent="0.35">
      <c r="E613" t="s">
        <v>186</v>
      </c>
      <c r="F613" t="s">
        <v>785</v>
      </c>
      <c r="G613" s="28"/>
      <c r="N613" s="28"/>
      <c r="O613" s="28"/>
      <c r="X613" s="40"/>
      <c r="Y613" s="40"/>
    </row>
    <row r="614" spans="5:25" x14ac:dyDescent="0.35">
      <c r="E614" t="s">
        <v>186</v>
      </c>
      <c r="F614" t="s">
        <v>786</v>
      </c>
      <c r="G614" s="28"/>
      <c r="N614" s="28"/>
      <c r="O614" s="28"/>
      <c r="X614" s="40"/>
      <c r="Y614" s="40"/>
    </row>
    <row r="615" spans="5:25" x14ac:dyDescent="0.35">
      <c r="E615" t="s">
        <v>186</v>
      </c>
      <c r="F615" t="s">
        <v>787</v>
      </c>
      <c r="G615" s="28"/>
      <c r="N615" s="28"/>
      <c r="O615" s="28"/>
      <c r="X615" s="40"/>
      <c r="Y615" s="40"/>
    </row>
    <row r="616" spans="5:25" x14ac:dyDescent="0.35">
      <c r="E616" t="s">
        <v>186</v>
      </c>
      <c r="F616" t="s">
        <v>374</v>
      </c>
      <c r="G616" s="28"/>
      <c r="N616" s="28"/>
      <c r="O616" s="28"/>
      <c r="X616" s="40"/>
      <c r="Y616" s="40"/>
    </row>
    <row r="617" spans="5:25" x14ac:dyDescent="0.35">
      <c r="E617" t="s">
        <v>186</v>
      </c>
      <c r="F617" t="s">
        <v>788</v>
      </c>
      <c r="G617" s="28"/>
      <c r="N617" s="28"/>
      <c r="O617" s="28"/>
      <c r="X617" s="40"/>
      <c r="Y617" s="40"/>
    </row>
    <row r="618" spans="5:25" x14ac:dyDescent="0.35">
      <c r="E618" t="s">
        <v>186</v>
      </c>
      <c r="F618" t="s">
        <v>376</v>
      </c>
      <c r="G618" s="28"/>
      <c r="N618" s="28"/>
      <c r="O618" s="28"/>
      <c r="X618" s="40"/>
      <c r="Y618" s="40"/>
    </row>
    <row r="619" spans="5:25" x14ac:dyDescent="0.35">
      <c r="E619" t="s">
        <v>186</v>
      </c>
      <c r="F619" t="s">
        <v>377</v>
      </c>
      <c r="G619" s="28"/>
      <c r="N619" s="28"/>
      <c r="O619" s="28"/>
      <c r="X619" s="40"/>
      <c r="Y619" s="40"/>
    </row>
    <row r="620" spans="5:25" x14ac:dyDescent="0.35">
      <c r="E620" t="s">
        <v>186</v>
      </c>
      <c r="F620" t="s">
        <v>789</v>
      </c>
      <c r="G620" s="28"/>
      <c r="N620" s="28"/>
      <c r="O620" s="28"/>
      <c r="X620" s="40"/>
      <c r="Y620" s="40"/>
    </row>
    <row r="621" spans="5:25" x14ac:dyDescent="0.35">
      <c r="E621" t="s">
        <v>186</v>
      </c>
      <c r="F621" t="s">
        <v>712</v>
      </c>
      <c r="G621" s="28"/>
      <c r="N621" s="28"/>
      <c r="O621" s="28"/>
      <c r="X621" s="40"/>
      <c r="Y621" s="40"/>
    </row>
    <row r="622" spans="5:25" x14ac:dyDescent="0.35">
      <c r="E622" t="s">
        <v>186</v>
      </c>
      <c r="F622" t="s">
        <v>790</v>
      </c>
      <c r="G622" s="28"/>
      <c r="N622" s="28"/>
      <c r="O622" s="28"/>
      <c r="X622" s="40"/>
      <c r="Y622" s="40"/>
    </row>
    <row r="623" spans="5:25" x14ac:dyDescent="0.35">
      <c r="E623" t="s">
        <v>186</v>
      </c>
      <c r="F623" t="s">
        <v>379</v>
      </c>
      <c r="G623" s="28"/>
      <c r="N623" s="28"/>
      <c r="O623" s="28"/>
      <c r="X623" s="40"/>
      <c r="Y623" s="40"/>
    </row>
    <row r="624" spans="5:25" x14ac:dyDescent="0.35">
      <c r="E624" t="s">
        <v>186</v>
      </c>
      <c r="F624" t="s">
        <v>380</v>
      </c>
      <c r="G624" s="28"/>
      <c r="N624" s="28"/>
      <c r="O624" s="28"/>
      <c r="X624" s="40"/>
      <c r="Y624" s="40"/>
    </row>
    <row r="625" spans="5:25" x14ac:dyDescent="0.35">
      <c r="E625" t="s">
        <v>186</v>
      </c>
      <c r="F625" t="s">
        <v>791</v>
      </c>
      <c r="G625" s="28"/>
      <c r="N625" s="28"/>
      <c r="O625" s="28"/>
      <c r="X625" s="40"/>
      <c r="Y625" s="40"/>
    </row>
    <row r="626" spans="5:25" x14ac:dyDescent="0.35">
      <c r="E626" t="s">
        <v>186</v>
      </c>
      <c r="F626" t="s">
        <v>792</v>
      </c>
      <c r="G626" s="28"/>
      <c r="N626" s="28"/>
      <c r="O626" s="28"/>
      <c r="X626" s="40"/>
      <c r="Y626" s="40"/>
    </row>
    <row r="627" spans="5:25" x14ac:dyDescent="0.35">
      <c r="E627" t="s">
        <v>186</v>
      </c>
      <c r="F627" t="s">
        <v>627</v>
      </c>
      <c r="G627" s="28"/>
      <c r="N627" s="28"/>
      <c r="O627" s="28"/>
      <c r="X627" s="40"/>
      <c r="Y627" s="40"/>
    </row>
    <row r="628" spans="5:25" x14ac:dyDescent="0.35">
      <c r="E628" t="s">
        <v>186</v>
      </c>
      <c r="F628" t="s">
        <v>793</v>
      </c>
      <c r="G628" s="28"/>
      <c r="N628" s="28"/>
      <c r="O628" s="28"/>
      <c r="X628" s="40"/>
      <c r="Y628" s="40"/>
    </row>
    <row r="629" spans="5:25" x14ac:dyDescent="0.35">
      <c r="E629" t="s">
        <v>186</v>
      </c>
      <c r="F629" t="s">
        <v>794</v>
      </c>
      <c r="G629" s="28"/>
      <c r="N629" s="28"/>
      <c r="O629" s="28"/>
      <c r="X629" s="40"/>
      <c r="Y629" s="40"/>
    </row>
    <row r="630" spans="5:25" x14ac:dyDescent="0.35">
      <c r="E630" t="s">
        <v>186</v>
      </c>
      <c r="F630" t="s">
        <v>795</v>
      </c>
      <c r="G630" s="28"/>
      <c r="N630" s="28"/>
      <c r="O630" s="28"/>
      <c r="X630" s="40"/>
      <c r="Y630" s="40"/>
    </row>
    <row r="631" spans="5:25" x14ac:dyDescent="0.35">
      <c r="E631" t="s">
        <v>186</v>
      </c>
      <c r="F631" t="s">
        <v>796</v>
      </c>
      <c r="G631" s="28"/>
      <c r="N631" s="28"/>
      <c r="O631" s="28"/>
      <c r="X631" s="40"/>
      <c r="Y631" s="40"/>
    </row>
    <row r="632" spans="5:25" x14ac:dyDescent="0.35">
      <c r="E632" t="s">
        <v>186</v>
      </c>
      <c r="F632" t="s">
        <v>437</v>
      </c>
      <c r="G632" s="28"/>
      <c r="N632" s="28"/>
      <c r="O632" s="28"/>
      <c r="X632" s="40"/>
      <c r="Y632" s="40"/>
    </row>
    <row r="633" spans="5:25" x14ac:dyDescent="0.35">
      <c r="E633" t="s">
        <v>186</v>
      </c>
      <c r="F633" t="s">
        <v>797</v>
      </c>
      <c r="G633" s="28"/>
      <c r="N633" s="28"/>
      <c r="O633" s="28"/>
      <c r="X633" s="40"/>
      <c r="Y633" s="40"/>
    </row>
    <row r="634" spans="5:25" x14ac:dyDescent="0.35">
      <c r="E634" t="s">
        <v>186</v>
      </c>
      <c r="F634" t="s">
        <v>798</v>
      </c>
      <c r="G634" s="28"/>
      <c r="N634" s="28"/>
      <c r="O634" s="28"/>
      <c r="X634" s="40"/>
      <c r="Y634" s="40"/>
    </row>
    <row r="635" spans="5:25" x14ac:dyDescent="0.35">
      <c r="E635" t="s">
        <v>186</v>
      </c>
      <c r="F635" t="s">
        <v>799</v>
      </c>
      <c r="G635" s="28"/>
      <c r="N635" s="28"/>
      <c r="O635" s="28"/>
      <c r="X635" s="40"/>
      <c r="Y635" s="40"/>
    </row>
    <row r="636" spans="5:25" x14ac:dyDescent="0.35">
      <c r="E636" t="s">
        <v>186</v>
      </c>
      <c r="F636" t="s">
        <v>800</v>
      </c>
      <c r="G636" s="28"/>
      <c r="N636" s="28"/>
      <c r="O636" s="28"/>
      <c r="X636" s="40"/>
      <c r="Y636" s="40"/>
    </row>
    <row r="637" spans="5:25" x14ac:dyDescent="0.35">
      <c r="E637" t="s">
        <v>186</v>
      </c>
      <c r="F637" t="s">
        <v>443</v>
      </c>
      <c r="G637" s="28"/>
      <c r="N637" s="28"/>
      <c r="O637" s="28"/>
      <c r="X637" s="40"/>
      <c r="Y637" s="40"/>
    </row>
    <row r="638" spans="5:25" x14ac:dyDescent="0.35">
      <c r="E638" t="s">
        <v>186</v>
      </c>
      <c r="F638" t="s">
        <v>388</v>
      </c>
      <c r="G638" s="28"/>
      <c r="N638" s="28"/>
      <c r="O638" s="28"/>
      <c r="X638" s="40"/>
      <c r="Y638" s="40"/>
    </row>
    <row r="639" spans="5:25" x14ac:dyDescent="0.35">
      <c r="E639" t="s">
        <v>186</v>
      </c>
      <c r="F639" t="s">
        <v>801</v>
      </c>
      <c r="G639" s="28"/>
      <c r="N639" s="28"/>
      <c r="O639" s="28"/>
      <c r="X639" s="40"/>
      <c r="Y639" s="40"/>
    </row>
    <row r="640" spans="5:25" x14ac:dyDescent="0.35">
      <c r="E640" t="s">
        <v>186</v>
      </c>
      <c r="F640" t="s">
        <v>802</v>
      </c>
      <c r="G640" s="28"/>
      <c r="N640" s="28"/>
      <c r="O640" s="28"/>
      <c r="X640" s="40"/>
      <c r="Y640" s="40"/>
    </row>
    <row r="641" spans="5:25" x14ac:dyDescent="0.35">
      <c r="E641" t="s">
        <v>186</v>
      </c>
      <c r="F641" t="s">
        <v>803</v>
      </c>
      <c r="G641" s="28"/>
      <c r="N641" s="28"/>
      <c r="O641" s="28"/>
      <c r="X641" s="40"/>
      <c r="Y641" s="40"/>
    </row>
    <row r="642" spans="5:25" x14ac:dyDescent="0.35">
      <c r="E642" t="s">
        <v>186</v>
      </c>
      <c r="F642" t="s">
        <v>638</v>
      </c>
      <c r="G642" s="28"/>
      <c r="N642" s="28"/>
      <c r="O642" s="28"/>
      <c r="X642" s="40"/>
      <c r="Y642" s="40"/>
    </row>
    <row r="643" spans="5:25" x14ac:dyDescent="0.35">
      <c r="E643" t="s">
        <v>186</v>
      </c>
      <c r="F643" t="s">
        <v>449</v>
      </c>
      <c r="G643" s="28"/>
      <c r="N643" s="28"/>
      <c r="O643" s="28"/>
      <c r="X643" s="40"/>
      <c r="Y643" s="40"/>
    </row>
    <row r="644" spans="5:25" x14ac:dyDescent="0.35">
      <c r="E644" t="s">
        <v>186</v>
      </c>
      <c r="F644" t="s">
        <v>450</v>
      </c>
      <c r="G644" s="28"/>
      <c r="N644" s="28"/>
      <c r="O644" s="28"/>
      <c r="X644" s="40"/>
      <c r="Y644" s="40"/>
    </row>
    <row r="645" spans="5:25" x14ac:dyDescent="0.35">
      <c r="E645" t="s">
        <v>186</v>
      </c>
      <c r="F645" t="s">
        <v>804</v>
      </c>
      <c r="G645" s="28"/>
      <c r="N645" s="28"/>
      <c r="O645" s="28"/>
      <c r="X645" s="40"/>
      <c r="Y645" s="40"/>
    </row>
    <row r="646" spans="5:25" x14ac:dyDescent="0.35">
      <c r="E646" t="s">
        <v>186</v>
      </c>
      <c r="F646" t="s">
        <v>744</v>
      </c>
      <c r="G646" s="28"/>
      <c r="N646" s="28"/>
      <c r="O646" s="28"/>
      <c r="X646" s="40"/>
      <c r="Y646" s="40"/>
    </row>
    <row r="647" spans="5:25" x14ac:dyDescent="0.35">
      <c r="E647" t="s">
        <v>186</v>
      </c>
      <c r="F647" t="s">
        <v>394</v>
      </c>
      <c r="G647" s="28"/>
      <c r="N647" s="28"/>
      <c r="O647" s="28"/>
      <c r="X647" s="40"/>
      <c r="Y647" s="40"/>
    </row>
    <row r="648" spans="5:25" x14ac:dyDescent="0.35">
      <c r="E648" t="s">
        <v>186</v>
      </c>
      <c r="F648" t="s">
        <v>745</v>
      </c>
      <c r="G648" s="28"/>
      <c r="N648" s="28"/>
      <c r="O648" s="28"/>
      <c r="X648" s="40"/>
      <c r="Y648" s="40"/>
    </row>
    <row r="649" spans="5:25" x14ac:dyDescent="0.35">
      <c r="E649" t="s">
        <v>186</v>
      </c>
      <c r="F649" t="s">
        <v>746</v>
      </c>
      <c r="G649" s="28"/>
      <c r="N649" s="28"/>
      <c r="O649" s="28"/>
      <c r="X649" s="40"/>
      <c r="Y649" s="40"/>
    </row>
    <row r="650" spans="5:25" x14ac:dyDescent="0.35">
      <c r="E650" t="s">
        <v>186</v>
      </c>
      <c r="F650" t="s">
        <v>805</v>
      </c>
      <c r="G650" s="28"/>
      <c r="N650" s="28"/>
      <c r="O650" s="28"/>
      <c r="X650" s="40"/>
      <c r="Y650" s="40"/>
    </row>
    <row r="651" spans="5:25" x14ac:dyDescent="0.35">
      <c r="E651" t="s">
        <v>186</v>
      </c>
      <c r="F651" t="s">
        <v>806</v>
      </c>
      <c r="G651" s="28"/>
      <c r="N651" s="28"/>
      <c r="O651" s="28"/>
      <c r="X651" s="40"/>
      <c r="Y651" s="40"/>
    </row>
    <row r="652" spans="5:25" x14ac:dyDescent="0.35">
      <c r="E652" t="s">
        <v>186</v>
      </c>
      <c r="F652" t="s">
        <v>807</v>
      </c>
      <c r="G652" s="28"/>
      <c r="N652" s="28"/>
      <c r="O652" s="28"/>
      <c r="X652" s="40"/>
      <c r="Y652" s="40"/>
    </row>
    <row r="653" spans="5:25" x14ac:dyDescent="0.35">
      <c r="E653" t="s">
        <v>186</v>
      </c>
      <c r="F653" t="s">
        <v>751</v>
      </c>
      <c r="G653" s="28"/>
      <c r="N653" s="28"/>
      <c r="O653" s="28"/>
      <c r="X653" s="40"/>
      <c r="Y653" s="40"/>
    </row>
    <row r="654" spans="5:25" x14ac:dyDescent="0.35">
      <c r="E654" t="s">
        <v>186</v>
      </c>
      <c r="F654" t="s">
        <v>808</v>
      </c>
      <c r="G654" s="28"/>
      <c r="N654" s="28"/>
      <c r="O654" s="28"/>
      <c r="X654" s="40"/>
      <c r="Y654" s="40"/>
    </row>
    <row r="655" spans="5:25" x14ac:dyDescent="0.35">
      <c r="E655" t="s">
        <v>187</v>
      </c>
      <c r="F655" t="s">
        <v>809</v>
      </c>
      <c r="G655" s="28"/>
      <c r="N655" s="28"/>
      <c r="O655" s="28"/>
      <c r="X655" s="40"/>
      <c r="Y655" s="40"/>
    </row>
    <row r="656" spans="5:25" x14ac:dyDescent="0.35">
      <c r="E656" t="s">
        <v>187</v>
      </c>
      <c r="F656" t="s">
        <v>526</v>
      </c>
      <c r="G656" s="28"/>
      <c r="N656" s="28"/>
      <c r="O656" s="28"/>
      <c r="X656" s="40"/>
      <c r="Y656" s="40"/>
    </row>
    <row r="657" spans="5:25" x14ac:dyDescent="0.35">
      <c r="E657" t="s">
        <v>187</v>
      </c>
      <c r="F657" t="s">
        <v>810</v>
      </c>
      <c r="G657" s="28"/>
      <c r="N657" s="28"/>
      <c r="O657" s="28"/>
      <c r="X657" s="40"/>
      <c r="Y657" s="40"/>
    </row>
    <row r="658" spans="5:25" x14ac:dyDescent="0.35">
      <c r="E658" t="s">
        <v>187</v>
      </c>
      <c r="F658" t="s">
        <v>811</v>
      </c>
      <c r="G658" s="28"/>
      <c r="N658" s="28"/>
      <c r="O658" s="28"/>
      <c r="X658" s="40"/>
      <c r="Y658" s="40"/>
    </row>
    <row r="659" spans="5:25" x14ac:dyDescent="0.35">
      <c r="E659" t="s">
        <v>187</v>
      </c>
      <c r="F659" t="s">
        <v>812</v>
      </c>
      <c r="G659" s="28"/>
      <c r="N659" s="28"/>
      <c r="O659" s="28"/>
      <c r="X659" s="40"/>
      <c r="Y659" s="40"/>
    </row>
    <row r="660" spans="5:25" x14ac:dyDescent="0.35">
      <c r="E660" t="s">
        <v>187</v>
      </c>
      <c r="F660" t="s">
        <v>813</v>
      </c>
      <c r="G660" s="28"/>
      <c r="N660" s="28"/>
      <c r="O660" s="28"/>
      <c r="X660" s="40"/>
      <c r="Y660" s="40"/>
    </row>
    <row r="661" spans="5:25" x14ac:dyDescent="0.35">
      <c r="E661" t="s">
        <v>187</v>
      </c>
      <c r="F661" t="s">
        <v>814</v>
      </c>
      <c r="G661" s="28"/>
      <c r="N661" s="28"/>
      <c r="O661" s="28"/>
      <c r="X661" s="40"/>
      <c r="Y661" s="40"/>
    </row>
    <row r="662" spans="5:25" x14ac:dyDescent="0.35">
      <c r="E662" t="s">
        <v>187</v>
      </c>
      <c r="F662" t="s">
        <v>815</v>
      </c>
      <c r="G662" s="28"/>
      <c r="N662" s="28"/>
      <c r="O662" s="28"/>
      <c r="X662" s="40"/>
      <c r="Y662" s="40"/>
    </row>
    <row r="663" spans="5:25" x14ac:dyDescent="0.35">
      <c r="E663" t="s">
        <v>187</v>
      </c>
      <c r="F663" t="s">
        <v>816</v>
      </c>
      <c r="G663" s="28"/>
      <c r="N663" s="28"/>
      <c r="O663" s="28"/>
      <c r="X663" s="40"/>
      <c r="Y663" s="40"/>
    </row>
    <row r="664" spans="5:25" x14ac:dyDescent="0.35">
      <c r="E664" t="s">
        <v>187</v>
      </c>
      <c r="F664" t="s">
        <v>817</v>
      </c>
      <c r="G664" s="28"/>
      <c r="N664" s="28"/>
      <c r="O664" s="28"/>
      <c r="X664" s="40"/>
      <c r="Y664" s="40"/>
    </row>
    <row r="665" spans="5:25" x14ac:dyDescent="0.35">
      <c r="E665" t="s">
        <v>187</v>
      </c>
      <c r="F665" t="s">
        <v>818</v>
      </c>
      <c r="G665" s="28"/>
      <c r="N665" s="28"/>
      <c r="O665" s="28"/>
      <c r="X665" s="40"/>
      <c r="Y665" s="40"/>
    </row>
    <row r="666" spans="5:25" x14ac:dyDescent="0.35">
      <c r="E666" t="s">
        <v>187</v>
      </c>
      <c r="F666" t="s">
        <v>473</v>
      </c>
      <c r="G666" s="28"/>
      <c r="N666" s="28"/>
      <c r="O666" s="28"/>
      <c r="X666" s="40"/>
      <c r="Y666" s="40"/>
    </row>
    <row r="667" spans="5:25" x14ac:dyDescent="0.35">
      <c r="E667" t="s">
        <v>187</v>
      </c>
      <c r="F667" t="s">
        <v>819</v>
      </c>
      <c r="G667" s="28"/>
      <c r="N667" s="28"/>
      <c r="O667" s="28"/>
      <c r="X667" s="40"/>
      <c r="Y667" s="40"/>
    </row>
    <row r="668" spans="5:25" x14ac:dyDescent="0.35">
      <c r="E668" t="s">
        <v>187</v>
      </c>
      <c r="F668" t="s">
        <v>820</v>
      </c>
      <c r="G668" s="28"/>
      <c r="N668" s="28"/>
      <c r="O668" s="28"/>
      <c r="X668" s="40"/>
      <c r="Y668" s="40"/>
    </row>
    <row r="669" spans="5:25" x14ac:dyDescent="0.35">
      <c r="E669" t="s">
        <v>187</v>
      </c>
      <c r="F669" t="s">
        <v>821</v>
      </c>
      <c r="G669" s="28"/>
      <c r="N669" s="28"/>
      <c r="O669" s="28"/>
      <c r="X669" s="40"/>
      <c r="Y669" s="40"/>
    </row>
    <row r="670" spans="5:25" x14ac:dyDescent="0.35">
      <c r="E670" t="s">
        <v>187</v>
      </c>
      <c r="F670" t="s">
        <v>822</v>
      </c>
      <c r="G670" s="28"/>
      <c r="N670" s="28"/>
      <c r="O670" s="28"/>
      <c r="X670" s="40"/>
      <c r="Y670" s="40"/>
    </row>
    <row r="671" spans="5:25" x14ac:dyDescent="0.35">
      <c r="E671" t="s">
        <v>187</v>
      </c>
      <c r="F671" t="s">
        <v>405</v>
      </c>
      <c r="G671" s="28"/>
      <c r="N671" s="28"/>
      <c r="O671" s="28"/>
      <c r="X671" s="40"/>
      <c r="Y671" s="40"/>
    </row>
    <row r="672" spans="5:25" x14ac:dyDescent="0.35">
      <c r="E672" t="s">
        <v>187</v>
      </c>
      <c r="F672" t="s">
        <v>823</v>
      </c>
      <c r="G672" s="28"/>
      <c r="N672" s="28"/>
      <c r="O672" s="28"/>
      <c r="X672" s="40"/>
      <c r="Y672" s="40"/>
    </row>
    <row r="673" spans="5:25" x14ac:dyDescent="0.35">
      <c r="E673" t="s">
        <v>187</v>
      </c>
      <c r="F673" t="s">
        <v>540</v>
      </c>
      <c r="G673" s="28"/>
      <c r="N673" s="28"/>
      <c r="O673" s="28"/>
      <c r="X673" s="40"/>
      <c r="Y673" s="40"/>
    </row>
    <row r="674" spans="5:25" x14ac:dyDescent="0.35">
      <c r="E674" t="s">
        <v>187</v>
      </c>
      <c r="F674" t="s">
        <v>355</v>
      </c>
      <c r="G674" s="28"/>
      <c r="N674" s="28"/>
      <c r="O674" s="28"/>
      <c r="X674" s="40"/>
      <c r="Y674" s="40"/>
    </row>
    <row r="675" spans="5:25" x14ac:dyDescent="0.35">
      <c r="E675" t="s">
        <v>187</v>
      </c>
      <c r="F675" t="s">
        <v>359</v>
      </c>
      <c r="G675" s="28"/>
      <c r="N675" s="28"/>
      <c r="O675" s="28"/>
      <c r="X675" s="40"/>
      <c r="Y675" s="40"/>
    </row>
    <row r="676" spans="5:25" x14ac:dyDescent="0.35">
      <c r="E676" t="s">
        <v>187</v>
      </c>
      <c r="F676" t="s">
        <v>548</v>
      </c>
      <c r="G676" s="28"/>
      <c r="N676" s="28"/>
      <c r="O676" s="28"/>
      <c r="X676" s="40"/>
      <c r="Y676" s="40"/>
    </row>
    <row r="677" spans="5:25" x14ac:dyDescent="0.35">
      <c r="E677" t="s">
        <v>187</v>
      </c>
      <c r="F677" t="s">
        <v>824</v>
      </c>
      <c r="G677" s="28"/>
      <c r="N677" s="28"/>
      <c r="O677" s="28"/>
      <c r="X677" s="40"/>
      <c r="Y677" s="40"/>
    </row>
    <row r="678" spans="5:25" x14ac:dyDescent="0.35">
      <c r="E678" t="s">
        <v>187</v>
      </c>
      <c r="F678" t="s">
        <v>825</v>
      </c>
      <c r="G678" s="28"/>
      <c r="N678" s="28"/>
      <c r="O678" s="28"/>
      <c r="X678" s="40"/>
      <c r="Y678" s="40"/>
    </row>
    <row r="679" spans="5:25" x14ac:dyDescent="0.35">
      <c r="E679" t="s">
        <v>187</v>
      </c>
      <c r="F679" t="s">
        <v>826</v>
      </c>
      <c r="G679" s="28"/>
      <c r="N679" s="28"/>
      <c r="O679" s="28"/>
      <c r="X679" s="40"/>
      <c r="Y679" s="40"/>
    </row>
    <row r="680" spans="5:25" x14ac:dyDescent="0.35">
      <c r="E680" t="s">
        <v>187</v>
      </c>
      <c r="F680" t="s">
        <v>366</v>
      </c>
      <c r="G680" s="28"/>
      <c r="N680" s="28"/>
      <c r="O680" s="28"/>
      <c r="X680" s="40"/>
      <c r="Y680" s="40"/>
    </row>
    <row r="681" spans="5:25" x14ac:dyDescent="0.35">
      <c r="E681" t="s">
        <v>187</v>
      </c>
      <c r="F681" t="s">
        <v>827</v>
      </c>
      <c r="G681" s="28"/>
      <c r="N681" s="28"/>
      <c r="O681" s="28"/>
      <c r="X681" s="40"/>
      <c r="Y681" s="40"/>
    </row>
    <row r="682" spans="5:25" x14ac:dyDescent="0.35">
      <c r="E682" t="s">
        <v>187</v>
      </c>
      <c r="F682" t="s">
        <v>828</v>
      </c>
      <c r="G682" s="28"/>
      <c r="N682" s="28"/>
      <c r="O682" s="28"/>
      <c r="X682" s="40"/>
      <c r="Y682" s="40"/>
    </row>
    <row r="683" spans="5:25" x14ac:dyDescent="0.35">
      <c r="E683" t="s">
        <v>187</v>
      </c>
      <c r="F683" t="s">
        <v>829</v>
      </c>
      <c r="G683" s="28"/>
      <c r="N683" s="28"/>
      <c r="O683" s="28"/>
      <c r="X683" s="40"/>
      <c r="Y683" s="40"/>
    </row>
    <row r="684" spans="5:25" x14ac:dyDescent="0.35">
      <c r="E684" t="s">
        <v>187</v>
      </c>
      <c r="F684" t="s">
        <v>830</v>
      </c>
      <c r="G684" s="28"/>
      <c r="N684" s="28"/>
      <c r="O684" s="28"/>
      <c r="X684" s="40"/>
      <c r="Y684" s="40"/>
    </row>
    <row r="685" spans="5:25" x14ac:dyDescent="0.35">
      <c r="E685" t="s">
        <v>187</v>
      </c>
      <c r="F685" t="s">
        <v>831</v>
      </c>
      <c r="G685" s="28"/>
      <c r="N685" s="28"/>
      <c r="O685" s="28"/>
      <c r="X685" s="40"/>
      <c r="Y685" s="40"/>
    </row>
    <row r="686" spans="5:25" x14ac:dyDescent="0.35">
      <c r="E686" t="s">
        <v>187</v>
      </c>
      <c r="F686" t="s">
        <v>426</v>
      </c>
      <c r="G686" s="28"/>
      <c r="N686" s="28"/>
      <c r="O686" s="28"/>
      <c r="X686" s="40"/>
      <c r="Y686" s="40"/>
    </row>
    <row r="687" spans="5:25" x14ac:dyDescent="0.35">
      <c r="E687" t="s">
        <v>187</v>
      </c>
      <c r="F687" t="s">
        <v>374</v>
      </c>
      <c r="G687" s="28"/>
      <c r="N687" s="28"/>
      <c r="O687" s="28"/>
      <c r="X687" s="40"/>
      <c r="Y687" s="40"/>
    </row>
    <row r="688" spans="5:25" x14ac:dyDescent="0.35">
      <c r="E688" t="s">
        <v>187</v>
      </c>
      <c r="F688" t="s">
        <v>832</v>
      </c>
      <c r="G688" s="28"/>
      <c r="N688" s="28"/>
      <c r="O688" s="28"/>
      <c r="X688" s="40"/>
      <c r="Y688" s="40"/>
    </row>
    <row r="689" spans="5:25" x14ac:dyDescent="0.35">
      <c r="E689" t="s">
        <v>187</v>
      </c>
      <c r="F689" t="s">
        <v>833</v>
      </c>
      <c r="G689" s="28"/>
      <c r="N689" s="28"/>
      <c r="O689" s="28"/>
      <c r="X689" s="40"/>
      <c r="Y689" s="40"/>
    </row>
    <row r="690" spans="5:25" x14ac:dyDescent="0.35">
      <c r="E690" t="s">
        <v>187</v>
      </c>
      <c r="F690" t="s">
        <v>834</v>
      </c>
      <c r="G690" s="28"/>
      <c r="N690" s="28"/>
      <c r="O690" s="28"/>
      <c r="X690" s="40"/>
      <c r="Y690" s="40"/>
    </row>
    <row r="691" spans="5:25" x14ac:dyDescent="0.35">
      <c r="E691" t="s">
        <v>187</v>
      </c>
      <c r="F691" t="s">
        <v>835</v>
      </c>
      <c r="G691" s="28"/>
      <c r="N691" s="28"/>
      <c r="O691" s="28"/>
      <c r="X691" s="40"/>
      <c r="Y691" s="40"/>
    </row>
    <row r="692" spans="5:25" x14ac:dyDescent="0.35">
      <c r="E692" t="s">
        <v>187</v>
      </c>
      <c r="F692" t="s">
        <v>836</v>
      </c>
      <c r="G692" s="28"/>
      <c r="N692" s="28"/>
      <c r="O692" s="28"/>
      <c r="X692" s="40"/>
      <c r="Y692" s="40"/>
    </row>
    <row r="693" spans="5:25" x14ac:dyDescent="0.35">
      <c r="E693" t="s">
        <v>187</v>
      </c>
      <c r="F693" t="s">
        <v>837</v>
      </c>
      <c r="G693" s="28"/>
      <c r="N693" s="28"/>
      <c r="O693" s="28"/>
      <c r="X693" s="40"/>
      <c r="Y693" s="40"/>
    </row>
    <row r="694" spans="5:25" x14ac:dyDescent="0.35">
      <c r="E694" t="s">
        <v>187</v>
      </c>
      <c r="F694" t="s">
        <v>838</v>
      </c>
      <c r="G694" s="28"/>
      <c r="N694" s="28"/>
      <c r="O694" s="28"/>
      <c r="X694" s="40"/>
      <c r="Y694" s="40"/>
    </row>
    <row r="695" spans="5:25" x14ac:dyDescent="0.35">
      <c r="E695" t="s">
        <v>187</v>
      </c>
      <c r="F695" t="s">
        <v>839</v>
      </c>
      <c r="G695" s="28"/>
      <c r="N695" s="28"/>
      <c r="O695" s="28"/>
      <c r="X695" s="40"/>
      <c r="Y695" s="40"/>
    </row>
    <row r="696" spans="5:25" x14ac:dyDescent="0.35">
      <c r="E696" t="s">
        <v>187</v>
      </c>
      <c r="F696" t="s">
        <v>840</v>
      </c>
      <c r="G696" s="28"/>
      <c r="N696" s="28"/>
      <c r="O696" s="28"/>
      <c r="X696" s="40"/>
      <c r="Y696" s="40"/>
    </row>
    <row r="697" spans="5:25" x14ac:dyDescent="0.35">
      <c r="E697" t="s">
        <v>187</v>
      </c>
      <c r="F697" t="s">
        <v>841</v>
      </c>
      <c r="G697" s="28"/>
      <c r="N697" s="28"/>
      <c r="O697" s="28"/>
      <c r="X697" s="40"/>
      <c r="Y697" s="40"/>
    </row>
    <row r="698" spans="5:25" x14ac:dyDescent="0.35">
      <c r="E698" t="s">
        <v>187</v>
      </c>
      <c r="F698" t="s">
        <v>394</v>
      </c>
      <c r="G698" s="28"/>
      <c r="N698" s="28"/>
      <c r="O698" s="28"/>
      <c r="X698" s="40"/>
      <c r="Y698" s="40"/>
    </row>
    <row r="699" spans="5:25" x14ac:dyDescent="0.35">
      <c r="E699" t="s">
        <v>188</v>
      </c>
      <c r="F699" t="s">
        <v>526</v>
      </c>
      <c r="G699" s="28"/>
      <c r="N699" s="28"/>
      <c r="O699" s="28"/>
      <c r="X699" s="40"/>
      <c r="Y699" s="40"/>
    </row>
    <row r="700" spans="5:25" x14ac:dyDescent="0.35">
      <c r="E700" t="s">
        <v>188</v>
      </c>
      <c r="F700" t="s">
        <v>842</v>
      </c>
      <c r="G700" s="28"/>
      <c r="N700" s="28"/>
      <c r="O700" s="28"/>
      <c r="X700" s="40"/>
      <c r="Y700" s="40"/>
    </row>
    <row r="701" spans="5:25" x14ac:dyDescent="0.35">
      <c r="E701" t="s">
        <v>188</v>
      </c>
      <c r="F701" t="s">
        <v>843</v>
      </c>
      <c r="G701" s="28"/>
      <c r="N701" s="28"/>
      <c r="O701" s="28"/>
      <c r="X701" s="40"/>
      <c r="Y701" s="40"/>
    </row>
    <row r="702" spans="5:25" x14ac:dyDescent="0.35">
      <c r="E702" t="s">
        <v>188</v>
      </c>
      <c r="F702" t="s">
        <v>401</v>
      </c>
      <c r="G702" s="28"/>
      <c r="N702" s="28"/>
      <c r="O702" s="28"/>
      <c r="X702" s="40"/>
      <c r="Y702" s="40"/>
    </row>
    <row r="703" spans="5:25" x14ac:dyDescent="0.35">
      <c r="E703" t="s">
        <v>188</v>
      </c>
      <c r="F703" t="s">
        <v>844</v>
      </c>
      <c r="G703" s="28"/>
      <c r="N703" s="28"/>
      <c r="O703" s="28"/>
      <c r="X703" s="40"/>
      <c r="Y703" s="40"/>
    </row>
    <row r="704" spans="5:25" x14ac:dyDescent="0.35">
      <c r="E704" t="s">
        <v>188</v>
      </c>
      <c r="F704" t="s">
        <v>845</v>
      </c>
      <c r="G704" s="28"/>
      <c r="N704" s="28"/>
      <c r="O704" s="28"/>
      <c r="X704" s="40"/>
      <c r="Y704" s="40"/>
    </row>
    <row r="705" spans="5:25" x14ac:dyDescent="0.35">
      <c r="E705" t="s">
        <v>188</v>
      </c>
      <c r="F705" t="s">
        <v>337</v>
      </c>
      <c r="G705" s="28"/>
      <c r="N705" s="28"/>
      <c r="O705" s="28"/>
      <c r="X705" s="40"/>
      <c r="Y705" s="40"/>
    </row>
    <row r="706" spans="5:25" x14ac:dyDescent="0.35">
      <c r="E706" t="s">
        <v>188</v>
      </c>
      <c r="F706" t="s">
        <v>403</v>
      </c>
      <c r="G706" s="28"/>
      <c r="N706" s="28"/>
      <c r="O706" s="28"/>
      <c r="X706" s="40"/>
      <c r="Y706" s="40"/>
    </row>
    <row r="707" spans="5:25" x14ac:dyDescent="0.35">
      <c r="E707" t="s">
        <v>188</v>
      </c>
      <c r="F707" t="s">
        <v>765</v>
      </c>
      <c r="G707" s="28"/>
      <c r="N707" s="28"/>
      <c r="O707" s="28"/>
      <c r="X707" s="40"/>
      <c r="Y707" s="40"/>
    </row>
    <row r="708" spans="5:25" x14ac:dyDescent="0.35">
      <c r="E708" t="s">
        <v>188</v>
      </c>
      <c r="F708" t="s">
        <v>846</v>
      </c>
      <c r="G708" s="28"/>
      <c r="N708" s="28"/>
      <c r="O708" s="28"/>
      <c r="X708" s="40"/>
      <c r="Y708" s="40"/>
    </row>
    <row r="709" spans="5:25" x14ac:dyDescent="0.35">
      <c r="E709" t="s">
        <v>188</v>
      </c>
      <c r="F709" t="s">
        <v>847</v>
      </c>
      <c r="G709" s="28"/>
      <c r="N709" s="28"/>
      <c r="O709" s="28"/>
      <c r="X709" s="40"/>
      <c r="Y709" s="40"/>
    </row>
    <row r="710" spans="5:25" x14ac:dyDescent="0.35">
      <c r="E710" t="s">
        <v>188</v>
      </c>
      <c r="F710" t="s">
        <v>405</v>
      </c>
      <c r="G710" s="28"/>
      <c r="N710" s="28"/>
      <c r="O710" s="28"/>
      <c r="X710" s="40"/>
      <c r="Y710" s="40"/>
    </row>
    <row r="711" spans="5:25" x14ac:dyDescent="0.35">
      <c r="E711" t="s">
        <v>188</v>
      </c>
      <c r="F711" t="s">
        <v>343</v>
      </c>
      <c r="G711" s="28"/>
      <c r="N711" s="28"/>
      <c r="O711" s="28"/>
      <c r="X711" s="40"/>
      <c r="Y711" s="40"/>
    </row>
    <row r="712" spans="5:25" x14ac:dyDescent="0.35">
      <c r="E712" t="s">
        <v>188</v>
      </c>
      <c r="F712" t="s">
        <v>769</v>
      </c>
      <c r="G712" s="28"/>
      <c r="N712" s="28"/>
      <c r="O712" s="28"/>
      <c r="X712" s="40"/>
      <c r="Y712" s="40"/>
    </row>
    <row r="713" spans="5:25" x14ac:dyDescent="0.35">
      <c r="E713" t="s">
        <v>188</v>
      </c>
      <c r="F713" t="s">
        <v>848</v>
      </c>
      <c r="G713" s="28"/>
      <c r="N713" s="28"/>
      <c r="O713" s="28"/>
      <c r="X713" s="40"/>
      <c r="Y713" s="40"/>
    </row>
    <row r="714" spans="5:25" x14ac:dyDescent="0.35">
      <c r="E714" t="s">
        <v>188</v>
      </c>
      <c r="F714" t="s">
        <v>669</v>
      </c>
      <c r="G714" s="28"/>
      <c r="N714" s="28"/>
      <c r="O714" s="28"/>
      <c r="X714" s="40"/>
      <c r="Y714" s="40"/>
    </row>
    <row r="715" spans="5:25" x14ac:dyDescent="0.35">
      <c r="E715" t="s">
        <v>188</v>
      </c>
      <c r="F715" t="s">
        <v>410</v>
      </c>
      <c r="G715" s="28"/>
      <c r="N715" s="28"/>
      <c r="O715" s="28"/>
      <c r="X715" s="40"/>
      <c r="Y715" s="40"/>
    </row>
    <row r="716" spans="5:25" x14ac:dyDescent="0.35">
      <c r="E716" t="s">
        <v>188</v>
      </c>
      <c r="F716" t="s">
        <v>849</v>
      </c>
      <c r="G716" s="28"/>
      <c r="N716" s="28"/>
      <c r="O716" s="28"/>
      <c r="X716" s="40"/>
      <c r="Y716" s="40"/>
    </row>
    <row r="717" spans="5:25" x14ac:dyDescent="0.35">
      <c r="E717" t="s">
        <v>188</v>
      </c>
      <c r="F717" t="s">
        <v>675</v>
      </c>
      <c r="G717" s="28"/>
      <c r="N717" s="28"/>
      <c r="O717" s="28"/>
      <c r="X717" s="40"/>
      <c r="Y717" s="40"/>
    </row>
    <row r="718" spans="5:25" x14ac:dyDescent="0.35">
      <c r="E718" t="s">
        <v>188</v>
      </c>
      <c r="F718" t="s">
        <v>850</v>
      </c>
      <c r="G718" s="28"/>
      <c r="N718" s="28"/>
      <c r="O718" s="28"/>
      <c r="X718" s="40"/>
      <c r="Y718" s="40"/>
    </row>
    <row r="719" spans="5:25" x14ac:dyDescent="0.35">
      <c r="E719" t="s">
        <v>188</v>
      </c>
      <c r="F719" t="s">
        <v>544</v>
      </c>
      <c r="G719" s="28"/>
      <c r="N719" s="28"/>
      <c r="O719" s="28"/>
      <c r="X719" s="40"/>
      <c r="Y719" s="40"/>
    </row>
    <row r="720" spans="5:25" x14ac:dyDescent="0.35">
      <c r="E720" t="s">
        <v>188</v>
      </c>
      <c r="F720" t="s">
        <v>851</v>
      </c>
      <c r="G720" s="28"/>
      <c r="N720" s="28"/>
      <c r="O720" s="28"/>
      <c r="X720" s="40"/>
      <c r="Y720" s="40"/>
    </row>
    <row r="721" spans="5:25" x14ac:dyDescent="0.35">
      <c r="E721" t="s">
        <v>188</v>
      </c>
      <c r="F721" t="s">
        <v>852</v>
      </c>
      <c r="G721" s="28"/>
      <c r="N721" s="28"/>
      <c r="O721" s="28"/>
      <c r="X721" s="40"/>
      <c r="Y721" s="40"/>
    </row>
    <row r="722" spans="5:25" x14ac:dyDescent="0.35">
      <c r="E722" t="s">
        <v>188</v>
      </c>
      <c r="F722" t="s">
        <v>853</v>
      </c>
      <c r="G722" s="28"/>
      <c r="N722" s="28"/>
      <c r="O722" s="28"/>
      <c r="X722" s="40"/>
      <c r="Y722" s="40"/>
    </row>
    <row r="723" spans="5:25" x14ac:dyDescent="0.35">
      <c r="E723" t="s">
        <v>188</v>
      </c>
      <c r="F723" t="s">
        <v>681</v>
      </c>
      <c r="G723" s="28"/>
      <c r="N723" s="28"/>
      <c r="O723" s="28"/>
      <c r="X723" s="40"/>
      <c r="Y723" s="40"/>
    </row>
    <row r="724" spans="5:25" x14ac:dyDescent="0.35">
      <c r="E724" t="s">
        <v>188</v>
      </c>
      <c r="F724" t="s">
        <v>358</v>
      </c>
      <c r="G724" s="28"/>
      <c r="N724" s="28"/>
      <c r="O724" s="28"/>
      <c r="X724" s="40"/>
      <c r="Y724" s="40"/>
    </row>
    <row r="725" spans="5:25" x14ac:dyDescent="0.35">
      <c r="E725" t="s">
        <v>188</v>
      </c>
      <c r="F725" t="s">
        <v>854</v>
      </c>
      <c r="G725" s="28"/>
      <c r="N725" s="28"/>
      <c r="O725" s="28"/>
      <c r="X725" s="40"/>
      <c r="Y725" s="40"/>
    </row>
    <row r="726" spans="5:25" x14ac:dyDescent="0.35">
      <c r="E726" t="s">
        <v>188</v>
      </c>
      <c r="F726" t="s">
        <v>359</v>
      </c>
      <c r="G726" s="28"/>
      <c r="N726" s="28"/>
      <c r="O726" s="28"/>
      <c r="X726" s="40"/>
      <c r="Y726" s="40"/>
    </row>
    <row r="727" spans="5:25" x14ac:dyDescent="0.35">
      <c r="E727" t="s">
        <v>188</v>
      </c>
      <c r="F727" t="s">
        <v>416</v>
      </c>
      <c r="G727" s="28"/>
      <c r="N727" s="28"/>
      <c r="O727" s="28"/>
      <c r="X727" s="40"/>
      <c r="Y727" s="40"/>
    </row>
    <row r="728" spans="5:25" x14ac:dyDescent="0.35">
      <c r="E728" t="s">
        <v>188</v>
      </c>
      <c r="F728" t="s">
        <v>855</v>
      </c>
      <c r="G728" s="28"/>
      <c r="N728" s="28"/>
      <c r="O728" s="28"/>
      <c r="X728" s="40"/>
      <c r="Y728" s="40"/>
    </row>
    <row r="729" spans="5:25" x14ac:dyDescent="0.35">
      <c r="E729" t="s">
        <v>188</v>
      </c>
      <c r="F729" t="s">
        <v>361</v>
      </c>
      <c r="G729" s="28"/>
      <c r="N729" s="28"/>
      <c r="O729" s="28"/>
      <c r="X729" s="40"/>
      <c r="Y729" s="40"/>
    </row>
    <row r="730" spans="5:25" x14ac:dyDescent="0.35">
      <c r="E730" t="s">
        <v>188</v>
      </c>
      <c r="F730" t="s">
        <v>776</v>
      </c>
      <c r="G730" s="28"/>
      <c r="N730" s="28"/>
      <c r="O730" s="28"/>
      <c r="X730" s="40"/>
      <c r="Y730" s="40"/>
    </row>
    <row r="731" spans="5:25" x14ac:dyDescent="0.35">
      <c r="E731" t="s">
        <v>188</v>
      </c>
      <c r="F731" t="s">
        <v>610</v>
      </c>
      <c r="G731" s="28"/>
      <c r="N731" s="28"/>
      <c r="O731" s="28"/>
      <c r="X731" s="40"/>
      <c r="Y731" s="40"/>
    </row>
    <row r="732" spans="5:25" x14ac:dyDescent="0.35">
      <c r="E732" t="s">
        <v>188</v>
      </c>
      <c r="F732" t="s">
        <v>695</v>
      </c>
      <c r="G732" s="28"/>
      <c r="N732" s="28"/>
      <c r="O732" s="28"/>
      <c r="X732" s="40"/>
      <c r="Y732" s="40"/>
    </row>
    <row r="733" spans="5:25" x14ac:dyDescent="0.35">
      <c r="E733" t="s">
        <v>188</v>
      </c>
      <c r="F733" t="s">
        <v>778</v>
      </c>
      <c r="G733" s="28"/>
      <c r="N733" s="28"/>
      <c r="O733" s="28"/>
      <c r="X733" s="40"/>
      <c r="Y733" s="40"/>
    </row>
    <row r="734" spans="5:25" x14ac:dyDescent="0.35">
      <c r="E734" t="s">
        <v>188</v>
      </c>
      <c r="F734" t="s">
        <v>856</v>
      </c>
      <c r="G734" s="28"/>
      <c r="N734" s="28"/>
      <c r="O734" s="28"/>
      <c r="X734" s="40"/>
      <c r="Y734" s="40"/>
    </row>
    <row r="735" spans="5:25" x14ac:dyDescent="0.35">
      <c r="E735" t="s">
        <v>188</v>
      </c>
      <c r="F735" t="s">
        <v>363</v>
      </c>
      <c r="G735" s="28"/>
      <c r="N735" s="28"/>
      <c r="O735" s="28"/>
      <c r="X735" s="40"/>
      <c r="Y735" s="40"/>
    </row>
    <row r="736" spans="5:25" x14ac:dyDescent="0.35">
      <c r="E736" t="s">
        <v>188</v>
      </c>
      <c r="F736" t="s">
        <v>857</v>
      </c>
      <c r="G736" s="28"/>
      <c r="N736" s="28"/>
      <c r="O736" s="28"/>
      <c r="X736" s="40"/>
      <c r="Y736" s="40"/>
    </row>
    <row r="737" spans="5:25" x14ac:dyDescent="0.35">
      <c r="E737" t="s">
        <v>188</v>
      </c>
      <c r="F737" t="s">
        <v>365</v>
      </c>
      <c r="G737" s="28"/>
      <c r="N737" s="28"/>
      <c r="O737" s="28"/>
      <c r="X737" s="40"/>
      <c r="Y737" s="40"/>
    </row>
    <row r="738" spans="5:25" x14ac:dyDescent="0.35">
      <c r="E738" t="s">
        <v>188</v>
      </c>
      <c r="F738" t="s">
        <v>701</v>
      </c>
      <c r="G738" s="28"/>
      <c r="N738" s="28"/>
      <c r="O738" s="28"/>
      <c r="X738" s="40"/>
      <c r="Y738" s="40"/>
    </row>
    <row r="739" spans="5:25" x14ac:dyDescent="0.35">
      <c r="E739" t="s">
        <v>188</v>
      </c>
      <c r="F739" t="s">
        <v>366</v>
      </c>
      <c r="G739" s="28"/>
      <c r="N739" s="28"/>
      <c r="O739" s="28"/>
      <c r="X739" s="40"/>
      <c r="Y739" s="40"/>
    </row>
    <row r="740" spans="5:25" x14ac:dyDescent="0.35">
      <c r="E740" t="s">
        <v>188</v>
      </c>
      <c r="F740" t="s">
        <v>858</v>
      </c>
      <c r="G740" s="28"/>
      <c r="N740" s="28"/>
      <c r="O740" s="28"/>
      <c r="X740" s="40"/>
      <c r="Y740" s="40"/>
    </row>
    <row r="741" spans="5:25" x14ac:dyDescent="0.35">
      <c r="E741" t="s">
        <v>188</v>
      </c>
      <c r="F741" t="s">
        <v>859</v>
      </c>
      <c r="G741" s="28"/>
      <c r="N741" s="28"/>
      <c r="O741" s="28"/>
      <c r="X741" s="40"/>
      <c r="Y741" s="40"/>
    </row>
    <row r="742" spans="5:25" x14ac:dyDescent="0.35">
      <c r="E742" t="s">
        <v>188</v>
      </c>
      <c r="F742" t="s">
        <v>424</v>
      </c>
      <c r="G742" s="28"/>
      <c r="N742" s="28"/>
      <c r="O742" s="28"/>
      <c r="X742" s="40"/>
      <c r="Y742" s="40"/>
    </row>
    <row r="743" spans="5:25" x14ac:dyDescent="0.35">
      <c r="E743" t="s">
        <v>188</v>
      </c>
      <c r="F743" t="s">
        <v>860</v>
      </c>
      <c r="G743" s="28"/>
      <c r="N743" s="28"/>
      <c r="O743" s="28"/>
      <c r="X743" s="40"/>
      <c r="Y743" s="40"/>
    </row>
    <row r="744" spans="5:25" x14ac:dyDescent="0.35">
      <c r="E744" t="s">
        <v>188</v>
      </c>
      <c r="F744" t="s">
        <v>861</v>
      </c>
      <c r="G744" s="28"/>
      <c r="N744" s="28"/>
      <c r="O744" s="28"/>
      <c r="X744" s="40"/>
      <c r="Y744" s="40"/>
    </row>
    <row r="745" spans="5:25" x14ac:dyDescent="0.35">
      <c r="E745" t="s">
        <v>188</v>
      </c>
      <c r="F745" t="s">
        <v>862</v>
      </c>
      <c r="G745" s="28"/>
      <c r="N745" s="28"/>
      <c r="O745" s="28"/>
      <c r="X745" s="40"/>
      <c r="Y745" s="40"/>
    </row>
    <row r="746" spans="5:25" x14ac:dyDescent="0.35">
      <c r="E746" t="s">
        <v>188</v>
      </c>
      <c r="F746" t="s">
        <v>863</v>
      </c>
      <c r="G746" s="28"/>
      <c r="N746" s="28"/>
      <c r="O746" s="28"/>
      <c r="X746" s="40"/>
      <c r="Y746" s="40"/>
    </row>
    <row r="747" spans="5:25" x14ac:dyDescent="0.35">
      <c r="E747" t="s">
        <v>188</v>
      </c>
      <c r="F747" t="s">
        <v>864</v>
      </c>
      <c r="G747" s="28"/>
      <c r="N747" s="28"/>
      <c r="O747" s="28"/>
      <c r="X747" s="40"/>
      <c r="Y747" s="40"/>
    </row>
    <row r="748" spans="5:25" x14ac:dyDescent="0.35">
      <c r="E748" t="s">
        <v>188</v>
      </c>
      <c r="F748" t="s">
        <v>486</v>
      </c>
      <c r="G748" s="28"/>
      <c r="N748" s="28"/>
      <c r="O748" s="28"/>
      <c r="X748" s="40"/>
      <c r="Y748" s="40"/>
    </row>
    <row r="749" spans="5:25" x14ac:dyDescent="0.35">
      <c r="E749" t="s">
        <v>188</v>
      </c>
      <c r="F749" t="s">
        <v>369</v>
      </c>
      <c r="G749" s="28"/>
      <c r="N749" s="28"/>
      <c r="O749" s="28"/>
      <c r="X749" s="40"/>
      <c r="Y749" s="40"/>
    </row>
    <row r="750" spans="5:25" x14ac:dyDescent="0.35">
      <c r="E750" t="s">
        <v>188</v>
      </c>
      <c r="F750" t="s">
        <v>370</v>
      </c>
      <c r="G750" s="28"/>
      <c r="N750" s="28"/>
      <c r="O750" s="28"/>
      <c r="X750" s="40"/>
      <c r="Y750" s="40"/>
    </row>
    <row r="751" spans="5:25" x14ac:dyDescent="0.35">
      <c r="E751" t="s">
        <v>188</v>
      </c>
      <c r="F751" t="s">
        <v>865</v>
      </c>
      <c r="G751" s="28"/>
      <c r="N751" s="28"/>
      <c r="O751" s="28"/>
      <c r="X751" s="40"/>
      <c r="Y751" s="40"/>
    </row>
    <row r="752" spans="5:25" x14ac:dyDescent="0.35">
      <c r="E752" t="s">
        <v>188</v>
      </c>
      <c r="F752" t="s">
        <v>428</v>
      </c>
      <c r="G752" s="28"/>
      <c r="N752" s="28"/>
      <c r="O752" s="28"/>
      <c r="X752" s="40"/>
      <c r="Y752" s="40"/>
    </row>
    <row r="753" spans="5:25" x14ac:dyDescent="0.35">
      <c r="E753" t="s">
        <v>188</v>
      </c>
      <c r="F753" t="s">
        <v>373</v>
      </c>
      <c r="G753" s="28"/>
      <c r="N753" s="28"/>
      <c r="O753" s="28"/>
      <c r="X753" s="40"/>
      <c r="Y753" s="40"/>
    </row>
    <row r="754" spans="5:25" x14ac:dyDescent="0.35">
      <c r="E754" t="s">
        <v>188</v>
      </c>
      <c r="F754" t="s">
        <v>866</v>
      </c>
      <c r="G754" s="28"/>
      <c r="N754" s="28"/>
      <c r="O754" s="28"/>
      <c r="X754" s="40"/>
      <c r="Y754" s="40"/>
    </row>
    <row r="755" spans="5:25" x14ac:dyDescent="0.35">
      <c r="E755" t="s">
        <v>188</v>
      </c>
      <c r="F755" t="s">
        <v>374</v>
      </c>
      <c r="G755" s="28"/>
      <c r="N755" s="28"/>
      <c r="O755" s="28"/>
      <c r="X755" s="40"/>
      <c r="Y755" s="40"/>
    </row>
    <row r="756" spans="5:25" x14ac:dyDescent="0.35">
      <c r="E756" t="s">
        <v>188</v>
      </c>
      <c r="F756" t="s">
        <v>376</v>
      </c>
      <c r="G756" s="28"/>
      <c r="N756" s="28"/>
      <c r="O756" s="28"/>
      <c r="X756" s="40"/>
      <c r="Y756" s="40"/>
    </row>
    <row r="757" spans="5:25" x14ac:dyDescent="0.35">
      <c r="E757" t="s">
        <v>188</v>
      </c>
      <c r="F757" t="s">
        <v>377</v>
      </c>
      <c r="G757" s="28"/>
      <c r="N757" s="28"/>
      <c r="O757" s="28"/>
      <c r="X757" s="40"/>
      <c r="Y757" s="40"/>
    </row>
    <row r="758" spans="5:25" x14ac:dyDescent="0.35">
      <c r="E758" t="s">
        <v>188</v>
      </c>
      <c r="F758" t="s">
        <v>867</v>
      </c>
      <c r="G758" s="28"/>
      <c r="N758" s="28"/>
      <c r="O758" s="28"/>
      <c r="X758" s="40"/>
      <c r="Y758" s="40"/>
    </row>
    <row r="759" spans="5:25" x14ac:dyDescent="0.35">
      <c r="E759" t="s">
        <v>188</v>
      </c>
      <c r="F759" t="s">
        <v>868</v>
      </c>
      <c r="G759" s="28"/>
      <c r="N759" s="28"/>
      <c r="O759" s="28"/>
      <c r="X759" s="40"/>
      <c r="Y759" s="40"/>
    </row>
    <row r="760" spans="5:25" x14ac:dyDescent="0.35">
      <c r="E760" t="s">
        <v>188</v>
      </c>
      <c r="F760" t="s">
        <v>869</v>
      </c>
      <c r="G760" s="28"/>
      <c r="N760" s="28"/>
      <c r="O760" s="28"/>
      <c r="X760" s="40"/>
      <c r="Y760" s="40"/>
    </row>
    <row r="761" spans="5:25" x14ac:dyDescent="0.35">
      <c r="E761" t="s">
        <v>188</v>
      </c>
      <c r="F761" t="s">
        <v>870</v>
      </c>
      <c r="G761" s="28"/>
      <c r="N761" s="28"/>
      <c r="O761" s="28"/>
      <c r="X761" s="40"/>
      <c r="Y761" s="40"/>
    </row>
    <row r="762" spans="5:25" x14ac:dyDescent="0.35">
      <c r="E762" t="s">
        <v>188</v>
      </c>
      <c r="F762" t="s">
        <v>871</v>
      </c>
      <c r="G762" s="28"/>
      <c r="N762" s="28"/>
      <c r="O762" s="28"/>
      <c r="X762" s="40"/>
      <c r="Y762" s="40"/>
    </row>
    <row r="763" spans="5:25" x14ac:dyDescent="0.35">
      <c r="E763" t="s">
        <v>188</v>
      </c>
      <c r="F763" t="s">
        <v>872</v>
      </c>
      <c r="G763" s="28"/>
      <c r="N763" s="28"/>
      <c r="O763" s="28"/>
      <c r="X763" s="40"/>
      <c r="Y763" s="40"/>
    </row>
    <row r="764" spans="5:25" x14ac:dyDescent="0.35">
      <c r="E764" t="s">
        <v>188</v>
      </c>
      <c r="F764" t="s">
        <v>873</v>
      </c>
      <c r="G764" s="28"/>
      <c r="N764" s="28"/>
      <c r="O764" s="28"/>
      <c r="X764" s="40"/>
      <c r="Y764" s="40"/>
    </row>
    <row r="765" spans="5:25" x14ac:dyDescent="0.35">
      <c r="E765" t="s">
        <v>188</v>
      </c>
      <c r="F765" t="s">
        <v>379</v>
      </c>
      <c r="G765" s="28"/>
      <c r="N765" s="28"/>
      <c r="O765" s="28"/>
      <c r="X765" s="40"/>
      <c r="Y765" s="40"/>
    </row>
    <row r="766" spans="5:25" x14ac:dyDescent="0.35">
      <c r="E766" t="s">
        <v>188</v>
      </c>
      <c r="F766" t="s">
        <v>380</v>
      </c>
      <c r="G766" s="28"/>
      <c r="N766" s="28"/>
      <c r="O766" s="28"/>
      <c r="X766" s="40"/>
      <c r="Y766" s="40"/>
    </row>
    <row r="767" spans="5:25" x14ac:dyDescent="0.35">
      <c r="E767" t="s">
        <v>188</v>
      </c>
      <c r="F767" t="s">
        <v>381</v>
      </c>
      <c r="G767" s="28"/>
      <c r="N767" s="28"/>
      <c r="O767" s="28"/>
      <c r="X767" s="40"/>
      <c r="Y767" s="40"/>
    </row>
    <row r="768" spans="5:25" x14ac:dyDescent="0.35">
      <c r="E768" t="s">
        <v>188</v>
      </c>
      <c r="F768" t="s">
        <v>874</v>
      </c>
      <c r="G768" s="28"/>
      <c r="N768" s="28"/>
      <c r="O768" s="28"/>
      <c r="X768" s="40"/>
      <c r="Y768" s="40"/>
    </row>
    <row r="769" spans="5:25" x14ac:dyDescent="0.35">
      <c r="E769" t="s">
        <v>188</v>
      </c>
      <c r="F769" t="s">
        <v>875</v>
      </c>
      <c r="G769" s="28"/>
      <c r="N769" s="28"/>
      <c r="O769" s="28"/>
      <c r="X769" s="40"/>
      <c r="Y769" s="40"/>
    </row>
    <row r="770" spans="5:25" x14ac:dyDescent="0.35">
      <c r="E770" t="s">
        <v>188</v>
      </c>
      <c r="F770" t="s">
        <v>876</v>
      </c>
      <c r="G770" s="28"/>
      <c r="N770" s="28"/>
      <c r="O770" s="28"/>
      <c r="X770" s="40"/>
      <c r="Y770" s="40"/>
    </row>
    <row r="771" spans="5:25" x14ac:dyDescent="0.35">
      <c r="E771" t="s">
        <v>188</v>
      </c>
      <c r="F771" t="s">
        <v>382</v>
      </c>
      <c r="G771" s="28"/>
      <c r="N771" s="28"/>
      <c r="O771" s="28"/>
      <c r="X771" s="40"/>
      <c r="Y771" s="40"/>
    </row>
    <row r="772" spans="5:25" x14ac:dyDescent="0.35">
      <c r="E772" t="s">
        <v>188</v>
      </c>
      <c r="F772" t="s">
        <v>877</v>
      </c>
      <c r="G772" s="28"/>
      <c r="N772" s="28"/>
      <c r="O772" s="28"/>
      <c r="X772" s="40"/>
      <c r="Y772" s="40"/>
    </row>
    <row r="773" spans="5:25" x14ac:dyDescent="0.35">
      <c r="E773" t="s">
        <v>188</v>
      </c>
      <c r="F773" t="s">
        <v>384</v>
      </c>
      <c r="G773" s="28"/>
      <c r="N773" s="28"/>
      <c r="O773" s="28"/>
      <c r="X773" s="40"/>
      <c r="Y773" s="40"/>
    </row>
    <row r="774" spans="5:25" x14ac:dyDescent="0.35">
      <c r="E774" t="s">
        <v>188</v>
      </c>
      <c r="F774" t="s">
        <v>438</v>
      </c>
      <c r="G774" s="28"/>
      <c r="N774" s="28"/>
      <c r="O774" s="28"/>
      <c r="X774" s="40"/>
      <c r="Y774" s="40"/>
    </row>
    <row r="775" spans="5:25" x14ac:dyDescent="0.35">
      <c r="E775" t="s">
        <v>188</v>
      </c>
      <c r="F775" t="s">
        <v>440</v>
      </c>
      <c r="G775" s="28"/>
      <c r="N775" s="28"/>
      <c r="O775" s="28"/>
      <c r="X775" s="40"/>
      <c r="Y775" s="40"/>
    </row>
    <row r="776" spans="5:25" x14ac:dyDescent="0.35">
      <c r="E776" t="s">
        <v>188</v>
      </c>
      <c r="F776" t="s">
        <v>631</v>
      </c>
      <c r="G776" s="28"/>
      <c r="N776" s="28"/>
      <c r="O776" s="28"/>
      <c r="X776" s="40"/>
      <c r="Y776" s="40"/>
    </row>
    <row r="777" spans="5:25" x14ac:dyDescent="0.35">
      <c r="E777" t="s">
        <v>188</v>
      </c>
      <c r="F777" t="s">
        <v>385</v>
      </c>
      <c r="G777" s="28"/>
      <c r="N777" s="28"/>
      <c r="O777" s="28"/>
      <c r="X777" s="40"/>
      <c r="Y777" s="40"/>
    </row>
    <row r="778" spans="5:25" x14ac:dyDescent="0.35">
      <c r="E778" t="s">
        <v>188</v>
      </c>
      <c r="F778" t="s">
        <v>878</v>
      </c>
      <c r="G778" s="28"/>
      <c r="N778" s="28"/>
      <c r="O778" s="28"/>
      <c r="X778" s="40"/>
      <c r="Y778" s="40"/>
    </row>
    <row r="779" spans="5:25" x14ac:dyDescent="0.35">
      <c r="E779" t="s">
        <v>188</v>
      </c>
      <c r="F779" t="s">
        <v>879</v>
      </c>
      <c r="G779" s="28"/>
      <c r="N779" s="28"/>
      <c r="O779" s="28"/>
      <c r="X779" s="40"/>
      <c r="Y779" s="40"/>
    </row>
    <row r="780" spans="5:25" x14ac:dyDescent="0.35">
      <c r="E780" t="s">
        <v>188</v>
      </c>
      <c r="F780" t="s">
        <v>387</v>
      </c>
      <c r="G780" s="28"/>
      <c r="N780" s="28"/>
      <c r="O780" s="28"/>
      <c r="X780" s="40"/>
      <c r="Y780" s="40"/>
    </row>
    <row r="781" spans="5:25" x14ac:dyDescent="0.35">
      <c r="E781" t="s">
        <v>188</v>
      </c>
      <c r="F781" t="s">
        <v>442</v>
      </c>
      <c r="G781" s="28"/>
      <c r="N781" s="28"/>
      <c r="O781" s="28"/>
      <c r="X781" s="40"/>
      <c r="Y781" s="40"/>
    </row>
    <row r="782" spans="5:25" x14ac:dyDescent="0.35">
      <c r="E782" t="s">
        <v>188</v>
      </c>
      <c r="F782" t="s">
        <v>880</v>
      </c>
      <c r="G782" s="28"/>
      <c r="N782" s="28"/>
      <c r="O782" s="28"/>
      <c r="X782" s="40"/>
      <c r="Y782" s="40"/>
    </row>
    <row r="783" spans="5:25" x14ac:dyDescent="0.35">
      <c r="E783" t="s">
        <v>188</v>
      </c>
      <c r="F783" t="s">
        <v>881</v>
      </c>
      <c r="G783" s="28"/>
      <c r="N783" s="28"/>
      <c r="O783" s="28"/>
      <c r="X783" s="40"/>
      <c r="Y783" s="40"/>
    </row>
    <row r="784" spans="5:25" x14ac:dyDescent="0.35">
      <c r="E784" t="s">
        <v>188</v>
      </c>
      <c r="F784" t="s">
        <v>443</v>
      </c>
      <c r="G784" s="28"/>
      <c r="N784" s="28"/>
      <c r="O784" s="28"/>
      <c r="X784" s="40"/>
      <c r="Y784" s="40"/>
    </row>
    <row r="785" spans="5:25" x14ac:dyDescent="0.35">
      <c r="E785" t="s">
        <v>188</v>
      </c>
      <c r="F785" t="s">
        <v>388</v>
      </c>
      <c r="G785" s="28"/>
      <c r="N785" s="28"/>
      <c r="O785" s="28"/>
      <c r="X785" s="40"/>
      <c r="Y785" s="40"/>
    </row>
    <row r="786" spans="5:25" x14ac:dyDescent="0.35">
      <c r="E786" t="s">
        <v>188</v>
      </c>
      <c r="F786" t="s">
        <v>882</v>
      </c>
      <c r="G786" s="28"/>
      <c r="N786" s="28"/>
      <c r="O786" s="28"/>
      <c r="X786" s="40"/>
      <c r="Y786" s="40"/>
    </row>
    <row r="787" spans="5:25" x14ac:dyDescent="0.35">
      <c r="E787" t="s">
        <v>188</v>
      </c>
      <c r="F787" t="s">
        <v>883</v>
      </c>
      <c r="G787" s="28"/>
      <c r="N787" s="28"/>
      <c r="O787" s="28"/>
      <c r="X787" s="40"/>
      <c r="Y787" s="40"/>
    </row>
    <row r="788" spans="5:25" x14ac:dyDescent="0.35">
      <c r="E788" t="s">
        <v>188</v>
      </c>
      <c r="F788" t="s">
        <v>884</v>
      </c>
      <c r="G788" s="28"/>
      <c r="N788" s="28"/>
      <c r="O788" s="28"/>
      <c r="X788" s="40"/>
      <c r="Y788" s="40"/>
    </row>
    <row r="789" spans="5:25" x14ac:dyDescent="0.35">
      <c r="E789" t="s">
        <v>188</v>
      </c>
      <c r="F789" t="s">
        <v>449</v>
      </c>
      <c r="G789" s="28"/>
      <c r="N789" s="28"/>
      <c r="O789" s="28"/>
      <c r="X789" s="40"/>
      <c r="Y789" s="40"/>
    </row>
    <row r="790" spans="5:25" x14ac:dyDescent="0.35">
      <c r="E790" t="s">
        <v>188</v>
      </c>
      <c r="F790" t="s">
        <v>885</v>
      </c>
      <c r="G790" s="28"/>
      <c r="N790" s="28"/>
      <c r="O790" s="28"/>
      <c r="X790" s="40"/>
      <c r="Y790" s="40"/>
    </row>
    <row r="791" spans="5:25" x14ac:dyDescent="0.35">
      <c r="E791" t="s">
        <v>188</v>
      </c>
      <c r="F791" t="s">
        <v>886</v>
      </c>
      <c r="G791" s="28"/>
      <c r="N791" s="28"/>
      <c r="O791" s="28"/>
      <c r="X791" s="40"/>
      <c r="Y791" s="40"/>
    </row>
    <row r="792" spans="5:25" x14ac:dyDescent="0.35">
      <c r="E792" t="s">
        <v>188</v>
      </c>
      <c r="F792" t="s">
        <v>744</v>
      </c>
      <c r="G792" s="28"/>
      <c r="N792" s="28"/>
      <c r="O792" s="28"/>
      <c r="X792" s="40"/>
      <c r="Y792" s="40"/>
    </row>
    <row r="793" spans="5:25" x14ac:dyDescent="0.35">
      <c r="E793" t="s">
        <v>188</v>
      </c>
      <c r="F793" t="s">
        <v>394</v>
      </c>
      <c r="G793" s="28"/>
      <c r="N793" s="28"/>
      <c r="O793" s="28"/>
      <c r="X793" s="40"/>
      <c r="Y793" s="40"/>
    </row>
    <row r="794" spans="5:25" x14ac:dyDescent="0.35">
      <c r="E794" t="s">
        <v>188</v>
      </c>
      <c r="F794" t="s">
        <v>745</v>
      </c>
      <c r="G794" s="28"/>
      <c r="N794" s="32"/>
      <c r="O794" s="32"/>
      <c r="X794" s="40"/>
      <c r="Y794" s="40"/>
    </row>
    <row r="795" spans="5:25" x14ac:dyDescent="0.35">
      <c r="E795" t="s">
        <v>188</v>
      </c>
      <c r="F795" t="s">
        <v>451</v>
      </c>
      <c r="G795" s="28"/>
      <c r="N795" s="32"/>
      <c r="O795" s="32"/>
      <c r="X795" s="40"/>
      <c r="Y795" s="40"/>
    </row>
    <row r="796" spans="5:25" x14ac:dyDescent="0.35">
      <c r="E796" t="s">
        <v>188</v>
      </c>
      <c r="F796" t="s">
        <v>887</v>
      </c>
      <c r="G796" s="28"/>
      <c r="N796" s="32"/>
      <c r="O796" s="32"/>
      <c r="X796" s="40"/>
      <c r="Y796" s="40"/>
    </row>
    <row r="797" spans="5:25" x14ac:dyDescent="0.35">
      <c r="E797" t="s">
        <v>188</v>
      </c>
      <c r="F797" t="s">
        <v>888</v>
      </c>
      <c r="G797" s="28"/>
      <c r="N797" s="32"/>
      <c r="O797" s="32"/>
      <c r="X797" s="40"/>
      <c r="Y797" s="40"/>
    </row>
    <row r="798" spans="5:25" x14ac:dyDescent="0.35">
      <c r="E798" t="s">
        <v>188</v>
      </c>
      <c r="F798" t="s">
        <v>889</v>
      </c>
      <c r="G798" s="28"/>
      <c r="N798" s="32"/>
      <c r="O798" s="32"/>
      <c r="X798" s="40"/>
      <c r="Y798" s="40"/>
    </row>
    <row r="799" spans="5:25" x14ac:dyDescent="0.35">
      <c r="E799" t="s">
        <v>188</v>
      </c>
      <c r="F799" t="s">
        <v>805</v>
      </c>
      <c r="G799" s="28"/>
      <c r="N799" s="32"/>
      <c r="O799" s="32"/>
      <c r="X799" s="40"/>
      <c r="Y799" s="40"/>
    </row>
    <row r="800" spans="5:25" x14ac:dyDescent="0.35">
      <c r="E800" t="s">
        <v>188</v>
      </c>
      <c r="F800" t="s">
        <v>890</v>
      </c>
      <c r="G800" s="28"/>
      <c r="N800" s="32"/>
      <c r="O800" s="32"/>
      <c r="X800" s="40"/>
      <c r="Y800" s="40"/>
    </row>
    <row r="801" spans="5:25" x14ac:dyDescent="0.35">
      <c r="E801" t="s">
        <v>189</v>
      </c>
      <c r="F801" t="s">
        <v>526</v>
      </c>
      <c r="G801" s="28"/>
      <c r="N801" s="32"/>
      <c r="O801" s="32"/>
      <c r="X801" s="40"/>
      <c r="Y801" s="40"/>
    </row>
    <row r="802" spans="5:25" x14ac:dyDescent="0.35">
      <c r="E802" t="s">
        <v>189</v>
      </c>
      <c r="F802" t="s">
        <v>891</v>
      </c>
      <c r="G802" s="28"/>
      <c r="N802" s="32"/>
      <c r="O802" s="32"/>
      <c r="X802" s="40"/>
      <c r="Y802" s="40"/>
    </row>
    <row r="803" spans="5:25" x14ac:dyDescent="0.35">
      <c r="E803" t="s">
        <v>189</v>
      </c>
      <c r="F803" t="s">
        <v>892</v>
      </c>
      <c r="G803" s="28"/>
      <c r="N803" s="32"/>
      <c r="O803" s="32"/>
      <c r="X803" s="40"/>
      <c r="Y803" s="40"/>
    </row>
    <row r="804" spans="5:25" x14ac:dyDescent="0.35">
      <c r="E804" t="s">
        <v>189</v>
      </c>
      <c r="F804" t="s">
        <v>400</v>
      </c>
      <c r="G804" s="28"/>
      <c r="N804" s="32"/>
      <c r="O804" s="32"/>
      <c r="X804" s="40"/>
      <c r="Y804" s="40"/>
    </row>
    <row r="805" spans="5:25" x14ac:dyDescent="0.35">
      <c r="E805" t="s">
        <v>189</v>
      </c>
      <c r="F805" t="s">
        <v>893</v>
      </c>
      <c r="G805" s="28"/>
      <c r="N805" s="32"/>
      <c r="O805" s="32"/>
      <c r="X805" s="40"/>
      <c r="Y805" s="40"/>
    </row>
    <row r="806" spans="5:25" x14ac:dyDescent="0.35">
      <c r="E806" t="s">
        <v>189</v>
      </c>
      <c r="F806" t="s">
        <v>401</v>
      </c>
      <c r="G806" s="28"/>
      <c r="N806" s="28"/>
      <c r="O806" s="28"/>
      <c r="X806" s="40"/>
      <c r="Y806" s="40"/>
    </row>
    <row r="807" spans="5:25" x14ac:dyDescent="0.35">
      <c r="E807" t="s">
        <v>189</v>
      </c>
      <c r="F807" t="s">
        <v>844</v>
      </c>
      <c r="G807" s="28"/>
      <c r="N807" s="28"/>
      <c r="O807" s="28"/>
      <c r="X807" s="40"/>
      <c r="Y807" s="40"/>
    </row>
    <row r="808" spans="5:25" x14ac:dyDescent="0.35">
      <c r="E808" t="s">
        <v>189</v>
      </c>
      <c r="F808" t="s">
        <v>403</v>
      </c>
      <c r="G808" s="28"/>
      <c r="N808" s="28"/>
      <c r="O808" s="28"/>
      <c r="X808" s="40"/>
      <c r="Y808" s="40"/>
    </row>
    <row r="809" spans="5:25" x14ac:dyDescent="0.35">
      <c r="E809" t="s">
        <v>189</v>
      </c>
      <c r="F809" t="s">
        <v>765</v>
      </c>
      <c r="G809" s="28"/>
      <c r="N809" s="28"/>
      <c r="O809" s="28"/>
      <c r="X809" s="40"/>
      <c r="Y809" s="40"/>
    </row>
    <row r="810" spans="5:25" x14ac:dyDescent="0.35">
      <c r="E810" t="s">
        <v>189</v>
      </c>
      <c r="F810" t="s">
        <v>405</v>
      </c>
      <c r="G810" s="28"/>
      <c r="N810" s="28"/>
      <c r="O810" s="28"/>
      <c r="X810" s="40"/>
      <c r="Y810" s="40"/>
    </row>
    <row r="811" spans="5:25" x14ac:dyDescent="0.35">
      <c r="E811" t="s">
        <v>189</v>
      </c>
      <c r="F811" t="s">
        <v>343</v>
      </c>
      <c r="G811" s="28"/>
      <c r="N811" s="28"/>
      <c r="O811" s="28"/>
      <c r="X811" s="40"/>
      <c r="Y811" s="40"/>
    </row>
    <row r="812" spans="5:25" x14ac:dyDescent="0.35">
      <c r="E812" t="s">
        <v>189</v>
      </c>
      <c r="F812" t="s">
        <v>769</v>
      </c>
      <c r="G812" s="28"/>
      <c r="N812" s="28"/>
      <c r="O812" s="28"/>
      <c r="X812" s="40"/>
      <c r="Y812" s="40"/>
    </row>
    <row r="813" spans="5:25" x14ac:dyDescent="0.35">
      <c r="E813" t="s">
        <v>189</v>
      </c>
      <c r="F813" t="s">
        <v>410</v>
      </c>
      <c r="G813" s="28"/>
      <c r="N813" s="28"/>
      <c r="O813" s="28"/>
      <c r="X813" s="40"/>
      <c r="Y813" s="40"/>
    </row>
    <row r="814" spans="5:25" x14ac:dyDescent="0.35">
      <c r="E814" t="s">
        <v>189</v>
      </c>
      <c r="F814" t="s">
        <v>894</v>
      </c>
      <c r="G814" s="28"/>
      <c r="N814" s="28"/>
      <c r="O814" s="28"/>
      <c r="X814" s="40"/>
      <c r="Y814" s="40"/>
    </row>
    <row r="815" spans="5:25" x14ac:dyDescent="0.35">
      <c r="E815" t="s">
        <v>189</v>
      </c>
      <c r="F815" t="s">
        <v>354</v>
      </c>
      <c r="G815" s="28"/>
      <c r="N815" s="28"/>
      <c r="O815" s="28"/>
      <c r="X815" s="40"/>
      <c r="Y815" s="40"/>
    </row>
    <row r="816" spans="5:25" x14ac:dyDescent="0.35">
      <c r="E816" t="s">
        <v>189</v>
      </c>
      <c r="F816" t="s">
        <v>895</v>
      </c>
      <c r="G816" s="28"/>
      <c r="N816" s="28"/>
      <c r="O816" s="28"/>
      <c r="X816" s="40"/>
      <c r="Y816" s="40"/>
    </row>
    <row r="817" spans="5:25" x14ac:dyDescent="0.35">
      <c r="E817" t="s">
        <v>189</v>
      </c>
      <c r="F817" t="s">
        <v>674</v>
      </c>
      <c r="G817" s="28"/>
      <c r="N817" s="28"/>
      <c r="O817" s="28"/>
      <c r="X817" s="40"/>
      <c r="Y817" s="40"/>
    </row>
    <row r="818" spans="5:25" x14ac:dyDescent="0.35">
      <c r="E818" t="s">
        <v>189</v>
      </c>
      <c r="F818" t="s">
        <v>771</v>
      </c>
      <c r="G818" s="28"/>
      <c r="N818" s="28"/>
      <c r="O818" s="28"/>
      <c r="X818" s="40"/>
      <c r="Y818" s="40"/>
    </row>
    <row r="819" spans="5:25" x14ac:dyDescent="0.35">
      <c r="E819" t="s">
        <v>189</v>
      </c>
      <c r="F819" t="s">
        <v>896</v>
      </c>
      <c r="G819" s="28"/>
      <c r="N819" s="28"/>
      <c r="O819" s="28"/>
      <c r="X819" s="40"/>
      <c r="Y819" s="40"/>
    </row>
    <row r="820" spans="5:25" x14ac:dyDescent="0.35">
      <c r="E820" t="s">
        <v>189</v>
      </c>
      <c r="F820" t="s">
        <v>897</v>
      </c>
      <c r="G820" s="28"/>
      <c r="N820" s="28"/>
      <c r="O820" s="28"/>
      <c r="X820" s="40"/>
      <c r="Y820" s="40"/>
    </row>
    <row r="821" spans="5:25" x14ac:dyDescent="0.35">
      <c r="E821" t="s">
        <v>189</v>
      </c>
      <c r="F821" t="s">
        <v>358</v>
      </c>
      <c r="G821" s="28"/>
      <c r="N821" s="28"/>
      <c r="O821" s="28"/>
      <c r="X821" s="40"/>
      <c r="Y821" s="40"/>
    </row>
    <row r="822" spans="5:25" x14ac:dyDescent="0.35">
      <c r="E822" t="s">
        <v>189</v>
      </c>
      <c r="F822" t="s">
        <v>685</v>
      </c>
      <c r="G822" s="28"/>
      <c r="N822" s="28"/>
      <c r="O822" s="28"/>
      <c r="X822" s="40"/>
      <c r="Y822" s="40"/>
    </row>
    <row r="823" spans="5:25" x14ac:dyDescent="0.35">
      <c r="E823" t="s">
        <v>189</v>
      </c>
      <c r="F823" t="s">
        <v>898</v>
      </c>
      <c r="G823" s="28"/>
      <c r="N823" s="28"/>
      <c r="O823" s="28"/>
      <c r="X823" s="40"/>
      <c r="Y823" s="40"/>
    </row>
    <row r="824" spans="5:25" x14ac:dyDescent="0.35">
      <c r="E824" t="s">
        <v>189</v>
      </c>
      <c r="F824" t="s">
        <v>359</v>
      </c>
      <c r="G824" s="28"/>
      <c r="N824" s="28"/>
      <c r="O824" s="28"/>
      <c r="X824" s="40"/>
      <c r="Y824" s="40"/>
    </row>
    <row r="825" spans="5:25" x14ac:dyDescent="0.35">
      <c r="E825" t="s">
        <v>189</v>
      </c>
      <c r="F825" t="s">
        <v>416</v>
      </c>
      <c r="G825" s="28"/>
      <c r="N825" s="28"/>
      <c r="O825" s="28"/>
      <c r="X825" s="40"/>
      <c r="Y825" s="40"/>
    </row>
    <row r="826" spans="5:25" x14ac:dyDescent="0.35">
      <c r="E826" t="s">
        <v>189</v>
      </c>
      <c r="F826" t="s">
        <v>899</v>
      </c>
      <c r="G826" s="28"/>
      <c r="N826" s="28"/>
      <c r="O826" s="28"/>
      <c r="X826" s="40"/>
      <c r="Y826" s="40"/>
    </row>
    <row r="827" spans="5:25" x14ac:dyDescent="0.35">
      <c r="E827" t="s">
        <v>189</v>
      </c>
      <c r="F827" t="s">
        <v>418</v>
      </c>
      <c r="G827" s="28"/>
      <c r="N827" s="28"/>
      <c r="O827" s="28"/>
      <c r="X827" s="40"/>
      <c r="Y827" s="40"/>
    </row>
    <row r="828" spans="5:25" x14ac:dyDescent="0.35">
      <c r="E828" t="s">
        <v>189</v>
      </c>
      <c r="F828" t="s">
        <v>361</v>
      </c>
      <c r="G828" s="28"/>
      <c r="N828" s="28"/>
      <c r="O828" s="28"/>
      <c r="X828" s="40"/>
      <c r="Y828" s="40"/>
    </row>
    <row r="829" spans="5:25" x14ac:dyDescent="0.35">
      <c r="E829" t="s">
        <v>189</v>
      </c>
      <c r="F829" t="s">
        <v>610</v>
      </c>
      <c r="G829" s="28"/>
      <c r="N829" s="28"/>
      <c r="O829" s="28"/>
      <c r="X829" s="40"/>
      <c r="Y829" s="40"/>
    </row>
    <row r="830" spans="5:25" x14ac:dyDescent="0.35">
      <c r="E830" t="s">
        <v>189</v>
      </c>
      <c r="F830" t="s">
        <v>695</v>
      </c>
      <c r="G830" s="28"/>
      <c r="N830" s="28"/>
      <c r="O830" s="28"/>
      <c r="X830" s="40"/>
      <c r="Y830" s="40"/>
    </row>
    <row r="831" spans="5:25" x14ac:dyDescent="0.35">
      <c r="E831" t="s">
        <v>189</v>
      </c>
      <c r="F831" t="s">
        <v>779</v>
      </c>
      <c r="G831" s="28"/>
      <c r="N831" s="28"/>
      <c r="O831" s="28"/>
      <c r="X831" s="40"/>
      <c r="Y831" s="40"/>
    </row>
    <row r="832" spans="5:25" x14ac:dyDescent="0.35">
      <c r="E832" t="s">
        <v>189</v>
      </c>
      <c r="F832" t="s">
        <v>900</v>
      </c>
      <c r="G832" s="28"/>
      <c r="N832" s="28"/>
      <c r="O832" s="28"/>
      <c r="X832" s="40"/>
      <c r="Y832" s="40"/>
    </row>
    <row r="833" spans="5:25" x14ac:dyDescent="0.35">
      <c r="E833" t="s">
        <v>189</v>
      </c>
      <c r="F833" t="s">
        <v>363</v>
      </c>
      <c r="G833" s="28"/>
      <c r="N833" s="28"/>
      <c r="O833" s="28"/>
      <c r="X833" s="40"/>
      <c r="Y833" s="40"/>
    </row>
    <row r="834" spans="5:25" x14ac:dyDescent="0.35">
      <c r="E834" t="s">
        <v>189</v>
      </c>
      <c r="F834" t="s">
        <v>421</v>
      </c>
      <c r="G834" s="28"/>
      <c r="N834" s="28"/>
      <c r="O834" s="28"/>
      <c r="X834" s="40"/>
      <c r="Y834" s="40"/>
    </row>
    <row r="835" spans="5:25" x14ac:dyDescent="0.35">
      <c r="E835" t="s">
        <v>189</v>
      </c>
      <c r="F835" t="s">
        <v>901</v>
      </c>
      <c r="G835" s="28"/>
      <c r="N835" s="28"/>
      <c r="O835" s="28"/>
      <c r="X835" s="40"/>
      <c r="Y835" s="40"/>
    </row>
    <row r="836" spans="5:25" x14ac:dyDescent="0.35">
      <c r="E836" t="s">
        <v>189</v>
      </c>
      <c r="F836" t="s">
        <v>365</v>
      </c>
      <c r="G836" s="28"/>
      <c r="N836" s="28"/>
      <c r="O836" s="28"/>
      <c r="X836" s="40"/>
      <c r="Y836" s="40"/>
    </row>
    <row r="837" spans="5:25" x14ac:dyDescent="0.35">
      <c r="E837" t="s">
        <v>189</v>
      </c>
      <c r="F837" t="s">
        <v>701</v>
      </c>
      <c r="G837" s="28"/>
      <c r="N837" s="28"/>
      <c r="O837" s="28"/>
      <c r="X837" s="40"/>
      <c r="Y837" s="40"/>
    </row>
    <row r="838" spans="5:25" x14ac:dyDescent="0.35">
      <c r="E838" t="s">
        <v>189</v>
      </c>
      <c r="F838" t="s">
        <v>902</v>
      </c>
      <c r="G838" s="28"/>
      <c r="N838" s="28"/>
      <c r="O838" s="28"/>
      <c r="X838" s="40"/>
      <c r="Y838" s="40"/>
    </row>
    <row r="839" spans="5:25" x14ac:dyDescent="0.35">
      <c r="E839" t="s">
        <v>189</v>
      </c>
      <c r="F839" t="s">
        <v>366</v>
      </c>
      <c r="G839" s="28"/>
      <c r="N839" s="28"/>
      <c r="O839" s="28"/>
      <c r="X839" s="40"/>
      <c r="Y839" s="40"/>
    </row>
    <row r="840" spans="5:25" x14ac:dyDescent="0.35">
      <c r="E840" t="s">
        <v>189</v>
      </c>
      <c r="F840" t="s">
        <v>903</v>
      </c>
      <c r="G840" s="28"/>
      <c r="N840" s="28"/>
      <c r="O840" s="28"/>
      <c r="X840" s="40"/>
      <c r="Y840" s="40"/>
    </row>
    <row r="841" spans="5:25" x14ac:dyDescent="0.35">
      <c r="E841" t="s">
        <v>189</v>
      </c>
      <c r="F841" t="s">
        <v>424</v>
      </c>
      <c r="G841" s="28"/>
      <c r="N841" s="28"/>
      <c r="O841" s="28"/>
      <c r="X841" s="40"/>
      <c r="Y841" s="40"/>
    </row>
    <row r="842" spans="5:25" x14ac:dyDescent="0.35">
      <c r="E842" t="s">
        <v>189</v>
      </c>
      <c r="F842" t="s">
        <v>863</v>
      </c>
      <c r="G842" s="28"/>
      <c r="N842" s="28"/>
      <c r="O842" s="28"/>
      <c r="X842" s="40"/>
      <c r="Y842" s="40"/>
    </row>
    <row r="843" spans="5:25" x14ac:dyDescent="0.35">
      <c r="E843" t="s">
        <v>189</v>
      </c>
      <c r="F843" t="s">
        <v>904</v>
      </c>
      <c r="G843" s="28"/>
      <c r="N843" s="28"/>
      <c r="O843" s="28"/>
      <c r="X843" s="40"/>
      <c r="Y843" s="40"/>
    </row>
    <row r="844" spans="5:25" x14ac:dyDescent="0.35">
      <c r="E844" t="s">
        <v>189</v>
      </c>
      <c r="F844" t="s">
        <v>905</v>
      </c>
      <c r="G844" s="28"/>
      <c r="N844" s="28"/>
      <c r="O844" s="28"/>
      <c r="X844" s="40"/>
      <c r="Y844" s="40"/>
    </row>
    <row r="845" spans="5:25" x14ac:dyDescent="0.35">
      <c r="E845" t="s">
        <v>189</v>
      </c>
      <c r="F845" t="s">
        <v>906</v>
      </c>
      <c r="G845" s="28"/>
      <c r="N845" s="28"/>
      <c r="O845" s="28"/>
      <c r="X845" s="40"/>
      <c r="Y845" s="40"/>
    </row>
    <row r="846" spans="5:25" x14ac:dyDescent="0.35">
      <c r="E846" t="s">
        <v>189</v>
      </c>
      <c r="F846" t="s">
        <v>486</v>
      </c>
      <c r="G846" s="28"/>
      <c r="N846" s="28"/>
      <c r="O846" s="28"/>
      <c r="X846" s="40"/>
      <c r="Y846" s="40"/>
    </row>
    <row r="847" spans="5:25" x14ac:dyDescent="0.35">
      <c r="E847" t="s">
        <v>189</v>
      </c>
      <c r="F847" t="s">
        <v>369</v>
      </c>
      <c r="G847" s="28"/>
      <c r="N847" s="28"/>
      <c r="O847" s="28"/>
      <c r="X847" s="40"/>
      <c r="Y847" s="40"/>
    </row>
    <row r="848" spans="5:25" x14ac:dyDescent="0.35">
      <c r="E848" t="s">
        <v>189</v>
      </c>
      <c r="F848" t="s">
        <v>374</v>
      </c>
      <c r="G848" s="28"/>
      <c r="N848" s="28"/>
      <c r="O848" s="28"/>
      <c r="X848" s="40"/>
      <c r="Y848" s="40"/>
    </row>
    <row r="849" spans="5:25" x14ac:dyDescent="0.35">
      <c r="E849" t="s">
        <v>189</v>
      </c>
      <c r="F849" t="s">
        <v>376</v>
      </c>
      <c r="G849" s="28"/>
      <c r="N849" s="28"/>
      <c r="O849" s="28"/>
      <c r="X849" s="40"/>
      <c r="Y849" s="40"/>
    </row>
    <row r="850" spans="5:25" x14ac:dyDescent="0.35">
      <c r="E850" t="s">
        <v>189</v>
      </c>
      <c r="F850" t="s">
        <v>377</v>
      </c>
      <c r="G850" s="28"/>
      <c r="N850" s="28"/>
      <c r="O850" s="28"/>
      <c r="X850" s="40"/>
      <c r="Y850" s="40"/>
    </row>
    <row r="851" spans="5:25" x14ac:dyDescent="0.35">
      <c r="E851" t="s">
        <v>189</v>
      </c>
      <c r="F851" t="s">
        <v>622</v>
      </c>
      <c r="G851" s="28"/>
      <c r="N851" s="28"/>
      <c r="O851" s="28"/>
      <c r="X851" s="40"/>
      <c r="Y851" s="40"/>
    </row>
    <row r="852" spans="5:25" x14ac:dyDescent="0.35">
      <c r="E852" t="s">
        <v>189</v>
      </c>
      <c r="F852" t="s">
        <v>907</v>
      </c>
      <c r="G852" s="28"/>
      <c r="N852" s="28"/>
      <c r="O852" s="28"/>
      <c r="X852" s="40"/>
      <c r="Y852" s="40"/>
    </row>
    <row r="853" spans="5:25" x14ac:dyDescent="0.35">
      <c r="E853" t="s">
        <v>189</v>
      </c>
      <c r="F853" t="s">
        <v>379</v>
      </c>
      <c r="G853" s="28"/>
      <c r="N853" s="28"/>
      <c r="O853" s="28"/>
      <c r="X853" s="40"/>
      <c r="Y853" s="40"/>
    </row>
    <row r="854" spans="5:25" x14ac:dyDescent="0.35">
      <c r="E854" t="s">
        <v>189</v>
      </c>
      <c r="F854" t="s">
        <v>380</v>
      </c>
      <c r="G854" s="28"/>
      <c r="N854" s="28"/>
      <c r="O854" s="28"/>
      <c r="X854" s="40"/>
      <c r="Y854" s="40"/>
    </row>
    <row r="855" spans="5:25" x14ac:dyDescent="0.35">
      <c r="E855" t="s">
        <v>189</v>
      </c>
      <c r="F855" t="s">
        <v>381</v>
      </c>
      <c r="G855" s="28"/>
      <c r="N855" s="28"/>
      <c r="O855" s="28"/>
      <c r="X855" s="40"/>
      <c r="Y855" s="40"/>
    </row>
    <row r="856" spans="5:25" x14ac:dyDescent="0.35">
      <c r="E856" t="s">
        <v>189</v>
      </c>
      <c r="F856" t="s">
        <v>433</v>
      </c>
      <c r="G856" s="28"/>
      <c r="N856" s="28"/>
      <c r="O856" s="28"/>
      <c r="X856" s="40"/>
      <c r="Y856" s="40"/>
    </row>
    <row r="857" spans="5:25" x14ac:dyDescent="0.35">
      <c r="E857" t="s">
        <v>189</v>
      </c>
      <c r="F857" t="s">
        <v>908</v>
      </c>
      <c r="G857" s="28"/>
      <c r="N857" s="28"/>
      <c r="O857" s="28"/>
      <c r="X857" s="40"/>
      <c r="Y857" s="40"/>
    </row>
    <row r="858" spans="5:25" x14ac:dyDescent="0.35">
      <c r="E858" t="s">
        <v>189</v>
      </c>
      <c r="F858" t="s">
        <v>909</v>
      </c>
      <c r="G858" s="28"/>
      <c r="N858" s="28"/>
      <c r="O858" s="28"/>
      <c r="X858" s="40"/>
      <c r="Y858" s="40"/>
    </row>
    <row r="859" spans="5:25" x14ac:dyDescent="0.35">
      <c r="E859" t="s">
        <v>189</v>
      </c>
      <c r="F859" t="s">
        <v>498</v>
      </c>
      <c r="G859" s="28"/>
      <c r="N859" s="28"/>
      <c r="O859" s="28"/>
      <c r="X859" s="40"/>
      <c r="Y859" s="40"/>
    </row>
    <row r="860" spans="5:25" x14ac:dyDescent="0.35">
      <c r="E860" t="s">
        <v>189</v>
      </c>
      <c r="F860" t="s">
        <v>910</v>
      </c>
      <c r="G860" s="28"/>
      <c r="N860" s="28"/>
      <c r="O860" s="28"/>
      <c r="X860" s="40"/>
      <c r="Y860" s="40"/>
    </row>
    <row r="861" spans="5:25" x14ac:dyDescent="0.35">
      <c r="E861" t="s">
        <v>189</v>
      </c>
      <c r="F861" t="s">
        <v>911</v>
      </c>
      <c r="G861" s="28"/>
      <c r="N861" s="28"/>
      <c r="O861" s="28"/>
      <c r="X861" s="40"/>
      <c r="Y861" s="40"/>
    </row>
    <row r="862" spans="5:25" x14ac:dyDescent="0.35">
      <c r="E862" t="s">
        <v>189</v>
      </c>
      <c r="F862" t="s">
        <v>382</v>
      </c>
      <c r="G862" s="28"/>
      <c r="N862" s="28"/>
      <c r="O862" s="28"/>
      <c r="X862" s="40"/>
      <c r="Y862" s="40"/>
    </row>
    <row r="863" spans="5:25" x14ac:dyDescent="0.35">
      <c r="E863" t="s">
        <v>189</v>
      </c>
      <c r="F863" t="s">
        <v>384</v>
      </c>
      <c r="G863" s="28"/>
      <c r="N863" s="28"/>
      <c r="O863" s="28"/>
      <c r="X863" s="40"/>
      <c r="Y863" s="40"/>
    </row>
    <row r="864" spans="5:25" x14ac:dyDescent="0.35">
      <c r="E864" t="s">
        <v>189</v>
      </c>
      <c r="F864" t="s">
        <v>912</v>
      </c>
      <c r="G864" s="28"/>
      <c r="N864" s="28"/>
      <c r="O864" s="28"/>
      <c r="X864" s="40"/>
      <c r="Y864" s="40"/>
    </row>
    <row r="865" spans="5:25" x14ac:dyDescent="0.35">
      <c r="E865" t="s">
        <v>189</v>
      </c>
      <c r="F865" t="s">
        <v>913</v>
      </c>
      <c r="G865" s="28"/>
      <c r="N865" s="28"/>
      <c r="O865" s="28"/>
      <c r="X865" s="40"/>
      <c r="Y865" s="40"/>
    </row>
    <row r="866" spans="5:25" x14ac:dyDescent="0.35">
      <c r="E866" t="s">
        <v>189</v>
      </c>
      <c r="F866" t="s">
        <v>440</v>
      </c>
      <c r="G866" s="28"/>
      <c r="N866" s="28"/>
      <c r="O866" s="28"/>
      <c r="X866" s="40"/>
      <c r="Y866" s="40"/>
    </row>
    <row r="867" spans="5:25" x14ac:dyDescent="0.35">
      <c r="E867" t="s">
        <v>189</v>
      </c>
      <c r="F867" t="s">
        <v>631</v>
      </c>
      <c r="G867" s="28"/>
      <c r="N867" s="28"/>
      <c r="O867" s="28"/>
      <c r="X867" s="40"/>
      <c r="Y867" s="40"/>
    </row>
    <row r="868" spans="5:25" x14ac:dyDescent="0.35">
      <c r="E868" t="s">
        <v>189</v>
      </c>
      <c r="F868" t="s">
        <v>385</v>
      </c>
      <c r="G868" s="28"/>
      <c r="N868" s="28"/>
      <c r="O868" s="28"/>
      <c r="X868" s="40"/>
      <c r="Y868" s="40"/>
    </row>
    <row r="869" spans="5:25" x14ac:dyDescent="0.35">
      <c r="E869" t="s">
        <v>189</v>
      </c>
      <c r="F869" t="s">
        <v>914</v>
      </c>
      <c r="G869" s="28"/>
      <c r="N869" s="28"/>
      <c r="O869" s="28"/>
      <c r="X869" s="40"/>
      <c r="Y869" s="40"/>
    </row>
    <row r="870" spans="5:25" x14ac:dyDescent="0.35">
      <c r="E870" t="s">
        <v>189</v>
      </c>
      <c r="F870" t="s">
        <v>915</v>
      </c>
      <c r="G870" s="28"/>
      <c r="N870" s="28"/>
      <c r="O870" s="28"/>
      <c r="X870" s="40"/>
      <c r="Y870" s="40"/>
    </row>
    <row r="871" spans="5:25" x14ac:dyDescent="0.35">
      <c r="E871" t="s">
        <v>189</v>
      </c>
      <c r="F871" t="s">
        <v>443</v>
      </c>
      <c r="G871" s="28"/>
      <c r="N871" s="28"/>
      <c r="O871" s="28"/>
      <c r="X871" s="40"/>
      <c r="Y871" s="40"/>
    </row>
    <row r="872" spans="5:25" x14ac:dyDescent="0.35">
      <c r="E872" t="s">
        <v>189</v>
      </c>
      <c r="F872" t="s">
        <v>388</v>
      </c>
      <c r="G872" s="28"/>
      <c r="N872" s="28"/>
      <c r="O872" s="28"/>
      <c r="X872" s="40"/>
      <c r="Y872" s="40"/>
    </row>
    <row r="873" spans="5:25" x14ac:dyDescent="0.35">
      <c r="E873" t="s">
        <v>189</v>
      </c>
      <c r="F873" t="s">
        <v>916</v>
      </c>
      <c r="G873" s="28"/>
      <c r="N873" s="28"/>
      <c r="O873" s="28"/>
      <c r="X873" s="40"/>
      <c r="Y873" s="40"/>
    </row>
    <row r="874" spans="5:25" x14ac:dyDescent="0.35">
      <c r="E874" t="s">
        <v>189</v>
      </c>
      <c r="F874" t="s">
        <v>917</v>
      </c>
      <c r="G874" s="28"/>
      <c r="N874" s="28"/>
      <c r="O874" s="28"/>
      <c r="X874" s="40"/>
      <c r="Y874" s="40"/>
    </row>
    <row r="875" spans="5:25" x14ac:dyDescent="0.35">
      <c r="E875" t="s">
        <v>189</v>
      </c>
      <c r="F875" t="s">
        <v>918</v>
      </c>
      <c r="G875" s="28"/>
      <c r="N875" s="28"/>
      <c r="O875" s="28"/>
      <c r="X875" s="40"/>
      <c r="Y875" s="40"/>
    </row>
    <row r="876" spans="5:25" x14ac:dyDescent="0.35">
      <c r="E876" t="s">
        <v>189</v>
      </c>
      <c r="F876" t="s">
        <v>919</v>
      </c>
      <c r="G876" s="28"/>
      <c r="N876" s="28"/>
      <c r="O876" s="28"/>
      <c r="X876" s="40"/>
      <c r="Y876" s="40"/>
    </row>
    <row r="877" spans="5:25" x14ac:dyDescent="0.35">
      <c r="E877" t="s">
        <v>189</v>
      </c>
      <c r="F877" t="s">
        <v>920</v>
      </c>
      <c r="G877" s="28"/>
      <c r="N877" s="28"/>
      <c r="O877" s="28"/>
      <c r="X877" s="40"/>
      <c r="Y877" s="40"/>
    </row>
    <row r="878" spans="5:25" x14ac:dyDescent="0.35">
      <c r="E878" t="s">
        <v>189</v>
      </c>
      <c r="F878" t="s">
        <v>921</v>
      </c>
      <c r="G878" s="28"/>
      <c r="N878" s="28"/>
      <c r="O878" s="28"/>
      <c r="X878" s="40"/>
      <c r="Y878" s="40"/>
    </row>
    <row r="879" spans="5:25" x14ac:dyDescent="0.35">
      <c r="E879" t="s">
        <v>189</v>
      </c>
      <c r="F879" t="s">
        <v>922</v>
      </c>
      <c r="G879" s="28"/>
      <c r="N879" s="28"/>
      <c r="O879" s="28"/>
      <c r="X879" s="40"/>
      <c r="Y879" s="40"/>
    </row>
    <row r="880" spans="5:25" x14ac:dyDescent="0.35">
      <c r="E880" t="s">
        <v>189</v>
      </c>
      <c r="F880" t="s">
        <v>923</v>
      </c>
      <c r="G880" s="28"/>
      <c r="N880" s="28"/>
      <c r="O880" s="28"/>
      <c r="X880" s="40"/>
      <c r="Y880" s="40"/>
    </row>
    <row r="881" spans="5:25" x14ac:dyDescent="0.35">
      <c r="E881" t="s">
        <v>189</v>
      </c>
      <c r="F881" t="s">
        <v>449</v>
      </c>
      <c r="G881" s="28"/>
      <c r="N881" s="28"/>
      <c r="O881" s="28"/>
      <c r="X881" s="40"/>
      <c r="Y881" s="40"/>
    </row>
    <row r="882" spans="5:25" x14ac:dyDescent="0.35">
      <c r="E882" t="s">
        <v>189</v>
      </c>
      <c r="F882" t="s">
        <v>924</v>
      </c>
      <c r="G882" s="28"/>
      <c r="N882" s="28"/>
      <c r="O882" s="28"/>
      <c r="X882" s="40"/>
      <c r="Y882" s="40"/>
    </row>
    <row r="883" spans="5:25" x14ac:dyDescent="0.35">
      <c r="E883" t="s">
        <v>189</v>
      </c>
      <c r="F883" t="s">
        <v>925</v>
      </c>
      <c r="G883" s="28"/>
      <c r="N883" s="28"/>
      <c r="O883" s="28"/>
      <c r="X883" s="40"/>
      <c r="Y883" s="40"/>
    </row>
    <row r="884" spans="5:25" x14ac:dyDescent="0.35">
      <c r="E884" t="s">
        <v>189</v>
      </c>
      <c r="F884" t="s">
        <v>926</v>
      </c>
      <c r="G884" s="28"/>
      <c r="N884" s="28"/>
      <c r="O884" s="28"/>
      <c r="X884" s="40"/>
      <c r="Y884" s="40"/>
    </row>
    <row r="885" spans="5:25" x14ac:dyDescent="0.35">
      <c r="E885" t="s">
        <v>189</v>
      </c>
      <c r="F885" t="s">
        <v>886</v>
      </c>
      <c r="G885" s="28"/>
      <c r="N885" s="28"/>
      <c r="O885" s="28"/>
      <c r="X885" s="40"/>
      <c r="Y885" s="40"/>
    </row>
    <row r="886" spans="5:25" x14ac:dyDescent="0.35">
      <c r="E886" t="s">
        <v>189</v>
      </c>
      <c r="F886" t="s">
        <v>744</v>
      </c>
      <c r="G886" s="28"/>
      <c r="N886" s="28"/>
      <c r="O886" s="28"/>
      <c r="X886" s="40"/>
      <c r="Y886" s="40"/>
    </row>
    <row r="887" spans="5:25" x14ac:dyDescent="0.35">
      <c r="E887" t="s">
        <v>189</v>
      </c>
      <c r="F887" t="s">
        <v>927</v>
      </c>
      <c r="G887" s="28"/>
      <c r="N887" s="28"/>
      <c r="O887" s="28"/>
      <c r="X887" s="40"/>
      <c r="Y887" s="40"/>
    </row>
    <row r="888" spans="5:25" x14ac:dyDescent="0.35">
      <c r="E888" t="s">
        <v>189</v>
      </c>
      <c r="F888" t="s">
        <v>394</v>
      </c>
      <c r="G888" s="28"/>
      <c r="N888" s="28"/>
      <c r="O888" s="28"/>
      <c r="X888" s="40"/>
      <c r="Y888" s="40"/>
    </row>
    <row r="889" spans="5:25" x14ac:dyDescent="0.35">
      <c r="E889" t="s">
        <v>189</v>
      </c>
      <c r="F889" t="s">
        <v>745</v>
      </c>
      <c r="G889" s="28"/>
      <c r="N889" s="28"/>
      <c r="O889" s="28"/>
      <c r="X889" s="40"/>
      <c r="Y889" s="40"/>
    </row>
    <row r="890" spans="5:25" x14ac:dyDescent="0.35">
      <c r="E890" t="s">
        <v>189</v>
      </c>
      <c r="F890" t="s">
        <v>928</v>
      </c>
      <c r="G890" s="28"/>
      <c r="N890" s="28"/>
      <c r="O890" s="28"/>
      <c r="X890" s="40"/>
      <c r="Y890" s="40"/>
    </row>
    <row r="891" spans="5:25" x14ac:dyDescent="0.35">
      <c r="E891" t="s">
        <v>189</v>
      </c>
      <c r="F891" t="s">
        <v>451</v>
      </c>
      <c r="G891" s="28"/>
      <c r="N891" s="28"/>
      <c r="O891" s="28"/>
      <c r="X891" s="40"/>
      <c r="Y891" s="40"/>
    </row>
    <row r="892" spans="5:25" x14ac:dyDescent="0.35">
      <c r="E892" t="s">
        <v>189</v>
      </c>
      <c r="F892" t="s">
        <v>929</v>
      </c>
      <c r="G892" s="28"/>
      <c r="N892" s="28"/>
      <c r="O892" s="28"/>
      <c r="X892" s="40"/>
      <c r="Y892" s="40"/>
    </row>
    <row r="893" spans="5:25" x14ac:dyDescent="0.35">
      <c r="E893" t="s">
        <v>190</v>
      </c>
      <c r="F893" t="s">
        <v>891</v>
      </c>
      <c r="G893" s="28"/>
      <c r="N893" s="28"/>
      <c r="O893" s="28"/>
      <c r="X893" s="40"/>
      <c r="Y893" s="40"/>
    </row>
    <row r="894" spans="5:25" x14ac:dyDescent="0.35">
      <c r="E894" t="s">
        <v>190</v>
      </c>
      <c r="F894" t="s">
        <v>930</v>
      </c>
      <c r="G894" s="28"/>
      <c r="N894" s="28"/>
      <c r="O894" s="28"/>
      <c r="X894" s="40"/>
      <c r="Y894" s="40"/>
    </row>
    <row r="895" spans="5:25" x14ac:dyDescent="0.35">
      <c r="E895" t="s">
        <v>190</v>
      </c>
      <c r="F895" t="s">
        <v>931</v>
      </c>
      <c r="G895" s="28"/>
      <c r="N895" s="28"/>
      <c r="O895" s="28"/>
      <c r="X895" s="40"/>
      <c r="Y895" s="40"/>
    </row>
    <row r="896" spans="5:25" x14ac:dyDescent="0.35">
      <c r="E896" t="s">
        <v>190</v>
      </c>
      <c r="F896" t="s">
        <v>932</v>
      </c>
      <c r="G896" s="28"/>
      <c r="N896" s="28"/>
      <c r="O896" s="28"/>
      <c r="X896" s="40"/>
      <c r="Y896" s="40"/>
    </row>
    <row r="897" spans="5:25" x14ac:dyDescent="0.35">
      <c r="E897" t="s">
        <v>190</v>
      </c>
      <c r="F897" t="s">
        <v>933</v>
      </c>
      <c r="G897" s="28"/>
      <c r="N897" s="28"/>
      <c r="O897" s="28"/>
      <c r="X897" s="40"/>
      <c r="Y897" s="40"/>
    </row>
    <row r="898" spans="5:25" x14ac:dyDescent="0.35">
      <c r="E898" t="s">
        <v>190</v>
      </c>
      <c r="F898" t="s">
        <v>934</v>
      </c>
      <c r="G898" s="28"/>
      <c r="N898" s="28"/>
      <c r="O898" s="28"/>
      <c r="X898" s="40"/>
      <c r="Y898" s="40"/>
    </row>
    <row r="899" spans="5:25" x14ac:dyDescent="0.35">
      <c r="E899" t="s">
        <v>190</v>
      </c>
      <c r="F899" t="s">
        <v>844</v>
      </c>
      <c r="G899" s="28"/>
      <c r="N899" s="28"/>
      <c r="O899" s="28"/>
      <c r="X899" s="40"/>
      <c r="Y899" s="40"/>
    </row>
    <row r="900" spans="5:25" x14ac:dyDescent="0.35">
      <c r="E900" t="s">
        <v>190</v>
      </c>
      <c r="F900" t="s">
        <v>336</v>
      </c>
      <c r="G900" s="28"/>
      <c r="N900" s="28"/>
      <c r="O900" s="28"/>
      <c r="X900" s="40"/>
      <c r="Y900" s="40"/>
    </row>
    <row r="901" spans="5:25" x14ac:dyDescent="0.35">
      <c r="E901" t="s">
        <v>190</v>
      </c>
      <c r="F901" t="s">
        <v>935</v>
      </c>
      <c r="G901" s="28"/>
      <c r="N901" s="28"/>
      <c r="O901" s="28"/>
      <c r="X901" s="40"/>
      <c r="Y901" s="40"/>
    </row>
    <row r="902" spans="5:25" x14ac:dyDescent="0.35">
      <c r="E902" t="s">
        <v>190</v>
      </c>
      <c r="F902" t="s">
        <v>936</v>
      </c>
      <c r="G902" s="28"/>
      <c r="N902" s="28"/>
      <c r="O902" s="28"/>
      <c r="X902" s="40"/>
      <c r="Y902" s="40"/>
    </row>
    <row r="903" spans="5:25" x14ac:dyDescent="0.35">
      <c r="E903" t="s">
        <v>190</v>
      </c>
      <c r="F903" t="s">
        <v>339</v>
      </c>
      <c r="G903" s="28"/>
      <c r="N903" s="28"/>
      <c r="O903" s="28"/>
      <c r="X903" s="40"/>
      <c r="Y903" s="40"/>
    </row>
    <row r="904" spans="5:25" x14ac:dyDescent="0.35">
      <c r="E904" t="s">
        <v>190</v>
      </c>
      <c r="F904" t="s">
        <v>535</v>
      </c>
      <c r="G904" s="28"/>
      <c r="N904" s="28"/>
      <c r="O904" s="28"/>
      <c r="X904" s="40"/>
      <c r="Y904" s="40"/>
    </row>
    <row r="905" spans="5:25" x14ac:dyDescent="0.35">
      <c r="E905" t="s">
        <v>190</v>
      </c>
      <c r="F905" t="s">
        <v>405</v>
      </c>
      <c r="G905" s="28"/>
      <c r="N905" s="28"/>
      <c r="O905" s="28"/>
      <c r="X905" s="40"/>
      <c r="Y905" s="40"/>
    </row>
    <row r="906" spans="5:25" x14ac:dyDescent="0.35">
      <c r="E906" t="s">
        <v>190</v>
      </c>
      <c r="F906" t="s">
        <v>343</v>
      </c>
      <c r="G906" s="28"/>
      <c r="N906" s="28"/>
      <c r="O906" s="28"/>
      <c r="X906" s="40"/>
      <c r="Y906" s="40"/>
    </row>
    <row r="907" spans="5:25" x14ac:dyDescent="0.35">
      <c r="E907" t="s">
        <v>190</v>
      </c>
      <c r="F907" t="s">
        <v>937</v>
      </c>
      <c r="G907" s="28"/>
      <c r="N907" s="28"/>
      <c r="O907" s="28"/>
      <c r="X907" s="40"/>
      <c r="Y907" s="40"/>
    </row>
    <row r="908" spans="5:25" x14ac:dyDescent="0.35">
      <c r="E908" t="s">
        <v>190</v>
      </c>
      <c r="F908" t="s">
        <v>938</v>
      </c>
      <c r="G908" s="28"/>
      <c r="N908" s="28"/>
      <c r="O908" s="28"/>
      <c r="X908" s="40"/>
      <c r="Y908" s="40"/>
    </row>
    <row r="909" spans="5:25" x14ac:dyDescent="0.35">
      <c r="E909" t="s">
        <v>190</v>
      </c>
      <c r="F909" t="s">
        <v>939</v>
      </c>
      <c r="G909" s="28"/>
      <c r="N909" s="28"/>
      <c r="O909" s="28"/>
      <c r="X909" s="40"/>
      <c r="Y909" s="40"/>
    </row>
    <row r="910" spans="5:25" x14ac:dyDescent="0.35">
      <c r="E910" t="s">
        <v>190</v>
      </c>
      <c r="F910" t="s">
        <v>940</v>
      </c>
      <c r="G910" s="28"/>
      <c r="N910" s="28"/>
      <c r="O910" s="28"/>
      <c r="X910" s="40"/>
      <c r="Y910" s="40"/>
    </row>
    <row r="911" spans="5:25" x14ac:dyDescent="0.35">
      <c r="E911" t="s">
        <v>190</v>
      </c>
      <c r="F911" t="s">
        <v>410</v>
      </c>
      <c r="G911" s="28"/>
      <c r="N911" s="28"/>
      <c r="O911" s="28"/>
      <c r="X911" s="40"/>
      <c r="Y911" s="40"/>
    </row>
    <row r="912" spans="5:25" x14ac:dyDescent="0.35">
      <c r="E912" t="s">
        <v>190</v>
      </c>
      <c r="F912" t="s">
        <v>674</v>
      </c>
      <c r="G912" s="28"/>
      <c r="N912" s="28"/>
      <c r="O912" s="28"/>
      <c r="X912" s="40"/>
      <c r="Y912" s="40"/>
    </row>
    <row r="913" spans="5:25" x14ac:dyDescent="0.35">
      <c r="E913" t="s">
        <v>190</v>
      </c>
      <c r="F913" t="s">
        <v>773</v>
      </c>
      <c r="G913" s="28"/>
      <c r="N913" s="28"/>
      <c r="O913" s="28"/>
      <c r="X913" s="40"/>
      <c r="Y913" s="40"/>
    </row>
    <row r="914" spans="5:25" x14ac:dyDescent="0.35">
      <c r="E914" t="s">
        <v>190</v>
      </c>
      <c r="F914" t="s">
        <v>941</v>
      </c>
      <c r="G914" s="28"/>
      <c r="N914" s="28"/>
      <c r="O914" s="28"/>
      <c r="X914" s="40"/>
      <c r="Y914" s="40"/>
    </row>
    <row r="915" spans="5:25" x14ac:dyDescent="0.35">
      <c r="E915" t="s">
        <v>190</v>
      </c>
      <c r="F915" t="s">
        <v>544</v>
      </c>
      <c r="G915" s="28"/>
      <c r="N915" s="28"/>
      <c r="O915" s="28"/>
      <c r="X915" s="40"/>
      <c r="Y915" s="40"/>
    </row>
    <row r="916" spans="5:25" x14ac:dyDescent="0.35">
      <c r="E916" t="s">
        <v>190</v>
      </c>
      <c r="F916" t="s">
        <v>853</v>
      </c>
      <c r="G916" s="28"/>
      <c r="N916" s="28"/>
      <c r="O916" s="28"/>
      <c r="X916" s="40"/>
      <c r="Y916" s="40"/>
    </row>
    <row r="917" spans="5:25" x14ac:dyDescent="0.35">
      <c r="E917" t="s">
        <v>190</v>
      </c>
      <c r="F917" t="s">
        <v>942</v>
      </c>
      <c r="G917" s="28"/>
      <c r="N917" s="28"/>
      <c r="O917" s="28"/>
      <c r="X917" s="40"/>
      <c r="Y917" s="40"/>
    </row>
    <row r="918" spans="5:25" x14ac:dyDescent="0.35">
      <c r="E918" t="s">
        <v>190</v>
      </c>
      <c r="F918" t="s">
        <v>943</v>
      </c>
      <c r="G918" s="28"/>
      <c r="N918" s="28"/>
      <c r="O918" s="28"/>
      <c r="X918" s="40"/>
      <c r="Y918" s="40"/>
    </row>
    <row r="919" spans="5:25" x14ac:dyDescent="0.35">
      <c r="E919" t="s">
        <v>190</v>
      </c>
      <c r="F919" t="s">
        <v>944</v>
      </c>
      <c r="G919" s="28"/>
      <c r="N919" s="28"/>
      <c r="O919" s="28"/>
      <c r="X919" s="40"/>
      <c r="Y919" s="40"/>
    </row>
    <row r="920" spans="5:25" x14ac:dyDescent="0.35">
      <c r="E920" t="s">
        <v>190</v>
      </c>
      <c r="F920" t="s">
        <v>945</v>
      </c>
      <c r="G920" s="28"/>
      <c r="N920" s="28"/>
      <c r="O920" s="28"/>
      <c r="X920" s="40"/>
      <c r="Y920" s="40"/>
    </row>
    <row r="921" spans="5:25" x14ac:dyDescent="0.35">
      <c r="E921" t="s">
        <v>190</v>
      </c>
      <c r="F921" t="s">
        <v>854</v>
      </c>
      <c r="G921" s="28"/>
      <c r="N921" s="28"/>
      <c r="O921" s="28"/>
      <c r="X921" s="40"/>
      <c r="Y921" s="40"/>
    </row>
    <row r="922" spans="5:25" x14ac:dyDescent="0.35">
      <c r="E922" t="s">
        <v>190</v>
      </c>
      <c r="F922" t="s">
        <v>359</v>
      </c>
      <c r="G922" s="28"/>
      <c r="N922" s="28"/>
      <c r="O922" s="28"/>
      <c r="X922" s="40"/>
      <c r="Y922" s="40"/>
    </row>
    <row r="923" spans="5:25" x14ac:dyDescent="0.35">
      <c r="E923" t="s">
        <v>190</v>
      </c>
      <c r="F923" t="s">
        <v>946</v>
      </c>
      <c r="G923" s="28"/>
      <c r="N923" s="28"/>
      <c r="O923" s="28"/>
      <c r="X923" s="40"/>
      <c r="Y923" s="40"/>
    </row>
    <row r="924" spans="5:25" x14ac:dyDescent="0.35">
      <c r="E924" t="s">
        <v>190</v>
      </c>
      <c r="F924" t="s">
        <v>947</v>
      </c>
      <c r="G924" s="28"/>
      <c r="N924" s="28"/>
      <c r="O924" s="28"/>
      <c r="X924" s="40"/>
      <c r="Y924" s="40"/>
    </row>
    <row r="925" spans="5:25" x14ac:dyDescent="0.35">
      <c r="E925" t="s">
        <v>190</v>
      </c>
      <c r="F925" t="s">
        <v>459</v>
      </c>
      <c r="G925" s="28"/>
      <c r="N925" s="28"/>
      <c r="O925" s="28"/>
      <c r="X925" s="40"/>
      <c r="Y925" s="40"/>
    </row>
    <row r="926" spans="5:25" x14ac:dyDescent="0.35">
      <c r="E926" t="s">
        <v>190</v>
      </c>
      <c r="F926" t="s">
        <v>418</v>
      </c>
      <c r="G926" s="28"/>
      <c r="N926" s="28"/>
      <c r="O926" s="28"/>
      <c r="X926" s="40"/>
      <c r="Y926" s="40"/>
    </row>
    <row r="927" spans="5:25" x14ac:dyDescent="0.35">
      <c r="E927" t="s">
        <v>190</v>
      </c>
      <c r="F927" t="s">
        <v>948</v>
      </c>
      <c r="G927" s="28"/>
      <c r="N927" s="28"/>
      <c r="O927" s="28"/>
      <c r="X927" s="40"/>
      <c r="Y927" s="40"/>
    </row>
    <row r="928" spans="5:25" x14ac:dyDescent="0.35">
      <c r="E928" t="s">
        <v>190</v>
      </c>
      <c r="F928" t="s">
        <v>949</v>
      </c>
      <c r="G928" s="28"/>
      <c r="N928" s="28"/>
      <c r="O928" s="28"/>
      <c r="X928" s="40"/>
      <c r="Y928" s="40"/>
    </row>
    <row r="929" spans="5:25" x14ac:dyDescent="0.35">
      <c r="E929" t="s">
        <v>190</v>
      </c>
      <c r="F929" t="s">
        <v>950</v>
      </c>
      <c r="G929" s="28"/>
      <c r="N929" s="28"/>
      <c r="O929" s="28"/>
      <c r="X929" s="40"/>
      <c r="Y929" s="40"/>
    </row>
    <row r="930" spans="5:25" x14ac:dyDescent="0.35">
      <c r="E930" t="s">
        <v>190</v>
      </c>
      <c r="F930" t="s">
        <v>610</v>
      </c>
      <c r="G930" s="28"/>
      <c r="N930" s="28"/>
      <c r="O930" s="28"/>
      <c r="X930" s="40"/>
      <c r="Y930" s="40"/>
    </row>
    <row r="931" spans="5:25" x14ac:dyDescent="0.35">
      <c r="E931" t="s">
        <v>190</v>
      </c>
      <c r="F931" t="s">
        <v>951</v>
      </c>
      <c r="G931" s="28"/>
      <c r="N931" s="28"/>
      <c r="O931" s="28"/>
      <c r="X931" s="40"/>
      <c r="Y931" s="40"/>
    </row>
    <row r="932" spans="5:25" x14ac:dyDescent="0.35">
      <c r="E932" t="s">
        <v>190</v>
      </c>
      <c r="F932" t="s">
        <v>952</v>
      </c>
      <c r="G932" s="28"/>
      <c r="N932" s="28"/>
      <c r="O932" s="28"/>
      <c r="X932" s="40"/>
      <c r="Y932" s="40"/>
    </row>
    <row r="933" spans="5:25" x14ac:dyDescent="0.35">
      <c r="E933" t="s">
        <v>190</v>
      </c>
      <c r="F933" t="s">
        <v>953</v>
      </c>
      <c r="G933" s="28"/>
      <c r="N933" s="28"/>
      <c r="O933" s="28"/>
      <c r="X933" s="40"/>
      <c r="Y933" s="40"/>
    </row>
    <row r="934" spans="5:25" x14ac:dyDescent="0.35">
      <c r="E934" t="s">
        <v>190</v>
      </c>
      <c r="F934" t="s">
        <v>954</v>
      </c>
      <c r="G934" s="28"/>
      <c r="N934" s="28"/>
      <c r="O934" s="28"/>
      <c r="X934" s="40"/>
      <c r="Y934" s="40"/>
    </row>
    <row r="935" spans="5:25" x14ac:dyDescent="0.35">
      <c r="E935" t="s">
        <v>190</v>
      </c>
      <c r="F935" t="s">
        <v>365</v>
      </c>
      <c r="G935" s="28"/>
      <c r="N935" s="28"/>
      <c r="O935" s="28"/>
      <c r="X935" s="40"/>
      <c r="Y935" s="40"/>
    </row>
    <row r="936" spans="5:25" x14ac:dyDescent="0.35">
      <c r="E936" t="s">
        <v>190</v>
      </c>
      <c r="F936" t="s">
        <v>366</v>
      </c>
      <c r="G936" s="28"/>
      <c r="N936" s="28"/>
      <c r="O936" s="28"/>
      <c r="X936" s="40"/>
      <c r="Y936" s="40"/>
    </row>
    <row r="937" spans="5:25" x14ac:dyDescent="0.35">
      <c r="E937" t="s">
        <v>190</v>
      </c>
      <c r="F937" t="s">
        <v>955</v>
      </c>
      <c r="G937" s="28"/>
      <c r="N937" s="28"/>
      <c r="O937" s="28"/>
      <c r="X937" s="40"/>
      <c r="Y937" s="40"/>
    </row>
    <row r="938" spans="5:25" x14ac:dyDescent="0.35">
      <c r="E938" t="s">
        <v>190</v>
      </c>
      <c r="F938" t="s">
        <v>424</v>
      </c>
      <c r="G938" s="28"/>
      <c r="N938" s="28"/>
      <c r="O938" s="28"/>
      <c r="X938" s="40"/>
      <c r="Y938" s="40"/>
    </row>
    <row r="939" spans="5:25" x14ac:dyDescent="0.35">
      <c r="E939" t="s">
        <v>190</v>
      </c>
      <c r="F939" t="s">
        <v>956</v>
      </c>
      <c r="G939" s="28"/>
      <c r="N939" s="28"/>
      <c r="O939" s="28"/>
      <c r="X939" s="40"/>
      <c r="Y939" s="40"/>
    </row>
    <row r="940" spans="5:25" x14ac:dyDescent="0.35">
      <c r="E940" t="s">
        <v>190</v>
      </c>
      <c r="F940" t="s">
        <v>957</v>
      </c>
      <c r="G940" s="28"/>
      <c r="N940" s="28"/>
      <c r="O940" s="28"/>
      <c r="X940" s="40"/>
      <c r="Y940" s="40"/>
    </row>
    <row r="941" spans="5:25" x14ac:dyDescent="0.35">
      <c r="E941" t="s">
        <v>190</v>
      </c>
      <c r="F941" t="s">
        <v>555</v>
      </c>
      <c r="G941" s="28"/>
      <c r="N941" s="28"/>
      <c r="O941" s="28"/>
      <c r="X941" s="40"/>
      <c r="Y941" s="40"/>
    </row>
    <row r="942" spans="5:25" x14ac:dyDescent="0.35">
      <c r="E942" t="s">
        <v>190</v>
      </c>
      <c r="F942" t="s">
        <v>958</v>
      </c>
      <c r="G942" s="28"/>
      <c r="N942" s="28"/>
      <c r="O942" s="28"/>
      <c r="X942" s="40"/>
      <c r="Y942" s="40"/>
    </row>
    <row r="943" spans="5:25" x14ac:dyDescent="0.35">
      <c r="E943" t="s">
        <v>190</v>
      </c>
      <c r="F943" t="s">
        <v>959</v>
      </c>
      <c r="G943" s="28"/>
      <c r="N943" s="28"/>
      <c r="O943" s="28"/>
      <c r="X943" s="40"/>
      <c r="Y943" s="40"/>
    </row>
    <row r="944" spans="5:25" x14ac:dyDescent="0.35">
      <c r="E944" t="s">
        <v>190</v>
      </c>
      <c r="F944" t="s">
        <v>960</v>
      </c>
      <c r="G944" s="28"/>
      <c r="N944" s="28"/>
      <c r="O944" s="28"/>
      <c r="X944" s="40"/>
      <c r="Y944" s="40"/>
    </row>
    <row r="945" spans="5:25" x14ac:dyDescent="0.35">
      <c r="E945" t="s">
        <v>190</v>
      </c>
      <c r="F945" t="s">
        <v>426</v>
      </c>
      <c r="G945" s="28"/>
      <c r="N945" s="28"/>
      <c r="O945" s="28"/>
      <c r="X945" s="40"/>
      <c r="Y945" s="40"/>
    </row>
    <row r="946" spans="5:25" x14ac:dyDescent="0.35">
      <c r="E946" t="s">
        <v>190</v>
      </c>
      <c r="F946" t="s">
        <v>784</v>
      </c>
      <c r="G946" s="28"/>
      <c r="N946" s="28"/>
      <c r="O946" s="28"/>
      <c r="X946" s="40"/>
      <c r="Y946" s="40"/>
    </row>
    <row r="947" spans="5:25" x14ac:dyDescent="0.35">
      <c r="E947" t="s">
        <v>190</v>
      </c>
      <c r="F947" t="s">
        <v>428</v>
      </c>
      <c r="G947" s="28"/>
      <c r="N947" s="28"/>
      <c r="O947" s="28"/>
      <c r="X947" s="40"/>
      <c r="Y947" s="40"/>
    </row>
    <row r="948" spans="5:25" x14ac:dyDescent="0.35">
      <c r="E948" t="s">
        <v>190</v>
      </c>
      <c r="F948" t="s">
        <v>787</v>
      </c>
      <c r="G948" s="28"/>
      <c r="N948" s="28"/>
      <c r="O948" s="28"/>
      <c r="X948" s="40"/>
      <c r="Y948" s="40"/>
    </row>
    <row r="949" spans="5:25" x14ac:dyDescent="0.35">
      <c r="E949" t="s">
        <v>190</v>
      </c>
      <c r="F949" t="s">
        <v>376</v>
      </c>
      <c r="G949" s="28"/>
      <c r="N949" s="28"/>
      <c r="O949" s="28"/>
      <c r="X949" s="40"/>
      <c r="Y949" s="40"/>
    </row>
    <row r="950" spans="5:25" x14ac:dyDescent="0.35">
      <c r="E950" t="s">
        <v>190</v>
      </c>
      <c r="F950" t="s">
        <v>377</v>
      </c>
      <c r="G950" s="28"/>
      <c r="N950" s="28"/>
      <c r="O950" s="28"/>
      <c r="X950" s="40"/>
      <c r="Y950" s="40"/>
    </row>
    <row r="951" spans="5:25" x14ac:dyDescent="0.35">
      <c r="E951" t="s">
        <v>190</v>
      </c>
      <c r="F951" t="s">
        <v>961</v>
      </c>
      <c r="G951" s="28"/>
      <c r="N951" s="28"/>
      <c r="O951" s="28"/>
      <c r="X951" s="40"/>
      <c r="Y951" s="40"/>
    </row>
    <row r="952" spans="5:25" x14ac:dyDescent="0.35">
      <c r="E952" t="s">
        <v>190</v>
      </c>
      <c r="F952" t="s">
        <v>962</v>
      </c>
      <c r="G952" s="28"/>
      <c r="N952" s="28"/>
      <c r="O952" s="28"/>
      <c r="X952" s="40"/>
      <c r="Y952" s="40"/>
    </row>
    <row r="953" spans="5:25" x14ac:dyDescent="0.35">
      <c r="E953" t="s">
        <v>190</v>
      </c>
      <c r="F953" t="s">
        <v>907</v>
      </c>
      <c r="G953" s="28"/>
      <c r="N953" s="28"/>
      <c r="O953" s="28"/>
      <c r="X953" s="40"/>
      <c r="Y953" s="40"/>
    </row>
    <row r="954" spans="5:25" x14ac:dyDescent="0.35">
      <c r="E954" t="s">
        <v>190</v>
      </c>
      <c r="F954" t="s">
        <v>712</v>
      </c>
      <c r="G954" s="28"/>
      <c r="N954" s="28"/>
      <c r="O954" s="28"/>
      <c r="X954" s="40"/>
      <c r="Y954" s="40"/>
    </row>
    <row r="955" spans="5:25" x14ac:dyDescent="0.35">
      <c r="E955" t="s">
        <v>190</v>
      </c>
      <c r="F955" t="s">
        <v>380</v>
      </c>
      <c r="G955" s="28"/>
      <c r="N955" s="28"/>
      <c r="O955" s="28"/>
      <c r="X955" s="40"/>
      <c r="Y955" s="40"/>
    </row>
    <row r="956" spans="5:25" x14ac:dyDescent="0.35">
      <c r="E956" t="s">
        <v>190</v>
      </c>
      <c r="F956" t="s">
        <v>963</v>
      </c>
      <c r="G956" s="28"/>
      <c r="N956" s="28"/>
      <c r="O956" s="28"/>
      <c r="X956" s="40"/>
      <c r="Y956" s="40"/>
    </row>
    <row r="957" spans="5:25" x14ac:dyDescent="0.35">
      <c r="E957" t="s">
        <v>190</v>
      </c>
      <c r="F957" t="s">
        <v>964</v>
      </c>
      <c r="G957" s="28"/>
      <c r="N957" s="28"/>
      <c r="O957" s="28"/>
      <c r="X957" s="40"/>
      <c r="Y957" s="40"/>
    </row>
    <row r="958" spans="5:25" x14ac:dyDescent="0.35">
      <c r="E958" t="s">
        <v>190</v>
      </c>
      <c r="F958" t="s">
        <v>965</v>
      </c>
      <c r="G958" s="28"/>
      <c r="N958" s="28"/>
      <c r="O958" s="28"/>
      <c r="X958" s="40"/>
      <c r="Y958" s="40"/>
    </row>
    <row r="959" spans="5:25" x14ac:dyDescent="0.35">
      <c r="E959" t="s">
        <v>190</v>
      </c>
      <c r="F959" t="s">
        <v>966</v>
      </c>
      <c r="G959" s="28"/>
      <c r="N959" s="28"/>
      <c r="O959" s="28"/>
      <c r="X959" s="40"/>
      <c r="Y959" s="40"/>
    </row>
    <row r="960" spans="5:25" x14ac:dyDescent="0.35">
      <c r="E960" t="s">
        <v>190</v>
      </c>
      <c r="F960" t="s">
        <v>967</v>
      </c>
      <c r="G960" s="28"/>
      <c r="N960" s="28"/>
      <c r="O960" s="28"/>
      <c r="X960" s="40"/>
      <c r="Y960" s="40"/>
    </row>
    <row r="961" spans="5:25" x14ac:dyDescent="0.35">
      <c r="E961" t="s">
        <v>190</v>
      </c>
      <c r="F961" t="s">
        <v>968</v>
      </c>
      <c r="G961" s="28"/>
      <c r="N961" s="28"/>
      <c r="O961" s="28"/>
      <c r="X961" s="40"/>
      <c r="Y961" s="40"/>
    </row>
    <row r="962" spans="5:25" x14ac:dyDescent="0.35">
      <c r="E962" t="s">
        <v>190</v>
      </c>
      <c r="F962" t="s">
        <v>969</v>
      </c>
      <c r="G962" s="28"/>
      <c r="N962" s="28"/>
      <c r="O962" s="28"/>
      <c r="X962" s="40"/>
      <c r="Y962" s="40"/>
    </row>
    <row r="963" spans="5:25" x14ac:dyDescent="0.35">
      <c r="E963" t="s">
        <v>190</v>
      </c>
      <c r="F963" t="s">
        <v>970</v>
      </c>
      <c r="G963" s="28"/>
      <c r="N963" s="28"/>
      <c r="O963" s="28"/>
      <c r="X963" s="40"/>
      <c r="Y963" s="40"/>
    </row>
    <row r="964" spans="5:25" x14ac:dyDescent="0.35">
      <c r="E964" t="s">
        <v>190</v>
      </c>
      <c r="F964" t="s">
        <v>971</v>
      </c>
      <c r="G964" s="28"/>
      <c r="N964" s="28"/>
      <c r="O964" s="28"/>
      <c r="X964" s="40"/>
      <c r="Y964" s="40"/>
    </row>
    <row r="965" spans="5:25" x14ac:dyDescent="0.35">
      <c r="E965" t="s">
        <v>190</v>
      </c>
      <c r="F965" t="s">
        <v>972</v>
      </c>
      <c r="G965" s="28"/>
      <c r="N965" s="28"/>
      <c r="O965" s="28"/>
      <c r="X965" s="40"/>
      <c r="Y965" s="40"/>
    </row>
    <row r="966" spans="5:25" x14ac:dyDescent="0.35">
      <c r="E966" t="s">
        <v>190</v>
      </c>
      <c r="F966" t="s">
        <v>435</v>
      </c>
      <c r="G966" s="28"/>
      <c r="N966" s="28"/>
      <c r="O966" s="28"/>
      <c r="X966" s="40"/>
      <c r="Y966" s="40"/>
    </row>
    <row r="967" spans="5:25" x14ac:dyDescent="0.35">
      <c r="E967" t="s">
        <v>190</v>
      </c>
      <c r="F967" t="s">
        <v>973</v>
      </c>
      <c r="G967" s="28"/>
      <c r="N967" s="28"/>
      <c r="O967" s="28"/>
      <c r="X967" s="40"/>
      <c r="Y967" s="40"/>
    </row>
    <row r="968" spans="5:25" x14ac:dyDescent="0.35">
      <c r="E968" t="s">
        <v>190</v>
      </c>
      <c r="F968" t="s">
        <v>974</v>
      </c>
      <c r="G968" s="28"/>
      <c r="N968" s="28"/>
      <c r="O968" s="28"/>
      <c r="X968" s="40"/>
      <c r="Y968" s="40"/>
    </row>
    <row r="969" spans="5:25" x14ac:dyDescent="0.35">
      <c r="E969" t="s">
        <v>190</v>
      </c>
      <c r="F969" t="s">
        <v>975</v>
      </c>
      <c r="G969" s="28"/>
      <c r="N969" s="28"/>
      <c r="O969" s="28"/>
      <c r="X969" s="40"/>
      <c r="Y969" s="40"/>
    </row>
    <row r="970" spans="5:25" x14ac:dyDescent="0.35">
      <c r="E970" t="s">
        <v>190</v>
      </c>
      <c r="F970" t="s">
        <v>976</v>
      </c>
      <c r="G970" s="28"/>
      <c r="N970" s="28"/>
      <c r="O970" s="28"/>
      <c r="X970" s="40"/>
      <c r="Y970" s="40"/>
    </row>
    <row r="971" spans="5:25" x14ac:dyDescent="0.35">
      <c r="E971" t="s">
        <v>190</v>
      </c>
      <c r="F971" t="s">
        <v>977</v>
      </c>
      <c r="G971" s="28"/>
      <c r="N971" s="28"/>
      <c r="O971" s="28"/>
      <c r="X971" s="40"/>
      <c r="Y971" s="40"/>
    </row>
    <row r="972" spans="5:25" x14ac:dyDescent="0.35">
      <c r="E972" t="s">
        <v>190</v>
      </c>
      <c r="F972" t="s">
        <v>978</v>
      </c>
      <c r="G972" s="28"/>
      <c r="N972" s="28"/>
      <c r="O972" s="28"/>
      <c r="X972" s="40"/>
      <c r="Y972" s="40"/>
    </row>
    <row r="973" spans="5:25" x14ac:dyDescent="0.35">
      <c r="E973" t="s">
        <v>190</v>
      </c>
      <c r="F973" t="s">
        <v>979</v>
      </c>
      <c r="G973" s="28"/>
      <c r="N973" s="28"/>
      <c r="O973" s="28"/>
      <c r="X973" s="40"/>
      <c r="Y973" s="40"/>
    </row>
    <row r="974" spans="5:25" x14ac:dyDescent="0.35">
      <c r="E974" t="s">
        <v>190</v>
      </c>
      <c r="F974" t="s">
        <v>980</v>
      </c>
      <c r="G974" s="28"/>
      <c r="N974" s="28"/>
      <c r="O974" s="28"/>
      <c r="X974" s="40"/>
      <c r="Y974" s="40"/>
    </row>
    <row r="975" spans="5:25" x14ac:dyDescent="0.35">
      <c r="E975" t="s">
        <v>190</v>
      </c>
      <c r="F975" t="s">
        <v>915</v>
      </c>
      <c r="G975" s="28"/>
      <c r="N975" s="28"/>
      <c r="O975" s="28"/>
      <c r="X975" s="40"/>
      <c r="Y975" s="40"/>
    </row>
    <row r="976" spans="5:25" x14ac:dyDescent="0.35">
      <c r="E976" t="s">
        <v>190</v>
      </c>
      <c r="F976" t="s">
        <v>386</v>
      </c>
      <c r="G976" s="28"/>
      <c r="N976" s="28"/>
      <c r="O976" s="28"/>
      <c r="X976" s="40"/>
      <c r="Y976" s="40"/>
    </row>
    <row r="977" spans="5:25" x14ac:dyDescent="0.35">
      <c r="E977" t="s">
        <v>190</v>
      </c>
      <c r="F977" t="s">
        <v>442</v>
      </c>
      <c r="G977" s="28"/>
      <c r="N977" s="28"/>
      <c r="O977" s="28"/>
      <c r="X977" s="40"/>
      <c r="Y977" s="40"/>
    </row>
    <row r="978" spans="5:25" x14ac:dyDescent="0.35">
      <c r="E978" t="s">
        <v>190</v>
      </c>
      <c r="F978" t="s">
        <v>443</v>
      </c>
      <c r="G978" s="28"/>
      <c r="N978" s="28"/>
      <c r="O978" s="28"/>
      <c r="X978" s="40"/>
      <c r="Y978" s="40"/>
    </row>
    <row r="979" spans="5:25" x14ac:dyDescent="0.35">
      <c r="E979" t="s">
        <v>190</v>
      </c>
      <c r="F979" t="s">
        <v>577</v>
      </c>
      <c r="G979" s="28"/>
      <c r="N979" s="28"/>
      <c r="O979" s="28"/>
      <c r="X979" s="40"/>
      <c r="Y979" s="40"/>
    </row>
    <row r="980" spans="5:25" x14ac:dyDescent="0.35">
      <c r="E980" t="s">
        <v>190</v>
      </c>
      <c r="F980" t="s">
        <v>981</v>
      </c>
      <c r="G980" s="28"/>
      <c r="N980" s="28"/>
      <c r="O980" s="28"/>
      <c r="X980" s="40"/>
      <c r="Y980" s="40"/>
    </row>
    <row r="981" spans="5:25" x14ac:dyDescent="0.35">
      <c r="E981" t="s">
        <v>190</v>
      </c>
      <c r="F981" t="s">
        <v>982</v>
      </c>
      <c r="G981" s="28"/>
      <c r="N981" s="28"/>
      <c r="O981" s="28"/>
      <c r="X981" s="40"/>
      <c r="Y981" s="40"/>
    </row>
    <row r="982" spans="5:25" x14ac:dyDescent="0.35">
      <c r="E982" t="s">
        <v>190</v>
      </c>
      <c r="F982" t="s">
        <v>983</v>
      </c>
      <c r="G982" s="28"/>
      <c r="N982" s="28"/>
      <c r="O982" s="28"/>
      <c r="X982" s="40"/>
      <c r="Y982" s="40"/>
    </row>
    <row r="983" spans="5:25" x14ac:dyDescent="0.35">
      <c r="E983" t="s">
        <v>190</v>
      </c>
      <c r="F983" t="s">
        <v>984</v>
      </c>
      <c r="G983" s="28"/>
      <c r="N983" s="28"/>
      <c r="O983" s="28"/>
      <c r="X983" s="40"/>
      <c r="Y983" s="40"/>
    </row>
    <row r="984" spans="5:25" x14ac:dyDescent="0.35">
      <c r="E984" t="s">
        <v>190</v>
      </c>
      <c r="F984" t="s">
        <v>985</v>
      </c>
      <c r="G984" s="28"/>
      <c r="N984" s="28"/>
      <c r="O984" s="28"/>
      <c r="X984" s="40"/>
      <c r="Y984" s="40"/>
    </row>
    <row r="985" spans="5:25" x14ac:dyDescent="0.35">
      <c r="E985" t="s">
        <v>190</v>
      </c>
      <c r="F985" t="s">
        <v>986</v>
      </c>
      <c r="G985" s="28"/>
      <c r="N985" s="28"/>
      <c r="O985" s="28"/>
      <c r="X985" s="40"/>
      <c r="Y985" s="40"/>
    </row>
    <row r="986" spans="5:25" x14ac:dyDescent="0.35">
      <c r="E986" t="s">
        <v>190</v>
      </c>
      <c r="F986" t="s">
        <v>987</v>
      </c>
      <c r="G986" s="28"/>
      <c r="N986" s="28"/>
      <c r="O986" s="28"/>
      <c r="X986" s="40"/>
      <c r="Y986" s="40"/>
    </row>
    <row r="987" spans="5:25" x14ac:dyDescent="0.35">
      <c r="E987" t="s">
        <v>190</v>
      </c>
      <c r="F987" t="s">
        <v>988</v>
      </c>
      <c r="G987" s="28"/>
      <c r="N987" s="28"/>
      <c r="O987" s="28"/>
      <c r="X987" s="40"/>
      <c r="Y987" s="40"/>
    </row>
    <row r="988" spans="5:25" x14ac:dyDescent="0.35">
      <c r="E988" t="s">
        <v>190</v>
      </c>
      <c r="F988" t="s">
        <v>989</v>
      </c>
      <c r="G988" s="28"/>
      <c r="N988" s="28"/>
      <c r="O988" s="28"/>
      <c r="X988" s="40"/>
      <c r="Y988" s="40"/>
    </row>
    <row r="989" spans="5:25" x14ac:dyDescent="0.35">
      <c r="E989" t="s">
        <v>190</v>
      </c>
      <c r="F989" t="s">
        <v>734</v>
      </c>
      <c r="G989" s="28"/>
      <c r="N989" s="28"/>
      <c r="O989" s="28"/>
      <c r="X989" s="40"/>
      <c r="Y989" s="40"/>
    </row>
    <row r="990" spans="5:25" x14ac:dyDescent="0.35">
      <c r="E990" t="s">
        <v>190</v>
      </c>
      <c r="F990" t="s">
        <v>990</v>
      </c>
      <c r="G990" s="28"/>
      <c r="N990" s="28"/>
      <c r="O990" s="28"/>
      <c r="X990" s="40"/>
      <c r="Y990" s="40"/>
    </row>
    <row r="991" spans="5:25" x14ac:dyDescent="0.35">
      <c r="E991" t="s">
        <v>190</v>
      </c>
      <c r="F991" t="s">
        <v>991</v>
      </c>
      <c r="G991" s="28"/>
      <c r="N991" s="28"/>
      <c r="O991" s="28"/>
      <c r="X991" s="40"/>
      <c r="Y991" s="40"/>
    </row>
    <row r="992" spans="5:25" x14ac:dyDescent="0.35">
      <c r="E992" t="s">
        <v>190</v>
      </c>
      <c r="F992" t="s">
        <v>992</v>
      </c>
      <c r="G992" s="28"/>
      <c r="N992" s="28"/>
      <c r="O992" s="28"/>
      <c r="X992" s="40"/>
      <c r="Y992" s="40"/>
    </row>
    <row r="993" spans="5:25" x14ac:dyDescent="0.35">
      <c r="E993" t="s">
        <v>190</v>
      </c>
      <c r="F993" t="s">
        <v>394</v>
      </c>
      <c r="G993" s="28"/>
      <c r="N993" s="28"/>
      <c r="O993" s="28"/>
      <c r="X993" s="40"/>
      <c r="Y993" s="40"/>
    </row>
    <row r="994" spans="5:25" x14ac:dyDescent="0.35">
      <c r="E994" t="s">
        <v>190</v>
      </c>
      <c r="F994" t="s">
        <v>993</v>
      </c>
      <c r="G994" s="28"/>
      <c r="N994" s="28"/>
      <c r="O994" s="28"/>
      <c r="X994" s="40"/>
      <c r="Y994" s="40"/>
    </row>
    <row r="995" spans="5:25" x14ac:dyDescent="0.35">
      <c r="E995" t="s">
        <v>190</v>
      </c>
      <c r="F995" t="s">
        <v>994</v>
      </c>
      <c r="G995" s="28"/>
      <c r="N995" s="28"/>
      <c r="O995" s="28"/>
      <c r="X995" s="40"/>
      <c r="Y995" s="40"/>
    </row>
    <row r="996" spans="5:25" x14ac:dyDescent="0.35">
      <c r="E996" t="s">
        <v>190</v>
      </c>
      <c r="F996" t="s">
        <v>995</v>
      </c>
      <c r="G996" s="28"/>
      <c r="N996" s="28"/>
      <c r="O996" s="28"/>
      <c r="X996" s="40"/>
      <c r="Y996" s="40"/>
    </row>
    <row r="997" spans="5:25" x14ac:dyDescent="0.35">
      <c r="E997" t="s">
        <v>190</v>
      </c>
      <c r="F997" t="s">
        <v>996</v>
      </c>
      <c r="G997" s="28"/>
      <c r="N997" s="28"/>
      <c r="O997" s="28"/>
      <c r="X997" s="40"/>
      <c r="Y997" s="40"/>
    </row>
    <row r="998" spans="5:25" x14ac:dyDescent="0.35">
      <c r="E998" t="s">
        <v>191</v>
      </c>
      <c r="F998" t="s">
        <v>757</v>
      </c>
      <c r="G998" s="28"/>
      <c r="N998" s="28"/>
      <c r="O998" s="28"/>
      <c r="X998" s="40"/>
      <c r="Y998" s="40"/>
    </row>
    <row r="999" spans="5:25" x14ac:dyDescent="0.35">
      <c r="E999" t="s">
        <v>191</v>
      </c>
      <c r="F999" t="s">
        <v>891</v>
      </c>
      <c r="G999" s="28"/>
      <c r="N999" s="28"/>
      <c r="O999" s="28"/>
      <c r="X999" s="40"/>
      <c r="Y999" s="40"/>
    </row>
    <row r="1000" spans="5:25" x14ac:dyDescent="0.35">
      <c r="E1000" t="s">
        <v>191</v>
      </c>
      <c r="F1000" t="s">
        <v>930</v>
      </c>
      <c r="G1000" s="28"/>
      <c r="N1000" s="28"/>
      <c r="O1000" s="28"/>
      <c r="X1000" s="40"/>
      <c r="Y1000" s="40"/>
    </row>
    <row r="1001" spans="5:25" x14ac:dyDescent="0.35">
      <c r="E1001" t="s">
        <v>191</v>
      </c>
      <c r="F1001" t="s">
        <v>997</v>
      </c>
      <c r="G1001" s="28"/>
      <c r="N1001" s="28"/>
      <c r="O1001" s="28"/>
      <c r="X1001" s="40"/>
      <c r="Y1001" s="40"/>
    </row>
    <row r="1002" spans="5:25" x14ac:dyDescent="0.35">
      <c r="E1002" t="s">
        <v>191</v>
      </c>
      <c r="F1002" t="s">
        <v>998</v>
      </c>
      <c r="G1002" s="28"/>
      <c r="N1002" s="28"/>
      <c r="O1002" s="28"/>
      <c r="X1002" s="40"/>
      <c r="Y1002" s="40"/>
    </row>
    <row r="1003" spans="5:25" x14ac:dyDescent="0.35">
      <c r="E1003" t="s">
        <v>191</v>
      </c>
      <c r="F1003" t="s">
        <v>999</v>
      </c>
      <c r="G1003" s="28"/>
      <c r="N1003" s="28"/>
      <c r="O1003" s="28"/>
      <c r="X1003" s="40"/>
      <c r="Y1003" s="40"/>
    </row>
    <row r="1004" spans="5:25" x14ac:dyDescent="0.35">
      <c r="E1004" t="s">
        <v>191</v>
      </c>
      <c r="F1004" t="s">
        <v>1000</v>
      </c>
      <c r="G1004" s="28"/>
      <c r="N1004" s="28"/>
      <c r="O1004" s="28"/>
      <c r="X1004" s="40"/>
      <c r="Y1004" s="40"/>
    </row>
    <row r="1005" spans="5:25" x14ac:dyDescent="0.35">
      <c r="E1005" t="s">
        <v>191</v>
      </c>
      <c r="F1005" t="s">
        <v>401</v>
      </c>
      <c r="G1005" s="28"/>
      <c r="N1005" s="28"/>
      <c r="O1005" s="28"/>
      <c r="X1005" s="40"/>
      <c r="Y1005" s="40"/>
    </row>
    <row r="1006" spans="5:25" x14ac:dyDescent="0.35">
      <c r="E1006" t="s">
        <v>191</v>
      </c>
      <c r="F1006" t="s">
        <v>934</v>
      </c>
      <c r="G1006" s="28"/>
      <c r="N1006" s="28"/>
      <c r="O1006" s="28"/>
      <c r="X1006" s="40"/>
      <c r="Y1006" s="40"/>
    </row>
    <row r="1007" spans="5:25" x14ac:dyDescent="0.35">
      <c r="E1007" t="s">
        <v>191</v>
      </c>
      <c r="F1007" t="s">
        <v>1001</v>
      </c>
      <c r="G1007" s="28"/>
      <c r="N1007" s="28"/>
      <c r="O1007" s="28"/>
      <c r="X1007" s="40"/>
      <c r="Y1007" s="40"/>
    </row>
    <row r="1008" spans="5:25" x14ac:dyDescent="0.35">
      <c r="E1008" t="s">
        <v>191</v>
      </c>
      <c r="F1008" t="s">
        <v>1002</v>
      </c>
      <c r="G1008" s="28"/>
      <c r="N1008" s="28"/>
      <c r="O1008" s="28"/>
      <c r="X1008" s="40"/>
      <c r="Y1008" s="40"/>
    </row>
    <row r="1009" spans="5:25" x14ac:dyDescent="0.35">
      <c r="E1009" t="s">
        <v>191</v>
      </c>
      <c r="F1009" t="s">
        <v>1003</v>
      </c>
      <c r="G1009" s="28"/>
      <c r="N1009" s="28"/>
      <c r="O1009" s="28"/>
      <c r="X1009" s="40"/>
      <c r="Y1009" s="40"/>
    </row>
    <row r="1010" spans="5:25" x14ac:dyDescent="0.35">
      <c r="E1010" t="s">
        <v>191</v>
      </c>
      <c r="F1010" t="s">
        <v>1004</v>
      </c>
      <c r="G1010" s="28"/>
      <c r="N1010" s="28"/>
      <c r="O1010" s="28"/>
      <c r="X1010" s="40"/>
      <c r="Y1010" s="40"/>
    </row>
    <row r="1011" spans="5:25" x14ac:dyDescent="0.35">
      <c r="E1011" t="s">
        <v>191</v>
      </c>
      <c r="F1011" t="s">
        <v>1005</v>
      </c>
      <c r="G1011" s="28"/>
      <c r="N1011" s="28"/>
      <c r="O1011" s="28"/>
      <c r="X1011" s="40"/>
      <c r="Y1011" s="40"/>
    </row>
    <row r="1012" spans="5:25" x14ac:dyDescent="0.35">
      <c r="E1012" t="s">
        <v>191</v>
      </c>
      <c r="F1012" t="s">
        <v>1006</v>
      </c>
      <c r="G1012" s="28"/>
      <c r="N1012" s="28"/>
      <c r="O1012" s="28"/>
      <c r="X1012" s="40"/>
      <c r="Y1012" s="40"/>
    </row>
    <row r="1013" spans="5:25" x14ac:dyDescent="0.35">
      <c r="E1013" t="s">
        <v>191</v>
      </c>
      <c r="F1013" t="s">
        <v>336</v>
      </c>
      <c r="G1013" s="28"/>
      <c r="N1013" s="28"/>
      <c r="O1013" s="28"/>
      <c r="X1013" s="40"/>
      <c r="Y1013" s="40"/>
    </row>
    <row r="1014" spans="5:25" x14ac:dyDescent="0.35">
      <c r="E1014" t="s">
        <v>191</v>
      </c>
      <c r="F1014" t="s">
        <v>1007</v>
      </c>
      <c r="G1014" s="28"/>
      <c r="N1014" s="28"/>
      <c r="O1014" s="28"/>
      <c r="X1014" s="40"/>
      <c r="Y1014" s="40"/>
    </row>
    <row r="1015" spans="5:25" x14ac:dyDescent="0.35">
      <c r="E1015" t="s">
        <v>191</v>
      </c>
      <c r="F1015" t="s">
        <v>1008</v>
      </c>
      <c r="G1015" s="28"/>
      <c r="N1015" s="28"/>
      <c r="O1015" s="28"/>
      <c r="X1015" s="40"/>
      <c r="Y1015" s="40"/>
    </row>
    <row r="1016" spans="5:25" x14ac:dyDescent="0.35">
      <c r="E1016" t="s">
        <v>191</v>
      </c>
      <c r="F1016" t="s">
        <v>1009</v>
      </c>
      <c r="G1016" s="28"/>
      <c r="N1016" s="28"/>
      <c r="O1016" s="28"/>
      <c r="X1016" s="40"/>
      <c r="Y1016" s="40"/>
    </row>
    <row r="1017" spans="5:25" x14ac:dyDescent="0.35">
      <c r="E1017" t="s">
        <v>191</v>
      </c>
      <c r="F1017" t="s">
        <v>1010</v>
      </c>
      <c r="G1017" s="28"/>
      <c r="N1017" s="28"/>
      <c r="O1017" s="28"/>
      <c r="X1017" s="40"/>
      <c r="Y1017" s="40"/>
    </row>
    <row r="1018" spans="5:25" x14ac:dyDescent="0.35">
      <c r="E1018" t="s">
        <v>191</v>
      </c>
      <c r="F1018" t="s">
        <v>403</v>
      </c>
      <c r="G1018" s="28"/>
      <c r="N1018" s="28"/>
      <c r="O1018" s="28"/>
      <c r="X1018" s="40"/>
      <c r="Y1018" s="40"/>
    </row>
    <row r="1019" spans="5:25" x14ac:dyDescent="0.35">
      <c r="E1019" t="s">
        <v>191</v>
      </c>
      <c r="F1019" t="s">
        <v>1011</v>
      </c>
      <c r="G1019" s="28"/>
      <c r="N1019" s="28"/>
      <c r="O1019" s="28"/>
      <c r="X1019" s="40"/>
      <c r="Y1019" s="40"/>
    </row>
    <row r="1020" spans="5:25" x14ac:dyDescent="0.35">
      <c r="E1020" t="s">
        <v>191</v>
      </c>
      <c r="F1020" t="s">
        <v>1012</v>
      </c>
      <c r="G1020" s="28"/>
      <c r="N1020" s="28"/>
      <c r="O1020" s="28"/>
      <c r="X1020" s="40"/>
      <c r="Y1020" s="40"/>
    </row>
    <row r="1021" spans="5:25" x14ac:dyDescent="0.35">
      <c r="E1021" t="s">
        <v>191</v>
      </c>
      <c r="F1021" t="s">
        <v>847</v>
      </c>
      <c r="G1021" s="28"/>
      <c r="N1021" s="28"/>
      <c r="O1021" s="28"/>
      <c r="X1021" s="40"/>
      <c r="Y1021" s="40"/>
    </row>
    <row r="1022" spans="5:25" x14ac:dyDescent="0.35">
      <c r="E1022" t="s">
        <v>191</v>
      </c>
      <c r="F1022" t="s">
        <v>405</v>
      </c>
      <c r="G1022" s="28"/>
      <c r="N1022" s="28"/>
      <c r="O1022" s="28"/>
      <c r="X1022" s="40"/>
      <c r="Y1022" s="40"/>
    </row>
    <row r="1023" spans="5:25" x14ac:dyDescent="0.35">
      <c r="E1023" t="s">
        <v>191</v>
      </c>
      <c r="F1023" t="s">
        <v>343</v>
      </c>
      <c r="G1023" s="28"/>
      <c r="N1023" s="28"/>
      <c r="O1023" s="28"/>
      <c r="X1023" s="40"/>
      <c r="Y1023" s="40"/>
    </row>
    <row r="1024" spans="5:25" x14ac:dyDescent="0.35">
      <c r="E1024" t="s">
        <v>191</v>
      </c>
      <c r="F1024" t="s">
        <v>769</v>
      </c>
      <c r="G1024" s="28"/>
      <c r="N1024" s="28"/>
      <c r="O1024" s="28"/>
      <c r="X1024" s="40"/>
      <c r="Y1024" s="40"/>
    </row>
    <row r="1025" spans="5:25" x14ac:dyDescent="0.35">
      <c r="E1025" t="s">
        <v>191</v>
      </c>
      <c r="F1025" t="s">
        <v>411</v>
      </c>
      <c r="G1025" s="28"/>
      <c r="N1025" s="28"/>
      <c r="O1025" s="28"/>
      <c r="X1025" s="40"/>
      <c r="Y1025" s="40"/>
    </row>
    <row r="1026" spans="5:25" x14ac:dyDescent="0.35">
      <c r="E1026" t="s">
        <v>191</v>
      </c>
      <c r="F1026" t="s">
        <v>849</v>
      </c>
      <c r="G1026" s="28"/>
      <c r="N1026" s="28"/>
      <c r="O1026" s="28"/>
      <c r="X1026" s="40"/>
      <c r="Y1026" s="40"/>
    </row>
    <row r="1027" spans="5:25" x14ac:dyDescent="0.35">
      <c r="E1027" t="s">
        <v>191</v>
      </c>
      <c r="F1027" t="s">
        <v>894</v>
      </c>
      <c r="G1027" s="28"/>
      <c r="N1027" s="28"/>
      <c r="O1027" s="28"/>
      <c r="X1027" s="40"/>
      <c r="Y1027" s="40"/>
    </row>
    <row r="1028" spans="5:25" x14ac:dyDescent="0.35">
      <c r="E1028" t="s">
        <v>191</v>
      </c>
      <c r="F1028" t="s">
        <v>1013</v>
      </c>
      <c r="G1028" s="28"/>
      <c r="N1028" s="28"/>
      <c r="O1028" s="28"/>
      <c r="X1028" s="40"/>
      <c r="Y1028" s="40"/>
    </row>
    <row r="1029" spans="5:25" x14ac:dyDescent="0.35">
      <c r="E1029" t="s">
        <v>191</v>
      </c>
      <c r="F1029" t="s">
        <v>1014</v>
      </c>
      <c r="G1029" s="28"/>
      <c r="N1029" s="28"/>
      <c r="O1029" s="28"/>
      <c r="X1029" s="40"/>
      <c r="Y1029" s="40"/>
    </row>
    <row r="1030" spans="5:25" x14ac:dyDescent="0.35">
      <c r="E1030" t="s">
        <v>191</v>
      </c>
      <c r="F1030" t="s">
        <v>1015</v>
      </c>
      <c r="G1030" s="28"/>
      <c r="N1030" s="28"/>
      <c r="O1030" s="28"/>
      <c r="X1030" s="40"/>
      <c r="Y1030" s="40"/>
    </row>
    <row r="1031" spans="5:25" x14ac:dyDescent="0.35">
      <c r="E1031" t="s">
        <v>191</v>
      </c>
      <c r="F1031" t="s">
        <v>358</v>
      </c>
      <c r="G1031" s="28"/>
      <c r="N1031" s="28"/>
      <c r="O1031" s="28"/>
      <c r="X1031" s="40"/>
      <c r="Y1031" s="40"/>
    </row>
    <row r="1032" spans="5:25" x14ac:dyDescent="0.35">
      <c r="E1032" t="s">
        <v>191</v>
      </c>
      <c r="F1032" t="s">
        <v>1016</v>
      </c>
      <c r="G1032" s="28"/>
      <c r="N1032" s="28"/>
      <c r="O1032" s="28"/>
      <c r="X1032" s="40"/>
      <c r="Y1032" s="40"/>
    </row>
    <row r="1033" spans="5:25" x14ac:dyDescent="0.35">
      <c r="E1033" t="s">
        <v>191</v>
      </c>
      <c r="F1033" t="s">
        <v>685</v>
      </c>
      <c r="G1033" s="28"/>
      <c r="N1033" s="28"/>
      <c r="O1033" s="28"/>
      <c r="X1033" s="40"/>
      <c r="Y1033" s="40"/>
    </row>
    <row r="1034" spans="5:25" x14ac:dyDescent="0.35">
      <c r="E1034" t="s">
        <v>191</v>
      </c>
      <c r="F1034" t="s">
        <v>359</v>
      </c>
      <c r="G1034" s="28"/>
      <c r="N1034" s="28"/>
      <c r="O1034" s="28"/>
      <c r="X1034" s="40"/>
      <c r="Y1034" s="40"/>
    </row>
    <row r="1035" spans="5:25" x14ac:dyDescent="0.35">
      <c r="E1035" t="s">
        <v>191</v>
      </c>
      <c r="F1035" t="s">
        <v>416</v>
      </c>
      <c r="G1035" s="28"/>
      <c r="N1035" s="28"/>
      <c r="O1035" s="28"/>
      <c r="X1035" s="40"/>
      <c r="Y1035" s="40"/>
    </row>
    <row r="1036" spans="5:25" x14ac:dyDescent="0.35">
      <c r="E1036" t="s">
        <v>191</v>
      </c>
      <c r="F1036" t="s">
        <v>855</v>
      </c>
      <c r="G1036" s="28"/>
      <c r="N1036" s="28"/>
      <c r="O1036" s="28"/>
      <c r="X1036" s="40"/>
      <c r="Y1036" s="40"/>
    </row>
    <row r="1037" spans="5:25" x14ac:dyDescent="0.35">
      <c r="E1037" t="s">
        <v>191</v>
      </c>
      <c r="F1037" t="s">
        <v>1017</v>
      </c>
      <c r="G1037" s="28"/>
      <c r="N1037" s="28"/>
      <c r="O1037" s="28"/>
      <c r="X1037" s="40"/>
      <c r="Y1037" s="40"/>
    </row>
    <row r="1038" spans="5:25" x14ac:dyDescent="0.35">
      <c r="E1038" t="s">
        <v>191</v>
      </c>
      <c r="F1038" t="s">
        <v>418</v>
      </c>
      <c r="G1038" s="28"/>
      <c r="N1038" s="28"/>
      <c r="O1038" s="28"/>
      <c r="X1038" s="40"/>
      <c r="Y1038" s="40"/>
    </row>
    <row r="1039" spans="5:25" x14ac:dyDescent="0.35">
      <c r="E1039" t="s">
        <v>191</v>
      </c>
      <c r="F1039" t="s">
        <v>1018</v>
      </c>
      <c r="G1039" s="28"/>
      <c r="N1039" s="28"/>
      <c r="O1039" s="28"/>
      <c r="X1039" s="40"/>
      <c r="Y1039" s="40"/>
    </row>
    <row r="1040" spans="5:25" x14ac:dyDescent="0.35">
      <c r="E1040" t="s">
        <v>191</v>
      </c>
      <c r="F1040" t="s">
        <v>1019</v>
      </c>
      <c r="G1040" s="28"/>
      <c r="N1040" s="28"/>
      <c r="O1040" s="28"/>
      <c r="X1040" s="40"/>
      <c r="Y1040" s="40"/>
    </row>
    <row r="1041" spans="5:25" x14ac:dyDescent="0.35">
      <c r="E1041" t="s">
        <v>191</v>
      </c>
      <c r="F1041" t="s">
        <v>1020</v>
      </c>
      <c r="G1041" s="28"/>
      <c r="N1041" s="28"/>
      <c r="O1041" s="28"/>
      <c r="X1041" s="40"/>
      <c r="Y1041" s="40"/>
    </row>
    <row r="1042" spans="5:25" x14ac:dyDescent="0.35">
      <c r="E1042" t="s">
        <v>191</v>
      </c>
      <c r="F1042" t="s">
        <v>1021</v>
      </c>
      <c r="G1042" s="28"/>
      <c r="N1042" s="28"/>
      <c r="O1042" s="28"/>
      <c r="X1042" s="40"/>
      <c r="Y1042" s="40"/>
    </row>
    <row r="1043" spans="5:25" x14ac:dyDescent="0.35">
      <c r="E1043" t="s">
        <v>191</v>
      </c>
      <c r="F1043" t="s">
        <v>695</v>
      </c>
      <c r="G1043" s="28"/>
      <c r="N1043" s="28"/>
      <c r="O1043" s="28"/>
      <c r="X1043" s="40"/>
      <c r="Y1043" s="40"/>
    </row>
    <row r="1044" spans="5:25" x14ac:dyDescent="0.35">
      <c r="E1044" t="s">
        <v>191</v>
      </c>
      <c r="F1044" t="s">
        <v>778</v>
      </c>
      <c r="G1044" s="28"/>
      <c r="N1044" s="28"/>
      <c r="O1044" s="28"/>
      <c r="X1044" s="40"/>
      <c r="Y1044" s="40"/>
    </row>
    <row r="1045" spans="5:25" x14ac:dyDescent="0.35">
      <c r="E1045" t="s">
        <v>191</v>
      </c>
      <c r="F1045" t="s">
        <v>1022</v>
      </c>
      <c r="G1045" s="28"/>
      <c r="N1045" s="28"/>
      <c r="O1045" s="28"/>
      <c r="X1045" s="40"/>
      <c r="Y1045" s="40"/>
    </row>
    <row r="1046" spans="5:25" x14ac:dyDescent="0.35">
      <c r="E1046" t="s">
        <v>191</v>
      </c>
      <c r="F1046" t="s">
        <v>779</v>
      </c>
      <c r="G1046" s="28"/>
      <c r="N1046" s="28"/>
      <c r="O1046" s="28"/>
      <c r="X1046" s="40"/>
      <c r="Y1046" s="40"/>
    </row>
    <row r="1047" spans="5:25" x14ac:dyDescent="0.35">
      <c r="E1047" t="s">
        <v>191</v>
      </c>
      <c r="F1047" t="s">
        <v>698</v>
      </c>
      <c r="G1047" s="28"/>
      <c r="N1047" s="28"/>
      <c r="O1047" s="28"/>
      <c r="X1047" s="40"/>
      <c r="Y1047" s="40"/>
    </row>
    <row r="1048" spans="5:25" x14ac:dyDescent="0.35">
      <c r="E1048" t="s">
        <v>191</v>
      </c>
      <c r="F1048" t="s">
        <v>856</v>
      </c>
      <c r="G1048" s="28"/>
      <c r="N1048" s="28"/>
      <c r="O1048" s="28"/>
      <c r="X1048" s="40"/>
      <c r="Y1048" s="40"/>
    </row>
    <row r="1049" spans="5:25" x14ac:dyDescent="0.35">
      <c r="E1049" t="s">
        <v>191</v>
      </c>
      <c r="F1049" t="s">
        <v>363</v>
      </c>
      <c r="G1049" s="28"/>
      <c r="N1049" s="28"/>
      <c r="O1049" s="28"/>
      <c r="X1049" s="40"/>
      <c r="Y1049" s="40"/>
    </row>
    <row r="1050" spans="5:25" x14ac:dyDescent="0.35">
      <c r="E1050" t="s">
        <v>191</v>
      </c>
      <c r="F1050" t="s">
        <v>1023</v>
      </c>
      <c r="G1050" s="28"/>
      <c r="N1050" s="28"/>
      <c r="O1050" s="28"/>
      <c r="X1050" s="40"/>
      <c r="Y1050" s="40"/>
    </row>
    <row r="1051" spans="5:25" x14ac:dyDescent="0.35">
      <c r="E1051" t="s">
        <v>191</v>
      </c>
      <c r="F1051" t="s">
        <v>1024</v>
      </c>
      <c r="G1051" s="28"/>
      <c r="N1051" s="28"/>
      <c r="O1051" s="28"/>
      <c r="X1051" s="40"/>
      <c r="Y1051" s="40"/>
    </row>
    <row r="1052" spans="5:25" x14ac:dyDescent="0.35">
      <c r="E1052" t="s">
        <v>191</v>
      </c>
      <c r="F1052" t="s">
        <v>365</v>
      </c>
      <c r="G1052" s="28"/>
      <c r="N1052" s="28"/>
      <c r="O1052" s="28"/>
      <c r="X1052" s="40"/>
      <c r="Y1052" s="40"/>
    </row>
    <row r="1053" spans="5:25" x14ac:dyDescent="0.35">
      <c r="E1053" t="s">
        <v>191</v>
      </c>
      <c r="F1053" t="s">
        <v>366</v>
      </c>
      <c r="G1053" s="28"/>
      <c r="N1053" s="28"/>
      <c r="O1053" s="28"/>
      <c r="X1053" s="40"/>
      <c r="Y1053" s="40"/>
    </row>
    <row r="1054" spans="5:25" x14ac:dyDescent="0.35">
      <c r="E1054" t="s">
        <v>191</v>
      </c>
      <c r="F1054" t="s">
        <v>1025</v>
      </c>
      <c r="G1054" s="28"/>
      <c r="N1054" s="28"/>
      <c r="O1054" s="28"/>
      <c r="X1054" s="40"/>
      <c r="Y1054" s="40"/>
    </row>
    <row r="1055" spans="5:25" x14ac:dyDescent="0.35">
      <c r="E1055" t="s">
        <v>191</v>
      </c>
      <c r="F1055" t="s">
        <v>424</v>
      </c>
      <c r="G1055" s="28"/>
      <c r="N1055" s="28"/>
      <c r="O1055" s="28"/>
      <c r="X1055" s="40"/>
      <c r="Y1055" s="40"/>
    </row>
    <row r="1056" spans="5:25" x14ac:dyDescent="0.35">
      <c r="E1056" t="s">
        <v>191</v>
      </c>
      <c r="F1056" t="s">
        <v>1026</v>
      </c>
      <c r="G1056" s="28"/>
      <c r="N1056" s="28"/>
      <c r="O1056" s="28"/>
      <c r="X1056" s="40"/>
      <c r="Y1056" s="40"/>
    </row>
    <row r="1057" spans="5:25" x14ac:dyDescent="0.35">
      <c r="E1057" t="s">
        <v>191</v>
      </c>
      <c r="F1057" t="s">
        <v>1027</v>
      </c>
      <c r="G1057" s="28"/>
      <c r="N1057" s="28"/>
      <c r="O1057" s="28"/>
      <c r="X1057" s="40"/>
      <c r="Y1057" s="40"/>
    </row>
    <row r="1058" spans="5:25" x14ac:dyDescent="0.35">
      <c r="E1058" t="s">
        <v>191</v>
      </c>
      <c r="F1058" t="s">
        <v>863</v>
      </c>
      <c r="G1058" s="28"/>
      <c r="N1058" s="28"/>
      <c r="O1058" s="28"/>
      <c r="X1058" s="40"/>
      <c r="Y1058" s="40"/>
    </row>
    <row r="1059" spans="5:25" x14ac:dyDescent="0.35">
      <c r="E1059" t="s">
        <v>191</v>
      </c>
      <c r="F1059" t="s">
        <v>1028</v>
      </c>
      <c r="G1059" s="28"/>
      <c r="N1059" s="28"/>
      <c r="O1059" s="28"/>
      <c r="X1059" s="40"/>
      <c r="Y1059" s="40"/>
    </row>
    <row r="1060" spans="5:25" x14ac:dyDescent="0.35">
      <c r="E1060" t="s">
        <v>191</v>
      </c>
      <c r="F1060" t="s">
        <v>1029</v>
      </c>
      <c r="G1060" s="28"/>
      <c r="N1060" s="28"/>
      <c r="O1060" s="28"/>
      <c r="X1060" s="40"/>
      <c r="Y1060" s="40"/>
    </row>
    <row r="1061" spans="5:25" x14ac:dyDescent="0.35">
      <c r="E1061" t="s">
        <v>191</v>
      </c>
      <c r="F1061" t="s">
        <v>369</v>
      </c>
      <c r="G1061" s="28"/>
      <c r="N1061" s="28"/>
      <c r="O1061" s="28"/>
      <c r="X1061" s="40"/>
      <c r="Y1061" s="40"/>
    </row>
    <row r="1062" spans="5:25" x14ac:dyDescent="0.35">
      <c r="E1062" t="s">
        <v>191</v>
      </c>
      <c r="F1062" t="s">
        <v>370</v>
      </c>
      <c r="G1062" s="28"/>
      <c r="N1062" s="28"/>
      <c r="O1062" s="28"/>
      <c r="X1062" s="40"/>
      <c r="Y1062" s="40"/>
    </row>
    <row r="1063" spans="5:25" x14ac:dyDescent="0.35">
      <c r="E1063" t="s">
        <v>191</v>
      </c>
      <c r="F1063" t="s">
        <v>1030</v>
      </c>
      <c r="G1063" s="28"/>
      <c r="N1063" s="28"/>
      <c r="O1063" s="28"/>
      <c r="X1063" s="40"/>
      <c r="Y1063" s="40"/>
    </row>
    <row r="1064" spans="5:25" x14ac:dyDescent="0.35">
      <c r="E1064" t="s">
        <v>191</v>
      </c>
      <c r="F1064" t="s">
        <v>1031</v>
      </c>
      <c r="G1064" s="28"/>
      <c r="N1064" s="28"/>
      <c r="O1064" s="28"/>
      <c r="X1064" s="40"/>
      <c r="Y1064" s="40"/>
    </row>
    <row r="1065" spans="5:25" x14ac:dyDescent="0.35">
      <c r="E1065" t="s">
        <v>191</v>
      </c>
      <c r="F1065" t="s">
        <v>831</v>
      </c>
      <c r="G1065" s="28"/>
      <c r="N1065" s="28"/>
      <c r="O1065" s="28"/>
      <c r="X1065" s="40"/>
      <c r="Y1065" s="40"/>
    </row>
    <row r="1066" spans="5:25" x14ac:dyDescent="0.35">
      <c r="E1066" t="s">
        <v>191</v>
      </c>
      <c r="F1066" t="s">
        <v>426</v>
      </c>
      <c r="G1066" s="28"/>
      <c r="N1066" s="28"/>
      <c r="O1066" s="28"/>
      <c r="X1066" s="40"/>
      <c r="Y1066" s="40"/>
    </row>
    <row r="1067" spans="5:25" x14ac:dyDescent="0.35">
      <c r="E1067" t="s">
        <v>191</v>
      </c>
      <c r="F1067" t="s">
        <v>865</v>
      </c>
      <c r="G1067" s="28"/>
      <c r="N1067" s="28"/>
      <c r="O1067" s="28"/>
      <c r="X1067" s="40"/>
      <c r="Y1067" s="40"/>
    </row>
    <row r="1068" spans="5:25" x14ac:dyDescent="0.35">
      <c r="E1068" t="s">
        <v>191</v>
      </c>
      <c r="F1068" t="s">
        <v>428</v>
      </c>
      <c r="G1068" s="28"/>
      <c r="N1068" s="28"/>
      <c r="O1068" s="28"/>
      <c r="X1068" s="40"/>
      <c r="Y1068" s="40"/>
    </row>
    <row r="1069" spans="5:25" x14ac:dyDescent="0.35">
      <c r="E1069" t="s">
        <v>191</v>
      </c>
      <c r="F1069" t="s">
        <v>787</v>
      </c>
      <c r="G1069" s="28"/>
      <c r="N1069" s="28"/>
      <c r="O1069" s="28"/>
      <c r="X1069" s="40"/>
      <c r="Y1069" s="40"/>
    </row>
    <row r="1070" spans="5:25" x14ac:dyDescent="0.35">
      <c r="E1070" t="s">
        <v>191</v>
      </c>
      <c r="F1070" t="s">
        <v>374</v>
      </c>
      <c r="G1070" s="28"/>
      <c r="N1070" s="28"/>
      <c r="O1070" s="28"/>
      <c r="X1070" s="40"/>
      <c r="Y1070" s="40"/>
    </row>
    <row r="1071" spans="5:25" x14ac:dyDescent="0.35">
      <c r="E1071" t="s">
        <v>191</v>
      </c>
      <c r="F1071" t="s">
        <v>1032</v>
      </c>
      <c r="G1071" s="28"/>
      <c r="N1071" s="28"/>
      <c r="O1071" s="28"/>
      <c r="X1071" s="40"/>
      <c r="Y1071" s="40"/>
    </row>
    <row r="1072" spans="5:25" x14ac:dyDescent="0.35">
      <c r="E1072" t="s">
        <v>191</v>
      </c>
      <c r="F1072" t="s">
        <v>376</v>
      </c>
      <c r="G1072" s="28"/>
      <c r="N1072" s="28"/>
      <c r="O1072" s="28"/>
      <c r="X1072" s="40"/>
      <c r="Y1072" s="40"/>
    </row>
    <row r="1073" spans="5:25" x14ac:dyDescent="0.35">
      <c r="E1073" t="s">
        <v>191</v>
      </c>
      <c r="F1073" t="s">
        <v>377</v>
      </c>
      <c r="G1073" s="28"/>
      <c r="N1073" s="28"/>
      <c r="O1073" s="28"/>
      <c r="X1073" s="40"/>
      <c r="Y1073" s="40"/>
    </row>
    <row r="1074" spans="5:25" x14ac:dyDescent="0.35">
      <c r="E1074" t="s">
        <v>191</v>
      </c>
      <c r="F1074" t="s">
        <v>622</v>
      </c>
      <c r="G1074" s="28"/>
      <c r="N1074" s="28"/>
      <c r="O1074" s="28"/>
      <c r="X1074" s="40"/>
      <c r="Y1074" s="40"/>
    </row>
    <row r="1075" spans="5:25" x14ac:dyDescent="0.35">
      <c r="E1075" t="s">
        <v>191</v>
      </c>
      <c r="F1075" t="s">
        <v>867</v>
      </c>
      <c r="G1075" s="28"/>
      <c r="N1075" s="28"/>
      <c r="O1075" s="28"/>
      <c r="X1075" s="40"/>
      <c r="Y1075" s="40"/>
    </row>
    <row r="1076" spans="5:25" x14ac:dyDescent="0.35">
      <c r="E1076" t="s">
        <v>191</v>
      </c>
      <c r="F1076" t="s">
        <v>1033</v>
      </c>
      <c r="G1076" s="28"/>
      <c r="N1076" s="28"/>
      <c r="O1076" s="28"/>
      <c r="X1076" s="40"/>
      <c r="Y1076" s="40"/>
    </row>
    <row r="1077" spans="5:25" x14ac:dyDescent="0.35">
      <c r="E1077" t="s">
        <v>191</v>
      </c>
      <c r="F1077" t="s">
        <v>1034</v>
      </c>
      <c r="G1077" s="28"/>
      <c r="N1077" s="28"/>
      <c r="O1077" s="28"/>
      <c r="X1077" s="40"/>
      <c r="Y1077" s="40"/>
    </row>
    <row r="1078" spans="5:25" x14ac:dyDescent="0.35">
      <c r="E1078" t="s">
        <v>191</v>
      </c>
      <c r="F1078" t="s">
        <v>871</v>
      </c>
      <c r="G1078" s="28"/>
      <c r="N1078" s="28"/>
      <c r="O1078" s="28"/>
      <c r="X1078" s="40"/>
      <c r="Y1078" s="40"/>
    </row>
    <row r="1079" spans="5:25" x14ac:dyDescent="0.35">
      <c r="E1079" t="s">
        <v>191</v>
      </c>
      <c r="F1079" t="s">
        <v>962</v>
      </c>
      <c r="G1079" s="28"/>
      <c r="N1079" s="28"/>
      <c r="O1079" s="28"/>
      <c r="X1079" s="40"/>
      <c r="Y1079" s="40"/>
    </row>
    <row r="1080" spans="5:25" x14ac:dyDescent="0.35">
      <c r="E1080" t="s">
        <v>191</v>
      </c>
      <c r="F1080" t="s">
        <v>1035</v>
      </c>
      <c r="G1080" s="28"/>
      <c r="N1080" s="28"/>
      <c r="O1080" s="28"/>
      <c r="X1080" s="40"/>
      <c r="Y1080" s="40"/>
    </row>
    <row r="1081" spans="5:25" x14ac:dyDescent="0.35">
      <c r="E1081" t="s">
        <v>191</v>
      </c>
      <c r="F1081" t="s">
        <v>873</v>
      </c>
      <c r="G1081" s="28"/>
      <c r="N1081" s="28"/>
      <c r="O1081" s="28"/>
      <c r="X1081" s="40"/>
      <c r="Y1081" s="40"/>
    </row>
    <row r="1082" spans="5:25" x14ac:dyDescent="0.35">
      <c r="E1082" t="s">
        <v>191</v>
      </c>
      <c r="F1082" t="s">
        <v>1036</v>
      </c>
      <c r="G1082" s="28"/>
      <c r="N1082" s="28"/>
      <c r="O1082" s="28"/>
      <c r="X1082" s="40"/>
      <c r="Y1082" s="40"/>
    </row>
    <row r="1083" spans="5:25" x14ac:dyDescent="0.35">
      <c r="E1083" t="s">
        <v>191</v>
      </c>
      <c r="F1083" t="s">
        <v>379</v>
      </c>
      <c r="G1083" s="28"/>
      <c r="N1083" s="28"/>
      <c r="O1083" s="28"/>
      <c r="X1083" s="40"/>
      <c r="Y1083" s="40"/>
    </row>
    <row r="1084" spans="5:25" x14ac:dyDescent="0.35">
      <c r="E1084" t="s">
        <v>191</v>
      </c>
      <c r="F1084" t="s">
        <v>380</v>
      </c>
      <c r="G1084" s="28"/>
      <c r="N1084" s="28"/>
      <c r="O1084" s="28"/>
      <c r="X1084" s="40"/>
      <c r="Y1084" s="40"/>
    </row>
    <row r="1085" spans="5:25" x14ac:dyDescent="0.35">
      <c r="E1085" t="s">
        <v>191</v>
      </c>
      <c r="F1085" t="s">
        <v>381</v>
      </c>
      <c r="G1085" s="28"/>
      <c r="N1085" s="28"/>
      <c r="O1085" s="28"/>
      <c r="X1085" s="40"/>
      <c r="Y1085" s="40"/>
    </row>
    <row r="1086" spans="5:25" x14ac:dyDescent="0.35">
      <c r="E1086" t="s">
        <v>191</v>
      </c>
      <c r="F1086" t="s">
        <v>1037</v>
      </c>
      <c r="G1086" s="28"/>
      <c r="N1086" s="28"/>
      <c r="O1086" s="28"/>
      <c r="X1086" s="40"/>
      <c r="Y1086" s="40"/>
    </row>
    <row r="1087" spans="5:25" x14ac:dyDescent="0.35">
      <c r="E1087" t="s">
        <v>191</v>
      </c>
      <c r="F1087" t="s">
        <v>1038</v>
      </c>
      <c r="G1087" s="28"/>
      <c r="N1087" s="28"/>
      <c r="O1087" s="28"/>
      <c r="X1087" s="40"/>
      <c r="Y1087" s="40"/>
    </row>
    <row r="1088" spans="5:25" x14ac:dyDescent="0.35">
      <c r="E1088" t="s">
        <v>191</v>
      </c>
      <c r="F1088" t="s">
        <v>1039</v>
      </c>
      <c r="G1088" s="28"/>
      <c r="N1088" s="28"/>
      <c r="O1088" s="28"/>
      <c r="X1088" s="40"/>
      <c r="Y1088" s="40"/>
    </row>
    <row r="1089" spans="5:25" x14ac:dyDescent="0.35">
      <c r="E1089" t="s">
        <v>191</v>
      </c>
      <c r="F1089" t="s">
        <v>909</v>
      </c>
      <c r="G1089" s="28"/>
      <c r="N1089" s="28"/>
      <c r="O1089" s="28"/>
      <c r="X1089" s="40"/>
      <c r="Y1089" s="40"/>
    </row>
    <row r="1090" spans="5:25" x14ac:dyDescent="0.35">
      <c r="E1090" t="s">
        <v>191</v>
      </c>
      <c r="F1090" t="s">
        <v>1040</v>
      </c>
      <c r="G1090" s="28"/>
      <c r="N1090" s="28"/>
      <c r="O1090" s="28"/>
      <c r="X1090" s="40"/>
      <c r="Y1090" s="40"/>
    </row>
    <row r="1091" spans="5:25" x14ac:dyDescent="0.35">
      <c r="E1091" t="s">
        <v>191</v>
      </c>
      <c r="F1091" t="s">
        <v>910</v>
      </c>
      <c r="G1091" s="28"/>
      <c r="N1091" s="28"/>
      <c r="O1091" s="28"/>
      <c r="X1091" s="40"/>
      <c r="Y1091" s="40"/>
    </row>
    <row r="1092" spans="5:25" x14ac:dyDescent="0.35">
      <c r="E1092" t="s">
        <v>191</v>
      </c>
      <c r="F1092" t="s">
        <v>1041</v>
      </c>
      <c r="G1092" s="28"/>
      <c r="N1092" s="28"/>
      <c r="O1092" s="28"/>
      <c r="X1092" s="40"/>
      <c r="Y1092" s="40"/>
    </row>
    <row r="1093" spans="5:25" x14ac:dyDescent="0.35">
      <c r="E1093" t="s">
        <v>191</v>
      </c>
      <c r="F1093" t="s">
        <v>1042</v>
      </c>
      <c r="G1093" s="28"/>
      <c r="N1093" s="28"/>
      <c r="O1093" s="28"/>
      <c r="X1093" s="40"/>
      <c r="Y1093" s="40"/>
    </row>
    <row r="1094" spans="5:25" x14ac:dyDescent="0.35">
      <c r="E1094" t="s">
        <v>191</v>
      </c>
      <c r="F1094" t="s">
        <v>382</v>
      </c>
      <c r="G1094" s="28"/>
      <c r="N1094" s="28"/>
      <c r="O1094" s="28"/>
      <c r="X1094" s="40"/>
      <c r="Y1094" s="40"/>
    </row>
    <row r="1095" spans="5:25" x14ac:dyDescent="0.35">
      <c r="E1095" t="s">
        <v>191</v>
      </c>
      <c r="F1095" t="s">
        <v>384</v>
      </c>
      <c r="G1095" s="28"/>
      <c r="N1095" s="28"/>
      <c r="O1095" s="28"/>
      <c r="X1095" s="40"/>
      <c r="Y1095" s="40"/>
    </row>
    <row r="1096" spans="5:25" x14ac:dyDescent="0.35">
      <c r="E1096" t="s">
        <v>191</v>
      </c>
      <c r="F1096" t="s">
        <v>1043</v>
      </c>
      <c r="G1096" s="28"/>
      <c r="N1096" s="28"/>
      <c r="O1096" s="28"/>
      <c r="X1096" s="40"/>
      <c r="Y1096" s="40"/>
    </row>
    <row r="1097" spans="5:25" x14ac:dyDescent="0.35">
      <c r="E1097" t="s">
        <v>191</v>
      </c>
      <c r="F1097" t="s">
        <v>440</v>
      </c>
      <c r="G1097" s="28"/>
      <c r="N1097" s="28"/>
      <c r="O1097" s="28"/>
      <c r="X1097" s="40"/>
      <c r="Y1097" s="40"/>
    </row>
    <row r="1098" spans="5:25" x14ac:dyDescent="0.35">
      <c r="E1098" t="s">
        <v>191</v>
      </c>
      <c r="F1098" t="s">
        <v>1044</v>
      </c>
      <c r="G1098" s="28"/>
      <c r="N1098" s="28"/>
      <c r="O1098" s="28"/>
      <c r="X1098" s="40"/>
      <c r="Y1098" s="40"/>
    </row>
    <row r="1099" spans="5:25" x14ac:dyDescent="0.35">
      <c r="E1099" t="s">
        <v>191</v>
      </c>
      <c r="F1099" t="s">
        <v>1045</v>
      </c>
      <c r="G1099" s="28"/>
      <c r="N1099" s="28"/>
      <c r="O1099" s="28"/>
      <c r="X1099" s="40"/>
      <c r="Y1099" s="40"/>
    </row>
    <row r="1100" spans="5:25" x14ac:dyDescent="0.35">
      <c r="E1100" t="s">
        <v>191</v>
      </c>
      <c r="F1100" t="s">
        <v>1046</v>
      </c>
      <c r="G1100" s="28"/>
      <c r="N1100" s="28"/>
      <c r="O1100" s="28"/>
      <c r="X1100" s="40"/>
      <c r="Y1100" s="40"/>
    </row>
    <row r="1101" spans="5:25" x14ac:dyDescent="0.35">
      <c r="E1101" t="s">
        <v>191</v>
      </c>
      <c r="F1101" t="s">
        <v>386</v>
      </c>
      <c r="G1101" s="28"/>
      <c r="N1101" s="28"/>
      <c r="O1101" s="28"/>
      <c r="X1101" s="40"/>
      <c r="Y1101" s="40"/>
    </row>
    <row r="1102" spans="5:25" x14ac:dyDescent="0.35">
      <c r="E1102" t="s">
        <v>191</v>
      </c>
      <c r="F1102" t="s">
        <v>443</v>
      </c>
      <c r="G1102" s="28"/>
      <c r="N1102" s="28"/>
      <c r="O1102" s="28"/>
      <c r="X1102" s="40"/>
      <c r="Y1102" s="40"/>
    </row>
    <row r="1103" spans="5:25" x14ac:dyDescent="0.35">
      <c r="E1103" t="s">
        <v>191</v>
      </c>
      <c r="F1103" t="s">
        <v>388</v>
      </c>
      <c r="G1103" s="28"/>
      <c r="N1103" s="28"/>
      <c r="O1103" s="28"/>
      <c r="X1103" s="40"/>
      <c r="Y1103" s="40"/>
    </row>
    <row r="1104" spans="5:25" x14ac:dyDescent="0.35">
      <c r="E1104" t="s">
        <v>191</v>
      </c>
      <c r="F1104" t="s">
        <v>1047</v>
      </c>
      <c r="G1104" s="28"/>
      <c r="N1104" s="28"/>
      <c r="O1104" s="28"/>
      <c r="X1104" s="40"/>
      <c r="Y1104" s="40"/>
    </row>
    <row r="1105" spans="5:25" x14ac:dyDescent="0.35">
      <c r="E1105" t="s">
        <v>191</v>
      </c>
      <c r="F1105" t="s">
        <v>916</v>
      </c>
      <c r="G1105" s="28"/>
      <c r="N1105" s="28"/>
      <c r="O1105" s="28"/>
      <c r="X1105" s="40"/>
      <c r="Y1105" s="40"/>
    </row>
    <row r="1106" spans="5:25" x14ac:dyDescent="0.35">
      <c r="E1106" t="s">
        <v>191</v>
      </c>
      <c r="F1106" t="s">
        <v>638</v>
      </c>
      <c r="G1106" s="28"/>
      <c r="N1106" s="28"/>
      <c r="O1106" s="28"/>
      <c r="X1106" s="40"/>
      <c r="Y1106" s="40"/>
    </row>
    <row r="1107" spans="5:25" x14ac:dyDescent="0.35">
      <c r="E1107" t="s">
        <v>191</v>
      </c>
      <c r="F1107" t="s">
        <v>1048</v>
      </c>
      <c r="G1107" s="28"/>
      <c r="N1107" s="28"/>
      <c r="O1107" s="28"/>
      <c r="X1107" s="40"/>
      <c r="Y1107" s="40"/>
    </row>
    <row r="1108" spans="5:25" x14ac:dyDescent="0.35">
      <c r="E1108" t="s">
        <v>191</v>
      </c>
      <c r="F1108" t="s">
        <v>1049</v>
      </c>
      <c r="G1108" s="28"/>
      <c r="N1108" s="28"/>
      <c r="O1108" s="28"/>
      <c r="X1108" s="40"/>
      <c r="Y1108" s="40"/>
    </row>
    <row r="1109" spans="5:25" x14ac:dyDescent="0.35">
      <c r="E1109" t="s">
        <v>191</v>
      </c>
      <c r="F1109" t="s">
        <v>1050</v>
      </c>
      <c r="G1109" s="28"/>
      <c r="N1109" s="28"/>
      <c r="O1109" s="28"/>
      <c r="X1109" s="40"/>
      <c r="Y1109" s="40"/>
    </row>
    <row r="1110" spans="5:25" x14ac:dyDescent="0.35">
      <c r="E1110" t="s">
        <v>191</v>
      </c>
      <c r="F1110" t="s">
        <v>449</v>
      </c>
      <c r="G1110" s="28"/>
      <c r="N1110" s="28"/>
      <c r="O1110" s="28"/>
      <c r="X1110" s="40"/>
      <c r="Y1110" s="40"/>
    </row>
    <row r="1111" spans="5:25" x14ac:dyDescent="0.35">
      <c r="E1111" t="s">
        <v>191</v>
      </c>
      <c r="F1111" t="s">
        <v>744</v>
      </c>
      <c r="G1111" s="28"/>
      <c r="N1111" s="28"/>
      <c r="O1111" s="28"/>
      <c r="X1111" s="40"/>
      <c r="Y1111" s="40"/>
    </row>
    <row r="1112" spans="5:25" x14ac:dyDescent="0.35">
      <c r="E1112" t="s">
        <v>191</v>
      </c>
      <c r="F1112" t="s">
        <v>394</v>
      </c>
      <c r="G1112" s="28"/>
      <c r="N1112" s="28"/>
      <c r="O1112" s="28"/>
      <c r="X1112" s="40"/>
      <c r="Y1112" s="40"/>
    </row>
    <row r="1113" spans="5:25" x14ac:dyDescent="0.35">
      <c r="E1113" t="s">
        <v>191</v>
      </c>
      <c r="F1113" t="s">
        <v>745</v>
      </c>
      <c r="G1113" s="28"/>
      <c r="N1113" s="28"/>
      <c r="O1113" s="28"/>
      <c r="X1113" s="40"/>
      <c r="Y1113" s="40"/>
    </row>
    <row r="1114" spans="5:25" x14ac:dyDescent="0.35">
      <c r="E1114" t="s">
        <v>191</v>
      </c>
      <c r="F1114" t="s">
        <v>746</v>
      </c>
      <c r="G1114" s="28"/>
      <c r="N1114" s="28"/>
      <c r="O1114" s="28"/>
      <c r="X1114" s="40"/>
      <c r="Y1114" s="40"/>
    </row>
    <row r="1115" spans="5:25" x14ac:dyDescent="0.35">
      <c r="E1115" t="s">
        <v>191</v>
      </c>
      <c r="F1115" t="s">
        <v>929</v>
      </c>
      <c r="G1115" s="28"/>
      <c r="N1115" s="28"/>
      <c r="O1115" s="28"/>
      <c r="X1115" s="40"/>
      <c r="Y1115" s="40"/>
    </row>
    <row r="1116" spans="5:25" x14ac:dyDescent="0.35">
      <c r="E1116" t="s">
        <v>191</v>
      </c>
      <c r="F1116" t="s">
        <v>1051</v>
      </c>
      <c r="G1116" s="28"/>
      <c r="N1116" s="28"/>
      <c r="O1116" s="28"/>
      <c r="X1116" s="40"/>
      <c r="Y1116" s="40"/>
    </row>
    <row r="1117" spans="5:25" x14ac:dyDescent="0.35">
      <c r="E1117" t="s">
        <v>191</v>
      </c>
      <c r="F1117" t="s">
        <v>890</v>
      </c>
      <c r="G1117" s="28"/>
      <c r="N1117" s="28"/>
      <c r="O1117" s="28"/>
      <c r="X1117" s="40"/>
      <c r="Y1117" s="40"/>
    </row>
    <row r="1118" spans="5:25" x14ac:dyDescent="0.35">
      <c r="E1118" t="s">
        <v>192</v>
      </c>
      <c r="F1118" t="s">
        <v>1052</v>
      </c>
      <c r="G1118" s="28"/>
      <c r="N1118" s="28"/>
      <c r="O1118" s="28"/>
      <c r="X1118" s="40"/>
      <c r="Y1118" s="40"/>
    </row>
    <row r="1119" spans="5:25" x14ac:dyDescent="0.35">
      <c r="E1119" t="s">
        <v>192</v>
      </c>
      <c r="F1119" t="s">
        <v>891</v>
      </c>
      <c r="G1119" s="28"/>
      <c r="N1119" s="28"/>
      <c r="O1119" s="28"/>
      <c r="X1119" s="40"/>
      <c r="Y1119" s="40"/>
    </row>
    <row r="1120" spans="5:25" x14ac:dyDescent="0.35">
      <c r="E1120" t="s">
        <v>192</v>
      </c>
      <c r="F1120" t="s">
        <v>1053</v>
      </c>
      <c r="G1120" s="28"/>
      <c r="N1120" s="28"/>
      <c r="O1120" s="28"/>
      <c r="X1120" s="40"/>
      <c r="Y1120" s="40"/>
    </row>
    <row r="1121" spans="5:25" x14ac:dyDescent="0.35">
      <c r="E1121" t="s">
        <v>192</v>
      </c>
      <c r="F1121" t="s">
        <v>1054</v>
      </c>
      <c r="G1121" s="28"/>
      <c r="N1121" s="28"/>
      <c r="O1121" s="28"/>
      <c r="X1121" s="40"/>
      <c r="Y1121" s="40"/>
    </row>
    <row r="1122" spans="5:25" x14ac:dyDescent="0.35">
      <c r="E1122" t="s">
        <v>192</v>
      </c>
      <c r="F1122" t="s">
        <v>1055</v>
      </c>
      <c r="G1122" s="28"/>
      <c r="N1122" s="28"/>
      <c r="O1122" s="28"/>
      <c r="X1122" s="40"/>
      <c r="Y1122" s="40"/>
    </row>
    <row r="1123" spans="5:25" x14ac:dyDescent="0.35">
      <c r="E1123" t="s">
        <v>192</v>
      </c>
      <c r="F1123" t="s">
        <v>1056</v>
      </c>
      <c r="G1123" s="28"/>
      <c r="N1123" s="28"/>
      <c r="O1123" s="28"/>
      <c r="X1123" s="40"/>
      <c r="Y1123" s="40"/>
    </row>
    <row r="1124" spans="5:25" x14ac:dyDescent="0.35">
      <c r="E1124" t="s">
        <v>192</v>
      </c>
      <c r="F1124" t="s">
        <v>1057</v>
      </c>
      <c r="G1124" s="28"/>
      <c r="N1124" s="28"/>
      <c r="O1124" s="28"/>
      <c r="X1124" s="40"/>
      <c r="Y1124" s="40"/>
    </row>
    <row r="1125" spans="5:25" x14ac:dyDescent="0.35">
      <c r="E1125" t="s">
        <v>192</v>
      </c>
      <c r="F1125" t="s">
        <v>1058</v>
      </c>
      <c r="G1125" s="28"/>
      <c r="N1125" s="28"/>
      <c r="O1125" s="28"/>
      <c r="X1125" s="40"/>
      <c r="Y1125" s="40"/>
    </row>
    <row r="1126" spans="5:25" x14ac:dyDescent="0.35">
      <c r="E1126" t="s">
        <v>192</v>
      </c>
      <c r="F1126" t="s">
        <v>1059</v>
      </c>
      <c r="G1126" s="28"/>
      <c r="N1126" s="28"/>
      <c r="O1126" s="28"/>
      <c r="X1126" s="40"/>
      <c r="Y1126" s="40"/>
    </row>
    <row r="1127" spans="5:25" x14ac:dyDescent="0.35">
      <c r="E1127" t="s">
        <v>192</v>
      </c>
      <c r="F1127" t="s">
        <v>1060</v>
      </c>
      <c r="G1127" s="28"/>
      <c r="N1127" s="28"/>
      <c r="O1127" s="28"/>
      <c r="X1127" s="40"/>
      <c r="Y1127" s="40"/>
    </row>
    <row r="1128" spans="5:25" x14ac:dyDescent="0.35">
      <c r="E1128" t="s">
        <v>192</v>
      </c>
      <c r="F1128" t="s">
        <v>1007</v>
      </c>
      <c r="G1128" s="28"/>
      <c r="N1128" s="28"/>
      <c r="O1128" s="28"/>
      <c r="X1128" s="40"/>
      <c r="Y1128" s="40"/>
    </row>
    <row r="1129" spans="5:25" x14ac:dyDescent="0.35">
      <c r="E1129" t="s">
        <v>192</v>
      </c>
      <c r="F1129" t="s">
        <v>1061</v>
      </c>
      <c r="G1129" s="28"/>
      <c r="N1129" s="28"/>
      <c r="O1129" s="28"/>
      <c r="X1129" s="40"/>
      <c r="Y1129" s="40"/>
    </row>
    <row r="1130" spans="5:25" x14ac:dyDescent="0.35">
      <c r="E1130" t="s">
        <v>192</v>
      </c>
      <c r="F1130" t="s">
        <v>1062</v>
      </c>
      <c r="G1130" s="28"/>
      <c r="N1130" s="28"/>
      <c r="O1130" s="28"/>
      <c r="X1130" s="40"/>
      <c r="Y1130" s="40"/>
    </row>
    <row r="1131" spans="5:25" x14ac:dyDescent="0.35">
      <c r="E1131" t="s">
        <v>192</v>
      </c>
      <c r="F1131" t="s">
        <v>1063</v>
      </c>
      <c r="G1131" s="28"/>
      <c r="N1131" s="28"/>
      <c r="O1131" s="28"/>
      <c r="X1131" s="40"/>
      <c r="Y1131" s="40"/>
    </row>
    <row r="1132" spans="5:25" x14ac:dyDescent="0.35">
      <c r="E1132" t="s">
        <v>192</v>
      </c>
      <c r="F1132" t="s">
        <v>1064</v>
      </c>
      <c r="G1132" s="28"/>
      <c r="N1132" s="28"/>
      <c r="O1132" s="28"/>
      <c r="X1132" s="40"/>
      <c r="Y1132" s="40"/>
    </row>
    <row r="1133" spans="5:25" x14ac:dyDescent="0.35">
      <c r="E1133" t="s">
        <v>192</v>
      </c>
      <c r="F1133" t="s">
        <v>602</v>
      </c>
      <c r="G1133" s="28"/>
      <c r="N1133" s="28"/>
      <c r="O1133" s="28"/>
      <c r="X1133" s="40"/>
      <c r="Y1133" s="40"/>
    </row>
    <row r="1134" spans="5:25" x14ac:dyDescent="0.35">
      <c r="E1134" t="s">
        <v>192</v>
      </c>
      <c r="F1134" t="s">
        <v>1065</v>
      </c>
      <c r="G1134" s="28"/>
      <c r="N1134" s="28"/>
      <c r="O1134" s="28"/>
      <c r="X1134" s="40"/>
      <c r="Y1134" s="40"/>
    </row>
    <row r="1135" spans="5:25" x14ac:dyDescent="0.35">
      <c r="E1135" t="s">
        <v>192</v>
      </c>
      <c r="F1135" t="s">
        <v>1066</v>
      </c>
      <c r="G1135" s="28"/>
      <c r="N1135" s="28"/>
      <c r="O1135" s="28"/>
      <c r="X1135" s="40"/>
      <c r="Y1135" s="40"/>
    </row>
    <row r="1136" spans="5:25" x14ac:dyDescent="0.35">
      <c r="E1136" t="s">
        <v>192</v>
      </c>
      <c r="F1136" t="s">
        <v>1067</v>
      </c>
      <c r="G1136" s="28"/>
      <c r="N1136" s="28"/>
      <c r="O1136" s="28"/>
      <c r="X1136" s="40"/>
      <c r="Y1136" s="40"/>
    </row>
    <row r="1137" spans="5:25" x14ac:dyDescent="0.35">
      <c r="E1137" t="s">
        <v>192</v>
      </c>
      <c r="F1137" t="s">
        <v>1068</v>
      </c>
      <c r="G1137" s="28"/>
      <c r="N1137" s="28"/>
      <c r="O1137" s="28"/>
      <c r="X1137" s="40"/>
      <c r="Y1137" s="40"/>
    </row>
    <row r="1138" spans="5:25" x14ac:dyDescent="0.35">
      <c r="E1138" t="s">
        <v>192</v>
      </c>
      <c r="F1138" t="s">
        <v>359</v>
      </c>
      <c r="G1138" s="28"/>
      <c r="N1138" s="28"/>
      <c r="O1138" s="28"/>
      <c r="X1138" s="40"/>
      <c r="Y1138" s="40"/>
    </row>
    <row r="1139" spans="5:25" x14ac:dyDescent="0.35">
      <c r="E1139" t="s">
        <v>192</v>
      </c>
      <c r="F1139" t="s">
        <v>418</v>
      </c>
      <c r="G1139" s="28"/>
      <c r="N1139" s="28"/>
      <c r="O1139" s="28"/>
      <c r="X1139" s="40"/>
      <c r="Y1139" s="40"/>
    </row>
    <row r="1140" spans="5:25" x14ac:dyDescent="0.35">
      <c r="E1140" t="s">
        <v>192</v>
      </c>
      <c r="F1140" t="s">
        <v>1069</v>
      </c>
      <c r="G1140" s="28"/>
      <c r="N1140" s="28"/>
      <c r="O1140" s="28"/>
      <c r="X1140" s="40"/>
      <c r="Y1140" s="40"/>
    </row>
    <row r="1141" spans="5:25" x14ac:dyDescent="0.35">
      <c r="E1141" t="s">
        <v>192</v>
      </c>
      <c r="F1141" t="s">
        <v>1070</v>
      </c>
      <c r="G1141" s="28"/>
      <c r="N1141" s="28"/>
      <c r="O1141" s="28"/>
      <c r="X1141" s="40"/>
      <c r="Y1141" s="40"/>
    </row>
    <row r="1142" spans="5:25" x14ac:dyDescent="0.35">
      <c r="E1142" t="s">
        <v>192</v>
      </c>
      <c r="F1142" t="s">
        <v>365</v>
      </c>
      <c r="G1142" s="28"/>
      <c r="N1142" s="28"/>
      <c r="O1142" s="28"/>
      <c r="X1142" s="40"/>
      <c r="Y1142" s="40"/>
    </row>
    <row r="1143" spans="5:25" x14ac:dyDescent="0.35">
      <c r="E1143" t="s">
        <v>192</v>
      </c>
      <c r="F1143" t="s">
        <v>366</v>
      </c>
      <c r="G1143" s="28"/>
      <c r="N1143" s="28"/>
      <c r="O1143" s="28"/>
      <c r="X1143" s="40"/>
      <c r="Y1143" s="40"/>
    </row>
    <row r="1144" spans="5:25" x14ac:dyDescent="0.35">
      <c r="E1144" t="s">
        <v>192</v>
      </c>
      <c r="F1144" t="s">
        <v>1071</v>
      </c>
      <c r="G1144" s="28"/>
      <c r="N1144" s="28"/>
      <c r="O1144" s="28"/>
      <c r="X1144" s="40"/>
      <c r="Y1144" s="40"/>
    </row>
    <row r="1145" spans="5:25" x14ac:dyDescent="0.35">
      <c r="E1145" t="s">
        <v>192</v>
      </c>
      <c r="F1145" t="s">
        <v>864</v>
      </c>
      <c r="G1145" s="28"/>
      <c r="N1145" s="28"/>
      <c r="O1145" s="28"/>
      <c r="X1145" s="40"/>
      <c r="Y1145" s="40"/>
    </row>
    <row r="1146" spans="5:25" x14ac:dyDescent="0.35">
      <c r="E1146" t="s">
        <v>192</v>
      </c>
      <c r="F1146" t="s">
        <v>425</v>
      </c>
      <c r="G1146" s="28"/>
      <c r="N1146" s="28"/>
      <c r="O1146" s="28"/>
      <c r="X1146" s="40"/>
      <c r="Y1146" s="40"/>
    </row>
    <row r="1147" spans="5:25" x14ac:dyDescent="0.35">
      <c r="E1147" t="s">
        <v>192</v>
      </c>
      <c r="F1147" t="s">
        <v>1072</v>
      </c>
      <c r="G1147" s="28"/>
      <c r="N1147" s="28"/>
      <c r="O1147" s="28"/>
      <c r="X1147" s="40"/>
      <c r="Y1147" s="40"/>
    </row>
    <row r="1148" spans="5:25" x14ac:dyDescent="0.35">
      <c r="E1148" t="s">
        <v>192</v>
      </c>
      <c r="F1148" t="s">
        <v>426</v>
      </c>
      <c r="G1148" s="28"/>
      <c r="N1148" s="28"/>
      <c r="O1148" s="28"/>
      <c r="X1148" s="40"/>
      <c r="Y1148" s="40"/>
    </row>
    <row r="1149" spans="5:25" x14ac:dyDescent="0.35">
      <c r="E1149" t="s">
        <v>192</v>
      </c>
      <c r="F1149" t="s">
        <v>865</v>
      </c>
      <c r="G1149" s="28"/>
      <c r="N1149" s="28"/>
      <c r="O1149" s="28"/>
      <c r="X1149" s="40"/>
      <c r="Y1149" s="40"/>
    </row>
    <row r="1150" spans="5:25" x14ac:dyDescent="0.35">
      <c r="E1150" t="s">
        <v>192</v>
      </c>
      <c r="F1150" t="s">
        <v>374</v>
      </c>
      <c r="G1150" s="28"/>
      <c r="N1150" s="28"/>
      <c r="O1150" s="28"/>
      <c r="X1150" s="40"/>
      <c r="Y1150" s="40"/>
    </row>
    <row r="1151" spans="5:25" x14ac:dyDescent="0.35">
      <c r="E1151" t="s">
        <v>192</v>
      </c>
      <c r="F1151" t="s">
        <v>1073</v>
      </c>
      <c r="G1151" s="28"/>
      <c r="N1151" s="28"/>
      <c r="O1151" s="28"/>
      <c r="X1151" s="40"/>
      <c r="Y1151" s="40"/>
    </row>
    <row r="1152" spans="5:25" x14ac:dyDescent="0.35">
      <c r="E1152" t="s">
        <v>192</v>
      </c>
      <c r="F1152" t="s">
        <v>1074</v>
      </c>
      <c r="G1152" s="28"/>
      <c r="N1152" s="28"/>
      <c r="O1152" s="28"/>
      <c r="X1152" s="40"/>
      <c r="Y1152" s="40"/>
    </row>
    <row r="1153" spans="5:25" x14ac:dyDescent="0.35">
      <c r="E1153" t="s">
        <v>192</v>
      </c>
      <c r="F1153" t="s">
        <v>1075</v>
      </c>
      <c r="G1153" s="28"/>
      <c r="N1153" s="28"/>
      <c r="O1153" s="28"/>
      <c r="X1153" s="40"/>
      <c r="Y1153" s="40"/>
    </row>
    <row r="1154" spans="5:25" x14ac:dyDescent="0.35">
      <c r="E1154" t="s">
        <v>192</v>
      </c>
      <c r="F1154" t="s">
        <v>434</v>
      </c>
      <c r="G1154" s="28"/>
      <c r="N1154" s="28"/>
      <c r="O1154" s="28"/>
      <c r="X1154" s="40"/>
      <c r="Y1154" s="40"/>
    </row>
    <row r="1155" spans="5:25" x14ac:dyDescent="0.35">
      <c r="E1155" t="s">
        <v>192</v>
      </c>
      <c r="F1155" t="s">
        <v>1076</v>
      </c>
      <c r="G1155" s="28"/>
      <c r="N1155" s="28"/>
      <c r="O1155" s="28"/>
      <c r="X1155" s="40"/>
      <c r="Y1155" s="40"/>
    </row>
    <row r="1156" spans="5:25" x14ac:dyDescent="0.35">
      <c r="E1156" t="s">
        <v>192</v>
      </c>
      <c r="F1156" t="s">
        <v>1077</v>
      </c>
      <c r="G1156" s="28"/>
      <c r="N1156" s="28"/>
      <c r="O1156" s="28"/>
      <c r="X1156" s="40"/>
      <c r="Y1156" s="40"/>
    </row>
    <row r="1157" spans="5:25" x14ac:dyDescent="0.35">
      <c r="E1157" t="s">
        <v>192</v>
      </c>
      <c r="F1157" t="s">
        <v>1078</v>
      </c>
      <c r="G1157" s="28"/>
      <c r="N1157" s="28"/>
      <c r="O1157" s="28"/>
      <c r="X1157" s="40"/>
      <c r="Y1157" s="40"/>
    </row>
    <row r="1158" spans="5:25" x14ac:dyDescent="0.35">
      <c r="E1158" t="s">
        <v>192</v>
      </c>
      <c r="F1158" t="s">
        <v>1079</v>
      </c>
      <c r="G1158" s="28"/>
      <c r="N1158" s="28"/>
      <c r="O1158" s="28"/>
      <c r="X1158" s="40"/>
      <c r="Y1158" s="40"/>
    </row>
    <row r="1159" spans="5:25" x14ac:dyDescent="0.35">
      <c r="E1159" t="s">
        <v>192</v>
      </c>
      <c r="F1159" t="s">
        <v>878</v>
      </c>
      <c r="G1159" s="28"/>
      <c r="N1159" s="28"/>
      <c r="O1159" s="28"/>
      <c r="X1159" s="40"/>
      <c r="Y1159" s="40"/>
    </row>
    <row r="1160" spans="5:25" x14ac:dyDescent="0.35">
      <c r="E1160" t="s">
        <v>192</v>
      </c>
      <c r="F1160" t="s">
        <v>1080</v>
      </c>
      <c r="G1160" s="28"/>
      <c r="N1160" s="28"/>
      <c r="O1160" s="28"/>
      <c r="X1160" s="40"/>
      <c r="Y1160" s="40"/>
    </row>
    <row r="1161" spans="5:25" x14ac:dyDescent="0.35">
      <c r="E1161" t="s">
        <v>192</v>
      </c>
      <c r="F1161" t="s">
        <v>1081</v>
      </c>
      <c r="G1161" s="28"/>
      <c r="N1161" s="28"/>
      <c r="O1161" s="28"/>
      <c r="X1161" s="40"/>
      <c r="Y1161" s="40"/>
    </row>
    <row r="1162" spans="5:25" x14ac:dyDescent="0.35">
      <c r="E1162" t="s">
        <v>192</v>
      </c>
      <c r="F1162" t="s">
        <v>1082</v>
      </c>
      <c r="G1162" s="28"/>
      <c r="N1162" s="28"/>
      <c r="O1162" s="28"/>
      <c r="X1162" s="40"/>
      <c r="Y1162" s="40"/>
    </row>
    <row r="1163" spans="5:25" x14ac:dyDescent="0.35">
      <c r="E1163" t="s">
        <v>192</v>
      </c>
      <c r="F1163" t="s">
        <v>1083</v>
      </c>
      <c r="G1163" s="28"/>
      <c r="N1163" s="28"/>
      <c r="O1163" s="28"/>
      <c r="X1163" s="40"/>
      <c r="Y1163" s="40"/>
    </row>
    <row r="1164" spans="5:25" x14ac:dyDescent="0.35">
      <c r="E1164" t="s">
        <v>192</v>
      </c>
      <c r="F1164" t="s">
        <v>1084</v>
      </c>
      <c r="G1164" s="28"/>
      <c r="N1164" s="28"/>
      <c r="O1164" s="28"/>
      <c r="X1164" s="40"/>
      <c r="Y1164" s="40"/>
    </row>
    <row r="1165" spans="5:25" x14ac:dyDescent="0.35">
      <c r="E1165" t="s">
        <v>192</v>
      </c>
      <c r="F1165" t="s">
        <v>1085</v>
      </c>
      <c r="G1165" s="28"/>
      <c r="N1165" s="28"/>
      <c r="O1165" s="28"/>
      <c r="X1165" s="40"/>
      <c r="Y1165" s="40"/>
    </row>
    <row r="1166" spans="5:25" x14ac:dyDescent="0.35">
      <c r="E1166" t="s">
        <v>192</v>
      </c>
      <c r="F1166" t="s">
        <v>1086</v>
      </c>
      <c r="G1166" s="28"/>
      <c r="N1166" s="28"/>
      <c r="O1166" s="28"/>
      <c r="X1166" s="40"/>
      <c r="Y1166" s="40"/>
    </row>
    <row r="1167" spans="5:25" x14ac:dyDescent="0.35">
      <c r="E1167" t="s">
        <v>192</v>
      </c>
      <c r="F1167" t="s">
        <v>1087</v>
      </c>
      <c r="G1167" s="28"/>
      <c r="N1167" s="28"/>
      <c r="O1167" s="28"/>
      <c r="X1167" s="40"/>
      <c r="Y1167" s="40"/>
    </row>
    <row r="1168" spans="5:25" x14ac:dyDescent="0.35">
      <c r="E1168" t="s">
        <v>192</v>
      </c>
      <c r="F1168" t="s">
        <v>1088</v>
      </c>
      <c r="G1168" s="28"/>
      <c r="N1168" s="28"/>
      <c r="O1168" s="28"/>
      <c r="X1168" s="40"/>
      <c r="Y1168" s="40"/>
    </row>
    <row r="1169" spans="5:25" x14ac:dyDescent="0.35">
      <c r="E1169" t="s">
        <v>192</v>
      </c>
      <c r="F1169" t="s">
        <v>1089</v>
      </c>
      <c r="G1169" s="28"/>
      <c r="N1169" s="28"/>
      <c r="O1169" s="28"/>
      <c r="X1169" s="40"/>
      <c r="Y1169" s="40"/>
    </row>
    <row r="1170" spans="5:25" x14ac:dyDescent="0.35">
      <c r="E1170" t="s">
        <v>192</v>
      </c>
      <c r="F1170" t="s">
        <v>1090</v>
      </c>
      <c r="G1170" s="28"/>
      <c r="N1170" s="28"/>
      <c r="O1170" s="28"/>
      <c r="X1170" s="40"/>
      <c r="Y1170" s="40"/>
    </row>
    <row r="1171" spans="5:25" x14ac:dyDescent="0.35">
      <c r="E1171" t="s">
        <v>192</v>
      </c>
      <c r="F1171" t="s">
        <v>1091</v>
      </c>
      <c r="G1171" s="28"/>
      <c r="N1171" s="28"/>
      <c r="O1171" s="28"/>
      <c r="X1171" s="40"/>
      <c r="Y1171" s="40"/>
    </row>
    <row r="1172" spans="5:25" x14ac:dyDescent="0.35">
      <c r="E1172" t="s">
        <v>192</v>
      </c>
      <c r="F1172" t="s">
        <v>1092</v>
      </c>
      <c r="G1172" s="28"/>
      <c r="N1172" s="28"/>
      <c r="O1172" s="28"/>
      <c r="X1172" s="40"/>
      <c r="Y1172" s="40"/>
    </row>
    <row r="1173" spans="5:25" x14ac:dyDescent="0.35">
      <c r="E1173" t="s">
        <v>192</v>
      </c>
      <c r="F1173" t="s">
        <v>449</v>
      </c>
      <c r="G1173" s="28"/>
      <c r="N1173" s="28"/>
      <c r="O1173" s="28"/>
      <c r="X1173" s="40"/>
      <c r="Y1173" s="40"/>
    </row>
    <row r="1174" spans="5:25" x14ac:dyDescent="0.35">
      <c r="E1174" t="s">
        <v>192</v>
      </c>
      <c r="F1174" t="s">
        <v>885</v>
      </c>
      <c r="G1174" s="28"/>
      <c r="N1174" s="28"/>
      <c r="O1174" s="28"/>
      <c r="X1174" s="40"/>
      <c r="Y1174" s="40"/>
    </row>
    <row r="1175" spans="5:25" x14ac:dyDescent="0.35">
      <c r="E1175" t="s">
        <v>192</v>
      </c>
      <c r="F1175" t="s">
        <v>1093</v>
      </c>
      <c r="G1175" s="28"/>
      <c r="N1175" s="28"/>
      <c r="O1175" s="28"/>
      <c r="X1175" s="40"/>
      <c r="Y1175" s="40"/>
    </row>
    <row r="1176" spans="5:25" x14ac:dyDescent="0.35">
      <c r="E1176" t="s">
        <v>192</v>
      </c>
      <c r="F1176" t="s">
        <v>394</v>
      </c>
      <c r="G1176" s="28"/>
      <c r="N1176" s="28"/>
      <c r="O1176" s="28"/>
      <c r="X1176" s="40"/>
      <c r="Y1176" s="40"/>
    </row>
    <row r="1177" spans="5:25" x14ac:dyDescent="0.35">
      <c r="E1177" t="s">
        <v>192</v>
      </c>
      <c r="F1177" t="s">
        <v>746</v>
      </c>
      <c r="G1177" s="32"/>
      <c r="N1177" s="28"/>
      <c r="O1177" s="28"/>
      <c r="X1177" s="40"/>
      <c r="Y1177" s="40"/>
    </row>
    <row r="1178" spans="5:25" x14ac:dyDescent="0.35">
      <c r="E1178" t="s">
        <v>192</v>
      </c>
      <c r="F1178" t="s">
        <v>1094</v>
      </c>
      <c r="G1178" s="32"/>
      <c r="N1178" s="28"/>
      <c r="O1178" s="28"/>
      <c r="X1178" s="40"/>
      <c r="Y1178" s="40"/>
    </row>
    <row r="1179" spans="5:25" x14ac:dyDescent="0.35">
      <c r="E1179" t="s">
        <v>192</v>
      </c>
      <c r="F1179" t="s">
        <v>1095</v>
      </c>
      <c r="G1179" s="32"/>
      <c r="N1179" s="28"/>
      <c r="O1179" s="28"/>
      <c r="X1179" s="40"/>
      <c r="Y1179" s="40"/>
    </row>
    <row r="1180" spans="5:25" x14ac:dyDescent="0.35">
      <c r="E1180" t="s">
        <v>192</v>
      </c>
      <c r="F1180" t="s">
        <v>1096</v>
      </c>
      <c r="G1180" s="32"/>
      <c r="N1180" s="28"/>
      <c r="O1180" s="28"/>
      <c r="X1180" s="40"/>
      <c r="Y1180" s="40"/>
    </row>
    <row r="1181" spans="5:25" x14ac:dyDescent="0.35">
      <c r="E1181" t="s">
        <v>192</v>
      </c>
      <c r="F1181" t="s">
        <v>1097</v>
      </c>
      <c r="G1181" s="32"/>
      <c r="N1181" s="28"/>
      <c r="O1181" s="28"/>
      <c r="X1181" s="40"/>
      <c r="Y1181" s="40"/>
    </row>
    <row r="1182" spans="5:25" x14ac:dyDescent="0.35">
      <c r="E1182" t="s">
        <v>193</v>
      </c>
      <c r="F1182" t="s">
        <v>1098</v>
      </c>
      <c r="G1182" s="32"/>
      <c r="N1182" s="28"/>
      <c r="O1182" s="28"/>
      <c r="X1182" s="40"/>
      <c r="Y1182" s="40"/>
    </row>
    <row r="1183" spans="5:25" x14ac:dyDescent="0.35">
      <c r="E1183" t="s">
        <v>193</v>
      </c>
      <c r="F1183" t="s">
        <v>1099</v>
      </c>
      <c r="G1183" s="32"/>
      <c r="N1183" s="28"/>
      <c r="O1183" s="28"/>
      <c r="X1183" s="40"/>
      <c r="Y1183" s="40"/>
    </row>
    <row r="1184" spans="5:25" x14ac:dyDescent="0.35">
      <c r="E1184" t="s">
        <v>193</v>
      </c>
      <c r="F1184" t="s">
        <v>1100</v>
      </c>
      <c r="G1184" s="32"/>
      <c r="N1184" s="28"/>
      <c r="O1184" s="28"/>
      <c r="X1184" s="40"/>
      <c r="Y1184" s="40"/>
    </row>
    <row r="1185" spans="5:25" x14ac:dyDescent="0.35">
      <c r="E1185" t="s">
        <v>193</v>
      </c>
      <c r="F1185" t="s">
        <v>1101</v>
      </c>
      <c r="G1185" s="32"/>
      <c r="N1185" s="28"/>
      <c r="O1185" s="28"/>
      <c r="X1185" s="40"/>
      <c r="Y1185" s="40"/>
    </row>
    <row r="1186" spans="5:25" x14ac:dyDescent="0.35">
      <c r="E1186" t="s">
        <v>193</v>
      </c>
      <c r="F1186" t="s">
        <v>1102</v>
      </c>
      <c r="G1186" s="32"/>
      <c r="N1186" s="28"/>
      <c r="O1186" s="28"/>
      <c r="X1186" s="40"/>
      <c r="Y1186" s="40"/>
    </row>
    <row r="1187" spans="5:25" x14ac:dyDescent="0.35">
      <c r="E1187" t="s">
        <v>193</v>
      </c>
      <c r="F1187" t="s">
        <v>359</v>
      </c>
      <c r="G1187" s="32"/>
      <c r="N1187" s="28"/>
      <c r="O1187" s="28"/>
      <c r="X1187" s="40"/>
      <c r="Y1187" s="40"/>
    </row>
    <row r="1188" spans="5:25" x14ac:dyDescent="0.35">
      <c r="E1188" t="s">
        <v>193</v>
      </c>
      <c r="F1188" t="s">
        <v>1103</v>
      </c>
      <c r="G1188" s="32"/>
      <c r="N1188" s="28"/>
      <c r="O1188" s="28"/>
      <c r="X1188" s="40"/>
      <c r="Y1188" s="40"/>
    </row>
    <row r="1189" spans="5:25" x14ac:dyDescent="0.35">
      <c r="E1189" t="s">
        <v>193</v>
      </c>
      <c r="F1189" t="s">
        <v>1104</v>
      </c>
      <c r="G1189" s="32"/>
      <c r="N1189" s="28"/>
      <c r="O1189" s="28"/>
      <c r="X1189" s="40"/>
      <c r="Y1189" s="40"/>
    </row>
    <row r="1190" spans="5:25" x14ac:dyDescent="0.35">
      <c r="E1190" t="s">
        <v>193</v>
      </c>
      <c r="F1190" t="s">
        <v>584</v>
      </c>
      <c r="G1190" s="32"/>
      <c r="N1190" s="28"/>
      <c r="O1190" s="28"/>
      <c r="X1190" s="40"/>
      <c r="Y1190" s="40"/>
    </row>
    <row r="1191" spans="5:25" x14ac:dyDescent="0.35">
      <c r="E1191" t="s">
        <v>193</v>
      </c>
      <c r="F1191" t="s">
        <v>1105</v>
      </c>
      <c r="G1191" s="32"/>
      <c r="N1191" s="28"/>
      <c r="O1191" s="28"/>
      <c r="X1191" s="40"/>
      <c r="Y1191" s="40"/>
    </row>
    <row r="1192" spans="5:25" x14ac:dyDescent="0.35">
      <c r="E1192" t="s">
        <v>193</v>
      </c>
      <c r="F1192" t="s">
        <v>1106</v>
      </c>
      <c r="G1192" s="32"/>
      <c r="N1192" s="28"/>
      <c r="O1192" s="28"/>
      <c r="X1192" s="40"/>
      <c r="Y1192" s="40"/>
    </row>
    <row r="1193" spans="5:25" x14ac:dyDescent="0.35">
      <c r="E1193" t="s">
        <v>193</v>
      </c>
      <c r="F1193" t="s">
        <v>795</v>
      </c>
      <c r="G1193" s="28"/>
      <c r="N1193" s="28"/>
      <c r="O1193" s="28"/>
      <c r="X1193" s="40"/>
      <c r="Y1193" s="40"/>
    </row>
    <row r="1194" spans="5:25" x14ac:dyDescent="0.35">
      <c r="E1194" t="s">
        <v>193</v>
      </c>
      <c r="F1194" t="s">
        <v>1107</v>
      </c>
      <c r="G1194" s="28"/>
      <c r="N1194" s="28"/>
      <c r="O1194" s="28"/>
      <c r="X1194" s="40"/>
      <c r="Y1194" s="40"/>
    </row>
    <row r="1195" spans="5:25" x14ac:dyDescent="0.35">
      <c r="E1195" t="s">
        <v>193</v>
      </c>
      <c r="F1195" t="s">
        <v>1108</v>
      </c>
      <c r="G1195" s="28"/>
      <c r="N1195" s="28"/>
      <c r="O1195" s="28"/>
      <c r="X1195" s="40"/>
      <c r="Y1195" s="40"/>
    </row>
    <row r="1196" spans="5:25" x14ac:dyDescent="0.35">
      <c r="E1196" t="s">
        <v>194</v>
      </c>
      <c r="F1196" t="s">
        <v>1109</v>
      </c>
      <c r="G1196" s="28"/>
      <c r="N1196" s="28"/>
      <c r="O1196" s="28"/>
      <c r="X1196" s="40"/>
      <c r="Y1196" s="40"/>
    </row>
    <row r="1197" spans="5:25" x14ac:dyDescent="0.35">
      <c r="E1197" t="s">
        <v>194</v>
      </c>
      <c r="F1197" t="s">
        <v>1110</v>
      </c>
      <c r="G1197" s="28"/>
      <c r="N1197" s="28"/>
      <c r="O1197" s="28"/>
      <c r="X1197" s="40"/>
      <c r="Y1197" s="40"/>
    </row>
    <row r="1198" spans="5:25" x14ac:dyDescent="0.35">
      <c r="E1198" t="s">
        <v>194</v>
      </c>
      <c r="F1198" t="s">
        <v>1111</v>
      </c>
      <c r="G1198" s="28"/>
      <c r="N1198" s="28"/>
      <c r="O1198" s="28"/>
      <c r="X1198" s="40"/>
      <c r="Y1198" s="40"/>
    </row>
    <row r="1199" spans="5:25" x14ac:dyDescent="0.35">
      <c r="E1199" t="s">
        <v>194</v>
      </c>
      <c r="F1199" t="s">
        <v>1112</v>
      </c>
      <c r="G1199" s="28"/>
      <c r="N1199" s="28"/>
      <c r="O1199" s="28"/>
      <c r="X1199" s="40"/>
      <c r="Y1199" s="40"/>
    </row>
    <row r="1200" spans="5:25" x14ac:dyDescent="0.35">
      <c r="E1200" t="s">
        <v>194</v>
      </c>
      <c r="F1200" t="s">
        <v>1113</v>
      </c>
      <c r="G1200" s="28"/>
      <c r="N1200" s="28"/>
      <c r="O1200" s="28"/>
      <c r="X1200" s="40"/>
      <c r="Y1200" s="40"/>
    </row>
    <row r="1201" spans="5:25" x14ac:dyDescent="0.35">
      <c r="E1201" t="s">
        <v>194</v>
      </c>
      <c r="F1201" t="s">
        <v>1114</v>
      </c>
      <c r="G1201" s="28"/>
      <c r="N1201" s="28"/>
      <c r="O1201" s="28"/>
      <c r="X1201" s="40"/>
      <c r="Y1201" s="40"/>
    </row>
    <row r="1202" spans="5:25" x14ac:dyDescent="0.35">
      <c r="E1202" t="s">
        <v>194</v>
      </c>
      <c r="F1202" t="s">
        <v>403</v>
      </c>
      <c r="G1202" s="28"/>
      <c r="N1202" s="28"/>
      <c r="O1202" s="28"/>
      <c r="X1202" s="40"/>
      <c r="Y1202" s="40"/>
    </row>
    <row r="1203" spans="5:25" x14ac:dyDescent="0.35">
      <c r="E1203" t="s">
        <v>194</v>
      </c>
      <c r="F1203" t="s">
        <v>1115</v>
      </c>
      <c r="G1203" s="28"/>
      <c r="N1203" s="28"/>
      <c r="O1203" s="28"/>
      <c r="X1203" s="40"/>
      <c r="Y1203" s="40"/>
    </row>
    <row r="1204" spans="5:25" x14ac:dyDescent="0.35">
      <c r="E1204" t="s">
        <v>194</v>
      </c>
      <c r="F1204" t="s">
        <v>1116</v>
      </c>
      <c r="G1204" s="28"/>
      <c r="N1204" s="28"/>
      <c r="O1204" s="28"/>
      <c r="X1204" s="40"/>
      <c r="Y1204" s="40"/>
    </row>
    <row r="1205" spans="5:25" x14ac:dyDescent="0.35">
      <c r="E1205" t="s">
        <v>194</v>
      </c>
      <c r="F1205" t="s">
        <v>1117</v>
      </c>
      <c r="G1205" s="28"/>
      <c r="N1205" s="28"/>
      <c r="O1205" s="28"/>
      <c r="X1205" s="40"/>
      <c r="Y1205" s="40"/>
    </row>
    <row r="1206" spans="5:25" x14ac:dyDescent="0.35">
      <c r="E1206" t="s">
        <v>194</v>
      </c>
      <c r="F1206" t="s">
        <v>1118</v>
      </c>
      <c r="G1206" s="28"/>
      <c r="N1206" s="28"/>
      <c r="O1206" s="28"/>
      <c r="X1206" s="40"/>
      <c r="Y1206" s="40"/>
    </row>
    <row r="1207" spans="5:25" x14ac:dyDescent="0.35">
      <c r="E1207" t="s">
        <v>194</v>
      </c>
      <c r="F1207" t="s">
        <v>1119</v>
      </c>
      <c r="G1207" s="28"/>
      <c r="N1207" s="28"/>
      <c r="O1207" s="28"/>
      <c r="X1207" s="40"/>
      <c r="Y1207" s="40"/>
    </row>
    <row r="1208" spans="5:25" x14ac:dyDescent="0.35">
      <c r="E1208" t="s">
        <v>194</v>
      </c>
      <c r="F1208" t="s">
        <v>1120</v>
      </c>
      <c r="G1208" s="28"/>
      <c r="N1208" s="28"/>
      <c r="O1208" s="28"/>
      <c r="X1208" s="40"/>
      <c r="Y1208" s="40"/>
    </row>
    <row r="1209" spans="5:25" x14ac:dyDescent="0.35">
      <c r="E1209" t="s">
        <v>194</v>
      </c>
      <c r="F1209" t="s">
        <v>421</v>
      </c>
      <c r="G1209" s="28"/>
      <c r="N1209" s="28"/>
      <c r="O1209" s="28"/>
      <c r="X1209" s="40"/>
      <c r="Y1209" s="40"/>
    </row>
    <row r="1210" spans="5:25" x14ac:dyDescent="0.35">
      <c r="E1210" t="s">
        <v>194</v>
      </c>
      <c r="F1210" t="s">
        <v>590</v>
      </c>
      <c r="G1210" s="28"/>
      <c r="N1210" s="28"/>
      <c r="O1210" s="28"/>
      <c r="X1210" s="40"/>
      <c r="Y1210" s="40"/>
    </row>
    <row r="1211" spans="5:25" x14ac:dyDescent="0.35">
      <c r="E1211" t="s">
        <v>194</v>
      </c>
      <c r="F1211" t="s">
        <v>380</v>
      </c>
      <c r="G1211" s="28"/>
      <c r="N1211" s="28"/>
      <c r="O1211" s="28"/>
      <c r="X1211" s="40"/>
      <c r="Y1211" s="40"/>
    </row>
    <row r="1212" spans="5:25" x14ac:dyDescent="0.35">
      <c r="E1212" t="s">
        <v>194</v>
      </c>
      <c r="F1212" t="s">
        <v>1121</v>
      </c>
      <c r="G1212" s="28"/>
      <c r="N1212" s="28"/>
      <c r="O1212" s="28"/>
      <c r="X1212" s="40"/>
      <c r="Y1212" s="40"/>
    </row>
    <row r="1213" spans="5:25" x14ac:dyDescent="0.35">
      <c r="E1213" t="s">
        <v>194</v>
      </c>
      <c r="F1213" t="s">
        <v>1122</v>
      </c>
      <c r="G1213" s="28"/>
      <c r="N1213" s="28"/>
      <c r="O1213" s="28"/>
      <c r="X1213" s="40"/>
      <c r="Y1213" s="40"/>
    </row>
    <row r="1214" spans="5:25" x14ac:dyDescent="0.35">
      <c r="E1214" t="s">
        <v>194</v>
      </c>
      <c r="F1214" t="s">
        <v>1123</v>
      </c>
      <c r="G1214" s="28"/>
      <c r="N1214" s="28"/>
      <c r="O1214" s="28"/>
      <c r="X1214" s="40"/>
      <c r="Y1214" s="40"/>
    </row>
    <row r="1215" spans="5:25" x14ac:dyDescent="0.35">
      <c r="E1215" t="s">
        <v>194</v>
      </c>
      <c r="F1215" t="s">
        <v>1124</v>
      </c>
      <c r="G1215" s="28"/>
      <c r="N1215" s="28"/>
      <c r="O1215" s="28"/>
      <c r="X1215" s="40"/>
      <c r="Y1215" s="40"/>
    </row>
    <row r="1216" spans="5:25" x14ac:dyDescent="0.35">
      <c r="E1216" t="s">
        <v>194</v>
      </c>
      <c r="F1216" t="s">
        <v>729</v>
      </c>
      <c r="G1216" s="28"/>
      <c r="N1216" s="28"/>
      <c r="O1216" s="28"/>
      <c r="X1216" s="40"/>
      <c r="Y1216" s="40"/>
    </row>
    <row r="1217" spans="5:25" x14ac:dyDescent="0.35">
      <c r="E1217" t="s">
        <v>194</v>
      </c>
      <c r="F1217" t="s">
        <v>394</v>
      </c>
      <c r="G1217" s="28"/>
      <c r="N1217" s="28"/>
      <c r="O1217" s="28"/>
      <c r="X1217" s="40"/>
      <c r="Y1217" s="40"/>
    </row>
    <row r="1218" spans="5:25" x14ac:dyDescent="0.35">
      <c r="E1218" t="s">
        <v>194</v>
      </c>
      <c r="F1218" t="s">
        <v>1125</v>
      </c>
      <c r="G1218" s="28"/>
      <c r="N1218" s="28"/>
      <c r="O1218" s="28"/>
      <c r="X1218" s="40"/>
      <c r="Y1218" s="40"/>
    </row>
    <row r="1219" spans="5:25" x14ac:dyDescent="0.35">
      <c r="E1219" t="s">
        <v>194</v>
      </c>
      <c r="F1219" t="s">
        <v>1108</v>
      </c>
      <c r="G1219" s="28"/>
      <c r="N1219" s="28"/>
      <c r="O1219" s="28"/>
      <c r="X1219" s="40"/>
      <c r="Y1219" s="40"/>
    </row>
    <row r="1220" spans="5:25" x14ac:dyDescent="0.35">
      <c r="E1220" t="s">
        <v>195</v>
      </c>
      <c r="F1220" t="s">
        <v>1126</v>
      </c>
      <c r="G1220" s="28"/>
      <c r="N1220" s="28"/>
      <c r="O1220" s="28"/>
      <c r="X1220" s="40"/>
      <c r="Y1220" s="40"/>
    </row>
    <row r="1221" spans="5:25" x14ac:dyDescent="0.35">
      <c r="E1221" t="s">
        <v>195</v>
      </c>
      <c r="F1221" t="s">
        <v>1127</v>
      </c>
      <c r="G1221" s="28"/>
      <c r="N1221" s="28"/>
      <c r="O1221" s="28"/>
      <c r="X1221" s="40"/>
      <c r="Y1221" s="40"/>
    </row>
    <row r="1222" spans="5:25" x14ac:dyDescent="0.35">
      <c r="E1222" t="s">
        <v>195</v>
      </c>
      <c r="F1222" t="s">
        <v>849</v>
      </c>
      <c r="G1222" s="28"/>
      <c r="N1222" s="28"/>
      <c r="O1222" s="28"/>
      <c r="X1222" s="40"/>
      <c r="Y1222" s="40"/>
    </row>
    <row r="1223" spans="5:25" x14ac:dyDescent="0.35">
      <c r="E1223" t="s">
        <v>195</v>
      </c>
      <c r="F1223" t="s">
        <v>359</v>
      </c>
      <c r="G1223" s="28"/>
      <c r="N1223" s="28"/>
      <c r="O1223" s="28"/>
      <c r="X1223" s="40"/>
      <c r="Y1223" s="40"/>
    </row>
    <row r="1224" spans="5:25" x14ac:dyDescent="0.35">
      <c r="E1224" t="s">
        <v>195</v>
      </c>
      <c r="F1224" t="s">
        <v>695</v>
      </c>
      <c r="G1224" s="28"/>
      <c r="N1224" s="28"/>
      <c r="O1224" s="28"/>
      <c r="X1224" s="40"/>
      <c r="Y1224" s="40"/>
    </row>
    <row r="1225" spans="5:25" x14ac:dyDescent="0.35">
      <c r="E1225" t="s">
        <v>195</v>
      </c>
      <c r="F1225" t="s">
        <v>1128</v>
      </c>
      <c r="G1225" s="28"/>
      <c r="N1225" s="28"/>
      <c r="O1225" s="28"/>
      <c r="X1225" s="40"/>
      <c r="Y1225" s="40"/>
    </row>
    <row r="1226" spans="5:25" x14ac:dyDescent="0.35">
      <c r="E1226" t="s">
        <v>195</v>
      </c>
      <c r="F1226" t="s">
        <v>863</v>
      </c>
      <c r="G1226" s="28"/>
      <c r="N1226" s="28"/>
      <c r="O1226" s="28"/>
      <c r="X1226" s="40"/>
      <c r="Y1226" s="40"/>
    </row>
    <row r="1227" spans="5:25" x14ac:dyDescent="0.35">
      <c r="E1227" t="s">
        <v>195</v>
      </c>
      <c r="F1227" t="s">
        <v>426</v>
      </c>
      <c r="G1227" s="28"/>
      <c r="N1227" s="28"/>
      <c r="O1227" s="28"/>
      <c r="X1227" s="40"/>
      <c r="Y1227" s="40"/>
    </row>
    <row r="1228" spans="5:25" x14ac:dyDescent="0.35">
      <c r="E1228" t="s">
        <v>195</v>
      </c>
      <c r="F1228" t="s">
        <v>1129</v>
      </c>
      <c r="G1228" s="28"/>
      <c r="N1228" s="28"/>
      <c r="O1228" s="28"/>
      <c r="X1228" s="40"/>
      <c r="Y1228" s="40"/>
    </row>
    <row r="1229" spans="5:25" x14ac:dyDescent="0.35">
      <c r="E1229" t="s">
        <v>195</v>
      </c>
      <c r="F1229" t="s">
        <v>1130</v>
      </c>
      <c r="G1229" s="28"/>
      <c r="N1229" s="28"/>
      <c r="O1229" s="28"/>
      <c r="X1229" s="40"/>
      <c r="Y1229" s="40"/>
    </row>
    <row r="1230" spans="5:25" x14ac:dyDescent="0.35">
      <c r="E1230" t="s">
        <v>195</v>
      </c>
      <c r="F1230" t="s">
        <v>1131</v>
      </c>
      <c r="G1230" s="28"/>
      <c r="N1230" s="28"/>
      <c r="O1230" s="28"/>
      <c r="X1230" s="40"/>
      <c r="Y1230" s="40"/>
    </row>
    <row r="1231" spans="5:25" x14ac:dyDescent="0.35">
      <c r="E1231" t="s">
        <v>195</v>
      </c>
      <c r="F1231" t="s">
        <v>1132</v>
      </c>
      <c r="G1231" s="28"/>
      <c r="N1231" s="28"/>
      <c r="O1231" s="28"/>
      <c r="X1231" s="40"/>
      <c r="Y1231" s="40"/>
    </row>
    <row r="1232" spans="5:25" x14ac:dyDescent="0.35">
      <c r="E1232" t="s">
        <v>195</v>
      </c>
      <c r="F1232" t="s">
        <v>1124</v>
      </c>
      <c r="G1232" s="28"/>
      <c r="N1232" s="28"/>
      <c r="O1232" s="28"/>
      <c r="X1232" s="40"/>
      <c r="Y1232" s="40"/>
    </row>
    <row r="1233" spans="5:25" x14ac:dyDescent="0.35">
      <c r="E1233" t="s">
        <v>195</v>
      </c>
      <c r="F1233" t="s">
        <v>1133</v>
      </c>
      <c r="G1233" s="28"/>
      <c r="N1233" s="28"/>
      <c r="O1233" s="28"/>
      <c r="X1233" s="40"/>
      <c r="Y1233" s="40"/>
    </row>
    <row r="1234" spans="5:25" x14ac:dyDescent="0.35">
      <c r="E1234" t="s">
        <v>195</v>
      </c>
      <c r="F1234" t="s">
        <v>394</v>
      </c>
      <c r="G1234" s="28"/>
      <c r="N1234" s="28"/>
      <c r="O1234" s="28"/>
      <c r="X1234" s="40"/>
      <c r="Y1234" s="40"/>
    </row>
    <row r="1235" spans="5:25" x14ac:dyDescent="0.35">
      <c r="E1235" t="s">
        <v>195</v>
      </c>
      <c r="F1235" t="s">
        <v>1134</v>
      </c>
      <c r="G1235" s="28"/>
      <c r="N1235" s="28"/>
      <c r="O1235" s="28"/>
      <c r="X1235" s="40"/>
      <c r="Y1235" s="40"/>
    </row>
    <row r="1236" spans="5:25" x14ac:dyDescent="0.35">
      <c r="E1236" t="s">
        <v>296</v>
      </c>
      <c r="F1236" t="s">
        <v>1135</v>
      </c>
      <c r="G1236" s="28"/>
      <c r="N1236" s="28"/>
      <c r="O1236" s="28"/>
      <c r="X1236" s="40"/>
      <c r="Y1236" s="40"/>
    </row>
    <row r="1237" spans="5:25" x14ac:dyDescent="0.35">
      <c r="E1237" t="s">
        <v>196</v>
      </c>
      <c r="F1237" t="s">
        <v>1136</v>
      </c>
      <c r="G1237" s="28"/>
      <c r="N1237" s="28"/>
      <c r="O1237" s="28"/>
      <c r="X1237" s="40"/>
      <c r="Y1237" s="40"/>
    </row>
    <row r="1238" spans="5:25" x14ac:dyDescent="0.35">
      <c r="E1238" t="s">
        <v>196</v>
      </c>
      <c r="F1238" t="s">
        <v>1137</v>
      </c>
      <c r="G1238" s="28"/>
      <c r="N1238" s="28"/>
      <c r="O1238" s="28"/>
      <c r="X1238" s="40"/>
      <c r="Y1238" s="40"/>
    </row>
    <row r="1239" spans="5:25" x14ac:dyDescent="0.35">
      <c r="E1239" t="s">
        <v>196</v>
      </c>
      <c r="F1239" t="s">
        <v>1138</v>
      </c>
      <c r="G1239" s="28"/>
      <c r="N1239" s="28"/>
      <c r="O1239" s="28"/>
      <c r="X1239" s="40"/>
      <c r="Y1239" s="40"/>
    </row>
    <row r="1240" spans="5:25" x14ac:dyDescent="0.35">
      <c r="E1240" t="s">
        <v>196</v>
      </c>
      <c r="F1240" t="s">
        <v>1139</v>
      </c>
      <c r="G1240" s="28"/>
      <c r="N1240" s="28"/>
      <c r="O1240" s="28"/>
      <c r="X1240" s="40"/>
      <c r="Y1240" s="40"/>
    </row>
    <row r="1241" spans="5:25" x14ac:dyDescent="0.35">
      <c r="E1241" t="s">
        <v>196</v>
      </c>
      <c r="F1241" t="s">
        <v>1140</v>
      </c>
      <c r="G1241" s="28"/>
      <c r="N1241" s="28"/>
      <c r="O1241" s="28"/>
      <c r="X1241" s="40"/>
      <c r="Y1241" s="40"/>
    </row>
    <row r="1242" spans="5:25" x14ac:dyDescent="0.35">
      <c r="E1242" t="s">
        <v>196</v>
      </c>
      <c r="F1242" t="s">
        <v>1141</v>
      </c>
      <c r="G1242" s="28"/>
      <c r="N1242" s="28"/>
      <c r="O1242" s="28"/>
      <c r="X1242" s="40"/>
      <c r="Y1242" s="40"/>
    </row>
    <row r="1243" spans="5:25" x14ac:dyDescent="0.35">
      <c r="E1243" t="s">
        <v>196</v>
      </c>
      <c r="F1243" t="s">
        <v>1142</v>
      </c>
      <c r="G1243" s="28"/>
      <c r="N1243" s="28"/>
      <c r="O1243" s="28"/>
      <c r="X1243" s="40"/>
      <c r="Y1243" s="40"/>
    </row>
    <row r="1244" spans="5:25" x14ac:dyDescent="0.35">
      <c r="E1244" t="s">
        <v>196</v>
      </c>
      <c r="F1244" t="s">
        <v>1143</v>
      </c>
      <c r="G1244" s="28"/>
      <c r="N1244" s="28"/>
      <c r="O1244" s="28"/>
      <c r="X1244" s="40"/>
      <c r="Y1244" s="40"/>
    </row>
    <row r="1245" spans="5:25" x14ac:dyDescent="0.35">
      <c r="E1245" t="s">
        <v>196</v>
      </c>
      <c r="F1245" t="s">
        <v>595</v>
      </c>
      <c r="G1245" s="28"/>
      <c r="N1245" s="28"/>
      <c r="O1245" s="28"/>
      <c r="X1245" s="40"/>
      <c r="Y1245" s="40"/>
    </row>
    <row r="1246" spans="5:25" x14ac:dyDescent="0.35">
      <c r="E1246" t="s">
        <v>196</v>
      </c>
      <c r="F1246" t="s">
        <v>1144</v>
      </c>
      <c r="G1246" s="28"/>
      <c r="N1246" s="28"/>
      <c r="O1246" s="28"/>
      <c r="X1246" s="40"/>
      <c r="Y1246" s="40"/>
    </row>
    <row r="1247" spans="5:25" x14ac:dyDescent="0.35">
      <c r="E1247" t="s">
        <v>196</v>
      </c>
      <c r="F1247" t="s">
        <v>650</v>
      </c>
      <c r="G1247" s="28"/>
      <c r="N1247" s="28"/>
      <c r="O1247" s="28"/>
      <c r="X1247" s="40"/>
      <c r="Y1247" s="40"/>
    </row>
    <row r="1248" spans="5:25" x14ac:dyDescent="0.35">
      <c r="E1248" t="s">
        <v>196</v>
      </c>
      <c r="F1248" t="s">
        <v>1145</v>
      </c>
      <c r="G1248" s="28"/>
      <c r="N1248" s="28"/>
      <c r="O1248" s="28"/>
      <c r="X1248" s="40"/>
      <c r="Y1248" s="40"/>
    </row>
    <row r="1249" spans="5:25" x14ac:dyDescent="0.35">
      <c r="E1249" t="s">
        <v>196</v>
      </c>
      <c r="F1249" t="s">
        <v>337</v>
      </c>
      <c r="G1249" s="28"/>
      <c r="N1249" s="28"/>
      <c r="O1249" s="28"/>
      <c r="X1249" s="40"/>
      <c r="Y1249" s="40"/>
    </row>
    <row r="1250" spans="5:25" x14ac:dyDescent="0.35">
      <c r="E1250" t="s">
        <v>196</v>
      </c>
      <c r="F1250" t="s">
        <v>765</v>
      </c>
      <c r="G1250" s="28"/>
      <c r="N1250" s="28"/>
      <c r="O1250" s="28"/>
      <c r="X1250" s="40"/>
      <c r="Y1250" s="40"/>
    </row>
    <row r="1251" spans="5:25" x14ac:dyDescent="0.35">
      <c r="E1251" t="s">
        <v>196</v>
      </c>
      <c r="F1251" t="s">
        <v>1146</v>
      </c>
      <c r="G1251" s="28"/>
      <c r="N1251" s="28"/>
      <c r="O1251" s="28"/>
      <c r="X1251" s="40"/>
      <c r="Y1251" s="40"/>
    </row>
    <row r="1252" spans="5:25" x14ac:dyDescent="0.35">
      <c r="E1252" t="s">
        <v>196</v>
      </c>
      <c r="F1252" t="s">
        <v>1147</v>
      </c>
      <c r="G1252" s="28"/>
      <c r="N1252" s="28"/>
      <c r="O1252" s="28"/>
      <c r="X1252" s="40"/>
      <c r="Y1252" s="40"/>
    </row>
    <row r="1253" spans="5:25" x14ac:dyDescent="0.35">
      <c r="E1253" t="s">
        <v>196</v>
      </c>
      <c r="F1253" t="s">
        <v>1148</v>
      </c>
      <c r="G1253" s="28"/>
      <c r="N1253" s="28"/>
      <c r="O1253" s="28"/>
      <c r="X1253" s="40"/>
      <c r="Y1253" s="40"/>
    </row>
    <row r="1254" spans="5:25" x14ac:dyDescent="0.35">
      <c r="E1254" t="s">
        <v>196</v>
      </c>
      <c r="F1254" t="s">
        <v>1149</v>
      </c>
      <c r="G1254" s="28"/>
      <c r="N1254" s="28"/>
      <c r="O1254" s="28"/>
      <c r="X1254" s="40"/>
      <c r="Y1254" s="40"/>
    </row>
    <row r="1255" spans="5:25" x14ac:dyDescent="0.35">
      <c r="E1255" t="s">
        <v>196</v>
      </c>
      <c r="F1255" t="s">
        <v>769</v>
      </c>
      <c r="G1255" s="28"/>
      <c r="N1255" s="28"/>
      <c r="O1255" s="28"/>
      <c r="X1255" s="40"/>
      <c r="Y1255" s="40"/>
    </row>
    <row r="1256" spans="5:25" x14ac:dyDescent="0.35">
      <c r="E1256" t="s">
        <v>196</v>
      </c>
      <c r="F1256" t="s">
        <v>410</v>
      </c>
      <c r="G1256" s="28"/>
      <c r="N1256" s="28"/>
      <c r="O1256" s="28"/>
      <c r="X1256" s="40"/>
      <c r="Y1256" s="40"/>
    </row>
    <row r="1257" spans="5:25" x14ac:dyDescent="0.35">
      <c r="E1257" t="s">
        <v>196</v>
      </c>
      <c r="F1257" t="s">
        <v>541</v>
      </c>
      <c r="G1257" s="28"/>
      <c r="N1257" s="28"/>
      <c r="O1257" s="28"/>
      <c r="X1257" s="40"/>
      <c r="Y1257" s="40"/>
    </row>
    <row r="1258" spans="5:25" x14ac:dyDescent="0.35">
      <c r="E1258" t="s">
        <v>196</v>
      </c>
      <c r="F1258" t="s">
        <v>773</v>
      </c>
      <c r="G1258" s="28"/>
      <c r="N1258" s="28"/>
      <c r="O1258" s="28"/>
      <c r="X1258" s="40"/>
      <c r="Y1258" s="40"/>
    </row>
    <row r="1259" spans="5:25" x14ac:dyDescent="0.35">
      <c r="E1259" t="s">
        <v>196</v>
      </c>
      <c r="F1259" t="s">
        <v>1150</v>
      </c>
      <c r="G1259" s="28"/>
      <c r="N1259" s="28"/>
      <c r="O1259" s="28"/>
      <c r="X1259" s="40"/>
      <c r="Y1259" s="40"/>
    </row>
    <row r="1260" spans="5:25" x14ac:dyDescent="0.35">
      <c r="E1260" t="s">
        <v>196</v>
      </c>
      <c r="F1260" t="s">
        <v>775</v>
      </c>
      <c r="G1260" s="28"/>
      <c r="N1260" s="28"/>
      <c r="O1260" s="28"/>
      <c r="X1260" s="40"/>
      <c r="Y1260" s="40"/>
    </row>
    <row r="1261" spans="5:25" x14ac:dyDescent="0.35">
      <c r="E1261" t="s">
        <v>196</v>
      </c>
      <c r="F1261" t="s">
        <v>1151</v>
      </c>
      <c r="G1261" s="28"/>
      <c r="N1261" s="28"/>
      <c r="O1261" s="28"/>
      <c r="X1261" s="40"/>
      <c r="Y1261" s="40"/>
    </row>
    <row r="1262" spans="5:25" x14ac:dyDescent="0.35">
      <c r="E1262" t="s">
        <v>196</v>
      </c>
      <c r="F1262" t="s">
        <v>1152</v>
      </c>
      <c r="G1262" s="28"/>
      <c r="N1262" s="28"/>
      <c r="O1262" s="28"/>
      <c r="X1262" s="40"/>
      <c r="Y1262" s="40"/>
    </row>
    <row r="1263" spans="5:25" x14ac:dyDescent="0.35">
      <c r="E1263" t="s">
        <v>196</v>
      </c>
      <c r="F1263" t="s">
        <v>1153</v>
      </c>
      <c r="G1263" s="28"/>
      <c r="N1263" s="28"/>
      <c r="O1263" s="28"/>
      <c r="X1263" s="40"/>
      <c r="Y1263" s="40"/>
    </row>
    <row r="1264" spans="5:25" x14ac:dyDescent="0.35">
      <c r="E1264" t="s">
        <v>196</v>
      </c>
      <c r="F1264" t="s">
        <v>1154</v>
      </c>
      <c r="G1264" s="28"/>
      <c r="N1264" s="28"/>
      <c r="O1264" s="28"/>
      <c r="X1264" s="40"/>
      <c r="Y1264" s="40"/>
    </row>
    <row r="1265" spans="5:25" x14ac:dyDescent="0.35">
      <c r="E1265" t="s">
        <v>196</v>
      </c>
      <c r="F1265" t="s">
        <v>1155</v>
      </c>
      <c r="G1265" s="28"/>
      <c r="N1265" s="28"/>
      <c r="O1265" s="28"/>
      <c r="X1265" s="40"/>
      <c r="Y1265" s="40"/>
    </row>
    <row r="1266" spans="5:25" x14ac:dyDescent="0.35">
      <c r="E1266" t="s">
        <v>196</v>
      </c>
      <c r="F1266" t="s">
        <v>1156</v>
      </c>
      <c r="G1266" s="28"/>
      <c r="N1266" s="28"/>
      <c r="O1266" s="28"/>
      <c r="X1266" s="40"/>
      <c r="Y1266" s="40"/>
    </row>
    <row r="1267" spans="5:25" x14ac:dyDescent="0.35">
      <c r="E1267" t="s">
        <v>196</v>
      </c>
      <c r="F1267" t="s">
        <v>1157</v>
      </c>
      <c r="G1267" s="28"/>
      <c r="N1267" s="28"/>
      <c r="O1267" s="28"/>
      <c r="X1267" s="40"/>
      <c r="Y1267" s="40"/>
    </row>
    <row r="1268" spans="5:25" x14ac:dyDescent="0.35">
      <c r="E1268" t="s">
        <v>196</v>
      </c>
      <c r="F1268" t="s">
        <v>1158</v>
      </c>
      <c r="G1268" s="28"/>
      <c r="N1268" s="28"/>
      <c r="O1268" s="28"/>
      <c r="X1268" s="40"/>
      <c r="Y1268" s="40"/>
    </row>
    <row r="1269" spans="5:25" x14ac:dyDescent="0.35">
      <c r="E1269" t="s">
        <v>196</v>
      </c>
      <c r="F1269" t="s">
        <v>1159</v>
      </c>
      <c r="G1269" s="28"/>
      <c r="N1269" s="28"/>
      <c r="O1269" s="28"/>
      <c r="X1269" s="40"/>
      <c r="Y1269" s="40"/>
    </row>
    <row r="1270" spans="5:25" x14ac:dyDescent="0.35">
      <c r="E1270" t="s">
        <v>196</v>
      </c>
      <c r="F1270" t="s">
        <v>1160</v>
      </c>
      <c r="G1270" s="28"/>
      <c r="N1270" s="28"/>
      <c r="O1270" s="28"/>
      <c r="X1270" s="40"/>
      <c r="Y1270" s="40"/>
    </row>
    <row r="1271" spans="5:25" x14ac:dyDescent="0.35">
      <c r="E1271" t="s">
        <v>196</v>
      </c>
      <c r="F1271" t="s">
        <v>1161</v>
      </c>
      <c r="G1271" s="28"/>
      <c r="N1271" s="28"/>
      <c r="O1271" s="28"/>
      <c r="X1271" s="40"/>
      <c r="Y1271" s="40"/>
    </row>
    <row r="1272" spans="5:25" x14ac:dyDescent="0.35">
      <c r="E1272" t="s">
        <v>196</v>
      </c>
      <c r="F1272" t="s">
        <v>1162</v>
      </c>
      <c r="G1272" s="28"/>
      <c r="N1272" s="28"/>
      <c r="O1272" s="28"/>
      <c r="X1272" s="40"/>
      <c r="Y1272" s="40"/>
    </row>
    <row r="1273" spans="5:25" x14ac:dyDescent="0.35">
      <c r="E1273" t="s">
        <v>196</v>
      </c>
      <c r="F1273" t="s">
        <v>1163</v>
      </c>
      <c r="G1273" s="28"/>
      <c r="N1273" s="28"/>
      <c r="O1273" s="28"/>
      <c r="X1273" s="40"/>
      <c r="Y1273" s="40"/>
    </row>
    <row r="1274" spans="5:25" x14ac:dyDescent="0.35">
      <c r="E1274" t="s">
        <v>196</v>
      </c>
      <c r="F1274" t="s">
        <v>365</v>
      </c>
      <c r="G1274" s="28"/>
      <c r="N1274" s="28"/>
      <c r="O1274" s="28"/>
      <c r="X1274" s="40"/>
      <c r="Y1274" s="40"/>
    </row>
    <row r="1275" spans="5:25" x14ac:dyDescent="0.35">
      <c r="E1275" t="s">
        <v>196</v>
      </c>
      <c r="F1275" t="s">
        <v>1164</v>
      </c>
      <c r="G1275" s="28"/>
      <c r="N1275" s="28"/>
      <c r="O1275" s="28"/>
      <c r="X1275" s="40"/>
      <c r="Y1275" s="40"/>
    </row>
    <row r="1276" spans="5:25" x14ac:dyDescent="0.35">
      <c r="E1276" t="s">
        <v>196</v>
      </c>
      <c r="F1276" t="s">
        <v>1165</v>
      </c>
      <c r="G1276" s="28"/>
      <c r="N1276" s="28"/>
      <c r="O1276" s="28"/>
      <c r="X1276" s="40"/>
      <c r="Y1276" s="40"/>
    </row>
    <row r="1277" spans="5:25" x14ac:dyDescent="0.35">
      <c r="E1277" t="s">
        <v>196</v>
      </c>
      <c r="F1277" t="s">
        <v>590</v>
      </c>
      <c r="G1277" s="28"/>
      <c r="N1277" s="28"/>
      <c r="O1277" s="28"/>
      <c r="X1277" s="40"/>
      <c r="Y1277" s="40"/>
    </row>
    <row r="1278" spans="5:25" x14ac:dyDescent="0.35">
      <c r="E1278" t="s">
        <v>196</v>
      </c>
      <c r="F1278" t="s">
        <v>1166</v>
      </c>
      <c r="G1278" s="28"/>
      <c r="N1278" s="28"/>
      <c r="O1278" s="28"/>
      <c r="X1278" s="40"/>
      <c r="Y1278" s="40"/>
    </row>
    <row r="1279" spans="5:25" x14ac:dyDescent="0.35">
      <c r="E1279" t="s">
        <v>196</v>
      </c>
      <c r="F1279" t="s">
        <v>486</v>
      </c>
      <c r="G1279" s="28"/>
      <c r="N1279" s="28"/>
      <c r="O1279" s="28"/>
      <c r="X1279" s="40"/>
      <c r="Y1279" s="40"/>
    </row>
    <row r="1280" spans="5:25" x14ac:dyDescent="0.35">
      <c r="E1280" t="s">
        <v>196</v>
      </c>
      <c r="F1280" t="s">
        <v>1167</v>
      </c>
      <c r="G1280" s="28"/>
      <c r="N1280" s="28"/>
      <c r="O1280" s="28"/>
      <c r="X1280" s="40"/>
      <c r="Y1280" s="40"/>
    </row>
    <row r="1281" spans="5:25" x14ac:dyDescent="0.35">
      <c r="E1281" t="s">
        <v>196</v>
      </c>
      <c r="F1281" t="s">
        <v>1168</v>
      </c>
      <c r="G1281" s="28"/>
      <c r="N1281" s="28"/>
      <c r="O1281" s="28"/>
      <c r="X1281" s="40"/>
      <c r="Y1281" s="40"/>
    </row>
    <row r="1282" spans="5:25" x14ac:dyDescent="0.35">
      <c r="E1282" t="s">
        <v>196</v>
      </c>
      <c r="F1282" t="s">
        <v>1169</v>
      </c>
      <c r="G1282" s="28"/>
      <c r="N1282" s="28"/>
      <c r="O1282" s="28"/>
      <c r="X1282" s="40"/>
      <c r="Y1282" s="40"/>
    </row>
    <row r="1283" spans="5:25" x14ac:dyDescent="0.35">
      <c r="E1283" t="s">
        <v>196</v>
      </c>
      <c r="F1283" t="s">
        <v>865</v>
      </c>
      <c r="G1283" s="28"/>
      <c r="N1283" s="28"/>
      <c r="O1283" s="28"/>
      <c r="X1283" s="40"/>
      <c r="Y1283" s="40"/>
    </row>
    <row r="1284" spans="5:25" x14ac:dyDescent="0.35">
      <c r="E1284" t="s">
        <v>196</v>
      </c>
      <c r="F1284" t="s">
        <v>1170</v>
      </c>
      <c r="G1284" s="28"/>
      <c r="N1284" s="28"/>
      <c r="O1284" s="28"/>
      <c r="X1284" s="40"/>
      <c r="Y1284" s="40"/>
    </row>
    <row r="1285" spans="5:25" x14ac:dyDescent="0.35">
      <c r="E1285" t="s">
        <v>196</v>
      </c>
      <c r="F1285" t="s">
        <v>1171</v>
      </c>
      <c r="G1285" s="28"/>
      <c r="N1285" s="28"/>
      <c r="O1285" s="28"/>
      <c r="X1285" s="40"/>
      <c r="Y1285" s="40"/>
    </row>
    <row r="1286" spans="5:25" x14ac:dyDescent="0.35">
      <c r="E1286" t="s">
        <v>196</v>
      </c>
      <c r="F1286" t="s">
        <v>1172</v>
      </c>
      <c r="G1286" s="28"/>
      <c r="N1286" s="28"/>
      <c r="O1286" s="28"/>
      <c r="X1286" s="40"/>
      <c r="Y1286" s="40"/>
    </row>
    <row r="1287" spans="5:25" x14ac:dyDescent="0.35">
      <c r="E1287" t="s">
        <v>196</v>
      </c>
      <c r="F1287" t="s">
        <v>1173</v>
      </c>
      <c r="G1287" s="28"/>
      <c r="N1287" s="28"/>
      <c r="O1287" s="28"/>
      <c r="X1287" s="40"/>
      <c r="Y1287" s="40"/>
    </row>
    <row r="1288" spans="5:25" x14ac:dyDescent="0.35">
      <c r="E1288" t="s">
        <v>196</v>
      </c>
      <c r="F1288" t="s">
        <v>1174</v>
      </c>
      <c r="G1288" s="28"/>
      <c r="N1288" s="28"/>
      <c r="O1288" s="28"/>
      <c r="X1288" s="40"/>
      <c r="Y1288" s="40"/>
    </row>
    <row r="1289" spans="5:25" x14ac:dyDescent="0.35">
      <c r="E1289" t="s">
        <v>196</v>
      </c>
      <c r="F1289" t="s">
        <v>867</v>
      </c>
      <c r="G1289" s="28"/>
      <c r="N1289" s="28"/>
      <c r="O1289" s="28"/>
      <c r="X1289" s="40"/>
      <c r="Y1289" s="40"/>
    </row>
    <row r="1290" spans="5:25" x14ac:dyDescent="0.35">
      <c r="E1290" t="s">
        <v>196</v>
      </c>
      <c r="F1290" t="s">
        <v>1175</v>
      </c>
      <c r="G1290" s="28"/>
      <c r="N1290" s="28"/>
      <c r="O1290" s="28"/>
      <c r="X1290" s="40"/>
      <c r="Y1290" s="40"/>
    </row>
    <row r="1291" spans="5:25" x14ac:dyDescent="0.35">
      <c r="E1291" t="s">
        <v>196</v>
      </c>
      <c r="F1291" t="s">
        <v>1176</v>
      </c>
      <c r="G1291" s="28"/>
      <c r="N1291" s="28"/>
      <c r="O1291" s="28"/>
      <c r="X1291" s="40"/>
      <c r="Y1291" s="40"/>
    </row>
    <row r="1292" spans="5:25" x14ac:dyDescent="0.35">
      <c r="E1292" t="s">
        <v>196</v>
      </c>
      <c r="F1292" t="s">
        <v>1177</v>
      </c>
      <c r="G1292" s="28"/>
      <c r="N1292" s="28"/>
      <c r="O1292" s="28"/>
      <c r="X1292" s="40"/>
      <c r="Y1292" s="40"/>
    </row>
    <row r="1293" spans="5:25" x14ac:dyDescent="0.35">
      <c r="E1293" t="s">
        <v>196</v>
      </c>
      <c r="F1293" t="s">
        <v>1178</v>
      </c>
      <c r="G1293" s="28"/>
      <c r="N1293" s="28"/>
      <c r="O1293" s="28"/>
      <c r="X1293" s="40"/>
      <c r="Y1293" s="40"/>
    </row>
    <row r="1294" spans="5:25" x14ac:dyDescent="0.35">
      <c r="E1294" t="s">
        <v>196</v>
      </c>
      <c r="F1294" t="s">
        <v>379</v>
      </c>
      <c r="G1294" s="28"/>
      <c r="N1294" s="28"/>
      <c r="O1294" s="28"/>
      <c r="X1294" s="40"/>
      <c r="Y1294" s="40"/>
    </row>
    <row r="1295" spans="5:25" x14ac:dyDescent="0.35">
      <c r="E1295" t="s">
        <v>196</v>
      </c>
      <c r="F1295" t="s">
        <v>1179</v>
      </c>
      <c r="G1295" s="28"/>
      <c r="N1295" s="28"/>
      <c r="O1295" s="28"/>
      <c r="X1295" s="40"/>
      <c r="Y1295" s="40"/>
    </row>
    <row r="1296" spans="5:25" x14ac:dyDescent="0.35">
      <c r="E1296" t="s">
        <v>196</v>
      </c>
      <c r="F1296" t="s">
        <v>1180</v>
      </c>
      <c r="G1296" s="28"/>
      <c r="N1296" s="28"/>
      <c r="O1296" s="28"/>
      <c r="X1296" s="40"/>
      <c r="Y1296" s="40"/>
    </row>
    <row r="1297" spans="5:25" x14ac:dyDescent="0.35">
      <c r="E1297" t="s">
        <v>196</v>
      </c>
      <c r="F1297" t="s">
        <v>1181</v>
      </c>
      <c r="G1297" s="28"/>
      <c r="N1297" s="28"/>
      <c r="O1297" s="28"/>
      <c r="X1297" s="40"/>
      <c r="Y1297" s="40"/>
    </row>
    <row r="1298" spans="5:25" x14ac:dyDescent="0.35">
      <c r="E1298" t="s">
        <v>196</v>
      </c>
      <c r="F1298" t="s">
        <v>1182</v>
      </c>
      <c r="G1298" s="28"/>
      <c r="N1298" s="28"/>
      <c r="O1298" s="28"/>
      <c r="X1298" s="40"/>
      <c r="Y1298" s="40"/>
    </row>
    <row r="1299" spans="5:25" x14ac:dyDescent="0.35">
      <c r="E1299" t="s">
        <v>196</v>
      </c>
      <c r="F1299" t="s">
        <v>1183</v>
      </c>
      <c r="G1299" s="28"/>
      <c r="N1299" s="28"/>
      <c r="O1299" s="28"/>
      <c r="X1299" s="40"/>
      <c r="Y1299" s="40"/>
    </row>
    <row r="1300" spans="5:25" x14ac:dyDescent="0.35">
      <c r="E1300" t="s">
        <v>196</v>
      </c>
      <c r="F1300" t="s">
        <v>1184</v>
      </c>
      <c r="G1300" s="28"/>
      <c r="N1300" s="28"/>
      <c r="O1300" s="28"/>
      <c r="X1300" s="40"/>
      <c r="Y1300" s="40"/>
    </row>
    <row r="1301" spans="5:25" x14ac:dyDescent="0.35">
      <c r="E1301" t="s">
        <v>196</v>
      </c>
      <c r="F1301" t="s">
        <v>1185</v>
      </c>
      <c r="G1301" s="28"/>
      <c r="N1301" s="28"/>
      <c r="O1301" s="28"/>
      <c r="X1301" s="40"/>
      <c r="Y1301" s="40"/>
    </row>
    <row r="1302" spans="5:25" x14ac:dyDescent="0.35">
      <c r="E1302" t="s">
        <v>196</v>
      </c>
      <c r="F1302" t="s">
        <v>1186</v>
      </c>
      <c r="G1302" s="28"/>
      <c r="N1302" s="28"/>
      <c r="O1302" s="28"/>
      <c r="X1302" s="40"/>
      <c r="Y1302" s="40"/>
    </row>
    <row r="1303" spans="5:25" x14ac:dyDescent="0.35">
      <c r="E1303" t="s">
        <v>196</v>
      </c>
      <c r="F1303" t="s">
        <v>627</v>
      </c>
      <c r="G1303" s="28"/>
      <c r="N1303" s="28"/>
      <c r="O1303" s="28"/>
      <c r="X1303" s="40"/>
      <c r="Y1303" s="40"/>
    </row>
    <row r="1304" spans="5:25" x14ac:dyDescent="0.35">
      <c r="E1304" t="s">
        <v>196</v>
      </c>
      <c r="F1304" t="s">
        <v>1187</v>
      </c>
      <c r="G1304" s="28"/>
      <c r="N1304" s="28"/>
      <c r="O1304" s="28"/>
      <c r="X1304" s="40"/>
      <c r="Y1304" s="40"/>
    </row>
    <row r="1305" spans="5:25" x14ac:dyDescent="0.35">
      <c r="E1305" t="s">
        <v>196</v>
      </c>
      <c r="F1305" t="s">
        <v>1188</v>
      </c>
      <c r="G1305" s="28"/>
      <c r="N1305" s="28"/>
      <c r="O1305" s="28"/>
      <c r="X1305" s="40"/>
      <c r="Y1305" s="40"/>
    </row>
    <row r="1306" spans="5:25" x14ac:dyDescent="0.35">
      <c r="E1306" t="s">
        <v>196</v>
      </c>
      <c r="F1306" t="s">
        <v>971</v>
      </c>
      <c r="G1306" s="28"/>
      <c r="N1306" s="28"/>
      <c r="O1306" s="28"/>
      <c r="X1306" s="40"/>
      <c r="Y1306" s="40"/>
    </row>
    <row r="1307" spans="5:25" x14ac:dyDescent="0.35">
      <c r="E1307" t="s">
        <v>196</v>
      </c>
      <c r="F1307" t="s">
        <v>1189</v>
      </c>
      <c r="G1307" s="28"/>
      <c r="N1307" s="28"/>
      <c r="O1307" s="28"/>
      <c r="X1307" s="40"/>
      <c r="Y1307" s="40"/>
    </row>
    <row r="1308" spans="5:25" x14ac:dyDescent="0.35">
      <c r="E1308" t="s">
        <v>196</v>
      </c>
      <c r="F1308" t="s">
        <v>1190</v>
      </c>
      <c r="G1308" s="28"/>
      <c r="N1308" s="28"/>
      <c r="O1308" s="28"/>
      <c r="X1308" s="40"/>
      <c r="Y1308" s="40"/>
    </row>
    <row r="1309" spans="5:25" x14ac:dyDescent="0.35">
      <c r="E1309" t="s">
        <v>196</v>
      </c>
      <c r="F1309" t="s">
        <v>1191</v>
      </c>
      <c r="G1309" s="28"/>
      <c r="N1309" s="28"/>
      <c r="O1309" s="28"/>
      <c r="X1309" s="40"/>
      <c r="Y1309" s="40"/>
    </row>
    <row r="1310" spans="5:25" x14ac:dyDescent="0.35">
      <c r="E1310" t="s">
        <v>196</v>
      </c>
      <c r="F1310" t="s">
        <v>387</v>
      </c>
      <c r="G1310" s="28"/>
      <c r="N1310" s="28"/>
      <c r="O1310" s="28"/>
      <c r="X1310" s="40"/>
      <c r="Y1310" s="40"/>
    </row>
    <row r="1311" spans="5:25" x14ac:dyDescent="0.35">
      <c r="E1311" t="s">
        <v>196</v>
      </c>
      <c r="F1311" t="s">
        <v>1192</v>
      </c>
      <c r="G1311" s="28"/>
      <c r="N1311" s="28"/>
      <c r="O1311" s="28"/>
      <c r="X1311" s="40"/>
      <c r="Y1311" s="40"/>
    </row>
    <row r="1312" spans="5:25" x14ac:dyDescent="0.35">
      <c r="E1312" t="s">
        <v>196</v>
      </c>
      <c r="F1312" t="s">
        <v>1193</v>
      </c>
      <c r="G1312" s="28"/>
      <c r="N1312" s="28"/>
      <c r="O1312" s="28"/>
      <c r="X1312" s="40"/>
      <c r="Y1312" s="40"/>
    </row>
    <row r="1313" spans="5:25" x14ac:dyDescent="0.35">
      <c r="E1313" t="s">
        <v>196</v>
      </c>
      <c r="F1313" t="s">
        <v>1194</v>
      </c>
      <c r="G1313" s="28"/>
      <c r="N1313" s="28"/>
      <c r="O1313" s="28"/>
      <c r="X1313" s="40"/>
      <c r="Y1313" s="40"/>
    </row>
    <row r="1314" spans="5:25" x14ac:dyDescent="0.35">
      <c r="E1314" t="s">
        <v>196</v>
      </c>
      <c r="F1314" t="s">
        <v>1195</v>
      </c>
      <c r="G1314" s="28"/>
      <c r="N1314" s="28"/>
      <c r="O1314" s="28"/>
      <c r="X1314" s="40"/>
      <c r="Y1314" s="40"/>
    </row>
    <row r="1315" spans="5:25" x14ac:dyDescent="0.35">
      <c r="E1315" t="s">
        <v>196</v>
      </c>
      <c r="F1315" t="s">
        <v>1196</v>
      </c>
      <c r="G1315" s="28"/>
      <c r="N1315" s="28"/>
      <c r="O1315" s="28"/>
      <c r="X1315" s="40"/>
      <c r="Y1315" s="40"/>
    </row>
    <row r="1316" spans="5:25" x14ac:dyDescent="0.35">
      <c r="E1316" t="s">
        <v>196</v>
      </c>
      <c r="F1316" t="s">
        <v>450</v>
      </c>
      <c r="G1316" s="28"/>
      <c r="N1316" s="28"/>
      <c r="O1316" s="28"/>
      <c r="X1316" s="40"/>
      <c r="Y1316" s="40"/>
    </row>
    <row r="1317" spans="5:25" x14ac:dyDescent="0.35">
      <c r="E1317" t="s">
        <v>196</v>
      </c>
      <c r="F1317" t="s">
        <v>1197</v>
      </c>
      <c r="G1317" s="28"/>
      <c r="N1317" s="28"/>
      <c r="O1317" s="28"/>
      <c r="X1317" s="40"/>
      <c r="Y1317" s="40"/>
    </row>
    <row r="1318" spans="5:25" x14ac:dyDescent="0.35">
      <c r="E1318" t="s">
        <v>196</v>
      </c>
      <c r="F1318" t="s">
        <v>745</v>
      </c>
      <c r="G1318" s="28"/>
      <c r="N1318" s="28"/>
      <c r="O1318" s="28"/>
      <c r="X1318" s="40"/>
      <c r="Y1318" s="40"/>
    </row>
    <row r="1319" spans="5:25" x14ac:dyDescent="0.35">
      <c r="E1319" t="s">
        <v>196</v>
      </c>
      <c r="F1319" t="s">
        <v>1198</v>
      </c>
      <c r="G1319" s="28"/>
      <c r="N1319" s="28"/>
      <c r="O1319" s="28"/>
      <c r="X1319" s="40"/>
      <c r="Y1319" s="40"/>
    </row>
    <row r="1320" spans="5:25" x14ac:dyDescent="0.35">
      <c r="E1320" t="s">
        <v>197</v>
      </c>
      <c r="F1320" t="s">
        <v>1199</v>
      </c>
      <c r="G1320" s="28"/>
      <c r="N1320" s="28"/>
      <c r="O1320" s="28"/>
      <c r="X1320" s="40"/>
      <c r="Y1320" s="40"/>
    </row>
    <row r="1321" spans="5:25" x14ac:dyDescent="0.35">
      <c r="E1321" t="s">
        <v>197</v>
      </c>
      <c r="F1321" t="s">
        <v>1200</v>
      </c>
      <c r="G1321" s="28"/>
      <c r="N1321" s="28"/>
      <c r="O1321" s="28"/>
      <c r="X1321" s="40"/>
      <c r="Y1321" s="40"/>
    </row>
    <row r="1322" spans="5:25" x14ac:dyDescent="0.35">
      <c r="E1322" t="s">
        <v>197</v>
      </c>
      <c r="F1322" t="s">
        <v>1201</v>
      </c>
      <c r="G1322" s="28"/>
      <c r="N1322" s="28"/>
      <c r="O1322" s="28"/>
      <c r="X1322" s="40"/>
      <c r="Y1322" s="40"/>
    </row>
    <row r="1323" spans="5:25" x14ac:dyDescent="0.35">
      <c r="E1323" t="s">
        <v>197</v>
      </c>
      <c r="F1323" t="s">
        <v>1202</v>
      </c>
      <c r="G1323" s="28"/>
      <c r="N1323" s="28"/>
      <c r="O1323" s="28"/>
      <c r="X1323" s="40"/>
      <c r="Y1323" s="40"/>
    </row>
    <row r="1324" spans="5:25" x14ac:dyDescent="0.35">
      <c r="E1324" t="s">
        <v>197</v>
      </c>
      <c r="F1324" t="s">
        <v>400</v>
      </c>
      <c r="G1324" s="28"/>
      <c r="N1324" s="28"/>
      <c r="O1324" s="28"/>
      <c r="X1324" s="40"/>
      <c r="Y1324" s="40"/>
    </row>
    <row r="1325" spans="5:25" x14ac:dyDescent="0.35">
      <c r="E1325" t="s">
        <v>197</v>
      </c>
      <c r="F1325" t="s">
        <v>1203</v>
      </c>
      <c r="G1325" s="28"/>
      <c r="N1325" s="28"/>
      <c r="O1325" s="28"/>
      <c r="X1325" s="40"/>
      <c r="Y1325" s="40"/>
    </row>
    <row r="1326" spans="5:25" x14ac:dyDescent="0.35">
      <c r="E1326" t="s">
        <v>197</v>
      </c>
      <c r="F1326" t="s">
        <v>1204</v>
      </c>
      <c r="G1326" s="28"/>
      <c r="N1326" s="28"/>
      <c r="O1326" s="28"/>
      <c r="X1326" s="40"/>
      <c r="Y1326" s="40"/>
    </row>
    <row r="1327" spans="5:25" x14ac:dyDescent="0.35">
      <c r="E1327" t="s">
        <v>197</v>
      </c>
      <c r="F1327" t="s">
        <v>844</v>
      </c>
      <c r="G1327" s="28"/>
      <c r="N1327" s="28"/>
      <c r="O1327" s="28"/>
      <c r="X1327" s="40"/>
      <c r="Y1327" s="40"/>
    </row>
    <row r="1328" spans="5:25" x14ac:dyDescent="0.35">
      <c r="E1328" t="s">
        <v>197</v>
      </c>
      <c r="F1328" t="s">
        <v>1205</v>
      </c>
      <c r="G1328" s="28"/>
      <c r="N1328" s="28"/>
      <c r="O1328" s="28"/>
      <c r="X1328" s="40"/>
      <c r="Y1328" s="40"/>
    </row>
    <row r="1329" spans="5:25" x14ac:dyDescent="0.35">
      <c r="E1329" t="s">
        <v>197</v>
      </c>
      <c r="F1329" t="s">
        <v>1206</v>
      </c>
      <c r="G1329" s="28"/>
      <c r="N1329" s="28"/>
      <c r="O1329" s="28"/>
      <c r="X1329" s="40"/>
      <c r="Y1329" s="40"/>
    </row>
    <row r="1330" spans="5:25" x14ac:dyDescent="0.35">
      <c r="E1330" t="s">
        <v>197</v>
      </c>
      <c r="F1330" t="s">
        <v>765</v>
      </c>
      <c r="G1330" s="28"/>
      <c r="N1330" s="28"/>
      <c r="O1330" s="28"/>
      <c r="X1330" s="40"/>
      <c r="Y1330" s="40"/>
    </row>
    <row r="1331" spans="5:25" x14ac:dyDescent="0.35">
      <c r="E1331" t="s">
        <v>197</v>
      </c>
      <c r="F1331" t="s">
        <v>1148</v>
      </c>
      <c r="G1331" s="28"/>
      <c r="N1331" s="28"/>
      <c r="O1331" s="28"/>
      <c r="X1331" s="40"/>
      <c r="Y1331" s="40"/>
    </row>
    <row r="1332" spans="5:25" x14ac:dyDescent="0.35">
      <c r="E1332" t="s">
        <v>197</v>
      </c>
      <c r="F1332" t="s">
        <v>1207</v>
      </c>
      <c r="G1332" s="28"/>
      <c r="N1332" s="28"/>
      <c r="O1332" s="28"/>
      <c r="X1332" s="40"/>
      <c r="Y1332" s="40"/>
    </row>
    <row r="1333" spans="5:25" x14ac:dyDescent="0.35">
      <c r="E1333" t="s">
        <v>197</v>
      </c>
      <c r="F1333" t="s">
        <v>343</v>
      </c>
      <c r="G1333" s="28"/>
      <c r="N1333" s="28"/>
      <c r="O1333" s="28"/>
      <c r="X1333" s="40"/>
      <c r="Y1333" s="40"/>
    </row>
    <row r="1334" spans="5:25" x14ac:dyDescent="0.35">
      <c r="E1334" t="s">
        <v>197</v>
      </c>
      <c r="F1334" t="s">
        <v>823</v>
      </c>
      <c r="G1334" s="28"/>
      <c r="N1334" s="28"/>
      <c r="O1334" s="28"/>
      <c r="X1334" s="40"/>
      <c r="Y1334" s="40"/>
    </row>
    <row r="1335" spans="5:25" x14ac:dyDescent="0.35">
      <c r="E1335" t="s">
        <v>197</v>
      </c>
      <c r="F1335" t="s">
        <v>669</v>
      </c>
      <c r="G1335" s="28"/>
      <c r="N1335" s="28"/>
      <c r="O1335" s="28"/>
      <c r="X1335" s="40"/>
      <c r="Y1335" s="40"/>
    </row>
    <row r="1336" spans="5:25" x14ac:dyDescent="0.35">
      <c r="E1336" t="s">
        <v>197</v>
      </c>
      <c r="F1336" t="s">
        <v>1208</v>
      </c>
      <c r="G1336" s="28"/>
      <c r="N1336" s="28"/>
      <c r="O1336" s="28"/>
      <c r="X1336" s="40"/>
      <c r="Y1336" s="40"/>
    </row>
    <row r="1337" spans="5:25" x14ac:dyDescent="0.35">
      <c r="E1337" t="s">
        <v>197</v>
      </c>
      <c r="F1337" t="s">
        <v>1209</v>
      </c>
      <c r="G1337" s="28"/>
      <c r="N1337" s="28"/>
      <c r="O1337" s="28"/>
      <c r="X1337" s="40"/>
      <c r="Y1337" s="40"/>
    </row>
    <row r="1338" spans="5:25" x14ac:dyDescent="0.35">
      <c r="E1338" t="s">
        <v>197</v>
      </c>
      <c r="F1338" t="s">
        <v>1210</v>
      </c>
      <c r="G1338" s="28"/>
      <c r="N1338" s="28"/>
      <c r="O1338" s="28"/>
      <c r="X1338" s="40"/>
      <c r="Y1338" s="40"/>
    </row>
    <row r="1339" spans="5:25" x14ac:dyDescent="0.35">
      <c r="E1339" t="s">
        <v>197</v>
      </c>
      <c r="F1339" t="s">
        <v>676</v>
      </c>
      <c r="G1339" s="28"/>
      <c r="N1339" s="28"/>
      <c r="O1339" s="28"/>
      <c r="X1339" s="40"/>
      <c r="Y1339" s="40"/>
    </row>
    <row r="1340" spans="5:25" x14ac:dyDescent="0.35">
      <c r="E1340" t="s">
        <v>197</v>
      </c>
      <c r="F1340" t="s">
        <v>544</v>
      </c>
      <c r="G1340" s="28"/>
      <c r="N1340" s="28"/>
      <c r="O1340" s="28"/>
      <c r="X1340" s="40"/>
      <c r="Y1340" s="40"/>
    </row>
    <row r="1341" spans="5:25" x14ac:dyDescent="0.35">
      <c r="E1341" t="s">
        <v>197</v>
      </c>
      <c r="F1341" t="s">
        <v>1211</v>
      </c>
      <c r="G1341" s="28"/>
      <c r="N1341" s="28"/>
      <c r="O1341" s="28"/>
      <c r="X1341" s="40"/>
      <c r="Y1341" s="40"/>
    </row>
    <row r="1342" spans="5:25" x14ac:dyDescent="0.35">
      <c r="E1342" t="s">
        <v>197</v>
      </c>
      <c r="F1342" t="s">
        <v>1212</v>
      </c>
      <c r="G1342" s="28"/>
      <c r="N1342" s="28"/>
      <c r="O1342" s="28"/>
      <c r="X1342" s="40"/>
      <c r="Y1342" s="40"/>
    </row>
    <row r="1343" spans="5:25" x14ac:dyDescent="0.35">
      <c r="E1343" t="s">
        <v>197</v>
      </c>
      <c r="F1343" t="s">
        <v>1213</v>
      </c>
      <c r="G1343" s="28"/>
      <c r="N1343" s="28"/>
      <c r="O1343" s="28"/>
      <c r="X1343" s="40"/>
      <c r="Y1343" s="40"/>
    </row>
    <row r="1344" spans="5:25" x14ac:dyDescent="0.35">
      <c r="E1344" t="s">
        <v>197</v>
      </c>
      <c r="F1344" t="s">
        <v>1214</v>
      </c>
      <c r="G1344" s="28"/>
      <c r="N1344" s="28"/>
      <c r="O1344" s="28"/>
      <c r="X1344" s="40"/>
      <c r="Y1344" s="40"/>
    </row>
    <row r="1345" spans="5:25" x14ac:dyDescent="0.35">
      <c r="E1345" t="s">
        <v>197</v>
      </c>
      <c r="F1345" t="s">
        <v>418</v>
      </c>
      <c r="G1345" s="28"/>
      <c r="N1345" s="28"/>
      <c r="O1345" s="28"/>
      <c r="X1345" s="40"/>
      <c r="Y1345" s="40"/>
    </row>
    <row r="1346" spans="5:25" x14ac:dyDescent="0.35">
      <c r="E1346" t="s">
        <v>197</v>
      </c>
      <c r="F1346" t="s">
        <v>1215</v>
      </c>
      <c r="G1346" s="28"/>
      <c r="N1346" s="28"/>
      <c r="O1346" s="28"/>
      <c r="X1346" s="40"/>
      <c r="Y1346" s="40"/>
    </row>
    <row r="1347" spans="5:25" x14ac:dyDescent="0.35">
      <c r="E1347" t="s">
        <v>197</v>
      </c>
      <c r="F1347" t="s">
        <v>364</v>
      </c>
      <c r="G1347" s="28"/>
      <c r="N1347" s="28"/>
      <c r="O1347" s="28"/>
      <c r="X1347" s="40"/>
      <c r="Y1347" s="40"/>
    </row>
    <row r="1348" spans="5:25" x14ac:dyDescent="0.35">
      <c r="E1348" t="s">
        <v>197</v>
      </c>
      <c r="F1348" t="s">
        <v>1216</v>
      </c>
      <c r="G1348" s="28"/>
      <c r="N1348" s="28"/>
      <c r="O1348" s="28"/>
      <c r="X1348" s="40"/>
      <c r="Y1348" s="40"/>
    </row>
    <row r="1349" spans="5:25" x14ac:dyDescent="0.35">
      <c r="E1349" t="s">
        <v>197</v>
      </c>
      <c r="F1349" t="s">
        <v>1217</v>
      </c>
      <c r="G1349" s="28"/>
      <c r="N1349" s="28"/>
      <c r="O1349" s="28"/>
      <c r="X1349" s="40"/>
      <c r="Y1349" s="40"/>
    </row>
    <row r="1350" spans="5:25" x14ac:dyDescent="0.35">
      <c r="E1350" t="s">
        <v>197</v>
      </c>
      <c r="F1350" t="s">
        <v>1218</v>
      </c>
      <c r="G1350" s="28"/>
      <c r="N1350" s="28"/>
      <c r="O1350" s="28"/>
      <c r="X1350" s="40"/>
      <c r="Y1350" s="40"/>
    </row>
    <row r="1351" spans="5:25" x14ac:dyDescent="0.35">
      <c r="E1351" t="s">
        <v>197</v>
      </c>
      <c r="F1351" t="s">
        <v>365</v>
      </c>
      <c r="G1351" s="28"/>
      <c r="N1351" s="28"/>
      <c r="O1351" s="28"/>
      <c r="X1351" s="40"/>
      <c r="Y1351" s="40"/>
    </row>
    <row r="1352" spans="5:25" x14ac:dyDescent="0.35">
      <c r="E1352" t="s">
        <v>197</v>
      </c>
      <c r="F1352" t="s">
        <v>1219</v>
      </c>
      <c r="G1352" s="28"/>
      <c r="N1352" s="28"/>
      <c r="O1352" s="28"/>
      <c r="X1352" s="40"/>
      <c r="Y1352" s="40"/>
    </row>
    <row r="1353" spans="5:25" x14ac:dyDescent="0.35">
      <c r="E1353" t="s">
        <v>197</v>
      </c>
      <c r="F1353" t="s">
        <v>1220</v>
      </c>
      <c r="G1353" s="28"/>
      <c r="N1353" s="28"/>
      <c r="O1353" s="28"/>
      <c r="X1353" s="40"/>
      <c r="Y1353" s="40"/>
    </row>
    <row r="1354" spans="5:25" x14ac:dyDescent="0.35">
      <c r="E1354" t="s">
        <v>197</v>
      </c>
      <c r="F1354" t="s">
        <v>1221</v>
      </c>
      <c r="G1354" s="28"/>
      <c r="N1354" s="28"/>
      <c r="O1354" s="28"/>
      <c r="X1354" s="40"/>
      <c r="Y1354" s="40"/>
    </row>
    <row r="1355" spans="5:25" x14ac:dyDescent="0.35">
      <c r="E1355" t="s">
        <v>197</v>
      </c>
      <c r="F1355" t="s">
        <v>1222</v>
      </c>
      <c r="G1355" s="28"/>
      <c r="N1355" s="28"/>
      <c r="O1355" s="28"/>
      <c r="X1355" s="40"/>
      <c r="Y1355" s="40"/>
    </row>
    <row r="1356" spans="5:25" x14ac:dyDescent="0.35">
      <c r="E1356" t="s">
        <v>197</v>
      </c>
      <c r="F1356" t="s">
        <v>1223</v>
      </c>
      <c r="G1356" s="28"/>
      <c r="N1356" s="28"/>
      <c r="O1356" s="28"/>
      <c r="X1356" s="40"/>
      <c r="Y1356" s="40"/>
    </row>
    <row r="1357" spans="5:25" x14ac:dyDescent="0.35">
      <c r="E1357" t="s">
        <v>197</v>
      </c>
      <c r="F1357" t="s">
        <v>486</v>
      </c>
      <c r="G1357" s="28"/>
      <c r="N1357" s="28"/>
      <c r="O1357" s="28"/>
      <c r="X1357" s="40"/>
      <c r="Y1357" s="40"/>
    </row>
    <row r="1358" spans="5:25" x14ac:dyDescent="0.35">
      <c r="E1358" t="s">
        <v>197</v>
      </c>
      <c r="F1358" t="s">
        <v>1224</v>
      </c>
      <c r="G1358" s="28"/>
      <c r="N1358" s="28"/>
      <c r="O1358" s="28"/>
      <c r="X1358" s="40"/>
      <c r="Y1358" s="40"/>
    </row>
    <row r="1359" spans="5:25" x14ac:dyDescent="0.35">
      <c r="E1359" t="s">
        <v>197</v>
      </c>
      <c r="F1359" t="s">
        <v>1225</v>
      </c>
      <c r="G1359" s="28"/>
      <c r="N1359" s="28"/>
      <c r="O1359" s="28"/>
      <c r="X1359" s="40"/>
      <c r="Y1359" s="40"/>
    </row>
    <row r="1360" spans="5:25" x14ac:dyDescent="0.35">
      <c r="E1360" t="s">
        <v>197</v>
      </c>
      <c r="F1360" t="s">
        <v>426</v>
      </c>
      <c r="G1360" s="28"/>
      <c r="N1360" s="28"/>
      <c r="O1360" s="28"/>
      <c r="X1360" s="40"/>
      <c r="Y1360" s="40"/>
    </row>
    <row r="1361" spans="5:25" x14ac:dyDescent="0.35">
      <c r="E1361" t="s">
        <v>197</v>
      </c>
      <c r="F1361" t="s">
        <v>787</v>
      </c>
      <c r="G1361" s="28"/>
      <c r="N1361" s="28"/>
      <c r="O1361" s="28"/>
      <c r="X1361" s="40"/>
      <c r="Y1361" s="40"/>
    </row>
    <row r="1362" spans="5:25" x14ac:dyDescent="0.35">
      <c r="E1362" t="s">
        <v>197</v>
      </c>
      <c r="F1362" t="s">
        <v>1226</v>
      </c>
      <c r="G1362" s="28"/>
      <c r="N1362" s="28"/>
      <c r="O1362" s="28"/>
      <c r="X1362" s="40"/>
      <c r="Y1362" s="40"/>
    </row>
    <row r="1363" spans="5:25" x14ac:dyDescent="0.35">
      <c r="E1363" t="s">
        <v>197</v>
      </c>
      <c r="F1363" t="s">
        <v>377</v>
      </c>
      <c r="G1363" s="28"/>
      <c r="N1363" s="28"/>
      <c r="O1363" s="28"/>
      <c r="X1363" s="40"/>
      <c r="Y1363" s="40"/>
    </row>
    <row r="1364" spans="5:25" x14ac:dyDescent="0.35">
      <c r="E1364" t="s">
        <v>197</v>
      </c>
      <c r="F1364" t="s">
        <v>622</v>
      </c>
      <c r="G1364" s="28"/>
      <c r="N1364" s="28"/>
      <c r="O1364" s="28"/>
      <c r="X1364" s="40"/>
      <c r="Y1364" s="40"/>
    </row>
    <row r="1365" spans="5:25" x14ac:dyDescent="0.35">
      <c r="E1365" t="s">
        <v>197</v>
      </c>
      <c r="F1365" t="s">
        <v>1227</v>
      </c>
      <c r="G1365" s="28"/>
      <c r="N1365" s="28"/>
      <c r="O1365" s="28"/>
      <c r="X1365" s="40"/>
      <c r="Y1365" s="40"/>
    </row>
    <row r="1366" spans="5:25" x14ac:dyDescent="0.35">
      <c r="E1366" t="s">
        <v>197</v>
      </c>
      <c r="F1366" t="s">
        <v>1228</v>
      </c>
      <c r="G1366" s="28"/>
      <c r="N1366" s="28"/>
      <c r="O1366" s="28"/>
      <c r="X1366" s="40"/>
      <c r="Y1366" s="40"/>
    </row>
    <row r="1367" spans="5:25" x14ac:dyDescent="0.35">
      <c r="E1367" t="s">
        <v>197</v>
      </c>
      <c r="F1367" t="s">
        <v>1229</v>
      </c>
      <c r="G1367" s="28"/>
      <c r="N1367" s="28"/>
      <c r="O1367" s="28"/>
      <c r="X1367" s="40"/>
      <c r="Y1367" s="40"/>
    </row>
    <row r="1368" spans="5:25" x14ac:dyDescent="0.35">
      <c r="E1368" t="s">
        <v>197</v>
      </c>
      <c r="F1368" t="s">
        <v>1230</v>
      </c>
      <c r="G1368" s="28"/>
      <c r="N1368" s="28"/>
      <c r="O1368" s="28"/>
      <c r="X1368" s="40"/>
      <c r="Y1368" s="40"/>
    </row>
    <row r="1369" spans="5:25" x14ac:dyDescent="0.35">
      <c r="E1369" t="s">
        <v>197</v>
      </c>
      <c r="F1369" t="s">
        <v>1231</v>
      </c>
      <c r="G1369" s="28"/>
      <c r="N1369" s="28"/>
      <c r="O1369" s="28"/>
      <c r="X1369" s="40"/>
      <c r="Y1369" s="40"/>
    </row>
    <row r="1370" spans="5:25" x14ac:dyDescent="0.35">
      <c r="E1370" t="s">
        <v>197</v>
      </c>
      <c r="F1370" t="s">
        <v>713</v>
      </c>
      <c r="G1370" s="28"/>
      <c r="N1370" s="28"/>
      <c r="O1370" s="28"/>
      <c r="X1370" s="40"/>
      <c r="Y1370" s="40"/>
    </row>
    <row r="1371" spans="5:25" x14ac:dyDescent="0.35">
      <c r="E1371" t="s">
        <v>197</v>
      </c>
      <c r="F1371" t="s">
        <v>1232</v>
      </c>
      <c r="G1371" s="28"/>
      <c r="N1371" s="28"/>
      <c r="O1371" s="28"/>
      <c r="X1371" s="40"/>
      <c r="Y1371" s="40"/>
    </row>
    <row r="1372" spans="5:25" x14ac:dyDescent="0.35">
      <c r="E1372" t="s">
        <v>197</v>
      </c>
      <c r="F1372" t="s">
        <v>1233</v>
      </c>
      <c r="G1372" s="28"/>
      <c r="N1372" s="28"/>
      <c r="O1372" s="28"/>
      <c r="X1372" s="40"/>
      <c r="Y1372" s="40"/>
    </row>
    <row r="1373" spans="5:25" x14ac:dyDescent="0.35">
      <c r="E1373" t="s">
        <v>197</v>
      </c>
      <c r="F1373" t="s">
        <v>1234</v>
      </c>
      <c r="G1373" s="28"/>
      <c r="N1373" s="28"/>
      <c r="O1373" s="28"/>
      <c r="X1373" s="40"/>
      <c r="Y1373" s="40"/>
    </row>
    <row r="1374" spans="5:25" x14ac:dyDescent="0.35">
      <c r="E1374" t="s">
        <v>197</v>
      </c>
      <c r="F1374" t="s">
        <v>1235</v>
      </c>
      <c r="G1374" s="28"/>
      <c r="N1374" s="28"/>
      <c r="O1374" s="28"/>
      <c r="X1374" s="40"/>
      <c r="Y1374" s="40"/>
    </row>
    <row r="1375" spans="5:25" x14ac:dyDescent="0.35">
      <c r="E1375" t="s">
        <v>197</v>
      </c>
      <c r="F1375" t="s">
        <v>1236</v>
      </c>
      <c r="G1375" s="28"/>
      <c r="N1375" s="28"/>
      <c r="O1375" s="28"/>
      <c r="X1375" s="40"/>
      <c r="Y1375" s="40"/>
    </row>
    <row r="1376" spans="5:25" x14ac:dyDescent="0.35">
      <c r="E1376" t="s">
        <v>197</v>
      </c>
      <c r="F1376" t="s">
        <v>1237</v>
      </c>
      <c r="G1376" s="28"/>
      <c r="N1376" s="28"/>
      <c r="O1376" s="28"/>
      <c r="X1376" s="40"/>
      <c r="Y1376" s="40"/>
    </row>
    <row r="1377" spans="5:25" x14ac:dyDescent="0.35">
      <c r="E1377" t="s">
        <v>197</v>
      </c>
      <c r="F1377" t="s">
        <v>1238</v>
      </c>
      <c r="G1377" s="28"/>
      <c r="N1377" s="28"/>
      <c r="O1377" s="28"/>
      <c r="X1377" s="40"/>
      <c r="Y1377" s="40"/>
    </row>
    <row r="1378" spans="5:25" x14ac:dyDescent="0.35">
      <c r="E1378" t="s">
        <v>197</v>
      </c>
      <c r="F1378" t="s">
        <v>1239</v>
      </c>
      <c r="G1378" s="28"/>
      <c r="N1378" s="28"/>
      <c r="O1378" s="28"/>
      <c r="X1378" s="40"/>
      <c r="Y1378" s="40"/>
    </row>
    <row r="1379" spans="5:25" x14ac:dyDescent="0.35">
      <c r="E1379" t="s">
        <v>197</v>
      </c>
      <c r="F1379" t="s">
        <v>437</v>
      </c>
      <c r="G1379" s="28"/>
      <c r="N1379" s="28"/>
      <c r="O1379" s="28"/>
      <c r="X1379" s="40"/>
      <c r="Y1379" s="40"/>
    </row>
    <row r="1380" spans="5:25" x14ac:dyDescent="0.35">
      <c r="E1380" t="s">
        <v>197</v>
      </c>
      <c r="F1380" t="s">
        <v>438</v>
      </c>
      <c r="G1380" s="28"/>
      <c r="N1380" s="28"/>
      <c r="O1380" s="28"/>
      <c r="X1380" s="40"/>
      <c r="Y1380" s="40"/>
    </row>
    <row r="1381" spans="5:25" x14ac:dyDescent="0.35">
      <c r="E1381" t="s">
        <v>197</v>
      </c>
      <c r="F1381" t="s">
        <v>1240</v>
      </c>
      <c r="G1381" s="28"/>
      <c r="N1381" s="28"/>
      <c r="O1381" s="28"/>
      <c r="X1381" s="40"/>
      <c r="Y1381" s="40"/>
    </row>
    <row r="1382" spans="5:25" x14ac:dyDescent="0.35">
      <c r="E1382" t="s">
        <v>197</v>
      </c>
      <c r="F1382" t="s">
        <v>1241</v>
      </c>
      <c r="G1382" s="28"/>
      <c r="N1382" s="28"/>
      <c r="O1382" s="28"/>
      <c r="X1382" s="40"/>
      <c r="Y1382" s="40"/>
    </row>
    <row r="1383" spans="5:25" x14ac:dyDescent="0.35">
      <c r="E1383" t="s">
        <v>197</v>
      </c>
      <c r="F1383" t="s">
        <v>1242</v>
      </c>
      <c r="G1383" s="28"/>
      <c r="N1383" s="28"/>
      <c r="O1383" s="28"/>
      <c r="X1383" s="40"/>
      <c r="Y1383" s="40"/>
    </row>
    <row r="1384" spans="5:25" x14ac:dyDescent="0.35">
      <c r="E1384" t="s">
        <v>197</v>
      </c>
      <c r="F1384" t="s">
        <v>1243</v>
      </c>
      <c r="G1384" s="28"/>
      <c r="N1384" s="28"/>
      <c r="O1384" s="28"/>
      <c r="X1384" s="40"/>
      <c r="Y1384" s="40"/>
    </row>
    <row r="1385" spans="5:25" x14ac:dyDescent="0.35">
      <c r="E1385" t="s">
        <v>197</v>
      </c>
      <c r="F1385" t="s">
        <v>978</v>
      </c>
      <c r="G1385" s="28"/>
      <c r="N1385" s="28"/>
      <c r="O1385" s="28"/>
      <c r="X1385" s="40"/>
      <c r="Y1385" s="40"/>
    </row>
    <row r="1386" spans="5:25" x14ac:dyDescent="0.35">
      <c r="E1386" t="s">
        <v>197</v>
      </c>
      <c r="F1386" t="s">
        <v>1244</v>
      </c>
      <c r="G1386" s="28"/>
      <c r="N1386" s="28"/>
      <c r="O1386" s="28"/>
      <c r="X1386" s="40"/>
      <c r="Y1386" s="40"/>
    </row>
    <row r="1387" spans="5:25" x14ac:dyDescent="0.35">
      <c r="E1387" t="s">
        <v>197</v>
      </c>
      <c r="F1387" t="s">
        <v>1245</v>
      </c>
      <c r="G1387" s="28"/>
      <c r="N1387" s="28"/>
      <c r="O1387" s="28"/>
      <c r="X1387" s="40"/>
      <c r="Y1387" s="40"/>
    </row>
    <row r="1388" spans="5:25" x14ac:dyDescent="0.35">
      <c r="E1388" t="s">
        <v>197</v>
      </c>
      <c r="F1388" t="s">
        <v>1246</v>
      </c>
      <c r="G1388" s="28"/>
      <c r="N1388" s="28"/>
      <c r="O1388" s="28"/>
      <c r="X1388" s="40"/>
      <c r="Y1388" s="40"/>
    </row>
    <row r="1389" spans="5:25" x14ac:dyDescent="0.35">
      <c r="E1389" t="s">
        <v>197</v>
      </c>
      <c r="F1389" t="s">
        <v>443</v>
      </c>
      <c r="G1389" s="28"/>
      <c r="N1389" s="28"/>
      <c r="O1389" s="28"/>
      <c r="X1389" s="40"/>
      <c r="Y1389" s="40"/>
    </row>
    <row r="1390" spans="5:25" x14ac:dyDescent="0.35">
      <c r="E1390" t="s">
        <v>197</v>
      </c>
      <c r="F1390" t="s">
        <v>1247</v>
      </c>
      <c r="G1390" s="28"/>
      <c r="N1390" s="28"/>
      <c r="O1390" s="28"/>
      <c r="X1390" s="40"/>
      <c r="Y1390" s="40"/>
    </row>
    <row r="1391" spans="5:25" x14ac:dyDescent="0.35">
      <c r="E1391" t="s">
        <v>197</v>
      </c>
      <c r="F1391" t="s">
        <v>1248</v>
      </c>
      <c r="G1391" s="28"/>
      <c r="N1391" s="28"/>
      <c r="O1391" s="28"/>
      <c r="X1391" s="40"/>
      <c r="Y1391" s="40"/>
    </row>
    <row r="1392" spans="5:25" x14ac:dyDescent="0.35">
      <c r="E1392" t="s">
        <v>197</v>
      </c>
      <c r="F1392" t="s">
        <v>1249</v>
      </c>
      <c r="G1392" s="28"/>
      <c r="N1392" s="28"/>
      <c r="O1392" s="28"/>
      <c r="X1392" s="40"/>
      <c r="Y1392" s="40"/>
    </row>
    <row r="1393" spans="5:25" x14ac:dyDescent="0.35">
      <c r="E1393" t="s">
        <v>197</v>
      </c>
      <c r="F1393" t="s">
        <v>1250</v>
      </c>
      <c r="G1393" s="28"/>
      <c r="N1393" s="28"/>
      <c r="O1393" s="28"/>
      <c r="X1393" s="40"/>
      <c r="Y1393" s="40"/>
    </row>
    <row r="1394" spans="5:25" x14ac:dyDescent="0.35">
      <c r="E1394" t="s">
        <v>197</v>
      </c>
      <c r="F1394" t="s">
        <v>988</v>
      </c>
      <c r="G1394" s="28"/>
      <c r="N1394" s="28"/>
      <c r="O1394" s="28"/>
      <c r="X1394" s="40"/>
      <c r="Y1394" s="40"/>
    </row>
    <row r="1395" spans="5:25" x14ac:dyDescent="0.35">
      <c r="E1395" t="s">
        <v>197</v>
      </c>
      <c r="F1395" t="s">
        <v>1251</v>
      </c>
      <c r="G1395" s="28"/>
      <c r="N1395" s="28"/>
      <c r="O1395" s="28"/>
      <c r="X1395" s="40"/>
      <c r="Y1395" s="40"/>
    </row>
    <row r="1396" spans="5:25" x14ac:dyDescent="0.35">
      <c r="E1396" t="s">
        <v>197</v>
      </c>
      <c r="F1396" t="s">
        <v>1048</v>
      </c>
      <c r="G1396" s="28"/>
      <c r="N1396" s="28"/>
      <c r="O1396" s="28"/>
      <c r="X1396" s="40"/>
      <c r="Y1396" s="40"/>
    </row>
    <row r="1397" spans="5:25" x14ac:dyDescent="0.35">
      <c r="E1397" t="s">
        <v>197</v>
      </c>
      <c r="F1397" t="s">
        <v>1252</v>
      </c>
      <c r="G1397" s="28"/>
      <c r="N1397" s="28"/>
      <c r="O1397" s="28"/>
      <c r="X1397" s="40"/>
      <c r="Y1397" s="40"/>
    </row>
    <row r="1398" spans="5:25" x14ac:dyDescent="0.35">
      <c r="E1398" t="s">
        <v>197</v>
      </c>
      <c r="F1398" t="s">
        <v>1253</v>
      </c>
      <c r="G1398" s="28"/>
      <c r="N1398" s="28"/>
      <c r="O1398" s="28"/>
      <c r="X1398" s="40"/>
      <c r="Y1398" s="40"/>
    </row>
    <row r="1399" spans="5:25" x14ac:dyDescent="0.35">
      <c r="E1399" t="s">
        <v>197</v>
      </c>
      <c r="F1399" t="s">
        <v>1254</v>
      </c>
      <c r="G1399" s="28"/>
      <c r="N1399" s="28"/>
      <c r="O1399" s="28"/>
      <c r="X1399" s="40"/>
      <c r="Y1399" s="40"/>
    </row>
    <row r="1400" spans="5:25" x14ac:dyDescent="0.35">
      <c r="E1400" t="s">
        <v>197</v>
      </c>
      <c r="F1400" t="s">
        <v>1255</v>
      </c>
      <c r="G1400" s="28"/>
      <c r="N1400" s="28"/>
      <c r="O1400" s="28"/>
      <c r="X1400" s="40"/>
      <c r="Y1400" s="40"/>
    </row>
    <row r="1401" spans="5:25" x14ac:dyDescent="0.35">
      <c r="E1401" t="s">
        <v>197</v>
      </c>
      <c r="F1401" t="s">
        <v>394</v>
      </c>
      <c r="G1401" s="28"/>
      <c r="N1401" s="28"/>
      <c r="O1401" s="28"/>
      <c r="X1401" s="40"/>
      <c r="Y1401" s="40"/>
    </row>
    <row r="1402" spans="5:25" x14ac:dyDescent="0.35">
      <c r="E1402" t="s">
        <v>197</v>
      </c>
      <c r="F1402" t="s">
        <v>1256</v>
      </c>
      <c r="G1402" s="28"/>
      <c r="N1402" s="28"/>
      <c r="O1402" s="28"/>
      <c r="X1402" s="40"/>
      <c r="Y1402" s="40"/>
    </row>
    <row r="1403" spans="5:25" x14ac:dyDescent="0.35">
      <c r="E1403" t="s">
        <v>197</v>
      </c>
      <c r="F1403" t="s">
        <v>1257</v>
      </c>
      <c r="G1403" s="28"/>
      <c r="N1403" s="28"/>
      <c r="O1403" s="28"/>
      <c r="X1403" s="40"/>
      <c r="Y1403" s="40"/>
    </row>
    <row r="1404" spans="5:25" x14ac:dyDescent="0.35">
      <c r="E1404" t="s">
        <v>197</v>
      </c>
      <c r="F1404" t="s">
        <v>1258</v>
      </c>
      <c r="G1404" s="28"/>
      <c r="N1404" s="28"/>
      <c r="O1404" s="28"/>
      <c r="X1404" s="40"/>
      <c r="Y1404" s="40"/>
    </row>
    <row r="1405" spans="5:25" x14ac:dyDescent="0.35">
      <c r="E1405" t="s">
        <v>197</v>
      </c>
      <c r="F1405" t="s">
        <v>808</v>
      </c>
      <c r="G1405" s="28"/>
      <c r="N1405" s="28"/>
      <c r="O1405" s="28"/>
      <c r="X1405" s="40"/>
      <c r="Y1405" s="40"/>
    </row>
    <row r="1406" spans="5:25" x14ac:dyDescent="0.35">
      <c r="E1406" t="s">
        <v>197</v>
      </c>
      <c r="F1406" t="s">
        <v>1259</v>
      </c>
      <c r="G1406" s="28"/>
      <c r="N1406" s="28"/>
      <c r="O1406" s="28"/>
      <c r="X1406" s="40"/>
      <c r="Y1406" s="40"/>
    </row>
    <row r="1407" spans="5:25" x14ac:dyDescent="0.35">
      <c r="E1407" t="s">
        <v>198</v>
      </c>
      <c r="F1407" t="s">
        <v>757</v>
      </c>
      <c r="G1407" s="28"/>
      <c r="N1407" s="28"/>
      <c r="O1407" s="28"/>
      <c r="X1407" s="40"/>
      <c r="Y1407" s="40"/>
    </row>
    <row r="1408" spans="5:25" x14ac:dyDescent="0.35">
      <c r="E1408" t="s">
        <v>198</v>
      </c>
      <c r="F1408" t="s">
        <v>1260</v>
      </c>
      <c r="G1408" s="28"/>
      <c r="N1408" s="28"/>
      <c r="O1408" s="28"/>
      <c r="X1408" s="40"/>
      <c r="Y1408" s="40"/>
    </row>
    <row r="1409" spans="5:25" x14ac:dyDescent="0.35">
      <c r="E1409" t="s">
        <v>198</v>
      </c>
      <c r="F1409" t="s">
        <v>931</v>
      </c>
      <c r="G1409" s="28"/>
      <c r="N1409" s="28"/>
      <c r="O1409" s="28"/>
      <c r="X1409" s="40"/>
      <c r="Y1409" s="40"/>
    </row>
    <row r="1410" spans="5:25" x14ac:dyDescent="0.35">
      <c r="E1410" t="s">
        <v>198</v>
      </c>
      <c r="F1410" t="s">
        <v>1261</v>
      </c>
      <c r="G1410" s="28"/>
      <c r="N1410" s="28"/>
      <c r="O1410" s="28"/>
      <c r="X1410" s="40"/>
      <c r="Y1410" s="40"/>
    </row>
    <row r="1411" spans="5:25" x14ac:dyDescent="0.35">
      <c r="E1411" t="s">
        <v>198</v>
      </c>
      <c r="F1411" t="s">
        <v>1143</v>
      </c>
      <c r="G1411" s="28"/>
      <c r="N1411" s="28"/>
      <c r="O1411" s="28"/>
      <c r="X1411" s="40"/>
      <c r="Y1411" s="40"/>
    </row>
    <row r="1412" spans="5:25" x14ac:dyDescent="0.35">
      <c r="E1412" t="s">
        <v>198</v>
      </c>
      <c r="F1412" t="s">
        <v>933</v>
      </c>
      <c r="G1412" s="28"/>
      <c r="N1412" s="28"/>
      <c r="O1412" s="28"/>
      <c r="X1412" s="40"/>
      <c r="Y1412" s="40"/>
    </row>
    <row r="1413" spans="5:25" x14ac:dyDescent="0.35">
      <c r="E1413" t="s">
        <v>198</v>
      </c>
      <c r="F1413" t="s">
        <v>1262</v>
      </c>
      <c r="G1413" s="28"/>
      <c r="N1413" s="28"/>
      <c r="O1413" s="28"/>
      <c r="X1413" s="40"/>
      <c r="Y1413" s="40"/>
    </row>
    <row r="1414" spans="5:25" x14ac:dyDescent="0.35">
      <c r="E1414" t="s">
        <v>198</v>
      </c>
      <c r="F1414" t="s">
        <v>400</v>
      </c>
      <c r="G1414" s="28"/>
      <c r="N1414" s="28"/>
      <c r="O1414" s="28"/>
      <c r="X1414" s="40"/>
      <c r="Y1414" s="40"/>
    </row>
    <row r="1415" spans="5:25" x14ac:dyDescent="0.35">
      <c r="E1415" t="s">
        <v>198</v>
      </c>
      <c r="F1415" t="s">
        <v>1263</v>
      </c>
      <c r="G1415" s="28"/>
      <c r="N1415" s="28"/>
      <c r="O1415" s="28"/>
      <c r="X1415" s="40"/>
      <c r="Y1415" s="40"/>
    </row>
    <row r="1416" spans="5:25" x14ac:dyDescent="0.35">
      <c r="E1416" t="s">
        <v>198</v>
      </c>
      <c r="F1416" t="s">
        <v>401</v>
      </c>
      <c r="G1416" s="28"/>
      <c r="N1416" s="28"/>
      <c r="O1416" s="28"/>
      <c r="X1416" s="40"/>
      <c r="Y1416" s="40"/>
    </row>
    <row r="1417" spans="5:25" x14ac:dyDescent="0.35">
      <c r="E1417" t="s">
        <v>198</v>
      </c>
      <c r="F1417" t="s">
        <v>763</v>
      </c>
      <c r="G1417" s="28"/>
      <c r="N1417" s="28"/>
      <c r="O1417" s="28"/>
      <c r="X1417" s="40"/>
      <c r="Y1417" s="40"/>
    </row>
    <row r="1418" spans="5:25" x14ac:dyDescent="0.35">
      <c r="E1418" t="s">
        <v>198</v>
      </c>
      <c r="F1418" t="s">
        <v>336</v>
      </c>
      <c r="G1418" s="28"/>
      <c r="N1418" s="28"/>
      <c r="O1418" s="28"/>
      <c r="X1418" s="40"/>
      <c r="Y1418" s="40"/>
    </row>
    <row r="1419" spans="5:25" x14ac:dyDescent="0.35">
      <c r="E1419" t="s">
        <v>198</v>
      </c>
      <c r="F1419" t="s">
        <v>1007</v>
      </c>
      <c r="G1419" s="28"/>
      <c r="N1419" s="28"/>
      <c r="O1419" s="28"/>
      <c r="X1419" s="40"/>
      <c r="Y1419" s="40"/>
    </row>
    <row r="1420" spans="5:25" x14ac:dyDescent="0.35">
      <c r="E1420" t="s">
        <v>198</v>
      </c>
      <c r="F1420" t="s">
        <v>1264</v>
      </c>
      <c r="G1420" s="28"/>
      <c r="N1420" s="28"/>
      <c r="O1420" s="28"/>
      <c r="X1420" s="40"/>
      <c r="Y1420" s="40"/>
    </row>
    <row r="1421" spans="5:25" x14ac:dyDescent="0.35">
      <c r="E1421" t="s">
        <v>198</v>
      </c>
      <c r="F1421" t="s">
        <v>658</v>
      </c>
      <c r="G1421" s="28"/>
      <c r="N1421" s="28"/>
      <c r="O1421" s="28"/>
      <c r="X1421" s="40"/>
      <c r="Y1421" s="40"/>
    </row>
    <row r="1422" spans="5:25" x14ac:dyDescent="0.35">
      <c r="E1422" t="s">
        <v>198</v>
      </c>
      <c r="F1422" t="s">
        <v>1265</v>
      </c>
      <c r="G1422" s="28"/>
      <c r="N1422" s="28"/>
      <c r="O1422" s="28"/>
      <c r="X1422" s="40"/>
      <c r="Y1422" s="40"/>
    </row>
    <row r="1423" spans="5:25" x14ac:dyDescent="0.35">
      <c r="E1423" t="s">
        <v>198</v>
      </c>
      <c r="F1423" t="s">
        <v>403</v>
      </c>
      <c r="G1423" s="28"/>
      <c r="N1423" s="28"/>
      <c r="O1423" s="28"/>
      <c r="X1423" s="40"/>
      <c r="Y1423" s="40"/>
    </row>
    <row r="1424" spans="5:25" x14ac:dyDescent="0.35">
      <c r="E1424" t="s">
        <v>198</v>
      </c>
      <c r="F1424" t="s">
        <v>1011</v>
      </c>
      <c r="G1424" s="28"/>
      <c r="N1424" s="28"/>
      <c r="O1424" s="28"/>
      <c r="X1424" s="40"/>
      <c r="Y1424" s="40"/>
    </row>
    <row r="1425" spans="5:25" x14ac:dyDescent="0.35">
      <c r="E1425" t="s">
        <v>198</v>
      </c>
      <c r="F1425" t="s">
        <v>765</v>
      </c>
      <c r="G1425" s="28"/>
      <c r="N1425" s="28"/>
      <c r="O1425" s="28"/>
      <c r="X1425" s="40"/>
      <c r="Y1425" s="40"/>
    </row>
    <row r="1426" spans="5:25" x14ac:dyDescent="0.35">
      <c r="E1426" t="s">
        <v>198</v>
      </c>
      <c r="F1426" t="s">
        <v>766</v>
      </c>
      <c r="G1426" s="28"/>
      <c r="N1426" s="28"/>
      <c r="O1426" s="28"/>
      <c r="X1426" s="40"/>
      <c r="Y1426" s="40"/>
    </row>
    <row r="1427" spans="5:25" x14ac:dyDescent="0.35">
      <c r="E1427" t="s">
        <v>198</v>
      </c>
      <c r="F1427" t="s">
        <v>1266</v>
      </c>
      <c r="G1427" s="28"/>
      <c r="N1427" s="28"/>
      <c r="O1427" s="28"/>
      <c r="X1427" s="40"/>
      <c r="Y1427" s="40"/>
    </row>
    <row r="1428" spans="5:25" x14ac:dyDescent="0.35">
      <c r="E1428" t="s">
        <v>198</v>
      </c>
      <c r="F1428" t="s">
        <v>847</v>
      </c>
      <c r="G1428" s="28"/>
      <c r="N1428" s="28"/>
      <c r="O1428" s="28"/>
      <c r="X1428" s="40"/>
      <c r="Y1428" s="40"/>
    </row>
    <row r="1429" spans="5:25" x14ac:dyDescent="0.35">
      <c r="E1429" t="s">
        <v>198</v>
      </c>
      <c r="F1429" t="s">
        <v>405</v>
      </c>
      <c r="G1429" s="28"/>
      <c r="N1429" s="28"/>
      <c r="O1429" s="28"/>
      <c r="X1429" s="40"/>
      <c r="Y1429" s="40"/>
    </row>
    <row r="1430" spans="5:25" x14ac:dyDescent="0.35">
      <c r="E1430" t="s">
        <v>198</v>
      </c>
      <c r="F1430" t="s">
        <v>343</v>
      </c>
      <c r="G1430" s="28"/>
      <c r="N1430" s="28"/>
      <c r="O1430" s="28"/>
      <c r="X1430" s="40"/>
      <c r="Y1430" s="40"/>
    </row>
    <row r="1431" spans="5:25" x14ac:dyDescent="0.35">
      <c r="E1431" t="s">
        <v>198</v>
      </c>
      <c r="F1431" t="s">
        <v>769</v>
      </c>
      <c r="G1431" s="28"/>
      <c r="N1431" s="28"/>
      <c r="O1431" s="28"/>
      <c r="X1431" s="40"/>
      <c r="Y1431" s="40"/>
    </row>
    <row r="1432" spans="5:25" x14ac:dyDescent="0.35">
      <c r="E1432" t="s">
        <v>198</v>
      </c>
      <c r="F1432" t="s">
        <v>1267</v>
      </c>
      <c r="G1432" s="28"/>
      <c r="N1432" s="28"/>
      <c r="O1432" s="28"/>
      <c r="X1432" s="40"/>
      <c r="Y1432" s="40"/>
    </row>
    <row r="1433" spans="5:25" x14ac:dyDescent="0.35">
      <c r="E1433" t="s">
        <v>198</v>
      </c>
      <c r="F1433" t="s">
        <v>1268</v>
      </c>
      <c r="G1433" s="28"/>
      <c r="N1433" s="28"/>
      <c r="O1433" s="28"/>
      <c r="X1433" s="40"/>
      <c r="Y1433" s="40"/>
    </row>
    <row r="1434" spans="5:25" x14ac:dyDescent="0.35">
      <c r="E1434" t="s">
        <v>198</v>
      </c>
      <c r="F1434" t="s">
        <v>410</v>
      </c>
      <c r="G1434" s="28"/>
      <c r="N1434" s="28"/>
      <c r="O1434" s="28"/>
      <c r="X1434" s="40"/>
      <c r="Y1434" s="40"/>
    </row>
    <row r="1435" spans="5:25" x14ac:dyDescent="0.35">
      <c r="E1435" t="s">
        <v>198</v>
      </c>
      <c r="F1435" t="s">
        <v>672</v>
      </c>
      <c r="G1435" s="28"/>
      <c r="N1435" s="28"/>
      <c r="O1435" s="28"/>
      <c r="X1435" s="40"/>
      <c r="Y1435" s="40"/>
    </row>
    <row r="1436" spans="5:25" x14ac:dyDescent="0.35">
      <c r="E1436" t="s">
        <v>198</v>
      </c>
      <c r="F1436" t="s">
        <v>353</v>
      </c>
      <c r="G1436" s="28"/>
      <c r="N1436" s="28"/>
      <c r="O1436" s="28"/>
      <c r="X1436" s="40"/>
      <c r="Y1436" s="40"/>
    </row>
    <row r="1437" spans="5:25" x14ac:dyDescent="0.35">
      <c r="E1437" t="s">
        <v>198</v>
      </c>
      <c r="F1437" t="s">
        <v>894</v>
      </c>
      <c r="G1437" s="28"/>
      <c r="N1437" s="28"/>
      <c r="O1437" s="28"/>
      <c r="X1437" s="40"/>
      <c r="Y1437" s="40"/>
    </row>
    <row r="1438" spans="5:25" x14ac:dyDescent="0.35">
      <c r="E1438" t="s">
        <v>198</v>
      </c>
      <c r="F1438" t="s">
        <v>675</v>
      </c>
      <c r="G1438" s="28"/>
      <c r="N1438" s="28"/>
      <c r="O1438" s="28"/>
      <c r="X1438" s="40"/>
      <c r="Y1438" s="40"/>
    </row>
    <row r="1439" spans="5:25" x14ac:dyDescent="0.35">
      <c r="E1439" t="s">
        <v>198</v>
      </c>
      <c r="F1439" t="s">
        <v>1269</v>
      </c>
      <c r="G1439" s="28"/>
      <c r="N1439" s="28"/>
      <c r="O1439" s="28"/>
      <c r="X1439" s="40"/>
      <c r="Y1439" s="40"/>
    </row>
    <row r="1440" spans="5:25" x14ac:dyDescent="0.35">
      <c r="E1440" t="s">
        <v>198</v>
      </c>
      <c r="F1440" t="s">
        <v>544</v>
      </c>
      <c r="G1440" s="28"/>
      <c r="N1440" s="28"/>
      <c r="O1440" s="28"/>
      <c r="X1440" s="40"/>
      <c r="Y1440" s="40"/>
    </row>
    <row r="1441" spans="5:25" x14ac:dyDescent="0.35">
      <c r="E1441" t="s">
        <v>198</v>
      </c>
      <c r="F1441" t="s">
        <v>1270</v>
      </c>
      <c r="G1441" s="28"/>
      <c r="N1441" s="28"/>
      <c r="O1441" s="28"/>
      <c r="X1441" s="40"/>
      <c r="Y1441" s="40"/>
    </row>
    <row r="1442" spans="5:25" x14ac:dyDescent="0.35">
      <c r="E1442" t="s">
        <v>198</v>
      </c>
      <c r="F1442" t="s">
        <v>359</v>
      </c>
      <c r="G1442" s="28"/>
      <c r="N1442" s="28"/>
      <c r="O1442" s="28"/>
      <c r="X1442" s="40"/>
      <c r="Y1442" s="40"/>
    </row>
    <row r="1443" spans="5:25" x14ac:dyDescent="0.35">
      <c r="E1443" t="s">
        <v>198</v>
      </c>
      <c r="F1443" t="s">
        <v>1271</v>
      </c>
      <c r="G1443" s="28"/>
      <c r="N1443" s="28"/>
      <c r="O1443" s="28"/>
      <c r="X1443" s="40"/>
      <c r="Y1443" s="40"/>
    </row>
    <row r="1444" spans="5:25" x14ac:dyDescent="0.35">
      <c r="E1444" t="s">
        <v>198</v>
      </c>
      <c r="F1444" t="s">
        <v>1272</v>
      </c>
      <c r="G1444" s="28"/>
      <c r="N1444" s="28"/>
      <c r="O1444" s="28"/>
      <c r="X1444" s="40"/>
      <c r="Y1444" s="40"/>
    </row>
    <row r="1445" spans="5:25" x14ac:dyDescent="0.35">
      <c r="E1445" t="s">
        <v>198</v>
      </c>
      <c r="F1445" t="s">
        <v>361</v>
      </c>
      <c r="G1445" s="28"/>
      <c r="N1445" s="28"/>
      <c r="O1445" s="28"/>
      <c r="X1445" s="40"/>
      <c r="Y1445" s="40"/>
    </row>
    <row r="1446" spans="5:25" x14ac:dyDescent="0.35">
      <c r="E1446" t="s">
        <v>198</v>
      </c>
      <c r="F1446" t="s">
        <v>776</v>
      </c>
      <c r="G1446" s="28"/>
      <c r="N1446" s="28"/>
      <c r="O1446" s="28"/>
      <c r="X1446" s="40"/>
      <c r="Y1446" s="40"/>
    </row>
    <row r="1447" spans="5:25" x14ac:dyDescent="0.35">
      <c r="E1447" t="s">
        <v>198</v>
      </c>
      <c r="F1447" t="s">
        <v>779</v>
      </c>
      <c r="G1447" s="28"/>
      <c r="N1447" s="28"/>
      <c r="O1447" s="28"/>
      <c r="X1447" s="40"/>
      <c r="Y1447" s="40"/>
    </row>
    <row r="1448" spans="5:25" x14ac:dyDescent="0.35">
      <c r="E1448" t="s">
        <v>198</v>
      </c>
      <c r="F1448" t="s">
        <v>363</v>
      </c>
      <c r="G1448" s="28"/>
      <c r="N1448" s="28"/>
      <c r="O1448" s="28"/>
      <c r="X1448" s="40"/>
      <c r="Y1448" s="40"/>
    </row>
    <row r="1449" spans="5:25" x14ac:dyDescent="0.35">
      <c r="E1449" t="s">
        <v>198</v>
      </c>
      <c r="F1449" t="s">
        <v>1273</v>
      </c>
      <c r="G1449" s="28"/>
      <c r="N1449" s="28"/>
      <c r="O1449" s="28"/>
      <c r="X1449" s="40"/>
      <c r="Y1449" s="40"/>
    </row>
    <row r="1450" spans="5:25" x14ac:dyDescent="0.35">
      <c r="E1450" t="s">
        <v>198</v>
      </c>
      <c r="F1450" t="s">
        <v>1274</v>
      </c>
      <c r="G1450" s="28"/>
      <c r="N1450" s="28"/>
      <c r="O1450" s="28"/>
      <c r="X1450" s="40"/>
      <c r="Y1450" s="40"/>
    </row>
    <row r="1451" spans="5:25" x14ac:dyDescent="0.35">
      <c r="E1451" t="s">
        <v>198</v>
      </c>
      <c r="F1451" t="s">
        <v>421</v>
      </c>
      <c r="G1451" s="28"/>
      <c r="N1451" s="28"/>
      <c r="O1451" s="28"/>
      <c r="X1451" s="40"/>
      <c r="Y1451" s="40"/>
    </row>
    <row r="1452" spans="5:25" x14ac:dyDescent="0.35">
      <c r="E1452" t="s">
        <v>198</v>
      </c>
      <c r="F1452" t="s">
        <v>1275</v>
      </c>
      <c r="G1452" s="28"/>
      <c r="N1452" s="28"/>
      <c r="O1452" s="28"/>
      <c r="X1452" s="40"/>
      <c r="Y1452" s="40"/>
    </row>
    <row r="1453" spans="5:25" x14ac:dyDescent="0.35">
      <c r="E1453" t="s">
        <v>198</v>
      </c>
      <c r="F1453" t="s">
        <v>1162</v>
      </c>
      <c r="G1453" s="28"/>
      <c r="N1453" s="28"/>
      <c r="O1453" s="28"/>
      <c r="X1453" s="40"/>
      <c r="Y1453" s="40"/>
    </row>
    <row r="1454" spans="5:25" x14ac:dyDescent="0.35">
      <c r="E1454" t="s">
        <v>198</v>
      </c>
      <c r="F1454" t="s">
        <v>365</v>
      </c>
      <c r="G1454" s="28"/>
      <c r="N1454" s="28"/>
      <c r="O1454" s="28"/>
      <c r="X1454" s="40"/>
      <c r="Y1454" s="40"/>
    </row>
    <row r="1455" spans="5:25" x14ac:dyDescent="0.35">
      <c r="E1455" t="s">
        <v>198</v>
      </c>
      <c r="F1455" t="s">
        <v>701</v>
      </c>
      <c r="G1455" s="28"/>
      <c r="N1455" s="28"/>
      <c r="O1455" s="28"/>
      <c r="X1455" s="40"/>
      <c r="Y1455" s="40"/>
    </row>
    <row r="1456" spans="5:25" x14ac:dyDescent="0.35">
      <c r="E1456" t="s">
        <v>198</v>
      </c>
      <c r="F1456" t="s">
        <v>366</v>
      </c>
      <c r="G1456" s="28"/>
      <c r="N1456" s="28"/>
      <c r="O1456" s="28"/>
      <c r="X1456" s="40"/>
      <c r="Y1456" s="40"/>
    </row>
    <row r="1457" spans="5:25" x14ac:dyDescent="0.35">
      <c r="E1457" t="s">
        <v>198</v>
      </c>
      <c r="F1457" t="s">
        <v>424</v>
      </c>
      <c r="G1457" s="28"/>
      <c r="N1457" s="28"/>
      <c r="O1457" s="28"/>
      <c r="X1457" s="40"/>
      <c r="Y1457" s="40"/>
    </row>
    <row r="1458" spans="5:25" x14ac:dyDescent="0.35">
      <c r="E1458" t="s">
        <v>198</v>
      </c>
      <c r="F1458" t="s">
        <v>863</v>
      </c>
      <c r="G1458" s="28"/>
      <c r="N1458" s="28"/>
      <c r="O1458" s="28"/>
      <c r="X1458" s="40"/>
      <c r="Y1458" s="40"/>
    </row>
    <row r="1459" spans="5:25" x14ac:dyDescent="0.35">
      <c r="E1459" t="s">
        <v>198</v>
      </c>
      <c r="F1459" t="s">
        <v>1276</v>
      </c>
      <c r="G1459" s="28"/>
      <c r="N1459" s="28"/>
      <c r="O1459" s="28"/>
      <c r="X1459" s="40"/>
      <c r="Y1459" s="40"/>
    </row>
    <row r="1460" spans="5:25" x14ac:dyDescent="0.35">
      <c r="E1460" t="s">
        <v>198</v>
      </c>
      <c r="F1460" t="s">
        <v>425</v>
      </c>
      <c r="G1460" s="28"/>
      <c r="N1460" s="28"/>
      <c r="O1460" s="28"/>
      <c r="X1460" s="40"/>
      <c r="Y1460" s="40"/>
    </row>
    <row r="1461" spans="5:25" x14ac:dyDescent="0.35">
      <c r="E1461" t="s">
        <v>198</v>
      </c>
      <c r="F1461" t="s">
        <v>369</v>
      </c>
      <c r="G1461" s="28"/>
      <c r="N1461" s="28"/>
      <c r="O1461" s="28"/>
      <c r="X1461" s="40"/>
      <c r="Y1461" s="40"/>
    </row>
    <row r="1462" spans="5:25" x14ac:dyDescent="0.35">
      <c r="E1462" t="s">
        <v>198</v>
      </c>
      <c r="F1462" t="s">
        <v>831</v>
      </c>
      <c r="G1462" s="28"/>
      <c r="N1462" s="28"/>
      <c r="O1462" s="28"/>
      <c r="X1462" s="40"/>
      <c r="Y1462" s="40"/>
    </row>
    <row r="1463" spans="5:25" x14ac:dyDescent="0.35">
      <c r="E1463" t="s">
        <v>198</v>
      </c>
      <c r="F1463" t="s">
        <v>426</v>
      </c>
      <c r="G1463" s="28"/>
      <c r="N1463" s="28"/>
      <c r="O1463" s="28"/>
      <c r="X1463" s="40"/>
      <c r="Y1463" s="40"/>
    </row>
    <row r="1464" spans="5:25" x14ac:dyDescent="0.35">
      <c r="E1464" t="s">
        <v>198</v>
      </c>
      <c r="F1464" t="s">
        <v>784</v>
      </c>
      <c r="G1464" s="28"/>
      <c r="N1464" s="28"/>
      <c r="O1464" s="28"/>
      <c r="X1464" s="40"/>
      <c r="Y1464" s="40"/>
    </row>
    <row r="1465" spans="5:25" x14ac:dyDescent="0.35">
      <c r="E1465" t="s">
        <v>198</v>
      </c>
      <c r="F1465" t="s">
        <v>865</v>
      </c>
      <c r="G1465" s="28"/>
      <c r="N1465" s="28"/>
      <c r="O1465" s="28"/>
      <c r="X1465" s="40"/>
      <c r="Y1465" s="40"/>
    </row>
    <row r="1466" spans="5:25" x14ac:dyDescent="0.35">
      <c r="E1466" t="s">
        <v>198</v>
      </c>
      <c r="F1466" t="s">
        <v>373</v>
      </c>
      <c r="G1466" s="28"/>
      <c r="N1466" s="28"/>
      <c r="O1466" s="28"/>
      <c r="X1466" s="40"/>
      <c r="Y1466" s="40"/>
    </row>
    <row r="1467" spans="5:25" x14ac:dyDescent="0.35">
      <c r="E1467" t="s">
        <v>198</v>
      </c>
      <c r="F1467" t="s">
        <v>374</v>
      </c>
      <c r="G1467" s="28"/>
      <c r="N1467" s="28"/>
      <c r="O1467" s="28"/>
      <c r="X1467" s="40"/>
      <c r="Y1467" s="40"/>
    </row>
    <row r="1468" spans="5:25" x14ac:dyDescent="0.35">
      <c r="E1468" t="s">
        <v>198</v>
      </c>
      <c r="F1468" t="s">
        <v>1277</v>
      </c>
      <c r="G1468" s="28"/>
      <c r="N1468" s="28"/>
      <c r="O1468" s="28"/>
      <c r="X1468" s="40"/>
      <c r="Y1468" s="40"/>
    </row>
    <row r="1469" spans="5:25" x14ac:dyDescent="0.35">
      <c r="E1469" t="s">
        <v>198</v>
      </c>
      <c r="F1469" t="s">
        <v>376</v>
      </c>
      <c r="G1469" s="28"/>
      <c r="N1469" s="28"/>
      <c r="O1469" s="28"/>
      <c r="X1469" s="40"/>
      <c r="Y1469" s="40"/>
    </row>
    <row r="1470" spans="5:25" x14ac:dyDescent="0.35">
      <c r="E1470" t="s">
        <v>198</v>
      </c>
      <c r="F1470" t="s">
        <v>1278</v>
      </c>
      <c r="G1470" s="28"/>
      <c r="N1470" s="28"/>
      <c r="O1470" s="28"/>
      <c r="X1470" s="40"/>
      <c r="Y1470" s="40"/>
    </row>
    <row r="1471" spans="5:25" x14ac:dyDescent="0.35">
      <c r="E1471" t="s">
        <v>198</v>
      </c>
      <c r="F1471" t="s">
        <v>873</v>
      </c>
      <c r="G1471" s="28"/>
      <c r="N1471" s="28"/>
      <c r="O1471" s="28"/>
      <c r="X1471" s="40"/>
      <c r="Y1471" s="40"/>
    </row>
    <row r="1472" spans="5:25" x14ac:dyDescent="0.35">
      <c r="E1472" t="s">
        <v>198</v>
      </c>
      <c r="F1472" t="s">
        <v>430</v>
      </c>
      <c r="G1472" s="28"/>
      <c r="N1472" s="28"/>
      <c r="O1472" s="28"/>
      <c r="X1472" s="40"/>
      <c r="Y1472" s="40"/>
    </row>
    <row r="1473" spans="5:25" x14ac:dyDescent="0.35">
      <c r="E1473" t="s">
        <v>198</v>
      </c>
      <c r="F1473" t="s">
        <v>431</v>
      </c>
      <c r="G1473" s="28"/>
      <c r="N1473" s="28"/>
      <c r="O1473" s="28"/>
      <c r="X1473" s="40"/>
      <c r="Y1473" s="40"/>
    </row>
    <row r="1474" spans="5:25" x14ac:dyDescent="0.35">
      <c r="E1474" t="s">
        <v>198</v>
      </c>
      <c r="F1474" t="s">
        <v>1279</v>
      </c>
      <c r="G1474" s="28"/>
      <c r="N1474" s="28"/>
      <c r="O1474" s="28"/>
      <c r="X1474" s="40"/>
      <c r="Y1474" s="40"/>
    </row>
    <row r="1475" spans="5:25" x14ac:dyDescent="0.35">
      <c r="E1475" t="s">
        <v>198</v>
      </c>
      <c r="F1475" t="s">
        <v>379</v>
      </c>
      <c r="G1475" s="28"/>
      <c r="N1475" s="28"/>
      <c r="O1475" s="28"/>
      <c r="X1475" s="40"/>
      <c r="Y1475" s="40"/>
    </row>
    <row r="1476" spans="5:25" x14ac:dyDescent="0.35">
      <c r="E1476" t="s">
        <v>198</v>
      </c>
      <c r="F1476" t="s">
        <v>380</v>
      </c>
      <c r="G1476" s="28"/>
      <c r="N1476" s="28"/>
      <c r="O1476" s="28"/>
      <c r="X1476" s="40"/>
      <c r="Y1476" s="40"/>
    </row>
    <row r="1477" spans="5:25" x14ac:dyDescent="0.35">
      <c r="E1477" t="s">
        <v>198</v>
      </c>
      <c r="F1477" t="s">
        <v>381</v>
      </c>
      <c r="G1477" s="28"/>
      <c r="N1477" s="28"/>
      <c r="O1477" s="28"/>
      <c r="X1477" s="40"/>
      <c r="Y1477" s="40"/>
    </row>
    <row r="1478" spans="5:25" x14ac:dyDescent="0.35">
      <c r="E1478" t="s">
        <v>198</v>
      </c>
      <c r="F1478" t="s">
        <v>1280</v>
      </c>
      <c r="G1478" s="28"/>
      <c r="N1478" s="28"/>
      <c r="O1478" s="28"/>
      <c r="X1478" s="40"/>
      <c r="Y1478" s="40"/>
    </row>
    <row r="1479" spans="5:25" x14ac:dyDescent="0.35">
      <c r="E1479" t="s">
        <v>198</v>
      </c>
      <c r="F1479" t="s">
        <v>433</v>
      </c>
      <c r="G1479" s="28"/>
      <c r="N1479" s="28"/>
      <c r="O1479" s="28"/>
      <c r="X1479" s="40"/>
      <c r="Y1479" s="40"/>
    </row>
    <row r="1480" spans="5:25" x14ac:dyDescent="0.35">
      <c r="E1480" t="s">
        <v>198</v>
      </c>
      <c r="F1480" t="s">
        <v>1281</v>
      </c>
      <c r="G1480" s="28"/>
      <c r="N1480" s="28"/>
      <c r="O1480" s="28"/>
      <c r="X1480" s="40"/>
      <c r="Y1480" s="40"/>
    </row>
    <row r="1481" spans="5:25" x14ac:dyDescent="0.35">
      <c r="E1481" t="s">
        <v>198</v>
      </c>
      <c r="F1481" t="s">
        <v>1282</v>
      </c>
      <c r="G1481" s="28"/>
      <c r="N1481" s="28"/>
      <c r="O1481" s="28"/>
      <c r="X1481" s="40"/>
      <c r="Y1481" s="40"/>
    </row>
    <row r="1482" spans="5:25" x14ac:dyDescent="0.35">
      <c r="E1482" t="s">
        <v>198</v>
      </c>
      <c r="F1482" t="s">
        <v>969</v>
      </c>
      <c r="G1482" s="28"/>
      <c r="N1482" s="28"/>
      <c r="O1482" s="28"/>
      <c r="X1482" s="40"/>
      <c r="Y1482" s="40"/>
    </row>
    <row r="1483" spans="5:25" x14ac:dyDescent="0.35">
      <c r="E1483" t="s">
        <v>198</v>
      </c>
      <c r="F1483" t="s">
        <v>1283</v>
      </c>
      <c r="G1483" s="28"/>
      <c r="N1483" s="28"/>
      <c r="O1483" s="28"/>
      <c r="X1483" s="40"/>
      <c r="Y1483" s="40"/>
    </row>
    <row r="1484" spans="5:25" x14ac:dyDescent="0.35">
      <c r="E1484" t="s">
        <v>198</v>
      </c>
      <c r="F1484" t="s">
        <v>1284</v>
      </c>
      <c r="G1484" s="28"/>
      <c r="N1484" s="28"/>
      <c r="O1484" s="28"/>
      <c r="X1484" s="40"/>
      <c r="Y1484" s="40"/>
    </row>
    <row r="1485" spans="5:25" x14ac:dyDescent="0.35">
      <c r="E1485" t="s">
        <v>198</v>
      </c>
      <c r="F1485" t="s">
        <v>382</v>
      </c>
      <c r="G1485" s="28"/>
      <c r="N1485" s="28"/>
      <c r="O1485" s="28"/>
      <c r="X1485" s="40"/>
      <c r="Y1485" s="40"/>
    </row>
    <row r="1486" spans="5:25" x14ac:dyDescent="0.35">
      <c r="E1486" t="s">
        <v>198</v>
      </c>
      <c r="F1486" t="s">
        <v>1285</v>
      </c>
      <c r="G1486" s="28"/>
      <c r="N1486" s="28"/>
      <c r="O1486" s="28"/>
      <c r="X1486" s="40"/>
      <c r="Y1486" s="40"/>
    </row>
    <row r="1487" spans="5:25" x14ac:dyDescent="0.35">
      <c r="E1487" t="s">
        <v>198</v>
      </c>
      <c r="F1487" t="s">
        <v>1286</v>
      </c>
      <c r="G1487" s="28"/>
      <c r="N1487" s="28"/>
      <c r="O1487" s="28"/>
      <c r="X1487" s="40"/>
      <c r="Y1487" s="40"/>
    </row>
    <row r="1488" spans="5:25" x14ac:dyDescent="0.35">
      <c r="E1488" t="s">
        <v>198</v>
      </c>
      <c r="F1488" t="s">
        <v>384</v>
      </c>
      <c r="G1488" s="28"/>
      <c r="N1488" s="28"/>
      <c r="O1488" s="28"/>
      <c r="X1488" s="40"/>
      <c r="Y1488" s="40"/>
    </row>
    <row r="1489" spans="5:25" x14ac:dyDescent="0.35">
      <c r="E1489" t="s">
        <v>198</v>
      </c>
      <c r="F1489" t="s">
        <v>1287</v>
      </c>
      <c r="G1489" s="28"/>
      <c r="N1489" s="28"/>
      <c r="O1489" s="28"/>
      <c r="X1489" s="40"/>
      <c r="Y1489" s="40"/>
    </row>
    <row r="1490" spans="5:25" x14ac:dyDescent="0.35">
      <c r="E1490" t="s">
        <v>198</v>
      </c>
      <c r="F1490" t="s">
        <v>437</v>
      </c>
      <c r="G1490" s="28"/>
      <c r="N1490" s="28"/>
      <c r="O1490" s="28"/>
      <c r="X1490" s="40"/>
      <c r="Y1490" s="40"/>
    </row>
    <row r="1491" spans="5:25" x14ac:dyDescent="0.35">
      <c r="E1491" t="s">
        <v>198</v>
      </c>
      <c r="F1491" t="s">
        <v>440</v>
      </c>
      <c r="G1491" s="28"/>
      <c r="N1491" s="28"/>
      <c r="O1491" s="28"/>
      <c r="X1491" s="40"/>
      <c r="Y1491" s="40"/>
    </row>
    <row r="1492" spans="5:25" x14ac:dyDescent="0.35">
      <c r="E1492" t="s">
        <v>198</v>
      </c>
      <c r="F1492" t="s">
        <v>631</v>
      </c>
      <c r="G1492" s="28"/>
      <c r="N1492" s="28"/>
      <c r="O1492" s="28"/>
      <c r="X1492" s="40"/>
      <c r="Y1492" s="40"/>
    </row>
    <row r="1493" spans="5:25" x14ac:dyDescent="0.35">
      <c r="E1493" t="s">
        <v>198</v>
      </c>
      <c r="F1493" t="s">
        <v>1288</v>
      </c>
      <c r="G1493" s="28"/>
      <c r="N1493" s="28"/>
      <c r="O1493" s="28"/>
      <c r="X1493" s="40"/>
      <c r="Y1493" s="40"/>
    </row>
    <row r="1494" spans="5:25" x14ac:dyDescent="0.35">
      <c r="E1494" t="s">
        <v>198</v>
      </c>
      <c r="F1494" t="s">
        <v>385</v>
      </c>
      <c r="G1494" s="28"/>
      <c r="N1494" s="28"/>
      <c r="O1494" s="28"/>
      <c r="X1494" s="40"/>
      <c r="Y1494" s="40"/>
    </row>
    <row r="1495" spans="5:25" x14ac:dyDescent="0.35">
      <c r="E1495" t="s">
        <v>198</v>
      </c>
      <c r="F1495" t="s">
        <v>1289</v>
      </c>
      <c r="G1495" s="28"/>
      <c r="N1495" s="28"/>
      <c r="O1495" s="28"/>
      <c r="X1495" s="40"/>
      <c r="Y1495" s="40"/>
    </row>
    <row r="1496" spans="5:25" x14ac:dyDescent="0.35">
      <c r="E1496" t="s">
        <v>198</v>
      </c>
      <c r="F1496" t="s">
        <v>1290</v>
      </c>
      <c r="G1496" s="28"/>
      <c r="N1496" s="28"/>
      <c r="O1496" s="28"/>
      <c r="X1496" s="40"/>
      <c r="Y1496" s="40"/>
    </row>
    <row r="1497" spans="5:25" x14ac:dyDescent="0.35">
      <c r="E1497" t="s">
        <v>198</v>
      </c>
      <c r="F1497" t="s">
        <v>914</v>
      </c>
      <c r="G1497" s="28"/>
      <c r="N1497" s="28"/>
      <c r="O1497" s="28"/>
      <c r="X1497" s="40"/>
      <c r="Y1497" s="40"/>
    </row>
    <row r="1498" spans="5:25" x14ac:dyDescent="0.35">
      <c r="E1498" t="s">
        <v>198</v>
      </c>
      <c r="F1498" t="s">
        <v>1082</v>
      </c>
      <c r="G1498" s="28"/>
      <c r="N1498" s="28"/>
      <c r="O1498" s="28"/>
      <c r="X1498" s="40"/>
      <c r="Y1498" s="40"/>
    </row>
    <row r="1499" spans="5:25" x14ac:dyDescent="0.35">
      <c r="E1499" t="s">
        <v>198</v>
      </c>
      <c r="F1499" t="s">
        <v>387</v>
      </c>
      <c r="G1499" s="28"/>
      <c r="N1499" s="28"/>
      <c r="O1499" s="28"/>
      <c r="X1499" s="40"/>
      <c r="Y1499" s="40"/>
    </row>
    <row r="1500" spans="5:25" x14ac:dyDescent="0.35">
      <c r="E1500" t="s">
        <v>198</v>
      </c>
      <c r="F1500" t="s">
        <v>1291</v>
      </c>
      <c r="G1500" s="28"/>
      <c r="N1500" s="28"/>
      <c r="O1500" s="28"/>
      <c r="X1500" s="40"/>
      <c r="Y1500" s="40"/>
    </row>
    <row r="1501" spans="5:25" x14ac:dyDescent="0.35">
      <c r="E1501" t="s">
        <v>198</v>
      </c>
      <c r="F1501" t="s">
        <v>1246</v>
      </c>
      <c r="G1501" s="28"/>
      <c r="N1501" s="28"/>
      <c r="O1501" s="28"/>
      <c r="X1501" s="40"/>
      <c r="Y1501" s="40"/>
    </row>
    <row r="1502" spans="5:25" x14ac:dyDescent="0.35">
      <c r="E1502" t="s">
        <v>198</v>
      </c>
      <c r="F1502" t="s">
        <v>1292</v>
      </c>
      <c r="G1502" s="28"/>
      <c r="N1502" s="28"/>
      <c r="O1502" s="28"/>
      <c r="X1502" s="40"/>
      <c r="Y1502" s="40"/>
    </row>
    <row r="1503" spans="5:25" x14ac:dyDescent="0.35">
      <c r="E1503" t="s">
        <v>198</v>
      </c>
      <c r="F1503" t="s">
        <v>1293</v>
      </c>
      <c r="G1503" s="28"/>
      <c r="N1503" s="28"/>
      <c r="O1503" s="28"/>
      <c r="X1503" s="40"/>
      <c r="Y1503" s="40"/>
    </row>
    <row r="1504" spans="5:25" x14ac:dyDescent="0.35">
      <c r="E1504" t="s">
        <v>198</v>
      </c>
      <c r="F1504" t="s">
        <v>442</v>
      </c>
      <c r="G1504" s="28"/>
      <c r="N1504" s="28"/>
      <c r="O1504" s="28"/>
      <c r="X1504" s="40"/>
      <c r="Y1504" s="40"/>
    </row>
    <row r="1505" spans="5:25" x14ac:dyDescent="0.35">
      <c r="E1505" t="s">
        <v>198</v>
      </c>
      <c r="F1505" t="s">
        <v>881</v>
      </c>
      <c r="G1505" s="28"/>
      <c r="N1505" s="28"/>
      <c r="O1505" s="28"/>
      <c r="X1505" s="40"/>
      <c r="Y1505" s="40"/>
    </row>
    <row r="1506" spans="5:25" x14ac:dyDescent="0.35">
      <c r="E1506" t="s">
        <v>198</v>
      </c>
      <c r="F1506" t="s">
        <v>1294</v>
      </c>
      <c r="G1506" s="28"/>
      <c r="N1506" s="28"/>
      <c r="O1506" s="28"/>
      <c r="X1506" s="40"/>
      <c r="Y1506" s="40"/>
    </row>
    <row r="1507" spans="5:25" x14ac:dyDescent="0.35">
      <c r="E1507" t="s">
        <v>198</v>
      </c>
      <c r="F1507" t="s">
        <v>443</v>
      </c>
      <c r="G1507" s="28"/>
      <c r="N1507" s="28"/>
      <c r="O1507" s="28"/>
      <c r="X1507" s="40"/>
      <c r="Y1507" s="40"/>
    </row>
    <row r="1508" spans="5:25" x14ac:dyDescent="0.35">
      <c r="E1508" t="s">
        <v>198</v>
      </c>
      <c r="F1508" t="s">
        <v>1295</v>
      </c>
      <c r="G1508" s="28"/>
      <c r="N1508" s="28"/>
      <c r="O1508" s="28"/>
      <c r="X1508" s="40"/>
      <c r="Y1508" s="40"/>
    </row>
    <row r="1509" spans="5:25" x14ac:dyDescent="0.35">
      <c r="E1509" t="s">
        <v>198</v>
      </c>
      <c r="F1509" t="s">
        <v>388</v>
      </c>
      <c r="G1509" s="28"/>
      <c r="N1509" s="28"/>
      <c r="O1509" s="28"/>
      <c r="X1509" s="40"/>
      <c r="Y1509" s="40"/>
    </row>
    <row r="1510" spans="5:25" x14ac:dyDescent="0.35">
      <c r="E1510" t="s">
        <v>198</v>
      </c>
      <c r="F1510" t="s">
        <v>1296</v>
      </c>
      <c r="G1510" s="28"/>
      <c r="N1510" s="28"/>
      <c r="O1510" s="28"/>
      <c r="X1510" s="40"/>
      <c r="Y1510" s="40"/>
    </row>
    <row r="1511" spans="5:25" x14ac:dyDescent="0.35">
      <c r="E1511" t="s">
        <v>198</v>
      </c>
      <c r="F1511" t="s">
        <v>448</v>
      </c>
      <c r="G1511" s="28"/>
      <c r="N1511" s="28"/>
      <c r="O1511" s="28"/>
      <c r="X1511" s="40"/>
      <c r="Y1511" s="40"/>
    </row>
    <row r="1512" spans="5:25" x14ac:dyDescent="0.35">
      <c r="E1512" t="s">
        <v>198</v>
      </c>
      <c r="F1512" t="s">
        <v>920</v>
      </c>
      <c r="G1512" s="28"/>
      <c r="N1512" s="28"/>
      <c r="O1512" s="28"/>
      <c r="X1512" s="40"/>
      <c r="Y1512" s="40"/>
    </row>
    <row r="1513" spans="5:25" x14ac:dyDescent="0.35">
      <c r="E1513" t="s">
        <v>198</v>
      </c>
      <c r="F1513" t="s">
        <v>1297</v>
      </c>
      <c r="G1513" s="28"/>
      <c r="N1513" s="28"/>
      <c r="O1513" s="28"/>
      <c r="X1513" s="40"/>
      <c r="Y1513" s="40"/>
    </row>
    <row r="1514" spans="5:25" x14ac:dyDescent="0.35">
      <c r="E1514" t="s">
        <v>198</v>
      </c>
      <c r="F1514" t="s">
        <v>1298</v>
      </c>
      <c r="G1514" s="28"/>
      <c r="N1514" s="28"/>
      <c r="O1514" s="28"/>
      <c r="X1514" s="40"/>
      <c r="Y1514" s="40"/>
    </row>
    <row r="1515" spans="5:25" x14ac:dyDescent="0.35">
      <c r="E1515" t="s">
        <v>198</v>
      </c>
      <c r="F1515" t="s">
        <v>1093</v>
      </c>
      <c r="G1515" s="28"/>
      <c r="N1515" s="28"/>
      <c r="O1515" s="28"/>
      <c r="X1515" s="40"/>
      <c r="Y1515" s="40"/>
    </row>
    <row r="1516" spans="5:25" x14ac:dyDescent="0.35">
      <c r="E1516" t="s">
        <v>198</v>
      </c>
      <c r="F1516" t="s">
        <v>744</v>
      </c>
      <c r="G1516" s="28"/>
      <c r="N1516" s="28"/>
      <c r="O1516" s="28"/>
      <c r="X1516" s="40"/>
      <c r="Y1516" s="40"/>
    </row>
    <row r="1517" spans="5:25" x14ac:dyDescent="0.35">
      <c r="E1517" t="s">
        <v>198</v>
      </c>
      <c r="F1517" t="s">
        <v>394</v>
      </c>
      <c r="G1517" s="28"/>
      <c r="N1517" s="28"/>
      <c r="O1517" s="28"/>
      <c r="X1517" s="40"/>
      <c r="Y1517" s="40"/>
    </row>
    <row r="1518" spans="5:25" x14ac:dyDescent="0.35">
      <c r="E1518" t="s">
        <v>198</v>
      </c>
      <c r="F1518" t="s">
        <v>745</v>
      </c>
      <c r="G1518" s="28"/>
      <c r="N1518" s="28"/>
      <c r="O1518" s="28"/>
      <c r="X1518" s="40"/>
      <c r="Y1518" s="40"/>
    </row>
    <row r="1519" spans="5:25" x14ac:dyDescent="0.35">
      <c r="E1519" t="s">
        <v>198</v>
      </c>
      <c r="F1519" t="s">
        <v>746</v>
      </c>
      <c r="G1519" s="28"/>
      <c r="N1519" s="28"/>
      <c r="O1519" s="28"/>
      <c r="X1519" s="40"/>
      <c r="Y1519" s="40"/>
    </row>
    <row r="1520" spans="5:25" x14ac:dyDescent="0.35">
      <c r="E1520" t="s">
        <v>198</v>
      </c>
      <c r="F1520" t="s">
        <v>751</v>
      </c>
      <c r="G1520" s="28"/>
      <c r="N1520" s="28"/>
      <c r="O1520" s="28"/>
      <c r="X1520" s="40"/>
      <c r="Y1520" s="40"/>
    </row>
    <row r="1521" spans="5:25" x14ac:dyDescent="0.35">
      <c r="E1521" t="s">
        <v>198</v>
      </c>
      <c r="F1521" t="s">
        <v>808</v>
      </c>
      <c r="G1521" s="28"/>
      <c r="N1521" s="28"/>
      <c r="O1521" s="28"/>
      <c r="X1521" s="40"/>
      <c r="Y1521" s="40"/>
    </row>
    <row r="1522" spans="5:25" x14ac:dyDescent="0.35">
      <c r="E1522" t="s">
        <v>297</v>
      </c>
      <c r="F1522" t="s">
        <v>1299</v>
      </c>
      <c r="G1522" s="28"/>
      <c r="N1522" s="28"/>
      <c r="O1522" s="28"/>
      <c r="X1522" s="40"/>
      <c r="Y1522" s="40"/>
    </row>
    <row r="1523" spans="5:25" x14ac:dyDescent="0.35">
      <c r="E1523" t="s">
        <v>199</v>
      </c>
      <c r="F1523" t="s">
        <v>526</v>
      </c>
      <c r="G1523" s="28"/>
      <c r="N1523" s="28"/>
      <c r="O1523" s="28"/>
      <c r="X1523" s="40"/>
      <c r="Y1523" s="40"/>
    </row>
    <row r="1524" spans="5:25" x14ac:dyDescent="0.35">
      <c r="E1524" t="s">
        <v>199</v>
      </c>
      <c r="F1524" t="s">
        <v>1300</v>
      </c>
      <c r="G1524" s="28"/>
      <c r="N1524" s="28"/>
      <c r="O1524" s="28"/>
      <c r="X1524" s="40"/>
      <c r="Y1524" s="40"/>
    </row>
    <row r="1525" spans="5:25" x14ac:dyDescent="0.35">
      <c r="E1525" t="s">
        <v>199</v>
      </c>
      <c r="F1525" t="s">
        <v>1301</v>
      </c>
      <c r="G1525" s="28"/>
      <c r="N1525" s="28"/>
      <c r="O1525" s="28"/>
      <c r="X1525" s="40"/>
      <c r="Y1525" s="40"/>
    </row>
    <row r="1526" spans="5:25" x14ac:dyDescent="0.35">
      <c r="E1526" t="s">
        <v>199</v>
      </c>
      <c r="F1526" t="s">
        <v>1302</v>
      </c>
      <c r="G1526" s="28"/>
      <c r="N1526" s="28"/>
      <c r="O1526" s="28"/>
      <c r="X1526" s="40"/>
      <c r="Y1526" s="40"/>
    </row>
    <row r="1527" spans="5:25" x14ac:dyDescent="0.35">
      <c r="E1527" t="s">
        <v>199</v>
      </c>
      <c r="F1527" t="s">
        <v>400</v>
      </c>
      <c r="G1527" s="28"/>
      <c r="N1527" s="28"/>
      <c r="O1527" s="28"/>
      <c r="X1527" s="40"/>
      <c r="Y1527" s="40"/>
    </row>
    <row r="1528" spans="5:25" x14ac:dyDescent="0.35">
      <c r="E1528" t="s">
        <v>199</v>
      </c>
      <c r="F1528" t="s">
        <v>1303</v>
      </c>
      <c r="G1528" s="28"/>
      <c r="N1528" s="28"/>
      <c r="O1528" s="28"/>
      <c r="X1528" s="40"/>
      <c r="Y1528" s="40"/>
    </row>
    <row r="1529" spans="5:25" x14ac:dyDescent="0.35">
      <c r="E1529" t="s">
        <v>199</v>
      </c>
      <c r="F1529" t="s">
        <v>337</v>
      </c>
      <c r="G1529" s="28"/>
      <c r="N1529" s="28"/>
      <c r="O1529" s="28"/>
      <c r="X1529" s="40"/>
      <c r="Y1529" s="40"/>
    </row>
    <row r="1530" spans="5:25" x14ac:dyDescent="0.35">
      <c r="E1530" t="s">
        <v>199</v>
      </c>
      <c r="F1530" t="s">
        <v>403</v>
      </c>
      <c r="G1530" s="28"/>
      <c r="N1530" s="28"/>
      <c r="O1530" s="28"/>
      <c r="X1530" s="40"/>
      <c r="Y1530" s="40"/>
    </row>
    <row r="1531" spans="5:25" x14ac:dyDescent="0.35">
      <c r="E1531" t="s">
        <v>199</v>
      </c>
      <c r="F1531" t="s">
        <v>768</v>
      </c>
      <c r="G1531" s="28"/>
      <c r="N1531" s="28"/>
      <c r="O1531" s="28"/>
      <c r="X1531" s="40"/>
      <c r="Y1531" s="40"/>
    </row>
    <row r="1532" spans="5:25" x14ac:dyDescent="0.35">
      <c r="E1532" t="s">
        <v>199</v>
      </c>
      <c r="F1532" t="s">
        <v>341</v>
      </c>
      <c r="G1532" s="28"/>
      <c r="N1532" s="28"/>
      <c r="O1532" s="28"/>
      <c r="X1532" s="40"/>
      <c r="Y1532" s="40"/>
    </row>
    <row r="1533" spans="5:25" x14ac:dyDescent="0.35">
      <c r="E1533" t="s">
        <v>199</v>
      </c>
      <c r="F1533" t="s">
        <v>1063</v>
      </c>
      <c r="G1533" s="28"/>
      <c r="N1533" s="28"/>
      <c r="O1533" s="28"/>
      <c r="X1533" s="40"/>
      <c r="Y1533" s="40"/>
    </row>
    <row r="1534" spans="5:25" x14ac:dyDescent="0.35">
      <c r="E1534" t="s">
        <v>199</v>
      </c>
      <c r="F1534" t="s">
        <v>342</v>
      </c>
      <c r="G1534" s="28"/>
      <c r="N1534" s="28"/>
      <c r="O1534" s="28"/>
      <c r="X1534" s="40"/>
      <c r="Y1534" s="40"/>
    </row>
    <row r="1535" spans="5:25" x14ac:dyDescent="0.35">
      <c r="E1535" t="s">
        <v>199</v>
      </c>
      <c r="F1535" t="s">
        <v>343</v>
      </c>
      <c r="G1535" s="28"/>
      <c r="N1535" s="28"/>
      <c r="O1535" s="28"/>
      <c r="X1535" s="40"/>
      <c r="Y1535" s="40"/>
    </row>
    <row r="1536" spans="5:25" x14ac:dyDescent="0.35">
      <c r="E1536" t="s">
        <v>199</v>
      </c>
      <c r="F1536" t="s">
        <v>1304</v>
      </c>
      <c r="G1536" s="28"/>
      <c r="N1536" s="28"/>
      <c r="O1536" s="28"/>
      <c r="X1536" s="40"/>
      <c r="Y1536" s="40"/>
    </row>
    <row r="1537" spans="5:25" x14ac:dyDescent="0.35">
      <c r="E1537" t="s">
        <v>199</v>
      </c>
      <c r="F1537" t="s">
        <v>1305</v>
      </c>
      <c r="G1537" s="28"/>
      <c r="N1537" s="28"/>
      <c r="O1537" s="28"/>
      <c r="X1537" s="40"/>
      <c r="Y1537" s="40"/>
    </row>
    <row r="1538" spans="5:25" x14ac:dyDescent="0.35">
      <c r="E1538" t="s">
        <v>199</v>
      </c>
      <c r="F1538" t="s">
        <v>349</v>
      </c>
      <c r="G1538" s="28"/>
      <c r="N1538" s="28"/>
      <c r="O1538" s="28"/>
      <c r="X1538" s="40"/>
      <c r="Y1538" s="40"/>
    </row>
    <row r="1539" spans="5:25" x14ac:dyDescent="0.35">
      <c r="E1539" t="s">
        <v>199</v>
      </c>
      <c r="F1539" t="s">
        <v>1306</v>
      </c>
      <c r="G1539" s="28"/>
      <c r="N1539" s="28"/>
      <c r="O1539" s="28"/>
      <c r="X1539" s="40"/>
      <c r="Y1539" s="40"/>
    </row>
    <row r="1540" spans="5:25" x14ac:dyDescent="0.35">
      <c r="E1540" t="s">
        <v>199</v>
      </c>
      <c r="F1540" t="s">
        <v>1307</v>
      </c>
      <c r="G1540" s="28"/>
      <c r="N1540" s="28"/>
      <c r="O1540" s="28"/>
      <c r="X1540" s="40"/>
      <c r="Y1540" s="40"/>
    </row>
    <row r="1541" spans="5:25" x14ac:dyDescent="0.35">
      <c r="E1541" t="s">
        <v>199</v>
      </c>
      <c r="F1541" t="s">
        <v>359</v>
      </c>
      <c r="G1541" s="28"/>
      <c r="N1541" s="28"/>
      <c r="O1541" s="28"/>
      <c r="X1541" s="40"/>
      <c r="Y1541" s="40"/>
    </row>
    <row r="1542" spans="5:25" x14ac:dyDescent="0.35">
      <c r="E1542" t="s">
        <v>199</v>
      </c>
      <c r="F1542" t="s">
        <v>1308</v>
      </c>
      <c r="G1542" s="28"/>
      <c r="N1542" s="28"/>
      <c r="O1542" s="28"/>
      <c r="X1542" s="40"/>
      <c r="Y1542" s="40"/>
    </row>
    <row r="1543" spans="5:25" x14ac:dyDescent="0.35">
      <c r="E1543" t="s">
        <v>199</v>
      </c>
      <c r="F1543" t="s">
        <v>361</v>
      </c>
      <c r="G1543" s="28"/>
      <c r="N1543" s="28"/>
      <c r="O1543" s="28"/>
      <c r="X1543" s="40"/>
      <c r="Y1543" s="40"/>
    </row>
    <row r="1544" spans="5:25" x14ac:dyDescent="0.35">
      <c r="E1544" t="s">
        <v>199</v>
      </c>
      <c r="F1544" t="s">
        <v>1309</v>
      </c>
      <c r="G1544" s="28"/>
      <c r="N1544" s="28"/>
      <c r="O1544" s="28"/>
      <c r="X1544" s="40"/>
      <c r="Y1544" s="40"/>
    </row>
    <row r="1545" spans="5:25" x14ac:dyDescent="0.35">
      <c r="E1545" t="s">
        <v>199</v>
      </c>
      <c r="F1545" t="s">
        <v>695</v>
      </c>
      <c r="G1545" s="28"/>
      <c r="N1545" s="28"/>
      <c r="O1545" s="28"/>
      <c r="X1545" s="40"/>
      <c r="Y1545" s="40"/>
    </row>
    <row r="1546" spans="5:25" x14ac:dyDescent="0.35">
      <c r="E1546" t="s">
        <v>199</v>
      </c>
      <c r="F1546" t="s">
        <v>779</v>
      </c>
      <c r="G1546" s="28"/>
      <c r="N1546" s="28"/>
      <c r="O1546" s="28"/>
      <c r="X1546" s="40"/>
      <c r="Y1546" s="40"/>
    </row>
    <row r="1547" spans="5:25" x14ac:dyDescent="0.35">
      <c r="E1547" t="s">
        <v>199</v>
      </c>
      <c r="F1547" t="s">
        <v>1310</v>
      </c>
      <c r="G1547" s="28"/>
      <c r="N1547" s="28"/>
      <c r="O1547" s="28"/>
      <c r="X1547" s="40"/>
      <c r="Y1547" s="40"/>
    </row>
    <row r="1548" spans="5:25" x14ac:dyDescent="0.35">
      <c r="E1548" t="s">
        <v>199</v>
      </c>
      <c r="F1548" t="s">
        <v>616</v>
      </c>
      <c r="G1548" s="28"/>
      <c r="N1548" s="28"/>
      <c r="O1548" s="28"/>
      <c r="X1548" s="40"/>
      <c r="Y1548" s="40"/>
    </row>
    <row r="1549" spans="5:25" x14ac:dyDescent="0.35">
      <c r="E1549" t="s">
        <v>199</v>
      </c>
      <c r="F1549" t="s">
        <v>1311</v>
      </c>
      <c r="G1549" s="28"/>
      <c r="N1549" s="28"/>
      <c r="O1549" s="28"/>
      <c r="X1549" s="40"/>
      <c r="Y1549" s="40"/>
    </row>
    <row r="1550" spans="5:25" x14ac:dyDescent="0.35">
      <c r="E1550" t="s">
        <v>199</v>
      </c>
      <c r="F1550" t="s">
        <v>1312</v>
      </c>
      <c r="G1550" s="28"/>
      <c r="N1550" s="28"/>
      <c r="O1550" s="28"/>
      <c r="X1550" s="40"/>
      <c r="Y1550" s="40"/>
    </row>
    <row r="1551" spans="5:25" x14ac:dyDescent="0.35">
      <c r="E1551" t="s">
        <v>199</v>
      </c>
      <c r="F1551" t="s">
        <v>1313</v>
      </c>
      <c r="G1551" s="28"/>
      <c r="N1551" s="28"/>
      <c r="O1551" s="28"/>
      <c r="X1551" s="40"/>
      <c r="Y1551" s="40"/>
    </row>
    <row r="1552" spans="5:25" x14ac:dyDescent="0.35">
      <c r="E1552" t="s">
        <v>199</v>
      </c>
      <c r="F1552" t="s">
        <v>365</v>
      </c>
      <c r="G1552" s="28"/>
      <c r="N1552" s="28"/>
      <c r="O1552" s="28"/>
      <c r="X1552" s="40"/>
      <c r="Y1552" s="40"/>
    </row>
    <row r="1553" spans="5:25" x14ac:dyDescent="0.35">
      <c r="E1553" t="s">
        <v>199</v>
      </c>
      <c r="F1553" t="s">
        <v>701</v>
      </c>
      <c r="G1553" s="28"/>
      <c r="N1553" s="28"/>
      <c r="O1553" s="28"/>
      <c r="X1553" s="40"/>
      <c r="Y1553" s="40"/>
    </row>
    <row r="1554" spans="5:25" x14ac:dyDescent="0.35">
      <c r="E1554" t="s">
        <v>199</v>
      </c>
      <c r="F1554" t="s">
        <v>366</v>
      </c>
      <c r="G1554" s="28"/>
      <c r="N1554" s="28"/>
      <c r="O1554" s="28"/>
      <c r="X1554" s="40"/>
      <c r="Y1554" s="40"/>
    </row>
    <row r="1555" spans="5:25" x14ac:dyDescent="0.35">
      <c r="E1555" t="s">
        <v>199</v>
      </c>
      <c r="F1555" t="s">
        <v>1071</v>
      </c>
      <c r="G1555" s="28"/>
      <c r="N1555" s="28"/>
      <c r="O1555" s="28"/>
      <c r="X1555" s="40"/>
      <c r="Y1555" s="40"/>
    </row>
    <row r="1556" spans="5:25" x14ac:dyDescent="0.35">
      <c r="E1556" t="s">
        <v>199</v>
      </c>
      <c r="F1556" t="s">
        <v>704</v>
      </c>
      <c r="G1556" s="28"/>
      <c r="N1556" s="28"/>
      <c r="O1556" s="28"/>
      <c r="X1556" s="40"/>
      <c r="Y1556" s="40"/>
    </row>
    <row r="1557" spans="5:25" x14ac:dyDescent="0.35">
      <c r="E1557" t="s">
        <v>199</v>
      </c>
      <c r="F1557" t="s">
        <v>1314</v>
      </c>
      <c r="G1557" s="28"/>
      <c r="N1557" s="28"/>
      <c r="O1557" s="28"/>
      <c r="X1557" s="40"/>
      <c r="Y1557" s="40"/>
    </row>
    <row r="1558" spans="5:25" x14ac:dyDescent="0.35">
      <c r="E1558" t="s">
        <v>199</v>
      </c>
      <c r="F1558" t="s">
        <v>425</v>
      </c>
      <c r="G1558" s="28"/>
      <c r="N1558" s="28"/>
      <c r="O1558" s="28"/>
      <c r="X1558" s="40"/>
      <c r="Y1558" s="40"/>
    </row>
    <row r="1559" spans="5:25" x14ac:dyDescent="0.35">
      <c r="E1559" t="s">
        <v>199</v>
      </c>
      <c r="F1559" t="s">
        <v>367</v>
      </c>
      <c r="G1559" s="28"/>
      <c r="N1559" s="28"/>
      <c r="O1559" s="28"/>
      <c r="X1559" s="40"/>
      <c r="Y1559" s="40"/>
    </row>
    <row r="1560" spans="5:25" x14ac:dyDescent="0.35">
      <c r="E1560" t="s">
        <v>199</v>
      </c>
      <c r="F1560" t="s">
        <v>368</v>
      </c>
      <c r="G1560" s="28"/>
      <c r="N1560" s="28"/>
      <c r="O1560" s="28"/>
      <c r="X1560" s="40"/>
      <c r="Y1560" s="40"/>
    </row>
    <row r="1561" spans="5:25" x14ac:dyDescent="0.35">
      <c r="E1561" t="s">
        <v>199</v>
      </c>
      <c r="F1561" t="s">
        <v>369</v>
      </c>
      <c r="G1561" s="28"/>
      <c r="N1561" s="28"/>
      <c r="O1561" s="28"/>
      <c r="X1561" s="40"/>
      <c r="Y1561" s="40"/>
    </row>
    <row r="1562" spans="5:25" x14ac:dyDescent="0.35">
      <c r="E1562" t="s">
        <v>199</v>
      </c>
      <c r="F1562" t="s">
        <v>1315</v>
      </c>
      <c r="G1562" s="28"/>
      <c r="N1562" s="28"/>
      <c r="O1562" s="28"/>
      <c r="X1562" s="40"/>
      <c r="Y1562" s="40"/>
    </row>
    <row r="1563" spans="5:25" x14ac:dyDescent="0.35">
      <c r="E1563" t="s">
        <v>199</v>
      </c>
      <c r="F1563" t="s">
        <v>370</v>
      </c>
      <c r="G1563" s="28"/>
      <c r="N1563" s="28"/>
      <c r="O1563" s="28"/>
      <c r="X1563" s="40"/>
      <c r="Y1563" s="40"/>
    </row>
    <row r="1564" spans="5:25" x14ac:dyDescent="0.35">
      <c r="E1564" t="s">
        <v>199</v>
      </c>
      <c r="F1564" t="s">
        <v>1316</v>
      </c>
      <c r="G1564" s="28"/>
      <c r="N1564" s="28"/>
      <c r="O1564" s="28"/>
      <c r="X1564" s="40"/>
      <c r="Y1564" s="40"/>
    </row>
    <row r="1565" spans="5:25" x14ac:dyDescent="0.35">
      <c r="E1565" t="s">
        <v>199</v>
      </c>
      <c r="F1565" t="s">
        <v>426</v>
      </c>
      <c r="G1565" s="28"/>
      <c r="N1565" s="28"/>
      <c r="O1565" s="28"/>
      <c r="X1565" s="40"/>
      <c r="Y1565" s="40"/>
    </row>
    <row r="1566" spans="5:25" x14ac:dyDescent="0.35">
      <c r="E1566" t="s">
        <v>199</v>
      </c>
      <c r="F1566" t="s">
        <v>372</v>
      </c>
      <c r="G1566" s="28"/>
      <c r="N1566" s="28"/>
      <c r="O1566" s="28"/>
      <c r="X1566" s="40"/>
      <c r="Y1566" s="40"/>
    </row>
    <row r="1567" spans="5:25" x14ac:dyDescent="0.35">
      <c r="E1567" t="s">
        <v>199</v>
      </c>
      <c r="F1567" t="s">
        <v>374</v>
      </c>
      <c r="G1567" s="28"/>
      <c r="N1567" s="28"/>
      <c r="O1567" s="28"/>
      <c r="X1567" s="40"/>
      <c r="Y1567" s="40"/>
    </row>
    <row r="1568" spans="5:25" x14ac:dyDescent="0.35">
      <c r="E1568" t="s">
        <v>199</v>
      </c>
      <c r="F1568" t="s">
        <v>376</v>
      </c>
      <c r="G1568" s="28"/>
      <c r="N1568" s="28"/>
      <c r="O1568" s="28"/>
      <c r="X1568" s="40"/>
      <c r="Y1568" s="40"/>
    </row>
    <row r="1569" spans="5:25" x14ac:dyDescent="0.35">
      <c r="E1569" t="s">
        <v>199</v>
      </c>
      <c r="F1569" t="s">
        <v>377</v>
      </c>
      <c r="G1569" s="28"/>
      <c r="N1569" s="28"/>
      <c r="O1569" s="28"/>
      <c r="X1569" s="40"/>
      <c r="Y1569" s="40"/>
    </row>
    <row r="1570" spans="5:25" x14ac:dyDescent="0.35">
      <c r="E1570" t="s">
        <v>199</v>
      </c>
      <c r="F1570" t="s">
        <v>379</v>
      </c>
      <c r="G1570" s="28"/>
      <c r="N1570" s="28"/>
      <c r="O1570" s="28"/>
      <c r="X1570" s="40"/>
      <c r="Y1570" s="40"/>
    </row>
    <row r="1571" spans="5:25" x14ac:dyDescent="0.35">
      <c r="E1571" t="s">
        <v>199</v>
      </c>
      <c r="F1571" t="s">
        <v>380</v>
      </c>
      <c r="G1571" s="28"/>
      <c r="N1571" s="28"/>
      <c r="O1571" s="28"/>
      <c r="X1571" s="40"/>
      <c r="Y1571" s="40"/>
    </row>
    <row r="1572" spans="5:25" x14ac:dyDescent="0.35">
      <c r="E1572" t="s">
        <v>199</v>
      </c>
      <c r="F1572" t="s">
        <v>1317</v>
      </c>
      <c r="G1572" s="28"/>
      <c r="N1572" s="28"/>
      <c r="O1572" s="28"/>
      <c r="X1572" s="40"/>
      <c r="Y1572" s="40"/>
    </row>
    <row r="1573" spans="5:25" x14ac:dyDescent="0.35">
      <c r="E1573" t="s">
        <v>199</v>
      </c>
      <c r="F1573" t="s">
        <v>433</v>
      </c>
      <c r="G1573" s="28"/>
      <c r="N1573" s="28"/>
      <c r="O1573" s="28"/>
      <c r="X1573" s="40"/>
      <c r="Y1573" s="40"/>
    </row>
    <row r="1574" spans="5:25" x14ac:dyDescent="0.35">
      <c r="E1574" t="s">
        <v>199</v>
      </c>
      <c r="F1574" t="s">
        <v>1318</v>
      </c>
      <c r="G1574" s="28"/>
      <c r="N1574" s="28"/>
      <c r="O1574" s="28"/>
      <c r="X1574" s="40"/>
      <c r="Y1574" s="40"/>
    </row>
    <row r="1575" spans="5:25" x14ac:dyDescent="0.35">
      <c r="E1575" t="s">
        <v>199</v>
      </c>
      <c r="F1575" t="s">
        <v>1319</v>
      </c>
      <c r="G1575" s="28"/>
      <c r="N1575" s="28"/>
      <c r="O1575" s="28"/>
      <c r="X1575" s="40"/>
      <c r="Y1575" s="40"/>
    </row>
    <row r="1576" spans="5:25" x14ac:dyDescent="0.35">
      <c r="E1576" t="s">
        <v>199</v>
      </c>
      <c r="F1576" t="s">
        <v>1320</v>
      </c>
      <c r="G1576" s="28"/>
      <c r="N1576" s="28"/>
      <c r="O1576" s="28"/>
      <c r="X1576" s="40"/>
      <c r="Y1576" s="40"/>
    </row>
    <row r="1577" spans="5:25" x14ac:dyDescent="0.35">
      <c r="E1577" t="s">
        <v>199</v>
      </c>
      <c r="F1577" t="s">
        <v>1321</v>
      </c>
      <c r="G1577" s="28"/>
      <c r="N1577" s="28"/>
      <c r="O1577" s="28"/>
      <c r="X1577" s="40"/>
      <c r="Y1577" s="40"/>
    </row>
    <row r="1578" spans="5:25" x14ac:dyDescent="0.35">
      <c r="E1578" t="s">
        <v>199</v>
      </c>
      <c r="F1578" t="s">
        <v>382</v>
      </c>
      <c r="G1578" s="28"/>
      <c r="N1578" s="28"/>
      <c r="O1578" s="28"/>
      <c r="X1578" s="40"/>
      <c r="Y1578" s="40"/>
    </row>
    <row r="1579" spans="5:25" x14ac:dyDescent="0.35">
      <c r="E1579" t="s">
        <v>199</v>
      </c>
      <c r="F1579" t="s">
        <v>384</v>
      </c>
      <c r="G1579" s="28"/>
      <c r="N1579" s="28"/>
      <c r="O1579" s="28"/>
      <c r="X1579" s="40"/>
      <c r="Y1579" s="40"/>
    </row>
    <row r="1580" spans="5:25" x14ac:dyDescent="0.35">
      <c r="E1580" t="s">
        <v>199</v>
      </c>
      <c r="F1580" t="s">
        <v>1322</v>
      </c>
      <c r="G1580" s="28"/>
      <c r="N1580" s="28"/>
      <c r="O1580" s="28"/>
      <c r="X1580" s="40"/>
      <c r="Y1580" s="40"/>
    </row>
    <row r="1581" spans="5:25" x14ac:dyDescent="0.35">
      <c r="E1581" t="s">
        <v>199</v>
      </c>
      <c r="F1581" t="s">
        <v>1323</v>
      </c>
      <c r="G1581" s="28"/>
      <c r="N1581" s="28"/>
      <c r="O1581" s="28"/>
      <c r="X1581" s="40"/>
      <c r="Y1581" s="40"/>
    </row>
    <row r="1582" spans="5:25" x14ac:dyDescent="0.35">
      <c r="E1582" t="s">
        <v>199</v>
      </c>
      <c r="F1582" t="s">
        <v>720</v>
      </c>
      <c r="G1582" s="28"/>
      <c r="N1582" s="28"/>
      <c r="O1582" s="28"/>
      <c r="X1582" s="40"/>
      <c r="Y1582" s="40"/>
    </row>
    <row r="1583" spans="5:25" x14ac:dyDescent="0.35">
      <c r="E1583" t="s">
        <v>199</v>
      </c>
      <c r="F1583" t="s">
        <v>1324</v>
      </c>
      <c r="G1583" s="28"/>
      <c r="N1583" s="28"/>
      <c r="O1583" s="28"/>
      <c r="X1583" s="40"/>
      <c r="Y1583" s="40"/>
    </row>
    <row r="1584" spans="5:25" x14ac:dyDescent="0.35">
      <c r="E1584" t="s">
        <v>199</v>
      </c>
      <c r="F1584" t="s">
        <v>443</v>
      </c>
      <c r="G1584" s="28"/>
      <c r="N1584" s="28"/>
      <c r="O1584" s="28"/>
      <c r="X1584" s="40"/>
      <c r="Y1584" s="40"/>
    </row>
    <row r="1585" spans="5:25" x14ac:dyDescent="0.35">
      <c r="E1585" t="s">
        <v>199</v>
      </c>
      <c r="F1585" t="s">
        <v>1325</v>
      </c>
      <c r="G1585" s="28"/>
      <c r="N1585" s="28"/>
      <c r="O1585" s="28"/>
      <c r="X1585" s="40"/>
      <c r="Y1585" s="40"/>
    </row>
    <row r="1586" spans="5:25" x14ac:dyDescent="0.35">
      <c r="E1586" t="s">
        <v>199</v>
      </c>
      <c r="F1586" t="s">
        <v>1047</v>
      </c>
      <c r="G1586" s="28"/>
      <c r="N1586" s="28"/>
      <c r="O1586" s="28"/>
      <c r="X1586" s="40"/>
      <c r="Y1586" s="40"/>
    </row>
    <row r="1587" spans="5:25" x14ac:dyDescent="0.35">
      <c r="E1587" t="s">
        <v>199</v>
      </c>
      <c r="F1587" t="s">
        <v>985</v>
      </c>
      <c r="G1587" s="28"/>
      <c r="N1587" s="28"/>
      <c r="O1587" s="28"/>
      <c r="X1587" s="40"/>
      <c r="Y1587" s="40"/>
    </row>
    <row r="1588" spans="5:25" x14ac:dyDescent="0.35">
      <c r="E1588" t="s">
        <v>199</v>
      </c>
      <c r="F1588" t="s">
        <v>448</v>
      </c>
      <c r="G1588" s="28"/>
      <c r="N1588" s="28"/>
      <c r="O1588" s="28"/>
      <c r="X1588" s="40"/>
      <c r="Y1588" s="40"/>
    </row>
    <row r="1589" spans="5:25" x14ac:dyDescent="0.35">
      <c r="E1589" t="s">
        <v>199</v>
      </c>
      <c r="F1589" t="s">
        <v>1326</v>
      </c>
      <c r="G1589" s="28"/>
      <c r="N1589" s="28"/>
      <c r="O1589" s="28"/>
      <c r="X1589" s="40"/>
      <c r="Y1589" s="40"/>
    </row>
    <row r="1590" spans="5:25" x14ac:dyDescent="0.35">
      <c r="E1590" t="s">
        <v>199</v>
      </c>
      <c r="F1590" t="s">
        <v>1327</v>
      </c>
      <c r="G1590" s="28"/>
      <c r="N1590" s="28"/>
      <c r="O1590" s="28"/>
      <c r="X1590" s="40"/>
      <c r="Y1590" s="40"/>
    </row>
    <row r="1591" spans="5:25" x14ac:dyDescent="0.35">
      <c r="E1591" t="s">
        <v>199</v>
      </c>
      <c r="F1591" t="s">
        <v>1328</v>
      </c>
      <c r="G1591" s="28"/>
      <c r="N1591" s="28"/>
      <c r="O1591" s="28"/>
      <c r="X1591" s="40"/>
      <c r="Y1591" s="40"/>
    </row>
    <row r="1592" spans="5:25" x14ac:dyDescent="0.35">
      <c r="E1592" t="s">
        <v>199</v>
      </c>
      <c r="F1592" t="s">
        <v>1329</v>
      </c>
      <c r="G1592" s="28"/>
      <c r="N1592" s="28"/>
      <c r="O1592" s="28"/>
      <c r="X1592" s="40"/>
      <c r="Y1592" s="40"/>
    </row>
    <row r="1593" spans="5:25" x14ac:dyDescent="0.35">
      <c r="E1593" t="s">
        <v>199</v>
      </c>
      <c r="F1593" t="s">
        <v>1330</v>
      </c>
      <c r="G1593" s="28"/>
      <c r="N1593" s="28"/>
      <c r="O1593" s="28"/>
      <c r="X1593" s="40"/>
      <c r="Y1593" s="40"/>
    </row>
    <row r="1594" spans="5:25" x14ac:dyDescent="0.35">
      <c r="E1594" t="s">
        <v>199</v>
      </c>
      <c r="F1594" t="s">
        <v>1331</v>
      </c>
      <c r="G1594" s="28"/>
      <c r="N1594" s="28"/>
      <c r="O1594" s="28"/>
      <c r="X1594" s="40"/>
      <c r="Y1594" s="40"/>
    </row>
    <row r="1595" spans="5:25" x14ac:dyDescent="0.35">
      <c r="E1595" t="s">
        <v>199</v>
      </c>
      <c r="F1595" t="s">
        <v>449</v>
      </c>
      <c r="G1595" s="28"/>
      <c r="N1595" s="28"/>
      <c r="O1595" s="28"/>
      <c r="X1595" s="40"/>
      <c r="Y1595" s="40"/>
    </row>
    <row r="1596" spans="5:25" x14ac:dyDescent="0.35">
      <c r="E1596" t="s">
        <v>199</v>
      </c>
      <c r="F1596" t="s">
        <v>1332</v>
      </c>
      <c r="G1596" s="28"/>
      <c r="N1596" s="28"/>
      <c r="O1596" s="28"/>
      <c r="X1596" s="40"/>
      <c r="Y1596" s="40"/>
    </row>
    <row r="1597" spans="5:25" x14ac:dyDescent="0.35">
      <c r="E1597" t="s">
        <v>199</v>
      </c>
      <c r="F1597" t="s">
        <v>744</v>
      </c>
      <c r="G1597" s="28"/>
      <c r="N1597" s="28"/>
      <c r="O1597" s="28"/>
      <c r="X1597" s="40"/>
      <c r="Y1597" s="40"/>
    </row>
    <row r="1598" spans="5:25" x14ac:dyDescent="0.35">
      <c r="E1598" t="s">
        <v>199</v>
      </c>
      <c r="F1598" t="s">
        <v>394</v>
      </c>
      <c r="G1598" s="28"/>
      <c r="N1598" s="28"/>
      <c r="O1598" s="28"/>
      <c r="X1598" s="40"/>
      <c r="Y1598" s="40"/>
    </row>
    <row r="1599" spans="5:25" x14ac:dyDescent="0.35">
      <c r="E1599" t="s">
        <v>199</v>
      </c>
      <c r="F1599" t="s">
        <v>745</v>
      </c>
      <c r="G1599" s="28"/>
      <c r="N1599" s="28"/>
      <c r="O1599" s="28"/>
      <c r="X1599" s="40"/>
      <c r="Y1599" s="40"/>
    </row>
    <row r="1600" spans="5:25" x14ac:dyDescent="0.35">
      <c r="E1600" t="s">
        <v>199</v>
      </c>
      <c r="F1600" t="s">
        <v>746</v>
      </c>
      <c r="G1600" s="28"/>
      <c r="N1600" s="28"/>
      <c r="O1600" s="28"/>
      <c r="X1600" s="40"/>
      <c r="Y1600" s="40"/>
    </row>
    <row r="1601" spans="5:25" x14ac:dyDescent="0.35">
      <c r="E1601" t="s">
        <v>199</v>
      </c>
      <c r="F1601" t="s">
        <v>750</v>
      </c>
      <c r="G1601" s="28"/>
      <c r="N1601" s="28"/>
      <c r="O1601" s="28"/>
      <c r="X1601" s="40"/>
      <c r="Y1601" s="40"/>
    </row>
    <row r="1602" spans="5:25" x14ac:dyDescent="0.35">
      <c r="E1602" t="s">
        <v>199</v>
      </c>
      <c r="F1602" t="s">
        <v>396</v>
      </c>
      <c r="G1602" s="28"/>
      <c r="N1602" s="28"/>
      <c r="O1602" s="28"/>
      <c r="X1602" s="40"/>
      <c r="Y1602" s="40"/>
    </row>
    <row r="1603" spans="5:25" x14ac:dyDescent="0.35">
      <c r="E1603" t="s">
        <v>199</v>
      </c>
      <c r="F1603" t="s">
        <v>1333</v>
      </c>
      <c r="G1603" s="28"/>
      <c r="N1603" s="28"/>
      <c r="O1603" s="28"/>
      <c r="X1603" s="40"/>
      <c r="Y1603" s="40"/>
    </row>
    <row r="1604" spans="5:25" x14ac:dyDescent="0.35">
      <c r="E1604" t="s">
        <v>199</v>
      </c>
      <c r="F1604" t="s">
        <v>1334</v>
      </c>
      <c r="G1604" s="28"/>
      <c r="N1604" s="28"/>
      <c r="O1604" s="28"/>
      <c r="X1604" s="40"/>
      <c r="Y1604" s="40"/>
    </row>
    <row r="1605" spans="5:25" x14ac:dyDescent="0.35">
      <c r="E1605" t="s">
        <v>200</v>
      </c>
      <c r="F1605" t="s">
        <v>1335</v>
      </c>
      <c r="G1605" s="28"/>
      <c r="N1605" s="28"/>
      <c r="O1605" s="28"/>
      <c r="X1605" s="40"/>
      <c r="Y1605" s="40"/>
    </row>
    <row r="1606" spans="5:25" x14ac:dyDescent="0.35">
      <c r="E1606" t="s">
        <v>200</v>
      </c>
      <c r="F1606" t="s">
        <v>1336</v>
      </c>
      <c r="G1606" s="28"/>
      <c r="N1606" s="28"/>
      <c r="O1606" s="28"/>
      <c r="X1606" s="40"/>
      <c r="Y1606" s="40"/>
    </row>
    <row r="1607" spans="5:25" x14ac:dyDescent="0.35">
      <c r="E1607" t="s">
        <v>200</v>
      </c>
      <c r="F1607" t="s">
        <v>814</v>
      </c>
      <c r="G1607" s="28"/>
      <c r="N1607" s="28"/>
      <c r="O1607" s="28"/>
      <c r="X1607" s="40"/>
      <c r="Y1607" s="40"/>
    </row>
    <row r="1608" spans="5:25" x14ac:dyDescent="0.35">
      <c r="E1608" t="s">
        <v>200</v>
      </c>
      <c r="F1608" t="s">
        <v>1337</v>
      </c>
      <c r="G1608" s="28"/>
      <c r="N1608" s="28"/>
      <c r="O1608" s="28"/>
      <c r="X1608" s="40"/>
      <c r="Y1608" s="40"/>
    </row>
    <row r="1609" spans="5:25" x14ac:dyDescent="0.35">
      <c r="E1609" t="s">
        <v>200</v>
      </c>
      <c r="F1609" t="s">
        <v>1338</v>
      </c>
      <c r="G1609" s="28"/>
      <c r="N1609" s="28"/>
      <c r="O1609" s="28"/>
      <c r="X1609" s="40"/>
      <c r="Y1609" s="40"/>
    </row>
    <row r="1610" spans="5:25" x14ac:dyDescent="0.35">
      <c r="E1610" t="s">
        <v>200</v>
      </c>
      <c r="F1610" t="s">
        <v>1011</v>
      </c>
      <c r="G1610" s="28"/>
      <c r="N1610" s="28"/>
      <c r="O1610" s="28"/>
      <c r="X1610" s="40"/>
      <c r="Y1610" s="40"/>
    </row>
    <row r="1611" spans="5:25" x14ac:dyDescent="0.35">
      <c r="E1611" t="s">
        <v>200</v>
      </c>
      <c r="F1611" t="s">
        <v>1339</v>
      </c>
      <c r="G1611" s="28"/>
      <c r="N1611" s="28"/>
      <c r="O1611" s="28"/>
      <c r="X1611" s="40"/>
      <c r="Y1611" s="40"/>
    </row>
    <row r="1612" spans="5:25" x14ac:dyDescent="0.35">
      <c r="E1612" t="s">
        <v>200</v>
      </c>
      <c r="F1612" t="s">
        <v>1340</v>
      </c>
      <c r="G1612" s="28"/>
      <c r="N1612" s="28"/>
      <c r="O1612" s="28"/>
      <c r="X1612" s="40"/>
      <c r="Y1612" s="40"/>
    </row>
    <row r="1613" spans="5:25" x14ac:dyDescent="0.35">
      <c r="E1613" t="s">
        <v>200</v>
      </c>
      <c r="F1613" t="s">
        <v>540</v>
      </c>
      <c r="G1613" s="28"/>
      <c r="N1613" s="28"/>
      <c r="O1613" s="28"/>
      <c r="X1613" s="40"/>
      <c r="Y1613" s="40"/>
    </row>
    <row r="1614" spans="5:25" x14ac:dyDescent="0.35">
      <c r="E1614" t="s">
        <v>200</v>
      </c>
      <c r="F1614" t="s">
        <v>1341</v>
      </c>
      <c r="G1614" s="28"/>
      <c r="N1614" s="28"/>
      <c r="O1614" s="28"/>
      <c r="X1614" s="40"/>
      <c r="Y1614" s="40"/>
    </row>
    <row r="1615" spans="5:25" x14ac:dyDescent="0.35">
      <c r="E1615" t="s">
        <v>200</v>
      </c>
      <c r="F1615" t="s">
        <v>673</v>
      </c>
      <c r="G1615" s="28"/>
      <c r="N1615" s="28"/>
      <c r="O1615" s="28"/>
      <c r="X1615" s="40"/>
      <c r="Y1615" s="40"/>
    </row>
    <row r="1616" spans="5:25" x14ac:dyDescent="0.35">
      <c r="E1616" t="s">
        <v>200</v>
      </c>
      <c r="F1616" t="s">
        <v>1342</v>
      </c>
      <c r="G1616" s="28"/>
      <c r="N1616" s="28"/>
      <c r="O1616" s="28"/>
      <c r="X1616" s="40"/>
      <c r="Y1616" s="40"/>
    </row>
    <row r="1617" spans="5:25" x14ac:dyDescent="0.35">
      <c r="E1617" t="s">
        <v>200</v>
      </c>
      <c r="F1617" t="s">
        <v>1343</v>
      </c>
      <c r="G1617" s="28"/>
      <c r="N1617" s="28"/>
      <c r="O1617" s="28"/>
      <c r="X1617" s="40"/>
      <c r="Y1617" s="40"/>
    </row>
    <row r="1618" spans="5:25" x14ac:dyDescent="0.35">
      <c r="E1618" t="s">
        <v>200</v>
      </c>
      <c r="F1618" t="s">
        <v>1344</v>
      </c>
      <c r="G1618" s="28"/>
      <c r="N1618" s="28"/>
      <c r="O1618" s="28"/>
      <c r="X1618" s="40"/>
      <c r="Y1618" s="40"/>
    </row>
    <row r="1619" spans="5:25" x14ac:dyDescent="0.35">
      <c r="E1619" t="s">
        <v>200</v>
      </c>
      <c r="F1619" t="s">
        <v>1345</v>
      </c>
      <c r="G1619" s="28"/>
      <c r="N1619" s="28"/>
      <c r="O1619" s="28"/>
      <c r="X1619" s="40"/>
      <c r="Y1619" s="40"/>
    </row>
    <row r="1620" spans="5:25" x14ac:dyDescent="0.35">
      <c r="E1620" t="s">
        <v>200</v>
      </c>
      <c r="F1620" t="s">
        <v>855</v>
      </c>
      <c r="G1620" s="28"/>
      <c r="N1620" s="28"/>
      <c r="O1620" s="28"/>
      <c r="X1620" s="40"/>
      <c r="Y1620" s="40"/>
    </row>
    <row r="1621" spans="5:25" x14ac:dyDescent="0.35">
      <c r="E1621" t="s">
        <v>200</v>
      </c>
      <c r="F1621" t="s">
        <v>549</v>
      </c>
      <c r="G1621" s="28"/>
      <c r="N1621" s="28"/>
      <c r="O1621" s="28"/>
      <c r="X1621" s="40"/>
      <c r="Y1621" s="40"/>
    </row>
    <row r="1622" spans="5:25" x14ac:dyDescent="0.35">
      <c r="E1622" t="s">
        <v>200</v>
      </c>
      <c r="F1622" t="s">
        <v>1346</v>
      </c>
      <c r="G1622" s="28"/>
      <c r="N1622" s="28"/>
      <c r="O1622" s="28"/>
      <c r="X1622" s="40"/>
      <c r="Y1622" s="40"/>
    </row>
    <row r="1623" spans="5:25" x14ac:dyDescent="0.35">
      <c r="E1623" t="s">
        <v>200</v>
      </c>
      <c r="F1623" t="s">
        <v>1347</v>
      </c>
      <c r="G1623" s="28"/>
      <c r="N1623" s="28"/>
      <c r="O1623" s="28"/>
      <c r="X1623" s="40"/>
      <c r="Y1623" s="40"/>
    </row>
    <row r="1624" spans="5:25" x14ac:dyDescent="0.35">
      <c r="E1624" t="s">
        <v>200</v>
      </c>
      <c r="F1624" t="s">
        <v>1348</v>
      </c>
      <c r="G1624" s="28"/>
      <c r="N1624" s="28"/>
      <c r="O1624" s="28"/>
      <c r="X1624" s="40"/>
      <c r="Y1624" s="40"/>
    </row>
    <row r="1625" spans="5:25" x14ac:dyDescent="0.35">
      <c r="E1625" t="s">
        <v>200</v>
      </c>
      <c r="F1625" t="s">
        <v>1349</v>
      </c>
      <c r="G1625" s="28"/>
      <c r="N1625" s="28"/>
      <c r="O1625" s="28"/>
      <c r="X1625" s="40"/>
      <c r="Y1625" s="40"/>
    </row>
    <row r="1626" spans="5:25" x14ac:dyDescent="0.35">
      <c r="E1626" t="s">
        <v>200</v>
      </c>
      <c r="F1626" t="s">
        <v>366</v>
      </c>
      <c r="G1626" s="28"/>
      <c r="N1626" s="28"/>
      <c r="O1626" s="28"/>
      <c r="X1626" s="40"/>
      <c r="Y1626" s="40"/>
    </row>
    <row r="1627" spans="5:25" x14ac:dyDescent="0.35">
      <c r="E1627" t="s">
        <v>200</v>
      </c>
      <c r="F1627" t="s">
        <v>1350</v>
      </c>
      <c r="G1627" s="28"/>
      <c r="N1627" s="28"/>
      <c r="O1627" s="28"/>
      <c r="X1627" s="40"/>
      <c r="Y1627" s="40"/>
    </row>
    <row r="1628" spans="5:25" x14ac:dyDescent="0.35">
      <c r="E1628" t="s">
        <v>200</v>
      </c>
      <c r="F1628" t="s">
        <v>486</v>
      </c>
      <c r="G1628" s="28"/>
      <c r="N1628" s="28"/>
      <c r="O1628" s="28"/>
      <c r="X1628" s="40"/>
      <c r="Y1628" s="40"/>
    </row>
    <row r="1629" spans="5:25" x14ac:dyDescent="0.35">
      <c r="E1629" t="s">
        <v>200</v>
      </c>
      <c r="F1629" t="s">
        <v>1351</v>
      </c>
      <c r="G1629" s="28"/>
      <c r="N1629" s="28"/>
      <c r="O1629" s="28"/>
      <c r="X1629" s="40"/>
      <c r="Y1629" s="40"/>
    </row>
    <row r="1630" spans="5:25" x14ac:dyDescent="0.35">
      <c r="E1630" t="s">
        <v>200</v>
      </c>
      <c r="F1630" t="s">
        <v>620</v>
      </c>
      <c r="G1630" s="28"/>
      <c r="N1630" s="28"/>
      <c r="O1630" s="28"/>
      <c r="X1630" s="40"/>
      <c r="Y1630" s="40"/>
    </row>
    <row r="1631" spans="5:25" x14ac:dyDescent="0.35">
      <c r="E1631" t="s">
        <v>200</v>
      </c>
      <c r="F1631" t="s">
        <v>426</v>
      </c>
      <c r="G1631" s="28"/>
      <c r="N1631" s="28"/>
      <c r="O1631" s="28"/>
      <c r="X1631" s="40"/>
      <c r="Y1631" s="40"/>
    </row>
    <row r="1632" spans="5:25" x14ac:dyDescent="0.35">
      <c r="E1632" t="s">
        <v>200</v>
      </c>
      <c r="F1632" t="s">
        <v>374</v>
      </c>
      <c r="G1632" s="28"/>
      <c r="N1632" s="28"/>
      <c r="O1632" s="28"/>
      <c r="X1632" s="40"/>
      <c r="Y1632" s="40"/>
    </row>
    <row r="1633" spans="5:25" x14ac:dyDescent="0.35">
      <c r="E1633" t="s">
        <v>200</v>
      </c>
      <c r="F1633" t="s">
        <v>1352</v>
      </c>
      <c r="G1633" s="28"/>
      <c r="N1633" s="28"/>
      <c r="O1633" s="28"/>
      <c r="X1633" s="40"/>
      <c r="Y1633" s="40"/>
    </row>
    <row r="1634" spans="5:25" x14ac:dyDescent="0.35">
      <c r="E1634" t="s">
        <v>200</v>
      </c>
      <c r="F1634" t="s">
        <v>1353</v>
      </c>
      <c r="G1634" s="28"/>
      <c r="N1634" s="28"/>
      <c r="O1634" s="28"/>
      <c r="X1634" s="40"/>
      <c r="Y1634" s="40"/>
    </row>
    <row r="1635" spans="5:25" x14ac:dyDescent="0.35">
      <c r="E1635" t="s">
        <v>200</v>
      </c>
      <c r="F1635" t="s">
        <v>561</v>
      </c>
      <c r="G1635" s="28"/>
      <c r="N1635" s="28"/>
      <c r="O1635" s="28"/>
      <c r="X1635" s="40"/>
      <c r="Y1635" s="40"/>
    </row>
    <row r="1636" spans="5:25" x14ac:dyDescent="0.35">
      <c r="E1636" t="s">
        <v>200</v>
      </c>
      <c r="F1636" t="s">
        <v>1354</v>
      </c>
      <c r="G1636" s="28"/>
      <c r="N1636" s="28"/>
      <c r="O1636" s="28"/>
      <c r="X1636" s="40"/>
      <c r="Y1636" s="40"/>
    </row>
    <row r="1637" spans="5:25" x14ac:dyDescent="0.35">
      <c r="E1637" t="s">
        <v>200</v>
      </c>
      <c r="F1637" t="s">
        <v>1355</v>
      </c>
      <c r="G1637" s="28"/>
      <c r="N1637" s="28"/>
      <c r="O1637" s="28"/>
      <c r="X1637" s="40"/>
      <c r="Y1637" s="40"/>
    </row>
    <row r="1638" spans="5:25" x14ac:dyDescent="0.35">
      <c r="E1638" t="s">
        <v>200</v>
      </c>
      <c r="F1638" t="s">
        <v>567</v>
      </c>
      <c r="G1638" s="28"/>
      <c r="N1638" s="28"/>
      <c r="O1638" s="28"/>
      <c r="X1638" s="40"/>
      <c r="Y1638" s="40"/>
    </row>
    <row r="1639" spans="5:25" x14ac:dyDescent="0.35">
      <c r="E1639" t="s">
        <v>200</v>
      </c>
      <c r="F1639" t="s">
        <v>1356</v>
      </c>
      <c r="G1639" s="28"/>
      <c r="N1639" s="28"/>
      <c r="O1639" s="28"/>
      <c r="X1639" s="40"/>
      <c r="Y1639" s="40"/>
    </row>
    <row r="1640" spans="5:25" x14ac:dyDescent="0.35">
      <c r="E1640" t="s">
        <v>200</v>
      </c>
      <c r="F1640" t="s">
        <v>435</v>
      </c>
      <c r="G1640" s="28"/>
      <c r="N1640" s="28"/>
      <c r="O1640" s="28"/>
      <c r="X1640" s="40"/>
      <c r="Y1640" s="40"/>
    </row>
    <row r="1641" spans="5:25" x14ac:dyDescent="0.35">
      <c r="E1641" t="s">
        <v>200</v>
      </c>
      <c r="F1641" t="s">
        <v>1357</v>
      </c>
      <c r="G1641" s="28"/>
      <c r="N1641" s="28"/>
      <c r="O1641" s="28"/>
      <c r="X1641" s="40"/>
      <c r="Y1641" s="40"/>
    </row>
    <row r="1642" spans="5:25" x14ac:dyDescent="0.35">
      <c r="E1642" t="s">
        <v>200</v>
      </c>
      <c r="F1642" t="s">
        <v>1358</v>
      </c>
      <c r="G1642" s="28"/>
      <c r="N1642" s="28"/>
      <c r="O1642" s="28"/>
      <c r="X1642" s="40"/>
      <c r="Y1642" s="40"/>
    </row>
    <row r="1643" spans="5:25" x14ac:dyDescent="0.35">
      <c r="E1643" t="s">
        <v>200</v>
      </c>
      <c r="F1643" t="s">
        <v>1043</v>
      </c>
      <c r="G1643" s="28"/>
      <c r="N1643" s="28"/>
      <c r="O1643" s="28"/>
      <c r="X1643" s="40"/>
      <c r="Y1643" s="40"/>
    </row>
    <row r="1644" spans="5:25" x14ac:dyDescent="0.35">
      <c r="E1644" t="s">
        <v>200</v>
      </c>
      <c r="F1644" t="s">
        <v>439</v>
      </c>
      <c r="G1644" s="28"/>
      <c r="N1644" s="28"/>
      <c r="O1644" s="28"/>
      <c r="X1644" s="40"/>
      <c r="Y1644" s="40"/>
    </row>
    <row r="1645" spans="5:25" x14ac:dyDescent="0.35">
      <c r="E1645" t="s">
        <v>200</v>
      </c>
      <c r="F1645" t="s">
        <v>1359</v>
      </c>
      <c r="G1645" s="28"/>
      <c r="N1645" s="28"/>
      <c r="O1645" s="28"/>
      <c r="X1645" s="40"/>
      <c r="Y1645" s="40"/>
    </row>
    <row r="1646" spans="5:25" x14ac:dyDescent="0.35">
      <c r="E1646" t="s">
        <v>200</v>
      </c>
      <c r="F1646" t="s">
        <v>878</v>
      </c>
      <c r="G1646" s="28"/>
      <c r="N1646" s="28"/>
      <c r="O1646" s="28"/>
      <c r="X1646" s="40"/>
      <c r="Y1646" s="40"/>
    </row>
    <row r="1647" spans="5:25" x14ac:dyDescent="0.35">
      <c r="E1647" t="s">
        <v>200</v>
      </c>
      <c r="F1647" t="s">
        <v>1360</v>
      </c>
      <c r="G1647" s="28"/>
      <c r="N1647" s="28"/>
      <c r="O1647" s="28"/>
      <c r="X1647" s="40"/>
      <c r="Y1647" s="40"/>
    </row>
    <row r="1648" spans="5:25" x14ac:dyDescent="0.35">
      <c r="E1648" t="s">
        <v>200</v>
      </c>
      <c r="F1648" t="s">
        <v>1361</v>
      </c>
      <c r="G1648" s="28"/>
      <c r="N1648" s="28"/>
      <c r="O1648" s="28"/>
      <c r="X1648" s="40"/>
      <c r="Y1648" s="40"/>
    </row>
    <row r="1649" spans="5:25" x14ac:dyDescent="0.35">
      <c r="E1649" t="s">
        <v>200</v>
      </c>
      <c r="F1649" t="s">
        <v>1362</v>
      </c>
      <c r="G1649" s="28"/>
      <c r="N1649" s="28"/>
      <c r="O1649" s="28"/>
      <c r="X1649" s="40"/>
      <c r="Y1649" s="40"/>
    </row>
    <row r="1650" spans="5:25" x14ac:dyDescent="0.35">
      <c r="E1650" t="s">
        <v>200</v>
      </c>
      <c r="F1650" t="s">
        <v>983</v>
      </c>
      <c r="G1650" s="28"/>
      <c r="N1650" s="28"/>
      <c r="O1650" s="28"/>
      <c r="X1650" s="40"/>
      <c r="Y1650" s="40"/>
    </row>
    <row r="1651" spans="5:25" x14ac:dyDescent="0.35">
      <c r="E1651" t="s">
        <v>200</v>
      </c>
      <c r="F1651" t="s">
        <v>1363</v>
      </c>
      <c r="G1651" s="28"/>
      <c r="N1651" s="28"/>
      <c r="O1651" s="28"/>
      <c r="X1651" s="40"/>
      <c r="Y1651" s="40"/>
    </row>
    <row r="1652" spans="5:25" x14ac:dyDescent="0.35">
      <c r="E1652" t="s">
        <v>200</v>
      </c>
      <c r="F1652" t="s">
        <v>1364</v>
      </c>
      <c r="G1652" s="28"/>
      <c r="N1652" s="28"/>
      <c r="O1652" s="28"/>
      <c r="X1652" s="40"/>
      <c r="Y1652" s="40"/>
    </row>
    <row r="1653" spans="5:25" x14ac:dyDescent="0.35">
      <c r="E1653" t="s">
        <v>200</v>
      </c>
      <c r="F1653" t="s">
        <v>1365</v>
      </c>
      <c r="G1653" s="28"/>
      <c r="N1653" s="28"/>
      <c r="O1653" s="28"/>
      <c r="X1653" s="40"/>
      <c r="Y1653" s="40"/>
    </row>
    <row r="1654" spans="5:25" x14ac:dyDescent="0.35">
      <c r="E1654" t="s">
        <v>200</v>
      </c>
      <c r="F1654" t="s">
        <v>839</v>
      </c>
      <c r="G1654" s="28"/>
      <c r="N1654" s="28"/>
      <c r="O1654" s="28"/>
      <c r="X1654" s="40"/>
      <c r="Y1654" s="40"/>
    </row>
    <row r="1655" spans="5:25" x14ac:dyDescent="0.35">
      <c r="E1655" t="s">
        <v>200</v>
      </c>
      <c r="F1655" t="s">
        <v>1366</v>
      </c>
      <c r="G1655" s="28"/>
      <c r="N1655" s="28"/>
      <c r="O1655" s="28"/>
      <c r="X1655" s="40"/>
      <c r="Y1655" s="40"/>
    </row>
    <row r="1656" spans="5:25" x14ac:dyDescent="0.35">
      <c r="E1656" t="s">
        <v>200</v>
      </c>
      <c r="F1656" t="s">
        <v>1367</v>
      </c>
      <c r="G1656" s="28"/>
      <c r="N1656" s="28"/>
      <c r="O1656" s="28"/>
      <c r="X1656" s="40"/>
      <c r="Y1656" s="40"/>
    </row>
    <row r="1657" spans="5:25" x14ac:dyDescent="0.35">
      <c r="E1657" t="s">
        <v>200</v>
      </c>
      <c r="F1657" t="s">
        <v>841</v>
      </c>
      <c r="G1657" s="28"/>
      <c r="N1657" s="28"/>
      <c r="O1657" s="28"/>
      <c r="X1657" s="40"/>
      <c r="Y1657" s="40"/>
    </row>
    <row r="1658" spans="5:25" x14ac:dyDescent="0.35">
      <c r="E1658" t="s">
        <v>200</v>
      </c>
      <c r="F1658" t="s">
        <v>1368</v>
      </c>
      <c r="G1658" s="28"/>
      <c r="N1658" s="28"/>
      <c r="O1658" s="28"/>
      <c r="X1658" s="40"/>
      <c r="Y1658" s="40"/>
    </row>
    <row r="1659" spans="5:25" x14ac:dyDescent="0.35">
      <c r="E1659" t="s">
        <v>200</v>
      </c>
      <c r="F1659" t="s">
        <v>1369</v>
      </c>
      <c r="G1659" s="28"/>
      <c r="N1659" s="28"/>
      <c r="O1659" s="28"/>
      <c r="X1659" s="40"/>
      <c r="Y1659" s="40"/>
    </row>
    <row r="1660" spans="5:25" x14ac:dyDescent="0.35">
      <c r="E1660" t="s">
        <v>200</v>
      </c>
      <c r="F1660" t="s">
        <v>1370</v>
      </c>
      <c r="G1660" s="28"/>
      <c r="N1660" s="28"/>
      <c r="O1660" s="28"/>
      <c r="X1660" s="40"/>
      <c r="Y1660" s="40"/>
    </row>
    <row r="1661" spans="5:25" x14ac:dyDescent="0.35">
      <c r="E1661" t="s">
        <v>201</v>
      </c>
      <c r="F1661" t="s">
        <v>1371</v>
      </c>
      <c r="G1661" s="28"/>
      <c r="N1661" s="28"/>
      <c r="O1661" s="28"/>
      <c r="X1661" s="40"/>
      <c r="Y1661" s="40"/>
    </row>
    <row r="1662" spans="5:25" x14ac:dyDescent="0.35">
      <c r="E1662" t="s">
        <v>201</v>
      </c>
      <c r="F1662" t="s">
        <v>842</v>
      </c>
      <c r="G1662" s="28"/>
      <c r="N1662" s="28"/>
      <c r="O1662" s="28"/>
      <c r="X1662" s="40"/>
      <c r="Y1662" s="40"/>
    </row>
    <row r="1663" spans="5:25" x14ac:dyDescent="0.35">
      <c r="E1663" t="s">
        <v>201</v>
      </c>
      <c r="F1663" t="s">
        <v>1372</v>
      </c>
      <c r="G1663" s="28"/>
      <c r="N1663" s="28"/>
      <c r="O1663" s="28"/>
      <c r="X1663" s="40"/>
      <c r="Y1663" s="40"/>
    </row>
    <row r="1664" spans="5:25" x14ac:dyDescent="0.35">
      <c r="E1664" t="s">
        <v>201</v>
      </c>
      <c r="F1664" t="s">
        <v>1373</v>
      </c>
      <c r="G1664" s="28"/>
      <c r="N1664" s="28"/>
      <c r="O1664" s="28"/>
      <c r="X1664" s="40"/>
      <c r="Y1664" s="40"/>
    </row>
    <row r="1665" spans="5:25" x14ac:dyDescent="0.35">
      <c r="E1665" t="s">
        <v>201</v>
      </c>
      <c r="F1665" t="s">
        <v>1374</v>
      </c>
      <c r="G1665" s="28"/>
      <c r="N1665" s="28"/>
      <c r="O1665" s="28"/>
      <c r="X1665" s="40"/>
      <c r="Y1665" s="40"/>
    </row>
    <row r="1666" spans="5:25" x14ac:dyDescent="0.35">
      <c r="E1666" t="s">
        <v>201</v>
      </c>
      <c r="F1666" t="s">
        <v>1375</v>
      </c>
      <c r="G1666" s="28"/>
      <c r="N1666" s="28"/>
      <c r="O1666" s="28"/>
      <c r="X1666" s="40"/>
      <c r="Y1666" s="40"/>
    </row>
    <row r="1667" spans="5:25" x14ac:dyDescent="0.35">
      <c r="E1667" t="s">
        <v>201</v>
      </c>
      <c r="F1667" t="s">
        <v>1376</v>
      </c>
      <c r="G1667" s="28"/>
      <c r="N1667" s="28"/>
      <c r="O1667" s="28"/>
      <c r="X1667" s="40"/>
      <c r="Y1667" s="40"/>
    </row>
    <row r="1668" spans="5:25" x14ac:dyDescent="0.35">
      <c r="E1668" t="s">
        <v>201</v>
      </c>
      <c r="F1668" t="s">
        <v>1377</v>
      </c>
      <c r="G1668" s="28"/>
      <c r="N1668" s="28"/>
      <c r="O1668" s="28"/>
      <c r="X1668" s="40"/>
      <c r="Y1668" s="40"/>
    </row>
    <row r="1669" spans="5:25" x14ac:dyDescent="0.35">
      <c r="E1669" t="s">
        <v>201</v>
      </c>
      <c r="F1669" t="s">
        <v>1378</v>
      </c>
      <c r="G1669" s="28"/>
      <c r="N1669" s="28"/>
      <c r="O1669" s="28"/>
      <c r="X1669" s="40"/>
      <c r="Y1669" s="40"/>
    </row>
    <row r="1670" spans="5:25" x14ac:dyDescent="0.35">
      <c r="E1670" t="s">
        <v>201</v>
      </c>
      <c r="F1670" t="s">
        <v>1379</v>
      </c>
      <c r="G1670" s="28"/>
      <c r="N1670" s="28"/>
      <c r="O1670" s="28"/>
      <c r="X1670" s="40"/>
      <c r="Y1670" s="40"/>
    </row>
    <row r="1671" spans="5:25" x14ac:dyDescent="0.35">
      <c r="E1671" t="s">
        <v>201</v>
      </c>
      <c r="F1671" t="s">
        <v>1380</v>
      </c>
      <c r="G1671" s="28"/>
      <c r="N1671" s="28"/>
      <c r="O1671" s="28"/>
      <c r="X1671" s="40"/>
      <c r="Y1671" s="40"/>
    </row>
    <row r="1672" spans="5:25" x14ac:dyDescent="0.35">
      <c r="E1672" t="s">
        <v>201</v>
      </c>
      <c r="F1672" t="s">
        <v>656</v>
      </c>
      <c r="G1672" s="28"/>
      <c r="N1672" s="28"/>
      <c r="O1672" s="28"/>
      <c r="X1672" s="40"/>
      <c r="Y1672" s="40"/>
    </row>
    <row r="1673" spans="5:25" x14ac:dyDescent="0.35">
      <c r="E1673" t="s">
        <v>201</v>
      </c>
      <c r="F1673" t="s">
        <v>1381</v>
      </c>
      <c r="G1673" s="28"/>
      <c r="N1673" s="28"/>
      <c r="O1673" s="28"/>
      <c r="X1673" s="40"/>
      <c r="Y1673" s="40"/>
    </row>
    <row r="1674" spans="5:25" x14ac:dyDescent="0.35">
      <c r="E1674" t="s">
        <v>201</v>
      </c>
      <c r="F1674" t="s">
        <v>1007</v>
      </c>
      <c r="G1674" s="28"/>
      <c r="N1674" s="28"/>
      <c r="O1674" s="28"/>
      <c r="X1674" s="40"/>
      <c r="Y1674" s="40"/>
    </row>
    <row r="1675" spans="5:25" x14ac:dyDescent="0.35">
      <c r="E1675" t="s">
        <v>201</v>
      </c>
      <c r="F1675" t="s">
        <v>658</v>
      </c>
      <c r="G1675" s="28"/>
      <c r="N1675" s="28"/>
      <c r="O1675" s="28"/>
      <c r="X1675" s="40"/>
      <c r="Y1675" s="40"/>
    </row>
    <row r="1676" spans="5:25" x14ac:dyDescent="0.35">
      <c r="E1676" t="s">
        <v>201</v>
      </c>
      <c r="F1676" t="s">
        <v>1382</v>
      </c>
      <c r="G1676" s="28"/>
      <c r="N1676" s="28"/>
      <c r="O1676" s="28"/>
      <c r="X1676" s="40"/>
      <c r="Y1676" s="40"/>
    </row>
    <row r="1677" spans="5:25" x14ac:dyDescent="0.35">
      <c r="E1677" t="s">
        <v>201</v>
      </c>
      <c r="F1677" t="s">
        <v>1383</v>
      </c>
      <c r="G1677" s="28"/>
      <c r="N1677" s="28"/>
      <c r="O1677" s="28"/>
      <c r="X1677" s="40"/>
      <c r="Y1677" s="40"/>
    </row>
    <row r="1678" spans="5:25" x14ac:dyDescent="0.35">
      <c r="E1678" t="s">
        <v>201</v>
      </c>
      <c r="F1678" t="s">
        <v>1384</v>
      </c>
      <c r="G1678" s="28"/>
      <c r="N1678" s="28"/>
      <c r="O1678" s="28"/>
      <c r="X1678" s="40"/>
      <c r="Y1678" s="40"/>
    </row>
    <row r="1679" spans="5:25" x14ac:dyDescent="0.35">
      <c r="E1679" t="s">
        <v>201</v>
      </c>
      <c r="F1679" t="s">
        <v>662</v>
      </c>
      <c r="G1679" s="28"/>
      <c r="N1679" s="28"/>
      <c r="O1679" s="28"/>
      <c r="X1679" s="40"/>
      <c r="Y1679" s="40"/>
    </row>
    <row r="1680" spans="5:25" x14ac:dyDescent="0.35">
      <c r="E1680" t="s">
        <v>201</v>
      </c>
      <c r="F1680" t="s">
        <v>339</v>
      </c>
      <c r="G1680" s="28"/>
      <c r="N1680" s="28"/>
      <c r="O1680" s="28"/>
      <c r="X1680" s="40"/>
      <c r="Y1680" s="40"/>
    </row>
    <row r="1681" spans="5:25" x14ac:dyDescent="0.35">
      <c r="E1681" t="s">
        <v>201</v>
      </c>
      <c r="F1681" t="s">
        <v>1385</v>
      </c>
      <c r="G1681" s="28"/>
      <c r="N1681" s="28"/>
      <c r="O1681" s="28"/>
      <c r="X1681" s="40"/>
      <c r="Y1681" s="40"/>
    </row>
    <row r="1682" spans="5:25" x14ac:dyDescent="0.35">
      <c r="E1682" t="s">
        <v>201</v>
      </c>
      <c r="F1682" t="s">
        <v>343</v>
      </c>
      <c r="G1682" s="28"/>
      <c r="N1682" s="28"/>
      <c r="O1682" s="28"/>
      <c r="X1682" s="40"/>
      <c r="Y1682" s="40"/>
    </row>
    <row r="1683" spans="5:25" x14ac:dyDescent="0.35">
      <c r="E1683" t="s">
        <v>201</v>
      </c>
      <c r="F1683" t="s">
        <v>406</v>
      </c>
      <c r="G1683" s="28"/>
      <c r="N1683" s="28"/>
      <c r="O1683" s="28"/>
      <c r="X1683" s="40"/>
      <c r="Y1683" s="40"/>
    </row>
    <row r="1684" spans="5:25" x14ac:dyDescent="0.35">
      <c r="E1684" t="s">
        <v>201</v>
      </c>
      <c r="F1684" t="s">
        <v>1386</v>
      </c>
      <c r="G1684" s="28"/>
      <c r="N1684" s="28"/>
      <c r="O1684" s="28"/>
      <c r="X1684" s="40"/>
      <c r="Y1684" s="40"/>
    </row>
    <row r="1685" spans="5:25" x14ac:dyDescent="0.35">
      <c r="E1685" t="s">
        <v>201</v>
      </c>
      <c r="F1685" t="s">
        <v>1387</v>
      </c>
      <c r="G1685" s="28"/>
      <c r="N1685" s="28"/>
      <c r="O1685" s="28"/>
      <c r="X1685" s="40"/>
      <c r="Y1685" s="40"/>
    </row>
    <row r="1686" spans="5:25" x14ac:dyDescent="0.35">
      <c r="E1686" t="s">
        <v>201</v>
      </c>
      <c r="F1686" t="s">
        <v>849</v>
      </c>
      <c r="G1686" s="28"/>
      <c r="N1686" s="28"/>
      <c r="O1686" s="28"/>
      <c r="X1686" s="40"/>
      <c r="Y1686" s="40"/>
    </row>
    <row r="1687" spans="5:25" x14ac:dyDescent="0.35">
      <c r="E1687" t="s">
        <v>201</v>
      </c>
      <c r="F1687" t="s">
        <v>1388</v>
      </c>
      <c r="G1687" s="28"/>
      <c r="N1687" s="28"/>
      <c r="O1687" s="28"/>
      <c r="X1687" s="40"/>
      <c r="Y1687" s="40"/>
    </row>
    <row r="1688" spans="5:25" x14ac:dyDescent="0.35">
      <c r="E1688" t="s">
        <v>201</v>
      </c>
      <c r="F1688" t="s">
        <v>1389</v>
      </c>
      <c r="G1688" s="28"/>
      <c r="N1688" s="28"/>
      <c r="O1688" s="28"/>
      <c r="X1688" s="40"/>
      <c r="Y1688" s="40"/>
    </row>
    <row r="1689" spans="5:25" x14ac:dyDescent="0.35">
      <c r="E1689" t="s">
        <v>201</v>
      </c>
      <c r="F1689" t="s">
        <v>1390</v>
      </c>
      <c r="G1689" s="28"/>
      <c r="N1689" s="28"/>
      <c r="O1689" s="28"/>
      <c r="X1689" s="40"/>
      <c r="Y1689" s="40"/>
    </row>
    <row r="1690" spans="5:25" x14ac:dyDescent="0.35">
      <c r="E1690" t="s">
        <v>201</v>
      </c>
      <c r="F1690" t="s">
        <v>1391</v>
      </c>
      <c r="G1690" s="28"/>
      <c r="N1690" s="28"/>
      <c r="O1690" s="28"/>
      <c r="X1690" s="40"/>
      <c r="Y1690" s="40"/>
    </row>
    <row r="1691" spans="5:25" x14ac:dyDescent="0.35">
      <c r="E1691" t="s">
        <v>201</v>
      </c>
      <c r="F1691" t="s">
        <v>1392</v>
      </c>
      <c r="G1691" s="28"/>
      <c r="N1691" s="28"/>
      <c r="O1691" s="28"/>
      <c r="X1691" s="40"/>
      <c r="Y1691" s="40"/>
    </row>
    <row r="1692" spans="5:25" x14ac:dyDescent="0.35">
      <c r="E1692" t="s">
        <v>201</v>
      </c>
      <c r="F1692" t="s">
        <v>1393</v>
      </c>
      <c r="G1692" s="28"/>
      <c r="N1692" s="28"/>
      <c r="O1692" s="28"/>
      <c r="X1692" s="40"/>
      <c r="Y1692" s="40"/>
    </row>
    <row r="1693" spans="5:25" x14ac:dyDescent="0.35">
      <c r="E1693" t="s">
        <v>201</v>
      </c>
      <c r="F1693" t="s">
        <v>1394</v>
      </c>
      <c r="G1693" s="28"/>
      <c r="N1693" s="28"/>
      <c r="O1693" s="28"/>
      <c r="X1693" s="40"/>
      <c r="Y1693" s="40"/>
    </row>
    <row r="1694" spans="5:25" x14ac:dyDescent="0.35">
      <c r="E1694" t="s">
        <v>201</v>
      </c>
      <c r="F1694" t="s">
        <v>686</v>
      </c>
      <c r="G1694" s="28"/>
      <c r="N1694" s="28"/>
      <c r="O1694" s="28"/>
      <c r="X1694" s="40"/>
      <c r="Y1694" s="40"/>
    </row>
    <row r="1695" spans="5:25" x14ac:dyDescent="0.35">
      <c r="E1695" t="s">
        <v>201</v>
      </c>
      <c r="F1695" t="s">
        <v>359</v>
      </c>
      <c r="G1695" s="28"/>
      <c r="N1695" s="28"/>
      <c r="O1695" s="28"/>
      <c r="X1695" s="40"/>
      <c r="Y1695" s="40"/>
    </row>
    <row r="1696" spans="5:25" x14ac:dyDescent="0.35">
      <c r="E1696" t="s">
        <v>201</v>
      </c>
      <c r="F1696" t="s">
        <v>1395</v>
      </c>
      <c r="G1696" s="28"/>
      <c r="N1696" s="28"/>
      <c r="O1696" s="28"/>
      <c r="X1696" s="40"/>
      <c r="Y1696" s="40"/>
    </row>
    <row r="1697" spans="5:25" x14ac:dyDescent="0.35">
      <c r="E1697" t="s">
        <v>201</v>
      </c>
      <c r="F1697" t="s">
        <v>1396</v>
      </c>
      <c r="G1697" s="28"/>
      <c r="N1697" s="28"/>
      <c r="O1697" s="28"/>
      <c r="X1697" s="40"/>
      <c r="Y1697" s="40"/>
    </row>
    <row r="1698" spans="5:25" x14ac:dyDescent="0.35">
      <c r="E1698" t="s">
        <v>201</v>
      </c>
      <c r="F1698" t="s">
        <v>459</v>
      </c>
      <c r="G1698" s="28"/>
      <c r="N1698" s="28"/>
      <c r="O1698" s="28"/>
      <c r="X1698" s="40"/>
      <c r="Y1698" s="40"/>
    </row>
    <row r="1699" spans="5:25" x14ac:dyDescent="0.35">
      <c r="E1699" t="s">
        <v>201</v>
      </c>
      <c r="F1699" t="s">
        <v>1397</v>
      </c>
      <c r="G1699" s="28"/>
      <c r="N1699" s="28"/>
      <c r="O1699" s="28"/>
      <c r="X1699" s="40"/>
      <c r="Y1699" s="40"/>
    </row>
    <row r="1700" spans="5:25" x14ac:dyDescent="0.35">
      <c r="E1700" t="s">
        <v>201</v>
      </c>
      <c r="F1700" t="s">
        <v>361</v>
      </c>
      <c r="G1700" s="28"/>
      <c r="N1700" s="28"/>
      <c r="O1700" s="28"/>
      <c r="X1700" s="40"/>
      <c r="Y1700" s="40"/>
    </row>
    <row r="1701" spans="5:25" x14ac:dyDescent="0.35">
      <c r="E1701" t="s">
        <v>201</v>
      </c>
      <c r="F1701" t="s">
        <v>1398</v>
      </c>
      <c r="G1701" s="28"/>
      <c r="N1701" s="28"/>
      <c r="O1701" s="28"/>
      <c r="X1701" s="40"/>
      <c r="Y1701" s="40"/>
    </row>
    <row r="1702" spans="5:25" x14ac:dyDescent="0.35">
      <c r="E1702" t="s">
        <v>201</v>
      </c>
      <c r="F1702" t="s">
        <v>1399</v>
      </c>
      <c r="G1702" s="28"/>
      <c r="N1702" s="28"/>
      <c r="O1702" s="28"/>
      <c r="X1702" s="40"/>
      <c r="Y1702" s="40"/>
    </row>
    <row r="1703" spans="5:25" x14ac:dyDescent="0.35">
      <c r="E1703" t="s">
        <v>201</v>
      </c>
      <c r="F1703" t="s">
        <v>1400</v>
      </c>
      <c r="G1703" s="28"/>
      <c r="N1703" s="28"/>
      <c r="O1703" s="28"/>
      <c r="X1703" s="40"/>
      <c r="Y1703" s="40"/>
    </row>
    <row r="1704" spans="5:25" x14ac:dyDescent="0.35">
      <c r="E1704" t="s">
        <v>201</v>
      </c>
      <c r="F1704" t="s">
        <v>1401</v>
      </c>
      <c r="G1704" s="28"/>
      <c r="N1704" s="28"/>
      <c r="O1704" s="28"/>
      <c r="X1704" s="40"/>
      <c r="Y1704" s="40"/>
    </row>
    <row r="1705" spans="5:25" x14ac:dyDescent="0.35">
      <c r="E1705" t="s">
        <v>201</v>
      </c>
      <c r="F1705" t="s">
        <v>856</v>
      </c>
      <c r="G1705" s="28"/>
      <c r="N1705" s="28"/>
      <c r="O1705" s="28"/>
      <c r="X1705" s="40"/>
      <c r="Y1705" s="40"/>
    </row>
    <row r="1706" spans="5:25" x14ac:dyDescent="0.35">
      <c r="E1706" t="s">
        <v>201</v>
      </c>
      <c r="F1706" t="s">
        <v>1402</v>
      </c>
      <c r="G1706" s="28"/>
      <c r="N1706" s="28"/>
      <c r="O1706" s="28"/>
      <c r="X1706" s="40"/>
      <c r="Y1706" s="40"/>
    </row>
    <row r="1707" spans="5:25" x14ac:dyDescent="0.35">
      <c r="E1707" t="s">
        <v>201</v>
      </c>
      <c r="F1707" t="s">
        <v>1403</v>
      </c>
      <c r="G1707" s="28"/>
      <c r="N1707" s="28"/>
      <c r="O1707" s="28"/>
      <c r="X1707" s="40"/>
      <c r="Y1707" s="40"/>
    </row>
    <row r="1708" spans="5:25" x14ac:dyDescent="0.35">
      <c r="E1708" t="s">
        <v>201</v>
      </c>
      <c r="F1708" t="s">
        <v>1404</v>
      </c>
      <c r="G1708" s="28"/>
      <c r="N1708" s="28"/>
      <c r="O1708" s="28"/>
      <c r="X1708" s="40"/>
      <c r="Y1708" s="40"/>
    </row>
    <row r="1709" spans="5:25" x14ac:dyDescent="0.35">
      <c r="E1709" t="s">
        <v>201</v>
      </c>
      <c r="F1709" t="s">
        <v>1405</v>
      </c>
      <c r="G1709" s="28"/>
      <c r="N1709" s="28"/>
      <c r="O1709" s="28"/>
      <c r="X1709" s="40"/>
      <c r="Y1709" s="40"/>
    </row>
    <row r="1710" spans="5:25" x14ac:dyDescent="0.35">
      <c r="E1710" t="s">
        <v>201</v>
      </c>
      <c r="F1710" t="s">
        <v>365</v>
      </c>
      <c r="G1710" s="28"/>
      <c r="N1710" s="28"/>
      <c r="O1710" s="28"/>
      <c r="X1710" s="40"/>
      <c r="Y1710" s="40"/>
    </row>
    <row r="1711" spans="5:25" x14ac:dyDescent="0.35">
      <c r="E1711" t="s">
        <v>201</v>
      </c>
      <c r="F1711" t="s">
        <v>1406</v>
      </c>
      <c r="G1711" s="28"/>
      <c r="N1711" s="28"/>
      <c r="O1711" s="28"/>
      <c r="X1711" s="40"/>
      <c r="Y1711" s="40"/>
    </row>
    <row r="1712" spans="5:25" x14ac:dyDescent="0.35">
      <c r="E1712" t="s">
        <v>201</v>
      </c>
      <c r="F1712" t="s">
        <v>704</v>
      </c>
      <c r="G1712" s="28"/>
      <c r="N1712" s="28"/>
      <c r="O1712" s="28"/>
      <c r="X1712" s="40"/>
      <c r="Y1712" s="40"/>
    </row>
    <row r="1713" spans="5:25" x14ac:dyDescent="0.35">
      <c r="E1713" t="s">
        <v>201</v>
      </c>
      <c r="F1713" t="s">
        <v>370</v>
      </c>
      <c r="G1713" s="28"/>
      <c r="N1713" s="28"/>
      <c r="O1713" s="28"/>
      <c r="X1713" s="40"/>
      <c r="Y1713" s="40"/>
    </row>
    <row r="1714" spans="5:25" x14ac:dyDescent="0.35">
      <c r="E1714" t="s">
        <v>201</v>
      </c>
      <c r="F1714" t="s">
        <v>1407</v>
      </c>
      <c r="G1714" s="28"/>
      <c r="N1714" s="28"/>
      <c r="O1714" s="28"/>
      <c r="X1714" s="40"/>
      <c r="Y1714" s="40"/>
    </row>
    <row r="1715" spans="5:25" x14ac:dyDescent="0.35">
      <c r="E1715" t="s">
        <v>201</v>
      </c>
      <c r="F1715" t="s">
        <v>426</v>
      </c>
      <c r="G1715" s="28"/>
      <c r="N1715" s="28"/>
      <c r="O1715" s="28"/>
      <c r="X1715" s="40"/>
      <c r="Y1715" s="40"/>
    </row>
    <row r="1716" spans="5:25" x14ac:dyDescent="0.35">
      <c r="E1716" t="s">
        <v>201</v>
      </c>
      <c r="F1716" t="s">
        <v>373</v>
      </c>
      <c r="G1716" s="28"/>
      <c r="N1716" s="28"/>
      <c r="O1716" s="28"/>
      <c r="X1716" s="40"/>
      <c r="Y1716" s="40"/>
    </row>
    <row r="1717" spans="5:25" x14ac:dyDescent="0.35">
      <c r="E1717" t="s">
        <v>201</v>
      </c>
      <c r="F1717" t="s">
        <v>374</v>
      </c>
      <c r="G1717" s="28"/>
      <c r="N1717" s="28"/>
      <c r="O1717" s="28"/>
      <c r="X1717" s="40"/>
      <c r="Y1717" s="40"/>
    </row>
    <row r="1718" spans="5:25" x14ac:dyDescent="0.35">
      <c r="E1718" t="s">
        <v>201</v>
      </c>
      <c r="F1718" t="s">
        <v>622</v>
      </c>
      <c r="G1718" s="28"/>
      <c r="N1718" s="28"/>
      <c r="O1718" s="28"/>
      <c r="X1718" s="40"/>
      <c r="Y1718" s="40"/>
    </row>
    <row r="1719" spans="5:25" x14ac:dyDescent="0.35">
      <c r="E1719" t="s">
        <v>201</v>
      </c>
      <c r="F1719" t="s">
        <v>1408</v>
      </c>
      <c r="G1719" s="28"/>
      <c r="N1719" s="28"/>
      <c r="O1719" s="28"/>
      <c r="X1719" s="40"/>
      <c r="Y1719" s="40"/>
    </row>
    <row r="1720" spans="5:25" x14ac:dyDescent="0.35">
      <c r="E1720" t="s">
        <v>201</v>
      </c>
      <c r="F1720" t="s">
        <v>1409</v>
      </c>
      <c r="G1720" s="28"/>
      <c r="N1720" s="28"/>
      <c r="O1720" s="28"/>
      <c r="X1720" s="40"/>
      <c r="Y1720" s="40"/>
    </row>
    <row r="1721" spans="5:25" x14ac:dyDescent="0.35">
      <c r="E1721" t="s">
        <v>201</v>
      </c>
      <c r="F1721" t="s">
        <v>712</v>
      </c>
      <c r="G1721" s="28"/>
      <c r="N1721" s="28"/>
      <c r="O1721" s="28"/>
      <c r="X1721" s="40"/>
      <c r="Y1721" s="40"/>
    </row>
    <row r="1722" spans="5:25" x14ac:dyDescent="0.35">
      <c r="E1722" t="s">
        <v>201</v>
      </c>
      <c r="F1722" t="s">
        <v>380</v>
      </c>
      <c r="G1722" s="28"/>
      <c r="N1722" s="28"/>
      <c r="O1722" s="28"/>
      <c r="X1722" s="40"/>
      <c r="Y1722" s="40"/>
    </row>
    <row r="1723" spans="5:25" x14ac:dyDescent="0.35">
      <c r="E1723" t="s">
        <v>201</v>
      </c>
      <c r="F1723" t="s">
        <v>1410</v>
      </c>
      <c r="G1723" s="28"/>
      <c r="N1723" s="28"/>
      <c r="O1723" s="28"/>
      <c r="X1723" s="40"/>
      <c r="Y1723" s="40"/>
    </row>
    <row r="1724" spans="5:25" x14ac:dyDescent="0.35">
      <c r="E1724" t="s">
        <v>201</v>
      </c>
      <c r="F1724" t="s">
        <v>1411</v>
      </c>
      <c r="G1724" s="28"/>
      <c r="N1724" s="28"/>
      <c r="O1724" s="28"/>
      <c r="X1724" s="40"/>
      <c r="Y1724" s="40"/>
    </row>
    <row r="1725" spans="5:25" x14ac:dyDescent="0.35">
      <c r="E1725" t="s">
        <v>201</v>
      </c>
      <c r="F1725" t="s">
        <v>1412</v>
      </c>
      <c r="G1725" s="28"/>
      <c r="N1725" s="28"/>
      <c r="O1725" s="28"/>
      <c r="X1725" s="40"/>
      <c r="Y1725" s="40"/>
    </row>
    <row r="1726" spans="5:25" x14ac:dyDescent="0.35">
      <c r="E1726" t="s">
        <v>201</v>
      </c>
      <c r="F1726" t="s">
        <v>1413</v>
      </c>
      <c r="G1726" s="28"/>
      <c r="N1726" s="28"/>
      <c r="O1726" s="28"/>
      <c r="X1726" s="40"/>
      <c r="Y1726" s="40"/>
    </row>
    <row r="1727" spans="5:25" x14ac:dyDescent="0.35">
      <c r="E1727" t="s">
        <v>201</v>
      </c>
      <c r="F1727" t="s">
        <v>1414</v>
      </c>
      <c r="G1727" s="28"/>
      <c r="N1727" s="28"/>
      <c r="O1727" s="28"/>
      <c r="X1727" s="40"/>
      <c r="Y1727" s="40"/>
    </row>
    <row r="1728" spans="5:25" x14ac:dyDescent="0.35">
      <c r="E1728" t="s">
        <v>201</v>
      </c>
      <c r="F1728" t="s">
        <v>498</v>
      </c>
      <c r="G1728" s="28"/>
      <c r="N1728" s="28"/>
      <c r="O1728" s="28"/>
      <c r="X1728" s="40"/>
      <c r="Y1728" s="40"/>
    </row>
    <row r="1729" spans="5:25" x14ac:dyDescent="0.35">
      <c r="E1729" t="s">
        <v>201</v>
      </c>
      <c r="F1729" t="s">
        <v>1415</v>
      </c>
      <c r="G1729" s="28"/>
      <c r="N1729" s="28"/>
      <c r="O1729" s="28"/>
      <c r="X1729" s="40"/>
      <c r="Y1729" s="40"/>
    </row>
    <row r="1730" spans="5:25" x14ac:dyDescent="0.35">
      <c r="E1730" t="s">
        <v>201</v>
      </c>
      <c r="F1730" t="s">
        <v>1416</v>
      </c>
      <c r="G1730" s="28"/>
      <c r="N1730" s="28"/>
      <c r="O1730" s="28"/>
      <c r="X1730" s="40"/>
      <c r="Y1730" s="40"/>
    </row>
    <row r="1731" spans="5:25" x14ac:dyDescent="0.35">
      <c r="E1731" t="s">
        <v>201</v>
      </c>
      <c r="F1731" t="s">
        <v>1417</v>
      </c>
      <c r="G1731" s="28"/>
      <c r="N1731" s="28"/>
      <c r="O1731" s="28"/>
      <c r="X1731" s="40"/>
      <c r="Y1731" s="40"/>
    </row>
    <row r="1732" spans="5:25" x14ac:dyDescent="0.35">
      <c r="E1732" t="s">
        <v>201</v>
      </c>
      <c r="F1732" t="s">
        <v>1418</v>
      </c>
      <c r="G1732" s="28"/>
      <c r="N1732" s="28"/>
      <c r="O1732" s="28"/>
      <c r="X1732" s="40"/>
      <c r="Y1732" s="40"/>
    </row>
    <row r="1733" spans="5:25" x14ac:dyDescent="0.35">
      <c r="E1733" t="s">
        <v>201</v>
      </c>
      <c r="F1733" t="s">
        <v>1419</v>
      </c>
      <c r="G1733" s="28"/>
      <c r="N1733" s="28"/>
      <c r="O1733" s="28"/>
      <c r="X1733" s="40"/>
      <c r="Y1733" s="40"/>
    </row>
    <row r="1734" spans="5:25" x14ac:dyDescent="0.35">
      <c r="E1734" t="s">
        <v>201</v>
      </c>
      <c r="F1734" t="s">
        <v>1420</v>
      </c>
      <c r="G1734" s="28"/>
      <c r="N1734" s="28"/>
      <c r="O1734" s="28"/>
      <c r="X1734" s="40"/>
      <c r="Y1734" s="40"/>
    </row>
    <row r="1735" spans="5:25" x14ac:dyDescent="0.35">
      <c r="E1735" t="s">
        <v>201</v>
      </c>
      <c r="F1735" t="s">
        <v>437</v>
      </c>
      <c r="G1735" s="28"/>
      <c r="N1735" s="28"/>
      <c r="O1735" s="28"/>
      <c r="X1735" s="40"/>
      <c r="Y1735" s="40"/>
    </row>
    <row r="1736" spans="5:25" x14ac:dyDescent="0.35">
      <c r="E1736" t="s">
        <v>201</v>
      </c>
      <c r="F1736" t="s">
        <v>385</v>
      </c>
      <c r="G1736" s="28"/>
      <c r="N1736" s="28"/>
      <c r="O1736" s="28"/>
      <c r="X1736" s="40"/>
      <c r="Y1736" s="40"/>
    </row>
    <row r="1737" spans="5:25" x14ac:dyDescent="0.35">
      <c r="E1737" t="s">
        <v>201</v>
      </c>
      <c r="F1737" t="s">
        <v>722</v>
      </c>
      <c r="G1737" s="28"/>
      <c r="N1737" s="28"/>
      <c r="O1737" s="28"/>
      <c r="X1737" s="40"/>
      <c r="Y1737" s="40"/>
    </row>
    <row r="1738" spans="5:25" x14ac:dyDescent="0.35">
      <c r="E1738" t="s">
        <v>201</v>
      </c>
      <c r="F1738" t="s">
        <v>1421</v>
      </c>
      <c r="G1738" s="28"/>
      <c r="N1738" s="28"/>
      <c r="O1738" s="28"/>
      <c r="X1738" s="40"/>
      <c r="Y1738" s="40"/>
    </row>
    <row r="1739" spans="5:25" x14ac:dyDescent="0.35">
      <c r="E1739" t="s">
        <v>201</v>
      </c>
      <c r="F1739" t="s">
        <v>1422</v>
      </c>
      <c r="G1739" s="28"/>
      <c r="N1739" s="28"/>
      <c r="O1739" s="28"/>
      <c r="X1739" s="40"/>
      <c r="Y1739" s="40"/>
    </row>
    <row r="1740" spans="5:25" x14ac:dyDescent="0.35">
      <c r="E1740" t="s">
        <v>201</v>
      </c>
      <c r="F1740" t="s">
        <v>1046</v>
      </c>
      <c r="G1740" s="28"/>
      <c r="N1740" s="28"/>
      <c r="O1740" s="28"/>
      <c r="X1740" s="40"/>
      <c r="Y1740" s="40"/>
    </row>
    <row r="1741" spans="5:25" x14ac:dyDescent="0.35">
      <c r="E1741" t="s">
        <v>201</v>
      </c>
      <c r="F1741" t="s">
        <v>1423</v>
      </c>
      <c r="G1741" s="28"/>
      <c r="N1741" s="28"/>
      <c r="O1741" s="28"/>
      <c r="X1741" s="40"/>
      <c r="Y1741" s="40"/>
    </row>
    <row r="1742" spans="5:25" x14ac:dyDescent="0.35">
      <c r="E1742" t="s">
        <v>201</v>
      </c>
      <c r="F1742" t="s">
        <v>1424</v>
      </c>
      <c r="G1742" s="28"/>
      <c r="N1742" s="28"/>
      <c r="O1742" s="28"/>
      <c r="X1742" s="40"/>
      <c r="Y1742" s="40"/>
    </row>
    <row r="1743" spans="5:25" x14ac:dyDescent="0.35">
      <c r="E1743" t="s">
        <v>201</v>
      </c>
      <c r="F1743" t="s">
        <v>1294</v>
      </c>
      <c r="G1743" s="28"/>
      <c r="N1743" s="28"/>
      <c r="O1743" s="28"/>
      <c r="X1743" s="40"/>
      <c r="Y1743" s="40"/>
    </row>
    <row r="1744" spans="5:25" x14ac:dyDescent="0.35">
      <c r="E1744" t="s">
        <v>201</v>
      </c>
      <c r="F1744" t="s">
        <v>1425</v>
      </c>
      <c r="G1744" s="28"/>
      <c r="N1744" s="28"/>
      <c r="O1744" s="28"/>
      <c r="X1744" s="40"/>
      <c r="Y1744" s="40"/>
    </row>
    <row r="1745" spans="5:25" x14ac:dyDescent="0.35">
      <c r="E1745" t="s">
        <v>201</v>
      </c>
      <c r="F1745" t="s">
        <v>1426</v>
      </c>
      <c r="G1745" s="28"/>
      <c r="N1745" s="28"/>
      <c r="O1745" s="28"/>
      <c r="X1745" s="40"/>
      <c r="Y1745" s="40"/>
    </row>
    <row r="1746" spans="5:25" x14ac:dyDescent="0.35">
      <c r="E1746" t="s">
        <v>201</v>
      </c>
      <c r="F1746" t="s">
        <v>1427</v>
      </c>
      <c r="G1746" s="28"/>
      <c r="N1746" s="28"/>
      <c r="O1746" s="28"/>
      <c r="X1746" s="40"/>
      <c r="Y1746" s="40"/>
    </row>
    <row r="1747" spans="5:25" x14ac:dyDescent="0.35">
      <c r="E1747" t="s">
        <v>201</v>
      </c>
      <c r="F1747" t="s">
        <v>1428</v>
      </c>
      <c r="G1747" s="28"/>
      <c r="N1747" s="28"/>
      <c r="O1747" s="28"/>
      <c r="X1747" s="40"/>
      <c r="Y1747" s="40"/>
    </row>
    <row r="1748" spans="5:25" x14ac:dyDescent="0.35">
      <c r="E1748" t="s">
        <v>201</v>
      </c>
      <c r="F1748" t="s">
        <v>1429</v>
      </c>
      <c r="G1748" s="28"/>
      <c r="N1748" s="28"/>
      <c r="O1748" s="28"/>
      <c r="X1748" s="40"/>
      <c r="Y1748" s="40"/>
    </row>
    <row r="1749" spans="5:25" x14ac:dyDescent="0.35">
      <c r="E1749" t="s">
        <v>201</v>
      </c>
      <c r="F1749" t="s">
        <v>1430</v>
      </c>
      <c r="G1749" s="28"/>
      <c r="N1749" s="28"/>
      <c r="O1749" s="28"/>
      <c r="X1749" s="40"/>
      <c r="Y1749" s="40"/>
    </row>
    <row r="1750" spans="5:25" x14ac:dyDescent="0.35">
      <c r="E1750" t="s">
        <v>201</v>
      </c>
      <c r="F1750" t="s">
        <v>449</v>
      </c>
      <c r="G1750" s="28"/>
      <c r="N1750" s="28"/>
      <c r="O1750" s="28"/>
      <c r="X1750" s="40"/>
      <c r="Y1750" s="40"/>
    </row>
    <row r="1751" spans="5:25" x14ac:dyDescent="0.35">
      <c r="E1751" t="s">
        <v>201</v>
      </c>
      <c r="F1751" t="s">
        <v>1431</v>
      </c>
      <c r="G1751" s="28"/>
      <c r="N1751" s="28"/>
      <c r="O1751" s="28"/>
      <c r="X1751" s="40"/>
      <c r="Y1751" s="40"/>
    </row>
    <row r="1752" spans="5:25" x14ac:dyDescent="0.35">
      <c r="E1752" t="s">
        <v>201</v>
      </c>
      <c r="F1752" t="s">
        <v>1432</v>
      </c>
      <c r="G1752" s="28"/>
      <c r="N1752" s="28"/>
      <c r="O1752" s="28"/>
      <c r="X1752" s="40"/>
      <c r="Y1752" s="40"/>
    </row>
    <row r="1753" spans="5:25" x14ac:dyDescent="0.35">
      <c r="E1753" t="s">
        <v>201</v>
      </c>
      <c r="F1753" t="s">
        <v>744</v>
      </c>
      <c r="G1753" s="28"/>
      <c r="N1753" s="28"/>
      <c r="O1753" s="28"/>
      <c r="X1753" s="40"/>
      <c r="Y1753" s="40"/>
    </row>
    <row r="1754" spans="5:25" x14ac:dyDescent="0.35">
      <c r="E1754" t="s">
        <v>201</v>
      </c>
      <c r="F1754" t="s">
        <v>394</v>
      </c>
      <c r="G1754" s="28"/>
      <c r="N1754" s="28"/>
      <c r="O1754" s="28"/>
      <c r="X1754" s="40"/>
      <c r="Y1754" s="40"/>
    </row>
    <row r="1755" spans="5:25" x14ac:dyDescent="0.35">
      <c r="E1755" t="s">
        <v>201</v>
      </c>
      <c r="F1755" t="s">
        <v>1433</v>
      </c>
      <c r="G1755" s="28"/>
      <c r="N1755" s="28"/>
      <c r="O1755" s="28"/>
      <c r="X1755" s="40"/>
      <c r="Y1755" s="40"/>
    </row>
    <row r="1756" spans="5:25" x14ac:dyDescent="0.35">
      <c r="E1756" t="s">
        <v>201</v>
      </c>
      <c r="F1756" t="s">
        <v>745</v>
      </c>
      <c r="G1756" s="28"/>
      <c r="N1756" s="28"/>
      <c r="O1756" s="28"/>
      <c r="X1756" s="40"/>
      <c r="Y1756" s="40"/>
    </row>
    <row r="1757" spans="5:25" x14ac:dyDescent="0.35">
      <c r="E1757" t="s">
        <v>201</v>
      </c>
      <c r="F1757" t="s">
        <v>749</v>
      </c>
      <c r="G1757" s="28"/>
      <c r="N1757" s="28"/>
      <c r="O1757" s="28"/>
      <c r="X1757" s="40"/>
      <c r="Y1757" s="40"/>
    </row>
    <row r="1758" spans="5:25" x14ac:dyDescent="0.35">
      <c r="E1758" t="s">
        <v>201</v>
      </c>
      <c r="F1758" t="s">
        <v>994</v>
      </c>
      <c r="G1758" s="28"/>
      <c r="N1758" s="28"/>
      <c r="O1758" s="28"/>
      <c r="X1758" s="40"/>
      <c r="Y1758" s="40"/>
    </row>
    <row r="1759" spans="5:25" x14ac:dyDescent="0.35">
      <c r="E1759" t="s">
        <v>201</v>
      </c>
      <c r="F1759" t="s">
        <v>1434</v>
      </c>
      <c r="G1759" s="28"/>
      <c r="N1759" s="28"/>
      <c r="O1759" s="28"/>
      <c r="X1759" s="40"/>
      <c r="Y1759" s="40"/>
    </row>
    <row r="1760" spans="5:25" x14ac:dyDescent="0.35">
      <c r="E1760" t="s">
        <v>201</v>
      </c>
      <c r="F1760" t="s">
        <v>1435</v>
      </c>
      <c r="G1760" s="28"/>
      <c r="N1760" s="28"/>
      <c r="O1760" s="28"/>
      <c r="X1760" s="40"/>
      <c r="Y1760" s="40"/>
    </row>
    <row r="1761" spans="5:25" x14ac:dyDescent="0.35">
      <c r="E1761" t="s">
        <v>202</v>
      </c>
      <c r="F1761" t="s">
        <v>526</v>
      </c>
      <c r="G1761" s="28"/>
      <c r="N1761" s="28"/>
      <c r="O1761" s="28"/>
      <c r="X1761" s="40"/>
      <c r="Y1761" s="40"/>
    </row>
    <row r="1762" spans="5:25" x14ac:dyDescent="0.35">
      <c r="E1762" t="s">
        <v>202</v>
      </c>
      <c r="F1762" t="s">
        <v>1436</v>
      </c>
      <c r="G1762" s="28"/>
      <c r="N1762" s="28"/>
      <c r="O1762" s="28"/>
      <c r="X1762" s="40"/>
      <c r="Y1762" s="40"/>
    </row>
    <row r="1763" spans="5:25" x14ac:dyDescent="0.35">
      <c r="E1763" t="s">
        <v>202</v>
      </c>
      <c r="F1763" t="s">
        <v>1437</v>
      </c>
      <c r="G1763" s="28"/>
      <c r="N1763" s="28"/>
      <c r="O1763" s="28"/>
      <c r="X1763" s="40"/>
      <c r="Y1763" s="40"/>
    </row>
    <row r="1764" spans="5:25" x14ac:dyDescent="0.35">
      <c r="E1764" t="s">
        <v>202</v>
      </c>
      <c r="F1764" t="s">
        <v>1438</v>
      </c>
      <c r="G1764" s="28"/>
      <c r="N1764" s="28"/>
      <c r="O1764" s="28"/>
      <c r="X1764" s="40"/>
      <c r="Y1764" s="40"/>
    </row>
    <row r="1765" spans="5:25" x14ac:dyDescent="0.35">
      <c r="E1765" t="s">
        <v>202</v>
      </c>
      <c r="F1765" t="s">
        <v>1439</v>
      </c>
      <c r="G1765" s="28"/>
      <c r="N1765" s="28"/>
      <c r="O1765" s="28"/>
      <c r="X1765" s="40"/>
      <c r="Y1765" s="40"/>
    </row>
    <row r="1766" spans="5:25" x14ac:dyDescent="0.35">
      <c r="E1766" t="s">
        <v>202</v>
      </c>
      <c r="F1766" t="s">
        <v>1440</v>
      </c>
      <c r="G1766" s="28"/>
      <c r="N1766" s="28"/>
      <c r="O1766" s="28"/>
      <c r="X1766" s="40"/>
      <c r="Y1766" s="40"/>
    </row>
    <row r="1767" spans="5:25" x14ac:dyDescent="0.35">
      <c r="E1767" t="s">
        <v>202</v>
      </c>
      <c r="F1767" t="s">
        <v>656</v>
      </c>
      <c r="G1767" s="28"/>
      <c r="N1767" s="28"/>
      <c r="O1767" s="28"/>
      <c r="X1767" s="40"/>
      <c r="Y1767" s="40"/>
    </row>
    <row r="1768" spans="5:25" x14ac:dyDescent="0.35">
      <c r="E1768" t="s">
        <v>202</v>
      </c>
      <c r="F1768" t="s">
        <v>1441</v>
      </c>
      <c r="G1768" s="28"/>
      <c r="N1768" s="28"/>
      <c r="O1768" s="28"/>
      <c r="X1768" s="40"/>
      <c r="Y1768" s="40"/>
    </row>
    <row r="1769" spans="5:25" x14ac:dyDescent="0.35">
      <c r="E1769" t="s">
        <v>202</v>
      </c>
      <c r="F1769" t="s">
        <v>765</v>
      </c>
      <c r="G1769" s="28"/>
      <c r="N1769" s="28"/>
      <c r="O1769" s="28"/>
      <c r="X1769" s="40"/>
      <c r="Y1769" s="40"/>
    </row>
    <row r="1770" spans="5:25" x14ac:dyDescent="0.35">
      <c r="E1770" t="s">
        <v>202</v>
      </c>
      <c r="F1770" t="s">
        <v>1442</v>
      </c>
      <c r="G1770" s="28"/>
      <c r="N1770" s="28"/>
      <c r="O1770" s="28"/>
      <c r="X1770" s="40"/>
      <c r="Y1770" s="40"/>
    </row>
    <row r="1771" spans="5:25" x14ac:dyDescent="0.35">
      <c r="E1771" t="s">
        <v>202</v>
      </c>
      <c r="F1771" t="s">
        <v>1443</v>
      </c>
      <c r="G1771" s="28"/>
      <c r="N1771" s="28"/>
      <c r="O1771" s="28"/>
      <c r="X1771" s="40"/>
      <c r="Y1771" s="40"/>
    </row>
    <row r="1772" spans="5:25" x14ac:dyDescent="0.35">
      <c r="E1772" t="s">
        <v>202</v>
      </c>
      <c r="F1772" t="s">
        <v>1444</v>
      </c>
      <c r="G1772" s="28"/>
      <c r="N1772" s="28"/>
      <c r="O1772" s="28"/>
      <c r="X1772" s="40"/>
      <c r="Y1772" s="40"/>
    </row>
    <row r="1773" spans="5:25" x14ac:dyDescent="0.35">
      <c r="E1773" t="s">
        <v>202</v>
      </c>
      <c r="F1773" t="s">
        <v>1445</v>
      </c>
      <c r="G1773" s="28"/>
      <c r="N1773" s="28"/>
      <c r="O1773" s="28"/>
      <c r="X1773" s="40"/>
      <c r="Y1773" s="40"/>
    </row>
    <row r="1774" spans="5:25" x14ac:dyDescent="0.35">
      <c r="E1774" t="s">
        <v>202</v>
      </c>
      <c r="F1774" t="s">
        <v>1446</v>
      </c>
      <c r="G1774" s="28"/>
      <c r="N1774" s="28"/>
      <c r="O1774" s="28"/>
      <c r="X1774" s="40"/>
      <c r="Y1774" s="40"/>
    </row>
    <row r="1775" spans="5:25" x14ac:dyDescent="0.35">
      <c r="E1775" t="s">
        <v>202</v>
      </c>
      <c r="F1775" t="s">
        <v>1447</v>
      </c>
      <c r="G1775" s="28"/>
      <c r="N1775" s="28"/>
      <c r="O1775" s="28"/>
      <c r="X1775" s="40"/>
      <c r="Y1775" s="40"/>
    </row>
    <row r="1776" spans="5:25" x14ac:dyDescent="0.35">
      <c r="E1776" t="s">
        <v>202</v>
      </c>
      <c r="F1776" t="s">
        <v>1448</v>
      </c>
      <c r="G1776" s="28"/>
      <c r="N1776" s="28"/>
      <c r="O1776" s="28"/>
      <c r="X1776" s="40"/>
      <c r="Y1776" s="40"/>
    </row>
    <row r="1777" spans="5:25" x14ac:dyDescent="0.35">
      <c r="E1777" t="s">
        <v>202</v>
      </c>
      <c r="F1777" t="s">
        <v>1347</v>
      </c>
      <c r="G1777" s="28"/>
      <c r="N1777" s="28"/>
      <c r="O1777" s="28"/>
      <c r="X1777" s="40"/>
      <c r="Y1777" s="40"/>
    </row>
    <row r="1778" spans="5:25" x14ac:dyDescent="0.35">
      <c r="E1778" t="s">
        <v>202</v>
      </c>
      <c r="F1778" t="s">
        <v>1449</v>
      </c>
      <c r="G1778" s="28"/>
      <c r="N1778" s="28"/>
      <c r="O1778" s="28"/>
      <c r="X1778" s="40"/>
      <c r="Y1778" s="40"/>
    </row>
    <row r="1779" spans="5:25" x14ac:dyDescent="0.35">
      <c r="E1779" t="s">
        <v>202</v>
      </c>
      <c r="F1779" t="s">
        <v>418</v>
      </c>
      <c r="G1779" s="28"/>
      <c r="N1779" s="28"/>
      <c r="O1779" s="28"/>
      <c r="X1779" s="40"/>
      <c r="Y1779" s="40"/>
    </row>
    <row r="1780" spans="5:25" x14ac:dyDescent="0.35">
      <c r="E1780" t="s">
        <v>202</v>
      </c>
      <c r="F1780" t="s">
        <v>1450</v>
      </c>
      <c r="G1780" s="28"/>
      <c r="N1780" s="28"/>
      <c r="O1780" s="28"/>
      <c r="X1780" s="40"/>
      <c r="Y1780" s="40"/>
    </row>
    <row r="1781" spans="5:25" x14ac:dyDescent="0.35">
      <c r="E1781" t="s">
        <v>202</v>
      </c>
      <c r="F1781" t="s">
        <v>1451</v>
      </c>
      <c r="G1781" s="28"/>
      <c r="N1781" s="28"/>
      <c r="O1781" s="28"/>
      <c r="X1781" s="40"/>
      <c r="Y1781" s="40"/>
    </row>
    <row r="1782" spans="5:25" x14ac:dyDescent="0.35">
      <c r="E1782" t="s">
        <v>202</v>
      </c>
      <c r="F1782" t="s">
        <v>1452</v>
      </c>
      <c r="G1782" s="28"/>
      <c r="N1782" s="28"/>
      <c r="O1782" s="28"/>
      <c r="X1782" s="40"/>
      <c r="Y1782" s="40"/>
    </row>
    <row r="1783" spans="5:25" x14ac:dyDescent="0.35">
      <c r="E1783" t="s">
        <v>202</v>
      </c>
      <c r="F1783" t="s">
        <v>1453</v>
      </c>
      <c r="G1783" s="28"/>
      <c r="N1783" s="28"/>
      <c r="O1783" s="28"/>
      <c r="X1783" s="40"/>
      <c r="Y1783" s="40"/>
    </row>
    <row r="1784" spans="5:25" x14ac:dyDescent="0.35">
      <c r="E1784" t="s">
        <v>202</v>
      </c>
      <c r="F1784" t="s">
        <v>428</v>
      </c>
      <c r="G1784" s="28"/>
      <c r="N1784" s="28"/>
      <c r="O1784" s="28"/>
      <c r="X1784" s="40"/>
      <c r="Y1784" s="40"/>
    </row>
    <row r="1785" spans="5:25" x14ac:dyDescent="0.35">
      <c r="E1785" t="s">
        <v>202</v>
      </c>
      <c r="F1785" t="s">
        <v>870</v>
      </c>
      <c r="G1785" s="28"/>
      <c r="N1785" s="28"/>
      <c r="O1785" s="28"/>
      <c r="X1785" s="40"/>
      <c r="Y1785" s="40"/>
    </row>
    <row r="1786" spans="5:25" x14ac:dyDescent="0.35">
      <c r="E1786" t="s">
        <v>202</v>
      </c>
      <c r="F1786" t="s">
        <v>710</v>
      </c>
      <c r="G1786" s="28"/>
      <c r="N1786" s="28"/>
      <c r="O1786" s="28"/>
      <c r="X1786" s="40"/>
      <c r="Y1786" s="40"/>
    </row>
    <row r="1787" spans="5:25" x14ac:dyDescent="0.35">
      <c r="E1787" t="s">
        <v>202</v>
      </c>
      <c r="F1787" t="s">
        <v>1454</v>
      </c>
      <c r="G1787" s="28"/>
      <c r="N1787" s="28"/>
      <c r="O1787" s="28"/>
      <c r="X1787" s="40"/>
      <c r="Y1787" s="40"/>
    </row>
    <row r="1788" spans="5:25" x14ac:dyDescent="0.35">
      <c r="E1788" t="s">
        <v>202</v>
      </c>
      <c r="F1788" t="s">
        <v>871</v>
      </c>
      <c r="G1788" s="28"/>
      <c r="N1788" s="28"/>
      <c r="O1788" s="28"/>
      <c r="X1788" s="40"/>
      <c r="Y1788" s="40"/>
    </row>
    <row r="1789" spans="5:25" x14ac:dyDescent="0.35">
      <c r="E1789" t="s">
        <v>202</v>
      </c>
      <c r="F1789" t="s">
        <v>873</v>
      </c>
      <c r="G1789" s="28"/>
      <c r="N1789" s="28"/>
      <c r="O1789" s="28"/>
      <c r="X1789" s="40"/>
      <c r="Y1789" s="40"/>
    </row>
    <row r="1790" spans="5:25" x14ac:dyDescent="0.35">
      <c r="E1790" t="s">
        <v>202</v>
      </c>
      <c r="F1790" t="s">
        <v>964</v>
      </c>
      <c r="G1790" s="28"/>
      <c r="N1790" s="28"/>
      <c r="O1790" s="28"/>
      <c r="X1790" s="40"/>
      <c r="Y1790" s="40"/>
    </row>
    <row r="1791" spans="5:25" x14ac:dyDescent="0.35">
      <c r="E1791" t="s">
        <v>202</v>
      </c>
      <c r="F1791" t="s">
        <v>1455</v>
      </c>
      <c r="G1791" s="28"/>
      <c r="N1791" s="28"/>
      <c r="O1791" s="28"/>
      <c r="X1791" s="40"/>
      <c r="Y1791" s="40"/>
    </row>
    <row r="1792" spans="5:25" x14ac:dyDescent="0.35">
      <c r="E1792" t="s">
        <v>202</v>
      </c>
      <c r="F1792" t="s">
        <v>1038</v>
      </c>
      <c r="G1792" s="28"/>
      <c r="N1792" s="28"/>
      <c r="O1792" s="28"/>
      <c r="X1792" s="40"/>
      <c r="Y1792" s="40"/>
    </row>
    <row r="1793" spans="5:25" x14ac:dyDescent="0.35">
      <c r="E1793" t="s">
        <v>202</v>
      </c>
      <c r="F1793" t="s">
        <v>1456</v>
      </c>
      <c r="G1793" s="28"/>
      <c r="N1793" s="28"/>
      <c r="O1793" s="28"/>
      <c r="X1793" s="40"/>
      <c r="Y1793" s="40"/>
    </row>
    <row r="1794" spans="5:25" x14ac:dyDescent="0.35">
      <c r="E1794" t="s">
        <v>202</v>
      </c>
      <c r="F1794" t="s">
        <v>1457</v>
      </c>
      <c r="G1794" s="28"/>
      <c r="N1794" s="28"/>
      <c r="O1794" s="28"/>
      <c r="X1794" s="40"/>
      <c r="Y1794" s="40"/>
    </row>
    <row r="1795" spans="5:25" x14ac:dyDescent="0.35">
      <c r="E1795" t="s">
        <v>202</v>
      </c>
      <c r="F1795" t="s">
        <v>719</v>
      </c>
      <c r="G1795" s="28"/>
      <c r="N1795" s="28"/>
      <c r="O1795" s="28"/>
      <c r="X1795" s="40"/>
      <c r="Y1795" s="40"/>
    </row>
    <row r="1796" spans="5:25" x14ac:dyDescent="0.35">
      <c r="E1796" t="s">
        <v>202</v>
      </c>
      <c r="F1796" t="s">
        <v>1240</v>
      </c>
      <c r="G1796" s="28"/>
      <c r="N1796" s="28"/>
      <c r="O1796" s="28"/>
      <c r="X1796" s="40"/>
      <c r="Y1796" s="40"/>
    </row>
    <row r="1797" spans="5:25" x14ac:dyDescent="0.35">
      <c r="E1797" t="s">
        <v>202</v>
      </c>
      <c r="F1797" t="s">
        <v>1458</v>
      </c>
      <c r="G1797" s="28"/>
      <c r="N1797" s="28"/>
      <c r="O1797" s="28"/>
      <c r="X1797" s="40"/>
      <c r="Y1797" s="40"/>
    </row>
    <row r="1798" spans="5:25" x14ac:dyDescent="0.35">
      <c r="E1798" t="s">
        <v>202</v>
      </c>
      <c r="F1798" t="s">
        <v>1243</v>
      </c>
      <c r="G1798" s="28"/>
      <c r="N1798" s="28"/>
      <c r="O1798" s="28"/>
      <c r="X1798" s="40"/>
      <c r="Y1798" s="40"/>
    </row>
    <row r="1799" spans="5:25" x14ac:dyDescent="0.35">
      <c r="E1799" t="s">
        <v>202</v>
      </c>
      <c r="F1799" t="s">
        <v>878</v>
      </c>
      <c r="G1799" s="28"/>
      <c r="N1799" s="28"/>
      <c r="O1799" s="28"/>
      <c r="X1799" s="40"/>
      <c r="Y1799" s="40"/>
    </row>
    <row r="1800" spans="5:25" x14ac:dyDescent="0.35">
      <c r="E1800" t="s">
        <v>202</v>
      </c>
      <c r="F1800" t="s">
        <v>1459</v>
      </c>
      <c r="G1800" s="28"/>
      <c r="N1800" s="28"/>
      <c r="O1800" s="28"/>
      <c r="X1800" s="40"/>
      <c r="Y1800" s="40"/>
    </row>
    <row r="1801" spans="5:25" x14ac:dyDescent="0.35">
      <c r="E1801" t="s">
        <v>202</v>
      </c>
      <c r="F1801" t="s">
        <v>1460</v>
      </c>
      <c r="G1801" s="28"/>
      <c r="N1801" s="28"/>
      <c r="O1801" s="28"/>
      <c r="X1801" s="40"/>
      <c r="Y1801" s="40"/>
    </row>
    <row r="1802" spans="5:25" x14ac:dyDescent="0.35">
      <c r="E1802" t="s">
        <v>202</v>
      </c>
      <c r="F1802" t="s">
        <v>983</v>
      </c>
      <c r="G1802" s="28"/>
      <c r="N1802" s="28"/>
      <c r="O1802" s="28"/>
      <c r="X1802" s="40"/>
      <c r="Y1802" s="40"/>
    </row>
    <row r="1803" spans="5:25" x14ac:dyDescent="0.35">
      <c r="E1803" t="s">
        <v>202</v>
      </c>
      <c r="F1803" t="s">
        <v>801</v>
      </c>
      <c r="G1803" s="28"/>
      <c r="N1803" s="28"/>
      <c r="O1803" s="28"/>
      <c r="X1803" s="40"/>
      <c r="Y1803" s="40"/>
    </row>
    <row r="1804" spans="5:25" x14ac:dyDescent="0.35">
      <c r="E1804" t="s">
        <v>202</v>
      </c>
      <c r="F1804" t="s">
        <v>1461</v>
      </c>
      <c r="G1804" s="28"/>
      <c r="N1804" s="28"/>
      <c r="O1804" s="28"/>
      <c r="X1804" s="40"/>
      <c r="Y1804" s="40"/>
    </row>
    <row r="1805" spans="5:25" x14ac:dyDescent="0.35">
      <c r="E1805" t="s">
        <v>202</v>
      </c>
      <c r="F1805" t="s">
        <v>882</v>
      </c>
      <c r="G1805" s="28"/>
      <c r="N1805" s="28"/>
      <c r="O1805" s="28"/>
      <c r="X1805" s="40"/>
      <c r="Y1805" s="40"/>
    </row>
    <row r="1806" spans="5:25" x14ac:dyDescent="0.35">
      <c r="E1806" t="s">
        <v>202</v>
      </c>
      <c r="F1806" t="s">
        <v>1250</v>
      </c>
      <c r="G1806" s="28"/>
      <c r="N1806" s="28"/>
      <c r="O1806" s="28"/>
      <c r="X1806" s="40"/>
      <c r="Y1806" s="40"/>
    </row>
    <row r="1807" spans="5:25" x14ac:dyDescent="0.35">
      <c r="E1807" t="s">
        <v>202</v>
      </c>
      <c r="F1807" t="s">
        <v>1462</v>
      </c>
      <c r="G1807" s="28"/>
      <c r="N1807" s="28"/>
      <c r="O1807" s="28"/>
      <c r="X1807" s="40"/>
      <c r="Y1807" s="40"/>
    </row>
    <row r="1808" spans="5:25" x14ac:dyDescent="0.35">
      <c r="E1808" t="s">
        <v>202</v>
      </c>
      <c r="F1808" t="s">
        <v>1463</v>
      </c>
      <c r="G1808" s="28"/>
      <c r="N1808" s="28"/>
      <c r="O1808" s="28"/>
      <c r="X1808" s="40"/>
      <c r="Y1808" s="40"/>
    </row>
    <row r="1809" spans="5:25" x14ac:dyDescent="0.35">
      <c r="E1809" t="s">
        <v>202</v>
      </c>
      <c r="F1809" t="s">
        <v>1464</v>
      </c>
      <c r="G1809" s="28"/>
      <c r="N1809" s="28"/>
      <c r="O1809" s="28"/>
      <c r="X1809" s="40"/>
      <c r="Y1809" s="40"/>
    </row>
    <row r="1810" spans="5:25" x14ac:dyDescent="0.35">
      <c r="E1810" t="s">
        <v>202</v>
      </c>
      <c r="F1810" t="s">
        <v>1465</v>
      </c>
      <c r="G1810" s="28"/>
      <c r="N1810" s="28"/>
      <c r="O1810" s="28"/>
      <c r="X1810" s="40"/>
      <c r="Y1810" s="40"/>
    </row>
    <row r="1811" spans="5:25" x14ac:dyDescent="0.35">
      <c r="E1811" t="s">
        <v>202</v>
      </c>
      <c r="F1811" t="s">
        <v>1466</v>
      </c>
      <c r="G1811" s="28"/>
      <c r="N1811" s="28"/>
      <c r="O1811" s="28"/>
      <c r="X1811" s="40"/>
      <c r="Y1811" s="40"/>
    </row>
    <row r="1812" spans="5:25" x14ac:dyDescent="0.35">
      <c r="E1812" t="s">
        <v>202</v>
      </c>
      <c r="F1812" t="s">
        <v>928</v>
      </c>
      <c r="G1812" s="28"/>
      <c r="N1812" s="28"/>
      <c r="O1812" s="28"/>
      <c r="X1812" s="40"/>
      <c r="Y1812" s="40"/>
    </row>
    <row r="1813" spans="5:25" x14ac:dyDescent="0.35">
      <c r="E1813" t="s">
        <v>202</v>
      </c>
      <c r="F1813" t="s">
        <v>1467</v>
      </c>
      <c r="G1813" s="28"/>
      <c r="N1813" s="28"/>
      <c r="O1813" s="28"/>
      <c r="X1813" s="40"/>
      <c r="Y1813" s="40"/>
    </row>
    <row r="1814" spans="5:25" x14ac:dyDescent="0.35">
      <c r="E1814" t="s">
        <v>203</v>
      </c>
      <c r="F1814" t="s">
        <v>526</v>
      </c>
      <c r="G1814" s="28"/>
      <c r="N1814" s="28"/>
      <c r="O1814" s="28"/>
      <c r="X1814" s="40"/>
      <c r="Y1814" s="40"/>
    </row>
    <row r="1815" spans="5:25" x14ac:dyDescent="0.35">
      <c r="E1815" t="s">
        <v>203</v>
      </c>
      <c r="F1815" t="s">
        <v>1468</v>
      </c>
      <c r="G1815" s="28"/>
      <c r="N1815" s="28"/>
      <c r="O1815" s="28"/>
      <c r="X1815" s="40"/>
      <c r="Y1815" s="40"/>
    </row>
    <row r="1816" spans="5:25" x14ac:dyDescent="0.35">
      <c r="E1816" t="s">
        <v>203</v>
      </c>
      <c r="F1816" t="s">
        <v>1469</v>
      </c>
      <c r="G1816" s="28"/>
      <c r="N1816" s="28"/>
      <c r="O1816" s="28"/>
      <c r="X1816" s="40"/>
      <c r="Y1816" s="40"/>
    </row>
    <row r="1817" spans="5:25" x14ac:dyDescent="0.35">
      <c r="E1817" t="s">
        <v>203</v>
      </c>
      <c r="F1817" t="s">
        <v>1470</v>
      </c>
      <c r="G1817" s="28"/>
      <c r="N1817" s="28"/>
      <c r="O1817" s="28"/>
      <c r="X1817" s="40"/>
      <c r="Y1817" s="40"/>
    </row>
    <row r="1818" spans="5:25" x14ac:dyDescent="0.35">
      <c r="E1818" t="s">
        <v>203</v>
      </c>
      <c r="F1818" t="s">
        <v>814</v>
      </c>
      <c r="G1818" s="28"/>
      <c r="N1818" s="28"/>
      <c r="O1818" s="28"/>
      <c r="X1818" s="40"/>
      <c r="Y1818" s="40"/>
    </row>
    <row r="1819" spans="5:25" x14ac:dyDescent="0.35">
      <c r="E1819" t="s">
        <v>203</v>
      </c>
      <c r="F1819" t="s">
        <v>401</v>
      </c>
      <c r="G1819" s="28"/>
      <c r="N1819" s="28"/>
      <c r="O1819" s="28"/>
      <c r="X1819" s="40"/>
      <c r="Y1819" s="40"/>
    </row>
    <row r="1820" spans="5:25" x14ac:dyDescent="0.35">
      <c r="E1820" t="s">
        <v>203</v>
      </c>
      <c r="F1820" t="s">
        <v>1471</v>
      </c>
      <c r="G1820" s="28"/>
      <c r="N1820" s="28"/>
      <c r="O1820" s="28"/>
      <c r="X1820" s="40"/>
      <c r="Y1820" s="40"/>
    </row>
    <row r="1821" spans="5:25" x14ac:dyDescent="0.35">
      <c r="E1821" t="s">
        <v>203</v>
      </c>
      <c r="F1821" t="s">
        <v>1001</v>
      </c>
      <c r="G1821" s="28"/>
      <c r="N1821" s="28"/>
      <c r="O1821" s="28"/>
      <c r="X1821" s="40"/>
      <c r="Y1821" s="40"/>
    </row>
    <row r="1822" spans="5:25" x14ac:dyDescent="0.35">
      <c r="E1822" t="s">
        <v>203</v>
      </c>
      <c r="F1822" t="s">
        <v>844</v>
      </c>
      <c r="G1822" s="28"/>
      <c r="N1822" s="28"/>
      <c r="O1822" s="28"/>
      <c r="X1822" s="40"/>
      <c r="Y1822" s="40"/>
    </row>
    <row r="1823" spans="5:25" x14ac:dyDescent="0.35">
      <c r="E1823" t="s">
        <v>203</v>
      </c>
      <c r="F1823" t="s">
        <v>1472</v>
      </c>
      <c r="G1823" s="28"/>
      <c r="N1823" s="28"/>
      <c r="O1823" s="28"/>
      <c r="X1823" s="40"/>
      <c r="Y1823" s="40"/>
    </row>
    <row r="1824" spans="5:25" x14ac:dyDescent="0.35">
      <c r="E1824" t="s">
        <v>203</v>
      </c>
      <c r="F1824" t="s">
        <v>1473</v>
      </c>
      <c r="G1824" s="28"/>
      <c r="N1824" s="28"/>
      <c r="O1824" s="28"/>
      <c r="X1824" s="40"/>
      <c r="Y1824" s="40"/>
    </row>
    <row r="1825" spans="5:25" x14ac:dyDescent="0.35">
      <c r="E1825" t="s">
        <v>203</v>
      </c>
      <c r="F1825" t="s">
        <v>336</v>
      </c>
      <c r="G1825" s="28"/>
      <c r="N1825" s="28"/>
      <c r="O1825" s="28"/>
      <c r="X1825" s="40"/>
      <c r="Y1825" s="40"/>
    </row>
    <row r="1826" spans="5:25" x14ac:dyDescent="0.35">
      <c r="E1826" t="s">
        <v>203</v>
      </c>
      <c r="F1826" t="s">
        <v>765</v>
      </c>
      <c r="G1826" s="28"/>
      <c r="N1826" s="28"/>
      <c r="O1826" s="28"/>
      <c r="X1826" s="40"/>
      <c r="Y1826" s="40"/>
    </row>
    <row r="1827" spans="5:25" x14ac:dyDescent="0.35">
      <c r="E1827" t="s">
        <v>203</v>
      </c>
      <c r="F1827" t="s">
        <v>766</v>
      </c>
      <c r="G1827" s="28"/>
      <c r="N1827" s="28"/>
      <c r="O1827" s="28"/>
      <c r="X1827" s="40"/>
      <c r="Y1827" s="40"/>
    </row>
    <row r="1828" spans="5:25" x14ac:dyDescent="0.35">
      <c r="E1828" t="s">
        <v>203</v>
      </c>
      <c r="F1828" t="s">
        <v>935</v>
      </c>
      <c r="G1828" s="28"/>
      <c r="N1828" s="28"/>
      <c r="O1828" s="28"/>
      <c r="X1828" s="40"/>
      <c r="Y1828" s="40"/>
    </row>
    <row r="1829" spans="5:25" x14ac:dyDescent="0.35">
      <c r="E1829" t="s">
        <v>203</v>
      </c>
      <c r="F1829" t="s">
        <v>1474</v>
      </c>
      <c r="G1829" s="28"/>
      <c r="N1829" s="28"/>
      <c r="O1829" s="28"/>
      <c r="X1829" s="40"/>
      <c r="Y1829" s="40"/>
    </row>
    <row r="1830" spans="5:25" x14ac:dyDescent="0.35">
      <c r="E1830" t="s">
        <v>203</v>
      </c>
      <c r="F1830" t="s">
        <v>535</v>
      </c>
      <c r="G1830" s="28"/>
      <c r="N1830" s="28"/>
      <c r="O1830" s="28"/>
      <c r="X1830" s="40"/>
      <c r="Y1830" s="40"/>
    </row>
    <row r="1831" spans="5:25" x14ac:dyDescent="0.35">
      <c r="E1831" t="s">
        <v>203</v>
      </c>
      <c r="F1831" t="s">
        <v>343</v>
      </c>
      <c r="G1831" s="28"/>
      <c r="N1831" s="28"/>
      <c r="O1831" s="28"/>
      <c r="X1831" s="40"/>
      <c r="Y1831" s="40"/>
    </row>
    <row r="1832" spans="5:25" x14ac:dyDescent="0.35">
      <c r="E1832" t="s">
        <v>203</v>
      </c>
      <c r="F1832" t="s">
        <v>1475</v>
      </c>
      <c r="G1832" s="28"/>
      <c r="N1832" s="28"/>
      <c r="O1832" s="28"/>
      <c r="X1832" s="40"/>
      <c r="Y1832" s="40"/>
    </row>
    <row r="1833" spans="5:25" x14ac:dyDescent="0.35">
      <c r="E1833" t="s">
        <v>203</v>
      </c>
      <c r="F1833" t="s">
        <v>1476</v>
      </c>
      <c r="G1833" s="28"/>
      <c r="N1833" s="28"/>
      <c r="O1833" s="28"/>
      <c r="X1833" s="40"/>
      <c r="Y1833" s="40"/>
    </row>
    <row r="1834" spans="5:25" x14ac:dyDescent="0.35">
      <c r="E1834" t="s">
        <v>203</v>
      </c>
      <c r="F1834" t="s">
        <v>540</v>
      </c>
      <c r="G1834" s="28"/>
      <c r="N1834" s="28"/>
      <c r="O1834" s="28"/>
      <c r="X1834" s="40"/>
      <c r="Y1834" s="40"/>
    </row>
    <row r="1835" spans="5:25" x14ac:dyDescent="0.35">
      <c r="E1835" t="s">
        <v>203</v>
      </c>
      <c r="F1835" t="s">
        <v>1210</v>
      </c>
      <c r="G1835" s="28"/>
      <c r="N1835" s="28"/>
      <c r="O1835" s="28"/>
      <c r="X1835" s="40"/>
      <c r="Y1835" s="40"/>
    </row>
    <row r="1836" spans="5:25" x14ac:dyDescent="0.35">
      <c r="E1836" t="s">
        <v>203</v>
      </c>
      <c r="F1836" t="s">
        <v>1477</v>
      </c>
      <c r="G1836" s="28"/>
      <c r="N1836" s="28"/>
      <c r="O1836" s="28"/>
      <c r="X1836" s="40"/>
      <c r="Y1836" s="40"/>
    </row>
    <row r="1837" spans="5:25" x14ac:dyDescent="0.35">
      <c r="E1837" t="s">
        <v>203</v>
      </c>
      <c r="F1837" t="s">
        <v>673</v>
      </c>
      <c r="G1837" s="28"/>
      <c r="N1837" s="28"/>
      <c r="O1837" s="28"/>
      <c r="X1837" s="40"/>
      <c r="Y1837" s="40"/>
    </row>
    <row r="1838" spans="5:25" x14ac:dyDescent="0.35">
      <c r="E1838" t="s">
        <v>203</v>
      </c>
      <c r="F1838" t="s">
        <v>1478</v>
      </c>
      <c r="G1838" s="28"/>
      <c r="N1838" s="28"/>
      <c r="O1838" s="28"/>
      <c r="X1838" s="40"/>
      <c r="Y1838" s="40"/>
    </row>
    <row r="1839" spans="5:25" x14ac:dyDescent="0.35">
      <c r="E1839" t="s">
        <v>203</v>
      </c>
      <c r="F1839" t="s">
        <v>1479</v>
      </c>
      <c r="G1839" s="28"/>
      <c r="N1839" s="28"/>
      <c r="O1839" s="28"/>
      <c r="X1839" s="40"/>
      <c r="Y1839" s="40"/>
    </row>
    <row r="1840" spans="5:25" x14ac:dyDescent="0.35">
      <c r="E1840" t="s">
        <v>203</v>
      </c>
      <c r="F1840" t="s">
        <v>676</v>
      </c>
      <c r="G1840" s="28"/>
      <c r="N1840" s="28"/>
      <c r="O1840" s="28"/>
      <c r="X1840" s="40"/>
      <c r="Y1840" s="40"/>
    </row>
    <row r="1841" spans="5:25" x14ac:dyDescent="0.35">
      <c r="E1841" t="s">
        <v>203</v>
      </c>
      <c r="F1841" t="s">
        <v>544</v>
      </c>
      <c r="G1841" s="28"/>
      <c r="N1841" s="28"/>
      <c r="O1841" s="28"/>
      <c r="X1841" s="40"/>
      <c r="Y1841" s="40"/>
    </row>
    <row r="1842" spans="5:25" x14ac:dyDescent="0.35">
      <c r="E1842" t="s">
        <v>203</v>
      </c>
      <c r="F1842" t="s">
        <v>1480</v>
      </c>
      <c r="G1842" s="28"/>
      <c r="N1842" s="28"/>
      <c r="O1842" s="28"/>
      <c r="X1842" s="40"/>
      <c r="Y1842" s="40"/>
    </row>
    <row r="1843" spans="5:25" x14ac:dyDescent="0.35">
      <c r="E1843" t="s">
        <v>203</v>
      </c>
      <c r="F1843" t="s">
        <v>1212</v>
      </c>
      <c r="G1843" s="28"/>
      <c r="N1843" s="28"/>
      <c r="O1843" s="28"/>
      <c r="X1843" s="40"/>
      <c r="Y1843" s="40"/>
    </row>
    <row r="1844" spans="5:25" x14ac:dyDescent="0.35">
      <c r="E1844" t="s">
        <v>203</v>
      </c>
      <c r="F1844" t="s">
        <v>359</v>
      </c>
      <c r="G1844" s="28"/>
      <c r="N1844" s="28"/>
      <c r="O1844" s="28"/>
      <c r="X1844" s="40"/>
      <c r="Y1844" s="40"/>
    </row>
    <row r="1845" spans="5:25" x14ac:dyDescent="0.35">
      <c r="E1845" t="s">
        <v>203</v>
      </c>
      <c r="F1845" t="s">
        <v>1481</v>
      </c>
      <c r="G1845" s="28"/>
      <c r="N1845" s="28"/>
      <c r="O1845" s="28"/>
      <c r="X1845" s="40"/>
      <c r="Y1845" s="40"/>
    </row>
    <row r="1846" spans="5:25" x14ac:dyDescent="0.35">
      <c r="E1846" t="s">
        <v>203</v>
      </c>
      <c r="F1846" t="s">
        <v>1482</v>
      </c>
      <c r="G1846" s="28"/>
      <c r="N1846" s="28"/>
      <c r="O1846" s="28"/>
      <c r="X1846" s="40"/>
      <c r="Y1846" s="40"/>
    </row>
    <row r="1847" spans="5:25" x14ac:dyDescent="0.35">
      <c r="E1847" t="s">
        <v>203</v>
      </c>
      <c r="F1847" t="s">
        <v>1483</v>
      </c>
      <c r="G1847" s="28"/>
      <c r="N1847" s="28"/>
      <c r="O1847" s="28"/>
      <c r="X1847" s="40"/>
      <c r="Y1847" s="40"/>
    </row>
    <row r="1848" spans="5:25" x14ac:dyDescent="0.35">
      <c r="E1848" t="s">
        <v>203</v>
      </c>
      <c r="F1848" t="s">
        <v>1484</v>
      </c>
      <c r="G1848" s="28"/>
      <c r="N1848" s="28"/>
      <c r="O1848" s="28"/>
      <c r="X1848" s="40"/>
      <c r="Y1848" s="40"/>
    </row>
    <row r="1849" spans="5:25" x14ac:dyDescent="0.35">
      <c r="E1849" t="s">
        <v>203</v>
      </c>
      <c r="F1849" t="s">
        <v>549</v>
      </c>
      <c r="G1849" s="28"/>
      <c r="N1849" s="28"/>
      <c r="O1849" s="28"/>
      <c r="X1849" s="40"/>
      <c r="Y1849" s="40"/>
    </row>
    <row r="1850" spans="5:25" x14ac:dyDescent="0.35">
      <c r="E1850" t="s">
        <v>203</v>
      </c>
      <c r="F1850" t="s">
        <v>1485</v>
      </c>
      <c r="G1850" s="28"/>
      <c r="N1850" s="28"/>
      <c r="O1850" s="28"/>
      <c r="X1850" s="40"/>
      <c r="Y1850" s="40"/>
    </row>
    <row r="1851" spans="5:25" x14ac:dyDescent="0.35">
      <c r="E1851" t="s">
        <v>203</v>
      </c>
      <c r="F1851" t="s">
        <v>418</v>
      </c>
      <c r="G1851" s="28"/>
      <c r="X1851" s="40"/>
      <c r="Y1851" s="40"/>
    </row>
    <row r="1852" spans="5:25" x14ac:dyDescent="0.35">
      <c r="E1852" t="s">
        <v>203</v>
      </c>
      <c r="F1852" t="s">
        <v>949</v>
      </c>
      <c r="G1852" s="28"/>
      <c r="X1852" s="40"/>
      <c r="Y1852" s="40"/>
    </row>
    <row r="1853" spans="5:25" x14ac:dyDescent="0.35">
      <c r="E1853" t="s">
        <v>203</v>
      </c>
      <c r="F1853" t="s">
        <v>694</v>
      </c>
      <c r="G1853" s="28"/>
      <c r="X1853" s="40"/>
      <c r="Y1853" s="40"/>
    </row>
    <row r="1854" spans="5:25" x14ac:dyDescent="0.35">
      <c r="E1854" t="s">
        <v>203</v>
      </c>
      <c r="F1854" t="s">
        <v>610</v>
      </c>
      <c r="G1854" s="28"/>
      <c r="X1854" s="40"/>
      <c r="Y1854" s="40"/>
    </row>
    <row r="1855" spans="5:25" x14ac:dyDescent="0.35">
      <c r="E1855" t="s">
        <v>203</v>
      </c>
      <c r="F1855" t="s">
        <v>1022</v>
      </c>
      <c r="G1855" s="28"/>
      <c r="X1855" s="40"/>
      <c r="Y1855" s="40"/>
    </row>
    <row r="1856" spans="5:25" x14ac:dyDescent="0.35">
      <c r="E1856" t="s">
        <v>203</v>
      </c>
      <c r="F1856" t="s">
        <v>1486</v>
      </c>
      <c r="G1856" s="28"/>
      <c r="X1856" s="40"/>
      <c r="Y1856" s="40"/>
    </row>
    <row r="1857" spans="5:25" x14ac:dyDescent="0.35">
      <c r="E1857" t="s">
        <v>203</v>
      </c>
      <c r="F1857" t="s">
        <v>1487</v>
      </c>
      <c r="G1857" s="28"/>
      <c r="X1857" s="40"/>
      <c r="Y1857" s="40"/>
    </row>
    <row r="1858" spans="5:25" x14ac:dyDescent="0.35">
      <c r="E1858" t="s">
        <v>203</v>
      </c>
      <c r="F1858" t="s">
        <v>1274</v>
      </c>
      <c r="G1858" s="28"/>
      <c r="X1858" s="40"/>
      <c r="Y1858" s="40"/>
    </row>
    <row r="1859" spans="5:25" x14ac:dyDescent="0.35">
      <c r="E1859" t="s">
        <v>203</v>
      </c>
      <c r="F1859" t="s">
        <v>1488</v>
      </c>
      <c r="G1859" s="28"/>
      <c r="X1859" s="40"/>
      <c r="Y1859" s="40"/>
    </row>
    <row r="1860" spans="5:25" x14ac:dyDescent="0.35">
      <c r="E1860" t="s">
        <v>203</v>
      </c>
      <c r="F1860" t="s">
        <v>421</v>
      </c>
      <c r="G1860" s="28"/>
      <c r="X1860" s="40"/>
      <c r="Y1860" s="40"/>
    </row>
    <row r="1861" spans="5:25" x14ac:dyDescent="0.35">
      <c r="E1861" t="s">
        <v>203</v>
      </c>
      <c r="F1861" t="s">
        <v>366</v>
      </c>
      <c r="G1861" s="28"/>
      <c r="X1861" s="40"/>
      <c r="Y1861" s="40"/>
    </row>
    <row r="1862" spans="5:25" x14ac:dyDescent="0.35">
      <c r="E1862" t="s">
        <v>203</v>
      </c>
      <c r="F1862" t="s">
        <v>424</v>
      </c>
      <c r="G1862" s="28"/>
      <c r="X1862" s="40"/>
      <c r="Y1862" s="40"/>
    </row>
    <row r="1863" spans="5:25" x14ac:dyDescent="0.35">
      <c r="E1863" t="s">
        <v>203</v>
      </c>
      <c r="F1863" t="s">
        <v>1489</v>
      </c>
      <c r="G1863" s="28"/>
      <c r="X1863" s="40"/>
      <c r="Y1863" s="40"/>
    </row>
    <row r="1864" spans="5:25" x14ac:dyDescent="0.35">
      <c r="E1864" t="s">
        <v>203</v>
      </c>
      <c r="F1864" t="s">
        <v>1490</v>
      </c>
      <c r="G1864" s="28"/>
      <c r="X1864" s="40"/>
      <c r="Y1864" s="40"/>
    </row>
    <row r="1865" spans="5:25" x14ac:dyDescent="0.35">
      <c r="E1865" t="s">
        <v>203</v>
      </c>
      <c r="F1865" t="s">
        <v>1491</v>
      </c>
      <c r="G1865" s="28"/>
      <c r="X1865" s="40"/>
      <c r="Y1865" s="40"/>
    </row>
    <row r="1866" spans="5:25" x14ac:dyDescent="0.35">
      <c r="E1866" t="s">
        <v>203</v>
      </c>
      <c r="F1866" t="s">
        <v>1492</v>
      </c>
      <c r="G1866" s="28"/>
      <c r="X1866" s="40"/>
      <c r="Y1866" s="40"/>
    </row>
    <row r="1867" spans="5:25" x14ac:dyDescent="0.35">
      <c r="E1867" t="s">
        <v>203</v>
      </c>
      <c r="F1867" t="s">
        <v>863</v>
      </c>
      <c r="G1867" s="28"/>
      <c r="X1867" s="40"/>
      <c r="Y1867" s="40"/>
    </row>
    <row r="1868" spans="5:25" x14ac:dyDescent="0.35">
      <c r="E1868" t="s">
        <v>203</v>
      </c>
      <c r="F1868" t="s">
        <v>1493</v>
      </c>
      <c r="G1868" s="28"/>
      <c r="X1868" s="40"/>
      <c r="Y1868" s="40"/>
    </row>
    <row r="1869" spans="5:25" x14ac:dyDescent="0.35">
      <c r="E1869" t="s">
        <v>203</v>
      </c>
      <c r="F1869" t="s">
        <v>426</v>
      </c>
      <c r="G1869" s="28"/>
      <c r="X1869" s="40"/>
      <c r="Y1869" s="40"/>
    </row>
    <row r="1870" spans="5:25" x14ac:dyDescent="0.35">
      <c r="E1870" t="s">
        <v>203</v>
      </c>
      <c r="F1870" t="s">
        <v>428</v>
      </c>
      <c r="G1870" s="28"/>
      <c r="X1870" s="40"/>
      <c r="Y1870" s="40"/>
    </row>
    <row r="1871" spans="5:25" x14ac:dyDescent="0.35">
      <c r="E1871" t="s">
        <v>203</v>
      </c>
      <c r="F1871" t="s">
        <v>1494</v>
      </c>
      <c r="G1871" s="28"/>
      <c r="X1871" s="40"/>
      <c r="Y1871" s="40"/>
    </row>
    <row r="1872" spans="5:25" x14ac:dyDescent="0.35">
      <c r="E1872" t="s">
        <v>203</v>
      </c>
      <c r="F1872" t="s">
        <v>374</v>
      </c>
      <c r="G1872" s="28"/>
      <c r="X1872" s="40"/>
      <c r="Y1872" s="40"/>
    </row>
    <row r="1873" spans="5:25" x14ac:dyDescent="0.35">
      <c r="E1873" t="s">
        <v>203</v>
      </c>
      <c r="F1873" t="s">
        <v>961</v>
      </c>
      <c r="G1873" s="28"/>
      <c r="X1873" s="40"/>
      <c r="Y1873" s="40"/>
    </row>
    <row r="1874" spans="5:25" x14ac:dyDescent="0.35">
      <c r="E1874" t="s">
        <v>203</v>
      </c>
      <c r="F1874" t="s">
        <v>1495</v>
      </c>
      <c r="G1874" s="28"/>
      <c r="X1874" s="40"/>
      <c r="Y1874" s="40"/>
    </row>
    <row r="1875" spans="5:25" x14ac:dyDescent="0.35">
      <c r="E1875" t="s">
        <v>203</v>
      </c>
      <c r="F1875" t="s">
        <v>1496</v>
      </c>
      <c r="G1875" s="28"/>
      <c r="X1875" s="40"/>
      <c r="Y1875" s="40"/>
    </row>
    <row r="1876" spans="5:25" x14ac:dyDescent="0.35">
      <c r="E1876" t="s">
        <v>203</v>
      </c>
      <c r="F1876" t="s">
        <v>1497</v>
      </c>
      <c r="G1876" s="28"/>
      <c r="X1876" s="40"/>
      <c r="Y1876" s="40"/>
    </row>
    <row r="1877" spans="5:25" x14ac:dyDescent="0.35">
      <c r="E1877" t="s">
        <v>203</v>
      </c>
      <c r="F1877" t="s">
        <v>965</v>
      </c>
      <c r="G1877" s="28"/>
      <c r="X1877" s="40"/>
      <c r="Y1877" s="40"/>
    </row>
    <row r="1878" spans="5:25" x14ac:dyDescent="0.35">
      <c r="E1878" t="s">
        <v>203</v>
      </c>
      <c r="F1878" t="s">
        <v>1498</v>
      </c>
      <c r="G1878" s="28"/>
      <c r="X1878" s="40"/>
      <c r="Y1878" s="40"/>
    </row>
    <row r="1879" spans="5:25" x14ac:dyDescent="0.35">
      <c r="E1879" t="s">
        <v>203</v>
      </c>
      <c r="F1879" t="s">
        <v>1499</v>
      </c>
      <c r="G1879" s="28"/>
      <c r="X1879" s="40"/>
      <c r="Y1879" s="40"/>
    </row>
    <row r="1880" spans="5:25" x14ac:dyDescent="0.35">
      <c r="E1880" t="s">
        <v>203</v>
      </c>
      <c r="F1880" t="s">
        <v>972</v>
      </c>
      <c r="G1880" s="28"/>
      <c r="X1880" s="40"/>
      <c r="Y1880" s="40"/>
    </row>
    <row r="1881" spans="5:25" x14ac:dyDescent="0.35">
      <c r="E1881" t="s">
        <v>203</v>
      </c>
      <c r="F1881" t="s">
        <v>1500</v>
      </c>
      <c r="G1881" s="28"/>
      <c r="X1881" s="40"/>
      <c r="Y1881" s="40"/>
    </row>
    <row r="1882" spans="5:25" x14ac:dyDescent="0.35">
      <c r="E1882" t="s">
        <v>203</v>
      </c>
      <c r="F1882" t="s">
        <v>1286</v>
      </c>
      <c r="G1882" s="28"/>
      <c r="X1882" s="40"/>
      <c r="Y1882" s="40"/>
    </row>
    <row r="1883" spans="5:25" x14ac:dyDescent="0.35">
      <c r="E1883" t="s">
        <v>203</v>
      </c>
      <c r="F1883" t="s">
        <v>719</v>
      </c>
      <c r="G1883" s="28"/>
      <c r="X1883" s="40"/>
      <c r="Y1883" s="40"/>
    </row>
    <row r="1884" spans="5:25" x14ac:dyDescent="0.35">
      <c r="E1884" t="s">
        <v>203</v>
      </c>
      <c r="F1884" t="s">
        <v>1287</v>
      </c>
      <c r="G1884" s="28"/>
      <c r="X1884" s="40"/>
      <c r="Y1884" s="40"/>
    </row>
    <row r="1885" spans="5:25" x14ac:dyDescent="0.35">
      <c r="E1885" t="s">
        <v>203</v>
      </c>
      <c r="F1885" t="s">
        <v>437</v>
      </c>
      <c r="G1885" s="28"/>
      <c r="X1885" s="40"/>
      <c r="Y1885" s="40"/>
    </row>
    <row r="1886" spans="5:25" x14ac:dyDescent="0.35">
      <c r="E1886" t="s">
        <v>203</v>
      </c>
      <c r="F1886" t="s">
        <v>1501</v>
      </c>
      <c r="G1886" s="28"/>
      <c r="X1886" s="40"/>
      <c r="Y1886" s="40"/>
    </row>
    <row r="1887" spans="5:25" x14ac:dyDescent="0.35">
      <c r="E1887" t="s">
        <v>203</v>
      </c>
      <c r="F1887" t="s">
        <v>1502</v>
      </c>
      <c r="G1887" s="28"/>
      <c r="X1887" s="40"/>
      <c r="Y1887" s="40"/>
    </row>
    <row r="1888" spans="5:25" x14ac:dyDescent="0.35">
      <c r="E1888" t="s">
        <v>203</v>
      </c>
      <c r="F1888" t="s">
        <v>1244</v>
      </c>
      <c r="G1888" s="28"/>
      <c r="X1888" s="40"/>
      <c r="Y1888" s="40"/>
    </row>
    <row r="1889" spans="5:25" x14ac:dyDescent="0.35">
      <c r="E1889" t="s">
        <v>203</v>
      </c>
      <c r="F1889" t="s">
        <v>442</v>
      </c>
      <c r="G1889" s="28"/>
      <c r="X1889" s="40"/>
      <c r="Y1889" s="40"/>
    </row>
    <row r="1890" spans="5:25" x14ac:dyDescent="0.35">
      <c r="E1890" t="s">
        <v>203</v>
      </c>
      <c r="F1890" t="s">
        <v>1503</v>
      </c>
      <c r="G1890" s="28"/>
      <c r="X1890" s="40"/>
      <c r="Y1890" s="40"/>
    </row>
    <row r="1891" spans="5:25" x14ac:dyDescent="0.35">
      <c r="E1891" t="s">
        <v>203</v>
      </c>
      <c r="F1891" t="s">
        <v>1504</v>
      </c>
      <c r="G1891" s="28"/>
      <c r="X1891" s="40"/>
      <c r="Y1891" s="40"/>
    </row>
    <row r="1892" spans="5:25" x14ac:dyDescent="0.35">
      <c r="E1892" t="s">
        <v>203</v>
      </c>
      <c r="F1892" t="s">
        <v>1505</v>
      </c>
      <c r="G1892" s="28"/>
      <c r="X1892" s="40"/>
      <c r="Y1892" s="40"/>
    </row>
    <row r="1893" spans="5:25" x14ac:dyDescent="0.35">
      <c r="E1893" t="s">
        <v>203</v>
      </c>
      <c r="F1893" t="s">
        <v>981</v>
      </c>
      <c r="G1893" s="28"/>
      <c r="X1893" s="40"/>
      <c r="Y1893" s="40"/>
    </row>
    <row r="1894" spans="5:25" x14ac:dyDescent="0.35">
      <c r="E1894" t="s">
        <v>203</v>
      </c>
      <c r="F1894" t="s">
        <v>983</v>
      </c>
      <c r="G1894" s="28"/>
      <c r="X1894" s="40"/>
      <c r="Y1894" s="40"/>
    </row>
    <row r="1895" spans="5:25" x14ac:dyDescent="0.35">
      <c r="E1895" t="s">
        <v>203</v>
      </c>
      <c r="F1895" t="s">
        <v>984</v>
      </c>
      <c r="G1895" s="28"/>
      <c r="X1895" s="40"/>
      <c r="Y1895" s="40"/>
    </row>
    <row r="1896" spans="5:25" x14ac:dyDescent="0.35">
      <c r="E1896" t="s">
        <v>203</v>
      </c>
      <c r="F1896" t="s">
        <v>801</v>
      </c>
      <c r="G1896" s="28"/>
      <c r="X1896" s="40"/>
      <c r="Y1896" s="40"/>
    </row>
    <row r="1897" spans="5:25" x14ac:dyDescent="0.35">
      <c r="E1897" t="s">
        <v>203</v>
      </c>
      <c r="F1897" t="s">
        <v>987</v>
      </c>
      <c r="G1897" s="28"/>
      <c r="X1897" s="40"/>
      <c r="Y1897" s="40"/>
    </row>
    <row r="1898" spans="5:25" x14ac:dyDescent="0.35">
      <c r="E1898" t="s">
        <v>203</v>
      </c>
      <c r="F1898" t="s">
        <v>1506</v>
      </c>
      <c r="G1898" s="28"/>
      <c r="X1898" s="40"/>
      <c r="Y1898" s="40"/>
    </row>
    <row r="1899" spans="5:25" x14ac:dyDescent="0.35">
      <c r="E1899" t="s">
        <v>203</v>
      </c>
      <c r="F1899" t="s">
        <v>734</v>
      </c>
      <c r="G1899" s="28"/>
      <c r="X1899" s="40"/>
      <c r="Y1899" s="40"/>
    </row>
    <row r="1900" spans="5:25" x14ac:dyDescent="0.35">
      <c r="E1900" t="s">
        <v>203</v>
      </c>
      <c r="F1900" t="s">
        <v>1507</v>
      </c>
      <c r="G1900" s="28"/>
      <c r="X1900" s="40"/>
      <c r="Y1900" s="40"/>
    </row>
    <row r="1901" spans="5:25" x14ac:dyDescent="0.35">
      <c r="E1901" t="s">
        <v>203</v>
      </c>
      <c r="F1901" t="s">
        <v>841</v>
      </c>
      <c r="G1901" s="28"/>
      <c r="X1901" s="40"/>
      <c r="Y1901" s="40"/>
    </row>
    <row r="1902" spans="5:25" x14ac:dyDescent="0.35">
      <c r="E1902" t="s">
        <v>203</v>
      </c>
      <c r="F1902" t="s">
        <v>394</v>
      </c>
      <c r="G1902" s="28"/>
      <c r="X1902" s="40"/>
      <c r="Y1902" s="40"/>
    </row>
    <row r="1903" spans="5:25" x14ac:dyDescent="0.35">
      <c r="E1903" t="s">
        <v>203</v>
      </c>
      <c r="F1903" t="s">
        <v>745</v>
      </c>
      <c r="G1903" s="28"/>
      <c r="X1903" s="40"/>
      <c r="Y1903" s="40"/>
    </row>
    <row r="1904" spans="5:25" x14ac:dyDescent="0.35">
      <c r="E1904" t="s">
        <v>203</v>
      </c>
      <c r="F1904" t="s">
        <v>746</v>
      </c>
      <c r="G1904" s="28"/>
      <c r="X1904" s="40"/>
      <c r="Y1904" s="40"/>
    </row>
    <row r="1905" spans="5:25" x14ac:dyDescent="0.35">
      <c r="E1905" t="s">
        <v>203</v>
      </c>
      <c r="F1905" t="s">
        <v>747</v>
      </c>
      <c r="G1905" s="28"/>
      <c r="X1905" s="40"/>
      <c r="Y1905" s="40"/>
    </row>
    <row r="1906" spans="5:25" x14ac:dyDescent="0.35">
      <c r="E1906" t="s">
        <v>203</v>
      </c>
      <c r="F1906" t="s">
        <v>1134</v>
      </c>
      <c r="G1906" s="28"/>
      <c r="X1906" s="40"/>
      <c r="Y1906" s="40"/>
    </row>
    <row r="1907" spans="5:25" x14ac:dyDescent="0.35">
      <c r="E1907" t="s">
        <v>204</v>
      </c>
      <c r="F1907" t="s">
        <v>1508</v>
      </c>
      <c r="G1907" s="28"/>
      <c r="X1907" s="40"/>
      <c r="Y1907" s="40"/>
    </row>
    <row r="1908" spans="5:25" x14ac:dyDescent="0.35">
      <c r="E1908" t="s">
        <v>204</v>
      </c>
      <c r="F1908" t="s">
        <v>403</v>
      </c>
      <c r="G1908" s="28"/>
      <c r="X1908" s="40"/>
      <c r="Y1908" s="40"/>
    </row>
    <row r="1909" spans="5:25" x14ac:dyDescent="0.35">
      <c r="E1909" t="s">
        <v>204</v>
      </c>
      <c r="F1909" t="s">
        <v>1509</v>
      </c>
      <c r="G1909" s="28"/>
      <c r="X1909" s="40"/>
      <c r="Y1909" s="40"/>
    </row>
    <row r="1910" spans="5:25" x14ac:dyDescent="0.35">
      <c r="E1910" t="s">
        <v>204</v>
      </c>
      <c r="F1910" t="s">
        <v>1510</v>
      </c>
      <c r="G1910" s="28"/>
      <c r="X1910" s="40"/>
      <c r="Y1910" s="40"/>
    </row>
    <row r="1911" spans="5:25" x14ac:dyDescent="0.35">
      <c r="E1911" t="s">
        <v>204</v>
      </c>
      <c r="F1911" t="s">
        <v>1511</v>
      </c>
      <c r="G1911" s="28"/>
      <c r="X1911" s="40"/>
      <c r="Y1911" s="40"/>
    </row>
    <row r="1912" spans="5:25" x14ac:dyDescent="0.35">
      <c r="E1912" t="s">
        <v>204</v>
      </c>
      <c r="F1912" t="s">
        <v>615</v>
      </c>
      <c r="G1912" s="28"/>
      <c r="X1912" s="40"/>
      <c r="Y1912" s="40"/>
    </row>
    <row r="1913" spans="5:25" x14ac:dyDescent="0.35">
      <c r="E1913" t="s">
        <v>204</v>
      </c>
      <c r="F1913" t="s">
        <v>1512</v>
      </c>
      <c r="G1913" s="28"/>
      <c r="X1913" s="40"/>
      <c r="Y1913" s="40"/>
    </row>
    <row r="1914" spans="5:25" x14ac:dyDescent="0.35">
      <c r="E1914" t="s">
        <v>204</v>
      </c>
      <c r="F1914" t="s">
        <v>1422</v>
      </c>
      <c r="G1914" s="28"/>
      <c r="X1914" s="40"/>
      <c r="Y1914" s="40"/>
    </row>
    <row r="1915" spans="5:25" x14ac:dyDescent="0.35">
      <c r="E1915" t="s">
        <v>204</v>
      </c>
      <c r="F1915" t="s">
        <v>1513</v>
      </c>
      <c r="G1915" s="28"/>
      <c r="X1915" s="40"/>
      <c r="Y1915" s="40"/>
    </row>
    <row r="1916" spans="5:25" x14ac:dyDescent="0.35">
      <c r="E1916" t="s">
        <v>204</v>
      </c>
      <c r="F1916" t="s">
        <v>920</v>
      </c>
      <c r="G1916" s="28"/>
      <c r="X1916" s="40"/>
      <c r="Y1916" s="40"/>
    </row>
    <row r="1917" spans="5:25" x14ac:dyDescent="0.35">
      <c r="E1917" t="s">
        <v>205</v>
      </c>
      <c r="F1917" t="s">
        <v>1514</v>
      </c>
      <c r="G1917" s="28"/>
      <c r="X1917" s="40"/>
      <c r="Y1917" s="40"/>
    </row>
    <row r="1918" spans="5:25" x14ac:dyDescent="0.35">
      <c r="E1918" t="s">
        <v>205</v>
      </c>
      <c r="F1918" t="s">
        <v>1515</v>
      </c>
      <c r="G1918" s="28"/>
      <c r="X1918" s="40"/>
      <c r="Y1918" s="40"/>
    </row>
    <row r="1919" spans="5:25" x14ac:dyDescent="0.35">
      <c r="E1919" t="s">
        <v>205</v>
      </c>
      <c r="F1919" t="s">
        <v>1516</v>
      </c>
      <c r="G1919" s="28"/>
      <c r="X1919" s="40"/>
      <c r="Y1919" s="40"/>
    </row>
    <row r="1920" spans="5:25" x14ac:dyDescent="0.35">
      <c r="E1920" t="s">
        <v>205</v>
      </c>
      <c r="F1920" t="s">
        <v>658</v>
      </c>
      <c r="G1920" s="28"/>
      <c r="X1920" s="40"/>
      <c r="Y1920" s="40"/>
    </row>
    <row r="1921" spans="5:25" x14ac:dyDescent="0.35">
      <c r="E1921" t="s">
        <v>205</v>
      </c>
      <c r="F1921" t="s">
        <v>1517</v>
      </c>
      <c r="G1921" s="28"/>
      <c r="X1921" s="40"/>
      <c r="Y1921" s="40"/>
    </row>
    <row r="1922" spans="5:25" x14ac:dyDescent="0.35">
      <c r="E1922" t="s">
        <v>205</v>
      </c>
      <c r="F1922" t="s">
        <v>849</v>
      </c>
      <c r="G1922" s="28"/>
      <c r="X1922" s="40"/>
      <c r="Y1922" s="40"/>
    </row>
    <row r="1923" spans="5:25" x14ac:dyDescent="0.35">
      <c r="E1923" t="s">
        <v>205</v>
      </c>
      <c r="F1923" t="s">
        <v>1102</v>
      </c>
      <c r="G1923" s="28"/>
      <c r="X1923" s="40"/>
      <c r="Y1923" s="40"/>
    </row>
    <row r="1924" spans="5:25" x14ac:dyDescent="0.35">
      <c r="E1924" t="s">
        <v>205</v>
      </c>
      <c r="F1924" t="s">
        <v>1518</v>
      </c>
      <c r="G1924" s="28"/>
      <c r="X1924" s="40"/>
      <c r="Y1924" s="40"/>
    </row>
    <row r="1925" spans="5:25" x14ac:dyDescent="0.35">
      <c r="E1925" t="s">
        <v>205</v>
      </c>
      <c r="F1925" t="s">
        <v>1519</v>
      </c>
      <c r="G1925" s="28"/>
      <c r="X1925" s="40"/>
      <c r="Y1925" s="40"/>
    </row>
    <row r="1926" spans="5:25" x14ac:dyDescent="0.35">
      <c r="E1926" t="s">
        <v>205</v>
      </c>
      <c r="F1926" t="s">
        <v>1520</v>
      </c>
      <c r="G1926" s="28"/>
      <c r="X1926" s="40"/>
      <c r="Y1926" s="40"/>
    </row>
    <row r="1927" spans="5:25" x14ac:dyDescent="0.35">
      <c r="E1927" t="s">
        <v>205</v>
      </c>
      <c r="F1927" t="s">
        <v>873</v>
      </c>
      <c r="G1927" s="28"/>
      <c r="X1927" s="40"/>
      <c r="Y1927" s="40"/>
    </row>
    <row r="1928" spans="5:25" x14ac:dyDescent="0.35">
      <c r="E1928" t="s">
        <v>205</v>
      </c>
      <c r="F1928" t="s">
        <v>584</v>
      </c>
      <c r="G1928" s="28"/>
      <c r="X1928" s="40"/>
      <c r="Y1928" s="40"/>
    </row>
    <row r="1929" spans="5:25" x14ac:dyDescent="0.35">
      <c r="E1929" t="s">
        <v>205</v>
      </c>
      <c r="F1929" t="s">
        <v>1521</v>
      </c>
      <c r="G1929" s="28"/>
      <c r="X1929" s="40"/>
      <c r="Y1929" s="40"/>
    </row>
    <row r="1930" spans="5:25" x14ac:dyDescent="0.35">
      <c r="E1930" t="s">
        <v>205</v>
      </c>
      <c r="F1930" t="s">
        <v>963</v>
      </c>
      <c r="G1930" s="28"/>
      <c r="X1930" s="40"/>
      <c r="Y1930" s="40"/>
    </row>
    <row r="1931" spans="5:25" x14ac:dyDescent="0.35">
      <c r="E1931" t="s">
        <v>205</v>
      </c>
      <c r="F1931" t="s">
        <v>1522</v>
      </c>
      <c r="G1931" s="28"/>
      <c r="X1931" s="40"/>
      <c r="Y1931" s="40"/>
    </row>
    <row r="1932" spans="5:25" x14ac:dyDescent="0.35">
      <c r="E1932" t="s">
        <v>205</v>
      </c>
      <c r="F1932" t="s">
        <v>1523</v>
      </c>
      <c r="G1932" s="28"/>
      <c r="X1932" s="40"/>
      <c r="Y1932" s="40"/>
    </row>
    <row r="1933" spans="5:25" x14ac:dyDescent="0.35">
      <c r="E1933" t="s">
        <v>205</v>
      </c>
      <c r="F1933" t="s">
        <v>1524</v>
      </c>
      <c r="G1933" s="28"/>
      <c r="X1933" s="40"/>
      <c r="Y1933" s="40"/>
    </row>
    <row r="1934" spans="5:25" x14ac:dyDescent="0.35">
      <c r="E1934" t="s">
        <v>205</v>
      </c>
      <c r="F1934" t="s">
        <v>1124</v>
      </c>
      <c r="G1934" s="28"/>
      <c r="X1934" s="40"/>
      <c r="Y1934" s="40"/>
    </row>
    <row r="1935" spans="5:25" x14ac:dyDescent="0.35">
      <c r="E1935" t="s">
        <v>205</v>
      </c>
      <c r="F1935" t="s">
        <v>592</v>
      </c>
      <c r="G1935" s="28"/>
      <c r="X1935" s="40"/>
      <c r="Y1935" s="40"/>
    </row>
    <row r="1936" spans="5:25" x14ac:dyDescent="0.35">
      <c r="E1936" t="s">
        <v>205</v>
      </c>
      <c r="F1936" t="s">
        <v>449</v>
      </c>
      <c r="G1936" s="28"/>
      <c r="X1936" s="40"/>
      <c r="Y1936" s="40"/>
    </row>
    <row r="1937" spans="5:25" x14ac:dyDescent="0.35">
      <c r="E1937" t="s">
        <v>205</v>
      </c>
      <c r="F1937" t="s">
        <v>744</v>
      </c>
      <c r="G1937" s="28"/>
      <c r="X1937" s="40"/>
      <c r="Y1937" s="40"/>
    </row>
    <row r="1938" spans="5:25" x14ac:dyDescent="0.35">
      <c r="E1938" t="s">
        <v>206</v>
      </c>
      <c r="F1938" t="s">
        <v>1525</v>
      </c>
      <c r="G1938" s="28"/>
      <c r="X1938" s="40"/>
      <c r="Y1938" s="40"/>
    </row>
    <row r="1939" spans="5:25" x14ac:dyDescent="0.35">
      <c r="E1939" t="s">
        <v>206</v>
      </c>
      <c r="F1939" t="s">
        <v>1526</v>
      </c>
      <c r="G1939" s="28"/>
      <c r="X1939" s="40"/>
      <c r="Y1939" s="40"/>
    </row>
    <row r="1940" spans="5:25" x14ac:dyDescent="0.35">
      <c r="E1940" t="s">
        <v>206</v>
      </c>
      <c r="F1940" t="s">
        <v>1527</v>
      </c>
      <c r="G1940" s="28"/>
      <c r="X1940" s="40"/>
      <c r="Y1940" s="40"/>
    </row>
    <row r="1941" spans="5:25" x14ac:dyDescent="0.35">
      <c r="E1941" t="s">
        <v>206</v>
      </c>
      <c r="F1941" t="s">
        <v>1528</v>
      </c>
      <c r="G1941" s="28"/>
      <c r="X1941" s="40"/>
      <c r="Y1941" s="40"/>
    </row>
    <row r="1942" spans="5:25" x14ac:dyDescent="0.35">
      <c r="E1942" t="s">
        <v>206</v>
      </c>
      <c r="F1942" t="s">
        <v>1475</v>
      </c>
      <c r="G1942" s="28"/>
      <c r="X1942" s="40"/>
      <c r="Y1942" s="40"/>
    </row>
    <row r="1943" spans="5:25" x14ac:dyDescent="0.35">
      <c r="E1943" t="s">
        <v>206</v>
      </c>
      <c r="F1943" t="s">
        <v>1529</v>
      </c>
      <c r="G1943" s="28"/>
      <c r="X1943" s="40"/>
      <c r="Y1943" s="40"/>
    </row>
    <row r="1944" spans="5:25" x14ac:dyDescent="0.35">
      <c r="E1944" t="s">
        <v>206</v>
      </c>
      <c r="F1944" t="s">
        <v>1530</v>
      </c>
      <c r="G1944" s="28"/>
      <c r="X1944" s="40"/>
      <c r="Y1944" s="40"/>
    </row>
    <row r="1945" spans="5:25" x14ac:dyDescent="0.35">
      <c r="E1945" t="s">
        <v>206</v>
      </c>
      <c r="F1945" t="s">
        <v>1531</v>
      </c>
      <c r="G1945" s="28"/>
      <c r="X1945" s="40"/>
      <c r="Y1945" s="40"/>
    </row>
    <row r="1946" spans="5:25" x14ac:dyDescent="0.35">
      <c r="E1946" t="s">
        <v>206</v>
      </c>
      <c r="F1946" t="s">
        <v>1446</v>
      </c>
      <c r="G1946" s="28"/>
      <c r="X1946" s="40"/>
      <c r="Y1946" s="40"/>
    </row>
    <row r="1947" spans="5:25" x14ac:dyDescent="0.35">
      <c r="E1947" t="s">
        <v>206</v>
      </c>
      <c r="F1947" t="s">
        <v>418</v>
      </c>
      <c r="G1947" s="28"/>
      <c r="X1947" s="40"/>
      <c r="Y1947" s="40"/>
    </row>
    <row r="1948" spans="5:25" x14ac:dyDescent="0.35">
      <c r="E1948" t="s">
        <v>206</v>
      </c>
      <c r="F1948" t="s">
        <v>1532</v>
      </c>
      <c r="G1948" s="28"/>
      <c r="X1948" s="40"/>
      <c r="Y1948" s="40"/>
    </row>
    <row r="1949" spans="5:25" x14ac:dyDescent="0.35">
      <c r="E1949" t="s">
        <v>206</v>
      </c>
      <c r="F1949" t="s">
        <v>1533</v>
      </c>
      <c r="G1949" s="28"/>
      <c r="X1949" s="40"/>
      <c r="Y1949" s="40"/>
    </row>
    <row r="1950" spans="5:25" x14ac:dyDescent="0.35">
      <c r="E1950" t="s">
        <v>206</v>
      </c>
      <c r="F1950" t="s">
        <v>1534</v>
      </c>
      <c r="G1950" s="28"/>
      <c r="X1950" s="40"/>
      <c r="Y1950" s="40"/>
    </row>
    <row r="1951" spans="5:25" x14ac:dyDescent="0.35">
      <c r="E1951" t="s">
        <v>206</v>
      </c>
      <c r="F1951" t="s">
        <v>1535</v>
      </c>
      <c r="G1951" s="28"/>
      <c r="X1951" s="40"/>
      <c r="Y1951" s="40"/>
    </row>
    <row r="1952" spans="5:25" x14ac:dyDescent="0.35">
      <c r="E1952" t="s">
        <v>206</v>
      </c>
      <c r="F1952" t="s">
        <v>426</v>
      </c>
      <c r="G1952" s="28"/>
      <c r="X1952" s="40"/>
      <c r="Y1952" s="40"/>
    </row>
    <row r="1953" spans="5:25" x14ac:dyDescent="0.35">
      <c r="E1953" t="s">
        <v>206</v>
      </c>
      <c r="F1953" t="s">
        <v>1536</v>
      </c>
      <c r="G1953" s="28"/>
      <c r="X1953" s="40"/>
      <c r="Y1953" s="40"/>
    </row>
    <row r="1954" spans="5:25" x14ac:dyDescent="0.35">
      <c r="E1954" t="s">
        <v>206</v>
      </c>
      <c r="F1954" t="s">
        <v>1537</v>
      </c>
      <c r="G1954" s="28"/>
      <c r="X1954" s="40"/>
      <c r="Y1954" s="40"/>
    </row>
    <row r="1955" spans="5:25" x14ac:dyDescent="0.35">
      <c r="E1955" t="s">
        <v>206</v>
      </c>
      <c r="F1955" t="s">
        <v>1538</v>
      </c>
      <c r="G1955" s="28"/>
      <c r="X1955" s="40"/>
      <c r="Y1955" s="40"/>
    </row>
    <row r="1956" spans="5:25" x14ac:dyDescent="0.35">
      <c r="E1956" t="s">
        <v>206</v>
      </c>
      <c r="F1956" t="s">
        <v>1539</v>
      </c>
      <c r="G1956" s="28"/>
      <c r="X1956" s="40"/>
      <c r="Y1956" s="40"/>
    </row>
    <row r="1957" spans="5:25" x14ac:dyDescent="0.35">
      <c r="E1957" t="s">
        <v>206</v>
      </c>
      <c r="F1957" t="s">
        <v>565</v>
      </c>
      <c r="G1957" s="28"/>
      <c r="X1957" s="40"/>
      <c r="Y1957" s="40"/>
    </row>
    <row r="1958" spans="5:25" x14ac:dyDescent="0.35">
      <c r="E1958" t="s">
        <v>206</v>
      </c>
      <c r="F1958" t="s">
        <v>1540</v>
      </c>
      <c r="G1958" s="28"/>
      <c r="X1958" s="40"/>
      <c r="Y1958" s="40"/>
    </row>
    <row r="1959" spans="5:25" x14ac:dyDescent="0.35">
      <c r="E1959" t="s">
        <v>206</v>
      </c>
      <c r="F1959" t="s">
        <v>1541</v>
      </c>
      <c r="G1959" s="28"/>
      <c r="X1959" s="40"/>
      <c r="Y1959" s="40"/>
    </row>
    <row r="1960" spans="5:25" x14ac:dyDescent="0.35">
      <c r="E1960" t="s">
        <v>206</v>
      </c>
      <c r="F1960" t="s">
        <v>1360</v>
      </c>
      <c r="G1960" s="28"/>
      <c r="X1960" s="40"/>
      <c r="Y1960" s="40"/>
    </row>
    <row r="1961" spans="5:25" x14ac:dyDescent="0.35">
      <c r="E1961" t="s">
        <v>206</v>
      </c>
      <c r="F1961" t="s">
        <v>575</v>
      </c>
      <c r="G1961" s="28"/>
      <c r="X1961" s="40"/>
      <c r="Y1961" s="40"/>
    </row>
    <row r="1962" spans="5:25" x14ac:dyDescent="0.35">
      <c r="E1962" t="s">
        <v>206</v>
      </c>
      <c r="F1962" t="s">
        <v>576</v>
      </c>
      <c r="G1962" s="28"/>
      <c r="X1962" s="40"/>
      <c r="Y1962" s="40"/>
    </row>
    <row r="1963" spans="5:25" x14ac:dyDescent="0.35">
      <c r="E1963" t="s">
        <v>206</v>
      </c>
      <c r="F1963" t="s">
        <v>1542</v>
      </c>
      <c r="G1963" s="28"/>
      <c r="X1963" s="40"/>
      <c r="Y1963" s="40"/>
    </row>
    <row r="1964" spans="5:25" x14ac:dyDescent="0.35">
      <c r="E1964" t="s">
        <v>206</v>
      </c>
      <c r="F1964" t="s">
        <v>1543</v>
      </c>
      <c r="G1964" s="28"/>
      <c r="X1964" s="40"/>
      <c r="Y1964" s="40"/>
    </row>
    <row r="1965" spans="5:25" x14ac:dyDescent="0.35">
      <c r="E1965" t="s">
        <v>206</v>
      </c>
      <c r="F1965" t="s">
        <v>513</v>
      </c>
      <c r="G1965" s="28"/>
      <c r="X1965" s="40"/>
      <c r="Y1965" s="40"/>
    </row>
    <row r="1966" spans="5:25" x14ac:dyDescent="0.35">
      <c r="E1966" t="s">
        <v>206</v>
      </c>
      <c r="F1966" t="s">
        <v>1544</v>
      </c>
      <c r="G1966" s="28"/>
      <c r="X1966" s="40"/>
      <c r="Y1966" s="40"/>
    </row>
    <row r="1967" spans="5:25" x14ac:dyDescent="0.35">
      <c r="E1967" t="s">
        <v>206</v>
      </c>
      <c r="F1967" t="s">
        <v>1545</v>
      </c>
      <c r="G1967" s="28"/>
      <c r="X1967" s="40"/>
      <c r="Y1967" s="40"/>
    </row>
    <row r="1968" spans="5:25" x14ac:dyDescent="0.35">
      <c r="E1968" t="s">
        <v>206</v>
      </c>
      <c r="F1968" t="s">
        <v>1546</v>
      </c>
      <c r="G1968" s="28"/>
      <c r="X1968" s="40"/>
      <c r="Y1968" s="40"/>
    </row>
    <row r="1969" spans="5:25" x14ac:dyDescent="0.35">
      <c r="E1969" t="s">
        <v>206</v>
      </c>
      <c r="F1969" t="s">
        <v>449</v>
      </c>
      <c r="G1969" s="28"/>
      <c r="X1969" s="40"/>
      <c r="Y1969" s="40"/>
    </row>
    <row r="1970" spans="5:25" x14ac:dyDescent="0.35">
      <c r="E1970" t="s">
        <v>206</v>
      </c>
      <c r="F1970" t="s">
        <v>1547</v>
      </c>
      <c r="G1970" s="28"/>
      <c r="X1970" s="40"/>
      <c r="Y1970" s="40"/>
    </row>
    <row r="1971" spans="5:25" x14ac:dyDescent="0.35">
      <c r="E1971" t="s">
        <v>207</v>
      </c>
      <c r="F1971" t="s">
        <v>1548</v>
      </c>
      <c r="G1971" s="28"/>
      <c r="X1971" s="40"/>
      <c r="Y1971" s="40"/>
    </row>
    <row r="1972" spans="5:25" x14ac:dyDescent="0.35">
      <c r="E1972" t="s">
        <v>207</v>
      </c>
      <c r="F1972" t="s">
        <v>1549</v>
      </c>
      <c r="G1972" s="28"/>
      <c r="X1972" s="40"/>
      <c r="Y1972" s="40"/>
    </row>
    <row r="1973" spans="5:25" x14ac:dyDescent="0.35">
      <c r="E1973" t="s">
        <v>207</v>
      </c>
      <c r="F1973" t="s">
        <v>405</v>
      </c>
      <c r="G1973" s="28"/>
      <c r="X1973" s="40"/>
      <c r="Y1973" s="40"/>
    </row>
    <row r="1974" spans="5:25" x14ac:dyDescent="0.35">
      <c r="E1974" t="s">
        <v>207</v>
      </c>
      <c r="F1974" t="s">
        <v>544</v>
      </c>
      <c r="G1974" s="28"/>
      <c r="X1974" s="40"/>
      <c r="Y1974" s="40"/>
    </row>
    <row r="1975" spans="5:25" x14ac:dyDescent="0.35">
      <c r="E1975" t="s">
        <v>207</v>
      </c>
      <c r="F1975" t="s">
        <v>1550</v>
      </c>
      <c r="G1975" s="28"/>
      <c r="X1975" s="40"/>
      <c r="Y1975" s="40"/>
    </row>
    <row r="1976" spans="5:25" x14ac:dyDescent="0.35">
      <c r="E1976" t="s">
        <v>207</v>
      </c>
      <c r="F1976" t="s">
        <v>1551</v>
      </c>
      <c r="G1976" s="28"/>
      <c r="X1976" s="40"/>
      <c r="Y1976" s="40"/>
    </row>
    <row r="1977" spans="5:25" x14ac:dyDescent="0.35">
      <c r="E1977" t="s">
        <v>207</v>
      </c>
      <c r="F1977" t="s">
        <v>1552</v>
      </c>
      <c r="G1977" s="28"/>
      <c r="X1977" s="40"/>
      <c r="Y1977" s="40"/>
    </row>
    <row r="1978" spans="5:25" x14ac:dyDescent="0.35">
      <c r="E1978" t="s">
        <v>207</v>
      </c>
      <c r="F1978" t="s">
        <v>481</v>
      </c>
      <c r="G1978" s="28"/>
      <c r="X1978" s="40"/>
      <c r="Y1978" s="40"/>
    </row>
    <row r="1979" spans="5:25" x14ac:dyDescent="0.35">
      <c r="E1979" t="s">
        <v>207</v>
      </c>
      <c r="F1979" t="s">
        <v>1553</v>
      </c>
      <c r="G1979" s="28"/>
      <c r="X1979" s="40"/>
      <c r="Y1979" s="40"/>
    </row>
    <row r="1980" spans="5:25" x14ac:dyDescent="0.35">
      <c r="E1980" t="s">
        <v>207</v>
      </c>
      <c r="F1980" t="s">
        <v>426</v>
      </c>
      <c r="G1980" s="28"/>
      <c r="X1980" s="40"/>
      <c r="Y1980" s="40"/>
    </row>
    <row r="1981" spans="5:25" x14ac:dyDescent="0.35">
      <c r="E1981" t="s">
        <v>207</v>
      </c>
      <c r="F1981" t="s">
        <v>787</v>
      </c>
      <c r="G1981" s="28"/>
      <c r="X1981" s="40"/>
      <c r="Y1981" s="40"/>
    </row>
    <row r="1982" spans="5:25" x14ac:dyDescent="0.35">
      <c r="E1982" t="s">
        <v>207</v>
      </c>
      <c r="F1982" t="s">
        <v>561</v>
      </c>
      <c r="G1982" s="28"/>
      <c r="X1982" s="40"/>
      <c r="Y1982" s="40"/>
    </row>
    <row r="1983" spans="5:25" x14ac:dyDescent="0.35">
      <c r="E1983" t="s">
        <v>207</v>
      </c>
      <c r="F1983" t="s">
        <v>1554</v>
      </c>
      <c r="G1983" s="28"/>
      <c r="X1983" s="40"/>
      <c r="Y1983" s="40"/>
    </row>
    <row r="1984" spans="5:25" x14ac:dyDescent="0.35">
      <c r="E1984" t="s">
        <v>207</v>
      </c>
      <c r="F1984" t="s">
        <v>1555</v>
      </c>
      <c r="G1984" s="28"/>
      <c r="X1984" s="40"/>
      <c r="Y1984" s="40"/>
    </row>
    <row r="1985" spans="5:25" x14ac:dyDescent="0.35">
      <c r="E1985" t="s">
        <v>207</v>
      </c>
      <c r="F1985" t="s">
        <v>1556</v>
      </c>
      <c r="G1985" s="28"/>
      <c r="X1985" s="40"/>
      <c r="Y1985" s="40"/>
    </row>
    <row r="1986" spans="5:25" x14ac:dyDescent="0.35">
      <c r="E1986" t="s">
        <v>207</v>
      </c>
      <c r="F1986" t="s">
        <v>1557</v>
      </c>
      <c r="G1986" s="28"/>
      <c r="X1986" s="40"/>
      <c r="Y1986" s="40"/>
    </row>
    <row r="1987" spans="5:25" x14ac:dyDescent="0.35">
      <c r="E1987" t="s">
        <v>207</v>
      </c>
      <c r="F1987" t="s">
        <v>1558</v>
      </c>
      <c r="G1987" s="28"/>
      <c r="X1987" s="40"/>
      <c r="Y1987" s="40"/>
    </row>
    <row r="1988" spans="5:25" x14ac:dyDescent="0.35">
      <c r="E1988" t="s">
        <v>208</v>
      </c>
      <c r="F1988" t="s">
        <v>1559</v>
      </c>
      <c r="G1988" s="28"/>
      <c r="X1988" s="40"/>
      <c r="Y1988" s="40"/>
    </row>
    <row r="1989" spans="5:25" x14ac:dyDescent="0.35">
      <c r="E1989" t="s">
        <v>208</v>
      </c>
      <c r="F1989" t="s">
        <v>1109</v>
      </c>
      <c r="G1989" s="28"/>
      <c r="X1989" s="40"/>
      <c r="Y1989" s="40"/>
    </row>
    <row r="1990" spans="5:25" x14ac:dyDescent="0.35">
      <c r="E1990" t="s">
        <v>208</v>
      </c>
      <c r="F1990" t="s">
        <v>1560</v>
      </c>
      <c r="G1990" s="28"/>
      <c r="X1990" s="40"/>
      <c r="Y1990" s="40"/>
    </row>
    <row r="1991" spans="5:25" x14ac:dyDescent="0.35">
      <c r="E1991" t="s">
        <v>208</v>
      </c>
      <c r="F1991" t="s">
        <v>1561</v>
      </c>
      <c r="G1991" s="28"/>
      <c r="X1991" s="40"/>
      <c r="Y1991" s="40"/>
    </row>
    <row r="1992" spans="5:25" x14ac:dyDescent="0.35">
      <c r="E1992" t="s">
        <v>208</v>
      </c>
      <c r="F1992" t="s">
        <v>1562</v>
      </c>
      <c r="G1992" s="28"/>
      <c r="X1992" s="40"/>
      <c r="Y1992" s="40"/>
    </row>
    <row r="1993" spans="5:25" x14ac:dyDescent="0.35">
      <c r="E1993" t="s">
        <v>208</v>
      </c>
      <c r="F1993" t="s">
        <v>1563</v>
      </c>
      <c r="G1993" s="28"/>
      <c r="X1993" s="40"/>
      <c r="Y1993" s="40"/>
    </row>
    <row r="1994" spans="5:25" x14ac:dyDescent="0.35">
      <c r="E1994" t="s">
        <v>208</v>
      </c>
      <c r="F1994" t="s">
        <v>936</v>
      </c>
      <c r="G1994" s="28"/>
      <c r="X1994" s="40"/>
      <c r="Y1994" s="40"/>
    </row>
    <row r="1995" spans="5:25" x14ac:dyDescent="0.35">
      <c r="E1995" t="s">
        <v>208</v>
      </c>
      <c r="F1995" t="s">
        <v>1564</v>
      </c>
      <c r="G1995" s="28"/>
      <c r="X1995" s="40"/>
      <c r="Y1995" s="40"/>
    </row>
    <row r="1996" spans="5:25" x14ac:dyDescent="0.35">
      <c r="E1996" t="s">
        <v>208</v>
      </c>
      <c r="F1996" t="s">
        <v>1565</v>
      </c>
      <c r="G1996" s="28"/>
      <c r="X1996" s="40"/>
      <c r="Y1996" s="40"/>
    </row>
    <row r="1997" spans="5:25" x14ac:dyDescent="0.35">
      <c r="E1997" t="s">
        <v>208</v>
      </c>
      <c r="F1997" t="s">
        <v>769</v>
      </c>
      <c r="G1997" s="28"/>
      <c r="X1997" s="40"/>
      <c r="Y1997" s="40"/>
    </row>
    <row r="1998" spans="5:25" x14ac:dyDescent="0.35">
      <c r="E1998" t="s">
        <v>208</v>
      </c>
      <c r="F1998" t="s">
        <v>407</v>
      </c>
      <c r="G1998" s="28"/>
      <c r="X1998" s="40"/>
      <c r="Y1998" s="40"/>
    </row>
    <row r="1999" spans="5:25" x14ac:dyDescent="0.35">
      <c r="E1999" t="s">
        <v>208</v>
      </c>
      <c r="F1999" t="s">
        <v>1566</v>
      </c>
      <c r="G1999" s="28"/>
      <c r="X1999" s="40"/>
      <c r="Y1999" s="40"/>
    </row>
    <row r="2000" spans="5:25" x14ac:dyDescent="0.35">
      <c r="E2000" t="s">
        <v>208</v>
      </c>
      <c r="F2000" t="s">
        <v>771</v>
      </c>
      <c r="G2000" s="28"/>
      <c r="X2000" s="40"/>
      <c r="Y2000" s="40"/>
    </row>
    <row r="2001" spans="5:25" x14ac:dyDescent="0.35">
      <c r="E2001" t="s">
        <v>208</v>
      </c>
      <c r="F2001" t="s">
        <v>1567</v>
      </c>
      <c r="G2001" s="28"/>
      <c r="X2001" s="40"/>
      <c r="Y2001" s="40"/>
    </row>
    <row r="2002" spans="5:25" x14ac:dyDescent="0.35">
      <c r="E2002" t="s">
        <v>208</v>
      </c>
      <c r="F2002" t="s">
        <v>1568</v>
      </c>
      <c r="G2002" s="28"/>
      <c r="X2002" s="40"/>
      <c r="Y2002" s="40"/>
    </row>
    <row r="2003" spans="5:25" x14ac:dyDescent="0.35">
      <c r="E2003" t="s">
        <v>208</v>
      </c>
      <c r="F2003" t="s">
        <v>1102</v>
      </c>
      <c r="G2003" s="28"/>
      <c r="X2003" s="40"/>
      <c r="Y2003" s="40"/>
    </row>
    <row r="2004" spans="5:25" x14ac:dyDescent="0.35">
      <c r="E2004" t="s">
        <v>208</v>
      </c>
      <c r="F2004" t="s">
        <v>359</v>
      </c>
      <c r="G2004" s="28"/>
      <c r="X2004" s="40"/>
      <c r="Y2004" s="40"/>
    </row>
    <row r="2005" spans="5:25" x14ac:dyDescent="0.35">
      <c r="E2005" t="s">
        <v>208</v>
      </c>
      <c r="F2005" t="s">
        <v>416</v>
      </c>
      <c r="G2005" s="28"/>
      <c r="X2005" s="40"/>
      <c r="Y2005" s="40"/>
    </row>
    <row r="2006" spans="5:25" x14ac:dyDescent="0.35">
      <c r="E2006" t="s">
        <v>208</v>
      </c>
      <c r="F2006" t="s">
        <v>1151</v>
      </c>
      <c r="G2006" s="28"/>
      <c r="X2006" s="40"/>
      <c r="Y2006" s="40"/>
    </row>
    <row r="2007" spans="5:25" x14ac:dyDescent="0.35">
      <c r="E2007" t="s">
        <v>208</v>
      </c>
      <c r="F2007" t="s">
        <v>361</v>
      </c>
      <c r="G2007" s="28"/>
      <c r="X2007" s="40"/>
      <c r="Y2007" s="40"/>
    </row>
    <row r="2008" spans="5:25" x14ac:dyDescent="0.35">
      <c r="E2008" t="s">
        <v>208</v>
      </c>
      <c r="F2008" t="s">
        <v>610</v>
      </c>
      <c r="G2008" s="28"/>
      <c r="X2008" s="40"/>
      <c r="Y2008" s="40"/>
    </row>
    <row r="2009" spans="5:25" x14ac:dyDescent="0.35">
      <c r="E2009" t="s">
        <v>208</v>
      </c>
      <c r="F2009" t="s">
        <v>1569</v>
      </c>
      <c r="G2009" s="28"/>
      <c r="X2009" s="40"/>
      <c r="Y2009" s="40"/>
    </row>
    <row r="2010" spans="5:25" x14ac:dyDescent="0.35">
      <c r="E2010" t="s">
        <v>208</v>
      </c>
      <c r="F2010" t="s">
        <v>366</v>
      </c>
      <c r="G2010" s="28"/>
      <c r="X2010" s="40"/>
      <c r="Y2010" s="40"/>
    </row>
    <row r="2011" spans="5:25" x14ac:dyDescent="0.35">
      <c r="E2011" t="s">
        <v>208</v>
      </c>
      <c r="F2011" t="s">
        <v>485</v>
      </c>
      <c r="G2011" s="28"/>
      <c r="X2011" s="40"/>
      <c r="Y2011" s="40"/>
    </row>
    <row r="2012" spans="5:25" x14ac:dyDescent="0.35">
      <c r="E2012" t="s">
        <v>208</v>
      </c>
      <c r="F2012" t="s">
        <v>831</v>
      </c>
      <c r="G2012" s="28"/>
      <c r="X2012" s="40"/>
      <c r="Y2012" s="40"/>
    </row>
    <row r="2013" spans="5:25" x14ac:dyDescent="0.35">
      <c r="E2013" t="s">
        <v>208</v>
      </c>
      <c r="F2013" t="s">
        <v>865</v>
      </c>
      <c r="G2013" s="28"/>
      <c r="X2013" s="40"/>
      <c r="Y2013" s="40"/>
    </row>
    <row r="2014" spans="5:25" x14ac:dyDescent="0.35">
      <c r="E2014" t="s">
        <v>208</v>
      </c>
      <c r="F2014" t="s">
        <v>374</v>
      </c>
      <c r="G2014" s="28"/>
      <c r="X2014" s="40"/>
      <c r="Y2014" s="40"/>
    </row>
    <row r="2015" spans="5:25" x14ac:dyDescent="0.35">
      <c r="E2015" t="s">
        <v>208</v>
      </c>
      <c r="F2015" t="s">
        <v>379</v>
      </c>
      <c r="G2015" s="28"/>
      <c r="X2015" s="40"/>
      <c r="Y2015" s="40"/>
    </row>
    <row r="2016" spans="5:25" x14ac:dyDescent="0.35">
      <c r="E2016" t="s">
        <v>208</v>
      </c>
      <c r="F2016" t="s">
        <v>380</v>
      </c>
      <c r="G2016" s="28"/>
      <c r="X2016" s="40"/>
      <c r="Y2016" s="40"/>
    </row>
    <row r="2017" spans="5:25" x14ac:dyDescent="0.35">
      <c r="E2017" t="s">
        <v>208</v>
      </c>
      <c r="F2017" t="s">
        <v>624</v>
      </c>
      <c r="G2017" s="28"/>
      <c r="X2017" s="40"/>
      <c r="Y2017" s="40"/>
    </row>
    <row r="2018" spans="5:25" x14ac:dyDescent="0.35">
      <c r="E2018" t="s">
        <v>208</v>
      </c>
      <c r="F2018" t="s">
        <v>1570</v>
      </c>
      <c r="G2018" s="28"/>
      <c r="X2018" s="40"/>
      <c r="Y2018" s="40"/>
    </row>
    <row r="2019" spans="5:25" x14ac:dyDescent="0.35">
      <c r="E2019" t="s">
        <v>208</v>
      </c>
      <c r="F2019" t="s">
        <v>1571</v>
      </c>
      <c r="G2019" s="28"/>
      <c r="X2019" s="40"/>
      <c r="Y2019" s="40"/>
    </row>
    <row r="2020" spans="5:25" x14ac:dyDescent="0.35">
      <c r="E2020" t="s">
        <v>208</v>
      </c>
      <c r="F2020" t="s">
        <v>834</v>
      </c>
      <c r="G2020" s="28"/>
      <c r="X2020" s="40"/>
      <c r="Y2020" s="40"/>
    </row>
    <row r="2021" spans="5:25" x14ac:dyDescent="0.35">
      <c r="E2021" t="s">
        <v>208</v>
      </c>
      <c r="F2021" t="s">
        <v>1572</v>
      </c>
      <c r="G2021" s="28"/>
      <c r="X2021" s="40"/>
      <c r="Y2021" s="40"/>
    </row>
    <row r="2022" spans="5:25" x14ac:dyDescent="0.35">
      <c r="E2022" t="s">
        <v>208</v>
      </c>
      <c r="F2022" t="s">
        <v>1573</v>
      </c>
      <c r="G2022" s="28"/>
      <c r="X2022" s="40"/>
      <c r="Y2022" s="40"/>
    </row>
    <row r="2023" spans="5:25" x14ac:dyDescent="0.35">
      <c r="E2023" t="s">
        <v>208</v>
      </c>
      <c r="F2023" t="s">
        <v>498</v>
      </c>
      <c r="G2023" s="28"/>
      <c r="X2023" s="40"/>
      <c r="Y2023" s="40"/>
    </row>
    <row r="2024" spans="5:25" x14ac:dyDescent="0.35">
      <c r="E2024" t="s">
        <v>208</v>
      </c>
      <c r="F2024" t="s">
        <v>1075</v>
      </c>
      <c r="G2024" s="28"/>
      <c r="X2024" s="40"/>
      <c r="Y2024" s="40"/>
    </row>
    <row r="2025" spans="5:25" x14ac:dyDescent="0.35">
      <c r="E2025" t="s">
        <v>208</v>
      </c>
      <c r="F2025" t="s">
        <v>1574</v>
      </c>
      <c r="G2025" s="28"/>
      <c r="X2025" s="40"/>
      <c r="Y2025" s="40"/>
    </row>
    <row r="2026" spans="5:25" x14ac:dyDescent="0.35">
      <c r="E2026" t="s">
        <v>208</v>
      </c>
      <c r="F2026" t="s">
        <v>1188</v>
      </c>
      <c r="G2026" s="28"/>
      <c r="X2026" s="40"/>
      <c r="Y2026" s="40"/>
    </row>
    <row r="2027" spans="5:25" x14ac:dyDescent="0.35">
      <c r="E2027" t="s">
        <v>208</v>
      </c>
      <c r="F2027" t="s">
        <v>631</v>
      </c>
      <c r="G2027" s="28"/>
      <c r="X2027" s="40"/>
      <c r="Y2027" s="40"/>
    </row>
    <row r="2028" spans="5:25" x14ac:dyDescent="0.35">
      <c r="E2028" t="s">
        <v>208</v>
      </c>
      <c r="F2028" t="s">
        <v>1575</v>
      </c>
      <c r="G2028" s="28"/>
      <c r="X2028" s="40"/>
      <c r="Y2028" s="40"/>
    </row>
    <row r="2029" spans="5:25" x14ac:dyDescent="0.35">
      <c r="E2029" t="s">
        <v>208</v>
      </c>
      <c r="F2029" t="s">
        <v>1576</v>
      </c>
      <c r="G2029" s="28"/>
      <c r="X2029" s="40"/>
      <c r="Y2029" s="40"/>
    </row>
    <row r="2030" spans="5:25" x14ac:dyDescent="0.35">
      <c r="E2030" t="s">
        <v>208</v>
      </c>
      <c r="F2030" t="s">
        <v>722</v>
      </c>
      <c r="G2030" s="28"/>
      <c r="X2030" s="40"/>
      <c r="Y2030" s="40"/>
    </row>
    <row r="2031" spans="5:25" x14ac:dyDescent="0.35">
      <c r="E2031" t="s">
        <v>208</v>
      </c>
      <c r="F2031" t="s">
        <v>1577</v>
      </c>
      <c r="G2031" s="28"/>
      <c r="X2031" s="40"/>
      <c r="Y2031" s="40"/>
    </row>
    <row r="2032" spans="5:25" x14ac:dyDescent="0.35">
      <c r="E2032" t="s">
        <v>208</v>
      </c>
      <c r="F2032" t="s">
        <v>1578</v>
      </c>
      <c r="G2032" s="28"/>
      <c r="X2032" s="40"/>
      <c r="Y2032" s="40"/>
    </row>
    <row r="2033" spans="5:25" x14ac:dyDescent="0.35">
      <c r="E2033" t="s">
        <v>208</v>
      </c>
      <c r="F2033" t="s">
        <v>1579</v>
      </c>
      <c r="G2033" s="28"/>
      <c r="X2033" s="40"/>
      <c r="Y2033" s="40"/>
    </row>
    <row r="2034" spans="5:25" x14ac:dyDescent="0.35">
      <c r="E2034" t="s">
        <v>208</v>
      </c>
      <c r="F2034" t="s">
        <v>1580</v>
      </c>
      <c r="G2034" s="28"/>
      <c r="X2034" s="40"/>
      <c r="Y2034" s="40"/>
    </row>
    <row r="2035" spans="5:25" x14ac:dyDescent="0.35">
      <c r="E2035" t="s">
        <v>208</v>
      </c>
      <c r="F2035" t="s">
        <v>1581</v>
      </c>
      <c r="G2035" s="28"/>
      <c r="X2035" s="40"/>
      <c r="Y2035" s="40"/>
    </row>
    <row r="2036" spans="5:25" x14ac:dyDescent="0.35">
      <c r="E2036" t="s">
        <v>208</v>
      </c>
      <c r="F2036" t="s">
        <v>881</v>
      </c>
      <c r="G2036" s="28"/>
      <c r="X2036" s="40"/>
      <c r="Y2036" s="40"/>
    </row>
    <row r="2037" spans="5:25" x14ac:dyDescent="0.35">
      <c r="E2037" t="s">
        <v>208</v>
      </c>
      <c r="F2037" t="s">
        <v>1582</v>
      </c>
      <c r="G2037" s="28"/>
      <c r="X2037" s="40"/>
      <c r="Y2037" s="40"/>
    </row>
    <row r="2038" spans="5:25" x14ac:dyDescent="0.35">
      <c r="E2038" t="s">
        <v>208</v>
      </c>
      <c r="F2038" t="s">
        <v>919</v>
      </c>
      <c r="G2038" s="28"/>
      <c r="X2038" s="40"/>
      <c r="Y2038" s="40"/>
    </row>
    <row r="2039" spans="5:25" x14ac:dyDescent="0.35">
      <c r="E2039" t="s">
        <v>208</v>
      </c>
      <c r="F2039" t="s">
        <v>1107</v>
      </c>
      <c r="G2039" s="28"/>
      <c r="X2039" s="40"/>
      <c r="Y2039" s="40"/>
    </row>
    <row r="2040" spans="5:25" x14ac:dyDescent="0.35">
      <c r="E2040" t="s">
        <v>208</v>
      </c>
      <c r="F2040" t="s">
        <v>920</v>
      </c>
      <c r="G2040" s="28"/>
      <c r="X2040" s="40"/>
      <c r="Y2040" s="40"/>
    </row>
    <row r="2041" spans="5:25" x14ac:dyDescent="0.35">
      <c r="E2041" t="s">
        <v>208</v>
      </c>
      <c r="F2041" t="s">
        <v>1583</v>
      </c>
      <c r="G2041" s="28"/>
      <c r="X2041" s="40"/>
      <c r="Y2041" s="40"/>
    </row>
    <row r="2042" spans="5:25" x14ac:dyDescent="0.35">
      <c r="E2042" t="s">
        <v>208</v>
      </c>
      <c r="F2042" t="s">
        <v>1584</v>
      </c>
      <c r="G2042" s="28"/>
      <c r="X2042" s="40"/>
      <c r="Y2042" s="40"/>
    </row>
    <row r="2043" spans="5:25" x14ac:dyDescent="0.35">
      <c r="E2043" t="s">
        <v>208</v>
      </c>
      <c r="F2043" t="s">
        <v>1585</v>
      </c>
      <c r="G2043" s="28"/>
      <c r="X2043" s="40"/>
      <c r="Y2043" s="40"/>
    </row>
    <row r="2044" spans="5:25" x14ac:dyDescent="0.35">
      <c r="E2044" t="s">
        <v>208</v>
      </c>
      <c r="F2044" t="s">
        <v>744</v>
      </c>
      <c r="G2044" s="28"/>
      <c r="X2044" s="40"/>
      <c r="Y2044" s="40"/>
    </row>
    <row r="2045" spans="5:25" x14ac:dyDescent="0.35">
      <c r="E2045" t="s">
        <v>208</v>
      </c>
      <c r="F2045" t="s">
        <v>394</v>
      </c>
      <c r="G2045" s="28"/>
      <c r="X2045" s="40"/>
      <c r="Y2045" s="40"/>
    </row>
    <row r="2046" spans="5:25" x14ac:dyDescent="0.35">
      <c r="E2046" t="s">
        <v>208</v>
      </c>
      <c r="F2046" t="s">
        <v>745</v>
      </c>
      <c r="G2046" s="28"/>
      <c r="X2046" s="40"/>
      <c r="Y2046" s="40"/>
    </row>
    <row r="2047" spans="5:25" x14ac:dyDescent="0.35">
      <c r="E2047" t="s">
        <v>208</v>
      </c>
      <c r="F2047" t="s">
        <v>1586</v>
      </c>
      <c r="G2047" s="28"/>
      <c r="X2047" s="40"/>
      <c r="Y2047" s="40"/>
    </row>
    <row r="2048" spans="5:25" x14ac:dyDescent="0.35">
      <c r="E2048" t="s">
        <v>208</v>
      </c>
      <c r="F2048" t="s">
        <v>1587</v>
      </c>
      <c r="G2048" s="28"/>
      <c r="X2048" s="40"/>
      <c r="Y2048" s="40"/>
    </row>
    <row r="2049" spans="5:25" x14ac:dyDescent="0.35">
      <c r="E2049" t="s">
        <v>208</v>
      </c>
      <c r="F2049" t="s">
        <v>1588</v>
      </c>
      <c r="G2049" s="28"/>
      <c r="X2049" s="40"/>
      <c r="Y2049" s="40"/>
    </row>
    <row r="2050" spans="5:25" x14ac:dyDescent="0.35">
      <c r="E2050" t="s">
        <v>209</v>
      </c>
      <c r="F2050" t="s">
        <v>526</v>
      </c>
      <c r="G2050" s="28"/>
      <c r="X2050" s="40"/>
      <c r="Y2050" s="40"/>
    </row>
    <row r="2051" spans="5:25" x14ac:dyDescent="0.35">
      <c r="E2051" t="s">
        <v>209</v>
      </c>
      <c r="F2051" t="s">
        <v>891</v>
      </c>
      <c r="G2051" s="28"/>
      <c r="X2051" s="40"/>
      <c r="Y2051" s="40"/>
    </row>
    <row r="2052" spans="5:25" x14ac:dyDescent="0.35">
      <c r="E2052" t="s">
        <v>209</v>
      </c>
      <c r="F2052" t="s">
        <v>1589</v>
      </c>
      <c r="G2052" s="28"/>
      <c r="X2052" s="40"/>
      <c r="Y2052" s="40"/>
    </row>
    <row r="2053" spans="5:25" x14ac:dyDescent="0.35">
      <c r="E2053" t="s">
        <v>209</v>
      </c>
      <c r="F2053" t="s">
        <v>1590</v>
      </c>
      <c r="G2053" s="28"/>
      <c r="X2053" s="40"/>
      <c r="Y2053" s="40"/>
    </row>
    <row r="2054" spans="5:25" x14ac:dyDescent="0.35">
      <c r="E2054" t="s">
        <v>209</v>
      </c>
      <c r="F2054" t="s">
        <v>1591</v>
      </c>
      <c r="G2054" s="28"/>
      <c r="X2054" s="40"/>
      <c r="Y2054" s="40"/>
    </row>
    <row r="2055" spans="5:25" x14ac:dyDescent="0.35">
      <c r="E2055" t="s">
        <v>209</v>
      </c>
      <c r="F2055" t="s">
        <v>1592</v>
      </c>
      <c r="G2055" s="28"/>
      <c r="X2055" s="40"/>
      <c r="Y2055" s="40"/>
    </row>
    <row r="2056" spans="5:25" x14ac:dyDescent="0.35">
      <c r="E2056" t="s">
        <v>209</v>
      </c>
      <c r="F2056" t="s">
        <v>1593</v>
      </c>
      <c r="G2056" s="28"/>
      <c r="X2056" s="40"/>
      <c r="Y2056" s="40"/>
    </row>
    <row r="2057" spans="5:25" x14ac:dyDescent="0.35">
      <c r="E2057" t="s">
        <v>209</v>
      </c>
      <c r="F2057" t="s">
        <v>844</v>
      </c>
      <c r="G2057" s="28"/>
      <c r="X2057" s="40"/>
      <c r="Y2057" s="40"/>
    </row>
    <row r="2058" spans="5:25" x14ac:dyDescent="0.35">
      <c r="E2058" t="s">
        <v>209</v>
      </c>
      <c r="F2058" t="s">
        <v>336</v>
      </c>
      <c r="G2058" s="28"/>
      <c r="X2058" s="40"/>
      <c r="Y2058" s="40"/>
    </row>
    <row r="2059" spans="5:25" x14ac:dyDescent="0.35">
      <c r="E2059" t="s">
        <v>209</v>
      </c>
      <c r="F2059" t="s">
        <v>403</v>
      </c>
      <c r="G2059" s="28"/>
      <c r="X2059" s="40"/>
      <c r="Y2059" s="40"/>
    </row>
    <row r="2060" spans="5:25" x14ac:dyDescent="0.35">
      <c r="E2060" t="s">
        <v>209</v>
      </c>
      <c r="F2060" t="s">
        <v>846</v>
      </c>
      <c r="G2060" s="28"/>
      <c r="X2060" s="40"/>
      <c r="Y2060" s="40"/>
    </row>
    <row r="2061" spans="5:25" x14ac:dyDescent="0.35">
      <c r="E2061" t="s">
        <v>209</v>
      </c>
      <c r="F2061" t="s">
        <v>405</v>
      </c>
      <c r="G2061" s="28"/>
      <c r="X2061" s="40"/>
      <c r="Y2061" s="40"/>
    </row>
    <row r="2062" spans="5:25" x14ac:dyDescent="0.35">
      <c r="E2062" t="s">
        <v>209</v>
      </c>
      <c r="F2062" t="s">
        <v>1594</v>
      </c>
      <c r="G2062" s="28"/>
      <c r="X2062" s="40"/>
      <c r="Y2062" s="40"/>
    </row>
    <row r="2063" spans="5:25" x14ac:dyDescent="0.35">
      <c r="E2063" t="s">
        <v>209</v>
      </c>
      <c r="F2063" t="s">
        <v>769</v>
      </c>
      <c r="G2063" s="28"/>
      <c r="X2063" s="40"/>
      <c r="Y2063" s="40"/>
    </row>
    <row r="2064" spans="5:25" x14ac:dyDescent="0.35">
      <c r="E2064" t="s">
        <v>209</v>
      </c>
      <c r="F2064" t="s">
        <v>1595</v>
      </c>
      <c r="G2064" s="28"/>
      <c r="X2064" s="40"/>
      <c r="Y2064" s="40"/>
    </row>
    <row r="2065" spans="5:25" x14ac:dyDescent="0.35">
      <c r="E2065" t="s">
        <v>209</v>
      </c>
      <c r="F2065" t="s">
        <v>1596</v>
      </c>
      <c r="G2065" s="28"/>
      <c r="X2065" s="40"/>
      <c r="Y2065" s="40"/>
    </row>
    <row r="2066" spans="5:25" x14ac:dyDescent="0.35">
      <c r="E2066" t="s">
        <v>209</v>
      </c>
      <c r="F2066" t="s">
        <v>410</v>
      </c>
      <c r="G2066" s="28"/>
      <c r="X2066" s="40"/>
      <c r="Y2066" s="40"/>
    </row>
    <row r="2067" spans="5:25" x14ac:dyDescent="0.35">
      <c r="E2067" t="s">
        <v>209</v>
      </c>
      <c r="F2067" t="s">
        <v>1597</v>
      </c>
      <c r="G2067" s="28"/>
      <c r="X2067" s="40"/>
      <c r="Y2067" s="40"/>
    </row>
    <row r="2068" spans="5:25" x14ac:dyDescent="0.35">
      <c r="E2068" t="s">
        <v>209</v>
      </c>
      <c r="F2068" t="s">
        <v>1598</v>
      </c>
      <c r="G2068" s="28"/>
      <c r="X2068" s="40"/>
      <c r="Y2068" s="40"/>
    </row>
    <row r="2069" spans="5:25" x14ac:dyDescent="0.35">
      <c r="E2069" t="s">
        <v>209</v>
      </c>
      <c r="F2069" t="s">
        <v>1599</v>
      </c>
      <c r="G2069" s="28"/>
      <c r="X2069" s="40"/>
      <c r="Y2069" s="40"/>
    </row>
    <row r="2070" spans="5:25" x14ac:dyDescent="0.35">
      <c r="E2070" t="s">
        <v>209</v>
      </c>
      <c r="F2070" t="s">
        <v>771</v>
      </c>
      <c r="G2070" s="28"/>
      <c r="X2070" s="40"/>
      <c r="Y2070" s="40"/>
    </row>
    <row r="2071" spans="5:25" x14ac:dyDescent="0.35">
      <c r="E2071" t="s">
        <v>209</v>
      </c>
      <c r="F2071" t="s">
        <v>1568</v>
      </c>
      <c r="G2071" s="28"/>
      <c r="X2071" s="40"/>
      <c r="Y2071" s="40"/>
    </row>
    <row r="2072" spans="5:25" x14ac:dyDescent="0.35">
      <c r="E2072" t="s">
        <v>209</v>
      </c>
      <c r="F2072" t="s">
        <v>581</v>
      </c>
      <c r="G2072" s="28"/>
      <c r="X2072" s="40"/>
      <c r="Y2072" s="40"/>
    </row>
    <row r="2073" spans="5:25" x14ac:dyDescent="0.35">
      <c r="E2073" t="s">
        <v>209</v>
      </c>
      <c r="F2073" t="s">
        <v>358</v>
      </c>
      <c r="G2073" s="28"/>
      <c r="X2073" s="40"/>
      <c r="Y2073" s="40"/>
    </row>
    <row r="2074" spans="5:25" x14ac:dyDescent="0.35">
      <c r="E2074" t="s">
        <v>209</v>
      </c>
      <c r="F2074" t="s">
        <v>359</v>
      </c>
      <c r="G2074" s="28"/>
      <c r="X2074" s="40"/>
      <c r="Y2074" s="40"/>
    </row>
    <row r="2075" spans="5:25" x14ac:dyDescent="0.35">
      <c r="E2075" t="s">
        <v>209</v>
      </c>
      <c r="F2075" t="s">
        <v>416</v>
      </c>
      <c r="G2075" s="28"/>
      <c r="X2075" s="40"/>
      <c r="Y2075" s="40"/>
    </row>
    <row r="2076" spans="5:25" x14ac:dyDescent="0.35">
      <c r="E2076" t="s">
        <v>209</v>
      </c>
      <c r="F2076" t="s">
        <v>1600</v>
      </c>
      <c r="G2076" s="28"/>
      <c r="X2076" s="40"/>
      <c r="Y2076" s="40"/>
    </row>
    <row r="2077" spans="5:25" x14ac:dyDescent="0.35">
      <c r="E2077" t="s">
        <v>209</v>
      </c>
      <c r="F2077" t="s">
        <v>1601</v>
      </c>
      <c r="G2077" s="28"/>
      <c r="X2077" s="40"/>
      <c r="Y2077" s="40"/>
    </row>
    <row r="2078" spans="5:25" x14ac:dyDescent="0.35">
      <c r="E2078" t="s">
        <v>209</v>
      </c>
      <c r="F2078" t="s">
        <v>361</v>
      </c>
      <c r="G2078" s="28"/>
      <c r="X2078" s="40"/>
      <c r="Y2078" s="40"/>
    </row>
    <row r="2079" spans="5:25" x14ac:dyDescent="0.35">
      <c r="E2079" t="s">
        <v>209</v>
      </c>
      <c r="F2079" t="s">
        <v>1602</v>
      </c>
      <c r="G2079" s="28"/>
      <c r="X2079" s="40"/>
      <c r="Y2079" s="40"/>
    </row>
    <row r="2080" spans="5:25" x14ac:dyDescent="0.35">
      <c r="E2080" t="s">
        <v>209</v>
      </c>
      <c r="F2080" t="s">
        <v>610</v>
      </c>
      <c r="G2080" s="28"/>
      <c r="X2080" s="40"/>
      <c r="Y2080" s="40"/>
    </row>
    <row r="2081" spans="5:25" x14ac:dyDescent="0.35">
      <c r="E2081" t="s">
        <v>209</v>
      </c>
      <c r="F2081" t="s">
        <v>695</v>
      </c>
      <c r="G2081" s="28"/>
      <c r="X2081" s="40"/>
      <c r="Y2081" s="40"/>
    </row>
    <row r="2082" spans="5:25" x14ac:dyDescent="0.35">
      <c r="E2082" t="s">
        <v>209</v>
      </c>
      <c r="F2082" t="s">
        <v>778</v>
      </c>
      <c r="G2082" s="28"/>
      <c r="X2082" s="40"/>
      <c r="Y2082" s="40"/>
    </row>
    <row r="2083" spans="5:25" x14ac:dyDescent="0.35">
      <c r="E2083" t="s">
        <v>209</v>
      </c>
      <c r="F2083" t="s">
        <v>779</v>
      </c>
      <c r="G2083" s="28"/>
      <c r="X2083" s="40"/>
      <c r="Y2083" s="40"/>
    </row>
    <row r="2084" spans="5:25" x14ac:dyDescent="0.35">
      <c r="E2084" t="s">
        <v>209</v>
      </c>
      <c r="F2084" t="s">
        <v>363</v>
      </c>
      <c r="G2084" s="28"/>
      <c r="X2084" s="40"/>
      <c r="Y2084" s="40"/>
    </row>
    <row r="2085" spans="5:25" x14ac:dyDescent="0.35">
      <c r="E2085" t="s">
        <v>209</v>
      </c>
      <c r="F2085" t="s">
        <v>1603</v>
      </c>
      <c r="G2085" s="28"/>
      <c r="X2085" s="40"/>
      <c r="Y2085" s="40"/>
    </row>
    <row r="2086" spans="5:25" x14ac:dyDescent="0.35">
      <c r="E2086" t="s">
        <v>209</v>
      </c>
      <c r="F2086" t="s">
        <v>1604</v>
      </c>
      <c r="G2086" s="28"/>
      <c r="X2086" s="40"/>
      <c r="Y2086" s="40"/>
    </row>
    <row r="2087" spans="5:25" x14ac:dyDescent="0.35">
      <c r="E2087" t="s">
        <v>209</v>
      </c>
      <c r="F2087" t="s">
        <v>616</v>
      </c>
      <c r="G2087" s="28"/>
      <c r="X2087" s="40"/>
      <c r="Y2087" s="40"/>
    </row>
    <row r="2088" spans="5:25" x14ac:dyDescent="0.35">
      <c r="E2088" t="s">
        <v>209</v>
      </c>
      <c r="F2088" t="s">
        <v>1158</v>
      </c>
      <c r="G2088" s="28"/>
      <c r="X2088" s="40"/>
      <c r="Y2088" s="40"/>
    </row>
    <row r="2089" spans="5:25" x14ac:dyDescent="0.35">
      <c r="E2089" t="s">
        <v>209</v>
      </c>
      <c r="F2089" t="s">
        <v>365</v>
      </c>
      <c r="G2089" s="28"/>
      <c r="X2089" s="40"/>
      <c r="Y2089" s="40"/>
    </row>
    <row r="2090" spans="5:25" x14ac:dyDescent="0.35">
      <c r="E2090" t="s">
        <v>209</v>
      </c>
      <c r="F2090" t="s">
        <v>366</v>
      </c>
      <c r="G2090" s="28"/>
      <c r="X2090" s="40"/>
      <c r="Y2090" s="40"/>
    </row>
    <row r="2091" spans="5:25" x14ac:dyDescent="0.35">
      <c r="E2091" t="s">
        <v>209</v>
      </c>
      <c r="F2091" t="s">
        <v>863</v>
      </c>
      <c r="G2091" s="28"/>
      <c r="X2091" s="40"/>
      <c r="Y2091" s="40"/>
    </row>
    <row r="2092" spans="5:25" x14ac:dyDescent="0.35">
      <c r="E2092" t="s">
        <v>209</v>
      </c>
      <c r="F2092" t="s">
        <v>486</v>
      </c>
      <c r="G2092" s="28"/>
      <c r="X2092" s="40"/>
      <c r="Y2092" s="40"/>
    </row>
    <row r="2093" spans="5:25" x14ac:dyDescent="0.35">
      <c r="E2093" t="s">
        <v>209</v>
      </c>
      <c r="F2093" t="s">
        <v>369</v>
      </c>
      <c r="G2093" s="28"/>
      <c r="X2093" s="40"/>
      <c r="Y2093" s="40"/>
    </row>
    <row r="2094" spans="5:25" x14ac:dyDescent="0.35">
      <c r="E2094" t="s">
        <v>209</v>
      </c>
      <c r="F2094" t="s">
        <v>1605</v>
      </c>
      <c r="G2094" s="28"/>
      <c r="X2094" s="40"/>
      <c r="Y2094" s="40"/>
    </row>
    <row r="2095" spans="5:25" x14ac:dyDescent="0.35">
      <c r="E2095" t="s">
        <v>209</v>
      </c>
      <c r="F2095" t="s">
        <v>428</v>
      </c>
      <c r="G2095" s="28"/>
      <c r="X2095" s="40"/>
      <c r="Y2095" s="40"/>
    </row>
    <row r="2096" spans="5:25" x14ac:dyDescent="0.35">
      <c r="E2096" t="s">
        <v>209</v>
      </c>
      <c r="F2096" t="s">
        <v>1606</v>
      </c>
      <c r="G2096" s="28"/>
      <c r="X2096" s="40"/>
      <c r="Y2096" s="40"/>
    </row>
    <row r="2097" spans="5:25" x14ac:dyDescent="0.35">
      <c r="E2097" t="s">
        <v>209</v>
      </c>
      <c r="F2097" t="s">
        <v>786</v>
      </c>
      <c r="G2097" s="28"/>
      <c r="X2097" s="40"/>
      <c r="Y2097" s="40"/>
    </row>
    <row r="2098" spans="5:25" x14ac:dyDescent="0.35">
      <c r="E2098" t="s">
        <v>209</v>
      </c>
      <c r="F2098" t="s">
        <v>374</v>
      </c>
      <c r="G2098" s="28"/>
      <c r="X2098" s="40"/>
      <c r="Y2098" s="40"/>
    </row>
    <row r="2099" spans="5:25" x14ac:dyDescent="0.35">
      <c r="E2099" t="s">
        <v>209</v>
      </c>
      <c r="F2099" t="s">
        <v>1607</v>
      </c>
      <c r="G2099" s="28"/>
      <c r="X2099" s="40"/>
      <c r="Y2099" s="40"/>
    </row>
    <row r="2100" spans="5:25" x14ac:dyDescent="0.35">
      <c r="E2100" t="s">
        <v>209</v>
      </c>
      <c r="F2100" t="s">
        <v>376</v>
      </c>
      <c r="G2100" s="28"/>
      <c r="X2100" s="40"/>
      <c r="Y2100" s="40"/>
    </row>
    <row r="2101" spans="5:25" x14ac:dyDescent="0.35">
      <c r="E2101" t="s">
        <v>209</v>
      </c>
      <c r="F2101" t="s">
        <v>1608</v>
      </c>
      <c r="G2101" s="28"/>
      <c r="X2101" s="40"/>
      <c r="Y2101" s="40"/>
    </row>
    <row r="2102" spans="5:25" x14ac:dyDescent="0.35">
      <c r="E2102" t="s">
        <v>209</v>
      </c>
      <c r="F2102" t="s">
        <v>1609</v>
      </c>
      <c r="G2102" s="28"/>
      <c r="X2102" s="40"/>
      <c r="Y2102" s="40"/>
    </row>
    <row r="2103" spans="5:25" x14ac:dyDescent="0.35">
      <c r="E2103" t="s">
        <v>209</v>
      </c>
      <c r="F2103" t="s">
        <v>873</v>
      </c>
      <c r="G2103" s="28"/>
      <c r="X2103" s="40"/>
      <c r="Y2103" s="40"/>
    </row>
    <row r="2104" spans="5:25" x14ac:dyDescent="0.35">
      <c r="E2104" t="s">
        <v>209</v>
      </c>
      <c r="F2104" t="s">
        <v>907</v>
      </c>
      <c r="G2104" s="28"/>
      <c r="X2104" s="40"/>
      <c r="Y2104" s="40"/>
    </row>
    <row r="2105" spans="5:25" x14ac:dyDescent="0.35">
      <c r="E2105" t="s">
        <v>209</v>
      </c>
      <c r="F2105" t="s">
        <v>379</v>
      </c>
      <c r="G2105" s="28"/>
      <c r="X2105" s="40"/>
      <c r="Y2105" s="40"/>
    </row>
    <row r="2106" spans="5:25" x14ac:dyDescent="0.35">
      <c r="E2106" t="s">
        <v>209</v>
      </c>
      <c r="F2106" t="s">
        <v>380</v>
      </c>
      <c r="G2106" s="28"/>
      <c r="X2106" s="40"/>
      <c r="Y2106" s="40"/>
    </row>
    <row r="2107" spans="5:25" x14ac:dyDescent="0.35">
      <c r="E2107" t="s">
        <v>209</v>
      </c>
      <c r="F2107" t="s">
        <v>381</v>
      </c>
      <c r="G2107" s="28"/>
      <c r="X2107" s="40"/>
      <c r="Y2107" s="40"/>
    </row>
    <row r="2108" spans="5:25" x14ac:dyDescent="0.35">
      <c r="E2108" t="s">
        <v>209</v>
      </c>
      <c r="F2108" t="s">
        <v>1610</v>
      </c>
      <c r="G2108" s="28"/>
      <c r="X2108" s="40"/>
      <c r="Y2108" s="40"/>
    </row>
    <row r="2109" spans="5:25" x14ac:dyDescent="0.35">
      <c r="E2109" t="s">
        <v>209</v>
      </c>
      <c r="F2109" t="s">
        <v>1611</v>
      </c>
      <c r="G2109" s="28"/>
      <c r="X2109" s="40"/>
      <c r="Y2109" s="40"/>
    </row>
    <row r="2110" spans="5:25" x14ac:dyDescent="0.35">
      <c r="E2110" t="s">
        <v>209</v>
      </c>
      <c r="F2110" t="s">
        <v>908</v>
      </c>
      <c r="G2110" s="28"/>
      <c r="X2110" s="40"/>
      <c r="Y2110" s="40"/>
    </row>
    <row r="2111" spans="5:25" x14ac:dyDescent="0.35">
      <c r="E2111" t="s">
        <v>209</v>
      </c>
      <c r="F2111" t="s">
        <v>971</v>
      </c>
      <c r="G2111" s="28"/>
      <c r="X2111" s="40"/>
      <c r="Y2111" s="40"/>
    </row>
    <row r="2112" spans="5:25" x14ac:dyDescent="0.35">
      <c r="E2112" t="s">
        <v>209</v>
      </c>
      <c r="F2112" t="s">
        <v>717</v>
      </c>
      <c r="G2112" s="28"/>
      <c r="X2112" s="40"/>
      <c r="Y2112" s="40"/>
    </row>
    <row r="2113" spans="5:25" x14ac:dyDescent="0.35">
      <c r="E2113" t="s">
        <v>209</v>
      </c>
      <c r="F2113" t="s">
        <v>382</v>
      </c>
      <c r="G2113" s="28"/>
      <c r="X2113" s="40"/>
      <c r="Y2113" s="40"/>
    </row>
    <row r="2114" spans="5:25" x14ac:dyDescent="0.35">
      <c r="E2114" t="s">
        <v>209</v>
      </c>
      <c r="F2114" t="s">
        <v>1612</v>
      </c>
      <c r="G2114" s="28"/>
      <c r="X2114" s="40"/>
      <c r="Y2114" s="40"/>
    </row>
    <row r="2115" spans="5:25" x14ac:dyDescent="0.35">
      <c r="E2115" t="s">
        <v>209</v>
      </c>
      <c r="F2115" t="s">
        <v>384</v>
      </c>
      <c r="G2115" s="28"/>
      <c r="X2115" s="40"/>
      <c r="Y2115" s="40"/>
    </row>
    <row r="2116" spans="5:25" x14ac:dyDescent="0.35">
      <c r="E2116" t="s">
        <v>209</v>
      </c>
      <c r="F2116" t="s">
        <v>1613</v>
      </c>
      <c r="G2116" s="28"/>
      <c r="X2116" s="40"/>
      <c r="Y2116" s="40"/>
    </row>
    <row r="2117" spans="5:25" x14ac:dyDescent="0.35">
      <c r="E2117" t="s">
        <v>209</v>
      </c>
      <c r="F2117" t="s">
        <v>1614</v>
      </c>
      <c r="G2117" s="28"/>
      <c r="X2117" s="40"/>
      <c r="Y2117" s="40"/>
    </row>
    <row r="2118" spans="5:25" x14ac:dyDescent="0.35">
      <c r="E2118" t="s">
        <v>209</v>
      </c>
      <c r="F2118" t="s">
        <v>631</v>
      </c>
      <c r="G2118" s="28"/>
      <c r="X2118" s="40"/>
      <c r="Y2118" s="40"/>
    </row>
    <row r="2119" spans="5:25" x14ac:dyDescent="0.35">
      <c r="E2119" t="s">
        <v>209</v>
      </c>
      <c r="F2119" t="s">
        <v>878</v>
      </c>
      <c r="G2119" s="28"/>
      <c r="X2119" s="40"/>
      <c r="Y2119" s="40"/>
    </row>
    <row r="2120" spans="5:25" x14ac:dyDescent="0.35">
      <c r="E2120" t="s">
        <v>209</v>
      </c>
      <c r="F2120" t="s">
        <v>1615</v>
      </c>
      <c r="G2120" s="28"/>
      <c r="X2120" s="40"/>
      <c r="Y2120" s="40"/>
    </row>
    <row r="2121" spans="5:25" x14ac:dyDescent="0.35">
      <c r="E2121" t="s">
        <v>209</v>
      </c>
      <c r="F2121" t="s">
        <v>1616</v>
      </c>
      <c r="G2121" s="28"/>
      <c r="X2121" s="40"/>
      <c r="Y2121" s="40"/>
    </row>
    <row r="2122" spans="5:25" x14ac:dyDescent="0.35">
      <c r="E2122" t="s">
        <v>209</v>
      </c>
      <c r="F2122" t="s">
        <v>1617</v>
      </c>
      <c r="G2122" s="28"/>
      <c r="X2122" s="40"/>
      <c r="Y2122" s="40"/>
    </row>
    <row r="2123" spans="5:25" x14ac:dyDescent="0.35">
      <c r="E2123" t="s">
        <v>209</v>
      </c>
      <c r="F2123" t="s">
        <v>1582</v>
      </c>
      <c r="G2123" s="28"/>
      <c r="X2123" s="40"/>
      <c r="Y2123" s="40"/>
    </row>
    <row r="2124" spans="5:25" x14ac:dyDescent="0.35">
      <c r="E2124" t="s">
        <v>209</v>
      </c>
      <c r="F2124" t="s">
        <v>388</v>
      </c>
      <c r="G2124" s="28"/>
      <c r="X2124" s="40"/>
      <c r="Y2124" s="40"/>
    </row>
    <row r="2125" spans="5:25" x14ac:dyDescent="0.35">
      <c r="E2125" t="s">
        <v>209</v>
      </c>
      <c r="F2125" t="s">
        <v>882</v>
      </c>
      <c r="G2125" s="28"/>
      <c r="X2125" s="40"/>
      <c r="Y2125" s="40"/>
    </row>
    <row r="2126" spans="5:25" x14ac:dyDescent="0.35">
      <c r="E2126" t="s">
        <v>209</v>
      </c>
      <c r="F2126" t="s">
        <v>578</v>
      </c>
      <c r="G2126" s="28"/>
      <c r="X2126" s="40"/>
      <c r="Y2126" s="40"/>
    </row>
    <row r="2127" spans="5:25" x14ac:dyDescent="0.35">
      <c r="E2127" t="s">
        <v>209</v>
      </c>
      <c r="F2127" t="s">
        <v>1618</v>
      </c>
      <c r="G2127" s="28"/>
      <c r="X2127" s="40"/>
      <c r="Y2127" s="40"/>
    </row>
    <row r="2128" spans="5:25" x14ac:dyDescent="0.35">
      <c r="E2128" t="s">
        <v>209</v>
      </c>
      <c r="F2128" t="s">
        <v>1619</v>
      </c>
      <c r="G2128" s="28"/>
      <c r="X2128" s="40"/>
      <c r="Y2128" s="40"/>
    </row>
    <row r="2129" spans="5:25" x14ac:dyDescent="0.35">
      <c r="E2129" t="s">
        <v>209</v>
      </c>
      <c r="F2129" t="s">
        <v>449</v>
      </c>
      <c r="G2129" s="28"/>
      <c r="X2129" s="40"/>
      <c r="Y2129" s="40"/>
    </row>
    <row r="2130" spans="5:25" x14ac:dyDescent="0.35">
      <c r="E2130" t="s">
        <v>209</v>
      </c>
      <c r="F2130" t="s">
        <v>1620</v>
      </c>
      <c r="G2130" s="28"/>
      <c r="X2130" s="40"/>
      <c r="Y2130" s="40"/>
    </row>
    <row r="2131" spans="5:25" x14ac:dyDescent="0.35">
      <c r="E2131" t="s">
        <v>209</v>
      </c>
      <c r="F2131" t="s">
        <v>1621</v>
      </c>
      <c r="G2131" s="28"/>
      <c r="X2131" s="40"/>
      <c r="Y2131" s="40"/>
    </row>
    <row r="2132" spans="5:25" x14ac:dyDescent="0.35">
      <c r="E2132" t="s">
        <v>209</v>
      </c>
      <c r="F2132" t="s">
        <v>744</v>
      </c>
      <c r="G2132" s="28"/>
      <c r="X2132" s="40"/>
      <c r="Y2132" s="40"/>
    </row>
    <row r="2133" spans="5:25" x14ac:dyDescent="0.35">
      <c r="E2133" t="s">
        <v>209</v>
      </c>
      <c r="F2133" t="s">
        <v>394</v>
      </c>
      <c r="G2133" s="28"/>
      <c r="X2133" s="40"/>
      <c r="Y2133" s="40"/>
    </row>
    <row r="2134" spans="5:25" x14ac:dyDescent="0.35">
      <c r="E2134" t="s">
        <v>209</v>
      </c>
      <c r="F2134" t="s">
        <v>745</v>
      </c>
      <c r="G2134" s="28"/>
      <c r="X2134" s="40"/>
      <c r="Y2134" s="40"/>
    </row>
    <row r="2135" spans="5:25" x14ac:dyDescent="0.35">
      <c r="E2135" t="s">
        <v>209</v>
      </c>
      <c r="F2135" t="s">
        <v>1467</v>
      </c>
      <c r="G2135" s="28"/>
      <c r="X2135" s="40"/>
      <c r="Y2135" s="40"/>
    </row>
    <row r="2136" spans="5:25" x14ac:dyDescent="0.35">
      <c r="E2136" t="s">
        <v>209</v>
      </c>
      <c r="F2136" t="s">
        <v>1622</v>
      </c>
      <c r="G2136" s="28"/>
      <c r="X2136" s="40"/>
      <c r="Y2136" s="40"/>
    </row>
    <row r="2137" spans="5:25" x14ac:dyDescent="0.35">
      <c r="E2137" t="s">
        <v>209</v>
      </c>
      <c r="F2137" t="s">
        <v>1623</v>
      </c>
      <c r="G2137" s="28"/>
      <c r="X2137" s="40"/>
      <c r="Y2137" s="40"/>
    </row>
    <row r="2138" spans="5:25" x14ac:dyDescent="0.35">
      <c r="E2138" t="s">
        <v>210</v>
      </c>
      <c r="F2138" t="s">
        <v>757</v>
      </c>
      <c r="G2138" s="28"/>
      <c r="X2138" s="40"/>
      <c r="Y2138" s="40"/>
    </row>
    <row r="2139" spans="5:25" x14ac:dyDescent="0.35">
      <c r="E2139" t="s">
        <v>210</v>
      </c>
      <c r="F2139" t="s">
        <v>1624</v>
      </c>
      <c r="G2139" s="28"/>
      <c r="X2139" s="40"/>
      <c r="Y2139" s="40"/>
    </row>
    <row r="2140" spans="5:25" x14ac:dyDescent="0.35">
      <c r="E2140" t="s">
        <v>210</v>
      </c>
      <c r="F2140" t="s">
        <v>1625</v>
      </c>
      <c r="G2140" s="28"/>
      <c r="X2140" s="40"/>
      <c r="Y2140" s="40"/>
    </row>
    <row r="2141" spans="5:25" x14ac:dyDescent="0.35">
      <c r="E2141" t="s">
        <v>210</v>
      </c>
      <c r="F2141" t="s">
        <v>1626</v>
      </c>
      <c r="G2141" s="28"/>
      <c r="X2141" s="40"/>
      <c r="Y2141" s="40"/>
    </row>
    <row r="2142" spans="5:25" x14ac:dyDescent="0.35">
      <c r="E2142" t="s">
        <v>210</v>
      </c>
      <c r="F2142" t="s">
        <v>1627</v>
      </c>
      <c r="G2142" s="28"/>
      <c r="X2142" s="40"/>
      <c r="Y2142" s="40"/>
    </row>
    <row r="2143" spans="5:25" x14ac:dyDescent="0.35">
      <c r="E2143" t="s">
        <v>210</v>
      </c>
      <c r="F2143" t="s">
        <v>814</v>
      </c>
      <c r="G2143" s="28"/>
      <c r="X2143" s="40"/>
      <c r="Y2143" s="40"/>
    </row>
    <row r="2144" spans="5:25" x14ac:dyDescent="0.35">
      <c r="E2144" t="s">
        <v>210</v>
      </c>
      <c r="F2144" t="s">
        <v>654</v>
      </c>
      <c r="G2144" s="28"/>
      <c r="X2144" s="40"/>
      <c r="Y2144" s="40"/>
    </row>
    <row r="2145" spans="5:25" x14ac:dyDescent="0.35">
      <c r="E2145" t="s">
        <v>210</v>
      </c>
      <c r="F2145" t="s">
        <v>1059</v>
      </c>
      <c r="G2145" s="28"/>
      <c r="X2145" s="40"/>
      <c r="Y2145" s="40"/>
    </row>
    <row r="2146" spans="5:25" x14ac:dyDescent="0.35">
      <c r="E2146" t="s">
        <v>210</v>
      </c>
      <c r="F2146" t="s">
        <v>1628</v>
      </c>
      <c r="G2146" s="28"/>
      <c r="X2146" s="40"/>
      <c r="Y2146" s="40"/>
    </row>
    <row r="2147" spans="5:25" x14ac:dyDescent="0.35">
      <c r="E2147" t="s">
        <v>210</v>
      </c>
      <c r="F2147" t="s">
        <v>1011</v>
      </c>
      <c r="G2147" s="28"/>
      <c r="X2147" s="40"/>
      <c r="Y2147" s="40"/>
    </row>
    <row r="2148" spans="5:25" x14ac:dyDescent="0.35">
      <c r="E2148" t="s">
        <v>210</v>
      </c>
      <c r="F2148" t="s">
        <v>339</v>
      </c>
      <c r="G2148" s="28"/>
      <c r="X2148" s="40"/>
      <c r="Y2148" s="40"/>
    </row>
    <row r="2149" spans="5:25" x14ac:dyDescent="0.35">
      <c r="E2149" t="s">
        <v>210</v>
      </c>
      <c r="F2149" t="s">
        <v>341</v>
      </c>
      <c r="G2149" s="28"/>
      <c r="X2149" s="40"/>
      <c r="Y2149" s="40"/>
    </row>
    <row r="2150" spans="5:25" x14ac:dyDescent="0.35">
      <c r="E2150" t="s">
        <v>210</v>
      </c>
      <c r="F2150" t="s">
        <v>1629</v>
      </c>
      <c r="G2150" s="28"/>
      <c r="X2150" s="40"/>
      <c r="Y2150" s="40"/>
    </row>
    <row r="2151" spans="5:25" x14ac:dyDescent="0.35">
      <c r="E2151" t="s">
        <v>210</v>
      </c>
      <c r="F2151" t="s">
        <v>406</v>
      </c>
      <c r="G2151" s="28"/>
      <c r="X2151" s="40"/>
      <c r="Y2151" s="40"/>
    </row>
    <row r="2152" spans="5:25" x14ac:dyDescent="0.35">
      <c r="E2152" t="s">
        <v>210</v>
      </c>
      <c r="F2152" t="s">
        <v>1630</v>
      </c>
      <c r="G2152" s="28"/>
      <c r="X2152" s="40"/>
      <c r="Y2152" s="40"/>
    </row>
    <row r="2153" spans="5:25" x14ac:dyDescent="0.35">
      <c r="E2153" t="s">
        <v>210</v>
      </c>
      <c r="F2153" t="s">
        <v>939</v>
      </c>
      <c r="G2153" s="28"/>
      <c r="X2153" s="40"/>
      <c r="Y2153" s="40"/>
    </row>
    <row r="2154" spans="5:25" x14ac:dyDescent="0.35">
      <c r="E2154" t="s">
        <v>210</v>
      </c>
      <c r="F2154" t="s">
        <v>1631</v>
      </c>
      <c r="G2154" s="28"/>
      <c r="X2154" s="40"/>
      <c r="Y2154" s="40"/>
    </row>
    <row r="2155" spans="5:25" x14ac:dyDescent="0.35">
      <c r="E2155" t="s">
        <v>210</v>
      </c>
      <c r="F2155" t="s">
        <v>1632</v>
      </c>
      <c r="G2155" s="28"/>
      <c r="X2155" s="40"/>
      <c r="Y2155" s="40"/>
    </row>
    <row r="2156" spans="5:25" x14ac:dyDescent="0.35">
      <c r="E2156" t="s">
        <v>210</v>
      </c>
      <c r="F2156" t="s">
        <v>1633</v>
      </c>
      <c r="G2156" s="28"/>
      <c r="X2156" s="40"/>
      <c r="Y2156" s="40"/>
    </row>
    <row r="2157" spans="5:25" x14ac:dyDescent="0.35">
      <c r="E2157" t="s">
        <v>210</v>
      </c>
      <c r="F2157" t="s">
        <v>540</v>
      </c>
      <c r="G2157" s="28"/>
      <c r="X2157" s="40"/>
      <c r="Y2157" s="40"/>
    </row>
    <row r="2158" spans="5:25" x14ac:dyDescent="0.35">
      <c r="E2158" t="s">
        <v>210</v>
      </c>
      <c r="F2158" t="s">
        <v>771</v>
      </c>
      <c r="G2158" s="28"/>
      <c r="X2158" s="40"/>
      <c r="Y2158" s="40"/>
    </row>
    <row r="2159" spans="5:25" x14ac:dyDescent="0.35">
      <c r="E2159" t="s">
        <v>210</v>
      </c>
      <c r="F2159" t="s">
        <v>1634</v>
      </c>
      <c r="G2159" s="28"/>
      <c r="X2159" s="40"/>
      <c r="Y2159" s="40"/>
    </row>
    <row r="2160" spans="5:25" x14ac:dyDescent="0.35">
      <c r="E2160" t="s">
        <v>210</v>
      </c>
      <c r="F2160" t="s">
        <v>943</v>
      </c>
      <c r="G2160" s="28"/>
      <c r="X2160" s="40"/>
      <c r="Y2160" s="40"/>
    </row>
    <row r="2161" spans="5:25" x14ac:dyDescent="0.35">
      <c r="E2161" t="s">
        <v>210</v>
      </c>
      <c r="F2161" t="s">
        <v>549</v>
      </c>
      <c r="G2161" s="28"/>
      <c r="X2161" s="40"/>
      <c r="Y2161" s="40"/>
    </row>
    <row r="2162" spans="5:25" x14ac:dyDescent="0.35">
      <c r="E2162" t="s">
        <v>210</v>
      </c>
      <c r="F2162" t="s">
        <v>1635</v>
      </c>
      <c r="G2162" s="28"/>
      <c r="X2162" s="40"/>
      <c r="Y2162" s="40"/>
    </row>
    <row r="2163" spans="5:25" x14ac:dyDescent="0.35">
      <c r="E2163" t="s">
        <v>210</v>
      </c>
      <c r="F2163" t="s">
        <v>691</v>
      </c>
      <c r="G2163" s="28"/>
      <c r="X2163" s="40"/>
      <c r="Y2163" s="40"/>
    </row>
    <row r="2164" spans="5:25" x14ac:dyDescent="0.35">
      <c r="E2164" t="s">
        <v>210</v>
      </c>
      <c r="F2164" t="s">
        <v>418</v>
      </c>
      <c r="G2164" s="28"/>
      <c r="X2164" s="40"/>
      <c r="Y2164" s="40"/>
    </row>
    <row r="2165" spans="5:25" x14ac:dyDescent="0.35">
      <c r="E2165" t="s">
        <v>210</v>
      </c>
      <c r="F2165" t="s">
        <v>1636</v>
      </c>
      <c r="G2165" s="28"/>
      <c r="X2165" s="40"/>
      <c r="Y2165" s="40"/>
    </row>
    <row r="2166" spans="5:25" x14ac:dyDescent="0.35">
      <c r="E2166" t="s">
        <v>210</v>
      </c>
      <c r="F2166" t="s">
        <v>1637</v>
      </c>
      <c r="G2166" s="28"/>
      <c r="X2166" s="40"/>
      <c r="Y2166" s="40"/>
    </row>
    <row r="2167" spans="5:25" x14ac:dyDescent="0.35">
      <c r="E2167" t="s">
        <v>210</v>
      </c>
      <c r="F2167" t="s">
        <v>951</v>
      </c>
      <c r="G2167" s="28"/>
      <c r="X2167" s="40"/>
      <c r="Y2167" s="40"/>
    </row>
    <row r="2168" spans="5:25" x14ac:dyDescent="0.35">
      <c r="E2168" t="s">
        <v>210</v>
      </c>
      <c r="F2168" t="s">
        <v>953</v>
      </c>
      <c r="G2168" s="28"/>
      <c r="X2168" s="40"/>
      <c r="Y2168" s="40"/>
    </row>
    <row r="2169" spans="5:25" x14ac:dyDescent="0.35">
      <c r="E2169" t="s">
        <v>210</v>
      </c>
      <c r="F2169" t="s">
        <v>1638</v>
      </c>
      <c r="G2169" s="28"/>
      <c r="X2169" s="40"/>
      <c r="Y2169" s="40"/>
    </row>
    <row r="2170" spans="5:25" x14ac:dyDescent="0.35">
      <c r="E2170" t="s">
        <v>210</v>
      </c>
      <c r="F2170" t="s">
        <v>365</v>
      </c>
      <c r="G2170" s="28"/>
      <c r="X2170" s="40"/>
      <c r="Y2170" s="40"/>
    </row>
    <row r="2171" spans="5:25" x14ac:dyDescent="0.35">
      <c r="E2171" t="s">
        <v>210</v>
      </c>
      <c r="F2171" t="s">
        <v>366</v>
      </c>
      <c r="G2171" s="28"/>
      <c r="X2171" s="40"/>
      <c r="Y2171" s="40"/>
    </row>
    <row r="2172" spans="5:25" x14ac:dyDescent="0.35">
      <c r="E2172" t="s">
        <v>210</v>
      </c>
      <c r="F2172" t="s">
        <v>1406</v>
      </c>
      <c r="G2172" s="28"/>
      <c r="X2172" s="40"/>
      <c r="Y2172" s="40"/>
    </row>
    <row r="2173" spans="5:25" x14ac:dyDescent="0.35">
      <c r="E2173" t="s">
        <v>210</v>
      </c>
      <c r="F2173" t="s">
        <v>1639</v>
      </c>
      <c r="G2173" s="28"/>
      <c r="X2173" s="40"/>
      <c r="Y2173" s="40"/>
    </row>
    <row r="2174" spans="5:25" x14ac:dyDescent="0.35">
      <c r="E2174" t="s">
        <v>210</v>
      </c>
      <c r="F2174" t="s">
        <v>1640</v>
      </c>
      <c r="G2174" s="28"/>
      <c r="X2174" s="40"/>
      <c r="Y2174" s="40"/>
    </row>
    <row r="2175" spans="5:25" x14ac:dyDescent="0.35">
      <c r="E2175" t="s">
        <v>210</v>
      </c>
      <c r="F2175" t="s">
        <v>555</v>
      </c>
      <c r="G2175" s="28"/>
      <c r="X2175" s="40"/>
      <c r="Y2175" s="40"/>
    </row>
    <row r="2176" spans="5:25" x14ac:dyDescent="0.35">
      <c r="E2176" t="s">
        <v>210</v>
      </c>
      <c r="F2176" t="s">
        <v>1641</v>
      </c>
      <c r="G2176" s="28"/>
      <c r="X2176" s="40"/>
      <c r="Y2176" s="40"/>
    </row>
    <row r="2177" spans="5:25" x14ac:dyDescent="0.35">
      <c r="E2177" t="s">
        <v>210</v>
      </c>
      <c r="F2177" t="s">
        <v>1642</v>
      </c>
      <c r="G2177" s="28"/>
      <c r="X2177" s="40"/>
      <c r="Y2177" s="40"/>
    </row>
    <row r="2178" spans="5:25" x14ac:dyDescent="0.35">
      <c r="E2178" t="s">
        <v>210</v>
      </c>
      <c r="F2178" t="s">
        <v>426</v>
      </c>
      <c r="G2178" s="28"/>
      <c r="X2178" s="40"/>
      <c r="Y2178" s="40"/>
    </row>
    <row r="2179" spans="5:25" x14ac:dyDescent="0.35">
      <c r="E2179" t="s">
        <v>210</v>
      </c>
      <c r="F2179" t="s">
        <v>428</v>
      </c>
      <c r="G2179" s="28"/>
      <c r="X2179" s="40"/>
      <c r="Y2179" s="40"/>
    </row>
    <row r="2180" spans="5:25" x14ac:dyDescent="0.35">
      <c r="E2180" t="s">
        <v>210</v>
      </c>
      <c r="F2180" t="s">
        <v>1643</v>
      </c>
      <c r="G2180" s="28"/>
      <c r="X2180" s="40"/>
      <c r="Y2180" s="40"/>
    </row>
    <row r="2181" spans="5:25" x14ac:dyDescent="0.35">
      <c r="E2181" t="s">
        <v>210</v>
      </c>
      <c r="F2181" t="s">
        <v>1644</v>
      </c>
      <c r="G2181" s="28"/>
      <c r="X2181" s="40"/>
      <c r="Y2181" s="40"/>
    </row>
    <row r="2182" spans="5:25" x14ac:dyDescent="0.35">
      <c r="E2182" t="s">
        <v>210</v>
      </c>
      <c r="F2182" t="s">
        <v>377</v>
      </c>
      <c r="G2182" s="28"/>
      <c r="X2182" s="40"/>
      <c r="Y2182" s="40"/>
    </row>
    <row r="2183" spans="5:25" x14ac:dyDescent="0.35">
      <c r="E2183" t="s">
        <v>210</v>
      </c>
      <c r="F2183" t="s">
        <v>1645</v>
      </c>
      <c r="G2183" s="28"/>
      <c r="X2183" s="40"/>
      <c r="Y2183" s="40"/>
    </row>
    <row r="2184" spans="5:25" x14ac:dyDescent="0.35">
      <c r="E2184" t="s">
        <v>210</v>
      </c>
      <c r="F2184" t="s">
        <v>1646</v>
      </c>
      <c r="G2184" s="28"/>
      <c r="X2184" s="40"/>
      <c r="Y2184" s="40"/>
    </row>
    <row r="2185" spans="5:25" x14ac:dyDescent="0.35">
      <c r="E2185" t="s">
        <v>210</v>
      </c>
      <c r="F2185" t="s">
        <v>1647</v>
      </c>
      <c r="G2185" s="28"/>
      <c r="X2185" s="40"/>
      <c r="Y2185" s="40"/>
    </row>
    <row r="2186" spans="5:25" x14ac:dyDescent="0.35">
      <c r="E2186" t="s">
        <v>210</v>
      </c>
      <c r="F2186" t="s">
        <v>710</v>
      </c>
      <c r="G2186" s="28"/>
      <c r="X2186" s="40"/>
      <c r="Y2186" s="40"/>
    </row>
    <row r="2187" spans="5:25" x14ac:dyDescent="0.35">
      <c r="E2187" t="s">
        <v>210</v>
      </c>
      <c r="F2187" t="s">
        <v>713</v>
      </c>
      <c r="G2187" s="28"/>
      <c r="X2187" s="40"/>
      <c r="Y2187" s="40"/>
    </row>
    <row r="2188" spans="5:25" x14ac:dyDescent="0.35">
      <c r="E2188" t="s">
        <v>210</v>
      </c>
      <c r="F2188" t="s">
        <v>1648</v>
      </c>
      <c r="G2188" s="28"/>
      <c r="X2188" s="40"/>
      <c r="Y2188" s="40"/>
    </row>
    <row r="2189" spans="5:25" x14ac:dyDescent="0.35">
      <c r="E2189" t="s">
        <v>210</v>
      </c>
      <c r="F2189" t="s">
        <v>908</v>
      </c>
      <c r="G2189" s="28"/>
      <c r="X2189" s="40"/>
      <c r="Y2189" s="40"/>
    </row>
    <row r="2190" spans="5:25" x14ac:dyDescent="0.35">
      <c r="E2190" t="s">
        <v>210</v>
      </c>
      <c r="F2190" t="s">
        <v>1649</v>
      </c>
      <c r="G2190" s="28"/>
      <c r="X2190" s="40"/>
      <c r="Y2190" s="40"/>
    </row>
    <row r="2191" spans="5:25" x14ac:dyDescent="0.35">
      <c r="E2191" t="s">
        <v>210</v>
      </c>
      <c r="F2191" t="s">
        <v>1650</v>
      </c>
      <c r="G2191" s="28"/>
      <c r="X2191" s="40"/>
      <c r="Y2191" s="40"/>
    </row>
    <row r="2192" spans="5:25" x14ac:dyDescent="0.35">
      <c r="E2192" t="s">
        <v>210</v>
      </c>
      <c r="F2192" t="s">
        <v>1651</v>
      </c>
      <c r="G2192" s="28"/>
      <c r="X2192" s="40"/>
      <c r="Y2192" s="40"/>
    </row>
    <row r="2193" spans="5:25" x14ac:dyDescent="0.35">
      <c r="E2193" t="s">
        <v>210</v>
      </c>
      <c r="F2193" t="s">
        <v>1652</v>
      </c>
      <c r="G2193" s="28"/>
      <c r="X2193" s="40"/>
      <c r="Y2193" s="40"/>
    </row>
    <row r="2194" spans="5:25" x14ac:dyDescent="0.35">
      <c r="E2194" t="s">
        <v>210</v>
      </c>
      <c r="F2194" t="s">
        <v>969</v>
      </c>
      <c r="G2194" s="28"/>
      <c r="X2194" s="40"/>
      <c r="Y2194" s="40"/>
    </row>
    <row r="2195" spans="5:25" x14ac:dyDescent="0.35">
      <c r="E2195" t="s">
        <v>210</v>
      </c>
      <c r="F2195" t="s">
        <v>971</v>
      </c>
      <c r="G2195" s="28"/>
      <c r="X2195" s="40"/>
      <c r="Y2195" s="40"/>
    </row>
    <row r="2196" spans="5:25" x14ac:dyDescent="0.35">
      <c r="E2196" t="s">
        <v>210</v>
      </c>
      <c r="F2196" t="s">
        <v>972</v>
      </c>
      <c r="G2196" s="28"/>
      <c r="X2196" s="40"/>
      <c r="Y2196" s="40"/>
    </row>
    <row r="2197" spans="5:25" x14ac:dyDescent="0.35">
      <c r="E2197" t="s">
        <v>210</v>
      </c>
      <c r="F2197" t="s">
        <v>1653</v>
      </c>
      <c r="G2197" s="28"/>
      <c r="X2197" s="40"/>
      <c r="Y2197" s="40"/>
    </row>
    <row r="2198" spans="5:25" x14ac:dyDescent="0.35">
      <c r="E2198" t="s">
        <v>210</v>
      </c>
      <c r="F2198" t="s">
        <v>1654</v>
      </c>
      <c r="G2198" s="28"/>
      <c r="X2198" s="40"/>
      <c r="Y2198" s="40"/>
    </row>
    <row r="2199" spans="5:25" x14ac:dyDescent="0.35">
      <c r="E2199" t="s">
        <v>210</v>
      </c>
      <c r="F2199" t="s">
        <v>1322</v>
      </c>
      <c r="G2199" s="28"/>
      <c r="X2199" s="40"/>
      <c r="Y2199" s="40"/>
    </row>
    <row r="2200" spans="5:25" x14ac:dyDescent="0.35">
      <c r="E2200" t="s">
        <v>210</v>
      </c>
      <c r="F2200" t="s">
        <v>973</v>
      </c>
      <c r="G2200" s="28"/>
      <c r="X2200" s="40"/>
      <c r="Y2200" s="40"/>
    </row>
    <row r="2201" spans="5:25" x14ac:dyDescent="0.35">
      <c r="E2201" t="s">
        <v>210</v>
      </c>
      <c r="F2201" t="s">
        <v>1655</v>
      </c>
      <c r="G2201" s="28"/>
      <c r="X2201" s="40"/>
      <c r="Y2201" s="40"/>
    </row>
    <row r="2202" spans="5:25" x14ac:dyDescent="0.35">
      <c r="E2202" t="s">
        <v>210</v>
      </c>
      <c r="F2202" t="s">
        <v>1656</v>
      </c>
      <c r="G2202" s="28"/>
      <c r="X2202" s="40"/>
      <c r="Y2202" s="40"/>
    </row>
    <row r="2203" spans="5:25" x14ac:dyDescent="0.35">
      <c r="E2203" t="s">
        <v>210</v>
      </c>
      <c r="F2203" t="s">
        <v>1657</v>
      </c>
      <c r="G2203" s="28"/>
      <c r="X2203" s="40"/>
      <c r="Y2203" s="40"/>
    </row>
    <row r="2204" spans="5:25" x14ac:dyDescent="0.35">
      <c r="E2204" t="s">
        <v>210</v>
      </c>
      <c r="F2204" t="s">
        <v>636</v>
      </c>
      <c r="G2204" s="28"/>
      <c r="X2204" s="40"/>
      <c r="Y2204" s="40"/>
    </row>
    <row r="2205" spans="5:25" x14ac:dyDescent="0.35">
      <c r="E2205" t="s">
        <v>210</v>
      </c>
      <c r="F2205" t="s">
        <v>1658</v>
      </c>
      <c r="G2205" s="28"/>
      <c r="X2205" s="40"/>
      <c r="Y2205" s="40"/>
    </row>
    <row r="2206" spans="5:25" x14ac:dyDescent="0.35">
      <c r="E2206" t="s">
        <v>210</v>
      </c>
      <c r="F2206" t="s">
        <v>727</v>
      </c>
      <c r="G2206" s="28"/>
      <c r="X2206" s="40"/>
      <c r="Y2206" s="40"/>
    </row>
    <row r="2207" spans="5:25" x14ac:dyDescent="0.35">
      <c r="E2207" t="s">
        <v>210</v>
      </c>
      <c r="F2207" t="s">
        <v>1298</v>
      </c>
      <c r="G2207" s="28"/>
      <c r="X2207" s="40"/>
      <c r="Y2207" s="40"/>
    </row>
    <row r="2208" spans="5:25" x14ac:dyDescent="0.35">
      <c r="E2208" t="s">
        <v>210</v>
      </c>
      <c r="F2208" t="s">
        <v>1659</v>
      </c>
      <c r="G2208" s="28"/>
      <c r="X2208" s="40"/>
      <c r="Y2208" s="40"/>
    </row>
    <row r="2209" spans="5:25" x14ac:dyDescent="0.35">
      <c r="E2209" t="s">
        <v>210</v>
      </c>
      <c r="F2209" t="s">
        <v>1660</v>
      </c>
      <c r="G2209" s="28"/>
      <c r="X2209" s="40"/>
      <c r="Y2209" s="40"/>
    </row>
    <row r="2210" spans="5:25" x14ac:dyDescent="0.35">
      <c r="E2210" t="s">
        <v>210</v>
      </c>
      <c r="F2210" t="s">
        <v>1661</v>
      </c>
      <c r="G2210" s="28"/>
      <c r="X2210" s="40"/>
      <c r="Y2210" s="40"/>
    </row>
    <row r="2211" spans="5:25" x14ac:dyDescent="0.35">
      <c r="E2211" t="s">
        <v>210</v>
      </c>
      <c r="F2211" t="s">
        <v>394</v>
      </c>
      <c r="G2211" s="28"/>
      <c r="X2211" s="40"/>
      <c r="Y2211" s="40"/>
    </row>
    <row r="2212" spans="5:25" x14ac:dyDescent="0.35">
      <c r="E2212" t="s">
        <v>210</v>
      </c>
      <c r="F2212" t="s">
        <v>1662</v>
      </c>
      <c r="G2212" s="28"/>
      <c r="X2212" s="40"/>
      <c r="Y2212" s="40"/>
    </row>
    <row r="2213" spans="5:25" x14ac:dyDescent="0.35">
      <c r="E2213" t="s">
        <v>210</v>
      </c>
      <c r="F2213" t="s">
        <v>1663</v>
      </c>
      <c r="G2213" s="28"/>
      <c r="X2213" s="40"/>
      <c r="Y2213" s="40"/>
    </row>
    <row r="2214" spans="5:25" x14ac:dyDescent="0.35">
      <c r="E2214" t="s">
        <v>210</v>
      </c>
      <c r="F2214" t="s">
        <v>1664</v>
      </c>
      <c r="G2214" s="28"/>
      <c r="X2214" s="40"/>
      <c r="Y2214" s="40"/>
    </row>
    <row r="2215" spans="5:25" x14ac:dyDescent="0.35">
      <c r="E2215" t="s">
        <v>211</v>
      </c>
      <c r="F2215" t="s">
        <v>594</v>
      </c>
      <c r="G2215" s="28"/>
      <c r="X2215" s="40"/>
      <c r="Y2215" s="40"/>
    </row>
    <row r="2216" spans="5:25" x14ac:dyDescent="0.35">
      <c r="E2216" t="s">
        <v>211</v>
      </c>
      <c r="F2216" t="s">
        <v>400</v>
      </c>
      <c r="G2216" s="28"/>
      <c r="X2216" s="40"/>
      <c r="Y2216" s="40"/>
    </row>
    <row r="2217" spans="5:25" x14ac:dyDescent="0.35">
      <c r="E2217" t="s">
        <v>211</v>
      </c>
      <c r="F2217" t="s">
        <v>1665</v>
      </c>
      <c r="G2217" s="28"/>
      <c r="X2217" s="40"/>
      <c r="Y2217" s="40"/>
    </row>
    <row r="2218" spans="5:25" x14ac:dyDescent="0.35">
      <c r="E2218" t="s">
        <v>211</v>
      </c>
      <c r="F2218" t="s">
        <v>1666</v>
      </c>
      <c r="G2218" s="28"/>
      <c r="X2218" s="40"/>
      <c r="Y2218" s="40"/>
    </row>
    <row r="2219" spans="5:25" x14ac:dyDescent="0.35">
      <c r="E2219" t="s">
        <v>211</v>
      </c>
      <c r="F2219" t="s">
        <v>407</v>
      </c>
      <c r="G2219" s="28"/>
      <c r="X2219" s="40"/>
      <c r="Y2219" s="40"/>
    </row>
    <row r="2220" spans="5:25" x14ac:dyDescent="0.35">
      <c r="E2220" t="s">
        <v>211</v>
      </c>
      <c r="F2220" t="s">
        <v>1510</v>
      </c>
      <c r="G2220" s="28"/>
      <c r="X2220" s="40"/>
      <c r="Y2220" s="40"/>
    </row>
    <row r="2221" spans="5:25" x14ac:dyDescent="0.35">
      <c r="E2221" t="s">
        <v>211</v>
      </c>
      <c r="F2221" t="s">
        <v>1667</v>
      </c>
      <c r="G2221" s="28"/>
      <c r="X2221" s="40"/>
      <c r="Y2221" s="40"/>
    </row>
    <row r="2222" spans="5:25" x14ac:dyDescent="0.35">
      <c r="E2222" t="s">
        <v>211</v>
      </c>
      <c r="F2222" t="s">
        <v>1529</v>
      </c>
      <c r="G2222" s="28"/>
      <c r="X2222" s="40"/>
      <c r="Y2222" s="40"/>
    </row>
    <row r="2223" spans="5:25" x14ac:dyDescent="0.35">
      <c r="E2223" t="s">
        <v>211</v>
      </c>
      <c r="F2223" t="s">
        <v>1668</v>
      </c>
      <c r="G2223" s="28"/>
      <c r="X2223" s="40"/>
      <c r="Y2223" s="40"/>
    </row>
    <row r="2224" spans="5:25" x14ac:dyDescent="0.35">
      <c r="E2224" t="s">
        <v>211</v>
      </c>
      <c r="F2224" t="s">
        <v>544</v>
      </c>
      <c r="G2224" s="28"/>
      <c r="X2224" s="40"/>
      <c r="Y2224" s="40"/>
    </row>
    <row r="2225" spans="5:25" x14ac:dyDescent="0.35">
      <c r="E2225" t="s">
        <v>211</v>
      </c>
      <c r="F2225" t="s">
        <v>1669</v>
      </c>
      <c r="G2225" s="28"/>
      <c r="X2225" s="40"/>
      <c r="Y2225" s="40"/>
    </row>
    <row r="2226" spans="5:25" x14ac:dyDescent="0.35">
      <c r="E2226" t="s">
        <v>211</v>
      </c>
      <c r="F2226" t="s">
        <v>418</v>
      </c>
      <c r="G2226" s="28"/>
      <c r="X2226" s="40"/>
      <c r="Y2226" s="40"/>
    </row>
    <row r="2227" spans="5:25" x14ac:dyDescent="0.35">
      <c r="E2227" t="s">
        <v>211</v>
      </c>
      <c r="F2227" t="s">
        <v>1670</v>
      </c>
      <c r="G2227" s="28"/>
      <c r="X2227" s="40"/>
      <c r="Y2227" s="40"/>
    </row>
    <row r="2228" spans="5:25" x14ac:dyDescent="0.35">
      <c r="E2228" t="s">
        <v>211</v>
      </c>
      <c r="F2228" t="s">
        <v>1671</v>
      </c>
      <c r="G2228" s="28"/>
      <c r="X2228" s="40"/>
      <c r="Y2228" s="40"/>
    </row>
    <row r="2229" spans="5:25" x14ac:dyDescent="0.35">
      <c r="E2229" t="s">
        <v>211</v>
      </c>
      <c r="F2229" t="s">
        <v>365</v>
      </c>
      <c r="G2229" s="28"/>
      <c r="X2229" s="40"/>
      <c r="Y2229" s="40"/>
    </row>
    <row r="2230" spans="5:25" x14ac:dyDescent="0.35">
      <c r="E2230" t="s">
        <v>211</v>
      </c>
      <c r="F2230" t="s">
        <v>366</v>
      </c>
      <c r="G2230" s="28"/>
      <c r="X2230" s="40"/>
      <c r="Y2230" s="40"/>
    </row>
    <row r="2231" spans="5:25" x14ac:dyDescent="0.35">
      <c r="E2231" t="s">
        <v>211</v>
      </c>
      <c r="F2231" t="s">
        <v>1672</v>
      </c>
      <c r="G2231" s="28"/>
      <c r="X2231" s="40"/>
      <c r="Y2231" s="40"/>
    </row>
    <row r="2232" spans="5:25" x14ac:dyDescent="0.35">
      <c r="E2232" t="s">
        <v>211</v>
      </c>
      <c r="F2232" t="s">
        <v>1673</v>
      </c>
      <c r="G2232" s="28"/>
      <c r="X2232" s="40"/>
      <c r="Y2232" s="40"/>
    </row>
    <row r="2233" spans="5:25" x14ac:dyDescent="0.35">
      <c r="E2233" t="s">
        <v>211</v>
      </c>
      <c r="F2233" t="s">
        <v>486</v>
      </c>
      <c r="G2233" s="28"/>
      <c r="X2233" s="40"/>
      <c r="Y2233" s="40"/>
    </row>
    <row r="2234" spans="5:25" x14ac:dyDescent="0.35">
      <c r="E2234" t="s">
        <v>211</v>
      </c>
      <c r="F2234" t="s">
        <v>959</v>
      </c>
      <c r="G2234" s="28"/>
      <c r="X2234" s="40"/>
      <c r="Y2234" s="40"/>
    </row>
    <row r="2235" spans="5:25" x14ac:dyDescent="0.35">
      <c r="E2235" t="s">
        <v>211</v>
      </c>
      <c r="F2235" t="s">
        <v>426</v>
      </c>
      <c r="G2235" s="28"/>
      <c r="X2235" s="40"/>
      <c r="Y2235" s="40"/>
    </row>
    <row r="2236" spans="5:25" x14ac:dyDescent="0.35">
      <c r="E2236" t="s">
        <v>211</v>
      </c>
      <c r="F2236" t="s">
        <v>784</v>
      </c>
      <c r="G2236" s="28"/>
      <c r="X2236" s="40"/>
      <c r="Y2236" s="40"/>
    </row>
    <row r="2237" spans="5:25" x14ac:dyDescent="0.35">
      <c r="E2237" t="s">
        <v>211</v>
      </c>
      <c r="F2237" t="s">
        <v>1674</v>
      </c>
      <c r="G2237" s="28"/>
      <c r="X2237" s="40"/>
      <c r="Y2237" s="40"/>
    </row>
    <row r="2238" spans="5:25" x14ac:dyDescent="0.35">
      <c r="E2238" t="s">
        <v>211</v>
      </c>
      <c r="F2238" t="s">
        <v>376</v>
      </c>
      <c r="G2238" s="28"/>
      <c r="X2238" s="40"/>
      <c r="Y2238" s="40"/>
    </row>
    <row r="2239" spans="5:25" x14ac:dyDescent="0.35">
      <c r="E2239" t="s">
        <v>211</v>
      </c>
      <c r="F2239" t="s">
        <v>1610</v>
      </c>
      <c r="G2239" s="28"/>
      <c r="X2239" s="40"/>
      <c r="Y2239" s="40"/>
    </row>
    <row r="2240" spans="5:25" x14ac:dyDescent="0.35">
      <c r="E2240" t="s">
        <v>211</v>
      </c>
      <c r="F2240" t="s">
        <v>1675</v>
      </c>
      <c r="G2240" s="28"/>
      <c r="X2240" s="40"/>
      <c r="Y2240" s="40"/>
    </row>
    <row r="2241" spans="5:25" x14ac:dyDescent="0.35">
      <c r="E2241" t="s">
        <v>211</v>
      </c>
      <c r="F2241" t="s">
        <v>437</v>
      </c>
      <c r="G2241" s="28"/>
      <c r="X2241" s="40"/>
      <c r="Y2241" s="40"/>
    </row>
    <row r="2242" spans="5:25" x14ac:dyDescent="0.35">
      <c r="E2242" t="s">
        <v>211</v>
      </c>
      <c r="F2242" t="s">
        <v>984</v>
      </c>
      <c r="G2242" s="28"/>
      <c r="X2242" s="40"/>
      <c r="Y2242" s="40"/>
    </row>
    <row r="2243" spans="5:25" x14ac:dyDescent="0.35">
      <c r="E2243" t="s">
        <v>211</v>
      </c>
      <c r="F2243" t="s">
        <v>1676</v>
      </c>
      <c r="G2243" s="28"/>
      <c r="X2243" s="40"/>
      <c r="Y2243" s="40"/>
    </row>
    <row r="2244" spans="5:25" x14ac:dyDescent="0.35">
      <c r="E2244" t="s">
        <v>211</v>
      </c>
      <c r="F2244" t="s">
        <v>1677</v>
      </c>
      <c r="G2244" s="28"/>
      <c r="X2244" s="40"/>
      <c r="Y2244" s="40"/>
    </row>
    <row r="2245" spans="5:25" x14ac:dyDescent="0.35">
      <c r="E2245" t="s">
        <v>211</v>
      </c>
      <c r="F2245" t="s">
        <v>449</v>
      </c>
      <c r="G2245" s="28"/>
      <c r="X2245" s="40"/>
      <c r="Y2245" s="40"/>
    </row>
    <row r="2246" spans="5:25" x14ac:dyDescent="0.35">
      <c r="E2246" t="s">
        <v>211</v>
      </c>
      <c r="F2246" t="s">
        <v>1678</v>
      </c>
      <c r="G2246" s="28"/>
      <c r="X2246" s="40"/>
      <c r="Y2246" s="40"/>
    </row>
    <row r="2247" spans="5:25" x14ac:dyDescent="0.35">
      <c r="E2247" t="s">
        <v>211</v>
      </c>
      <c r="F2247" t="s">
        <v>1679</v>
      </c>
      <c r="G2247" s="28"/>
      <c r="X2247" s="40"/>
      <c r="Y2247" s="40"/>
    </row>
    <row r="2248" spans="5:25" x14ac:dyDescent="0.35">
      <c r="E2248" t="s">
        <v>211</v>
      </c>
      <c r="F2248" t="s">
        <v>394</v>
      </c>
      <c r="G2248" s="28"/>
      <c r="X2248" s="40"/>
      <c r="Y2248" s="40"/>
    </row>
    <row r="2249" spans="5:25" x14ac:dyDescent="0.35">
      <c r="E2249" t="s">
        <v>211</v>
      </c>
      <c r="F2249" t="s">
        <v>747</v>
      </c>
      <c r="G2249" s="28"/>
      <c r="X2249" s="40"/>
      <c r="Y2249" s="40"/>
    </row>
    <row r="2250" spans="5:25" x14ac:dyDescent="0.35">
      <c r="E2250" t="s">
        <v>211</v>
      </c>
      <c r="F2250" t="s">
        <v>1680</v>
      </c>
      <c r="G2250" s="28"/>
      <c r="X2250" s="40"/>
      <c r="Y2250" s="40"/>
    </row>
    <row r="2251" spans="5:25" x14ac:dyDescent="0.35">
      <c r="E2251" t="s">
        <v>212</v>
      </c>
      <c r="F2251" t="s">
        <v>526</v>
      </c>
      <c r="G2251" s="28"/>
      <c r="X2251" s="40"/>
      <c r="Y2251" s="40"/>
    </row>
    <row r="2252" spans="5:25" x14ac:dyDescent="0.35">
      <c r="E2252" t="s">
        <v>212</v>
      </c>
      <c r="F2252" t="s">
        <v>1681</v>
      </c>
      <c r="G2252" s="28"/>
      <c r="X2252" s="40"/>
      <c r="Y2252" s="40"/>
    </row>
    <row r="2253" spans="5:25" x14ac:dyDescent="0.35">
      <c r="E2253" t="s">
        <v>212</v>
      </c>
      <c r="F2253" t="s">
        <v>1682</v>
      </c>
      <c r="G2253" s="28"/>
      <c r="X2253" s="40"/>
      <c r="Y2253" s="40"/>
    </row>
    <row r="2254" spans="5:25" x14ac:dyDescent="0.35">
      <c r="E2254" t="s">
        <v>212</v>
      </c>
      <c r="F2254" t="s">
        <v>1626</v>
      </c>
      <c r="G2254" s="28"/>
      <c r="X2254" s="40"/>
      <c r="Y2254" s="40"/>
    </row>
    <row r="2255" spans="5:25" x14ac:dyDescent="0.35">
      <c r="E2255" t="s">
        <v>212</v>
      </c>
      <c r="F2255" t="s">
        <v>1683</v>
      </c>
      <c r="G2255" s="28"/>
      <c r="X2255" s="40"/>
      <c r="Y2255" s="40"/>
    </row>
    <row r="2256" spans="5:25" x14ac:dyDescent="0.35">
      <c r="E2256" t="s">
        <v>212</v>
      </c>
      <c r="F2256" t="s">
        <v>1684</v>
      </c>
      <c r="G2256" s="28"/>
      <c r="X2256" s="40"/>
      <c r="Y2256" s="40"/>
    </row>
    <row r="2257" spans="5:25" x14ac:dyDescent="0.35">
      <c r="E2257" t="s">
        <v>212</v>
      </c>
      <c r="F2257" t="s">
        <v>1685</v>
      </c>
      <c r="G2257" s="28"/>
      <c r="X2257" s="40"/>
      <c r="Y2257" s="40"/>
    </row>
    <row r="2258" spans="5:25" x14ac:dyDescent="0.35">
      <c r="E2258" t="s">
        <v>212</v>
      </c>
      <c r="F2258" t="s">
        <v>596</v>
      </c>
      <c r="G2258" s="28"/>
      <c r="X2258" s="40"/>
      <c r="Y2258" s="40"/>
    </row>
    <row r="2259" spans="5:25" x14ac:dyDescent="0.35">
      <c r="E2259" t="s">
        <v>212</v>
      </c>
      <c r="F2259" t="s">
        <v>1686</v>
      </c>
      <c r="G2259" s="28"/>
      <c r="X2259" s="40"/>
      <c r="Y2259" s="40"/>
    </row>
    <row r="2260" spans="5:25" x14ac:dyDescent="0.35">
      <c r="E2260" t="s">
        <v>212</v>
      </c>
      <c r="F2260" t="s">
        <v>336</v>
      </c>
      <c r="G2260" s="28"/>
      <c r="X2260" s="40"/>
      <c r="Y2260" s="40"/>
    </row>
    <row r="2261" spans="5:25" x14ac:dyDescent="0.35">
      <c r="E2261" t="s">
        <v>212</v>
      </c>
      <c r="F2261" t="s">
        <v>1687</v>
      </c>
      <c r="G2261" s="28"/>
      <c r="X2261" s="40"/>
      <c r="Y2261" s="40"/>
    </row>
    <row r="2262" spans="5:25" x14ac:dyDescent="0.35">
      <c r="E2262" t="s">
        <v>212</v>
      </c>
      <c r="F2262" t="s">
        <v>1061</v>
      </c>
      <c r="G2262" s="28"/>
      <c r="X2262" s="40"/>
      <c r="Y2262" s="40"/>
    </row>
    <row r="2263" spans="5:25" x14ac:dyDescent="0.35">
      <c r="E2263" t="s">
        <v>212</v>
      </c>
      <c r="F2263" t="s">
        <v>1338</v>
      </c>
      <c r="G2263" s="28"/>
      <c r="X2263" s="40"/>
      <c r="Y2263" s="40"/>
    </row>
    <row r="2264" spans="5:25" x14ac:dyDescent="0.35">
      <c r="E2264" t="s">
        <v>212</v>
      </c>
      <c r="F2264" t="s">
        <v>1688</v>
      </c>
      <c r="G2264" s="28"/>
      <c r="X2264" s="40"/>
      <c r="Y2264" s="40"/>
    </row>
    <row r="2265" spans="5:25" x14ac:dyDescent="0.35">
      <c r="E2265" t="s">
        <v>212</v>
      </c>
      <c r="F2265" t="s">
        <v>1689</v>
      </c>
      <c r="G2265" s="28"/>
      <c r="X2265" s="40"/>
      <c r="Y2265" s="40"/>
    </row>
    <row r="2266" spans="5:25" x14ac:dyDescent="0.35">
      <c r="E2266" t="s">
        <v>212</v>
      </c>
      <c r="F2266" t="s">
        <v>1690</v>
      </c>
      <c r="G2266" s="28"/>
      <c r="X2266" s="40"/>
      <c r="Y2266" s="40"/>
    </row>
    <row r="2267" spans="5:25" x14ac:dyDescent="0.35">
      <c r="E2267" t="s">
        <v>212</v>
      </c>
      <c r="F2267" t="s">
        <v>1691</v>
      </c>
      <c r="G2267" s="28"/>
      <c r="X2267" s="40"/>
      <c r="Y2267" s="40"/>
    </row>
    <row r="2268" spans="5:25" x14ac:dyDescent="0.35">
      <c r="E2268" t="s">
        <v>212</v>
      </c>
      <c r="F2268" t="s">
        <v>769</v>
      </c>
      <c r="G2268" s="28"/>
      <c r="X2268" s="40"/>
      <c r="Y2268" s="40"/>
    </row>
    <row r="2269" spans="5:25" x14ac:dyDescent="0.35">
      <c r="E2269" t="s">
        <v>212</v>
      </c>
      <c r="F2269" t="s">
        <v>407</v>
      </c>
      <c r="G2269" s="28"/>
      <c r="X2269" s="40"/>
      <c r="Y2269" s="40"/>
    </row>
    <row r="2270" spans="5:25" x14ac:dyDescent="0.35">
      <c r="E2270" t="s">
        <v>212</v>
      </c>
      <c r="F2270" t="s">
        <v>410</v>
      </c>
      <c r="G2270" s="28"/>
      <c r="X2270" s="40"/>
      <c r="Y2270" s="40"/>
    </row>
    <row r="2271" spans="5:25" x14ac:dyDescent="0.35">
      <c r="E2271" t="s">
        <v>212</v>
      </c>
      <c r="F2271" t="s">
        <v>849</v>
      </c>
      <c r="G2271" s="28"/>
      <c r="X2271" s="40"/>
      <c r="Y2271" s="40"/>
    </row>
    <row r="2272" spans="5:25" x14ac:dyDescent="0.35">
      <c r="E2272" t="s">
        <v>212</v>
      </c>
      <c r="F2272" t="s">
        <v>1692</v>
      </c>
      <c r="G2272" s="28"/>
      <c r="X2272" s="40"/>
      <c r="Y2272" s="40"/>
    </row>
    <row r="2273" spans="5:25" x14ac:dyDescent="0.35">
      <c r="E2273" t="s">
        <v>212</v>
      </c>
      <c r="F2273" t="s">
        <v>771</v>
      </c>
      <c r="G2273" s="28"/>
      <c r="X2273" s="40"/>
      <c r="Y2273" s="40"/>
    </row>
    <row r="2274" spans="5:25" x14ac:dyDescent="0.35">
      <c r="E2274" t="s">
        <v>212</v>
      </c>
      <c r="F2274" t="s">
        <v>942</v>
      </c>
      <c r="G2274" s="28"/>
      <c r="X2274" s="40"/>
      <c r="Y2274" s="40"/>
    </row>
    <row r="2275" spans="5:25" x14ac:dyDescent="0.35">
      <c r="E2275" t="s">
        <v>212</v>
      </c>
      <c r="F2275" t="s">
        <v>1568</v>
      </c>
      <c r="G2275" s="28"/>
      <c r="X2275" s="40"/>
      <c r="Y2275" s="40"/>
    </row>
    <row r="2276" spans="5:25" x14ac:dyDescent="0.35">
      <c r="E2276" t="s">
        <v>212</v>
      </c>
      <c r="F2276" t="s">
        <v>358</v>
      </c>
      <c r="G2276" s="28"/>
      <c r="X2276" s="40"/>
      <c r="Y2276" s="40"/>
    </row>
    <row r="2277" spans="5:25" x14ac:dyDescent="0.35">
      <c r="E2277" t="s">
        <v>212</v>
      </c>
      <c r="F2277" t="s">
        <v>1693</v>
      </c>
      <c r="G2277" s="28"/>
      <c r="X2277" s="40"/>
      <c r="Y2277" s="40"/>
    </row>
    <row r="2278" spans="5:25" x14ac:dyDescent="0.35">
      <c r="E2278" t="s">
        <v>212</v>
      </c>
      <c r="F2278" t="s">
        <v>359</v>
      </c>
      <c r="G2278" s="28"/>
      <c r="X2278" s="40"/>
      <c r="Y2278" s="40"/>
    </row>
    <row r="2279" spans="5:25" x14ac:dyDescent="0.35">
      <c r="E2279" t="s">
        <v>212</v>
      </c>
      <c r="F2279" t="s">
        <v>416</v>
      </c>
      <c r="G2279" s="28"/>
      <c r="X2279" s="40"/>
      <c r="Y2279" s="40"/>
    </row>
    <row r="2280" spans="5:25" x14ac:dyDescent="0.35">
      <c r="E2280" t="s">
        <v>212</v>
      </c>
      <c r="F2280" t="s">
        <v>361</v>
      </c>
      <c r="G2280" s="28"/>
      <c r="X2280" s="40"/>
      <c r="Y2280" s="40"/>
    </row>
    <row r="2281" spans="5:25" x14ac:dyDescent="0.35">
      <c r="E2281" t="s">
        <v>212</v>
      </c>
      <c r="F2281" t="s">
        <v>1694</v>
      </c>
      <c r="G2281" s="28"/>
      <c r="X2281" s="40"/>
      <c r="Y2281" s="40"/>
    </row>
    <row r="2282" spans="5:25" x14ac:dyDescent="0.35">
      <c r="E2282" t="s">
        <v>212</v>
      </c>
      <c r="F2282" t="s">
        <v>1695</v>
      </c>
      <c r="G2282" s="28"/>
      <c r="X2282" s="40"/>
      <c r="Y2282" s="40"/>
    </row>
    <row r="2283" spans="5:25" x14ac:dyDescent="0.35">
      <c r="E2283" t="s">
        <v>212</v>
      </c>
      <c r="F2283" t="s">
        <v>366</v>
      </c>
      <c r="G2283" s="28"/>
      <c r="X2283" s="40"/>
      <c r="Y2283" s="40"/>
    </row>
    <row r="2284" spans="5:25" x14ac:dyDescent="0.35">
      <c r="E2284" t="s">
        <v>212</v>
      </c>
      <c r="F2284" t="s">
        <v>1696</v>
      </c>
      <c r="G2284" s="28"/>
      <c r="X2284" s="40"/>
      <c r="Y2284" s="40"/>
    </row>
    <row r="2285" spans="5:25" x14ac:dyDescent="0.35">
      <c r="E2285" t="s">
        <v>212</v>
      </c>
      <c r="F2285" t="s">
        <v>1697</v>
      </c>
      <c r="G2285" s="28"/>
      <c r="X2285" s="40"/>
      <c r="Y2285" s="40"/>
    </row>
    <row r="2286" spans="5:25" x14ac:dyDescent="0.35">
      <c r="E2286" t="s">
        <v>212</v>
      </c>
      <c r="F2286" t="s">
        <v>1493</v>
      </c>
      <c r="G2286" s="28"/>
      <c r="X2286" s="40"/>
      <c r="Y2286" s="40"/>
    </row>
    <row r="2287" spans="5:25" x14ac:dyDescent="0.35">
      <c r="E2287" t="s">
        <v>212</v>
      </c>
      <c r="F2287" t="s">
        <v>369</v>
      </c>
      <c r="G2287" s="28"/>
      <c r="X2287" s="40"/>
      <c r="Y2287" s="40"/>
    </row>
    <row r="2288" spans="5:25" x14ac:dyDescent="0.35">
      <c r="E2288" t="s">
        <v>212</v>
      </c>
      <c r="F2288" t="s">
        <v>1698</v>
      </c>
      <c r="G2288" s="28"/>
      <c r="X2288" s="40"/>
      <c r="Y2288" s="40"/>
    </row>
    <row r="2289" spans="5:25" x14ac:dyDescent="0.35">
      <c r="E2289" t="s">
        <v>212</v>
      </c>
      <c r="F2289" t="s">
        <v>1699</v>
      </c>
      <c r="G2289" s="28"/>
      <c r="X2289" s="40"/>
      <c r="Y2289" s="40"/>
    </row>
    <row r="2290" spans="5:25" x14ac:dyDescent="0.35">
      <c r="E2290" t="s">
        <v>212</v>
      </c>
      <c r="F2290" t="s">
        <v>1700</v>
      </c>
      <c r="G2290" s="28"/>
      <c r="X2290" s="40"/>
      <c r="Y2290" s="40"/>
    </row>
    <row r="2291" spans="5:25" x14ac:dyDescent="0.35">
      <c r="E2291" t="s">
        <v>212</v>
      </c>
      <c r="F2291" t="s">
        <v>1701</v>
      </c>
      <c r="G2291" s="28"/>
      <c r="X2291" s="40"/>
      <c r="Y2291" s="40"/>
    </row>
    <row r="2292" spans="5:25" x14ac:dyDescent="0.35">
      <c r="E2292" t="s">
        <v>212</v>
      </c>
      <c r="F2292" t="s">
        <v>1702</v>
      </c>
      <c r="G2292" s="28"/>
      <c r="X2292" s="40"/>
      <c r="Y2292" s="40"/>
    </row>
    <row r="2293" spans="5:25" x14ac:dyDescent="0.35">
      <c r="E2293" t="s">
        <v>212</v>
      </c>
      <c r="F2293" t="s">
        <v>873</v>
      </c>
      <c r="G2293" s="28"/>
      <c r="X2293" s="40"/>
      <c r="Y2293" s="40"/>
    </row>
    <row r="2294" spans="5:25" x14ac:dyDescent="0.35">
      <c r="E2294" t="s">
        <v>212</v>
      </c>
      <c r="F2294" t="s">
        <v>1703</v>
      </c>
      <c r="G2294" s="28"/>
      <c r="X2294" s="40"/>
      <c r="Y2294" s="40"/>
    </row>
    <row r="2295" spans="5:25" x14ac:dyDescent="0.35">
      <c r="E2295" t="s">
        <v>212</v>
      </c>
      <c r="F2295" t="s">
        <v>379</v>
      </c>
      <c r="G2295" s="28"/>
      <c r="X2295" s="40"/>
      <c r="Y2295" s="40"/>
    </row>
    <row r="2296" spans="5:25" x14ac:dyDescent="0.35">
      <c r="E2296" t="s">
        <v>212</v>
      </c>
      <c r="F2296" t="s">
        <v>380</v>
      </c>
      <c r="G2296" s="28"/>
      <c r="X2296" s="40"/>
      <c r="Y2296" s="40"/>
    </row>
    <row r="2297" spans="5:25" x14ac:dyDescent="0.35">
      <c r="E2297" t="s">
        <v>212</v>
      </c>
      <c r="F2297" t="s">
        <v>1704</v>
      </c>
      <c r="G2297" s="28"/>
      <c r="X2297" s="40"/>
      <c r="Y2297" s="40"/>
    </row>
    <row r="2298" spans="5:25" x14ac:dyDescent="0.35">
      <c r="E2298" t="s">
        <v>212</v>
      </c>
      <c r="F2298" t="s">
        <v>1413</v>
      </c>
      <c r="G2298" s="28"/>
      <c r="X2298" s="40"/>
      <c r="Y2298" s="40"/>
    </row>
    <row r="2299" spans="5:25" x14ac:dyDescent="0.35">
      <c r="E2299" t="s">
        <v>212</v>
      </c>
      <c r="F2299" t="s">
        <v>1705</v>
      </c>
      <c r="G2299" s="28"/>
      <c r="X2299" s="40"/>
      <c r="Y2299" s="40"/>
    </row>
    <row r="2300" spans="5:25" x14ac:dyDescent="0.35">
      <c r="E2300" t="s">
        <v>212</v>
      </c>
      <c r="F2300" t="s">
        <v>382</v>
      </c>
      <c r="G2300" s="28"/>
      <c r="X2300" s="40"/>
      <c r="Y2300" s="40"/>
    </row>
    <row r="2301" spans="5:25" x14ac:dyDescent="0.35">
      <c r="E2301" t="s">
        <v>212</v>
      </c>
      <c r="F2301" t="s">
        <v>1706</v>
      </c>
      <c r="G2301" s="28"/>
      <c r="X2301" s="40"/>
      <c r="Y2301" s="40"/>
    </row>
    <row r="2302" spans="5:25" x14ac:dyDescent="0.35">
      <c r="E2302" t="s">
        <v>212</v>
      </c>
      <c r="F2302" t="s">
        <v>384</v>
      </c>
      <c r="G2302" s="28"/>
      <c r="X2302" s="40"/>
      <c r="Y2302" s="40"/>
    </row>
    <row r="2303" spans="5:25" x14ac:dyDescent="0.35">
      <c r="E2303" t="s">
        <v>212</v>
      </c>
      <c r="F2303" t="s">
        <v>1707</v>
      </c>
      <c r="G2303" s="28"/>
      <c r="X2303" s="40"/>
      <c r="Y2303" s="40"/>
    </row>
    <row r="2304" spans="5:25" x14ac:dyDescent="0.35">
      <c r="E2304" t="s">
        <v>212</v>
      </c>
      <c r="F2304" t="s">
        <v>1708</v>
      </c>
      <c r="G2304" s="28"/>
      <c r="X2304" s="40"/>
      <c r="Y2304" s="40"/>
    </row>
    <row r="2305" spans="5:25" x14ac:dyDescent="0.35">
      <c r="E2305" t="s">
        <v>212</v>
      </c>
      <c r="F2305" t="s">
        <v>1709</v>
      </c>
      <c r="G2305" s="28"/>
      <c r="X2305" s="40"/>
      <c r="Y2305" s="40"/>
    </row>
    <row r="2306" spans="5:25" x14ac:dyDescent="0.35">
      <c r="E2306" t="s">
        <v>212</v>
      </c>
      <c r="F2306" t="s">
        <v>1124</v>
      </c>
      <c r="G2306" s="28"/>
      <c r="X2306" s="40"/>
      <c r="Y2306" s="40"/>
    </row>
    <row r="2307" spans="5:25" x14ac:dyDescent="0.35">
      <c r="E2307" t="s">
        <v>212</v>
      </c>
      <c r="F2307" t="s">
        <v>920</v>
      </c>
      <c r="G2307" s="28"/>
      <c r="X2307" s="40"/>
      <c r="Y2307" s="40"/>
    </row>
    <row r="2308" spans="5:25" x14ac:dyDescent="0.35">
      <c r="E2308" t="s">
        <v>212</v>
      </c>
      <c r="F2308" t="s">
        <v>1710</v>
      </c>
      <c r="G2308" s="28"/>
      <c r="X2308" s="40"/>
      <c r="Y2308" s="40"/>
    </row>
    <row r="2309" spans="5:25" x14ac:dyDescent="0.35">
      <c r="E2309" t="s">
        <v>212</v>
      </c>
      <c r="F2309" t="s">
        <v>1583</v>
      </c>
      <c r="G2309" s="28"/>
      <c r="X2309" s="40"/>
      <c r="Y2309" s="40"/>
    </row>
    <row r="2310" spans="5:25" x14ac:dyDescent="0.35">
      <c r="E2310" t="s">
        <v>212</v>
      </c>
      <c r="F2310" t="s">
        <v>449</v>
      </c>
      <c r="G2310" s="28"/>
      <c r="X2310" s="40"/>
      <c r="Y2310" s="40"/>
    </row>
    <row r="2311" spans="5:25" x14ac:dyDescent="0.35">
      <c r="E2311" t="s">
        <v>212</v>
      </c>
      <c r="F2311" t="s">
        <v>1711</v>
      </c>
      <c r="G2311" s="28"/>
      <c r="X2311" s="40"/>
      <c r="Y2311" s="40"/>
    </row>
    <row r="2312" spans="5:25" x14ac:dyDescent="0.35">
      <c r="E2312" t="s">
        <v>212</v>
      </c>
      <c r="F2312" t="s">
        <v>744</v>
      </c>
      <c r="G2312" s="28"/>
      <c r="X2312" s="40"/>
      <c r="Y2312" s="40"/>
    </row>
    <row r="2313" spans="5:25" x14ac:dyDescent="0.35">
      <c r="E2313" t="s">
        <v>212</v>
      </c>
      <c r="F2313" t="s">
        <v>394</v>
      </c>
      <c r="G2313" s="28"/>
      <c r="X2313" s="40"/>
      <c r="Y2313" s="40"/>
    </row>
    <row r="2314" spans="5:25" x14ac:dyDescent="0.35">
      <c r="E2314" t="s">
        <v>212</v>
      </c>
      <c r="F2314" t="s">
        <v>745</v>
      </c>
      <c r="G2314" s="28"/>
      <c r="X2314" s="40"/>
      <c r="Y2314" s="40"/>
    </row>
    <row r="2315" spans="5:25" x14ac:dyDescent="0.35">
      <c r="E2315" t="s">
        <v>212</v>
      </c>
      <c r="F2315" t="s">
        <v>1712</v>
      </c>
      <c r="G2315" s="28"/>
      <c r="X2315" s="40"/>
      <c r="Y2315" s="40"/>
    </row>
    <row r="2316" spans="5:25" x14ac:dyDescent="0.35">
      <c r="E2316" t="s">
        <v>212</v>
      </c>
      <c r="F2316" t="s">
        <v>1587</v>
      </c>
      <c r="G2316" s="28"/>
      <c r="X2316" s="40"/>
      <c r="Y2316" s="40"/>
    </row>
    <row r="2317" spans="5:25" x14ac:dyDescent="0.35">
      <c r="E2317" t="s">
        <v>212</v>
      </c>
      <c r="F2317" t="s">
        <v>1134</v>
      </c>
      <c r="G2317" s="28"/>
      <c r="X2317" s="40"/>
      <c r="Y2317" s="40"/>
    </row>
    <row r="2318" spans="5:25" x14ac:dyDescent="0.35">
      <c r="E2318" t="s">
        <v>298</v>
      </c>
      <c r="F2318" t="s">
        <v>1713</v>
      </c>
      <c r="G2318" s="28"/>
      <c r="X2318" s="40"/>
      <c r="Y2318" s="40"/>
    </row>
    <row r="2319" spans="5:25" x14ac:dyDescent="0.35">
      <c r="E2319" t="s">
        <v>298</v>
      </c>
      <c r="F2319" t="s">
        <v>1714</v>
      </c>
      <c r="G2319" s="28"/>
      <c r="X2319" s="40"/>
      <c r="Y2319" s="40"/>
    </row>
    <row r="2320" spans="5:25" x14ac:dyDescent="0.35">
      <c r="E2320" t="s">
        <v>298</v>
      </c>
      <c r="F2320" t="s">
        <v>1715</v>
      </c>
      <c r="G2320" s="28"/>
      <c r="X2320" s="40"/>
      <c r="Y2320" s="40"/>
    </row>
    <row r="2321" spans="5:25" x14ac:dyDescent="0.35">
      <c r="E2321" t="s">
        <v>298</v>
      </c>
      <c r="F2321" t="s">
        <v>1716</v>
      </c>
      <c r="G2321" s="28"/>
      <c r="X2321" s="40"/>
      <c r="Y2321" s="40"/>
    </row>
    <row r="2322" spans="5:25" x14ac:dyDescent="0.35">
      <c r="E2322" t="s">
        <v>298</v>
      </c>
      <c r="F2322" t="s">
        <v>1717</v>
      </c>
      <c r="G2322" s="28"/>
      <c r="X2322" s="40"/>
      <c r="Y2322" s="40"/>
    </row>
    <row r="2323" spans="5:25" x14ac:dyDescent="0.35">
      <c r="E2323" t="s">
        <v>298</v>
      </c>
      <c r="F2323" t="s">
        <v>1718</v>
      </c>
      <c r="G2323" s="28"/>
      <c r="X2323" s="40"/>
      <c r="Y2323" s="40"/>
    </row>
    <row r="2324" spans="5:25" x14ac:dyDescent="0.35">
      <c r="E2324" t="s">
        <v>298</v>
      </c>
      <c r="F2324" t="s">
        <v>1719</v>
      </c>
      <c r="G2324" s="28"/>
      <c r="X2324" s="40"/>
      <c r="Y2324" s="40"/>
    </row>
    <row r="2325" spans="5:25" x14ac:dyDescent="0.35">
      <c r="E2325" t="s">
        <v>298</v>
      </c>
      <c r="F2325" t="s">
        <v>1720</v>
      </c>
      <c r="G2325" s="28"/>
      <c r="X2325" s="40"/>
      <c r="Y2325" s="40"/>
    </row>
    <row r="2326" spans="5:25" x14ac:dyDescent="0.35">
      <c r="E2326" t="s">
        <v>298</v>
      </c>
      <c r="F2326" t="s">
        <v>1721</v>
      </c>
      <c r="G2326" s="28"/>
      <c r="X2326" s="40"/>
      <c r="Y2326" s="40"/>
    </row>
    <row r="2327" spans="5:25" x14ac:dyDescent="0.35">
      <c r="E2327" t="s">
        <v>298</v>
      </c>
      <c r="F2327" t="s">
        <v>1722</v>
      </c>
      <c r="G2327" s="28"/>
      <c r="X2327" s="40"/>
      <c r="Y2327" s="40"/>
    </row>
    <row r="2328" spans="5:25" x14ac:dyDescent="0.35">
      <c r="E2328" t="s">
        <v>298</v>
      </c>
      <c r="F2328" t="s">
        <v>1723</v>
      </c>
      <c r="G2328" s="28"/>
      <c r="X2328" s="40"/>
      <c r="Y2328" s="40"/>
    </row>
    <row r="2329" spans="5:25" x14ac:dyDescent="0.35">
      <c r="E2329" t="s">
        <v>298</v>
      </c>
      <c r="F2329" t="s">
        <v>1724</v>
      </c>
      <c r="G2329" s="28"/>
      <c r="X2329" s="40"/>
      <c r="Y2329" s="40"/>
    </row>
    <row r="2330" spans="5:25" x14ac:dyDescent="0.35">
      <c r="E2330" t="s">
        <v>298</v>
      </c>
      <c r="F2330" t="s">
        <v>1725</v>
      </c>
      <c r="G2330" s="28"/>
      <c r="X2330" s="40"/>
      <c r="Y2330" s="40"/>
    </row>
    <row r="2331" spans="5:25" x14ac:dyDescent="0.35">
      <c r="E2331" t="s">
        <v>298</v>
      </c>
      <c r="F2331" t="s">
        <v>1726</v>
      </c>
      <c r="G2331" s="28"/>
      <c r="X2331" s="40"/>
      <c r="Y2331" s="40"/>
    </row>
    <row r="2332" spans="5:25" x14ac:dyDescent="0.35">
      <c r="E2332" t="s">
        <v>298</v>
      </c>
      <c r="F2332" t="s">
        <v>1727</v>
      </c>
      <c r="G2332" s="28"/>
      <c r="X2332" s="40"/>
      <c r="Y2332" s="40"/>
    </row>
    <row r="2333" spans="5:25" x14ac:dyDescent="0.35">
      <c r="E2333" t="s">
        <v>298</v>
      </c>
      <c r="F2333" t="s">
        <v>1728</v>
      </c>
      <c r="G2333" s="28"/>
      <c r="X2333" s="40"/>
      <c r="Y2333" s="40"/>
    </row>
    <row r="2334" spans="5:25" x14ac:dyDescent="0.35">
      <c r="E2334" t="s">
        <v>298</v>
      </c>
      <c r="F2334" t="s">
        <v>1729</v>
      </c>
      <c r="G2334" s="28"/>
      <c r="X2334" s="40"/>
      <c r="Y2334" s="40"/>
    </row>
    <row r="2335" spans="5:25" x14ac:dyDescent="0.35">
      <c r="E2335" t="s">
        <v>298</v>
      </c>
      <c r="F2335" t="s">
        <v>1730</v>
      </c>
      <c r="G2335" s="28"/>
      <c r="X2335" s="40"/>
      <c r="Y2335" s="40"/>
    </row>
    <row r="2336" spans="5:25" x14ac:dyDescent="0.35">
      <c r="E2336" t="s">
        <v>298</v>
      </c>
      <c r="F2336" t="s">
        <v>1731</v>
      </c>
      <c r="G2336" s="28"/>
      <c r="X2336" s="40"/>
      <c r="Y2336" s="40"/>
    </row>
    <row r="2337" spans="5:25" x14ac:dyDescent="0.35">
      <c r="E2337" t="s">
        <v>298</v>
      </c>
      <c r="F2337" t="s">
        <v>1732</v>
      </c>
      <c r="G2337" s="28"/>
      <c r="X2337" s="40"/>
      <c r="Y2337" s="40"/>
    </row>
    <row r="2338" spans="5:25" x14ac:dyDescent="0.35">
      <c r="E2338" t="s">
        <v>298</v>
      </c>
      <c r="F2338" t="s">
        <v>1733</v>
      </c>
      <c r="G2338" s="28"/>
      <c r="X2338" s="40"/>
      <c r="Y2338" s="40"/>
    </row>
    <row r="2339" spans="5:25" x14ac:dyDescent="0.35">
      <c r="E2339" t="s">
        <v>298</v>
      </c>
      <c r="F2339" t="s">
        <v>1734</v>
      </c>
      <c r="G2339" s="28"/>
      <c r="X2339" s="40"/>
      <c r="Y2339" s="40"/>
    </row>
    <row r="2340" spans="5:25" x14ac:dyDescent="0.35">
      <c r="E2340" t="s">
        <v>298</v>
      </c>
      <c r="F2340" t="s">
        <v>1735</v>
      </c>
      <c r="G2340" s="28"/>
      <c r="X2340" s="40"/>
      <c r="Y2340" s="40"/>
    </row>
    <row r="2341" spans="5:25" x14ac:dyDescent="0.35">
      <c r="E2341" t="s">
        <v>298</v>
      </c>
      <c r="F2341" t="s">
        <v>1736</v>
      </c>
      <c r="G2341" s="28"/>
      <c r="X2341" s="40"/>
      <c r="Y2341" s="40"/>
    </row>
    <row r="2342" spans="5:25" x14ac:dyDescent="0.35">
      <c r="E2342" t="s">
        <v>298</v>
      </c>
      <c r="F2342" t="s">
        <v>1737</v>
      </c>
      <c r="G2342" s="28"/>
      <c r="X2342" s="40"/>
      <c r="Y2342" s="40"/>
    </row>
    <row r="2343" spans="5:25" x14ac:dyDescent="0.35">
      <c r="E2343" t="s">
        <v>298</v>
      </c>
      <c r="F2343" t="s">
        <v>1738</v>
      </c>
      <c r="G2343" s="28"/>
      <c r="X2343" s="40"/>
      <c r="Y2343" s="40"/>
    </row>
    <row r="2344" spans="5:25" x14ac:dyDescent="0.35">
      <c r="E2344" t="s">
        <v>298</v>
      </c>
      <c r="F2344" t="s">
        <v>1739</v>
      </c>
      <c r="G2344" s="28"/>
      <c r="X2344" s="40"/>
      <c r="Y2344" s="40"/>
    </row>
    <row r="2345" spans="5:25" x14ac:dyDescent="0.35">
      <c r="E2345" t="s">
        <v>298</v>
      </c>
      <c r="F2345" t="s">
        <v>1740</v>
      </c>
      <c r="G2345" s="28"/>
      <c r="X2345" s="40"/>
      <c r="Y2345" s="40"/>
    </row>
    <row r="2346" spans="5:25" x14ac:dyDescent="0.35">
      <c r="E2346" t="s">
        <v>298</v>
      </c>
      <c r="F2346" t="s">
        <v>1741</v>
      </c>
      <c r="G2346" s="28"/>
      <c r="X2346" s="40"/>
      <c r="Y2346" s="40"/>
    </row>
    <row r="2347" spans="5:25" x14ac:dyDescent="0.35">
      <c r="E2347" t="s">
        <v>298</v>
      </c>
      <c r="F2347" t="s">
        <v>1742</v>
      </c>
      <c r="G2347" s="28"/>
      <c r="X2347" s="40"/>
      <c r="Y2347" s="40"/>
    </row>
    <row r="2348" spans="5:25" x14ac:dyDescent="0.35">
      <c r="E2348" t="s">
        <v>298</v>
      </c>
      <c r="F2348" t="s">
        <v>1743</v>
      </c>
      <c r="G2348" s="28"/>
      <c r="X2348" s="40"/>
      <c r="Y2348" s="40"/>
    </row>
    <row r="2349" spans="5:25" x14ac:dyDescent="0.35">
      <c r="E2349" t="s">
        <v>298</v>
      </c>
      <c r="F2349" t="s">
        <v>1744</v>
      </c>
      <c r="G2349" s="28"/>
      <c r="X2349" s="40"/>
      <c r="Y2349" s="40"/>
    </row>
    <row r="2350" spans="5:25" x14ac:dyDescent="0.35">
      <c r="E2350" t="s">
        <v>298</v>
      </c>
      <c r="F2350" t="s">
        <v>1745</v>
      </c>
      <c r="G2350" s="28"/>
      <c r="X2350" s="40"/>
      <c r="Y2350" s="40"/>
    </row>
    <row r="2351" spans="5:25" x14ac:dyDescent="0.35">
      <c r="E2351" t="s">
        <v>298</v>
      </c>
      <c r="F2351" t="s">
        <v>1746</v>
      </c>
      <c r="G2351" s="28"/>
      <c r="X2351" s="40"/>
      <c r="Y2351" s="40"/>
    </row>
    <row r="2352" spans="5:25" x14ac:dyDescent="0.35">
      <c r="E2352" t="s">
        <v>298</v>
      </c>
      <c r="F2352" t="s">
        <v>1747</v>
      </c>
      <c r="G2352" s="28"/>
      <c r="X2352" s="40"/>
      <c r="Y2352" s="40"/>
    </row>
    <row r="2353" spans="5:25" x14ac:dyDescent="0.35">
      <c r="E2353" t="s">
        <v>298</v>
      </c>
      <c r="F2353" t="s">
        <v>1748</v>
      </c>
      <c r="G2353" s="28"/>
      <c r="X2353" s="40"/>
      <c r="Y2353" s="40"/>
    </row>
    <row r="2354" spans="5:25" x14ac:dyDescent="0.35">
      <c r="E2354" t="s">
        <v>298</v>
      </c>
      <c r="F2354" t="s">
        <v>1749</v>
      </c>
      <c r="G2354" s="28"/>
      <c r="X2354" s="40"/>
      <c r="Y2354" s="40"/>
    </row>
    <row r="2355" spans="5:25" x14ac:dyDescent="0.35">
      <c r="E2355" t="s">
        <v>298</v>
      </c>
      <c r="F2355" t="s">
        <v>1750</v>
      </c>
      <c r="G2355" s="28"/>
      <c r="X2355" s="40"/>
      <c r="Y2355" s="40"/>
    </row>
    <row r="2356" spans="5:25" x14ac:dyDescent="0.35">
      <c r="E2356" t="s">
        <v>298</v>
      </c>
      <c r="F2356" t="s">
        <v>1751</v>
      </c>
      <c r="G2356" s="28"/>
      <c r="X2356" s="40"/>
      <c r="Y2356" s="40"/>
    </row>
    <row r="2357" spans="5:25" x14ac:dyDescent="0.35">
      <c r="E2357" t="s">
        <v>298</v>
      </c>
      <c r="F2357" t="s">
        <v>1752</v>
      </c>
      <c r="G2357" s="28"/>
      <c r="X2357" s="40"/>
      <c r="Y2357" s="40"/>
    </row>
    <row r="2358" spans="5:25" x14ac:dyDescent="0.35">
      <c r="E2358" t="s">
        <v>298</v>
      </c>
      <c r="F2358" t="s">
        <v>1753</v>
      </c>
      <c r="G2358" s="28"/>
      <c r="X2358" s="40"/>
      <c r="Y2358" s="40"/>
    </row>
    <row r="2359" spans="5:25" x14ac:dyDescent="0.35">
      <c r="E2359" t="s">
        <v>298</v>
      </c>
      <c r="F2359" t="s">
        <v>1754</v>
      </c>
      <c r="G2359" s="28"/>
      <c r="X2359" s="40"/>
      <c r="Y2359" s="40"/>
    </row>
    <row r="2360" spans="5:25" x14ac:dyDescent="0.35">
      <c r="E2360" t="s">
        <v>298</v>
      </c>
      <c r="F2360" t="s">
        <v>1755</v>
      </c>
      <c r="G2360" s="28"/>
      <c r="X2360" s="40"/>
      <c r="Y2360" s="40"/>
    </row>
    <row r="2361" spans="5:25" x14ac:dyDescent="0.35">
      <c r="E2361" t="s">
        <v>298</v>
      </c>
      <c r="F2361" t="s">
        <v>1756</v>
      </c>
      <c r="G2361" s="28"/>
      <c r="X2361" s="40"/>
      <c r="Y2361" s="40"/>
    </row>
    <row r="2362" spans="5:25" x14ac:dyDescent="0.35">
      <c r="E2362" t="s">
        <v>298</v>
      </c>
      <c r="F2362" t="s">
        <v>1757</v>
      </c>
      <c r="G2362" s="28"/>
      <c r="X2362" s="40"/>
      <c r="Y2362" s="40"/>
    </row>
    <row r="2363" spans="5:25" x14ac:dyDescent="0.35">
      <c r="E2363" t="s">
        <v>298</v>
      </c>
      <c r="F2363" t="s">
        <v>1758</v>
      </c>
      <c r="G2363" s="28"/>
      <c r="X2363" s="40"/>
      <c r="Y2363" s="40"/>
    </row>
    <row r="2364" spans="5:25" x14ac:dyDescent="0.35">
      <c r="E2364" t="s">
        <v>298</v>
      </c>
      <c r="F2364" t="s">
        <v>1759</v>
      </c>
      <c r="G2364" s="28"/>
      <c r="X2364" s="40"/>
      <c r="Y2364" s="40"/>
    </row>
    <row r="2365" spans="5:25" x14ac:dyDescent="0.35">
      <c r="E2365" t="s">
        <v>298</v>
      </c>
      <c r="F2365" t="s">
        <v>1760</v>
      </c>
      <c r="G2365" s="28"/>
      <c r="X2365" s="40"/>
      <c r="Y2365" s="40"/>
    </row>
    <row r="2366" spans="5:25" x14ac:dyDescent="0.35">
      <c r="E2366" t="s">
        <v>298</v>
      </c>
      <c r="F2366" t="s">
        <v>1761</v>
      </c>
      <c r="G2366" s="28"/>
      <c r="X2366" s="40"/>
      <c r="Y2366" s="40"/>
    </row>
    <row r="2367" spans="5:25" x14ac:dyDescent="0.35">
      <c r="E2367" t="s">
        <v>298</v>
      </c>
      <c r="F2367" t="s">
        <v>1762</v>
      </c>
      <c r="G2367" s="28"/>
      <c r="X2367" s="40"/>
      <c r="Y2367" s="40"/>
    </row>
    <row r="2368" spans="5:25" x14ac:dyDescent="0.35">
      <c r="E2368" t="s">
        <v>298</v>
      </c>
      <c r="F2368" t="s">
        <v>1763</v>
      </c>
      <c r="G2368" s="28"/>
      <c r="X2368" s="40"/>
      <c r="Y2368" s="40"/>
    </row>
    <row r="2369" spans="5:25" x14ac:dyDescent="0.35">
      <c r="E2369" t="s">
        <v>298</v>
      </c>
      <c r="F2369" t="s">
        <v>1764</v>
      </c>
      <c r="G2369" s="28"/>
      <c r="X2369" s="40"/>
      <c r="Y2369" s="40"/>
    </row>
    <row r="2370" spans="5:25" x14ac:dyDescent="0.35">
      <c r="E2370" t="s">
        <v>298</v>
      </c>
      <c r="F2370" t="s">
        <v>1765</v>
      </c>
      <c r="G2370" s="28"/>
      <c r="X2370" s="40"/>
      <c r="Y2370" s="40"/>
    </row>
    <row r="2371" spans="5:25" x14ac:dyDescent="0.35">
      <c r="E2371" t="s">
        <v>298</v>
      </c>
      <c r="F2371" t="s">
        <v>1766</v>
      </c>
      <c r="G2371" s="28"/>
      <c r="X2371" s="40"/>
      <c r="Y2371" s="40"/>
    </row>
    <row r="2372" spans="5:25" x14ac:dyDescent="0.35">
      <c r="E2372" t="s">
        <v>298</v>
      </c>
      <c r="F2372" t="s">
        <v>1767</v>
      </c>
      <c r="G2372" s="28"/>
      <c r="X2372" s="40"/>
      <c r="Y2372" s="40"/>
    </row>
    <row r="2373" spans="5:25" x14ac:dyDescent="0.35">
      <c r="E2373" t="s">
        <v>298</v>
      </c>
      <c r="F2373" t="s">
        <v>1768</v>
      </c>
      <c r="G2373" s="28"/>
      <c r="X2373" s="40"/>
      <c r="Y2373" s="40"/>
    </row>
    <row r="2374" spans="5:25" x14ac:dyDescent="0.35">
      <c r="E2374" t="s">
        <v>298</v>
      </c>
      <c r="F2374" t="s">
        <v>1769</v>
      </c>
      <c r="G2374" s="28"/>
      <c r="X2374" s="40"/>
      <c r="Y2374" s="40"/>
    </row>
    <row r="2375" spans="5:25" x14ac:dyDescent="0.35">
      <c r="E2375" t="s">
        <v>298</v>
      </c>
      <c r="F2375" t="s">
        <v>1770</v>
      </c>
      <c r="G2375" s="28"/>
      <c r="X2375" s="40"/>
      <c r="Y2375" s="40"/>
    </row>
    <row r="2376" spans="5:25" x14ac:dyDescent="0.35">
      <c r="E2376" t="s">
        <v>298</v>
      </c>
      <c r="F2376" t="s">
        <v>1771</v>
      </c>
      <c r="G2376" s="28"/>
      <c r="X2376" s="40"/>
      <c r="Y2376" s="40"/>
    </row>
    <row r="2377" spans="5:25" x14ac:dyDescent="0.35">
      <c r="E2377" t="s">
        <v>298</v>
      </c>
      <c r="F2377" t="s">
        <v>1772</v>
      </c>
      <c r="G2377" s="28"/>
      <c r="X2377" s="40"/>
      <c r="Y2377" s="40"/>
    </row>
    <row r="2378" spans="5:25" x14ac:dyDescent="0.35">
      <c r="E2378" t="s">
        <v>298</v>
      </c>
      <c r="F2378" t="s">
        <v>572</v>
      </c>
      <c r="G2378" s="28"/>
      <c r="X2378" s="40"/>
      <c r="Y2378" s="40"/>
    </row>
    <row r="2379" spans="5:25" x14ac:dyDescent="0.35">
      <c r="E2379" t="s">
        <v>298</v>
      </c>
      <c r="F2379" t="s">
        <v>1773</v>
      </c>
      <c r="G2379" s="28"/>
      <c r="X2379" s="40"/>
      <c r="Y2379" s="40"/>
    </row>
    <row r="2380" spans="5:25" x14ac:dyDescent="0.35">
      <c r="E2380" t="s">
        <v>298</v>
      </c>
      <c r="F2380" t="s">
        <v>1774</v>
      </c>
      <c r="G2380" s="28"/>
      <c r="X2380" s="40"/>
      <c r="Y2380" s="40"/>
    </row>
    <row r="2381" spans="5:25" x14ac:dyDescent="0.35">
      <c r="E2381" t="s">
        <v>298</v>
      </c>
      <c r="F2381" t="s">
        <v>1775</v>
      </c>
      <c r="G2381" s="28"/>
      <c r="X2381" s="40"/>
      <c r="Y2381" s="40"/>
    </row>
    <row r="2382" spans="5:25" x14ac:dyDescent="0.35">
      <c r="E2382" t="s">
        <v>298</v>
      </c>
      <c r="F2382" t="s">
        <v>575</v>
      </c>
      <c r="G2382" s="28"/>
      <c r="X2382" s="40"/>
      <c r="Y2382" s="40"/>
    </row>
    <row r="2383" spans="5:25" x14ac:dyDescent="0.35">
      <c r="E2383" t="s">
        <v>298</v>
      </c>
      <c r="F2383" t="s">
        <v>1776</v>
      </c>
      <c r="G2383" s="28"/>
      <c r="X2383" s="40"/>
      <c r="Y2383" s="40"/>
    </row>
    <row r="2384" spans="5:25" x14ac:dyDescent="0.35">
      <c r="E2384" t="s">
        <v>298</v>
      </c>
      <c r="F2384" t="s">
        <v>1777</v>
      </c>
      <c r="G2384" s="28"/>
      <c r="X2384" s="40"/>
      <c r="Y2384" s="40"/>
    </row>
    <row r="2385" spans="5:25" x14ac:dyDescent="0.35">
      <c r="E2385" t="s">
        <v>298</v>
      </c>
      <c r="F2385" t="s">
        <v>1778</v>
      </c>
      <c r="G2385" s="28"/>
      <c r="X2385" s="40"/>
      <c r="Y2385" s="40"/>
    </row>
    <row r="2386" spans="5:25" x14ac:dyDescent="0.35">
      <c r="E2386" t="s">
        <v>298</v>
      </c>
      <c r="F2386" t="s">
        <v>1779</v>
      </c>
      <c r="G2386" s="28"/>
      <c r="X2386" s="40"/>
      <c r="Y2386" s="40"/>
    </row>
    <row r="2387" spans="5:25" x14ac:dyDescent="0.35">
      <c r="E2387" t="s">
        <v>298</v>
      </c>
      <c r="F2387" t="s">
        <v>1780</v>
      </c>
      <c r="G2387" s="28"/>
      <c r="X2387" s="40"/>
      <c r="Y2387" s="40"/>
    </row>
    <row r="2388" spans="5:25" x14ac:dyDescent="0.35">
      <c r="E2388" t="s">
        <v>298</v>
      </c>
      <c r="F2388" t="s">
        <v>1781</v>
      </c>
      <c r="G2388" s="28"/>
      <c r="X2388" s="40"/>
      <c r="Y2388" s="40"/>
    </row>
    <row r="2389" spans="5:25" x14ac:dyDescent="0.35">
      <c r="E2389" t="s">
        <v>298</v>
      </c>
      <c r="F2389" t="s">
        <v>1782</v>
      </c>
      <c r="G2389" s="28"/>
      <c r="X2389" s="40"/>
      <c r="Y2389" s="40"/>
    </row>
    <row r="2390" spans="5:25" x14ac:dyDescent="0.35">
      <c r="E2390" t="s">
        <v>298</v>
      </c>
      <c r="F2390" t="s">
        <v>1783</v>
      </c>
      <c r="G2390" s="28"/>
      <c r="X2390" s="40"/>
      <c r="Y2390" s="40"/>
    </row>
    <row r="2391" spans="5:25" x14ac:dyDescent="0.35">
      <c r="E2391" t="s">
        <v>298</v>
      </c>
      <c r="F2391" t="s">
        <v>1784</v>
      </c>
      <c r="G2391" s="28"/>
      <c r="X2391" s="40"/>
      <c r="Y2391" s="40"/>
    </row>
    <row r="2392" spans="5:25" x14ac:dyDescent="0.35">
      <c r="E2392" t="s">
        <v>298</v>
      </c>
      <c r="F2392" t="s">
        <v>1785</v>
      </c>
      <c r="G2392" s="28"/>
      <c r="X2392" s="40"/>
      <c r="Y2392" s="40"/>
    </row>
    <row r="2393" spans="5:25" x14ac:dyDescent="0.35">
      <c r="E2393" t="s">
        <v>298</v>
      </c>
      <c r="F2393" t="s">
        <v>1786</v>
      </c>
      <c r="G2393" s="28"/>
      <c r="X2393" s="40"/>
      <c r="Y2393" s="40"/>
    </row>
    <row r="2394" spans="5:25" x14ac:dyDescent="0.35">
      <c r="E2394" t="s">
        <v>298</v>
      </c>
      <c r="F2394" t="s">
        <v>1787</v>
      </c>
      <c r="G2394" s="28"/>
      <c r="X2394" s="40"/>
      <c r="Y2394" s="40"/>
    </row>
    <row r="2395" spans="5:25" x14ac:dyDescent="0.35">
      <c r="E2395" t="s">
        <v>298</v>
      </c>
      <c r="F2395" t="s">
        <v>1788</v>
      </c>
      <c r="G2395" s="28"/>
      <c r="X2395" s="40"/>
      <c r="Y2395" s="40"/>
    </row>
    <row r="2396" spans="5:25" x14ac:dyDescent="0.35">
      <c r="E2396" t="s">
        <v>299</v>
      </c>
      <c r="F2396" t="s">
        <v>1789</v>
      </c>
      <c r="G2396" s="28"/>
      <c r="X2396" s="40"/>
      <c r="Y2396" s="40"/>
    </row>
    <row r="2397" spans="5:25" x14ac:dyDescent="0.35">
      <c r="E2397" t="s">
        <v>213</v>
      </c>
      <c r="F2397" t="s">
        <v>1100</v>
      </c>
      <c r="G2397" s="28"/>
      <c r="X2397" s="40"/>
      <c r="Y2397" s="40"/>
    </row>
    <row r="2398" spans="5:25" x14ac:dyDescent="0.35">
      <c r="E2398" t="s">
        <v>213</v>
      </c>
      <c r="F2398" t="s">
        <v>590</v>
      </c>
      <c r="G2398" s="28"/>
      <c r="X2398" s="40"/>
      <c r="Y2398" s="40"/>
    </row>
    <row r="2399" spans="5:25" x14ac:dyDescent="0.35">
      <c r="E2399" t="s">
        <v>213</v>
      </c>
      <c r="F2399" t="s">
        <v>1790</v>
      </c>
      <c r="G2399" s="28"/>
      <c r="X2399" s="40"/>
      <c r="Y2399" s="40"/>
    </row>
    <row r="2400" spans="5:25" x14ac:dyDescent="0.35">
      <c r="E2400" t="s">
        <v>213</v>
      </c>
      <c r="F2400" t="s">
        <v>1791</v>
      </c>
      <c r="G2400" s="28"/>
      <c r="X2400" s="40"/>
      <c r="Y2400" s="40"/>
    </row>
    <row r="2401" spans="5:25" x14ac:dyDescent="0.35">
      <c r="E2401" t="s">
        <v>213</v>
      </c>
      <c r="F2401" t="s">
        <v>394</v>
      </c>
      <c r="G2401" s="28"/>
      <c r="X2401" s="40"/>
      <c r="Y2401" s="40"/>
    </row>
    <row r="2402" spans="5:25" x14ac:dyDescent="0.35">
      <c r="E2402" t="s">
        <v>214</v>
      </c>
      <c r="F2402" t="s">
        <v>1792</v>
      </c>
      <c r="G2402" s="28"/>
      <c r="X2402" s="40"/>
      <c r="Y2402" s="40"/>
    </row>
    <row r="2403" spans="5:25" x14ac:dyDescent="0.35">
      <c r="E2403" t="s">
        <v>214</v>
      </c>
      <c r="F2403" t="s">
        <v>1793</v>
      </c>
      <c r="G2403" s="28"/>
      <c r="X2403" s="40"/>
      <c r="Y2403" s="40"/>
    </row>
    <row r="2404" spans="5:25" x14ac:dyDescent="0.35">
      <c r="E2404" t="s">
        <v>214</v>
      </c>
      <c r="F2404" t="s">
        <v>1794</v>
      </c>
      <c r="G2404" s="28"/>
      <c r="X2404" s="40"/>
      <c r="Y2404" s="40"/>
    </row>
    <row r="2405" spans="5:25" x14ac:dyDescent="0.35">
      <c r="E2405" t="s">
        <v>214</v>
      </c>
      <c r="F2405" t="s">
        <v>930</v>
      </c>
      <c r="G2405" s="28"/>
      <c r="X2405" s="40"/>
      <c r="Y2405" s="40"/>
    </row>
    <row r="2406" spans="5:25" x14ac:dyDescent="0.35">
      <c r="E2406" t="s">
        <v>214</v>
      </c>
      <c r="F2406" t="s">
        <v>1795</v>
      </c>
      <c r="G2406" s="28"/>
      <c r="X2406" s="40"/>
      <c r="Y2406" s="40"/>
    </row>
    <row r="2407" spans="5:25" x14ac:dyDescent="0.35">
      <c r="E2407" t="s">
        <v>214</v>
      </c>
      <c r="F2407" t="s">
        <v>1796</v>
      </c>
      <c r="G2407" s="28"/>
      <c r="X2407" s="40"/>
      <c r="Y2407" s="40"/>
    </row>
    <row r="2408" spans="5:25" x14ac:dyDescent="0.35">
      <c r="E2408" t="s">
        <v>214</v>
      </c>
      <c r="F2408" t="s">
        <v>1376</v>
      </c>
      <c r="G2408" s="28"/>
      <c r="X2408" s="40"/>
      <c r="Y2408" s="40"/>
    </row>
    <row r="2409" spans="5:25" x14ac:dyDescent="0.35">
      <c r="E2409" t="s">
        <v>214</v>
      </c>
      <c r="F2409" t="s">
        <v>1797</v>
      </c>
      <c r="G2409" s="28"/>
      <c r="X2409" s="40"/>
      <c r="Y2409" s="40"/>
    </row>
    <row r="2410" spans="5:25" x14ac:dyDescent="0.35">
      <c r="E2410" t="s">
        <v>214</v>
      </c>
      <c r="F2410" t="s">
        <v>337</v>
      </c>
      <c r="G2410" s="28"/>
      <c r="X2410" s="40"/>
      <c r="Y2410" s="40"/>
    </row>
    <row r="2411" spans="5:25" x14ac:dyDescent="0.35">
      <c r="E2411" t="s">
        <v>214</v>
      </c>
      <c r="F2411" t="s">
        <v>1798</v>
      </c>
      <c r="G2411" s="28"/>
      <c r="X2411" s="40"/>
      <c r="Y2411" s="40"/>
    </row>
    <row r="2412" spans="5:25" x14ac:dyDescent="0.35">
      <c r="E2412" t="s">
        <v>214</v>
      </c>
      <c r="F2412" t="s">
        <v>339</v>
      </c>
      <c r="G2412" s="28"/>
      <c r="X2412" s="40"/>
      <c r="Y2412" s="40"/>
    </row>
    <row r="2413" spans="5:25" x14ac:dyDescent="0.35">
      <c r="E2413" t="s">
        <v>214</v>
      </c>
      <c r="F2413" t="s">
        <v>1689</v>
      </c>
      <c r="G2413" s="28"/>
      <c r="X2413" s="40"/>
      <c r="Y2413" s="40"/>
    </row>
    <row r="2414" spans="5:25" x14ac:dyDescent="0.35">
      <c r="E2414" t="s">
        <v>214</v>
      </c>
      <c r="F2414" t="s">
        <v>1799</v>
      </c>
      <c r="G2414" s="28"/>
      <c r="X2414" s="40"/>
      <c r="Y2414" s="40"/>
    </row>
    <row r="2415" spans="5:25" x14ac:dyDescent="0.35">
      <c r="E2415" t="s">
        <v>214</v>
      </c>
      <c r="F2415" t="s">
        <v>1800</v>
      </c>
      <c r="G2415" s="28"/>
      <c r="X2415" s="40"/>
      <c r="Y2415" s="40"/>
    </row>
    <row r="2416" spans="5:25" x14ac:dyDescent="0.35">
      <c r="E2416" t="s">
        <v>214</v>
      </c>
      <c r="F2416" t="s">
        <v>1801</v>
      </c>
      <c r="G2416" s="28"/>
      <c r="X2416" s="40"/>
      <c r="Y2416" s="40"/>
    </row>
    <row r="2417" spans="5:25" x14ac:dyDescent="0.35">
      <c r="E2417" t="s">
        <v>214</v>
      </c>
      <c r="F2417" t="s">
        <v>1802</v>
      </c>
      <c r="G2417" s="28"/>
      <c r="X2417" s="40"/>
      <c r="Y2417" s="40"/>
    </row>
    <row r="2418" spans="5:25" x14ac:dyDescent="0.35">
      <c r="E2418" t="s">
        <v>214</v>
      </c>
      <c r="F2418" t="s">
        <v>1803</v>
      </c>
      <c r="G2418" s="28"/>
      <c r="X2418" s="40"/>
      <c r="Y2418" s="40"/>
    </row>
    <row r="2419" spans="5:25" x14ac:dyDescent="0.35">
      <c r="E2419" t="s">
        <v>214</v>
      </c>
      <c r="F2419" t="s">
        <v>1117</v>
      </c>
      <c r="G2419" s="28"/>
      <c r="X2419" s="40"/>
      <c r="Y2419" s="40"/>
    </row>
    <row r="2420" spans="5:25" x14ac:dyDescent="0.35">
      <c r="E2420" t="s">
        <v>214</v>
      </c>
      <c r="F2420" t="s">
        <v>1804</v>
      </c>
      <c r="G2420" s="28"/>
      <c r="X2420" s="40"/>
      <c r="Y2420" s="40"/>
    </row>
    <row r="2421" spans="5:25" x14ac:dyDescent="0.35">
      <c r="E2421" t="s">
        <v>214</v>
      </c>
      <c r="F2421" t="s">
        <v>581</v>
      </c>
      <c r="G2421" s="28"/>
      <c r="X2421" s="40"/>
      <c r="Y2421" s="40"/>
    </row>
    <row r="2422" spans="5:25" x14ac:dyDescent="0.35">
      <c r="E2422" t="s">
        <v>214</v>
      </c>
      <c r="F2422" t="s">
        <v>1805</v>
      </c>
      <c r="G2422" s="28"/>
      <c r="X2422" s="40"/>
      <c r="Y2422" s="40"/>
    </row>
    <row r="2423" spans="5:25" x14ac:dyDescent="0.35">
      <c r="E2423" t="s">
        <v>214</v>
      </c>
      <c r="F2423" t="s">
        <v>1806</v>
      </c>
      <c r="G2423" s="28"/>
      <c r="X2423" s="40"/>
      <c r="Y2423" s="40"/>
    </row>
    <row r="2424" spans="5:25" x14ac:dyDescent="0.35">
      <c r="E2424" t="s">
        <v>214</v>
      </c>
      <c r="F2424" t="s">
        <v>1807</v>
      </c>
      <c r="G2424" s="28"/>
      <c r="X2424" s="40"/>
      <c r="Y2424" s="40"/>
    </row>
    <row r="2425" spans="5:25" x14ac:dyDescent="0.35">
      <c r="E2425" t="s">
        <v>214</v>
      </c>
      <c r="F2425" t="s">
        <v>950</v>
      </c>
      <c r="G2425" s="28"/>
      <c r="X2425" s="40"/>
      <c r="Y2425" s="40"/>
    </row>
    <row r="2426" spans="5:25" x14ac:dyDescent="0.35">
      <c r="E2426" t="s">
        <v>214</v>
      </c>
      <c r="F2426" t="s">
        <v>1808</v>
      </c>
      <c r="G2426" s="28"/>
      <c r="X2426" s="40"/>
      <c r="Y2426" s="40"/>
    </row>
    <row r="2427" spans="5:25" x14ac:dyDescent="0.35">
      <c r="E2427" t="s">
        <v>214</v>
      </c>
      <c r="F2427" t="s">
        <v>1809</v>
      </c>
      <c r="G2427" s="28"/>
      <c r="X2427" s="40"/>
      <c r="Y2427" s="40"/>
    </row>
    <row r="2428" spans="5:25" x14ac:dyDescent="0.35">
      <c r="E2428" t="s">
        <v>214</v>
      </c>
      <c r="F2428" t="s">
        <v>701</v>
      </c>
      <c r="G2428" s="28"/>
      <c r="X2428" s="40"/>
      <c r="Y2428" s="40"/>
    </row>
    <row r="2429" spans="5:25" x14ac:dyDescent="0.35">
      <c r="E2429" t="s">
        <v>214</v>
      </c>
      <c r="F2429" t="s">
        <v>1810</v>
      </c>
      <c r="G2429" s="28"/>
      <c r="X2429" s="40"/>
      <c r="Y2429" s="40"/>
    </row>
    <row r="2430" spans="5:25" x14ac:dyDescent="0.35">
      <c r="E2430" t="s">
        <v>214</v>
      </c>
      <c r="F2430" t="s">
        <v>1493</v>
      </c>
      <c r="G2430" s="28"/>
      <c r="X2430" s="40"/>
      <c r="Y2430" s="40"/>
    </row>
    <row r="2431" spans="5:25" x14ac:dyDescent="0.35">
      <c r="E2431" t="s">
        <v>214</v>
      </c>
      <c r="F2431" t="s">
        <v>706</v>
      </c>
      <c r="G2431" s="28"/>
      <c r="X2431" s="40"/>
      <c r="Y2431" s="40"/>
    </row>
    <row r="2432" spans="5:25" x14ac:dyDescent="0.35">
      <c r="E2432" t="s">
        <v>214</v>
      </c>
      <c r="F2432" t="s">
        <v>370</v>
      </c>
      <c r="G2432" s="28"/>
      <c r="X2432" s="40"/>
      <c r="Y2432" s="40"/>
    </row>
    <row r="2433" spans="5:25" x14ac:dyDescent="0.35">
      <c r="E2433" t="s">
        <v>214</v>
      </c>
      <c r="F2433" t="s">
        <v>1811</v>
      </c>
      <c r="G2433" s="28"/>
      <c r="X2433" s="40"/>
      <c r="Y2433" s="40"/>
    </row>
    <row r="2434" spans="5:25" x14ac:dyDescent="0.35">
      <c r="E2434" t="s">
        <v>214</v>
      </c>
      <c r="F2434" t="s">
        <v>376</v>
      </c>
      <c r="G2434" s="28"/>
      <c r="X2434" s="40"/>
      <c r="Y2434" s="40"/>
    </row>
    <row r="2435" spans="5:25" x14ac:dyDescent="0.35">
      <c r="E2435" t="s">
        <v>214</v>
      </c>
      <c r="F2435" t="s">
        <v>1812</v>
      </c>
      <c r="G2435" s="28"/>
      <c r="X2435" s="40"/>
      <c r="Y2435" s="40"/>
    </row>
    <row r="2436" spans="5:25" x14ac:dyDescent="0.35">
      <c r="E2436" t="s">
        <v>214</v>
      </c>
      <c r="F2436" t="s">
        <v>1813</v>
      </c>
      <c r="G2436" s="28"/>
      <c r="X2436" s="40"/>
      <c r="Y2436" s="40"/>
    </row>
    <row r="2437" spans="5:25" x14ac:dyDescent="0.35">
      <c r="E2437" t="s">
        <v>214</v>
      </c>
      <c r="F2437" t="s">
        <v>1814</v>
      </c>
      <c r="G2437" s="28"/>
      <c r="X2437" s="40"/>
      <c r="Y2437" s="40"/>
    </row>
    <row r="2438" spans="5:25" x14ac:dyDescent="0.35">
      <c r="E2438" t="s">
        <v>214</v>
      </c>
      <c r="F2438" t="s">
        <v>715</v>
      </c>
      <c r="G2438" s="28"/>
      <c r="X2438" s="40"/>
      <c r="Y2438" s="40"/>
    </row>
    <row r="2439" spans="5:25" x14ac:dyDescent="0.35">
      <c r="E2439" t="s">
        <v>214</v>
      </c>
      <c r="F2439" t="s">
        <v>1815</v>
      </c>
      <c r="G2439" s="28"/>
      <c r="X2439" s="40"/>
      <c r="Y2439" s="40"/>
    </row>
    <row r="2440" spans="5:25" x14ac:dyDescent="0.35">
      <c r="E2440" t="s">
        <v>214</v>
      </c>
      <c r="F2440" t="s">
        <v>383</v>
      </c>
      <c r="G2440" s="28"/>
      <c r="X2440" s="40"/>
      <c r="Y2440" s="40"/>
    </row>
    <row r="2441" spans="5:25" x14ac:dyDescent="0.35">
      <c r="E2441" t="s">
        <v>214</v>
      </c>
      <c r="F2441" t="s">
        <v>878</v>
      </c>
      <c r="G2441" s="28"/>
      <c r="X2441" s="40"/>
      <c r="Y2441" s="40"/>
    </row>
    <row r="2442" spans="5:25" x14ac:dyDescent="0.35">
      <c r="E2442" t="s">
        <v>214</v>
      </c>
      <c r="F2442" t="s">
        <v>1816</v>
      </c>
      <c r="G2442" s="28"/>
      <c r="X2442" s="40"/>
      <c r="Y2442" s="40"/>
    </row>
    <row r="2443" spans="5:25" x14ac:dyDescent="0.35">
      <c r="E2443" t="s">
        <v>214</v>
      </c>
      <c r="F2443" t="s">
        <v>1817</v>
      </c>
      <c r="G2443" s="28"/>
      <c r="X2443" s="40"/>
      <c r="Y2443" s="40"/>
    </row>
    <row r="2444" spans="5:25" x14ac:dyDescent="0.35">
      <c r="E2444" t="s">
        <v>214</v>
      </c>
      <c r="F2444" t="s">
        <v>389</v>
      </c>
      <c r="G2444" s="28"/>
      <c r="X2444" s="40"/>
      <c r="Y2444" s="40"/>
    </row>
    <row r="2445" spans="5:25" x14ac:dyDescent="0.35">
      <c r="E2445" t="s">
        <v>214</v>
      </c>
      <c r="F2445" t="s">
        <v>449</v>
      </c>
      <c r="G2445" s="28"/>
      <c r="X2445" s="40"/>
      <c r="Y2445" s="40"/>
    </row>
    <row r="2446" spans="5:25" x14ac:dyDescent="0.35">
      <c r="E2446" t="s">
        <v>214</v>
      </c>
      <c r="F2446" t="s">
        <v>1818</v>
      </c>
      <c r="G2446" s="28"/>
      <c r="X2446" s="40"/>
      <c r="Y2446" s="40"/>
    </row>
    <row r="2447" spans="5:25" x14ac:dyDescent="0.35">
      <c r="E2447" t="s">
        <v>214</v>
      </c>
      <c r="F2447" t="s">
        <v>1134</v>
      </c>
      <c r="G2447" s="28"/>
      <c r="X2447" s="40"/>
      <c r="Y2447" s="40"/>
    </row>
    <row r="2448" spans="5:25" x14ac:dyDescent="0.35">
      <c r="E2448" t="s">
        <v>215</v>
      </c>
      <c r="F2448" t="s">
        <v>1819</v>
      </c>
      <c r="G2448" s="28"/>
      <c r="X2448" s="40"/>
      <c r="Y2448" s="40"/>
    </row>
    <row r="2449" spans="5:25" x14ac:dyDescent="0.35">
      <c r="E2449" t="s">
        <v>215</v>
      </c>
      <c r="F2449" t="s">
        <v>1820</v>
      </c>
      <c r="G2449" s="28"/>
      <c r="X2449" s="40"/>
      <c r="Y2449" s="40"/>
    </row>
    <row r="2450" spans="5:25" x14ac:dyDescent="0.35">
      <c r="E2450" t="s">
        <v>215</v>
      </c>
      <c r="F2450" t="s">
        <v>1821</v>
      </c>
      <c r="G2450" s="28"/>
      <c r="X2450" s="40"/>
      <c r="Y2450" s="40"/>
    </row>
    <row r="2451" spans="5:25" x14ac:dyDescent="0.35">
      <c r="E2451" t="s">
        <v>215</v>
      </c>
      <c r="F2451" t="s">
        <v>1822</v>
      </c>
      <c r="G2451" s="28"/>
      <c r="X2451" s="40"/>
      <c r="Y2451" s="40"/>
    </row>
    <row r="2452" spans="5:25" x14ac:dyDescent="0.35">
      <c r="E2452" t="s">
        <v>215</v>
      </c>
      <c r="F2452" t="s">
        <v>1823</v>
      </c>
      <c r="G2452" s="28"/>
      <c r="X2452" s="40"/>
      <c r="Y2452" s="40"/>
    </row>
    <row r="2453" spans="5:25" x14ac:dyDescent="0.35">
      <c r="E2453" t="s">
        <v>215</v>
      </c>
      <c r="F2453" t="s">
        <v>844</v>
      </c>
      <c r="G2453" s="28"/>
      <c r="X2453" s="40"/>
      <c r="Y2453" s="40"/>
    </row>
    <row r="2454" spans="5:25" x14ac:dyDescent="0.35">
      <c r="E2454" t="s">
        <v>215</v>
      </c>
      <c r="F2454" t="s">
        <v>1824</v>
      </c>
      <c r="G2454" s="28"/>
      <c r="X2454" s="40"/>
      <c r="Y2454" s="40"/>
    </row>
    <row r="2455" spans="5:25" x14ac:dyDescent="0.35">
      <c r="E2455" t="s">
        <v>215</v>
      </c>
      <c r="F2455" t="s">
        <v>1472</v>
      </c>
      <c r="G2455" s="28"/>
      <c r="X2455" s="40"/>
      <c r="Y2455" s="40"/>
    </row>
    <row r="2456" spans="5:25" x14ac:dyDescent="0.35">
      <c r="E2456" t="s">
        <v>215</v>
      </c>
      <c r="F2456" t="s">
        <v>473</v>
      </c>
      <c r="G2456" s="28"/>
      <c r="X2456" s="40"/>
      <c r="Y2456" s="40"/>
    </row>
    <row r="2457" spans="5:25" x14ac:dyDescent="0.35">
      <c r="E2457" t="s">
        <v>215</v>
      </c>
      <c r="F2457" t="s">
        <v>1009</v>
      </c>
      <c r="G2457" s="28"/>
      <c r="X2457" s="40"/>
      <c r="Y2457" s="40"/>
    </row>
    <row r="2458" spans="5:25" x14ac:dyDescent="0.35">
      <c r="E2458" t="s">
        <v>215</v>
      </c>
      <c r="F2458" t="s">
        <v>1825</v>
      </c>
      <c r="G2458" s="28"/>
      <c r="X2458" s="40"/>
      <c r="Y2458" s="40"/>
    </row>
    <row r="2459" spans="5:25" x14ac:dyDescent="0.35">
      <c r="E2459" t="s">
        <v>215</v>
      </c>
      <c r="F2459" t="s">
        <v>405</v>
      </c>
      <c r="G2459" s="28"/>
      <c r="X2459" s="40"/>
      <c r="Y2459" s="40"/>
    </row>
    <row r="2460" spans="5:25" x14ac:dyDescent="0.35">
      <c r="E2460" t="s">
        <v>215</v>
      </c>
      <c r="F2460" t="s">
        <v>343</v>
      </c>
      <c r="G2460" s="28"/>
      <c r="X2460" s="40"/>
      <c r="Y2460" s="40"/>
    </row>
    <row r="2461" spans="5:25" x14ac:dyDescent="0.35">
      <c r="E2461" t="s">
        <v>215</v>
      </c>
      <c r="F2461" t="s">
        <v>1826</v>
      </c>
      <c r="G2461" s="28"/>
      <c r="X2461" s="40"/>
      <c r="Y2461" s="40"/>
    </row>
    <row r="2462" spans="5:25" x14ac:dyDescent="0.35">
      <c r="E2462" t="s">
        <v>215</v>
      </c>
      <c r="F2462" t="s">
        <v>1827</v>
      </c>
      <c r="G2462" s="28"/>
      <c r="X2462" s="40"/>
      <c r="Y2462" s="40"/>
    </row>
    <row r="2463" spans="5:25" x14ac:dyDescent="0.35">
      <c r="E2463" t="s">
        <v>215</v>
      </c>
      <c r="F2463" t="s">
        <v>540</v>
      </c>
      <c r="G2463" s="28"/>
      <c r="X2463" s="40"/>
      <c r="Y2463" s="40"/>
    </row>
    <row r="2464" spans="5:25" x14ac:dyDescent="0.35">
      <c r="E2464" t="s">
        <v>215</v>
      </c>
      <c r="F2464" t="s">
        <v>1828</v>
      </c>
      <c r="G2464" s="28"/>
      <c r="X2464" s="40"/>
      <c r="Y2464" s="40"/>
    </row>
    <row r="2465" spans="5:25" x14ac:dyDescent="0.35">
      <c r="E2465" t="s">
        <v>215</v>
      </c>
      <c r="F2465" t="s">
        <v>1829</v>
      </c>
      <c r="G2465" s="28"/>
      <c r="X2465" s="40"/>
      <c r="Y2465" s="40"/>
    </row>
    <row r="2466" spans="5:25" x14ac:dyDescent="0.35">
      <c r="E2466" t="s">
        <v>215</v>
      </c>
      <c r="F2466" t="s">
        <v>1478</v>
      </c>
      <c r="G2466" s="28"/>
      <c r="X2466" s="40"/>
      <c r="Y2466" s="40"/>
    </row>
    <row r="2467" spans="5:25" x14ac:dyDescent="0.35">
      <c r="E2467" t="s">
        <v>215</v>
      </c>
      <c r="F2467" t="s">
        <v>1634</v>
      </c>
      <c r="G2467" s="28"/>
      <c r="X2467" s="40"/>
      <c r="Y2467" s="40"/>
    </row>
    <row r="2468" spans="5:25" x14ac:dyDescent="0.35">
      <c r="E2468" t="s">
        <v>215</v>
      </c>
      <c r="F2468" t="s">
        <v>544</v>
      </c>
      <c r="G2468" s="28"/>
      <c r="X2468" s="40"/>
      <c r="Y2468" s="40"/>
    </row>
    <row r="2469" spans="5:25" x14ac:dyDescent="0.35">
      <c r="E2469" t="s">
        <v>215</v>
      </c>
      <c r="F2469" t="s">
        <v>1830</v>
      </c>
      <c r="G2469" s="28"/>
      <c r="X2469" s="40"/>
      <c r="Y2469" s="40"/>
    </row>
    <row r="2470" spans="5:25" x14ac:dyDescent="0.35">
      <c r="E2470" t="s">
        <v>215</v>
      </c>
      <c r="F2470" t="s">
        <v>1831</v>
      </c>
      <c r="G2470" s="28"/>
      <c r="X2470" s="40"/>
      <c r="Y2470" s="40"/>
    </row>
    <row r="2471" spans="5:25" x14ac:dyDescent="0.35">
      <c r="E2471" t="s">
        <v>215</v>
      </c>
      <c r="F2471" t="s">
        <v>1832</v>
      </c>
      <c r="G2471" s="28"/>
      <c r="X2471" s="40"/>
      <c r="Y2471" s="40"/>
    </row>
    <row r="2472" spans="5:25" x14ac:dyDescent="0.35">
      <c r="E2472" t="s">
        <v>215</v>
      </c>
      <c r="F2472" t="s">
        <v>418</v>
      </c>
      <c r="G2472" s="28"/>
      <c r="X2472" s="40"/>
      <c r="Y2472" s="40"/>
    </row>
    <row r="2473" spans="5:25" x14ac:dyDescent="0.35">
      <c r="E2473" t="s">
        <v>215</v>
      </c>
      <c r="F2473" t="s">
        <v>1833</v>
      </c>
      <c r="G2473" s="28"/>
      <c r="X2473" s="40"/>
      <c r="Y2473" s="40"/>
    </row>
    <row r="2474" spans="5:25" x14ac:dyDescent="0.35">
      <c r="E2474" t="s">
        <v>215</v>
      </c>
      <c r="F2474" t="s">
        <v>1834</v>
      </c>
      <c r="G2474" s="28"/>
      <c r="X2474" s="40"/>
      <c r="Y2474" s="40"/>
    </row>
    <row r="2475" spans="5:25" x14ac:dyDescent="0.35">
      <c r="E2475" t="s">
        <v>215</v>
      </c>
      <c r="F2475" t="s">
        <v>1835</v>
      </c>
      <c r="G2475" s="28"/>
      <c r="X2475" s="40"/>
      <c r="Y2475" s="40"/>
    </row>
    <row r="2476" spans="5:25" x14ac:dyDescent="0.35">
      <c r="E2476" t="s">
        <v>215</v>
      </c>
      <c r="F2476" t="s">
        <v>1836</v>
      </c>
      <c r="G2476" s="28"/>
      <c r="X2476" s="40"/>
      <c r="Y2476" s="40"/>
    </row>
    <row r="2477" spans="5:25" x14ac:dyDescent="0.35">
      <c r="E2477" t="s">
        <v>215</v>
      </c>
      <c r="F2477" t="s">
        <v>1837</v>
      </c>
      <c r="G2477" s="28"/>
      <c r="X2477" s="40"/>
      <c r="Y2477" s="40"/>
    </row>
    <row r="2478" spans="5:25" x14ac:dyDescent="0.35">
      <c r="E2478" t="s">
        <v>215</v>
      </c>
      <c r="F2478" t="s">
        <v>1533</v>
      </c>
      <c r="G2478" s="28"/>
      <c r="X2478" s="40"/>
      <c r="Y2478" s="40"/>
    </row>
    <row r="2479" spans="5:25" x14ac:dyDescent="0.35">
      <c r="E2479" t="s">
        <v>215</v>
      </c>
      <c r="F2479" t="s">
        <v>1638</v>
      </c>
      <c r="G2479" s="28"/>
      <c r="X2479" s="40"/>
      <c r="Y2479" s="40"/>
    </row>
    <row r="2480" spans="5:25" x14ac:dyDescent="0.35">
      <c r="E2480" t="s">
        <v>215</v>
      </c>
      <c r="F2480" t="s">
        <v>1838</v>
      </c>
      <c r="G2480" s="28"/>
      <c r="X2480" s="40"/>
      <c r="Y2480" s="40"/>
    </row>
    <row r="2481" spans="5:25" x14ac:dyDescent="0.35">
      <c r="E2481" t="s">
        <v>215</v>
      </c>
      <c r="F2481" t="s">
        <v>1404</v>
      </c>
      <c r="G2481" s="28"/>
      <c r="X2481" s="40"/>
      <c r="Y2481" s="40"/>
    </row>
    <row r="2482" spans="5:25" x14ac:dyDescent="0.35">
      <c r="E2482" t="s">
        <v>215</v>
      </c>
      <c r="F2482" t="s">
        <v>365</v>
      </c>
      <c r="G2482" s="28"/>
      <c r="X2482" s="40"/>
      <c r="Y2482" s="40"/>
    </row>
    <row r="2483" spans="5:25" x14ac:dyDescent="0.35">
      <c r="E2483" t="s">
        <v>215</v>
      </c>
      <c r="F2483" t="s">
        <v>1839</v>
      </c>
      <c r="G2483" s="28"/>
      <c r="X2483" s="40"/>
      <c r="Y2483" s="40"/>
    </row>
    <row r="2484" spans="5:25" x14ac:dyDescent="0.35">
      <c r="E2484" t="s">
        <v>215</v>
      </c>
      <c r="F2484" t="s">
        <v>704</v>
      </c>
      <c r="G2484" s="28"/>
      <c r="X2484" s="40"/>
      <c r="Y2484" s="40"/>
    </row>
    <row r="2485" spans="5:25" x14ac:dyDescent="0.35">
      <c r="E2485" t="s">
        <v>215</v>
      </c>
      <c r="F2485" t="s">
        <v>1840</v>
      </c>
      <c r="G2485" s="28"/>
      <c r="X2485" s="40"/>
      <c r="Y2485" s="40"/>
    </row>
    <row r="2486" spans="5:25" x14ac:dyDescent="0.35">
      <c r="E2486" t="s">
        <v>215</v>
      </c>
      <c r="F2486" t="s">
        <v>486</v>
      </c>
      <c r="G2486" s="28"/>
      <c r="X2486" s="40"/>
      <c r="Y2486" s="40"/>
    </row>
    <row r="2487" spans="5:25" x14ac:dyDescent="0.35">
      <c r="E2487" t="s">
        <v>215</v>
      </c>
      <c r="F2487" t="s">
        <v>369</v>
      </c>
      <c r="G2487" s="28"/>
      <c r="X2487" s="40"/>
      <c r="Y2487" s="40"/>
    </row>
    <row r="2488" spans="5:25" x14ac:dyDescent="0.35">
      <c r="E2488" t="s">
        <v>215</v>
      </c>
      <c r="F2488" t="s">
        <v>426</v>
      </c>
      <c r="G2488" s="28"/>
      <c r="X2488" s="40"/>
      <c r="Y2488" s="40"/>
    </row>
    <row r="2489" spans="5:25" x14ac:dyDescent="0.35">
      <c r="E2489" t="s">
        <v>215</v>
      </c>
      <c r="F2489" t="s">
        <v>1841</v>
      </c>
      <c r="G2489" s="28"/>
      <c r="X2489" s="40"/>
      <c r="Y2489" s="40"/>
    </row>
    <row r="2490" spans="5:25" x14ac:dyDescent="0.35">
      <c r="E2490" t="s">
        <v>215</v>
      </c>
      <c r="F2490" t="s">
        <v>377</v>
      </c>
      <c r="G2490" s="28"/>
      <c r="X2490" s="40"/>
      <c r="Y2490" s="40"/>
    </row>
    <row r="2491" spans="5:25" x14ac:dyDescent="0.35">
      <c r="E2491" t="s">
        <v>215</v>
      </c>
      <c r="F2491" t="s">
        <v>1842</v>
      </c>
      <c r="G2491" s="28"/>
      <c r="X2491" s="40"/>
      <c r="Y2491" s="40"/>
    </row>
    <row r="2492" spans="5:25" x14ac:dyDescent="0.35">
      <c r="E2492" t="s">
        <v>215</v>
      </c>
      <c r="F2492" t="s">
        <v>961</v>
      </c>
      <c r="G2492" s="28"/>
      <c r="X2492" s="40"/>
      <c r="Y2492" s="40"/>
    </row>
    <row r="2493" spans="5:25" x14ac:dyDescent="0.35">
      <c r="E2493" t="s">
        <v>215</v>
      </c>
      <c r="F2493" t="s">
        <v>962</v>
      </c>
      <c r="G2493" s="28"/>
      <c r="X2493" s="40"/>
      <c r="Y2493" s="40"/>
    </row>
    <row r="2494" spans="5:25" x14ac:dyDescent="0.35">
      <c r="E2494" t="s">
        <v>215</v>
      </c>
      <c r="F2494" t="s">
        <v>1843</v>
      </c>
      <c r="G2494" s="28"/>
      <c r="X2494" s="40"/>
      <c r="Y2494" s="40"/>
    </row>
    <row r="2495" spans="5:25" x14ac:dyDescent="0.35">
      <c r="E2495" t="s">
        <v>215</v>
      </c>
      <c r="F2495" t="s">
        <v>1844</v>
      </c>
      <c r="G2495" s="28"/>
      <c r="X2495" s="40"/>
      <c r="Y2495" s="40"/>
    </row>
    <row r="2496" spans="5:25" x14ac:dyDescent="0.35">
      <c r="E2496" t="s">
        <v>215</v>
      </c>
      <c r="F2496" t="s">
        <v>1845</v>
      </c>
      <c r="G2496" s="28"/>
      <c r="X2496" s="40"/>
      <c r="Y2496" s="40"/>
    </row>
    <row r="2497" spans="5:25" x14ac:dyDescent="0.35">
      <c r="E2497" t="s">
        <v>215</v>
      </c>
      <c r="F2497" t="s">
        <v>1846</v>
      </c>
      <c r="G2497" s="28"/>
      <c r="X2497" s="40"/>
      <c r="Y2497" s="40"/>
    </row>
    <row r="2498" spans="5:25" x14ac:dyDescent="0.35">
      <c r="E2498" t="s">
        <v>215</v>
      </c>
      <c r="F2498" t="s">
        <v>1847</v>
      </c>
      <c r="G2498" s="28"/>
      <c r="X2498" s="40"/>
      <c r="Y2498" s="40"/>
    </row>
    <row r="2499" spans="5:25" x14ac:dyDescent="0.35">
      <c r="E2499" t="s">
        <v>215</v>
      </c>
      <c r="F2499" t="s">
        <v>1237</v>
      </c>
      <c r="G2499" s="28"/>
      <c r="X2499" s="40"/>
      <c r="Y2499" s="40"/>
    </row>
    <row r="2500" spans="5:25" x14ac:dyDescent="0.35">
      <c r="E2500" t="s">
        <v>215</v>
      </c>
      <c r="F2500" t="s">
        <v>1500</v>
      </c>
      <c r="G2500" s="28"/>
      <c r="X2500" s="40"/>
      <c r="Y2500" s="40"/>
    </row>
    <row r="2501" spans="5:25" x14ac:dyDescent="0.35">
      <c r="E2501" t="s">
        <v>215</v>
      </c>
      <c r="F2501" t="s">
        <v>1707</v>
      </c>
      <c r="G2501" s="28"/>
      <c r="X2501" s="40"/>
      <c r="Y2501" s="40"/>
    </row>
    <row r="2502" spans="5:25" x14ac:dyDescent="0.35">
      <c r="E2502" t="s">
        <v>215</v>
      </c>
      <c r="F2502" t="s">
        <v>1848</v>
      </c>
      <c r="G2502" s="28"/>
      <c r="X2502" s="40"/>
      <c r="Y2502" s="40"/>
    </row>
    <row r="2503" spans="5:25" x14ac:dyDescent="0.35">
      <c r="E2503" t="s">
        <v>215</v>
      </c>
      <c r="F2503" t="s">
        <v>1849</v>
      </c>
      <c r="G2503" s="28"/>
      <c r="X2503" s="40"/>
      <c r="Y2503" s="40"/>
    </row>
    <row r="2504" spans="5:25" x14ac:dyDescent="0.35">
      <c r="E2504" t="s">
        <v>215</v>
      </c>
      <c r="F2504" t="s">
        <v>1295</v>
      </c>
      <c r="G2504" s="28"/>
      <c r="X2504" s="40"/>
      <c r="Y2504" s="40"/>
    </row>
    <row r="2505" spans="5:25" x14ac:dyDescent="0.35">
      <c r="E2505" t="s">
        <v>215</v>
      </c>
      <c r="F2505" t="s">
        <v>1850</v>
      </c>
      <c r="G2505" s="28"/>
      <c r="X2505" s="40"/>
      <c r="Y2505" s="40"/>
    </row>
    <row r="2506" spans="5:25" x14ac:dyDescent="0.35">
      <c r="E2506" t="s">
        <v>215</v>
      </c>
      <c r="F2506" t="s">
        <v>1851</v>
      </c>
      <c r="G2506" s="28"/>
      <c r="X2506" s="40"/>
      <c r="Y2506" s="40"/>
    </row>
    <row r="2507" spans="5:25" x14ac:dyDescent="0.35">
      <c r="E2507" t="s">
        <v>215</v>
      </c>
      <c r="F2507" t="s">
        <v>1852</v>
      </c>
      <c r="G2507" s="28"/>
      <c r="X2507" s="40"/>
      <c r="Y2507" s="40"/>
    </row>
    <row r="2508" spans="5:25" x14ac:dyDescent="0.35">
      <c r="E2508" t="s">
        <v>215</v>
      </c>
      <c r="F2508" t="s">
        <v>1048</v>
      </c>
      <c r="G2508" s="28"/>
      <c r="X2508" s="40"/>
      <c r="Y2508" s="40"/>
    </row>
    <row r="2509" spans="5:25" x14ac:dyDescent="0.35">
      <c r="E2509" t="s">
        <v>215</v>
      </c>
      <c r="F2509" t="s">
        <v>1853</v>
      </c>
      <c r="G2509" s="28"/>
      <c r="X2509" s="40"/>
      <c r="Y2509" s="40"/>
    </row>
    <row r="2510" spans="5:25" x14ac:dyDescent="0.35">
      <c r="E2510" t="s">
        <v>215</v>
      </c>
      <c r="F2510" t="s">
        <v>740</v>
      </c>
      <c r="G2510" s="28"/>
      <c r="X2510" s="40"/>
      <c r="Y2510" s="40"/>
    </row>
    <row r="2511" spans="5:25" x14ac:dyDescent="0.35">
      <c r="E2511" t="s">
        <v>215</v>
      </c>
      <c r="F2511" t="s">
        <v>449</v>
      </c>
      <c r="G2511" s="28"/>
      <c r="X2511" s="40"/>
      <c r="Y2511" s="40"/>
    </row>
    <row r="2512" spans="5:25" x14ac:dyDescent="0.35">
      <c r="E2512" t="s">
        <v>215</v>
      </c>
      <c r="F2512" t="s">
        <v>1854</v>
      </c>
      <c r="G2512" s="28"/>
      <c r="X2512" s="40"/>
      <c r="Y2512" s="40"/>
    </row>
    <row r="2513" spans="5:25" x14ac:dyDescent="0.35">
      <c r="E2513" t="s">
        <v>215</v>
      </c>
      <c r="F2513" t="s">
        <v>1855</v>
      </c>
      <c r="G2513" s="28"/>
      <c r="X2513" s="40"/>
      <c r="Y2513" s="40"/>
    </row>
    <row r="2514" spans="5:25" x14ac:dyDescent="0.35">
      <c r="E2514" t="s">
        <v>215</v>
      </c>
      <c r="F2514" t="s">
        <v>1856</v>
      </c>
      <c r="G2514" s="28"/>
      <c r="X2514" s="40"/>
      <c r="Y2514" s="40"/>
    </row>
    <row r="2515" spans="5:25" x14ac:dyDescent="0.35">
      <c r="E2515" t="s">
        <v>216</v>
      </c>
      <c r="F2515" t="s">
        <v>930</v>
      </c>
      <c r="G2515" s="28"/>
      <c r="X2515" s="40"/>
      <c r="Y2515" s="40"/>
    </row>
    <row r="2516" spans="5:25" x14ac:dyDescent="0.35">
      <c r="E2516" t="s">
        <v>216</v>
      </c>
      <c r="F2516" t="s">
        <v>1683</v>
      </c>
      <c r="G2516" s="28"/>
      <c r="X2516" s="40"/>
      <c r="Y2516" s="40"/>
    </row>
    <row r="2517" spans="5:25" x14ac:dyDescent="0.35">
      <c r="E2517" t="s">
        <v>216</v>
      </c>
      <c r="F2517" t="s">
        <v>400</v>
      </c>
      <c r="G2517" s="28"/>
      <c r="X2517" s="40"/>
      <c r="Y2517" s="40"/>
    </row>
    <row r="2518" spans="5:25" x14ac:dyDescent="0.35">
      <c r="E2518" t="s">
        <v>216</v>
      </c>
      <c r="F2518" t="s">
        <v>1857</v>
      </c>
      <c r="G2518" s="28"/>
      <c r="X2518" s="40"/>
      <c r="Y2518" s="40"/>
    </row>
    <row r="2519" spans="5:25" x14ac:dyDescent="0.35">
      <c r="E2519" t="s">
        <v>216</v>
      </c>
      <c r="F2519" t="s">
        <v>334</v>
      </c>
      <c r="G2519" s="28"/>
      <c r="X2519" s="40"/>
      <c r="Y2519" s="40"/>
    </row>
    <row r="2520" spans="5:25" x14ac:dyDescent="0.35">
      <c r="E2520" t="s">
        <v>216</v>
      </c>
      <c r="F2520" t="s">
        <v>402</v>
      </c>
      <c r="G2520" s="28"/>
      <c r="X2520" s="40"/>
      <c r="Y2520" s="40"/>
    </row>
    <row r="2521" spans="5:25" x14ac:dyDescent="0.35">
      <c r="E2521" t="s">
        <v>216</v>
      </c>
      <c r="F2521" t="s">
        <v>1009</v>
      </c>
      <c r="G2521" s="28"/>
      <c r="X2521" s="40"/>
      <c r="Y2521" s="40"/>
    </row>
    <row r="2522" spans="5:25" x14ac:dyDescent="0.35">
      <c r="E2522" t="s">
        <v>216</v>
      </c>
      <c r="F2522" t="s">
        <v>1858</v>
      </c>
      <c r="G2522" s="28"/>
      <c r="X2522" s="40"/>
      <c r="Y2522" s="40"/>
    </row>
    <row r="2523" spans="5:25" x14ac:dyDescent="0.35">
      <c r="E2523" t="s">
        <v>216</v>
      </c>
      <c r="F2523" t="s">
        <v>403</v>
      </c>
      <c r="G2523" s="28"/>
      <c r="X2523" s="40"/>
      <c r="Y2523" s="40"/>
    </row>
    <row r="2524" spans="5:25" x14ac:dyDescent="0.35">
      <c r="E2524" t="s">
        <v>216</v>
      </c>
      <c r="F2524" t="s">
        <v>1011</v>
      </c>
      <c r="G2524" s="28"/>
      <c r="X2524" s="40"/>
      <c r="Y2524" s="40"/>
    </row>
    <row r="2525" spans="5:25" x14ac:dyDescent="0.35">
      <c r="E2525" t="s">
        <v>216</v>
      </c>
      <c r="F2525" t="s">
        <v>1859</v>
      </c>
      <c r="G2525" s="28"/>
      <c r="X2525" s="40"/>
      <c r="Y2525" s="40"/>
    </row>
    <row r="2526" spans="5:25" x14ac:dyDescent="0.35">
      <c r="E2526" t="s">
        <v>216</v>
      </c>
      <c r="F2526" t="s">
        <v>1689</v>
      </c>
      <c r="G2526" s="28"/>
      <c r="X2526" s="40"/>
      <c r="Y2526" s="40"/>
    </row>
    <row r="2527" spans="5:25" x14ac:dyDescent="0.35">
      <c r="E2527" t="s">
        <v>216</v>
      </c>
      <c r="F2527" t="s">
        <v>1063</v>
      </c>
      <c r="G2527" s="28"/>
      <c r="X2527" s="40"/>
      <c r="Y2527" s="40"/>
    </row>
    <row r="2528" spans="5:25" x14ac:dyDescent="0.35">
      <c r="E2528" t="s">
        <v>216</v>
      </c>
      <c r="F2528" t="s">
        <v>343</v>
      </c>
      <c r="G2528" s="28"/>
      <c r="X2528" s="40"/>
      <c r="Y2528" s="40"/>
    </row>
    <row r="2529" spans="5:25" x14ac:dyDescent="0.35">
      <c r="E2529" t="s">
        <v>216</v>
      </c>
      <c r="F2529" t="s">
        <v>1860</v>
      </c>
      <c r="G2529" s="28"/>
      <c r="X2529" s="40"/>
      <c r="Y2529" s="40"/>
    </row>
    <row r="2530" spans="5:25" x14ac:dyDescent="0.35">
      <c r="E2530" t="s">
        <v>216</v>
      </c>
      <c r="F2530" t="s">
        <v>345</v>
      </c>
      <c r="G2530" s="28"/>
      <c r="X2530" s="40"/>
      <c r="Y2530" s="40"/>
    </row>
    <row r="2531" spans="5:25" x14ac:dyDescent="0.35">
      <c r="E2531" t="s">
        <v>216</v>
      </c>
      <c r="F2531" t="s">
        <v>1861</v>
      </c>
      <c r="G2531" s="28"/>
      <c r="X2531" s="40"/>
      <c r="Y2531" s="40"/>
    </row>
    <row r="2532" spans="5:25" x14ac:dyDescent="0.35">
      <c r="E2532" t="s">
        <v>216</v>
      </c>
      <c r="F2532" t="s">
        <v>849</v>
      </c>
      <c r="G2532" s="28"/>
      <c r="X2532" s="40"/>
      <c r="Y2532" s="40"/>
    </row>
    <row r="2533" spans="5:25" x14ac:dyDescent="0.35">
      <c r="E2533" t="s">
        <v>216</v>
      </c>
      <c r="F2533" t="s">
        <v>1390</v>
      </c>
      <c r="G2533" s="28"/>
      <c r="X2533" s="40"/>
      <c r="Y2533" s="40"/>
    </row>
    <row r="2534" spans="5:25" x14ac:dyDescent="0.35">
      <c r="E2534" t="s">
        <v>216</v>
      </c>
      <c r="F2534" t="s">
        <v>674</v>
      </c>
      <c r="G2534" s="28"/>
      <c r="X2534" s="40"/>
      <c r="Y2534" s="40"/>
    </row>
    <row r="2535" spans="5:25" x14ac:dyDescent="0.35">
      <c r="E2535" t="s">
        <v>216</v>
      </c>
      <c r="F2535" t="s">
        <v>675</v>
      </c>
      <c r="G2535" s="28"/>
      <c r="X2535" s="40"/>
      <c r="Y2535" s="40"/>
    </row>
    <row r="2536" spans="5:25" x14ac:dyDescent="0.35">
      <c r="E2536" t="s">
        <v>216</v>
      </c>
      <c r="F2536" t="s">
        <v>1862</v>
      </c>
      <c r="G2536" s="28"/>
      <c r="X2536" s="40"/>
      <c r="Y2536" s="40"/>
    </row>
    <row r="2537" spans="5:25" x14ac:dyDescent="0.35">
      <c r="E2537" t="s">
        <v>216</v>
      </c>
      <c r="F2537" t="s">
        <v>1863</v>
      </c>
      <c r="G2537" s="28"/>
      <c r="X2537" s="40"/>
      <c r="Y2537" s="40"/>
    </row>
    <row r="2538" spans="5:25" x14ac:dyDescent="0.35">
      <c r="E2538" t="s">
        <v>216</v>
      </c>
      <c r="F2538" t="s">
        <v>358</v>
      </c>
      <c r="G2538" s="28"/>
      <c r="X2538" s="40"/>
      <c r="Y2538" s="40"/>
    </row>
    <row r="2539" spans="5:25" x14ac:dyDescent="0.35">
      <c r="E2539" t="s">
        <v>216</v>
      </c>
      <c r="F2539" t="s">
        <v>1864</v>
      </c>
      <c r="G2539" s="28"/>
      <c r="X2539" s="40"/>
      <c r="Y2539" s="40"/>
    </row>
    <row r="2540" spans="5:25" x14ac:dyDescent="0.35">
      <c r="E2540" t="s">
        <v>216</v>
      </c>
      <c r="F2540" t="s">
        <v>359</v>
      </c>
      <c r="G2540" s="28"/>
      <c r="X2540" s="40"/>
      <c r="Y2540" s="40"/>
    </row>
    <row r="2541" spans="5:25" x14ac:dyDescent="0.35">
      <c r="E2541" t="s">
        <v>216</v>
      </c>
      <c r="F2541" t="s">
        <v>899</v>
      </c>
      <c r="G2541" s="28"/>
      <c r="X2541" s="40"/>
      <c r="Y2541" s="40"/>
    </row>
    <row r="2542" spans="5:25" x14ac:dyDescent="0.35">
      <c r="E2542" t="s">
        <v>216</v>
      </c>
      <c r="F2542" t="s">
        <v>1865</v>
      </c>
      <c r="G2542" s="28"/>
      <c r="X2542" s="40"/>
      <c r="Y2542" s="40"/>
    </row>
    <row r="2543" spans="5:25" x14ac:dyDescent="0.35">
      <c r="E2543" t="s">
        <v>216</v>
      </c>
      <c r="F2543" t="s">
        <v>1866</v>
      </c>
      <c r="G2543" s="28"/>
      <c r="X2543" s="40"/>
      <c r="Y2543" s="40"/>
    </row>
    <row r="2544" spans="5:25" x14ac:dyDescent="0.35">
      <c r="E2544" t="s">
        <v>216</v>
      </c>
      <c r="F2544" t="s">
        <v>361</v>
      </c>
      <c r="G2544" s="28"/>
      <c r="X2544" s="40"/>
      <c r="Y2544" s="40"/>
    </row>
    <row r="2545" spans="5:25" x14ac:dyDescent="0.35">
      <c r="E2545" t="s">
        <v>216</v>
      </c>
      <c r="F2545" t="s">
        <v>776</v>
      </c>
      <c r="G2545" s="28"/>
      <c r="X2545" s="40"/>
      <c r="Y2545" s="40"/>
    </row>
    <row r="2546" spans="5:25" x14ac:dyDescent="0.35">
      <c r="E2546" t="s">
        <v>216</v>
      </c>
      <c r="F2546" t="s">
        <v>1867</v>
      </c>
      <c r="G2546" s="28"/>
      <c r="X2546" s="40"/>
      <c r="Y2546" s="40"/>
    </row>
    <row r="2547" spans="5:25" x14ac:dyDescent="0.35">
      <c r="E2547" t="s">
        <v>216</v>
      </c>
      <c r="F2547" t="s">
        <v>610</v>
      </c>
      <c r="G2547" s="28"/>
      <c r="X2547" s="40"/>
      <c r="Y2547" s="40"/>
    </row>
    <row r="2548" spans="5:25" x14ac:dyDescent="0.35">
      <c r="E2548" t="s">
        <v>216</v>
      </c>
      <c r="F2548" t="s">
        <v>695</v>
      </c>
      <c r="G2548" s="28"/>
      <c r="X2548" s="40"/>
      <c r="Y2548" s="40"/>
    </row>
    <row r="2549" spans="5:25" x14ac:dyDescent="0.35">
      <c r="E2549" t="s">
        <v>216</v>
      </c>
      <c r="F2549" t="s">
        <v>1868</v>
      </c>
      <c r="G2549" s="28"/>
      <c r="X2549" s="40"/>
      <c r="Y2549" s="40"/>
    </row>
    <row r="2550" spans="5:25" x14ac:dyDescent="0.35">
      <c r="E2550" t="s">
        <v>216</v>
      </c>
      <c r="F2550" t="s">
        <v>778</v>
      </c>
      <c r="G2550" s="28"/>
      <c r="X2550" s="40"/>
      <c r="Y2550" s="40"/>
    </row>
    <row r="2551" spans="5:25" x14ac:dyDescent="0.35">
      <c r="E2551" t="s">
        <v>216</v>
      </c>
      <c r="F2551" t="s">
        <v>1869</v>
      </c>
      <c r="G2551" s="28"/>
      <c r="X2551" s="40"/>
      <c r="Y2551" s="40"/>
    </row>
    <row r="2552" spans="5:25" x14ac:dyDescent="0.35">
      <c r="E2552" t="s">
        <v>216</v>
      </c>
      <c r="F2552" t="s">
        <v>1401</v>
      </c>
      <c r="G2552" s="28"/>
      <c r="X2552" s="40"/>
      <c r="Y2552" s="40"/>
    </row>
    <row r="2553" spans="5:25" x14ac:dyDescent="0.35">
      <c r="E2553" t="s">
        <v>216</v>
      </c>
      <c r="F2553" t="s">
        <v>856</v>
      </c>
      <c r="G2553" s="28"/>
      <c r="X2553" s="40"/>
      <c r="Y2553" s="40"/>
    </row>
    <row r="2554" spans="5:25" x14ac:dyDescent="0.35">
      <c r="E2554" t="s">
        <v>216</v>
      </c>
      <c r="F2554" t="s">
        <v>363</v>
      </c>
      <c r="G2554" s="28"/>
      <c r="X2554" s="40"/>
      <c r="Y2554" s="40"/>
    </row>
    <row r="2555" spans="5:25" x14ac:dyDescent="0.35">
      <c r="E2555" t="s">
        <v>216</v>
      </c>
      <c r="F2555" t="s">
        <v>1023</v>
      </c>
      <c r="G2555" s="28"/>
      <c r="X2555" s="40"/>
      <c r="Y2555" s="40"/>
    </row>
    <row r="2556" spans="5:25" x14ac:dyDescent="0.35">
      <c r="E2556" t="s">
        <v>216</v>
      </c>
      <c r="F2556" t="s">
        <v>364</v>
      </c>
      <c r="G2556" s="28"/>
      <c r="X2556" s="40"/>
      <c r="Y2556" s="40"/>
    </row>
    <row r="2557" spans="5:25" x14ac:dyDescent="0.35">
      <c r="E2557" t="s">
        <v>216</v>
      </c>
      <c r="F2557" t="s">
        <v>1311</v>
      </c>
      <c r="G2557" s="28"/>
      <c r="X2557" s="40"/>
      <c r="Y2557" s="40"/>
    </row>
    <row r="2558" spans="5:25" x14ac:dyDescent="0.35">
      <c r="E2558" t="s">
        <v>216</v>
      </c>
      <c r="F2558" t="s">
        <v>365</v>
      </c>
      <c r="G2558" s="28"/>
      <c r="X2558" s="40"/>
      <c r="Y2558" s="40"/>
    </row>
    <row r="2559" spans="5:25" x14ac:dyDescent="0.35">
      <c r="E2559" t="s">
        <v>216</v>
      </c>
      <c r="F2559" t="s">
        <v>366</v>
      </c>
      <c r="G2559" s="28"/>
      <c r="X2559" s="40"/>
      <c r="Y2559" s="40"/>
    </row>
    <row r="2560" spans="5:25" x14ac:dyDescent="0.35">
      <c r="E2560" t="s">
        <v>216</v>
      </c>
      <c r="F2560" t="s">
        <v>424</v>
      </c>
      <c r="G2560" s="28"/>
      <c r="X2560" s="40"/>
      <c r="Y2560" s="40"/>
    </row>
    <row r="2561" spans="5:25" x14ac:dyDescent="0.35">
      <c r="E2561" t="s">
        <v>216</v>
      </c>
      <c r="F2561" t="s">
        <v>863</v>
      </c>
      <c r="G2561" s="28"/>
      <c r="X2561" s="40"/>
      <c r="Y2561" s="40"/>
    </row>
    <row r="2562" spans="5:25" x14ac:dyDescent="0.35">
      <c r="E2562" t="s">
        <v>216</v>
      </c>
      <c r="F2562" t="s">
        <v>486</v>
      </c>
      <c r="G2562" s="28"/>
      <c r="X2562" s="40"/>
      <c r="Y2562" s="40"/>
    </row>
    <row r="2563" spans="5:25" x14ac:dyDescent="0.35">
      <c r="E2563" t="s">
        <v>216</v>
      </c>
      <c r="F2563" t="s">
        <v>368</v>
      </c>
      <c r="G2563" s="28"/>
      <c r="X2563" s="40"/>
      <c r="Y2563" s="40"/>
    </row>
    <row r="2564" spans="5:25" x14ac:dyDescent="0.35">
      <c r="E2564" t="s">
        <v>216</v>
      </c>
      <c r="F2564" t="s">
        <v>369</v>
      </c>
      <c r="G2564" s="28"/>
      <c r="X2564" s="40"/>
      <c r="Y2564" s="40"/>
    </row>
    <row r="2565" spans="5:25" x14ac:dyDescent="0.35">
      <c r="E2565" t="s">
        <v>216</v>
      </c>
      <c r="F2565" t="s">
        <v>831</v>
      </c>
      <c r="G2565" s="28"/>
      <c r="X2565" s="40"/>
      <c r="Y2565" s="40"/>
    </row>
    <row r="2566" spans="5:25" x14ac:dyDescent="0.35">
      <c r="E2566" t="s">
        <v>216</v>
      </c>
      <c r="F2566" t="s">
        <v>426</v>
      </c>
      <c r="G2566" s="28"/>
      <c r="X2566" s="40"/>
      <c r="Y2566" s="40"/>
    </row>
    <row r="2567" spans="5:25" x14ac:dyDescent="0.35">
      <c r="E2567" t="s">
        <v>216</v>
      </c>
      <c r="F2567" t="s">
        <v>1870</v>
      </c>
      <c r="G2567" s="28"/>
      <c r="X2567" s="40"/>
      <c r="Y2567" s="40"/>
    </row>
    <row r="2568" spans="5:25" x14ac:dyDescent="0.35">
      <c r="E2568" t="s">
        <v>216</v>
      </c>
      <c r="F2568" t="s">
        <v>373</v>
      </c>
      <c r="G2568" s="28"/>
      <c r="X2568" s="40"/>
      <c r="Y2568" s="40"/>
    </row>
    <row r="2569" spans="5:25" x14ac:dyDescent="0.35">
      <c r="E2569" t="s">
        <v>216</v>
      </c>
      <c r="F2569" t="s">
        <v>374</v>
      </c>
      <c r="G2569" s="28"/>
      <c r="X2569" s="40"/>
      <c r="Y2569" s="40"/>
    </row>
    <row r="2570" spans="5:25" x14ac:dyDescent="0.35">
      <c r="E2570" t="s">
        <v>216</v>
      </c>
      <c r="F2570" t="s">
        <v>376</v>
      </c>
      <c r="G2570" s="28"/>
      <c r="X2570" s="40"/>
      <c r="Y2570" s="40"/>
    </row>
    <row r="2571" spans="5:25" x14ac:dyDescent="0.35">
      <c r="E2571" t="s">
        <v>216</v>
      </c>
      <c r="F2571" t="s">
        <v>377</v>
      </c>
      <c r="G2571" s="28"/>
      <c r="X2571" s="40"/>
      <c r="Y2571" s="40"/>
    </row>
    <row r="2572" spans="5:25" x14ac:dyDescent="0.35">
      <c r="E2572" t="s">
        <v>216</v>
      </c>
      <c r="F2572" t="s">
        <v>1871</v>
      </c>
      <c r="G2572" s="28"/>
      <c r="X2572" s="40"/>
      <c r="Y2572" s="40"/>
    </row>
    <row r="2573" spans="5:25" x14ac:dyDescent="0.35">
      <c r="E2573" t="s">
        <v>216</v>
      </c>
      <c r="F2573" t="s">
        <v>1872</v>
      </c>
      <c r="G2573" s="28"/>
      <c r="X2573" s="40"/>
      <c r="Y2573" s="40"/>
    </row>
    <row r="2574" spans="5:25" x14ac:dyDescent="0.35">
      <c r="E2574" t="s">
        <v>216</v>
      </c>
      <c r="F2574" t="s">
        <v>1873</v>
      </c>
      <c r="G2574" s="28"/>
      <c r="X2574" s="40"/>
      <c r="Y2574" s="40"/>
    </row>
    <row r="2575" spans="5:25" x14ac:dyDescent="0.35">
      <c r="E2575" t="s">
        <v>216</v>
      </c>
      <c r="F2575" t="s">
        <v>1609</v>
      </c>
      <c r="G2575" s="28"/>
      <c r="X2575" s="40"/>
      <c r="Y2575" s="40"/>
    </row>
    <row r="2576" spans="5:25" x14ac:dyDescent="0.35">
      <c r="E2576" t="s">
        <v>216</v>
      </c>
      <c r="F2576" t="s">
        <v>379</v>
      </c>
      <c r="G2576" s="28"/>
      <c r="X2576" s="40"/>
      <c r="Y2576" s="40"/>
    </row>
    <row r="2577" spans="5:25" x14ac:dyDescent="0.35">
      <c r="E2577" t="s">
        <v>216</v>
      </c>
      <c r="F2577" t="s">
        <v>380</v>
      </c>
      <c r="G2577" s="28"/>
      <c r="X2577" s="40"/>
      <c r="Y2577" s="40"/>
    </row>
    <row r="2578" spans="5:25" x14ac:dyDescent="0.35">
      <c r="E2578" t="s">
        <v>216</v>
      </c>
      <c r="F2578" t="s">
        <v>1410</v>
      </c>
      <c r="G2578" s="28"/>
      <c r="X2578" s="40"/>
      <c r="Y2578" s="40"/>
    </row>
    <row r="2579" spans="5:25" x14ac:dyDescent="0.35">
      <c r="E2579" t="s">
        <v>216</v>
      </c>
      <c r="F2579" t="s">
        <v>381</v>
      </c>
      <c r="G2579" s="28"/>
      <c r="X2579" s="40"/>
      <c r="Y2579" s="40"/>
    </row>
    <row r="2580" spans="5:25" x14ac:dyDescent="0.35">
      <c r="E2580" t="s">
        <v>216</v>
      </c>
      <c r="F2580" t="s">
        <v>1874</v>
      </c>
      <c r="G2580" s="28"/>
      <c r="X2580" s="40"/>
      <c r="Y2580" s="40"/>
    </row>
    <row r="2581" spans="5:25" x14ac:dyDescent="0.35">
      <c r="E2581" t="s">
        <v>216</v>
      </c>
      <c r="F2581" t="s">
        <v>1875</v>
      </c>
      <c r="G2581" s="28"/>
      <c r="X2581" s="40"/>
      <c r="Y2581" s="40"/>
    </row>
    <row r="2582" spans="5:25" x14ac:dyDescent="0.35">
      <c r="E2582" t="s">
        <v>216</v>
      </c>
      <c r="F2582" t="s">
        <v>382</v>
      </c>
      <c r="G2582" s="28"/>
      <c r="X2582" s="40"/>
      <c r="Y2582" s="40"/>
    </row>
    <row r="2583" spans="5:25" x14ac:dyDescent="0.35">
      <c r="E2583" t="s">
        <v>216</v>
      </c>
      <c r="F2583" t="s">
        <v>1876</v>
      </c>
      <c r="G2583" s="28"/>
      <c r="X2583" s="40"/>
      <c r="Y2583" s="40"/>
    </row>
    <row r="2584" spans="5:25" x14ac:dyDescent="0.35">
      <c r="E2584" t="s">
        <v>216</v>
      </c>
      <c r="F2584" t="s">
        <v>437</v>
      </c>
      <c r="G2584" s="28"/>
      <c r="X2584" s="40"/>
      <c r="Y2584" s="40"/>
    </row>
    <row r="2585" spans="5:25" x14ac:dyDescent="0.35">
      <c r="E2585" t="s">
        <v>216</v>
      </c>
      <c r="F2585" t="s">
        <v>631</v>
      </c>
      <c r="G2585" s="28"/>
      <c r="X2585" s="40"/>
      <c r="Y2585" s="40"/>
    </row>
    <row r="2586" spans="5:25" x14ac:dyDescent="0.35">
      <c r="E2586" t="s">
        <v>216</v>
      </c>
      <c r="F2586" t="s">
        <v>1877</v>
      </c>
      <c r="G2586" s="28"/>
      <c r="X2586" s="40"/>
      <c r="Y2586" s="40"/>
    </row>
    <row r="2587" spans="5:25" x14ac:dyDescent="0.35">
      <c r="E2587" t="s">
        <v>216</v>
      </c>
      <c r="F2587" t="s">
        <v>1878</v>
      </c>
      <c r="G2587" s="28"/>
      <c r="X2587" s="40"/>
      <c r="Y2587" s="40"/>
    </row>
    <row r="2588" spans="5:25" x14ac:dyDescent="0.35">
      <c r="E2588" t="s">
        <v>216</v>
      </c>
      <c r="F2588" t="s">
        <v>1044</v>
      </c>
      <c r="G2588" s="28"/>
      <c r="X2588" s="40"/>
      <c r="Y2588" s="40"/>
    </row>
    <row r="2589" spans="5:25" x14ac:dyDescent="0.35">
      <c r="E2589" t="s">
        <v>216</v>
      </c>
      <c r="F2589" t="s">
        <v>1423</v>
      </c>
      <c r="G2589" s="28"/>
      <c r="X2589" s="40"/>
      <c r="Y2589" s="40"/>
    </row>
    <row r="2590" spans="5:25" x14ac:dyDescent="0.35">
      <c r="E2590" t="s">
        <v>216</v>
      </c>
      <c r="F2590" t="s">
        <v>443</v>
      </c>
      <c r="G2590" s="28"/>
      <c r="X2590" s="40"/>
      <c r="Y2590" s="40"/>
    </row>
    <row r="2591" spans="5:25" x14ac:dyDescent="0.35">
      <c r="E2591" t="s">
        <v>216</v>
      </c>
      <c r="F2591" t="s">
        <v>1879</v>
      </c>
      <c r="G2591" s="28"/>
      <c r="X2591" s="40"/>
      <c r="Y2591" s="40"/>
    </row>
    <row r="2592" spans="5:25" x14ac:dyDescent="0.35">
      <c r="E2592" t="s">
        <v>216</v>
      </c>
      <c r="F2592" t="s">
        <v>446</v>
      </c>
      <c r="G2592" s="28"/>
      <c r="X2592" s="40"/>
      <c r="Y2592" s="40"/>
    </row>
    <row r="2593" spans="5:25" x14ac:dyDescent="0.35">
      <c r="E2593" t="s">
        <v>216</v>
      </c>
      <c r="F2593" t="s">
        <v>388</v>
      </c>
      <c r="G2593" s="28"/>
      <c r="X2593" s="40"/>
      <c r="Y2593" s="40"/>
    </row>
    <row r="2594" spans="5:25" x14ac:dyDescent="0.35">
      <c r="E2594" t="s">
        <v>216</v>
      </c>
      <c r="F2594" t="s">
        <v>985</v>
      </c>
      <c r="G2594" s="28"/>
      <c r="X2594" s="40"/>
      <c r="Y2594" s="40"/>
    </row>
    <row r="2595" spans="5:25" x14ac:dyDescent="0.35">
      <c r="E2595" t="s">
        <v>216</v>
      </c>
      <c r="F2595" t="s">
        <v>728</v>
      </c>
      <c r="G2595" s="28"/>
      <c r="X2595" s="40"/>
      <c r="Y2595" s="40"/>
    </row>
    <row r="2596" spans="5:25" x14ac:dyDescent="0.35">
      <c r="E2596" t="s">
        <v>216</v>
      </c>
      <c r="F2596" t="s">
        <v>920</v>
      </c>
      <c r="G2596" s="28"/>
      <c r="X2596" s="40"/>
      <c r="Y2596" s="40"/>
    </row>
    <row r="2597" spans="5:25" x14ac:dyDescent="0.35">
      <c r="E2597" t="s">
        <v>216</v>
      </c>
      <c r="F2597" t="s">
        <v>989</v>
      </c>
      <c r="G2597" s="28"/>
      <c r="X2597" s="40"/>
      <c r="Y2597" s="40"/>
    </row>
    <row r="2598" spans="5:25" x14ac:dyDescent="0.35">
      <c r="E2598" t="s">
        <v>216</v>
      </c>
      <c r="F2598" t="s">
        <v>923</v>
      </c>
      <c r="G2598" s="28"/>
      <c r="X2598" s="40"/>
      <c r="Y2598" s="40"/>
    </row>
    <row r="2599" spans="5:25" x14ac:dyDescent="0.35">
      <c r="E2599" t="s">
        <v>216</v>
      </c>
      <c r="F2599" t="s">
        <v>1880</v>
      </c>
      <c r="G2599" s="28"/>
      <c r="X2599" s="40"/>
      <c r="Y2599" s="40"/>
    </row>
    <row r="2600" spans="5:25" x14ac:dyDescent="0.35">
      <c r="E2600" t="s">
        <v>216</v>
      </c>
      <c r="F2600" t="s">
        <v>1881</v>
      </c>
      <c r="G2600" s="28"/>
      <c r="X2600" s="40"/>
      <c r="Y2600" s="40"/>
    </row>
    <row r="2601" spans="5:25" x14ac:dyDescent="0.35">
      <c r="E2601" t="s">
        <v>216</v>
      </c>
      <c r="F2601" t="s">
        <v>449</v>
      </c>
      <c r="G2601" s="28"/>
      <c r="X2601" s="40"/>
      <c r="Y2601" s="40"/>
    </row>
    <row r="2602" spans="5:25" x14ac:dyDescent="0.35">
      <c r="E2602" t="s">
        <v>216</v>
      </c>
      <c r="F2602" t="s">
        <v>450</v>
      </c>
      <c r="G2602" s="28"/>
      <c r="X2602" s="40"/>
      <c r="Y2602" s="40"/>
    </row>
    <row r="2603" spans="5:25" x14ac:dyDescent="0.35">
      <c r="E2603" t="s">
        <v>216</v>
      </c>
      <c r="F2603" t="s">
        <v>744</v>
      </c>
      <c r="G2603" s="28"/>
      <c r="X2603" s="40"/>
      <c r="Y2603" s="40"/>
    </row>
    <row r="2604" spans="5:25" x14ac:dyDescent="0.35">
      <c r="E2604" t="s">
        <v>216</v>
      </c>
      <c r="F2604" t="s">
        <v>394</v>
      </c>
      <c r="G2604" s="28"/>
      <c r="X2604" s="40"/>
      <c r="Y2604" s="40"/>
    </row>
    <row r="2605" spans="5:25" x14ac:dyDescent="0.35">
      <c r="E2605" t="s">
        <v>216</v>
      </c>
      <c r="F2605" t="s">
        <v>745</v>
      </c>
      <c r="G2605" s="28"/>
      <c r="X2605" s="40"/>
      <c r="Y2605" s="40"/>
    </row>
    <row r="2606" spans="5:25" x14ac:dyDescent="0.35">
      <c r="E2606" t="s">
        <v>216</v>
      </c>
      <c r="F2606" t="s">
        <v>1882</v>
      </c>
      <c r="G2606" s="28"/>
      <c r="X2606" s="40"/>
      <c r="Y2606" s="40"/>
    </row>
    <row r="2607" spans="5:25" x14ac:dyDescent="0.35">
      <c r="E2607" t="s">
        <v>216</v>
      </c>
      <c r="F2607" t="s">
        <v>451</v>
      </c>
      <c r="G2607" s="28"/>
      <c r="X2607" s="40"/>
      <c r="Y2607" s="40"/>
    </row>
    <row r="2608" spans="5:25" x14ac:dyDescent="0.35">
      <c r="E2608" t="s">
        <v>216</v>
      </c>
      <c r="F2608" t="s">
        <v>889</v>
      </c>
      <c r="G2608" s="28"/>
      <c r="X2608" s="40"/>
      <c r="Y2608" s="40"/>
    </row>
    <row r="2609" spans="5:25" x14ac:dyDescent="0.35">
      <c r="E2609" t="s">
        <v>216</v>
      </c>
      <c r="F2609" t="s">
        <v>994</v>
      </c>
      <c r="G2609" s="28"/>
      <c r="X2609" s="40"/>
      <c r="Y2609" s="40"/>
    </row>
    <row r="2610" spans="5:25" x14ac:dyDescent="0.35">
      <c r="E2610" t="s">
        <v>217</v>
      </c>
      <c r="F2610" t="s">
        <v>930</v>
      </c>
      <c r="G2610" s="28"/>
      <c r="X2610" s="40"/>
      <c r="Y2610" s="40"/>
    </row>
    <row r="2611" spans="5:25" x14ac:dyDescent="0.35">
      <c r="E2611" t="s">
        <v>217</v>
      </c>
      <c r="F2611" t="s">
        <v>1883</v>
      </c>
      <c r="G2611" s="28"/>
      <c r="X2611" s="40"/>
      <c r="Y2611" s="40"/>
    </row>
    <row r="2612" spans="5:25" x14ac:dyDescent="0.35">
      <c r="E2612" t="s">
        <v>217</v>
      </c>
      <c r="F2612" t="s">
        <v>1884</v>
      </c>
      <c r="G2612" s="28"/>
      <c r="X2612" s="40"/>
      <c r="Y2612" s="40"/>
    </row>
    <row r="2613" spans="5:25" x14ac:dyDescent="0.35">
      <c r="E2613" t="s">
        <v>217</v>
      </c>
      <c r="F2613" t="s">
        <v>1885</v>
      </c>
      <c r="G2613" s="28"/>
      <c r="X2613" s="40"/>
      <c r="Y2613" s="40"/>
    </row>
    <row r="2614" spans="5:25" x14ac:dyDescent="0.35">
      <c r="E2614" t="s">
        <v>217</v>
      </c>
      <c r="F2614" t="s">
        <v>1886</v>
      </c>
      <c r="G2614" s="28"/>
      <c r="X2614" s="40"/>
      <c r="Y2614" s="40"/>
    </row>
    <row r="2615" spans="5:25" x14ac:dyDescent="0.35">
      <c r="E2615" t="s">
        <v>217</v>
      </c>
      <c r="F2615" t="s">
        <v>1682</v>
      </c>
      <c r="G2615" s="28"/>
      <c r="X2615" s="40"/>
      <c r="Y2615" s="40"/>
    </row>
    <row r="2616" spans="5:25" x14ac:dyDescent="0.35">
      <c r="E2616" t="s">
        <v>217</v>
      </c>
      <c r="F2616" t="s">
        <v>1887</v>
      </c>
      <c r="G2616" s="28"/>
      <c r="X2616" s="40"/>
      <c r="Y2616" s="40"/>
    </row>
    <row r="2617" spans="5:25" x14ac:dyDescent="0.35">
      <c r="E2617" t="s">
        <v>217</v>
      </c>
      <c r="F2617" t="s">
        <v>1888</v>
      </c>
      <c r="G2617" s="28"/>
      <c r="X2617" s="40"/>
      <c r="Y2617" s="40"/>
    </row>
    <row r="2618" spans="5:25" x14ac:dyDescent="0.35">
      <c r="E2618" t="s">
        <v>217</v>
      </c>
      <c r="F2618" t="s">
        <v>1889</v>
      </c>
      <c r="G2618" s="28"/>
      <c r="X2618" s="40"/>
      <c r="Y2618" s="40"/>
    </row>
    <row r="2619" spans="5:25" x14ac:dyDescent="0.35">
      <c r="E2619" t="s">
        <v>217</v>
      </c>
      <c r="F2619" t="s">
        <v>1890</v>
      </c>
      <c r="G2619" s="28"/>
      <c r="X2619" s="40"/>
      <c r="Y2619" s="40"/>
    </row>
    <row r="2620" spans="5:25" x14ac:dyDescent="0.35">
      <c r="E2620" t="s">
        <v>217</v>
      </c>
      <c r="F2620" t="s">
        <v>1891</v>
      </c>
      <c r="G2620" s="28"/>
      <c r="X2620" s="40"/>
      <c r="Y2620" s="40"/>
    </row>
    <row r="2621" spans="5:25" x14ac:dyDescent="0.35">
      <c r="E2621" t="s">
        <v>217</v>
      </c>
      <c r="F2621" t="s">
        <v>1892</v>
      </c>
      <c r="G2621" s="28"/>
      <c r="X2621" s="40"/>
      <c r="Y2621" s="40"/>
    </row>
    <row r="2622" spans="5:25" x14ac:dyDescent="0.35">
      <c r="E2622" t="s">
        <v>217</v>
      </c>
      <c r="F2622" t="s">
        <v>1893</v>
      </c>
      <c r="G2622" s="28"/>
      <c r="X2622" s="40"/>
      <c r="Y2622" s="40"/>
    </row>
    <row r="2623" spans="5:25" x14ac:dyDescent="0.35">
      <c r="E2623" t="s">
        <v>217</v>
      </c>
      <c r="F2623" t="s">
        <v>1000</v>
      </c>
      <c r="G2623" s="28"/>
      <c r="X2623" s="40"/>
      <c r="Y2623" s="40"/>
    </row>
    <row r="2624" spans="5:25" x14ac:dyDescent="0.35">
      <c r="E2624" t="s">
        <v>217</v>
      </c>
      <c r="F2624" t="s">
        <v>1894</v>
      </c>
      <c r="G2624" s="28"/>
      <c r="X2624" s="40"/>
      <c r="Y2624" s="40"/>
    </row>
    <row r="2625" spans="5:25" x14ac:dyDescent="0.35">
      <c r="E2625" t="s">
        <v>217</v>
      </c>
      <c r="F2625" t="s">
        <v>1895</v>
      </c>
      <c r="G2625" s="28"/>
      <c r="X2625" s="40"/>
      <c r="Y2625" s="40"/>
    </row>
    <row r="2626" spans="5:25" x14ac:dyDescent="0.35">
      <c r="E2626" t="s">
        <v>217</v>
      </c>
      <c r="F2626" t="s">
        <v>1896</v>
      </c>
      <c r="G2626" s="28"/>
      <c r="X2626" s="40"/>
      <c r="Y2626" s="40"/>
    </row>
    <row r="2627" spans="5:25" x14ac:dyDescent="0.35">
      <c r="E2627" t="s">
        <v>217</v>
      </c>
      <c r="F2627" t="s">
        <v>1897</v>
      </c>
      <c r="G2627" s="28"/>
      <c r="X2627" s="40"/>
      <c r="Y2627" s="40"/>
    </row>
    <row r="2628" spans="5:25" x14ac:dyDescent="0.35">
      <c r="E2628" t="s">
        <v>217</v>
      </c>
      <c r="F2628" t="s">
        <v>1898</v>
      </c>
      <c r="G2628" s="28"/>
      <c r="X2628" s="40"/>
      <c r="Y2628" s="40"/>
    </row>
    <row r="2629" spans="5:25" x14ac:dyDescent="0.35">
      <c r="E2629" t="s">
        <v>217</v>
      </c>
      <c r="F2629" t="s">
        <v>1899</v>
      </c>
      <c r="G2629" s="28"/>
      <c r="X2629" s="40"/>
      <c r="Y2629" s="40"/>
    </row>
    <row r="2630" spans="5:25" x14ac:dyDescent="0.35">
      <c r="E2630" t="s">
        <v>217</v>
      </c>
      <c r="F2630" t="s">
        <v>1900</v>
      </c>
      <c r="G2630" s="28"/>
      <c r="X2630" s="40"/>
      <c r="Y2630" s="40"/>
    </row>
    <row r="2631" spans="5:25" x14ac:dyDescent="0.35">
      <c r="E2631" t="s">
        <v>217</v>
      </c>
      <c r="F2631" t="s">
        <v>1901</v>
      </c>
      <c r="G2631" s="28"/>
      <c r="X2631" s="40"/>
      <c r="Y2631" s="40"/>
    </row>
    <row r="2632" spans="5:25" x14ac:dyDescent="0.35">
      <c r="E2632" t="s">
        <v>217</v>
      </c>
      <c r="F2632" t="s">
        <v>1902</v>
      </c>
      <c r="G2632" s="28"/>
      <c r="X2632" s="40"/>
      <c r="Y2632" s="40"/>
    </row>
    <row r="2633" spans="5:25" x14ac:dyDescent="0.35">
      <c r="E2633" t="s">
        <v>217</v>
      </c>
      <c r="F2633" t="s">
        <v>653</v>
      </c>
      <c r="G2633" s="28"/>
      <c r="X2633" s="40"/>
      <c r="Y2633" s="40"/>
    </row>
    <row r="2634" spans="5:25" x14ac:dyDescent="0.35">
      <c r="E2634" t="s">
        <v>217</v>
      </c>
      <c r="F2634" t="s">
        <v>844</v>
      </c>
      <c r="G2634" s="28"/>
      <c r="X2634" s="40"/>
      <c r="Y2634" s="40"/>
    </row>
    <row r="2635" spans="5:25" x14ac:dyDescent="0.35">
      <c r="E2635" t="s">
        <v>217</v>
      </c>
      <c r="F2635" t="s">
        <v>1903</v>
      </c>
      <c r="G2635" s="28"/>
      <c r="X2635" s="40"/>
      <c r="Y2635" s="40"/>
    </row>
    <row r="2636" spans="5:25" x14ac:dyDescent="0.35">
      <c r="E2636" t="s">
        <v>217</v>
      </c>
      <c r="F2636" t="s">
        <v>1904</v>
      </c>
      <c r="G2636" s="28"/>
      <c r="X2636" s="40"/>
      <c r="Y2636" s="40"/>
    </row>
    <row r="2637" spans="5:25" x14ac:dyDescent="0.35">
      <c r="E2637" t="s">
        <v>217</v>
      </c>
      <c r="F2637" t="s">
        <v>1007</v>
      </c>
      <c r="G2637" s="28"/>
      <c r="X2637" s="40"/>
      <c r="Y2637" s="40"/>
    </row>
    <row r="2638" spans="5:25" x14ac:dyDescent="0.35">
      <c r="E2638" t="s">
        <v>217</v>
      </c>
      <c r="F2638" t="s">
        <v>337</v>
      </c>
      <c r="G2638" s="28"/>
      <c r="X2638" s="40"/>
      <c r="Y2638" s="40"/>
    </row>
    <row r="2639" spans="5:25" x14ac:dyDescent="0.35">
      <c r="E2639" t="s">
        <v>217</v>
      </c>
      <c r="F2639" t="s">
        <v>1905</v>
      </c>
      <c r="G2639" s="28"/>
      <c r="X2639" s="40"/>
      <c r="Y2639" s="40"/>
    </row>
    <row r="2640" spans="5:25" x14ac:dyDescent="0.35">
      <c r="E2640" t="s">
        <v>217</v>
      </c>
      <c r="F2640" t="s">
        <v>1061</v>
      </c>
      <c r="G2640" s="28"/>
      <c r="X2640" s="40"/>
      <c r="Y2640" s="40"/>
    </row>
    <row r="2641" spans="5:25" x14ac:dyDescent="0.35">
      <c r="E2641" t="s">
        <v>217</v>
      </c>
      <c r="F2641" t="s">
        <v>1906</v>
      </c>
      <c r="G2641" s="28"/>
      <c r="X2641" s="40"/>
      <c r="Y2641" s="40"/>
    </row>
    <row r="2642" spans="5:25" x14ac:dyDescent="0.35">
      <c r="E2642" t="s">
        <v>217</v>
      </c>
      <c r="F2642" t="s">
        <v>1907</v>
      </c>
      <c r="G2642" s="28"/>
      <c r="X2642" s="40"/>
      <c r="Y2642" s="40"/>
    </row>
    <row r="2643" spans="5:25" x14ac:dyDescent="0.35">
      <c r="E2643" t="s">
        <v>217</v>
      </c>
      <c r="F2643" t="s">
        <v>765</v>
      </c>
      <c r="G2643" s="28"/>
      <c r="X2643" s="40"/>
      <c r="Y2643" s="40"/>
    </row>
    <row r="2644" spans="5:25" x14ac:dyDescent="0.35">
      <c r="E2644" t="s">
        <v>217</v>
      </c>
      <c r="F2644" t="s">
        <v>1908</v>
      </c>
      <c r="G2644" s="28"/>
      <c r="X2644" s="40"/>
      <c r="Y2644" s="40"/>
    </row>
    <row r="2645" spans="5:25" x14ac:dyDescent="0.35">
      <c r="E2645" t="s">
        <v>217</v>
      </c>
      <c r="F2645" t="s">
        <v>338</v>
      </c>
      <c r="G2645" s="28"/>
      <c r="X2645" s="40"/>
      <c r="Y2645" s="40"/>
    </row>
    <row r="2646" spans="5:25" x14ac:dyDescent="0.35">
      <c r="E2646" t="s">
        <v>217</v>
      </c>
      <c r="F2646" t="s">
        <v>339</v>
      </c>
      <c r="G2646" s="28"/>
      <c r="X2646" s="40"/>
      <c r="Y2646" s="40"/>
    </row>
    <row r="2647" spans="5:25" x14ac:dyDescent="0.35">
      <c r="E2647" t="s">
        <v>217</v>
      </c>
      <c r="F2647" t="s">
        <v>1909</v>
      </c>
      <c r="G2647" s="28"/>
      <c r="X2647" s="40"/>
      <c r="Y2647" s="40"/>
    </row>
    <row r="2648" spans="5:25" x14ac:dyDescent="0.35">
      <c r="E2648" t="s">
        <v>217</v>
      </c>
      <c r="F2648" t="s">
        <v>343</v>
      </c>
      <c r="G2648" s="28"/>
      <c r="X2648" s="40"/>
      <c r="Y2648" s="40"/>
    </row>
    <row r="2649" spans="5:25" x14ac:dyDescent="0.35">
      <c r="E2649" t="s">
        <v>217</v>
      </c>
      <c r="F2649" t="s">
        <v>1910</v>
      </c>
      <c r="G2649" s="28"/>
      <c r="X2649" s="40"/>
      <c r="Y2649" s="40"/>
    </row>
    <row r="2650" spans="5:25" x14ac:dyDescent="0.35">
      <c r="E2650" t="s">
        <v>217</v>
      </c>
      <c r="F2650" t="s">
        <v>1911</v>
      </c>
      <c r="G2650" s="28"/>
      <c r="X2650" s="40"/>
      <c r="Y2650" s="40"/>
    </row>
    <row r="2651" spans="5:25" x14ac:dyDescent="0.35">
      <c r="E2651" t="s">
        <v>217</v>
      </c>
      <c r="F2651" t="s">
        <v>1912</v>
      </c>
      <c r="G2651" s="28"/>
      <c r="X2651" s="40"/>
      <c r="Y2651" s="40"/>
    </row>
    <row r="2652" spans="5:25" x14ac:dyDescent="0.35">
      <c r="E2652" t="s">
        <v>217</v>
      </c>
      <c r="F2652" t="s">
        <v>1913</v>
      </c>
      <c r="G2652" s="28"/>
      <c r="X2652" s="40"/>
      <c r="Y2652" s="40"/>
    </row>
    <row r="2653" spans="5:25" x14ac:dyDescent="0.35">
      <c r="E2653" t="s">
        <v>217</v>
      </c>
      <c r="F2653" t="s">
        <v>1914</v>
      </c>
      <c r="G2653" s="28"/>
      <c r="X2653" s="40"/>
      <c r="Y2653" s="40"/>
    </row>
    <row r="2654" spans="5:25" x14ac:dyDescent="0.35">
      <c r="E2654" t="s">
        <v>217</v>
      </c>
      <c r="F2654" t="s">
        <v>1915</v>
      </c>
      <c r="G2654" s="28"/>
      <c r="X2654" s="40"/>
      <c r="Y2654" s="40"/>
    </row>
    <row r="2655" spans="5:25" x14ac:dyDescent="0.35">
      <c r="E2655" t="s">
        <v>217</v>
      </c>
      <c r="F2655" t="s">
        <v>1916</v>
      </c>
      <c r="G2655" s="28"/>
      <c r="X2655" s="40"/>
      <c r="Y2655" s="40"/>
    </row>
    <row r="2656" spans="5:25" x14ac:dyDescent="0.35">
      <c r="E2656" t="s">
        <v>217</v>
      </c>
      <c r="F2656" t="s">
        <v>939</v>
      </c>
      <c r="G2656" s="28"/>
      <c r="X2656" s="40"/>
      <c r="Y2656" s="40"/>
    </row>
    <row r="2657" spans="5:25" x14ac:dyDescent="0.35">
      <c r="E2657" t="s">
        <v>217</v>
      </c>
      <c r="F2657" t="s">
        <v>1917</v>
      </c>
      <c r="G2657" s="28"/>
      <c r="X2657" s="40"/>
      <c r="Y2657" s="40"/>
    </row>
    <row r="2658" spans="5:25" x14ac:dyDescent="0.35">
      <c r="E2658" t="s">
        <v>217</v>
      </c>
      <c r="F2658" t="s">
        <v>1918</v>
      </c>
      <c r="G2658" s="28"/>
      <c r="X2658" s="40"/>
      <c r="Y2658" s="40"/>
    </row>
    <row r="2659" spans="5:25" x14ac:dyDescent="0.35">
      <c r="E2659" t="s">
        <v>217</v>
      </c>
      <c r="F2659" t="s">
        <v>1919</v>
      </c>
      <c r="G2659" s="28"/>
      <c r="X2659" s="40"/>
      <c r="Y2659" s="40"/>
    </row>
    <row r="2660" spans="5:25" x14ac:dyDescent="0.35">
      <c r="E2660" t="s">
        <v>217</v>
      </c>
      <c r="F2660" t="s">
        <v>1920</v>
      </c>
      <c r="G2660" s="28"/>
      <c r="X2660" s="40"/>
      <c r="Y2660" s="40"/>
    </row>
    <row r="2661" spans="5:25" x14ac:dyDescent="0.35">
      <c r="E2661" t="s">
        <v>217</v>
      </c>
      <c r="F2661" t="s">
        <v>1921</v>
      </c>
      <c r="G2661" s="28"/>
      <c r="X2661" s="40"/>
      <c r="Y2661" s="40"/>
    </row>
    <row r="2662" spans="5:25" x14ac:dyDescent="0.35">
      <c r="E2662" t="s">
        <v>217</v>
      </c>
      <c r="F2662" t="s">
        <v>1861</v>
      </c>
      <c r="G2662" s="28"/>
      <c r="X2662" s="40"/>
      <c r="Y2662" s="40"/>
    </row>
    <row r="2663" spans="5:25" x14ac:dyDescent="0.35">
      <c r="E2663" t="s">
        <v>217</v>
      </c>
      <c r="F2663" t="s">
        <v>1922</v>
      </c>
      <c r="G2663" s="28"/>
      <c r="X2663" s="40"/>
      <c r="Y2663" s="40"/>
    </row>
    <row r="2664" spans="5:25" x14ac:dyDescent="0.35">
      <c r="E2664" t="s">
        <v>217</v>
      </c>
      <c r="F2664" t="s">
        <v>1923</v>
      </c>
      <c r="G2664" s="28"/>
      <c r="X2664" s="40"/>
      <c r="Y2664" s="40"/>
    </row>
    <row r="2665" spans="5:25" x14ac:dyDescent="0.35">
      <c r="E2665" t="s">
        <v>217</v>
      </c>
      <c r="F2665" t="s">
        <v>1924</v>
      </c>
      <c r="G2665" s="28"/>
      <c r="X2665" s="40"/>
      <c r="Y2665" s="40"/>
    </row>
    <row r="2666" spans="5:25" x14ac:dyDescent="0.35">
      <c r="E2666" t="s">
        <v>217</v>
      </c>
      <c r="F2666" t="s">
        <v>353</v>
      </c>
      <c r="G2666" s="28"/>
      <c r="X2666" s="40"/>
      <c r="Y2666" s="40"/>
    </row>
    <row r="2667" spans="5:25" x14ac:dyDescent="0.35">
      <c r="E2667" t="s">
        <v>217</v>
      </c>
      <c r="F2667" t="s">
        <v>673</v>
      </c>
      <c r="G2667" s="28"/>
      <c r="X2667" s="40"/>
      <c r="Y2667" s="40"/>
    </row>
    <row r="2668" spans="5:25" x14ac:dyDescent="0.35">
      <c r="E2668" t="s">
        <v>217</v>
      </c>
      <c r="F2668" t="s">
        <v>1925</v>
      </c>
      <c r="G2668" s="28"/>
      <c r="X2668" s="40"/>
      <c r="Y2668" s="40"/>
    </row>
    <row r="2669" spans="5:25" x14ac:dyDescent="0.35">
      <c r="E2669" t="s">
        <v>217</v>
      </c>
      <c r="F2669" t="s">
        <v>1926</v>
      </c>
      <c r="G2669" s="28"/>
      <c r="X2669" s="40"/>
      <c r="Y2669" s="40"/>
    </row>
    <row r="2670" spans="5:25" x14ac:dyDescent="0.35">
      <c r="E2670" t="s">
        <v>217</v>
      </c>
      <c r="F2670" t="s">
        <v>541</v>
      </c>
      <c r="G2670" s="28"/>
      <c r="X2670" s="40"/>
      <c r="Y2670" s="40"/>
    </row>
    <row r="2671" spans="5:25" x14ac:dyDescent="0.35">
      <c r="E2671" t="s">
        <v>217</v>
      </c>
      <c r="F2671" t="s">
        <v>1927</v>
      </c>
      <c r="G2671" s="28"/>
      <c r="X2671" s="40"/>
      <c r="Y2671" s="40"/>
    </row>
    <row r="2672" spans="5:25" x14ac:dyDescent="0.35">
      <c r="E2672" t="s">
        <v>217</v>
      </c>
      <c r="F2672" t="s">
        <v>1928</v>
      </c>
      <c r="G2672" s="28"/>
      <c r="X2672" s="40"/>
      <c r="Y2672" s="40"/>
    </row>
    <row r="2673" spans="5:25" x14ac:dyDescent="0.35">
      <c r="E2673" t="s">
        <v>217</v>
      </c>
      <c r="F2673" t="s">
        <v>1929</v>
      </c>
      <c r="G2673" s="28"/>
      <c r="X2673" s="40"/>
      <c r="Y2673" s="40"/>
    </row>
    <row r="2674" spans="5:25" x14ac:dyDescent="0.35">
      <c r="E2674" t="s">
        <v>217</v>
      </c>
      <c r="F2674" t="s">
        <v>1930</v>
      </c>
      <c r="G2674" s="28"/>
      <c r="X2674" s="40"/>
      <c r="Y2674" s="40"/>
    </row>
    <row r="2675" spans="5:25" x14ac:dyDescent="0.35">
      <c r="E2675" t="s">
        <v>217</v>
      </c>
      <c r="F2675" t="s">
        <v>604</v>
      </c>
      <c r="G2675" s="28"/>
      <c r="X2675" s="40"/>
      <c r="Y2675" s="40"/>
    </row>
    <row r="2676" spans="5:25" x14ac:dyDescent="0.35">
      <c r="E2676" t="s">
        <v>217</v>
      </c>
      <c r="F2676" t="s">
        <v>1931</v>
      </c>
      <c r="G2676" s="28"/>
      <c r="X2676" s="40"/>
      <c r="Y2676" s="40"/>
    </row>
    <row r="2677" spans="5:25" x14ac:dyDescent="0.35">
      <c r="E2677" t="s">
        <v>217</v>
      </c>
      <c r="F2677" t="s">
        <v>1932</v>
      </c>
      <c r="G2677" s="28"/>
      <c r="X2677" s="40"/>
      <c r="Y2677" s="40"/>
    </row>
    <row r="2678" spans="5:25" x14ac:dyDescent="0.35">
      <c r="E2678" t="s">
        <v>217</v>
      </c>
      <c r="F2678" t="s">
        <v>853</v>
      </c>
      <c r="G2678" s="28"/>
      <c r="X2678" s="40"/>
      <c r="Y2678" s="40"/>
    </row>
    <row r="2679" spans="5:25" x14ac:dyDescent="0.35">
      <c r="E2679" t="s">
        <v>217</v>
      </c>
      <c r="F2679" t="s">
        <v>546</v>
      </c>
      <c r="G2679" s="28"/>
      <c r="X2679" s="40"/>
      <c r="Y2679" s="40"/>
    </row>
    <row r="2680" spans="5:25" x14ac:dyDescent="0.35">
      <c r="E2680" t="s">
        <v>217</v>
      </c>
      <c r="F2680" t="s">
        <v>943</v>
      </c>
      <c r="G2680" s="28"/>
      <c r="X2680" s="40"/>
      <c r="Y2680" s="40"/>
    </row>
    <row r="2681" spans="5:25" x14ac:dyDescent="0.35">
      <c r="E2681" t="s">
        <v>217</v>
      </c>
      <c r="F2681" t="s">
        <v>1933</v>
      </c>
      <c r="G2681" s="28"/>
      <c r="X2681" s="40"/>
      <c r="Y2681" s="40"/>
    </row>
    <row r="2682" spans="5:25" x14ac:dyDescent="0.35">
      <c r="E2682" t="s">
        <v>217</v>
      </c>
      <c r="F2682" t="s">
        <v>1934</v>
      </c>
      <c r="G2682" s="28"/>
      <c r="X2682" s="40"/>
      <c r="Y2682" s="40"/>
    </row>
    <row r="2683" spans="5:25" x14ac:dyDescent="0.35">
      <c r="E2683" t="s">
        <v>217</v>
      </c>
      <c r="F2683" t="s">
        <v>684</v>
      </c>
      <c r="G2683" s="28"/>
      <c r="X2683" s="40"/>
      <c r="Y2683" s="40"/>
    </row>
    <row r="2684" spans="5:25" x14ac:dyDescent="0.35">
      <c r="E2684" t="s">
        <v>217</v>
      </c>
      <c r="F2684" t="s">
        <v>358</v>
      </c>
      <c r="G2684" s="28"/>
      <c r="X2684" s="40"/>
      <c r="Y2684" s="40"/>
    </row>
    <row r="2685" spans="5:25" x14ac:dyDescent="0.35">
      <c r="E2685" t="s">
        <v>217</v>
      </c>
      <c r="F2685" t="s">
        <v>1935</v>
      </c>
      <c r="G2685" s="28"/>
      <c r="X2685" s="40"/>
      <c r="Y2685" s="40"/>
    </row>
    <row r="2686" spans="5:25" x14ac:dyDescent="0.35">
      <c r="E2686" t="s">
        <v>217</v>
      </c>
      <c r="F2686" t="s">
        <v>685</v>
      </c>
      <c r="G2686" s="28"/>
      <c r="X2686" s="40"/>
      <c r="Y2686" s="40"/>
    </row>
    <row r="2687" spans="5:25" x14ac:dyDescent="0.35">
      <c r="E2687" t="s">
        <v>217</v>
      </c>
      <c r="F2687" t="s">
        <v>1936</v>
      </c>
      <c r="G2687" s="28"/>
      <c r="X2687" s="40"/>
      <c r="Y2687" s="40"/>
    </row>
    <row r="2688" spans="5:25" x14ac:dyDescent="0.35">
      <c r="E2688" t="s">
        <v>217</v>
      </c>
      <c r="F2688" t="s">
        <v>1937</v>
      </c>
      <c r="G2688" s="28"/>
      <c r="X2688" s="40"/>
      <c r="Y2688" s="40"/>
    </row>
    <row r="2689" spans="5:25" x14ac:dyDescent="0.35">
      <c r="E2689" t="s">
        <v>217</v>
      </c>
      <c r="F2689" t="s">
        <v>359</v>
      </c>
      <c r="G2689" s="28"/>
      <c r="X2689" s="40"/>
      <c r="Y2689" s="40"/>
    </row>
    <row r="2690" spans="5:25" x14ac:dyDescent="0.35">
      <c r="E2690" t="s">
        <v>217</v>
      </c>
      <c r="F2690" t="s">
        <v>1938</v>
      </c>
      <c r="G2690" s="28"/>
      <c r="X2690" s="40"/>
      <c r="Y2690" s="40"/>
    </row>
    <row r="2691" spans="5:25" x14ac:dyDescent="0.35">
      <c r="E2691" t="s">
        <v>217</v>
      </c>
      <c r="F2691" t="s">
        <v>1939</v>
      </c>
      <c r="G2691" s="28"/>
      <c r="X2691" s="40"/>
      <c r="Y2691" s="40"/>
    </row>
    <row r="2692" spans="5:25" x14ac:dyDescent="0.35">
      <c r="E2692" t="s">
        <v>217</v>
      </c>
      <c r="F2692" t="s">
        <v>1940</v>
      </c>
      <c r="G2692" s="28"/>
      <c r="X2692" s="40"/>
      <c r="Y2692" s="40"/>
    </row>
    <row r="2693" spans="5:25" x14ac:dyDescent="0.35">
      <c r="E2693" t="s">
        <v>217</v>
      </c>
      <c r="F2693" t="s">
        <v>1941</v>
      </c>
      <c r="G2693" s="28"/>
      <c r="X2693" s="40"/>
      <c r="Y2693" s="40"/>
    </row>
    <row r="2694" spans="5:25" x14ac:dyDescent="0.35">
      <c r="E2694" t="s">
        <v>217</v>
      </c>
      <c r="F2694" t="s">
        <v>1942</v>
      </c>
      <c r="G2694" s="28"/>
      <c r="X2694" s="40"/>
      <c r="Y2694" s="40"/>
    </row>
    <row r="2695" spans="5:25" x14ac:dyDescent="0.35">
      <c r="E2695" t="s">
        <v>217</v>
      </c>
      <c r="F2695" t="s">
        <v>1943</v>
      </c>
      <c r="G2695" s="28"/>
      <c r="X2695" s="40"/>
      <c r="Y2695" s="40"/>
    </row>
    <row r="2696" spans="5:25" x14ac:dyDescent="0.35">
      <c r="E2696" t="s">
        <v>217</v>
      </c>
      <c r="F2696" t="s">
        <v>1944</v>
      </c>
      <c r="G2696" s="28"/>
      <c r="X2696" s="40"/>
      <c r="Y2696" s="40"/>
    </row>
    <row r="2697" spans="5:25" x14ac:dyDescent="0.35">
      <c r="E2697" t="s">
        <v>217</v>
      </c>
      <c r="F2697" t="s">
        <v>1945</v>
      </c>
      <c r="G2697" s="28"/>
      <c r="X2697" s="40"/>
      <c r="Y2697" s="40"/>
    </row>
    <row r="2698" spans="5:25" x14ac:dyDescent="0.35">
      <c r="E2698" t="s">
        <v>217</v>
      </c>
      <c r="F2698" t="s">
        <v>1946</v>
      </c>
      <c r="G2698" s="28"/>
      <c r="X2698" s="40"/>
      <c r="Y2698" s="40"/>
    </row>
    <row r="2699" spans="5:25" x14ac:dyDescent="0.35">
      <c r="E2699" t="s">
        <v>217</v>
      </c>
      <c r="F2699" t="s">
        <v>948</v>
      </c>
      <c r="G2699" s="28"/>
      <c r="X2699" s="40"/>
      <c r="Y2699" s="40"/>
    </row>
    <row r="2700" spans="5:25" x14ac:dyDescent="0.35">
      <c r="E2700" t="s">
        <v>217</v>
      </c>
      <c r="F2700" t="s">
        <v>1019</v>
      </c>
      <c r="G2700" s="28"/>
      <c r="X2700" s="40"/>
      <c r="Y2700" s="40"/>
    </row>
    <row r="2701" spans="5:25" x14ac:dyDescent="0.35">
      <c r="E2701" t="s">
        <v>217</v>
      </c>
      <c r="F2701" t="s">
        <v>1947</v>
      </c>
      <c r="G2701" s="28"/>
      <c r="X2701" s="40"/>
      <c r="Y2701" s="40"/>
    </row>
    <row r="2702" spans="5:25" x14ac:dyDescent="0.35">
      <c r="E2702" t="s">
        <v>217</v>
      </c>
      <c r="F2702" t="s">
        <v>1948</v>
      </c>
      <c r="G2702" s="28"/>
      <c r="X2702" s="40"/>
      <c r="Y2702" s="40"/>
    </row>
    <row r="2703" spans="5:25" x14ac:dyDescent="0.35">
      <c r="E2703" t="s">
        <v>217</v>
      </c>
      <c r="F2703" t="s">
        <v>1532</v>
      </c>
      <c r="G2703" s="28"/>
      <c r="X2703" s="40"/>
      <c r="Y2703" s="40"/>
    </row>
    <row r="2704" spans="5:25" x14ac:dyDescent="0.35">
      <c r="E2704" t="s">
        <v>217</v>
      </c>
      <c r="F2704" t="s">
        <v>362</v>
      </c>
      <c r="G2704" s="28"/>
      <c r="X2704" s="40"/>
      <c r="Y2704" s="40"/>
    </row>
    <row r="2705" spans="5:25" x14ac:dyDescent="0.35">
      <c r="E2705" t="s">
        <v>217</v>
      </c>
      <c r="F2705" t="s">
        <v>694</v>
      </c>
      <c r="G2705" s="28"/>
      <c r="X2705" s="40"/>
      <c r="Y2705" s="40"/>
    </row>
    <row r="2706" spans="5:25" x14ac:dyDescent="0.35">
      <c r="E2706" t="s">
        <v>217</v>
      </c>
      <c r="F2706" t="s">
        <v>610</v>
      </c>
      <c r="G2706" s="28"/>
      <c r="X2706" s="40"/>
      <c r="Y2706" s="40"/>
    </row>
    <row r="2707" spans="5:25" x14ac:dyDescent="0.35">
      <c r="E2707" t="s">
        <v>217</v>
      </c>
      <c r="F2707" t="s">
        <v>1949</v>
      </c>
      <c r="G2707" s="28"/>
      <c r="X2707" s="40"/>
      <c r="Y2707" s="40"/>
    </row>
    <row r="2708" spans="5:25" x14ac:dyDescent="0.35">
      <c r="E2708" t="s">
        <v>217</v>
      </c>
      <c r="F2708" t="s">
        <v>1868</v>
      </c>
      <c r="G2708" s="28"/>
      <c r="X2708" s="40"/>
      <c r="Y2708" s="40"/>
    </row>
    <row r="2709" spans="5:25" x14ac:dyDescent="0.35">
      <c r="E2709" t="s">
        <v>217</v>
      </c>
      <c r="F2709" t="s">
        <v>778</v>
      </c>
      <c r="G2709" s="28"/>
      <c r="X2709" s="40"/>
      <c r="Y2709" s="40"/>
    </row>
    <row r="2710" spans="5:25" x14ac:dyDescent="0.35">
      <c r="E2710" t="s">
        <v>217</v>
      </c>
      <c r="F2710" t="s">
        <v>697</v>
      </c>
      <c r="G2710" s="28"/>
      <c r="X2710" s="40"/>
      <c r="Y2710" s="40"/>
    </row>
    <row r="2711" spans="5:25" x14ac:dyDescent="0.35">
      <c r="E2711" t="s">
        <v>217</v>
      </c>
      <c r="F2711" t="s">
        <v>779</v>
      </c>
      <c r="G2711" s="28"/>
      <c r="X2711" s="40"/>
      <c r="Y2711" s="40"/>
    </row>
    <row r="2712" spans="5:25" x14ac:dyDescent="0.35">
      <c r="E2712" t="s">
        <v>217</v>
      </c>
      <c r="F2712" t="s">
        <v>1950</v>
      </c>
      <c r="G2712" s="28"/>
      <c r="X2712" s="40"/>
      <c r="Y2712" s="40"/>
    </row>
    <row r="2713" spans="5:25" x14ac:dyDescent="0.35">
      <c r="E2713" t="s">
        <v>217</v>
      </c>
      <c r="F2713" t="s">
        <v>953</v>
      </c>
      <c r="G2713" s="28"/>
      <c r="X2713" s="40"/>
      <c r="Y2713" s="40"/>
    </row>
    <row r="2714" spans="5:25" x14ac:dyDescent="0.35">
      <c r="E2714" t="s">
        <v>217</v>
      </c>
      <c r="F2714" t="s">
        <v>1951</v>
      </c>
      <c r="G2714" s="28"/>
      <c r="X2714" s="40"/>
      <c r="Y2714" s="40"/>
    </row>
    <row r="2715" spans="5:25" x14ac:dyDescent="0.35">
      <c r="E2715" t="s">
        <v>217</v>
      </c>
      <c r="F2715" t="s">
        <v>1952</v>
      </c>
      <c r="G2715" s="28"/>
      <c r="X2715" s="40"/>
      <c r="Y2715" s="40"/>
    </row>
    <row r="2716" spans="5:25" x14ac:dyDescent="0.35">
      <c r="E2716" t="s">
        <v>217</v>
      </c>
      <c r="F2716" t="s">
        <v>856</v>
      </c>
      <c r="G2716" s="28"/>
      <c r="X2716" s="40"/>
      <c r="Y2716" s="40"/>
    </row>
    <row r="2717" spans="5:25" x14ac:dyDescent="0.35">
      <c r="E2717" t="s">
        <v>217</v>
      </c>
      <c r="F2717" t="s">
        <v>1534</v>
      </c>
      <c r="G2717" s="28"/>
      <c r="X2717" s="40"/>
      <c r="Y2717" s="40"/>
    </row>
    <row r="2718" spans="5:25" x14ac:dyDescent="0.35">
      <c r="E2718" t="s">
        <v>217</v>
      </c>
      <c r="F2718" t="s">
        <v>1349</v>
      </c>
      <c r="G2718" s="28"/>
      <c r="X2718" s="40"/>
      <c r="Y2718" s="40"/>
    </row>
    <row r="2719" spans="5:25" x14ac:dyDescent="0.35">
      <c r="E2719" t="s">
        <v>217</v>
      </c>
      <c r="F2719" t="s">
        <v>1953</v>
      </c>
      <c r="G2719" s="28"/>
      <c r="X2719" s="40"/>
      <c r="Y2719" s="40"/>
    </row>
    <row r="2720" spans="5:25" x14ac:dyDescent="0.35">
      <c r="E2720" t="s">
        <v>217</v>
      </c>
      <c r="F2720" t="s">
        <v>1954</v>
      </c>
      <c r="G2720" s="28"/>
      <c r="X2720" s="40"/>
      <c r="Y2720" s="40"/>
    </row>
    <row r="2721" spans="5:25" x14ac:dyDescent="0.35">
      <c r="E2721" t="s">
        <v>217</v>
      </c>
      <c r="F2721" t="s">
        <v>1024</v>
      </c>
      <c r="G2721" s="28"/>
      <c r="X2721" s="40"/>
      <c r="Y2721" s="40"/>
    </row>
    <row r="2722" spans="5:25" x14ac:dyDescent="0.35">
      <c r="E2722" t="s">
        <v>217</v>
      </c>
      <c r="F2722" t="s">
        <v>364</v>
      </c>
      <c r="G2722" s="28"/>
      <c r="X2722" s="40"/>
      <c r="Y2722" s="40"/>
    </row>
    <row r="2723" spans="5:25" x14ac:dyDescent="0.35">
      <c r="E2723" t="s">
        <v>217</v>
      </c>
      <c r="F2723" t="s">
        <v>421</v>
      </c>
      <c r="G2723" s="28"/>
      <c r="X2723" s="40"/>
      <c r="Y2723" s="40"/>
    </row>
    <row r="2724" spans="5:25" x14ac:dyDescent="0.35">
      <c r="E2724" t="s">
        <v>217</v>
      </c>
      <c r="F2724" t="s">
        <v>1955</v>
      </c>
      <c r="G2724" s="28"/>
      <c r="X2724" s="40"/>
      <c r="Y2724" s="40"/>
    </row>
    <row r="2725" spans="5:25" x14ac:dyDescent="0.35">
      <c r="E2725" t="s">
        <v>217</v>
      </c>
      <c r="F2725" t="s">
        <v>1956</v>
      </c>
      <c r="G2725" s="28"/>
      <c r="X2725" s="40"/>
      <c r="Y2725" s="40"/>
    </row>
    <row r="2726" spans="5:25" x14ac:dyDescent="0.35">
      <c r="E2726" t="s">
        <v>217</v>
      </c>
      <c r="F2726" t="s">
        <v>1838</v>
      </c>
      <c r="G2726" s="28"/>
      <c r="X2726" s="40"/>
      <c r="Y2726" s="40"/>
    </row>
    <row r="2727" spans="5:25" x14ac:dyDescent="0.35">
      <c r="E2727" t="s">
        <v>217</v>
      </c>
      <c r="F2727" t="s">
        <v>1957</v>
      </c>
      <c r="G2727" s="28"/>
      <c r="X2727" s="40"/>
      <c r="Y2727" s="40"/>
    </row>
    <row r="2728" spans="5:25" x14ac:dyDescent="0.35">
      <c r="E2728" t="s">
        <v>217</v>
      </c>
      <c r="F2728" t="s">
        <v>1958</v>
      </c>
      <c r="G2728" s="28"/>
      <c r="X2728" s="40"/>
      <c r="Y2728" s="40"/>
    </row>
    <row r="2729" spans="5:25" x14ac:dyDescent="0.35">
      <c r="E2729" t="s">
        <v>217</v>
      </c>
      <c r="F2729" t="s">
        <v>365</v>
      </c>
      <c r="G2729" s="28"/>
      <c r="X2729" s="40"/>
      <c r="Y2729" s="40"/>
    </row>
    <row r="2730" spans="5:25" x14ac:dyDescent="0.35">
      <c r="E2730" t="s">
        <v>217</v>
      </c>
      <c r="F2730" t="s">
        <v>701</v>
      </c>
      <c r="G2730" s="28"/>
      <c r="X2730" s="40"/>
      <c r="Y2730" s="40"/>
    </row>
    <row r="2731" spans="5:25" x14ac:dyDescent="0.35">
      <c r="E2731" t="s">
        <v>217</v>
      </c>
      <c r="F2731" t="s">
        <v>702</v>
      </c>
      <c r="G2731" s="28"/>
      <c r="X2731" s="40"/>
      <c r="Y2731" s="40"/>
    </row>
    <row r="2732" spans="5:25" x14ac:dyDescent="0.35">
      <c r="E2732" t="s">
        <v>217</v>
      </c>
      <c r="F2732" t="s">
        <v>366</v>
      </c>
      <c r="G2732" s="28"/>
      <c r="X2732" s="40"/>
      <c r="Y2732" s="40"/>
    </row>
    <row r="2733" spans="5:25" x14ac:dyDescent="0.35">
      <c r="E2733" t="s">
        <v>217</v>
      </c>
      <c r="F2733" t="s">
        <v>1959</v>
      </c>
      <c r="G2733" s="28"/>
      <c r="X2733" s="40"/>
      <c r="Y2733" s="40"/>
    </row>
    <row r="2734" spans="5:25" x14ac:dyDescent="0.35">
      <c r="E2734" t="s">
        <v>217</v>
      </c>
      <c r="F2734" t="s">
        <v>1960</v>
      </c>
      <c r="G2734" s="28"/>
      <c r="X2734" s="40"/>
      <c r="Y2734" s="40"/>
    </row>
    <row r="2735" spans="5:25" x14ac:dyDescent="0.35">
      <c r="E2735" t="s">
        <v>217</v>
      </c>
      <c r="F2735" t="s">
        <v>424</v>
      </c>
      <c r="G2735" s="28"/>
      <c r="X2735" s="40"/>
      <c r="Y2735" s="40"/>
    </row>
    <row r="2736" spans="5:25" x14ac:dyDescent="0.35">
      <c r="E2736" t="s">
        <v>217</v>
      </c>
      <c r="F2736" t="s">
        <v>704</v>
      </c>
      <c r="G2736" s="28"/>
      <c r="X2736" s="40"/>
      <c r="Y2736" s="40"/>
    </row>
    <row r="2737" spans="5:25" x14ac:dyDescent="0.35">
      <c r="E2737" t="s">
        <v>217</v>
      </c>
      <c r="F2737" t="s">
        <v>1961</v>
      </c>
      <c r="G2737" s="28"/>
      <c r="X2737" s="40"/>
      <c r="Y2737" s="40"/>
    </row>
    <row r="2738" spans="5:25" x14ac:dyDescent="0.35">
      <c r="E2738" t="s">
        <v>217</v>
      </c>
      <c r="F2738" t="s">
        <v>1962</v>
      </c>
      <c r="G2738" s="28"/>
      <c r="X2738" s="40"/>
      <c r="Y2738" s="40"/>
    </row>
    <row r="2739" spans="5:25" x14ac:dyDescent="0.35">
      <c r="E2739" t="s">
        <v>217</v>
      </c>
      <c r="F2739" t="s">
        <v>862</v>
      </c>
      <c r="G2739" s="28"/>
      <c r="X2739" s="40"/>
      <c r="Y2739" s="40"/>
    </row>
    <row r="2740" spans="5:25" x14ac:dyDescent="0.35">
      <c r="E2740" t="s">
        <v>217</v>
      </c>
      <c r="F2740" t="s">
        <v>1963</v>
      </c>
      <c r="G2740" s="28"/>
      <c r="X2740" s="40"/>
      <c r="Y2740" s="40"/>
    </row>
    <row r="2741" spans="5:25" x14ac:dyDescent="0.35">
      <c r="E2741" t="s">
        <v>217</v>
      </c>
      <c r="F2741" t="s">
        <v>590</v>
      </c>
      <c r="G2741" s="28"/>
      <c r="X2741" s="40"/>
      <c r="Y2741" s="40"/>
    </row>
    <row r="2742" spans="5:25" x14ac:dyDescent="0.35">
      <c r="E2742" t="s">
        <v>217</v>
      </c>
      <c r="F2742" t="s">
        <v>1964</v>
      </c>
      <c r="G2742" s="28"/>
      <c r="X2742" s="40"/>
      <c r="Y2742" s="40"/>
    </row>
    <row r="2743" spans="5:25" x14ac:dyDescent="0.35">
      <c r="E2743" t="s">
        <v>217</v>
      </c>
      <c r="F2743" t="s">
        <v>1965</v>
      </c>
      <c r="G2743" s="28"/>
      <c r="X2743" s="40"/>
      <c r="Y2743" s="40"/>
    </row>
    <row r="2744" spans="5:25" x14ac:dyDescent="0.35">
      <c r="E2744" t="s">
        <v>217</v>
      </c>
      <c r="F2744" t="s">
        <v>1966</v>
      </c>
      <c r="G2744" s="28"/>
      <c r="X2744" s="40"/>
      <c r="Y2744" s="40"/>
    </row>
    <row r="2745" spans="5:25" x14ac:dyDescent="0.35">
      <c r="E2745" t="s">
        <v>217</v>
      </c>
      <c r="F2745" t="s">
        <v>1967</v>
      </c>
      <c r="G2745" s="28"/>
      <c r="X2745" s="40"/>
      <c r="Y2745" s="40"/>
    </row>
    <row r="2746" spans="5:25" x14ac:dyDescent="0.35">
      <c r="E2746" t="s">
        <v>217</v>
      </c>
      <c r="F2746" t="s">
        <v>1968</v>
      </c>
      <c r="G2746" s="28"/>
      <c r="X2746" s="40"/>
      <c r="Y2746" s="40"/>
    </row>
    <row r="2747" spans="5:25" x14ac:dyDescent="0.35">
      <c r="E2747" t="s">
        <v>217</v>
      </c>
      <c r="F2747" t="s">
        <v>863</v>
      </c>
      <c r="G2747" s="28"/>
      <c r="X2747" s="40"/>
      <c r="Y2747" s="40"/>
    </row>
    <row r="2748" spans="5:25" x14ac:dyDescent="0.35">
      <c r="E2748" t="s">
        <v>217</v>
      </c>
      <c r="F2748" t="s">
        <v>864</v>
      </c>
      <c r="G2748" s="28"/>
      <c r="X2748" s="40"/>
      <c r="Y2748" s="40"/>
    </row>
    <row r="2749" spans="5:25" x14ac:dyDescent="0.35">
      <c r="E2749" t="s">
        <v>217</v>
      </c>
      <c r="F2749" t="s">
        <v>367</v>
      </c>
      <c r="G2749" s="28"/>
      <c r="X2749" s="40"/>
      <c r="Y2749" s="40"/>
    </row>
    <row r="2750" spans="5:25" x14ac:dyDescent="0.35">
      <c r="E2750" t="s">
        <v>217</v>
      </c>
      <c r="F2750" t="s">
        <v>1969</v>
      </c>
      <c r="G2750" s="28"/>
      <c r="X2750" s="40"/>
      <c r="Y2750" s="40"/>
    </row>
    <row r="2751" spans="5:25" x14ac:dyDescent="0.35">
      <c r="E2751" t="s">
        <v>217</v>
      </c>
      <c r="F2751" t="s">
        <v>1970</v>
      </c>
      <c r="G2751" s="28"/>
      <c r="X2751" s="40"/>
      <c r="Y2751" s="40"/>
    </row>
    <row r="2752" spans="5:25" x14ac:dyDescent="0.35">
      <c r="E2752" t="s">
        <v>217</v>
      </c>
      <c r="F2752" t="s">
        <v>1971</v>
      </c>
      <c r="G2752" s="28"/>
      <c r="X2752" s="40"/>
      <c r="Y2752" s="40"/>
    </row>
    <row r="2753" spans="5:25" x14ac:dyDescent="0.35">
      <c r="E2753" t="s">
        <v>217</v>
      </c>
      <c r="F2753" t="s">
        <v>370</v>
      </c>
      <c r="G2753" s="28"/>
      <c r="X2753" s="40"/>
      <c r="Y2753" s="40"/>
    </row>
    <row r="2754" spans="5:25" x14ac:dyDescent="0.35">
      <c r="E2754" t="s">
        <v>217</v>
      </c>
      <c r="F2754" t="s">
        <v>618</v>
      </c>
      <c r="G2754" s="28"/>
      <c r="X2754" s="40"/>
      <c r="Y2754" s="40"/>
    </row>
    <row r="2755" spans="5:25" x14ac:dyDescent="0.35">
      <c r="E2755" t="s">
        <v>217</v>
      </c>
      <c r="F2755" t="s">
        <v>620</v>
      </c>
      <c r="G2755" s="28"/>
      <c r="X2755" s="40"/>
      <c r="Y2755" s="40"/>
    </row>
    <row r="2756" spans="5:25" x14ac:dyDescent="0.35">
      <c r="E2756" t="s">
        <v>217</v>
      </c>
      <c r="F2756" t="s">
        <v>371</v>
      </c>
      <c r="G2756" s="28"/>
      <c r="X2756" s="40"/>
      <c r="Y2756" s="40"/>
    </row>
    <row r="2757" spans="5:25" x14ac:dyDescent="0.35">
      <c r="E2757" t="s">
        <v>217</v>
      </c>
      <c r="F2757" t="s">
        <v>1972</v>
      </c>
      <c r="G2757" s="28"/>
      <c r="X2757" s="40"/>
      <c r="Y2757" s="40"/>
    </row>
    <row r="2758" spans="5:25" x14ac:dyDescent="0.35">
      <c r="E2758" t="s">
        <v>217</v>
      </c>
      <c r="F2758" t="s">
        <v>1973</v>
      </c>
      <c r="G2758" s="28"/>
      <c r="X2758" s="40"/>
      <c r="Y2758" s="40"/>
    </row>
    <row r="2759" spans="5:25" x14ac:dyDescent="0.35">
      <c r="E2759" t="s">
        <v>217</v>
      </c>
      <c r="F2759" t="s">
        <v>1974</v>
      </c>
      <c r="G2759" s="28"/>
      <c r="X2759" s="40"/>
      <c r="Y2759" s="40"/>
    </row>
    <row r="2760" spans="5:25" x14ac:dyDescent="0.35">
      <c r="E2760" t="s">
        <v>217</v>
      </c>
      <c r="F2760" t="s">
        <v>1975</v>
      </c>
      <c r="G2760" s="28"/>
      <c r="X2760" s="40"/>
      <c r="Y2760" s="40"/>
    </row>
    <row r="2761" spans="5:25" x14ac:dyDescent="0.35">
      <c r="E2761" t="s">
        <v>217</v>
      </c>
      <c r="F2761" t="s">
        <v>1976</v>
      </c>
      <c r="G2761" s="28"/>
      <c r="X2761" s="40"/>
      <c r="Y2761" s="40"/>
    </row>
    <row r="2762" spans="5:25" x14ac:dyDescent="0.35">
      <c r="E2762" t="s">
        <v>217</v>
      </c>
      <c r="F2762" t="s">
        <v>1977</v>
      </c>
      <c r="G2762" s="28"/>
      <c r="X2762" s="40"/>
      <c r="Y2762" s="40"/>
    </row>
    <row r="2763" spans="5:25" x14ac:dyDescent="0.35">
      <c r="E2763" t="s">
        <v>217</v>
      </c>
      <c r="F2763" t="s">
        <v>374</v>
      </c>
      <c r="G2763" s="28"/>
      <c r="X2763" s="40"/>
      <c r="Y2763" s="40"/>
    </row>
    <row r="2764" spans="5:25" x14ac:dyDescent="0.35">
      <c r="E2764" t="s">
        <v>217</v>
      </c>
      <c r="F2764" t="s">
        <v>376</v>
      </c>
      <c r="G2764" s="28"/>
      <c r="X2764" s="40"/>
      <c r="Y2764" s="40"/>
    </row>
    <row r="2765" spans="5:25" x14ac:dyDescent="0.35">
      <c r="E2765" t="s">
        <v>217</v>
      </c>
      <c r="F2765" t="s">
        <v>622</v>
      </c>
      <c r="G2765" s="28"/>
      <c r="X2765" s="40"/>
      <c r="Y2765" s="40"/>
    </row>
    <row r="2766" spans="5:25" x14ac:dyDescent="0.35">
      <c r="E2766" t="s">
        <v>217</v>
      </c>
      <c r="F2766" t="s">
        <v>867</v>
      </c>
      <c r="G2766" s="28"/>
      <c r="X2766" s="40"/>
      <c r="Y2766" s="40"/>
    </row>
    <row r="2767" spans="5:25" x14ac:dyDescent="0.35">
      <c r="E2767" t="s">
        <v>217</v>
      </c>
      <c r="F2767" t="s">
        <v>1978</v>
      </c>
      <c r="G2767" s="28"/>
      <c r="X2767" s="40"/>
      <c r="Y2767" s="40"/>
    </row>
    <row r="2768" spans="5:25" x14ac:dyDescent="0.35">
      <c r="E2768" t="s">
        <v>217</v>
      </c>
      <c r="F2768" t="s">
        <v>1979</v>
      </c>
      <c r="G2768" s="28"/>
      <c r="X2768" s="40"/>
      <c r="Y2768" s="40"/>
    </row>
    <row r="2769" spans="5:25" x14ac:dyDescent="0.35">
      <c r="E2769" t="s">
        <v>217</v>
      </c>
      <c r="F2769" t="s">
        <v>1980</v>
      </c>
      <c r="G2769" s="28"/>
      <c r="X2769" s="40"/>
      <c r="Y2769" s="40"/>
    </row>
    <row r="2770" spans="5:25" x14ac:dyDescent="0.35">
      <c r="E2770" t="s">
        <v>217</v>
      </c>
      <c r="F2770" t="s">
        <v>1981</v>
      </c>
      <c r="G2770" s="28"/>
      <c r="X2770" s="40"/>
      <c r="Y2770" s="40"/>
    </row>
    <row r="2771" spans="5:25" x14ac:dyDescent="0.35">
      <c r="E2771" t="s">
        <v>217</v>
      </c>
      <c r="F2771" t="s">
        <v>1982</v>
      </c>
      <c r="G2771" s="28"/>
      <c r="X2771" s="40"/>
      <c r="Y2771" s="40"/>
    </row>
    <row r="2772" spans="5:25" x14ac:dyDescent="0.35">
      <c r="E2772" t="s">
        <v>217</v>
      </c>
      <c r="F2772" t="s">
        <v>1608</v>
      </c>
      <c r="G2772" s="28"/>
      <c r="X2772" s="40"/>
      <c r="Y2772" s="40"/>
    </row>
    <row r="2773" spans="5:25" x14ac:dyDescent="0.35">
      <c r="E2773" t="s">
        <v>217</v>
      </c>
      <c r="F2773" t="s">
        <v>872</v>
      </c>
      <c r="G2773" s="28"/>
      <c r="X2773" s="40"/>
      <c r="Y2773" s="40"/>
    </row>
    <row r="2774" spans="5:25" x14ac:dyDescent="0.35">
      <c r="E2774" t="s">
        <v>217</v>
      </c>
      <c r="F2774" t="s">
        <v>1177</v>
      </c>
      <c r="G2774" s="28"/>
      <c r="X2774" s="40"/>
      <c r="Y2774" s="40"/>
    </row>
    <row r="2775" spans="5:25" x14ac:dyDescent="0.35">
      <c r="E2775" t="s">
        <v>217</v>
      </c>
      <c r="F2775" t="s">
        <v>1983</v>
      </c>
      <c r="G2775" s="28"/>
      <c r="X2775" s="40"/>
      <c r="Y2775" s="40"/>
    </row>
    <row r="2776" spans="5:25" x14ac:dyDescent="0.35">
      <c r="E2776" t="s">
        <v>217</v>
      </c>
      <c r="F2776" t="s">
        <v>789</v>
      </c>
      <c r="G2776" s="28"/>
      <c r="X2776" s="40"/>
      <c r="Y2776" s="40"/>
    </row>
    <row r="2777" spans="5:25" x14ac:dyDescent="0.35">
      <c r="E2777" t="s">
        <v>217</v>
      </c>
      <c r="F2777" t="s">
        <v>712</v>
      </c>
      <c r="G2777" s="28"/>
      <c r="X2777" s="40"/>
      <c r="Y2777" s="40"/>
    </row>
    <row r="2778" spans="5:25" x14ac:dyDescent="0.35">
      <c r="E2778" t="s">
        <v>217</v>
      </c>
      <c r="F2778" t="s">
        <v>1984</v>
      </c>
      <c r="G2778" s="28"/>
      <c r="X2778" s="40"/>
      <c r="Y2778" s="40"/>
    </row>
    <row r="2779" spans="5:25" x14ac:dyDescent="0.35">
      <c r="E2779" t="s">
        <v>217</v>
      </c>
      <c r="F2779" t="s">
        <v>380</v>
      </c>
      <c r="G2779" s="28"/>
      <c r="X2779" s="40"/>
      <c r="Y2779" s="40"/>
    </row>
    <row r="2780" spans="5:25" x14ac:dyDescent="0.35">
      <c r="E2780" t="s">
        <v>217</v>
      </c>
      <c r="F2780" t="s">
        <v>1410</v>
      </c>
      <c r="G2780" s="28"/>
      <c r="X2780" s="40"/>
      <c r="Y2780" s="40"/>
    </row>
    <row r="2781" spans="5:25" x14ac:dyDescent="0.35">
      <c r="E2781" t="s">
        <v>217</v>
      </c>
      <c r="F2781" t="s">
        <v>963</v>
      </c>
      <c r="G2781" s="28"/>
      <c r="X2781" s="40"/>
      <c r="Y2781" s="40"/>
    </row>
    <row r="2782" spans="5:25" x14ac:dyDescent="0.35">
      <c r="E2782" t="s">
        <v>217</v>
      </c>
      <c r="F2782" t="s">
        <v>1985</v>
      </c>
      <c r="G2782" s="28"/>
      <c r="X2782" s="40"/>
      <c r="Y2782" s="40"/>
    </row>
    <row r="2783" spans="5:25" x14ac:dyDescent="0.35">
      <c r="E2783" t="s">
        <v>217</v>
      </c>
      <c r="F2783" t="s">
        <v>1986</v>
      </c>
      <c r="G2783" s="28"/>
      <c r="X2783" s="40"/>
      <c r="Y2783" s="40"/>
    </row>
    <row r="2784" spans="5:25" x14ac:dyDescent="0.35">
      <c r="E2784" t="s">
        <v>217</v>
      </c>
      <c r="F2784" t="s">
        <v>1987</v>
      </c>
      <c r="G2784" s="28"/>
      <c r="X2784" s="40"/>
      <c r="Y2784" s="40"/>
    </row>
    <row r="2785" spans="5:25" x14ac:dyDescent="0.35">
      <c r="E2785" t="s">
        <v>217</v>
      </c>
      <c r="F2785" t="s">
        <v>433</v>
      </c>
      <c r="G2785" s="28"/>
      <c r="X2785" s="40"/>
      <c r="Y2785" s="40"/>
    </row>
    <row r="2786" spans="5:25" x14ac:dyDescent="0.35">
      <c r="E2786" t="s">
        <v>217</v>
      </c>
      <c r="F2786" t="s">
        <v>1988</v>
      </c>
      <c r="G2786" s="28"/>
      <c r="X2786" s="40"/>
      <c r="Y2786" s="40"/>
    </row>
    <row r="2787" spans="5:25" x14ac:dyDescent="0.35">
      <c r="E2787" t="s">
        <v>217</v>
      </c>
      <c r="F2787" t="s">
        <v>1989</v>
      </c>
      <c r="G2787" s="28"/>
      <c r="X2787" s="40"/>
      <c r="Y2787" s="40"/>
    </row>
    <row r="2788" spans="5:25" x14ac:dyDescent="0.35">
      <c r="E2788" t="s">
        <v>217</v>
      </c>
      <c r="F2788" t="s">
        <v>1990</v>
      </c>
      <c r="G2788" s="28"/>
      <c r="X2788" s="40"/>
      <c r="Y2788" s="40"/>
    </row>
    <row r="2789" spans="5:25" x14ac:dyDescent="0.35">
      <c r="E2789" t="s">
        <v>217</v>
      </c>
      <c r="F2789" t="s">
        <v>1040</v>
      </c>
      <c r="G2789" s="28"/>
      <c r="X2789" s="40"/>
      <c r="Y2789" s="40"/>
    </row>
    <row r="2790" spans="5:25" x14ac:dyDescent="0.35">
      <c r="E2790" t="s">
        <v>217</v>
      </c>
      <c r="F2790" t="s">
        <v>498</v>
      </c>
      <c r="G2790" s="28"/>
      <c r="X2790" s="40"/>
      <c r="Y2790" s="40"/>
    </row>
    <row r="2791" spans="5:25" x14ac:dyDescent="0.35">
      <c r="E2791" t="s">
        <v>217</v>
      </c>
      <c r="F2791" t="s">
        <v>1991</v>
      </c>
      <c r="G2791" s="28"/>
      <c r="X2791" s="40"/>
      <c r="Y2791" s="40"/>
    </row>
    <row r="2792" spans="5:25" x14ac:dyDescent="0.35">
      <c r="E2792" t="s">
        <v>217</v>
      </c>
      <c r="F2792" t="s">
        <v>1320</v>
      </c>
      <c r="G2792" s="28"/>
      <c r="X2792" s="40"/>
      <c r="Y2792" s="40"/>
    </row>
    <row r="2793" spans="5:25" x14ac:dyDescent="0.35">
      <c r="E2793" t="s">
        <v>217</v>
      </c>
      <c r="F2793" t="s">
        <v>1992</v>
      </c>
      <c r="G2793" s="28"/>
      <c r="X2793" s="40"/>
      <c r="Y2793" s="40"/>
    </row>
    <row r="2794" spans="5:25" x14ac:dyDescent="0.35">
      <c r="E2794" t="s">
        <v>217</v>
      </c>
      <c r="F2794" t="s">
        <v>1993</v>
      </c>
      <c r="G2794" s="28"/>
      <c r="X2794" s="40"/>
      <c r="Y2794" s="40"/>
    </row>
    <row r="2795" spans="5:25" x14ac:dyDescent="0.35">
      <c r="E2795" t="s">
        <v>217</v>
      </c>
      <c r="F2795" t="s">
        <v>1994</v>
      </c>
      <c r="G2795" s="28"/>
      <c r="X2795" s="40"/>
      <c r="Y2795" s="40"/>
    </row>
    <row r="2796" spans="5:25" x14ac:dyDescent="0.35">
      <c r="E2796" t="s">
        <v>217</v>
      </c>
      <c r="F2796" t="s">
        <v>437</v>
      </c>
      <c r="G2796" s="28"/>
      <c r="X2796" s="40"/>
      <c r="Y2796" s="40"/>
    </row>
    <row r="2797" spans="5:25" x14ac:dyDescent="0.35">
      <c r="E2797" t="s">
        <v>217</v>
      </c>
      <c r="F2797" t="s">
        <v>1707</v>
      </c>
      <c r="G2797" s="28"/>
      <c r="X2797" s="40"/>
      <c r="Y2797" s="40"/>
    </row>
    <row r="2798" spans="5:25" x14ac:dyDescent="0.35">
      <c r="E2798" t="s">
        <v>217</v>
      </c>
      <c r="F2798" t="s">
        <v>1995</v>
      </c>
      <c r="G2798" s="28"/>
      <c r="X2798" s="40"/>
      <c r="Y2798" s="40"/>
    </row>
    <row r="2799" spans="5:25" x14ac:dyDescent="0.35">
      <c r="E2799" t="s">
        <v>217</v>
      </c>
      <c r="F2799" t="s">
        <v>1996</v>
      </c>
      <c r="G2799" s="28"/>
      <c r="X2799" s="40"/>
      <c r="Y2799" s="40"/>
    </row>
    <row r="2800" spans="5:25" x14ac:dyDescent="0.35">
      <c r="E2800" t="s">
        <v>217</v>
      </c>
      <c r="F2800" t="s">
        <v>1997</v>
      </c>
      <c r="G2800" s="28"/>
      <c r="X2800" s="40"/>
      <c r="Y2800" s="40"/>
    </row>
    <row r="2801" spans="5:25" x14ac:dyDescent="0.35">
      <c r="E2801" t="s">
        <v>217</v>
      </c>
      <c r="F2801" t="s">
        <v>1998</v>
      </c>
      <c r="G2801" s="28"/>
      <c r="X2801" s="40"/>
      <c r="Y2801" s="40"/>
    </row>
    <row r="2802" spans="5:25" x14ac:dyDescent="0.35">
      <c r="E2802" t="s">
        <v>217</v>
      </c>
      <c r="F2802" t="s">
        <v>1999</v>
      </c>
      <c r="G2802" s="28"/>
      <c r="X2802" s="40"/>
      <c r="Y2802" s="40"/>
    </row>
    <row r="2803" spans="5:25" x14ac:dyDescent="0.35">
      <c r="E2803" t="s">
        <v>217</v>
      </c>
      <c r="F2803" t="s">
        <v>1079</v>
      </c>
      <c r="G2803" s="28"/>
      <c r="X2803" s="40"/>
      <c r="Y2803" s="40"/>
    </row>
    <row r="2804" spans="5:25" x14ac:dyDescent="0.35">
      <c r="E2804" t="s">
        <v>217</v>
      </c>
      <c r="F2804" t="s">
        <v>2000</v>
      </c>
      <c r="G2804" s="28"/>
      <c r="X2804" s="40"/>
      <c r="Y2804" s="40"/>
    </row>
    <row r="2805" spans="5:25" x14ac:dyDescent="0.35">
      <c r="E2805" t="s">
        <v>217</v>
      </c>
      <c r="F2805" t="s">
        <v>2001</v>
      </c>
      <c r="G2805" s="28"/>
      <c r="X2805" s="40"/>
      <c r="Y2805" s="40"/>
    </row>
    <row r="2806" spans="5:25" x14ac:dyDescent="0.35">
      <c r="E2806" t="s">
        <v>217</v>
      </c>
      <c r="F2806" t="s">
        <v>1848</v>
      </c>
      <c r="G2806" s="28"/>
      <c r="X2806" s="40"/>
      <c r="Y2806" s="40"/>
    </row>
    <row r="2807" spans="5:25" x14ac:dyDescent="0.35">
      <c r="E2807" t="s">
        <v>217</v>
      </c>
      <c r="F2807" t="s">
        <v>1044</v>
      </c>
      <c r="G2807" s="28"/>
      <c r="X2807" s="40"/>
      <c r="Y2807" s="40"/>
    </row>
    <row r="2808" spans="5:25" x14ac:dyDescent="0.35">
      <c r="E2808" t="s">
        <v>217</v>
      </c>
      <c r="F2808" t="s">
        <v>2002</v>
      </c>
      <c r="G2808" s="28"/>
      <c r="X2808" s="40"/>
      <c r="Y2808" s="40"/>
    </row>
    <row r="2809" spans="5:25" x14ac:dyDescent="0.35">
      <c r="E2809" t="s">
        <v>217</v>
      </c>
      <c r="F2809" t="s">
        <v>2003</v>
      </c>
      <c r="G2809" s="28"/>
      <c r="X2809" s="40"/>
      <c r="Y2809" s="40"/>
    </row>
    <row r="2810" spans="5:25" x14ac:dyDescent="0.35">
      <c r="E2810" t="s">
        <v>217</v>
      </c>
      <c r="F2810" t="s">
        <v>2004</v>
      </c>
      <c r="G2810" s="28"/>
      <c r="X2810" s="40"/>
      <c r="Y2810" s="40"/>
    </row>
    <row r="2811" spans="5:25" x14ac:dyDescent="0.35">
      <c r="E2811" t="s">
        <v>217</v>
      </c>
      <c r="F2811" t="s">
        <v>1080</v>
      </c>
      <c r="G2811" s="28"/>
      <c r="X2811" s="40"/>
      <c r="Y2811" s="40"/>
    </row>
    <row r="2812" spans="5:25" x14ac:dyDescent="0.35">
      <c r="E2812" t="s">
        <v>217</v>
      </c>
      <c r="F2812" t="s">
        <v>2005</v>
      </c>
      <c r="G2812" s="28"/>
      <c r="X2812" s="40"/>
      <c r="Y2812" s="40"/>
    </row>
    <row r="2813" spans="5:25" x14ac:dyDescent="0.35">
      <c r="E2813" t="s">
        <v>217</v>
      </c>
      <c r="F2813" t="s">
        <v>2006</v>
      </c>
      <c r="G2813" s="28"/>
      <c r="X2813" s="40"/>
      <c r="Y2813" s="40"/>
    </row>
    <row r="2814" spans="5:25" x14ac:dyDescent="0.35">
      <c r="E2814" t="s">
        <v>217</v>
      </c>
      <c r="F2814" t="s">
        <v>2007</v>
      </c>
      <c r="G2814" s="28"/>
      <c r="X2814" s="40"/>
      <c r="Y2814" s="40"/>
    </row>
    <row r="2815" spans="5:25" x14ac:dyDescent="0.35">
      <c r="E2815" t="s">
        <v>217</v>
      </c>
      <c r="F2815" t="s">
        <v>2008</v>
      </c>
      <c r="G2815" s="28"/>
      <c r="X2815" s="40"/>
      <c r="Y2815" s="40"/>
    </row>
    <row r="2816" spans="5:25" x14ac:dyDescent="0.35">
      <c r="E2816" t="s">
        <v>217</v>
      </c>
      <c r="F2816" t="s">
        <v>2009</v>
      </c>
      <c r="G2816" s="28"/>
      <c r="X2816" s="40"/>
      <c r="Y2816" s="40"/>
    </row>
    <row r="2817" spans="5:25" x14ac:dyDescent="0.35">
      <c r="E2817" t="s">
        <v>217</v>
      </c>
      <c r="F2817" t="s">
        <v>2010</v>
      </c>
      <c r="G2817" s="28"/>
      <c r="X2817" s="40"/>
      <c r="Y2817" s="40"/>
    </row>
    <row r="2818" spans="5:25" x14ac:dyDescent="0.35">
      <c r="E2818" t="s">
        <v>217</v>
      </c>
      <c r="F2818" t="s">
        <v>2011</v>
      </c>
      <c r="G2818" s="28"/>
      <c r="X2818" s="40"/>
      <c r="Y2818" s="40"/>
    </row>
    <row r="2819" spans="5:25" x14ac:dyDescent="0.35">
      <c r="E2819" t="s">
        <v>217</v>
      </c>
      <c r="F2819" t="s">
        <v>388</v>
      </c>
      <c r="G2819" s="28"/>
      <c r="X2819" s="40"/>
      <c r="Y2819" s="40"/>
    </row>
    <row r="2820" spans="5:25" x14ac:dyDescent="0.35">
      <c r="E2820" t="s">
        <v>217</v>
      </c>
      <c r="F2820" t="s">
        <v>984</v>
      </c>
      <c r="G2820" s="28"/>
      <c r="X2820" s="40"/>
      <c r="Y2820" s="40"/>
    </row>
    <row r="2821" spans="5:25" x14ac:dyDescent="0.35">
      <c r="E2821" t="s">
        <v>217</v>
      </c>
      <c r="F2821" t="s">
        <v>985</v>
      </c>
      <c r="G2821" s="28"/>
      <c r="X2821" s="40"/>
      <c r="Y2821" s="40"/>
    </row>
    <row r="2822" spans="5:25" x14ac:dyDescent="0.35">
      <c r="E2822" t="s">
        <v>217</v>
      </c>
      <c r="F2822" t="s">
        <v>2012</v>
      </c>
      <c r="G2822" s="28"/>
      <c r="X2822" s="40"/>
      <c r="Y2822" s="40"/>
    </row>
    <row r="2823" spans="5:25" x14ac:dyDescent="0.35">
      <c r="E2823" t="s">
        <v>217</v>
      </c>
      <c r="F2823" t="s">
        <v>2013</v>
      </c>
      <c r="G2823" s="28"/>
      <c r="X2823" s="40"/>
      <c r="Y2823" s="40"/>
    </row>
    <row r="2824" spans="5:25" x14ac:dyDescent="0.35">
      <c r="E2824" t="s">
        <v>217</v>
      </c>
      <c r="F2824" t="s">
        <v>727</v>
      </c>
      <c r="G2824" s="28"/>
      <c r="X2824" s="40"/>
      <c r="Y2824" s="40"/>
    </row>
    <row r="2825" spans="5:25" x14ac:dyDescent="0.35">
      <c r="E2825" t="s">
        <v>217</v>
      </c>
      <c r="F2825" t="s">
        <v>2014</v>
      </c>
      <c r="G2825" s="28"/>
      <c r="X2825" s="40"/>
      <c r="Y2825" s="40"/>
    </row>
    <row r="2826" spans="5:25" x14ac:dyDescent="0.35">
      <c r="E2826" t="s">
        <v>217</v>
      </c>
      <c r="F2826" t="s">
        <v>2015</v>
      </c>
      <c r="G2826" s="28"/>
      <c r="X2826" s="40"/>
      <c r="Y2826" s="40"/>
    </row>
    <row r="2827" spans="5:25" x14ac:dyDescent="0.35">
      <c r="E2827" t="s">
        <v>217</v>
      </c>
      <c r="F2827" t="s">
        <v>2016</v>
      </c>
      <c r="G2827" s="28"/>
      <c r="X2827" s="40"/>
      <c r="Y2827" s="40"/>
    </row>
    <row r="2828" spans="5:25" x14ac:dyDescent="0.35">
      <c r="E2828" t="s">
        <v>217</v>
      </c>
      <c r="F2828" t="s">
        <v>2017</v>
      </c>
      <c r="G2828" s="28"/>
      <c r="X2828" s="40"/>
      <c r="Y2828" s="40"/>
    </row>
    <row r="2829" spans="5:25" x14ac:dyDescent="0.35">
      <c r="E2829" t="s">
        <v>217</v>
      </c>
      <c r="F2829" t="s">
        <v>2018</v>
      </c>
      <c r="G2829" s="28"/>
      <c r="X2829" s="40"/>
      <c r="Y2829" s="40"/>
    </row>
    <row r="2830" spans="5:25" x14ac:dyDescent="0.35">
      <c r="E2830" t="s">
        <v>217</v>
      </c>
      <c r="F2830" t="s">
        <v>638</v>
      </c>
      <c r="G2830" s="28"/>
      <c r="X2830" s="40"/>
      <c r="Y2830" s="40"/>
    </row>
    <row r="2831" spans="5:25" x14ac:dyDescent="0.35">
      <c r="E2831" t="s">
        <v>217</v>
      </c>
      <c r="F2831" t="s">
        <v>733</v>
      </c>
      <c r="G2831" s="28"/>
      <c r="X2831" s="40"/>
      <c r="Y2831" s="40"/>
    </row>
    <row r="2832" spans="5:25" x14ac:dyDescent="0.35">
      <c r="E2832" t="s">
        <v>217</v>
      </c>
      <c r="F2832" t="s">
        <v>2019</v>
      </c>
      <c r="G2832" s="28"/>
      <c r="X2832" s="40"/>
      <c r="Y2832" s="40"/>
    </row>
    <row r="2833" spans="5:25" x14ac:dyDescent="0.35">
      <c r="E2833" t="s">
        <v>217</v>
      </c>
      <c r="F2833" t="s">
        <v>2020</v>
      </c>
      <c r="G2833" s="28"/>
      <c r="X2833" s="40"/>
      <c r="Y2833" s="40"/>
    </row>
    <row r="2834" spans="5:25" x14ac:dyDescent="0.35">
      <c r="E2834" t="s">
        <v>217</v>
      </c>
      <c r="F2834" t="s">
        <v>2021</v>
      </c>
      <c r="G2834" s="28"/>
      <c r="X2834" s="40"/>
      <c r="Y2834" s="40"/>
    </row>
    <row r="2835" spans="5:25" x14ac:dyDescent="0.35">
      <c r="E2835" t="s">
        <v>217</v>
      </c>
      <c r="F2835" t="s">
        <v>2022</v>
      </c>
      <c r="G2835" s="28"/>
      <c r="X2835" s="40"/>
      <c r="Y2835" s="40"/>
    </row>
    <row r="2836" spans="5:25" x14ac:dyDescent="0.35">
      <c r="E2836" t="s">
        <v>217</v>
      </c>
      <c r="F2836" t="s">
        <v>2023</v>
      </c>
      <c r="G2836" s="28"/>
      <c r="X2836" s="40"/>
      <c r="Y2836" s="40"/>
    </row>
    <row r="2837" spans="5:25" x14ac:dyDescent="0.35">
      <c r="E2837" t="s">
        <v>217</v>
      </c>
      <c r="F2837" t="s">
        <v>520</v>
      </c>
      <c r="G2837" s="28"/>
      <c r="X2837" s="40"/>
      <c r="Y2837" s="40"/>
    </row>
    <row r="2838" spans="5:25" x14ac:dyDescent="0.35">
      <c r="E2838" t="s">
        <v>217</v>
      </c>
      <c r="F2838" t="s">
        <v>2024</v>
      </c>
      <c r="G2838" s="28"/>
      <c r="X2838" s="40"/>
      <c r="Y2838" s="40"/>
    </row>
    <row r="2839" spans="5:25" x14ac:dyDescent="0.35">
      <c r="E2839" t="s">
        <v>217</v>
      </c>
      <c r="F2839" t="s">
        <v>2025</v>
      </c>
      <c r="G2839" s="28"/>
      <c r="X2839" s="40"/>
      <c r="Y2839" s="40"/>
    </row>
    <row r="2840" spans="5:25" x14ac:dyDescent="0.35">
      <c r="E2840" t="s">
        <v>217</v>
      </c>
      <c r="F2840" t="s">
        <v>2026</v>
      </c>
      <c r="G2840" s="28"/>
      <c r="X2840" s="40"/>
      <c r="Y2840" s="40"/>
    </row>
    <row r="2841" spans="5:25" x14ac:dyDescent="0.35">
      <c r="E2841" t="s">
        <v>217</v>
      </c>
      <c r="F2841" t="s">
        <v>2027</v>
      </c>
      <c r="G2841" s="28"/>
      <c r="X2841" s="40"/>
      <c r="Y2841" s="40"/>
    </row>
    <row r="2842" spans="5:25" x14ac:dyDescent="0.35">
      <c r="E2842" t="s">
        <v>217</v>
      </c>
      <c r="F2842" t="s">
        <v>2028</v>
      </c>
      <c r="G2842" s="28"/>
      <c r="X2842" s="40"/>
      <c r="Y2842" s="40"/>
    </row>
    <row r="2843" spans="5:25" x14ac:dyDescent="0.35">
      <c r="E2843" t="s">
        <v>217</v>
      </c>
      <c r="F2843" t="s">
        <v>2029</v>
      </c>
      <c r="G2843" s="28"/>
      <c r="X2843" s="40"/>
      <c r="Y2843" s="40"/>
    </row>
    <row r="2844" spans="5:25" x14ac:dyDescent="0.35">
      <c r="E2844" t="s">
        <v>217</v>
      </c>
      <c r="F2844" t="s">
        <v>2030</v>
      </c>
      <c r="G2844" s="28"/>
      <c r="X2844" s="40"/>
      <c r="Y2844" s="40"/>
    </row>
    <row r="2845" spans="5:25" x14ac:dyDescent="0.35">
      <c r="E2845" t="s">
        <v>217</v>
      </c>
      <c r="F2845" t="s">
        <v>393</v>
      </c>
      <c r="G2845" s="28"/>
      <c r="X2845" s="40"/>
      <c r="Y2845" s="40"/>
    </row>
    <row r="2846" spans="5:25" x14ac:dyDescent="0.35">
      <c r="E2846" t="s">
        <v>217</v>
      </c>
      <c r="F2846" t="s">
        <v>2031</v>
      </c>
      <c r="G2846" s="28"/>
      <c r="X2846" s="40"/>
      <c r="Y2846" s="40"/>
    </row>
    <row r="2847" spans="5:25" x14ac:dyDescent="0.35">
      <c r="E2847" t="s">
        <v>217</v>
      </c>
      <c r="F2847" t="s">
        <v>1466</v>
      </c>
      <c r="G2847" s="28"/>
      <c r="X2847" s="40"/>
      <c r="Y2847" s="40"/>
    </row>
    <row r="2848" spans="5:25" x14ac:dyDescent="0.35">
      <c r="E2848" t="s">
        <v>217</v>
      </c>
      <c r="F2848" t="s">
        <v>394</v>
      </c>
      <c r="G2848" s="28"/>
      <c r="X2848" s="40"/>
      <c r="Y2848" s="40"/>
    </row>
    <row r="2849" spans="5:25" x14ac:dyDescent="0.35">
      <c r="E2849" t="s">
        <v>217</v>
      </c>
      <c r="F2849" t="s">
        <v>2032</v>
      </c>
      <c r="G2849" s="28"/>
      <c r="X2849" s="40"/>
      <c r="Y2849" s="40"/>
    </row>
    <row r="2850" spans="5:25" x14ac:dyDescent="0.35">
      <c r="E2850" t="s">
        <v>217</v>
      </c>
      <c r="F2850" t="s">
        <v>2033</v>
      </c>
      <c r="G2850" s="28"/>
      <c r="X2850" s="40"/>
      <c r="Y2850" s="40"/>
    </row>
    <row r="2851" spans="5:25" x14ac:dyDescent="0.35">
      <c r="E2851" t="s">
        <v>217</v>
      </c>
      <c r="F2851" t="s">
        <v>747</v>
      </c>
      <c r="G2851" s="28"/>
      <c r="X2851" s="40"/>
      <c r="Y2851" s="40"/>
    </row>
    <row r="2852" spans="5:25" x14ac:dyDescent="0.35">
      <c r="E2852" t="s">
        <v>217</v>
      </c>
      <c r="F2852" t="s">
        <v>993</v>
      </c>
      <c r="G2852" s="28"/>
      <c r="X2852" s="40"/>
      <c r="Y2852" s="40"/>
    </row>
    <row r="2853" spans="5:25" x14ac:dyDescent="0.35">
      <c r="E2853" t="s">
        <v>217</v>
      </c>
      <c r="F2853" t="s">
        <v>2034</v>
      </c>
      <c r="G2853" s="28"/>
      <c r="X2853" s="40"/>
      <c r="Y2853" s="40"/>
    </row>
    <row r="2854" spans="5:25" x14ac:dyDescent="0.35">
      <c r="E2854" t="s">
        <v>217</v>
      </c>
      <c r="F2854" t="s">
        <v>2035</v>
      </c>
      <c r="G2854" s="28"/>
      <c r="X2854" s="40"/>
      <c r="Y2854" s="40"/>
    </row>
    <row r="2855" spans="5:25" x14ac:dyDescent="0.35">
      <c r="E2855" t="s">
        <v>217</v>
      </c>
      <c r="F2855" t="s">
        <v>889</v>
      </c>
      <c r="G2855" s="28"/>
      <c r="X2855" s="40"/>
      <c r="Y2855" s="40"/>
    </row>
    <row r="2856" spans="5:25" x14ac:dyDescent="0.35">
      <c r="E2856" t="s">
        <v>217</v>
      </c>
      <c r="F2856" t="s">
        <v>994</v>
      </c>
      <c r="G2856" s="28"/>
      <c r="X2856" s="40"/>
      <c r="Y2856" s="40"/>
    </row>
    <row r="2857" spans="5:25" x14ac:dyDescent="0.35">
      <c r="E2857" t="s">
        <v>217</v>
      </c>
      <c r="F2857" t="s">
        <v>2036</v>
      </c>
      <c r="G2857" s="28"/>
      <c r="X2857" s="40"/>
      <c r="Y2857" s="40"/>
    </row>
    <row r="2858" spans="5:25" x14ac:dyDescent="0.35">
      <c r="E2858" t="s">
        <v>217</v>
      </c>
      <c r="F2858" t="s">
        <v>2037</v>
      </c>
      <c r="G2858" s="28"/>
      <c r="X2858" s="40"/>
      <c r="Y2858" s="40"/>
    </row>
    <row r="2859" spans="5:25" x14ac:dyDescent="0.35">
      <c r="E2859" t="s">
        <v>217</v>
      </c>
      <c r="F2859" t="s">
        <v>1622</v>
      </c>
      <c r="G2859" s="28"/>
      <c r="X2859" s="40"/>
      <c r="Y2859" s="40"/>
    </row>
    <row r="2860" spans="5:25" x14ac:dyDescent="0.35">
      <c r="E2860" t="s">
        <v>217</v>
      </c>
      <c r="F2860" t="s">
        <v>2038</v>
      </c>
      <c r="G2860" s="28"/>
      <c r="X2860" s="40"/>
      <c r="Y2860" s="40"/>
    </row>
    <row r="2861" spans="5:25" x14ac:dyDescent="0.35">
      <c r="E2861" t="s">
        <v>217</v>
      </c>
      <c r="F2861" t="s">
        <v>2039</v>
      </c>
      <c r="G2861" s="28"/>
      <c r="X2861" s="40"/>
      <c r="Y2861" s="40"/>
    </row>
    <row r="2862" spans="5:25" x14ac:dyDescent="0.35">
      <c r="E2862" t="s">
        <v>217</v>
      </c>
      <c r="F2862" t="s">
        <v>2040</v>
      </c>
      <c r="G2862" s="28"/>
      <c r="X2862" s="40"/>
      <c r="Y2862" s="40"/>
    </row>
    <row r="2863" spans="5:25" x14ac:dyDescent="0.35">
      <c r="E2863" t="s">
        <v>217</v>
      </c>
      <c r="F2863" t="s">
        <v>2041</v>
      </c>
      <c r="G2863" s="28"/>
      <c r="X2863" s="40"/>
      <c r="Y2863" s="40"/>
    </row>
    <row r="2864" spans="5:25" x14ac:dyDescent="0.35">
      <c r="E2864" t="s">
        <v>218</v>
      </c>
      <c r="F2864" t="s">
        <v>1626</v>
      </c>
      <c r="G2864" s="28"/>
      <c r="X2864" s="40"/>
      <c r="Y2864" s="40"/>
    </row>
    <row r="2865" spans="5:25" x14ac:dyDescent="0.35">
      <c r="E2865" t="s">
        <v>218</v>
      </c>
      <c r="F2865" t="s">
        <v>2042</v>
      </c>
      <c r="G2865" s="28"/>
      <c r="X2865" s="40"/>
      <c r="Y2865" s="40"/>
    </row>
    <row r="2866" spans="5:25" x14ac:dyDescent="0.35">
      <c r="E2866" t="s">
        <v>218</v>
      </c>
      <c r="F2866" t="s">
        <v>2043</v>
      </c>
      <c r="G2866" s="28"/>
      <c r="X2866" s="40"/>
      <c r="Y2866" s="40"/>
    </row>
    <row r="2867" spans="5:25" x14ac:dyDescent="0.35">
      <c r="E2867" t="s">
        <v>218</v>
      </c>
      <c r="F2867" t="s">
        <v>1338</v>
      </c>
      <c r="G2867" s="28"/>
      <c r="X2867" s="40"/>
      <c r="Y2867" s="40"/>
    </row>
    <row r="2868" spans="5:25" x14ac:dyDescent="0.35">
      <c r="E2868" t="s">
        <v>218</v>
      </c>
      <c r="F2868" t="s">
        <v>2044</v>
      </c>
      <c r="G2868" s="28"/>
      <c r="X2868" s="40"/>
      <c r="Y2868" s="40"/>
    </row>
    <row r="2869" spans="5:25" x14ac:dyDescent="0.35">
      <c r="E2869" t="s">
        <v>218</v>
      </c>
      <c r="F2869" t="s">
        <v>770</v>
      </c>
      <c r="G2869" s="28"/>
      <c r="X2869" s="40"/>
      <c r="Y2869" s="40"/>
    </row>
    <row r="2870" spans="5:25" x14ac:dyDescent="0.35">
      <c r="E2870" t="s">
        <v>218</v>
      </c>
      <c r="F2870" t="s">
        <v>2045</v>
      </c>
      <c r="G2870" s="28"/>
      <c r="X2870" s="40"/>
      <c r="Y2870" s="40"/>
    </row>
    <row r="2871" spans="5:25" x14ac:dyDescent="0.35">
      <c r="E2871" t="s">
        <v>218</v>
      </c>
      <c r="F2871" t="s">
        <v>2046</v>
      </c>
      <c r="G2871" s="28"/>
      <c r="X2871" s="40"/>
      <c r="Y2871" s="40"/>
    </row>
    <row r="2872" spans="5:25" x14ac:dyDescent="0.35">
      <c r="E2872" t="s">
        <v>218</v>
      </c>
      <c r="F2872" t="s">
        <v>549</v>
      </c>
      <c r="G2872" s="28"/>
      <c r="X2872" s="40"/>
      <c r="Y2872" s="40"/>
    </row>
    <row r="2873" spans="5:25" x14ac:dyDescent="0.35">
      <c r="E2873" t="s">
        <v>218</v>
      </c>
      <c r="F2873" t="s">
        <v>551</v>
      </c>
      <c r="G2873" s="28"/>
      <c r="X2873" s="40"/>
      <c r="Y2873" s="40"/>
    </row>
    <row r="2874" spans="5:25" x14ac:dyDescent="0.35">
      <c r="E2874" t="s">
        <v>218</v>
      </c>
      <c r="F2874" t="s">
        <v>1162</v>
      </c>
      <c r="G2874" s="28"/>
      <c r="X2874" s="40"/>
      <c r="Y2874" s="40"/>
    </row>
    <row r="2875" spans="5:25" x14ac:dyDescent="0.35">
      <c r="E2875" t="s">
        <v>218</v>
      </c>
      <c r="F2875" t="s">
        <v>2047</v>
      </c>
      <c r="G2875" s="28"/>
      <c r="X2875" s="40"/>
      <c r="Y2875" s="40"/>
    </row>
    <row r="2876" spans="5:25" x14ac:dyDescent="0.35">
      <c r="E2876" t="s">
        <v>218</v>
      </c>
      <c r="F2876" t="s">
        <v>860</v>
      </c>
      <c r="G2876" s="28"/>
      <c r="X2876" s="40"/>
      <c r="Y2876" s="40"/>
    </row>
    <row r="2877" spans="5:25" x14ac:dyDescent="0.35">
      <c r="E2877" t="s">
        <v>218</v>
      </c>
      <c r="F2877" t="s">
        <v>2048</v>
      </c>
      <c r="G2877" s="28"/>
      <c r="X2877" s="40"/>
      <c r="Y2877" s="40"/>
    </row>
    <row r="2878" spans="5:25" x14ac:dyDescent="0.35">
      <c r="E2878" t="s">
        <v>218</v>
      </c>
      <c r="F2878" t="s">
        <v>381</v>
      </c>
      <c r="G2878" s="28"/>
      <c r="X2878" s="40"/>
      <c r="Y2878" s="40"/>
    </row>
    <row r="2879" spans="5:25" x14ac:dyDescent="0.35">
      <c r="E2879" t="s">
        <v>218</v>
      </c>
      <c r="F2879" t="s">
        <v>2049</v>
      </c>
      <c r="G2879" s="28"/>
      <c r="X2879" s="40"/>
      <c r="Y2879" s="40"/>
    </row>
    <row r="2880" spans="5:25" x14ac:dyDescent="0.35">
      <c r="E2880" t="s">
        <v>218</v>
      </c>
      <c r="F2880" t="s">
        <v>2050</v>
      </c>
      <c r="G2880" s="28"/>
      <c r="X2880" s="40"/>
      <c r="Y2880" s="40"/>
    </row>
    <row r="2881" spans="5:25" x14ac:dyDescent="0.35">
      <c r="E2881" t="s">
        <v>218</v>
      </c>
      <c r="F2881" t="s">
        <v>2051</v>
      </c>
      <c r="G2881" s="28"/>
      <c r="X2881" s="40"/>
      <c r="Y2881" s="40"/>
    </row>
    <row r="2882" spans="5:25" x14ac:dyDescent="0.35">
      <c r="E2882" t="s">
        <v>218</v>
      </c>
      <c r="F2882" t="s">
        <v>575</v>
      </c>
      <c r="G2882" s="28"/>
      <c r="X2882" s="40"/>
      <c r="Y2882" s="40"/>
    </row>
    <row r="2883" spans="5:25" x14ac:dyDescent="0.35">
      <c r="E2883" t="s">
        <v>218</v>
      </c>
      <c r="F2883" t="s">
        <v>2052</v>
      </c>
      <c r="G2883" s="28"/>
      <c r="X2883" s="40"/>
      <c r="Y2883" s="40"/>
    </row>
    <row r="2884" spans="5:25" x14ac:dyDescent="0.35">
      <c r="E2884" t="s">
        <v>218</v>
      </c>
      <c r="F2884" t="s">
        <v>446</v>
      </c>
      <c r="G2884" s="28"/>
      <c r="X2884" s="40"/>
      <c r="Y2884" s="40"/>
    </row>
    <row r="2885" spans="5:25" x14ac:dyDescent="0.35">
      <c r="E2885" t="s">
        <v>218</v>
      </c>
      <c r="F2885" t="s">
        <v>578</v>
      </c>
      <c r="G2885" s="28"/>
      <c r="X2885" s="40"/>
      <c r="Y2885" s="40"/>
    </row>
    <row r="2886" spans="5:25" x14ac:dyDescent="0.35">
      <c r="E2886" t="s">
        <v>218</v>
      </c>
      <c r="F2886" t="s">
        <v>2053</v>
      </c>
      <c r="G2886" s="28"/>
      <c r="X2886" s="40"/>
      <c r="Y2886" s="40"/>
    </row>
    <row r="2887" spans="5:25" x14ac:dyDescent="0.35">
      <c r="E2887" t="s">
        <v>218</v>
      </c>
      <c r="F2887" t="s">
        <v>2054</v>
      </c>
      <c r="G2887" s="28"/>
      <c r="X2887" s="40"/>
      <c r="Y2887" s="40"/>
    </row>
    <row r="2888" spans="5:25" x14ac:dyDescent="0.35">
      <c r="E2888" t="s">
        <v>218</v>
      </c>
      <c r="F2888" t="s">
        <v>2055</v>
      </c>
      <c r="G2888" s="28"/>
      <c r="X2888" s="40"/>
      <c r="Y2888" s="40"/>
    </row>
    <row r="2889" spans="5:25" x14ac:dyDescent="0.35">
      <c r="E2889" t="s">
        <v>218</v>
      </c>
      <c r="F2889" t="s">
        <v>2056</v>
      </c>
      <c r="G2889" s="28"/>
      <c r="X2889" s="40"/>
      <c r="Y2889" s="40"/>
    </row>
    <row r="2890" spans="5:25" x14ac:dyDescent="0.35">
      <c r="E2890" t="s">
        <v>218</v>
      </c>
      <c r="F2890" t="s">
        <v>394</v>
      </c>
      <c r="G2890" s="28"/>
      <c r="X2890" s="40"/>
      <c r="Y2890" s="40"/>
    </row>
    <row r="2891" spans="5:25" x14ac:dyDescent="0.35">
      <c r="E2891" t="s">
        <v>218</v>
      </c>
      <c r="F2891" t="s">
        <v>745</v>
      </c>
      <c r="G2891" s="28"/>
      <c r="X2891" s="40"/>
      <c r="Y2891" s="40"/>
    </row>
    <row r="2892" spans="5:25" x14ac:dyDescent="0.35">
      <c r="E2892" t="s">
        <v>218</v>
      </c>
      <c r="F2892" t="s">
        <v>2057</v>
      </c>
      <c r="G2892" s="28"/>
      <c r="X2892" s="40"/>
      <c r="Y2892" s="40"/>
    </row>
    <row r="2893" spans="5:25" x14ac:dyDescent="0.35">
      <c r="E2893" t="s">
        <v>219</v>
      </c>
      <c r="F2893" t="s">
        <v>2058</v>
      </c>
      <c r="G2893" s="28"/>
      <c r="X2893" s="40"/>
      <c r="Y2893" s="40"/>
    </row>
    <row r="2894" spans="5:25" x14ac:dyDescent="0.35">
      <c r="E2894" t="s">
        <v>219</v>
      </c>
      <c r="F2894" t="s">
        <v>2059</v>
      </c>
      <c r="G2894" s="28"/>
      <c r="X2894" s="40"/>
      <c r="Y2894" s="40"/>
    </row>
    <row r="2895" spans="5:25" x14ac:dyDescent="0.35">
      <c r="E2895" t="s">
        <v>219</v>
      </c>
      <c r="F2895" t="s">
        <v>2060</v>
      </c>
      <c r="G2895" s="28"/>
      <c r="X2895" s="40"/>
      <c r="Y2895" s="40"/>
    </row>
    <row r="2896" spans="5:25" x14ac:dyDescent="0.35">
      <c r="E2896" t="s">
        <v>219</v>
      </c>
      <c r="F2896" t="s">
        <v>1372</v>
      </c>
      <c r="G2896" s="28"/>
      <c r="X2896" s="40"/>
      <c r="Y2896" s="40"/>
    </row>
    <row r="2897" spans="5:25" x14ac:dyDescent="0.35">
      <c r="E2897" t="s">
        <v>219</v>
      </c>
      <c r="F2897" t="s">
        <v>2061</v>
      </c>
      <c r="G2897" s="28"/>
      <c r="X2897" s="40"/>
      <c r="Y2897" s="40"/>
    </row>
    <row r="2898" spans="5:25" x14ac:dyDescent="0.35">
      <c r="E2898" t="s">
        <v>219</v>
      </c>
      <c r="F2898" t="s">
        <v>2062</v>
      </c>
      <c r="G2898" s="28"/>
      <c r="X2898" s="40"/>
      <c r="Y2898" s="40"/>
    </row>
    <row r="2899" spans="5:25" x14ac:dyDescent="0.35">
      <c r="E2899" t="s">
        <v>219</v>
      </c>
      <c r="F2899" t="s">
        <v>2063</v>
      </c>
      <c r="G2899" s="28"/>
      <c r="X2899" s="40"/>
      <c r="Y2899" s="40"/>
    </row>
    <row r="2900" spans="5:25" x14ac:dyDescent="0.35">
      <c r="E2900" t="s">
        <v>219</v>
      </c>
      <c r="F2900" t="s">
        <v>2064</v>
      </c>
      <c r="G2900" s="28"/>
      <c r="X2900" s="40"/>
      <c r="Y2900" s="40"/>
    </row>
    <row r="2901" spans="5:25" x14ac:dyDescent="0.35">
      <c r="E2901" t="s">
        <v>219</v>
      </c>
      <c r="F2901" t="s">
        <v>2065</v>
      </c>
      <c r="G2901" s="28"/>
      <c r="X2901" s="40"/>
      <c r="Y2901" s="40"/>
    </row>
    <row r="2902" spans="5:25" x14ac:dyDescent="0.35">
      <c r="E2902" t="s">
        <v>219</v>
      </c>
      <c r="F2902" t="s">
        <v>999</v>
      </c>
      <c r="G2902" s="28"/>
      <c r="X2902" s="40"/>
      <c r="Y2902" s="40"/>
    </row>
    <row r="2903" spans="5:25" x14ac:dyDescent="0.35">
      <c r="E2903" t="s">
        <v>219</v>
      </c>
      <c r="F2903" t="s">
        <v>1683</v>
      </c>
      <c r="G2903" s="28"/>
      <c r="X2903" s="40"/>
      <c r="Y2903" s="40"/>
    </row>
    <row r="2904" spans="5:25" x14ac:dyDescent="0.35">
      <c r="E2904" t="s">
        <v>219</v>
      </c>
      <c r="F2904" t="s">
        <v>2066</v>
      </c>
      <c r="G2904" s="28"/>
      <c r="X2904" s="40"/>
      <c r="Y2904" s="40"/>
    </row>
    <row r="2905" spans="5:25" x14ac:dyDescent="0.35">
      <c r="E2905" t="s">
        <v>219</v>
      </c>
      <c r="F2905" t="s">
        <v>2067</v>
      </c>
      <c r="G2905" s="28"/>
      <c r="X2905" s="40"/>
      <c r="Y2905" s="40"/>
    </row>
    <row r="2906" spans="5:25" x14ac:dyDescent="0.35">
      <c r="E2906" t="s">
        <v>219</v>
      </c>
      <c r="F2906" t="s">
        <v>2068</v>
      </c>
      <c r="G2906" s="28"/>
      <c r="X2906" s="40"/>
      <c r="Y2906" s="40"/>
    </row>
    <row r="2907" spans="5:25" x14ac:dyDescent="0.35">
      <c r="E2907" t="s">
        <v>219</v>
      </c>
      <c r="F2907" t="s">
        <v>2069</v>
      </c>
      <c r="G2907" s="28"/>
      <c r="X2907" s="40"/>
      <c r="Y2907" s="40"/>
    </row>
    <row r="2908" spans="5:25" x14ac:dyDescent="0.35">
      <c r="E2908" t="s">
        <v>219</v>
      </c>
      <c r="F2908" t="s">
        <v>1379</v>
      </c>
      <c r="G2908" s="28"/>
      <c r="X2908" s="40"/>
      <c r="Y2908" s="40"/>
    </row>
    <row r="2909" spans="5:25" x14ac:dyDescent="0.35">
      <c r="E2909" t="s">
        <v>219</v>
      </c>
      <c r="F2909" t="s">
        <v>763</v>
      </c>
      <c r="G2909" s="28"/>
      <c r="X2909" s="40"/>
      <c r="Y2909" s="40"/>
    </row>
    <row r="2910" spans="5:25" x14ac:dyDescent="0.35">
      <c r="E2910" t="s">
        <v>219</v>
      </c>
      <c r="F2910" t="s">
        <v>2070</v>
      </c>
      <c r="G2910" s="28"/>
      <c r="X2910" s="40"/>
      <c r="Y2910" s="40"/>
    </row>
    <row r="2911" spans="5:25" x14ac:dyDescent="0.35">
      <c r="E2911" t="s">
        <v>219</v>
      </c>
      <c r="F2911" t="s">
        <v>2071</v>
      </c>
      <c r="G2911" s="28"/>
      <c r="X2911" s="40"/>
      <c r="Y2911" s="40"/>
    </row>
    <row r="2912" spans="5:25" x14ac:dyDescent="0.35">
      <c r="E2912" t="s">
        <v>219</v>
      </c>
      <c r="F2912" t="s">
        <v>1009</v>
      </c>
      <c r="G2912" s="28"/>
      <c r="X2912" s="40"/>
      <c r="Y2912" s="40"/>
    </row>
    <row r="2913" spans="5:25" x14ac:dyDescent="0.35">
      <c r="E2913" t="s">
        <v>219</v>
      </c>
      <c r="F2913" t="s">
        <v>1114</v>
      </c>
      <c r="G2913" s="28"/>
      <c r="X2913" s="40"/>
      <c r="Y2913" s="40"/>
    </row>
    <row r="2914" spans="5:25" x14ac:dyDescent="0.35">
      <c r="E2914" t="s">
        <v>219</v>
      </c>
      <c r="F2914" t="s">
        <v>403</v>
      </c>
      <c r="G2914" s="28"/>
      <c r="X2914" s="40"/>
      <c r="Y2914" s="40"/>
    </row>
    <row r="2915" spans="5:25" x14ac:dyDescent="0.35">
      <c r="E2915" t="s">
        <v>219</v>
      </c>
      <c r="F2915" t="s">
        <v>2072</v>
      </c>
      <c r="G2915" s="28"/>
      <c r="X2915" s="40"/>
      <c r="Y2915" s="40"/>
    </row>
    <row r="2916" spans="5:25" x14ac:dyDescent="0.35">
      <c r="E2916" t="s">
        <v>219</v>
      </c>
      <c r="F2916" t="s">
        <v>599</v>
      </c>
      <c r="G2916" s="28"/>
      <c r="X2916" s="40"/>
      <c r="Y2916" s="40"/>
    </row>
    <row r="2917" spans="5:25" x14ac:dyDescent="0.35">
      <c r="E2917" t="s">
        <v>219</v>
      </c>
      <c r="F2917" t="s">
        <v>2073</v>
      </c>
      <c r="G2917" s="28"/>
      <c r="X2917" s="40"/>
      <c r="Y2917" s="40"/>
    </row>
    <row r="2918" spans="5:25" x14ac:dyDescent="0.35">
      <c r="E2918" t="s">
        <v>219</v>
      </c>
      <c r="F2918" t="s">
        <v>2074</v>
      </c>
      <c r="G2918" s="28"/>
      <c r="X2918" s="40"/>
      <c r="Y2918" s="40"/>
    </row>
    <row r="2919" spans="5:25" x14ac:dyDescent="0.35">
      <c r="E2919" t="s">
        <v>219</v>
      </c>
      <c r="F2919" t="s">
        <v>1799</v>
      </c>
      <c r="G2919" s="28"/>
      <c r="X2919" s="40"/>
      <c r="Y2919" s="40"/>
    </row>
    <row r="2920" spans="5:25" x14ac:dyDescent="0.35">
      <c r="E2920" t="s">
        <v>219</v>
      </c>
      <c r="F2920" t="s">
        <v>342</v>
      </c>
      <c r="G2920" s="28"/>
      <c r="X2920" s="40"/>
      <c r="Y2920" s="40"/>
    </row>
    <row r="2921" spans="5:25" x14ac:dyDescent="0.35">
      <c r="E2921" t="s">
        <v>219</v>
      </c>
      <c r="F2921" t="s">
        <v>2075</v>
      </c>
      <c r="G2921" s="28"/>
      <c r="X2921" s="40"/>
      <c r="Y2921" s="40"/>
    </row>
    <row r="2922" spans="5:25" x14ac:dyDescent="0.35">
      <c r="E2922" t="s">
        <v>219</v>
      </c>
      <c r="F2922" t="s">
        <v>2076</v>
      </c>
      <c r="G2922" s="28"/>
      <c r="X2922" s="40"/>
      <c r="Y2922" s="40"/>
    </row>
    <row r="2923" spans="5:25" x14ac:dyDescent="0.35">
      <c r="E2923" t="s">
        <v>219</v>
      </c>
      <c r="F2923" t="s">
        <v>1632</v>
      </c>
      <c r="G2923" s="28"/>
      <c r="X2923" s="40"/>
      <c r="Y2923" s="40"/>
    </row>
    <row r="2924" spans="5:25" x14ac:dyDescent="0.35">
      <c r="E2924" t="s">
        <v>219</v>
      </c>
      <c r="F2924" t="s">
        <v>2077</v>
      </c>
      <c r="G2924" s="28"/>
      <c r="X2924" s="40"/>
      <c r="Y2924" s="40"/>
    </row>
    <row r="2925" spans="5:25" x14ac:dyDescent="0.35">
      <c r="E2925" t="s">
        <v>219</v>
      </c>
      <c r="F2925" t="s">
        <v>849</v>
      </c>
      <c r="G2925" s="28"/>
      <c r="X2925" s="40"/>
      <c r="Y2925" s="40"/>
    </row>
    <row r="2926" spans="5:25" x14ac:dyDescent="0.35">
      <c r="E2926" t="s">
        <v>219</v>
      </c>
      <c r="F2926" t="s">
        <v>2078</v>
      </c>
      <c r="G2926" s="28"/>
      <c r="X2926" s="40"/>
      <c r="Y2926" s="40"/>
    </row>
    <row r="2927" spans="5:25" x14ac:dyDescent="0.35">
      <c r="E2927" t="s">
        <v>219</v>
      </c>
      <c r="F2927" t="s">
        <v>2079</v>
      </c>
      <c r="G2927" s="28"/>
      <c r="X2927" s="40"/>
      <c r="Y2927" s="40"/>
    </row>
    <row r="2928" spans="5:25" x14ac:dyDescent="0.35">
      <c r="E2928" t="s">
        <v>219</v>
      </c>
      <c r="F2928" t="s">
        <v>2080</v>
      </c>
      <c r="G2928" s="28"/>
      <c r="X2928" s="40"/>
      <c r="Y2928" s="40"/>
    </row>
    <row r="2929" spans="5:25" x14ac:dyDescent="0.35">
      <c r="E2929" t="s">
        <v>219</v>
      </c>
      <c r="F2929" t="s">
        <v>2081</v>
      </c>
      <c r="G2929" s="28"/>
      <c r="X2929" s="40"/>
      <c r="Y2929" s="40"/>
    </row>
    <row r="2930" spans="5:25" x14ac:dyDescent="0.35">
      <c r="E2930" t="s">
        <v>219</v>
      </c>
      <c r="F2930" t="s">
        <v>1102</v>
      </c>
      <c r="G2930" s="28"/>
      <c r="X2930" s="40"/>
      <c r="Y2930" s="40"/>
    </row>
    <row r="2931" spans="5:25" x14ac:dyDescent="0.35">
      <c r="E2931" t="s">
        <v>219</v>
      </c>
      <c r="F2931" t="s">
        <v>2082</v>
      </c>
      <c r="G2931" s="28"/>
      <c r="X2931" s="40"/>
      <c r="Y2931" s="40"/>
    </row>
    <row r="2932" spans="5:25" x14ac:dyDescent="0.35">
      <c r="E2932" t="s">
        <v>219</v>
      </c>
      <c r="F2932" t="s">
        <v>2083</v>
      </c>
      <c r="G2932" s="28"/>
      <c r="X2932" s="40"/>
      <c r="Y2932" s="40"/>
    </row>
    <row r="2933" spans="5:25" x14ac:dyDescent="0.35">
      <c r="E2933" t="s">
        <v>219</v>
      </c>
      <c r="F2933" t="s">
        <v>2084</v>
      </c>
      <c r="G2933" s="28"/>
      <c r="X2933" s="40"/>
      <c r="Y2933" s="40"/>
    </row>
    <row r="2934" spans="5:25" x14ac:dyDescent="0.35">
      <c r="E2934" t="s">
        <v>219</v>
      </c>
      <c r="F2934" t="s">
        <v>2085</v>
      </c>
      <c r="G2934" s="28"/>
      <c r="X2934" s="40"/>
      <c r="Y2934" s="40"/>
    </row>
    <row r="2935" spans="5:25" x14ac:dyDescent="0.35">
      <c r="E2935" t="s">
        <v>219</v>
      </c>
      <c r="F2935" t="s">
        <v>685</v>
      </c>
      <c r="G2935" s="28"/>
      <c r="X2935" s="40"/>
      <c r="Y2935" s="40"/>
    </row>
    <row r="2936" spans="5:25" x14ac:dyDescent="0.35">
      <c r="E2936" t="s">
        <v>219</v>
      </c>
      <c r="F2936" t="s">
        <v>2086</v>
      </c>
      <c r="G2936" s="28"/>
      <c r="X2936" s="40"/>
      <c r="Y2936" s="40"/>
    </row>
    <row r="2937" spans="5:25" x14ac:dyDescent="0.35">
      <c r="E2937" t="s">
        <v>219</v>
      </c>
      <c r="F2937" t="s">
        <v>359</v>
      </c>
      <c r="G2937" s="28"/>
      <c r="X2937" s="40"/>
      <c r="Y2937" s="40"/>
    </row>
    <row r="2938" spans="5:25" x14ac:dyDescent="0.35">
      <c r="E2938" t="s">
        <v>219</v>
      </c>
      <c r="F2938" t="s">
        <v>2087</v>
      </c>
      <c r="G2938" s="28"/>
      <c r="X2938" s="40"/>
      <c r="Y2938" s="40"/>
    </row>
    <row r="2939" spans="5:25" x14ac:dyDescent="0.35">
      <c r="E2939" t="s">
        <v>219</v>
      </c>
      <c r="F2939" t="s">
        <v>1118</v>
      </c>
      <c r="G2939" s="28"/>
      <c r="X2939" s="40"/>
      <c r="Y2939" s="40"/>
    </row>
    <row r="2940" spans="5:25" x14ac:dyDescent="0.35">
      <c r="E2940" t="s">
        <v>219</v>
      </c>
      <c r="F2940" t="s">
        <v>2088</v>
      </c>
      <c r="G2940" s="28"/>
      <c r="X2940" s="40"/>
      <c r="Y2940" s="40"/>
    </row>
    <row r="2941" spans="5:25" x14ac:dyDescent="0.35">
      <c r="E2941" t="s">
        <v>219</v>
      </c>
      <c r="F2941" t="s">
        <v>2089</v>
      </c>
      <c r="G2941" s="28"/>
      <c r="X2941" s="40"/>
      <c r="Y2941" s="40"/>
    </row>
    <row r="2942" spans="5:25" x14ac:dyDescent="0.35">
      <c r="E2942" t="s">
        <v>219</v>
      </c>
      <c r="F2942" t="s">
        <v>1865</v>
      </c>
      <c r="G2942" s="28"/>
      <c r="X2942" s="40"/>
      <c r="Y2942" s="40"/>
    </row>
    <row r="2943" spans="5:25" x14ac:dyDescent="0.35">
      <c r="E2943" t="s">
        <v>219</v>
      </c>
      <c r="F2943" t="s">
        <v>1518</v>
      </c>
      <c r="G2943" s="28"/>
      <c r="X2943" s="40"/>
      <c r="Y2943" s="40"/>
    </row>
    <row r="2944" spans="5:25" x14ac:dyDescent="0.35">
      <c r="E2944" t="s">
        <v>219</v>
      </c>
      <c r="F2944" t="s">
        <v>2090</v>
      </c>
      <c r="G2944" s="28"/>
      <c r="X2944" s="40"/>
      <c r="Y2944" s="40"/>
    </row>
    <row r="2945" spans="5:25" x14ac:dyDescent="0.35">
      <c r="E2945" t="s">
        <v>219</v>
      </c>
      <c r="F2945" t="s">
        <v>1019</v>
      </c>
      <c r="G2945" s="28"/>
      <c r="X2945" s="40"/>
      <c r="Y2945" s="40"/>
    </row>
    <row r="2946" spans="5:25" x14ac:dyDescent="0.35">
      <c r="E2946" t="s">
        <v>219</v>
      </c>
      <c r="F2946" t="s">
        <v>361</v>
      </c>
      <c r="G2946" s="28"/>
      <c r="X2946" s="40"/>
      <c r="Y2946" s="40"/>
    </row>
    <row r="2947" spans="5:25" x14ac:dyDescent="0.35">
      <c r="E2947" t="s">
        <v>219</v>
      </c>
      <c r="F2947" t="s">
        <v>2091</v>
      </c>
      <c r="G2947" s="28"/>
      <c r="X2947" s="40"/>
      <c r="Y2947" s="40"/>
    </row>
    <row r="2948" spans="5:25" x14ac:dyDescent="0.35">
      <c r="E2948" t="s">
        <v>219</v>
      </c>
      <c r="F2948" t="s">
        <v>1399</v>
      </c>
      <c r="G2948" s="28"/>
      <c r="X2948" s="40"/>
      <c r="Y2948" s="40"/>
    </row>
    <row r="2949" spans="5:25" x14ac:dyDescent="0.35">
      <c r="E2949" t="s">
        <v>219</v>
      </c>
      <c r="F2949" t="s">
        <v>2092</v>
      </c>
      <c r="G2949" s="28"/>
      <c r="X2949" s="40"/>
      <c r="Y2949" s="40"/>
    </row>
    <row r="2950" spans="5:25" x14ac:dyDescent="0.35">
      <c r="E2950" t="s">
        <v>219</v>
      </c>
      <c r="F2950" t="s">
        <v>2093</v>
      </c>
      <c r="G2950" s="28"/>
      <c r="X2950" s="40"/>
      <c r="Y2950" s="40"/>
    </row>
    <row r="2951" spans="5:25" x14ac:dyDescent="0.35">
      <c r="E2951" t="s">
        <v>219</v>
      </c>
      <c r="F2951" t="s">
        <v>2094</v>
      </c>
      <c r="G2951" s="28"/>
      <c r="X2951" s="40"/>
      <c r="Y2951" s="40"/>
    </row>
    <row r="2952" spans="5:25" x14ac:dyDescent="0.35">
      <c r="E2952" t="s">
        <v>219</v>
      </c>
      <c r="F2952" t="s">
        <v>2095</v>
      </c>
      <c r="G2952" s="28"/>
      <c r="X2952" s="40"/>
      <c r="Y2952" s="40"/>
    </row>
    <row r="2953" spans="5:25" x14ac:dyDescent="0.35">
      <c r="E2953" t="s">
        <v>219</v>
      </c>
      <c r="F2953" t="s">
        <v>363</v>
      </c>
      <c r="G2953" s="28"/>
      <c r="X2953" s="40"/>
      <c r="Y2953" s="40"/>
    </row>
    <row r="2954" spans="5:25" x14ac:dyDescent="0.35">
      <c r="E2954" t="s">
        <v>219</v>
      </c>
      <c r="F2954" t="s">
        <v>1603</v>
      </c>
      <c r="G2954" s="28"/>
      <c r="X2954" s="40"/>
      <c r="Y2954" s="40"/>
    </row>
    <row r="2955" spans="5:25" x14ac:dyDescent="0.35">
      <c r="E2955" t="s">
        <v>219</v>
      </c>
      <c r="F2955" t="s">
        <v>2096</v>
      </c>
      <c r="G2955" s="28"/>
      <c r="X2955" s="40"/>
      <c r="Y2955" s="40"/>
    </row>
    <row r="2956" spans="5:25" x14ac:dyDescent="0.35">
      <c r="E2956" t="s">
        <v>219</v>
      </c>
      <c r="F2956" t="s">
        <v>2097</v>
      </c>
      <c r="G2956" s="28"/>
      <c r="X2956" s="40"/>
      <c r="Y2956" s="40"/>
    </row>
    <row r="2957" spans="5:25" x14ac:dyDescent="0.35">
      <c r="E2957" t="s">
        <v>219</v>
      </c>
      <c r="F2957" t="s">
        <v>2098</v>
      </c>
      <c r="G2957" s="28"/>
      <c r="X2957" s="40"/>
      <c r="Y2957" s="40"/>
    </row>
    <row r="2958" spans="5:25" x14ac:dyDescent="0.35">
      <c r="E2958" t="s">
        <v>219</v>
      </c>
      <c r="F2958" t="s">
        <v>2099</v>
      </c>
      <c r="G2958" s="28"/>
      <c r="X2958" s="40"/>
      <c r="Y2958" s="40"/>
    </row>
    <row r="2959" spans="5:25" x14ac:dyDescent="0.35">
      <c r="E2959" t="s">
        <v>219</v>
      </c>
      <c r="F2959" t="s">
        <v>2100</v>
      </c>
      <c r="G2959" s="28"/>
      <c r="X2959" s="40"/>
      <c r="Y2959" s="40"/>
    </row>
    <row r="2960" spans="5:25" x14ac:dyDescent="0.35">
      <c r="E2960" t="s">
        <v>219</v>
      </c>
      <c r="F2960" t="s">
        <v>2101</v>
      </c>
      <c r="G2960" s="28"/>
      <c r="X2960" s="40"/>
      <c r="Y2960" s="40"/>
    </row>
    <row r="2961" spans="5:25" x14ac:dyDescent="0.35">
      <c r="E2961" t="s">
        <v>219</v>
      </c>
      <c r="F2961" t="s">
        <v>1493</v>
      </c>
      <c r="G2961" s="28"/>
      <c r="X2961" s="40"/>
      <c r="Y2961" s="40"/>
    </row>
    <row r="2962" spans="5:25" x14ac:dyDescent="0.35">
      <c r="E2962" t="s">
        <v>219</v>
      </c>
      <c r="F2962" t="s">
        <v>370</v>
      </c>
      <c r="G2962" s="28"/>
      <c r="X2962" s="40"/>
      <c r="Y2962" s="40"/>
    </row>
    <row r="2963" spans="5:25" x14ac:dyDescent="0.35">
      <c r="E2963" t="s">
        <v>219</v>
      </c>
      <c r="F2963" t="s">
        <v>2102</v>
      </c>
      <c r="G2963" s="28"/>
      <c r="X2963" s="40"/>
      <c r="Y2963" s="40"/>
    </row>
    <row r="2964" spans="5:25" x14ac:dyDescent="0.35">
      <c r="E2964" t="s">
        <v>219</v>
      </c>
      <c r="F2964" t="s">
        <v>2103</v>
      </c>
      <c r="G2964" s="28"/>
      <c r="X2964" s="40"/>
      <c r="Y2964" s="40"/>
    </row>
    <row r="2965" spans="5:25" x14ac:dyDescent="0.35">
      <c r="E2965" t="s">
        <v>219</v>
      </c>
      <c r="F2965" t="s">
        <v>785</v>
      </c>
      <c r="G2965" s="28"/>
      <c r="X2965" s="40"/>
      <c r="Y2965" s="40"/>
    </row>
    <row r="2966" spans="5:25" x14ac:dyDescent="0.35">
      <c r="E2966" t="s">
        <v>219</v>
      </c>
      <c r="F2966" t="s">
        <v>2104</v>
      </c>
      <c r="G2966" s="28"/>
      <c r="X2966" s="40"/>
      <c r="Y2966" s="40"/>
    </row>
    <row r="2967" spans="5:25" x14ac:dyDescent="0.35">
      <c r="E2967" t="s">
        <v>219</v>
      </c>
      <c r="F2967" t="s">
        <v>2105</v>
      </c>
      <c r="G2967" s="28"/>
      <c r="X2967" s="40"/>
      <c r="Y2967" s="40"/>
    </row>
    <row r="2968" spans="5:25" x14ac:dyDescent="0.35">
      <c r="E2968" t="s">
        <v>219</v>
      </c>
      <c r="F2968" t="s">
        <v>374</v>
      </c>
      <c r="G2968" s="28"/>
      <c r="X2968" s="40"/>
      <c r="Y2968" s="40"/>
    </row>
    <row r="2969" spans="5:25" x14ac:dyDescent="0.35">
      <c r="E2969" t="s">
        <v>219</v>
      </c>
      <c r="F2969" t="s">
        <v>2106</v>
      </c>
      <c r="G2969" s="28"/>
      <c r="X2969" s="40"/>
      <c r="Y2969" s="40"/>
    </row>
    <row r="2970" spans="5:25" x14ac:dyDescent="0.35">
      <c r="E2970" t="s">
        <v>219</v>
      </c>
      <c r="F2970" t="s">
        <v>2107</v>
      </c>
      <c r="G2970" s="28"/>
      <c r="X2970" s="40"/>
      <c r="Y2970" s="40"/>
    </row>
    <row r="2971" spans="5:25" x14ac:dyDescent="0.35">
      <c r="E2971" t="s">
        <v>219</v>
      </c>
      <c r="F2971" t="s">
        <v>2108</v>
      </c>
      <c r="G2971" s="28"/>
      <c r="X2971" s="40"/>
      <c r="Y2971" s="40"/>
    </row>
    <row r="2972" spans="5:25" x14ac:dyDescent="0.35">
      <c r="E2972" t="s">
        <v>219</v>
      </c>
      <c r="F2972" t="s">
        <v>2109</v>
      </c>
      <c r="G2972" s="28"/>
      <c r="X2972" s="40"/>
      <c r="Y2972" s="40"/>
    </row>
    <row r="2973" spans="5:25" x14ac:dyDescent="0.35">
      <c r="E2973" t="s">
        <v>219</v>
      </c>
      <c r="F2973" t="s">
        <v>1409</v>
      </c>
      <c r="G2973" s="28"/>
      <c r="X2973" s="40"/>
      <c r="Y2973" s="40"/>
    </row>
    <row r="2974" spans="5:25" x14ac:dyDescent="0.35">
      <c r="E2974" t="s">
        <v>219</v>
      </c>
      <c r="F2974" t="s">
        <v>584</v>
      </c>
      <c r="G2974" s="28"/>
      <c r="X2974" s="40"/>
      <c r="Y2974" s="40"/>
    </row>
    <row r="2975" spans="5:25" x14ac:dyDescent="0.35">
      <c r="E2975" t="s">
        <v>219</v>
      </c>
      <c r="F2975" t="s">
        <v>380</v>
      </c>
      <c r="G2975" s="28"/>
      <c r="X2975" s="40"/>
      <c r="Y2975" s="40"/>
    </row>
    <row r="2976" spans="5:25" x14ac:dyDescent="0.35">
      <c r="E2976" t="s">
        <v>219</v>
      </c>
      <c r="F2976" t="s">
        <v>1038</v>
      </c>
      <c r="G2976" s="28"/>
      <c r="X2976" s="40"/>
      <c r="Y2976" s="40"/>
    </row>
    <row r="2977" spans="5:25" x14ac:dyDescent="0.35">
      <c r="E2977" t="s">
        <v>219</v>
      </c>
      <c r="F2977" t="s">
        <v>2110</v>
      </c>
      <c r="G2977" s="28"/>
      <c r="X2977" s="40"/>
      <c r="Y2977" s="40"/>
    </row>
    <row r="2978" spans="5:25" x14ac:dyDescent="0.35">
      <c r="E2978" t="s">
        <v>219</v>
      </c>
      <c r="F2978" t="s">
        <v>2111</v>
      </c>
      <c r="G2978" s="28"/>
      <c r="X2978" s="40"/>
      <c r="Y2978" s="40"/>
    </row>
    <row r="2979" spans="5:25" x14ac:dyDescent="0.35">
      <c r="E2979" t="s">
        <v>219</v>
      </c>
      <c r="F2979" t="s">
        <v>2112</v>
      </c>
      <c r="G2979" s="28"/>
      <c r="X2979" s="40"/>
      <c r="Y2979" s="40"/>
    </row>
    <row r="2980" spans="5:25" x14ac:dyDescent="0.35">
      <c r="E2980" t="s">
        <v>219</v>
      </c>
      <c r="F2980" t="s">
        <v>1413</v>
      </c>
      <c r="G2980" s="28"/>
      <c r="X2980" s="40"/>
      <c r="Y2980" s="40"/>
    </row>
    <row r="2981" spans="5:25" x14ac:dyDescent="0.35">
      <c r="E2981" t="s">
        <v>219</v>
      </c>
      <c r="F2981" t="s">
        <v>1705</v>
      </c>
      <c r="G2981" s="28"/>
      <c r="X2981" s="40"/>
      <c r="Y2981" s="40"/>
    </row>
    <row r="2982" spans="5:25" x14ac:dyDescent="0.35">
      <c r="E2982" t="s">
        <v>219</v>
      </c>
      <c r="F2982" t="s">
        <v>2113</v>
      </c>
      <c r="G2982" s="28"/>
      <c r="X2982" s="40"/>
      <c r="Y2982" s="40"/>
    </row>
    <row r="2983" spans="5:25" x14ac:dyDescent="0.35">
      <c r="E2983" t="s">
        <v>219</v>
      </c>
      <c r="F2983" t="s">
        <v>2114</v>
      </c>
      <c r="G2983" s="28"/>
      <c r="X2983" s="40"/>
      <c r="Y2983" s="40"/>
    </row>
    <row r="2984" spans="5:25" x14ac:dyDescent="0.35">
      <c r="E2984" t="s">
        <v>219</v>
      </c>
      <c r="F2984" t="s">
        <v>498</v>
      </c>
      <c r="G2984" s="28"/>
      <c r="X2984" s="40"/>
      <c r="Y2984" s="40"/>
    </row>
    <row r="2985" spans="5:25" x14ac:dyDescent="0.35">
      <c r="E2985" t="s">
        <v>219</v>
      </c>
      <c r="F2985" t="s">
        <v>793</v>
      </c>
      <c r="G2985" s="28"/>
      <c r="X2985" s="40"/>
      <c r="Y2985" s="40"/>
    </row>
    <row r="2986" spans="5:25" x14ac:dyDescent="0.35">
      <c r="E2986" t="s">
        <v>219</v>
      </c>
      <c r="F2986" t="s">
        <v>2115</v>
      </c>
      <c r="G2986" s="28"/>
      <c r="X2986" s="40"/>
      <c r="Y2986" s="40"/>
    </row>
    <row r="2987" spans="5:25" x14ac:dyDescent="0.35">
      <c r="E2987" t="s">
        <v>219</v>
      </c>
      <c r="F2987" t="s">
        <v>2116</v>
      </c>
      <c r="G2987" s="28"/>
      <c r="X2987" s="40"/>
      <c r="Y2987" s="40"/>
    </row>
    <row r="2988" spans="5:25" x14ac:dyDescent="0.35">
      <c r="E2988" t="s">
        <v>219</v>
      </c>
      <c r="F2988" t="s">
        <v>2117</v>
      </c>
      <c r="G2988" s="28"/>
      <c r="X2988" s="40"/>
      <c r="Y2988" s="40"/>
    </row>
    <row r="2989" spans="5:25" x14ac:dyDescent="0.35">
      <c r="E2989" t="s">
        <v>219</v>
      </c>
      <c r="F2989" t="s">
        <v>2118</v>
      </c>
      <c r="G2989" s="28"/>
      <c r="X2989" s="40"/>
      <c r="Y2989" s="40"/>
    </row>
    <row r="2990" spans="5:25" x14ac:dyDescent="0.35">
      <c r="E2990" t="s">
        <v>219</v>
      </c>
      <c r="F2990" t="s">
        <v>2119</v>
      </c>
      <c r="G2990" s="28"/>
      <c r="X2990" s="40"/>
      <c r="Y2990" s="40"/>
    </row>
    <row r="2991" spans="5:25" x14ac:dyDescent="0.35">
      <c r="E2991" t="s">
        <v>219</v>
      </c>
      <c r="F2991" t="s">
        <v>2120</v>
      </c>
      <c r="G2991" s="28"/>
      <c r="X2991" s="40"/>
      <c r="Y2991" s="40"/>
    </row>
    <row r="2992" spans="5:25" x14ac:dyDescent="0.35">
      <c r="E2992" t="s">
        <v>219</v>
      </c>
      <c r="F2992" t="s">
        <v>2121</v>
      </c>
      <c r="G2992" s="28"/>
      <c r="X2992" s="40"/>
      <c r="Y2992" s="40"/>
    </row>
    <row r="2993" spans="5:25" x14ac:dyDescent="0.35">
      <c r="E2993" t="s">
        <v>219</v>
      </c>
      <c r="F2993" t="s">
        <v>2122</v>
      </c>
      <c r="G2993" s="28"/>
      <c r="X2993" s="40"/>
      <c r="Y2993" s="40"/>
    </row>
    <row r="2994" spans="5:25" x14ac:dyDescent="0.35">
      <c r="E2994" t="s">
        <v>219</v>
      </c>
      <c r="F2994" t="s">
        <v>2123</v>
      </c>
      <c r="G2994" s="28"/>
      <c r="X2994" s="40"/>
      <c r="Y2994" s="40"/>
    </row>
    <row r="2995" spans="5:25" x14ac:dyDescent="0.35">
      <c r="E2995" t="s">
        <v>219</v>
      </c>
      <c r="F2995" t="s">
        <v>440</v>
      </c>
      <c r="G2995" s="28"/>
      <c r="X2995" s="40"/>
      <c r="Y2995" s="40"/>
    </row>
    <row r="2996" spans="5:25" x14ac:dyDescent="0.35">
      <c r="E2996" t="s">
        <v>219</v>
      </c>
      <c r="F2996" t="s">
        <v>2124</v>
      </c>
      <c r="G2996" s="28"/>
      <c r="X2996" s="40"/>
      <c r="Y2996" s="40"/>
    </row>
    <row r="2997" spans="5:25" x14ac:dyDescent="0.35">
      <c r="E2997" t="s">
        <v>219</v>
      </c>
      <c r="F2997" t="s">
        <v>2125</v>
      </c>
      <c r="G2997" s="28"/>
      <c r="X2997" s="40"/>
      <c r="Y2997" s="40"/>
    </row>
    <row r="2998" spans="5:25" x14ac:dyDescent="0.35">
      <c r="E2998" t="s">
        <v>219</v>
      </c>
      <c r="F2998" t="s">
        <v>722</v>
      </c>
      <c r="G2998" s="28"/>
      <c r="X2998" s="40"/>
      <c r="Y2998" s="40"/>
    </row>
    <row r="2999" spans="5:25" x14ac:dyDescent="0.35">
      <c r="E2999" t="s">
        <v>219</v>
      </c>
      <c r="F2999" t="s">
        <v>2126</v>
      </c>
      <c r="G2999" s="28"/>
      <c r="X2999" s="40"/>
      <c r="Y2999" s="40"/>
    </row>
    <row r="3000" spans="5:25" x14ac:dyDescent="0.35">
      <c r="E3000" t="s">
        <v>219</v>
      </c>
      <c r="F3000" t="s">
        <v>2127</v>
      </c>
      <c r="G3000" s="28"/>
      <c r="X3000" s="40"/>
      <c r="Y3000" s="40"/>
    </row>
    <row r="3001" spans="5:25" x14ac:dyDescent="0.35">
      <c r="E3001" t="s">
        <v>219</v>
      </c>
      <c r="F3001" t="s">
        <v>2128</v>
      </c>
      <c r="G3001" s="28"/>
      <c r="X3001" s="40"/>
      <c r="Y3001" s="40"/>
    </row>
    <row r="3002" spans="5:25" x14ac:dyDescent="0.35">
      <c r="E3002" t="s">
        <v>219</v>
      </c>
      <c r="F3002" t="s">
        <v>2129</v>
      </c>
      <c r="G3002" s="28"/>
      <c r="X3002" s="40"/>
      <c r="Y3002" s="40"/>
    </row>
    <row r="3003" spans="5:25" x14ac:dyDescent="0.35">
      <c r="E3003" t="s">
        <v>219</v>
      </c>
      <c r="F3003" t="s">
        <v>1422</v>
      </c>
      <c r="G3003" s="28"/>
      <c r="X3003" s="40"/>
      <c r="Y3003" s="40"/>
    </row>
    <row r="3004" spans="5:25" x14ac:dyDescent="0.35">
      <c r="E3004" t="s">
        <v>219</v>
      </c>
      <c r="F3004" t="s">
        <v>386</v>
      </c>
      <c r="G3004" s="28"/>
      <c r="X3004" s="40"/>
      <c r="Y3004" s="40"/>
    </row>
    <row r="3005" spans="5:25" x14ac:dyDescent="0.35">
      <c r="E3005" t="s">
        <v>219</v>
      </c>
      <c r="F3005" t="s">
        <v>1524</v>
      </c>
      <c r="G3005" s="28"/>
      <c r="X3005" s="40"/>
      <c r="Y3005" s="40"/>
    </row>
    <row r="3006" spans="5:25" x14ac:dyDescent="0.35">
      <c r="E3006" t="s">
        <v>219</v>
      </c>
      <c r="F3006" t="s">
        <v>443</v>
      </c>
      <c r="G3006" s="28"/>
      <c r="X3006" s="40"/>
      <c r="Y3006" s="40"/>
    </row>
    <row r="3007" spans="5:25" x14ac:dyDescent="0.35">
      <c r="E3007" t="s">
        <v>219</v>
      </c>
      <c r="F3007" t="s">
        <v>2130</v>
      </c>
      <c r="G3007" s="28"/>
      <c r="X3007" s="40"/>
      <c r="Y3007" s="40"/>
    </row>
    <row r="3008" spans="5:25" x14ac:dyDescent="0.35">
      <c r="E3008" t="s">
        <v>219</v>
      </c>
      <c r="F3008" t="s">
        <v>2131</v>
      </c>
      <c r="G3008" s="28"/>
      <c r="X3008" s="40"/>
      <c r="Y3008" s="40"/>
    </row>
    <row r="3009" spans="5:25" x14ac:dyDescent="0.35">
      <c r="E3009" t="s">
        <v>219</v>
      </c>
      <c r="F3009" t="s">
        <v>2132</v>
      </c>
      <c r="G3009" s="28"/>
      <c r="X3009" s="40"/>
      <c r="Y3009" s="40"/>
    </row>
    <row r="3010" spans="5:25" x14ac:dyDescent="0.35">
      <c r="E3010" t="s">
        <v>219</v>
      </c>
      <c r="F3010" t="s">
        <v>2133</v>
      </c>
      <c r="G3010" s="28"/>
      <c r="X3010" s="40"/>
      <c r="Y3010" s="40"/>
    </row>
    <row r="3011" spans="5:25" x14ac:dyDescent="0.35">
      <c r="E3011" t="s">
        <v>219</v>
      </c>
      <c r="F3011" t="s">
        <v>986</v>
      </c>
      <c r="G3011" s="28"/>
      <c r="X3011" s="40"/>
      <c r="Y3011" s="40"/>
    </row>
    <row r="3012" spans="5:25" x14ac:dyDescent="0.35">
      <c r="E3012" t="s">
        <v>219</v>
      </c>
      <c r="F3012" t="s">
        <v>2134</v>
      </c>
      <c r="G3012" s="28"/>
      <c r="X3012" s="40"/>
      <c r="Y3012" s="40"/>
    </row>
    <row r="3013" spans="5:25" x14ac:dyDescent="0.35">
      <c r="E3013" t="s">
        <v>219</v>
      </c>
      <c r="F3013" t="s">
        <v>2135</v>
      </c>
      <c r="G3013" s="28"/>
      <c r="X3013" s="40"/>
      <c r="Y3013" s="40"/>
    </row>
    <row r="3014" spans="5:25" x14ac:dyDescent="0.35">
      <c r="E3014" t="s">
        <v>219</v>
      </c>
      <c r="F3014" t="s">
        <v>1427</v>
      </c>
      <c r="G3014" s="28"/>
      <c r="X3014" s="40"/>
      <c r="Y3014" s="40"/>
    </row>
    <row r="3015" spans="5:25" x14ac:dyDescent="0.35">
      <c r="E3015" t="s">
        <v>219</v>
      </c>
      <c r="F3015" t="s">
        <v>592</v>
      </c>
      <c r="G3015" s="28"/>
      <c r="X3015" s="40"/>
      <c r="Y3015" s="40"/>
    </row>
    <row r="3016" spans="5:25" x14ac:dyDescent="0.35">
      <c r="E3016" t="s">
        <v>219</v>
      </c>
      <c r="F3016" t="s">
        <v>884</v>
      </c>
      <c r="G3016" s="28"/>
      <c r="X3016" s="40"/>
      <c r="Y3016" s="40"/>
    </row>
    <row r="3017" spans="5:25" x14ac:dyDescent="0.35">
      <c r="E3017" t="s">
        <v>219</v>
      </c>
      <c r="F3017" t="s">
        <v>2136</v>
      </c>
      <c r="G3017" s="28"/>
      <c r="X3017" s="40"/>
      <c r="Y3017" s="40"/>
    </row>
    <row r="3018" spans="5:25" x14ac:dyDescent="0.35">
      <c r="E3018" t="s">
        <v>219</v>
      </c>
      <c r="F3018" t="s">
        <v>744</v>
      </c>
      <c r="G3018" s="28"/>
      <c r="X3018" s="40"/>
      <c r="Y3018" s="40"/>
    </row>
    <row r="3019" spans="5:25" x14ac:dyDescent="0.35">
      <c r="E3019" t="s">
        <v>219</v>
      </c>
      <c r="F3019" t="s">
        <v>394</v>
      </c>
      <c r="G3019" s="28"/>
      <c r="X3019" s="40"/>
      <c r="Y3019" s="40"/>
    </row>
    <row r="3020" spans="5:25" x14ac:dyDescent="0.35">
      <c r="E3020" t="s">
        <v>219</v>
      </c>
      <c r="F3020" t="s">
        <v>2137</v>
      </c>
      <c r="G3020" s="28"/>
      <c r="X3020" s="40"/>
      <c r="Y3020" s="40"/>
    </row>
    <row r="3021" spans="5:25" x14ac:dyDescent="0.35">
      <c r="E3021" t="s">
        <v>219</v>
      </c>
      <c r="F3021" t="s">
        <v>1712</v>
      </c>
      <c r="G3021" s="28"/>
      <c r="X3021" s="40"/>
      <c r="Y3021" s="40"/>
    </row>
    <row r="3022" spans="5:25" x14ac:dyDescent="0.35">
      <c r="E3022" t="s">
        <v>219</v>
      </c>
      <c r="F3022" t="s">
        <v>2138</v>
      </c>
      <c r="G3022" s="28"/>
      <c r="X3022" s="40"/>
      <c r="Y3022" s="40"/>
    </row>
    <row r="3023" spans="5:25" x14ac:dyDescent="0.35">
      <c r="E3023" t="s">
        <v>219</v>
      </c>
      <c r="F3023" t="s">
        <v>2139</v>
      </c>
      <c r="G3023" s="28"/>
      <c r="X3023" s="40"/>
      <c r="Y3023" s="40"/>
    </row>
    <row r="3024" spans="5:25" x14ac:dyDescent="0.35">
      <c r="E3024" t="s">
        <v>219</v>
      </c>
      <c r="F3024" t="s">
        <v>2037</v>
      </c>
      <c r="G3024" s="28"/>
      <c r="X3024" s="40"/>
      <c r="Y3024" s="40"/>
    </row>
    <row r="3025" spans="5:25" x14ac:dyDescent="0.35">
      <c r="E3025" t="s">
        <v>219</v>
      </c>
      <c r="F3025" t="s">
        <v>2140</v>
      </c>
      <c r="G3025" s="28"/>
      <c r="X3025" s="40"/>
      <c r="Y3025" s="40"/>
    </row>
    <row r="3026" spans="5:25" x14ac:dyDescent="0.35">
      <c r="E3026" t="s">
        <v>219</v>
      </c>
      <c r="F3026" t="s">
        <v>1134</v>
      </c>
      <c r="G3026" s="28"/>
      <c r="X3026" s="40"/>
      <c r="Y3026" s="40"/>
    </row>
    <row r="3027" spans="5:25" x14ac:dyDescent="0.35">
      <c r="E3027" t="s">
        <v>300</v>
      </c>
      <c r="F3027" t="s">
        <v>2141</v>
      </c>
      <c r="G3027" s="28"/>
      <c r="X3027" s="40"/>
      <c r="Y3027" s="40"/>
    </row>
    <row r="3028" spans="5:25" x14ac:dyDescent="0.35">
      <c r="E3028" t="s">
        <v>300</v>
      </c>
      <c r="F3028" t="s">
        <v>2142</v>
      </c>
      <c r="G3028" s="28"/>
      <c r="X3028" s="40"/>
      <c r="Y3028" s="40"/>
    </row>
    <row r="3029" spans="5:25" x14ac:dyDescent="0.35">
      <c r="E3029" t="s">
        <v>300</v>
      </c>
      <c r="F3029" t="s">
        <v>2143</v>
      </c>
      <c r="G3029" s="28"/>
      <c r="X3029" s="40"/>
      <c r="Y3029" s="40"/>
    </row>
    <row r="3030" spans="5:25" x14ac:dyDescent="0.35">
      <c r="E3030" t="s">
        <v>220</v>
      </c>
      <c r="F3030" t="s">
        <v>2144</v>
      </c>
      <c r="G3030" s="28"/>
      <c r="X3030" s="40"/>
      <c r="Y3030" s="40"/>
    </row>
    <row r="3031" spans="5:25" x14ac:dyDescent="0.35">
      <c r="E3031" t="s">
        <v>220</v>
      </c>
      <c r="F3031" t="s">
        <v>2145</v>
      </c>
      <c r="G3031" s="28"/>
      <c r="X3031" s="40"/>
      <c r="Y3031" s="40"/>
    </row>
    <row r="3032" spans="5:25" x14ac:dyDescent="0.35">
      <c r="E3032" t="s">
        <v>220</v>
      </c>
      <c r="F3032" t="s">
        <v>2146</v>
      </c>
      <c r="G3032" s="28"/>
      <c r="X3032" s="40"/>
      <c r="Y3032" s="40"/>
    </row>
    <row r="3033" spans="5:25" x14ac:dyDescent="0.35">
      <c r="E3033" t="s">
        <v>220</v>
      </c>
      <c r="F3033" t="s">
        <v>2147</v>
      </c>
      <c r="G3033" s="28"/>
      <c r="X3033" s="40"/>
      <c r="Y3033" s="40"/>
    </row>
    <row r="3034" spans="5:25" x14ac:dyDescent="0.35">
      <c r="E3034" t="s">
        <v>220</v>
      </c>
      <c r="F3034" t="s">
        <v>1102</v>
      </c>
      <c r="G3034" s="28"/>
      <c r="X3034" s="40"/>
      <c r="Y3034" s="40"/>
    </row>
    <row r="3035" spans="5:25" x14ac:dyDescent="0.35">
      <c r="E3035" t="s">
        <v>220</v>
      </c>
      <c r="F3035" t="s">
        <v>359</v>
      </c>
      <c r="G3035" s="28"/>
      <c r="X3035" s="40"/>
      <c r="Y3035" s="40"/>
    </row>
    <row r="3036" spans="5:25" x14ac:dyDescent="0.35">
      <c r="E3036" t="s">
        <v>220</v>
      </c>
      <c r="F3036" t="s">
        <v>2148</v>
      </c>
      <c r="G3036" s="28"/>
      <c r="X3036" s="40"/>
      <c r="Y3036" s="40"/>
    </row>
    <row r="3037" spans="5:25" x14ac:dyDescent="0.35">
      <c r="E3037" t="s">
        <v>220</v>
      </c>
      <c r="F3037" t="s">
        <v>2149</v>
      </c>
      <c r="G3037" s="28"/>
      <c r="X3037" s="40"/>
      <c r="Y3037" s="40"/>
    </row>
    <row r="3038" spans="5:25" x14ac:dyDescent="0.35">
      <c r="E3038" t="s">
        <v>220</v>
      </c>
      <c r="F3038" t="s">
        <v>498</v>
      </c>
      <c r="G3038" s="28"/>
      <c r="X3038" s="40"/>
      <c r="Y3038" s="40"/>
    </row>
    <row r="3039" spans="5:25" x14ac:dyDescent="0.35">
      <c r="E3039" t="s">
        <v>220</v>
      </c>
      <c r="F3039" t="s">
        <v>1075</v>
      </c>
      <c r="G3039" s="28"/>
      <c r="X3039" s="40"/>
      <c r="Y3039" s="40"/>
    </row>
    <row r="3040" spans="5:25" x14ac:dyDescent="0.35">
      <c r="E3040" t="s">
        <v>220</v>
      </c>
      <c r="F3040" t="s">
        <v>2150</v>
      </c>
      <c r="G3040" s="28"/>
      <c r="X3040" s="40"/>
      <c r="Y3040" s="40"/>
    </row>
    <row r="3041" spans="5:25" x14ac:dyDescent="0.35">
      <c r="E3041" t="s">
        <v>220</v>
      </c>
      <c r="F3041" t="s">
        <v>394</v>
      </c>
      <c r="G3041" s="28"/>
      <c r="X3041" s="40"/>
      <c r="Y3041" s="40"/>
    </row>
    <row r="3042" spans="5:25" x14ac:dyDescent="0.35">
      <c r="E3042" t="s">
        <v>220</v>
      </c>
      <c r="F3042" t="s">
        <v>588</v>
      </c>
      <c r="G3042" s="28"/>
      <c r="X3042" s="40"/>
      <c r="Y3042" s="40"/>
    </row>
    <row r="3043" spans="5:25" x14ac:dyDescent="0.35">
      <c r="E3043" t="s">
        <v>220</v>
      </c>
      <c r="F3043" t="s">
        <v>2151</v>
      </c>
      <c r="G3043" s="28"/>
      <c r="X3043" s="40"/>
      <c r="Y3043" s="40"/>
    </row>
    <row r="3044" spans="5:25" x14ac:dyDescent="0.35">
      <c r="E3044" t="s">
        <v>221</v>
      </c>
      <c r="F3044" t="s">
        <v>526</v>
      </c>
      <c r="G3044" s="28"/>
      <c r="X3044" s="40"/>
      <c r="Y3044" s="40"/>
    </row>
    <row r="3045" spans="5:25" x14ac:dyDescent="0.35">
      <c r="E3045" t="s">
        <v>221</v>
      </c>
      <c r="F3045" t="s">
        <v>2152</v>
      </c>
      <c r="G3045" s="28"/>
      <c r="X3045" s="40"/>
      <c r="Y3045" s="40"/>
    </row>
    <row r="3046" spans="5:25" x14ac:dyDescent="0.35">
      <c r="E3046" t="s">
        <v>221</v>
      </c>
      <c r="F3046" t="s">
        <v>400</v>
      </c>
      <c r="G3046" s="28"/>
      <c r="X3046" s="40"/>
      <c r="Y3046" s="40"/>
    </row>
    <row r="3047" spans="5:25" x14ac:dyDescent="0.35">
      <c r="E3047" t="s">
        <v>221</v>
      </c>
      <c r="F3047" t="s">
        <v>2153</v>
      </c>
      <c r="G3047" s="28"/>
      <c r="X3047" s="40"/>
      <c r="Y3047" s="40"/>
    </row>
    <row r="3048" spans="5:25" x14ac:dyDescent="0.35">
      <c r="E3048" t="s">
        <v>221</v>
      </c>
      <c r="F3048" t="s">
        <v>2154</v>
      </c>
      <c r="G3048" s="28"/>
      <c r="X3048" s="40"/>
      <c r="Y3048" s="40"/>
    </row>
    <row r="3049" spans="5:25" x14ac:dyDescent="0.35">
      <c r="E3049" t="s">
        <v>221</v>
      </c>
      <c r="F3049" t="s">
        <v>405</v>
      </c>
      <c r="G3049" s="28"/>
      <c r="X3049" s="40"/>
      <c r="Y3049" s="40"/>
    </row>
    <row r="3050" spans="5:25" x14ac:dyDescent="0.35">
      <c r="E3050" t="s">
        <v>221</v>
      </c>
      <c r="F3050" t="s">
        <v>407</v>
      </c>
      <c r="G3050" s="28"/>
      <c r="X3050" s="40"/>
      <c r="Y3050" s="40"/>
    </row>
    <row r="3051" spans="5:25" x14ac:dyDescent="0.35">
      <c r="E3051" t="s">
        <v>221</v>
      </c>
      <c r="F3051" t="s">
        <v>2155</v>
      </c>
      <c r="G3051" s="28"/>
      <c r="X3051" s="40"/>
      <c r="Y3051" s="40"/>
    </row>
    <row r="3052" spans="5:25" x14ac:dyDescent="0.35">
      <c r="E3052" t="s">
        <v>221</v>
      </c>
      <c r="F3052" t="s">
        <v>544</v>
      </c>
      <c r="G3052" s="28"/>
      <c r="X3052" s="40"/>
      <c r="Y3052" s="40"/>
    </row>
    <row r="3053" spans="5:25" x14ac:dyDescent="0.35">
      <c r="E3053" t="s">
        <v>221</v>
      </c>
      <c r="F3053" t="s">
        <v>2156</v>
      </c>
      <c r="G3053" s="28"/>
      <c r="X3053" s="40"/>
      <c r="Y3053" s="40"/>
    </row>
    <row r="3054" spans="5:25" x14ac:dyDescent="0.35">
      <c r="E3054" t="s">
        <v>221</v>
      </c>
      <c r="F3054" t="s">
        <v>359</v>
      </c>
      <c r="G3054" s="28"/>
      <c r="X3054" s="40"/>
      <c r="Y3054" s="40"/>
    </row>
    <row r="3055" spans="5:25" x14ac:dyDescent="0.35">
      <c r="E3055" t="s">
        <v>221</v>
      </c>
      <c r="F3055" t="s">
        <v>549</v>
      </c>
      <c r="G3055" s="28"/>
      <c r="X3055" s="40"/>
      <c r="Y3055" s="40"/>
    </row>
    <row r="3056" spans="5:25" x14ac:dyDescent="0.35">
      <c r="E3056" t="s">
        <v>221</v>
      </c>
      <c r="F3056" t="s">
        <v>418</v>
      </c>
      <c r="G3056" s="28"/>
      <c r="X3056" s="40"/>
      <c r="Y3056" s="40"/>
    </row>
    <row r="3057" spans="5:25" x14ac:dyDescent="0.35">
      <c r="E3057" t="s">
        <v>221</v>
      </c>
      <c r="F3057" t="s">
        <v>2157</v>
      </c>
      <c r="G3057" s="28"/>
      <c r="X3057" s="40"/>
      <c r="Y3057" s="40"/>
    </row>
    <row r="3058" spans="5:25" x14ac:dyDescent="0.35">
      <c r="E3058" t="s">
        <v>221</v>
      </c>
      <c r="F3058" t="s">
        <v>2158</v>
      </c>
      <c r="G3058" s="28"/>
      <c r="X3058" s="40"/>
      <c r="Y3058" s="40"/>
    </row>
    <row r="3059" spans="5:25" x14ac:dyDescent="0.35">
      <c r="E3059" t="s">
        <v>221</v>
      </c>
      <c r="F3059" t="s">
        <v>366</v>
      </c>
      <c r="G3059" s="28"/>
      <c r="X3059" s="40"/>
      <c r="Y3059" s="40"/>
    </row>
    <row r="3060" spans="5:25" x14ac:dyDescent="0.35">
      <c r="E3060" t="s">
        <v>221</v>
      </c>
      <c r="F3060" t="s">
        <v>1966</v>
      </c>
      <c r="G3060" s="28"/>
      <c r="X3060" s="40"/>
      <c r="Y3060" s="40"/>
    </row>
    <row r="3061" spans="5:25" x14ac:dyDescent="0.35">
      <c r="E3061" t="s">
        <v>221</v>
      </c>
      <c r="F3061" t="s">
        <v>2159</v>
      </c>
      <c r="G3061" s="28"/>
      <c r="X3061" s="40"/>
      <c r="Y3061" s="40"/>
    </row>
    <row r="3062" spans="5:25" x14ac:dyDescent="0.35">
      <c r="E3062" t="s">
        <v>221</v>
      </c>
      <c r="F3062" t="s">
        <v>2160</v>
      </c>
      <c r="G3062" s="28"/>
      <c r="X3062" s="40"/>
      <c r="Y3062" s="40"/>
    </row>
    <row r="3063" spans="5:25" x14ac:dyDescent="0.35">
      <c r="E3063" t="s">
        <v>221</v>
      </c>
      <c r="F3063" t="s">
        <v>2161</v>
      </c>
      <c r="G3063" s="28"/>
      <c r="X3063" s="40"/>
      <c r="Y3063" s="40"/>
    </row>
    <row r="3064" spans="5:25" x14ac:dyDescent="0.35">
      <c r="E3064" t="s">
        <v>221</v>
      </c>
      <c r="F3064" t="s">
        <v>831</v>
      </c>
      <c r="G3064" s="28"/>
      <c r="X3064" s="40"/>
      <c r="Y3064" s="40"/>
    </row>
    <row r="3065" spans="5:25" x14ac:dyDescent="0.35">
      <c r="E3065" t="s">
        <v>221</v>
      </c>
      <c r="F3065" t="s">
        <v>426</v>
      </c>
      <c r="G3065" s="28"/>
      <c r="X3065" s="40"/>
      <c r="Y3065" s="40"/>
    </row>
    <row r="3066" spans="5:25" x14ac:dyDescent="0.35">
      <c r="E3066" t="s">
        <v>221</v>
      </c>
      <c r="F3066" t="s">
        <v>867</v>
      </c>
      <c r="G3066" s="28"/>
      <c r="X3066" s="40"/>
      <c r="Y3066" s="40"/>
    </row>
    <row r="3067" spans="5:25" x14ac:dyDescent="0.35">
      <c r="E3067" t="s">
        <v>221</v>
      </c>
      <c r="F3067" t="s">
        <v>2162</v>
      </c>
      <c r="G3067" s="28"/>
      <c r="X3067" s="40"/>
      <c r="Y3067" s="40"/>
    </row>
    <row r="3068" spans="5:25" x14ac:dyDescent="0.35">
      <c r="E3068" t="s">
        <v>221</v>
      </c>
      <c r="F3068" t="s">
        <v>2163</v>
      </c>
      <c r="G3068" s="28"/>
      <c r="X3068" s="40"/>
      <c r="Y3068" s="40"/>
    </row>
    <row r="3069" spans="5:25" x14ac:dyDescent="0.35">
      <c r="E3069" t="s">
        <v>221</v>
      </c>
      <c r="F3069" t="s">
        <v>2164</v>
      </c>
      <c r="G3069" s="28"/>
      <c r="X3069" s="40"/>
      <c r="Y3069" s="40"/>
    </row>
    <row r="3070" spans="5:25" x14ac:dyDescent="0.35">
      <c r="E3070" t="s">
        <v>221</v>
      </c>
      <c r="F3070" t="s">
        <v>719</v>
      </c>
      <c r="G3070" s="28"/>
      <c r="X3070" s="40"/>
      <c r="Y3070" s="40"/>
    </row>
    <row r="3071" spans="5:25" x14ac:dyDescent="0.35">
      <c r="E3071" t="s">
        <v>221</v>
      </c>
      <c r="F3071" t="s">
        <v>575</v>
      </c>
      <c r="G3071" s="28"/>
      <c r="X3071" s="40"/>
      <c r="Y3071" s="40"/>
    </row>
    <row r="3072" spans="5:25" x14ac:dyDescent="0.35">
      <c r="E3072" t="s">
        <v>221</v>
      </c>
      <c r="F3072" t="s">
        <v>2165</v>
      </c>
      <c r="G3072" s="28"/>
      <c r="X3072" s="40"/>
      <c r="Y3072" s="40"/>
    </row>
    <row r="3073" spans="5:25" x14ac:dyDescent="0.35">
      <c r="E3073" t="s">
        <v>221</v>
      </c>
      <c r="F3073" t="s">
        <v>2166</v>
      </c>
      <c r="G3073" s="28"/>
      <c r="X3073" s="40"/>
      <c r="Y3073" s="40"/>
    </row>
    <row r="3074" spans="5:25" x14ac:dyDescent="0.35">
      <c r="E3074" t="s">
        <v>221</v>
      </c>
      <c r="F3074" t="s">
        <v>2167</v>
      </c>
      <c r="G3074" s="28"/>
      <c r="X3074" s="40"/>
      <c r="Y3074" s="40"/>
    </row>
    <row r="3075" spans="5:25" x14ac:dyDescent="0.35">
      <c r="E3075" t="s">
        <v>221</v>
      </c>
      <c r="F3075" t="s">
        <v>2168</v>
      </c>
      <c r="G3075" s="28"/>
      <c r="X3075" s="40"/>
      <c r="Y3075" s="40"/>
    </row>
    <row r="3076" spans="5:25" x14ac:dyDescent="0.35">
      <c r="E3076" t="s">
        <v>221</v>
      </c>
      <c r="F3076" t="s">
        <v>988</v>
      </c>
      <c r="G3076" s="28"/>
      <c r="X3076" s="40"/>
      <c r="Y3076" s="40"/>
    </row>
    <row r="3077" spans="5:25" x14ac:dyDescent="0.35">
      <c r="E3077" t="s">
        <v>221</v>
      </c>
      <c r="F3077" t="s">
        <v>1507</v>
      </c>
      <c r="G3077" s="28"/>
      <c r="X3077" s="40"/>
      <c r="Y3077" s="40"/>
    </row>
    <row r="3078" spans="5:25" x14ac:dyDescent="0.35">
      <c r="E3078" t="s">
        <v>221</v>
      </c>
      <c r="F3078" t="s">
        <v>2169</v>
      </c>
      <c r="G3078" s="28"/>
      <c r="X3078" s="40"/>
      <c r="Y3078" s="40"/>
    </row>
    <row r="3079" spans="5:25" x14ac:dyDescent="0.35">
      <c r="E3079" t="s">
        <v>221</v>
      </c>
      <c r="F3079" t="s">
        <v>2170</v>
      </c>
      <c r="G3079" s="28"/>
      <c r="X3079" s="40"/>
      <c r="Y3079" s="40"/>
    </row>
    <row r="3080" spans="5:25" x14ac:dyDescent="0.35">
      <c r="E3080" t="s">
        <v>221</v>
      </c>
      <c r="F3080" t="s">
        <v>2171</v>
      </c>
      <c r="G3080" s="28"/>
      <c r="X3080" s="40"/>
      <c r="Y3080" s="40"/>
    </row>
    <row r="3081" spans="5:25" x14ac:dyDescent="0.35">
      <c r="E3081" t="s">
        <v>221</v>
      </c>
      <c r="F3081" t="s">
        <v>2172</v>
      </c>
      <c r="G3081" s="28"/>
      <c r="X3081" s="40"/>
      <c r="Y3081" s="40"/>
    </row>
    <row r="3082" spans="5:25" x14ac:dyDescent="0.35">
      <c r="E3082" t="s">
        <v>221</v>
      </c>
      <c r="F3082" t="s">
        <v>2173</v>
      </c>
      <c r="G3082" s="28"/>
      <c r="X3082" s="40"/>
      <c r="Y3082" s="40"/>
    </row>
    <row r="3083" spans="5:25" x14ac:dyDescent="0.35">
      <c r="E3083" t="s">
        <v>222</v>
      </c>
      <c r="F3083" t="s">
        <v>526</v>
      </c>
      <c r="G3083" s="28"/>
      <c r="X3083" s="40"/>
      <c r="Y3083" s="40"/>
    </row>
    <row r="3084" spans="5:25" x14ac:dyDescent="0.35">
      <c r="E3084" t="s">
        <v>222</v>
      </c>
      <c r="F3084" t="s">
        <v>1589</v>
      </c>
      <c r="G3084" s="28"/>
      <c r="X3084" s="40"/>
      <c r="Y3084" s="40"/>
    </row>
    <row r="3085" spans="5:25" x14ac:dyDescent="0.35">
      <c r="E3085" t="s">
        <v>222</v>
      </c>
      <c r="F3085" t="s">
        <v>2174</v>
      </c>
      <c r="G3085" s="28"/>
      <c r="X3085" s="40"/>
      <c r="Y3085" s="40"/>
    </row>
    <row r="3086" spans="5:25" x14ac:dyDescent="0.35">
      <c r="E3086" t="s">
        <v>222</v>
      </c>
      <c r="F3086" t="s">
        <v>2175</v>
      </c>
      <c r="G3086" s="28"/>
      <c r="X3086" s="40"/>
      <c r="Y3086" s="40"/>
    </row>
    <row r="3087" spans="5:25" x14ac:dyDescent="0.35">
      <c r="E3087" t="s">
        <v>222</v>
      </c>
      <c r="F3087" t="s">
        <v>844</v>
      </c>
      <c r="G3087" s="28"/>
      <c r="X3087" s="40"/>
      <c r="Y3087" s="40"/>
    </row>
    <row r="3088" spans="5:25" x14ac:dyDescent="0.35">
      <c r="E3088" t="s">
        <v>222</v>
      </c>
      <c r="F3088" t="s">
        <v>1472</v>
      </c>
      <c r="G3088" s="28"/>
      <c r="X3088" s="40"/>
      <c r="Y3088" s="40"/>
    </row>
    <row r="3089" spans="5:25" x14ac:dyDescent="0.35">
      <c r="E3089" t="s">
        <v>222</v>
      </c>
      <c r="F3089" t="s">
        <v>2176</v>
      </c>
      <c r="G3089" s="28"/>
      <c r="X3089" s="40"/>
      <c r="Y3089" s="40"/>
    </row>
    <row r="3090" spans="5:25" x14ac:dyDescent="0.35">
      <c r="E3090" t="s">
        <v>222</v>
      </c>
      <c r="F3090" t="s">
        <v>2177</v>
      </c>
      <c r="G3090" s="28"/>
      <c r="X3090" s="40"/>
      <c r="Y3090" s="40"/>
    </row>
    <row r="3091" spans="5:25" x14ac:dyDescent="0.35">
      <c r="E3091" t="s">
        <v>222</v>
      </c>
      <c r="F3091" t="s">
        <v>1148</v>
      </c>
      <c r="G3091" s="28"/>
      <c r="X3091" s="40"/>
      <c r="Y3091" s="40"/>
    </row>
    <row r="3092" spans="5:25" x14ac:dyDescent="0.35">
      <c r="E3092" t="s">
        <v>222</v>
      </c>
      <c r="F3092" t="s">
        <v>405</v>
      </c>
      <c r="G3092" s="28"/>
      <c r="X3092" s="40"/>
      <c r="Y3092" s="40"/>
    </row>
    <row r="3093" spans="5:25" x14ac:dyDescent="0.35">
      <c r="E3093" t="s">
        <v>222</v>
      </c>
      <c r="F3093" t="s">
        <v>407</v>
      </c>
      <c r="G3093" s="28"/>
      <c r="X3093" s="40"/>
      <c r="Y3093" s="40"/>
    </row>
    <row r="3094" spans="5:25" x14ac:dyDescent="0.35">
      <c r="E3094" t="s">
        <v>222</v>
      </c>
      <c r="F3094" t="s">
        <v>410</v>
      </c>
      <c r="G3094" s="28"/>
      <c r="X3094" s="40"/>
      <c r="Y3094" s="40"/>
    </row>
    <row r="3095" spans="5:25" x14ac:dyDescent="0.35">
      <c r="E3095" t="s">
        <v>222</v>
      </c>
      <c r="F3095" t="s">
        <v>2178</v>
      </c>
      <c r="G3095" s="28"/>
      <c r="X3095" s="40"/>
      <c r="Y3095" s="40"/>
    </row>
    <row r="3096" spans="5:25" x14ac:dyDescent="0.35">
      <c r="E3096" t="s">
        <v>222</v>
      </c>
      <c r="F3096" t="s">
        <v>676</v>
      </c>
      <c r="G3096" s="28"/>
      <c r="X3096" s="40"/>
      <c r="Y3096" s="40"/>
    </row>
    <row r="3097" spans="5:25" x14ac:dyDescent="0.35">
      <c r="E3097" t="s">
        <v>222</v>
      </c>
      <c r="F3097" t="s">
        <v>2179</v>
      </c>
      <c r="G3097" s="28"/>
      <c r="X3097" s="40"/>
      <c r="Y3097" s="40"/>
    </row>
    <row r="3098" spans="5:25" x14ac:dyDescent="0.35">
      <c r="E3098" t="s">
        <v>222</v>
      </c>
      <c r="F3098" t="s">
        <v>544</v>
      </c>
      <c r="G3098" s="28"/>
      <c r="X3098" s="40"/>
      <c r="Y3098" s="40"/>
    </row>
    <row r="3099" spans="5:25" x14ac:dyDescent="0.35">
      <c r="E3099" t="s">
        <v>222</v>
      </c>
      <c r="F3099" t="s">
        <v>1445</v>
      </c>
      <c r="G3099" s="28"/>
      <c r="X3099" s="40"/>
      <c r="Y3099" s="40"/>
    </row>
    <row r="3100" spans="5:25" x14ac:dyDescent="0.35">
      <c r="E3100" t="s">
        <v>222</v>
      </c>
      <c r="F3100" t="s">
        <v>2180</v>
      </c>
      <c r="G3100" s="28"/>
      <c r="X3100" s="40"/>
      <c r="Y3100" s="40"/>
    </row>
    <row r="3101" spans="5:25" x14ac:dyDescent="0.35">
      <c r="E3101" t="s">
        <v>222</v>
      </c>
      <c r="F3101" t="s">
        <v>1805</v>
      </c>
      <c r="G3101" s="28"/>
      <c r="X3101" s="40"/>
      <c r="Y3101" s="40"/>
    </row>
    <row r="3102" spans="5:25" x14ac:dyDescent="0.35">
      <c r="E3102" t="s">
        <v>222</v>
      </c>
      <c r="F3102" t="s">
        <v>2181</v>
      </c>
      <c r="G3102" s="28"/>
      <c r="X3102" s="40"/>
      <c r="Y3102" s="40"/>
    </row>
    <row r="3103" spans="5:25" x14ac:dyDescent="0.35">
      <c r="E3103" t="s">
        <v>222</v>
      </c>
      <c r="F3103" t="s">
        <v>1693</v>
      </c>
      <c r="G3103" s="28"/>
      <c r="X3103" s="40"/>
      <c r="Y3103" s="40"/>
    </row>
    <row r="3104" spans="5:25" x14ac:dyDescent="0.35">
      <c r="E3104" t="s">
        <v>222</v>
      </c>
      <c r="F3104" t="s">
        <v>418</v>
      </c>
      <c r="G3104" s="28"/>
      <c r="X3104" s="40"/>
      <c r="Y3104" s="40"/>
    </row>
    <row r="3105" spans="5:25" x14ac:dyDescent="0.35">
      <c r="E3105" t="s">
        <v>222</v>
      </c>
      <c r="F3105" t="s">
        <v>1020</v>
      </c>
      <c r="G3105" s="28"/>
      <c r="X3105" s="40"/>
      <c r="Y3105" s="40"/>
    </row>
    <row r="3106" spans="5:25" x14ac:dyDescent="0.35">
      <c r="E3106" t="s">
        <v>222</v>
      </c>
      <c r="F3106" t="s">
        <v>2182</v>
      </c>
      <c r="G3106" s="28"/>
      <c r="X3106" s="40"/>
      <c r="Y3106" s="40"/>
    </row>
    <row r="3107" spans="5:25" x14ac:dyDescent="0.35">
      <c r="E3107" t="s">
        <v>222</v>
      </c>
      <c r="F3107" t="s">
        <v>781</v>
      </c>
      <c r="G3107" s="28"/>
      <c r="X3107" s="40"/>
      <c r="Y3107" s="40"/>
    </row>
    <row r="3108" spans="5:25" x14ac:dyDescent="0.35">
      <c r="E3108" t="s">
        <v>222</v>
      </c>
      <c r="F3108" t="s">
        <v>1162</v>
      </c>
      <c r="G3108" s="28"/>
      <c r="X3108" s="40"/>
      <c r="Y3108" s="40"/>
    </row>
    <row r="3109" spans="5:25" x14ac:dyDescent="0.35">
      <c r="E3109" t="s">
        <v>222</v>
      </c>
      <c r="F3109" t="s">
        <v>365</v>
      </c>
      <c r="G3109" s="28"/>
      <c r="X3109" s="40"/>
      <c r="Y3109" s="40"/>
    </row>
    <row r="3110" spans="5:25" x14ac:dyDescent="0.35">
      <c r="E3110" t="s">
        <v>222</v>
      </c>
      <c r="F3110" t="s">
        <v>366</v>
      </c>
      <c r="G3110" s="28"/>
      <c r="X3110" s="40"/>
      <c r="Y3110" s="40"/>
    </row>
    <row r="3111" spans="5:25" x14ac:dyDescent="0.35">
      <c r="E3111" t="s">
        <v>222</v>
      </c>
      <c r="F3111" t="s">
        <v>311</v>
      </c>
      <c r="G3111" s="28"/>
      <c r="X3111" s="40"/>
      <c r="Y3111" s="40"/>
    </row>
    <row r="3112" spans="5:25" x14ac:dyDescent="0.35">
      <c r="E3112" t="s">
        <v>222</v>
      </c>
      <c r="F3112" t="s">
        <v>2183</v>
      </c>
      <c r="G3112" s="28"/>
      <c r="X3112" s="40"/>
      <c r="Y3112" s="40"/>
    </row>
    <row r="3113" spans="5:25" x14ac:dyDescent="0.35">
      <c r="E3113" t="s">
        <v>222</v>
      </c>
      <c r="F3113" t="s">
        <v>2184</v>
      </c>
      <c r="G3113" s="28"/>
      <c r="X3113" s="40"/>
      <c r="Y3113" s="40"/>
    </row>
    <row r="3114" spans="5:25" x14ac:dyDescent="0.35">
      <c r="E3114" t="s">
        <v>222</v>
      </c>
      <c r="F3114" t="s">
        <v>2185</v>
      </c>
      <c r="G3114" s="28"/>
      <c r="X3114" s="40"/>
      <c r="Y3114" s="40"/>
    </row>
    <row r="3115" spans="5:25" x14ac:dyDescent="0.35">
      <c r="E3115" t="s">
        <v>222</v>
      </c>
      <c r="F3115" t="s">
        <v>425</v>
      </c>
      <c r="G3115" s="28"/>
      <c r="X3115" s="40"/>
      <c r="Y3115" s="40"/>
    </row>
    <row r="3116" spans="5:25" x14ac:dyDescent="0.35">
      <c r="E3116" t="s">
        <v>222</v>
      </c>
      <c r="F3116" t="s">
        <v>2186</v>
      </c>
      <c r="G3116" s="28"/>
      <c r="X3116" s="40"/>
      <c r="Y3116" s="40"/>
    </row>
    <row r="3117" spans="5:25" x14ac:dyDescent="0.35">
      <c r="E3117" t="s">
        <v>222</v>
      </c>
      <c r="F3117" t="s">
        <v>426</v>
      </c>
      <c r="G3117" s="28"/>
      <c r="X3117" s="40"/>
      <c r="Y3117" s="40"/>
    </row>
    <row r="3118" spans="5:25" x14ac:dyDescent="0.35">
      <c r="E3118" t="s">
        <v>222</v>
      </c>
      <c r="F3118" t="s">
        <v>2187</v>
      </c>
      <c r="G3118" s="28"/>
      <c r="X3118" s="40"/>
      <c r="Y3118" s="40"/>
    </row>
    <row r="3119" spans="5:25" x14ac:dyDescent="0.35">
      <c r="E3119" t="s">
        <v>222</v>
      </c>
      <c r="F3119" t="s">
        <v>2188</v>
      </c>
      <c r="G3119" s="28"/>
      <c r="X3119" s="40"/>
      <c r="Y3119" s="40"/>
    </row>
    <row r="3120" spans="5:25" x14ac:dyDescent="0.35">
      <c r="E3120" t="s">
        <v>222</v>
      </c>
      <c r="F3120" t="s">
        <v>2189</v>
      </c>
      <c r="G3120" s="28"/>
      <c r="X3120" s="40"/>
      <c r="Y3120" s="40"/>
    </row>
    <row r="3121" spans="5:25" x14ac:dyDescent="0.35">
      <c r="E3121" t="s">
        <v>222</v>
      </c>
      <c r="F3121" t="s">
        <v>1174</v>
      </c>
      <c r="G3121" s="28"/>
      <c r="X3121" s="40"/>
      <c r="Y3121" s="40"/>
    </row>
    <row r="3122" spans="5:25" x14ac:dyDescent="0.35">
      <c r="E3122" t="s">
        <v>222</v>
      </c>
      <c r="F3122" t="s">
        <v>1176</v>
      </c>
      <c r="G3122" s="28"/>
      <c r="X3122" s="40"/>
      <c r="Y3122" s="40"/>
    </row>
    <row r="3123" spans="5:25" x14ac:dyDescent="0.35">
      <c r="E3123" t="s">
        <v>222</v>
      </c>
      <c r="F3123" t="s">
        <v>2190</v>
      </c>
      <c r="G3123" s="28"/>
      <c r="X3123" s="40"/>
      <c r="Y3123" s="40"/>
    </row>
    <row r="3124" spans="5:25" x14ac:dyDescent="0.35">
      <c r="E3124" t="s">
        <v>222</v>
      </c>
      <c r="F3124" t="s">
        <v>379</v>
      </c>
      <c r="G3124" s="28"/>
      <c r="X3124" s="40"/>
      <c r="Y3124" s="40"/>
    </row>
    <row r="3125" spans="5:25" x14ac:dyDescent="0.35">
      <c r="E3125" t="s">
        <v>222</v>
      </c>
      <c r="F3125" t="s">
        <v>2191</v>
      </c>
      <c r="G3125" s="28"/>
      <c r="X3125" s="40"/>
      <c r="Y3125" s="40"/>
    </row>
    <row r="3126" spans="5:25" x14ac:dyDescent="0.35">
      <c r="E3126" t="s">
        <v>222</v>
      </c>
      <c r="F3126" t="s">
        <v>834</v>
      </c>
      <c r="G3126" s="28"/>
      <c r="X3126" s="40"/>
      <c r="Y3126" s="40"/>
    </row>
    <row r="3127" spans="5:25" x14ac:dyDescent="0.35">
      <c r="E3127" t="s">
        <v>222</v>
      </c>
      <c r="F3127" t="s">
        <v>2192</v>
      </c>
      <c r="G3127" s="28"/>
      <c r="X3127" s="40"/>
      <c r="Y3127" s="40"/>
    </row>
    <row r="3128" spans="5:25" x14ac:dyDescent="0.35">
      <c r="E3128" t="s">
        <v>222</v>
      </c>
      <c r="F3128" t="s">
        <v>2193</v>
      </c>
      <c r="G3128" s="28"/>
      <c r="X3128" s="40"/>
      <c r="Y3128" s="40"/>
    </row>
    <row r="3129" spans="5:25" x14ac:dyDescent="0.35">
      <c r="E3129" t="s">
        <v>222</v>
      </c>
      <c r="F3129" t="s">
        <v>2194</v>
      </c>
      <c r="G3129" s="28"/>
      <c r="X3129" s="40"/>
      <c r="Y3129" s="40"/>
    </row>
    <row r="3130" spans="5:25" x14ac:dyDescent="0.35">
      <c r="E3130" t="s">
        <v>222</v>
      </c>
      <c r="F3130" t="s">
        <v>719</v>
      </c>
      <c r="G3130" s="28"/>
      <c r="X3130" s="40"/>
      <c r="Y3130" s="40"/>
    </row>
    <row r="3131" spans="5:25" x14ac:dyDescent="0.35">
      <c r="E3131" t="s">
        <v>222</v>
      </c>
      <c r="F3131" t="s">
        <v>437</v>
      </c>
      <c r="G3131" s="28"/>
      <c r="X3131" s="40"/>
      <c r="Y3131" s="40"/>
    </row>
    <row r="3132" spans="5:25" x14ac:dyDescent="0.35">
      <c r="E3132" t="s">
        <v>222</v>
      </c>
      <c r="F3132" t="s">
        <v>1613</v>
      </c>
      <c r="G3132" s="28"/>
      <c r="X3132" s="40"/>
      <c r="Y3132" s="40"/>
    </row>
    <row r="3133" spans="5:25" x14ac:dyDescent="0.35">
      <c r="E3133" t="s">
        <v>222</v>
      </c>
      <c r="F3133" t="s">
        <v>2195</v>
      </c>
      <c r="G3133" s="28"/>
      <c r="X3133" s="40"/>
      <c r="Y3133" s="40"/>
    </row>
    <row r="3134" spans="5:25" x14ac:dyDescent="0.35">
      <c r="E3134" t="s">
        <v>222</v>
      </c>
      <c r="F3134" t="s">
        <v>2196</v>
      </c>
      <c r="G3134" s="28"/>
      <c r="X3134" s="40"/>
      <c r="Y3134" s="40"/>
    </row>
    <row r="3135" spans="5:25" x14ac:dyDescent="0.35">
      <c r="E3135" t="s">
        <v>222</v>
      </c>
      <c r="F3135" t="s">
        <v>878</v>
      </c>
      <c r="G3135" s="28"/>
      <c r="X3135" s="40"/>
      <c r="Y3135" s="40"/>
    </row>
    <row r="3136" spans="5:25" x14ac:dyDescent="0.35">
      <c r="E3136" t="s">
        <v>222</v>
      </c>
      <c r="F3136" t="s">
        <v>1244</v>
      </c>
      <c r="G3136" s="28"/>
      <c r="X3136" s="40"/>
      <c r="Y3136" s="40"/>
    </row>
    <row r="3137" spans="5:25" x14ac:dyDescent="0.35">
      <c r="E3137" t="s">
        <v>222</v>
      </c>
      <c r="F3137" t="s">
        <v>2004</v>
      </c>
      <c r="G3137" s="28"/>
      <c r="X3137" s="40"/>
      <c r="Y3137" s="40"/>
    </row>
    <row r="3138" spans="5:25" x14ac:dyDescent="0.35">
      <c r="E3138" t="s">
        <v>222</v>
      </c>
      <c r="F3138" t="s">
        <v>2141</v>
      </c>
      <c r="G3138" s="28"/>
      <c r="X3138" s="40"/>
      <c r="Y3138" s="40"/>
    </row>
    <row r="3139" spans="5:25" x14ac:dyDescent="0.35">
      <c r="E3139" t="s">
        <v>222</v>
      </c>
      <c r="F3139" t="s">
        <v>2197</v>
      </c>
      <c r="G3139" s="28"/>
      <c r="X3139" s="40"/>
      <c r="Y3139" s="40"/>
    </row>
    <row r="3140" spans="5:25" x14ac:dyDescent="0.35">
      <c r="E3140" t="s">
        <v>222</v>
      </c>
      <c r="F3140" t="s">
        <v>2198</v>
      </c>
      <c r="G3140" s="28"/>
      <c r="X3140" s="40"/>
      <c r="Y3140" s="40"/>
    </row>
    <row r="3141" spans="5:25" x14ac:dyDescent="0.35">
      <c r="E3141" t="s">
        <v>222</v>
      </c>
      <c r="F3141" t="s">
        <v>2199</v>
      </c>
      <c r="G3141" s="28"/>
      <c r="X3141" s="40"/>
      <c r="Y3141" s="40"/>
    </row>
    <row r="3142" spans="5:25" x14ac:dyDescent="0.35">
      <c r="E3142" t="s">
        <v>222</v>
      </c>
      <c r="F3142" t="s">
        <v>2200</v>
      </c>
      <c r="G3142" s="28"/>
      <c r="X3142" s="40"/>
      <c r="Y3142" s="40"/>
    </row>
    <row r="3143" spans="5:25" x14ac:dyDescent="0.35">
      <c r="E3143" t="s">
        <v>222</v>
      </c>
      <c r="F3143" t="s">
        <v>638</v>
      </c>
      <c r="G3143" s="28"/>
      <c r="X3143" s="40"/>
      <c r="Y3143" s="40"/>
    </row>
    <row r="3144" spans="5:25" x14ac:dyDescent="0.35">
      <c r="E3144" t="s">
        <v>222</v>
      </c>
      <c r="F3144" t="s">
        <v>2201</v>
      </c>
      <c r="G3144" s="28"/>
      <c r="X3144" s="40"/>
      <c r="Y3144" s="40"/>
    </row>
    <row r="3145" spans="5:25" x14ac:dyDescent="0.35">
      <c r="E3145" t="s">
        <v>222</v>
      </c>
      <c r="F3145" t="s">
        <v>1093</v>
      </c>
      <c r="G3145" s="28"/>
      <c r="X3145" s="40"/>
      <c r="Y3145" s="40"/>
    </row>
    <row r="3146" spans="5:25" x14ac:dyDescent="0.35">
      <c r="E3146" s="42" t="s">
        <v>222</v>
      </c>
      <c r="F3146" s="42" t="s">
        <v>2202</v>
      </c>
      <c r="X3146" s="40"/>
      <c r="Y3146" s="40"/>
    </row>
    <row r="3147" spans="5:25" x14ac:dyDescent="0.35">
      <c r="E3147" s="42" t="s">
        <v>222</v>
      </c>
      <c r="F3147" s="42" t="s">
        <v>1854</v>
      </c>
      <c r="X3147" s="40"/>
      <c r="Y3147" s="40"/>
    </row>
    <row r="3148" spans="5:25" x14ac:dyDescent="0.35">
      <c r="E3148" s="42" t="s">
        <v>222</v>
      </c>
      <c r="F3148" s="42" t="s">
        <v>2203</v>
      </c>
      <c r="X3148" s="40"/>
      <c r="Y3148" s="40"/>
    </row>
    <row r="3149" spans="5:25" x14ac:dyDescent="0.35">
      <c r="E3149" s="42" t="s">
        <v>222</v>
      </c>
      <c r="F3149" s="42" t="s">
        <v>394</v>
      </c>
      <c r="X3149" s="40"/>
      <c r="Y3149" s="40"/>
    </row>
    <row r="3150" spans="5:25" x14ac:dyDescent="0.35">
      <c r="E3150" s="42" t="s">
        <v>222</v>
      </c>
      <c r="F3150" s="42" t="s">
        <v>2204</v>
      </c>
      <c r="X3150" s="40"/>
      <c r="Y3150" s="40"/>
    </row>
    <row r="3151" spans="5:25" x14ac:dyDescent="0.35">
      <c r="E3151" s="42" t="s">
        <v>222</v>
      </c>
      <c r="F3151" s="42" t="s">
        <v>2205</v>
      </c>
      <c r="X3151" s="40"/>
      <c r="Y3151" s="40"/>
    </row>
    <row r="3152" spans="5:25" x14ac:dyDescent="0.35">
      <c r="E3152" s="42" t="s">
        <v>222</v>
      </c>
      <c r="F3152" s="42" t="s">
        <v>2206</v>
      </c>
      <c r="X3152" s="40"/>
      <c r="Y3152" s="40"/>
    </row>
    <row r="3153" spans="5:25" x14ac:dyDescent="0.35">
      <c r="E3153" s="42" t="s">
        <v>222</v>
      </c>
      <c r="F3153" s="42" t="s">
        <v>805</v>
      </c>
      <c r="X3153" s="40"/>
      <c r="Y3153" s="40"/>
    </row>
    <row r="3154" spans="5:25" x14ac:dyDescent="0.35">
      <c r="E3154" s="42" t="s">
        <v>222</v>
      </c>
      <c r="F3154" s="42" t="s">
        <v>1622</v>
      </c>
      <c r="X3154" s="40"/>
      <c r="Y3154" s="40"/>
    </row>
    <row r="3155" spans="5:25" x14ac:dyDescent="0.35">
      <c r="E3155" s="42" t="s">
        <v>223</v>
      </c>
      <c r="F3155" s="42" t="s">
        <v>332</v>
      </c>
      <c r="X3155" s="40"/>
      <c r="Y3155" s="40"/>
    </row>
    <row r="3156" spans="5:25" x14ac:dyDescent="0.35">
      <c r="E3156" s="42" t="s">
        <v>223</v>
      </c>
      <c r="F3156" s="42" t="s">
        <v>1797</v>
      </c>
      <c r="X3156" s="40"/>
      <c r="Y3156" s="40"/>
    </row>
    <row r="3157" spans="5:25" x14ac:dyDescent="0.35">
      <c r="E3157" s="42" t="s">
        <v>223</v>
      </c>
      <c r="F3157" s="42" t="s">
        <v>401</v>
      </c>
      <c r="X3157" s="40"/>
      <c r="Y3157" s="40"/>
    </row>
    <row r="3158" spans="5:25" x14ac:dyDescent="0.35">
      <c r="E3158" s="42" t="s">
        <v>223</v>
      </c>
      <c r="F3158" s="42" t="s">
        <v>2207</v>
      </c>
      <c r="X3158" s="40"/>
      <c r="Y3158" s="40"/>
    </row>
    <row r="3159" spans="5:25" x14ac:dyDescent="0.35">
      <c r="E3159" s="42" t="s">
        <v>223</v>
      </c>
      <c r="F3159" s="42" t="s">
        <v>2208</v>
      </c>
      <c r="X3159" s="40"/>
      <c r="Y3159" s="40"/>
    </row>
    <row r="3160" spans="5:25" x14ac:dyDescent="0.35">
      <c r="E3160" s="42" t="s">
        <v>223</v>
      </c>
      <c r="F3160" s="42" t="s">
        <v>2209</v>
      </c>
      <c r="X3160" s="40"/>
      <c r="Y3160" s="40"/>
    </row>
    <row r="3161" spans="5:25" x14ac:dyDescent="0.35">
      <c r="E3161" s="42" t="s">
        <v>223</v>
      </c>
      <c r="F3161" s="42" t="s">
        <v>337</v>
      </c>
      <c r="X3161" s="40"/>
      <c r="Y3161" s="40"/>
    </row>
    <row r="3162" spans="5:25" x14ac:dyDescent="0.35">
      <c r="E3162" s="42" t="s">
        <v>223</v>
      </c>
      <c r="F3162" s="42" t="s">
        <v>343</v>
      </c>
      <c r="X3162" s="40"/>
      <c r="Y3162" s="40"/>
    </row>
    <row r="3163" spans="5:25" x14ac:dyDescent="0.35">
      <c r="E3163" s="42" t="s">
        <v>223</v>
      </c>
      <c r="F3163" s="42" t="s">
        <v>2210</v>
      </c>
      <c r="X3163" s="40"/>
      <c r="Y3163" s="40"/>
    </row>
    <row r="3164" spans="5:25" x14ac:dyDescent="0.35">
      <c r="E3164" s="42" t="s">
        <v>223</v>
      </c>
      <c r="F3164" s="42" t="s">
        <v>358</v>
      </c>
      <c r="X3164" s="40"/>
      <c r="Y3164" s="40"/>
    </row>
    <row r="3165" spans="5:25" x14ac:dyDescent="0.35">
      <c r="E3165" s="42" t="s">
        <v>223</v>
      </c>
      <c r="F3165" s="42" t="s">
        <v>687</v>
      </c>
      <c r="X3165" s="40"/>
      <c r="Y3165" s="40"/>
    </row>
    <row r="3166" spans="5:25" x14ac:dyDescent="0.35">
      <c r="E3166" s="42" t="s">
        <v>223</v>
      </c>
      <c r="F3166" s="42" t="s">
        <v>418</v>
      </c>
      <c r="X3166" s="40"/>
      <c r="Y3166" s="40"/>
    </row>
    <row r="3167" spans="5:25" x14ac:dyDescent="0.35">
      <c r="E3167" s="42" t="s">
        <v>223</v>
      </c>
      <c r="F3167" s="42" t="s">
        <v>2211</v>
      </c>
      <c r="X3167" s="40"/>
      <c r="Y3167" s="40"/>
    </row>
    <row r="3168" spans="5:25" x14ac:dyDescent="0.35">
      <c r="E3168" s="42" t="s">
        <v>223</v>
      </c>
      <c r="F3168" s="42" t="s">
        <v>1104</v>
      </c>
      <c r="X3168" s="40"/>
      <c r="Y3168" s="40"/>
    </row>
    <row r="3169" spans="5:25" x14ac:dyDescent="0.35">
      <c r="E3169" s="42" t="s">
        <v>223</v>
      </c>
      <c r="F3169" s="42" t="s">
        <v>695</v>
      </c>
      <c r="X3169" s="40"/>
      <c r="Y3169" s="40"/>
    </row>
    <row r="3170" spans="5:25" x14ac:dyDescent="0.35">
      <c r="E3170" s="42" t="s">
        <v>223</v>
      </c>
      <c r="F3170" s="42" t="s">
        <v>2212</v>
      </c>
      <c r="X3170" s="40"/>
      <c r="Y3170" s="40"/>
    </row>
    <row r="3171" spans="5:25" x14ac:dyDescent="0.35">
      <c r="E3171" s="42" t="s">
        <v>223</v>
      </c>
      <c r="F3171" s="42" t="s">
        <v>779</v>
      </c>
      <c r="X3171" s="40"/>
      <c r="Y3171" s="40"/>
    </row>
    <row r="3172" spans="5:25" x14ac:dyDescent="0.35">
      <c r="E3172" s="42" t="s">
        <v>223</v>
      </c>
      <c r="F3172" s="42" t="s">
        <v>365</v>
      </c>
      <c r="X3172" s="40"/>
      <c r="Y3172" s="40"/>
    </row>
    <row r="3173" spans="5:25" x14ac:dyDescent="0.35">
      <c r="E3173" s="42" t="s">
        <v>223</v>
      </c>
      <c r="F3173" s="42" t="s">
        <v>366</v>
      </c>
      <c r="X3173" s="40"/>
      <c r="Y3173" s="40"/>
    </row>
    <row r="3174" spans="5:25" x14ac:dyDescent="0.35">
      <c r="E3174" s="42" t="s">
        <v>223</v>
      </c>
      <c r="F3174" s="42" t="s">
        <v>2213</v>
      </c>
      <c r="X3174" s="40"/>
      <c r="Y3174" s="40"/>
    </row>
    <row r="3175" spans="5:25" x14ac:dyDescent="0.35">
      <c r="E3175" s="42" t="s">
        <v>223</v>
      </c>
      <c r="F3175" s="42" t="s">
        <v>831</v>
      </c>
      <c r="X3175" s="40"/>
      <c r="Y3175" s="40"/>
    </row>
    <row r="3176" spans="5:25" x14ac:dyDescent="0.35">
      <c r="E3176" s="42" t="s">
        <v>223</v>
      </c>
      <c r="F3176" s="42" t="s">
        <v>426</v>
      </c>
      <c r="X3176" s="40"/>
      <c r="Y3176" s="40"/>
    </row>
    <row r="3177" spans="5:25" x14ac:dyDescent="0.35">
      <c r="E3177" s="42" t="s">
        <v>223</v>
      </c>
      <c r="F3177" s="42" t="s">
        <v>428</v>
      </c>
      <c r="X3177" s="40"/>
      <c r="Y3177" s="40"/>
    </row>
    <row r="3178" spans="5:25" x14ac:dyDescent="0.35">
      <c r="E3178" s="42" t="s">
        <v>223</v>
      </c>
      <c r="F3178" s="42" t="s">
        <v>376</v>
      </c>
      <c r="X3178" s="40"/>
      <c r="Y3178" s="40"/>
    </row>
    <row r="3179" spans="5:25" x14ac:dyDescent="0.35">
      <c r="E3179" s="42" t="s">
        <v>223</v>
      </c>
      <c r="F3179" s="42" t="s">
        <v>377</v>
      </c>
      <c r="X3179" s="40"/>
      <c r="Y3179" s="40"/>
    </row>
    <row r="3180" spans="5:25" x14ac:dyDescent="0.35">
      <c r="E3180" s="42" t="s">
        <v>223</v>
      </c>
      <c r="F3180" s="42" t="s">
        <v>867</v>
      </c>
      <c r="X3180" s="40"/>
      <c r="Y3180" s="40"/>
    </row>
    <row r="3181" spans="5:25" x14ac:dyDescent="0.35">
      <c r="E3181" s="42" t="s">
        <v>223</v>
      </c>
      <c r="F3181" s="42" t="s">
        <v>1408</v>
      </c>
      <c r="X3181" s="40"/>
      <c r="Y3181" s="40"/>
    </row>
    <row r="3182" spans="5:25" x14ac:dyDescent="0.35">
      <c r="E3182" s="42" t="s">
        <v>223</v>
      </c>
      <c r="F3182" s="42" t="s">
        <v>873</v>
      </c>
      <c r="X3182" s="40"/>
      <c r="Y3182" s="40"/>
    </row>
    <row r="3183" spans="5:25" x14ac:dyDescent="0.35">
      <c r="E3183" s="42" t="s">
        <v>223</v>
      </c>
      <c r="F3183" s="42" t="s">
        <v>561</v>
      </c>
      <c r="X3183" s="40"/>
      <c r="Y3183" s="40"/>
    </row>
    <row r="3184" spans="5:25" x14ac:dyDescent="0.35">
      <c r="E3184" s="42" t="s">
        <v>223</v>
      </c>
      <c r="F3184" s="42" t="s">
        <v>2214</v>
      </c>
      <c r="X3184" s="40"/>
      <c r="Y3184" s="40"/>
    </row>
    <row r="3185" spans="5:25" x14ac:dyDescent="0.35">
      <c r="E3185" s="42" t="s">
        <v>223</v>
      </c>
      <c r="F3185" s="42" t="s">
        <v>2215</v>
      </c>
      <c r="X3185" s="40"/>
      <c r="Y3185" s="40"/>
    </row>
    <row r="3186" spans="5:25" x14ac:dyDescent="0.35">
      <c r="E3186" s="42" t="s">
        <v>223</v>
      </c>
      <c r="F3186" s="42" t="s">
        <v>379</v>
      </c>
      <c r="X3186" s="40"/>
      <c r="Y3186" s="40"/>
    </row>
    <row r="3187" spans="5:25" x14ac:dyDescent="0.35">
      <c r="E3187" s="42" t="s">
        <v>223</v>
      </c>
      <c r="F3187" s="42" t="s">
        <v>381</v>
      </c>
      <c r="X3187" s="40"/>
      <c r="Y3187" s="40"/>
    </row>
    <row r="3188" spans="5:25" x14ac:dyDescent="0.35">
      <c r="E3188" s="42" t="s">
        <v>223</v>
      </c>
      <c r="F3188" s="42" t="s">
        <v>1039</v>
      </c>
      <c r="X3188" s="40"/>
      <c r="Y3188" s="40"/>
    </row>
    <row r="3189" spans="5:25" x14ac:dyDescent="0.35">
      <c r="E3189" s="42" t="s">
        <v>223</v>
      </c>
      <c r="F3189" s="42" t="s">
        <v>909</v>
      </c>
      <c r="X3189" s="40"/>
      <c r="Y3189" s="40"/>
    </row>
    <row r="3190" spans="5:25" x14ac:dyDescent="0.35">
      <c r="E3190" s="42" t="s">
        <v>223</v>
      </c>
      <c r="F3190" s="42" t="s">
        <v>1042</v>
      </c>
      <c r="X3190" s="40"/>
      <c r="Y3190" s="40"/>
    </row>
    <row r="3191" spans="5:25" x14ac:dyDescent="0.35">
      <c r="E3191" s="42" t="s">
        <v>223</v>
      </c>
      <c r="F3191" s="42" t="s">
        <v>2216</v>
      </c>
      <c r="X3191" s="40"/>
      <c r="Y3191" s="40"/>
    </row>
    <row r="3192" spans="5:25" x14ac:dyDescent="0.35">
      <c r="E3192" s="42" t="s">
        <v>223</v>
      </c>
      <c r="F3192" s="42" t="s">
        <v>796</v>
      </c>
      <c r="X3192" s="40"/>
      <c r="Y3192" s="40"/>
    </row>
    <row r="3193" spans="5:25" x14ac:dyDescent="0.35">
      <c r="E3193" s="42" t="s">
        <v>223</v>
      </c>
      <c r="F3193" s="42" t="s">
        <v>2217</v>
      </c>
      <c r="X3193" s="40"/>
      <c r="Y3193" s="40"/>
    </row>
    <row r="3194" spans="5:25" x14ac:dyDescent="0.35">
      <c r="E3194" s="42" t="s">
        <v>223</v>
      </c>
      <c r="F3194" s="42" t="s">
        <v>631</v>
      </c>
      <c r="X3194" s="40"/>
      <c r="Y3194" s="40"/>
    </row>
    <row r="3195" spans="5:25" x14ac:dyDescent="0.35">
      <c r="E3195" s="42" t="s">
        <v>223</v>
      </c>
      <c r="F3195" s="42" t="s">
        <v>2218</v>
      </c>
      <c r="X3195" s="40"/>
      <c r="Y3195" s="40"/>
    </row>
    <row r="3196" spans="5:25" x14ac:dyDescent="0.35">
      <c r="E3196" s="42" t="s">
        <v>223</v>
      </c>
      <c r="F3196" s="42" t="s">
        <v>385</v>
      </c>
      <c r="X3196" s="40"/>
      <c r="Y3196" s="40"/>
    </row>
    <row r="3197" spans="5:25" x14ac:dyDescent="0.35">
      <c r="E3197" s="42" t="s">
        <v>223</v>
      </c>
      <c r="F3197" s="42" t="s">
        <v>2219</v>
      </c>
      <c r="X3197" s="40"/>
      <c r="Y3197" s="40"/>
    </row>
    <row r="3198" spans="5:25" x14ac:dyDescent="0.35">
      <c r="E3198" s="42" t="s">
        <v>223</v>
      </c>
      <c r="F3198" s="42" t="s">
        <v>1878</v>
      </c>
      <c r="X3198" s="40"/>
      <c r="Y3198" s="40"/>
    </row>
    <row r="3199" spans="5:25" x14ac:dyDescent="0.35">
      <c r="E3199" s="42" t="s">
        <v>223</v>
      </c>
      <c r="F3199" s="42" t="s">
        <v>2220</v>
      </c>
      <c r="X3199" s="40"/>
      <c r="Y3199" s="40"/>
    </row>
    <row r="3200" spans="5:25" x14ac:dyDescent="0.35">
      <c r="E3200" s="42" t="s">
        <v>223</v>
      </c>
      <c r="F3200" s="42" t="s">
        <v>638</v>
      </c>
      <c r="X3200" s="40"/>
      <c r="Y3200" s="40"/>
    </row>
    <row r="3201" spans="5:25" x14ac:dyDescent="0.35">
      <c r="E3201" s="42" t="s">
        <v>223</v>
      </c>
      <c r="F3201" s="42" t="s">
        <v>2221</v>
      </c>
      <c r="X3201" s="40"/>
      <c r="Y3201" s="40"/>
    </row>
    <row r="3202" spans="5:25" x14ac:dyDescent="0.35">
      <c r="E3202" s="42" t="s">
        <v>223</v>
      </c>
      <c r="F3202" s="42" t="s">
        <v>2024</v>
      </c>
      <c r="X3202" s="40"/>
      <c r="Y3202" s="40"/>
    </row>
    <row r="3203" spans="5:25" x14ac:dyDescent="0.35">
      <c r="E3203" s="42" t="s">
        <v>223</v>
      </c>
      <c r="F3203" s="42" t="s">
        <v>2025</v>
      </c>
      <c r="X3203" s="40"/>
      <c r="Y3203" s="40"/>
    </row>
    <row r="3204" spans="5:25" x14ac:dyDescent="0.35">
      <c r="E3204" s="42" t="s">
        <v>223</v>
      </c>
      <c r="F3204" s="42" t="s">
        <v>745</v>
      </c>
      <c r="X3204" s="40"/>
      <c r="Y3204" s="40"/>
    </row>
    <row r="3205" spans="5:25" x14ac:dyDescent="0.35">
      <c r="E3205" s="42" t="s">
        <v>223</v>
      </c>
      <c r="F3205" s="42" t="s">
        <v>746</v>
      </c>
      <c r="X3205" s="40"/>
      <c r="Y3205" s="40"/>
    </row>
    <row r="3206" spans="5:25" x14ac:dyDescent="0.35">
      <c r="E3206" s="42" t="s">
        <v>223</v>
      </c>
      <c r="F3206" s="42" t="s">
        <v>2222</v>
      </c>
      <c r="X3206" s="40"/>
      <c r="Y3206" s="40"/>
    </row>
    <row r="3207" spans="5:25" x14ac:dyDescent="0.35">
      <c r="E3207" s="42" t="s">
        <v>223</v>
      </c>
      <c r="F3207" s="42" t="s">
        <v>2223</v>
      </c>
      <c r="X3207" s="40"/>
      <c r="Y3207" s="40"/>
    </row>
    <row r="3208" spans="5:25" x14ac:dyDescent="0.35">
      <c r="E3208" s="42" t="s">
        <v>223</v>
      </c>
      <c r="F3208" s="42" t="s">
        <v>1622</v>
      </c>
      <c r="X3208" s="40"/>
      <c r="Y3208" s="40"/>
    </row>
    <row r="3209" spans="5:25" x14ac:dyDescent="0.35">
      <c r="E3209" s="42" t="s">
        <v>223</v>
      </c>
      <c r="F3209" s="42" t="s">
        <v>1587</v>
      </c>
      <c r="X3209" s="40"/>
      <c r="Y3209" s="40"/>
    </row>
    <row r="3210" spans="5:25" x14ac:dyDescent="0.35">
      <c r="E3210" s="42" t="s">
        <v>224</v>
      </c>
      <c r="F3210" s="42" t="s">
        <v>1559</v>
      </c>
      <c r="X3210" s="40"/>
      <c r="Y3210" s="40"/>
    </row>
    <row r="3211" spans="5:25" x14ac:dyDescent="0.35">
      <c r="E3211" s="42" t="s">
        <v>224</v>
      </c>
      <c r="F3211" s="42" t="s">
        <v>1336</v>
      </c>
      <c r="X3211" s="40"/>
      <c r="Y3211" s="40"/>
    </row>
    <row r="3212" spans="5:25" x14ac:dyDescent="0.35">
      <c r="E3212" s="42" t="s">
        <v>224</v>
      </c>
      <c r="F3212" s="42" t="s">
        <v>1009</v>
      </c>
      <c r="X3212" s="40"/>
      <c r="Y3212" s="40"/>
    </row>
    <row r="3213" spans="5:25" x14ac:dyDescent="0.35">
      <c r="E3213" s="42" t="s">
        <v>224</v>
      </c>
      <c r="F3213" s="42" t="s">
        <v>1338</v>
      </c>
      <c r="X3213" s="40"/>
      <c r="Y3213" s="40"/>
    </row>
    <row r="3214" spans="5:25" x14ac:dyDescent="0.35">
      <c r="E3214" s="42" t="s">
        <v>224</v>
      </c>
      <c r="F3214" s="42" t="s">
        <v>2224</v>
      </c>
      <c r="X3214" s="40"/>
      <c r="Y3214" s="40"/>
    </row>
    <row r="3215" spans="5:25" x14ac:dyDescent="0.35">
      <c r="E3215" s="42" t="s">
        <v>224</v>
      </c>
      <c r="F3215" s="42" t="s">
        <v>1667</v>
      </c>
      <c r="X3215" s="40"/>
      <c r="Y3215" s="40"/>
    </row>
    <row r="3216" spans="5:25" x14ac:dyDescent="0.35">
      <c r="E3216" s="42" t="s">
        <v>224</v>
      </c>
      <c r="F3216" s="42" t="s">
        <v>548</v>
      </c>
      <c r="X3216" s="40"/>
      <c r="Y3216" s="40"/>
    </row>
    <row r="3217" spans="5:25" x14ac:dyDescent="0.35">
      <c r="E3217" s="42" t="s">
        <v>224</v>
      </c>
      <c r="F3217" s="42" t="s">
        <v>2225</v>
      </c>
      <c r="X3217" s="40"/>
      <c r="Y3217" s="40"/>
    </row>
    <row r="3218" spans="5:25" x14ac:dyDescent="0.35">
      <c r="E3218" s="42" t="s">
        <v>224</v>
      </c>
      <c r="F3218" s="42" t="s">
        <v>2226</v>
      </c>
      <c r="X3218" s="40"/>
      <c r="Y3218" s="40"/>
    </row>
    <row r="3219" spans="5:25" x14ac:dyDescent="0.35">
      <c r="E3219" s="42" t="s">
        <v>224</v>
      </c>
      <c r="F3219" s="42" t="s">
        <v>424</v>
      </c>
      <c r="X3219" s="40"/>
      <c r="Y3219" s="40"/>
    </row>
    <row r="3220" spans="5:25" x14ac:dyDescent="0.35">
      <c r="E3220" s="42" t="s">
        <v>224</v>
      </c>
      <c r="F3220" s="42" t="s">
        <v>2227</v>
      </c>
      <c r="X3220" s="40"/>
      <c r="Y3220" s="40"/>
    </row>
    <row r="3221" spans="5:25" x14ac:dyDescent="0.35">
      <c r="E3221" s="42" t="s">
        <v>224</v>
      </c>
      <c r="F3221" s="42" t="s">
        <v>426</v>
      </c>
      <c r="X3221" s="40"/>
      <c r="Y3221" s="40"/>
    </row>
    <row r="3222" spans="5:25" x14ac:dyDescent="0.35">
      <c r="E3222" s="42" t="s">
        <v>224</v>
      </c>
      <c r="F3222" s="42" t="s">
        <v>2228</v>
      </c>
      <c r="X3222" s="40"/>
      <c r="Y3222" s="40"/>
    </row>
    <row r="3223" spans="5:25" x14ac:dyDescent="0.35">
      <c r="E3223" s="42" t="s">
        <v>224</v>
      </c>
      <c r="F3223" s="42" t="s">
        <v>2229</v>
      </c>
      <c r="X3223" s="40"/>
      <c r="Y3223" s="40"/>
    </row>
    <row r="3224" spans="5:25" x14ac:dyDescent="0.35">
      <c r="E3224" s="42" t="s">
        <v>224</v>
      </c>
      <c r="F3224" s="42" t="s">
        <v>567</v>
      </c>
      <c r="X3224" s="40"/>
      <c r="Y3224" s="40"/>
    </row>
    <row r="3225" spans="5:25" x14ac:dyDescent="0.35">
      <c r="E3225" s="42" t="s">
        <v>224</v>
      </c>
      <c r="F3225" s="42" t="s">
        <v>1287</v>
      </c>
      <c r="X3225" s="40"/>
      <c r="Y3225" s="40"/>
    </row>
    <row r="3226" spans="5:25" x14ac:dyDescent="0.35">
      <c r="E3226" s="42" t="s">
        <v>224</v>
      </c>
      <c r="F3226" s="42" t="s">
        <v>983</v>
      </c>
      <c r="X3226" s="40"/>
      <c r="Y3226" s="40"/>
    </row>
    <row r="3227" spans="5:25" x14ac:dyDescent="0.35">
      <c r="E3227" s="42" t="s">
        <v>224</v>
      </c>
      <c r="F3227" s="42" t="s">
        <v>2230</v>
      </c>
      <c r="X3227" s="40"/>
      <c r="Y3227" s="40"/>
    </row>
    <row r="3228" spans="5:25" x14ac:dyDescent="0.35">
      <c r="E3228" s="42" t="s">
        <v>224</v>
      </c>
      <c r="F3228" s="42" t="s">
        <v>2231</v>
      </c>
      <c r="X3228" s="40"/>
      <c r="Y3228" s="40"/>
    </row>
    <row r="3229" spans="5:25" x14ac:dyDescent="0.35">
      <c r="E3229" s="42" t="s">
        <v>224</v>
      </c>
      <c r="F3229" s="42" t="s">
        <v>839</v>
      </c>
      <c r="X3229" s="40"/>
      <c r="Y3229" s="40"/>
    </row>
    <row r="3230" spans="5:25" x14ac:dyDescent="0.35">
      <c r="E3230" s="42" t="s">
        <v>224</v>
      </c>
      <c r="F3230" s="42" t="s">
        <v>2232</v>
      </c>
      <c r="X3230" s="40"/>
      <c r="Y3230" s="40"/>
    </row>
    <row r="3231" spans="5:25" x14ac:dyDescent="0.35">
      <c r="E3231" s="42" t="s">
        <v>224</v>
      </c>
      <c r="F3231" s="42" t="s">
        <v>2233</v>
      </c>
      <c r="X3231" s="40"/>
      <c r="Y3231" s="40"/>
    </row>
    <row r="3232" spans="5:25" x14ac:dyDescent="0.35">
      <c r="E3232" s="42" t="s">
        <v>224</v>
      </c>
      <c r="F3232" s="42" t="s">
        <v>2234</v>
      </c>
      <c r="X3232" s="40"/>
      <c r="Y3232" s="40"/>
    </row>
    <row r="3233" spans="24:25" x14ac:dyDescent="0.35">
      <c r="X3233" s="40"/>
      <c r="Y3233" s="40"/>
    </row>
    <row r="3234" spans="24:25" x14ac:dyDescent="0.35">
      <c r="X3234" s="40"/>
      <c r="Y3234" s="40"/>
    </row>
    <row r="3235" spans="24:25" x14ac:dyDescent="0.35">
      <c r="X3235" s="40"/>
      <c r="Y3235" s="40"/>
    </row>
    <row r="3236" spans="24:25" x14ac:dyDescent="0.35">
      <c r="X3236" s="40"/>
      <c r="Y3236" s="40"/>
    </row>
    <row r="3237" spans="24:25" x14ac:dyDescent="0.35">
      <c r="X3237" s="40"/>
      <c r="Y3237" s="40"/>
    </row>
    <row r="3238" spans="24:25" x14ac:dyDescent="0.35">
      <c r="X3238" s="40"/>
      <c r="Y3238" s="40"/>
    </row>
    <row r="3239" spans="24:25" x14ac:dyDescent="0.35">
      <c r="X3239" s="40"/>
      <c r="Y3239" s="40"/>
    </row>
    <row r="3240" spans="24:25" x14ac:dyDescent="0.35">
      <c r="X3240" s="40"/>
      <c r="Y3240" s="40"/>
    </row>
    <row r="3241" spans="24:25" x14ac:dyDescent="0.35">
      <c r="X3241" s="40"/>
      <c r="Y3241" s="40"/>
    </row>
    <row r="3242" spans="24:25" x14ac:dyDescent="0.35">
      <c r="X3242" s="40"/>
      <c r="Y3242" s="40"/>
    </row>
    <row r="3243" spans="24:25" x14ac:dyDescent="0.35">
      <c r="X3243" s="40"/>
      <c r="Y3243" s="40"/>
    </row>
    <row r="3244" spans="24:25" x14ac:dyDescent="0.35">
      <c r="X3244" s="40"/>
      <c r="Y3244" s="40"/>
    </row>
    <row r="3245" spans="24:25" x14ac:dyDescent="0.35">
      <c r="X3245" s="40"/>
      <c r="Y3245" s="40"/>
    </row>
    <row r="3246" spans="24:25" x14ac:dyDescent="0.35">
      <c r="X3246" s="40"/>
      <c r="Y3246" s="40"/>
    </row>
    <row r="3247" spans="24:25" x14ac:dyDescent="0.35">
      <c r="X3247" s="40"/>
      <c r="Y3247" s="40"/>
    </row>
    <row r="3248" spans="24:25" x14ac:dyDescent="0.35">
      <c r="X3248" s="40"/>
      <c r="Y3248" s="40"/>
    </row>
    <row r="3249" spans="24:25" x14ac:dyDescent="0.35">
      <c r="X3249" s="40"/>
      <c r="Y3249" s="40"/>
    </row>
    <row r="3250" spans="24:25" x14ac:dyDescent="0.35">
      <c r="X3250" s="40"/>
      <c r="Y3250" s="40"/>
    </row>
    <row r="3251" spans="24:25" x14ac:dyDescent="0.35">
      <c r="X3251" s="40"/>
      <c r="Y3251" s="40"/>
    </row>
    <row r="3252" spans="24:25" x14ac:dyDescent="0.35">
      <c r="X3252" s="40"/>
      <c r="Y3252" s="40"/>
    </row>
    <row r="3253" spans="24:25" x14ac:dyDescent="0.35">
      <c r="X3253" s="40"/>
      <c r="Y3253" s="40"/>
    </row>
    <row r="3254" spans="24:25" x14ac:dyDescent="0.35">
      <c r="X3254" s="40"/>
      <c r="Y3254" s="40"/>
    </row>
    <row r="3255" spans="24:25" x14ac:dyDescent="0.35">
      <c r="X3255" s="40"/>
      <c r="Y3255" s="40"/>
    </row>
    <row r="3256" spans="24:25" x14ac:dyDescent="0.35">
      <c r="X3256" s="40"/>
      <c r="Y3256" s="40"/>
    </row>
    <row r="3257" spans="24:25" x14ac:dyDescent="0.35">
      <c r="X3257" s="40"/>
      <c r="Y3257" s="40"/>
    </row>
    <row r="3258" spans="24:25" x14ac:dyDescent="0.35">
      <c r="X3258" s="40"/>
      <c r="Y3258" s="40"/>
    </row>
    <row r="3259" spans="24:25" x14ac:dyDescent="0.35">
      <c r="X3259" s="40"/>
      <c r="Y3259" s="40"/>
    </row>
    <row r="3260" spans="24:25" x14ac:dyDescent="0.35">
      <c r="X3260" s="40"/>
      <c r="Y3260" s="40"/>
    </row>
    <row r="3261" spans="24:25" x14ac:dyDescent="0.35">
      <c r="X3261" s="40"/>
      <c r="Y3261" s="40"/>
    </row>
    <row r="3262" spans="24:25" x14ac:dyDescent="0.35">
      <c r="X3262" s="40"/>
      <c r="Y3262" s="40"/>
    </row>
    <row r="3263" spans="24:25" x14ac:dyDescent="0.35">
      <c r="X3263" s="40"/>
      <c r="Y3263" s="40"/>
    </row>
    <row r="3264" spans="24:25" x14ac:dyDescent="0.35">
      <c r="X3264" s="40"/>
      <c r="Y3264" s="40"/>
    </row>
    <row r="3265" spans="24:25" x14ac:dyDescent="0.35">
      <c r="X3265" s="40"/>
      <c r="Y3265" s="40"/>
    </row>
    <row r="3266" spans="24:25" x14ac:dyDescent="0.35">
      <c r="X3266" s="40"/>
      <c r="Y3266" s="40"/>
    </row>
    <row r="3267" spans="24:25" x14ac:dyDescent="0.35">
      <c r="X3267" s="40"/>
      <c r="Y3267" s="40"/>
    </row>
    <row r="3268" spans="24:25" x14ac:dyDescent="0.35">
      <c r="X3268" s="40"/>
      <c r="Y3268" s="40"/>
    </row>
    <row r="3269" spans="24:25" x14ac:dyDescent="0.35">
      <c r="X3269" s="40"/>
      <c r="Y3269" s="40"/>
    </row>
    <row r="3270" spans="24:25" x14ac:dyDescent="0.35">
      <c r="X3270" s="40"/>
      <c r="Y3270" s="40"/>
    </row>
    <row r="3271" spans="24:25" x14ac:dyDescent="0.35">
      <c r="X3271" s="40"/>
      <c r="Y3271" s="40"/>
    </row>
    <row r="3272" spans="24:25" x14ac:dyDescent="0.35">
      <c r="X3272" s="40"/>
      <c r="Y3272" s="40"/>
    </row>
    <row r="3273" spans="24:25" x14ac:dyDescent="0.35">
      <c r="X3273" s="40"/>
      <c r="Y3273" s="40"/>
    </row>
    <row r="3274" spans="24:25" x14ac:dyDescent="0.35">
      <c r="X3274" s="40"/>
      <c r="Y3274" s="40"/>
    </row>
    <row r="3275" spans="24:25" x14ac:dyDescent="0.35">
      <c r="X3275" s="40"/>
      <c r="Y3275" s="40"/>
    </row>
    <row r="3276" spans="24:25" x14ac:dyDescent="0.35">
      <c r="X3276" s="40"/>
      <c r="Y3276" s="40"/>
    </row>
    <row r="3277" spans="24:25" x14ac:dyDescent="0.35">
      <c r="X3277" s="40"/>
      <c r="Y3277" s="40"/>
    </row>
    <row r="3278" spans="24:25" x14ac:dyDescent="0.35">
      <c r="X3278" s="40"/>
      <c r="Y3278" s="40"/>
    </row>
    <row r="3279" spans="24:25" x14ac:dyDescent="0.35">
      <c r="X3279" s="40"/>
      <c r="Y3279" s="40"/>
    </row>
    <row r="3280" spans="24:25" x14ac:dyDescent="0.35">
      <c r="X3280" s="40"/>
      <c r="Y3280" s="40"/>
    </row>
    <row r="3281" spans="24:25" x14ac:dyDescent="0.35">
      <c r="X3281" s="40"/>
      <c r="Y3281" s="40"/>
    </row>
    <row r="3282" spans="24:25" x14ac:dyDescent="0.35">
      <c r="X3282" s="40"/>
      <c r="Y3282" s="40"/>
    </row>
    <row r="3283" spans="24:25" x14ac:dyDescent="0.35">
      <c r="X3283" s="40"/>
      <c r="Y3283" s="40"/>
    </row>
    <row r="3284" spans="24:25" x14ac:dyDescent="0.35">
      <c r="X3284" s="40"/>
      <c r="Y3284" s="40"/>
    </row>
    <row r="3285" spans="24:25" x14ac:dyDescent="0.35">
      <c r="X3285" s="40"/>
      <c r="Y3285" s="40"/>
    </row>
    <row r="3286" spans="24:25" x14ac:dyDescent="0.35">
      <c r="X3286" s="40"/>
      <c r="Y3286" s="40"/>
    </row>
    <row r="3287" spans="24:25" x14ac:dyDescent="0.35">
      <c r="X3287" s="40"/>
      <c r="Y3287" s="40"/>
    </row>
    <row r="3288" spans="24:25" x14ac:dyDescent="0.35">
      <c r="X3288" s="40"/>
      <c r="Y3288" s="40"/>
    </row>
    <row r="3289" spans="24:25" x14ac:dyDescent="0.35">
      <c r="X3289" s="40"/>
      <c r="Y3289" s="40"/>
    </row>
    <row r="3290" spans="24:25" x14ac:dyDescent="0.35">
      <c r="X3290" s="40"/>
      <c r="Y3290" s="40"/>
    </row>
    <row r="3291" spans="24:25" x14ac:dyDescent="0.35">
      <c r="X3291" s="40"/>
      <c r="Y3291" s="40"/>
    </row>
    <row r="3292" spans="24:25" x14ac:dyDescent="0.35">
      <c r="X3292" s="40"/>
      <c r="Y3292" s="40"/>
    </row>
    <row r="3293" spans="24:25" x14ac:dyDescent="0.35">
      <c r="X3293" s="40"/>
      <c r="Y3293" s="40"/>
    </row>
    <row r="3294" spans="24:25" x14ac:dyDescent="0.35">
      <c r="X3294" s="40"/>
      <c r="Y3294" s="40"/>
    </row>
    <row r="3295" spans="24:25" x14ac:dyDescent="0.35">
      <c r="X3295" s="40"/>
      <c r="Y3295" s="40"/>
    </row>
    <row r="3296" spans="24:25" x14ac:dyDescent="0.35">
      <c r="X3296" s="40"/>
      <c r="Y3296" s="40"/>
    </row>
    <row r="3297" spans="24:25" x14ac:dyDescent="0.35">
      <c r="X3297" s="40"/>
      <c r="Y3297" s="40"/>
    </row>
    <row r="3298" spans="24:25" x14ac:dyDescent="0.35">
      <c r="X3298" s="40"/>
      <c r="Y3298" s="40"/>
    </row>
    <row r="3299" spans="24:25" x14ac:dyDescent="0.35">
      <c r="X3299" s="40"/>
      <c r="Y3299" s="40"/>
    </row>
    <row r="3300" spans="24:25" x14ac:dyDescent="0.35">
      <c r="X3300" s="40"/>
      <c r="Y3300" s="40"/>
    </row>
    <row r="3301" spans="24:25" x14ac:dyDescent="0.35">
      <c r="X3301" s="40"/>
      <c r="Y3301" s="40"/>
    </row>
    <row r="3302" spans="24:25" x14ac:dyDescent="0.35">
      <c r="X3302" s="40"/>
      <c r="Y3302" s="40"/>
    </row>
    <row r="3303" spans="24:25" x14ac:dyDescent="0.35">
      <c r="X3303" s="40"/>
      <c r="Y3303" s="40"/>
    </row>
    <row r="3304" spans="24:25" x14ac:dyDescent="0.35">
      <c r="X3304" s="40"/>
      <c r="Y3304" s="40"/>
    </row>
    <row r="3305" spans="24:25" x14ac:dyDescent="0.35">
      <c r="X3305" s="40"/>
      <c r="Y3305" s="40"/>
    </row>
    <row r="3306" spans="24:25" x14ac:dyDescent="0.35">
      <c r="X3306" s="40"/>
      <c r="Y3306" s="40"/>
    </row>
    <row r="3307" spans="24:25" x14ac:dyDescent="0.35">
      <c r="X3307" s="40"/>
      <c r="Y3307" s="40"/>
    </row>
    <row r="3308" spans="24:25" x14ac:dyDescent="0.35">
      <c r="X3308" s="40"/>
      <c r="Y3308" s="40"/>
    </row>
    <row r="3309" spans="24:25" x14ac:dyDescent="0.35">
      <c r="X3309" s="40"/>
      <c r="Y3309" s="40"/>
    </row>
    <row r="3310" spans="24:25" x14ac:dyDescent="0.35">
      <c r="X3310" s="40"/>
      <c r="Y3310" s="40"/>
    </row>
    <row r="3311" spans="24:25" x14ac:dyDescent="0.35">
      <c r="X3311" s="40"/>
      <c r="Y3311" s="40"/>
    </row>
    <row r="3312" spans="24:25" x14ac:dyDescent="0.35">
      <c r="X3312" s="40"/>
      <c r="Y3312" s="40"/>
    </row>
    <row r="3313" spans="24:25" x14ac:dyDescent="0.35">
      <c r="X3313" s="40"/>
      <c r="Y3313" s="40"/>
    </row>
    <row r="3314" spans="24:25" x14ac:dyDescent="0.35">
      <c r="X3314" s="40"/>
      <c r="Y3314" s="40"/>
    </row>
    <row r="3315" spans="24:25" x14ac:dyDescent="0.35">
      <c r="X3315" s="40"/>
      <c r="Y3315" s="40"/>
    </row>
    <row r="3316" spans="24:25" x14ac:dyDescent="0.35">
      <c r="X3316" s="40"/>
      <c r="Y3316" s="40"/>
    </row>
    <row r="3317" spans="24:25" x14ac:dyDescent="0.35">
      <c r="X3317" s="40"/>
      <c r="Y3317" s="40"/>
    </row>
    <row r="3318" spans="24:25" x14ac:dyDescent="0.35">
      <c r="X3318" s="40"/>
      <c r="Y3318" s="40"/>
    </row>
    <row r="3319" spans="24:25" x14ac:dyDescent="0.35">
      <c r="X3319" s="40"/>
      <c r="Y3319" s="40"/>
    </row>
    <row r="3320" spans="24:25" x14ac:dyDescent="0.35">
      <c r="X3320" s="40"/>
      <c r="Y3320" s="40"/>
    </row>
    <row r="3321" spans="24:25" x14ac:dyDescent="0.35">
      <c r="X3321" s="40"/>
      <c r="Y3321" s="40"/>
    </row>
    <row r="3322" spans="24:25" x14ac:dyDescent="0.35">
      <c r="X3322" s="40"/>
      <c r="Y3322" s="40"/>
    </row>
    <row r="3323" spans="24:25" x14ac:dyDescent="0.35">
      <c r="X3323" s="40"/>
      <c r="Y3323" s="40"/>
    </row>
    <row r="3324" spans="24:25" x14ac:dyDescent="0.35">
      <c r="X3324" s="40"/>
      <c r="Y3324" s="40"/>
    </row>
    <row r="3325" spans="24:25" x14ac:dyDescent="0.35">
      <c r="X3325" s="40"/>
      <c r="Y3325" s="40"/>
    </row>
    <row r="3326" spans="24:25" x14ac:dyDescent="0.35">
      <c r="X3326" s="40"/>
      <c r="Y3326" s="40"/>
    </row>
    <row r="3327" spans="24:25" x14ac:dyDescent="0.35">
      <c r="X3327" s="40"/>
      <c r="Y3327" s="40"/>
    </row>
    <row r="3328" spans="24:25" x14ac:dyDescent="0.35">
      <c r="X3328" s="40"/>
      <c r="Y3328" s="40"/>
    </row>
    <row r="3329" spans="24:25" x14ac:dyDescent="0.35">
      <c r="X3329" s="40"/>
      <c r="Y3329" s="40"/>
    </row>
    <row r="3330" spans="24:25" x14ac:dyDescent="0.35">
      <c r="X3330" s="40"/>
      <c r="Y3330" s="40"/>
    </row>
    <row r="3331" spans="24:25" x14ac:dyDescent="0.35">
      <c r="X3331" s="40"/>
      <c r="Y3331" s="40"/>
    </row>
    <row r="3332" spans="24:25" x14ac:dyDescent="0.35">
      <c r="X3332" s="40"/>
      <c r="Y3332" s="40"/>
    </row>
    <row r="3333" spans="24:25" x14ac:dyDescent="0.35">
      <c r="X3333" s="40"/>
      <c r="Y3333" s="40"/>
    </row>
    <row r="3334" spans="24:25" x14ac:dyDescent="0.35">
      <c r="X3334" s="40"/>
      <c r="Y3334" s="40"/>
    </row>
    <row r="3335" spans="24:25" x14ac:dyDescent="0.35">
      <c r="X3335" s="40"/>
      <c r="Y3335" s="40"/>
    </row>
    <row r="3336" spans="24:25" x14ac:dyDescent="0.35">
      <c r="X3336" s="40"/>
      <c r="Y3336" s="40"/>
    </row>
    <row r="3337" spans="24:25" x14ac:dyDescent="0.35">
      <c r="X3337" s="40"/>
      <c r="Y3337" s="40"/>
    </row>
    <row r="3338" spans="24:25" x14ac:dyDescent="0.35">
      <c r="X3338" s="40"/>
      <c r="Y3338" s="40"/>
    </row>
    <row r="3339" spans="24:25" x14ac:dyDescent="0.35">
      <c r="X3339" s="40"/>
      <c r="Y3339" s="40"/>
    </row>
    <row r="3340" spans="24:25" x14ac:dyDescent="0.35">
      <c r="X3340" s="40"/>
      <c r="Y3340" s="40"/>
    </row>
    <row r="3341" spans="24:25" x14ac:dyDescent="0.35">
      <c r="X3341" s="40"/>
      <c r="Y3341" s="40"/>
    </row>
    <row r="3342" spans="24:25" x14ac:dyDescent="0.35">
      <c r="X3342" s="40"/>
      <c r="Y3342" s="40"/>
    </row>
    <row r="3343" spans="24:25" x14ac:dyDescent="0.35">
      <c r="X3343" s="40"/>
      <c r="Y3343" s="40"/>
    </row>
    <row r="3344" spans="24:25" x14ac:dyDescent="0.35">
      <c r="X3344" s="40"/>
      <c r="Y3344" s="40"/>
    </row>
    <row r="3345" spans="24:25" x14ac:dyDescent="0.35">
      <c r="X3345" s="40"/>
      <c r="Y3345" s="40"/>
    </row>
    <row r="3346" spans="24:25" x14ac:dyDescent="0.35">
      <c r="X3346" s="40"/>
      <c r="Y3346" s="40"/>
    </row>
    <row r="3347" spans="24:25" x14ac:dyDescent="0.35">
      <c r="X3347" s="40"/>
      <c r="Y3347" s="40"/>
    </row>
    <row r="3348" spans="24:25" x14ac:dyDescent="0.35">
      <c r="X3348" s="40"/>
      <c r="Y3348" s="40"/>
    </row>
    <row r="3349" spans="24:25" x14ac:dyDescent="0.35">
      <c r="X3349" s="40"/>
      <c r="Y3349" s="40"/>
    </row>
    <row r="3350" spans="24:25" x14ac:dyDescent="0.35">
      <c r="X3350" s="40"/>
      <c r="Y3350" s="40"/>
    </row>
    <row r="3351" spans="24:25" x14ac:dyDescent="0.35">
      <c r="X3351" s="40"/>
      <c r="Y3351" s="40"/>
    </row>
    <row r="3352" spans="24:25" x14ac:dyDescent="0.35">
      <c r="X3352" s="40"/>
      <c r="Y3352" s="40"/>
    </row>
    <row r="3353" spans="24:25" x14ac:dyDescent="0.35">
      <c r="X3353" s="40"/>
      <c r="Y3353" s="40"/>
    </row>
    <row r="3354" spans="24:25" x14ac:dyDescent="0.35">
      <c r="X3354" s="40"/>
      <c r="Y3354" s="40"/>
    </row>
    <row r="3355" spans="24:25" x14ac:dyDescent="0.35">
      <c r="X3355" s="40"/>
      <c r="Y3355" s="40"/>
    </row>
    <row r="3356" spans="24:25" x14ac:dyDescent="0.35">
      <c r="X3356" s="40"/>
      <c r="Y3356" s="40"/>
    </row>
    <row r="3357" spans="24:25" x14ac:dyDescent="0.35">
      <c r="X3357" s="40"/>
      <c r="Y3357" s="40"/>
    </row>
    <row r="3358" spans="24:25" x14ac:dyDescent="0.35">
      <c r="X3358" s="40"/>
      <c r="Y3358" s="40"/>
    </row>
    <row r="3359" spans="24:25" x14ac:dyDescent="0.35">
      <c r="X3359" s="40"/>
      <c r="Y3359" s="40"/>
    </row>
    <row r="3360" spans="24:25" x14ac:dyDescent="0.35">
      <c r="X3360" s="40"/>
      <c r="Y3360" s="40"/>
    </row>
    <row r="3361" spans="24:25" x14ac:dyDescent="0.35">
      <c r="X3361" s="40"/>
      <c r="Y3361" s="40"/>
    </row>
    <row r="3362" spans="24:25" x14ac:dyDescent="0.35">
      <c r="X3362" s="40"/>
      <c r="Y3362" s="40"/>
    </row>
    <row r="3363" spans="24:25" x14ac:dyDescent="0.35">
      <c r="X3363" s="40"/>
      <c r="Y3363" s="40"/>
    </row>
    <row r="3364" spans="24:25" x14ac:dyDescent="0.35">
      <c r="X3364" s="40"/>
      <c r="Y3364" s="40"/>
    </row>
    <row r="3365" spans="24:25" x14ac:dyDescent="0.35">
      <c r="X3365" s="40"/>
      <c r="Y3365" s="40"/>
    </row>
    <row r="3366" spans="24:25" x14ac:dyDescent="0.35">
      <c r="X3366" s="40"/>
      <c r="Y3366" s="40"/>
    </row>
    <row r="3367" spans="24:25" x14ac:dyDescent="0.35">
      <c r="X3367" s="40"/>
      <c r="Y3367" s="40"/>
    </row>
    <row r="3368" spans="24:25" x14ac:dyDescent="0.35">
      <c r="X3368" s="40"/>
      <c r="Y3368" s="40"/>
    </row>
    <row r="3369" spans="24:25" x14ac:dyDescent="0.35">
      <c r="X3369" s="40"/>
      <c r="Y3369" s="40"/>
    </row>
    <row r="3370" spans="24:25" x14ac:dyDescent="0.35">
      <c r="X3370" s="40"/>
      <c r="Y3370" s="40"/>
    </row>
    <row r="3371" spans="24:25" x14ac:dyDescent="0.35">
      <c r="X3371" s="40"/>
      <c r="Y3371" s="40"/>
    </row>
    <row r="3372" spans="24:25" x14ac:dyDescent="0.35">
      <c r="X3372" s="40"/>
      <c r="Y3372" s="40"/>
    </row>
    <row r="3373" spans="24:25" x14ac:dyDescent="0.35">
      <c r="X3373" s="40"/>
      <c r="Y3373" s="40"/>
    </row>
    <row r="3374" spans="24:25" x14ac:dyDescent="0.35">
      <c r="X3374" s="40"/>
      <c r="Y3374" s="40"/>
    </row>
    <row r="3375" spans="24:25" x14ac:dyDescent="0.35">
      <c r="X3375" s="40"/>
      <c r="Y3375" s="40"/>
    </row>
    <row r="3376" spans="24:25" x14ac:dyDescent="0.35">
      <c r="X3376" s="40"/>
      <c r="Y3376" s="40"/>
    </row>
    <row r="3377" spans="24:25" x14ac:dyDescent="0.35">
      <c r="X3377" s="40"/>
      <c r="Y3377" s="40"/>
    </row>
    <row r="3378" spans="24:25" x14ac:dyDescent="0.35">
      <c r="X3378" s="40"/>
      <c r="Y3378" s="40"/>
    </row>
    <row r="3379" spans="24:25" x14ac:dyDescent="0.35">
      <c r="X3379" s="40"/>
      <c r="Y3379" s="40"/>
    </row>
    <row r="3380" spans="24:25" x14ac:dyDescent="0.35">
      <c r="X3380" s="40"/>
      <c r="Y3380" s="40"/>
    </row>
    <row r="3381" spans="24:25" x14ac:dyDescent="0.35">
      <c r="X3381" s="40"/>
      <c r="Y3381" s="40"/>
    </row>
    <row r="3382" spans="24:25" x14ac:dyDescent="0.35">
      <c r="X3382" s="40"/>
      <c r="Y3382" s="40"/>
    </row>
    <row r="3383" spans="24:25" x14ac:dyDescent="0.35">
      <c r="X3383" s="40"/>
      <c r="Y3383" s="40"/>
    </row>
    <row r="3384" spans="24:25" x14ac:dyDescent="0.35">
      <c r="X3384" s="40"/>
      <c r="Y3384" s="40"/>
    </row>
    <row r="3385" spans="24:25" x14ac:dyDescent="0.35">
      <c r="X3385" s="40"/>
      <c r="Y3385" s="40"/>
    </row>
    <row r="3386" spans="24:25" x14ac:dyDescent="0.35">
      <c r="X3386" s="40"/>
      <c r="Y3386" s="40"/>
    </row>
    <row r="3387" spans="24:25" x14ac:dyDescent="0.35">
      <c r="X3387" s="40"/>
      <c r="Y3387" s="40"/>
    </row>
    <row r="3388" spans="24:25" x14ac:dyDescent="0.35">
      <c r="X3388" s="40"/>
      <c r="Y3388" s="40"/>
    </row>
    <row r="3389" spans="24:25" x14ac:dyDescent="0.35">
      <c r="X3389" s="40"/>
      <c r="Y3389" s="40"/>
    </row>
    <row r="3390" spans="24:25" x14ac:dyDescent="0.35">
      <c r="X3390" s="40"/>
      <c r="Y3390" s="40"/>
    </row>
    <row r="3391" spans="24:25" x14ac:dyDescent="0.35">
      <c r="X3391" s="40"/>
      <c r="Y3391" s="40"/>
    </row>
    <row r="3392" spans="24:25" x14ac:dyDescent="0.35">
      <c r="X3392" s="40"/>
      <c r="Y3392" s="40"/>
    </row>
    <row r="3393" spans="24:25" x14ac:dyDescent="0.35">
      <c r="X3393" s="40"/>
      <c r="Y3393" s="40"/>
    </row>
    <row r="3394" spans="24:25" x14ac:dyDescent="0.35">
      <c r="X3394" s="40"/>
      <c r="Y3394" s="40"/>
    </row>
    <row r="3395" spans="24:25" x14ac:dyDescent="0.35">
      <c r="X3395" s="40"/>
      <c r="Y3395" s="40"/>
    </row>
    <row r="3396" spans="24:25" x14ac:dyDescent="0.35">
      <c r="X3396" s="40"/>
      <c r="Y3396" s="40"/>
    </row>
    <row r="3397" spans="24:25" x14ac:dyDescent="0.35">
      <c r="X3397" s="40"/>
      <c r="Y3397" s="40"/>
    </row>
    <row r="3398" spans="24:25" x14ac:dyDescent="0.35">
      <c r="X3398" s="40"/>
      <c r="Y3398" s="40"/>
    </row>
    <row r="3399" spans="24:25" x14ac:dyDescent="0.35">
      <c r="X3399" s="40"/>
      <c r="Y3399" s="40"/>
    </row>
    <row r="3400" spans="24:25" x14ac:dyDescent="0.35">
      <c r="X3400" s="40"/>
      <c r="Y3400" s="40"/>
    </row>
    <row r="3401" spans="24:25" x14ac:dyDescent="0.35">
      <c r="X3401" s="40"/>
      <c r="Y3401" s="40"/>
    </row>
    <row r="3402" spans="24:25" x14ac:dyDescent="0.35">
      <c r="X3402" s="40"/>
      <c r="Y3402" s="40"/>
    </row>
    <row r="3403" spans="24:25" x14ac:dyDescent="0.35">
      <c r="X3403" s="40"/>
      <c r="Y3403" s="40"/>
    </row>
    <row r="3404" spans="24:25" x14ac:dyDescent="0.35">
      <c r="X3404" s="40"/>
      <c r="Y3404" s="40"/>
    </row>
    <row r="3405" spans="24:25" x14ac:dyDescent="0.35">
      <c r="X3405" s="40"/>
      <c r="Y3405" s="40"/>
    </row>
    <row r="3406" spans="24:25" x14ac:dyDescent="0.35">
      <c r="X3406" s="40"/>
      <c r="Y3406" s="40"/>
    </row>
    <row r="3407" spans="24:25" x14ac:dyDescent="0.35">
      <c r="X3407" s="40"/>
      <c r="Y3407" s="40"/>
    </row>
    <row r="3408" spans="24:25" x14ac:dyDescent="0.35">
      <c r="X3408" s="40"/>
      <c r="Y3408" s="40"/>
    </row>
    <row r="3409" spans="24:25" x14ac:dyDescent="0.35">
      <c r="X3409" s="40"/>
      <c r="Y3409" s="40"/>
    </row>
    <row r="3410" spans="24:25" x14ac:dyDescent="0.35">
      <c r="X3410" s="40"/>
      <c r="Y3410" s="40"/>
    </row>
    <row r="3411" spans="24:25" x14ac:dyDescent="0.35">
      <c r="X3411" s="40"/>
      <c r="Y3411" s="40"/>
    </row>
    <row r="3412" spans="24:25" x14ac:dyDescent="0.35">
      <c r="X3412" s="40"/>
      <c r="Y3412" s="40"/>
    </row>
    <row r="3413" spans="24:25" x14ac:dyDescent="0.35">
      <c r="X3413" s="40"/>
      <c r="Y3413" s="40"/>
    </row>
    <row r="3414" spans="24:25" x14ac:dyDescent="0.35">
      <c r="X3414" s="40"/>
      <c r="Y3414" s="40"/>
    </row>
    <row r="3415" spans="24:25" x14ac:dyDescent="0.35">
      <c r="X3415" s="40"/>
      <c r="Y3415" s="40"/>
    </row>
    <row r="3416" spans="24:25" x14ac:dyDescent="0.35">
      <c r="X3416" s="40"/>
      <c r="Y3416" s="40"/>
    </row>
    <row r="3417" spans="24:25" x14ac:dyDescent="0.35">
      <c r="X3417" s="40"/>
      <c r="Y3417" s="40"/>
    </row>
    <row r="3418" spans="24:25" x14ac:dyDescent="0.35">
      <c r="X3418" s="40"/>
      <c r="Y3418" s="40"/>
    </row>
    <row r="3419" spans="24:25" x14ac:dyDescent="0.35">
      <c r="X3419" s="40"/>
      <c r="Y3419" s="40"/>
    </row>
    <row r="3420" spans="24:25" x14ac:dyDescent="0.35">
      <c r="X3420" s="40"/>
      <c r="Y3420" s="40"/>
    </row>
    <row r="3421" spans="24:25" x14ac:dyDescent="0.35">
      <c r="X3421" s="40"/>
      <c r="Y3421" s="40"/>
    </row>
    <row r="3422" spans="24:25" x14ac:dyDescent="0.35">
      <c r="X3422" s="40"/>
      <c r="Y3422" s="40"/>
    </row>
    <row r="3423" spans="24:25" x14ac:dyDescent="0.35">
      <c r="X3423" s="40"/>
      <c r="Y3423" s="40"/>
    </row>
    <row r="3424" spans="24:25" x14ac:dyDescent="0.35">
      <c r="X3424" s="40"/>
      <c r="Y3424" s="40"/>
    </row>
    <row r="3425" spans="24:25" x14ac:dyDescent="0.35">
      <c r="X3425" s="40"/>
      <c r="Y3425" s="40"/>
    </row>
    <row r="3426" spans="24:25" x14ac:dyDescent="0.35">
      <c r="X3426" s="40"/>
      <c r="Y3426" s="40"/>
    </row>
    <row r="3427" spans="24:25" x14ac:dyDescent="0.35">
      <c r="X3427" s="40"/>
      <c r="Y3427" s="40"/>
    </row>
    <row r="3428" spans="24:25" x14ac:dyDescent="0.35">
      <c r="X3428" s="40"/>
      <c r="Y3428" s="40"/>
    </row>
    <row r="3429" spans="24:25" x14ac:dyDescent="0.35">
      <c r="X3429" s="40"/>
      <c r="Y3429" s="40"/>
    </row>
    <row r="3430" spans="24:25" x14ac:dyDescent="0.35">
      <c r="X3430" s="40"/>
      <c r="Y3430" s="40"/>
    </row>
    <row r="3431" spans="24:25" x14ac:dyDescent="0.35">
      <c r="X3431" s="40"/>
      <c r="Y3431" s="40"/>
    </row>
    <row r="3432" spans="24:25" x14ac:dyDescent="0.35">
      <c r="X3432" s="40"/>
      <c r="Y3432" s="40"/>
    </row>
    <row r="3433" spans="24:25" x14ac:dyDescent="0.35">
      <c r="X3433" s="40"/>
      <c r="Y3433" s="40"/>
    </row>
    <row r="3434" spans="24:25" x14ac:dyDescent="0.35">
      <c r="X3434" s="40"/>
      <c r="Y3434" s="40"/>
    </row>
    <row r="3435" spans="24:25" x14ac:dyDescent="0.35">
      <c r="X3435" s="40"/>
      <c r="Y3435" s="40"/>
    </row>
    <row r="3436" spans="24:25" x14ac:dyDescent="0.35">
      <c r="X3436" s="40"/>
      <c r="Y3436" s="40"/>
    </row>
    <row r="3437" spans="24:25" x14ac:dyDescent="0.35">
      <c r="X3437" s="40"/>
      <c r="Y3437" s="40"/>
    </row>
    <row r="3438" spans="24:25" x14ac:dyDescent="0.35">
      <c r="X3438" s="40"/>
      <c r="Y3438" s="40"/>
    </row>
    <row r="3439" spans="24:25" x14ac:dyDescent="0.35">
      <c r="X3439" s="40"/>
      <c r="Y3439" s="40"/>
    </row>
    <row r="3440" spans="24:25" x14ac:dyDescent="0.35">
      <c r="X3440" s="40"/>
      <c r="Y3440" s="40"/>
    </row>
    <row r="3441" spans="24:25" x14ac:dyDescent="0.35">
      <c r="X3441" s="40"/>
      <c r="Y3441" s="40"/>
    </row>
    <row r="3442" spans="24:25" x14ac:dyDescent="0.35">
      <c r="X3442" s="40"/>
      <c r="Y3442" s="40"/>
    </row>
    <row r="3443" spans="24:25" x14ac:dyDescent="0.35">
      <c r="X3443" s="40"/>
      <c r="Y3443" s="40"/>
    </row>
    <row r="3444" spans="24:25" x14ac:dyDescent="0.35">
      <c r="X3444" s="40"/>
      <c r="Y3444" s="40"/>
    </row>
    <row r="3445" spans="24:25" x14ac:dyDescent="0.35">
      <c r="X3445" s="40"/>
      <c r="Y3445" s="40"/>
    </row>
    <row r="3446" spans="24:25" x14ac:dyDescent="0.35">
      <c r="X3446" s="40"/>
      <c r="Y3446" s="40"/>
    </row>
    <row r="3447" spans="24:25" x14ac:dyDescent="0.35">
      <c r="X3447" s="40"/>
      <c r="Y3447" s="40"/>
    </row>
    <row r="3448" spans="24:25" x14ac:dyDescent="0.35">
      <c r="X3448" s="40"/>
      <c r="Y3448" s="40"/>
    </row>
    <row r="3449" spans="24:25" x14ac:dyDescent="0.35">
      <c r="X3449" s="40"/>
      <c r="Y3449" s="40"/>
    </row>
    <row r="3450" spans="24:25" x14ac:dyDescent="0.35">
      <c r="X3450" s="40"/>
      <c r="Y3450" s="40"/>
    </row>
    <row r="3451" spans="24:25" x14ac:dyDescent="0.35">
      <c r="X3451" s="40"/>
      <c r="Y3451" s="40"/>
    </row>
    <row r="3452" spans="24:25" x14ac:dyDescent="0.35">
      <c r="X3452" s="40"/>
      <c r="Y3452" s="40"/>
    </row>
    <row r="3453" spans="24:25" x14ac:dyDescent="0.35">
      <c r="X3453" s="40"/>
      <c r="Y3453" s="40"/>
    </row>
    <row r="3454" spans="24:25" x14ac:dyDescent="0.35">
      <c r="X3454" s="40"/>
      <c r="Y3454" s="40"/>
    </row>
    <row r="3455" spans="24:25" x14ac:dyDescent="0.35">
      <c r="X3455" s="40"/>
      <c r="Y3455" s="40"/>
    </row>
    <row r="3456" spans="24:25" x14ac:dyDescent="0.35">
      <c r="X3456" s="40"/>
      <c r="Y3456" s="40"/>
    </row>
    <row r="3457" spans="24:25" x14ac:dyDescent="0.35">
      <c r="X3457" s="40"/>
      <c r="Y3457" s="40"/>
    </row>
    <row r="3458" spans="24:25" x14ac:dyDescent="0.35">
      <c r="X3458" s="40"/>
      <c r="Y3458" s="40"/>
    </row>
    <row r="3459" spans="24:25" x14ac:dyDescent="0.35">
      <c r="X3459" s="40"/>
      <c r="Y3459" s="40"/>
    </row>
    <row r="3460" spans="24:25" x14ac:dyDescent="0.35">
      <c r="X3460" s="40"/>
      <c r="Y3460" s="40"/>
    </row>
    <row r="3461" spans="24:25" x14ac:dyDescent="0.35">
      <c r="X3461" s="40"/>
      <c r="Y3461" s="40"/>
    </row>
    <row r="3462" spans="24:25" x14ac:dyDescent="0.35">
      <c r="X3462" s="40"/>
      <c r="Y3462" s="40"/>
    </row>
    <row r="3463" spans="24:25" x14ac:dyDescent="0.35">
      <c r="X3463" s="40"/>
      <c r="Y3463" s="40"/>
    </row>
    <row r="3464" spans="24:25" x14ac:dyDescent="0.35">
      <c r="X3464" s="40"/>
      <c r="Y3464" s="40"/>
    </row>
    <row r="3465" spans="24:25" x14ac:dyDescent="0.35">
      <c r="X3465" s="40"/>
      <c r="Y3465" s="40"/>
    </row>
    <row r="3466" spans="24:25" x14ac:dyDescent="0.35">
      <c r="X3466" s="40"/>
      <c r="Y3466" s="40"/>
    </row>
    <row r="3467" spans="24:25" x14ac:dyDescent="0.35">
      <c r="X3467" s="40"/>
      <c r="Y3467" s="40"/>
    </row>
    <row r="3468" spans="24:25" x14ac:dyDescent="0.35">
      <c r="X3468" s="40"/>
      <c r="Y3468" s="40"/>
    </row>
    <row r="3469" spans="24:25" x14ac:dyDescent="0.35">
      <c r="X3469" s="40"/>
      <c r="Y3469" s="40"/>
    </row>
    <row r="3470" spans="24:25" x14ac:dyDescent="0.35">
      <c r="X3470" s="40"/>
      <c r="Y3470" s="40"/>
    </row>
    <row r="3471" spans="24:25" x14ac:dyDescent="0.35">
      <c r="X3471" s="40"/>
      <c r="Y3471" s="40"/>
    </row>
    <row r="3472" spans="24:25" x14ac:dyDescent="0.35">
      <c r="X3472" s="40"/>
      <c r="Y3472" s="40"/>
    </row>
    <row r="3473" spans="24:25" x14ac:dyDescent="0.35">
      <c r="X3473" s="40"/>
      <c r="Y3473" s="40"/>
    </row>
    <row r="3474" spans="24:25" x14ac:dyDescent="0.35">
      <c r="X3474" s="40"/>
      <c r="Y3474" s="40"/>
    </row>
    <row r="3475" spans="24:25" x14ac:dyDescent="0.35">
      <c r="X3475" s="40"/>
      <c r="Y3475" s="40"/>
    </row>
    <row r="3476" spans="24:25" x14ac:dyDescent="0.35">
      <c r="X3476" s="40"/>
      <c r="Y3476" s="40"/>
    </row>
    <row r="3477" spans="24:25" x14ac:dyDescent="0.35">
      <c r="X3477" s="40"/>
      <c r="Y3477" s="40"/>
    </row>
    <row r="3478" spans="24:25" x14ac:dyDescent="0.35">
      <c r="X3478" s="40"/>
      <c r="Y3478" s="40"/>
    </row>
    <row r="3479" spans="24:25" x14ac:dyDescent="0.35">
      <c r="X3479" s="40"/>
      <c r="Y3479" s="40"/>
    </row>
    <row r="3480" spans="24:25" x14ac:dyDescent="0.35">
      <c r="X3480" s="40"/>
      <c r="Y3480" s="40"/>
    </row>
    <row r="3481" spans="24:25" x14ac:dyDescent="0.35">
      <c r="X3481" s="40"/>
      <c r="Y3481" s="40"/>
    </row>
    <row r="3482" spans="24:25" x14ac:dyDescent="0.35">
      <c r="X3482" s="40"/>
      <c r="Y3482" s="40"/>
    </row>
    <row r="3483" spans="24:25" x14ac:dyDescent="0.35">
      <c r="X3483" s="40"/>
      <c r="Y3483" s="40"/>
    </row>
    <row r="3484" spans="24:25" x14ac:dyDescent="0.35">
      <c r="X3484" s="40"/>
      <c r="Y3484" s="40"/>
    </row>
    <row r="3485" spans="24:25" x14ac:dyDescent="0.35">
      <c r="X3485" s="40"/>
      <c r="Y3485" s="40"/>
    </row>
    <row r="3486" spans="24:25" x14ac:dyDescent="0.35">
      <c r="X3486" s="40"/>
      <c r="Y3486" s="40"/>
    </row>
    <row r="3487" spans="24:25" x14ac:dyDescent="0.35">
      <c r="X3487" s="40"/>
      <c r="Y3487" s="40"/>
    </row>
    <row r="3488" spans="24:25" x14ac:dyDescent="0.35">
      <c r="X3488" s="40"/>
      <c r="Y3488" s="40"/>
    </row>
    <row r="3489" spans="24:25" x14ac:dyDescent="0.35">
      <c r="X3489" s="40"/>
      <c r="Y3489" s="40"/>
    </row>
    <row r="3490" spans="24:25" x14ac:dyDescent="0.35">
      <c r="X3490" s="40"/>
      <c r="Y3490" s="40"/>
    </row>
    <row r="3491" spans="24:25" x14ac:dyDescent="0.35">
      <c r="X3491" s="40"/>
      <c r="Y3491" s="40"/>
    </row>
    <row r="3492" spans="24:25" x14ac:dyDescent="0.35">
      <c r="X3492" s="40"/>
      <c r="Y3492" s="40"/>
    </row>
    <row r="3493" spans="24:25" x14ac:dyDescent="0.35">
      <c r="X3493" s="40"/>
      <c r="Y3493" s="40"/>
    </row>
    <row r="3494" spans="24:25" x14ac:dyDescent="0.35">
      <c r="X3494" s="40"/>
      <c r="Y3494" s="40"/>
    </row>
    <row r="3495" spans="24:25" x14ac:dyDescent="0.35">
      <c r="X3495" s="40"/>
      <c r="Y3495" s="40"/>
    </row>
    <row r="3496" spans="24:25" x14ac:dyDescent="0.35">
      <c r="X3496" s="40"/>
      <c r="Y3496" s="40"/>
    </row>
    <row r="3497" spans="24:25" x14ac:dyDescent="0.35">
      <c r="X3497" s="40"/>
      <c r="Y3497" s="40"/>
    </row>
    <row r="3498" spans="24:25" x14ac:dyDescent="0.35">
      <c r="X3498" s="40"/>
      <c r="Y3498" s="40"/>
    </row>
    <row r="3499" spans="24:25" x14ac:dyDescent="0.35">
      <c r="X3499" s="40"/>
      <c r="Y3499" s="40"/>
    </row>
    <row r="3500" spans="24:25" x14ac:dyDescent="0.35">
      <c r="X3500" s="40"/>
      <c r="Y3500" s="40"/>
    </row>
    <row r="3501" spans="24:25" x14ac:dyDescent="0.35">
      <c r="X3501" s="40"/>
      <c r="Y3501" s="40"/>
    </row>
    <row r="3502" spans="24:25" x14ac:dyDescent="0.35">
      <c r="X3502" s="40"/>
      <c r="Y3502" s="40"/>
    </row>
    <row r="3503" spans="24:25" x14ac:dyDescent="0.35">
      <c r="X3503" s="40"/>
      <c r="Y3503" s="40"/>
    </row>
    <row r="3504" spans="24:25" x14ac:dyDescent="0.35">
      <c r="X3504" s="40"/>
      <c r="Y3504" s="40"/>
    </row>
    <row r="3505" spans="24:25" x14ac:dyDescent="0.35">
      <c r="X3505" s="40"/>
      <c r="Y3505" s="40"/>
    </row>
    <row r="3506" spans="24:25" x14ac:dyDescent="0.35">
      <c r="X3506" s="40"/>
      <c r="Y3506" s="40"/>
    </row>
    <row r="3507" spans="24:25" x14ac:dyDescent="0.35">
      <c r="X3507" s="40"/>
      <c r="Y3507" s="40"/>
    </row>
    <row r="3508" spans="24:25" x14ac:dyDescent="0.35">
      <c r="X3508" s="40"/>
      <c r="Y3508" s="40"/>
    </row>
    <row r="3509" spans="24:25" x14ac:dyDescent="0.35">
      <c r="X3509" s="40"/>
      <c r="Y3509" s="40"/>
    </row>
    <row r="3510" spans="24:25" x14ac:dyDescent="0.35">
      <c r="X3510" s="40"/>
      <c r="Y3510" s="40"/>
    </row>
    <row r="3511" spans="24:25" x14ac:dyDescent="0.35">
      <c r="X3511" s="40"/>
      <c r="Y3511" s="40"/>
    </row>
    <row r="3512" spans="24:25" x14ac:dyDescent="0.35">
      <c r="X3512" s="40"/>
      <c r="Y3512" s="40"/>
    </row>
    <row r="3513" spans="24:25" x14ac:dyDescent="0.35">
      <c r="X3513" s="40"/>
      <c r="Y3513" s="40"/>
    </row>
    <row r="3514" spans="24:25" x14ac:dyDescent="0.35">
      <c r="X3514" s="40"/>
      <c r="Y3514" s="40"/>
    </row>
    <row r="3515" spans="24:25" x14ac:dyDescent="0.35">
      <c r="X3515" s="40"/>
      <c r="Y3515" s="40"/>
    </row>
    <row r="3516" spans="24:25" x14ac:dyDescent="0.35">
      <c r="X3516" s="40"/>
      <c r="Y3516" s="40"/>
    </row>
    <row r="3517" spans="24:25" x14ac:dyDescent="0.35">
      <c r="X3517" s="40"/>
      <c r="Y3517" s="40"/>
    </row>
    <row r="3518" spans="24:25" x14ac:dyDescent="0.35">
      <c r="X3518" s="40"/>
      <c r="Y3518" s="40"/>
    </row>
    <row r="3519" spans="24:25" x14ac:dyDescent="0.35">
      <c r="X3519" s="40"/>
      <c r="Y3519" s="40"/>
    </row>
    <row r="3520" spans="24:25" x14ac:dyDescent="0.35">
      <c r="X3520" s="40"/>
      <c r="Y3520" s="40"/>
    </row>
    <row r="3521" spans="24:25" x14ac:dyDescent="0.35">
      <c r="X3521" s="40"/>
      <c r="Y3521" s="40"/>
    </row>
    <row r="3522" spans="24:25" x14ac:dyDescent="0.35">
      <c r="X3522" s="40"/>
      <c r="Y3522" s="40"/>
    </row>
    <row r="3523" spans="24:25" x14ac:dyDescent="0.35">
      <c r="X3523" s="40"/>
      <c r="Y3523" s="40"/>
    </row>
    <row r="3524" spans="24:25" x14ac:dyDescent="0.35">
      <c r="X3524" s="40"/>
      <c r="Y3524" s="40"/>
    </row>
    <row r="3525" spans="24:25" x14ac:dyDescent="0.35">
      <c r="X3525" s="40"/>
      <c r="Y3525" s="40"/>
    </row>
    <row r="3526" spans="24:25" x14ac:dyDescent="0.35">
      <c r="X3526" s="40"/>
      <c r="Y3526" s="40"/>
    </row>
    <row r="3527" spans="24:25" x14ac:dyDescent="0.35">
      <c r="X3527" s="40"/>
      <c r="Y3527" s="40"/>
    </row>
    <row r="3528" spans="24:25" x14ac:dyDescent="0.35">
      <c r="X3528" s="40"/>
      <c r="Y3528" s="40"/>
    </row>
    <row r="3529" spans="24:25" x14ac:dyDescent="0.35">
      <c r="X3529" s="40"/>
      <c r="Y3529" s="40"/>
    </row>
    <row r="3530" spans="24:25" x14ac:dyDescent="0.35">
      <c r="X3530" s="40"/>
      <c r="Y3530" s="40"/>
    </row>
    <row r="3531" spans="24:25" x14ac:dyDescent="0.35">
      <c r="X3531" s="40"/>
      <c r="Y3531" s="40"/>
    </row>
    <row r="3532" spans="24:25" x14ac:dyDescent="0.35">
      <c r="X3532" s="40"/>
      <c r="Y3532" s="40"/>
    </row>
    <row r="3533" spans="24:25" x14ac:dyDescent="0.35">
      <c r="X3533" s="40"/>
      <c r="Y3533" s="40"/>
    </row>
    <row r="3534" spans="24:25" x14ac:dyDescent="0.35">
      <c r="X3534" s="40"/>
      <c r="Y3534" s="40"/>
    </row>
    <row r="3535" spans="24:25" x14ac:dyDescent="0.35">
      <c r="X3535" s="40"/>
      <c r="Y3535" s="40"/>
    </row>
    <row r="3536" spans="24:25" x14ac:dyDescent="0.35">
      <c r="X3536" s="40"/>
      <c r="Y3536" s="40"/>
    </row>
    <row r="3537" spans="24:25" x14ac:dyDescent="0.35">
      <c r="X3537" s="40"/>
      <c r="Y3537" s="40"/>
    </row>
    <row r="3538" spans="24:25" x14ac:dyDescent="0.35">
      <c r="X3538" s="40"/>
      <c r="Y3538" s="40"/>
    </row>
    <row r="3539" spans="24:25" x14ac:dyDescent="0.35">
      <c r="X3539" s="40"/>
      <c r="Y3539" s="40"/>
    </row>
    <row r="3540" spans="24:25" x14ac:dyDescent="0.35">
      <c r="X3540" s="40"/>
      <c r="Y3540" s="40"/>
    </row>
    <row r="3541" spans="24:25" x14ac:dyDescent="0.35">
      <c r="X3541" s="40"/>
      <c r="Y3541" s="40"/>
    </row>
    <row r="3542" spans="24:25" x14ac:dyDescent="0.35">
      <c r="X3542" s="40"/>
      <c r="Y3542" s="40"/>
    </row>
    <row r="3543" spans="24:25" x14ac:dyDescent="0.35">
      <c r="X3543" s="40"/>
      <c r="Y3543" s="40"/>
    </row>
    <row r="3544" spans="24:25" x14ac:dyDescent="0.35">
      <c r="X3544" s="40"/>
      <c r="Y3544" s="40"/>
    </row>
    <row r="3545" spans="24:25" x14ac:dyDescent="0.35">
      <c r="X3545" s="40"/>
      <c r="Y3545" s="40"/>
    </row>
    <row r="3546" spans="24:25" x14ac:dyDescent="0.35">
      <c r="X3546" s="40"/>
      <c r="Y3546" s="40"/>
    </row>
    <row r="3547" spans="24:25" x14ac:dyDescent="0.35">
      <c r="X3547" s="40"/>
      <c r="Y3547" s="40"/>
    </row>
    <row r="3548" spans="24:25" x14ac:dyDescent="0.35">
      <c r="X3548" s="40"/>
      <c r="Y3548" s="40"/>
    </row>
    <row r="3549" spans="24:25" x14ac:dyDescent="0.35">
      <c r="X3549" s="40"/>
      <c r="Y3549" s="40"/>
    </row>
    <row r="3550" spans="24:25" x14ac:dyDescent="0.35">
      <c r="X3550" s="40"/>
      <c r="Y3550" s="40"/>
    </row>
    <row r="3551" spans="24:25" x14ac:dyDescent="0.35">
      <c r="X3551" s="40"/>
      <c r="Y3551" s="40"/>
    </row>
    <row r="3552" spans="24:25" x14ac:dyDescent="0.35">
      <c r="X3552" s="40"/>
      <c r="Y3552" s="40"/>
    </row>
    <row r="3553" spans="24:25" x14ac:dyDescent="0.35">
      <c r="X3553" s="40"/>
      <c r="Y3553" s="40"/>
    </row>
    <row r="3554" spans="24:25" x14ac:dyDescent="0.35">
      <c r="X3554" s="40"/>
      <c r="Y3554" s="40"/>
    </row>
    <row r="3555" spans="24:25" x14ac:dyDescent="0.35">
      <c r="X3555" s="40"/>
      <c r="Y3555" s="40"/>
    </row>
    <row r="3556" spans="24:25" x14ac:dyDescent="0.35">
      <c r="X3556" s="40"/>
      <c r="Y3556" s="40"/>
    </row>
    <row r="3557" spans="24:25" x14ac:dyDescent="0.35">
      <c r="X3557" s="40"/>
      <c r="Y3557" s="40"/>
    </row>
    <row r="3558" spans="24:25" x14ac:dyDescent="0.35">
      <c r="X3558" s="40"/>
      <c r="Y3558" s="40"/>
    </row>
    <row r="3559" spans="24:25" x14ac:dyDescent="0.35">
      <c r="X3559" s="40"/>
      <c r="Y3559" s="40"/>
    </row>
    <row r="3560" spans="24:25" x14ac:dyDescent="0.35">
      <c r="X3560" s="40"/>
      <c r="Y3560" s="40"/>
    </row>
    <row r="3561" spans="24:25" x14ac:dyDescent="0.35">
      <c r="X3561" s="40"/>
      <c r="Y3561" s="40"/>
    </row>
    <row r="3562" spans="24:25" x14ac:dyDescent="0.35">
      <c r="X3562" s="40"/>
      <c r="Y3562" s="40"/>
    </row>
    <row r="3563" spans="24:25" x14ac:dyDescent="0.35">
      <c r="X3563" s="40"/>
      <c r="Y3563" s="40"/>
    </row>
    <row r="3564" spans="24:25" x14ac:dyDescent="0.35">
      <c r="X3564" s="40"/>
      <c r="Y3564" s="40"/>
    </row>
    <row r="3565" spans="24:25" x14ac:dyDescent="0.35">
      <c r="X3565" s="40"/>
      <c r="Y3565" s="40"/>
    </row>
    <row r="3566" spans="24:25" x14ac:dyDescent="0.35">
      <c r="X3566" s="40"/>
      <c r="Y3566" s="40"/>
    </row>
    <row r="3567" spans="24:25" x14ac:dyDescent="0.35">
      <c r="X3567" s="40"/>
      <c r="Y3567" s="40"/>
    </row>
    <row r="3568" spans="24:25" x14ac:dyDescent="0.35">
      <c r="X3568" s="40"/>
      <c r="Y3568" s="40"/>
    </row>
    <row r="3569" spans="24:25" x14ac:dyDescent="0.35">
      <c r="X3569" s="40"/>
      <c r="Y3569" s="40"/>
    </row>
    <row r="3570" spans="24:25" x14ac:dyDescent="0.35">
      <c r="X3570" s="40"/>
      <c r="Y3570" s="40"/>
    </row>
    <row r="3571" spans="24:25" x14ac:dyDescent="0.35">
      <c r="X3571" s="40"/>
      <c r="Y3571" s="40"/>
    </row>
    <row r="3572" spans="24:25" x14ac:dyDescent="0.35">
      <c r="X3572" s="40"/>
      <c r="Y3572" s="40"/>
    </row>
    <row r="3573" spans="24:25" x14ac:dyDescent="0.35">
      <c r="X3573" s="40"/>
      <c r="Y3573" s="40"/>
    </row>
    <row r="3574" spans="24:25" x14ac:dyDescent="0.35">
      <c r="X3574" s="40"/>
      <c r="Y3574" s="40"/>
    </row>
    <row r="3575" spans="24:25" x14ac:dyDescent="0.35">
      <c r="X3575" s="40"/>
      <c r="Y3575" s="40"/>
    </row>
    <row r="3576" spans="24:25" x14ac:dyDescent="0.35">
      <c r="X3576" s="40"/>
      <c r="Y3576" s="40"/>
    </row>
    <row r="3577" spans="24:25" x14ac:dyDescent="0.35">
      <c r="X3577" s="40"/>
      <c r="Y3577" s="40"/>
    </row>
    <row r="3578" spans="24:25" x14ac:dyDescent="0.35">
      <c r="X3578" s="40"/>
      <c r="Y3578" s="40"/>
    </row>
    <row r="3579" spans="24:25" x14ac:dyDescent="0.35">
      <c r="X3579" s="40"/>
      <c r="Y3579" s="40"/>
    </row>
    <row r="3580" spans="24:25" x14ac:dyDescent="0.35">
      <c r="X3580" s="40"/>
      <c r="Y3580" s="40"/>
    </row>
    <row r="3581" spans="24:25" x14ac:dyDescent="0.35">
      <c r="X3581" s="40"/>
      <c r="Y3581" s="40"/>
    </row>
    <row r="3582" spans="24:25" x14ac:dyDescent="0.35">
      <c r="X3582" s="40"/>
      <c r="Y3582" s="40"/>
    </row>
    <row r="3583" spans="24:25" x14ac:dyDescent="0.35">
      <c r="X3583" s="40"/>
      <c r="Y3583" s="40"/>
    </row>
    <row r="3584" spans="24:25" x14ac:dyDescent="0.35">
      <c r="X3584" s="40"/>
      <c r="Y3584" s="40"/>
    </row>
    <row r="3585" spans="24:25" x14ac:dyDescent="0.35">
      <c r="X3585" s="40"/>
      <c r="Y3585" s="40"/>
    </row>
    <row r="3586" spans="24:25" x14ac:dyDescent="0.35">
      <c r="X3586" s="40"/>
      <c r="Y3586" s="40"/>
    </row>
    <row r="3587" spans="24:25" x14ac:dyDescent="0.35">
      <c r="X3587" s="40"/>
      <c r="Y3587" s="40"/>
    </row>
    <row r="3588" spans="24:25" x14ac:dyDescent="0.35">
      <c r="X3588" s="40"/>
      <c r="Y3588" s="40"/>
    </row>
    <row r="3589" spans="24:25" x14ac:dyDescent="0.35">
      <c r="X3589" s="40"/>
      <c r="Y3589" s="40"/>
    </row>
    <row r="3590" spans="24:25" x14ac:dyDescent="0.35">
      <c r="X3590" s="40"/>
      <c r="Y3590" s="40"/>
    </row>
    <row r="3591" spans="24:25" x14ac:dyDescent="0.35">
      <c r="X3591" s="40"/>
      <c r="Y3591" s="40"/>
    </row>
    <row r="3592" spans="24:25" x14ac:dyDescent="0.35">
      <c r="X3592" s="40"/>
      <c r="Y3592" s="40"/>
    </row>
    <row r="3593" spans="24:25" x14ac:dyDescent="0.35">
      <c r="X3593" s="40"/>
      <c r="Y3593" s="40"/>
    </row>
    <row r="3594" spans="24:25" x14ac:dyDescent="0.35">
      <c r="X3594" s="40"/>
      <c r="Y3594" s="40"/>
    </row>
    <row r="3595" spans="24:25" x14ac:dyDescent="0.35">
      <c r="X3595" s="40"/>
      <c r="Y3595" s="40"/>
    </row>
    <row r="3596" spans="24:25" x14ac:dyDescent="0.35">
      <c r="X3596" s="40"/>
      <c r="Y3596" s="40"/>
    </row>
    <row r="3597" spans="24:25" x14ac:dyDescent="0.35">
      <c r="X3597" s="40"/>
      <c r="Y3597" s="40"/>
    </row>
    <row r="3598" spans="24:25" x14ac:dyDescent="0.35">
      <c r="X3598" s="40"/>
      <c r="Y3598" s="40"/>
    </row>
    <row r="3599" spans="24:25" x14ac:dyDescent="0.35">
      <c r="X3599" s="40"/>
      <c r="Y3599" s="40"/>
    </row>
    <row r="3600" spans="24:25" x14ac:dyDescent="0.35">
      <c r="X3600" s="40"/>
      <c r="Y3600" s="40"/>
    </row>
    <row r="3601" spans="24:25" x14ac:dyDescent="0.35">
      <c r="X3601" s="40"/>
      <c r="Y3601" s="40"/>
    </row>
    <row r="3602" spans="24:25" x14ac:dyDescent="0.35">
      <c r="X3602" s="40"/>
      <c r="Y3602" s="40"/>
    </row>
    <row r="3603" spans="24:25" x14ac:dyDescent="0.35">
      <c r="X3603" s="40"/>
      <c r="Y3603" s="40"/>
    </row>
    <row r="3604" spans="24:25" x14ac:dyDescent="0.35">
      <c r="X3604" s="40"/>
      <c r="Y3604" s="40"/>
    </row>
    <row r="3605" spans="24:25" x14ac:dyDescent="0.35">
      <c r="X3605" s="40"/>
      <c r="Y3605" s="40"/>
    </row>
    <row r="3606" spans="24:25" x14ac:dyDescent="0.35">
      <c r="X3606" s="40"/>
      <c r="Y3606" s="40"/>
    </row>
    <row r="3607" spans="24:25" x14ac:dyDescent="0.35">
      <c r="X3607" s="40"/>
      <c r="Y3607" s="40"/>
    </row>
    <row r="3608" spans="24:25" x14ac:dyDescent="0.35">
      <c r="X3608" s="40"/>
      <c r="Y3608" s="40"/>
    </row>
    <row r="3609" spans="24:25" x14ac:dyDescent="0.35">
      <c r="X3609" s="40"/>
      <c r="Y3609" s="40"/>
    </row>
    <row r="3610" spans="24:25" x14ac:dyDescent="0.35">
      <c r="X3610" s="40"/>
      <c r="Y3610" s="40"/>
    </row>
    <row r="3611" spans="24:25" x14ac:dyDescent="0.35">
      <c r="X3611" s="40"/>
      <c r="Y3611" s="40"/>
    </row>
    <row r="3612" spans="24:25" x14ac:dyDescent="0.35">
      <c r="X3612" s="40"/>
      <c r="Y3612" s="40"/>
    </row>
    <row r="3613" spans="24:25" x14ac:dyDescent="0.35">
      <c r="X3613" s="40"/>
      <c r="Y3613" s="40"/>
    </row>
    <row r="3614" spans="24:25" x14ac:dyDescent="0.35">
      <c r="X3614" s="40"/>
      <c r="Y3614" s="40"/>
    </row>
    <row r="3615" spans="24:25" x14ac:dyDescent="0.35">
      <c r="X3615" s="40"/>
      <c r="Y3615" s="40"/>
    </row>
    <row r="3616" spans="24:25" x14ac:dyDescent="0.35">
      <c r="X3616" s="40"/>
      <c r="Y3616" s="40"/>
    </row>
    <row r="3617" spans="24:25" x14ac:dyDescent="0.35">
      <c r="X3617" s="40"/>
      <c r="Y3617" s="40"/>
    </row>
    <row r="3618" spans="24:25" x14ac:dyDescent="0.35">
      <c r="X3618" s="40"/>
      <c r="Y3618" s="40"/>
    </row>
    <row r="3619" spans="24:25" x14ac:dyDescent="0.35">
      <c r="X3619" s="40"/>
      <c r="Y3619" s="40"/>
    </row>
    <row r="3620" spans="24:25" x14ac:dyDescent="0.35">
      <c r="X3620" s="40"/>
      <c r="Y3620" s="40"/>
    </row>
    <row r="3621" spans="24:25" x14ac:dyDescent="0.35">
      <c r="X3621" s="40"/>
      <c r="Y3621" s="40"/>
    </row>
    <row r="3622" spans="24:25" x14ac:dyDescent="0.35">
      <c r="X3622" s="40"/>
      <c r="Y3622" s="40"/>
    </row>
    <row r="3623" spans="24:25" x14ac:dyDescent="0.35">
      <c r="X3623" s="40"/>
      <c r="Y3623" s="40"/>
    </row>
    <row r="3624" spans="24:25" x14ac:dyDescent="0.35">
      <c r="X3624" s="40"/>
      <c r="Y3624" s="40"/>
    </row>
    <row r="3625" spans="24:25" x14ac:dyDescent="0.35">
      <c r="X3625" s="40"/>
      <c r="Y3625" s="40"/>
    </row>
    <row r="3626" spans="24:25" x14ac:dyDescent="0.35">
      <c r="X3626" s="40"/>
      <c r="Y3626" s="40"/>
    </row>
    <row r="3627" spans="24:25" x14ac:dyDescent="0.35">
      <c r="X3627" s="40"/>
      <c r="Y3627" s="40"/>
    </row>
    <row r="3628" spans="24:25" x14ac:dyDescent="0.35">
      <c r="X3628" s="40"/>
      <c r="Y3628" s="40"/>
    </row>
    <row r="3629" spans="24:25" x14ac:dyDescent="0.35">
      <c r="X3629" s="40"/>
      <c r="Y3629" s="40"/>
    </row>
    <row r="3630" spans="24:25" x14ac:dyDescent="0.35">
      <c r="X3630" s="40"/>
      <c r="Y3630" s="40"/>
    </row>
    <row r="3631" spans="24:25" x14ac:dyDescent="0.35">
      <c r="X3631" s="40"/>
      <c r="Y3631" s="40"/>
    </row>
    <row r="3632" spans="24:25" x14ac:dyDescent="0.35">
      <c r="X3632" s="40"/>
      <c r="Y3632" s="40"/>
    </row>
    <row r="3633" spans="24:25" x14ac:dyDescent="0.35">
      <c r="X3633" s="40"/>
      <c r="Y3633" s="40"/>
    </row>
    <row r="3634" spans="24:25" x14ac:dyDescent="0.35">
      <c r="X3634" s="40"/>
      <c r="Y3634" s="40"/>
    </row>
    <row r="3635" spans="24:25" x14ac:dyDescent="0.35">
      <c r="X3635" s="40"/>
      <c r="Y3635" s="40"/>
    </row>
    <row r="3636" spans="24:25" x14ac:dyDescent="0.35">
      <c r="X3636" s="40"/>
      <c r="Y3636" s="40"/>
    </row>
    <row r="3637" spans="24:25" x14ac:dyDescent="0.35">
      <c r="X3637" s="40"/>
      <c r="Y3637" s="40"/>
    </row>
    <row r="3638" spans="24:25" x14ac:dyDescent="0.35">
      <c r="X3638" s="40"/>
      <c r="Y3638" s="40"/>
    </row>
    <row r="3639" spans="24:25" x14ac:dyDescent="0.35">
      <c r="X3639" s="40"/>
      <c r="Y3639" s="40"/>
    </row>
    <row r="3640" spans="24:25" x14ac:dyDescent="0.35">
      <c r="X3640" s="40"/>
      <c r="Y3640" s="40"/>
    </row>
    <row r="3641" spans="24:25" x14ac:dyDescent="0.35">
      <c r="X3641" s="40"/>
      <c r="Y3641" s="40"/>
    </row>
    <row r="3642" spans="24:25" x14ac:dyDescent="0.35">
      <c r="X3642" s="40"/>
      <c r="Y3642" s="40"/>
    </row>
    <row r="3643" spans="24:25" x14ac:dyDescent="0.35">
      <c r="X3643" s="40"/>
      <c r="Y3643" s="40"/>
    </row>
    <row r="3644" spans="24:25" x14ac:dyDescent="0.35">
      <c r="X3644" s="40"/>
      <c r="Y3644" s="40"/>
    </row>
    <row r="3645" spans="24:25" x14ac:dyDescent="0.35">
      <c r="X3645" s="40"/>
      <c r="Y3645" s="40"/>
    </row>
    <row r="3646" spans="24:25" x14ac:dyDescent="0.35">
      <c r="X3646" s="40"/>
      <c r="Y3646" s="40"/>
    </row>
    <row r="3647" spans="24:25" x14ac:dyDescent="0.35">
      <c r="X3647" s="40"/>
      <c r="Y3647" s="40"/>
    </row>
    <row r="3648" spans="24:25" x14ac:dyDescent="0.35">
      <c r="X3648" s="40"/>
      <c r="Y3648" s="40"/>
    </row>
    <row r="3649" spans="24:25" x14ac:dyDescent="0.35">
      <c r="X3649" s="40"/>
      <c r="Y3649" s="40"/>
    </row>
    <row r="3650" spans="24:25" x14ac:dyDescent="0.35">
      <c r="X3650" s="40"/>
      <c r="Y3650" s="40"/>
    </row>
    <row r="3651" spans="24:25" x14ac:dyDescent="0.35">
      <c r="X3651" s="40"/>
      <c r="Y3651" s="40"/>
    </row>
    <row r="3652" spans="24:25" x14ac:dyDescent="0.35">
      <c r="X3652" s="40"/>
      <c r="Y3652" s="40"/>
    </row>
    <row r="3653" spans="24:25" x14ac:dyDescent="0.35">
      <c r="X3653" s="40"/>
      <c r="Y3653" s="40"/>
    </row>
    <row r="3654" spans="24:25" x14ac:dyDescent="0.35">
      <c r="X3654" s="40"/>
      <c r="Y3654" s="40"/>
    </row>
    <row r="3655" spans="24:25" x14ac:dyDescent="0.35">
      <c r="X3655" s="40"/>
      <c r="Y3655" s="40"/>
    </row>
    <row r="3656" spans="24:25" x14ac:dyDescent="0.35">
      <c r="X3656" s="40"/>
      <c r="Y3656" s="40"/>
    </row>
    <row r="3657" spans="24:25" x14ac:dyDescent="0.35">
      <c r="X3657" s="40"/>
      <c r="Y3657" s="40"/>
    </row>
    <row r="3658" spans="24:25" x14ac:dyDescent="0.35">
      <c r="X3658" s="40"/>
      <c r="Y3658" s="40"/>
    </row>
    <row r="3659" spans="24:25" x14ac:dyDescent="0.35">
      <c r="X3659" s="40"/>
      <c r="Y3659" s="40"/>
    </row>
    <row r="3660" spans="24:25" x14ac:dyDescent="0.35">
      <c r="X3660" s="40"/>
      <c r="Y3660" s="40"/>
    </row>
    <row r="3661" spans="24:25" x14ac:dyDescent="0.35">
      <c r="X3661" s="40"/>
      <c r="Y3661" s="40"/>
    </row>
    <row r="3662" spans="24:25" x14ac:dyDescent="0.35">
      <c r="X3662" s="40"/>
      <c r="Y3662" s="40"/>
    </row>
    <row r="3663" spans="24:25" x14ac:dyDescent="0.35">
      <c r="X3663" s="40"/>
      <c r="Y3663" s="40"/>
    </row>
    <row r="3664" spans="24:25" x14ac:dyDescent="0.35">
      <c r="X3664" s="40"/>
      <c r="Y3664" s="40"/>
    </row>
    <row r="3665" spans="24:25" x14ac:dyDescent="0.35">
      <c r="X3665" s="40"/>
      <c r="Y3665" s="40"/>
    </row>
    <row r="3666" spans="24:25" x14ac:dyDescent="0.35">
      <c r="X3666" s="40"/>
      <c r="Y3666" s="40"/>
    </row>
    <row r="3667" spans="24:25" x14ac:dyDescent="0.35">
      <c r="X3667" s="40"/>
      <c r="Y3667" s="40"/>
    </row>
    <row r="3668" spans="24:25" x14ac:dyDescent="0.35">
      <c r="X3668" s="40"/>
      <c r="Y3668" s="40"/>
    </row>
    <row r="3669" spans="24:25" x14ac:dyDescent="0.35">
      <c r="X3669" s="40"/>
      <c r="Y3669" s="40"/>
    </row>
    <row r="3670" spans="24:25" x14ac:dyDescent="0.35">
      <c r="X3670" s="40"/>
      <c r="Y3670" s="40"/>
    </row>
    <row r="3671" spans="24:25" x14ac:dyDescent="0.35">
      <c r="X3671" s="40"/>
      <c r="Y3671" s="40"/>
    </row>
    <row r="3672" spans="24:25" x14ac:dyDescent="0.35">
      <c r="X3672" s="40"/>
      <c r="Y3672" s="40"/>
    </row>
    <row r="3673" spans="24:25" x14ac:dyDescent="0.35">
      <c r="X3673" s="40"/>
      <c r="Y3673" s="40"/>
    </row>
    <row r="3674" spans="24:25" x14ac:dyDescent="0.35">
      <c r="X3674" s="40"/>
      <c r="Y3674" s="40"/>
    </row>
    <row r="3675" spans="24:25" x14ac:dyDescent="0.35">
      <c r="X3675" s="40"/>
      <c r="Y3675" s="40"/>
    </row>
    <row r="3676" spans="24:25" x14ac:dyDescent="0.35">
      <c r="X3676" s="40"/>
      <c r="Y3676" s="40"/>
    </row>
    <row r="3677" spans="24:25" x14ac:dyDescent="0.35">
      <c r="X3677" s="40"/>
      <c r="Y3677" s="40"/>
    </row>
    <row r="3678" spans="24:25" x14ac:dyDescent="0.35">
      <c r="X3678" s="40"/>
      <c r="Y3678" s="40"/>
    </row>
    <row r="3679" spans="24:25" x14ac:dyDescent="0.35">
      <c r="X3679" s="40"/>
      <c r="Y3679" s="40"/>
    </row>
    <row r="3680" spans="24:25" x14ac:dyDescent="0.35">
      <c r="X3680" s="40"/>
      <c r="Y3680" s="40"/>
    </row>
    <row r="3681" spans="24:25" x14ac:dyDescent="0.35">
      <c r="X3681" s="40"/>
      <c r="Y3681" s="40"/>
    </row>
    <row r="3682" spans="24:25" x14ac:dyDescent="0.35">
      <c r="X3682" s="40"/>
      <c r="Y3682" s="40"/>
    </row>
    <row r="3683" spans="24:25" x14ac:dyDescent="0.35">
      <c r="X3683" s="40"/>
      <c r="Y3683" s="40"/>
    </row>
    <row r="3684" spans="24:25" x14ac:dyDescent="0.35">
      <c r="X3684" s="40"/>
      <c r="Y3684" s="40"/>
    </row>
    <row r="3685" spans="24:25" x14ac:dyDescent="0.35">
      <c r="X3685" s="40"/>
      <c r="Y3685" s="40"/>
    </row>
    <row r="3686" spans="24:25" x14ac:dyDescent="0.35">
      <c r="X3686" s="40"/>
      <c r="Y3686" s="40"/>
    </row>
    <row r="3687" spans="24:25" x14ac:dyDescent="0.35">
      <c r="X3687" s="40"/>
      <c r="Y3687" s="40"/>
    </row>
    <row r="3688" spans="24:25" x14ac:dyDescent="0.35">
      <c r="X3688" s="40"/>
      <c r="Y3688" s="40"/>
    </row>
    <row r="3689" spans="24:25" x14ac:dyDescent="0.35">
      <c r="X3689" s="40"/>
      <c r="Y3689" s="40"/>
    </row>
    <row r="3690" spans="24:25" x14ac:dyDescent="0.35">
      <c r="X3690" s="40"/>
      <c r="Y3690" s="40"/>
    </row>
    <row r="3691" spans="24:25" x14ac:dyDescent="0.35">
      <c r="X3691" s="40"/>
      <c r="Y3691" s="40"/>
    </row>
    <row r="3692" spans="24:25" x14ac:dyDescent="0.35">
      <c r="X3692" s="40"/>
      <c r="Y3692" s="40"/>
    </row>
    <row r="3693" spans="24:25" x14ac:dyDescent="0.35">
      <c r="X3693" s="40"/>
      <c r="Y3693" s="40"/>
    </row>
    <row r="3694" spans="24:25" x14ac:dyDescent="0.35">
      <c r="X3694" s="40"/>
      <c r="Y3694" s="40"/>
    </row>
    <row r="3695" spans="24:25" x14ac:dyDescent="0.35">
      <c r="X3695" s="40"/>
      <c r="Y3695" s="40"/>
    </row>
    <row r="3696" spans="24:25" x14ac:dyDescent="0.35">
      <c r="X3696" s="40"/>
      <c r="Y3696" s="40"/>
    </row>
    <row r="3697" spans="24:25" x14ac:dyDescent="0.35">
      <c r="X3697" s="40"/>
      <c r="Y3697" s="40"/>
    </row>
    <row r="3698" spans="24:25" x14ac:dyDescent="0.35">
      <c r="X3698" s="40"/>
      <c r="Y3698" s="40"/>
    </row>
    <row r="3699" spans="24:25" x14ac:dyDescent="0.35">
      <c r="X3699" s="40"/>
      <c r="Y3699" s="40"/>
    </row>
    <row r="3700" spans="24:25" x14ac:dyDescent="0.35">
      <c r="X3700" s="40"/>
      <c r="Y3700" s="40"/>
    </row>
    <row r="3701" spans="24:25" x14ac:dyDescent="0.35">
      <c r="X3701" s="40"/>
      <c r="Y3701" s="40"/>
    </row>
    <row r="3702" spans="24:25" x14ac:dyDescent="0.35">
      <c r="X3702" s="40"/>
      <c r="Y3702" s="40"/>
    </row>
    <row r="3703" spans="24:25" x14ac:dyDescent="0.35">
      <c r="X3703" s="40"/>
      <c r="Y3703" s="40"/>
    </row>
    <row r="3704" spans="24:25" x14ac:dyDescent="0.35">
      <c r="X3704" s="40"/>
      <c r="Y3704" s="40"/>
    </row>
    <row r="3705" spans="24:25" x14ac:dyDescent="0.35">
      <c r="X3705" s="40"/>
      <c r="Y3705" s="40"/>
    </row>
    <row r="3706" spans="24:25" x14ac:dyDescent="0.35">
      <c r="X3706" s="40"/>
      <c r="Y3706" s="40"/>
    </row>
    <row r="3707" spans="24:25" x14ac:dyDescent="0.35">
      <c r="X3707" s="40"/>
      <c r="Y3707" s="40"/>
    </row>
    <row r="3708" spans="24:25" x14ac:dyDescent="0.35">
      <c r="X3708" s="40"/>
      <c r="Y3708" s="40"/>
    </row>
    <row r="3709" spans="24:25" x14ac:dyDescent="0.35">
      <c r="X3709" s="40"/>
      <c r="Y3709" s="40"/>
    </row>
    <row r="3710" spans="24:25" x14ac:dyDescent="0.35">
      <c r="X3710" s="40"/>
      <c r="Y3710" s="40"/>
    </row>
    <row r="3711" spans="24:25" x14ac:dyDescent="0.35">
      <c r="X3711" s="40"/>
      <c r="Y3711" s="40"/>
    </row>
    <row r="3712" spans="24:25" x14ac:dyDescent="0.35">
      <c r="X3712" s="40"/>
      <c r="Y3712" s="40"/>
    </row>
    <row r="3713" spans="24:25" x14ac:dyDescent="0.35">
      <c r="X3713" s="40"/>
      <c r="Y3713" s="40"/>
    </row>
    <row r="3714" spans="24:25" x14ac:dyDescent="0.35">
      <c r="X3714" s="40"/>
      <c r="Y3714" s="40"/>
    </row>
    <row r="3715" spans="24:25" x14ac:dyDescent="0.35">
      <c r="X3715" s="40"/>
      <c r="Y3715" s="40"/>
    </row>
    <row r="3716" spans="24:25" x14ac:dyDescent="0.35">
      <c r="X3716" s="40"/>
      <c r="Y3716" s="40"/>
    </row>
    <row r="3717" spans="24:25" x14ac:dyDescent="0.35">
      <c r="X3717" s="40"/>
      <c r="Y3717" s="40"/>
    </row>
    <row r="3718" spans="24:25" x14ac:dyDescent="0.35">
      <c r="X3718" s="40"/>
      <c r="Y3718" s="40"/>
    </row>
    <row r="3719" spans="24:25" x14ac:dyDescent="0.35">
      <c r="X3719" s="40"/>
      <c r="Y3719" s="40"/>
    </row>
    <row r="3720" spans="24:25" x14ac:dyDescent="0.35">
      <c r="X3720" s="40"/>
      <c r="Y3720" s="40"/>
    </row>
    <row r="3721" spans="24:25" x14ac:dyDescent="0.35">
      <c r="X3721" s="40"/>
      <c r="Y3721" s="40"/>
    </row>
    <row r="3722" spans="24:25" x14ac:dyDescent="0.35">
      <c r="X3722" s="40"/>
      <c r="Y3722" s="40"/>
    </row>
    <row r="3723" spans="24:25" x14ac:dyDescent="0.35">
      <c r="X3723" s="40"/>
      <c r="Y3723" s="40"/>
    </row>
    <row r="3724" spans="24:25" x14ac:dyDescent="0.35">
      <c r="X3724" s="40"/>
      <c r="Y3724" s="40"/>
    </row>
    <row r="3725" spans="24:25" x14ac:dyDescent="0.35">
      <c r="X3725" s="40"/>
      <c r="Y3725" s="40"/>
    </row>
    <row r="3726" spans="24:25" x14ac:dyDescent="0.35">
      <c r="X3726" s="40"/>
      <c r="Y3726" s="40"/>
    </row>
    <row r="3727" spans="24:25" x14ac:dyDescent="0.35">
      <c r="X3727" s="40"/>
      <c r="Y3727" s="40"/>
    </row>
    <row r="3728" spans="24:25" x14ac:dyDescent="0.35">
      <c r="X3728" s="40"/>
      <c r="Y3728" s="40"/>
    </row>
    <row r="3729" spans="24:25" x14ac:dyDescent="0.35">
      <c r="X3729" s="40"/>
      <c r="Y3729" s="40"/>
    </row>
    <row r="3730" spans="24:25" x14ac:dyDescent="0.35">
      <c r="X3730" s="40"/>
      <c r="Y3730" s="40"/>
    </row>
    <row r="3731" spans="24:25" x14ac:dyDescent="0.35">
      <c r="X3731" s="40"/>
      <c r="Y3731" s="40"/>
    </row>
    <row r="3732" spans="24:25" x14ac:dyDescent="0.35">
      <c r="X3732" s="40"/>
      <c r="Y3732" s="40"/>
    </row>
    <row r="3733" spans="24:25" x14ac:dyDescent="0.35">
      <c r="X3733" s="40"/>
      <c r="Y3733" s="40"/>
    </row>
    <row r="3734" spans="24:25" x14ac:dyDescent="0.35">
      <c r="X3734" s="40"/>
      <c r="Y3734" s="40"/>
    </row>
    <row r="3735" spans="24:25" x14ac:dyDescent="0.35">
      <c r="X3735" s="40"/>
      <c r="Y3735" s="40"/>
    </row>
    <row r="3736" spans="24:25" x14ac:dyDescent="0.35">
      <c r="X3736" s="40"/>
      <c r="Y3736" s="40"/>
    </row>
    <row r="3737" spans="24:25" x14ac:dyDescent="0.35">
      <c r="X3737" s="40"/>
      <c r="Y3737" s="40"/>
    </row>
    <row r="3738" spans="24:25" x14ac:dyDescent="0.35">
      <c r="X3738" s="40"/>
      <c r="Y3738" s="40"/>
    </row>
    <row r="3739" spans="24:25" x14ac:dyDescent="0.35">
      <c r="X3739" s="40"/>
      <c r="Y3739" s="40"/>
    </row>
    <row r="3740" spans="24:25" x14ac:dyDescent="0.35">
      <c r="X3740" s="40"/>
      <c r="Y3740" s="40"/>
    </row>
    <row r="3741" spans="24:25" x14ac:dyDescent="0.35">
      <c r="X3741" s="40"/>
      <c r="Y3741" s="40"/>
    </row>
    <row r="3742" spans="24:25" x14ac:dyDescent="0.35">
      <c r="X3742" s="40"/>
      <c r="Y3742" s="40"/>
    </row>
    <row r="3743" spans="24:25" x14ac:dyDescent="0.35">
      <c r="X3743" s="40"/>
      <c r="Y3743" s="40"/>
    </row>
    <row r="3744" spans="24:25" x14ac:dyDescent="0.35">
      <c r="X3744" s="40"/>
      <c r="Y3744" s="40"/>
    </row>
    <row r="3745" spans="24:25" x14ac:dyDescent="0.35">
      <c r="X3745" s="40"/>
      <c r="Y3745" s="40"/>
    </row>
    <row r="3746" spans="24:25" x14ac:dyDescent="0.35">
      <c r="X3746" s="40"/>
      <c r="Y3746" s="40"/>
    </row>
    <row r="3747" spans="24:25" x14ac:dyDescent="0.35">
      <c r="X3747" s="40"/>
      <c r="Y3747" s="40"/>
    </row>
    <row r="3748" spans="24:25" x14ac:dyDescent="0.35">
      <c r="X3748" s="40"/>
      <c r="Y3748" s="40"/>
    </row>
    <row r="3749" spans="24:25" x14ac:dyDescent="0.35">
      <c r="X3749" s="40"/>
      <c r="Y3749" s="40"/>
    </row>
    <row r="3750" spans="24:25" x14ac:dyDescent="0.35">
      <c r="X3750" s="40"/>
      <c r="Y3750" s="40"/>
    </row>
    <row r="3751" spans="24:25" x14ac:dyDescent="0.35">
      <c r="X3751" s="40"/>
      <c r="Y3751" s="40"/>
    </row>
    <row r="3752" spans="24:25" x14ac:dyDescent="0.35">
      <c r="X3752" s="40"/>
      <c r="Y3752" s="40"/>
    </row>
    <row r="3753" spans="24:25" x14ac:dyDescent="0.35">
      <c r="X3753" s="40"/>
      <c r="Y3753" s="40"/>
    </row>
    <row r="3754" spans="24:25" x14ac:dyDescent="0.35">
      <c r="X3754" s="40"/>
      <c r="Y3754" s="40"/>
    </row>
    <row r="3755" spans="24:25" x14ac:dyDescent="0.35">
      <c r="X3755" s="40"/>
      <c r="Y3755" s="40"/>
    </row>
    <row r="3756" spans="24:25" x14ac:dyDescent="0.35">
      <c r="X3756" s="40"/>
      <c r="Y3756" s="40"/>
    </row>
    <row r="3757" spans="24:25" x14ac:dyDescent="0.35">
      <c r="X3757" s="40"/>
      <c r="Y3757" s="40"/>
    </row>
    <row r="3758" spans="24:25" x14ac:dyDescent="0.35">
      <c r="X3758" s="40"/>
      <c r="Y3758" s="40"/>
    </row>
    <row r="3759" spans="24:25" x14ac:dyDescent="0.35">
      <c r="X3759" s="40"/>
      <c r="Y3759" s="40"/>
    </row>
    <row r="3760" spans="24:25" x14ac:dyDescent="0.35">
      <c r="X3760" s="40"/>
      <c r="Y3760" s="40"/>
    </row>
    <row r="3761" spans="24:25" x14ac:dyDescent="0.35">
      <c r="X3761" s="40"/>
      <c r="Y3761" s="40"/>
    </row>
    <row r="3762" spans="24:25" x14ac:dyDescent="0.35">
      <c r="X3762" s="40"/>
      <c r="Y3762" s="40"/>
    </row>
    <row r="3763" spans="24:25" x14ac:dyDescent="0.35">
      <c r="X3763" s="40"/>
      <c r="Y3763" s="40"/>
    </row>
    <row r="3764" spans="24:25" x14ac:dyDescent="0.35">
      <c r="X3764" s="40"/>
      <c r="Y3764" s="40"/>
    </row>
    <row r="3765" spans="24:25" x14ac:dyDescent="0.35">
      <c r="X3765" s="40"/>
      <c r="Y3765" s="40"/>
    </row>
    <row r="3766" spans="24:25" x14ac:dyDescent="0.35">
      <c r="X3766" s="40"/>
      <c r="Y3766" s="40"/>
    </row>
    <row r="3767" spans="24:25" x14ac:dyDescent="0.35">
      <c r="X3767" s="40"/>
      <c r="Y3767" s="40"/>
    </row>
    <row r="3768" spans="24:25" x14ac:dyDescent="0.35">
      <c r="X3768" s="40"/>
      <c r="Y3768" s="40"/>
    </row>
    <row r="3769" spans="24:25" x14ac:dyDescent="0.35">
      <c r="X3769" s="40"/>
      <c r="Y3769" s="40"/>
    </row>
    <row r="3770" spans="24:25" x14ac:dyDescent="0.35">
      <c r="X3770" s="40"/>
      <c r="Y3770" s="40"/>
    </row>
    <row r="3771" spans="24:25" x14ac:dyDescent="0.35">
      <c r="X3771" s="40"/>
      <c r="Y3771" s="40"/>
    </row>
    <row r="3772" spans="24:25" x14ac:dyDescent="0.35">
      <c r="X3772" s="40"/>
      <c r="Y3772" s="40"/>
    </row>
    <row r="3773" spans="24:25" x14ac:dyDescent="0.35">
      <c r="X3773" s="40"/>
      <c r="Y3773" s="40"/>
    </row>
    <row r="3774" spans="24:25" x14ac:dyDescent="0.35">
      <c r="X3774" s="40"/>
      <c r="Y3774" s="40"/>
    </row>
    <row r="3775" spans="24:25" x14ac:dyDescent="0.35">
      <c r="X3775" s="40"/>
      <c r="Y3775" s="40"/>
    </row>
    <row r="3776" spans="24:25" x14ac:dyDescent="0.35">
      <c r="X3776" s="40"/>
      <c r="Y3776" s="40"/>
    </row>
    <row r="3777" spans="24:25" x14ac:dyDescent="0.35">
      <c r="X3777" s="40"/>
      <c r="Y3777" s="40"/>
    </row>
    <row r="3778" spans="24:25" x14ac:dyDescent="0.35">
      <c r="X3778" s="40"/>
      <c r="Y3778" s="40"/>
    </row>
    <row r="3779" spans="24:25" x14ac:dyDescent="0.35">
      <c r="X3779" s="40"/>
      <c r="Y3779" s="40"/>
    </row>
    <row r="3780" spans="24:25" x14ac:dyDescent="0.35">
      <c r="X3780" s="40"/>
      <c r="Y3780" s="40"/>
    </row>
    <row r="3781" spans="24:25" x14ac:dyDescent="0.35">
      <c r="X3781" s="40"/>
      <c r="Y3781" s="40"/>
    </row>
    <row r="3782" spans="24:25" x14ac:dyDescent="0.35">
      <c r="X3782" s="40"/>
      <c r="Y3782" s="40"/>
    </row>
    <row r="3783" spans="24:25" x14ac:dyDescent="0.35">
      <c r="X3783" s="40"/>
      <c r="Y3783" s="40"/>
    </row>
    <row r="3784" spans="24:25" x14ac:dyDescent="0.35">
      <c r="X3784" s="40"/>
      <c r="Y3784" s="40"/>
    </row>
    <row r="3785" spans="24:25" x14ac:dyDescent="0.35">
      <c r="X3785" s="40"/>
      <c r="Y3785" s="40"/>
    </row>
    <row r="3786" spans="24:25" x14ac:dyDescent="0.35">
      <c r="X3786" s="40"/>
      <c r="Y3786" s="40"/>
    </row>
    <row r="3787" spans="24:25" x14ac:dyDescent="0.35">
      <c r="X3787" s="40"/>
      <c r="Y3787" s="40"/>
    </row>
    <row r="3788" spans="24:25" x14ac:dyDescent="0.35">
      <c r="X3788" s="40"/>
      <c r="Y3788" s="40"/>
    </row>
    <row r="3789" spans="24:25" x14ac:dyDescent="0.35">
      <c r="X3789" s="40"/>
      <c r="Y3789" s="40"/>
    </row>
    <row r="3790" spans="24:25" x14ac:dyDescent="0.35">
      <c r="X3790" s="40"/>
      <c r="Y3790" s="40"/>
    </row>
    <row r="3791" spans="24:25" x14ac:dyDescent="0.35">
      <c r="X3791" s="40"/>
      <c r="Y3791" s="40"/>
    </row>
    <row r="3792" spans="24:25" x14ac:dyDescent="0.35">
      <c r="X3792" s="40"/>
      <c r="Y3792" s="40"/>
    </row>
    <row r="3793" spans="24:25" x14ac:dyDescent="0.35">
      <c r="X3793" s="40"/>
      <c r="Y3793" s="40"/>
    </row>
    <row r="3794" spans="24:25" x14ac:dyDescent="0.35">
      <c r="X3794" s="40"/>
      <c r="Y3794" s="40"/>
    </row>
    <row r="3795" spans="24:25" x14ac:dyDescent="0.35">
      <c r="X3795" s="40"/>
      <c r="Y3795" s="40"/>
    </row>
    <row r="3796" spans="24:25" x14ac:dyDescent="0.35">
      <c r="X3796" s="40"/>
      <c r="Y3796" s="40"/>
    </row>
    <row r="3797" spans="24:25" x14ac:dyDescent="0.35">
      <c r="X3797" s="40"/>
      <c r="Y3797" s="40"/>
    </row>
    <row r="3798" spans="24:25" x14ac:dyDescent="0.35">
      <c r="X3798" s="40"/>
      <c r="Y3798" s="40"/>
    </row>
    <row r="3799" spans="24:25" x14ac:dyDescent="0.35">
      <c r="X3799" s="40"/>
      <c r="Y3799" s="40"/>
    </row>
    <row r="3800" spans="24:25" x14ac:dyDescent="0.35">
      <c r="X3800" s="40"/>
      <c r="Y3800" s="40"/>
    </row>
    <row r="3801" spans="24:25" x14ac:dyDescent="0.35">
      <c r="X3801" s="40"/>
      <c r="Y3801" s="40"/>
    </row>
    <row r="3802" spans="24:25" x14ac:dyDescent="0.35">
      <c r="X3802" s="40"/>
      <c r="Y3802" s="40"/>
    </row>
    <row r="3803" spans="24:25" x14ac:dyDescent="0.35">
      <c r="X3803" s="40"/>
      <c r="Y3803" s="40"/>
    </row>
    <row r="3804" spans="24:25" x14ac:dyDescent="0.35">
      <c r="X3804" s="40"/>
      <c r="Y3804" s="40"/>
    </row>
    <row r="3805" spans="24:25" x14ac:dyDescent="0.35">
      <c r="X3805" s="40"/>
      <c r="Y3805" s="40"/>
    </row>
    <row r="3806" spans="24:25" x14ac:dyDescent="0.35">
      <c r="X3806" s="40"/>
      <c r="Y3806" s="40"/>
    </row>
    <row r="3807" spans="24:25" x14ac:dyDescent="0.35">
      <c r="X3807" s="40"/>
      <c r="Y3807" s="40"/>
    </row>
    <row r="3808" spans="24:25" x14ac:dyDescent="0.35">
      <c r="X3808" s="40"/>
      <c r="Y3808" s="40"/>
    </row>
    <row r="3809" spans="24:25" x14ac:dyDescent="0.35">
      <c r="X3809" s="40"/>
      <c r="Y3809" s="40"/>
    </row>
    <row r="3810" spans="24:25" x14ac:dyDescent="0.35">
      <c r="X3810" s="40"/>
      <c r="Y3810" s="40"/>
    </row>
    <row r="3811" spans="24:25" x14ac:dyDescent="0.35">
      <c r="X3811" s="40"/>
      <c r="Y3811" s="40"/>
    </row>
    <row r="3812" spans="24:25" x14ac:dyDescent="0.35">
      <c r="X3812" s="40"/>
      <c r="Y3812" s="40"/>
    </row>
    <row r="3813" spans="24:25" x14ac:dyDescent="0.35">
      <c r="X3813" s="40"/>
      <c r="Y3813" s="40"/>
    </row>
    <row r="3814" spans="24:25" x14ac:dyDescent="0.35">
      <c r="X3814" s="40"/>
      <c r="Y3814" s="40"/>
    </row>
    <row r="3815" spans="24:25" x14ac:dyDescent="0.35">
      <c r="X3815" s="40"/>
      <c r="Y3815" s="40"/>
    </row>
    <row r="3816" spans="24:25" x14ac:dyDescent="0.35">
      <c r="X3816" s="40"/>
      <c r="Y3816" s="40"/>
    </row>
    <row r="3817" spans="24:25" x14ac:dyDescent="0.35">
      <c r="X3817" s="40"/>
      <c r="Y3817" s="40"/>
    </row>
    <row r="3818" spans="24:25" x14ac:dyDescent="0.35">
      <c r="X3818" s="40"/>
      <c r="Y3818" s="40"/>
    </row>
    <row r="3819" spans="24:25" x14ac:dyDescent="0.35">
      <c r="X3819" s="40"/>
      <c r="Y3819" s="40"/>
    </row>
    <row r="3820" spans="24:25" x14ac:dyDescent="0.35">
      <c r="X3820" s="40"/>
      <c r="Y3820" s="40"/>
    </row>
    <row r="3821" spans="24:25" x14ac:dyDescent="0.35">
      <c r="X3821" s="40"/>
      <c r="Y3821" s="40"/>
    </row>
    <row r="3822" spans="24:25" x14ac:dyDescent="0.35">
      <c r="X3822" s="40"/>
      <c r="Y3822" s="40"/>
    </row>
    <row r="3823" spans="24:25" x14ac:dyDescent="0.35">
      <c r="X3823" s="40"/>
      <c r="Y3823" s="40"/>
    </row>
    <row r="3824" spans="24:25" x14ac:dyDescent="0.35">
      <c r="X3824" s="40"/>
      <c r="Y3824" s="40"/>
    </row>
    <row r="3825" spans="24:25" x14ac:dyDescent="0.35">
      <c r="X3825" s="40"/>
      <c r="Y3825" s="40"/>
    </row>
    <row r="3826" spans="24:25" x14ac:dyDescent="0.35">
      <c r="X3826" s="40"/>
      <c r="Y3826" s="40"/>
    </row>
    <row r="3827" spans="24:25" x14ac:dyDescent="0.35">
      <c r="X3827" s="40"/>
      <c r="Y3827" s="40"/>
    </row>
    <row r="3828" spans="24:25" x14ac:dyDescent="0.35">
      <c r="X3828" s="40"/>
      <c r="Y3828" s="40"/>
    </row>
    <row r="3829" spans="24:25" x14ac:dyDescent="0.35">
      <c r="X3829" s="40"/>
      <c r="Y3829" s="40"/>
    </row>
    <row r="3830" spans="24:25" x14ac:dyDescent="0.35">
      <c r="X3830" s="40"/>
      <c r="Y3830" s="40"/>
    </row>
    <row r="3831" spans="24:25" x14ac:dyDescent="0.35">
      <c r="X3831" s="40"/>
      <c r="Y3831" s="40"/>
    </row>
    <row r="3832" spans="24:25" x14ac:dyDescent="0.35">
      <c r="X3832" s="40"/>
      <c r="Y3832" s="40"/>
    </row>
    <row r="3833" spans="24:25" x14ac:dyDescent="0.35">
      <c r="X3833" s="40"/>
      <c r="Y3833" s="40"/>
    </row>
    <row r="3834" spans="24:25" x14ac:dyDescent="0.35">
      <c r="X3834" s="40"/>
      <c r="Y3834" s="40"/>
    </row>
    <row r="3835" spans="24:25" x14ac:dyDescent="0.35">
      <c r="X3835" s="40"/>
      <c r="Y3835" s="40"/>
    </row>
    <row r="3836" spans="24:25" x14ac:dyDescent="0.35">
      <c r="X3836" s="40"/>
      <c r="Y3836" s="40"/>
    </row>
    <row r="3837" spans="24:25" x14ac:dyDescent="0.35">
      <c r="X3837" s="40"/>
      <c r="Y3837" s="40"/>
    </row>
    <row r="3838" spans="24:25" x14ac:dyDescent="0.35">
      <c r="X3838" s="40"/>
      <c r="Y3838" s="40"/>
    </row>
    <row r="3839" spans="24:25" x14ac:dyDescent="0.35">
      <c r="X3839" s="40"/>
      <c r="Y3839" s="40"/>
    </row>
    <row r="3840" spans="24:25" x14ac:dyDescent="0.35">
      <c r="X3840" s="40"/>
      <c r="Y3840" s="40"/>
    </row>
    <row r="3841" spans="24:25" x14ac:dyDescent="0.35">
      <c r="X3841" s="40"/>
      <c r="Y3841" s="40"/>
    </row>
    <row r="3842" spans="24:25" x14ac:dyDescent="0.35">
      <c r="X3842" s="40"/>
      <c r="Y3842" s="40"/>
    </row>
    <row r="3843" spans="24:25" x14ac:dyDescent="0.35">
      <c r="X3843" s="40"/>
      <c r="Y3843" s="40"/>
    </row>
    <row r="3844" spans="24:25" x14ac:dyDescent="0.35">
      <c r="X3844" s="40"/>
      <c r="Y3844" s="40"/>
    </row>
    <row r="3845" spans="24:25" x14ac:dyDescent="0.35">
      <c r="X3845" s="40"/>
      <c r="Y3845" s="40"/>
    </row>
    <row r="3846" spans="24:25" x14ac:dyDescent="0.35">
      <c r="X3846" s="40"/>
      <c r="Y3846" s="40"/>
    </row>
    <row r="3847" spans="24:25" x14ac:dyDescent="0.35">
      <c r="X3847" s="40"/>
      <c r="Y3847" s="40"/>
    </row>
    <row r="3848" spans="24:25" x14ac:dyDescent="0.35">
      <c r="X3848" s="40"/>
      <c r="Y3848" s="40"/>
    </row>
    <row r="3849" spans="24:25" x14ac:dyDescent="0.35">
      <c r="X3849" s="40"/>
      <c r="Y3849" s="40"/>
    </row>
    <row r="3850" spans="24:25" x14ac:dyDescent="0.35">
      <c r="X3850" s="40"/>
      <c r="Y3850" s="40"/>
    </row>
    <row r="3851" spans="24:25" x14ac:dyDescent="0.35">
      <c r="X3851" s="40"/>
      <c r="Y3851" s="40"/>
    </row>
    <row r="3852" spans="24:25" x14ac:dyDescent="0.35">
      <c r="X3852" s="40"/>
      <c r="Y3852" s="40"/>
    </row>
    <row r="3853" spans="24:25" x14ac:dyDescent="0.35">
      <c r="X3853" s="40"/>
      <c r="Y3853" s="40"/>
    </row>
    <row r="3854" spans="24:25" x14ac:dyDescent="0.35">
      <c r="X3854" s="40"/>
      <c r="Y3854" s="40"/>
    </row>
    <row r="3855" spans="24:25" x14ac:dyDescent="0.35">
      <c r="X3855" s="40"/>
      <c r="Y3855" s="40"/>
    </row>
    <row r="3856" spans="24:25" x14ac:dyDescent="0.35">
      <c r="X3856" s="40"/>
      <c r="Y3856" s="40"/>
    </row>
    <row r="3857" spans="24:25" x14ac:dyDescent="0.35">
      <c r="X3857" s="40"/>
      <c r="Y3857" s="40"/>
    </row>
    <row r="3858" spans="24:25" x14ac:dyDescent="0.35">
      <c r="X3858" s="40"/>
      <c r="Y3858" s="40"/>
    </row>
    <row r="3859" spans="24:25" x14ac:dyDescent="0.35">
      <c r="X3859" s="40"/>
      <c r="Y3859" s="40"/>
    </row>
    <row r="3860" spans="24:25" x14ac:dyDescent="0.35">
      <c r="X3860" s="40"/>
      <c r="Y3860" s="40"/>
    </row>
    <row r="3861" spans="24:25" x14ac:dyDescent="0.35">
      <c r="X3861" s="40"/>
      <c r="Y3861" s="40"/>
    </row>
    <row r="3862" spans="24:25" x14ac:dyDescent="0.35">
      <c r="X3862" s="40"/>
      <c r="Y3862" s="40"/>
    </row>
    <row r="3863" spans="24:25" x14ac:dyDescent="0.35">
      <c r="X3863" s="40"/>
      <c r="Y3863" s="40"/>
    </row>
    <row r="3864" spans="24:25" x14ac:dyDescent="0.35">
      <c r="X3864" s="40"/>
      <c r="Y3864" s="40"/>
    </row>
    <row r="3865" spans="24:25" x14ac:dyDescent="0.35">
      <c r="X3865" s="40"/>
      <c r="Y3865" s="40"/>
    </row>
    <row r="3866" spans="24:25" x14ac:dyDescent="0.35">
      <c r="X3866" s="40"/>
      <c r="Y3866" s="40"/>
    </row>
    <row r="3867" spans="24:25" x14ac:dyDescent="0.35">
      <c r="X3867" s="40"/>
      <c r="Y3867" s="40"/>
    </row>
    <row r="3868" spans="24:25" x14ac:dyDescent="0.35">
      <c r="X3868" s="40"/>
      <c r="Y3868" s="40"/>
    </row>
    <row r="3869" spans="24:25" x14ac:dyDescent="0.35">
      <c r="X3869" s="40"/>
      <c r="Y3869" s="40"/>
    </row>
    <row r="3870" spans="24:25" x14ac:dyDescent="0.35">
      <c r="X3870" s="40"/>
      <c r="Y3870" s="40"/>
    </row>
    <row r="3871" spans="24:25" x14ac:dyDescent="0.35">
      <c r="X3871" s="40"/>
      <c r="Y3871" s="40"/>
    </row>
    <row r="3872" spans="24:25" x14ac:dyDescent="0.35">
      <c r="X3872" s="40"/>
      <c r="Y3872" s="40"/>
    </row>
    <row r="3873" spans="24:25" x14ac:dyDescent="0.35">
      <c r="X3873" s="40"/>
      <c r="Y3873" s="40"/>
    </row>
    <row r="3874" spans="24:25" x14ac:dyDescent="0.35">
      <c r="X3874" s="40"/>
      <c r="Y3874" s="40"/>
    </row>
    <row r="3875" spans="24:25" x14ac:dyDescent="0.35">
      <c r="X3875" s="40"/>
      <c r="Y3875" s="40"/>
    </row>
    <row r="3876" spans="24:25" x14ac:dyDescent="0.35">
      <c r="X3876" s="40"/>
      <c r="Y3876" s="40"/>
    </row>
    <row r="3877" spans="24:25" x14ac:dyDescent="0.35">
      <c r="X3877" s="40"/>
      <c r="Y3877" s="40"/>
    </row>
    <row r="3878" spans="24:25" x14ac:dyDescent="0.35">
      <c r="X3878" s="40"/>
      <c r="Y3878" s="40"/>
    </row>
    <row r="3879" spans="24:25" x14ac:dyDescent="0.35">
      <c r="X3879" s="40"/>
      <c r="Y3879" s="40"/>
    </row>
    <row r="3880" spans="24:25" x14ac:dyDescent="0.35">
      <c r="X3880" s="40"/>
      <c r="Y3880" s="40"/>
    </row>
    <row r="3881" spans="24:25" x14ac:dyDescent="0.35">
      <c r="X3881" s="40"/>
      <c r="Y3881" s="40"/>
    </row>
    <row r="3882" spans="24:25" x14ac:dyDescent="0.35">
      <c r="X3882" s="40"/>
      <c r="Y3882" s="40"/>
    </row>
    <row r="3883" spans="24:25" x14ac:dyDescent="0.35">
      <c r="X3883" s="40"/>
      <c r="Y3883" s="40"/>
    </row>
    <row r="3884" spans="24:25" x14ac:dyDescent="0.35">
      <c r="X3884" s="40"/>
      <c r="Y3884" s="40"/>
    </row>
    <row r="3885" spans="24:25" x14ac:dyDescent="0.35">
      <c r="X3885" s="40"/>
      <c r="Y3885" s="40"/>
    </row>
    <row r="3886" spans="24:25" x14ac:dyDescent="0.35">
      <c r="X3886" s="40"/>
      <c r="Y3886" s="40"/>
    </row>
    <row r="3887" spans="24:25" x14ac:dyDescent="0.35">
      <c r="X3887" s="40"/>
      <c r="Y3887" s="40"/>
    </row>
    <row r="3888" spans="24:25" x14ac:dyDescent="0.35">
      <c r="X3888" s="40"/>
      <c r="Y3888" s="40"/>
    </row>
    <row r="3889" spans="24:25" x14ac:dyDescent="0.35">
      <c r="X3889" s="40"/>
      <c r="Y3889" s="40"/>
    </row>
    <row r="3890" spans="24:25" x14ac:dyDescent="0.35">
      <c r="X3890" s="40"/>
      <c r="Y3890" s="40"/>
    </row>
    <row r="3891" spans="24:25" x14ac:dyDescent="0.35">
      <c r="X3891" s="40"/>
      <c r="Y3891" s="40"/>
    </row>
    <row r="3892" spans="24:25" x14ac:dyDescent="0.35">
      <c r="X3892" s="40"/>
      <c r="Y3892" s="40"/>
    </row>
    <row r="3893" spans="24:25" x14ac:dyDescent="0.35">
      <c r="X3893" s="40"/>
      <c r="Y3893" s="40"/>
    </row>
    <row r="3894" spans="24:25" x14ac:dyDescent="0.35">
      <c r="X3894" s="40"/>
      <c r="Y3894" s="40"/>
    </row>
    <row r="3895" spans="24:25" x14ac:dyDescent="0.35">
      <c r="X3895" s="40"/>
      <c r="Y3895" s="40"/>
    </row>
    <row r="3896" spans="24:25" x14ac:dyDescent="0.35">
      <c r="X3896" s="40"/>
      <c r="Y3896" s="40"/>
    </row>
    <row r="3897" spans="24:25" x14ac:dyDescent="0.35">
      <c r="X3897" s="40"/>
      <c r="Y3897" s="40"/>
    </row>
    <row r="3898" spans="24:25" x14ac:dyDescent="0.35">
      <c r="X3898" s="40"/>
      <c r="Y3898" s="40"/>
    </row>
    <row r="3899" spans="24:25" x14ac:dyDescent="0.35">
      <c r="X3899" s="40"/>
      <c r="Y3899" s="40"/>
    </row>
    <row r="3900" spans="24:25" x14ac:dyDescent="0.35">
      <c r="X3900" s="40"/>
      <c r="Y3900" s="40"/>
    </row>
    <row r="3901" spans="24:25" x14ac:dyDescent="0.35">
      <c r="X3901" s="40"/>
      <c r="Y3901" s="40"/>
    </row>
    <row r="3902" spans="24:25" x14ac:dyDescent="0.35">
      <c r="X3902" s="40"/>
      <c r="Y3902" s="40"/>
    </row>
    <row r="3903" spans="24:25" x14ac:dyDescent="0.35">
      <c r="X3903" s="40"/>
      <c r="Y3903" s="40"/>
    </row>
    <row r="3904" spans="24:25" x14ac:dyDescent="0.35">
      <c r="X3904" s="40"/>
      <c r="Y3904" s="40"/>
    </row>
    <row r="3905" spans="24:25" x14ac:dyDescent="0.35">
      <c r="X3905" s="40"/>
      <c r="Y3905" s="40"/>
    </row>
    <row r="3906" spans="24:25" x14ac:dyDescent="0.35">
      <c r="X3906" s="40"/>
      <c r="Y3906" s="40"/>
    </row>
    <row r="3907" spans="24:25" x14ac:dyDescent="0.35">
      <c r="X3907" s="40"/>
      <c r="Y3907" s="40"/>
    </row>
    <row r="3908" spans="24:25" x14ac:dyDescent="0.35">
      <c r="X3908" s="40"/>
      <c r="Y3908" s="40"/>
    </row>
    <row r="3909" spans="24:25" x14ac:dyDescent="0.35">
      <c r="X3909" s="40"/>
      <c r="Y3909" s="40"/>
    </row>
    <row r="3910" spans="24:25" x14ac:dyDescent="0.35">
      <c r="X3910" s="40"/>
      <c r="Y3910" s="40"/>
    </row>
    <row r="3911" spans="24:25" x14ac:dyDescent="0.35">
      <c r="X3911" s="40"/>
      <c r="Y3911" s="40"/>
    </row>
    <row r="3912" spans="24:25" x14ac:dyDescent="0.35">
      <c r="X3912" s="40"/>
      <c r="Y3912" s="40"/>
    </row>
    <row r="3913" spans="24:25" x14ac:dyDescent="0.35">
      <c r="X3913" s="40"/>
      <c r="Y3913" s="40"/>
    </row>
    <row r="3914" spans="24:25" x14ac:dyDescent="0.35">
      <c r="X3914" s="40"/>
      <c r="Y3914" s="40"/>
    </row>
    <row r="3915" spans="24:25" x14ac:dyDescent="0.35">
      <c r="X3915" s="40"/>
      <c r="Y3915" s="40"/>
    </row>
    <row r="3916" spans="24:25" x14ac:dyDescent="0.35">
      <c r="X3916" s="40"/>
      <c r="Y3916" s="40"/>
    </row>
    <row r="3917" spans="24:25" x14ac:dyDescent="0.35">
      <c r="X3917" s="40"/>
      <c r="Y3917" s="40"/>
    </row>
    <row r="3918" spans="24:25" x14ac:dyDescent="0.35">
      <c r="X3918" s="40"/>
      <c r="Y3918" s="40"/>
    </row>
    <row r="3919" spans="24:25" x14ac:dyDescent="0.35">
      <c r="X3919" s="40"/>
      <c r="Y3919" s="40"/>
    </row>
    <row r="3920" spans="24:25" x14ac:dyDescent="0.35">
      <c r="X3920" s="40"/>
      <c r="Y3920" s="40"/>
    </row>
    <row r="3921" spans="24:25" x14ac:dyDescent="0.35">
      <c r="X3921" s="40"/>
      <c r="Y3921" s="40"/>
    </row>
    <row r="3922" spans="24:25" x14ac:dyDescent="0.35">
      <c r="X3922" s="40"/>
      <c r="Y3922" s="40"/>
    </row>
    <row r="3923" spans="24:25" x14ac:dyDescent="0.35">
      <c r="X3923" s="40"/>
      <c r="Y3923" s="40"/>
    </row>
    <row r="3924" spans="24:25" x14ac:dyDescent="0.35">
      <c r="X3924" s="40"/>
      <c r="Y3924" s="40"/>
    </row>
    <row r="3925" spans="24:25" x14ac:dyDescent="0.35">
      <c r="X3925" s="40"/>
      <c r="Y3925" s="40"/>
    </row>
    <row r="3926" spans="24:25" x14ac:dyDescent="0.35">
      <c r="X3926" s="40"/>
      <c r="Y3926" s="40"/>
    </row>
    <row r="3927" spans="24:25" x14ac:dyDescent="0.35">
      <c r="X3927" s="40"/>
      <c r="Y3927" s="40"/>
    </row>
    <row r="3928" spans="24:25" x14ac:dyDescent="0.35">
      <c r="X3928" s="40"/>
      <c r="Y3928" s="40"/>
    </row>
    <row r="3929" spans="24:25" x14ac:dyDescent="0.35">
      <c r="X3929" s="40"/>
      <c r="Y3929" s="40"/>
    </row>
    <row r="3930" spans="24:25" x14ac:dyDescent="0.35">
      <c r="X3930" s="40"/>
      <c r="Y3930" s="40"/>
    </row>
    <row r="3931" spans="24:25" x14ac:dyDescent="0.35">
      <c r="X3931" s="40"/>
      <c r="Y3931" s="40"/>
    </row>
    <row r="3932" spans="24:25" x14ac:dyDescent="0.35">
      <c r="X3932" s="40"/>
      <c r="Y3932" s="40"/>
    </row>
    <row r="3933" spans="24:25" x14ac:dyDescent="0.35">
      <c r="X3933" s="40"/>
      <c r="Y3933" s="40"/>
    </row>
    <row r="3934" spans="24:25" x14ac:dyDescent="0.35">
      <c r="X3934" s="40"/>
      <c r="Y3934" s="40"/>
    </row>
    <row r="3935" spans="24:25" x14ac:dyDescent="0.35">
      <c r="X3935" s="40"/>
      <c r="Y3935" s="40"/>
    </row>
    <row r="3936" spans="24:25" x14ac:dyDescent="0.35">
      <c r="X3936" s="40"/>
      <c r="Y3936" s="40"/>
    </row>
    <row r="3937" spans="24:25" x14ac:dyDescent="0.35">
      <c r="X3937" s="40"/>
      <c r="Y3937" s="40"/>
    </row>
    <row r="3938" spans="24:25" x14ac:dyDescent="0.35">
      <c r="X3938" s="40"/>
      <c r="Y3938" s="40"/>
    </row>
    <row r="3939" spans="24:25" x14ac:dyDescent="0.35">
      <c r="X3939" s="40"/>
      <c r="Y3939" s="40"/>
    </row>
    <row r="3940" spans="24:25" x14ac:dyDescent="0.35">
      <c r="X3940" s="40"/>
      <c r="Y3940" s="40"/>
    </row>
    <row r="3941" spans="24:25" x14ac:dyDescent="0.35">
      <c r="X3941" s="40"/>
      <c r="Y3941" s="40"/>
    </row>
    <row r="3942" spans="24:25" x14ac:dyDescent="0.35">
      <c r="X3942" s="40"/>
      <c r="Y3942" s="40"/>
    </row>
    <row r="3943" spans="24:25" x14ac:dyDescent="0.35">
      <c r="X3943" s="40"/>
      <c r="Y3943" s="40"/>
    </row>
    <row r="3944" spans="24:25" x14ac:dyDescent="0.35">
      <c r="X3944" s="40"/>
      <c r="Y3944" s="40"/>
    </row>
    <row r="3945" spans="24:25" x14ac:dyDescent="0.35">
      <c r="X3945" s="40"/>
      <c r="Y3945" s="40"/>
    </row>
    <row r="3946" spans="24:25" x14ac:dyDescent="0.35">
      <c r="X3946" s="40"/>
      <c r="Y3946" s="40"/>
    </row>
    <row r="3947" spans="24:25" x14ac:dyDescent="0.35">
      <c r="X3947" s="40"/>
      <c r="Y3947" s="40"/>
    </row>
    <row r="3948" spans="24:25" x14ac:dyDescent="0.35">
      <c r="X3948" s="40"/>
      <c r="Y3948" s="40"/>
    </row>
    <row r="3949" spans="24:25" x14ac:dyDescent="0.35">
      <c r="X3949" s="40"/>
      <c r="Y3949" s="40"/>
    </row>
    <row r="3950" spans="24:25" x14ac:dyDescent="0.35">
      <c r="X3950" s="40"/>
      <c r="Y3950" s="40"/>
    </row>
    <row r="3951" spans="24:25" x14ac:dyDescent="0.35">
      <c r="X3951" s="40"/>
      <c r="Y3951" s="40"/>
    </row>
    <row r="3952" spans="24:25" x14ac:dyDescent="0.35">
      <c r="X3952" s="40"/>
      <c r="Y3952" s="40"/>
    </row>
    <row r="3953" spans="24:25" x14ac:dyDescent="0.35">
      <c r="X3953" s="40"/>
      <c r="Y3953" s="40"/>
    </row>
    <row r="3954" spans="24:25" x14ac:dyDescent="0.35">
      <c r="X3954" s="40"/>
      <c r="Y3954" s="40"/>
    </row>
    <row r="3955" spans="24:25" x14ac:dyDescent="0.35">
      <c r="X3955" s="40"/>
      <c r="Y3955" s="40"/>
    </row>
    <row r="3956" spans="24:25" x14ac:dyDescent="0.35">
      <c r="X3956" s="40"/>
      <c r="Y3956" s="40"/>
    </row>
    <row r="3957" spans="24:25" x14ac:dyDescent="0.35">
      <c r="X3957" s="40"/>
      <c r="Y3957" s="40"/>
    </row>
    <row r="3958" spans="24:25" x14ac:dyDescent="0.35">
      <c r="X3958" s="40"/>
      <c r="Y3958" s="40"/>
    </row>
    <row r="3959" spans="24:25" x14ac:dyDescent="0.35">
      <c r="X3959" s="40"/>
      <c r="Y3959" s="40"/>
    </row>
    <row r="3960" spans="24:25" x14ac:dyDescent="0.35">
      <c r="X3960" s="40"/>
      <c r="Y3960" s="40"/>
    </row>
    <row r="3961" spans="24:25" x14ac:dyDescent="0.35">
      <c r="X3961" s="40"/>
      <c r="Y3961" s="40"/>
    </row>
    <row r="3962" spans="24:25" x14ac:dyDescent="0.35">
      <c r="X3962" s="40"/>
      <c r="Y3962" s="40"/>
    </row>
    <row r="3963" spans="24:25" x14ac:dyDescent="0.35">
      <c r="X3963" s="40"/>
      <c r="Y3963" s="40"/>
    </row>
    <row r="3964" spans="24:25" x14ac:dyDescent="0.35">
      <c r="X3964" s="40"/>
      <c r="Y3964" s="40"/>
    </row>
    <row r="3965" spans="24:25" x14ac:dyDescent="0.35">
      <c r="X3965" s="40"/>
      <c r="Y3965" s="40"/>
    </row>
    <row r="3966" spans="24:25" x14ac:dyDescent="0.35">
      <c r="X3966" s="40"/>
      <c r="Y3966" s="40"/>
    </row>
    <row r="3967" spans="24:25" x14ac:dyDescent="0.35">
      <c r="X3967" s="40"/>
      <c r="Y3967" s="40"/>
    </row>
    <row r="3968" spans="24:25" x14ac:dyDescent="0.35">
      <c r="X3968" s="40"/>
      <c r="Y3968" s="40"/>
    </row>
    <row r="3969" spans="24:25" x14ac:dyDescent="0.35">
      <c r="X3969" s="40"/>
      <c r="Y3969" s="40"/>
    </row>
    <row r="3970" spans="24:25" x14ac:dyDescent="0.35">
      <c r="X3970" s="40"/>
      <c r="Y3970" s="40"/>
    </row>
    <row r="3971" spans="24:25" x14ac:dyDescent="0.35">
      <c r="X3971" s="40"/>
      <c r="Y3971" s="40"/>
    </row>
    <row r="3972" spans="24:25" x14ac:dyDescent="0.35">
      <c r="X3972" s="40"/>
      <c r="Y3972" s="40"/>
    </row>
    <row r="3973" spans="24:25" x14ac:dyDescent="0.35">
      <c r="X3973" s="40"/>
      <c r="Y3973" s="40"/>
    </row>
    <row r="3974" spans="24:25" x14ac:dyDescent="0.35">
      <c r="X3974" s="40"/>
      <c r="Y3974" s="40"/>
    </row>
    <row r="3975" spans="24:25" x14ac:dyDescent="0.35">
      <c r="X3975" s="40"/>
      <c r="Y3975" s="40"/>
    </row>
    <row r="3976" spans="24:25" x14ac:dyDescent="0.35">
      <c r="X3976" s="40"/>
      <c r="Y3976" s="40"/>
    </row>
    <row r="3977" spans="24:25" x14ac:dyDescent="0.35">
      <c r="X3977" s="40"/>
      <c r="Y3977" s="40"/>
    </row>
    <row r="3978" spans="24:25" x14ac:dyDescent="0.35">
      <c r="X3978" s="40"/>
      <c r="Y3978" s="40"/>
    </row>
    <row r="3979" spans="24:25" x14ac:dyDescent="0.35">
      <c r="X3979" s="40"/>
      <c r="Y3979" s="40"/>
    </row>
    <row r="3980" spans="24:25" x14ac:dyDescent="0.35">
      <c r="X3980" s="40"/>
      <c r="Y3980" s="40"/>
    </row>
    <row r="3981" spans="24:25" x14ac:dyDescent="0.35">
      <c r="X3981" s="40"/>
      <c r="Y3981" s="40"/>
    </row>
    <row r="3982" spans="24:25" x14ac:dyDescent="0.35">
      <c r="X3982" s="40"/>
      <c r="Y3982" s="40"/>
    </row>
    <row r="3983" spans="24:25" x14ac:dyDescent="0.35">
      <c r="X3983" s="40"/>
      <c r="Y3983" s="40"/>
    </row>
    <row r="3984" spans="24:25" x14ac:dyDescent="0.35">
      <c r="X3984" s="40"/>
      <c r="Y3984" s="40"/>
    </row>
    <row r="3985" spans="24:25" x14ac:dyDescent="0.35">
      <c r="X3985" s="40"/>
      <c r="Y3985" s="40"/>
    </row>
    <row r="3986" spans="24:25" x14ac:dyDescent="0.35">
      <c r="X3986" s="40"/>
      <c r="Y3986" s="40"/>
    </row>
    <row r="3987" spans="24:25" x14ac:dyDescent="0.35">
      <c r="X3987" s="40"/>
      <c r="Y3987" s="40"/>
    </row>
    <row r="3988" spans="24:25" x14ac:dyDescent="0.35">
      <c r="X3988" s="40"/>
      <c r="Y3988" s="40"/>
    </row>
    <row r="3989" spans="24:25" x14ac:dyDescent="0.35">
      <c r="X3989" s="40"/>
      <c r="Y3989" s="40"/>
    </row>
    <row r="3990" spans="24:25" x14ac:dyDescent="0.35">
      <c r="X3990" s="40"/>
      <c r="Y3990" s="40"/>
    </row>
    <row r="3991" spans="24:25" x14ac:dyDescent="0.35">
      <c r="X3991" s="40"/>
      <c r="Y3991" s="40"/>
    </row>
    <row r="3992" spans="24:25" x14ac:dyDescent="0.35">
      <c r="X3992" s="40"/>
      <c r="Y3992" s="40"/>
    </row>
    <row r="3993" spans="24:25" x14ac:dyDescent="0.35">
      <c r="X3993" s="40"/>
      <c r="Y3993" s="40"/>
    </row>
    <row r="3994" spans="24:25" x14ac:dyDescent="0.35">
      <c r="X3994" s="40"/>
      <c r="Y3994" s="40"/>
    </row>
    <row r="3995" spans="24:25" x14ac:dyDescent="0.35">
      <c r="X3995" s="40"/>
      <c r="Y3995" s="40"/>
    </row>
    <row r="3996" spans="24:25" x14ac:dyDescent="0.35">
      <c r="X3996" s="40"/>
      <c r="Y3996" s="40"/>
    </row>
    <row r="3997" spans="24:25" x14ac:dyDescent="0.35">
      <c r="X3997" s="40"/>
      <c r="Y3997" s="40"/>
    </row>
    <row r="3998" spans="24:25" x14ac:dyDescent="0.35">
      <c r="X3998" s="40"/>
      <c r="Y3998" s="40"/>
    </row>
    <row r="3999" spans="24:25" x14ac:dyDescent="0.35">
      <c r="X3999" s="40"/>
      <c r="Y3999" s="40"/>
    </row>
    <row r="4000" spans="24:25" x14ac:dyDescent="0.35">
      <c r="X4000" s="40"/>
      <c r="Y4000" s="40"/>
    </row>
    <row r="4001" spans="24:25" x14ac:dyDescent="0.35">
      <c r="X4001" s="40"/>
      <c r="Y4001" s="40"/>
    </row>
    <row r="4002" spans="24:25" x14ac:dyDescent="0.35">
      <c r="X4002" s="40"/>
      <c r="Y4002" s="40"/>
    </row>
    <row r="4003" spans="24:25" x14ac:dyDescent="0.35">
      <c r="X4003" s="40"/>
      <c r="Y4003" s="40"/>
    </row>
    <row r="4004" spans="24:25" x14ac:dyDescent="0.35">
      <c r="X4004" s="40"/>
      <c r="Y4004" s="40"/>
    </row>
    <row r="4005" spans="24:25" x14ac:dyDescent="0.35">
      <c r="X4005" s="40"/>
      <c r="Y4005" s="40"/>
    </row>
    <row r="4006" spans="24:25" x14ac:dyDescent="0.35">
      <c r="X4006" s="40"/>
      <c r="Y4006" s="40"/>
    </row>
    <row r="4007" spans="24:25" x14ac:dyDescent="0.35">
      <c r="X4007" s="40"/>
      <c r="Y4007" s="40"/>
    </row>
    <row r="4008" spans="24:25" x14ac:dyDescent="0.35">
      <c r="X4008" s="40"/>
      <c r="Y4008" s="40"/>
    </row>
    <row r="4009" spans="24:25" x14ac:dyDescent="0.35">
      <c r="X4009" s="40"/>
      <c r="Y4009" s="40"/>
    </row>
    <row r="4010" spans="24:25" x14ac:dyDescent="0.35">
      <c r="X4010" s="40"/>
      <c r="Y4010" s="40"/>
    </row>
    <row r="4011" spans="24:25" x14ac:dyDescent="0.35">
      <c r="X4011" s="40"/>
      <c r="Y4011" s="40"/>
    </row>
    <row r="4012" spans="24:25" x14ac:dyDescent="0.35">
      <c r="X4012" s="40"/>
      <c r="Y4012" s="40"/>
    </row>
    <row r="4013" spans="24:25" x14ac:dyDescent="0.35">
      <c r="X4013" s="40"/>
      <c r="Y4013" s="40"/>
    </row>
    <row r="4014" spans="24:25" x14ac:dyDescent="0.35">
      <c r="X4014" s="40"/>
      <c r="Y4014" s="40"/>
    </row>
    <row r="4015" spans="24:25" x14ac:dyDescent="0.35">
      <c r="X4015" s="40"/>
      <c r="Y4015" s="40"/>
    </row>
    <row r="4016" spans="24:25" x14ac:dyDescent="0.35">
      <c r="X4016" s="40"/>
      <c r="Y4016" s="40"/>
    </row>
    <row r="4017" spans="24:25" x14ac:dyDescent="0.35">
      <c r="X4017" s="40"/>
      <c r="Y4017" s="40"/>
    </row>
    <row r="4018" spans="24:25" x14ac:dyDescent="0.35">
      <c r="X4018" s="40"/>
      <c r="Y4018" s="40"/>
    </row>
    <row r="4019" spans="24:25" x14ac:dyDescent="0.35">
      <c r="X4019" s="40"/>
      <c r="Y4019" s="40"/>
    </row>
    <row r="4020" spans="24:25" x14ac:dyDescent="0.35">
      <c r="X4020" s="40"/>
      <c r="Y4020" s="40"/>
    </row>
    <row r="4021" spans="24:25" x14ac:dyDescent="0.35">
      <c r="X4021" s="40"/>
      <c r="Y4021" s="40"/>
    </row>
    <row r="4022" spans="24:25" x14ac:dyDescent="0.35">
      <c r="X4022" s="40"/>
      <c r="Y4022" s="40"/>
    </row>
    <row r="4023" spans="24:25" x14ac:dyDescent="0.35">
      <c r="X4023" s="40"/>
      <c r="Y4023" s="40"/>
    </row>
    <row r="4024" spans="24:25" x14ac:dyDescent="0.35">
      <c r="X4024" s="40"/>
      <c r="Y4024" s="40"/>
    </row>
    <row r="4025" spans="24:25" x14ac:dyDescent="0.35">
      <c r="X4025" s="40"/>
      <c r="Y4025" s="40"/>
    </row>
    <row r="4026" spans="24:25" x14ac:dyDescent="0.35">
      <c r="X4026" s="40"/>
      <c r="Y4026" s="40"/>
    </row>
    <row r="4027" spans="24:25" x14ac:dyDescent="0.35">
      <c r="X4027" s="40"/>
      <c r="Y4027" s="40"/>
    </row>
    <row r="4028" spans="24:25" x14ac:dyDescent="0.35">
      <c r="X4028" s="40"/>
      <c r="Y4028" s="40"/>
    </row>
    <row r="4029" spans="24:25" x14ac:dyDescent="0.35">
      <c r="X4029" s="40"/>
      <c r="Y4029" s="40"/>
    </row>
    <row r="4030" spans="24:25" x14ac:dyDescent="0.35">
      <c r="X4030" s="40"/>
      <c r="Y4030" s="40"/>
    </row>
    <row r="4031" spans="24:25" x14ac:dyDescent="0.35">
      <c r="X4031" s="40"/>
      <c r="Y4031" s="40"/>
    </row>
    <row r="4032" spans="24:25" x14ac:dyDescent="0.35">
      <c r="X4032" s="40"/>
      <c r="Y4032" s="40"/>
    </row>
    <row r="4033" spans="24:25" x14ac:dyDescent="0.35">
      <c r="X4033" s="40"/>
      <c r="Y4033" s="40"/>
    </row>
    <row r="4034" spans="24:25" x14ac:dyDescent="0.35">
      <c r="X4034" s="40"/>
      <c r="Y4034" s="40"/>
    </row>
    <row r="4035" spans="24:25" x14ac:dyDescent="0.35">
      <c r="X4035" s="40"/>
      <c r="Y4035" s="40"/>
    </row>
    <row r="4036" spans="24:25" x14ac:dyDescent="0.35">
      <c r="X4036" s="40"/>
      <c r="Y4036" s="40"/>
    </row>
    <row r="4037" spans="24:25" x14ac:dyDescent="0.35">
      <c r="X4037" s="40"/>
      <c r="Y4037" s="40"/>
    </row>
    <row r="4038" spans="24:25" x14ac:dyDescent="0.35">
      <c r="X4038" s="40"/>
      <c r="Y4038" s="40"/>
    </row>
    <row r="4039" spans="24:25" x14ac:dyDescent="0.35">
      <c r="X4039" s="40"/>
      <c r="Y4039" s="40"/>
    </row>
    <row r="4040" spans="24:25" x14ac:dyDescent="0.35">
      <c r="X4040" s="40"/>
      <c r="Y4040" s="40"/>
    </row>
    <row r="4041" spans="24:25" x14ac:dyDescent="0.35">
      <c r="X4041" s="40"/>
      <c r="Y4041" s="40"/>
    </row>
    <row r="4042" spans="24:25" x14ac:dyDescent="0.35">
      <c r="X4042" s="40"/>
      <c r="Y4042" s="40"/>
    </row>
    <row r="4043" spans="24:25" x14ac:dyDescent="0.35">
      <c r="X4043" s="40"/>
      <c r="Y4043" s="40"/>
    </row>
    <row r="4044" spans="24:25" x14ac:dyDescent="0.35">
      <c r="X4044" s="40"/>
      <c r="Y4044" s="40"/>
    </row>
    <row r="4045" spans="24:25" x14ac:dyDescent="0.35">
      <c r="X4045" s="40"/>
      <c r="Y4045" s="40"/>
    </row>
    <row r="4046" spans="24:25" x14ac:dyDescent="0.35">
      <c r="X4046" s="40"/>
      <c r="Y4046" s="40"/>
    </row>
    <row r="4047" spans="24:25" x14ac:dyDescent="0.35">
      <c r="X4047" s="40"/>
      <c r="Y4047" s="40"/>
    </row>
    <row r="4048" spans="24:25" x14ac:dyDescent="0.35">
      <c r="X4048" s="40"/>
      <c r="Y4048" s="40"/>
    </row>
    <row r="4049" spans="24:25" x14ac:dyDescent="0.35">
      <c r="X4049" s="40"/>
      <c r="Y4049" s="40"/>
    </row>
    <row r="4050" spans="24:25" x14ac:dyDescent="0.35">
      <c r="X4050" s="40"/>
      <c r="Y4050" s="40"/>
    </row>
    <row r="4051" spans="24:25" x14ac:dyDescent="0.35">
      <c r="X4051" s="40"/>
      <c r="Y4051" s="40"/>
    </row>
    <row r="4052" spans="24:25" x14ac:dyDescent="0.35">
      <c r="X4052" s="40"/>
      <c r="Y4052" s="40"/>
    </row>
    <row r="4053" spans="24:25" x14ac:dyDescent="0.35">
      <c r="X4053" s="40"/>
      <c r="Y4053" s="40"/>
    </row>
    <row r="4054" spans="24:25" x14ac:dyDescent="0.35">
      <c r="X4054" s="40"/>
      <c r="Y4054" s="40"/>
    </row>
    <row r="4055" spans="24:25" x14ac:dyDescent="0.35">
      <c r="X4055" s="40"/>
      <c r="Y4055" s="40"/>
    </row>
    <row r="4056" spans="24:25" x14ac:dyDescent="0.35">
      <c r="X4056" s="40"/>
      <c r="Y4056" s="40"/>
    </row>
    <row r="4057" spans="24:25" x14ac:dyDescent="0.35">
      <c r="X4057" s="40"/>
      <c r="Y4057" s="40"/>
    </row>
    <row r="4058" spans="24:25" x14ac:dyDescent="0.35">
      <c r="X4058" s="40"/>
      <c r="Y4058" s="40"/>
    </row>
    <row r="4059" spans="24:25" x14ac:dyDescent="0.35">
      <c r="X4059" s="40"/>
      <c r="Y4059" s="40"/>
    </row>
    <row r="4060" spans="24:25" x14ac:dyDescent="0.35">
      <c r="X4060" s="40"/>
      <c r="Y4060" s="40"/>
    </row>
    <row r="4061" spans="24:25" x14ac:dyDescent="0.35">
      <c r="X4061" s="40"/>
      <c r="Y4061" s="40"/>
    </row>
    <row r="4062" spans="24:25" x14ac:dyDescent="0.35">
      <c r="X4062" s="40"/>
      <c r="Y4062" s="40"/>
    </row>
    <row r="4063" spans="24:25" x14ac:dyDescent="0.35">
      <c r="X4063" s="40"/>
      <c r="Y4063" s="40"/>
    </row>
    <row r="4064" spans="24:25" x14ac:dyDescent="0.35">
      <c r="X4064" s="40"/>
      <c r="Y4064" s="40"/>
    </row>
    <row r="4065" spans="24:25" x14ac:dyDescent="0.35">
      <c r="X4065" s="40"/>
      <c r="Y4065" s="40"/>
    </row>
    <row r="4066" spans="24:25" x14ac:dyDescent="0.35">
      <c r="X4066" s="40"/>
      <c r="Y4066" s="40"/>
    </row>
    <row r="4067" spans="24:25" x14ac:dyDescent="0.35">
      <c r="X4067" s="40"/>
      <c r="Y4067" s="40"/>
    </row>
    <row r="4068" spans="24:25" x14ac:dyDescent="0.35">
      <c r="X4068" s="40"/>
      <c r="Y4068" s="40"/>
    </row>
    <row r="4069" spans="24:25" x14ac:dyDescent="0.35">
      <c r="X4069" s="40"/>
      <c r="Y4069" s="40"/>
    </row>
    <row r="4070" spans="24:25" x14ac:dyDescent="0.35">
      <c r="X4070" s="40"/>
      <c r="Y4070" s="40"/>
    </row>
    <row r="4071" spans="24:25" x14ac:dyDescent="0.35">
      <c r="X4071" s="40"/>
      <c r="Y4071" s="40"/>
    </row>
    <row r="4072" spans="24:25" x14ac:dyDescent="0.35">
      <c r="X4072" s="40"/>
      <c r="Y4072" s="40"/>
    </row>
    <row r="4073" spans="24:25" x14ac:dyDescent="0.35">
      <c r="X4073" s="40"/>
      <c r="Y4073" s="40"/>
    </row>
    <row r="4074" spans="24:25" x14ac:dyDescent="0.35">
      <c r="X4074" s="40"/>
      <c r="Y4074" s="40"/>
    </row>
    <row r="4075" spans="24:25" x14ac:dyDescent="0.35">
      <c r="X4075" s="40"/>
      <c r="Y4075" s="40"/>
    </row>
    <row r="4076" spans="24:25" x14ac:dyDescent="0.35">
      <c r="X4076" s="40"/>
      <c r="Y4076" s="40"/>
    </row>
    <row r="4077" spans="24:25" x14ac:dyDescent="0.35">
      <c r="X4077" s="40"/>
      <c r="Y4077" s="40"/>
    </row>
    <row r="4078" spans="24:25" x14ac:dyDescent="0.35">
      <c r="X4078" s="40"/>
      <c r="Y4078" s="40"/>
    </row>
    <row r="4079" spans="24:25" x14ac:dyDescent="0.35">
      <c r="X4079" s="40"/>
      <c r="Y4079" s="40"/>
    </row>
    <row r="4080" spans="24:25" x14ac:dyDescent="0.35">
      <c r="X4080" s="40"/>
      <c r="Y4080" s="40"/>
    </row>
    <row r="4081" spans="24:25" x14ac:dyDescent="0.35">
      <c r="X4081" s="40"/>
      <c r="Y4081" s="40"/>
    </row>
    <row r="4082" spans="24:25" x14ac:dyDescent="0.35">
      <c r="X4082" s="40"/>
      <c r="Y4082" s="40"/>
    </row>
    <row r="4083" spans="24:25" x14ac:dyDescent="0.35">
      <c r="X4083" s="40"/>
      <c r="Y4083" s="40"/>
    </row>
    <row r="4084" spans="24:25" x14ac:dyDescent="0.35">
      <c r="X4084" s="40"/>
      <c r="Y4084" s="40"/>
    </row>
    <row r="4085" spans="24:25" x14ac:dyDescent="0.35">
      <c r="X4085" s="40"/>
      <c r="Y4085" s="40"/>
    </row>
    <row r="4086" spans="24:25" x14ac:dyDescent="0.35">
      <c r="X4086" s="40"/>
      <c r="Y4086" s="40"/>
    </row>
    <row r="4087" spans="24:25" x14ac:dyDescent="0.35">
      <c r="X4087" s="40"/>
      <c r="Y4087" s="40"/>
    </row>
    <row r="4088" spans="24:25" x14ac:dyDescent="0.35">
      <c r="X4088" s="40"/>
      <c r="Y4088" s="40"/>
    </row>
    <row r="4089" spans="24:25" x14ac:dyDescent="0.35">
      <c r="X4089" s="40"/>
      <c r="Y4089" s="40"/>
    </row>
    <row r="4090" spans="24:25" x14ac:dyDescent="0.35">
      <c r="X4090" s="40"/>
      <c r="Y4090" s="40"/>
    </row>
    <row r="4091" spans="24:25" x14ac:dyDescent="0.35">
      <c r="X4091" s="40"/>
      <c r="Y4091" s="40"/>
    </row>
    <row r="4092" spans="24:25" x14ac:dyDescent="0.35">
      <c r="X4092" s="40"/>
      <c r="Y4092" s="40"/>
    </row>
    <row r="4093" spans="24:25" x14ac:dyDescent="0.35">
      <c r="X4093" s="40"/>
      <c r="Y4093" s="40"/>
    </row>
    <row r="4094" spans="24:25" x14ac:dyDescent="0.35">
      <c r="X4094" s="40"/>
      <c r="Y4094" s="40"/>
    </row>
    <row r="4095" spans="24:25" x14ac:dyDescent="0.35">
      <c r="X4095" s="40"/>
      <c r="Y4095" s="40"/>
    </row>
    <row r="4096" spans="24:25" x14ac:dyDescent="0.35">
      <c r="X4096" s="40"/>
      <c r="Y4096" s="40"/>
    </row>
    <row r="4097" spans="24:25" x14ac:dyDescent="0.35">
      <c r="X4097" s="40"/>
      <c r="Y4097" s="40"/>
    </row>
    <row r="4098" spans="24:25" x14ac:dyDescent="0.35">
      <c r="X4098" s="40"/>
      <c r="Y4098" s="40"/>
    </row>
    <row r="4099" spans="24:25" x14ac:dyDescent="0.35">
      <c r="X4099" s="40"/>
      <c r="Y4099" s="40"/>
    </row>
    <row r="4100" spans="24:25" x14ac:dyDescent="0.35">
      <c r="X4100" s="40"/>
      <c r="Y4100" s="40"/>
    </row>
    <row r="4101" spans="24:25" x14ac:dyDescent="0.35">
      <c r="X4101" s="40"/>
      <c r="Y4101" s="40"/>
    </row>
    <row r="4102" spans="24:25" x14ac:dyDescent="0.35">
      <c r="X4102" s="40"/>
      <c r="Y4102" s="40"/>
    </row>
    <row r="4103" spans="24:25" x14ac:dyDescent="0.35">
      <c r="X4103" s="40"/>
      <c r="Y4103" s="40"/>
    </row>
    <row r="4104" spans="24:25" x14ac:dyDescent="0.35">
      <c r="X4104" s="40"/>
      <c r="Y4104" s="40"/>
    </row>
    <row r="4105" spans="24:25" x14ac:dyDescent="0.35">
      <c r="X4105" s="40"/>
      <c r="Y4105" s="40"/>
    </row>
    <row r="4106" spans="24:25" x14ac:dyDescent="0.35">
      <c r="X4106" s="40"/>
      <c r="Y4106" s="40"/>
    </row>
    <row r="4107" spans="24:25" x14ac:dyDescent="0.35">
      <c r="X4107" s="40"/>
      <c r="Y4107" s="40"/>
    </row>
    <row r="4108" spans="24:25" x14ac:dyDescent="0.35">
      <c r="X4108" s="40"/>
      <c r="Y4108" s="40"/>
    </row>
    <row r="4109" spans="24:25" x14ac:dyDescent="0.35">
      <c r="X4109" s="40"/>
      <c r="Y4109" s="40"/>
    </row>
    <row r="4110" spans="24:25" x14ac:dyDescent="0.35">
      <c r="X4110" s="40"/>
      <c r="Y4110" s="40"/>
    </row>
    <row r="4111" spans="24:25" x14ac:dyDescent="0.35">
      <c r="X4111" s="40"/>
      <c r="Y4111" s="40"/>
    </row>
    <row r="4112" spans="24:25" x14ac:dyDescent="0.35">
      <c r="X4112" s="40"/>
      <c r="Y4112" s="40"/>
    </row>
    <row r="4113" spans="24:25" x14ac:dyDescent="0.35">
      <c r="X4113" s="40"/>
      <c r="Y4113" s="40"/>
    </row>
    <row r="4114" spans="24:25" x14ac:dyDescent="0.35">
      <c r="X4114" s="40"/>
      <c r="Y4114" s="40"/>
    </row>
    <row r="4115" spans="24:25" x14ac:dyDescent="0.35">
      <c r="X4115" s="40"/>
      <c r="Y4115" s="40"/>
    </row>
    <row r="4116" spans="24:25" x14ac:dyDescent="0.35">
      <c r="X4116" s="40"/>
      <c r="Y4116" s="40"/>
    </row>
    <row r="4117" spans="24:25" x14ac:dyDescent="0.35">
      <c r="X4117" s="40"/>
      <c r="Y4117" s="40"/>
    </row>
    <row r="4118" spans="24:25" x14ac:dyDescent="0.35">
      <c r="X4118" s="40"/>
      <c r="Y4118" s="40"/>
    </row>
    <row r="4119" spans="24:25" x14ac:dyDescent="0.35">
      <c r="X4119" s="40"/>
      <c r="Y4119" s="40"/>
    </row>
    <row r="4120" spans="24:25" x14ac:dyDescent="0.35">
      <c r="X4120" s="40"/>
      <c r="Y4120" s="40"/>
    </row>
    <row r="4121" spans="24:25" x14ac:dyDescent="0.35">
      <c r="X4121" s="40"/>
      <c r="Y4121" s="40"/>
    </row>
    <row r="4122" spans="24:25" x14ac:dyDescent="0.35">
      <c r="X4122" s="40"/>
      <c r="Y4122" s="40"/>
    </row>
    <row r="4123" spans="24:25" x14ac:dyDescent="0.35">
      <c r="X4123" s="40"/>
      <c r="Y4123" s="40"/>
    </row>
    <row r="4124" spans="24:25" x14ac:dyDescent="0.35">
      <c r="X4124" s="40"/>
      <c r="Y4124" s="40"/>
    </row>
    <row r="4125" spans="24:25" x14ac:dyDescent="0.35">
      <c r="X4125" s="40"/>
      <c r="Y4125" s="40"/>
    </row>
    <row r="4126" spans="24:25" x14ac:dyDescent="0.35">
      <c r="X4126" s="40"/>
      <c r="Y4126" s="40"/>
    </row>
    <row r="4127" spans="24:25" x14ac:dyDescent="0.35">
      <c r="X4127" s="40"/>
      <c r="Y4127" s="40"/>
    </row>
    <row r="4128" spans="24:25" x14ac:dyDescent="0.35">
      <c r="X4128" s="40"/>
      <c r="Y4128" s="40"/>
    </row>
    <row r="4129" spans="24:25" x14ac:dyDescent="0.35">
      <c r="X4129" s="40"/>
      <c r="Y4129" s="40"/>
    </row>
    <row r="4130" spans="24:25" x14ac:dyDescent="0.35">
      <c r="X4130" s="40"/>
      <c r="Y4130" s="40"/>
    </row>
    <row r="4131" spans="24:25" x14ac:dyDescent="0.35">
      <c r="X4131" s="40"/>
      <c r="Y4131" s="40"/>
    </row>
    <row r="4132" spans="24:25" x14ac:dyDescent="0.35">
      <c r="X4132" s="40"/>
      <c r="Y4132" s="40"/>
    </row>
    <row r="4133" spans="24:25" x14ac:dyDescent="0.35">
      <c r="X4133" s="40"/>
      <c r="Y4133" s="40"/>
    </row>
    <row r="4134" spans="24:25" x14ac:dyDescent="0.35">
      <c r="X4134" s="40"/>
      <c r="Y4134" s="40"/>
    </row>
    <row r="4135" spans="24:25" x14ac:dyDescent="0.35">
      <c r="X4135" s="40"/>
      <c r="Y4135" s="40"/>
    </row>
    <row r="4136" spans="24:25" x14ac:dyDescent="0.35">
      <c r="X4136" s="40"/>
      <c r="Y4136" s="40"/>
    </row>
    <row r="4137" spans="24:25" x14ac:dyDescent="0.35">
      <c r="X4137" s="40"/>
      <c r="Y4137" s="40"/>
    </row>
    <row r="4138" spans="24:25" x14ac:dyDescent="0.35">
      <c r="X4138" s="40"/>
      <c r="Y4138" s="40"/>
    </row>
    <row r="4139" spans="24:25" x14ac:dyDescent="0.35">
      <c r="X4139" s="40"/>
      <c r="Y4139" s="40"/>
    </row>
    <row r="4140" spans="24:25" x14ac:dyDescent="0.35">
      <c r="X4140" s="40"/>
      <c r="Y4140" s="40"/>
    </row>
    <row r="4141" spans="24:25" x14ac:dyDescent="0.35">
      <c r="X4141" s="40"/>
      <c r="Y4141" s="40"/>
    </row>
    <row r="4142" spans="24:25" x14ac:dyDescent="0.35">
      <c r="X4142" s="40"/>
      <c r="Y4142" s="40"/>
    </row>
    <row r="4143" spans="24:25" x14ac:dyDescent="0.35">
      <c r="X4143" s="40"/>
      <c r="Y4143" s="40"/>
    </row>
    <row r="4144" spans="24:25" x14ac:dyDescent="0.35">
      <c r="X4144" s="40"/>
      <c r="Y4144" s="40"/>
    </row>
    <row r="4145" spans="24:25" x14ac:dyDescent="0.35">
      <c r="X4145" s="40"/>
      <c r="Y4145" s="40"/>
    </row>
    <row r="4146" spans="24:25" x14ac:dyDescent="0.35">
      <c r="X4146" s="40"/>
      <c r="Y4146" s="40"/>
    </row>
    <row r="4147" spans="24:25" x14ac:dyDescent="0.35">
      <c r="X4147" s="40"/>
      <c r="Y4147" s="40"/>
    </row>
    <row r="4148" spans="24:25" x14ac:dyDescent="0.35">
      <c r="X4148" s="40"/>
      <c r="Y4148" s="40"/>
    </row>
    <row r="4149" spans="24:25" x14ac:dyDescent="0.35">
      <c r="X4149" s="40"/>
      <c r="Y4149" s="40"/>
    </row>
    <row r="4150" spans="24:25" x14ac:dyDescent="0.35">
      <c r="X4150" s="40"/>
      <c r="Y4150" s="40"/>
    </row>
    <row r="4151" spans="24:25" x14ac:dyDescent="0.35">
      <c r="X4151" s="40"/>
      <c r="Y4151" s="40"/>
    </row>
    <row r="4152" spans="24:25" x14ac:dyDescent="0.35">
      <c r="X4152" s="40"/>
      <c r="Y4152" s="40"/>
    </row>
    <row r="4153" spans="24:25" x14ac:dyDescent="0.35">
      <c r="X4153" s="40"/>
      <c r="Y4153" s="40"/>
    </row>
    <row r="4154" spans="24:25" x14ac:dyDescent="0.35">
      <c r="X4154" s="40"/>
      <c r="Y4154" s="40"/>
    </row>
    <row r="4155" spans="24:25" x14ac:dyDescent="0.35">
      <c r="X4155" s="40"/>
      <c r="Y4155" s="40"/>
    </row>
    <row r="4156" spans="24:25" x14ac:dyDescent="0.35">
      <c r="X4156" s="40"/>
      <c r="Y4156" s="40"/>
    </row>
    <row r="4157" spans="24:25" x14ac:dyDescent="0.35">
      <c r="X4157" s="40"/>
      <c r="Y4157" s="40"/>
    </row>
    <row r="4158" spans="24:25" x14ac:dyDescent="0.35">
      <c r="X4158" s="40"/>
      <c r="Y4158" s="40"/>
    </row>
    <row r="4159" spans="24:25" x14ac:dyDescent="0.35">
      <c r="X4159" s="40"/>
      <c r="Y4159" s="40"/>
    </row>
    <row r="4160" spans="24:25" x14ac:dyDescent="0.35">
      <c r="X4160" s="40"/>
      <c r="Y4160" s="40"/>
    </row>
    <row r="4161" spans="24:25" x14ac:dyDescent="0.35">
      <c r="X4161" s="40"/>
      <c r="Y4161" s="40"/>
    </row>
    <row r="4162" spans="24:25" x14ac:dyDescent="0.35">
      <c r="X4162" s="40"/>
      <c r="Y4162" s="40"/>
    </row>
    <row r="4163" spans="24:25" x14ac:dyDescent="0.35">
      <c r="X4163" s="40"/>
      <c r="Y4163" s="40"/>
    </row>
    <row r="4164" spans="24:25" x14ac:dyDescent="0.35">
      <c r="X4164" s="40"/>
      <c r="Y4164" s="40"/>
    </row>
    <row r="4165" spans="24:25" x14ac:dyDescent="0.35">
      <c r="X4165" s="40"/>
      <c r="Y4165" s="40"/>
    </row>
    <row r="4166" spans="24:25" x14ac:dyDescent="0.35">
      <c r="X4166" s="40"/>
      <c r="Y4166" s="40"/>
    </row>
    <row r="4167" spans="24:25" x14ac:dyDescent="0.35">
      <c r="X4167" s="40"/>
      <c r="Y4167" s="40"/>
    </row>
    <row r="4168" spans="24:25" x14ac:dyDescent="0.35">
      <c r="X4168" s="40"/>
      <c r="Y4168" s="40"/>
    </row>
    <row r="4169" spans="24:25" x14ac:dyDescent="0.35">
      <c r="X4169" s="40"/>
      <c r="Y4169" s="40"/>
    </row>
    <row r="4170" spans="24:25" x14ac:dyDescent="0.35">
      <c r="X4170" s="40"/>
      <c r="Y4170" s="40"/>
    </row>
    <row r="4171" spans="24:25" x14ac:dyDescent="0.35">
      <c r="X4171" s="40"/>
      <c r="Y4171" s="40"/>
    </row>
    <row r="4172" spans="24:25" x14ac:dyDescent="0.35">
      <c r="X4172" s="40"/>
      <c r="Y4172" s="40"/>
    </row>
    <row r="4173" spans="24:25" x14ac:dyDescent="0.35">
      <c r="X4173" s="40"/>
      <c r="Y4173" s="40"/>
    </row>
    <row r="4174" spans="24:25" x14ac:dyDescent="0.35">
      <c r="X4174" s="40"/>
      <c r="Y4174" s="40"/>
    </row>
    <row r="4175" spans="24:25" x14ac:dyDescent="0.35">
      <c r="X4175" s="40"/>
      <c r="Y4175" s="40"/>
    </row>
    <row r="4176" spans="24:25" x14ac:dyDescent="0.35">
      <c r="X4176" s="40"/>
      <c r="Y4176" s="40"/>
    </row>
    <row r="4177" spans="24:25" x14ac:dyDescent="0.35">
      <c r="X4177" s="40"/>
      <c r="Y4177" s="40"/>
    </row>
    <row r="4178" spans="24:25" x14ac:dyDescent="0.35">
      <c r="X4178" s="40"/>
      <c r="Y4178" s="40"/>
    </row>
    <row r="4179" spans="24:25" x14ac:dyDescent="0.35">
      <c r="X4179" s="40"/>
      <c r="Y4179" s="40"/>
    </row>
    <row r="4180" spans="24:25" x14ac:dyDescent="0.35">
      <c r="X4180" s="40"/>
      <c r="Y4180" s="40"/>
    </row>
    <row r="4181" spans="24:25" x14ac:dyDescent="0.35">
      <c r="X4181" s="40"/>
      <c r="Y4181" s="40"/>
    </row>
    <row r="4182" spans="24:25" x14ac:dyDescent="0.35">
      <c r="X4182" s="40"/>
      <c r="Y4182" s="40"/>
    </row>
    <row r="4183" spans="24:25" x14ac:dyDescent="0.35">
      <c r="X4183" s="40"/>
      <c r="Y4183" s="40"/>
    </row>
    <row r="4184" spans="24:25" x14ac:dyDescent="0.35">
      <c r="X4184" s="40"/>
      <c r="Y4184" s="40"/>
    </row>
    <row r="4185" spans="24:25" x14ac:dyDescent="0.35">
      <c r="X4185" s="40"/>
      <c r="Y4185" s="40"/>
    </row>
    <row r="4186" spans="24:25" x14ac:dyDescent="0.35">
      <c r="X4186" s="40"/>
      <c r="Y4186" s="40"/>
    </row>
    <row r="4187" spans="24:25" x14ac:dyDescent="0.35">
      <c r="X4187" s="40"/>
      <c r="Y4187" s="40"/>
    </row>
    <row r="4188" spans="24:25" x14ac:dyDescent="0.35">
      <c r="X4188" s="40"/>
      <c r="Y4188" s="40"/>
    </row>
    <row r="4189" spans="24:25" x14ac:dyDescent="0.35">
      <c r="X4189" s="40"/>
      <c r="Y4189" s="40"/>
    </row>
    <row r="4190" spans="24:25" x14ac:dyDescent="0.35">
      <c r="X4190" s="40"/>
      <c r="Y4190" s="40"/>
    </row>
    <row r="4191" spans="24:25" x14ac:dyDescent="0.35">
      <c r="X4191" s="40"/>
      <c r="Y4191" s="40"/>
    </row>
    <row r="4192" spans="24:25" x14ac:dyDescent="0.35">
      <c r="X4192" s="40"/>
      <c r="Y4192" s="40"/>
    </row>
    <row r="4193" spans="24:25" x14ac:dyDescent="0.35">
      <c r="X4193" s="40"/>
      <c r="Y4193" s="40"/>
    </row>
    <row r="4194" spans="24:25" x14ac:dyDescent="0.35">
      <c r="X4194" s="40"/>
      <c r="Y4194" s="40"/>
    </row>
    <row r="4195" spans="24:25" x14ac:dyDescent="0.35">
      <c r="X4195" s="40"/>
      <c r="Y4195" s="40"/>
    </row>
    <row r="4196" spans="24:25" x14ac:dyDescent="0.35">
      <c r="X4196" s="40"/>
      <c r="Y4196" s="40"/>
    </row>
    <row r="4197" spans="24:25" x14ac:dyDescent="0.35">
      <c r="X4197" s="40"/>
      <c r="Y4197" s="40"/>
    </row>
    <row r="4198" spans="24:25" x14ac:dyDescent="0.35">
      <c r="X4198" s="40"/>
      <c r="Y4198" s="40"/>
    </row>
    <row r="4199" spans="24:25" x14ac:dyDescent="0.35">
      <c r="X4199" s="40"/>
      <c r="Y4199" s="40"/>
    </row>
    <row r="4200" spans="24:25" x14ac:dyDescent="0.35">
      <c r="X4200" s="40"/>
      <c r="Y4200" s="40"/>
    </row>
    <row r="4201" spans="24:25" x14ac:dyDescent="0.35">
      <c r="X4201" s="40"/>
      <c r="Y4201" s="40"/>
    </row>
    <row r="4202" spans="24:25" x14ac:dyDescent="0.35">
      <c r="X4202" s="40"/>
      <c r="Y4202" s="40"/>
    </row>
    <row r="4203" spans="24:25" x14ac:dyDescent="0.35">
      <c r="X4203" s="40"/>
      <c r="Y4203" s="40"/>
    </row>
    <row r="4204" spans="24:25" x14ac:dyDescent="0.35">
      <c r="X4204" s="40"/>
      <c r="Y4204" s="40"/>
    </row>
    <row r="4205" spans="24:25" x14ac:dyDescent="0.35">
      <c r="X4205" s="40"/>
      <c r="Y4205" s="40"/>
    </row>
    <row r="4206" spans="24:25" x14ac:dyDescent="0.35">
      <c r="X4206" s="40"/>
      <c r="Y4206" s="40"/>
    </row>
    <row r="4207" spans="24:25" x14ac:dyDescent="0.35">
      <c r="X4207" s="40"/>
      <c r="Y4207" s="40"/>
    </row>
    <row r="4208" spans="24:25" x14ac:dyDescent="0.35">
      <c r="X4208" s="40"/>
      <c r="Y4208" s="40"/>
    </row>
    <row r="4209" spans="24:25" x14ac:dyDescent="0.35">
      <c r="X4209" s="40"/>
      <c r="Y4209" s="40"/>
    </row>
    <row r="4210" spans="24:25" x14ac:dyDescent="0.35">
      <c r="X4210" s="40"/>
      <c r="Y4210" s="40"/>
    </row>
    <row r="4211" spans="24:25" x14ac:dyDescent="0.35">
      <c r="X4211" s="40"/>
      <c r="Y4211" s="40"/>
    </row>
    <row r="4212" spans="24:25" x14ac:dyDescent="0.35">
      <c r="X4212" s="40"/>
      <c r="Y4212" s="40"/>
    </row>
    <row r="4213" spans="24:25" x14ac:dyDescent="0.35">
      <c r="X4213" s="40"/>
      <c r="Y4213" s="40"/>
    </row>
    <row r="4214" spans="24:25" x14ac:dyDescent="0.35">
      <c r="X4214" s="40"/>
      <c r="Y4214" s="40"/>
    </row>
    <row r="4215" spans="24:25" x14ac:dyDescent="0.35">
      <c r="X4215" s="40"/>
      <c r="Y4215" s="40"/>
    </row>
    <row r="4216" spans="24:25" x14ac:dyDescent="0.35">
      <c r="X4216" s="40"/>
      <c r="Y4216" s="40"/>
    </row>
    <row r="4217" spans="24:25" x14ac:dyDescent="0.35">
      <c r="X4217" s="40"/>
      <c r="Y4217" s="40"/>
    </row>
    <row r="4218" spans="24:25" x14ac:dyDescent="0.35">
      <c r="X4218" s="40"/>
      <c r="Y4218" s="40"/>
    </row>
    <row r="4219" spans="24:25" x14ac:dyDescent="0.35">
      <c r="X4219" s="40"/>
      <c r="Y4219" s="40"/>
    </row>
    <row r="4220" spans="24:25" x14ac:dyDescent="0.35">
      <c r="X4220" s="40"/>
      <c r="Y4220" s="40"/>
    </row>
    <row r="4221" spans="24:25" x14ac:dyDescent="0.35">
      <c r="X4221" s="40"/>
      <c r="Y4221" s="40"/>
    </row>
    <row r="4222" spans="24:25" x14ac:dyDescent="0.35">
      <c r="X4222" s="40"/>
      <c r="Y4222" s="40"/>
    </row>
    <row r="4223" spans="24:25" x14ac:dyDescent="0.35">
      <c r="X4223" s="40"/>
      <c r="Y4223" s="40"/>
    </row>
    <row r="4224" spans="24:25" x14ac:dyDescent="0.35">
      <c r="X4224" s="40"/>
      <c r="Y4224" s="40"/>
    </row>
    <row r="4225" spans="24:25" x14ac:dyDescent="0.35">
      <c r="X4225" s="40"/>
      <c r="Y4225" s="40"/>
    </row>
    <row r="4226" spans="24:25" x14ac:dyDescent="0.35">
      <c r="X4226" s="40"/>
      <c r="Y4226" s="40"/>
    </row>
    <row r="4227" spans="24:25" x14ac:dyDescent="0.35">
      <c r="X4227" s="40"/>
      <c r="Y4227" s="40"/>
    </row>
    <row r="4228" spans="24:25" x14ac:dyDescent="0.35">
      <c r="X4228" s="40"/>
      <c r="Y4228" s="40"/>
    </row>
    <row r="4229" spans="24:25" x14ac:dyDescent="0.35">
      <c r="X4229" s="40"/>
      <c r="Y4229" s="40"/>
    </row>
    <row r="4230" spans="24:25" x14ac:dyDescent="0.35">
      <c r="X4230" s="40"/>
      <c r="Y4230" s="40"/>
    </row>
    <row r="4231" spans="24:25" x14ac:dyDescent="0.35">
      <c r="X4231" s="40"/>
      <c r="Y4231" s="40"/>
    </row>
    <row r="4232" spans="24:25" x14ac:dyDescent="0.35">
      <c r="X4232" s="40"/>
      <c r="Y4232" s="40"/>
    </row>
    <row r="4233" spans="24:25" x14ac:dyDescent="0.35">
      <c r="X4233" s="40"/>
      <c r="Y4233" s="40"/>
    </row>
    <row r="4234" spans="24:25" x14ac:dyDescent="0.35">
      <c r="X4234" s="40"/>
      <c r="Y4234" s="40"/>
    </row>
    <row r="4235" spans="24:25" x14ac:dyDescent="0.35">
      <c r="X4235" s="40"/>
      <c r="Y4235" s="40"/>
    </row>
    <row r="4236" spans="24:25" x14ac:dyDescent="0.35">
      <c r="X4236" s="40"/>
      <c r="Y4236" s="40"/>
    </row>
    <row r="4237" spans="24:25" x14ac:dyDescent="0.35">
      <c r="X4237" s="40"/>
      <c r="Y4237" s="40"/>
    </row>
    <row r="4238" spans="24:25" x14ac:dyDescent="0.35">
      <c r="X4238" s="40"/>
      <c r="Y4238" s="40"/>
    </row>
    <row r="4239" spans="24:25" x14ac:dyDescent="0.35">
      <c r="X4239" s="40"/>
      <c r="Y4239" s="40"/>
    </row>
    <row r="4240" spans="24:25" x14ac:dyDescent="0.35">
      <c r="X4240" s="40"/>
      <c r="Y4240" s="40"/>
    </row>
    <row r="4241" spans="24:25" x14ac:dyDescent="0.35">
      <c r="X4241" s="40"/>
      <c r="Y4241" s="40"/>
    </row>
    <row r="4242" spans="24:25" x14ac:dyDescent="0.35">
      <c r="X4242" s="40"/>
      <c r="Y4242" s="40"/>
    </row>
    <row r="4243" spans="24:25" x14ac:dyDescent="0.35">
      <c r="X4243" s="40"/>
      <c r="Y4243" s="40"/>
    </row>
    <row r="4244" spans="24:25" x14ac:dyDescent="0.35">
      <c r="X4244" s="40"/>
      <c r="Y4244" s="40"/>
    </row>
    <row r="4245" spans="24:25" x14ac:dyDescent="0.35">
      <c r="X4245" s="40"/>
      <c r="Y4245" s="40"/>
    </row>
    <row r="4246" spans="24:25" x14ac:dyDescent="0.35">
      <c r="X4246" s="40"/>
      <c r="Y4246" s="40"/>
    </row>
    <row r="4247" spans="24:25" x14ac:dyDescent="0.35">
      <c r="X4247" s="40"/>
      <c r="Y4247" s="40"/>
    </row>
    <row r="4248" spans="24:25" x14ac:dyDescent="0.35">
      <c r="X4248" s="40"/>
      <c r="Y4248" s="40"/>
    </row>
    <row r="4249" spans="24:25" x14ac:dyDescent="0.35">
      <c r="X4249" s="40"/>
      <c r="Y4249" s="40"/>
    </row>
    <row r="4250" spans="24:25" x14ac:dyDescent="0.35">
      <c r="X4250" s="40"/>
      <c r="Y4250" s="40"/>
    </row>
    <row r="4251" spans="24:25" x14ac:dyDescent="0.35">
      <c r="X4251" s="40"/>
      <c r="Y4251" s="40"/>
    </row>
    <row r="4252" spans="24:25" x14ac:dyDescent="0.35">
      <c r="X4252" s="40"/>
      <c r="Y4252" s="40"/>
    </row>
    <row r="4253" spans="24:25" x14ac:dyDescent="0.35">
      <c r="X4253" s="40"/>
      <c r="Y4253" s="40"/>
    </row>
    <row r="4254" spans="24:25" x14ac:dyDescent="0.35">
      <c r="X4254" s="40"/>
      <c r="Y4254" s="40"/>
    </row>
    <row r="4255" spans="24:25" x14ac:dyDescent="0.35">
      <c r="X4255" s="40"/>
      <c r="Y4255" s="40"/>
    </row>
    <row r="4256" spans="24:25" x14ac:dyDescent="0.35">
      <c r="X4256" s="40"/>
      <c r="Y4256" s="40"/>
    </row>
    <row r="4257" spans="24:25" x14ac:dyDescent="0.35">
      <c r="X4257" s="40"/>
      <c r="Y4257" s="40"/>
    </row>
    <row r="4258" spans="24:25" x14ac:dyDescent="0.35">
      <c r="X4258" s="40"/>
      <c r="Y4258" s="40"/>
    </row>
    <row r="4259" spans="24:25" x14ac:dyDescent="0.35">
      <c r="X4259" s="40"/>
      <c r="Y4259" s="40"/>
    </row>
    <row r="4260" spans="24:25" x14ac:dyDescent="0.35">
      <c r="X4260" s="40"/>
      <c r="Y4260" s="40"/>
    </row>
    <row r="4261" spans="24:25" x14ac:dyDescent="0.35">
      <c r="X4261" s="40"/>
      <c r="Y4261" s="40"/>
    </row>
    <row r="4262" spans="24:25" x14ac:dyDescent="0.35">
      <c r="X4262" s="40"/>
      <c r="Y4262" s="40"/>
    </row>
    <row r="4263" spans="24:25" x14ac:dyDescent="0.35">
      <c r="X4263" s="40"/>
      <c r="Y4263" s="40"/>
    </row>
    <row r="4264" spans="24:25" x14ac:dyDescent="0.35">
      <c r="X4264" s="40"/>
      <c r="Y4264" s="40"/>
    </row>
    <row r="4265" spans="24:25" x14ac:dyDescent="0.35">
      <c r="X4265" s="40"/>
      <c r="Y4265" s="40"/>
    </row>
    <row r="4266" spans="24:25" x14ac:dyDescent="0.35">
      <c r="X4266" s="40"/>
      <c r="Y4266" s="40"/>
    </row>
    <row r="4267" spans="24:25" x14ac:dyDescent="0.35">
      <c r="X4267" s="40"/>
      <c r="Y4267" s="40"/>
    </row>
    <row r="4268" spans="24:25" x14ac:dyDescent="0.35">
      <c r="X4268" s="40"/>
      <c r="Y4268" s="40"/>
    </row>
    <row r="4269" spans="24:25" x14ac:dyDescent="0.35">
      <c r="X4269" s="40"/>
      <c r="Y4269" s="40"/>
    </row>
    <row r="4270" spans="24:25" x14ac:dyDescent="0.35">
      <c r="X4270" s="40"/>
      <c r="Y4270" s="40"/>
    </row>
    <row r="4271" spans="24:25" x14ac:dyDescent="0.35">
      <c r="X4271" s="40"/>
      <c r="Y4271" s="40"/>
    </row>
    <row r="4272" spans="24:25" x14ac:dyDescent="0.35">
      <c r="X4272" s="40"/>
      <c r="Y4272" s="40"/>
    </row>
    <row r="4273" spans="24:25" x14ac:dyDescent="0.35">
      <c r="X4273" s="40"/>
      <c r="Y4273" s="40"/>
    </row>
    <row r="4274" spans="24:25" x14ac:dyDescent="0.35">
      <c r="X4274" s="40"/>
      <c r="Y4274" s="40"/>
    </row>
    <row r="4275" spans="24:25" x14ac:dyDescent="0.35">
      <c r="X4275" s="40"/>
      <c r="Y4275" s="40"/>
    </row>
    <row r="4276" spans="24:25" x14ac:dyDescent="0.35">
      <c r="X4276" s="40"/>
      <c r="Y4276" s="40"/>
    </row>
    <row r="4277" spans="24:25" x14ac:dyDescent="0.35">
      <c r="X4277" s="40"/>
      <c r="Y4277" s="40"/>
    </row>
    <row r="4278" spans="24:25" x14ac:dyDescent="0.35">
      <c r="X4278" s="40"/>
      <c r="Y4278" s="40"/>
    </row>
    <row r="4279" spans="24:25" x14ac:dyDescent="0.35">
      <c r="X4279" s="40"/>
      <c r="Y4279" s="40"/>
    </row>
    <row r="4280" spans="24:25" x14ac:dyDescent="0.35">
      <c r="X4280" s="40"/>
      <c r="Y4280" s="40"/>
    </row>
    <row r="4281" spans="24:25" x14ac:dyDescent="0.35">
      <c r="X4281" s="40"/>
      <c r="Y4281" s="40"/>
    </row>
    <row r="4282" spans="24:25" x14ac:dyDescent="0.35">
      <c r="X4282" s="40"/>
      <c r="Y4282" s="40"/>
    </row>
    <row r="4283" spans="24:25" x14ac:dyDescent="0.35">
      <c r="X4283" s="40"/>
      <c r="Y4283" s="40"/>
    </row>
    <row r="4284" spans="24:25" x14ac:dyDescent="0.35">
      <c r="X4284" s="40"/>
      <c r="Y4284" s="40"/>
    </row>
    <row r="4285" spans="24:25" x14ac:dyDescent="0.35">
      <c r="X4285" s="40"/>
      <c r="Y4285" s="40"/>
    </row>
    <row r="4286" spans="24:25" x14ac:dyDescent="0.35">
      <c r="X4286" s="40"/>
      <c r="Y4286" s="40"/>
    </row>
    <row r="4287" spans="24:25" x14ac:dyDescent="0.35">
      <c r="X4287" s="40"/>
      <c r="Y4287" s="40"/>
    </row>
    <row r="4288" spans="24:25" x14ac:dyDescent="0.35">
      <c r="X4288" s="40"/>
      <c r="Y4288" s="40"/>
    </row>
    <row r="4289" spans="24:25" x14ac:dyDescent="0.35">
      <c r="X4289" s="40"/>
      <c r="Y4289" s="40"/>
    </row>
    <row r="4290" spans="24:25" x14ac:dyDescent="0.35">
      <c r="X4290" s="40"/>
      <c r="Y4290" s="40"/>
    </row>
    <row r="4291" spans="24:25" x14ac:dyDescent="0.35">
      <c r="X4291" s="40"/>
      <c r="Y4291" s="40"/>
    </row>
    <row r="4292" spans="24:25" x14ac:dyDescent="0.35">
      <c r="X4292" s="40"/>
      <c r="Y4292" s="40"/>
    </row>
    <row r="4293" spans="24:25" x14ac:dyDescent="0.35">
      <c r="X4293" s="40"/>
      <c r="Y4293" s="40"/>
    </row>
    <row r="4294" spans="24:25" x14ac:dyDescent="0.35">
      <c r="X4294" s="40"/>
      <c r="Y4294" s="40"/>
    </row>
    <row r="4295" spans="24:25" x14ac:dyDescent="0.35">
      <c r="X4295" s="40"/>
      <c r="Y4295" s="40"/>
    </row>
    <row r="4296" spans="24:25" x14ac:dyDescent="0.35">
      <c r="X4296" s="40"/>
      <c r="Y4296" s="40"/>
    </row>
    <row r="4297" spans="24:25" x14ac:dyDescent="0.35">
      <c r="X4297" s="40"/>
      <c r="Y4297" s="40"/>
    </row>
    <row r="4298" spans="24:25" x14ac:dyDescent="0.35">
      <c r="X4298" s="40"/>
      <c r="Y4298" s="40"/>
    </row>
    <row r="4299" spans="24:25" x14ac:dyDescent="0.35">
      <c r="X4299" s="40"/>
      <c r="Y4299" s="40"/>
    </row>
    <row r="4300" spans="24:25" x14ac:dyDescent="0.35">
      <c r="X4300" s="40"/>
      <c r="Y4300" s="40"/>
    </row>
    <row r="4301" spans="24:25" x14ac:dyDescent="0.35">
      <c r="X4301" s="40"/>
      <c r="Y4301" s="40"/>
    </row>
    <row r="4302" spans="24:25" x14ac:dyDescent="0.35">
      <c r="X4302" s="40"/>
      <c r="Y4302" s="40"/>
    </row>
    <row r="4303" spans="24:25" x14ac:dyDescent="0.35">
      <c r="X4303" s="40"/>
      <c r="Y4303" s="40"/>
    </row>
    <row r="4304" spans="24:25" x14ac:dyDescent="0.35">
      <c r="X4304" s="40"/>
      <c r="Y4304" s="40"/>
    </row>
    <row r="4305" spans="24:25" x14ac:dyDescent="0.35">
      <c r="X4305" s="40"/>
      <c r="Y4305" s="40"/>
    </row>
    <row r="4306" spans="24:25" x14ac:dyDescent="0.35">
      <c r="X4306" s="40"/>
      <c r="Y4306" s="40"/>
    </row>
    <row r="4307" spans="24:25" x14ac:dyDescent="0.35">
      <c r="X4307" s="40"/>
      <c r="Y4307" s="40"/>
    </row>
    <row r="4308" spans="24:25" x14ac:dyDescent="0.35">
      <c r="X4308" s="40"/>
      <c r="Y4308" s="40"/>
    </row>
    <row r="4309" spans="24:25" x14ac:dyDescent="0.35">
      <c r="X4309" s="40"/>
      <c r="Y4309" s="40"/>
    </row>
    <row r="4310" spans="24:25" x14ac:dyDescent="0.35">
      <c r="X4310" s="40"/>
      <c r="Y4310" s="40"/>
    </row>
    <row r="4311" spans="24:25" x14ac:dyDescent="0.35">
      <c r="X4311" s="40"/>
      <c r="Y4311" s="40"/>
    </row>
    <row r="4312" spans="24:25" x14ac:dyDescent="0.35">
      <c r="X4312" s="40"/>
      <c r="Y4312" s="40"/>
    </row>
    <row r="4313" spans="24:25" x14ac:dyDescent="0.35">
      <c r="X4313" s="40"/>
      <c r="Y4313" s="40"/>
    </row>
    <row r="4314" spans="24:25" x14ac:dyDescent="0.35">
      <c r="X4314" s="40"/>
      <c r="Y4314" s="40"/>
    </row>
    <row r="4315" spans="24:25" x14ac:dyDescent="0.35">
      <c r="X4315" s="40"/>
      <c r="Y4315" s="40"/>
    </row>
    <row r="4316" spans="24:25" x14ac:dyDescent="0.35">
      <c r="X4316" s="40"/>
      <c r="Y4316" s="40"/>
    </row>
    <row r="4317" spans="24:25" x14ac:dyDescent="0.35">
      <c r="X4317" s="40"/>
      <c r="Y4317" s="40"/>
    </row>
    <row r="4318" spans="24:25" x14ac:dyDescent="0.35">
      <c r="X4318" s="40"/>
      <c r="Y4318" s="40"/>
    </row>
    <row r="4319" spans="24:25" x14ac:dyDescent="0.35">
      <c r="X4319" s="40"/>
      <c r="Y4319" s="40"/>
    </row>
    <row r="4320" spans="24:25" x14ac:dyDescent="0.35">
      <c r="X4320" s="40"/>
      <c r="Y4320" s="40"/>
    </row>
    <row r="4321" spans="24:25" x14ac:dyDescent="0.35">
      <c r="X4321" s="40"/>
      <c r="Y4321" s="40"/>
    </row>
    <row r="4322" spans="24:25" x14ac:dyDescent="0.35">
      <c r="X4322" s="40"/>
      <c r="Y4322" s="40"/>
    </row>
    <row r="4323" spans="24:25" x14ac:dyDescent="0.35">
      <c r="X4323" s="40"/>
      <c r="Y4323" s="40"/>
    </row>
    <row r="4324" spans="24:25" x14ac:dyDescent="0.35">
      <c r="X4324" s="40"/>
      <c r="Y4324" s="40"/>
    </row>
    <row r="4325" spans="24:25" x14ac:dyDescent="0.35">
      <c r="X4325" s="40"/>
      <c r="Y4325" s="40"/>
    </row>
    <row r="4326" spans="24:25" x14ac:dyDescent="0.35">
      <c r="X4326" s="40"/>
      <c r="Y4326" s="40"/>
    </row>
    <row r="4327" spans="24:25" x14ac:dyDescent="0.35">
      <c r="X4327" s="40"/>
      <c r="Y4327" s="40"/>
    </row>
    <row r="4328" spans="24:25" x14ac:dyDescent="0.35">
      <c r="X4328" s="40"/>
      <c r="Y4328" s="40"/>
    </row>
    <row r="4329" spans="24:25" x14ac:dyDescent="0.35">
      <c r="X4329" s="40"/>
      <c r="Y4329" s="40"/>
    </row>
    <row r="4330" spans="24:25" x14ac:dyDescent="0.35">
      <c r="X4330" s="40"/>
      <c r="Y4330" s="40"/>
    </row>
    <row r="4331" spans="24:25" x14ac:dyDescent="0.35">
      <c r="X4331" s="40"/>
      <c r="Y4331" s="40"/>
    </row>
    <row r="4332" spans="24:25" x14ac:dyDescent="0.35">
      <c r="X4332" s="40"/>
      <c r="Y4332" s="40"/>
    </row>
    <row r="4333" spans="24:25" x14ac:dyDescent="0.35">
      <c r="X4333" s="40"/>
      <c r="Y4333" s="40"/>
    </row>
    <row r="4334" spans="24:25" x14ac:dyDescent="0.35">
      <c r="X4334" s="40"/>
      <c r="Y4334" s="40"/>
    </row>
    <row r="4335" spans="24:25" x14ac:dyDescent="0.35">
      <c r="X4335" s="40"/>
      <c r="Y4335" s="40"/>
    </row>
    <row r="4336" spans="24:25" x14ac:dyDescent="0.35">
      <c r="X4336" s="40"/>
      <c r="Y4336" s="40"/>
    </row>
    <row r="4337" spans="24:25" x14ac:dyDescent="0.35">
      <c r="X4337" s="40"/>
      <c r="Y4337" s="40"/>
    </row>
    <row r="4338" spans="24:25" x14ac:dyDescent="0.35">
      <c r="X4338" s="40"/>
      <c r="Y4338" s="40"/>
    </row>
    <row r="4339" spans="24:25" x14ac:dyDescent="0.35">
      <c r="X4339" s="40"/>
      <c r="Y4339" s="40"/>
    </row>
    <row r="4340" spans="24:25" x14ac:dyDescent="0.35">
      <c r="X4340" s="40"/>
      <c r="Y4340" s="40"/>
    </row>
    <row r="4341" spans="24:25" x14ac:dyDescent="0.35">
      <c r="X4341" s="40"/>
      <c r="Y4341" s="40"/>
    </row>
    <row r="4342" spans="24:25" x14ac:dyDescent="0.35">
      <c r="X4342" s="40"/>
      <c r="Y4342" s="40"/>
    </row>
    <row r="4343" spans="24:25" x14ac:dyDescent="0.35">
      <c r="X4343" s="40"/>
      <c r="Y4343" s="40"/>
    </row>
    <row r="4344" spans="24:25" x14ac:dyDescent="0.35">
      <c r="X4344" s="40"/>
      <c r="Y4344" s="40"/>
    </row>
    <row r="4345" spans="24:25" x14ac:dyDescent="0.35">
      <c r="X4345" s="40"/>
      <c r="Y4345" s="40"/>
    </row>
    <row r="4346" spans="24:25" x14ac:dyDescent="0.35">
      <c r="X4346" s="40"/>
      <c r="Y4346" s="40"/>
    </row>
    <row r="4347" spans="24:25" x14ac:dyDescent="0.35">
      <c r="X4347" s="40"/>
      <c r="Y4347" s="40"/>
    </row>
    <row r="4348" spans="24:25" x14ac:dyDescent="0.35">
      <c r="X4348" s="40"/>
      <c r="Y4348" s="40"/>
    </row>
    <row r="4349" spans="24:25" x14ac:dyDescent="0.35">
      <c r="X4349" s="40"/>
      <c r="Y4349" s="40"/>
    </row>
    <row r="4350" spans="24:25" x14ac:dyDescent="0.35">
      <c r="X4350" s="40"/>
      <c r="Y4350" s="40"/>
    </row>
    <row r="4351" spans="24:25" x14ac:dyDescent="0.35">
      <c r="X4351" s="40"/>
      <c r="Y4351" s="40"/>
    </row>
    <row r="4352" spans="24:25" x14ac:dyDescent="0.35">
      <c r="X4352" s="40"/>
      <c r="Y4352" s="40"/>
    </row>
    <row r="4353" spans="24:25" x14ac:dyDescent="0.35">
      <c r="X4353" s="40"/>
      <c r="Y4353" s="40"/>
    </row>
    <row r="4354" spans="24:25" x14ac:dyDescent="0.35">
      <c r="X4354" s="40"/>
      <c r="Y4354" s="40"/>
    </row>
    <row r="4355" spans="24:25" x14ac:dyDescent="0.35">
      <c r="X4355" s="40"/>
      <c r="Y4355" s="40"/>
    </row>
    <row r="4356" spans="24:25" x14ac:dyDescent="0.35">
      <c r="X4356" s="40"/>
      <c r="Y4356" s="40"/>
    </row>
    <row r="4357" spans="24:25" x14ac:dyDescent="0.35">
      <c r="X4357" s="40"/>
      <c r="Y4357" s="40"/>
    </row>
    <row r="4358" spans="24:25" x14ac:dyDescent="0.35">
      <c r="X4358" s="40"/>
      <c r="Y4358" s="40"/>
    </row>
    <row r="4359" spans="24:25" x14ac:dyDescent="0.35">
      <c r="X4359" s="40"/>
      <c r="Y4359" s="40"/>
    </row>
    <row r="4360" spans="24:25" x14ac:dyDescent="0.35">
      <c r="X4360" s="40"/>
      <c r="Y4360" s="40"/>
    </row>
    <row r="4361" spans="24:25" x14ac:dyDescent="0.35">
      <c r="X4361" s="40"/>
      <c r="Y4361" s="40"/>
    </row>
    <row r="4362" spans="24:25" x14ac:dyDescent="0.35">
      <c r="X4362" s="40"/>
      <c r="Y4362" s="40"/>
    </row>
    <row r="4363" spans="24:25" x14ac:dyDescent="0.35">
      <c r="X4363" s="40"/>
      <c r="Y4363" s="40"/>
    </row>
    <row r="4364" spans="24:25" x14ac:dyDescent="0.35">
      <c r="X4364" s="40"/>
      <c r="Y4364" s="40"/>
    </row>
    <row r="4365" spans="24:25" x14ac:dyDescent="0.35">
      <c r="X4365" s="40"/>
      <c r="Y4365" s="40"/>
    </row>
    <row r="4366" spans="24:25" x14ac:dyDescent="0.35">
      <c r="X4366" s="40"/>
      <c r="Y4366" s="40"/>
    </row>
    <row r="4367" spans="24:25" x14ac:dyDescent="0.35">
      <c r="X4367" s="40"/>
      <c r="Y4367" s="40"/>
    </row>
    <row r="4368" spans="24:25" x14ac:dyDescent="0.35">
      <c r="X4368" s="40"/>
      <c r="Y4368" s="40"/>
    </row>
    <row r="4369" spans="24:25" x14ac:dyDescent="0.35">
      <c r="X4369" s="40"/>
      <c r="Y4369" s="40"/>
    </row>
    <row r="4370" spans="24:25" x14ac:dyDescent="0.35">
      <c r="X4370" s="40"/>
      <c r="Y4370" s="40"/>
    </row>
    <row r="4371" spans="24:25" x14ac:dyDescent="0.35">
      <c r="X4371" s="40"/>
      <c r="Y4371" s="40"/>
    </row>
    <row r="4372" spans="24:25" x14ac:dyDescent="0.35">
      <c r="X4372" s="40"/>
      <c r="Y4372" s="40"/>
    </row>
    <row r="4373" spans="24:25" x14ac:dyDescent="0.35">
      <c r="X4373" s="40"/>
      <c r="Y4373" s="40"/>
    </row>
    <row r="4374" spans="24:25" x14ac:dyDescent="0.35">
      <c r="X4374" s="40"/>
      <c r="Y4374" s="40"/>
    </row>
    <row r="4375" spans="24:25" x14ac:dyDescent="0.35">
      <c r="X4375" s="40"/>
      <c r="Y4375" s="40"/>
    </row>
    <row r="4376" spans="24:25" x14ac:dyDescent="0.35">
      <c r="X4376" s="40"/>
      <c r="Y4376" s="40"/>
    </row>
    <row r="4377" spans="24:25" x14ac:dyDescent="0.35">
      <c r="X4377" s="40"/>
      <c r="Y4377" s="40"/>
    </row>
    <row r="4378" spans="24:25" x14ac:dyDescent="0.35">
      <c r="X4378" s="40"/>
      <c r="Y4378" s="40"/>
    </row>
    <row r="4379" spans="24:25" x14ac:dyDescent="0.35">
      <c r="X4379" s="40"/>
      <c r="Y4379" s="40"/>
    </row>
    <row r="4380" spans="24:25" x14ac:dyDescent="0.35">
      <c r="X4380" s="40"/>
      <c r="Y4380" s="40"/>
    </row>
    <row r="4381" spans="24:25" x14ac:dyDescent="0.35">
      <c r="X4381" s="40"/>
      <c r="Y4381" s="40"/>
    </row>
    <row r="4382" spans="24:25" x14ac:dyDescent="0.35">
      <c r="X4382" s="40"/>
      <c r="Y4382" s="40"/>
    </row>
    <row r="4383" spans="24:25" x14ac:dyDescent="0.35">
      <c r="X4383" s="40"/>
      <c r="Y4383" s="40"/>
    </row>
    <row r="4384" spans="24:25" x14ac:dyDescent="0.35">
      <c r="X4384" s="40"/>
      <c r="Y4384" s="40"/>
    </row>
    <row r="4385" spans="24:25" x14ac:dyDescent="0.35">
      <c r="X4385" s="40"/>
      <c r="Y4385" s="40"/>
    </row>
    <row r="4386" spans="24:25" x14ac:dyDescent="0.35">
      <c r="X4386" s="40"/>
      <c r="Y4386" s="40"/>
    </row>
    <row r="4387" spans="24:25" x14ac:dyDescent="0.35">
      <c r="X4387" s="40"/>
      <c r="Y4387" s="40"/>
    </row>
    <row r="4388" spans="24:25" x14ac:dyDescent="0.35">
      <c r="X4388" s="40"/>
      <c r="Y4388" s="40"/>
    </row>
    <row r="4389" spans="24:25" x14ac:dyDescent="0.35">
      <c r="X4389" s="40"/>
      <c r="Y4389" s="40"/>
    </row>
    <row r="4390" spans="24:25" x14ac:dyDescent="0.35">
      <c r="X4390" s="40"/>
      <c r="Y4390" s="40"/>
    </row>
    <row r="4391" spans="24:25" x14ac:dyDescent="0.35">
      <c r="X4391" s="40"/>
      <c r="Y4391" s="40"/>
    </row>
    <row r="4392" spans="24:25" x14ac:dyDescent="0.35">
      <c r="X4392" s="40"/>
      <c r="Y4392" s="40"/>
    </row>
    <row r="4393" spans="24:25" x14ac:dyDescent="0.35">
      <c r="X4393" s="40"/>
      <c r="Y4393" s="40"/>
    </row>
    <row r="4394" spans="24:25" x14ac:dyDescent="0.35">
      <c r="X4394" s="40"/>
      <c r="Y4394" s="40"/>
    </row>
    <row r="4395" spans="24:25" x14ac:dyDescent="0.35">
      <c r="X4395" s="40"/>
      <c r="Y4395" s="40"/>
    </row>
    <row r="4396" spans="24:25" x14ac:dyDescent="0.35">
      <c r="X4396" s="40"/>
      <c r="Y4396" s="40"/>
    </row>
    <row r="4397" spans="24:25" x14ac:dyDescent="0.35">
      <c r="X4397" s="40"/>
      <c r="Y4397" s="40"/>
    </row>
    <row r="4398" spans="24:25" x14ac:dyDescent="0.35">
      <c r="X4398" s="40"/>
      <c r="Y4398" s="40"/>
    </row>
    <row r="4399" spans="24:25" x14ac:dyDescent="0.35">
      <c r="X4399" s="40"/>
      <c r="Y4399" s="40"/>
    </row>
    <row r="4400" spans="24:25" x14ac:dyDescent="0.35">
      <c r="X4400" s="40"/>
      <c r="Y4400" s="40"/>
    </row>
    <row r="4401" spans="24:25" x14ac:dyDescent="0.35">
      <c r="X4401" s="40"/>
      <c r="Y4401" s="40"/>
    </row>
    <row r="4402" spans="24:25" x14ac:dyDescent="0.35">
      <c r="X4402" s="40"/>
      <c r="Y4402" s="40"/>
    </row>
    <row r="4403" spans="24:25" x14ac:dyDescent="0.35">
      <c r="X4403" s="40"/>
      <c r="Y4403" s="40"/>
    </row>
    <row r="4404" spans="24:25" x14ac:dyDescent="0.35">
      <c r="X4404" s="40"/>
      <c r="Y4404" s="40"/>
    </row>
    <row r="4405" spans="24:25" x14ac:dyDescent="0.35">
      <c r="X4405" s="40"/>
      <c r="Y4405" s="40"/>
    </row>
    <row r="4406" spans="24:25" x14ac:dyDescent="0.35">
      <c r="X4406" s="40"/>
      <c r="Y4406" s="40"/>
    </row>
    <row r="4407" spans="24:25" x14ac:dyDescent="0.35">
      <c r="X4407" s="40"/>
      <c r="Y4407" s="40"/>
    </row>
    <row r="4408" spans="24:25" x14ac:dyDescent="0.35">
      <c r="X4408" s="40"/>
      <c r="Y4408" s="40"/>
    </row>
    <row r="4409" spans="24:25" x14ac:dyDescent="0.35">
      <c r="X4409" s="40"/>
      <c r="Y4409" s="40"/>
    </row>
    <row r="4410" spans="24:25" x14ac:dyDescent="0.35">
      <c r="X4410" s="40"/>
      <c r="Y4410" s="40"/>
    </row>
    <row r="4411" spans="24:25" x14ac:dyDescent="0.35">
      <c r="X4411" s="40"/>
      <c r="Y4411" s="40"/>
    </row>
    <row r="4412" spans="24:25" x14ac:dyDescent="0.35">
      <c r="X4412" s="40"/>
      <c r="Y4412" s="40"/>
    </row>
    <row r="4413" spans="24:25" x14ac:dyDescent="0.35">
      <c r="X4413" s="40"/>
      <c r="Y4413" s="40"/>
    </row>
    <row r="4414" spans="24:25" x14ac:dyDescent="0.35">
      <c r="X4414" s="40"/>
      <c r="Y4414" s="40"/>
    </row>
    <row r="4415" spans="24:25" x14ac:dyDescent="0.35">
      <c r="X4415" s="40"/>
      <c r="Y4415" s="40"/>
    </row>
    <row r="4416" spans="24:25" x14ac:dyDescent="0.35">
      <c r="X4416" s="40"/>
      <c r="Y4416" s="40"/>
    </row>
    <row r="4417" spans="24:25" x14ac:dyDescent="0.35">
      <c r="X4417" s="40"/>
      <c r="Y4417" s="40"/>
    </row>
    <row r="4418" spans="24:25" x14ac:dyDescent="0.35">
      <c r="X4418" s="40"/>
      <c r="Y4418" s="40"/>
    </row>
    <row r="4419" spans="24:25" x14ac:dyDescent="0.35">
      <c r="X4419" s="40"/>
      <c r="Y4419" s="40"/>
    </row>
    <row r="4420" spans="24:25" x14ac:dyDescent="0.35">
      <c r="X4420" s="40"/>
      <c r="Y4420" s="40"/>
    </row>
    <row r="4421" spans="24:25" x14ac:dyDescent="0.35">
      <c r="X4421" s="40"/>
      <c r="Y4421" s="40"/>
    </row>
    <row r="4422" spans="24:25" x14ac:dyDescent="0.35">
      <c r="X4422" s="40"/>
      <c r="Y4422" s="40"/>
    </row>
    <row r="4423" spans="24:25" x14ac:dyDescent="0.35">
      <c r="X4423" s="40"/>
      <c r="Y4423" s="40"/>
    </row>
    <row r="4424" spans="24:25" x14ac:dyDescent="0.35">
      <c r="X4424" s="40"/>
      <c r="Y4424" s="40"/>
    </row>
    <row r="4425" spans="24:25" x14ac:dyDescent="0.35">
      <c r="X4425" s="40"/>
      <c r="Y4425" s="40"/>
    </row>
    <row r="4426" spans="24:25" x14ac:dyDescent="0.35">
      <c r="X4426" s="40"/>
      <c r="Y4426" s="40"/>
    </row>
    <row r="4427" spans="24:25" x14ac:dyDescent="0.35">
      <c r="X4427" s="40"/>
      <c r="Y4427" s="40"/>
    </row>
    <row r="4428" spans="24:25" x14ac:dyDescent="0.35">
      <c r="X4428" s="40"/>
      <c r="Y4428" s="40"/>
    </row>
    <row r="4429" spans="24:25" x14ac:dyDescent="0.35">
      <c r="X4429" s="40"/>
      <c r="Y4429" s="40"/>
    </row>
    <row r="4430" spans="24:25" x14ac:dyDescent="0.35">
      <c r="X4430" s="40"/>
      <c r="Y4430" s="40"/>
    </row>
    <row r="4431" spans="24:25" x14ac:dyDescent="0.35">
      <c r="X4431" s="40"/>
      <c r="Y4431" s="40"/>
    </row>
    <row r="4432" spans="24:25" x14ac:dyDescent="0.35">
      <c r="X4432" s="40"/>
      <c r="Y4432" s="40"/>
    </row>
    <row r="4433" spans="24:25" x14ac:dyDescent="0.35">
      <c r="X4433" s="40"/>
      <c r="Y4433" s="40"/>
    </row>
    <row r="4434" spans="24:25" x14ac:dyDescent="0.35">
      <c r="X4434" s="40"/>
      <c r="Y4434" s="40"/>
    </row>
    <row r="4435" spans="24:25" x14ac:dyDescent="0.35">
      <c r="X4435" s="40"/>
      <c r="Y4435" s="40"/>
    </row>
    <row r="4436" spans="24:25" x14ac:dyDescent="0.35">
      <c r="X4436" s="40"/>
      <c r="Y4436" s="40"/>
    </row>
    <row r="4437" spans="24:25" x14ac:dyDescent="0.35">
      <c r="X4437" s="40"/>
      <c r="Y4437" s="40"/>
    </row>
    <row r="4438" spans="24:25" x14ac:dyDescent="0.35">
      <c r="X4438" s="40"/>
      <c r="Y4438" s="40"/>
    </row>
    <row r="4439" spans="24:25" x14ac:dyDescent="0.35">
      <c r="X4439" s="40"/>
      <c r="Y4439" s="40"/>
    </row>
    <row r="4440" spans="24:25" x14ac:dyDescent="0.35">
      <c r="X4440" s="40"/>
      <c r="Y4440" s="40"/>
    </row>
    <row r="4441" spans="24:25" x14ac:dyDescent="0.35">
      <c r="X4441" s="40"/>
      <c r="Y4441" s="40"/>
    </row>
    <row r="4442" spans="24:25" x14ac:dyDescent="0.35">
      <c r="X4442" s="40"/>
      <c r="Y4442" s="40"/>
    </row>
    <row r="4443" spans="24:25" x14ac:dyDescent="0.35">
      <c r="X4443" s="40"/>
      <c r="Y4443" s="40"/>
    </row>
    <row r="4444" spans="24:25" x14ac:dyDescent="0.35">
      <c r="X4444" s="40"/>
      <c r="Y4444" s="40"/>
    </row>
    <row r="4445" spans="24:25" x14ac:dyDescent="0.35">
      <c r="X4445" s="40"/>
      <c r="Y4445" s="40"/>
    </row>
    <row r="4446" spans="24:25" x14ac:dyDescent="0.35">
      <c r="X4446" s="40"/>
      <c r="Y4446" s="40"/>
    </row>
    <row r="4447" spans="24:25" x14ac:dyDescent="0.35">
      <c r="X4447" s="40"/>
      <c r="Y4447" s="40"/>
    </row>
    <row r="4448" spans="24:25" x14ac:dyDescent="0.35">
      <c r="X4448" s="40"/>
      <c r="Y4448" s="40"/>
    </row>
    <row r="4449" spans="24:25" x14ac:dyDescent="0.35">
      <c r="X4449" s="40"/>
      <c r="Y4449" s="40"/>
    </row>
    <row r="4450" spans="24:25" x14ac:dyDescent="0.35">
      <c r="X4450" s="40"/>
      <c r="Y4450" s="40"/>
    </row>
    <row r="4451" spans="24:25" x14ac:dyDescent="0.35">
      <c r="X4451" s="40"/>
      <c r="Y4451" s="40"/>
    </row>
    <row r="4452" spans="24:25" x14ac:dyDescent="0.35">
      <c r="X4452" s="40"/>
      <c r="Y4452" s="40"/>
    </row>
    <row r="4453" spans="24:25" x14ac:dyDescent="0.35">
      <c r="X4453" s="40"/>
      <c r="Y4453" s="40"/>
    </row>
    <row r="4454" spans="24:25" x14ac:dyDescent="0.35">
      <c r="X4454" s="40"/>
      <c r="Y4454" s="40"/>
    </row>
    <row r="4455" spans="24:25" x14ac:dyDescent="0.35">
      <c r="X4455" s="40"/>
      <c r="Y4455" s="40"/>
    </row>
    <row r="4456" spans="24:25" x14ac:dyDescent="0.35">
      <c r="X4456" s="40"/>
      <c r="Y4456" s="40"/>
    </row>
    <row r="4457" spans="24:25" x14ac:dyDescent="0.35">
      <c r="X4457" s="40"/>
      <c r="Y4457" s="40"/>
    </row>
    <row r="4458" spans="24:25" x14ac:dyDescent="0.35">
      <c r="X4458" s="40"/>
      <c r="Y4458" s="40"/>
    </row>
    <row r="4459" spans="24:25" x14ac:dyDescent="0.35">
      <c r="X4459" s="40"/>
      <c r="Y4459" s="40"/>
    </row>
    <row r="4460" spans="24:25" x14ac:dyDescent="0.35">
      <c r="X4460" s="40"/>
      <c r="Y4460" s="40"/>
    </row>
    <row r="4461" spans="24:25" x14ac:dyDescent="0.35">
      <c r="X4461" s="40"/>
      <c r="Y4461" s="40"/>
    </row>
    <row r="4462" spans="24:25" x14ac:dyDescent="0.35">
      <c r="X4462" s="40"/>
      <c r="Y4462" s="40"/>
    </row>
    <row r="4463" spans="24:25" x14ac:dyDescent="0.35">
      <c r="X4463" s="40"/>
      <c r="Y4463" s="40"/>
    </row>
    <row r="4464" spans="24:25" x14ac:dyDescent="0.35">
      <c r="X4464" s="40"/>
      <c r="Y4464" s="40"/>
    </row>
    <row r="4465" spans="24:25" x14ac:dyDescent="0.35">
      <c r="X4465" s="40"/>
      <c r="Y4465" s="40"/>
    </row>
    <row r="4466" spans="24:25" x14ac:dyDescent="0.35">
      <c r="X4466" s="40"/>
      <c r="Y4466" s="40"/>
    </row>
    <row r="4467" spans="24:25" x14ac:dyDescent="0.35">
      <c r="X4467" s="40"/>
      <c r="Y4467" s="40"/>
    </row>
    <row r="4468" spans="24:25" x14ac:dyDescent="0.35">
      <c r="X4468" s="40"/>
      <c r="Y4468" s="40"/>
    </row>
    <row r="4469" spans="24:25" x14ac:dyDescent="0.35">
      <c r="X4469" s="40"/>
      <c r="Y4469" s="40"/>
    </row>
    <row r="4470" spans="24:25" x14ac:dyDescent="0.35">
      <c r="X4470" s="40"/>
      <c r="Y4470" s="40"/>
    </row>
    <row r="4471" spans="24:25" x14ac:dyDescent="0.35">
      <c r="X4471" s="40"/>
      <c r="Y4471" s="40"/>
    </row>
    <row r="4472" spans="24:25" x14ac:dyDescent="0.35">
      <c r="X4472" s="40"/>
      <c r="Y4472" s="40"/>
    </row>
    <row r="4473" spans="24:25" x14ac:dyDescent="0.35">
      <c r="X4473" s="40"/>
      <c r="Y4473" s="40"/>
    </row>
    <row r="4474" spans="24:25" x14ac:dyDescent="0.35">
      <c r="X4474" s="40"/>
      <c r="Y4474" s="40"/>
    </row>
    <row r="4475" spans="24:25" x14ac:dyDescent="0.35">
      <c r="X4475" s="40"/>
      <c r="Y4475" s="40"/>
    </row>
    <row r="4476" spans="24:25" x14ac:dyDescent="0.35">
      <c r="X4476" s="40"/>
      <c r="Y4476" s="40"/>
    </row>
    <row r="4477" spans="24:25" x14ac:dyDescent="0.35">
      <c r="X4477" s="40"/>
      <c r="Y4477" s="40"/>
    </row>
    <row r="4478" spans="24:25" x14ac:dyDescent="0.35">
      <c r="X4478" s="40"/>
      <c r="Y4478" s="40"/>
    </row>
    <row r="4479" spans="24:25" x14ac:dyDescent="0.35">
      <c r="X4479" s="40"/>
      <c r="Y4479" s="40"/>
    </row>
    <row r="4480" spans="24:25" x14ac:dyDescent="0.35">
      <c r="X4480" s="40"/>
      <c r="Y4480" s="40"/>
    </row>
    <row r="4481" spans="24:25" x14ac:dyDescent="0.35">
      <c r="X4481" s="40"/>
      <c r="Y4481" s="40"/>
    </row>
    <row r="4482" spans="24:25" x14ac:dyDescent="0.35">
      <c r="X4482" s="40"/>
      <c r="Y4482" s="40"/>
    </row>
    <row r="4483" spans="24:25" x14ac:dyDescent="0.35">
      <c r="X4483" s="40"/>
      <c r="Y4483" s="40"/>
    </row>
    <row r="4484" spans="24:25" x14ac:dyDescent="0.35">
      <c r="X4484" s="40"/>
      <c r="Y4484" s="40"/>
    </row>
    <row r="4485" spans="24:25" x14ac:dyDescent="0.35">
      <c r="X4485" s="40"/>
      <c r="Y4485" s="40"/>
    </row>
    <row r="4486" spans="24:25" x14ac:dyDescent="0.35">
      <c r="X4486" s="40"/>
      <c r="Y4486" s="40"/>
    </row>
    <row r="4487" spans="24:25" x14ac:dyDescent="0.35">
      <c r="X4487" s="40"/>
      <c r="Y4487" s="40"/>
    </row>
    <row r="4488" spans="24:25" x14ac:dyDescent="0.35">
      <c r="X4488" s="40"/>
      <c r="Y4488" s="40"/>
    </row>
    <row r="4489" spans="24:25" x14ac:dyDescent="0.35">
      <c r="X4489" s="40"/>
      <c r="Y4489" s="40"/>
    </row>
    <row r="4490" spans="24:25" x14ac:dyDescent="0.35">
      <c r="X4490" s="40"/>
      <c r="Y4490" s="40"/>
    </row>
    <row r="4491" spans="24:25" x14ac:dyDescent="0.35">
      <c r="X4491" s="40"/>
      <c r="Y4491" s="40"/>
    </row>
    <row r="4492" spans="24:25" x14ac:dyDescent="0.35">
      <c r="X4492" s="40"/>
      <c r="Y4492" s="40"/>
    </row>
    <row r="4493" spans="24:25" x14ac:dyDescent="0.35">
      <c r="X4493" s="40"/>
      <c r="Y4493" s="40"/>
    </row>
    <row r="4494" spans="24:25" x14ac:dyDescent="0.35">
      <c r="X4494" s="40"/>
      <c r="Y4494" s="40"/>
    </row>
    <row r="4495" spans="24:25" x14ac:dyDescent="0.35">
      <c r="X4495" s="40"/>
      <c r="Y4495" s="40"/>
    </row>
    <row r="4496" spans="24:25" x14ac:dyDescent="0.35">
      <c r="X4496" s="40"/>
      <c r="Y4496" s="40"/>
    </row>
    <row r="4497" spans="24:25" x14ac:dyDescent="0.35">
      <c r="X4497" s="40"/>
      <c r="Y4497" s="40"/>
    </row>
    <row r="4498" spans="24:25" x14ac:dyDescent="0.35">
      <c r="X4498" s="40"/>
      <c r="Y4498" s="40"/>
    </row>
    <row r="4499" spans="24:25" x14ac:dyDescent="0.35">
      <c r="X4499" s="40"/>
      <c r="Y4499" s="40"/>
    </row>
    <row r="4500" spans="24:25" x14ac:dyDescent="0.35">
      <c r="X4500" s="40"/>
      <c r="Y4500" s="40"/>
    </row>
    <row r="4501" spans="24:25" x14ac:dyDescent="0.35">
      <c r="X4501" s="40"/>
      <c r="Y4501" s="40"/>
    </row>
    <row r="4502" spans="24:25" x14ac:dyDescent="0.35">
      <c r="X4502" s="40"/>
      <c r="Y4502" s="40"/>
    </row>
    <row r="4503" spans="24:25" x14ac:dyDescent="0.35">
      <c r="X4503" s="40"/>
      <c r="Y4503" s="40"/>
    </row>
    <row r="4504" spans="24:25" x14ac:dyDescent="0.35">
      <c r="X4504" s="40"/>
      <c r="Y4504" s="40"/>
    </row>
    <row r="4505" spans="24:25" x14ac:dyDescent="0.35">
      <c r="X4505" s="40"/>
      <c r="Y4505" s="40"/>
    </row>
    <row r="4506" spans="24:25" x14ac:dyDescent="0.35">
      <c r="X4506" s="40"/>
      <c r="Y4506" s="40"/>
    </row>
    <row r="4507" spans="24:25" x14ac:dyDescent="0.35">
      <c r="X4507" s="40"/>
      <c r="Y4507" s="40"/>
    </row>
    <row r="4508" spans="24:25" x14ac:dyDescent="0.35">
      <c r="X4508" s="40"/>
      <c r="Y4508" s="40"/>
    </row>
    <row r="4509" spans="24:25" x14ac:dyDescent="0.35">
      <c r="X4509" s="40"/>
      <c r="Y4509" s="40"/>
    </row>
    <row r="4510" spans="24:25" x14ac:dyDescent="0.35">
      <c r="X4510" s="40"/>
      <c r="Y4510" s="40"/>
    </row>
    <row r="4511" spans="24:25" x14ac:dyDescent="0.35">
      <c r="X4511" s="40"/>
      <c r="Y4511" s="40"/>
    </row>
    <row r="4512" spans="24:25" x14ac:dyDescent="0.35">
      <c r="X4512" s="40"/>
      <c r="Y4512" s="40"/>
    </row>
    <row r="4513" spans="24:25" x14ac:dyDescent="0.35">
      <c r="X4513" s="40"/>
      <c r="Y4513" s="40"/>
    </row>
    <row r="4514" spans="24:25" x14ac:dyDescent="0.35">
      <c r="X4514" s="40"/>
      <c r="Y4514" s="40"/>
    </row>
    <row r="4515" spans="24:25" x14ac:dyDescent="0.35">
      <c r="X4515" s="40"/>
      <c r="Y4515" s="40"/>
    </row>
    <row r="4516" spans="24:25" x14ac:dyDescent="0.35">
      <c r="X4516" s="40"/>
      <c r="Y4516" s="40"/>
    </row>
    <row r="4517" spans="24:25" x14ac:dyDescent="0.35">
      <c r="X4517" s="40"/>
      <c r="Y4517" s="40"/>
    </row>
    <row r="4518" spans="24:25" x14ac:dyDescent="0.35">
      <c r="X4518" s="40"/>
      <c r="Y4518" s="40"/>
    </row>
    <row r="4519" spans="24:25" x14ac:dyDescent="0.35">
      <c r="X4519" s="40"/>
      <c r="Y4519" s="40"/>
    </row>
    <row r="4520" spans="24:25" x14ac:dyDescent="0.35">
      <c r="X4520" s="40"/>
      <c r="Y4520" s="40"/>
    </row>
    <row r="4521" spans="24:25" x14ac:dyDescent="0.35">
      <c r="X4521" s="40"/>
      <c r="Y4521" s="40"/>
    </row>
    <row r="4522" spans="24:25" x14ac:dyDescent="0.35">
      <c r="X4522" s="40"/>
      <c r="Y4522" s="40"/>
    </row>
    <row r="4523" spans="24:25" x14ac:dyDescent="0.35">
      <c r="X4523" s="40"/>
      <c r="Y4523" s="40"/>
    </row>
    <row r="4524" spans="24:25" x14ac:dyDescent="0.35">
      <c r="X4524" s="40"/>
      <c r="Y4524" s="40"/>
    </row>
    <row r="4525" spans="24:25" x14ac:dyDescent="0.35">
      <c r="X4525" s="40"/>
      <c r="Y4525" s="40"/>
    </row>
    <row r="4526" spans="24:25" x14ac:dyDescent="0.35">
      <c r="X4526" s="40"/>
      <c r="Y4526" s="40"/>
    </row>
    <row r="4527" spans="24:25" x14ac:dyDescent="0.35">
      <c r="X4527" s="40"/>
      <c r="Y4527" s="40"/>
    </row>
    <row r="4528" spans="24:25" x14ac:dyDescent="0.35">
      <c r="X4528" s="40"/>
      <c r="Y4528" s="40"/>
    </row>
    <row r="4529" spans="24:25" x14ac:dyDescent="0.35">
      <c r="X4529" s="40"/>
      <c r="Y4529" s="40"/>
    </row>
    <row r="4530" spans="24:25" x14ac:dyDescent="0.35">
      <c r="X4530" s="40"/>
      <c r="Y4530" s="40"/>
    </row>
    <row r="4531" spans="24:25" x14ac:dyDescent="0.35">
      <c r="X4531" s="40"/>
      <c r="Y4531" s="40"/>
    </row>
    <row r="4532" spans="24:25" x14ac:dyDescent="0.35">
      <c r="X4532" s="40"/>
      <c r="Y4532" s="40"/>
    </row>
    <row r="4533" spans="24:25" x14ac:dyDescent="0.35">
      <c r="X4533" s="40"/>
      <c r="Y4533" s="40"/>
    </row>
    <row r="4534" spans="24:25" x14ac:dyDescent="0.35">
      <c r="X4534" s="40"/>
      <c r="Y4534" s="40"/>
    </row>
    <row r="4535" spans="24:25" x14ac:dyDescent="0.35">
      <c r="X4535" s="40"/>
      <c r="Y4535" s="40"/>
    </row>
    <row r="4536" spans="24:25" x14ac:dyDescent="0.35">
      <c r="X4536" s="40"/>
      <c r="Y4536" s="40"/>
    </row>
    <row r="4537" spans="24:25" x14ac:dyDescent="0.35">
      <c r="X4537" s="40"/>
      <c r="Y4537" s="40"/>
    </row>
    <row r="4538" spans="24:25" x14ac:dyDescent="0.35">
      <c r="X4538" s="40"/>
      <c r="Y4538" s="40"/>
    </row>
    <row r="4539" spans="24:25" x14ac:dyDescent="0.35">
      <c r="X4539" s="40"/>
      <c r="Y4539" s="40"/>
    </row>
    <row r="4540" spans="24:25" x14ac:dyDescent="0.35">
      <c r="X4540" s="40"/>
      <c r="Y4540" s="40"/>
    </row>
    <row r="4541" spans="24:25" x14ac:dyDescent="0.35">
      <c r="X4541" s="40"/>
      <c r="Y4541" s="40"/>
    </row>
    <row r="4542" spans="24:25" x14ac:dyDescent="0.35">
      <c r="X4542" s="40"/>
      <c r="Y4542" s="40"/>
    </row>
    <row r="4543" spans="24:25" x14ac:dyDescent="0.35">
      <c r="X4543" s="40"/>
      <c r="Y4543" s="40"/>
    </row>
    <row r="4544" spans="24:25" x14ac:dyDescent="0.35">
      <c r="X4544" s="40"/>
      <c r="Y4544" s="40"/>
    </row>
    <row r="4545" spans="24:25" x14ac:dyDescent="0.35">
      <c r="X4545" s="40"/>
      <c r="Y4545" s="40"/>
    </row>
    <row r="4546" spans="24:25" x14ac:dyDescent="0.35">
      <c r="X4546" s="40"/>
      <c r="Y4546" s="40"/>
    </row>
    <row r="4547" spans="24:25" x14ac:dyDescent="0.35">
      <c r="X4547" s="40"/>
      <c r="Y4547" s="40"/>
    </row>
    <row r="4548" spans="24:25" x14ac:dyDescent="0.35">
      <c r="X4548" s="40"/>
      <c r="Y4548" s="40"/>
    </row>
    <row r="4549" spans="24:25" x14ac:dyDescent="0.35">
      <c r="X4549" s="40"/>
      <c r="Y4549" s="40"/>
    </row>
    <row r="4550" spans="24:25" x14ac:dyDescent="0.35">
      <c r="X4550" s="40"/>
      <c r="Y4550" s="40"/>
    </row>
    <row r="4551" spans="24:25" x14ac:dyDescent="0.35">
      <c r="X4551" s="40"/>
      <c r="Y4551" s="40"/>
    </row>
    <row r="4552" spans="24:25" x14ac:dyDescent="0.35">
      <c r="X4552" s="40"/>
      <c r="Y4552" s="40"/>
    </row>
    <row r="4553" spans="24:25" x14ac:dyDescent="0.35">
      <c r="X4553" s="40"/>
      <c r="Y4553" s="40"/>
    </row>
    <row r="4554" spans="24:25" x14ac:dyDescent="0.35">
      <c r="X4554" s="40"/>
      <c r="Y4554" s="40"/>
    </row>
    <row r="4555" spans="24:25" x14ac:dyDescent="0.35">
      <c r="X4555" s="40"/>
      <c r="Y4555" s="40"/>
    </row>
    <row r="4556" spans="24:25" x14ac:dyDescent="0.35">
      <c r="X4556" s="40"/>
      <c r="Y4556" s="40"/>
    </row>
    <row r="4557" spans="24:25" x14ac:dyDescent="0.35">
      <c r="X4557" s="40"/>
      <c r="Y4557" s="40"/>
    </row>
    <row r="4558" spans="24:25" x14ac:dyDescent="0.35">
      <c r="X4558" s="40"/>
      <c r="Y4558" s="40"/>
    </row>
    <row r="4559" spans="24:25" x14ac:dyDescent="0.35">
      <c r="X4559" s="40"/>
      <c r="Y4559" s="40"/>
    </row>
    <row r="4560" spans="24:25" x14ac:dyDescent="0.35">
      <c r="X4560" s="40"/>
      <c r="Y4560" s="40"/>
    </row>
    <row r="4561" spans="24:25" x14ac:dyDescent="0.35">
      <c r="X4561" s="40"/>
      <c r="Y4561" s="40"/>
    </row>
    <row r="4562" spans="24:25" x14ac:dyDescent="0.35">
      <c r="X4562" s="40"/>
      <c r="Y4562" s="40"/>
    </row>
    <row r="4563" spans="24:25" x14ac:dyDescent="0.35">
      <c r="X4563" s="40"/>
      <c r="Y4563" s="40"/>
    </row>
    <row r="4564" spans="24:25" x14ac:dyDescent="0.35">
      <c r="X4564" s="40"/>
      <c r="Y4564" s="40"/>
    </row>
    <row r="4565" spans="24:25" x14ac:dyDescent="0.35">
      <c r="X4565" s="40"/>
      <c r="Y4565" s="40"/>
    </row>
    <row r="4566" spans="24:25" x14ac:dyDescent="0.35">
      <c r="X4566" s="40"/>
      <c r="Y4566" s="40"/>
    </row>
    <row r="4567" spans="24:25" x14ac:dyDescent="0.35">
      <c r="X4567" s="40"/>
      <c r="Y4567" s="40"/>
    </row>
    <row r="4568" spans="24:25" x14ac:dyDescent="0.35">
      <c r="X4568" s="40"/>
      <c r="Y4568" s="40"/>
    </row>
    <row r="4569" spans="24:25" x14ac:dyDescent="0.35">
      <c r="X4569" s="40"/>
      <c r="Y4569" s="40"/>
    </row>
    <row r="4570" spans="24:25" x14ac:dyDescent="0.35">
      <c r="X4570" s="40"/>
      <c r="Y4570" s="40"/>
    </row>
    <row r="4571" spans="24:25" x14ac:dyDescent="0.35">
      <c r="X4571" s="40"/>
      <c r="Y4571" s="40"/>
    </row>
    <row r="4572" spans="24:25" x14ac:dyDescent="0.35">
      <c r="X4572" s="40"/>
      <c r="Y4572" s="40"/>
    </row>
    <row r="4573" spans="24:25" x14ac:dyDescent="0.35">
      <c r="X4573" s="40"/>
      <c r="Y4573" s="40"/>
    </row>
    <row r="4574" spans="24:25" x14ac:dyDescent="0.35">
      <c r="X4574" s="40"/>
      <c r="Y4574" s="40"/>
    </row>
    <row r="4575" spans="24:25" x14ac:dyDescent="0.35">
      <c r="X4575" s="40"/>
      <c r="Y4575" s="40"/>
    </row>
    <row r="4576" spans="24:25" x14ac:dyDescent="0.35">
      <c r="X4576" s="40"/>
      <c r="Y4576" s="40"/>
    </row>
    <row r="4577" spans="24:25" x14ac:dyDescent="0.35">
      <c r="X4577" s="40"/>
      <c r="Y4577" s="40"/>
    </row>
    <row r="4578" spans="24:25" x14ac:dyDescent="0.35">
      <c r="X4578" s="40"/>
      <c r="Y4578" s="40"/>
    </row>
    <row r="4579" spans="24:25" x14ac:dyDescent="0.35">
      <c r="X4579" s="40"/>
      <c r="Y4579" s="40"/>
    </row>
    <row r="4580" spans="24:25" x14ac:dyDescent="0.35">
      <c r="X4580" s="40"/>
      <c r="Y4580" s="40"/>
    </row>
    <row r="4581" spans="24:25" x14ac:dyDescent="0.35">
      <c r="X4581" s="40"/>
      <c r="Y4581" s="40"/>
    </row>
    <row r="4582" spans="24:25" x14ac:dyDescent="0.35">
      <c r="X4582" s="40"/>
      <c r="Y4582" s="40"/>
    </row>
    <row r="4583" spans="24:25" x14ac:dyDescent="0.35">
      <c r="X4583" s="40"/>
      <c r="Y4583" s="40"/>
    </row>
    <row r="4584" spans="24:25" x14ac:dyDescent="0.35">
      <c r="X4584" s="40"/>
      <c r="Y4584" s="40"/>
    </row>
    <row r="4585" spans="24:25" x14ac:dyDescent="0.35">
      <c r="X4585" s="40"/>
      <c r="Y4585" s="40"/>
    </row>
    <row r="4586" spans="24:25" x14ac:dyDescent="0.35">
      <c r="X4586" s="40"/>
      <c r="Y4586" s="40"/>
    </row>
    <row r="4587" spans="24:25" x14ac:dyDescent="0.35">
      <c r="X4587" s="40"/>
      <c r="Y4587" s="40"/>
    </row>
    <row r="4588" spans="24:25" x14ac:dyDescent="0.35">
      <c r="X4588" s="40"/>
      <c r="Y4588" s="40"/>
    </row>
    <row r="4589" spans="24:25" x14ac:dyDescent="0.35">
      <c r="X4589" s="40"/>
      <c r="Y4589" s="40"/>
    </row>
    <row r="4590" spans="24:25" x14ac:dyDescent="0.35">
      <c r="X4590" s="40"/>
      <c r="Y4590" s="40"/>
    </row>
    <row r="4591" spans="24:25" x14ac:dyDescent="0.35">
      <c r="X4591" s="40"/>
      <c r="Y4591" s="40"/>
    </row>
    <row r="4592" spans="24:25" x14ac:dyDescent="0.35">
      <c r="X4592" s="40"/>
      <c r="Y4592" s="40"/>
    </row>
    <row r="4593" spans="24:25" x14ac:dyDescent="0.35">
      <c r="X4593" s="40"/>
      <c r="Y4593" s="40"/>
    </row>
    <row r="4594" spans="24:25" x14ac:dyDescent="0.35">
      <c r="X4594" s="40"/>
      <c r="Y4594" s="40"/>
    </row>
    <row r="4595" spans="24:25" x14ac:dyDescent="0.35">
      <c r="X4595" s="40"/>
      <c r="Y4595" s="40"/>
    </row>
    <row r="4596" spans="24:25" x14ac:dyDescent="0.35">
      <c r="X4596" s="40"/>
      <c r="Y4596" s="40"/>
    </row>
    <row r="4597" spans="24:25" x14ac:dyDescent="0.35">
      <c r="X4597" s="40"/>
      <c r="Y4597" s="40"/>
    </row>
    <row r="4598" spans="24:25" x14ac:dyDescent="0.35">
      <c r="X4598" s="40"/>
      <c r="Y4598" s="40"/>
    </row>
    <row r="4599" spans="24:25" x14ac:dyDescent="0.35">
      <c r="X4599" s="40"/>
      <c r="Y4599" s="40"/>
    </row>
    <row r="4600" spans="24:25" x14ac:dyDescent="0.35">
      <c r="X4600" s="40"/>
      <c r="Y4600" s="40"/>
    </row>
    <row r="4601" spans="24:25" x14ac:dyDescent="0.35">
      <c r="X4601" s="40"/>
      <c r="Y4601" s="40"/>
    </row>
    <row r="4602" spans="24:25" x14ac:dyDescent="0.35">
      <c r="X4602" s="40"/>
      <c r="Y4602" s="40"/>
    </row>
    <row r="4603" spans="24:25" x14ac:dyDescent="0.35">
      <c r="X4603" s="40"/>
      <c r="Y4603" s="40"/>
    </row>
    <row r="4604" spans="24:25" x14ac:dyDescent="0.35">
      <c r="X4604" s="40"/>
      <c r="Y4604" s="40"/>
    </row>
    <row r="4605" spans="24:25" x14ac:dyDescent="0.35">
      <c r="X4605" s="40"/>
      <c r="Y4605" s="40"/>
    </row>
    <row r="4606" spans="24:25" x14ac:dyDescent="0.35">
      <c r="X4606" s="40"/>
      <c r="Y4606" s="40"/>
    </row>
    <row r="4607" spans="24:25" x14ac:dyDescent="0.35">
      <c r="X4607" s="40"/>
      <c r="Y4607" s="40"/>
    </row>
    <row r="4608" spans="24:25" x14ac:dyDescent="0.35">
      <c r="X4608" s="40"/>
      <c r="Y4608" s="40"/>
    </row>
    <row r="4609" spans="24:25" x14ac:dyDescent="0.35">
      <c r="X4609" s="40"/>
      <c r="Y4609" s="40"/>
    </row>
    <row r="4610" spans="24:25" x14ac:dyDescent="0.35">
      <c r="X4610" s="40"/>
      <c r="Y4610" s="40"/>
    </row>
    <row r="4611" spans="24:25" x14ac:dyDescent="0.35">
      <c r="X4611" s="40"/>
      <c r="Y4611" s="40"/>
    </row>
    <row r="4612" spans="24:25" x14ac:dyDescent="0.35">
      <c r="X4612" s="40"/>
      <c r="Y4612" s="40"/>
    </row>
    <row r="4613" spans="24:25" x14ac:dyDescent="0.35">
      <c r="X4613" s="40"/>
      <c r="Y4613" s="40"/>
    </row>
    <row r="4614" spans="24:25" x14ac:dyDescent="0.35">
      <c r="X4614" s="40"/>
      <c r="Y4614" s="40"/>
    </row>
    <row r="4615" spans="24:25" x14ac:dyDescent="0.35">
      <c r="X4615" s="40"/>
      <c r="Y4615" s="40"/>
    </row>
    <row r="4616" spans="24:25" x14ac:dyDescent="0.35">
      <c r="X4616" s="40"/>
      <c r="Y4616" s="40"/>
    </row>
    <row r="4617" spans="24:25" x14ac:dyDescent="0.35">
      <c r="X4617" s="40"/>
      <c r="Y4617" s="40"/>
    </row>
    <row r="4618" spans="24:25" x14ac:dyDescent="0.35">
      <c r="X4618" s="40"/>
      <c r="Y4618" s="40"/>
    </row>
    <row r="4619" spans="24:25" x14ac:dyDescent="0.35">
      <c r="X4619" s="40"/>
      <c r="Y4619" s="40"/>
    </row>
    <row r="4620" spans="24:25" x14ac:dyDescent="0.35">
      <c r="X4620" s="40"/>
      <c r="Y4620" s="40"/>
    </row>
    <row r="4621" spans="24:25" x14ac:dyDescent="0.35">
      <c r="X4621" s="40"/>
      <c r="Y4621" s="40"/>
    </row>
    <row r="4622" spans="24:25" x14ac:dyDescent="0.35">
      <c r="X4622" s="40"/>
      <c r="Y4622" s="40"/>
    </row>
    <row r="4623" spans="24:25" x14ac:dyDescent="0.35">
      <c r="X4623" s="40"/>
      <c r="Y4623" s="40"/>
    </row>
    <row r="4624" spans="24:25" x14ac:dyDescent="0.35">
      <c r="X4624" s="40"/>
      <c r="Y4624" s="40"/>
    </row>
    <row r="4625" spans="24:25" x14ac:dyDescent="0.35">
      <c r="X4625" s="40"/>
      <c r="Y4625" s="40"/>
    </row>
    <row r="4626" spans="24:25" x14ac:dyDescent="0.35">
      <c r="X4626" s="40"/>
      <c r="Y4626" s="40"/>
    </row>
    <row r="4627" spans="24:25" x14ac:dyDescent="0.35">
      <c r="X4627" s="40"/>
      <c r="Y4627" s="40"/>
    </row>
    <row r="4628" spans="24:25" x14ac:dyDescent="0.35">
      <c r="X4628" s="40"/>
      <c r="Y4628" s="40"/>
    </row>
    <row r="4629" spans="24:25" x14ac:dyDescent="0.35">
      <c r="X4629" s="40"/>
      <c r="Y4629" s="40"/>
    </row>
    <row r="4630" spans="24:25" x14ac:dyDescent="0.35">
      <c r="X4630" s="40"/>
      <c r="Y4630" s="40"/>
    </row>
    <row r="4631" spans="24:25" x14ac:dyDescent="0.35">
      <c r="X4631" s="40"/>
      <c r="Y4631" s="40"/>
    </row>
    <row r="4632" spans="24:25" x14ac:dyDescent="0.35">
      <c r="X4632" s="40"/>
      <c r="Y4632" s="40"/>
    </row>
    <row r="4633" spans="24:25" x14ac:dyDescent="0.35">
      <c r="X4633" s="40"/>
      <c r="Y4633" s="40"/>
    </row>
    <row r="4634" spans="24:25" x14ac:dyDescent="0.35">
      <c r="X4634" s="40"/>
      <c r="Y4634" s="40"/>
    </row>
    <row r="4635" spans="24:25" x14ac:dyDescent="0.35">
      <c r="X4635" s="40"/>
      <c r="Y4635" s="40"/>
    </row>
    <row r="4636" spans="24:25" x14ac:dyDescent="0.35">
      <c r="X4636" s="40"/>
      <c r="Y4636" s="40"/>
    </row>
    <row r="4637" spans="24:25" x14ac:dyDescent="0.35">
      <c r="X4637" s="40"/>
      <c r="Y4637" s="40"/>
    </row>
    <row r="4638" spans="24:25" x14ac:dyDescent="0.35">
      <c r="X4638" s="40"/>
      <c r="Y4638" s="40"/>
    </row>
    <row r="4639" spans="24:25" x14ac:dyDescent="0.35">
      <c r="X4639" s="40"/>
      <c r="Y4639" s="40"/>
    </row>
    <row r="4640" spans="24:25" x14ac:dyDescent="0.35">
      <c r="X4640" s="40"/>
      <c r="Y4640" s="40"/>
    </row>
    <row r="4641" spans="24:25" x14ac:dyDescent="0.35">
      <c r="X4641" s="40"/>
      <c r="Y4641" s="40"/>
    </row>
    <row r="4642" spans="24:25" x14ac:dyDescent="0.35">
      <c r="X4642" s="40"/>
      <c r="Y4642" s="40"/>
    </row>
    <row r="4643" spans="24:25" x14ac:dyDescent="0.35">
      <c r="X4643" s="40"/>
      <c r="Y4643" s="40"/>
    </row>
    <row r="4644" spans="24:25" x14ac:dyDescent="0.35">
      <c r="X4644" s="40"/>
      <c r="Y4644" s="40"/>
    </row>
    <row r="4645" spans="24:25" x14ac:dyDescent="0.35">
      <c r="X4645" s="40"/>
      <c r="Y4645" s="40"/>
    </row>
    <row r="4646" spans="24:25" x14ac:dyDescent="0.35">
      <c r="X4646" s="40"/>
      <c r="Y4646" s="40"/>
    </row>
    <row r="4647" spans="24:25" x14ac:dyDescent="0.35">
      <c r="X4647" s="40"/>
      <c r="Y4647" s="40"/>
    </row>
    <row r="4648" spans="24:25" x14ac:dyDescent="0.35">
      <c r="X4648" s="40"/>
      <c r="Y4648" s="40"/>
    </row>
    <row r="4649" spans="24:25" x14ac:dyDescent="0.35">
      <c r="X4649" s="40"/>
      <c r="Y4649" s="40"/>
    </row>
    <row r="4650" spans="24:25" x14ac:dyDescent="0.35">
      <c r="X4650" s="40"/>
      <c r="Y4650" s="40"/>
    </row>
    <row r="4651" spans="24:25" x14ac:dyDescent="0.35">
      <c r="X4651" s="40"/>
      <c r="Y4651" s="40"/>
    </row>
    <row r="4652" spans="24:25" x14ac:dyDescent="0.35">
      <c r="X4652" s="40"/>
      <c r="Y4652" s="40"/>
    </row>
    <row r="4653" spans="24:25" x14ac:dyDescent="0.35">
      <c r="X4653" s="40"/>
      <c r="Y4653" s="40"/>
    </row>
    <row r="4654" spans="24:25" x14ac:dyDescent="0.35">
      <c r="X4654" s="40"/>
      <c r="Y4654" s="40"/>
    </row>
    <row r="4655" spans="24:25" x14ac:dyDescent="0.35">
      <c r="X4655" s="40"/>
      <c r="Y4655" s="40"/>
    </row>
    <row r="4656" spans="24:25" x14ac:dyDescent="0.35">
      <c r="X4656" s="40"/>
      <c r="Y4656" s="40"/>
    </row>
    <row r="4657" spans="24:25" x14ac:dyDescent="0.35">
      <c r="X4657" s="40"/>
      <c r="Y4657" s="40"/>
    </row>
    <row r="4658" spans="24:25" x14ac:dyDescent="0.35">
      <c r="X4658" s="40"/>
      <c r="Y4658" s="40"/>
    </row>
    <row r="4659" spans="24:25" x14ac:dyDescent="0.35">
      <c r="X4659" s="40"/>
      <c r="Y4659" s="40"/>
    </row>
    <row r="4660" spans="24:25" x14ac:dyDescent="0.35">
      <c r="X4660" s="40"/>
      <c r="Y4660" s="40"/>
    </row>
    <row r="4661" spans="24:25" x14ac:dyDescent="0.35">
      <c r="X4661" s="40"/>
      <c r="Y4661" s="40"/>
    </row>
    <row r="4662" spans="24:25" x14ac:dyDescent="0.35">
      <c r="X4662" s="40"/>
      <c r="Y4662" s="40"/>
    </row>
    <row r="4663" spans="24:25" x14ac:dyDescent="0.35">
      <c r="X4663" s="40"/>
      <c r="Y4663" s="40"/>
    </row>
    <row r="4664" spans="24:25" x14ac:dyDescent="0.35">
      <c r="X4664" s="40"/>
      <c r="Y4664" s="40"/>
    </row>
    <row r="4665" spans="24:25" x14ac:dyDescent="0.35">
      <c r="X4665" s="40"/>
      <c r="Y4665" s="40"/>
    </row>
    <row r="4666" spans="24:25" x14ac:dyDescent="0.35">
      <c r="X4666" s="40"/>
      <c r="Y4666" s="40"/>
    </row>
    <row r="4667" spans="24:25" x14ac:dyDescent="0.35">
      <c r="X4667" s="40"/>
      <c r="Y4667" s="40"/>
    </row>
    <row r="4668" spans="24:25" x14ac:dyDescent="0.35">
      <c r="X4668" s="40"/>
      <c r="Y4668" s="40"/>
    </row>
    <row r="4669" spans="24:25" x14ac:dyDescent="0.35">
      <c r="X4669" s="40"/>
      <c r="Y4669" s="40"/>
    </row>
    <row r="4670" spans="24:25" x14ac:dyDescent="0.35">
      <c r="X4670" s="40"/>
      <c r="Y4670" s="40"/>
    </row>
    <row r="4671" spans="24:25" x14ac:dyDescent="0.35">
      <c r="X4671" s="40"/>
      <c r="Y4671" s="40"/>
    </row>
    <row r="4672" spans="24:25" x14ac:dyDescent="0.35">
      <c r="X4672" s="40"/>
      <c r="Y4672" s="40"/>
    </row>
    <row r="4673" spans="24:25" x14ac:dyDescent="0.35">
      <c r="X4673" s="40"/>
      <c r="Y4673" s="40"/>
    </row>
    <row r="4674" spans="24:25" x14ac:dyDescent="0.35">
      <c r="X4674" s="40"/>
      <c r="Y4674" s="40"/>
    </row>
    <row r="4675" spans="24:25" x14ac:dyDescent="0.35">
      <c r="X4675" s="40"/>
      <c r="Y4675" s="40"/>
    </row>
    <row r="4676" spans="24:25" x14ac:dyDescent="0.35">
      <c r="X4676" s="40"/>
      <c r="Y4676" s="40"/>
    </row>
    <row r="4677" spans="24:25" x14ac:dyDescent="0.35">
      <c r="X4677" s="40"/>
      <c r="Y4677" s="40"/>
    </row>
    <row r="4678" spans="24:25" x14ac:dyDescent="0.35">
      <c r="X4678" s="40"/>
      <c r="Y4678" s="40"/>
    </row>
    <row r="4679" spans="24:25" x14ac:dyDescent="0.35">
      <c r="X4679" s="40"/>
      <c r="Y4679" s="40"/>
    </row>
    <row r="4680" spans="24:25" x14ac:dyDescent="0.35">
      <c r="X4680" s="40"/>
      <c r="Y4680" s="40"/>
    </row>
    <row r="4681" spans="24:25" x14ac:dyDescent="0.35">
      <c r="X4681" s="40"/>
      <c r="Y4681" s="40"/>
    </row>
    <row r="4682" spans="24:25" x14ac:dyDescent="0.35">
      <c r="X4682" s="40"/>
      <c r="Y4682" s="40"/>
    </row>
    <row r="4683" spans="24:25" x14ac:dyDescent="0.35">
      <c r="X4683" s="40"/>
      <c r="Y4683" s="40"/>
    </row>
    <row r="4684" spans="24:25" x14ac:dyDescent="0.35">
      <c r="X4684" s="40"/>
      <c r="Y4684" s="40"/>
    </row>
    <row r="4685" spans="24:25" x14ac:dyDescent="0.35">
      <c r="X4685" s="40"/>
      <c r="Y4685" s="40"/>
    </row>
    <row r="4686" spans="24:25" x14ac:dyDescent="0.35">
      <c r="X4686" s="40"/>
      <c r="Y4686" s="40"/>
    </row>
    <row r="4687" spans="24:25" x14ac:dyDescent="0.35">
      <c r="X4687" s="40"/>
      <c r="Y4687" s="40"/>
    </row>
    <row r="4688" spans="24:25" x14ac:dyDescent="0.35">
      <c r="X4688" s="40"/>
      <c r="Y4688" s="40"/>
    </row>
    <row r="4689" spans="24:25" x14ac:dyDescent="0.35">
      <c r="X4689" s="40"/>
      <c r="Y4689" s="40"/>
    </row>
    <row r="4690" spans="24:25" x14ac:dyDescent="0.35">
      <c r="X4690" s="40"/>
      <c r="Y4690" s="40"/>
    </row>
    <row r="4691" spans="24:25" x14ac:dyDescent="0.35">
      <c r="X4691" s="40"/>
      <c r="Y4691" s="40"/>
    </row>
    <row r="4692" spans="24:25" x14ac:dyDescent="0.35">
      <c r="X4692" s="40"/>
      <c r="Y4692" s="40"/>
    </row>
    <row r="4693" spans="24:25" x14ac:dyDescent="0.35">
      <c r="X4693" s="40"/>
      <c r="Y4693" s="40"/>
    </row>
    <row r="4694" spans="24:25" x14ac:dyDescent="0.35">
      <c r="X4694" s="40"/>
      <c r="Y4694" s="40"/>
    </row>
    <row r="4695" spans="24:25" x14ac:dyDescent="0.35">
      <c r="X4695" s="40"/>
      <c r="Y4695" s="40"/>
    </row>
    <row r="4696" spans="24:25" x14ac:dyDescent="0.35">
      <c r="X4696" s="40"/>
      <c r="Y4696" s="40"/>
    </row>
    <row r="4697" spans="24:25" x14ac:dyDescent="0.35">
      <c r="X4697" s="40"/>
      <c r="Y4697" s="40"/>
    </row>
    <row r="4698" spans="24:25" x14ac:dyDescent="0.35">
      <c r="X4698" s="40"/>
      <c r="Y4698" s="40"/>
    </row>
    <row r="4699" spans="24:25" x14ac:dyDescent="0.35">
      <c r="X4699" s="40"/>
      <c r="Y4699" s="40"/>
    </row>
    <row r="4700" spans="24:25" x14ac:dyDescent="0.35">
      <c r="X4700" s="40"/>
      <c r="Y4700" s="40"/>
    </row>
    <row r="4701" spans="24:25" x14ac:dyDescent="0.35">
      <c r="X4701" s="40"/>
      <c r="Y4701" s="40"/>
    </row>
    <row r="4702" spans="24:25" x14ac:dyDescent="0.35">
      <c r="X4702" s="40"/>
      <c r="Y4702" s="40"/>
    </row>
    <row r="4703" spans="24:25" x14ac:dyDescent="0.35">
      <c r="X4703" s="40"/>
      <c r="Y4703" s="40"/>
    </row>
    <row r="4704" spans="24:25" x14ac:dyDescent="0.35">
      <c r="X4704" s="40"/>
      <c r="Y4704" s="40"/>
    </row>
    <row r="4705" spans="24:25" x14ac:dyDescent="0.35">
      <c r="X4705" s="40"/>
      <c r="Y4705" s="40"/>
    </row>
    <row r="4706" spans="24:25" x14ac:dyDescent="0.35">
      <c r="X4706" s="40"/>
      <c r="Y4706" s="40"/>
    </row>
    <row r="4707" spans="24:25" x14ac:dyDescent="0.35">
      <c r="X4707" s="40"/>
      <c r="Y4707" s="40"/>
    </row>
    <row r="4708" spans="24:25" x14ac:dyDescent="0.35">
      <c r="X4708" s="40"/>
      <c r="Y4708" s="40"/>
    </row>
    <row r="4709" spans="24:25" x14ac:dyDescent="0.35">
      <c r="X4709" s="40"/>
      <c r="Y4709" s="40"/>
    </row>
    <row r="4710" spans="24:25" x14ac:dyDescent="0.35">
      <c r="X4710" s="40"/>
      <c r="Y4710" s="40"/>
    </row>
    <row r="4711" spans="24:25" x14ac:dyDescent="0.35">
      <c r="X4711" s="40"/>
      <c r="Y4711" s="40"/>
    </row>
    <row r="4712" spans="24:25" x14ac:dyDescent="0.35">
      <c r="X4712" s="40"/>
      <c r="Y4712" s="40"/>
    </row>
    <row r="4713" spans="24:25" x14ac:dyDescent="0.35">
      <c r="X4713" s="40"/>
      <c r="Y4713" s="40"/>
    </row>
    <row r="4714" spans="24:25" x14ac:dyDescent="0.35">
      <c r="X4714" s="40"/>
      <c r="Y4714" s="40"/>
    </row>
    <row r="4715" spans="24:25" x14ac:dyDescent="0.35">
      <c r="X4715" s="40"/>
      <c r="Y4715" s="40"/>
    </row>
    <row r="4716" spans="24:25" x14ac:dyDescent="0.35">
      <c r="X4716" s="40"/>
      <c r="Y4716" s="40"/>
    </row>
    <row r="4717" spans="24:25" x14ac:dyDescent="0.35">
      <c r="X4717" s="40"/>
      <c r="Y4717" s="40"/>
    </row>
    <row r="4718" spans="24:25" x14ac:dyDescent="0.35">
      <c r="X4718" s="40"/>
      <c r="Y4718" s="40"/>
    </row>
    <row r="4719" spans="24:25" x14ac:dyDescent="0.35">
      <c r="X4719" s="40"/>
      <c r="Y4719" s="40"/>
    </row>
    <row r="4720" spans="24:25" x14ac:dyDescent="0.35">
      <c r="X4720" s="40"/>
      <c r="Y4720" s="40"/>
    </row>
    <row r="4721" spans="24:25" x14ac:dyDescent="0.35">
      <c r="X4721" s="40"/>
      <c r="Y4721" s="40"/>
    </row>
    <row r="4722" spans="24:25" x14ac:dyDescent="0.35">
      <c r="X4722" s="40"/>
      <c r="Y4722" s="40"/>
    </row>
    <row r="4723" spans="24:25" x14ac:dyDescent="0.35">
      <c r="X4723" s="40"/>
      <c r="Y4723" s="40"/>
    </row>
    <row r="4724" spans="24:25" x14ac:dyDescent="0.35">
      <c r="X4724" s="40"/>
      <c r="Y4724" s="40"/>
    </row>
    <row r="4725" spans="24:25" x14ac:dyDescent="0.35">
      <c r="X4725" s="40"/>
      <c r="Y4725" s="40"/>
    </row>
    <row r="4726" spans="24:25" x14ac:dyDescent="0.35">
      <c r="X4726" s="40"/>
      <c r="Y4726" s="40"/>
    </row>
    <row r="4727" spans="24:25" x14ac:dyDescent="0.35">
      <c r="X4727" s="40"/>
      <c r="Y4727" s="40"/>
    </row>
    <row r="4728" spans="24:25" x14ac:dyDescent="0.35">
      <c r="X4728" s="40"/>
      <c r="Y4728" s="40"/>
    </row>
    <row r="4729" spans="24:25" x14ac:dyDescent="0.35">
      <c r="X4729" s="40"/>
      <c r="Y4729" s="40"/>
    </row>
    <row r="4730" spans="24:25" x14ac:dyDescent="0.35">
      <c r="X4730" s="40"/>
      <c r="Y4730" s="40"/>
    </row>
    <row r="4731" spans="24:25" x14ac:dyDescent="0.35">
      <c r="X4731" s="40"/>
      <c r="Y4731" s="40"/>
    </row>
    <row r="4732" spans="24:25" x14ac:dyDescent="0.35">
      <c r="X4732" s="40"/>
      <c r="Y4732" s="40"/>
    </row>
    <row r="4733" spans="24:25" x14ac:dyDescent="0.35">
      <c r="X4733" s="40"/>
      <c r="Y4733" s="40"/>
    </row>
    <row r="4734" spans="24:25" x14ac:dyDescent="0.35">
      <c r="X4734" s="40"/>
      <c r="Y4734" s="40"/>
    </row>
    <row r="4735" spans="24:25" x14ac:dyDescent="0.35">
      <c r="X4735" s="40"/>
      <c r="Y4735" s="40"/>
    </row>
    <row r="4736" spans="24:25" x14ac:dyDescent="0.35">
      <c r="X4736" s="40"/>
      <c r="Y4736" s="40"/>
    </row>
    <row r="4737" spans="24:25" x14ac:dyDescent="0.35">
      <c r="X4737" s="40"/>
      <c r="Y4737" s="40"/>
    </row>
    <row r="4738" spans="24:25" x14ac:dyDescent="0.35">
      <c r="X4738" s="40"/>
      <c r="Y4738" s="40"/>
    </row>
    <row r="4739" spans="24:25" x14ac:dyDescent="0.35">
      <c r="X4739" s="40"/>
      <c r="Y4739" s="40"/>
    </row>
    <row r="4740" spans="24:25" x14ac:dyDescent="0.35">
      <c r="X4740" s="40"/>
      <c r="Y4740" s="40"/>
    </row>
    <row r="4741" spans="24:25" x14ac:dyDescent="0.35">
      <c r="X4741" s="40"/>
      <c r="Y4741" s="40"/>
    </row>
    <row r="4742" spans="24:25" x14ac:dyDescent="0.35">
      <c r="X4742" s="40"/>
      <c r="Y4742" s="40"/>
    </row>
    <row r="4743" spans="24:25" x14ac:dyDescent="0.35">
      <c r="X4743" s="40"/>
      <c r="Y4743" s="40"/>
    </row>
    <row r="4744" spans="24:25" x14ac:dyDescent="0.35">
      <c r="X4744" s="40"/>
      <c r="Y4744" s="40"/>
    </row>
    <row r="4745" spans="24:25" x14ac:dyDescent="0.35">
      <c r="X4745" s="40"/>
      <c r="Y4745" s="40"/>
    </row>
    <row r="4746" spans="24:25" x14ac:dyDescent="0.35">
      <c r="X4746" s="40"/>
      <c r="Y4746" s="40"/>
    </row>
    <row r="4747" spans="24:25" x14ac:dyDescent="0.35">
      <c r="X4747" s="40"/>
      <c r="Y4747" s="40"/>
    </row>
    <row r="4748" spans="24:25" x14ac:dyDescent="0.35">
      <c r="X4748" s="40"/>
      <c r="Y4748" s="40"/>
    </row>
    <row r="4749" spans="24:25" x14ac:dyDescent="0.35">
      <c r="X4749" s="40"/>
      <c r="Y4749" s="40"/>
    </row>
    <row r="4750" spans="24:25" x14ac:dyDescent="0.35">
      <c r="X4750" s="40"/>
      <c r="Y4750" s="40"/>
    </row>
    <row r="4751" spans="24:25" x14ac:dyDescent="0.35">
      <c r="X4751" s="40"/>
      <c r="Y4751" s="40"/>
    </row>
    <row r="4752" spans="24:25" x14ac:dyDescent="0.35">
      <c r="X4752" s="40"/>
      <c r="Y4752" s="40"/>
    </row>
    <row r="4753" spans="24:25" x14ac:dyDescent="0.35">
      <c r="X4753" s="40"/>
      <c r="Y4753" s="40"/>
    </row>
    <row r="4754" spans="24:25" x14ac:dyDescent="0.35">
      <c r="X4754" s="40"/>
      <c r="Y4754" s="40"/>
    </row>
    <row r="4755" spans="24:25" x14ac:dyDescent="0.35">
      <c r="X4755" s="40"/>
      <c r="Y4755" s="40"/>
    </row>
    <row r="4756" spans="24:25" x14ac:dyDescent="0.35">
      <c r="X4756" s="40"/>
      <c r="Y4756" s="40"/>
    </row>
    <row r="4757" spans="24:25" x14ac:dyDescent="0.35">
      <c r="X4757" s="40"/>
      <c r="Y4757" s="40"/>
    </row>
    <row r="4758" spans="24:25" x14ac:dyDescent="0.35">
      <c r="X4758" s="40"/>
      <c r="Y4758" s="40"/>
    </row>
    <row r="4759" spans="24:25" x14ac:dyDescent="0.35">
      <c r="X4759" s="40"/>
      <c r="Y4759" s="40"/>
    </row>
    <row r="4760" spans="24:25" x14ac:dyDescent="0.35">
      <c r="X4760" s="40"/>
      <c r="Y4760" s="40"/>
    </row>
    <row r="4761" spans="24:25" x14ac:dyDescent="0.35">
      <c r="X4761" s="40"/>
      <c r="Y4761" s="40"/>
    </row>
    <row r="4762" spans="24:25" x14ac:dyDescent="0.35">
      <c r="X4762" s="40"/>
      <c r="Y4762" s="40"/>
    </row>
    <row r="4763" spans="24:25" x14ac:dyDescent="0.35">
      <c r="X4763" s="40"/>
      <c r="Y4763" s="40"/>
    </row>
    <row r="4764" spans="24:25" x14ac:dyDescent="0.35">
      <c r="X4764" s="40"/>
      <c r="Y4764" s="40"/>
    </row>
    <row r="4765" spans="24:25" x14ac:dyDescent="0.35">
      <c r="X4765" s="40"/>
      <c r="Y4765" s="40"/>
    </row>
    <row r="4766" spans="24:25" x14ac:dyDescent="0.35">
      <c r="X4766" s="40"/>
      <c r="Y4766" s="40"/>
    </row>
    <row r="4767" spans="24:25" x14ac:dyDescent="0.35">
      <c r="X4767" s="40"/>
      <c r="Y4767" s="40"/>
    </row>
    <row r="4768" spans="24:25" x14ac:dyDescent="0.35">
      <c r="X4768" s="40"/>
      <c r="Y4768" s="40"/>
    </row>
    <row r="4769" spans="24:25" x14ac:dyDescent="0.35">
      <c r="X4769" s="40"/>
      <c r="Y4769" s="40"/>
    </row>
    <row r="4770" spans="24:25" x14ac:dyDescent="0.35">
      <c r="X4770" s="40"/>
      <c r="Y4770" s="40"/>
    </row>
    <row r="4771" spans="24:25" x14ac:dyDescent="0.35">
      <c r="X4771" s="40"/>
      <c r="Y4771" s="40"/>
    </row>
    <row r="4772" spans="24:25" x14ac:dyDescent="0.35">
      <c r="X4772" s="40"/>
      <c r="Y4772" s="40"/>
    </row>
    <row r="4773" spans="24:25" x14ac:dyDescent="0.35">
      <c r="X4773" s="40"/>
      <c r="Y4773" s="40"/>
    </row>
    <row r="4774" spans="24:25" x14ac:dyDescent="0.35">
      <c r="X4774" s="40"/>
      <c r="Y4774" s="40"/>
    </row>
    <row r="4775" spans="24:25" x14ac:dyDescent="0.35">
      <c r="X4775" s="40"/>
      <c r="Y4775" s="40"/>
    </row>
    <row r="4776" spans="24:25" x14ac:dyDescent="0.35">
      <c r="X4776" s="40"/>
      <c r="Y4776" s="40"/>
    </row>
    <row r="4777" spans="24:25" x14ac:dyDescent="0.35">
      <c r="X4777" s="40"/>
      <c r="Y4777" s="40"/>
    </row>
    <row r="4778" spans="24:25" x14ac:dyDescent="0.35">
      <c r="X4778" s="40"/>
      <c r="Y4778" s="40"/>
    </row>
    <row r="4779" spans="24:25" x14ac:dyDescent="0.35">
      <c r="X4779" s="40"/>
      <c r="Y4779" s="40"/>
    </row>
    <row r="4780" spans="24:25" x14ac:dyDescent="0.35">
      <c r="X4780" s="40"/>
      <c r="Y4780" s="40"/>
    </row>
    <row r="4781" spans="24:25" x14ac:dyDescent="0.35">
      <c r="X4781" s="40"/>
      <c r="Y4781" s="40"/>
    </row>
    <row r="4782" spans="24:25" x14ac:dyDescent="0.35">
      <c r="X4782" s="40"/>
      <c r="Y4782" s="40"/>
    </row>
    <row r="4783" spans="24:25" x14ac:dyDescent="0.35">
      <c r="X4783" s="40"/>
      <c r="Y4783" s="40"/>
    </row>
    <row r="4784" spans="24:25" x14ac:dyDescent="0.35">
      <c r="X4784" s="40"/>
      <c r="Y4784" s="40"/>
    </row>
    <row r="4785" spans="24:25" x14ac:dyDescent="0.35">
      <c r="X4785" s="40"/>
      <c r="Y4785" s="40"/>
    </row>
    <row r="4786" spans="24:25" x14ac:dyDescent="0.35">
      <c r="X4786" s="40"/>
      <c r="Y4786" s="40"/>
    </row>
    <row r="4787" spans="24:25" x14ac:dyDescent="0.35">
      <c r="X4787" s="40"/>
      <c r="Y4787" s="40"/>
    </row>
    <row r="4788" spans="24:25" x14ac:dyDescent="0.35">
      <c r="X4788" s="40"/>
      <c r="Y4788" s="40"/>
    </row>
    <row r="4789" spans="24:25" x14ac:dyDescent="0.35">
      <c r="X4789" s="40"/>
      <c r="Y4789" s="40"/>
    </row>
    <row r="4790" spans="24:25" x14ac:dyDescent="0.35">
      <c r="X4790" s="40"/>
      <c r="Y4790" s="40"/>
    </row>
    <row r="4791" spans="24:25" x14ac:dyDescent="0.35">
      <c r="X4791" s="40"/>
      <c r="Y4791" s="40"/>
    </row>
    <row r="4792" spans="24:25" x14ac:dyDescent="0.35">
      <c r="X4792" s="40"/>
      <c r="Y4792" s="40"/>
    </row>
    <row r="4793" spans="24:25" x14ac:dyDescent="0.35">
      <c r="X4793" s="40"/>
      <c r="Y4793" s="40"/>
    </row>
    <row r="4794" spans="24:25" x14ac:dyDescent="0.35">
      <c r="X4794" s="40"/>
      <c r="Y4794" s="40"/>
    </row>
    <row r="4795" spans="24:25" x14ac:dyDescent="0.35">
      <c r="X4795" s="40"/>
      <c r="Y4795" s="40"/>
    </row>
    <row r="4796" spans="24:25" x14ac:dyDescent="0.35">
      <c r="X4796" s="40"/>
      <c r="Y4796" s="40"/>
    </row>
    <row r="4797" spans="24:25" x14ac:dyDescent="0.35">
      <c r="X4797" s="40"/>
      <c r="Y4797" s="40"/>
    </row>
    <row r="4798" spans="24:25" x14ac:dyDescent="0.35">
      <c r="X4798" s="40"/>
      <c r="Y4798" s="40"/>
    </row>
    <row r="4799" spans="24:25" x14ac:dyDescent="0.35">
      <c r="X4799" s="40"/>
      <c r="Y4799" s="40"/>
    </row>
    <row r="4800" spans="24:25" x14ac:dyDescent="0.35">
      <c r="X4800" s="40"/>
      <c r="Y4800" s="40"/>
    </row>
    <row r="4801" spans="24:25" x14ac:dyDescent="0.35">
      <c r="X4801" s="40"/>
      <c r="Y4801" s="40"/>
    </row>
    <row r="4802" spans="24:25" x14ac:dyDescent="0.35">
      <c r="X4802" s="40"/>
      <c r="Y4802" s="40"/>
    </row>
    <row r="4803" spans="24:25" x14ac:dyDescent="0.35">
      <c r="X4803" s="40"/>
      <c r="Y4803" s="40"/>
    </row>
    <row r="4804" spans="24:25" x14ac:dyDescent="0.35">
      <c r="X4804" s="40"/>
      <c r="Y4804" s="40"/>
    </row>
    <row r="4805" spans="24:25" x14ac:dyDescent="0.35">
      <c r="X4805" s="40"/>
      <c r="Y4805" s="40"/>
    </row>
    <row r="4806" spans="24:25" x14ac:dyDescent="0.35">
      <c r="X4806" s="40"/>
      <c r="Y4806" s="40"/>
    </row>
    <row r="4807" spans="24:25" x14ac:dyDescent="0.35">
      <c r="X4807" s="40"/>
      <c r="Y4807" s="40"/>
    </row>
    <row r="4808" spans="24:25" x14ac:dyDescent="0.35">
      <c r="X4808" s="40"/>
      <c r="Y4808" s="40"/>
    </row>
    <row r="4809" spans="24:25" x14ac:dyDescent="0.35">
      <c r="X4809" s="40"/>
      <c r="Y4809" s="40"/>
    </row>
    <row r="4810" spans="24:25" x14ac:dyDescent="0.35">
      <c r="X4810" s="40"/>
      <c r="Y4810" s="40"/>
    </row>
    <row r="4811" spans="24:25" x14ac:dyDescent="0.35">
      <c r="X4811" s="40"/>
      <c r="Y4811" s="40"/>
    </row>
    <row r="4812" spans="24:25" x14ac:dyDescent="0.35">
      <c r="X4812" s="40"/>
      <c r="Y4812" s="40"/>
    </row>
    <row r="4813" spans="24:25" x14ac:dyDescent="0.35">
      <c r="X4813" s="40"/>
      <c r="Y4813" s="40"/>
    </row>
    <row r="4814" spans="24:25" x14ac:dyDescent="0.35">
      <c r="X4814" s="40"/>
      <c r="Y4814" s="40"/>
    </row>
    <row r="4815" spans="24:25" x14ac:dyDescent="0.35">
      <c r="X4815" s="40"/>
      <c r="Y4815" s="40"/>
    </row>
    <row r="4816" spans="24:25" x14ac:dyDescent="0.35">
      <c r="X4816" s="40"/>
      <c r="Y4816" s="40"/>
    </row>
    <row r="4817" spans="24:25" x14ac:dyDescent="0.35">
      <c r="X4817" s="40"/>
      <c r="Y4817" s="40"/>
    </row>
    <row r="4818" spans="24:25" x14ac:dyDescent="0.35">
      <c r="X4818" s="40"/>
      <c r="Y4818" s="40"/>
    </row>
    <row r="4819" spans="24:25" x14ac:dyDescent="0.35">
      <c r="X4819" s="40"/>
      <c r="Y4819" s="40"/>
    </row>
    <row r="4820" spans="24:25" x14ac:dyDescent="0.35">
      <c r="X4820" s="40"/>
      <c r="Y4820" s="40"/>
    </row>
    <row r="4821" spans="24:25" x14ac:dyDescent="0.35">
      <c r="X4821" s="40"/>
      <c r="Y4821" s="40"/>
    </row>
    <row r="4822" spans="24:25" x14ac:dyDescent="0.35">
      <c r="X4822" s="40"/>
      <c r="Y4822" s="40"/>
    </row>
    <row r="4823" spans="24:25" x14ac:dyDescent="0.35">
      <c r="X4823" s="40"/>
      <c r="Y4823" s="40"/>
    </row>
    <row r="4824" spans="24:25" x14ac:dyDescent="0.35">
      <c r="X4824" s="40"/>
      <c r="Y4824" s="40"/>
    </row>
    <row r="4825" spans="24:25" x14ac:dyDescent="0.35">
      <c r="X4825" s="40"/>
      <c r="Y4825" s="40"/>
    </row>
    <row r="4826" spans="24:25" x14ac:dyDescent="0.35">
      <c r="X4826" s="40"/>
      <c r="Y4826" s="40"/>
    </row>
    <row r="4827" spans="24:25" x14ac:dyDescent="0.35">
      <c r="X4827" s="40"/>
      <c r="Y4827" s="40"/>
    </row>
    <row r="4828" spans="24:25" x14ac:dyDescent="0.35">
      <c r="X4828" s="40"/>
      <c r="Y4828" s="40"/>
    </row>
    <row r="4829" spans="24:25" x14ac:dyDescent="0.35">
      <c r="X4829" s="40"/>
      <c r="Y4829" s="40"/>
    </row>
    <row r="4830" spans="24:25" x14ac:dyDescent="0.35">
      <c r="X4830" s="40"/>
      <c r="Y4830" s="40"/>
    </row>
    <row r="4831" spans="24:25" x14ac:dyDescent="0.35">
      <c r="X4831" s="40"/>
      <c r="Y4831" s="40"/>
    </row>
    <row r="4832" spans="24:25" x14ac:dyDescent="0.35">
      <c r="X4832" s="40"/>
      <c r="Y4832" s="40"/>
    </row>
    <row r="4833" spans="24:25" x14ac:dyDescent="0.35">
      <c r="X4833" s="40"/>
      <c r="Y4833" s="40"/>
    </row>
    <row r="4834" spans="24:25" x14ac:dyDescent="0.35">
      <c r="X4834" s="40"/>
      <c r="Y4834" s="40"/>
    </row>
    <row r="4835" spans="24:25" x14ac:dyDescent="0.35">
      <c r="X4835" s="40"/>
      <c r="Y4835" s="40"/>
    </row>
    <row r="4836" spans="24:25" x14ac:dyDescent="0.35">
      <c r="X4836" s="40"/>
      <c r="Y4836" s="40"/>
    </row>
    <row r="4837" spans="24:25" x14ac:dyDescent="0.35">
      <c r="X4837" s="40"/>
      <c r="Y4837" s="40"/>
    </row>
    <row r="4838" spans="24:25" x14ac:dyDescent="0.35">
      <c r="X4838" s="40"/>
      <c r="Y4838" s="40"/>
    </row>
    <row r="4839" spans="24:25" x14ac:dyDescent="0.35">
      <c r="X4839" s="40"/>
      <c r="Y4839" s="40"/>
    </row>
    <row r="4840" spans="24:25" x14ac:dyDescent="0.35">
      <c r="X4840" s="40"/>
      <c r="Y4840" s="40"/>
    </row>
    <row r="4841" spans="24:25" x14ac:dyDescent="0.35">
      <c r="X4841" s="40"/>
      <c r="Y4841" s="40"/>
    </row>
    <row r="4842" spans="24:25" x14ac:dyDescent="0.35">
      <c r="X4842" s="40"/>
      <c r="Y4842" s="40"/>
    </row>
    <row r="4843" spans="24:25" x14ac:dyDescent="0.35">
      <c r="X4843" s="40"/>
      <c r="Y4843" s="40"/>
    </row>
    <row r="4844" spans="24:25" x14ac:dyDescent="0.35">
      <c r="X4844" s="40"/>
      <c r="Y4844" s="40"/>
    </row>
    <row r="4845" spans="24:25" x14ac:dyDescent="0.35">
      <c r="X4845" s="40"/>
      <c r="Y4845" s="40"/>
    </row>
    <row r="4846" spans="24:25" x14ac:dyDescent="0.35">
      <c r="X4846" s="40"/>
      <c r="Y4846" s="40"/>
    </row>
    <row r="4847" spans="24:25" x14ac:dyDescent="0.35">
      <c r="X4847" s="40"/>
      <c r="Y4847" s="40"/>
    </row>
    <row r="4848" spans="24:25" x14ac:dyDescent="0.35">
      <c r="X4848" s="40"/>
      <c r="Y4848" s="40"/>
    </row>
    <row r="4849" spans="24:25" x14ac:dyDescent="0.35">
      <c r="X4849" s="40"/>
      <c r="Y4849" s="40"/>
    </row>
    <row r="4850" spans="24:25" x14ac:dyDescent="0.35">
      <c r="X4850" s="40"/>
      <c r="Y4850" s="40"/>
    </row>
    <row r="4851" spans="24:25" x14ac:dyDescent="0.35">
      <c r="X4851" s="40"/>
      <c r="Y4851" s="40"/>
    </row>
    <row r="4852" spans="24:25" x14ac:dyDescent="0.35">
      <c r="X4852" s="40"/>
      <c r="Y4852" s="40"/>
    </row>
    <row r="4853" spans="24:25" x14ac:dyDescent="0.35">
      <c r="X4853" s="40"/>
      <c r="Y4853" s="40"/>
    </row>
    <row r="4854" spans="24:25" x14ac:dyDescent="0.35">
      <c r="X4854" s="40"/>
      <c r="Y4854" s="40"/>
    </row>
    <row r="4855" spans="24:25" x14ac:dyDescent="0.35">
      <c r="X4855" s="40"/>
      <c r="Y4855" s="40"/>
    </row>
    <row r="4856" spans="24:25" x14ac:dyDescent="0.35">
      <c r="X4856" s="40"/>
      <c r="Y4856" s="40"/>
    </row>
    <row r="4857" spans="24:25" x14ac:dyDescent="0.35">
      <c r="X4857" s="40"/>
      <c r="Y4857" s="40"/>
    </row>
    <row r="4858" spans="24:25" x14ac:dyDescent="0.35">
      <c r="X4858" s="40"/>
      <c r="Y4858" s="40"/>
    </row>
    <row r="4859" spans="24:25" x14ac:dyDescent="0.35">
      <c r="X4859" s="40"/>
      <c r="Y4859" s="40"/>
    </row>
    <row r="4860" spans="24:25" x14ac:dyDescent="0.35">
      <c r="X4860" s="40"/>
      <c r="Y4860" s="40"/>
    </row>
    <row r="4861" spans="24:25" x14ac:dyDescent="0.35">
      <c r="X4861" s="40"/>
      <c r="Y4861" s="40"/>
    </row>
    <row r="4862" spans="24:25" x14ac:dyDescent="0.35">
      <c r="X4862" s="40"/>
      <c r="Y4862" s="40"/>
    </row>
    <row r="4863" spans="24:25" x14ac:dyDescent="0.35">
      <c r="X4863" s="40"/>
      <c r="Y4863" s="40"/>
    </row>
    <row r="4864" spans="24:25" x14ac:dyDescent="0.35">
      <c r="X4864" s="40"/>
      <c r="Y4864" s="40"/>
    </row>
    <row r="4865" spans="24:25" x14ac:dyDescent="0.35">
      <c r="X4865" s="40"/>
      <c r="Y4865" s="40"/>
    </row>
    <row r="4866" spans="24:25" x14ac:dyDescent="0.35">
      <c r="X4866" s="40"/>
      <c r="Y4866" s="40"/>
    </row>
    <row r="4867" spans="24:25" x14ac:dyDescent="0.35">
      <c r="X4867" s="40"/>
      <c r="Y4867" s="40"/>
    </row>
    <row r="4868" spans="24:25" x14ac:dyDescent="0.35">
      <c r="X4868" s="40"/>
      <c r="Y4868" s="40"/>
    </row>
    <row r="4869" spans="24:25" x14ac:dyDescent="0.35">
      <c r="X4869" s="40"/>
      <c r="Y4869" s="40"/>
    </row>
    <row r="4870" spans="24:25" x14ac:dyDescent="0.35">
      <c r="X4870" s="40"/>
      <c r="Y4870" s="40"/>
    </row>
    <row r="4871" spans="24:25" x14ac:dyDescent="0.35">
      <c r="X4871" s="40"/>
      <c r="Y4871" s="40"/>
    </row>
    <row r="4872" spans="24:25" x14ac:dyDescent="0.35">
      <c r="X4872" s="40"/>
      <c r="Y4872" s="40"/>
    </row>
    <row r="4873" spans="24:25" x14ac:dyDescent="0.35">
      <c r="X4873" s="40"/>
      <c r="Y4873" s="40"/>
    </row>
    <row r="4874" spans="24:25" x14ac:dyDescent="0.35">
      <c r="X4874" s="40"/>
      <c r="Y4874" s="40"/>
    </row>
    <row r="4875" spans="24:25" x14ac:dyDescent="0.35">
      <c r="X4875" s="40"/>
      <c r="Y4875" s="40"/>
    </row>
    <row r="4876" spans="24:25" x14ac:dyDescent="0.35">
      <c r="X4876" s="40"/>
      <c r="Y4876" s="40"/>
    </row>
    <row r="4877" spans="24:25" x14ac:dyDescent="0.35">
      <c r="X4877" s="40"/>
      <c r="Y4877" s="40"/>
    </row>
    <row r="4878" spans="24:25" x14ac:dyDescent="0.35">
      <c r="X4878" s="40"/>
      <c r="Y4878" s="40"/>
    </row>
    <row r="4879" spans="24:25" x14ac:dyDescent="0.35">
      <c r="X4879" s="40"/>
      <c r="Y4879" s="40"/>
    </row>
    <row r="4880" spans="24:25" x14ac:dyDescent="0.35">
      <c r="X4880" s="40"/>
      <c r="Y4880" s="40"/>
    </row>
    <row r="4881" spans="24:25" x14ac:dyDescent="0.35">
      <c r="X4881" s="40"/>
      <c r="Y4881" s="40"/>
    </row>
    <row r="4882" spans="24:25" x14ac:dyDescent="0.35">
      <c r="X4882" s="40"/>
      <c r="Y4882" s="40"/>
    </row>
    <row r="4883" spans="24:25" x14ac:dyDescent="0.35">
      <c r="X4883" s="40"/>
      <c r="Y4883" s="40"/>
    </row>
    <row r="4884" spans="24:25" x14ac:dyDescent="0.35">
      <c r="X4884" s="40"/>
      <c r="Y4884" s="40"/>
    </row>
    <row r="4885" spans="24:25" x14ac:dyDescent="0.35">
      <c r="X4885" s="40"/>
      <c r="Y4885" s="40"/>
    </row>
    <row r="4886" spans="24:25" x14ac:dyDescent="0.35">
      <c r="X4886" s="40"/>
      <c r="Y4886" s="40"/>
    </row>
    <row r="4887" spans="24:25" x14ac:dyDescent="0.35">
      <c r="X4887" s="40"/>
      <c r="Y4887" s="40"/>
    </row>
    <row r="4888" spans="24:25" x14ac:dyDescent="0.35">
      <c r="X4888" s="40"/>
      <c r="Y4888" s="40"/>
    </row>
    <row r="4889" spans="24:25" x14ac:dyDescent="0.35">
      <c r="X4889" s="40"/>
      <c r="Y4889" s="40"/>
    </row>
    <row r="4890" spans="24:25" x14ac:dyDescent="0.35">
      <c r="X4890" s="40"/>
      <c r="Y4890" s="40"/>
    </row>
    <row r="4891" spans="24:25" x14ac:dyDescent="0.35">
      <c r="X4891" s="40"/>
      <c r="Y4891" s="40"/>
    </row>
    <row r="4892" spans="24:25" x14ac:dyDescent="0.35">
      <c r="X4892" s="40"/>
      <c r="Y4892" s="40"/>
    </row>
    <row r="4893" spans="24:25" x14ac:dyDescent="0.35">
      <c r="X4893" s="40"/>
      <c r="Y4893" s="40"/>
    </row>
    <row r="4894" spans="24:25" x14ac:dyDescent="0.35">
      <c r="X4894" s="40"/>
      <c r="Y4894" s="40"/>
    </row>
    <row r="4895" spans="24:25" x14ac:dyDescent="0.35">
      <c r="X4895" s="40"/>
      <c r="Y4895" s="40"/>
    </row>
    <row r="4896" spans="24:25" x14ac:dyDescent="0.35">
      <c r="X4896" s="40"/>
      <c r="Y4896" s="40"/>
    </row>
    <row r="4897" spans="24:25" x14ac:dyDescent="0.35">
      <c r="X4897" s="40"/>
      <c r="Y4897" s="40"/>
    </row>
    <row r="4898" spans="24:25" x14ac:dyDescent="0.35">
      <c r="X4898" s="40"/>
      <c r="Y4898" s="40"/>
    </row>
    <row r="4899" spans="24:25" x14ac:dyDescent="0.35">
      <c r="X4899" s="40"/>
      <c r="Y4899" s="40"/>
    </row>
    <row r="4900" spans="24:25" x14ac:dyDescent="0.35">
      <c r="X4900" s="40"/>
      <c r="Y4900" s="40"/>
    </row>
    <row r="4901" spans="24:25" x14ac:dyDescent="0.35">
      <c r="X4901" s="40"/>
      <c r="Y4901" s="40"/>
    </row>
    <row r="4902" spans="24:25" x14ac:dyDescent="0.35">
      <c r="X4902" s="40"/>
      <c r="Y4902" s="40"/>
    </row>
    <row r="4903" spans="24:25" x14ac:dyDescent="0.35">
      <c r="X4903" s="40"/>
      <c r="Y4903" s="40"/>
    </row>
    <row r="4904" spans="24:25" x14ac:dyDescent="0.35">
      <c r="X4904" s="40"/>
      <c r="Y4904" s="40"/>
    </row>
    <row r="4905" spans="24:25" x14ac:dyDescent="0.35">
      <c r="X4905" s="40"/>
      <c r="Y4905" s="40"/>
    </row>
    <row r="4906" spans="24:25" x14ac:dyDescent="0.35">
      <c r="X4906" s="40"/>
      <c r="Y4906" s="40"/>
    </row>
    <row r="4907" spans="24:25" x14ac:dyDescent="0.35">
      <c r="X4907" s="40"/>
      <c r="Y4907" s="40"/>
    </row>
    <row r="4908" spans="24:25" x14ac:dyDescent="0.35">
      <c r="X4908" s="40"/>
      <c r="Y4908" s="40"/>
    </row>
    <row r="4909" spans="24:25" x14ac:dyDescent="0.35">
      <c r="X4909" s="40"/>
      <c r="Y4909" s="40"/>
    </row>
    <row r="4910" spans="24:25" x14ac:dyDescent="0.35">
      <c r="X4910" s="40"/>
      <c r="Y4910" s="40"/>
    </row>
    <row r="4911" spans="24:25" x14ac:dyDescent="0.35">
      <c r="X4911" s="40"/>
      <c r="Y4911" s="40"/>
    </row>
    <row r="4912" spans="24:25" x14ac:dyDescent="0.35">
      <c r="X4912" s="40"/>
      <c r="Y4912" s="40"/>
    </row>
    <row r="4913" spans="24:25" x14ac:dyDescent="0.35">
      <c r="X4913" s="40"/>
      <c r="Y4913" s="40"/>
    </row>
    <row r="4914" spans="24:25" x14ac:dyDescent="0.35">
      <c r="X4914" s="40"/>
      <c r="Y4914" s="40"/>
    </row>
    <row r="4915" spans="24:25" x14ac:dyDescent="0.35">
      <c r="X4915" s="40"/>
      <c r="Y4915" s="40"/>
    </row>
    <row r="4916" spans="24:25" x14ac:dyDescent="0.35">
      <c r="X4916" s="40"/>
      <c r="Y4916" s="40"/>
    </row>
    <row r="4917" spans="24:25" x14ac:dyDescent="0.35">
      <c r="X4917" s="40"/>
      <c r="Y4917" s="40"/>
    </row>
    <row r="4918" spans="24:25" x14ac:dyDescent="0.35">
      <c r="X4918" s="40"/>
      <c r="Y4918" s="40"/>
    </row>
    <row r="4919" spans="24:25" x14ac:dyDescent="0.35">
      <c r="X4919" s="40"/>
      <c r="Y4919" s="40"/>
    </row>
    <row r="4920" spans="24:25" x14ac:dyDescent="0.35">
      <c r="X4920" s="40"/>
      <c r="Y4920" s="40"/>
    </row>
    <row r="4921" spans="24:25" x14ac:dyDescent="0.35">
      <c r="X4921" s="40"/>
      <c r="Y4921" s="40"/>
    </row>
    <row r="4922" spans="24:25" x14ac:dyDescent="0.35">
      <c r="X4922" s="40"/>
      <c r="Y4922" s="40"/>
    </row>
    <row r="4923" spans="24:25" x14ac:dyDescent="0.35">
      <c r="X4923" s="40"/>
      <c r="Y4923" s="40"/>
    </row>
    <row r="4924" spans="24:25" x14ac:dyDescent="0.35">
      <c r="X4924" s="40"/>
      <c r="Y4924" s="40"/>
    </row>
    <row r="4925" spans="24:25" x14ac:dyDescent="0.35">
      <c r="X4925" s="40"/>
      <c r="Y4925" s="40"/>
    </row>
    <row r="4926" spans="24:25" x14ac:dyDescent="0.35">
      <c r="X4926" s="40"/>
      <c r="Y4926" s="40"/>
    </row>
    <row r="4927" spans="24:25" x14ac:dyDescent="0.35">
      <c r="X4927" s="40"/>
      <c r="Y4927" s="40"/>
    </row>
    <row r="4928" spans="24:25" x14ac:dyDescent="0.35">
      <c r="X4928" s="40"/>
      <c r="Y4928" s="40"/>
    </row>
    <row r="4929" spans="24:25" x14ac:dyDescent="0.35">
      <c r="X4929" s="40"/>
      <c r="Y4929" s="40"/>
    </row>
    <row r="4930" spans="24:25" x14ac:dyDescent="0.35">
      <c r="X4930" s="40"/>
      <c r="Y4930" s="40"/>
    </row>
    <row r="4931" spans="24:25" x14ac:dyDescent="0.35">
      <c r="X4931" s="40"/>
      <c r="Y4931" s="40"/>
    </row>
    <row r="4932" spans="24:25" x14ac:dyDescent="0.35">
      <c r="X4932" s="40"/>
      <c r="Y4932" s="40"/>
    </row>
    <row r="4933" spans="24:25" x14ac:dyDescent="0.35">
      <c r="X4933" s="40"/>
      <c r="Y4933" s="40"/>
    </row>
    <row r="4934" spans="24:25" x14ac:dyDescent="0.35">
      <c r="X4934" s="40"/>
      <c r="Y4934" s="40"/>
    </row>
    <row r="4935" spans="24:25" x14ac:dyDescent="0.35">
      <c r="X4935" s="40"/>
      <c r="Y4935" s="40"/>
    </row>
    <row r="4936" spans="24:25" x14ac:dyDescent="0.35">
      <c r="X4936" s="40"/>
      <c r="Y4936" s="40"/>
    </row>
    <row r="4937" spans="24:25" x14ac:dyDescent="0.35">
      <c r="X4937" s="40"/>
      <c r="Y4937" s="40"/>
    </row>
    <row r="4938" spans="24:25" x14ac:dyDescent="0.35">
      <c r="X4938" s="40"/>
      <c r="Y4938" s="40"/>
    </row>
    <row r="4939" spans="24:25" x14ac:dyDescent="0.35">
      <c r="X4939" s="40"/>
      <c r="Y4939" s="40"/>
    </row>
    <row r="4940" spans="24:25" x14ac:dyDescent="0.35">
      <c r="X4940" s="40"/>
      <c r="Y4940" s="40"/>
    </row>
    <row r="4941" spans="24:25" x14ac:dyDescent="0.35">
      <c r="X4941" s="40"/>
      <c r="Y4941" s="40"/>
    </row>
    <row r="4942" spans="24:25" x14ac:dyDescent="0.35">
      <c r="X4942" s="40"/>
      <c r="Y4942" s="40"/>
    </row>
    <row r="4943" spans="24:25" x14ac:dyDescent="0.35">
      <c r="X4943" s="40"/>
      <c r="Y4943" s="40"/>
    </row>
    <row r="4944" spans="24:25" x14ac:dyDescent="0.35">
      <c r="X4944" s="40"/>
      <c r="Y4944" s="40"/>
    </row>
    <row r="4945" spans="24:25" x14ac:dyDescent="0.35">
      <c r="X4945" s="40"/>
      <c r="Y4945" s="40"/>
    </row>
    <row r="4946" spans="24:25" x14ac:dyDescent="0.35">
      <c r="X4946" s="40"/>
      <c r="Y4946" s="40"/>
    </row>
    <row r="4947" spans="24:25" x14ac:dyDescent="0.35">
      <c r="X4947" s="40"/>
      <c r="Y4947" s="40"/>
    </row>
    <row r="4948" spans="24:25" x14ac:dyDescent="0.35">
      <c r="X4948" s="40"/>
      <c r="Y4948" s="40"/>
    </row>
    <row r="4949" spans="24:25" x14ac:dyDescent="0.35">
      <c r="X4949" s="40"/>
      <c r="Y4949" s="40"/>
    </row>
    <row r="4950" spans="24:25" x14ac:dyDescent="0.35">
      <c r="X4950" s="40"/>
      <c r="Y4950" s="40"/>
    </row>
    <row r="4951" spans="24:25" x14ac:dyDescent="0.35">
      <c r="X4951" s="40"/>
      <c r="Y4951" s="40"/>
    </row>
    <row r="4952" spans="24:25" x14ac:dyDescent="0.35">
      <c r="X4952" s="40"/>
      <c r="Y4952" s="40"/>
    </row>
    <row r="4953" spans="24:25" x14ac:dyDescent="0.35">
      <c r="X4953" s="40"/>
      <c r="Y4953" s="40"/>
    </row>
    <row r="4954" spans="24:25" x14ac:dyDescent="0.35">
      <c r="X4954" s="40"/>
      <c r="Y4954" s="40"/>
    </row>
    <row r="4955" spans="24:25" x14ac:dyDescent="0.35">
      <c r="X4955" s="40"/>
      <c r="Y4955" s="40"/>
    </row>
    <row r="4956" spans="24:25" x14ac:dyDescent="0.35">
      <c r="X4956" s="40"/>
      <c r="Y4956" s="40"/>
    </row>
    <row r="4957" spans="24:25" x14ac:dyDescent="0.35">
      <c r="X4957" s="40"/>
      <c r="Y4957" s="40"/>
    </row>
    <row r="4958" spans="24:25" x14ac:dyDescent="0.35">
      <c r="X4958" s="40"/>
      <c r="Y4958" s="40"/>
    </row>
    <row r="4959" spans="24:25" x14ac:dyDescent="0.35">
      <c r="X4959" s="40"/>
      <c r="Y4959" s="40"/>
    </row>
    <row r="4960" spans="24:25" x14ac:dyDescent="0.35">
      <c r="X4960" s="40"/>
      <c r="Y4960" s="40"/>
    </row>
    <row r="4961" spans="24:25" x14ac:dyDescent="0.35">
      <c r="X4961" s="40"/>
      <c r="Y4961" s="40"/>
    </row>
    <row r="4962" spans="24:25" x14ac:dyDescent="0.35">
      <c r="X4962" s="40"/>
      <c r="Y4962" s="40"/>
    </row>
    <row r="4963" spans="24:25" x14ac:dyDescent="0.35">
      <c r="X4963" s="40"/>
      <c r="Y4963" s="40"/>
    </row>
    <row r="4964" spans="24:25" x14ac:dyDescent="0.35">
      <c r="X4964" s="40"/>
      <c r="Y4964" s="40"/>
    </row>
    <row r="4965" spans="24:25" x14ac:dyDescent="0.35">
      <c r="X4965" s="40"/>
      <c r="Y4965" s="40"/>
    </row>
    <row r="4966" spans="24:25" x14ac:dyDescent="0.35">
      <c r="X4966" s="40"/>
      <c r="Y4966" s="40"/>
    </row>
    <row r="4967" spans="24:25" x14ac:dyDescent="0.35">
      <c r="X4967" s="40"/>
      <c r="Y4967" s="40"/>
    </row>
    <row r="4968" spans="24:25" x14ac:dyDescent="0.35">
      <c r="X4968" s="40"/>
      <c r="Y4968" s="40"/>
    </row>
    <row r="4969" spans="24:25" x14ac:dyDescent="0.35">
      <c r="X4969" s="40"/>
      <c r="Y4969" s="40"/>
    </row>
    <row r="4970" spans="24:25" x14ac:dyDescent="0.35">
      <c r="X4970" s="40"/>
      <c r="Y4970" s="40"/>
    </row>
    <row r="4971" spans="24:25" x14ac:dyDescent="0.35">
      <c r="X4971" s="40"/>
      <c r="Y4971" s="40"/>
    </row>
    <row r="4972" spans="24:25" x14ac:dyDescent="0.35">
      <c r="X4972" s="40"/>
      <c r="Y4972" s="40"/>
    </row>
    <row r="4973" spans="24:25" x14ac:dyDescent="0.35">
      <c r="X4973" s="40"/>
      <c r="Y4973" s="40"/>
    </row>
    <row r="4974" spans="24:25" x14ac:dyDescent="0.35">
      <c r="X4974" s="40"/>
      <c r="Y4974" s="40"/>
    </row>
    <row r="4975" spans="24:25" x14ac:dyDescent="0.35">
      <c r="X4975" s="40"/>
      <c r="Y4975" s="40"/>
    </row>
    <row r="4976" spans="24:25" x14ac:dyDescent="0.35">
      <c r="X4976" s="40"/>
      <c r="Y4976" s="40"/>
    </row>
    <row r="4977" spans="24:25" x14ac:dyDescent="0.35">
      <c r="X4977" s="40"/>
      <c r="Y4977" s="40"/>
    </row>
    <row r="4978" spans="24:25" x14ac:dyDescent="0.35">
      <c r="X4978" s="40"/>
      <c r="Y4978" s="40"/>
    </row>
    <row r="4979" spans="24:25" x14ac:dyDescent="0.35">
      <c r="X4979" s="40"/>
      <c r="Y4979" s="40"/>
    </row>
    <row r="4980" spans="24:25" x14ac:dyDescent="0.35">
      <c r="X4980" s="40"/>
      <c r="Y4980" s="40"/>
    </row>
    <row r="4981" spans="24:25" x14ac:dyDescent="0.35">
      <c r="X4981" s="40"/>
      <c r="Y4981" s="40"/>
    </row>
    <row r="4982" spans="24:25" x14ac:dyDescent="0.35">
      <c r="X4982" s="40"/>
      <c r="Y4982" s="40"/>
    </row>
    <row r="4983" spans="24:25" x14ac:dyDescent="0.35">
      <c r="X4983" s="40"/>
      <c r="Y4983" s="40"/>
    </row>
    <row r="4984" spans="24:25" x14ac:dyDescent="0.35">
      <c r="X4984" s="40"/>
      <c r="Y4984" s="40"/>
    </row>
    <row r="4985" spans="24:25" x14ac:dyDescent="0.35">
      <c r="X4985" s="40"/>
      <c r="Y4985" s="40"/>
    </row>
    <row r="4986" spans="24:25" x14ac:dyDescent="0.35">
      <c r="X4986" s="40"/>
      <c r="Y4986" s="40"/>
    </row>
    <row r="4987" spans="24:25" x14ac:dyDescent="0.35">
      <c r="X4987" s="40"/>
      <c r="Y4987" s="40"/>
    </row>
    <row r="4988" spans="24:25" x14ac:dyDescent="0.35">
      <c r="X4988" s="40"/>
      <c r="Y4988" s="40"/>
    </row>
    <row r="4989" spans="24:25" x14ac:dyDescent="0.35">
      <c r="X4989" s="40"/>
      <c r="Y4989" s="40"/>
    </row>
    <row r="4990" spans="24:25" x14ac:dyDescent="0.35">
      <c r="X4990" s="40"/>
      <c r="Y4990" s="40"/>
    </row>
    <row r="4991" spans="24:25" x14ac:dyDescent="0.35">
      <c r="X4991" s="40"/>
      <c r="Y4991" s="40"/>
    </row>
    <row r="4992" spans="24:25" x14ac:dyDescent="0.35">
      <c r="X4992" s="40"/>
      <c r="Y4992" s="40"/>
    </row>
    <row r="4993" spans="24:25" x14ac:dyDescent="0.35">
      <c r="X4993" s="40"/>
      <c r="Y4993" s="40"/>
    </row>
    <row r="4994" spans="24:25" x14ac:dyDescent="0.35">
      <c r="X4994" s="40"/>
      <c r="Y4994" s="40"/>
    </row>
    <row r="4995" spans="24:25" x14ac:dyDescent="0.35">
      <c r="X4995" s="40"/>
      <c r="Y4995" s="40"/>
    </row>
    <row r="4996" spans="24:25" x14ac:dyDescent="0.35">
      <c r="X4996" s="40"/>
      <c r="Y4996" s="40"/>
    </row>
    <row r="4997" spans="24:25" x14ac:dyDescent="0.35">
      <c r="X4997" s="40"/>
      <c r="Y4997" s="40"/>
    </row>
    <row r="4998" spans="24:25" x14ac:dyDescent="0.35">
      <c r="X4998" s="40"/>
      <c r="Y4998" s="40"/>
    </row>
    <row r="4999" spans="24:25" x14ac:dyDescent="0.35">
      <c r="X4999" s="40"/>
      <c r="Y4999" s="40"/>
    </row>
    <row r="5000" spans="24:25" x14ac:dyDescent="0.35">
      <c r="X5000" s="40"/>
      <c r="Y5000" s="40"/>
    </row>
    <row r="5001" spans="24:25" x14ac:dyDescent="0.35">
      <c r="X5001" s="40"/>
      <c r="Y5001" s="40"/>
    </row>
    <row r="5002" spans="24:25" x14ac:dyDescent="0.35">
      <c r="X5002" s="40"/>
      <c r="Y5002" s="40"/>
    </row>
    <row r="5003" spans="24:25" x14ac:dyDescent="0.35">
      <c r="X5003" s="40"/>
      <c r="Y5003" s="40"/>
    </row>
    <row r="5004" spans="24:25" x14ac:dyDescent="0.35">
      <c r="X5004" s="40"/>
      <c r="Y5004" s="40"/>
    </row>
    <row r="5005" spans="24:25" x14ac:dyDescent="0.35">
      <c r="X5005" s="40"/>
      <c r="Y5005" s="40"/>
    </row>
    <row r="5006" spans="24:25" x14ac:dyDescent="0.35">
      <c r="X5006" s="40"/>
      <c r="Y5006" s="40"/>
    </row>
    <row r="5007" spans="24:25" x14ac:dyDescent="0.35">
      <c r="X5007" s="40"/>
      <c r="Y5007" s="40"/>
    </row>
    <row r="5008" spans="24:25" x14ac:dyDescent="0.35">
      <c r="X5008" s="40"/>
      <c r="Y5008" s="40"/>
    </row>
    <row r="5009" spans="24:25" x14ac:dyDescent="0.35">
      <c r="X5009" s="40"/>
      <c r="Y5009" s="40"/>
    </row>
    <row r="5010" spans="24:25" x14ac:dyDescent="0.35">
      <c r="X5010" s="40"/>
      <c r="Y5010" s="40"/>
    </row>
    <row r="5011" spans="24:25" x14ac:dyDescent="0.35">
      <c r="X5011" s="40"/>
      <c r="Y5011" s="40"/>
    </row>
    <row r="5012" spans="24:25" x14ac:dyDescent="0.35">
      <c r="X5012" s="40"/>
      <c r="Y5012" s="40"/>
    </row>
    <row r="5013" spans="24:25" x14ac:dyDescent="0.35">
      <c r="X5013" s="40"/>
      <c r="Y5013" s="40"/>
    </row>
    <row r="5014" spans="24:25" x14ac:dyDescent="0.35">
      <c r="X5014" s="40"/>
      <c r="Y5014" s="40"/>
    </row>
    <row r="5015" spans="24:25" x14ac:dyDescent="0.35">
      <c r="X5015" s="40"/>
      <c r="Y5015" s="40"/>
    </row>
    <row r="5016" spans="24:25" x14ac:dyDescent="0.35">
      <c r="X5016" s="40"/>
      <c r="Y5016" s="40"/>
    </row>
    <row r="5017" spans="24:25" x14ac:dyDescent="0.35">
      <c r="X5017" s="40"/>
      <c r="Y5017" s="40"/>
    </row>
    <row r="5018" spans="24:25" x14ac:dyDescent="0.35">
      <c r="X5018" s="40"/>
      <c r="Y5018" s="40"/>
    </row>
    <row r="5019" spans="24:25" x14ac:dyDescent="0.35">
      <c r="X5019" s="40"/>
      <c r="Y5019" s="40"/>
    </row>
    <row r="5020" spans="24:25" x14ac:dyDescent="0.35">
      <c r="X5020" s="40"/>
      <c r="Y5020" s="40"/>
    </row>
    <row r="5021" spans="24:25" x14ac:dyDescent="0.35">
      <c r="X5021" s="40"/>
      <c r="Y5021" s="40"/>
    </row>
    <row r="5022" spans="24:25" x14ac:dyDescent="0.35">
      <c r="X5022" s="40"/>
      <c r="Y5022" s="40"/>
    </row>
    <row r="5023" spans="24:25" x14ac:dyDescent="0.35">
      <c r="X5023" s="40"/>
      <c r="Y5023" s="40"/>
    </row>
    <row r="5024" spans="24:25" x14ac:dyDescent="0.35">
      <c r="X5024" s="40"/>
      <c r="Y5024" s="40"/>
    </row>
    <row r="5025" spans="24:25" x14ac:dyDescent="0.35">
      <c r="X5025" s="40"/>
      <c r="Y5025" s="40"/>
    </row>
    <row r="5026" spans="24:25" x14ac:dyDescent="0.35">
      <c r="X5026" s="40"/>
      <c r="Y5026" s="40"/>
    </row>
    <row r="5027" spans="24:25" x14ac:dyDescent="0.35">
      <c r="X5027" s="40"/>
      <c r="Y5027" s="40"/>
    </row>
    <row r="5028" spans="24:25" x14ac:dyDescent="0.35">
      <c r="X5028" s="40"/>
      <c r="Y5028" s="40"/>
    </row>
    <row r="5029" spans="24:25" x14ac:dyDescent="0.35">
      <c r="X5029" s="40"/>
      <c r="Y5029" s="40"/>
    </row>
    <row r="5030" spans="24:25" x14ac:dyDescent="0.35">
      <c r="X5030" s="40"/>
      <c r="Y5030" s="40"/>
    </row>
    <row r="5031" spans="24:25" x14ac:dyDescent="0.35">
      <c r="X5031" s="40"/>
      <c r="Y5031" s="40"/>
    </row>
    <row r="5032" spans="24:25" x14ac:dyDescent="0.35">
      <c r="X5032" s="40"/>
      <c r="Y5032" s="40"/>
    </row>
    <row r="5033" spans="24:25" x14ac:dyDescent="0.35">
      <c r="X5033" s="40"/>
      <c r="Y5033" s="40"/>
    </row>
    <row r="5034" spans="24:25" x14ac:dyDescent="0.35">
      <c r="X5034" s="40"/>
      <c r="Y5034" s="40"/>
    </row>
    <row r="5035" spans="24:25" x14ac:dyDescent="0.35">
      <c r="X5035" s="40"/>
      <c r="Y5035" s="40"/>
    </row>
    <row r="5036" spans="24:25" x14ac:dyDescent="0.35">
      <c r="X5036" s="40"/>
      <c r="Y5036" s="40"/>
    </row>
    <row r="5037" spans="24:25" x14ac:dyDescent="0.35">
      <c r="X5037" s="40"/>
      <c r="Y5037" s="40"/>
    </row>
    <row r="5038" spans="24:25" x14ac:dyDescent="0.35">
      <c r="X5038" s="40"/>
      <c r="Y5038" s="40"/>
    </row>
    <row r="5039" spans="24:25" x14ac:dyDescent="0.35">
      <c r="X5039" s="40"/>
      <c r="Y5039" s="40"/>
    </row>
    <row r="5040" spans="24:25" x14ac:dyDescent="0.35">
      <c r="X5040" s="40"/>
      <c r="Y5040" s="40"/>
    </row>
    <row r="5041" spans="24:25" x14ac:dyDescent="0.35">
      <c r="X5041" s="40"/>
      <c r="Y5041" s="40"/>
    </row>
    <row r="5042" spans="24:25" x14ac:dyDescent="0.35">
      <c r="X5042" s="40"/>
      <c r="Y5042" s="40"/>
    </row>
    <row r="5043" spans="24:25" x14ac:dyDescent="0.35">
      <c r="X5043" s="40"/>
      <c r="Y5043" s="40"/>
    </row>
    <row r="5044" spans="24:25" x14ac:dyDescent="0.35">
      <c r="X5044" s="40"/>
      <c r="Y5044" s="40"/>
    </row>
    <row r="5045" spans="24:25" x14ac:dyDescent="0.35">
      <c r="X5045" s="40"/>
      <c r="Y5045" s="40"/>
    </row>
    <row r="5046" spans="24:25" x14ac:dyDescent="0.35">
      <c r="X5046" s="40"/>
      <c r="Y5046" s="40"/>
    </row>
    <row r="5047" spans="24:25" x14ac:dyDescent="0.35">
      <c r="X5047" s="40"/>
      <c r="Y5047" s="40"/>
    </row>
    <row r="5048" spans="24:25" x14ac:dyDescent="0.35">
      <c r="X5048" s="40"/>
      <c r="Y5048" s="40"/>
    </row>
    <row r="5049" spans="24:25" x14ac:dyDescent="0.35">
      <c r="X5049" s="40"/>
      <c r="Y5049" s="40"/>
    </row>
    <row r="5050" spans="24:25" x14ac:dyDescent="0.35">
      <c r="X5050" s="40"/>
      <c r="Y5050" s="40"/>
    </row>
    <row r="5051" spans="24:25" x14ac:dyDescent="0.35">
      <c r="X5051" s="40"/>
      <c r="Y5051" s="40"/>
    </row>
    <row r="5052" spans="24:25" x14ac:dyDescent="0.35">
      <c r="X5052" s="40"/>
      <c r="Y5052" s="40"/>
    </row>
    <row r="5053" spans="24:25" x14ac:dyDescent="0.35">
      <c r="X5053" s="40"/>
      <c r="Y5053" s="40"/>
    </row>
    <row r="5054" spans="24:25" x14ac:dyDescent="0.35">
      <c r="X5054" s="40"/>
      <c r="Y5054" s="40"/>
    </row>
    <row r="5055" spans="24:25" x14ac:dyDescent="0.35">
      <c r="X5055" s="40"/>
      <c r="Y5055" s="40"/>
    </row>
    <row r="5056" spans="24:25" x14ac:dyDescent="0.35">
      <c r="X5056" s="40"/>
      <c r="Y5056" s="40"/>
    </row>
    <row r="5057" spans="24:25" x14ac:dyDescent="0.35">
      <c r="X5057" s="40"/>
      <c r="Y5057" s="40"/>
    </row>
    <row r="5058" spans="24:25" x14ac:dyDescent="0.35">
      <c r="X5058" s="40"/>
      <c r="Y5058" s="40"/>
    </row>
    <row r="5059" spans="24:25" x14ac:dyDescent="0.35">
      <c r="X5059" s="40"/>
      <c r="Y5059" s="40"/>
    </row>
    <row r="5060" spans="24:25" x14ac:dyDescent="0.35">
      <c r="X5060" s="40"/>
      <c r="Y5060" s="40"/>
    </row>
    <row r="5061" spans="24:25" x14ac:dyDescent="0.35">
      <c r="X5061" s="40"/>
      <c r="Y5061" s="40"/>
    </row>
    <row r="5062" spans="24:25" x14ac:dyDescent="0.35">
      <c r="X5062" s="40"/>
      <c r="Y5062" s="40"/>
    </row>
    <row r="5063" spans="24:25" x14ac:dyDescent="0.35">
      <c r="X5063" s="40"/>
      <c r="Y5063" s="40"/>
    </row>
    <row r="5064" spans="24:25" x14ac:dyDescent="0.35">
      <c r="X5064" s="40"/>
      <c r="Y5064" s="40"/>
    </row>
    <row r="5065" spans="24:25" x14ac:dyDescent="0.35">
      <c r="X5065" s="40"/>
      <c r="Y5065" s="40"/>
    </row>
    <row r="5066" spans="24:25" x14ac:dyDescent="0.35">
      <c r="X5066" s="40"/>
      <c r="Y5066" s="40"/>
    </row>
    <row r="5067" spans="24:25" x14ac:dyDescent="0.35">
      <c r="X5067" s="40"/>
      <c r="Y5067" s="40"/>
    </row>
    <row r="5068" spans="24:25" x14ac:dyDescent="0.35">
      <c r="X5068" s="40"/>
      <c r="Y5068" s="40"/>
    </row>
    <row r="5069" spans="24:25" x14ac:dyDescent="0.35">
      <c r="X5069" s="40"/>
      <c r="Y5069" s="40"/>
    </row>
    <row r="5070" spans="24:25" x14ac:dyDescent="0.35">
      <c r="X5070" s="40"/>
      <c r="Y5070" s="40"/>
    </row>
    <row r="5071" spans="24:25" x14ac:dyDescent="0.35">
      <c r="X5071" s="40"/>
      <c r="Y5071" s="40"/>
    </row>
    <row r="5072" spans="24:25" x14ac:dyDescent="0.35">
      <c r="X5072" s="40"/>
      <c r="Y5072" s="40"/>
    </row>
    <row r="5073" spans="24:25" x14ac:dyDescent="0.35">
      <c r="X5073" s="40"/>
      <c r="Y5073" s="40"/>
    </row>
    <row r="5074" spans="24:25" x14ac:dyDescent="0.35">
      <c r="X5074" s="40"/>
      <c r="Y5074" s="40"/>
    </row>
    <row r="5075" spans="24:25" x14ac:dyDescent="0.35">
      <c r="X5075" s="40"/>
      <c r="Y5075" s="40"/>
    </row>
    <row r="5076" spans="24:25" x14ac:dyDescent="0.35">
      <c r="X5076" s="40"/>
      <c r="Y5076" s="40"/>
    </row>
    <row r="5077" spans="24:25" x14ac:dyDescent="0.35">
      <c r="X5077" s="40"/>
      <c r="Y5077" s="40"/>
    </row>
    <row r="5078" spans="24:25" x14ac:dyDescent="0.35">
      <c r="X5078" s="40"/>
      <c r="Y5078" s="40"/>
    </row>
    <row r="5079" spans="24:25" x14ac:dyDescent="0.35">
      <c r="X5079" s="40"/>
      <c r="Y5079" s="40"/>
    </row>
    <row r="5080" spans="24:25" x14ac:dyDescent="0.35">
      <c r="X5080" s="40"/>
      <c r="Y5080" s="40"/>
    </row>
    <row r="5081" spans="24:25" x14ac:dyDescent="0.35">
      <c r="X5081" s="40"/>
      <c r="Y5081" s="40"/>
    </row>
    <row r="5082" spans="24:25" x14ac:dyDescent="0.35">
      <c r="X5082" s="40"/>
      <c r="Y5082" s="40"/>
    </row>
    <row r="5083" spans="24:25" x14ac:dyDescent="0.35">
      <c r="X5083" s="40"/>
      <c r="Y5083" s="40"/>
    </row>
    <row r="5084" spans="24:25" x14ac:dyDescent="0.35">
      <c r="X5084" s="40"/>
      <c r="Y5084" s="40"/>
    </row>
    <row r="5085" spans="24:25" x14ac:dyDescent="0.35">
      <c r="X5085" s="40"/>
      <c r="Y5085" s="40"/>
    </row>
    <row r="5086" spans="24:25" x14ac:dyDescent="0.35">
      <c r="X5086" s="40"/>
      <c r="Y5086" s="40"/>
    </row>
    <row r="5087" spans="24:25" x14ac:dyDescent="0.35">
      <c r="X5087" s="40"/>
      <c r="Y5087" s="40"/>
    </row>
    <row r="5088" spans="24:25" x14ac:dyDescent="0.35">
      <c r="X5088" s="40"/>
      <c r="Y5088" s="40"/>
    </row>
    <row r="5089" spans="24:25" x14ac:dyDescent="0.35">
      <c r="X5089" s="40"/>
      <c r="Y5089" s="40"/>
    </row>
    <row r="5090" spans="24:25" x14ac:dyDescent="0.35">
      <c r="X5090" s="40"/>
      <c r="Y5090" s="40"/>
    </row>
    <row r="5091" spans="24:25" x14ac:dyDescent="0.35">
      <c r="X5091" s="40"/>
      <c r="Y5091" s="40"/>
    </row>
    <row r="5092" spans="24:25" x14ac:dyDescent="0.35">
      <c r="X5092" s="40"/>
      <c r="Y5092" s="40"/>
    </row>
    <row r="5093" spans="24:25" x14ac:dyDescent="0.35">
      <c r="X5093" s="40"/>
      <c r="Y5093" s="40"/>
    </row>
    <row r="5094" spans="24:25" x14ac:dyDescent="0.35">
      <c r="X5094" s="40"/>
      <c r="Y5094" s="40"/>
    </row>
    <row r="5095" spans="24:25" x14ac:dyDescent="0.35">
      <c r="X5095" s="40"/>
      <c r="Y5095" s="40"/>
    </row>
    <row r="5096" spans="24:25" x14ac:dyDescent="0.35">
      <c r="X5096" s="40"/>
      <c r="Y5096" s="40"/>
    </row>
    <row r="5097" spans="24:25" x14ac:dyDescent="0.35">
      <c r="X5097" s="40"/>
      <c r="Y5097" s="40"/>
    </row>
    <row r="5098" spans="24:25" x14ac:dyDescent="0.35">
      <c r="X5098" s="40"/>
      <c r="Y5098" s="40"/>
    </row>
    <row r="5099" spans="24:25" x14ac:dyDescent="0.35">
      <c r="X5099" s="40"/>
      <c r="Y5099" s="40"/>
    </row>
    <row r="5100" spans="24:25" x14ac:dyDescent="0.35">
      <c r="X5100" s="40"/>
      <c r="Y5100" s="40"/>
    </row>
    <row r="5101" spans="24:25" x14ac:dyDescent="0.35">
      <c r="X5101" s="40"/>
      <c r="Y5101" s="40"/>
    </row>
    <row r="5102" spans="24:25" x14ac:dyDescent="0.35">
      <c r="X5102" s="40"/>
      <c r="Y5102" s="40"/>
    </row>
    <row r="5103" spans="24:25" x14ac:dyDescent="0.35">
      <c r="X5103" s="40"/>
      <c r="Y5103" s="40"/>
    </row>
    <row r="5104" spans="24:25" x14ac:dyDescent="0.35">
      <c r="X5104" s="40"/>
      <c r="Y5104" s="40"/>
    </row>
    <row r="5105" spans="24:25" x14ac:dyDescent="0.35">
      <c r="X5105" s="40"/>
      <c r="Y5105" s="40"/>
    </row>
    <row r="5106" spans="24:25" x14ac:dyDescent="0.35">
      <c r="X5106" s="40"/>
      <c r="Y5106" s="40"/>
    </row>
    <row r="5107" spans="24:25" x14ac:dyDescent="0.35">
      <c r="X5107" s="40"/>
      <c r="Y5107" s="40"/>
    </row>
    <row r="5108" spans="24:25" x14ac:dyDescent="0.35">
      <c r="X5108" s="40"/>
      <c r="Y5108" s="40"/>
    </row>
    <row r="5109" spans="24:25" x14ac:dyDescent="0.35">
      <c r="X5109" s="40"/>
      <c r="Y5109" s="40"/>
    </row>
    <row r="5110" spans="24:25" x14ac:dyDescent="0.35">
      <c r="X5110" s="40"/>
      <c r="Y5110" s="40"/>
    </row>
    <row r="5111" spans="24:25" x14ac:dyDescent="0.35">
      <c r="X5111" s="40"/>
      <c r="Y5111" s="40"/>
    </row>
    <row r="5112" spans="24:25" x14ac:dyDescent="0.35">
      <c r="X5112" s="40"/>
      <c r="Y5112" s="40"/>
    </row>
    <row r="5113" spans="24:25" x14ac:dyDescent="0.35">
      <c r="X5113" s="40"/>
      <c r="Y5113" s="40"/>
    </row>
    <row r="5114" spans="24:25" x14ac:dyDescent="0.35">
      <c r="X5114" s="40"/>
      <c r="Y5114" s="40"/>
    </row>
    <row r="5115" spans="24:25" x14ac:dyDescent="0.35">
      <c r="X5115" s="40"/>
      <c r="Y5115" s="40"/>
    </row>
    <row r="5116" spans="24:25" x14ac:dyDescent="0.35">
      <c r="X5116" s="40"/>
      <c r="Y5116" s="40"/>
    </row>
    <row r="5117" spans="24:25" x14ac:dyDescent="0.35">
      <c r="X5117" s="40"/>
      <c r="Y5117" s="40"/>
    </row>
    <row r="5118" spans="24:25" x14ac:dyDescent="0.35">
      <c r="X5118" s="40"/>
      <c r="Y5118" s="40"/>
    </row>
    <row r="5119" spans="24:25" x14ac:dyDescent="0.35">
      <c r="X5119" s="40"/>
      <c r="Y5119" s="40"/>
    </row>
    <row r="5120" spans="24:25" x14ac:dyDescent="0.35">
      <c r="X5120" s="40"/>
      <c r="Y5120" s="40"/>
    </row>
    <row r="5121" spans="24:25" x14ac:dyDescent="0.35">
      <c r="X5121" s="40"/>
      <c r="Y5121" s="40"/>
    </row>
    <row r="5122" spans="24:25" x14ac:dyDescent="0.35">
      <c r="X5122" s="40"/>
      <c r="Y5122" s="40"/>
    </row>
    <row r="5123" spans="24:25" x14ac:dyDescent="0.35">
      <c r="X5123" s="40"/>
      <c r="Y5123" s="40"/>
    </row>
    <row r="5124" spans="24:25" x14ac:dyDescent="0.35">
      <c r="X5124" s="40"/>
      <c r="Y5124" s="40"/>
    </row>
    <row r="5125" spans="24:25" x14ac:dyDescent="0.35">
      <c r="X5125" s="40"/>
      <c r="Y5125" s="40"/>
    </row>
    <row r="5126" spans="24:25" x14ac:dyDescent="0.35">
      <c r="X5126" s="40"/>
      <c r="Y5126" s="40"/>
    </row>
    <row r="5127" spans="24:25" x14ac:dyDescent="0.35">
      <c r="X5127" s="40"/>
      <c r="Y5127" s="40"/>
    </row>
    <row r="5128" spans="24:25" x14ac:dyDescent="0.35">
      <c r="X5128" s="40"/>
      <c r="Y5128" s="40"/>
    </row>
    <row r="5129" spans="24:25" x14ac:dyDescent="0.35">
      <c r="X5129" s="40"/>
      <c r="Y5129" s="40"/>
    </row>
    <row r="5130" spans="24:25" x14ac:dyDescent="0.35">
      <c r="X5130" s="40"/>
      <c r="Y5130" s="40"/>
    </row>
    <row r="5131" spans="24:25" x14ac:dyDescent="0.35">
      <c r="X5131" s="40"/>
      <c r="Y5131" s="40"/>
    </row>
    <row r="5132" spans="24:25" x14ac:dyDescent="0.35">
      <c r="X5132" s="40"/>
      <c r="Y5132" s="40"/>
    </row>
    <row r="5133" spans="24:25" x14ac:dyDescent="0.35">
      <c r="X5133" s="40"/>
      <c r="Y5133" s="40"/>
    </row>
    <row r="5134" spans="24:25" x14ac:dyDescent="0.35">
      <c r="X5134" s="40"/>
      <c r="Y5134" s="40"/>
    </row>
    <row r="5135" spans="24:25" x14ac:dyDescent="0.35">
      <c r="X5135" s="40"/>
      <c r="Y5135" s="40"/>
    </row>
    <row r="5136" spans="24:25" x14ac:dyDescent="0.35">
      <c r="X5136" s="40"/>
      <c r="Y5136" s="40"/>
    </row>
    <row r="5137" spans="24:25" x14ac:dyDescent="0.35">
      <c r="X5137" s="40"/>
      <c r="Y5137" s="40"/>
    </row>
    <row r="5138" spans="24:25" x14ac:dyDescent="0.35">
      <c r="X5138" s="40"/>
      <c r="Y5138" s="40"/>
    </row>
    <row r="5139" spans="24:25" x14ac:dyDescent="0.35">
      <c r="X5139" s="40"/>
      <c r="Y5139" s="40"/>
    </row>
    <row r="5140" spans="24:25" x14ac:dyDescent="0.35">
      <c r="X5140" s="40"/>
      <c r="Y5140" s="40"/>
    </row>
    <row r="5141" spans="24:25" x14ac:dyDescent="0.35">
      <c r="X5141" s="40"/>
      <c r="Y5141" s="40"/>
    </row>
    <row r="5142" spans="24:25" x14ac:dyDescent="0.35">
      <c r="X5142" s="40"/>
      <c r="Y5142" s="40"/>
    </row>
    <row r="5143" spans="24:25" x14ac:dyDescent="0.35">
      <c r="X5143" s="40"/>
      <c r="Y5143" s="40"/>
    </row>
    <row r="5144" spans="24:25" x14ac:dyDescent="0.35">
      <c r="X5144" s="40"/>
      <c r="Y5144" s="40"/>
    </row>
    <row r="5145" spans="24:25" x14ac:dyDescent="0.35">
      <c r="X5145" s="40"/>
      <c r="Y5145" s="40"/>
    </row>
    <row r="5146" spans="24:25" x14ac:dyDescent="0.35">
      <c r="X5146" s="40"/>
      <c r="Y5146" s="40"/>
    </row>
    <row r="5147" spans="24:25" x14ac:dyDescent="0.35">
      <c r="X5147" s="40"/>
      <c r="Y5147" s="40"/>
    </row>
    <row r="5148" spans="24:25" x14ac:dyDescent="0.35">
      <c r="X5148" s="40"/>
      <c r="Y5148" s="40"/>
    </row>
    <row r="5149" spans="24:25" x14ac:dyDescent="0.35">
      <c r="X5149" s="40"/>
      <c r="Y5149" s="40"/>
    </row>
    <row r="5150" spans="24:25" x14ac:dyDescent="0.35">
      <c r="X5150" s="40"/>
      <c r="Y5150" s="40"/>
    </row>
    <row r="5151" spans="24:25" x14ac:dyDescent="0.35">
      <c r="X5151" s="40"/>
      <c r="Y5151" s="40"/>
    </row>
    <row r="5152" spans="24:25" x14ac:dyDescent="0.35">
      <c r="X5152" s="40"/>
      <c r="Y5152" s="40"/>
    </row>
    <row r="5153" spans="24:25" x14ac:dyDescent="0.35">
      <c r="X5153" s="40"/>
      <c r="Y5153" s="40"/>
    </row>
    <row r="5154" spans="24:25" x14ac:dyDescent="0.35">
      <c r="X5154" s="40"/>
      <c r="Y5154" s="40"/>
    </row>
    <row r="5155" spans="24:25" x14ac:dyDescent="0.35">
      <c r="X5155" s="40"/>
      <c r="Y5155" s="40"/>
    </row>
    <row r="5156" spans="24:25" x14ac:dyDescent="0.35">
      <c r="X5156" s="40"/>
      <c r="Y5156" s="40"/>
    </row>
    <row r="5157" spans="24:25" x14ac:dyDescent="0.35">
      <c r="X5157" s="40"/>
      <c r="Y5157" s="40"/>
    </row>
    <row r="5158" spans="24:25" x14ac:dyDescent="0.35">
      <c r="X5158" s="40"/>
      <c r="Y5158" s="40"/>
    </row>
    <row r="5159" spans="24:25" x14ac:dyDescent="0.35">
      <c r="X5159" s="40"/>
      <c r="Y5159" s="40"/>
    </row>
    <row r="5160" spans="24:25" x14ac:dyDescent="0.35">
      <c r="X5160" s="40"/>
      <c r="Y5160" s="40"/>
    </row>
    <row r="5161" spans="24:25" x14ac:dyDescent="0.35">
      <c r="X5161" s="40"/>
      <c r="Y5161" s="40"/>
    </row>
    <row r="5162" spans="24:25" x14ac:dyDescent="0.35">
      <c r="X5162" s="40"/>
      <c r="Y5162" s="40"/>
    </row>
    <row r="5163" spans="24:25" x14ac:dyDescent="0.35">
      <c r="X5163" s="40"/>
      <c r="Y5163" s="40"/>
    </row>
    <row r="5164" spans="24:25" x14ac:dyDescent="0.35">
      <c r="X5164" s="40"/>
      <c r="Y5164" s="40"/>
    </row>
    <row r="5165" spans="24:25" x14ac:dyDescent="0.35">
      <c r="X5165" s="40"/>
      <c r="Y5165" s="40"/>
    </row>
    <row r="5166" spans="24:25" x14ac:dyDescent="0.35">
      <c r="X5166" s="40"/>
      <c r="Y5166" s="40"/>
    </row>
    <row r="5167" spans="24:25" x14ac:dyDescent="0.35">
      <c r="X5167" s="40"/>
      <c r="Y5167" s="40"/>
    </row>
    <row r="5168" spans="24:25" x14ac:dyDescent="0.35">
      <c r="X5168" s="40"/>
      <c r="Y5168" s="40"/>
    </row>
    <row r="5169" spans="24:25" x14ac:dyDescent="0.35">
      <c r="X5169" s="40"/>
      <c r="Y5169" s="40"/>
    </row>
    <row r="5170" spans="24:25" x14ac:dyDescent="0.35">
      <c r="X5170" s="40"/>
      <c r="Y5170" s="40"/>
    </row>
    <row r="5171" spans="24:25" x14ac:dyDescent="0.35">
      <c r="X5171" s="40"/>
      <c r="Y5171" s="40"/>
    </row>
    <row r="5172" spans="24:25" x14ac:dyDescent="0.35">
      <c r="X5172" s="40"/>
      <c r="Y5172" s="40"/>
    </row>
    <row r="5173" spans="24:25" x14ac:dyDescent="0.35">
      <c r="X5173" s="40"/>
      <c r="Y5173" s="40"/>
    </row>
    <row r="5174" spans="24:25" x14ac:dyDescent="0.35">
      <c r="X5174" s="40"/>
      <c r="Y5174" s="40"/>
    </row>
    <row r="5175" spans="24:25" x14ac:dyDescent="0.35">
      <c r="X5175" s="40"/>
      <c r="Y5175" s="40"/>
    </row>
    <row r="5176" spans="24:25" x14ac:dyDescent="0.35">
      <c r="X5176" s="40"/>
      <c r="Y5176" s="40"/>
    </row>
    <row r="5177" spans="24:25" x14ac:dyDescent="0.35">
      <c r="X5177" s="40"/>
      <c r="Y5177" s="40"/>
    </row>
    <row r="5178" spans="24:25" x14ac:dyDescent="0.35">
      <c r="X5178" s="40"/>
      <c r="Y5178" s="40"/>
    </row>
    <row r="5179" spans="24:25" x14ac:dyDescent="0.35">
      <c r="X5179" s="40"/>
      <c r="Y5179" s="40"/>
    </row>
    <row r="5180" spans="24:25" x14ac:dyDescent="0.35">
      <c r="X5180" s="40"/>
      <c r="Y5180" s="40"/>
    </row>
    <row r="5181" spans="24:25" x14ac:dyDescent="0.35">
      <c r="X5181" s="40"/>
      <c r="Y5181" s="40"/>
    </row>
    <row r="5182" spans="24:25" x14ac:dyDescent="0.35">
      <c r="X5182" s="40"/>
      <c r="Y5182" s="40"/>
    </row>
    <row r="5183" spans="24:25" x14ac:dyDescent="0.35">
      <c r="X5183" s="40"/>
      <c r="Y5183" s="40"/>
    </row>
    <row r="5184" spans="24:25" x14ac:dyDescent="0.35">
      <c r="X5184" s="40"/>
      <c r="Y5184" s="40"/>
    </row>
    <row r="5185" spans="24:25" x14ac:dyDescent="0.35">
      <c r="X5185" s="40"/>
      <c r="Y5185" s="40"/>
    </row>
    <row r="5186" spans="24:25" x14ac:dyDescent="0.35">
      <c r="X5186" s="40"/>
      <c r="Y5186" s="40"/>
    </row>
    <row r="5187" spans="24:25" x14ac:dyDescent="0.35">
      <c r="X5187" s="40"/>
      <c r="Y5187" s="40"/>
    </row>
    <row r="5188" spans="24:25" x14ac:dyDescent="0.35">
      <c r="X5188" s="40"/>
      <c r="Y5188" s="40"/>
    </row>
    <row r="5189" spans="24:25" x14ac:dyDescent="0.35">
      <c r="X5189" s="40"/>
      <c r="Y5189" s="40"/>
    </row>
    <row r="5190" spans="24:25" x14ac:dyDescent="0.35">
      <c r="X5190" s="40"/>
      <c r="Y5190" s="40"/>
    </row>
    <row r="5191" spans="24:25" x14ac:dyDescent="0.35">
      <c r="X5191" s="40"/>
      <c r="Y5191" s="40"/>
    </row>
    <row r="5192" spans="24:25" x14ac:dyDescent="0.35">
      <c r="X5192" s="40"/>
      <c r="Y5192" s="40"/>
    </row>
    <row r="5193" spans="24:25" x14ac:dyDescent="0.35">
      <c r="X5193" s="40"/>
      <c r="Y5193" s="40"/>
    </row>
    <row r="5194" spans="24:25" x14ac:dyDescent="0.35">
      <c r="X5194" s="40"/>
      <c r="Y5194" s="40"/>
    </row>
    <row r="5195" spans="24:25" x14ac:dyDescent="0.35">
      <c r="X5195" s="40"/>
      <c r="Y5195" s="40"/>
    </row>
    <row r="5196" spans="24:25" x14ac:dyDescent="0.35">
      <c r="X5196" s="40"/>
      <c r="Y5196" s="40"/>
    </row>
    <row r="5197" spans="24:25" x14ac:dyDescent="0.35">
      <c r="X5197" s="40"/>
      <c r="Y5197" s="40"/>
    </row>
    <row r="5198" spans="24:25" x14ac:dyDescent="0.35">
      <c r="X5198" s="40"/>
      <c r="Y5198" s="40"/>
    </row>
    <row r="5199" spans="24:25" x14ac:dyDescent="0.35">
      <c r="X5199" s="40"/>
      <c r="Y5199" s="40"/>
    </row>
    <row r="5200" spans="24:25" x14ac:dyDescent="0.35">
      <c r="X5200" s="40"/>
      <c r="Y5200" s="40"/>
    </row>
    <row r="5201" spans="24:25" x14ac:dyDescent="0.35">
      <c r="X5201" s="40"/>
      <c r="Y5201" s="40"/>
    </row>
    <row r="5202" spans="24:25" x14ac:dyDescent="0.35">
      <c r="X5202" s="40"/>
      <c r="Y5202" s="40"/>
    </row>
    <row r="5203" spans="24:25" x14ac:dyDescent="0.35">
      <c r="X5203" s="40"/>
      <c r="Y5203" s="40"/>
    </row>
    <row r="5204" spans="24:25" x14ac:dyDescent="0.35">
      <c r="X5204" s="40"/>
      <c r="Y5204" s="40"/>
    </row>
    <row r="5205" spans="24:25" x14ac:dyDescent="0.35">
      <c r="X5205" s="40"/>
      <c r="Y5205" s="40"/>
    </row>
    <row r="5206" spans="24:25" x14ac:dyDescent="0.35">
      <c r="X5206" s="40"/>
      <c r="Y5206" s="40"/>
    </row>
    <row r="5207" spans="24:25" x14ac:dyDescent="0.35">
      <c r="X5207" s="40"/>
      <c r="Y5207" s="40"/>
    </row>
    <row r="5208" spans="24:25" x14ac:dyDescent="0.35">
      <c r="X5208" s="40"/>
      <c r="Y5208" s="40"/>
    </row>
    <row r="5209" spans="24:25" x14ac:dyDescent="0.35">
      <c r="X5209" s="40"/>
      <c r="Y5209" s="40"/>
    </row>
    <row r="5210" spans="24:25" x14ac:dyDescent="0.35">
      <c r="X5210" s="40"/>
      <c r="Y5210" s="40"/>
    </row>
    <row r="5211" spans="24:25" x14ac:dyDescent="0.35">
      <c r="X5211" s="40"/>
      <c r="Y5211" s="40"/>
    </row>
    <row r="5212" spans="24:25" x14ac:dyDescent="0.35">
      <c r="X5212" s="40"/>
      <c r="Y5212" s="40"/>
    </row>
    <row r="5213" spans="24:25" x14ac:dyDescent="0.35">
      <c r="X5213" s="40"/>
      <c r="Y5213" s="40"/>
    </row>
    <row r="5214" spans="24:25" x14ac:dyDescent="0.35">
      <c r="X5214" s="40"/>
      <c r="Y5214" s="40"/>
    </row>
    <row r="5215" spans="24:25" x14ac:dyDescent="0.35">
      <c r="X5215" s="40"/>
      <c r="Y5215" s="40"/>
    </row>
    <row r="5216" spans="24:25" x14ac:dyDescent="0.35">
      <c r="X5216" s="40"/>
      <c r="Y5216" s="40"/>
    </row>
    <row r="5217" spans="24:25" x14ac:dyDescent="0.35">
      <c r="X5217" s="40"/>
      <c r="Y5217" s="40"/>
    </row>
    <row r="5218" spans="24:25" x14ac:dyDescent="0.35">
      <c r="X5218" s="40"/>
      <c r="Y5218" s="40"/>
    </row>
    <row r="5219" spans="24:25" x14ac:dyDescent="0.35">
      <c r="X5219" s="40"/>
      <c r="Y5219" s="40"/>
    </row>
    <row r="5220" spans="24:25" x14ac:dyDescent="0.35">
      <c r="X5220" s="40"/>
      <c r="Y5220" s="40"/>
    </row>
    <row r="5221" spans="24:25" x14ac:dyDescent="0.35">
      <c r="X5221" s="40"/>
      <c r="Y5221" s="40"/>
    </row>
    <row r="5222" spans="24:25" x14ac:dyDescent="0.35">
      <c r="X5222" s="40"/>
      <c r="Y5222" s="40"/>
    </row>
    <row r="5223" spans="24:25" x14ac:dyDescent="0.35">
      <c r="X5223" s="40"/>
      <c r="Y5223" s="40"/>
    </row>
    <row r="5224" spans="24:25" x14ac:dyDescent="0.35">
      <c r="X5224" s="40"/>
      <c r="Y5224" s="40"/>
    </row>
    <row r="5225" spans="24:25" x14ac:dyDescent="0.35">
      <c r="X5225" s="40"/>
      <c r="Y5225" s="40"/>
    </row>
    <row r="5226" spans="24:25" x14ac:dyDescent="0.35">
      <c r="X5226" s="40"/>
      <c r="Y5226" s="40"/>
    </row>
    <row r="5227" spans="24:25" x14ac:dyDescent="0.35">
      <c r="X5227" s="40"/>
      <c r="Y5227" s="40"/>
    </row>
    <row r="5228" spans="24:25" x14ac:dyDescent="0.35">
      <c r="X5228" s="40"/>
      <c r="Y5228" s="40"/>
    </row>
    <row r="5229" spans="24:25" x14ac:dyDescent="0.35">
      <c r="X5229" s="40"/>
      <c r="Y5229" s="40"/>
    </row>
    <row r="5230" spans="24:25" x14ac:dyDescent="0.35">
      <c r="X5230" s="40"/>
      <c r="Y5230" s="40"/>
    </row>
    <row r="5231" spans="24:25" x14ac:dyDescent="0.35">
      <c r="X5231" s="40"/>
      <c r="Y5231" s="40"/>
    </row>
    <row r="5232" spans="24:25" x14ac:dyDescent="0.35">
      <c r="X5232" s="40"/>
      <c r="Y5232" s="40"/>
    </row>
    <row r="5233" spans="24:25" x14ac:dyDescent="0.35">
      <c r="X5233" s="40"/>
      <c r="Y5233" s="40"/>
    </row>
    <row r="5234" spans="24:25" x14ac:dyDescent="0.35">
      <c r="X5234" s="40"/>
      <c r="Y5234" s="40"/>
    </row>
    <row r="5235" spans="24:25" x14ac:dyDescent="0.35">
      <c r="X5235" s="40"/>
      <c r="Y5235" s="40"/>
    </row>
    <row r="5236" spans="24:25" x14ac:dyDescent="0.35">
      <c r="X5236" s="40"/>
      <c r="Y5236" s="40"/>
    </row>
    <row r="5237" spans="24:25" x14ac:dyDescent="0.35">
      <c r="X5237" s="40"/>
      <c r="Y5237" s="40"/>
    </row>
    <row r="5238" spans="24:25" x14ac:dyDescent="0.35">
      <c r="X5238" s="40"/>
      <c r="Y5238" s="40"/>
    </row>
    <row r="5239" spans="24:25" x14ac:dyDescent="0.35">
      <c r="X5239" s="40"/>
      <c r="Y5239" s="40"/>
    </row>
    <row r="5240" spans="24:25" x14ac:dyDescent="0.35">
      <c r="X5240" s="40"/>
      <c r="Y5240" s="40"/>
    </row>
    <row r="5241" spans="24:25" x14ac:dyDescent="0.35">
      <c r="X5241" s="40"/>
      <c r="Y5241" s="40"/>
    </row>
    <row r="5242" spans="24:25" x14ac:dyDescent="0.35">
      <c r="X5242" s="40"/>
      <c r="Y5242" s="40"/>
    </row>
    <row r="5243" spans="24:25" x14ac:dyDescent="0.35">
      <c r="X5243" s="40"/>
      <c r="Y5243" s="40"/>
    </row>
    <row r="5244" spans="24:25" x14ac:dyDescent="0.35">
      <c r="X5244" s="40"/>
      <c r="Y5244" s="40"/>
    </row>
    <row r="5245" spans="24:25" x14ac:dyDescent="0.35">
      <c r="X5245" s="40"/>
      <c r="Y5245" s="40"/>
    </row>
    <row r="5246" spans="24:25" x14ac:dyDescent="0.35">
      <c r="X5246" s="40"/>
      <c r="Y5246" s="40"/>
    </row>
    <row r="5247" spans="24:25" x14ac:dyDescent="0.35">
      <c r="X5247" s="40"/>
      <c r="Y5247" s="40"/>
    </row>
    <row r="5248" spans="24:25" x14ac:dyDescent="0.35">
      <c r="X5248" s="40"/>
      <c r="Y5248" s="40"/>
    </row>
    <row r="5249" spans="24:25" x14ac:dyDescent="0.35">
      <c r="X5249" s="40"/>
      <c r="Y5249" s="40"/>
    </row>
    <row r="5250" spans="24:25" x14ac:dyDescent="0.35">
      <c r="X5250" s="40"/>
      <c r="Y5250" s="40"/>
    </row>
    <row r="5251" spans="24:25" x14ac:dyDescent="0.35">
      <c r="X5251" s="40"/>
      <c r="Y5251" s="40"/>
    </row>
    <row r="5252" spans="24:25" x14ac:dyDescent="0.35">
      <c r="X5252" s="40"/>
      <c r="Y5252" s="40"/>
    </row>
    <row r="5253" spans="24:25" x14ac:dyDescent="0.35">
      <c r="X5253" s="40"/>
      <c r="Y5253" s="40"/>
    </row>
    <row r="5254" spans="24:25" x14ac:dyDescent="0.35">
      <c r="X5254" s="40"/>
      <c r="Y5254" s="40"/>
    </row>
    <row r="5255" spans="24:25" x14ac:dyDescent="0.35">
      <c r="X5255" s="40"/>
      <c r="Y5255" s="40"/>
    </row>
    <row r="5256" spans="24:25" x14ac:dyDescent="0.35">
      <c r="X5256" s="40"/>
      <c r="Y5256" s="40"/>
    </row>
    <row r="5257" spans="24:25" x14ac:dyDescent="0.35">
      <c r="X5257" s="40"/>
      <c r="Y5257" s="40"/>
    </row>
    <row r="5258" spans="24:25" x14ac:dyDescent="0.35">
      <c r="X5258" s="40"/>
      <c r="Y5258" s="40"/>
    </row>
    <row r="5259" spans="24:25" x14ac:dyDescent="0.35">
      <c r="X5259" s="40"/>
      <c r="Y5259" s="40"/>
    </row>
    <row r="5260" spans="24:25" x14ac:dyDescent="0.35">
      <c r="X5260" s="40"/>
      <c r="Y5260" s="40"/>
    </row>
    <row r="5261" spans="24:25" x14ac:dyDescent="0.35">
      <c r="X5261" s="40"/>
      <c r="Y5261" s="40"/>
    </row>
    <row r="5262" spans="24:25" x14ac:dyDescent="0.35">
      <c r="X5262" s="40"/>
      <c r="Y5262" s="40"/>
    </row>
    <row r="5263" spans="24:25" x14ac:dyDescent="0.35">
      <c r="X5263" s="40"/>
      <c r="Y5263" s="40"/>
    </row>
    <row r="5264" spans="24:25" x14ac:dyDescent="0.35">
      <c r="X5264" s="40"/>
      <c r="Y5264" s="40"/>
    </row>
    <row r="5265" spans="24:25" x14ac:dyDescent="0.35">
      <c r="X5265" s="40"/>
      <c r="Y5265" s="40"/>
    </row>
    <row r="5266" spans="24:25" x14ac:dyDescent="0.35">
      <c r="X5266" s="40"/>
      <c r="Y5266" s="40"/>
    </row>
    <row r="5267" spans="24:25" x14ac:dyDescent="0.35">
      <c r="X5267" s="40"/>
      <c r="Y5267" s="40"/>
    </row>
    <row r="5268" spans="24:25" x14ac:dyDescent="0.35">
      <c r="X5268" s="40"/>
      <c r="Y5268" s="40"/>
    </row>
    <row r="5269" spans="24:25" x14ac:dyDescent="0.35">
      <c r="X5269" s="40"/>
      <c r="Y5269" s="40"/>
    </row>
    <row r="5270" spans="24:25" x14ac:dyDescent="0.35">
      <c r="X5270" s="40"/>
      <c r="Y5270" s="40"/>
    </row>
    <row r="5271" spans="24:25" x14ac:dyDescent="0.35">
      <c r="X5271" s="40"/>
      <c r="Y5271" s="40"/>
    </row>
    <row r="5272" spans="24:25" x14ac:dyDescent="0.35">
      <c r="X5272" s="40"/>
      <c r="Y5272" s="40"/>
    </row>
    <row r="5273" spans="24:25" x14ac:dyDescent="0.35">
      <c r="X5273" s="40"/>
      <c r="Y5273" s="40"/>
    </row>
    <row r="5274" spans="24:25" x14ac:dyDescent="0.35">
      <c r="X5274" s="40"/>
      <c r="Y5274" s="40"/>
    </row>
    <row r="5275" spans="24:25" x14ac:dyDescent="0.35">
      <c r="X5275" s="40"/>
      <c r="Y5275" s="40"/>
    </row>
    <row r="5276" spans="24:25" x14ac:dyDescent="0.35">
      <c r="X5276" s="40"/>
      <c r="Y5276" s="40"/>
    </row>
    <row r="5277" spans="24:25" x14ac:dyDescent="0.35">
      <c r="X5277" s="40"/>
      <c r="Y5277" s="40"/>
    </row>
    <row r="5278" spans="24:25" x14ac:dyDescent="0.35">
      <c r="X5278" s="40"/>
      <c r="Y5278" s="40"/>
    </row>
    <row r="5279" spans="24:25" x14ac:dyDescent="0.35">
      <c r="X5279" s="40"/>
      <c r="Y5279" s="40"/>
    </row>
    <row r="5280" spans="24:25" x14ac:dyDescent="0.35">
      <c r="X5280" s="40"/>
      <c r="Y5280" s="40"/>
    </row>
    <row r="5281" spans="24:25" x14ac:dyDescent="0.35">
      <c r="X5281" s="40"/>
      <c r="Y5281" s="40"/>
    </row>
    <row r="5282" spans="24:25" x14ac:dyDescent="0.35">
      <c r="X5282" s="40"/>
      <c r="Y5282" s="40"/>
    </row>
    <row r="5283" spans="24:25" x14ac:dyDescent="0.35">
      <c r="X5283" s="40"/>
      <c r="Y5283" s="40"/>
    </row>
    <row r="5284" spans="24:25" x14ac:dyDescent="0.35">
      <c r="X5284" s="40"/>
      <c r="Y5284" s="40"/>
    </row>
    <row r="5285" spans="24:25" x14ac:dyDescent="0.35">
      <c r="X5285" s="40"/>
      <c r="Y5285" s="40"/>
    </row>
    <row r="5286" spans="24:25" x14ac:dyDescent="0.35">
      <c r="X5286" s="40"/>
      <c r="Y5286" s="40"/>
    </row>
    <row r="5287" spans="24:25" x14ac:dyDescent="0.35">
      <c r="X5287" s="40"/>
      <c r="Y5287" s="40"/>
    </row>
    <row r="5288" spans="24:25" x14ac:dyDescent="0.35">
      <c r="X5288" s="40"/>
      <c r="Y5288" s="40"/>
    </row>
    <row r="5289" spans="24:25" x14ac:dyDescent="0.35">
      <c r="X5289" s="40"/>
      <c r="Y5289" s="40"/>
    </row>
    <row r="5290" spans="24:25" x14ac:dyDescent="0.35">
      <c r="X5290" s="40"/>
      <c r="Y5290" s="40"/>
    </row>
    <row r="5291" spans="24:25" x14ac:dyDescent="0.35">
      <c r="X5291" s="40"/>
      <c r="Y5291" s="40"/>
    </row>
    <row r="5292" spans="24:25" x14ac:dyDescent="0.35">
      <c r="X5292" s="40"/>
      <c r="Y5292" s="40"/>
    </row>
    <row r="5293" spans="24:25" x14ac:dyDescent="0.35">
      <c r="X5293" s="40"/>
      <c r="Y5293" s="40"/>
    </row>
    <row r="5294" spans="24:25" x14ac:dyDescent="0.35">
      <c r="X5294" s="40"/>
      <c r="Y5294" s="40"/>
    </row>
    <row r="5295" spans="24:25" x14ac:dyDescent="0.35">
      <c r="X5295" s="40"/>
      <c r="Y5295" s="40"/>
    </row>
    <row r="5296" spans="24:25" x14ac:dyDescent="0.35">
      <c r="X5296" s="40"/>
      <c r="Y5296" s="40"/>
    </row>
    <row r="5297" spans="24:25" x14ac:dyDescent="0.35">
      <c r="X5297" s="40"/>
      <c r="Y5297" s="40"/>
    </row>
    <row r="5298" spans="24:25" x14ac:dyDescent="0.35">
      <c r="X5298" s="40"/>
      <c r="Y5298" s="40"/>
    </row>
    <row r="5299" spans="24:25" x14ac:dyDescent="0.35">
      <c r="X5299" s="40"/>
      <c r="Y5299" s="40"/>
    </row>
    <row r="5300" spans="24:25" x14ac:dyDescent="0.35">
      <c r="X5300" s="40"/>
      <c r="Y5300" s="40"/>
    </row>
    <row r="5301" spans="24:25" x14ac:dyDescent="0.35">
      <c r="X5301" s="40"/>
      <c r="Y5301" s="40"/>
    </row>
    <row r="5302" spans="24:25" x14ac:dyDescent="0.35">
      <c r="X5302" s="40"/>
      <c r="Y5302" s="40"/>
    </row>
    <row r="5303" spans="24:25" x14ac:dyDescent="0.35">
      <c r="X5303" s="40"/>
      <c r="Y5303" s="40"/>
    </row>
    <row r="5304" spans="24:25" x14ac:dyDescent="0.35">
      <c r="X5304" s="40"/>
      <c r="Y5304" s="40"/>
    </row>
    <row r="5305" spans="24:25" x14ac:dyDescent="0.35">
      <c r="X5305" s="40"/>
      <c r="Y5305" s="40"/>
    </row>
    <row r="5306" spans="24:25" x14ac:dyDescent="0.35">
      <c r="X5306" s="40"/>
      <c r="Y5306" s="40"/>
    </row>
    <row r="5307" spans="24:25" x14ac:dyDescent="0.35">
      <c r="X5307" s="40"/>
      <c r="Y5307" s="40"/>
    </row>
    <row r="5308" spans="24:25" x14ac:dyDescent="0.35">
      <c r="X5308" s="40"/>
      <c r="Y5308" s="40"/>
    </row>
    <row r="5309" spans="24:25" x14ac:dyDescent="0.35">
      <c r="X5309" s="40"/>
      <c r="Y5309" s="40"/>
    </row>
    <row r="5310" spans="24:25" x14ac:dyDescent="0.35">
      <c r="X5310" s="40"/>
      <c r="Y5310" s="40"/>
    </row>
    <row r="5311" spans="24:25" x14ac:dyDescent="0.35">
      <c r="X5311" s="40"/>
      <c r="Y5311" s="40"/>
    </row>
    <row r="5312" spans="24:25" x14ac:dyDescent="0.35">
      <c r="X5312" s="40"/>
      <c r="Y5312" s="40"/>
    </row>
    <row r="5313" spans="24:25" x14ac:dyDescent="0.35">
      <c r="X5313" s="40"/>
      <c r="Y5313" s="40"/>
    </row>
    <row r="5314" spans="24:25" x14ac:dyDescent="0.35">
      <c r="X5314" s="40"/>
      <c r="Y5314" s="40"/>
    </row>
    <row r="5315" spans="24:25" x14ac:dyDescent="0.35">
      <c r="X5315" s="40"/>
      <c r="Y5315" s="40"/>
    </row>
    <row r="5316" spans="24:25" x14ac:dyDescent="0.35">
      <c r="X5316" s="40"/>
      <c r="Y5316" s="40"/>
    </row>
    <row r="5317" spans="24:25" x14ac:dyDescent="0.35">
      <c r="X5317" s="40"/>
      <c r="Y5317" s="40"/>
    </row>
    <row r="5318" spans="24:25" x14ac:dyDescent="0.35">
      <c r="X5318" s="40"/>
      <c r="Y5318" s="40"/>
    </row>
    <row r="5319" spans="24:25" x14ac:dyDescent="0.35">
      <c r="X5319" s="40"/>
      <c r="Y5319" s="40"/>
    </row>
    <row r="5320" spans="24:25" x14ac:dyDescent="0.35">
      <c r="X5320" s="40"/>
      <c r="Y5320" s="40"/>
    </row>
    <row r="5321" spans="24:25" x14ac:dyDescent="0.35">
      <c r="X5321" s="40"/>
      <c r="Y5321" s="40"/>
    </row>
    <row r="5322" spans="24:25" x14ac:dyDescent="0.35">
      <c r="X5322" s="40"/>
      <c r="Y5322" s="40"/>
    </row>
    <row r="5323" spans="24:25" x14ac:dyDescent="0.35">
      <c r="X5323" s="40"/>
      <c r="Y5323" s="40"/>
    </row>
    <row r="5324" spans="24:25" x14ac:dyDescent="0.35">
      <c r="X5324" s="40"/>
      <c r="Y5324" s="40"/>
    </row>
    <row r="5325" spans="24:25" x14ac:dyDescent="0.35">
      <c r="X5325" s="40"/>
      <c r="Y5325" s="40"/>
    </row>
    <row r="5326" spans="24:25" x14ac:dyDescent="0.35">
      <c r="X5326" s="40"/>
      <c r="Y5326" s="40"/>
    </row>
    <row r="5327" spans="24:25" x14ac:dyDescent="0.35">
      <c r="X5327" s="40"/>
      <c r="Y5327" s="40"/>
    </row>
    <row r="5328" spans="24:25" x14ac:dyDescent="0.35">
      <c r="X5328" s="40"/>
      <c r="Y5328" s="40"/>
    </row>
    <row r="5329" spans="24:25" x14ac:dyDescent="0.35">
      <c r="X5329" s="40"/>
      <c r="Y5329" s="40"/>
    </row>
    <row r="5330" spans="24:25" x14ac:dyDescent="0.35">
      <c r="X5330" s="40"/>
      <c r="Y5330" s="40"/>
    </row>
    <row r="5331" spans="24:25" x14ac:dyDescent="0.35">
      <c r="X5331" s="40"/>
      <c r="Y5331" s="40"/>
    </row>
    <row r="5332" spans="24:25" x14ac:dyDescent="0.35">
      <c r="X5332" s="40"/>
      <c r="Y5332" s="40"/>
    </row>
    <row r="5333" spans="24:25" x14ac:dyDescent="0.35">
      <c r="X5333" s="40"/>
      <c r="Y5333" s="40"/>
    </row>
    <row r="5334" spans="24:25" x14ac:dyDescent="0.35">
      <c r="X5334" s="40"/>
      <c r="Y5334" s="40"/>
    </row>
    <row r="5335" spans="24:25" x14ac:dyDescent="0.35">
      <c r="X5335" s="40"/>
      <c r="Y5335" s="40"/>
    </row>
    <row r="5336" spans="24:25" x14ac:dyDescent="0.35">
      <c r="X5336" s="40"/>
      <c r="Y5336" s="40"/>
    </row>
    <row r="5337" spans="24:25" x14ac:dyDescent="0.35">
      <c r="X5337" s="40"/>
      <c r="Y5337" s="40"/>
    </row>
    <row r="5338" spans="24:25" x14ac:dyDescent="0.35">
      <c r="X5338" s="40"/>
      <c r="Y5338" s="40"/>
    </row>
    <row r="5339" spans="24:25" x14ac:dyDescent="0.35">
      <c r="X5339" s="40"/>
      <c r="Y5339" s="40"/>
    </row>
    <row r="5340" spans="24:25" x14ac:dyDescent="0.35">
      <c r="X5340" s="40"/>
      <c r="Y5340" s="40"/>
    </row>
    <row r="5341" spans="24:25" x14ac:dyDescent="0.35">
      <c r="X5341" s="40"/>
      <c r="Y5341" s="40"/>
    </row>
    <row r="5342" spans="24:25" x14ac:dyDescent="0.35">
      <c r="X5342" s="40"/>
      <c r="Y5342" s="40"/>
    </row>
    <row r="5343" spans="24:25" x14ac:dyDescent="0.35">
      <c r="X5343" s="40"/>
      <c r="Y5343" s="40"/>
    </row>
    <row r="5344" spans="24:25" x14ac:dyDescent="0.35">
      <c r="X5344" s="40"/>
      <c r="Y5344" s="40"/>
    </row>
    <row r="5345" spans="24:25" x14ac:dyDescent="0.35">
      <c r="X5345" s="40"/>
      <c r="Y5345" s="40"/>
    </row>
    <row r="5346" spans="24:25" x14ac:dyDescent="0.35">
      <c r="X5346" s="40"/>
      <c r="Y5346" s="40"/>
    </row>
    <row r="5347" spans="24:25" x14ac:dyDescent="0.35">
      <c r="X5347" s="40"/>
      <c r="Y5347" s="40"/>
    </row>
    <row r="5348" spans="24:25" x14ac:dyDescent="0.35">
      <c r="X5348" s="40"/>
      <c r="Y5348" s="40"/>
    </row>
    <row r="5349" spans="24:25" x14ac:dyDescent="0.35">
      <c r="X5349" s="40"/>
      <c r="Y5349" s="40"/>
    </row>
    <row r="5350" spans="24:25" x14ac:dyDescent="0.35">
      <c r="X5350" s="40"/>
      <c r="Y5350" s="40"/>
    </row>
    <row r="5351" spans="24:25" x14ac:dyDescent="0.35">
      <c r="X5351" s="40"/>
      <c r="Y5351" s="40"/>
    </row>
    <row r="5352" spans="24:25" x14ac:dyDescent="0.35">
      <c r="X5352" s="40"/>
      <c r="Y5352" s="40"/>
    </row>
    <row r="5353" spans="24:25" x14ac:dyDescent="0.35">
      <c r="X5353" s="40"/>
      <c r="Y5353" s="40"/>
    </row>
    <row r="5354" spans="24:25" x14ac:dyDescent="0.35">
      <c r="X5354" s="40"/>
      <c r="Y5354" s="40"/>
    </row>
    <row r="5355" spans="24:25" x14ac:dyDescent="0.35">
      <c r="X5355" s="40"/>
      <c r="Y5355" s="40"/>
    </row>
    <row r="5356" spans="24:25" x14ac:dyDescent="0.35">
      <c r="X5356" s="40"/>
      <c r="Y5356" s="40"/>
    </row>
    <row r="5357" spans="24:25" x14ac:dyDescent="0.35">
      <c r="X5357" s="40"/>
      <c r="Y5357" s="40"/>
    </row>
    <row r="5358" spans="24:25" x14ac:dyDescent="0.35">
      <c r="X5358" s="40"/>
      <c r="Y5358" s="40"/>
    </row>
    <row r="5359" spans="24:25" x14ac:dyDescent="0.35">
      <c r="X5359" s="40"/>
      <c r="Y5359" s="40"/>
    </row>
    <row r="5360" spans="24:25" x14ac:dyDescent="0.35">
      <c r="X5360" s="40"/>
      <c r="Y5360" s="40"/>
    </row>
    <row r="5361" spans="24:25" x14ac:dyDescent="0.35">
      <c r="X5361" s="40"/>
      <c r="Y5361" s="40"/>
    </row>
    <row r="5362" spans="24:25" x14ac:dyDescent="0.35">
      <c r="X5362" s="40"/>
      <c r="Y5362" s="40"/>
    </row>
    <row r="5363" spans="24:25" x14ac:dyDescent="0.35">
      <c r="X5363" s="40"/>
      <c r="Y5363" s="40"/>
    </row>
    <row r="5364" spans="24:25" x14ac:dyDescent="0.35">
      <c r="X5364" s="40"/>
      <c r="Y5364" s="40"/>
    </row>
    <row r="5365" spans="24:25" x14ac:dyDescent="0.35">
      <c r="X5365" s="40"/>
      <c r="Y5365" s="40"/>
    </row>
    <row r="5366" spans="24:25" x14ac:dyDescent="0.35">
      <c r="X5366" s="40"/>
      <c r="Y5366" s="40"/>
    </row>
    <row r="5367" spans="24:25" x14ac:dyDescent="0.35">
      <c r="X5367" s="40"/>
      <c r="Y5367" s="40"/>
    </row>
    <row r="5368" spans="24:25" x14ac:dyDescent="0.35">
      <c r="X5368" s="40"/>
      <c r="Y5368" s="40"/>
    </row>
    <row r="5369" spans="24:25" x14ac:dyDescent="0.35">
      <c r="X5369" s="40"/>
      <c r="Y5369" s="40"/>
    </row>
    <row r="5370" spans="24:25" x14ac:dyDescent="0.35">
      <c r="X5370" s="40"/>
      <c r="Y5370" s="40"/>
    </row>
    <row r="5371" spans="24:25" x14ac:dyDescent="0.35">
      <c r="X5371" s="40"/>
      <c r="Y5371" s="40"/>
    </row>
    <row r="5372" spans="24:25" x14ac:dyDescent="0.35">
      <c r="X5372" s="40"/>
      <c r="Y5372" s="40"/>
    </row>
    <row r="5373" spans="24:25" x14ac:dyDescent="0.35">
      <c r="X5373" s="40"/>
      <c r="Y5373" s="40"/>
    </row>
    <row r="5374" spans="24:25" x14ac:dyDescent="0.35">
      <c r="X5374" s="40"/>
      <c r="Y5374" s="40"/>
    </row>
    <row r="5375" spans="24:25" x14ac:dyDescent="0.35">
      <c r="X5375" s="40"/>
      <c r="Y5375" s="40"/>
    </row>
    <row r="5376" spans="24:25" x14ac:dyDescent="0.35">
      <c r="X5376" s="40"/>
      <c r="Y5376" s="40"/>
    </row>
    <row r="5377" spans="24:25" x14ac:dyDescent="0.35">
      <c r="X5377" s="40"/>
      <c r="Y5377" s="40"/>
    </row>
    <row r="5378" spans="24:25" x14ac:dyDescent="0.35">
      <c r="X5378" s="40"/>
      <c r="Y5378" s="40"/>
    </row>
    <row r="5379" spans="24:25" x14ac:dyDescent="0.35">
      <c r="X5379" s="40"/>
      <c r="Y5379" s="40"/>
    </row>
    <row r="5380" spans="24:25" x14ac:dyDescent="0.35">
      <c r="X5380" s="40"/>
      <c r="Y5380" s="40"/>
    </row>
    <row r="5381" spans="24:25" x14ac:dyDescent="0.35">
      <c r="X5381" s="40"/>
      <c r="Y5381" s="40"/>
    </row>
    <row r="5382" spans="24:25" x14ac:dyDescent="0.35">
      <c r="X5382" s="40"/>
      <c r="Y5382" s="40"/>
    </row>
    <row r="5383" spans="24:25" x14ac:dyDescent="0.35">
      <c r="X5383" s="40"/>
      <c r="Y5383" s="40"/>
    </row>
    <row r="5384" spans="24:25" x14ac:dyDescent="0.35">
      <c r="X5384" s="40"/>
      <c r="Y5384" s="40"/>
    </row>
    <row r="5385" spans="24:25" x14ac:dyDescent="0.35">
      <c r="X5385" s="40"/>
      <c r="Y5385" s="40"/>
    </row>
    <row r="5386" spans="24:25" x14ac:dyDescent="0.35">
      <c r="X5386" s="40"/>
      <c r="Y5386" s="40"/>
    </row>
    <row r="5387" spans="24:25" x14ac:dyDescent="0.35">
      <c r="X5387" s="40"/>
      <c r="Y5387" s="40"/>
    </row>
    <row r="5388" spans="24:25" x14ac:dyDescent="0.35">
      <c r="X5388" s="40"/>
      <c r="Y5388" s="40"/>
    </row>
    <row r="5389" spans="24:25" x14ac:dyDescent="0.35">
      <c r="X5389" s="40"/>
      <c r="Y5389" s="40"/>
    </row>
    <row r="5390" spans="24:25" x14ac:dyDescent="0.35">
      <c r="X5390" s="40"/>
      <c r="Y5390" s="40"/>
    </row>
    <row r="5391" spans="24:25" x14ac:dyDescent="0.35">
      <c r="X5391" s="40"/>
      <c r="Y5391" s="40"/>
    </row>
    <row r="5392" spans="24:25" x14ac:dyDescent="0.35">
      <c r="X5392" s="40"/>
      <c r="Y5392" s="40"/>
    </row>
    <row r="5393" spans="24:25" x14ac:dyDescent="0.35">
      <c r="X5393" s="40"/>
      <c r="Y5393" s="40"/>
    </row>
    <row r="5394" spans="24:25" x14ac:dyDescent="0.35">
      <c r="X5394" s="40"/>
      <c r="Y5394" s="40"/>
    </row>
    <row r="5395" spans="24:25" x14ac:dyDescent="0.35">
      <c r="X5395" s="40"/>
      <c r="Y5395" s="40"/>
    </row>
    <row r="5396" spans="24:25" x14ac:dyDescent="0.35">
      <c r="X5396" s="40"/>
      <c r="Y5396" s="40"/>
    </row>
    <row r="5397" spans="24:25" x14ac:dyDescent="0.35">
      <c r="X5397" s="40"/>
      <c r="Y5397" s="40"/>
    </row>
    <row r="5398" spans="24:25" x14ac:dyDescent="0.35">
      <c r="X5398" s="40"/>
      <c r="Y5398" s="40"/>
    </row>
    <row r="5399" spans="24:25" x14ac:dyDescent="0.35">
      <c r="X5399" s="40"/>
      <c r="Y5399" s="40"/>
    </row>
    <row r="5400" spans="24:25" x14ac:dyDescent="0.35">
      <c r="X5400" s="40"/>
      <c r="Y5400" s="40"/>
    </row>
    <row r="5401" spans="24:25" x14ac:dyDescent="0.35">
      <c r="X5401" s="40"/>
      <c r="Y5401" s="40"/>
    </row>
    <row r="5402" spans="24:25" x14ac:dyDescent="0.35">
      <c r="X5402" s="40"/>
      <c r="Y5402" s="40"/>
    </row>
    <row r="5403" spans="24:25" x14ac:dyDescent="0.35">
      <c r="X5403" s="40"/>
      <c r="Y5403" s="40"/>
    </row>
    <row r="5404" spans="24:25" x14ac:dyDescent="0.35">
      <c r="X5404" s="40"/>
      <c r="Y5404" s="40"/>
    </row>
    <row r="5405" spans="24:25" x14ac:dyDescent="0.35">
      <c r="X5405" s="40"/>
      <c r="Y5405" s="40"/>
    </row>
    <row r="5406" spans="24:25" x14ac:dyDescent="0.35">
      <c r="X5406" s="40"/>
      <c r="Y5406" s="40"/>
    </row>
    <row r="5407" spans="24:25" x14ac:dyDescent="0.35">
      <c r="X5407" s="40"/>
      <c r="Y5407" s="40"/>
    </row>
    <row r="5408" spans="24:25" x14ac:dyDescent="0.35">
      <c r="X5408" s="40"/>
      <c r="Y5408" s="40"/>
    </row>
    <row r="5409" spans="24:25" x14ac:dyDescent="0.35">
      <c r="X5409" s="40"/>
      <c r="Y5409" s="40"/>
    </row>
    <row r="5410" spans="24:25" x14ac:dyDescent="0.35">
      <c r="X5410" s="40"/>
      <c r="Y5410" s="40"/>
    </row>
    <row r="5411" spans="24:25" x14ac:dyDescent="0.35">
      <c r="X5411" s="40"/>
      <c r="Y5411" s="40"/>
    </row>
    <row r="5412" spans="24:25" x14ac:dyDescent="0.35">
      <c r="X5412" s="40"/>
      <c r="Y5412" s="40"/>
    </row>
    <row r="5413" spans="24:25" x14ac:dyDescent="0.35">
      <c r="X5413" s="40"/>
      <c r="Y5413" s="40"/>
    </row>
    <row r="5414" spans="24:25" x14ac:dyDescent="0.35">
      <c r="X5414" s="40"/>
      <c r="Y5414" s="40"/>
    </row>
    <row r="5415" spans="24:25" x14ac:dyDescent="0.35">
      <c r="X5415" s="40"/>
      <c r="Y5415" s="40"/>
    </row>
    <row r="5416" spans="24:25" x14ac:dyDescent="0.35">
      <c r="X5416" s="40"/>
      <c r="Y5416" s="40"/>
    </row>
    <row r="5417" spans="24:25" x14ac:dyDescent="0.35">
      <c r="X5417" s="40"/>
      <c r="Y5417" s="40"/>
    </row>
    <row r="5418" spans="24:25" x14ac:dyDescent="0.35">
      <c r="X5418" s="40"/>
      <c r="Y5418" s="40"/>
    </row>
    <row r="5419" spans="24:25" x14ac:dyDescent="0.35">
      <c r="X5419" s="40"/>
      <c r="Y5419" s="40"/>
    </row>
    <row r="5420" spans="24:25" x14ac:dyDescent="0.35">
      <c r="X5420" s="40"/>
      <c r="Y5420" s="40"/>
    </row>
    <row r="5421" spans="24:25" x14ac:dyDescent="0.35">
      <c r="X5421" s="40"/>
      <c r="Y5421" s="40"/>
    </row>
    <row r="5422" spans="24:25" x14ac:dyDescent="0.35">
      <c r="X5422" s="40"/>
      <c r="Y5422" s="40"/>
    </row>
    <row r="5423" spans="24:25" x14ac:dyDescent="0.35">
      <c r="X5423" s="40"/>
      <c r="Y5423" s="40"/>
    </row>
    <row r="5424" spans="24:25" x14ac:dyDescent="0.35">
      <c r="X5424" s="40"/>
      <c r="Y5424" s="40"/>
    </row>
    <row r="5425" spans="24:25" x14ac:dyDescent="0.35">
      <c r="X5425" s="40"/>
      <c r="Y5425" s="40"/>
    </row>
    <row r="5426" spans="24:25" x14ac:dyDescent="0.35">
      <c r="X5426" s="40"/>
      <c r="Y5426" s="40"/>
    </row>
    <row r="5427" spans="24:25" x14ac:dyDescent="0.35">
      <c r="X5427" s="40"/>
      <c r="Y5427" s="40"/>
    </row>
    <row r="5428" spans="24:25" x14ac:dyDescent="0.35">
      <c r="X5428" s="40"/>
      <c r="Y5428" s="40"/>
    </row>
    <row r="5429" spans="24:25" x14ac:dyDescent="0.35">
      <c r="X5429" s="40"/>
      <c r="Y5429" s="40"/>
    </row>
    <row r="5430" spans="24:25" x14ac:dyDescent="0.35">
      <c r="X5430" s="40"/>
      <c r="Y5430" s="40"/>
    </row>
    <row r="5431" spans="24:25" x14ac:dyDescent="0.35">
      <c r="X5431" s="40"/>
      <c r="Y5431" s="40"/>
    </row>
    <row r="5432" spans="24:25" x14ac:dyDescent="0.35">
      <c r="X5432" s="40"/>
      <c r="Y5432" s="40"/>
    </row>
    <row r="5433" spans="24:25" x14ac:dyDescent="0.35">
      <c r="X5433" s="40"/>
      <c r="Y5433" s="40"/>
    </row>
    <row r="5434" spans="24:25" x14ac:dyDescent="0.35">
      <c r="X5434" s="40"/>
      <c r="Y5434" s="40"/>
    </row>
    <row r="5435" spans="24:25" x14ac:dyDescent="0.35">
      <c r="X5435" s="40"/>
      <c r="Y5435" s="40"/>
    </row>
    <row r="5436" spans="24:25" x14ac:dyDescent="0.35">
      <c r="X5436" s="40"/>
      <c r="Y5436" s="40"/>
    </row>
    <row r="5437" spans="24:25" x14ac:dyDescent="0.35">
      <c r="X5437" s="40"/>
      <c r="Y5437" s="40"/>
    </row>
    <row r="5438" spans="24:25" x14ac:dyDescent="0.35">
      <c r="X5438" s="40"/>
      <c r="Y5438" s="40"/>
    </row>
    <row r="5439" spans="24:25" x14ac:dyDescent="0.35">
      <c r="X5439" s="40"/>
      <c r="Y5439" s="40"/>
    </row>
    <row r="5440" spans="24:25" x14ac:dyDescent="0.35">
      <c r="X5440" s="40"/>
      <c r="Y5440" s="40"/>
    </row>
    <row r="5441" spans="24:25" x14ac:dyDescent="0.35">
      <c r="X5441" s="40"/>
      <c r="Y5441" s="40"/>
    </row>
    <row r="5442" spans="24:25" x14ac:dyDescent="0.35">
      <c r="X5442" s="40"/>
      <c r="Y5442" s="40"/>
    </row>
    <row r="5443" spans="24:25" x14ac:dyDescent="0.35">
      <c r="X5443" s="40"/>
      <c r="Y5443" s="40"/>
    </row>
    <row r="5444" spans="24:25" x14ac:dyDescent="0.35">
      <c r="X5444" s="40"/>
      <c r="Y5444" s="40"/>
    </row>
    <row r="5445" spans="24:25" x14ac:dyDescent="0.35">
      <c r="X5445" s="40"/>
      <c r="Y5445" s="40"/>
    </row>
    <row r="5446" spans="24:25" x14ac:dyDescent="0.35">
      <c r="X5446" s="40"/>
      <c r="Y5446" s="40"/>
    </row>
    <row r="5447" spans="24:25" x14ac:dyDescent="0.35">
      <c r="X5447" s="40"/>
      <c r="Y5447" s="40"/>
    </row>
    <row r="5448" spans="24:25" x14ac:dyDescent="0.35">
      <c r="X5448" s="40"/>
      <c r="Y5448" s="40"/>
    </row>
    <row r="5449" spans="24:25" x14ac:dyDescent="0.35">
      <c r="X5449" s="40"/>
      <c r="Y5449" s="40"/>
    </row>
    <row r="5450" spans="24:25" x14ac:dyDescent="0.35">
      <c r="X5450" s="40"/>
      <c r="Y5450" s="40"/>
    </row>
    <row r="5451" spans="24:25" x14ac:dyDescent="0.35">
      <c r="X5451" s="40"/>
      <c r="Y5451" s="40"/>
    </row>
    <row r="5452" spans="24:25" x14ac:dyDescent="0.35">
      <c r="X5452" s="40"/>
      <c r="Y5452" s="40"/>
    </row>
    <row r="5453" spans="24:25" x14ac:dyDescent="0.35">
      <c r="X5453" s="40"/>
      <c r="Y5453" s="40"/>
    </row>
    <row r="5454" spans="24:25" x14ac:dyDescent="0.35">
      <c r="X5454" s="40"/>
      <c r="Y5454" s="40"/>
    </row>
    <row r="5455" spans="24:25" x14ac:dyDescent="0.35">
      <c r="X5455" s="40"/>
      <c r="Y5455" s="40"/>
    </row>
    <row r="5456" spans="24:25" x14ac:dyDescent="0.35">
      <c r="X5456" s="40"/>
      <c r="Y5456" s="40"/>
    </row>
    <row r="5457" spans="24:25" x14ac:dyDescent="0.35">
      <c r="X5457" s="40"/>
      <c r="Y5457" s="40"/>
    </row>
    <row r="5458" spans="24:25" x14ac:dyDescent="0.35">
      <c r="X5458" s="40"/>
      <c r="Y5458" s="40"/>
    </row>
    <row r="5459" spans="24:25" x14ac:dyDescent="0.35">
      <c r="X5459" s="40"/>
      <c r="Y5459" s="40"/>
    </row>
    <row r="5460" spans="24:25" x14ac:dyDescent="0.35">
      <c r="X5460" s="40"/>
      <c r="Y5460" s="40"/>
    </row>
    <row r="5461" spans="24:25" x14ac:dyDescent="0.35">
      <c r="X5461" s="40"/>
      <c r="Y5461" s="40"/>
    </row>
    <row r="5462" spans="24:25" x14ac:dyDescent="0.35">
      <c r="X5462" s="40"/>
      <c r="Y5462" s="40"/>
    </row>
    <row r="5463" spans="24:25" x14ac:dyDescent="0.35">
      <c r="X5463" s="40"/>
      <c r="Y5463" s="40"/>
    </row>
    <row r="5464" spans="24:25" x14ac:dyDescent="0.35">
      <c r="X5464" s="40"/>
      <c r="Y5464" s="40"/>
    </row>
    <row r="5465" spans="24:25" x14ac:dyDescent="0.35">
      <c r="X5465" s="40"/>
      <c r="Y5465" s="40"/>
    </row>
    <row r="5466" spans="24:25" x14ac:dyDescent="0.35">
      <c r="X5466" s="40"/>
      <c r="Y5466" s="40"/>
    </row>
    <row r="5467" spans="24:25" x14ac:dyDescent="0.35">
      <c r="X5467" s="40"/>
      <c r="Y5467" s="40"/>
    </row>
    <row r="5468" spans="24:25" x14ac:dyDescent="0.35">
      <c r="X5468" s="40"/>
      <c r="Y5468" s="40"/>
    </row>
    <row r="5469" spans="24:25" x14ac:dyDescent="0.35">
      <c r="X5469" s="40"/>
      <c r="Y5469" s="40"/>
    </row>
    <row r="5470" spans="24:25" x14ac:dyDescent="0.35">
      <c r="X5470" s="40"/>
      <c r="Y5470" s="40"/>
    </row>
    <row r="5471" spans="24:25" x14ac:dyDescent="0.35">
      <c r="X5471" s="40"/>
      <c r="Y5471" s="40"/>
    </row>
    <row r="5472" spans="24:25" x14ac:dyDescent="0.35">
      <c r="X5472" s="40"/>
      <c r="Y5472" s="40"/>
    </row>
    <row r="5473" spans="24:25" x14ac:dyDescent="0.35">
      <c r="X5473" s="40"/>
      <c r="Y5473" s="40"/>
    </row>
    <row r="5474" spans="24:25" x14ac:dyDescent="0.35">
      <c r="X5474" s="40"/>
      <c r="Y5474" s="40"/>
    </row>
    <row r="5475" spans="24:25" x14ac:dyDescent="0.35">
      <c r="X5475" s="40"/>
      <c r="Y5475" s="40"/>
    </row>
    <row r="5476" spans="24:25" x14ac:dyDescent="0.35">
      <c r="X5476" s="40"/>
      <c r="Y5476" s="40"/>
    </row>
    <row r="5477" spans="24:25" x14ac:dyDescent="0.35">
      <c r="X5477" s="40"/>
      <c r="Y5477" s="40"/>
    </row>
    <row r="5478" spans="24:25" x14ac:dyDescent="0.35">
      <c r="X5478" s="40"/>
      <c r="Y5478" s="40"/>
    </row>
    <row r="5479" spans="24:25" x14ac:dyDescent="0.35">
      <c r="X5479" s="40"/>
      <c r="Y5479" s="40"/>
    </row>
    <row r="5480" spans="24:25" x14ac:dyDescent="0.35">
      <c r="X5480" s="40"/>
      <c r="Y5480" s="40"/>
    </row>
    <row r="5481" spans="24:25" x14ac:dyDescent="0.35">
      <c r="X5481" s="40"/>
      <c r="Y5481" s="40"/>
    </row>
    <row r="5482" spans="24:25" x14ac:dyDescent="0.35">
      <c r="X5482" s="40"/>
      <c r="Y5482" s="40"/>
    </row>
    <row r="5483" spans="24:25" x14ac:dyDescent="0.35">
      <c r="X5483" s="40"/>
      <c r="Y5483" s="40"/>
    </row>
    <row r="5484" spans="24:25" x14ac:dyDescent="0.35">
      <c r="X5484" s="40"/>
      <c r="Y5484" s="40"/>
    </row>
    <row r="5485" spans="24:25" x14ac:dyDescent="0.35">
      <c r="X5485" s="40"/>
      <c r="Y5485" s="40"/>
    </row>
    <row r="5486" spans="24:25" x14ac:dyDescent="0.35">
      <c r="X5486" s="40"/>
      <c r="Y5486" s="40"/>
    </row>
    <row r="5487" spans="24:25" x14ac:dyDescent="0.35">
      <c r="X5487" s="40"/>
      <c r="Y5487" s="40"/>
    </row>
    <row r="5488" spans="24:25" x14ac:dyDescent="0.35">
      <c r="X5488" s="40"/>
      <c r="Y5488" s="40"/>
    </row>
    <row r="5489" spans="24:25" x14ac:dyDescent="0.35">
      <c r="X5489" s="40"/>
      <c r="Y5489" s="40"/>
    </row>
    <row r="5490" spans="24:25" x14ac:dyDescent="0.35">
      <c r="X5490" s="40"/>
      <c r="Y5490" s="40"/>
    </row>
    <row r="5491" spans="24:25" x14ac:dyDescent="0.35">
      <c r="X5491" s="40"/>
      <c r="Y5491" s="40"/>
    </row>
    <row r="5492" spans="24:25" x14ac:dyDescent="0.35">
      <c r="X5492" s="40"/>
      <c r="Y5492" s="40"/>
    </row>
    <row r="5493" spans="24:25" x14ac:dyDescent="0.35">
      <c r="X5493" s="40"/>
      <c r="Y5493" s="40"/>
    </row>
    <row r="5494" spans="24:25" x14ac:dyDescent="0.35">
      <c r="X5494" s="40"/>
      <c r="Y5494" s="40"/>
    </row>
    <row r="5495" spans="24:25" x14ac:dyDescent="0.35">
      <c r="X5495" s="40"/>
      <c r="Y5495" s="40"/>
    </row>
    <row r="5496" spans="24:25" x14ac:dyDescent="0.35">
      <c r="X5496" s="40"/>
      <c r="Y5496" s="40"/>
    </row>
    <row r="5497" spans="24:25" x14ac:dyDescent="0.35">
      <c r="X5497" s="40"/>
      <c r="Y5497" s="40"/>
    </row>
    <row r="5498" spans="24:25" x14ac:dyDescent="0.35">
      <c r="X5498" s="40"/>
      <c r="Y5498" s="40"/>
    </row>
    <row r="5499" spans="24:25" x14ac:dyDescent="0.35">
      <c r="X5499" s="40"/>
      <c r="Y5499" s="40"/>
    </row>
    <row r="5500" spans="24:25" x14ac:dyDescent="0.35">
      <c r="X5500" s="40"/>
      <c r="Y5500" s="40"/>
    </row>
    <row r="5501" spans="24:25" x14ac:dyDescent="0.35">
      <c r="X5501" s="40"/>
      <c r="Y5501" s="40"/>
    </row>
    <row r="5502" spans="24:25" x14ac:dyDescent="0.35">
      <c r="X5502" s="40"/>
      <c r="Y5502" s="40"/>
    </row>
    <row r="5503" spans="24:25" x14ac:dyDescent="0.35">
      <c r="X5503" s="40"/>
      <c r="Y5503" s="40"/>
    </row>
    <row r="5504" spans="24:25" x14ac:dyDescent="0.35">
      <c r="X5504" s="40"/>
      <c r="Y5504" s="40"/>
    </row>
    <row r="5505" spans="24:25" x14ac:dyDescent="0.35">
      <c r="X5505" s="40"/>
      <c r="Y5505" s="40"/>
    </row>
    <row r="5506" spans="24:25" x14ac:dyDescent="0.35">
      <c r="X5506" s="40"/>
      <c r="Y5506" s="40"/>
    </row>
    <row r="5507" spans="24:25" x14ac:dyDescent="0.35">
      <c r="X5507" s="40"/>
      <c r="Y5507" s="40"/>
    </row>
    <row r="5508" spans="24:25" x14ac:dyDescent="0.35">
      <c r="X5508" s="40"/>
      <c r="Y5508" s="40"/>
    </row>
    <row r="5509" spans="24:25" x14ac:dyDescent="0.35">
      <c r="X5509" s="40"/>
      <c r="Y5509" s="40"/>
    </row>
    <row r="5510" spans="24:25" x14ac:dyDescent="0.35">
      <c r="X5510" s="40"/>
      <c r="Y5510" s="40"/>
    </row>
    <row r="5511" spans="24:25" x14ac:dyDescent="0.35">
      <c r="X5511" s="40"/>
      <c r="Y5511" s="40"/>
    </row>
    <row r="5512" spans="24:25" x14ac:dyDescent="0.35">
      <c r="X5512" s="40"/>
      <c r="Y5512" s="40"/>
    </row>
    <row r="5513" spans="24:25" x14ac:dyDescent="0.35">
      <c r="X5513" s="40"/>
      <c r="Y5513" s="40"/>
    </row>
    <row r="5514" spans="24:25" x14ac:dyDescent="0.35">
      <c r="X5514" s="40"/>
      <c r="Y5514" s="40"/>
    </row>
    <row r="5515" spans="24:25" x14ac:dyDescent="0.35">
      <c r="X5515" s="40"/>
      <c r="Y5515" s="40"/>
    </row>
    <row r="5516" spans="24:25" x14ac:dyDescent="0.35">
      <c r="X5516" s="40"/>
      <c r="Y5516" s="40"/>
    </row>
    <row r="5517" spans="24:25" x14ac:dyDescent="0.35">
      <c r="X5517" s="40"/>
      <c r="Y5517" s="40"/>
    </row>
    <row r="5518" spans="24:25" x14ac:dyDescent="0.35">
      <c r="X5518" s="40"/>
      <c r="Y5518" s="40"/>
    </row>
    <row r="5519" spans="24:25" x14ac:dyDescent="0.35">
      <c r="X5519" s="40"/>
      <c r="Y5519" s="40"/>
    </row>
    <row r="5520" spans="24:25" x14ac:dyDescent="0.35">
      <c r="X5520" s="40"/>
      <c r="Y5520" s="40"/>
    </row>
    <row r="5521" spans="24:25" x14ac:dyDescent="0.35">
      <c r="X5521" s="40"/>
      <c r="Y5521" s="40"/>
    </row>
    <row r="5522" spans="24:25" x14ac:dyDescent="0.35">
      <c r="X5522" s="40"/>
      <c r="Y5522" s="40"/>
    </row>
    <row r="5523" spans="24:25" x14ac:dyDescent="0.35">
      <c r="X5523" s="40"/>
      <c r="Y5523" s="40"/>
    </row>
    <row r="5524" spans="24:25" x14ac:dyDescent="0.35">
      <c r="X5524" s="40"/>
      <c r="Y5524" s="40"/>
    </row>
    <row r="5525" spans="24:25" x14ac:dyDescent="0.35">
      <c r="X5525" s="40"/>
      <c r="Y5525" s="40"/>
    </row>
    <row r="5526" spans="24:25" x14ac:dyDescent="0.35">
      <c r="X5526" s="40"/>
      <c r="Y5526" s="40"/>
    </row>
    <row r="5527" spans="24:25" x14ac:dyDescent="0.35">
      <c r="X5527" s="40"/>
      <c r="Y5527" s="40"/>
    </row>
    <row r="5528" spans="24:25" x14ac:dyDescent="0.35">
      <c r="X5528" s="40"/>
      <c r="Y5528" s="40"/>
    </row>
    <row r="5529" spans="24:25" x14ac:dyDescent="0.35">
      <c r="X5529" s="40"/>
      <c r="Y5529" s="40"/>
    </row>
    <row r="5530" spans="24:25" x14ac:dyDescent="0.35">
      <c r="X5530" s="40"/>
      <c r="Y5530" s="40"/>
    </row>
    <row r="5531" spans="24:25" x14ac:dyDescent="0.35">
      <c r="X5531" s="40"/>
      <c r="Y5531" s="40"/>
    </row>
    <row r="5532" spans="24:25" x14ac:dyDescent="0.35">
      <c r="X5532" s="40"/>
      <c r="Y5532" s="40"/>
    </row>
    <row r="5533" spans="24:25" x14ac:dyDescent="0.35">
      <c r="X5533" s="40"/>
      <c r="Y5533" s="40"/>
    </row>
    <row r="5534" spans="24:25" x14ac:dyDescent="0.35">
      <c r="X5534" s="40"/>
      <c r="Y5534" s="40"/>
    </row>
    <row r="5535" spans="24:25" x14ac:dyDescent="0.35">
      <c r="X5535" s="40"/>
      <c r="Y5535" s="40"/>
    </row>
    <row r="5536" spans="24:25" x14ac:dyDescent="0.35">
      <c r="X5536" s="40"/>
      <c r="Y5536" s="40"/>
    </row>
    <row r="5537" spans="24:25" x14ac:dyDescent="0.35">
      <c r="X5537" s="40"/>
      <c r="Y5537" s="40"/>
    </row>
    <row r="5538" spans="24:25" x14ac:dyDescent="0.35">
      <c r="X5538" s="40"/>
      <c r="Y5538" s="40"/>
    </row>
    <row r="5539" spans="24:25" x14ac:dyDescent="0.35">
      <c r="X5539" s="40"/>
      <c r="Y5539" s="40"/>
    </row>
    <row r="5540" spans="24:25" x14ac:dyDescent="0.35">
      <c r="X5540" s="40"/>
      <c r="Y5540" s="40"/>
    </row>
    <row r="5541" spans="24:25" x14ac:dyDescent="0.35">
      <c r="X5541" s="40"/>
      <c r="Y5541" s="40"/>
    </row>
    <row r="5542" spans="24:25" x14ac:dyDescent="0.35">
      <c r="X5542" s="40"/>
      <c r="Y5542" s="40"/>
    </row>
    <row r="5543" spans="24:25" x14ac:dyDescent="0.35">
      <c r="X5543" s="40"/>
      <c r="Y5543" s="40"/>
    </row>
    <row r="5544" spans="24:25" x14ac:dyDescent="0.35">
      <c r="X5544" s="40"/>
      <c r="Y5544" s="40"/>
    </row>
    <row r="5545" spans="24:25" x14ac:dyDescent="0.35">
      <c r="X5545" s="40"/>
      <c r="Y5545" s="40"/>
    </row>
    <row r="5546" spans="24:25" x14ac:dyDescent="0.35">
      <c r="X5546" s="40"/>
      <c r="Y5546" s="40"/>
    </row>
    <row r="5547" spans="24:25" x14ac:dyDescent="0.35">
      <c r="X5547" s="40"/>
      <c r="Y5547" s="40"/>
    </row>
    <row r="5548" spans="24:25" x14ac:dyDescent="0.35">
      <c r="X5548" s="40"/>
      <c r="Y5548" s="40"/>
    </row>
    <row r="5549" spans="24:25" x14ac:dyDescent="0.35">
      <c r="X5549" s="40"/>
      <c r="Y5549" s="40"/>
    </row>
    <row r="5550" spans="24:25" x14ac:dyDescent="0.35">
      <c r="X5550" s="40"/>
      <c r="Y5550" s="40"/>
    </row>
    <row r="5551" spans="24:25" x14ac:dyDescent="0.35">
      <c r="X5551" s="40"/>
      <c r="Y5551" s="40"/>
    </row>
    <row r="5552" spans="24:25" x14ac:dyDescent="0.35">
      <c r="X5552" s="40"/>
      <c r="Y5552" s="40"/>
    </row>
    <row r="5553" spans="24:25" x14ac:dyDescent="0.35">
      <c r="X5553" s="40"/>
      <c r="Y5553" s="40"/>
    </row>
    <row r="5554" spans="24:25" x14ac:dyDescent="0.35">
      <c r="X5554" s="40"/>
      <c r="Y5554" s="40"/>
    </row>
    <row r="5555" spans="24:25" x14ac:dyDescent="0.35">
      <c r="X5555" s="40"/>
      <c r="Y5555" s="40"/>
    </row>
    <row r="5556" spans="24:25" x14ac:dyDescent="0.35">
      <c r="X5556" s="40"/>
      <c r="Y5556" s="40"/>
    </row>
    <row r="5557" spans="24:25" x14ac:dyDescent="0.35">
      <c r="X5557" s="40"/>
      <c r="Y5557" s="40"/>
    </row>
    <row r="5558" spans="24:25" x14ac:dyDescent="0.35">
      <c r="X5558" s="40"/>
      <c r="Y5558" s="40"/>
    </row>
    <row r="5559" spans="24:25" x14ac:dyDescent="0.35">
      <c r="X5559" s="40"/>
      <c r="Y5559" s="40"/>
    </row>
    <row r="5560" spans="24:25" x14ac:dyDescent="0.35">
      <c r="X5560" s="40"/>
      <c r="Y5560" s="40"/>
    </row>
    <row r="5561" spans="24:25" x14ac:dyDescent="0.35">
      <c r="X5561" s="40"/>
      <c r="Y5561" s="40"/>
    </row>
    <row r="5562" spans="24:25" x14ac:dyDescent="0.35">
      <c r="X5562" s="40"/>
      <c r="Y5562" s="40"/>
    </row>
    <row r="5563" spans="24:25" x14ac:dyDescent="0.35">
      <c r="X5563" s="40"/>
      <c r="Y5563" s="40"/>
    </row>
    <row r="5564" spans="24:25" x14ac:dyDescent="0.35">
      <c r="X5564" s="40"/>
      <c r="Y5564" s="40"/>
    </row>
    <row r="5565" spans="24:25" x14ac:dyDescent="0.35">
      <c r="X5565" s="40"/>
      <c r="Y5565" s="40"/>
    </row>
    <row r="5566" spans="24:25" x14ac:dyDescent="0.35">
      <c r="X5566" s="40"/>
      <c r="Y5566" s="40"/>
    </row>
    <row r="5567" spans="24:25" x14ac:dyDescent="0.35">
      <c r="X5567" s="40"/>
      <c r="Y5567" s="40"/>
    </row>
    <row r="5568" spans="24:25" x14ac:dyDescent="0.35">
      <c r="X5568" s="40"/>
      <c r="Y5568" s="40"/>
    </row>
    <row r="5569" spans="24:25" x14ac:dyDescent="0.35">
      <c r="X5569" s="40"/>
      <c r="Y5569" s="40"/>
    </row>
    <row r="5570" spans="24:25" x14ac:dyDescent="0.35">
      <c r="X5570" s="40"/>
      <c r="Y5570" s="40"/>
    </row>
    <row r="5571" spans="24:25" x14ac:dyDescent="0.35">
      <c r="X5571" s="40"/>
      <c r="Y5571" s="40"/>
    </row>
    <row r="5572" spans="24:25" x14ac:dyDescent="0.35">
      <c r="X5572" s="40"/>
      <c r="Y5572" s="40"/>
    </row>
    <row r="5573" spans="24:25" x14ac:dyDescent="0.35">
      <c r="X5573" s="40"/>
      <c r="Y5573" s="40"/>
    </row>
    <row r="5574" spans="24:25" x14ac:dyDescent="0.35">
      <c r="X5574" s="40"/>
      <c r="Y5574" s="40"/>
    </row>
    <row r="5575" spans="24:25" x14ac:dyDescent="0.35">
      <c r="X5575" s="40"/>
      <c r="Y5575" s="40"/>
    </row>
    <row r="5576" spans="24:25" x14ac:dyDescent="0.35">
      <c r="X5576" s="40"/>
      <c r="Y5576" s="40"/>
    </row>
    <row r="5577" spans="24:25" x14ac:dyDescent="0.35">
      <c r="X5577" s="40"/>
      <c r="Y5577" s="40"/>
    </row>
    <row r="5578" spans="24:25" x14ac:dyDescent="0.35">
      <c r="X5578" s="40"/>
      <c r="Y5578" s="40"/>
    </row>
    <row r="5579" spans="24:25" x14ac:dyDescent="0.35">
      <c r="X5579" s="40"/>
      <c r="Y5579" s="40"/>
    </row>
    <row r="5580" spans="24:25" x14ac:dyDescent="0.35">
      <c r="X5580" s="40"/>
      <c r="Y5580" s="40"/>
    </row>
    <row r="5581" spans="24:25" x14ac:dyDescent="0.35">
      <c r="X5581" s="40"/>
      <c r="Y5581" s="40"/>
    </row>
    <row r="5582" spans="24:25" x14ac:dyDescent="0.35">
      <c r="X5582" s="40"/>
      <c r="Y5582" s="40"/>
    </row>
    <row r="5583" spans="24:25" x14ac:dyDescent="0.35">
      <c r="X5583" s="40"/>
      <c r="Y5583" s="40"/>
    </row>
    <row r="5584" spans="24:25" x14ac:dyDescent="0.35">
      <c r="X5584" s="40"/>
      <c r="Y5584" s="40"/>
    </row>
    <row r="5585" spans="24:25" x14ac:dyDescent="0.35">
      <c r="X5585" s="40"/>
      <c r="Y5585" s="40"/>
    </row>
    <row r="5586" spans="24:25" x14ac:dyDescent="0.35">
      <c r="X5586" s="40"/>
      <c r="Y5586" s="40"/>
    </row>
    <row r="5587" spans="24:25" x14ac:dyDescent="0.35">
      <c r="X5587" s="40"/>
      <c r="Y5587" s="40"/>
    </row>
    <row r="5588" spans="24:25" x14ac:dyDescent="0.35">
      <c r="X5588" s="40"/>
      <c r="Y5588" s="40"/>
    </row>
    <row r="5589" spans="24:25" x14ac:dyDescent="0.35">
      <c r="X5589" s="40"/>
      <c r="Y5589" s="40"/>
    </row>
    <row r="5590" spans="24:25" x14ac:dyDescent="0.35">
      <c r="X5590" s="40"/>
      <c r="Y5590" s="40"/>
    </row>
    <row r="5591" spans="24:25" x14ac:dyDescent="0.35">
      <c r="X5591" s="40"/>
      <c r="Y5591" s="40"/>
    </row>
    <row r="5592" spans="24:25" x14ac:dyDescent="0.35">
      <c r="X5592" s="40"/>
      <c r="Y5592" s="40"/>
    </row>
    <row r="5593" spans="24:25" x14ac:dyDescent="0.35">
      <c r="X5593" s="40"/>
      <c r="Y5593" s="40"/>
    </row>
    <row r="5594" spans="24:25" x14ac:dyDescent="0.35">
      <c r="X5594" s="40"/>
      <c r="Y5594" s="40"/>
    </row>
    <row r="5595" spans="24:25" x14ac:dyDescent="0.35">
      <c r="X5595" s="40"/>
      <c r="Y5595" s="40"/>
    </row>
    <row r="5596" spans="24:25" x14ac:dyDescent="0.35">
      <c r="X5596" s="40"/>
      <c r="Y5596" s="40"/>
    </row>
    <row r="5597" spans="24:25" x14ac:dyDescent="0.35">
      <c r="X5597" s="40"/>
      <c r="Y5597" s="40"/>
    </row>
    <row r="5598" spans="24:25" x14ac:dyDescent="0.35">
      <c r="X5598" s="40"/>
      <c r="Y5598" s="40"/>
    </row>
    <row r="5599" spans="24:25" x14ac:dyDescent="0.35">
      <c r="X5599" s="40"/>
      <c r="Y5599" s="40"/>
    </row>
    <row r="5600" spans="24:25" x14ac:dyDescent="0.35">
      <c r="X5600" s="40"/>
      <c r="Y5600" s="40"/>
    </row>
    <row r="5601" spans="24:25" x14ac:dyDescent="0.35">
      <c r="X5601" s="40"/>
      <c r="Y5601" s="40"/>
    </row>
    <row r="5602" spans="24:25" x14ac:dyDescent="0.35">
      <c r="X5602" s="40"/>
      <c r="Y5602" s="40"/>
    </row>
    <row r="5603" spans="24:25" x14ac:dyDescent="0.35">
      <c r="X5603" s="40"/>
      <c r="Y5603" s="40"/>
    </row>
    <row r="5604" spans="24:25" x14ac:dyDescent="0.35">
      <c r="X5604" s="40"/>
      <c r="Y5604" s="40"/>
    </row>
    <row r="5605" spans="24:25" x14ac:dyDescent="0.35">
      <c r="X5605" s="40"/>
      <c r="Y5605" s="40"/>
    </row>
    <row r="5606" spans="24:25" x14ac:dyDescent="0.35">
      <c r="X5606" s="40"/>
      <c r="Y5606" s="40"/>
    </row>
    <row r="5607" spans="24:25" x14ac:dyDescent="0.35">
      <c r="X5607" s="40"/>
      <c r="Y5607" s="40"/>
    </row>
    <row r="5608" spans="24:25" x14ac:dyDescent="0.35">
      <c r="X5608" s="40"/>
      <c r="Y5608" s="40"/>
    </row>
    <row r="5609" spans="24:25" x14ac:dyDescent="0.35">
      <c r="X5609" s="40"/>
      <c r="Y5609" s="40"/>
    </row>
    <row r="5610" spans="24:25" x14ac:dyDescent="0.35">
      <c r="X5610" s="40"/>
      <c r="Y5610" s="40"/>
    </row>
    <row r="5611" spans="24:25" x14ac:dyDescent="0.35">
      <c r="X5611" s="40"/>
      <c r="Y5611" s="40"/>
    </row>
    <row r="5612" spans="24:25" x14ac:dyDescent="0.35">
      <c r="X5612" s="40"/>
      <c r="Y5612" s="40"/>
    </row>
    <row r="5613" spans="24:25" x14ac:dyDescent="0.35">
      <c r="X5613" s="40"/>
      <c r="Y5613" s="40"/>
    </row>
    <row r="5614" spans="24:25" x14ac:dyDescent="0.35">
      <c r="X5614" s="40"/>
      <c r="Y5614" s="40"/>
    </row>
    <row r="5615" spans="24:25" x14ac:dyDescent="0.35">
      <c r="X5615" s="40"/>
      <c r="Y5615" s="40"/>
    </row>
    <row r="5616" spans="24:25" x14ac:dyDescent="0.35">
      <c r="X5616" s="40"/>
      <c r="Y5616" s="40"/>
    </row>
    <row r="5617" spans="24:25" x14ac:dyDescent="0.35">
      <c r="X5617" s="40"/>
      <c r="Y5617" s="40"/>
    </row>
    <row r="5618" spans="24:25" x14ac:dyDescent="0.35">
      <c r="X5618" s="40"/>
      <c r="Y5618" s="40"/>
    </row>
    <row r="5619" spans="24:25" x14ac:dyDescent="0.35">
      <c r="X5619" s="40"/>
      <c r="Y5619" s="40"/>
    </row>
    <row r="5620" spans="24:25" x14ac:dyDescent="0.35">
      <c r="X5620" s="40"/>
      <c r="Y5620" s="40"/>
    </row>
    <row r="5621" spans="24:25" x14ac:dyDescent="0.35">
      <c r="X5621" s="40"/>
      <c r="Y5621" s="40"/>
    </row>
    <row r="5622" spans="24:25" x14ac:dyDescent="0.35">
      <c r="X5622" s="40"/>
      <c r="Y5622" s="40"/>
    </row>
    <row r="5623" spans="24:25" x14ac:dyDescent="0.35">
      <c r="X5623" s="40"/>
      <c r="Y5623" s="40"/>
    </row>
    <row r="5624" spans="24:25" x14ac:dyDescent="0.35">
      <c r="X5624" s="40"/>
      <c r="Y5624" s="40"/>
    </row>
    <row r="5625" spans="24:25" x14ac:dyDescent="0.35">
      <c r="X5625" s="40"/>
      <c r="Y5625" s="40"/>
    </row>
    <row r="5626" spans="24:25" x14ac:dyDescent="0.35">
      <c r="X5626" s="40"/>
      <c r="Y5626" s="40"/>
    </row>
    <row r="5627" spans="24:25" x14ac:dyDescent="0.35">
      <c r="X5627" s="40"/>
      <c r="Y5627" s="40"/>
    </row>
    <row r="5628" spans="24:25" x14ac:dyDescent="0.35">
      <c r="X5628" s="40"/>
      <c r="Y5628" s="40"/>
    </row>
    <row r="5629" spans="24:25" x14ac:dyDescent="0.35">
      <c r="X5629" s="40"/>
      <c r="Y5629" s="40"/>
    </row>
    <row r="5630" spans="24:25" x14ac:dyDescent="0.35">
      <c r="X5630" s="40"/>
      <c r="Y5630" s="40"/>
    </row>
    <row r="5631" spans="24:25" x14ac:dyDescent="0.35">
      <c r="X5631" s="40"/>
      <c r="Y5631" s="40"/>
    </row>
    <row r="5632" spans="24:25" x14ac:dyDescent="0.35">
      <c r="X5632" s="40"/>
      <c r="Y5632" s="40"/>
    </row>
    <row r="5633" spans="24:25" x14ac:dyDescent="0.35">
      <c r="X5633" s="40"/>
      <c r="Y5633" s="40"/>
    </row>
    <row r="5634" spans="24:25" x14ac:dyDescent="0.35">
      <c r="X5634" s="40"/>
      <c r="Y5634" s="40"/>
    </row>
    <row r="5635" spans="24:25" x14ac:dyDescent="0.35">
      <c r="X5635" s="40"/>
      <c r="Y5635" s="40"/>
    </row>
    <row r="5636" spans="24:25" x14ac:dyDescent="0.35">
      <c r="X5636" s="40"/>
      <c r="Y5636" s="40"/>
    </row>
    <row r="5637" spans="24:25" x14ac:dyDescent="0.35">
      <c r="X5637" s="40"/>
      <c r="Y5637" s="40"/>
    </row>
    <row r="5638" spans="24:25" x14ac:dyDescent="0.35">
      <c r="X5638" s="40"/>
      <c r="Y5638" s="40"/>
    </row>
    <row r="5639" spans="24:25" x14ac:dyDescent="0.35">
      <c r="X5639" s="40"/>
      <c r="Y5639" s="40"/>
    </row>
    <row r="5640" spans="24:25" x14ac:dyDescent="0.35">
      <c r="X5640" s="40"/>
      <c r="Y5640" s="40"/>
    </row>
    <row r="5641" spans="24:25" x14ac:dyDescent="0.35">
      <c r="X5641" s="40"/>
      <c r="Y5641" s="40"/>
    </row>
    <row r="5642" spans="24:25" x14ac:dyDescent="0.35">
      <c r="X5642" s="40"/>
      <c r="Y5642" s="40"/>
    </row>
    <row r="5643" spans="24:25" x14ac:dyDescent="0.35">
      <c r="X5643" s="40"/>
      <c r="Y5643" s="40"/>
    </row>
    <row r="5644" spans="24:25" x14ac:dyDescent="0.35">
      <c r="X5644" s="40"/>
      <c r="Y5644" s="40"/>
    </row>
    <row r="5645" spans="24:25" x14ac:dyDescent="0.35">
      <c r="X5645" s="40"/>
      <c r="Y5645" s="40"/>
    </row>
    <row r="5646" spans="24:25" x14ac:dyDescent="0.35">
      <c r="X5646" s="40"/>
      <c r="Y5646" s="40"/>
    </row>
    <row r="5647" spans="24:25" x14ac:dyDescent="0.35">
      <c r="X5647" s="40"/>
      <c r="Y5647" s="40"/>
    </row>
    <row r="5648" spans="24:25" x14ac:dyDescent="0.35">
      <c r="X5648" s="40"/>
      <c r="Y5648" s="40"/>
    </row>
    <row r="5649" spans="24:25" x14ac:dyDescent="0.35">
      <c r="X5649" s="40"/>
      <c r="Y5649" s="40"/>
    </row>
    <row r="5650" spans="24:25" x14ac:dyDescent="0.35">
      <c r="X5650" s="40"/>
      <c r="Y5650" s="40"/>
    </row>
    <row r="5651" spans="24:25" x14ac:dyDescent="0.35">
      <c r="X5651" s="40"/>
      <c r="Y5651" s="40"/>
    </row>
    <row r="5652" spans="24:25" x14ac:dyDescent="0.35">
      <c r="X5652" s="40"/>
      <c r="Y5652" s="40"/>
    </row>
    <row r="5653" spans="24:25" x14ac:dyDescent="0.35">
      <c r="X5653" s="40"/>
      <c r="Y5653" s="40"/>
    </row>
    <row r="5654" spans="24:25" x14ac:dyDescent="0.35">
      <c r="X5654" s="40"/>
      <c r="Y5654" s="40"/>
    </row>
    <row r="5655" spans="24:25" x14ac:dyDescent="0.35">
      <c r="X5655" s="40"/>
      <c r="Y5655" s="40"/>
    </row>
    <row r="5656" spans="24:25" x14ac:dyDescent="0.35">
      <c r="X5656" s="40"/>
      <c r="Y5656" s="40"/>
    </row>
    <row r="5657" spans="24:25" x14ac:dyDescent="0.35">
      <c r="X5657" s="40"/>
      <c r="Y5657" s="40"/>
    </row>
    <row r="5658" spans="24:25" x14ac:dyDescent="0.35">
      <c r="X5658" s="40"/>
      <c r="Y5658" s="40"/>
    </row>
    <row r="5659" spans="24:25" x14ac:dyDescent="0.35">
      <c r="X5659" s="40"/>
      <c r="Y5659" s="40"/>
    </row>
    <row r="5660" spans="24:25" x14ac:dyDescent="0.35">
      <c r="X5660" s="40"/>
      <c r="Y5660" s="40"/>
    </row>
    <row r="5661" spans="24:25" x14ac:dyDescent="0.35">
      <c r="X5661" s="40"/>
      <c r="Y5661" s="40"/>
    </row>
    <row r="5662" spans="24:25" x14ac:dyDescent="0.35">
      <c r="X5662" s="40"/>
      <c r="Y5662" s="40"/>
    </row>
    <row r="5663" spans="24:25" x14ac:dyDescent="0.35">
      <c r="X5663" s="40"/>
      <c r="Y5663" s="40"/>
    </row>
    <row r="5664" spans="24:25" x14ac:dyDescent="0.35">
      <c r="X5664" s="40"/>
      <c r="Y5664" s="40"/>
    </row>
    <row r="5665" spans="24:25" x14ac:dyDescent="0.35">
      <c r="X5665" s="40"/>
      <c r="Y5665" s="40"/>
    </row>
    <row r="5666" spans="24:25" x14ac:dyDescent="0.35">
      <c r="X5666" s="40"/>
      <c r="Y5666" s="40"/>
    </row>
    <row r="5667" spans="24:25" x14ac:dyDescent="0.35">
      <c r="X5667" s="40"/>
      <c r="Y5667" s="40"/>
    </row>
    <row r="5668" spans="24:25" x14ac:dyDescent="0.35">
      <c r="X5668" s="40"/>
      <c r="Y5668" s="40"/>
    </row>
    <row r="5669" spans="24:25" x14ac:dyDescent="0.35">
      <c r="X5669" s="40"/>
      <c r="Y5669" s="40"/>
    </row>
    <row r="5670" spans="24:25" x14ac:dyDescent="0.35">
      <c r="X5670" s="40"/>
      <c r="Y5670" s="40"/>
    </row>
    <row r="5671" spans="24:25" x14ac:dyDescent="0.35">
      <c r="X5671" s="40"/>
      <c r="Y5671" s="40"/>
    </row>
    <row r="5672" spans="24:25" x14ac:dyDescent="0.35">
      <c r="X5672" s="40"/>
      <c r="Y5672" s="40"/>
    </row>
    <row r="5673" spans="24:25" x14ac:dyDescent="0.35">
      <c r="X5673" s="40"/>
      <c r="Y5673" s="40"/>
    </row>
    <row r="5674" spans="24:25" x14ac:dyDescent="0.35">
      <c r="X5674" s="40"/>
      <c r="Y5674" s="40"/>
    </row>
    <row r="5675" spans="24:25" x14ac:dyDescent="0.35">
      <c r="X5675" s="40"/>
      <c r="Y5675" s="40"/>
    </row>
    <row r="5676" spans="24:25" x14ac:dyDescent="0.35">
      <c r="X5676" s="40"/>
      <c r="Y5676" s="40"/>
    </row>
    <row r="5677" spans="24:25" x14ac:dyDescent="0.35">
      <c r="X5677" s="40"/>
      <c r="Y5677" s="40"/>
    </row>
    <row r="5678" spans="24:25" x14ac:dyDescent="0.35">
      <c r="X5678" s="40"/>
      <c r="Y5678" s="40"/>
    </row>
    <row r="5679" spans="24:25" x14ac:dyDescent="0.35">
      <c r="X5679" s="40"/>
      <c r="Y5679" s="40"/>
    </row>
    <row r="5680" spans="24:25" x14ac:dyDescent="0.35">
      <c r="X5680" s="40"/>
      <c r="Y5680" s="40"/>
    </row>
    <row r="5681" spans="24:25" x14ac:dyDescent="0.35">
      <c r="X5681" s="40"/>
      <c r="Y5681" s="40"/>
    </row>
    <row r="5682" spans="24:25" x14ac:dyDescent="0.35">
      <c r="X5682" s="40"/>
      <c r="Y5682" s="40"/>
    </row>
    <row r="5683" spans="24:25" x14ac:dyDescent="0.35">
      <c r="X5683" s="40"/>
      <c r="Y5683" s="40"/>
    </row>
    <row r="5684" spans="24:25" x14ac:dyDescent="0.35">
      <c r="X5684" s="40"/>
      <c r="Y5684" s="40"/>
    </row>
    <row r="5685" spans="24:25" x14ac:dyDescent="0.35">
      <c r="X5685" s="40"/>
      <c r="Y5685" s="40"/>
    </row>
    <row r="5686" spans="24:25" x14ac:dyDescent="0.35">
      <c r="X5686" s="40"/>
      <c r="Y5686" s="40"/>
    </row>
    <row r="5687" spans="24:25" x14ac:dyDescent="0.35">
      <c r="X5687" s="40"/>
      <c r="Y5687" s="40"/>
    </row>
    <row r="5688" spans="24:25" x14ac:dyDescent="0.35">
      <c r="X5688" s="40"/>
      <c r="Y5688" s="40"/>
    </row>
    <row r="5689" spans="24:25" x14ac:dyDescent="0.35">
      <c r="X5689" s="40"/>
      <c r="Y5689" s="40"/>
    </row>
    <row r="5690" spans="24:25" x14ac:dyDescent="0.35">
      <c r="X5690" s="40"/>
      <c r="Y5690" s="40"/>
    </row>
    <row r="5691" spans="24:25" x14ac:dyDescent="0.35">
      <c r="X5691" s="40"/>
      <c r="Y5691" s="40"/>
    </row>
    <row r="5692" spans="24:25" x14ac:dyDescent="0.35">
      <c r="X5692" s="40"/>
      <c r="Y5692" s="40"/>
    </row>
    <row r="5693" spans="24:25" x14ac:dyDescent="0.35">
      <c r="X5693" s="40"/>
      <c r="Y5693" s="40"/>
    </row>
    <row r="5694" spans="24:25" x14ac:dyDescent="0.35">
      <c r="X5694" s="40"/>
      <c r="Y5694" s="40"/>
    </row>
    <row r="5695" spans="24:25" x14ac:dyDescent="0.35">
      <c r="X5695" s="40"/>
      <c r="Y5695" s="40"/>
    </row>
    <row r="5696" spans="24:25" x14ac:dyDescent="0.35">
      <c r="X5696" s="40"/>
      <c r="Y5696" s="40"/>
    </row>
    <row r="5697" spans="24:25" x14ac:dyDescent="0.35">
      <c r="X5697" s="40"/>
      <c r="Y5697" s="40"/>
    </row>
    <row r="5698" spans="24:25" x14ac:dyDescent="0.35">
      <c r="X5698" s="40"/>
      <c r="Y5698" s="40"/>
    </row>
    <row r="5699" spans="24:25" x14ac:dyDescent="0.35">
      <c r="X5699" s="40"/>
      <c r="Y5699" s="40"/>
    </row>
    <row r="5700" spans="24:25" x14ac:dyDescent="0.35">
      <c r="X5700" s="40"/>
      <c r="Y5700" s="40"/>
    </row>
    <row r="5701" spans="24:25" x14ac:dyDescent="0.35">
      <c r="X5701" s="40"/>
      <c r="Y5701" s="40"/>
    </row>
    <row r="5702" spans="24:25" x14ac:dyDescent="0.35">
      <c r="X5702" s="40"/>
      <c r="Y5702" s="40"/>
    </row>
    <row r="5703" spans="24:25" x14ac:dyDescent="0.35">
      <c r="X5703" s="40"/>
      <c r="Y5703" s="40"/>
    </row>
    <row r="5704" spans="24:25" x14ac:dyDescent="0.35">
      <c r="X5704" s="40"/>
      <c r="Y5704" s="40"/>
    </row>
    <row r="5705" spans="24:25" x14ac:dyDescent="0.35">
      <c r="X5705" s="40"/>
      <c r="Y5705" s="40"/>
    </row>
    <row r="5706" spans="24:25" x14ac:dyDescent="0.35">
      <c r="X5706" s="40"/>
      <c r="Y5706" s="40"/>
    </row>
    <row r="5707" spans="24:25" x14ac:dyDescent="0.35">
      <c r="X5707" s="40"/>
      <c r="Y5707" s="40"/>
    </row>
    <row r="5708" spans="24:25" x14ac:dyDescent="0.35">
      <c r="X5708" s="40"/>
      <c r="Y5708" s="40"/>
    </row>
    <row r="5709" spans="24:25" x14ac:dyDescent="0.35">
      <c r="X5709" s="40"/>
      <c r="Y5709" s="40"/>
    </row>
    <row r="5710" spans="24:25" x14ac:dyDescent="0.35">
      <c r="X5710" s="40"/>
      <c r="Y5710" s="40"/>
    </row>
    <row r="5711" spans="24:25" x14ac:dyDescent="0.35">
      <c r="X5711" s="40"/>
      <c r="Y5711" s="40"/>
    </row>
    <row r="5712" spans="24:25" x14ac:dyDescent="0.35">
      <c r="X5712" s="40"/>
      <c r="Y5712" s="40"/>
    </row>
    <row r="5713" spans="24:25" x14ac:dyDescent="0.35">
      <c r="X5713" s="40"/>
      <c r="Y5713" s="40"/>
    </row>
    <row r="5714" spans="24:25" x14ac:dyDescent="0.35">
      <c r="X5714" s="40"/>
      <c r="Y5714" s="40"/>
    </row>
    <row r="5715" spans="24:25" x14ac:dyDescent="0.35">
      <c r="X5715" s="40"/>
      <c r="Y5715" s="40"/>
    </row>
    <row r="5716" spans="24:25" x14ac:dyDescent="0.35">
      <c r="X5716" s="40"/>
      <c r="Y5716" s="40"/>
    </row>
    <row r="5717" spans="24:25" x14ac:dyDescent="0.35">
      <c r="X5717" s="40"/>
      <c r="Y5717" s="40"/>
    </row>
    <row r="5718" spans="24:25" x14ac:dyDescent="0.35">
      <c r="X5718" s="40"/>
      <c r="Y5718" s="40"/>
    </row>
    <row r="5719" spans="24:25" x14ac:dyDescent="0.35">
      <c r="X5719" s="40"/>
      <c r="Y5719" s="40"/>
    </row>
    <row r="5720" spans="24:25" x14ac:dyDescent="0.35">
      <c r="X5720" s="40"/>
      <c r="Y5720" s="40"/>
    </row>
    <row r="5721" spans="24:25" x14ac:dyDescent="0.35">
      <c r="X5721" s="40"/>
      <c r="Y5721" s="40"/>
    </row>
    <row r="5722" spans="24:25" x14ac:dyDescent="0.35">
      <c r="X5722" s="40"/>
      <c r="Y5722" s="40"/>
    </row>
    <row r="5723" spans="24:25" x14ac:dyDescent="0.35">
      <c r="X5723" s="40"/>
      <c r="Y5723" s="40"/>
    </row>
    <row r="5724" spans="24:25" x14ac:dyDescent="0.35">
      <c r="X5724" s="40"/>
      <c r="Y5724" s="40"/>
    </row>
    <row r="5725" spans="24:25" x14ac:dyDescent="0.35">
      <c r="X5725" s="40"/>
      <c r="Y5725" s="40"/>
    </row>
    <row r="5726" spans="24:25" x14ac:dyDescent="0.35">
      <c r="X5726" s="40"/>
      <c r="Y5726" s="40"/>
    </row>
    <row r="5727" spans="24:25" x14ac:dyDescent="0.35">
      <c r="X5727" s="40"/>
      <c r="Y5727" s="40"/>
    </row>
    <row r="5728" spans="24:25" x14ac:dyDescent="0.35">
      <c r="X5728" s="40"/>
      <c r="Y5728" s="40"/>
    </row>
    <row r="5729" spans="24:25" x14ac:dyDescent="0.35">
      <c r="X5729" s="40"/>
      <c r="Y5729" s="40"/>
    </row>
    <row r="5730" spans="24:25" x14ac:dyDescent="0.35">
      <c r="X5730" s="40"/>
      <c r="Y5730" s="40"/>
    </row>
    <row r="5731" spans="24:25" x14ac:dyDescent="0.35">
      <c r="X5731" s="40"/>
      <c r="Y5731" s="40"/>
    </row>
    <row r="5732" spans="24:25" x14ac:dyDescent="0.35">
      <c r="X5732" s="40"/>
      <c r="Y5732" s="40"/>
    </row>
    <row r="5733" spans="24:25" x14ac:dyDescent="0.35">
      <c r="X5733" s="40"/>
      <c r="Y5733" s="40"/>
    </row>
    <row r="5734" spans="24:25" x14ac:dyDescent="0.35">
      <c r="X5734" s="40"/>
      <c r="Y5734" s="40"/>
    </row>
    <row r="5735" spans="24:25" x14ac:dyDescent="0.35">
      <c r="X5735" s="40"/>
      <c r="Y5735" s="40"/>
    </row>
    <row r="5736" spans="24:25" x14ac:dyDescent="0.35">
      <c r="X5736" s="40"/>
      <c r="Y5736" s="40"/>
    </row>
    <row r="5737" spans="24:25" x14ac:dyDescent="0.35">
      <c r="X5737" s="40"/>
      <c r="Y5737" s="40"/>
    </row>
    <row r="5738" spans="24:25" x14ac:dyDescent="0.35">
      <c r="X5738" s="40"/>
      <c r="Y5738" s="40"/>
    </row>
    <row r="5739" spans="24:25" x14ac:dyDescent="0.35">
      <c r="X5739" s="40"/>
      <c r="Y5739" s="40"/>
    </row>
    <row r="5740" spans="24:25" x14ac:dyDescent="0.35">
      <c r="X5740" s="40"/>
      <c r="Y5740" s="40"/>
    </row>
    <row r="5741" spans="24:25" x14ac:dyDescent="0.35">
      <c r="X5741" s="40"/>
      <c r="Y5741" s="40"/>
    </row>
    <row r="5742" spans="24:25" x14ac:dyDescent="0.35">
      <c r="X5742" s="40"/>
      <c r="Y5742" s="40"/>
    </row>
    <row r="5743" spans="24:25" x14ac:dyDescent="0.35">
      <c r="X5743" s="40"/>
      <c r="Y5743" s="40"/>
    </row>
    <row r="5744" spans="24:25" x14ac:dyDescent="0.35">
      <c r="X5744" s="40"/>
      <c r="Y5744" s="40"/>
    </row>
    <row r="5745" spans="24:25" x14ac:dyDescent="0.35">
      <c r="X5745" s="40"/>
      <c r="Y5745" s="40"/>
    </row>
    <row r="5746" spans="24:25" x14ac:dyDescent="0.35">
      <c r="X5746" s="40"/>
      <c r="Y5746" s="40"/>
    </row>
    <row r="5747" spans="24:25" x14ac:dyDescent="0.35">
      <c r="X5747" s="40"/>
      <c r="Y5747" s="40"/>
    </row>
    <row r="5748" spans="24:25" x14ac:dyDescent="0.35">
      <c r="X5748" s="40"/>
      <c r="Y5748" s="40"/>
    </row>
    <row r="5749" spans="24:25" x14ac:dyDescent="0.35">
      <c r="X5749" s="40"/>
      <c r="Y5749" s="40"/>
    </row>
    <row r="5750" spans="24:25" x14ac:dyDescent="0.35">
      <c r="X5750" s="40"/>
      <c r="Y5750" s="40"/>
    </row>
    <row r="5751" spans="24:25" x14ac:dyDescent="0.35">
      <c r="X5751" s="40"/>
      <c r="Y5751" s="40"/>
    </row>
    <row r="5752" spans="24:25" x14ac:dyDescent="0.35">
      <c r="X5752" s="40"/>
      <c r="Y5752" s="40"/>
    </row>
    <row r="5753" spans="24:25" x14ac:dyDescent="0.35">
      <c r="X5753" s="40"/>
      <c r="Y5753" s="40"/>
    </row>
    <row r="5754" spans="24:25" x14ac:dyDescent="0.35">
      <c r="X5754" s="40"/>
      <c r="Y5754" s="40"/>
    </row>
    <row r="5755" spans="24:25" x14ac:dyDescent="0.35">
      <c r="X5755" s="40"/>
      <c r="Y5755" s="40"/>
    </row>
    <row r="5756" spans="24:25" x14ac:dyDescent="0.35">
      <c r="X5756" s="40"/>
      <c r="Y5756" s="40"/>
    </row>
    <row r="5757" spans="24:25" x14ac:dyDescent="0.35">
      <c r="X5757" s="40"/>
      <c r="Y5757" s="40"/>
    </row>
    <row r="5758" spans="24:25" x14ac:dyDescent="0.35">
      <c r="X5758" s="40"/>
      <c r="Y5758" s="40"/>
    </row>
    <row r="5759" spans="24:25" x14ac:dyDescent="0.35">
      <c r="X5759" s="40"/>
      <c r="Y5759" s="40"/>
    </row>
    <row r="5760" spans="24:25" x14ac:dyDescent="0.35">
      <c r="X5760" s="40"/>
      <c r="Y5760" s="40"/>
    </row>
    <row r="5761" spans="24:25" x14ac:dyDescent="0.35">
      <c r="X5761" s="40"/>
      <c r="Y5761" s="40"/>
    </row>
    <row r="5762" spans="24:25" x14ac:dyDescent="0.35">
      <c r="X5762" s="40"/>
      <c r="Y5762" s="40"/>
    </row>
    <row r="5763" spans="24:25" x14ac:dyDescent="0.35">
      <c r="X5763" s="40"/>
      <c r="Y5763" s="40"/>
    </row>
    <row r="5764" spans="24:25" x14ac:dyDescent="0.35">
      <c r="X5764" s="40"/>
      <c r="Y5764" s="40"/>
    </row>
    <row r="5765" spans="24:25" x14ac:dyDescent="0.35">
      <c r="X5765" s="40"/>
      <c r="Y5765" s="40"/>
    </row>
    <row r="5766" spans="24:25" x14ac:dyDescent="0.35">
      <c r="X5766" s="40"/>
      <c r="Y5766" s="40"/>
    </row>
    <row r="5767" spans="24:25" x14ac:dyDescent="0.35">
      <c r="X5767" s="40"/>
      <c r="Y5767" s="40"/>
    </row>
    <row r="5768" spans="24:25" x14ac:dyDescent="0.35">
      <c r="X5768" s="40"/>
      <c r="Y5768" s="40"/>
    </row>
    <row r="5769" spans="24:25" x14ac:dyDescent="0.35">
      <c r="X5769" s="40"/>
      <c r="Y5769" s="40"/>
    </row>
    <row r="5770" spans="24:25" x14ac:dyDescent="0.35">
      <c r="X5770" s="40"/>
      <c r="Y5770" s="40"/>
    </row>
    <row r="5771" spans="24:25" x14ac:dyDescent="0.35">
      <c r="X5771" s="40"/>
      <c r="Y5771" s="40"/>
    </row>
    <row r="5772" spans="24:25" x14ac:dyDescent="0.35">
      <c r="X5772" s="40"/>
      <c r="Y5772" s="40"/>
    </row>
    <row r="5773" spans="24:25" x14ac:dyDescent="0.35">
      <c r="X5773" s="40"/>
      <c r="Y5773" s="40"/>
    </row>
    <row r="5774" spans="24:25" x14ac:dyDescent="0.35">
      <c r="X5774" s="40"/>
      <c r="Y5774" s="40"/>
    </row>
    <row r="5775" spans="24:25" x14ac:dyDescent="0.35">
      <c r="X5775" s="40"/>
      <c r="Y5775" s="40"/>
    </row>
    <row r="5776" spans="24:25" x14ac:dyDescent="0.35">
      <c r="X5776" s="40"/>
      <c r="Y5776" s="40"/>
    </row>
    <row r="5777" spans="24:25" x14ac:dyDescent="0.35">
      <c r="X5777" s="40"/>
      <c r="Y5777" s="40"/>
    </row>
    <row r="5778" spans="24:25" x14ac:dyDescent="0.35">
      <c r="X5778" s="40"/>
      <c r="Y5778" s="40"/>
    </row>
    <row r="5779" spans="24:25" x14ac:dyDescent="0.35">
      <c r="X5779" s="40"/>
      <c r="Y5779" s="40"/>
    </row>
    <row r="5780" spans="24:25" x14ac:dyDescent="0.35">
      <c r="X5780" s="40"/>
      <c r="Y5780" s="40"/>
    </row>
    <row r="5781" spans="24:25" x14ac:dyDescent="0.35">
      <c r="X5781" s="40"/>
      <c r="Y5781" s="40"/>
    </row>
    <row r="5782" spans="24:25" x14ac:dyDescent="0.35">
      <c r="X5782" s="40"/>
      <c r="Y5782" s="40"/>
    </row>
    <row r="5783" spans="24:25" x14ac:dyDescent="0.35">
      <c r="X5783" s="40"/>
      <c r="Y5783" s="40"/>
    </row>
    <row r="5784" spans="24:25" x14ac:dyDescent="0.35">
      <c r="X5784" s="40"/>
      <c r="Y5784" s="40"/>
    </row>
    <row r="5785" spans="24:25" x14ac:dyDescent="0.35">
      <c r="X5785" s="40"/>
      <c r="Y5785" s="40"/>
    </row>
    <row r="5786" spans="24:25" x14ac:dyDescent="0.35">
      <c r="X5786" s="40"/>
      <c r="Y5786" s="40"/>
    </row>
    <row r="5787" spans="24:25" x14ac:dyDescent="0.35">
      <c r="X5787" s="40"/>
      <c r="Y5787" s="40"/>
    </row>
    <row r="5788" spans="24:25" x14ac:dyDescent="0.35">
      <c r="X5788" s="40"/>
      <c r="Y5788" s="40"/>
    </row>
    <row r="5789" spans="24:25" x14ac:dyDescent="0.35">
      <c r="X5789" s="40"/>
      <c r="Y5789" s="40"/>
    </row>
    <row r="5790" spans="24:25" x14ac:dyDescent="0.35">
      <c r="X5790" s="40"/>
      <c r="Y5790" s="40"/>
    </row>
    <row r="5791" spans="24:25" x14ac:dyDescent="0.35">
      <c r="X5791" s="40"/>
      <c r="Y5791" s="40"/>
    </row>
    <row r="5792" spans="24:25" x14ac:dyDescent="0.35">
      <c r="X5792" s="40"/>
      <c r="Y5792" s="40"/>
    </row>
    <row r="5793" spans="24:25" x14ac:dyDescent="0.35">
      <c r="X5793" s="40"/>
      <c r="Y5793" s="40"/>
    </row>
    <row r="5794" spans="24:25" x14ac:dyDescent="0.35">
      <c r="X5794" s="40"/>
      <c r="Y5794" s="40"/>
    </row>
    <row r="5795" spans="24:25" x14ac:dyDescent="0.35">
      <c r="X5795" s="40"/>
      <c r="Y5795" s="40"/>
    </row>
    <row r="5796" spans="24:25" x14ac:dyDescent="0.35">
      <c r="X5796" s="40"/>
      <c r="Y5796" s="40"/>
    </row>
    <row r="5797" spans="24:25" x14ac:dyDescent="0.35">
      <c r="X5797" s="40"/>
      <c r="Y5797" s="40"/>
    </row>
    <row r="5798" spans="24:25" x14ac:dyDescent="0.35">
      <c r="X5798" s="40"/>
      <c r="Y5798" s="40"/>
    </row>
    <row r="5799" spans="24:25" x14ac:dyDescent="0.35">
      <c r="X5799" s="40"/>
      <c r="Y5799" s="40"/>
    </row>
    <row r="5800" spans="24:25" x14ac:dyDescent="0.35">
      <c r="X5800" s="40"/>
      <c r="Y5800" s="40"/>
    </row>
    <row r="5801" spans="24:25" x14ac:dyDescent="0.35">
      <c r="X5801" s="40"/>
      <c r="Y5801" s="40"/>
    </row>
    <row r="5802" spans="24:25" x14ac:dyDescent="0.35">
      <c r="X5802" s="40"/>
      <c r="Y5802" s="40"/>
    </row>
    <row r="5803" spans="24:25" x14ac:dyDescent="0.35">
      <c r="X5803" s="40"/>
      <c r="Y5803" s="40"/>
    </row>
    <row r="5804" spans="24:25" x14ac:dyDescent="0.35">
      <c r="X5804" s="40"/>
      <c r="Y5804" s="40"/>
    </row>
    <row r="5805" spans="24:25" x14ac:dyDescent="0.35">
      <c r="X5805" s="40"/>
      <c r="Y5805" s="40"/>
    </row>
    <row r="5806" spans="24:25" x14ac:dyDescent="0.35">
      <c r="X5806" s="40"/>
      <c r="Y5806" s="40"/>
    </row>
    <row r="5807" spans="24:25" x14ac:dyDescent="0.35">
      <c r="X5807" s="40"/>
      <c r="Y5807" s="40"/>
    </row>
    <row r="5808" spans="24:25" x14ac:dyDescent="0.35">
      <c r="X5808" s="40"/>
      <c r="Y5808" s="40"/>
    </row>
    <row r="5809" spans="24:25" x14ac:dyDescent="0.35">
      <c r="X5809" s="40"/>
      <c r="Y5809" s="40"/>
    </row>
    <row r="5810" spans="24:25" x14ac:dyDescent="0.35">
      <c r="X5810" s="40"/>
      <c r="Y5810" s="40"/>
    </row>
    <row r="5811" spans="24:25" x14ac:dyDescent="0.35">
      <c r="X5811" s="40"/>
      <c r="Y5811" s="40"/>
    </row>
    <row r="5812" spans="24:25" x14ac:dyDescent="0.35">
      <c r="X5812" s="40"/>
      <c r="Y5812" s="40"/>
    </row>
    <row r="5813" spans="24:25" x14ac:dyDescent="0.35">
      <c r="X5813" s="40"/>
      <c r="Y5813" s="40"/>
    </row>
    <row r="5814" spans="24:25" x14ac:dyDescent="0.35">
      <c r="X5814" s="40"/>
      <c r="Y5814" s="40"/>
    </row>
    <row r="5815" spans="24:25" x14ac:dyDescent="0.35">
      <c r="X5815" s="40"/>
      <c r="Y5815" s="40"/>
    </row>
    <row r="5816" spans="24:25" x14ac:dyDescent="0.35">
      <c r="X5816" s="40"/>
      <c r="Y5816" s="40"/>
    </row>
    <row r="5817" spans="24:25" x14ac:dyDescent="0.35">
      <c r="X5817" s="40"/>
      <c r="Y5817" s="40"/>
    </row>
    <row r="5818" spans="24:25" x14ac:dyDescent="0.35">
      <c r="X5818" s="40"/>
      <c r="Y5818" s="40"/>
    </row>
    <row r="5819" spans="24:25" x14ac:dyDescent="0.35">
      <c r="X5819" s="40"/>
      <c r="Y5819" s="40"/>
    </row>
    <row r="5820" spans="24:25" x14ac:dyDescent="0.35">
      <c r="X5820" s="40"/>
      <c r="Y5820" s="40"/>
    </row>
    <row r="5821" spans="24:25" x14ac:dyDescent="0.35">
      <c r="X5821" s="40"/>
      <c r="Y5821" s="40"/>
    </row>
    <row r="5822" spans="24:25" x14ac:dyDescent="0.35">
      <c r="X5822" s="40"/>
      <c r="Y5822" s="40"/>
    </row>
    <row r="5823" spans="24:25" x14ac:dyDescent="0.35">
      <c r="X5823" s="40"/>
      <c r="Y5823" s="40"/>
    </row>
    <row r="5824" spans="24:25" x14ac:dyDescent="0.35">
      <c r="X5824" s="40"/>
      <c r="Y5824" s="40"/>
    </row>
    <row r="5825" spans="24:25" x14ac:dyDescent="0.35">
      <c r="X5825" s="40"/>
      <c r="Y5825" s="40"/>
    </row>
    <row r="5826" spans="24:25" x14ac:dyDescent="0.35">
      <c r="X5826" s="40"/>
      <c r="Y5826" s="40"/>
    </row>
    <row r="5827" spans="24:25" x14ac:dyDescent="0.35">
      <c r="X5827" s="40"/>
      <c r="Y5827" s="40"/>
    </row>
    <row r="5828" spans="24:25" x14ac:dyDescent="0.35">
      <c r="X5828" s="40"/>
      <c r="Y5828" s="40"/>
    </row>
    <row r="5829" spans="24:25" x14ac:dyDescent="0.35">
      <c r="X5829" s="40"/>
      <c r="Y5829" s="40"/>
    </row>
    <row r="5830" spans="24:25" x14ac:dyDescent="0.35">
      <c r="X5830" s="40"/>
      <c r="Y5830" s="40"/>
    </row>
    <row r="5831" spans="24:25" x14ac:dyDescent="0.35">
      <c r="X5831" s="40"/>
      <c r="Y5831" s="40"/>
    </row>
    <row r="5832" spans="24:25" x14ac:dyDescent="0.35">
      <c r="X5832" s="40"/>
      <c r="Y5832" s="40"/>
    </row>
    <row r="5833" spans="24:25" x14ac:dyDescent="0.35">
      <c r="X5833" s="40"/>
      <c r="Y5833" s="40"/>
    </row>
    <row r="5834" spans="24:25" x14ac:dyDescent="0.35">
      <c r="X5834" s="40"/>
      <c r="Y5834" s="40"/>
    </row>
    <row r="5835" spans="24:25" x14ac:dyDescent="0.35">
      <c r="X5835" s="40"/>
      <c r="Y5835" s="40"/>
    </row>
    <row r="5836" spans="24:25" x14ac:dyDescent="0.35">
      <c r="X5836" s="40"/>
      <c r="Y5836" s="40"/>
    </row>
    <row r="5837" spans="24:25" x14ac:dyDescent="0.35">
      <c r="X5837" s="40"/>
      <c r="Y5837" s="40"/>
    </row>
    <row r="5838" spans="24:25" x14ac:dyDescent="0.35">
      <c r="X5838" s="40"/>
      <c r="Y5838" s="40"/>
    </row>
    <row r="5839" spans="24:25" x14ac:dyDescent="0.35">
      <c r="X5839" s="40"/>
      <c r="Y5839" s="40"/>
    </row>
    <row r="5840" spans="24:25" x14ac:dyDescent="0.35">
      <c r="X5840" s="40"/>
      <c r="Y5840" s="40"/>
    </row>
    <row r="5841" spans="24:25" x14ac:dyDescent="0.35">
      <c r="X5841" s="40"/>
      <c r="Y5841" s="40"/>
    </row>
    <row r="5842" spans="24:25" x14ac:dyDescent="0.35">
      <c r="X5842" s="40"/>
      <c r="Y5842" s="40"/>
    </row>
    <row r="5843" spans="24:25" x14ac:dyDescent="0.35">
      <c r="X5843" s="40"/>
      <c r="Y5843" s="40"/>
    </row>
    <row r="5844" spans="24:25" x14ac:dyDescent="0.35">
      <c r="X5844" s="40"/>
      <c r="Y5844" s="40"/>
    </row>
    <row r="5845" spans="24:25" x14ac:dyDescent="0.35">
      <c r="X5845" s="40"/>
      <c r="Y5845" s="40"/>
    </row>
    <row r="5846" spans="24:25" x14ac:dyDescent="0.35">
      <c r="X5846" s="40"/>
      <c r="Y5846" s="40"/>
    </row>
    <row r="5847" spans="24:25" x14ac:dyDescent="0.35">
      <c r="X5847" s="40"/>
      <c r="Y5847" s="40"/>
    </row>
    <row r="5848" spans="24:25" x14ac:dyDescent="0.35">
      <c r="X5848" s="40"/>
      <c r="Y5848" s="40"/>
    </row>
    <row r="5849" spans="24:25" x14ac:dyDescent="0.35">
      <c r="X5849" s="40"/>
      <c r="Y5849" s="40"/>
    </row>
    <row r="5850" spans="24:25" x14ac:dyDescent="0.35">
      <c r="X5850" s="40"/>
      <c r="Y5850" s="40"/>
    </row>
    <row r="5851" spans="24:25" x14ac:dyDescent="0.35">
      <c r="X5851" s="40"/>
      <c r="Y5851" s="40"/>
    </row>
    <row r="5852" spans="24:25" x14ac:dyDescent="0.35">
      <c r="X5852" s="40"/>
      <c r="Y5852" s="40"/>
    </row>
    <row r="5853" spans="24:25" x14ac:dyDescent="0.35">
      <c r="X5853" s="40"/>
      <c r="Y5853" s="40"/>
    </row>
    <row r="5854" spans="24:25" x14ac:dyDescent="0.35">
      <c r="X5854" s="40"/>
      <c r="Y5854" s="40"/>
    </row>
    <row r="5855" spans="24:25" x14ac:dyDescent="0.35">
      <c r="X5855" s="40"/>
      <c r="Y5855" s="40"/>
    </row>
    <row r="5856" spans="24:25" x14ac:dyDescent="0.35">
      <c r="X5856" s="40"/>
      <c r="Y5856" s="40"/>
    </row>
    <row r="5857" spans="24:25" x14ac:dyDescent="0.35">
      <c r="X5857" s="40"/>
      <c r="Y5857" s="40"/>
    </row>
    <row r="5858" spans="24:25" x14ac:dyDescent="0.35">
      <c r="X5858" s="40"/>
      <c r="Y5858" s="40"/>
    </row>
    <row r="5859" spans="24:25" x14ac:dyDescent="0.35">
      <c r="X5859" s="40"/>
      <c r="Y5859" s="40"/>
    </row>
    <row r="5860" spans="24:25" x14ac:dyDescent="0.35">
      <c r="X5860" s="40"/>
      <c r="Y5860" s="40"/>
    </row>
    <row r="5861" spans="24:25" x14ac:dyDescent="0.35">
      <c r="X5861" s="40"/>
      <c r="Y5861" s="40"/>
    </row>
    <row r="5862" spans="24:25" x14ac:dyDescent="0.35">
      <c r="X5862" s="40"/>
      <c r="Y5862" s="40"/>
    </row>
    <row r="5863" spans="24:25" x14ac:dyDescent="0.35">
      <c r="X5863" s="40"/>
      <c r="Y5863" s="40"/>
    </row>
    <row r="5864" spans="24:25" x14ac:dyDescent="0.35">
      <c r="X5864" s="40"/>
      <c r="Y5864" s="40"/>
    </row>
    <row r="5865" spans="24:25" x14ac:dyDescent="0.35">
      <c r="X5865" s="40"/>
      <c r="Y5865" s="40"/>
    </row>
    <row r="5866" spans="24:25" x14ac:dyDescent="0.35">
      <c r="X5866" s="40"/>
      <c r="Y5866" s="40"/>
    </row>
    <row r="5867" spans="24:25" x14ac:dyDescent="0.35">
      <c r="X5867" s="40"/>
      <c r="Y5867" s="40"/>
    </row>
    <row r="5868" spans="24:25" x14ac:dyDescent="0.35">
      <c r="X5868" s="40"/>
      <c r="Y5868" s="40"/>
    </row>
    <row r="5869" spans="24:25" x14ac:dyDescent="0.35">
      <c r="X5869" s="40"/>
      <c r="Y5869" s="40"/>
    </row>
    <row r="5870" spans="24:25" x14ac:dyDescent="0.35">
      <c r="X5870" s="40"/>
      <c r="Y5870" s="40"/>
    </row>
    <row r="5871" spans="24:25" x14ac:dyDescent="0.35">
      <c r="X5871" s="40"/>
      <c r="Y5871" s="40"/>
    </row>
    <row r="5872" spans="24:25" x14ac:dyDescent="0.35">
      <c r="X5872" s="40"/>
      <c r="Y5872" s="40"/>
    </row>
    <row r="5873" spans="24:25" x14ac:dyDescent="0.35">
      <c r="X5873" s="40"/>
      <c r="Y5873" s="40"/>
    </row>
    <row r="5874" spans="24:25" x14ac:dyDescent="0.35">
      <c r="X5874" s="40"/>
      <c r="Y5874" s="40"/>
    </row>
    <row r="5875" spans="24:25" x14ac:dyDescent="0.35">
      <c r="X5875" s="40"/>
      <c r="Y5875" s="40"/>
    </row>
    <row r="5876" spans="24:25" x14ac:dyDescent="0.35">
      <c r="X5876" s="40"/>
      <c r="Y5876" s="40"/>
    </row>
    <row r="5877" spans="24:25" x14ac:dyDescent="0.35">
      <c r="X5877" s="40"/>
      <c r="Y5877" s="40"/>
    </row>
    <row r="5878" spans="24:25" x14ac:dyDescent="0.35">
      <c r="X5878" s="40"/>
      <c r="Y5878" s="40"/>
    </row>
    <row r="5879" spans="24:25" x14ac:dyDescent="0.35">
      <c r="X5879" s="40"/>
      <c r="Y5879" s="40"/>
    </row>
    <row r="5880" spans="24:25" x14ac:dyDescent="0.35">
      <c r="X5880" s="40"/>
      <c r="Y5880" s="40"/>
    </row>
    <row r="5881" spans="24:25" x14ac:dyDescent="0.35">
      <c r="X5881" s="40"/>
      <c r="Y5881" s="40"/>
    </row>
    <row r="5882" spans="24:25" x14ac:dyDescent="0.35">
      <c r="X5882" s="40"/>
      <c r="Y5882" s="40"/>
    </row>
    <row r="5883" spans="24:25" x14ac:dyDescent="0.35">
      <c r="X5883" s="40"/>
      <c r="Y5883" s="40"/>
    </row>
    <row r="5884" spans="24:25" x14ac:dyDescent="0.35">
      <c r="X5884" s="40"/>
      <c r="Y5884" s="40"/>
    </row>
    <row r="5885" spans="24:25" x14ac:dyDescent="0.35">
      <c r="X5885" s="40"/>
      <c r="Y5885" s="40"/>
    </row>
    <row r="5886" spans="24:25" x14ac:dyDescent="0.35">
      <c r="X5886" s="40"/>
      <c r="Y5886" s="40"/>
    </row>
    <row r="5887" spans="24:25" x14ac:dyDescent="0.35">
      <c r="X5887" s="40"/>
      <c r="Y5887" s="40"/>
    </row>
    <row r="5888" spans="24:25" x14ac:dyDescent="0.35">
      <c r="X5888" s="40"/>
      <c r="Y5888" s="40"/>
    </row>
    <row r="5889" spans="24:25" x14ac:dyDescent="0.35">
      <c r="X5889" s="40"/>
      <c r="Y5889" s="40"/>
    </row>
    <row r="5890" spans="24:25" x14ac:dyDescent="0.35">
      <c r="X5890" s="40"/>
      <c r="Y5890" s="40"/>
    </row>
    <row r="5891" spans="24:25" x14ac:dyDescent="0.35">
      <c r="X5891" s="40"/>
      <c r="Y5891" s="40"/>
    </row>
    <row r="5892" spans="24:25" x14ac:dyDescent="0.35">
      <c r="X5892" s="40"/>
      <c r="Y5892" s="40"/>
    </row>
    <row r="5893" spans="24:25" x14ac:dyDescent="0.35">
      <c r="X5893" s="40"/>
      <c r="Y5893" s="40"/>
    </row>
    <row r="5894" spans="24:25" x14ac:dyDescent="0.35">
      <c r="X5894" s="40"/>
      <c r="Y5894" s="40"/>
    </row>
    <row r="5895" spans="24:25" x14ac:dyDescent="0.35">
      <c r="X5895" s="40"/>
      <c r="Y5895" s="40"/>
    </row>
    <row r="5896" spans="24:25" x14ac:dyDescent="0.35">
      <c r="X5896" s="40"/>
      <c r="Y5896" s="40"/>
    </row>
    <row r="5897" spans="24:25" x14ac:dyDescent="0.35">
      <c r="X5897" s="40"/>
      <c r="Y5897" s="40"/>
    </row>
    <row r="5898" spans="24:25" x14ac:dyDescent="0.35">
      <c r="X5898" s="40"/>
      <c r="Y5898" s="40"/>
    </row>
    <row r="5899" spans="24:25" x14ac:dyDescent="0.35">
      <c r="X5899" s="40"/>
      <c r="Y5899" s="40"/>
    </row>
    <row r="5900" spans="24:25" x14ac:dyDescent="0.35">
      <c r="X5900" s="40"/>
      <c r="Y5900" s="40"/>
    </row>
    <row r="5901" spans="24:25" x14ac:dyDescent="0.35">
      <c r="X5901" s="40"/>
      <c r="Y5901" s="40"/>
    </row>
    <row r="5902" spans="24:25" x14ac:dyDescent="0.35">
      <c r="X5902" s="40"/>
      <c r="Y5902" s="40"/>
    </row>
    <row r="5903" spans="24:25" x14ac:dyDescent="0.35">
      <c r="X5903" s="40"/>
      <c r="Y5903" s="40"/>
    </row>
    <row r="5904" spans="24:25" x14ac:dyDescent="0.35">
      <c r="X5904" s="40"/>
      <c r="Y5904" s="40"/>
    </row>
    <row r="5905" spans="24:25" x14ac:dyDescent="0.35">
      <c r="X5905" s="40"/>
      <c r="Y5905" s="40"/>
    </row>
    <row r="5906" spans="24:25" x14ac:dyDescent="0.35">
      <c r="X5906" s="40"/>
      <c r="Y5906" s="40"/>
    </row>
    <row r="5907" spans="24:25" x14ac:dyDescent="0.35">
      <c r="X5907" s="40"/>
      <c r="Y5907" s="40"/>
    </row>
    <row r="5908" spans="24:25" x14ac:dyDescent="0.35">
      <c r="X5908" s="40"/>
      <c r="Y5908" s="40"/>
    </row>
    <row r="5909" spans="24:25" x14ac:dyDescent="0.35">
      <c r="X5909" s="40"/>
      <c r="Y5909" s="40"/>
    </row>
    <row r="5910" spans="24:25" x14ac:dyDescent="0.35">
      <c r="X5910" s="40"/>
      <c r="Y5910" s="40"/>
    </row>
    <row r="5911" spans="24:25" x14ac:dyDescent="0.35">
      <c r="X5911" s="40"/>
      <c r="Y5911" s="40"/>
    </row>
    <row r="5912" spans="24:25" x14ac:dyDescent="0.35">
      <c r="X5912" s="40"/>
      <c r="Y5912" s="40"/>
    </row>
    <row r="5913" spans="24:25" x14ac:dyDescent="0.35">
      <c r="X5913" s="40"/>
      <c r="Y5913" s="40"/>
    </row>
    <row r="5914" spans="24:25" x14ac:dyDescent="0.35">
      <c r="X5914" s="40"/>
      <c r="Y5914" s="40"/>
    </row>
    <row r="5915" spans="24:25" x14ac:dyDescent="0.35">
      <c r="X5915" s="40"/>
      <c r="Y5915" s="40"/>
    </row>
    <row r="5916" spans="24:25" x14ac:dyDescent="0.35">
      <c r="X5916" s="40"/>
      <c r="Y5916" s="40"/>
    </row>
    <row r="5917" spans="24:25" x14ac:dyDescent="0.35">
      <c r="X5917" s="40"/>
      <c r="Y5917" s="40"/>
    </row>
    <row r="5918" spans="24:25" x14ac:dyDescent="0.35">
      <c r="X5918" s="40"/>
      <c r="Y5918" s="40"/>
    </row>
    <row r="5919" spans="24:25" x14ac:dyDescent="0.35">
      <c r="X5919" s="40"/>
      <c r="Y5919" s="40"/>
    </row>
    <row r="5920" spans="24:25" x14ac:dyDescent="0.35">
      <c r="X5920" s="40"/>
      <c r="Y5920" s="40"/>
    </row>
    <row r="5921" spans="24:25" x14ac:dyDescent="0.35">
      <c r="X5921" s="40"/>
      <c r="Y5921" s="40"/>
    </row>
    <row r="5922" spans="24:25" x14ac:dyDescent="0.35">
      <c r="X5922" s="40"/>
      <c r="Y5922" s="40"/>
    </row>
    <row r="5923" spans="24:25" x14ac:dyDescent="0.35">
      <c r="X5923" s="40"/>
      <c r="Y5923" s="40"/>
    </row>
    <row r="5924" spans="24:25" x14ac:dyDescent="0.35">
      <c r="X5924" s="40"/>
      <c r="Y5924" s="40"/>
    </row>
    <row r="5925" spans="24:25" x14ac:dyDescent="0.35">
      <c r="X5925" s="40"/>
      <c r="Y5925" s="40"/>
    </row>
    <row r="5926" spans="24:25" x14ac:dyDescent="0.35">
      <c r="X5926" s="40"/>
      <c r="Y5926" s="40"/>
    </row>
    <row r="5927" spans="24:25" x14ac:dyDescent="0.35">
      <c r="X5927" s="40"/>
      <c r="Y5927" s="40"/>
    </row>
    <row r="5928" spans="24:25" x14ac:dyDescent="0.35">
      <c r="X5928" s="40"/>
      <c r="Y5928" s="40"/>
    </row>
    <row r="5929" spans="24:25" x14ac:dyDescent="0.35">
      <c r="X5929" s="40"/>
      <c r="Y5929" s="40"/>
    </row>
    <row r="5930" spans="24:25" x14ac:dyDescent="0.35">
      <c r="X5930" s="40"/>
      <c r="Y5930" s="40"/>
    </row>
    <row r="5931" spans="24:25" x14ac:dyDescent="0.35">
      <c r="X5931" s="40"/>
      <c r="Y5931" s="40"/>
    </row>
    <row r="5932" spans="24:25" x14ac:dyDescent="0.35">
      <c r="X5932" s="40"/>
      <c r="Y5932" s="40"/>
    </row>
    <row r="5933" spans="24:25" x14ac:dyDescent="0.35">
      <c r="X5933" s="40"/>
      <c r="Y5933" s="40"/>
    </row>
    <row r="5934" spans="24:25" x14ac:dyDescent="0.35">
      <c r="X5934" s="40"/>
      <c r="Y5934" s="40"/>
    </row>
    <row r="5935" spans="24:25" x14ac:dyDescent="0.35">
      <c r="X5935" s="40"/>
      <c r="Y5935" s="40"/>
    </row>
    <row r="5936" spans="24:25" x14ac:dyDescent="0.35">
      <c r="X5936" s="40"/>
      <c r="Y5936" s="40"/>
    </row>
    <row r="5937" spans="24:25" x14ac:dyDescent="0.35">
      <c r="X5937" s="40"/>
      <c r="Y5937" s="40"/>
    </row>
    <row r="5938" spans="24:25" x14ac:dyDescent="0.35">
      <c r="X5938" s="40"/>
      <c r="Y5938" s="40"/>
    </row>
    <row r="5939" spans="24:25" x14ac:dyDescent="0.35">
      <c r="X5939" s="40"/>
      <c r="Y5939" s="40"/>
    </row>
    <row r="5940" spans="24:25" x14ac:dyDescent="0.35">
      <c r="X5940" s="40"/>
      <c r="Y5940" s="40"/>
    </row>
    <row r="5941" spans="24:25" x14ac:dyDescent="0.35">
      <c r="X5941" s="40"/>
      <c r="Y5941" s="40"/>
    </row>
    <row r="5942" spans="24:25" x14ac:dyDescent="0.35">
      <c r="X5942" s="40"/>
      <c r="Y5942" s="40"/>
    </row>
    <row r="5943" spans="24:25" x14ac:dyDescent="0.35">
      <c r="X5943" s="40"/>
      <c r="Y5943" s="40"/>
    </row>
    <row r="5944" spans="24:25" x14ac:dyDescent="0.35">
      <c r="X5944" s="40"/>
      <c r="Y5944" s="40"/>
    </row>
    <row r="5945" spans="24:25" x14ac:dyDescent="0.35">
      <c r="X5945" s="40"/>
      <c r="Y5945" s="40"/>
    </row>
    <row r="5946" spans="24:25" x14ac:dyDescent="0.35">
      <c r="X5946" s="40"/>
      <c r="Y5946" s="40"/>
    </row>
    <row r="5947" spans="24:25" x14ac:dyDescent="0.35">
      <c r="X5947" s="40"/>
      <c r="Y5947" s="40"/>
    </row>
    <row r="5948" spans="24:25" x14ac:dyDescent="0.35">
      <c r="X5948" s="40"/>
      <c r="Y5948" s="40"/>
    </row>
    <row r="5949" spans="24:25" x14ac:dyDescent="0.35">
      <c r="X5949" s="40"/>
      <c r="Y5949" s="40"/>
    </row>
    <row r="5950" spans="24:25" x14ac:dyDescent="0.35">
      <c r="X5950" s="40"/>
      <c r="Y5950" s="40"/>
    </row>
    <row r="5951" spans="24:25" x14ac:dyDescent="0.35">
      <c r="X5951" s="40"/>
      <c r="Y5951" s="40"/>
    </row>
    <row r="5952" spans="24:25" x14ac:dyDescent="0.35">
      <c r="X5952" s="40"/>
      <c r="Y5952" s="40"/>
    </row>
    <row r="5953" spans="24:25" x14ac:dyDescent="0.35">
      <c r="X5953" s="40"/>
      <c r="Y5953" s="40"/>
    </row>
    <row r="5954" spans="24:25" x14ac:dyDescent="0.35">
      <c r="X5954" s="40"/>
      <c r="Y5954" s="40"/>
    </row>
    <row r="5955" spans="24:25" x14ac:dyDescent="0.35">
      <c r="X5955" s="40"/>
      <c r="Y5955" s="40"/>
    </row>
    <row r="5956" spans="24:25" x14ac:dyDescent="0.35">
      <c r="X5956" s="40"/>
      <c r="Y5956" s="40"/>
    </row>
    <row r="5957" spans="24:25" x14ac:dyDescent="0.35">
      <c r="X5957" s="40"/>
      <c r="Y5957" s="40"/>
    </row>
    <row r="5958" spans="24:25" x14ac:dyDescent="0.35">
      <c r="X5958" s="40"/>
      <c r="Y5958" s="40"/>
    </row>
    <row r="5959" spans="24:25" x14ac:dyDescent="0.35">
      <c r="X5959" s="40"/>
      <c r="Y5959" s="40"/>
    </row>
    <row r="5960" spans="24:25" x14ac:dyDescent="0.35">
      <c r="X5960" s="40"/>
      <c r="Y5960" s="40"/>
    </row>
    <row r="5961" spans="24:25" x14ac:dyDescent="0.35">
      <c r="X5961" s="40"/>
      <c r="Y5961" s="40"/>
    </row>
    <row r="5962" spans="24:25" x14ac:dyDescent="0.35">
      <c r="X5962" s="40"/>
      <c r="Y5962" s="40"/>
    </row>
    <row r="5963" spans="24:25" x14ac:dyDescent="0.35">
      <c r="X5963" s="40"/>
      <c r="Y5963" s="40"/>
    </row>
    <row r="5964" spans="24:25" x14ac:dyDescent="0.35">
      <c r="X5964" s="40"/>
      <c r="Y5964" s="40"/>
    </row>
    <row r="5965" spans="24:25" x14ac:dyDescent="0.35">
      <c r="X5965" s="40"/>
      <c r="Y5965" s="40"/>
    </row>
    <row r="5966" spans="24:25" x14ac:dyDescent="0.35">
      <c r="X5966" s="40"/>
      <c r="Y5966" s="40"/>
    </row>
    <row r="5967" spans="24:25" x14ac:dyDescent="0.35">
      <c r="X5967" s="40"/>
      <c r="Y5967" s="40"/>
    </row>
    <row r="5968" spans="24:25" x14ac:dyDescent="0.35">
      <c r="X5968" s="40"/>
      <c r="Y5968" s="40"/>
    </row>
    <row r="5969" spans="24:25" x14ac:dyDescent="0.35">
      <c r="X5969" s="40"/>
      <c r="Y5969" s="40"/>
    </row>
    <row r="5970" spans="24:25" x14ac:dyDescent="0.35">
      <c r="X5970" s="40"/>
      <c r="Y5970" s="40"/>
    </row>
    <row r="5971" spans="24:25" x14ac:dyDescent="0.35">
      <c r="X5971" s="40"/>
      <c r="Y5971" s="40"/>
    </row>
    <row r="5972" spans="24:25" x14ac:dyDescent="0.35">
      <c r="X5972" s="40"/>
      <c r="Y5972" s="40"/>
    </row>
    <row r="5973" spans="24:25" x14ac:dyDescent="0.35">
      <c r="X5973" s="40"/>
      <c r="Y5973" s="40"/>
    </row>
    <row r="5974" spans="24:25" x14ac:dyDescent="0.35">
      <c r="X5974" s="40"/>
      <c r="Y5974" s="40"/>
    </row>
    <row r="5975" spans="24:25" x14ac:dyDescent="0.35">
      <c r="X5975" s="40"/>
      <c r="Y5975" s="40"/>
    </row>
    <row r="5976" spans="24:25" x14ac:dyDescent="0.35">
      <c r="X5976" s="40"/>
      <c r="Y5976" s="40"/>
    </row>
    <row r="5977" spans="24:25" x14ac:dyDescent="0.35">
      <c r="X5977" s="40"/>
      <c r="Y5977" s="40"/>
    </row>
    <row r="5978" spans="24:25" x14ac:dyDescent="0.35">
      <c r="X5978" s="40"/>
      <c r="Y5978" s="40"/>
    </row>
    <row r="5979" spans="24:25" x14ac:dyDescent="0.35">
      <c r="X5979" s="40"/>
      <c r="Y5979" s="40"/>
    </row>
    <row r="5980" spans="24:25" x14ac:dyDescent="0.35">
      <c r="X5980" s="40"/>
      <c r="Y5980" s="40"/>
    </row>
    <row r="5981" spans="24:25" x14ac:dyDescent="0.35">
      <c r="X5981" s="40"/>
      <c r="Y5981" s="40"/>
    </row>
    <row r="5982" spans="24:25" x14ac:dyDescent="0.35">
      <c r="X5982" s="40"/>
      <c r="Y5982" s="40"/>
    </row>
    <row r="5983" spans="24:25" x14ac:dyDescent="0.35">
      <c r="X5983" s="40"/>
      <c r="Y5983" s="40"/>
    </row>
    <row r="5984" spans="24:25" x14ac:dyDescent="0.35">
      <c r="X5984" s="40"/>
      <c r="Y5984" s="40"/>
    </row>
    <row r="5985" spans="24:25" x14ac:dyDescent="0.35">
      <c r="X5985" s="40"/>
      <c r="Y5985" s="40"/>
    </row>
    <row r="5986" spans="24:25" x14ac:dyDescent="0.35">
      <c r="X5986" s="40"/>
      <c r="Y5986" s="40"/>
    </row>
    <row r="5987" spans="24:25" x14ac:dyDescent="0.35">
      <c r="X5987" s="40"/>
      <c r="Y5987" s="40"/>
    </row>
    <row r="5988" spans="24:25" x14ac:dyDescent="0.35">
      <c r="X5988" s="40"/>
      <c r="Y5988" s="40"/>
    </row>
    <row r="5989" spans="24:25" x14ac:dyDescent="0.35">
      <c r="X5989" s="40"/>
      <c r="Y5989" s="40"/>
    </row>
    <row r="5990" spans="24:25" x14ac:dyDescent="0.35">
      <c r="X5990" s="40"/>
      <c r="Y5990" s="40"/>
    </row>
    <row r="5991" spans="24:25" x14ac:dyDescent="0.35">
      <c r="X5991" s="40"/>
      <c r="Y5991" s="40"/>
    </row>
    <row r="5992" spans="24:25" x14ac:dyDescent="0.35">
      <c r="X5992" s="40"/>
      <c r="Y5992" s="40"/>
    </row>
    <row r="5993" spans="24:25" x14ac:dyDescent="0.35">
      <c r="X5993" s="40"/>
      <c r="Y5993" s="40"/>
    </row>
    <row r="5994" spans="24:25" x14ac:dyDescent="0.35">
      <c r="X5994" s="40"/>
      <c r="Y5994" s="40"/>
    </row>
    <row r="5995" spans="24:25" x14ac:dyDescent="0.35">
      <c r="X5995" s="40"/>
      <c r="Y5995" s="40"/>
    </row>
    <row r="5996" spans="24:25" x14ac:dyDescent="0.35">
      <c r="X5996" s="40"/>
      <c r="Y5996" s="40"/>
    </row>
    <row r="5997" spans="24:25" x14ac:dyDescent="0.35">
      <c r="X5997" s="40"/>
      <c r="Y5997" s="40"/>
    </row>
    <row r="5998" spans="24:25" x14ac:dyDescent="0.35">
      <c r="X5998" s="40"/>
      <c r="Y5998" s="40"/>
    </row>
    <row r="5999" spans="24:25" x14ac:dyDescent="0.35">
      <c r="X5999" s="40"/>
      <c r="Y5999" s="40"/>
    </row>
    <row r="6000" spans="24:25" x14ac:dyDescent="0.35">
      <c r="X6000" s="40"/>
      <c r="Y6000" s="40"/>
    </row>
    <row r="6001" spans="24:25" x14ac:dyDescent="0.35">
      <c r="X6001" s="40"/>
      <c r="Y6001" s="40"/>
    </row>
    <row r="6002" spans="24:25" x14ac:dyDescent="0.35">
      <c r="X6002" s="40"/>
      <c r="Y6002" s="40"/>
    </row>
    <row r="6003" spans="24:25" x14ac:dyDescent="0.35">
      <c r="X6003" s="40"/>
      <c r="Y6003" s="40"/>
    </row>
    <row r="6004" spans="24:25" x14ac:dyDescent="0.35">
      <c r="X6004" s="40"/>
      <c r="Y6004" s="40"/>
    </row>
    <row r="6005" spans="24:25" x14ac:dyDescent="0.35">
      <c r="X6005" s="40"/>
      <c r="Y6005" s="40"/>
    </row>
    <row r="6006" spans="24:25" x14ac:dyDescent="0.35">
      <c r="X6006" s="40"/>
      <c r="Y6006" s="40"/>
    </row>
    <row r="6007" spans="24:25" x14ac:dyDescent="0.35">
      <c r="X6007" s="40"/>
      <c r="Y6007" s="40"/>
    </row>
    <row r="6008" spans="24:25" x14ac:dyDescent="0.35">
      <c r="X6008" s="40"/>
      <c r="Y6008" s="40"/>
    </row>
    <row r="6009" spans="24:25" x14ac:dyDescent="0.35">
      <c r="X6009" s="40"/>
      <c r="Y6009" s="40"/>
    </row>
    <row r="6010" spans="24:25" x14ac:dyDescent="0.35">
      <c r="X6010" s="40"/>
      <c r="Y6010" s="40"/>
    </row>
    <row r="6011" spans="24:25" x14ac:dyDescent="0.35">
      <c r="X6011" s="40"/>
      <c r="Y6011" s="40"/>
    </row>
    <row r="6012" spans="24:25" x14ac:dyDescent="0.35">
      <c r="X6012" s="40"/>
      <c r="Y6012" s="40"/>
    </row>
    <row r="6013" spans="24:25" x14ac:dyDescent="0.35">
      <c r="X6013" s="40"/>
      <c r="Y6013" s="40"/>
    </row>
    <row r="6014" spans="24:25" x14ac:dyDescent="0.35">
      <c r="X6014" s="40"/>
      <c r="Y6014" s="40"/>
    </row>
    <row r="6015" spans="24:25" x14ac:dyDescent="0.35">
      <c r="X6015" s="40"/>
      <c r="Y6015" s="40"/>
    </row>
    <row r="6016" spans="24:25" x14ac:dyDescent="0.35">
      <c r="X6016" s="40"/>
      <c r="Y6016" s="40"/>
    </row>
    <row r="6017" spans="24:25" x14ac:dyDescent="0.35">
      <c r="X6017" s="40"/>
      <c r="Y6017" s="40"/>
    </row>
    <row r="6018" spans="24:25" x14ac:dyDescent="0.35">
      <c r="X6018" s="40"/>
      <c r="Y6018" s="40"/>
    </row>
    <row r="6019" spans="24:25" x14ac:dyDescent="0.35">
      <c r="X6019" s="40"/>
      <c r="Y6019" s="40"/>
    </row>
    <row r="6020" spans="24:25" x14ac:dyDescent="0.35">
      <c r="X6020" s="40"/>
      <c r="Y6020" s="40"/>
    </row>
    <row r="6021" spans="24:25" x14ac:dyDescent="0.35">
      <c r="X6021" s="40"/>
      <c r="Y6021" s="40"/>
    </row>
    <row r="6022" spans="24:25" x14ac:dyDescent="0.35">
      <c r="X6022" s="40"/>
      <c r="Y6022" s="40"/>
    </row>
    <row r="6023" spans="24:25" x14ac:dyDescent="0.35">
      <c r="X6023" s="40"/>
      <c r="Y6023" s="40"/>
    </row>
    <row r="6024" spans="24:25" x14ac:dyDescent="0.35">
      <c r="X6024" s="40"/>
      <c r="Y6024" s="40"/>
    </row>
    <row r="6025" spans="24:25" x14ac:dyDescent="0.35">
      <c r="X6025" s="40"/>
      <c r="Y6025" s="40"/>
    </row>
    <row r="6026" spans="24:25" x14ac:dyDescent="0.35">
      <c r="X6026" s="40"/>
      <c r="Y6026" s="40"/>
    </row>
    <row r="6027" spans="24:25" x14ac:dyDescent="0.35">
      <c r="X6027" s="40"/>
      <c r="Y6027" s="40"/>
    </row>
    <row r="6028" spans="24:25" x14ac:dyDescent="0.35">
      <c r="X6028" s="40"/>
      <c r="Y6028" s="40"/>
    </row>
    <row r="6029" spans="24:25" x14ac:dyDescent="0.35">
      <c r="X6029" s="40"/>
      <c r="Y6029" s="40"/>
    </row>
    <row r="6030" spans="24:25" x14ac:dyDescent="0.35">
      <c r="X6030" s="40"/>
      <c r="Y6030" s="40"/>
    </row>
    <row r="6031" spans="24:25" x14ac:dyDescent="0.35">
      <c r="X6031" s="40"/>
      <c r="Y6031" s="40"/>
    </row>
    <row r="6032" spans="24:25" x14ac:dyDescent="0.35">
      <c r="X6032" s="40"/>
      <c r="Y6032" s="40"/>
    </row>
    <row r="6033" spans="24:25" x14ac:dyDescent="0.35">
      <c r="X6033" s="40"/>
      <c r="Y6033" s="40"/>
    </row>
    <row r="6034" spans="24:25" x14ac:dyDescent="0.35">
      <c r="X6034" s="40"/>
      <c r="Y6034" s="40"/>
    </row>
    <row r="6035" spans="24:25" x14ac:dyDescent="0.35">
      <c r="X6035" s="40"/>
      <c r="Y6035" s="40"/>
    </row>
    <row r="6036" spans="24:25" x14ac:dyDescent="0.35">
      <c r="X6036" s="40"/>
      <c r="Y6036" s="40"/>
    </row>
    <row r="6037" spans="24:25" x14ac:dyDescent="0.35">
      <c r="X6037" s="40"/>
      <c r="Y6037" s="40"/>
    </row>
    <row r="6038" spans="24:25" x14ac:dyDescent="0.35">
      <c r="X6038" s="40"/>
      <c r="Y6038" s="40"/>
    </row>
    <row r="6039" spans="24:25" x14ac:dyDescent="0.35">
      <c r="X6039" s="40"/>
      <c r="Y6039" s="40"/>
    </row>
    <row r="6040" spans="24:25" x14ac:dyDescent="0.35">
      <c r="X6040" s="40"/>
      <c r="Y6040" s="40"/>
    </row>
    <row r="6041" spans="24:25" x14ac:dyDescent="0.35">
      <c r="X6041" s="40"/>
      <c r="Y6041" s="40"/>
    </row>
    <row r="6042" spans="24:25" x14ac:dyDescent="0.35">
      <c r="X6042" s="40"/>
      <c r="Y6042" s="40"/>
    </row>
    <row r="6043" spans="24:25" x14ac:dyDescent="0.35">
      <c r="X6043" s="40"/>
      <c r="Y6043" s="40"/>
    </row>
    <row r="6044" spans="24:25" x14ac:dyDescent="0.35">
      <c r="X6044" s="40"/>
      <c r="Y6044" s="40"/>
    </row>
    <row r="6045" spans="24:25" x14ac:dyDescent="0.35">
      <c r="X6045" s="40"/>
      <c r="Y6045" s="40"/>
    </row>
    <row r="6046" spans="24:25" x14ac:dyDescent="0.35">
      <c r="X6046" s="40"/>
      <c r="Y6046" s="40"/>
    </row>
    <row r="6047" spans="24:25" x14ac:dyDescent="0.35">
      <c r="X6047" s="40"/>
      <c r="Y6047" s="40"/>
    </row>
    <row r="6048" spans="24:25" x14ac:dyDescent="0.35">
      <c r="X6048" s="40"/>
      <c r="Y6048" s="40"/>
    </row>
    <row r="6049" spans="24:25" x14ac:dyDescent="0.35">
      <c r="X6049" s="40"/>
      <c r="Y6049" s="40"/>
    </row>
    <row r="6050" spans="24:25" x14ac:dyDescent="0.35">
      <c r="X6050" s="40"/>
      <c r="Y6050" s="40"/>
    </row>
    <row r="6051" spans="24:25" x14ac:dyDescent="0.35">
      <c r="X6051" s="40"/>
      <c r="Y6051" s="40"/>
    </row>
    <row r="6052" spans="24:25" x14ac:dyDescent="0.35">
      <c r="X6052" s="40"/>
      <c r="Y6052" s="40"/>
    </row>
    <row r="6053" spans="24:25" x14ac:dyDescent="0.35">
      <c r="X6053" s="40"/>
      <c r="Y6053" s="40"/>
    </row>
    <row r="6054" spans="24:25" x14ac:dyDescent="0.35">
      <c r="X6054" s="40"/>
      <c r="Y6054" s="40"/>
    </row>
    <row r="6055" spans="24:25" x14ac:dyDescent="0.35">
      <c r="X6055" s="40"/>
      <c r="Y6055" s="40"/>
    </row>
    <row r="6056" spans="24:25" x14ac:dyDescent="0.35">
      <c r="X6056" s="40"/>
      <c r="Y6056" s="40"/>
    </row>
    <row r="6057" spans="24:25" x14ac:dyDescent="0.35">
      <c r="X6057" s="40"/>
      <c r="Y6057" s="40"/>
    </row>
    <row r="6058" spans="24:25" x14ac:dyDescent="0.35">
      <c r="X6058" s="40"/>
      <c r="Y6058" s="40"/>
    </row>
    <row r="6059" spans="24:25" x14ac:dyDescent="0.35">
      <c r="X6059" s="40"/>
      <c r="Y6059" s="40"/>
    </row>
    <row r="6060" spans="24:25" x14ac:dyDescent="0.35">
      <c r="X6060" s="40"/>
      <c r="Y6060" s="40"/>
    </row>
    <row r="6061" spans="24:25" x14ac:dyDescent="0.35">
      <c r="X6061" s="40"/>
      <c r="Y6061" s="40"/>
    </row>
    <row r="6062" spans="24:25" x14ac:dyDescent="0.35">
      <c r="X6062" s="40"/>
      <c r="Y6062" s="40"/>
    </row>
    <row r="6063" spans="24:25" x14ac:dyDescent="0.35">
      <c r="X6063" s="40"/>
      <c r="Y6063" s="40"/>
    </row>
    <row r="6064" spans="24:25" x14ac:dyDescent="0.35">
      <c r="X6064" s="40"/>
      <c r="Y6064" s="40"/>
    </row>
    <row r="6065" spans="24:25" x14ac:dyDescent="0.35">
      <c r="X6065" s="40"/>
      <c r="Y6065" s="40"/>
    </row>
    <row r="6066" spans="24:25" x14ac:dyDescent="0.35">
      <c r="X6066" s="40"/>
      <c r="Y6066" s="40"/>
    </row>
    <row r="6067" spans="24:25" x14ac:dyDescent="0.35">
      <c r="X6067" s="40"/>
      <c r="Y6067" s="40"/>
    </row>
    <row r="6068" spans="24:25" x14ac:dyDescent="0.35">
      <c r="X6068" s="40"/>
      <c r="Y6068" s="40"/>
    </row>
    <row r="6069" spans="24:25" x14ac:dyDescent="0.35">
      <c r="X6069" s="40"/>
      <c r="Y6069" s="40"/>
    </row>
    <row r="6070" spans="24:25" x14ac:dyDescent="0.35">
      <c r="X6070" s="40"/>
      <c r="Y6070" s="40"/>
    </row>
    <row r="6071" spans="24:25" x14ac:dyDescent="0.35">
      <c r="X6071" s="40"/>
      <c r="Y6071" s="40"/>
    </row>
    <row r="6072" spans="24:25" x14ac:dyDescent="0.35">
      <c r="X6072" s="40"/>
      <c r="Y6072" s="40"/>
    </row>
    <row r="6073" spans="24:25" x14ac:dyDescent="0.35">
      <c r="X6073" s="40"/>
      <c r="Y6073" s="40"/>
    </row>
    <row r="6074" spans="24:25" x14ac:dyDescent="0.35">
      <c r="X6074" s="40"/>
      <c r="Y6074" s="40"/>
    </row>
    <row r="6075" spans="24:25" x14ac:dyDescent="0.35">
      <c r="X6075" s="40"/>
      <c r="Y6075" s="40"/>
    </row>
    <row r="6076" spans="24:25" x14ac:dyDescent="0.35">
      <c r="X6076" s="40"/>
      <c r="Y6076" s="40"/>
    </row>
    <row r="6077" spans="24:25" x14ac:dyDescent="0.35">
      <c r="X6077" s="40"/>
      <c r="Y6077" s="40"/>
    </row>
    <row r="6078" spans="24:25" x14ac:dyDescent="0.35">
      <c r="X6078" s="40"/>
      <c r="Y6078" s="40"/>
    </row>
    <row r="6079" spans="24:25" x14ac:dyDescent="0.35">
      <c r="X6079" s="40"/>
      <c r="Y6079" s="40"/>
    </row>
    <row r="6080" spans="24:25" x14ac:dyDescent="0.35">
      <c r="X6080" s="40"/>
      <c r="Y6080" s="40"/>
    </row>
    <row r="6081" spans="24:25" x14ac:dyDescent="0.35">
      <c r="X6081" s="40"/>
      <c r="Y6081" s="40"/>
    </row>
    <row r="6082" spans="24:25" x14ac:dyDescent="0.35">
      <c r="X6082" s="40"/>
      <c r="Y6082" s="40"/>
    </row>
    <row r="6083" spans="24:25" x14ac:dyDescent="0.35">
      <c r="X6083" s="40"/>
      <c r="Y6083" s="40"/>
    </row>
    <row r="6084" spans="24:25" x14ac:dyDescent="0.35">
      <c r="X6084" s="40"/>
      <c r="Y6084" s="40"/>
    </row>
    <row r="6085" spans="24:25" x14ac:dyDescent="0.35">
      <c r="X6085" s="40"/>
      <c r="Y6085" s="40"/>
    </row>
    <row r="6086" spans="24:25" x14ac:dyDescent="0.35">
      <c r="X6086" s="40"/>
      <c r="Y6086" s="40"/>
    </row>
    <row r="6087" spans="24:25" x14ac:dyDescent="0.35">
      <c r="X6087" s="40"/>
      <c r="Y6087" s="40"/>
    </row>
    <row r="6088" spans="24:25" x14ac:dyDescent="0.35">
      <c r="X6088" s="40"/>
      <c r="Y6088" s="40"/>
    </row>
    <row r="6089" spans="24:25" x14ac:dyDescent="0.35">
      <c r="X6089" s="40"/>
      <c r="Y6089" s="40"/>
    </row>
    <row r="6090" spans="24:25" x14ac:dyDescent="0.35">
      <c r="X6090" s="40"/>
      <c r="Y6090" s="40"/>
    </row>
    <row r="6091" spans="24:25" x14ac:dyDescent="0.35">
      <c r="X6091" s="40"/>
      <c r="Y6091" s="40"/>
    </row>
    <row r="6092" spans="24:25" x14ac:dyDescent="0.35">
      <c r="X6092" s="40"/>
      <c r="Y6092" s="40"/>
    </row>
    <row r="6093" spans="24:25" x14ac:dyDescent="0.35">
      <c r="X6093" s="40"/>
      <c r="Y6093" s="40"/>
    </row>
    <row r="6094" spans="24:25" x14ac:dyDescent="0.35">
      <c r="X6094" s="40"/>
      <c r="Y6094" s="40"/>
    </row>
    <row r="6095" spans="24:25" x14ac:dyDescent="0.35">
      <c r="X6095" s="40"/>
      <c r="Y6095" s="40"/>
    </row>
    <row r="6096" spans="24:25" x14ac:dyDescent="0.35">
      <c r="X6096" s="40"/>
      <c r="Y6096" s="40"/>
    </row>
    <row r="6097" spans="24:25" x14ac:dyDescent="0.35">
      <c r="X6097" s="40"/>
      <c r="Y6097" s="40"/>
    </row>
    <row r="6098" spans="24:25" x14ac:dyDescent="0.35">
      <c r="X6098" s="40"/>
      <c r="Y6098" s="40"/>
    </row>
    <row r="6099" spans="24:25" x14ac:dyDescent="0.35">
      <c r="X6099" s="40"/>
      <c r="Y6099" s="40"/>
    </row>
    <row r="6100" spans="24:25" x14ac:dyDescent="0.35">
      <c r="X6100" s="40"/>
      <c r="Y6100" s="40"/>
    </row>
    <row r="6101" spans="24:25" x14ac:dyDescent="0.35">
      <c r="X6101" s="40"/>
      <c r="Y6101" s="40"/>
    </row>
    <row r="6102" spans="24:25" x14ac:dyDescent="0.35">
      <c r="X6102" s="40"/>
      <c r="Y6102" s="40"/>
    </row>
    <row r="6103" spans="24:25" x14ac:dyDescent="0.35">
      <c r="X6103" s="40"/>
      <c r="Y6103" s="40"/>
    </row>
    <row r="6104" spans="24:25" x14ac:dyDescent="0.35">
      <c r="X6104" s="40"/>
      <c r="Y6104" s="40"/>
    </row>
    <row r="6105" spans="24:25" x14ac:dyDescent="0.35">
      <c r="X6105" s="40"/>
      <c r="Y6105" s="40"/>
    </row>
    <row r="6106" spans="24:25" x14ac:dyDescent="0.35">
      <c r="X6106" s="40"/>
      <c r="Y6106" s="40"/>
    </row>
    <row r="6107" spans="24:25" x14ac:dyDescent="0.35">
      <c r="X6107" s="40"/>
      <c r="Y6107" s="40"/>
    </row>
    <row r="6108" spans="24:25" x14ac:dyDescent="0.35">
      <c r="X6108" s="40"/>
      <c r="Y6108" s="40"/>
    </row>
    <row r="6109" spans="24:25" x14ac:dyDescent="0.35">
      <c r="X6109" s="40"/>
      <c r="Y6109" s="40"/>
    </row>
    <row r="6110" spans="24:25" x14ac:dyDescent="0.35">
      <c r="X6110" s="40"/>
      <c r="Y6110" s="40"/>
    </row>
    <row r="6111" spans="24:25" x14ac:dyDescent="0.35">
      <c r="X6111" s="40"/>
      <c r="Y6111" s="40"/>
    </row>
    <row r="6112" spans="24:25" x14ac:dyDescent="0.35">
      <c r="X6112" s="40"/>
      <c r="Y6112" s="40"/>
    </row>
    <row r="6113" spans="24:25" x14ac:dyDescent="0.35">
      <c r="X6113" s="40"/>
      <c r="Y6113" s="40"/>
    </row>
    <row r="6114" spans="24:25" x14ac:dyDescent="0.35">
      <c r="X6114" s="40"/>
      <c r="Y6114" s="40"/>
    </row>
    <row r="6115" spans="24:25" x14ac:dyDescent="0.35">
      <c r="X6115" s="40"/>
      <c r="Y6115" s="40"/>
    </row>
    <row r="6116" spans="24:25" x14ac:dyDescent="0.35">
      <c r="X6116" s="40"/>
      <c r="Y6116" s="40"/>
    </row>
    <row r="6117" spans="24:25" x14ac:dyDescent="0.35">
      <c r="X6117" s="40"/>
      <c r="Y6117" s="40"/>
    </row>
    <row r="6118" spans="24:25" x14ac:dyDescent="0.35">
      <c r="X6118" s="40"/>
      <c r="Y6118" s="40"/>
    </row>
    <row r="6119" spans="24:25" x14ac:dyDescent="0.35">
      <c r="X6119" s="40"/>
      <c r="Y6119" s="40"/>
    </row>
    <row r="6120" spans="24:25" x14ac:dyDescent="0.35">
      <c r="X6120" s="40"/>
      <c r="Y6120" s="40"/>
    </row>
    <row r="6121" spans="24:25" x14ac:dyDescent="0.35">
      <c r="X6121" s="40"/>
      <c r="Y6121" s="40"/>
    </row>
    <row r="6122" spans="24:25" x14ac:dyDescent="0.35">
      <c r="X6122" s="40"/>
      <c r="Y6122" s="40"/>
    </row>
    <row r="6123" spans="24:25" x14ac:dyDescent="0.35">
      <c r="X6123" s="40"/>
      <c r="Y6123" s="40"/>
    </row>
    <row r="6124" spans="24:25" x14ac:dyDescent="0.35">
      <c r="X6124" s="40"/>
      <c r="Y6124" s="40"/>
    </row>
    <row r="6125" spans="24:25" x14ac:dyDescent="0.35">
      <c r="X6125" s="40"/>
      <c r="Y6125" s="40"/>
    </row>
    <row r="6126" spans="24:25" x14ac:dyDescent="0.35">
      <c r="X6126" s="40"/>
      <c r="Y6126" s="40"/>
    </row>
    <row r="6127" spans="24:25" x14ac:dyDescent="0.35">
      <c r="X6127" s="40"/>
      <c r="Y6127" s="40"/>
    </row>
    <row r="6128" spans="24:25" x14ac:dyDescent="0.35">
      <c r="X6128" s="40"/>
      <c r="Y6128" s="40"/>
    </row>
    <row r="6129" spans="24:25" x14ac:dyDescent="0.35">
      <c r="X6129" s="40"/>
      <c r="Y6129" s="40"/>
    </row>
    <row r="6130" spans="24:25" x14ac:dyDescent="0.35">
      <c r="X6130" s="40"/>
      <c r="Y6130" s="40"/>
    </row>
    <row r="6131" spans="24:25" x14ac:dyDescent="0.35">
      <c r="X6131" s="40"/>
      <c r="Y6131" s="40"/>
    </row>
    <row r="6132" spans="24:25" x14ac:dyDescent="0.35">
      <c r="X6132" s="40"/>
      <c r="Y6132" s="40"/>
    </row>
    <row r="6133" spans="24:25" x14ac:dyDescent="0.35">
      <c r="X6133" s="40"/>
      <c r="Y6133" s="40"/>
    </row>
    <row r="6134" spans="24:25" x14ac:dyDescent="0.35">
      <c r="X6134" s="40"/>
      <c r="Y6134" s="40"/>
    </row>
    <row r="6135" spans="24:25" x14ac:dyDescent="0.35">
      <c r="X6135" s="40"/>
      <c r="Y6135" s="40"/>
    </row>
    <row r="6136" spans="24:25" x14ac:dyDescent="0.35">
      <c r="X6136" s="40"/>
      <c r="Y6136" s="40"/>
    </row>
    <row r="6137" spans="24:25" x14ac:dyDescent="0.35">
      <c r="X6137" s="40"/>
      <c r="Y6137" s="40"/>
    </row>
    <row r="6138" spans="24:25" x14ac:dyDescent="0.35">
      <c r="X6138" s="40"/>
      <c r="Y6138" s="40"/>
    </row>
    <row r="6139" spans="24:25" x14ac:dyDescent="0.35">
      <c r="X6139" s="40"/>
      <c r="Y6139" s="40"/>
    </row>
    <row r="6140" spans="24:25" x14ac:dyDescent="0.35">
      <c r="X6140" s="40"/>
      <c r="Y6140" s="40"/>
    </row>
    <row r="6141" spans="24:25" x14ac:dyDescent="0.35">
      <c r="X6141" s="40"/>
      <c r="Y6141" s="40"/>
    </row>
    <row r="6142" spans="24:25" x14ac:dyDescent="0.35">
      <c r="X6142" s="40"/>
      <c r="Y6142" s="40"/>
    </row>
    <row r="6143" spans="24:25" x14ac:dyDescent="0.35">
      <c r="X6143" s="40"/>
      <c r="Y6143" s="40"/>
    </row>
    <row r="6144" spans="24:25" x14ac:dyDescent="0.35">
      <c r="X6144" s="40"/>
      <c r="Y6144" s="40"/>
    </row>
    <row r="6145" spans="24:25" x14ac:dyDescent="0.35">
      <c r="X6145" s="40"/>
      <c r="Y6145" s="40"/>
    </row>
    <row r="6146" spans="24:25" x14ac:dyDescent="0.35">
      <c r="X6146" s="40"/>
      <c r="Y6146" s="40"/>
    </row>
    <row r="6147" spans="24:25" x14ac:dyDescent="0.35">
      <c r="X6147" s="40"/>
      <c r="Y6147" s="40"/>
    </row>
    <row r="6148" spans="24:25" x14ac:dyDescent="0.35">
      <c r="X6148" s="40"/>
      <c r="Y6148" s="40"/>
    </row>
    <row r="6149" spans="24:25" x14ac:dyDescent="0.35">
      <c r="X6149" s="40"/>
      <c r="Y6149" s="40"/>
    </row>
    <row r="6150" spans="24:25" x14ac:dyDescent="0.35">
      <c r="X6150" s="40"/>
      <c r="Y6150" s="40"/>
    </row>
    <row r="6151" spans="24:25" x14ac:dyDescent="0.35">
      <c r="X6151" s="40"/>
      <c r="Y6151" s="40"/>
    </row>
    <row r="6152" spans="24:25" x14ac:dyDescent="0.35">
      <c r="X6152" s="40"/>
      <c r="Y6152" s="40"/>
    </row>
    <row r="6153" spans="24:25" x14ac:dyDescent="0.35">
      <c r="X6153" s="40"/>
      <c r="Y6153" s="40"/>
    </row>
    <row r="6154" spans="24:25" x14ac:dyDescent="0.35">
      <c r="X6154" s="40"/>
      <c r="Y6154" s="40"/>
    </row>
    <row r="6155" spans="24:25" x14ac:dyDescent="0.35">
      <c r="X6155" s="40"/>
      <c r="Y6155" s="40"/>
    </row>
    <row r="6156" spans="24:25" x14ac:dyDescent="0.35">
      <c r="X6156" s="40"/>
      <c r="Y6156" s="40"/>
    </row>
    <row r="6157" spans="24:25" x14ac:dyDescent="0.35">
      <c r="X6157" s="40"/>
      <c r="Y6157" s="40"/>
    </row>
    <row r="6158" spans="24:25" x14ac:dyDescent="0.35">
      <c r="X6158" s="40"/>
      <c r="Y6158" s="40"/>
    </row>
    <row r="6159" spans="24:25" x14ac:dyDescent="0.35">
      <c r="X6159" s="40"/>
      <c r="Y6159" s="40"/>
    </row>
    <row r="6160" spans="24:25" x14ac:dyDescent="0.35">
      <c r="X6160" s="40"/>
      <c r="Y6160" s="40"/>
    </row>
    <row r="6161" spans="24:25" x14ac:dyDescent="0.35">
      <c r="X6161" s="40"/>
      <c r="Y6161" s="40"/>
    </row>
    <row r="6162" spans="24:25" x14ac:dyDescent="0.35">
      <c r="X6162" s="40"/>
      <c r="Y6162" s="40"/>
    </row>
    <row r="6163" spans="24:25" x14ac:dyDescent="0.35">
      <c r="X6163" s="40"/>
      <c r="Y6163" s="40"/>
    </row>
    <row r="6164" spans="24:25" x14ac:dyDescent="0.35">
      <c r="X6164" s="40"/>
      <c r="Y6164" s="40"/>
    </row>
    <row r="6165" spans="24:25" x14ac:dyDescent="0.35">
      <c r="X6165" s="40"/>
      <c r="Y6165" s="40"/>
    </row>
    <row r="6166" spans="24:25" x14ac:dyDescent="0.35">
      <c r="X6166" s="40"/>
      <c r="Y6166" s="40"/>
    </row>
    <row r="6167" spans="24:25" x14ac:dyDescent="0.35">
      <c r="X6167" s="40"/>
      <c r="Y6167" s="40"/>
    </row>
    <row r="6168" spans="24:25" x14ac:dyDescent="0.35">
      <c r="X6168" s="40"/>
      <c r="Y6168" s="40"/>
    </row>
    <row r="6169" spans="24:25" x14ac:dyDescent="0.35">
      <c r="X6169" s="40"/>
      <c r="Y6169" s="40"/>
    </row>
    <row r="6170" spans="24:25" x14ac:dyDescent="0.35">
      <c r="X6170" s="40"/>
      <c r="Y6170" s="40"/>
    </row>
    <row r="6171" spans="24:25" x14ac:dyDescent="0.35">
      <c r="X6171" s="40"/>
      <c r="Y6171" s="40"/>
    </row>
    <row r="6172" spans="24:25" x14ac:dyDescent="0.35">
      <c r="X6172" s="40"/>
      <c r="Y6172" s="40"/>
    </row>
    <row r="6173" spans="24:25" x14ac:dyDescent="0.35">
      <c r="X6173" s="40"/>
      <c r="Y6173" s="40"/>
    </row>
    <row r="6174" spans="24:25" x14ac:dyDescent="0.35">
      <c r="X6174" s="40"/>
      <c r="Y6174" s="40"/>
    </row>
    <row r="6175" spans="24:25" x14ac:dyDescent="0.35">
      <c r="X6175" s="40"/>
      <c r="Y6175" s="40"/>
    </row>
    <row r="6176" spans="24:25" x14ac:dyDescent="0.35">
      <c r="X6176" s="40"/>
      <c r="Y6176" s="40"/>
    </row>
    <row r="6177" spans="24:25" x14ac:dyDescent="0.35">
      <c r="X6177" s="40"/>
      <c r="Y6177" s="40"/>
    </row>
    <row r="6178" spans="24:25" x14ac:dyDescent="0.35">
      <c r="X6178" s="40"/>
      <c r="Y6178" s="40"/>
    </row>
    <row r="6179" spans="24:25" x14ac:dyDescent="0.35">
      <c r="X6179" s="40"/>
      <c r="Y6179" s="40"/>
    </row>
    <row r="6180" spans="24:25" x14ac:dyDescent="0.35">
      <c r="X6180" s="40"/>
      <c r="Y6180" s="40"/>
    </row>
    <row r="6181" spans="24:25" x14ac:dyDescent="0.35">
      <c r="X6181" s="40"/>
      <c r="Y6181" s="40"/>
    </row>
    <row r="6182" spans="24:25" x14ac:dyDescent="0.35">
      <c r="X6182" s="40"/>
      <c r="Y6182" s="40"/>
    </row>
    <row r="6183" spans="24:25" x14ac:dyDescent="0.35">
      <c r="X6183" s="40"/>
      <c r="Y6183" s="40"/>
    </row>
    <row r="6184" spans="24:25" x14ac:dyDescent="0.35">
      <c r="X6184" s="40"/>
      <c r="Y6184" s="40"/>
    </row>
    <row r="6185" spans="24:25" x14ac:dyDescent="0.35">
      <c r="X6185" s="40"/>
      <c r="Y6185" s="40"/>
    </row>
    <row r="6186" spans="24:25" x14ac:dyDescent="0.35">
      <c r="X6186" s="40"/>
      <c r="Y6186" s="40"/>
    </row>
    <row r="6187" spans="24:25" x14ac:dyDescent="0.35">
      <c r="X6187" s="40"/>
      <c r="Y6187" s="40"/>
    </row>
    <row r="6188" spans="24:25" x14ac:dyDescent="0.35">
      <c r="X6188" s="40"/>
      <c r="Y6188" s="40"/>
    </row>
    <row r="6189" spans="24:25" x14ac:dyDescent="0.35">
      <c r="X6189" s="40"/>
      <c r="Y6189" s="40"/>
    </row>
    <row r="6190" spans="24:25" x14ac:dyDescent="0.35">
      <c r="X6190" s="40"/>
      <c r="Y6190" s="40"/>
    </row>
    <row r="6191" spans="24:25" x14ac:dyDescent="0.35">
      <c r="X6191" s="40"/>
      <c r="Y6191" s="40"/>
    </row>
    <row r="6192" spans="24:25" x14ac:dyDescent="0.35">
      <c r="X6192" s="40"/>
      <c r="Y6192" s="40"/>
    </row>
    <row r="6193" spans="24:25" x14ac:dyDescent="0.35">
      <c r="X6193" s="40"/>
      <c r="Y6193" s="40"/>
    </row>
    <row r="6194" spans="24:25" x14ac:dyDescent="0.35">
      <c r="X6194" s="40"/>
      <c r="Y6194" s="40"/>
    </row>
    <row r="6195" spans="24:25" x14ac:dyDescent="0.35">
      <c r="X6195" s="40"/>
      <c r="Y6195" s="40"/>
    </row>
    <row r="6196" spans="24:25" x14ac:dyDescent="0.35">
      <c r="X6196" s="40"/>
      <c r="Y6196" s="40"/>
    </row>
    <row r="6197" spans="24:25" x14ac:dyDescent="0.35">
      <c r="X6197" s="40"/>
      <c r="Y6197" s="40"/>
    </row>
    <row r="6198" spans="24:25" x14ac:dyDescent="0.35">
      <c r="X6198" s="40"/>
      <c r="Y6198" s="40"/>
    </row>
    <row r="6199" spans="24:25" x14ac:dyDescent="0.35">
      <c r="X6199" s="40"/>
      <c r="Y6199" s="40"/>
    </row>
    <row r="6200" spans="24:25" x14ac:dyDescent="0.35">
      <c r="X6200" s="40"/>
      <c r="Y6200" s="40"/>
    </row>
    <row r="6201" spans="24:25" x14ac:dyDescent="0.35">
      <c r="X6201" s="40"/>
      <c r="Y6201" s="40"/>
    </row>
    <row r="6202" spans="24:25" x14ac:dyDescent="0.35">
      <c r="X6202" s="40"/>
      <c r="Y6202" s="40"/>
    </row>
    <row r="6203" spans="24:25" x14ac:dyDescent="0.35">
      <c r="X6203" s="40"/>
      <c r="Y6203" s="40"/>
    </row>
    <row r="6204" spans="24:25" x14ac:dyDescent="0.35">
      <c r="X6204" s="40"/>
      <c r="Y6204" s="40"/>
    </row>
    <row r="6205" spans="24:25" x14ac:dyDescent="0.35">
      <c r="X6205" s="40"/>
      <c r="Y6205" s="40"/>
    </row>
    <row r="6206" spans="24:25" x14ac:dyDescent="0.35">
      <c r="X6206" s="40"/>
      <c r="Y6206" s="40"/>
    </row>
    <row r="6207" spans="24:25" x14ac:dyDescent="0.35">
      <c r="X6207" s="40"/>
      <c r="Y6207" s="40"/>
    </row>
    <row r="6208" spans="24:25" x14ac:dyDescent="0.35">
      <c r="X6208" s="40"/>
      <c r="Y6208" s="40"/>
    </row>
    <row r="6209" spans="24:25" x14ac:dyDescent="0.35">
      <c r="X6209" s="40"/>
      <c r="Y6209" s="40"/>
    </row>
    <row r="6210" spans="24:25" x14ac:dyDescent="0.35">
      <c r="X6210" s="40"/>
      <c r="Y6210" s="40"/>
    </row>
    <row r="6211" spans="24:25" x14ac:dyDescent="0.35">
      <c r="X6211" s="40"/>
      <c r="Y6211" s="40"/>
    </row>
    <row r="6212" spans="24:25" x14ac:dyDescent="0.35">
      <c r="X6212" s="40"/>
      <c r="Y6212" s="40"/>
    </row>
    <row r="6213" spans="24:25" x14ac:dyDescent="0.35">
      <c r="X6213" s="40"/>
      <c r="Y6213" s="40"/>
    </row>
    <row r="6214" spans="24:25" x14ac:dyDescent="0.35">
      <c r="X6214" s="40"/>
      <c r="Y6214" s="40"/>
    </row>
    <row r="6215" spans="24:25" x14ac:dyDescent="0.35">
      <c r="X6215" s="40"/>
      <c r="Y6215" s="40"/>
    </row>
    <row r="6216" spans="24:25" x14ac:dyDescent="0.35">
      <c r="X6216" s="40"/>
      <c r="Y6216" s="40"/>
    </row>
    <row r="6217" spans="24:25" x14ac:dyDescent="0.35">
      <c r="X6217" s="40"/>
      <c r="Y6217" s="40"/>
    </row>
    <row r="6218" spans="24:25" x14ac:dyDescent="0.35">
      <c r="X6218" s="40"/>
      <c r="Y6218" s="40"/>
    </row>
    <row r="6219" spans="24:25" x14ac:dyDescent="0.35">
      <c r="X6219" s="40"/>
      <c r="Y6219" s="40"/>
    </row>
    <row r="6220" spans="24:25" x14ac:dyDescent="0.35">
      <c r="X6220" s="40"/>
      <c r="Y6220" s="40"/>
    </row>
    <row r="6221" spans="24:25" x14ac:dyDescent="0.35">
      <c r="X6221" s="40"/>
      <c r="Y6221" s="40"/>
    </row>
    <row r="6222" spans="24:25" x14ac:dyDescent="0.35">
      <c r="X6222" s="40"/>
      <c r="Y6222" s="40"/>
    </row>
    <row r="6223" spans="24:25" x14ac:dyDescent="0.35">
      <c r="X6223" s="40"/>
      <c r="Y6223" s="40"/>
    </row>
    <row r="6224" spans="24:25" x14ac:dyDescent="0.35">
      <c r="X6224" s="40"/>
      <c r="Y6224" s="40"/>
    </row>
    <row r="6225" spans="24:25" x14ac:dyDescent="0.35">
      <c r="X6225" s="40"/>
      <c r="Y6225" s="40"/>
    </row>
    <row r="6226" spans="24:25" x14ac:dyDescent="0.35">
      <c r="X6226" s="40"/>
      <c r="Y6226" s="40"/>
    </row>
    <row r="6227" spans="24:25" x14ac:dyDescent="0.35">
      <c r="X6227" s="40"/>
      <c r="Y6227" s="40"/>
    </row>
    <row r="6228" spans="24:25" x14ac:dyDescent="0.35">
      <c r="X6228" s="40"/>
      <c r="Y6228" s="40"/>
    </row>
    <row r="6229" spans="24:25" x14ac:dyDescent="0.35">
      <c r="X6229" s="40"/>
      <c r="Y6229" s="40"/>
    </row>
    <row r="6230" spans="24:25" x14ac:dyDescent="0.35">
      <c r="X6230" s="40"/>
      <c r="Y6230" s="40"/>
    </row>
    <row r="6231" spans="24:25" x14ac:dyDescent="0.35">
      <c r="X6231" s="40"/>
      <c r="Y6231" s="40"/>
    </row>
    <row r="6232" spans="24:25" x14ac:dyDescent="0.35">
      <c r="X6232" s="40"/>
      <c r="Y6232" s="40"/>
    </row>
    <row r="6233" spans="24:25" x14ac:dyDescent="0.35">
      <c r="X6233" s="40"/>
      <c r="Y6233" s="40"/>
    </row>
    <row r="6234" spans="24:25" x14ac:dyDescent="0.35">
      <c r="X6234" s="40"/>
      <c r="Y6234" s="40"/>
    </row>
    <row r="6235" spans="24:25" x14ac:dyDescent="0.35">
      <c r="X6235" s="40"/>
      <c r="Y6235" s="40"/>
    </row>
    <row r="6236" spans="24:25" x14ac:dyDescent="0.35">
      <c r="X6236" s="40"/>
      <c r="Y6236" s="40"/>
    </row>
    <row r="6237" spans="24:25" x14ac:dyDescent="0.35">
      <c r="X6237" s="40"/>
      <c r="Y6237" s="40"/>
    </row>
    <row r="6238" spans="24:25" x14ac:dyDescent="0.35">
      <c r="X6238" s="40"/>
      <c r="Y6238" s="40"/>
    </row>
    <row r="6239" spans="24:25" x14ac:dyDescent="0.35">
      <c r="X6239" s="40"/>
      <c r="Y6239" s="40"/>
    </row>
    <row r="6240" spans="24:25" x14ac:dyDescent="0.35">
      <c r="X6240" s="40"/>
      <c r="Y6240" s="40"/>
    </row>
    <row r="6241" spans="24:25" x14ac:dyDescent="0.35">
      <c r="X6241" s="40"/>
      <c r="Y6241" s="40"/>
    </row>
    <row r="6242" spans="24:25" x14ac:dyDescent="0.35">
      <c r="X6242" s="40"/>
      <c r="Y6242" s="40"/>
    </row>
    <row r="6243" spans="24:25" x14ac:dyDescent="0.35">
      <c r="X6243" s="40"/>
      <c r="Y6243" s="40"/>
    </row>
    <row r="6244" spans="24:25" x14ac:dyDescent="0.35">
      <c r="X6244" s="40"/>
      <c r="Y6244" s="40"/>
    </row>
    <row r="6245" spans="24:25" x14ac:dyDescent="0.35">
      <c r="X6245" s="40"/>
      <c r="Y6245" s="40"/>
    </row>
    <row r="6246" spans="24:25" x14ac:dyDescent="0.35">
      <c r="X6246" s="40"/>
      <c r="Y6246" s="40"/>
    </row>
    <row r="6247" spans="24:25" x14ac:dyDescent="0.35">
      <c r="X6247" s="40"/>
      <c r="Y6247" s="40"/>
    </row>
    <row r="6248" spans="24:25" x14ac:dyDescent="0.35">
      <c r="X6248" s="40"/>
      <c r="Y6248" s="40"/>
    </row>
    <row r="6249" spans="24:25" x14ac:dyDescent="0.35">
      <c r="X6249" s="40"/>
      <c r="Y6249" s="40"/>
    </row>
    <row r="6250" spans="24:25" x14ac:dyDescent="0.35">
      <c r="X6250" s="40"/>
      <c r="Y6250" s="40"/>
    </row>
    <row r="6251" spans="24:25" x14ac:dyDescent="0.35">
      <c r="X6251" s="40"/>
      <c r="Y6251" s="40"/>
    </row>
    <row r="6252" spans="24:25" x14ac:dyDescent="0.35">
      <c r="X6252" s="40"/>
      <c r="Y6252" s="40"/>
    </row>
    <row r="6253" spans="24:25" x14ac:dyDescent="0.35">
      <c r="X6253" s="40"/>
      <c r="Y6253" s="40"/>
    </row>
    <row r="6254" spans="24:25" x14ac:dyDescent="0.35">
      <c r="X6254" s="40"/>
      <c r="Y6254" s="40"/>
    </row>
    <row r="6255" spans="24:25" x14ac:dyDescent="0.35">
      <c r="X6255" s="40"/>
      <c r="Y6255" s="40"/>
    </row>
    <row r="6256" spans="24:25" x14ac:dyDescent="0.35">
      <c r="X6256" s="40"/>
      <c r="Y6256" s="40"/>
    </row>
    <row r="6257" spans="24:25" x14ac:dyDescent="0.35">
      <c r="X6257" s="40"/>
      <c r="Y6257" s="40"/>
    </row>
    <row r="6258" spans="24:25" x14ac:dyDescent="0.35">
      <c r="X6258" s="40"/>
      <c r="Y6258" s="40"/>
    </row>
    <row r="6259" spans="24:25" x14ac:dyDescent="0.35">
      <c r="X6259" s="40"/>
      <c r="Y6259" s="40"/>
    </row>
    <row r="6260" spans="24:25" x14ac:dyDescent="0.35">
      <c r="X6260" s="40"/>
      <c r="Y6260" s="40"/>
    </row>
    <row r="6261" spans="24:25" x14ac:dyDescent="0.35">
      <c r="X6261" s="40"/>
      <c r="Y6261" s="40"/>
    </row>
    <row r="6262" spans="24:25" x14ac:dyDescent="0.35">
      <c r="X6262" s="40"/>
      <c r="Y6262" s="40"/>
    </row>
    <row r="6263" spans="24:25" x14ac:dyDescent="0.35">
      <c r="X6263" s="40"/>
      <c r="Y6263" s="40"/>
    </row>
    <row r="6264" spans="24:25" x14ac:dyDescent="0.35">
      <c r="X6264" s="40"/>
      <c r="Y6264" s="40"/>
    </row>
    <row r="6265" spans="24:25" x14ac:dyDescent="0.35">
      <c r="X6265" s="40"/>
      <c r="Y6265" s="40"/>
    </row>
    <row r="6266" spans="24:25" x14ac:dyDescent="0.35">
      <c r="X6266" s="40"/>
      <c r="Y6266" s="40"/>
    </row>
    <row r="6267" spans="24:25" x14ac:dyDescent="0.35">
      <c r="X6267" s="40"/>
      <c r="Y6267" s="40"/>
    </row>
    <row r="6268" spans="24:25" x14ac:dyDescent="0.35">
      <c r="X6268" s="40"/>
      <c r="Y6268" s="40"/>
    </row>
    <row r="6269" spans="24:25" x14ac:dyDescent="0.35">
      <c r="X6269" s="40"/>
      <c r="Y6269" s="40"/>
    </row>
    <row r="6270" spans="24:25" x14ac:dyDescent="0.35">
      <c r="X6270" s="40"/>
      <c r="Y6270" s="40"/>
    </row>
    <row r="6271" spans="24:25" x14ac:dyDescent="0.35">
      <c r="X6271" s="40"/>
      <c r="Y6271" s="40"/>
    </row>
    <row r="6272" spans="24:25" x14ac:dyDescent="0.35">
      <c r="X6272" s="40"/>
      <c r="Y6272" s="40"/>
    </row>
    <row r="6273" spans="24:25" x14ac:dyDescent="0.35">
      <c r="X6273" s="40"/>
      <c r="Y6273" s="40"/>
    </row>
    <row r="6274" spans="24:25" x14ac:dyDescent="0.35">
      <c r="X6274" s="40"/>
      <c r="Y6274" s="40"/>
    </row>
    <row r="6275" spans="24:25" x14ac:dyDescent="0.35">
      <c r="X6275" s="40"/>
      <c r="Y6275" s="40"/>
    </row>
    <row r="6276" spans="24:25" x14ac:dyDescent="0.35">
      <c r="X6276" s="40"/>
      <c r="Y6276" s="40"/>
    </row>
    <row r="6277" spans="24:25" x14ac:dyDescent="0.35">
      <c r="X6277" s="40"/>
      <c r="Y6277" s="40"/>
    </row>
    <row r="6278" spans="24:25" x14ac:dyDescent="0.35">
      <c r="X6278" s="40"/>
      <c r="Y6278" s="40"/>
    </row>
    <row r="6279" spans="24:25" x14ac:dyDescent="0.35">
      <c r="X6279" s="40"/>
      <c r="Y6279" s="40"/>
    </row>
    <row r="6280" spans="24:25" x14ac:dyDescent="0.35">
      <c r="X6280" s="40"/>
      <c r="Y6280" s="40"/>
    </row>
    <row r="6281" spans="24:25" x14ac:dyDescent="0.35">
      <c r="X6281" s="40"/>
      <c r="Y6281" s="40"/>
    </row>
    <row r="6282" spans="24:25" x14ac:dyDescent="0.35">
      <c r="X6282" s="40"/>
      <c r="Y6282" s="40"/>
    </row>
    <row r="6283" spans="24:25" x14ac:dyDescent="0.35">
      <c r="X6283" s="40"/>
      <c r="Y6283" s="40"/>
    </row>
    <row r="6284" spans="24:25" x14ac:dyDescent="0.35">
      <c r="X6284" s="40"/>
      <c r="Y6284" s="40"/>
    </row>
    <row r="6285" spans="24:25" x14ac:dyDescent="0.35">
      <c r="X6285" s="40"/>
      <c r="Y6285" s="40"/>
    </row>
    <row r="6286" spans="24:25" x14ac:dyDescent="0.35">
      <c r="X6286" s="40"/>
      <c r="Y6286" s="40"/>
    </row>
    <row r="6287" spans="24:25" x14ac:dyDescent="0.35">
      <c r="X6287" s="40"/>
      <c r="Y6287" s="40"/>
    </row>
    <row r="6288" spans="24:25" x14ac:dyDescent="0.35">
      <c r="X6288" s="40"/>
      <c r="Y6288" s="40"/>
    </row>
    <row r="6289" spans="24:25" x14ac:dyDescent="0.35">
      <c r="X6289" s="40"/>
      <c r="Y6289" s="40"/>
    </row>
    <row r="6290" spans="24:25" x14ac:dyDescent="0.35">
      <c r="X6290" s="40"/>
      <c r="Y6290" s="40"/>
    </row>
    <row r="6291" spans="24:25" x14ac:dyDescent="0.35">
      <c r="X6291" s="40"/>
      <c r="Y6291" s="40"/>
    </row>
    <row r="6292" spans="24:25" x14ac:dyDescent="0.35">
      <c r="X6292" s="40"/>
      <c r="Y6292" s="40"/>
    </row>
    <row r="6293" spans="24:25" x14ac:dyDescent="0.35">
      <c r="X6293" s="40"/>
      <c r="Y6293" s="40"/>
    </row>
    <row r="6294" spans="24:25" x14ac:dyDescent="0.35">
      <c r="X6294" s="40"/>
      <c r="Y6294" s="40"/>
    </row>
    <row r="6295" spans="24:25" x14ac:dyDescent="0.35">
      <c r="X6295" s="40"/>
      <c r="Y6295" s="40"/>
    </row>
    <row r="6296" spans="24:25" x14ac:dyDescent="0.35">
      <c r="X6296" s="40"/>
      <c r="Y6296" s="40"/>
    </row>
    <row r="6297" spans="24:25" x14ac:dyDescent="0.35">
      <c r="X6297" s="40"/>
      <c r="Y6297" s="40"/>
    </row>
    <row r="6298" spans="24:25" x14ac:dyDescent="0.35">
      <c r="X6298" s="40"/>
      <c r="Y6298" s="40"/>
    </row>
    <row r="6299" spans="24:25" x14ac:dyDescent="0.35">
      <c r="X6299" s="40"/>
      <c r="Y6299" s="40"/>
    </row>
    <row r="6300" spans="24:25" x14ac:dyDescent="0.35">
      <c r="X6300" s="40"/>
      <c r="Y6300" s="40"/>
    </row>
    <row r="6301" spans="24:25" x14ac:dyDescent="0.35">
      <c r="X6301" s="40"/>
      <c r="Y6301" s="40"/>
    </row>
    <row r="6302" spans="24:25" x14ac:dyDescent="0.35">
      <c r="X6302" s="40"/>
      <c r="Y6302" s="40"/>
    </row>
    <row r="6303" spans="24:25" x14ac:dyDescent="0.35">
      <c r="X6303" s="40"/>
      <c r="Y6303" s="40"/>
    </row>
    <row r="6304" spans="24:25" x14ac:dyDescent="0.35">
      <c r="X6304" s="40"/>
      <c r="Y6304" s="40"/>
    </row>
    <row r="6305" spans="24:25" x14ac:dyDescent="0.35">
      <c r="X6305" s="40"/>
      <c r="Y6305" s="40"/>
    </row>
    <row r="6306" spans="24:25" x14ac:dyDescent="0.35">
      <c r="X6306" s="40"/>
      <c r="Y6306" s="40"/>
    </row>
    <row r="6307" spans="24:25" x14ac:dyDescent="0.35">
      <c r="X6307" s="40"/>
      <c r="Y6307" s="40"/>
    </row>
    <row r="6308" spans="24:25" x14ac:dyDescent="0.35">
      <c r="X6308" s="40"/>
      <c r="Y6308" s="40"/>
    </row>
    <row r="6309" spans="24:25" x14ac:dyDescent="0.35">
      <c r="X6309" s="40"/>
      <c r="Y6309" s="40"/>
    </row>
    <row r="6310" spans="24:25" x14ac:dyDescent="0.35">
      <c r="X6310" s="40"/>
      <c r="Y6310" s="40"/>
    </row>
    <row r="6311" spans="24:25" x14ac:dyDescent="0.35">
      <c r="X6311" s="40"/>
      <c r="Y6311" s="40"/>
    </row>
    <row r="6312" spans="24:25" x14ac:dyDescent="0.35">
      <c r="X6312" s="40"/>
      <c r="Y6312" s="40"/>
    </row>
    <row r="6313" spans="24:25" x14ac:dyDescent="0.35">
      <c r="X6313" s="40"/>
      <c r="Y6313" s="40"/>
    </row>
    <row r="6314" spans="24:25" x14ac:dyDescent="0.35">
      <c r="X6314" s="40"/>
      <c r="Y6314" s="40"/>
    </row>
    <row r="6315" spans="24:25" x14ac:dyDescent="0.35">
      <c r="X6315" s="40"/>
      <c r="Y6315" s="40"/>
    </row>
    <row r="6316" spans="24:25" x14ac:dyDescent="0.35">
      <c r="X6316" s="40"/>
      <c r="Y6316" s="40"/>
    </row>
    <row r="6317" spans="24:25" x14ac:dyDescent="0.35">
      <c r="X6317" s="40"/>
      <c r="Y6317" s="40"/>
    </row>
    <row r="6318" spans="24:25" x14ac:dyDescent="0.35">
      <c r="X6318" s="40"/>
      <c r="Y6318" s="40"/>
    </row>
    <row r="6319" spans="24:25" x14ac:dyDescent="0.35">
      <c r="X6319" s="40"/>
      <c r="Y6319" s="40"/>
    </row>
    <row r="6320" spans="24:25" x14ac:dyDescent="0.35">
      <c r="X6320" s="40"/>
      <c r="Y6320" s="40"/>
    </row>
    <row r="6321" spans="24:25" x14ac:dyDescent="0.35">
      <c r="X6321" s="40"/>
      <c r="Y6321" s="40"/>
    </row>
    <row r="6322" spans="24:25" x14ac:dyDescent="0.35">
      <c r="X6322" s="40"/>
      <c r="Y6322" s="40"/>
    </row>
    <row r="6323" spans="24:25" x14ac:dyDescent="0.35">
      <c r="X6323" s="40"/>
      <c r="Y6323" s="40"/>
    </row>
    <row r="6324" spans="24:25" x14ac:dyDescent="0.35">
      <c r="X6324" s="40"/>
      <c r="Y6324" s="40"/>
    </row>
    <row r="6325" spans="24:25" x14ac:dyDescent="0.35">
      <c r="X6325" s="40"/>
      <c r="Y6325" s="40"/>
    </row>
    <row r="6326" spans="24:25" x14ac:dyDescent="0.35">
      <c r="X6326" s="40"/>
      <c r="Y6326" s="40"/>
    </row>
    <row r="6327" spans="24:25" x14ac:dyDescent="0.35">
      <c r="X6327" s="40"/>
      <c r="Y6327" s="40"/>
    </row>
    <row r="6328" spans="24:25" x14ac:dyDescent="0.35">
      <c r="X6328" s="40"/>
      <c r="Y6328" s="40"/>
    </row>
    <row r="6329" spans="24:25" x14ac:dyDescent="0.35">
      <c r="X6329" s="40"/>
      <c r="Y6329" s="40"/>
    </row>
    <row r="6330" spans="24:25" x14ac:dyDescent="0.35">
      <c r="X6330" s="40"/>
      <c r="Y6330" s="40"/>
    </row>
    <row r="6331" spans="24:25" x14ac:dyDescent="0.35">
      <c r="X6331" s="40"/>
      <c r="Y6331" s="40"/>
    </row>
    <row r="6332" spans="24:25" x14ac:dyDescent="0.35">
      <c r="X6332" s="40"/>
      <c r="Y6332" s="40"/>
    </row>
    <row r="6333" spans="24:25" x14ac:dyDescent="0.35">
      <c r="X6333" s="40"/>
      <c r="Y6333" s="40"/>
    </row>
    <row r="6334" spans="24:25" x14ac:dyDescent="0.35">
      <c r="X6334" s="40"/>
      <c r="Y6334" s="40"/>
    </row>
    <row r="6335" spans="24:25" x14ac:dyDescent="0.35">
      <c r="X6335" s="40"/>
      <c r="Y6335" s="40"/>
    </row>
    <row r="6336" spans="24:25" x14ac:dyDescent="0.35">
      <c r="X6336" s="40"/>
      <c r="Y6336" s="40"/>
    </row>
    <row r="6337" spans="24:25" x14ac:dyDescent="0.35">
      <c r="X6337" s="40"/>
      <c r="Y6337" s="40"/>
    </row>
    <row r="6338" spans="24:25" x14ac:dyDescent="0.35">
      <c r="X6338" s="40"/>
      <c r="Y6338" s="40"/>
    </row>
    <row r="6339" spans="24:25" x14ac:dyDescent="0.35">
      <c r="X6339" s="40"/>
      <c r="Y6339" s="40"/>
    </row>
    <row r="6340" spans="24:25" x14ac:dyDescent="0.35">
      <c r="X6340" s="40"/>
      <c r="Y6340" s="40"/>
    </row>
    <row r="6341" spans="24:25" x14ac:dyDescent="0.35">
      <c r="X6341" s="40"/>
      <c r="Y6341" s="40"/>
    </row>
    <row r="6342" spans="24:25" x14ac:dyDescent="0.35">
      <c r="X6342" s="40"/>
      <c r="Y6342" s="40"/>
    </row>
    <row r="6343" spans="24:25" x14ac:dyDescent="0.35">
      <c r="X6343" s="40"/>
      <c r="Y6343" s="40"/>
    </row>
    <row r="6344" spans="24:25" x14ac:dyDescent="0.35">
      <c r="X6344" s="40"/>
      <c r="Y6344" s="40"/>
    </row>
    <row r="6345" spans="24:25" x14ac:dyDescent="0.35">
      <c r="X6345" s="40"/>
      <c r="Y6345" s="40"/>
    </row>
    <row r="6346" spans="24:25" x14ac:dyDescent="0.35">
      <c r="X6346" s="40"/>
      <c r="Y6346" s="40"/>
    </row>
    <row r="6347" spans="24:25" x14ac:dyDescent="0.35">
      <c r="X6347" s="40"/>
      <c r="Y6347" s="40"/>
    </row>
    <row r="6348" spans="24:25" x14ac:dyDescent="0.35">
      <c r="X6348" s="40"/>
      <c r="Y6348" s="40"/>
    </row>
    <row r="6349" spans="24:25" x14ac:dyDescent="0.35">
      <c r="X6349" s="40"/>
      <c r="Y6349" s="40"/>
    </row>
    <row r="6350" spans="24:25" x14ac:dyDescent="0.35">
      <c r="X6350" s="40"/>
      <c r="Y6350" s="40"/>
    </row>
    <row r="6351" spans="24:25" x14ac:dyDescent="0.35">
      <c r="X6351" s="40"/>
      <c r="Y6351" s="40"/>
    </row>
    <row r="6352" spans="24:25" x14ac:dyDescent="0.35">
      <c r="X6352" s="40"/>
      <c r="Y6352" s="40"/>
    </row>
    <row r="6353" spans="24:25" x14ac:dyDescent="0.35">
      <c r="X6353" s="40"/>
      <c r="Y6353" s="40"/>
    </row>
    <row r="6354" spans="24:25" x14ac:dyDescent="0.35">
      <c r="X6354" s="40"/>
      <c r="Y6354" s="40"/>
    </row>
    <row r="6355" spans="24:25" x14ac:dyDescent="0.35">
      <c r="X6355" s="40"/>
      <c r="Y6355" s="40"/>
    </row>
    <row r="6356" spans="24:25" x14ac:dyDescent="0.35">
      <c r="X6356" s="40"/>
      <c r="Y6356" s="40"/>
    </row>
    <row r="6357" spans="24:25" x14ac:dyDescent="0.35">
      <c r="X6357" s="40"/>
      <c r="Y6357" s="40"/>
    </row>
    <row r="6358" spans="24:25" x14ac:dyDescent="0.35">
      <c r="X6358" s="40"/>
      <c r="Y6358" s="40"/>
    </row>
    <row r="6359" spans="24:25" x14ac:dyDescent="0.35">
      <c r="X6359" s="40"/>
      <c r="Y6359" s="40"/>
    </row>
    <row r="6360" spans="24:25" x14ac:dyDescent="0.35">
      <c r="X6360" s="40"/>
      <c r="Y6360" s="40"/>
    </row>
    <row r="6361" spans="24:25" x14ac:dyDescent="0.35">
      <c r="X6361" s="40"/>
      <c r="Y6361" s="40"/>
    </row>
    <row r="6362" spans="24:25" x14ac:dyDescent="0.35">
      <c r="X6362" s="40"/>
      <c r="Y6362" s="40"/>
    </row>
    <row r="6363" spans="24:25" x14ac:dyDescent="0.35">
      <c r="X6363" s="40"/>
      <c r="Y6363" s="40"/>
    </row>
    <row r="6364" spans="24:25" x14ac:dyDescent="0.35">
      <c r="X6364" s="40"/>
      <c r="Y6364" s="40"/>
    </row>
    <row r="6365" spans="24:25" x14ac:dyDescent="0.35">
      <c r="X6365" s="40"/>
      <c r="Y6365" s="40"/>
    </row>
    <row r="6366" spans="24:25" x14ac:dyDescent="0.35">
      <c r="X6366" s="40"/>
      <c r="Y6366" s="40"/>
    </row>
    <row r="6367" spans="24:25" x14ac:dyDescent="0.35">
      <c r="X6367" s="40"/>
      <c r="Y6367" s="40"/>
    </row>
    <row r="6368" spans="24:25" x14ac:dyDescent="0.35">
      <c r="X6368" s="40"/>
      <c r="Y6368" s="40"/>
    </row>
    <row r="6369" spans="24:25" x14ac:dyDescent="0.35">
      <c r="X6369" s="40"/>
      <c r="Y6369" s="40"/>
    </row>
    <row r="6370" spans="24:25" x14ac:dyDescent="0.35">
      <c r="X6370" s="40"/>
      <c r="Y6370" s="40"/>
    </row>
    <row r="6371" spans="24:25" x14ac:dyDescent="0.35">
      <c r="X6371" s="40"/>
      <c r="Y6371" s="40"/>
    </row>
    <row r="6372" spans="24:25" x14ac:dyDescent="0.35">
      <c r="X6372" s="40"/>
      <c r="Y6372" s="40"/>
    </row>
    <row r="6373" spans="24:25" x14ac:dyDescent="0.35">
      <c r="X6373" s="40"/>
      <c r="Y6373" s="40"/>
    </row>
    <row r="6374" spans="24:25" x14ac:dyDescent="0.35">
      <c r="X6374" s="40"/>
      <c r="Y6374" s="40"/>
    </row>
    <row r="6375" spans="24:25" x14ac:dyDescent="0.35">
      <c r="X6375" s="40"/>
      <c r="Y6375" s="40"/>
    </row>
    <row r="6376" spans="24:25" x14ac:dyDescent="0.35">
      <c r="X6376" s="40"/>
      <c r="Y6376" s="40"/>
    </row>
    <row r="6377" spans="24:25" x14ac:dyDescent="0.35">
      <c r="X6377" s="40"/>
      <c r="Y6377" s="40"/>
    </row>
    <row r="6378" spans="24:25" x14ac:dyDescent="0.35">
      <c r="X6378" s="40"/>
      <c r="Y6378" s="40"/>
    </row>
    <row r="6379" spans="24:25" x14ac:dyDescent="0.35">
      <c r="X6379" s="40"/>
      <c r="Y6379" s="40"/>
    </row>
    <row r="6380" spans="24:25" x14ac:dyDescent="0.35">
      <c r="X6380" s="40"/>
      <c r="Y6380" s="40"/>
    </row>
    <row r="6381" spans="24:25" x14ac:dyDescent="0.35">
      <c r="X6381" s="40"/>
      <c r="Y6381" s="40"/>
    </row>
    <row r="6382" spans="24:25" x14ac:dyDescent="0.35">
      <c r="X6382" s="40"/>
      <c r="Y6382" s="40"/>
    </row>
    <row r="6383" spans="24:25" x14ac:dyDescent="0.35">
      <c r="X6383" s="40"/>
      <c r="Y6383" s="40"/>
    </row>
    <row r="6384" spans="24:25" x14ac:dyDescent="0.35">
      <c r="X6384" s="40"/>
      <c r="Y6384" s="40"/>
    </row>
    <row r="6385" spans="24:25" x14ac:dyDescent="0.35">
      <c r="X6385" s="40"/>
      <c r="Y6385" s="40"/>
    </row>
    <row r="6386" spans="24:25" x14ac:dyDescent="0.35">
      <c r="X6386" s="40"/>
      <c r="Y6386" s="40"/>
    </row>
    <row r="6387" spans="24:25" x14ac:dyDescent="0.35">
      <c r="X6387" s="40"/>
      <c r="Y6387" s="40"/>
    </row>
    <row r="6388" spans="24:25" x14ac:dyDescent="0.35">
      <c r="X6388" s="40"/>
      <c r="Y6388" s="40"/>
    </row>
    <row r="6389" spans="24:25" x14ac:dyDescent="0.35">
      <c r="X6389" s="40"/>
      <c r="Y6389" s="40"/>
    </row>
    <row r="6390" spans="24:25" x14ac:dyDescent="0.35">
      <c r="X6390" s="40"/>
      <c r="Y6390" s="40"/>
    </row>
    <row r="6391" spans="24:25" x14ac:dyDescent="0.35">
      <c r="X6391" s="40"/>
      <c r="Y6391" s="40"/>
    </row>
    <row r="6392" spans="24:25" x14ac:dyDescent="0.35">
      <c r="X6392" s="40"/>
      <c r="Y6392" s="40"/>
    </row>
    <row r="6393" spans="24:25" x14ac:dyDescent="0.35">
      <c r="X6393" s="40"/>
      <c r="Y6393" s="40"/>
    </row>
    <row r="6394" spans="24:25" x14ac:dyDescent="0.35">
      <c r="X6394" s="40"/>
      <c r="Y6394" s="40"/>
    </row>
    <row r="6395" spans="24:25" x14ac:dyDescent="0.35">
      <c r="X6395" s="40"/>
      <c r="Y6395" s="40"/>
    </row>
    <row r="6396" spans="24:25" x14ac:dyDescent="0.35">
      <c r="X6396" s="40"/>
      <c r="Y6396" s="40"/>
    </row>
    <row r="6397" spans="24:25" x14ac:dyDescent="0.35">
      <c r="X6397" s="40"/>
      <c r="Y6397" s="40"/>
    </row>
    <row r="6398" spans="24:25" x14ac:dyDescent="0.35">
      <c r="X6398" s="40"/>
      <c r="Y6398" s="40"/>
    </row>
    <row r="6399" spans="24:25" x14ac:dyDescent="0.35">
      <c r="X6399" s="40"/>
      <c r="Y6399" s="40"/>
    </row>
    <row r="6400" spans="24:25" x14ac:dyDescent="0.35">
      <c r="X6400" s="40"/>
      <c r="Y6400" s="40"/>
    </row>
    <row r="6401" spans="24:25" x14ac:dyDescent="0.35">
      <c r="X6401" s="40"/>
      <c r="Y6401" s="40"/>
    </row>
    <row r="6402" spans="24:25" x14ac:dyDescent="0.35">
      <c r="X6402" s="40"/>
      <c r="Y6402" s="40"/>
    </row>
    <row r="6403" spans="24:25" x14ac:dyDescent="0.35">
      <c r="X6403" s="40"/>
      <c r="Y6403" s="40"/>
    </row>
    <row r="6404" spans="24:25" x14ac:dyDescent="0.35">
      <c r="X6404" s="40"/>
      <c r="Y6404" s="40"/>
    </row>
    <row r="6405" spans="24:25" x14ac:dyDescent="0.35">
      <c r="X6405" s="40"/>
      <c r="Y6405" s="40"/>
    </row>
    <row r="6406" spans="24:25" x14ac:dyDescent="0.35">
      <c r="X6406" s="40"/>
      <c r="Y6406" s="40"/>
    </row>
    <row r="6407" spans="24:25" x14ac:dyDescent="0.35">
      <c r="X6407" s="40"/>
      <c r="Y6407" s="40"/>
    </row>
    <row r="6408" spans="24:25" x14ac:dyDescent="0.35">
      <c r="X6408" s="40"/>
      <c r="Y6408" s="40"/>
    </row>
    <row r="6409" spans="24:25" x14ac:dyDescent="0.35">
      <c r="X6409" s="40"/>
      <c r="Y6409" s="40"/>
    </row>
    <row r="6410" spans="24:25" x14ac:dyDescent="0.35">
      <c r="X6410" s="40"/>
      <c r="Y6410" s="40"/>
    </row>
    <row r="6411" spans="24:25" x14ac:dyDescent="0.35">
      <c r="X6411" s="40"/>
      <c r="Y6411" s="40"/>
    </row>
    <row r="6412" spans="24:25" x14ac:dyDescent="0.35">
      <c r="X6412" s="40"/>
      <c r="Y6412" s="40"/>
    </row>
    <row r="6413" spans="24:25" x14ac:dyDescent="0.35">
      <c r="X6413" s="40"/>
      <c r="Y6413" s="40"/>
    </row>
    <row r="6414" spans="24:25" x14ac:dyDescent="0.35">
      <c r="X6414" s="40"/>
      <c r="Y6414" s="40"/>
    </row>
    <row r="6415" spans="24:25" x14ac:dyDescent="0.35">
      <c r="X6415" s="40"/>
      <c r="Y6415" s="40"/>
    </row>
    <row r="6416" spans="24:25" x14ac:dyDescent="0.35">
      <c r="X6416" s="40"/>
      <c r="Y6416" s="40"/>
    </row>
    <row r="6417" spans="24:25" x14ac:dyDescent="0.35">
      <c r="X6417" s="40"/>
      <c r="Y6417" s="40"/>
    </row>
    <row r="6418" spans="24:25" x14ac:dyDescent="0.35">
      <c r="X6418" s="40"/>
      <c r="Y6418" s="40"/>
    </row>
    <row r="6419" spans="24:25" x14ac:dyDescent="0.35">
      <c r="X6419" s="40"/>
      <c r="Y6419" s="40"/>
    </row>
    <row r="6420" spans="24:25" x14ac:dyDescent="0.35">
      <c r="X6420" s="40"/>
      <c r="Y6420" s="40"/>
    </row>
    <row r="6421" spans="24:25" x14ac:dyDescent="0.35">
      <c r="X6421" s="40"/>
      <c r="Y6421" s="40"/>
    </row>
    <row r="6422" spans="24:25" x14ac:dyDescent="0.35">
      <c r="X6422" s="40"/>
      <c r="Y6422" s="40"/>
    </row>
    <row r="6423" spans="24:25" x14ac:dyDescent="0.35">
      <c r="X6423" s="40"/>
      <c r="Y6423" s="40"/>
    </row>
    <row r="6424" spans="24:25" x14ac:dyDescent="0.35">
      <c r="X6424" s="40"/>
      <c r="Y6424" s="40"/>
    </row>
    <row r="6425" spans="24:25" x14ac:dyDescent="0.35">
      <c r="X6425" s="40"/>
      <c r="Y6425" s="40"/>
    </row>
    <row r="6426" spans="24:25" x14ac:dyDescent="0.35">
      <c r="X6426" s="40"/>
      <c r="Y6426" s="40"/>
    </row>
    <row r="6427" spans="24:25" x14ac:dyDescent="0.35">
      <c r="X6427" s="40"/>
      <c r="Y6427" s="40"/>
    </row>
    <row r="6428" spans="24:25" x14ac:dyDescent="0.35">
      <c r="X6428" s="40"/>
      <c r="Y6428" s="40"/>
    </row>
    <row r="6429" spans="24:25" x14ac:dyDescent="0.35">
      <c r="X6429" s="40"/>
      <c r="Y6429" s="40"/>
    </row>
    <row r="6430" spans="24:25" x14ac:dyDescent="0.35">
      <c r="X6430" s="40"/>
      <c r="Y6430" s="40"/>
    </row>
    <row r="6431" spans="24:25" x14ac:dyDescent="0.35">
      <c r="X6431" s="40"/>
      <c r="Y6431" s="40"/>
    </row>
    <row r="6432" spans="24:25" x14ac:dyDescent="0.35">
      <c r="X6432" s="40"/>
      <c r="Y6432" s="40"/>
    </row>
    <row r="6433" spans="24:25" x14ac:dyDescent="0.35">
      <c r="X6433" s="40"/>
      <c r="Y6433" s="40"/>
    </row>
    <row r="6434" spans="24:25" x14ac:dyDescent="0.35">
      <c r="X6434" s="40"/>
      <c r="Y6434" s="40"/>
    </row>
    <row r="6435" spans="24:25" x14ac:dyDescent="0.35">
      <c r="X6435" s="40"/>
      <c r="Y6435" s="40"/>
    </row>
    <row r="6436" spans="24:25" x14ac:dyDescent="0.35">
      <c r="X6436" s="40"/>
      <c r="Y6436" s="40"/>
    </row>
    <row r="6437" spans="24:25" x14ac:dyDescent="0.35">
      <c r="X6437" s="40"/>
      <c r="Y6437" s="40"/>
    </row>
    <row r="6438" spans="24:25" x14ac:dyDescent="0.35">
      <c r="X6438" s="40"/>
      <c r="Y6438" s="40"/>
    </row>
    <row r="6439" spans="24:25" x14ac:dyDescent="0.35">
      <c r="X6439" s="40"/>
      <c r="Y6439" s="40"/>
    </row>
    <row r="6440" spans="24:25" x14ac:dyDescent="0.35">
      <c r="X6440" s="40"/>
      <c r="Y6440" s="40"/>
    </row>
    <row r="6441" spans="24:25" x14ac:dyDescent="0.35">
      <c r="X6441" s="40"/>
      <c r="Y6441" s="40"/>
    </row>
    <row r="6442" spans="24:25" x14ac:dyDescent="0.35">
      <c r="X6442" s="40"/>
      <c r="Y6442" s="40"/>
    </row>
    <row r="6443" spans="24:25" x14ac:dyDescent="0.35">
      <c r="X6443" s="40"/>
      <c r="Y6443" s="40"/>
    </row>
    <row r="6444" spans="24:25" x14ac:dyDescent="0.35">
      <c r="X6444" s="40"/>
      <c r="Y6444" s="40"/>
    </row>
    <row r="6445" spans="24:25" x14ac:dyDescent="0.35">
      <c r="X6445" s="40"/>
      <c r="Y6445" s="40"/>
    </row>
    <row r="6446" spans="24:25" x14ac:dyDescent="0.35">
      <c r="X6446" s="40"/>
      <c r="Y6446" s="40"/>
    </row>
    <row r="6447" spans="24:25" x14ac:dyDescent="0.35">
      <c r="X6447" s="40"/>
      <c r="Y6447" s="40"/>
    </row>
    <row r="6448" spans="24:25" x14ac:dyDescent="0.35">
      <c r="X6448" s="40"/>
      <c r="Y6448" s="40"/>
    </row>
    <row r="6449" spans="24:25" x14ac:dyDescent="0.35">
      <c r="X6449" s="40"/>
      <c r="Y6449" s="40"/>
    </row>
    <row r="6450" spans="24:25" x14ac:dyDescent="0.35">
      <c r="X6450" s="40"/>
      <c r="Y6450" s="40"/>
    </row>
    <row r="6451" spans="24:25" x14ac:dyDescent="0.35">
      <c r="X6451" s="40"/>
      <c r="Y6451" s="40"/>
    </row>
    <row r="6452" spans="24:25" x14ac:dyDescent="0.35">
      <c r="X6452" s="40"/>
      <c r="Y6452" s="40"/>
    </row>
    <row r="6453" spans="24:25" x14ac:dyDescent="0.35">
      <c r="X6453" s="40"/>
      <c r="Y6453" s="40"/>
    </row>
    <row r="6454" spans="24:25" x14ac:dyDescent="0.35">
      <c r="X6454" s="40"/>
      <c r="Y6454" s="40"/>
    </row>
    <row r="6455" spans="24:25" x14ac:dyDescent="0.35">
      <c r="X6455" s="40"/>
      <c r="Y6455" s="40"/>
    </row>
    <row r="6456" spans="24:25" x14ac:dyDescent="0.35">
      <c r="X6456" s="40"/>
      <c r="Y6456" s="40"/>
    </row>
    <row r="6457" spans="24:25" x14ac:dyDescent="0.35">
      <c r="X6457" s="40"/>
      <c r="Y6457" s="40"/>
    </row>
    <row r="6458" spans="24:25" x14ac:dyDescent="0.35">
      <c r="X6458" s="40"/>
      <c r="Y6458" s="40"/>
    </row>
    <row r="6459" spans="24:25" x14ac:dyDescent="0.35">
      <c r="X6459" s="40"/>
      <c r="Y6459" s="40"/>
    </row>
    <row r="6460" spans="24:25" x14ac:dyDescent="0.35">
      <c r="X6460" s="40"/>
      <c r="Y6460" s="40"/>
    </row>
    <row r="6461" spans="24:25" x14ac:dyDescent="0.35">
      <c r="X6461" s="40"/>
      <c r="Y6461" s="40"/>
    </row>
    <row r="6462" spans="24:25" x14ac:dyDescent="0.35">
      <c r="X6462" s="40"/>
      <c r="Y6462" s="40"/>
    </row>
    <row r="6463" spans="24:25" x14ac:dyDescent="0.35">
      <c r="X6463" s="40"/>
      <c r="Y6463" s="40"/>
    </row>
    <row r="6464" spans="24:25" x14ac:dyDescent="0.35">
      <c r="X6464" s="40"/>
      <c r="Y6464" s="40"/>
    </row>
    <row r="6465" spans="24:25" x14ac:dyDescent="0.35">
      <c r="X6465" s="40"/>
      <c r="Y6465" s="40"/>
    </row>
    <row r="6466" spans="24:25" x14ac:dyDescent="0.35">
      <c r="X6466" s="40"/>
      <c r="Y6466" s="40"/>
    </row>
    <row r="6467" spans="24:25" x14ac:dyDescent="0.35">
      <c r="X6467" s="40"/>
      <c r="Y6467" s="40"/>
    </row>
    <row r="6468" spans="24:25" x14ac:dyDescent="0.35">
      <c r="X6468" s="40"/>
      <c r="Y6468" s="40"/>
    </row>
    <row r="6469" spans="24:25" x14ac:dyDescent="0.35">
      <c r="X6469" s="40"/>
      <c r="Y6469" s="40"/>
    </row>
    <row r="6470" spans="24:25" x14ac:dyDescent="0.35">
      <c r="X6470" s="40"/>
      <c r="Y6470" s="40"/>
    </row>
    <row r="6471" spans="24:25" x14ac:dyDescent="0.35">
      <c r="X6471" s="40"/>
      <c r="Y6471" s="40"/>
    </row>
    <row r="6472" spans="24:25" x14ac:dyDescent="0.35">
      <c r="X6472" s="40"/>
      <c r="Y6472" s="40"/>
    </row>
    <row r="6473" spans="24:25" x14ac:dyDescent="0.35">
      <c r="X6473" s="40"/>
      <c r="Y6473" s="40"/>
    </row>
    <row r="6474" spans="24:25" x14ac:dyDescent="0.35">
      <c r="X6474" s="40"/>
      <c r="Y6474" s="40"/>
    </row>
    <row r="6475" spans="24:25" x14ac:dyDescent="0.35">
      <c r="X6475" s="40"/>
      <c r="Y6475" s="40"/>
    </row>
    <row r="6476" spans="24:25" x14ac:dyDescent="0.35">
      <c r="X6476" s="40"/>
      <c r="Y6476" s="40"/>
    </row>
    <row r="6477" spans="24:25" x14ac:dyDescent="0.35">
      <c r="X6477" s="40"/>
      <c r="Y6477" s="40"/>
    </row>
    <row r="6478" spans="24:25" x14ac:dyDescent="0.35">
      <c r="X6478" s="40"/>
      <c r="Y6478" s="40"/>
    </row>
    <row r="6479" spans="24:25" x14ac:dyDescent="0.35">
      <c r="X6479" s="40"/>
      <c r="Y6479" s="40"/>
    </row>
    <row r="6480" spans="24:25" x14ac:dyDescent="0.35">
      <c r="X6480" s="40"/>
      <c r="Y6480" s="40"/>
    </row>
    <row r="6481" spans="24:25" x14ac:dyDescent="0.35">
      <c r="X6481" s="40"/>
      <c r="Y6481" s="40"/>
    </row>
    <row r="6482" spans="24:25" x14ac:dyDescent="0.35">
      <c r="X6482" s="40"/>
      <c r="Y6482" s="40"/>
    </row>
    <row r="6483" spans="24:25" x14ac:dyDescent="0.35">
      <c r="X6483" s="40"/>
      <c r="Y6483" s="40"/>
    </row>
    <row r="6484" spans="24:25" x14ac:dyDescent="0.35">
      <c r="X6484" s="40"/>
      <c r="Y6484" s="40"/>
    </row>
    <row r="6485" spans="24:25" x14ac:dyDescent="0.35">
      <c r="X6485" s="40"/>
      <c r="Y6485" s="40"/>
    </row>
    <row r="6486" spans="24:25" x14ac:dyDescent="0.35">
      <c r="X6486" s="40"/>
      <c r="Y6486" s="40"/>
    </row>
    <row r="6487" spans="24:25" x14ac:dyDescent="0.35">
      <c r="X6487" s="40"/>
      <c r="Y6487" s="40"/>
    </row>
    <row r="6488" spans="24:25" x14ac:dyDescent="0.35">
      <c r="X6488" s="40"/>
      <c r="Y6488" s="40"/>
    </row>
    <row r="6489" spans="24:25" x14ac:dyDescent="0.35">
      <c r="X6489" s="40"/>
      <c r="Y6489" s="40"/>
    </row>
    <row r="6490" spans="24:25" x14ac:dyDescent="0.35">
      <c r="X6490" s="40"/>
      <c r="Y6490" s="40"/>
    </row>
    <row r="6491" spans="24:25" x14ac:dyDescent="0.35">
      <c r="X6491" s="40"/>
      <c r="Y6491" s="40"/>
    </row>
    <row r="6492" spans="24:25" x14ac:dyDescent="0.35">
      <c r="X6492" s="40"/>
      <c r="Y6492" s="40"/>
    </row>
    <row r="6493" spans="24:25" x14ac:dyDescent="0.35">
      <c r="X6493" s="40"/>
      <c r="Y6493" s="40"/>
    </row>
    <row r="6494" spans="24:25" x14ac:dyDescent="0.35">
      <c r="X6494" s="40"/>
      <c r="Y6494" s="40"/>
    </row>
    <row r="6495" spans="24:25" x14ac:dyDescent="0.35">
      <c r="X6495" s="40"/>
      <c r="Y6495" s="40"/>
    </row>
    <row r="6496" spans="24:25" x14ac:dyDescent="0.35">
      <c r="X6496" s="40"/>
      <c r="Y6496" s="40"/>
    </row>
    <row r="6497" spans="24:25" x14ac:dyDescent="0.35">
      <c r="X6497" s="40"/>
      <c r="Y6497" s="40"/>
    </row>
    <row r="6498" spans="24:25" x14ac:dyDescent="0.35">
      <c r="X6498" s="40"/>
      <c r="Y6498" s="40"/>
    </row>
    <row r="6499" spans="24:25" x14ac:dyDescent="0.35">
      <c r="X6499" s="40"/>
      <c r="Y6499" s="40"/>
    </row>
    <row r="6500" spans="24:25" x14ac:dyDescent="0.35">
      <c r="X6500" s="40"/>
      <c r="Y6500" s="40"/>
    </row>
    <row r="6501" spans="24:25" x14ac:dyDescent="0.35">
      <c r="X6501" s="40"/>
      <c r="Y6501" s="40"/>
    </row>
    <row r="6502" spans="24:25" x14ac:dyDescent="0.35">
      <c r="X6502" s="40"/>
      <c r="Y6502" s="40"/>
    </row>
    <row r="6503" spans="24:25" x14ac:dyDescent="0.35">
      <c r="X6503" s="40"/>
      <c r="Y6503" s="40"/>
    </row>
    <row r="6504" spans="24:25" x14ac:dyDescent="0.35">
      <c r="X6504" s="40"/>
      <c r="Y6504" s="40"/>
    </row>
    <row r="6505" spans="24:25" x14ac:dyDescent="0.35">
      <c r="X6505" s="40"/>
      <c r="Y6505" s="40"/>
    </row>
    <row r="6506" spans="24:25" x14ac:dyDescent="0.35">
      <c r="X6506" s="40"/>
      <c r="Y6506" s="40"/>
    </row>
    <row r="6507" spans="24:25" x14ac:dyDescent="0.35">
      <c r="X6507" s="40"/>
      <c r="Y6507" s="40"/>
    </row>
    <row r="6508" spans="24:25" x14ac:dyDescent="0.35">
      <c r="X6508" s="40"/>
      <c r="Y6508" s="40"/>
    </row>
    <row r="6509" spans="24:25" x14ac:dyDescent="0.35">
      <c r="X6509" s="40"/>
      <c r="Y6509" s="40"/>
    </row>
    <row r="6510" spans="24:25" x14ac:dyDescent="0.35">
      <c r="X6510" s="40"/>
      <c r="Y6510" s="40"/>
    </row>
    <row r="6511" spans="24:25" x14ac:dyDescent="0.35">
      <c r="X6511" s="40"/>
      <c r="Y6511" s="40"/>
    </row>
    <row r="6512" spans="24:25" x14ac:dyDescent="0.35">
      <c r="X6512" s="40"/>
      <c r="Y6512" s="40"/>
    </row>
    <row r="6513" spans="24:25" x14ac:dyDescent="0.35">
      <c r="X6513" s="40"/>
      <c r="Y6513" s="40"/>
    </row>
    <row r="6514" spans="24:25" x14ac:dyDescent="0.35">
      <c r="X6514" s="40"/>
      <c r="Y6514" s="40"/>
    </row>
    <row r="6515" spans="24:25" x14ac:dyDescent="0.35">
      <c r="X6515" s="40"/>
      <c r="Y6515" s="40"/>
    </row>
    <row r="6516" spans="24:25" x14ac:dyDescent="0.35">
      <c r="X6516" s="40"/>
      <c r="Y6516" s="40"/>
    </row>
    <row r="6517" spans="24:25" x14ac:dyDescent="0.35">
      <c r="X6517" s="40"/>
      <c r="Y6517" s="40"/>
    </row>
    <row r="6518" spans="24:25" x14ac:dyDescent="0.35">
      <c r="X6518" s="40"/>
      <c r="Y6518" s="40"/>
    </row>
    <row r="6519" spans="24:25" x14ac:dyDescent="0.35">
      <c r="X6519" s="40"/>
      <c r="Y6519" s="40"/>
    </row>
    <row r="6520" spans="24:25" x14ac:dyDescent="0.35">
      <c r="X6520" s="40"/>
      <c r="Y6520" s="40"/>
    </row>
    <row r="6521" spans="24:25" x14ac:dyDescent="0.35">
      <c r="X6521" s="40"/>
      <c r="Y6521" s="40"/>
    </row>
    <row r="6522" spans="24:25" x14ac:dyDescent="0.35">
      <c r="X6522" s="40"/>
      <c r="Y6522" s="40"/>
    </row>
    <row r="6523" spans="24:25" x14ac:dyDescent="0.35">
      <c r="X6523" s="40"/>
      <c r="Y6523" s="40"/>
    </row>
    <row r="6524" spans="24:25" x14ac:dyDescent="0.35">
      <c r="X6524" s="40"/>
      <c r="Y6524" s="40"/>
    </row>
    <row r="6525" spans="24:25" x14ac:dyDescent="0.35">
      <c r="X6525" s="40"/>
      <c r="Y6525" s="40"/>
    </row>
    <row r="6526" spans="24:25" x14ac:dyDescent="0.35">
      <c r="X6526" s="40"/>
      <c r="Y6526" s="40"/>
    </row>
    <row r="6527" spans="24:25" x14ac:dyDescent="0.35">
      <c r="X6527" s="40"/>
      <c r="Y6527" s="40"/>
    </row>
    <row r="6528" spans="24:25" x14ac:dyDescent="0.35">
      <c r="X6528" s="40"/>
      <c r="Y6528" s="40"/>
    </row>
    <row r="6529" spans="24:25" x14ac:dyDescent="0.35">
      <c r="X6529" s="40"/>
      <c r="Y6529" s="40"/>
    </row>
    <row r="6530" spans="24:25" x14ac:dyDescent="0.35">
      <c r="X6530" s="40"/>
      <c r="Y6530" s="40"/>
    </row>
    <row r="6531" spans="24:25" x14ac:dyDescent="0.35">
      <c r="X6531" s="40"/>
      <c r="Y6531" s="40"/>
    </row>
    <row r="6532" spans="24:25" x14ac:dyDescent="0.35">
      <c r="X6532" s="40"/>
      <c r="Y6532" s="40"/>
    </row>
    <row r="6533" spans="24:25" x14ac:dyDescent="0.35">
      <c r="X6533" s="40"/>
      <c r="Y6533" s="40"/>
    </row>
    <row r="6534" spans="24:25" x14ac:dyDescent="0.35">
      <c r="X6534" s="40"/>
      <c r="Y6534" s="40"/>
    </row>
    <row r="6535" spans="24:25" x14ac:dyDescent="0.35">
      <c r="X6535" s="40"/>
      <c r="Y6535" s="40"/>
    </row>
    <row r="6536" spans="24:25" x14ac:dyDescent="0.35">
      <c r="X6536" s="40"/>
      <c r="Y6536" s="40"/>
    </row>
    <row r="6537" spans="24:25" x14ac:dyDescent="0.35">
      <c r="X6537" s="40"/>
      <c r="Y6537" s="40"/>
    </row>
    <row r="6538" spans="24:25" x14ac:dyDescent="0.35">
      <c r="X6538" s="40"/>
      <c r="Y6538" s="40"/>
    </row>
    <row r="6539" spans="24:25" x14ac:dyDescent="0.35">
      <c r="X6539" s="40"/>
      <c r="Y6539" s="40"/>
    </row>
    <row r="6540" spans="24:25" x14ac:dyDescent="0.35">
      <c r="X6540" s="40"/>
      <c r="Y6540" s="40"/>
    </row>
    <row r="6541" spans="24:25" x14ac:dyDescent="0.35">
      <c r="X6541" s="40"/>
      <c r="Y6541" s="40"/>
    </row>
    <row r="6542" spans="24:25" x14ac:dyDescent="0.35">
      <c r="X6542" s="40"/>
      <c r="Y6542" s="40"/>
    </row>
    <row r="6543" spans="24:25" x14ac:dyDescent="0.35">
      <c r="X6543" s="40"/>
      <c r="Y6543" s="40"/>
    </row>
    <row r="6544" spans="24:25" x14ac:dyDescent="0.35">
      <c r="X6544" s="40"/>
      <c r="Y6544" s="40"/>
    </row>
    <row r="6545" spans="24:25" x14ac:dyDescent="0.35">
      <c r="X6545" s="40"/>
      <c r="Y6545" s="40"/>
    </row>
    <row r="6546" spans="24:25" x14ac:dyDescent="0.35">
      <c r="X6546" s="40"/>
      <c r="Y6546" s="40"/>
    </row>
    <row r="6547" spans="24:25" x14ac:dyDescent="0.35">
      <c r="X6547" s="40"/>
      <c r="Y6547" s="40"/>
    </row>
    <row r="6548" spans="24:25" x14ac:dyDescent="0.35">
      <c r="X6548" s="40"/>
      <c r="Y6548" s="40"/>
    </row>
    <row r="6549" spans="24:25" x14ac:dyDescent="0.35">
      <c r="X6549" s="40"/>
      <c r="Y6549" s="40"/>
    </row>
    <row r="6550" spans="24:25" x14ac:dyDescent="0.35">
      <c r="X6550" s="40"/>
      <c r="Y6550" s="40"/>
    </row>
    <row r="6551" spans="24:25" x14ac:dyDescent="0.35">
      <c r="X6551" s="40"/>
      <c r="Y6551" s="40"/>
    </row>
    <row r="6552" spans="24:25" x14ac:dyDescent="0.35">
      <c r="X6552" s="40"/>
      <c r="Y6552" s="40"/>
    </row>
    <row r="6553" spans="24:25" x14ac:dyDescent="0.35">
      <c r="X6553" s="40"/>
      <c r="Y6553" s="40"/>
    </row>
    <row r="6554" spans="24:25" x14ac:dyDescent="0.35">
      <c r="X6554" s="40"/>
      <c r="Y6554" s="40"/>
    </row>
    <row r="6555" spans="24:25" x14ac:dyDescent="0.35">
      <c r="X6555" s="40"/>
      <c r="Y6555" s="40"/>
    </row>
    <row r="6556" spans="24:25" x14ac:dyDescent="0.35">
      <c r="X6556" s="40"/>
      <c r="Y6556" s="40"/>
    </row>
    <row r="6557" spans="24:25" x14ac:dyDescent="0.35">
      <c r="X6557" s="40"/>
      <c r="Y6557" s="40"/>
    </row>
    <row r="6558" spans="24:25" x14ac:dyDescent="0.35">
      <c r="X6558" s="40"/>
      <c r="Y6558" s="40"/>
    </row>
    <row r="6559" spans="24:25" x14ac:dyDescent="0.35">
      <c r="X6559" s="40"/>
      <c r="Y6559" s="40"/>
    </row>
    <row r="6560" spans="24:25" x14ac:dyDescent="0.35">
      <c r="X6560" s="40"/>
      <c r="Y6560" s="40"/>
    </row>
    <row r="6561" spans="24:25" x14ac:dyDescent="0.35">
      <c r="X6561" s="40"/>
      <c r="Y6561" s="40"/>
    </row>
    <row r="6562" spans="24:25" x14ac:dyDescent="0.35">
      <c r="X6562" s="40"/>
      <c r="Y6562" s="40"/>
    </row>
    <row r="6563" spans="24:25" x14ac:dyDescent="0.35">
      <c r="X6563" s="40"/>
      <c r="Y6563" s="40"/>
    </row>
    <row r="6564" spans="24:25" x14ac:dyDescent="0.35">
      <c r="X6564" s="40"/>
      <c r="Y6564" s="40"/>
    </row>
    <row r="6565" spans="24:25" x14ac:dyDescent="0.35">
      <c r="X6565" s="40"/>
      <c r="Y6565" s="40"/>
    </row>
    <row r="6566" spans="24:25" x14ac:dyDescent="0.35">
      <c r="X6566" s="40"/>
      <c r="Y6566" s="40"/>
    </row>
    <row r="6567" spans="24:25" x14ac:dyDescent="0.35">
      <c r="X6567" s="40"/>
      <c r="Y6567" s="40"/>
    </row>
    <row r="6568" spans="24:25" x14ac:dyDescent="0.35">
      <c r="X6568" s="40"/>
      <c r="Y6568" s="40"/>
    </row>
    <row r="6569" spans="24:25" x14ac:dyDescent="0.35">
      <c r="X6569" s="40"/>
      <c r="Y6569" s="40"/>
    </row>
    <row r="6570" spans="24:25" x14ac:dyDescent="0.35">
      <c r="X6570" s="40"/>
      <c r="Y6570" s="40"/>
    </row>
    <row r="6571" spans="24:25" x14ac:dyDescent="0.35">
      <c r="X6571" s="40"/>
      <c r="Y6571" s="40"/>
    </row>
    <row r="6572" spans="24:25" x14ac:dyDescent="0.35">
      <c r="X6572" s="40"/>
      <c r="Y6572" s="40"/>
    </row>
    <row r="6573" spans="24:25" x14ac:dyDescent="0.35">
      <c r="X6573" s="40"/>
      <c r="Y6573" s="40"/>
    </row>
    <row r="6574" spans="24:25" x14ac:dyDescent="0.35">
      <c r="X6574" s="40"/>
      <c r="Y6574" s="40"/>
    </row>
    <row r="6575" spans="24:25" x14ac:dyDescent="0.35">
      <c r="X6575" s="40"/>
      <c r="Y6575" s="40"/>
    </row>
    <row r="6576" spans="24:25" x14ac:dyDescent="0.35">
      <c r="X6576" s="40"/>
      <c r="Y6576" s="40"/>
    </row>
    <row r="6577" spans="24:25" x14ac:dyDescent="0.35">
      <c r="X6577" s="40"/>
      <c r="Y6577" s="40"/>
    </row>
    <row r="6578" spans="24:25" x14ac:dyDescent="0.35">
      <c r="X6578" s="40"/>
      <c r="Y6578" s="40"/>
    </row>
    <row r="6579" spans="24:25" x14ac:dyDescent="0.35">
      <c r="X6579" s="40"/>
      <c r="Y6579" s="40"/>
    </row>
    <row r="6580" spans="24:25" x14ac:dyDescent="0.35">
      <c r="X6580" s="40"/>
      <c r="Y6580" s="40"/>
    </row>
    <row r="6581" spans="24:25" x14ac:dyDescent="0.35">
      <c r="X6581" s="40"/>
      <c r="Y6581" s="40"/>
    </row>
    <row r="6582" spans="24:25" x14ac:dyDescent="0.35">
      <c r="X6582" s="40"/>
      <c r="Y6582" s="40"/>
    </row>
    <row r="6583" spans="24:25" x14ac:dyDescent="0.35">
      <c r="X6583" s="40"/>
      <c r="Y6583" s="40"/>
    </row>
    <row r="6584" spans="24:25" x14ac:dyDescent="0.35">
      <c r="X6584" s="40"/>
      <c r="Y6584" s="40"/>
    </row>
    <row r="6585" spans="24:25" x14ac:dyDescent="0.35">
      <c r="X6585" s="40"/>
      <c r="Y6585" s="40"/>
    </row>
    <row r="6586" spans="24:25" x14ac:dyDescent="0.35">
      <c r="X6586" s="40"/>
      <c r="Y6586" s="40"/>
    </row>
    <row r="6587" spans="24:25" x14ac:dyDescent="0.35">
      <c r="X6587" s="40"/>
      <c r="Y6587" s="40"/>
    </row>
    <row r="6588" spans="24:25" x14ac:dyDescent="0.35">
      <c r="X6588" s="40"/>
      <c r="Y6588" s="40"/>
    </row>
    <row r="6589" spans="24:25" x14ac:dyDescent="0.35">
      <c r="X6589" s="40"/>
      <c r="Y6589" s="40"/>
    </row>
    <row r="6590" spans="24:25" x14ac:dyDescent="0.35">
      <c r="X6590" s="40"/>
      <c r="Y6590" s="40"/>
    </row>
    <row r="6591" spans="24:25" x14ac:dyDescent="0.35">
      <c r="X6591" s="40"/>
      <c r="Y6591" s="40"/>
    </row>
    <row r="6592" spans="24:25" x14ac:dyDescent="0.35">
      <c r="X6592" s="40"/>
      <c r="Y6592" s="40"/>
    </row>
    <row r="6593" spans="24:25" x14ac:dyDescent="0.35">
      <c r="X6593" s="40"/>
      <c r="Y6593" s="40"/>
    </row>
    <row r="6594" spans="24:25" x14ac:dyDescent="0.35">
      <c r="X6594" s="40"/>
      <c r="Y6594" s="40"/>
    </row>
    <row r="6595" spans="24:25" x14ac:dyDescent="0.35">
      <c r="X6595" s="40"/>
      <c r="Y6595" s="40"/>
    </row>
    <row r="6596" spans="24:25" x14ac:dyDescent="0.35">
      <c r="X6596" s="40"/>
      <c r="Y6596" s="40"/>
    </row>
    <row r="6597" spans="24:25" x14ac:dyDescent="0.35">
      <c r="X6597" s="40"/>
      <c r="Y6597" s="40"/>
    </row>
    <row r="6598" spans="24:25" x14ac:dyDescent="0.35">
      <c r="X6598" s="40"/>
      <c r="Y6598" s="40"/>
    </row>
    <row r="6599" spans="24:25" x14ac:dyDescent="0.35">
      <c r="X6599" s="40"/>
      <c r="Y6599" s="40"/>
    </row>
    <row r="6600" spans="24:25" x14ac:dyDescent="0.35">
      <c r="X6600" s="40"/>
      <c r="Y6600" s="40"/>
    </row>
    <row r="6601" spans="24:25" x14ac:dyDescent="0.35">
      <c r="X6601" s="40"/>
      <c r="Y6601" s="40"/>
    </row>
    <row r="6602" spans="24:25" x14ac:dyDescent="0.35">
      <c r="X6602" s="40"/>
      <c r="Y6602" s="40"/>
    </row>
    <row r="6603" spans="24:25" x14ac:dyDescent="0.35">
      <c r="X6603" s="40"/>
      <c r="Y6603" s="40"/>
    </row>
    <row r="6604" spans="24:25" x14ac:dyDescent="0.35">
      <c r="X6604" s="40"/>
      <c r="Y6604" s="40"/>
    </row>
    <row r="6605" spans="24:25" x14ac:dyDescent="0.35">
      <c r="X6605" s="40"/>
      <c r="Y6605" s="40"/>
    </row>
    <row r="6606" spans="24:25" x14ac:dyDescent="0.35">
      <c r="X6606" s="40"/>
      <c r="Y6606" s="40"/>
    </row>
    <row r="6607" spans="24:25" x14ac:dyDescent="0.35">
      <c r="X6607" s="40"/>
      <c r="Y6607" s="40"/>
    </row>
    <row r="6608" spans="24:25" x14ac:dyDescent="0.35">
      <c r="X6608" s="40"/>
      <c r="Y6608" s="40"/>
    </row>
    <row r="6609" spans="24:25" x14ac:dyDescent="0.35">
      <c r="X6609" s="40"/>
      <c r="Y6609" s="40"/>
    </row>
    <row r="6610" spans="24:25" x14ac:dyDescent="0.35">
      <c r="X6610" s="40"/>
      <c r="Y6610" s="40"/>
    </row>
    <row r="6611" spans="24:25" x14ac:dyDescent="0.35">
      <c r="X6611" s="40"/>
      <c r="Y6611" s="40"/>
    </row>
    <row r="6612" spans="24:25" x14ac:dyDescent="0.35">
      <c r="X6612" s="40"/>
      <c r="Y6612" s="40"/>
    </row>
    <row r="6613" spans="24:25" x14ac:dyDescent="0.35">
      <c r="X6613" s="40"/>
      <c r="Y6613" s="40"/>
    </row>
    <row r="6614" spans="24:25" x14ac:dyDescent="0.35">
      <c r="X6614" s="40"/>
      <c r="Y6614" s="40"/>
    </row>
    <row r="6615" spans="24:25" x14ac:dyDescent="0.35">
      <c r="X6615" s="40"/>
      <c r="Y6615" s="40"/>
    </row>
    <row r="6616" spans="24:25" x14ac:dyDescent="0.35">
      <c r="X6616" s="40"/>
      <c r="Y6616" s="40"/>
    </row>
    <row r="6617" spans="24:25" x14ac:dyDescent="0.35">
      <c r="X6617" s="40"/>
      <c r="Y6617" s="40"/>
    </row>
    <row r="6618" spans="24:25" x14ac:dyDescent="0.35">
      <c r="X6618" s="40"/>
      <c r="Y6618" s="40"/>
    </row>
    <row r="6619" spans="24:25" x14ac:dyDescent="0.35">
      <c r="X6619" s="40"/>
      <c r="Y6619" s="40"/>
    </row>
    <row r="6620" spans="24:25" x14ac:dyDescent="0.35">
      <c r="X6620" s="40"/>
      <c r="Y6620" s="40"/>
    </row>
    <row r="6621" spans="24:25" x14ac:dyDescent="0.35">
      <c r="X6621" s="40"/>
      <c r="Y6621" s="40"/>
    </row>
    <row r="6622" spans="24:25" x14ac:dyDescent="0.35">
      <c r="X6622" s="40"/>
      <c r="Y6622" s="40"/>
    </row>
    <row r="6623" spans="24:25" x14ac:dyDescent="0.35">
      <c r="X6623" s="40"/>
      <c r="Y6623" s="40"/>
    </row>
    <row r="6624" spans="24:25" x14ac:dyDescent="0.35">
      <c r="X6624" s="40"/>
      <c r="Y6624" s="40"/>
    </row>
    <row r="6625" spans="24:25" x14ac:dyDescent="0.35">
      <c r="X6625" s="40"/>
      <c r="Y6625" s="40"/>
    </row>
    <row r="6626" spans="24:25" x14ac:dyDescent="0.35">
      <c r="X6626" s="40"/>
      <c r="Y6626" s="40"/>
    </row>
    <row r="6627" spans="24:25" x14ac:dyDescent="0.35">
      <c r="X6627" s="40"/>
      <c r="Y6627" s="40"/>
    </row>
    <row r="6628" spans="24:25" x14ac:dyDescent="0.35">
      <c r="X6628" s="40"/>
      <c r="Y6628" s="40"/>
    </row>
    <row r="6629" spans="24:25" x14ac:dyDescent="0.35">
      <c r="X6629" s="40"/>
      <c r="Y6629" s="40"/>
    </row>
    <row r="6630" spans="24:25" x14ac:dyDescent="0.35">
      <c r="X6630" s="40"/>
      <c r="Y6630" s="40"/>
    </row>
    <row r="6631" spans="24:25" x14ac:dyDescent="0.35">
      <c r="X6631" s="40"/>
      <c r="Y6631" s="40"/>
    </row>
    <row r="6632" spans="24:25" x14ac:dyDescent="0.35">
      <c r="X6632" s="40"/>
      <c r="Y6632" s="40"/>
    </row>
    <row r="6633" spans="24:25" x14ac:dyDescent="0.35">
      <c r="X6633" s="40"/>
      <c r="Y6633" s="40"/>
    </row>
    <row r="6634" spans="24:25" x14ac:dyDescent="0.35">
      <c r="X6634" s="40"/>
      <c r="Y6634" s="40"/>
    </row>
    <row r="6635" spans="24:25" x14ac:dyDescent="0.35">
      <c r="X6635" s="40"/>
      <c r="Y6635" s="40"/>
    </row>
    <row r="6636" spans="24:25" x14ac:dyDescent="0.35">
      <c r="X6636" s="40"/>
      <c r="Y6636" s="40"/>
    </row>
    <row r="6637" spans="24:25" x14ac:dyDescent="0.35">
      <c r="X6637" s="40"/>
      <c r="Y6637" s="40"/>
    </row>
    <row r="6638" spans="24:25" x14ac:dyDescent="0.35">
      <c r="X6638" s="40"/>
      <c r="Y6638" s="40"/>
    </row>
    <row r="6639" spans="24:25" x14ac:dyDescent="0.35">
      <c r="X6639" s="40"/>
      <c r="Y6639" s="40"/>
    </row>
    <row r="6640" spans="24:25" x14ac:dyDescent="0.35">
      <c r="X6640" s="40"/>
      <c r="Y6640" s="40"/>
    </row>
    <row r="6641" spans="24:25" x14ac:dyDescent="0.35">
      <c r="X6641" s="40"/>
      <c r="Y6641" s="40"/>
    </row>
    <row r="6642" spans="24:25" x14ac:dyDescent="0.35">
      <c r="X6642" s="40"/>
      <c r="Y6642" s="40"/>
    </row>
    <row r="6643" spans="24:25" x14ac:dyDescent="0.35">
      <c r="X6643" s="40"/>
      <c r="Y6643" s="40"/>
    </row>
    <row r="6644" spans="24:25" x14ac:dyDescent="0.35">
      <c r="X6644" s="40"/>
      <c r="Y6644" s="40"/>
    </row>
    <row r="6645" spans="24:25" x14ac:dyDescent="0.35">
      <c r="X6645" s="40"/>
      <c r="Y6645" s="40"/>
    </row>
    <row r="6646" spans="24:25" x14ac:dyDescent="0.35">
      <c r="X6646" s="40"/>
      <c r="Y6646" s="40"/>
    </row>
    <row r="6647" spans="24:25" x14ac:dyDescent="0.35">
      <c r="X6647" s="40"/>
      <c r="Y6647" s="40"/>
    </row>
    <row r="6648" spans="24:25" x14ac:dyDescent="0.35">
      <c r="X6648" s="40"/>
      <c r="Y6648" s="40"/>
    </row>
    <row r="6649" spans="24:25" x14ac:dyDescent="0.35">
      <c r="X6649" s="40"/>
      <c r="Y6649" s="40"/>
    </row>
    <row r="6650" spans="24:25" x14ac:dyDescent="0.35">
      <c r="X6650" s="40"/>
      <c r="Y6650" s="40"/>
    </row>
    <row r="6651" spans="24:25" x14ac:dyDescent="0.35">
      <c r="X6651" s="40"/>
      <c r="Y6651" s="40"/>
    </row>
    <row r="6652" spans="24:25" x14ac:dyDescent="0.35">
      <c r="X6652" s="40"/>
      <c r="Y6652" s="40"/>
    </row>
    <row r="6653" spans="24:25" x14ac:dyDescent="0.35">
      <c r="X6653" s="40"/>
      <c r="Y6653" s="40"/>
    </row>
    <row r="6654" spans="24:25" x14ac:dyDescent="0.35">
      <c r="X6654" s="40"/>
      <c r="Y6654" s="40"/>
    </row>
    <row r="6655" spans="24:25" x14ac:dyDescent="0.35">
      <c r="X6655" s="40"/>
      <c r="Y6655" s="40"/>
    </row>
    <row r="6656" spans="24:25" x14ac:dyDescent="0.35">
      <c r="X6656" s="40"/>
      <c r="Y6656" s="40"/>
    </row>
    <row r="6657" spans="24:25" x14ac:dyDescent="0.35">
      <c r="X6657" s="40"/>
      <c r="Y6657" s="40"/>
    </row>
    <row r="6658" spans="24:25" x14ac:dyDescent="0.35">
      <c r="X6658" s="40"/>
      <c r="Y6658" s="40"/>
    </row>
    <row r="6659" spans="24:25" x14ac:dyDescent="0.35">
      <c r="X6659" s="40"/>
      <c r="Y6659" s="40"/>
    </row>
    <row r="6660" spans="24:25" x14ac:dyDescent="0.35">
      <c r="X6660" s="40"/>
      <c r="Y6660" s="40"/>
    </row>
    <row r="6661" spans="24:25" x14ac:dyDescent="0.35">
      <c r="X6661" s="40"/>
      <c r="Y6661" s="40"/>
    </row>
    <row r="6662" spans="24:25" x14ac:dyDescent="0.35">
      <c r="X6662" s="40"/>
      <c r="Y6662" s="40"/>
    </row>
    <row r="6663" spans="24:25" x14ac:dyDescent="0.35">
      <c r="X6663" s="40"/>
      <c r="Y6663" s="40"/>
    </row>
    <row r="6664" spans="24:25" x14ac:dyDescent="0.35">
      <c r="X6664" s="40"/>
      <c r="Y6664" s="40"/>
    </row>
    <row r="6665" spans="24:25" x14ac:dyDescent="0.35">
      <c r="X6665" s="40"/>
      <c r="Y6665" s="40"/>
    </row>
    <row r="6666" spans="24:25" x14ac:dyDescent="0.35">
      <c r="X6666" s="40"/>
      <c r="Y6666" s="40"/>
    </row>
    <row r="6667" spans="24:25" x14ac:dyDescent="0.35">
      <c r="X6667" s="40"/>
      <c r="Y6667" s="40"/>
    </row>
    <row r="6668" spans="24:25" x14ac:dyDescent="0.35">
      <c r="X6668" s="40"/>
      <c r="Y6668" s="40"/>
    </row>
    <row r="6669" spans="24:25" x14ac:dyDescent="0.35">
      <c r="X6669" s="40"/>
      <c r="Y6669" s="40"/>
    </row>
    <row r="6670" spans="24:25" x14ac:dyDescent="0.35">
      <c r="X6670" s="40"/>
      <c r="Y6670" s="40"/>
    </row>
    <row r="6671" spans="24:25" x14ac:dyDescent="0.35">
      <c r="X6671" s="40"/>
      <c r="Y6671" s="40"/>
    </row>
    <row r="6672" spans="24:25" x14ac:dyDescent="0.35">
      <c r="X6672" s="40"/>
      <c r="Y6672" s="40"/>
    </row>
    <row r="6673" spans="24:25" x14ac:dyDescent="0.35">
      <c r="X6673" s="40"/>
      <c r="Y6673" s="40"/>
    </row>
    <row r="6674" spans="24:25" x14ac:dyDescent="0.35">
      <c r="X6674" s="40"/>
      <c r="Y6674" s="40"/>
    </row>
    <row r="6675" spans="24:25" x14ac:dyDescent="0.35">
      <c r="X6675" s="40"/>
      <c r="Y6675" s="40"/>
    </row>
    <row r="6676" spans="24:25" x14ac:dyDescent="0.35">
      <c r="X6676" s="40"/>
      <c r="Y6676" s="40"/>
    </row>
    <row r="6677" spans="24:25" x14ac:dyDescent="0.35">
      <c r="X6677" s="40"/>
      <c r="Y6677" s="40"/>
    </row>
    <row r="6678" spans="24:25" x14ac:dyDescent="0.35">
      <c r="X6678" s="40"/>
      <c r="Y6678" s="40"/>
    </row>
    <row r="6679" spans="24:25" x14ac:dyDescent="0.35">
      <c r="X6679" s="40"/>
      <c r="Y6679" s="40"/>
    </row>
    <row r="6680" spans="24:25" x14ac:dyDescent="0.35">
      <c r="X6680" s="40"/>
      <c r="Y6680" s="40"/>
    </row>
    <row r="6681" spans="24:25" x14ac:dyDescent="0.35">
      <c r="X6681" s="40"/>
      <c r="Y6681" s="40"/>
    </row>
    <row r="6682" spans="24:25" x14ac:dyDescent="0.35">
      <c r="X6682" s="40"/>
      <c r="Y6682" s="40"/>
    </row>
    <row r="6683" spans="24:25" x14ac:dyDescent="0.35">
      <c r="X6683" s="40"/>
      <c r="Y6683" s="40"/>
    </row>
    <row r="6684" spans="24:25" x14ac:dyDescent="0.35">
      <c r="X6684" s="40"/>
      <c r="Y6684" s="40"/>
    </row>
    <row r="6685" spans="24:25" x14ac:dyDescent="0.35">
      <c r="X6685" s="40"/>
      <c r="Y6685" s="40"/>
    </row>
    <row r="6686" spans="24:25" x14ac:dyDescent="0.35">
      <c r="X6686" s="40"/>
      <c r="Y6686" s="40"/>
    </row>
    <row r="6687" spans="24:25" x14ac:dyDescent="0.35">
      <c r="X6687" s="40"/>
      <c r="Y6687" s="40"/>
    </row>
    <row r="6688" spans="24:25" x14ac:dyDescent="0.35">
      <c r="X6688" s="40"/>
      <c r="Y6688" s="40"/>
    </row>
    <row r="6689" spans="24:25" x14ac:dyDescent="0.35">
      <c r="X6689" s="40"/>
      <c r="Y6689" s="40"/>
    </row>
    <row r="6690" spans="24:25" x14ac:dyDescent="0.35">
      <c r="X6690" s="40"/>
      <c r="Y6690" s="40"/>
    </row>
    <row r="6691" spans="24:25" x14ac:dyDescent="0.35">
      <c r="X6691" s="40"/>
      <c r="Y6691" s="40"/>
    </row>
    <row r="6692" spans="24:25" x14ac:dyDescent="0.35">
      <c r="X6692" s="40"/>
      <c r="Y6692" s="40"/>
    </row>
    <row r="6693" spans="24:25" x14ac:dyDescent="0.35">
      <c r="X6693" s="40"/>
      <c r="Y6693" s="40"/>
    </row>
    <row r="6694" spans="24:25" x14ac:dyDescent="0.35">
      <c r="X6694" s="40"/>
      <c r="Y6694" s="40"/>
    </row>
    <row r="6695" spans="24:25" x14ac:dyDescent="0.35">
      <c r="X6695" s="40"/>
      <c r="Y6695" s="40"/>
    </row>
    <row r="6696" spans="24:25" x14ac:dyDescent="0.35">
      <c r="X6696" s="40"/>
      <c r="Y6696" s="40"/>
    </row>
    <row r="6697" spans="24:25" x14ac:dyDescent="0.35">
      <c r="X6697" s="40"/>
      <c r="Y6697" s="40"/>
    </row>
    <row r="6698" spans="24:25" x14ac:dyDescent="0.35">
      <c r="X6698" s="40"/>
      <c r="Y6698" s="40"/>
    </row>
    <row r="6699" spans="24:25" x14ac:dyDescent="0.35">
      <c r="X6699" s="40"/>
      <c r="Y6699" s="40"/>
    </row>
    <row r="6700" spans="24:25" x14ac:dyDescent="0.35">
      <c r="X6700" s="40"/>
      <c r="Y6700" s="40"/>
    </row>
    <row r="6701" spans="24:25" x14ac:dyDescent="0.35">
      <c r="X6701" s="40"/>
      <c r="Y6701" s="40"/>
    </row>
    <row r="6702" spans="24:25" x14ac:dyDescent="0.35">
      <c r="X6702" s="40"/>
      <c r="Y6702" s="40"/>
    </row>
    <row r="6703" spans="24:25" x14ac:dyDescent="0.35">
      <c r="X6703" s="40"/>
      <c r="Y6703" s="40"/>
    </row>
    <row r="6704" spans="24:25" x14ac:dyDescent="0.35">
      <c r="X6704" s="40"/>
      <c r="Y6704" s="40"/>
    </row>
    <row r="6705" spans="24:25" x14ac:dyDescent="0.35">
      <c r="X6705" s="40"/>
      <c r="Y6705" s="40"/>
    </row>
    <row r="6706" spans="24:25" x14ac:dyDescent="0.35">
      <c r="X6706" s="40"/>
      <c r="Y6706" s="40"/>
    </row>
    <row r="6707" spans="24:25" x14ac:dyDescent="0.35">
      <c r="X6707" s="40"/>
      <c r="Y6707" s="40"/>
    </row>
    <row r="6708" spans="24:25" x14ac:dyDescent="0.35">
      <c r="X6708" s="40"/>
      <c r="Y6708" s="40"/>
    </row>
    <row r="6709" spans="24:25" x14ac:dyDescent="0.35">
      <c r="X6709" s="40"/>
      <c r="Y6709" s="40"/>
    </row>
    <row r="6710" spans="24:25" x14ac:dyDescent="0.35">
      <c r="X6710" s="40"/>
      <c r="Y6710" s="40"/>
    </row>
    <row r="6711" spans="24:25" x14ac:dyDescent="0.35">
      <c r="X6711" s="40"/>
      <c r="Y6711" s="40"/>
    </row>
    <row r="6712" spans="24:25" x14ac:dyDescent="0.35">
      <c r="X6712" s="40"/>
      <c r="Y6712" s="40"/>
    </row>
    <row r="6713" spans="24:25" x14ac:dyDescent="0.35">
      <c r="X6713" s="40"/>
      <c r="Y6713" s="40"/>
    </row>
    <row r="6714" spans="24:25" x14ac:dyDescent="0.35">
      <c r="X6714" s="40"/>
      <c r="Y6714" s="40"/>
    </row>
    <row r="6715" spans="24:25" x14ac:dyDescent="0.35">
      <c r="X6715" s="40"/>
      <c r="Y6715" s="40"/>
    </row>
    <row r="6716" spans="24:25" x14ac:dyDescent="0.35">
      <c r="X6716" s="40"/>
      <c r="Y6716" s="40"/>
    </row>
    <row r="6717" spans="24:25" x14ac:dyDescent="0.35">
      <c r="X6717" s="40"/>
      <c r="Y6717" s="40"/>
    </row>
    <row r="6718" spans="24:25" x14ac:dyDescent="0.35">
      <c r="X6718" s="40"/>
      <c r="Y6718" s="40"/>
    </row>
    <row r="6719" spans="24:25" x14ac:dyDescent="0.35">
      <c r="X6719" s="40"/>
      <c r="Y6719" s="40"/>
    </row>
    <row r="6720" spans="24:25" x14ac:dyDescent="0.35">
      <c r="X6720" s="40"/>
      <c r="Y6720" s="40"/>
    </row>
    <row r="6721" spans="24:25" x14ac:dyDescent="0.35">
      <c r="X6721" s="40"/>
      <c r="Y6721" s="40"/>
    </row>
    <row r="6722" spans="24:25" x14ac:dyDescent="0.35">
      <c r="X6722" s="40"/>
      <c r="Y6722" s="40"/>
    </row>
    <row r="6723" spans="24:25" x14ac:dyDescent="0.35">
      <c r="X6723" s="40"/>
      <c r="Y6723" s="40"/>
    </row>
    <row r="6724" spans="24:25" x14ac:dyDescent="0.35">
      <c r="X6724" s="40"/>
      <c r="Y6724" s="40"/>
    </row>
    <row r="6725" spans="24:25" x14ac:dyDescent="0.35">
      <c r="X6725" s="40"/>
      <c r="Y6725" s="40"/>
    </row>
    <row r="6726" spans="24:25" x14ac:dyDescent="0.35">
      <c r="X6726" s="40"/>
      <c r="Y6726" s="40"/>
    </row>
    <row r="6727" spans="24:25" x14ac:dyDescent="0.35">
      <c r="X6727" s="40"/>
      <c r="Y6727" s="40"/>
    </row>
    <row r="6728" spans="24:25" x14ac:dyDescent="0.35">
      <c r="X6728" s="40"/>
      <c r="Y6728" s="40"/>
    </row>
    <row r="6729" spans="24:25" x14ac:dyDescent="0.35">
      <c r="X6729" s="40"/>
      <c r="Y6729" s="40"/>
    </row>
    <row r="6730" spans="24:25" x14ac:dyDescent="0.35">
      <c r="X6730" s="40"/>
      <c r="Y6730" s="40"/>
    </row>
    <row r="6731" spans="24:25" x14ac:dyDescent="0.35">
      <c r="X6731" s="40"/>
      <c r="Y6731" s="40"/>
    </row>
    <row r="6732" spans="24:25" x14ac:dyDescent="0.35">
      <c r="X6732" s="40"/>
      <c r="Y6732" s="40"/>
    </row>
    <row r="6733" spans="24:25" x14ac:dyDescent="0.35">
      <c r="X6733" s="40"/>
      <c r="Y6733" s="40"/>
    </row>
    <row r="6734" spans="24:25" x14ac:dyDescent="0.35">
      <c r="X6734" s="40"/>
      <c r="Y6734" s="40"/>
    </row>
    <row r="6735" spans="24:25" x14ac:dyDescent="0.35">
      <c r="X6735" s="40"/>
      <c r="Y6735" s="40"/>
    </row>
    <row r="6736" spans="24:25" x14ac:dyDescent="0.35">
      <c r="X6736" s="40"/>
      <c r="Y6736" s="40"/>
    </row>
    <row r="6737" spans="24:25" x14ac:dyDescent="0.35">
      <c r="X6737" s="40"/>
      <c r="Y6737" s="40"/>
    </row>
    <row r="6738" spans="24:25" x14ac:dyDescent="0.35">
      <c r="X6738" s="40"/>
      <c r="Y6738" s="40"/>
    </row>
    <row r="6739" spans="24:25" x14ac:dyDescent="0.35">
      <c r="X6739" s="40"/>
      <c r="Y6739" s="40"/>
    </row>
    <row r="6740" spans="24:25" x14ac:dyDescent="0.35">
      <c r="X6740" s="40"/>
      <c r="Y6740" s="40"/>
    </row>
    <row r="6741" spans="24:25" x14ac:dyDescent="0.35">
      <c r="X6741" s="40"/>
      <c r="Y6741" s="40"/>
    </row>
    <row r="6742" spans="24:25" x14ac:dyDescent="0.35">
      <c r="X6742" s="40"/>
      <c r="Y6742" s="40"/>
    </row>
    <row r="6743" spans="24:25" x14ac:dyDescent="0.35">
      <c r="X6743" s="40"/>
      <c r="Y6743" s="40"/>
    </row>
    <row r="6744" spans="24:25" x14ac:dyDescent="0.35">
      <c r="X6744" s="40"/>
      <c r="Y6744" s="40"/>
    </row>
    <row r="6745" spans="24:25" x14ac:dyDescent="0.35">
      <c r="X6745" s="40"/>
      <c r="Y6745" s="40"/>
    </row>
    <row r="6746" spans="24:25" x14ac:dyDescent="0.35">
      <c r="X6746" s="40"/>
      <c r="Y6746" s="40"/>
    </row>
    <row r="6747" spans="24:25" x14ac:dyDescent="0.35">
      <c r="X6747" s="40"/>
      <c r="Y6747" s="40"/>
    </row>
    <row r="6748" spans="24:25" x14ac:dyDescent="0.35">
      <c r="X6748" s="40"/>
      <c r="Y6748" s="40"/>
    </row>
    <row r="6749" spans="24:25" x14ac:dyDescent="0.35">
      <c r="X6749" s="40"/>
      <c r="Y6749" s="40"/>
    </row>
    <row r="6750" spans="24:25" x14ac:dyDescent="0.35">
      <c r="X6750" s="40"/>
      <c r="Y6750" s="40"/>
    </row>
    <row r="6751" spans="24:25" x14ac:dyDescent="0.35">
      <c r="X6751" s="40"/>
      <c r="Y6751" s="40"/>
    </row>
    <row r="6752" spans="24:25" x14ac:dyDescent="0.35">
      <c r="X6752" s="40"/>
      <c r="Y6752" s="40"/>
    </row>
    <row r="6753" spans="24:25" x14ac:dyDescent="0.35">
      <c r="X6753" s="40"/>
      <c r="Y6753" s="40"/>
    </row>
    <row r="6754" spans="24:25" x14ac:dyDescent="0.35">
      <c r="X6754" s="40"/>
      <c r="Y6754" s="40"/>
    </row>
    <row r="6755" spans="24:25" x14ac:dyDescent="0.35">
      <c r="X6755" s="40"/>
      <c r="Y6755" s="40"/>
    </row>
    <row r="6756" spans="24:25" x14ac:dyDescent="0.35">
      <c r="X6756" s="40"/>
      <c r="Y6756" s="40"/>
    </row>
    <row r="6757" spans="24:25" x14ac:dyDescent="0.35">
      <c r="X6757" s="40"/>
      <c r="Y6757" s="40"/>
    </row>
    <row r="6758" spans="24:25" x14ac:dyDescent="0.35">
      <c r="X6758" s="40"/>
      <c r="Y6758" s="40"/>
    </row>
    <row r="6759" spans="24:25" x14ac:dyDescent="0.35">
      <c r="X6759" s="40"/>
      <c r="Y6759" s="40"/>
    </row>
    <row r="6760" spans="24:25" x14ac:dyDescent="0.35">
      <c r="X6760" s="40"/>
      <c r="Y6760" s="40"/>
    </row>
    <row r="6761" spans="24:25" x14ac:dyDescent="0.35">
      <c r="X6761" s="40"/>
      <c r="Y6761" s="40"/>
    </row>
    <row r="6762" spans="24:25" x14ac:dyDescent="0.35">
      <c r="X6762" s="40"/>
      <c r="Y6762" s="40"/>
    </row>
    <row r="6763" spans="24:25" x14ac:dyDescent="0.35">
      <c r="X6763" s="40"/>
      <c r="Y6763" s="40"/>
    </row>
    <row r="6764" spans="24:25" x14ac:dyDescent="0.35">
      <c r="X6764" s="40"/>
      <c r="Y6764" s="40"/>
    </row>
    <row r="6765" spans="24:25" x14ac:dyDescent="0.35">
      <c r="X6765" s="40"/>
      <c r="Y6765" s="40"/>
    </row>
    <row r="6766" spans="24:25" x14ac:dyDescent="0.35">
      <c r="X6766" s="40"/>
      <c r="Y6766" s="40"/>
    </row>
    <row r="6767" spans="24:25" x14ac:dyDescent="0.35">
      <c r="X6767" s="40"/>
      <c r="Y6767" s="40"/>
    </row>
    <row r="6768" spans="24:25" x14ac:dyDescent="0.35">
      <c r="X6768" s="40"/>
      <c r="Y6768" s="40"/>
    </row>
    <row r="6769" spans="24:25" x14ac:dyDescent="0.35">
      <c r="X6769" s="40"/>
      <c r="Y6769" s="40"/>
    </row>
    <row r="6770" spans="24:25" x14ac:dyDescent="0.35">
      <c r="X6770" s="40"/>
      <c r="Y6770" s="40"/>
    </row>
    <row r="6771" spans="24:25" x14ac:dyDescent="0.35">
      <c r="X6771" s="40"/>
      <c r="Y6771" s="40"/>
    </row>
    <row r="6772" spans="24:25" x14ac:dyDescent="0.35">
      <c r="X6772" s="40"/>
      <c r="Y6772" s="40"/>
    </row>
    <row r="6773" spans="24:25" x14ac:dyDescent="0.35">
      <c r="X6773" s="40"/>
      <c r="Y6773" s="40"/>
    </row>
    <row r="6774" spans="24:25" x14ac:dyDescent="0.35">
      <c r="X6774" s="40"/>
      <c r="Y6774" s="40"/>
    </row>
    <row r="6775" spans="24:25" x14ac:dyDescent="0.35">
      <c r="X6775" s="40"/>
      <c r="Y6775" s="40"/>
    </row>
    <row r="6776" spans="24:25" x14ac:dyDescent="0.35">
      <c r="X6776" s="40"/>
      <c r="Y6776" s="40"/>
    </row>
    <row r="6777" spans="24:25" x14ac:dyDescent="0.35">
      <c r="X6777" s="40"/>
      <c r="Y6777" s="40"/>
    </row>
    <row r="6778" spans="24:25" x14ac:dyDescent="0.35">
      <c r="X6778" s="40"/>
      <c r="Y6778" s="40"/>
    </row>
    <row r="6779" spans="24:25" x14ac:dyDescent="0.35">
      <c r="X6779" s="40"/>
      <c r="Y6779" s="40"/>
    </row>
    <row r="6780" spans="24:25" x14ac:dyDescent="0.35">
      <c r="X6780" s="40"/>
      <c r="Y6780" s="40"/>
    </row>
    <row r="6781" spans="24:25" x14ac:dyDescent="0.35">
      <c r="X6781" s="40"/>
      <c r="Y6781" s="40"/>
    </row>
    <row r="6782" spans="24:25" x14ac:dyDescent="0.35">
      <c r="X6782" s="40"/>
      <c r="Y6782" s="40"/>
    </row>
    <row r="6783" spans="24:25" x14ac:dyDescent="0.35">
      <c r="X6783" s="40"/>
      <c r="Y6783" s="40"/>
    </row>
    <row r="6784" spans="24:25" x14ac:dyDescent="0.35">
      <c r="X6784" s="40"/>
      <c r="Y6784" s="40"/>
    </row>
    <row r="6785" spans="24:25" x14ac:dyDescent="0.35">
      <c r="X6785" s="40"/>
      <c r="Y6785" s="40"/>
    </row>
    <row r="6786" spans="24:25" x14ac:dyDescent="0.35">
      <c r="X6786" s="40"/>
      <c r="Y6786" s="40"/>
    </row>
    <row r="6787" spans="24:25" x14ac:dyDescent="0.35">
      <c r="X6787" s="40"/>
      <c r="Y6787" s="40"/>
    </row>
    <row r="6788" spans="24:25" x14ac:dyDescent="0.35">
      <c r="X6788" s="40"/>
      <c r="Y6788" s="40"/>
    </row>
    <row r="6789" spans="24:25" x14ac:dyDescent="0.35">
      <c r="X6789" s="40"/>
      <c r="Y6789" s="40"/>
    </row>
    <row r="6790" spans="24:25" x14ac:dyDescent="0.35">
      <c r="X6790" s="40"/>
      <c r="Y6790" s="40"/>
    </row>
    <row r="6791" spans="24:25" x14ac:dyDescent="0.35">
      <c r="X6791" s="40"/>
      <c r="Y6791" s="40"/>
    </row>
    <row r="6792" spans="24:25" x14ac:dyDescent="0.35">
      <c r="X6792" s="40"/>
      <c r="Y6792" s="40"/>
    </row>
    <row r="6793" spans="24:25" x14ac:dyDescent="0.35">
      <c r="X6793" s="40"/>
      <c r="Y6793" s="40"/>
    </row>
    <row r="6794" spans="24:25" x14ac:dyDescent="0.35">
      <c r="X6794" s="40"/>
      <c r="Y6794" s="40"/>
    </row>
    <row r="6795" spans="24:25" x14ac:dyDescent="0.35">
      <c r="X6795" s="40"/>
      <c r="Y6795" s="40"/>
    </row>
    <row r="6796" spans="24:25" x14ac:dyDescent="0.35">
      <c r="X6796" s="40"/>
      <c r="Y6796" s="40"/>
    </row>
    <row r="6797" spans="24:25" x14ac:dyDescent="0.35">
      <c r="X6797" s="40"/>
      <c r="Y6797" s="40"/>
    </row>
    <row r="6798" spans="24:25" x14ac:dyDescent="0.35">
      <c r="X6798" s="40"/>
      <c r="Y6798" s="40"/>
    </row>
    <row r="6799" spans="24:25" x14ac:dyDescent="0.35">
      <c r="X6799" s="40"/>
      <c r="Y6799" s="40"/>
    </row>
    <row r="6800" spans="24:25" x14ac:dyDescent="0.35">
      <c r="X6800" s="40"/>
      <c r="Y6800" s="40"/>
    </row>
    <row r="6801" spans="24:25" x14ac:dyDescent="0.35">
      <c r="X6801" s="40"/>
      <c r="Y6801" s="40"/>
    </row>
    <row r="6802" spans="24:25" x14ac:dyDescent="0.35">
      <c r="X6802" s="40"/>
      <c r="Y6802" s="40"/>
    </row>
    <row r="6803" spans="24:25" x14ac:dyDescent="0.35">
      <c r="X6803" s="40"/>
      <c r="Y6803" s="40"/>
    </row>
    <row r="6804" spans="24:25" x14ac:dyDescent="0.35">
      <c r="X6804" s="40"/>
      <c r="Y6804" s="40"/>
    </row>
    <row r="6805" spans="24:25" x14ac:dyDescent="0.35">
      <c r="X6805" s="40"/>
      <c r="Y6805" s="40"/>
    </row>
    <row r="6806" spans="24:25" x14ac:dyDescent="0.35">
      <c r="X6806" s="40"/>
      <c r="Y6806" s="40"/>
    </row>
    <row r="6807" spans="24:25" x14ac:dyDescent="0.35">
      <c r="X6807" s="40"/>
      <c r="Y6807" s="40"/>
    </row>
    <row r="6808" spans="24:25" x14ac:dyDescent="0.35">
      <c r="X6808" s="40"/>
      <c r="Y6808" s="40"/>
    </row>
    <row r="6809" spans="24:25" x14ac:dyDescent="0.35">
      <c r="X6809" s="40"/>
      <c r="Y6809" s="40"/>
    </row>
    <row r="6810" spans="24:25" x14ac:dyDescent="0.35">
      <c r="X6810" s="40"/>
      <c r="Y6810" s="40"/>
    </row>
    <row r="6811" spans="24:25" x14ac:dyDescent="0.35">
      <c r="X6811" s="40"/>
      <c r="Y6811" s="40"/>
    </row>
    <row r="6812" spans="24:25" x14ac:dyDescent="0.35">
      <c r="X6812" s="40"/>
      <c r="Y6812" s="40"/>
    </row>
    <row r="6813" spans="24:25" x14ac:dyDescent="0.35">
      <c r="X6813" s="40"/>
      <c r="Y6813" s="40"/>
    </row>
    <row r="6814" spans="24:25" x14ac:dyDescent="0.35">
      <c r="X6814" s="40"/>
      <c r="Y6814" s="40"/>
    </row>
    <row r="6815" spans="24:25" x14ac:dyDescent="0.35">
      <c r="X6815" s="40"/>
      <c r="Y6815" s="40"/>
    </row>
    <row r="6816" spans="24:25" x14ac:dyDescent="0.35">
      <c r="X6816" s="40"/>
      <c r="Y6816" s="40"/>
    </row>
    <row r="6817" spans="24:25" x14ac:dyDescent="0.35">
      <c r="X6817" s="40"/>
      <c r="Y6817" s="40"/>
    </row>
    <row r="6818" spans="24:25" x14ac:dyDescent="0.35">
      <c r="X6818" s="40"/>
      <c r="Y6818" s="40"/>
    </row>
    <row r="6819" spans="24:25" x14ac:dyDescent="0.35">
      <c r="X6819" s="40"/>
      <c r="Y6819" s="40"/>
    </row>
    <row r="6820" spans="24:25" x14ac:dyDescent="0.35">
      <c r="X6820" s="40"/>
      <c r="Y6820" s="40"/>
    </row>
    <row r="6821" spans="24:25" x14ac:dyDescent="0.35">
      <c r="X6821" s="40"/>
      <c r="Y6821" s="40"/>
    </row>
    <row r="6822" spans="24:25" x14ac:dyDescent="0.35">
      <c r="X6822" s="40"/>
      <c r="Y6822" s="40"/>
    </row>
    <row r="6823" spans="24:25" x14ac:dyDescent="0.35">
      <c r="X6823" s="40"/>
      <c r="Y6823" s="40"/>
    </row>
    <row r="6824" spans="24:25" x14ac:dyDescent="0.35">
      <c r="X6824" s="40"/>
      <c r="Y6824" s="40"/>
    </row>
    <row r="6825" spans="24:25" x14ac:dyDescent="0.35">
      <c r="X6825" s="40"/>
      <c r="Y6825" s="40"/>
    </row>
    <row r="6826" spans="24:25" x14ac:dyDescent="0.35">
      <c r="X6826" s="40"/>
      <c r="Y6826" s="40"/>
    </row>
    <row r="6827" spans="24:25" x14ac:dyDescent="0.35">
      <c r="X6827" s="40"/>
      <c r="Y6827" s="40"/>
    </row>
    <row r="6828" spans="24:25" x14ac:dyDescent="0.35">
      <c r="X6828" s="40"/>
      <c r="Y6828" s="40"/>
    </row>
    <row r="6829" spans="24:25" x14ac:dyDescent="0.35">
      <c r="X6829" s="40"/>
      <c r="Y6829" s="40"/>
    </row>
    <row r="6830" spans="24:25" x14ac:dyDescent="0.35">
      <c r="X6830" s="40"/>
      <c r="Y6830" s="40"/>
    </row>
    <row r="6831" spans="24:25" x14ac:dyDescent="0.35">
      <c r="X6831" s="40"/>
      <c r="Y6831" s="40"/>
    </row>
    <row r="6832" spans="24:25" x14ac:dyDescent="0.35">
      <c r="X6832" s="40"/>
      <c r="Y6832" s="40"/>
    </row>
    <row r="6833" spans="24:25" x14ac:dyDescent="0.35">
      <c r="X6833" s="40"/>
      <c r="Y6833" s="40"/>
    </row>
    <row r="6834" spans="24:25" x14ac:dyDescent="0.35">
      <c r="X6834" s="40"/>
      <c r="Y6834" s="40"/>
    </row>
    <row r="6835" spans="24:25" x14ac:dyDescent="0.35">
      <c r="X6835" s="40"/>
      <c r="Y6835" s="40"/>
    </row>
    <row r="6836" spans="24:25" x14ac:dyDescent="0.35">
      <c r="X6836" s="40"/>
      <c r="Y6836" s="40"/>
    </row>
    <row r="6837" spans="24:25" x14ac:dyDescent="0.35">
      <c r="X6837" s="40"/>
      <c r="Y6837" s="40"/>
    </row>
    <row r="6838" spans="24:25" x14ac:dyDescent="0.35">
      <c r="X6838" s="40"/>
      <c r="Y6838" s="40"/>
    </row>
    <row r="6839" spans="24:25" x14ac:dyDescent="0.35">
      <c r="X6839" s="40"/>
      <c r="Y6839" s="40"/>
    </row>
    <row r="6840" spans="24:25" x14ac:dyDescent="0.35">
      <c r="X6840" s="40"/>
      <c r="Y6840" s="40"/>
    </row>
    <row r="6841" spans="24:25" x14ac:dyDescent="0.35">
      <c r="X6841" s="40"/>
      <c r="Y6841" s="40"/>
    </row>
    <row r="6842" spans="24:25" x14ac:dyDescent="0.35">
      <c r="X6842" s="40"/>
      <c r="Y6842" s="40"/>
    </row>
    <row r="6843" spans="24:25" x14ac:dyDescent="0.35">
      <c r="X6843" s="40"/>
      <c r="Y6843" s="40"/>
    </row>
    <row r="6844" spans="24:25" x14ac:dyDescent="0.35">
      <c r="X6844" s="40"/>
      <c r="Y6844" s="40"/>
    </row>
    <row r="6845" spans="24:25" x14ac:dyDescent="0.35">
      <c r="X6845" s="40"/>
      <c r="Y6845" s="40"/>
    </row>
    <row r="6846" spans="24:25" x14ac:dyDescent="0.35">
      <c r="X6846" s="40"/>
      <c r="Y6846" s="40"/>
    </row>
    <row r="6847" spans="24:25" x14ac:dyDescent="0.35">
      <c r="X6847" s="40"/>
      <c r="Y6847" s="40"/>
    </row>
    <row r="6848" spans="24:25" x14ac:dyDescent="0.35">
      <c r="X6848" s="40"/>
      <c r="Y6848" s="40"/>
    </row>
    <row r="6849" spans="24:25" x14ac:dyDescent="0.35">
      <c r="X6849" s="40"/>
      <c r="Y6849" s="40"/>
    </row>
    <row r="6850" spans="24:25" x14ac:dyDescent="0.35">
      <c r="X6850" s="40"/>
      <c r="Y6850" s="40"/>
    </row>
    <row r="6851" spans="24:25" x14ac:dyDescent="0.35">
      <c r="X6851" s="40"/>
      <c r="Y6851" s="40"/>
    </row>
    <row r="6852" spans="24:25" x14ac:dyDescent="0.35">
      <c r="X6852" s="40"/>
      <c r="Y6852" s="40"/>
    </row>
    <row r="6853" spans="24:25" x14ac:dyDescent="0.35">
      <c r="X6853" s="40"/>
      <c r="Y6853" s="40"/>
    </row>
    <row r="6854" spans="24:25" x14ac:dyDescent="0.35">
      <c r="X6854" s="40"/>
      <c r="Y6854" s="40"/>
    </row>
    <row r="6855" spans="24:25" x14ac:dyDescent="0.35">
      <c r="X6855" s="40"/>
      <c r="Y6855" s="40"/>
    </row>
    <row r="6856" spans="24:25" x14ac:dyDescent="0.35">
      <c r="X6856" s="40"/>
      <c r="Y6856" s="40"/>
    </row>
    <row r="6857" spans="24:25" x14ac:dyDescent="0.35">
      <c r="X6857" s="40"/>
      <c r="Y6857" s="40"/>
    </row>
    <row r="6858" spans="24:25" x14ac:dyDescent="0.35">
      <c r="X6858" s="40"/>
      <c r="Y6858" s="40"/>
    </row>
    <row r="6859" spans="24:25" x14ac:dyDescent="0.35">
      <c r="X6859" s="40"/>
      <c r="Y6859" s="40"/>
    </row>
    <row r="6860" spans="24:25" x14ac:dyDescent="0.35">
      <c r="X6860" s="40"/>
      <c r="Y6860" s="40"/>
    </row>
    <row r="6861" spans="24:25" x14ac:dyDescent="0.35">
      <c r="X6861" s="40"/>
      <c r="Y6861" s="40"/>
    </row>
    <row r="6862" spans="24:25" x14ac:dyDescent="0.35">
      <c r="X6862" s="40"/>
      <c r="Y6862" s="40"/>
    </row>
    <row r="6863" spans="24:25" x14ac:dyDescent="0.35">
      <c r="X6863" s="40"/>
      <c r="Y6863" s="40"/>
    </row>
    <row r="6864" spans="24:25" x14ac:dyDescent="0.35">
      <c r="X6864" s="40"/>
      <c r="Y6864" s="40"/>
    </row>
    <row r="6865" spans="24:25" x14ac:dyDescent="0.35">
      <c r="X6865" s="40"/>
      <c r="Y6865" s="40"/>
    </row>
    <row r="6866" spans="24:25" x14ac:dyDescent="0.35">
      <c r="X6866" s="40"/>
      <c r="Y6866" s="40"/>
    </row>
    <row r="6867" spans="24:25" x14ac:dyDescent="0.35">
      <c r="X6867" s="40"/>
      <c r="Y6867" s="40"/>
    </row>
    <row r="6868" spans="24:25" x14ac:dyDescent="0.35">
      <c r="X6868" s="40"/>
      <c r="Y6868" s="40"/>
    </row>
    <row r="6869" spans="24:25" x14ac:dyDescent="0.35">
      <c r="X6869" s="40"/>
      <c r="Y6869" s="40"/>
    </row>
    <row r="6870" spans="24:25" x14ac:dyDescent="0.35">
      <c r="X6870" s="40"/>
      <c r="Y6870" s="40"/>
    </row>
    <row r="6871" spans="24:25" x14ac:dyDescent="0.35">
      <c r="X6871" s="40"/>
      <c r="Y6871" s="40"/>
    </row>
    <row r="6872" spans="24:25" x14ac:dyDescent="0.35">
      <c r="X6872" s="40"/>
      <c r="Y6872" s="40"/>
    </row>
    <row r="6873" spans="24:25" x14ac:dyDescent="0.35">
      <c r="X6873" s="40"/>
      <c r="Y6873" s="40"/>
    </row>
    <row r="6874" spans="24:25" x14ac:dyDescent="0.35">
      <c r="X6874" s="40"/>
      <c r="Y6874" s="40"/>
    </row>
    <row r="6875" spans="24:25" x14ac:dyDescent="0.35">
      <c r="X6875" s="40"/>
      <c r="Y6875" s="40"/>
    </row>
    <row r="6876" spans="24:25" x14ac:dyDescent="0.35">
      <c r="X6876" s="40"/>
      <c r="Y6876" s="40"/>
    </row>
    <row r="6877" spans="24:25" x14ac:dyDescent="0.35">
      <c r="X6877" s="40"/>
      <c r="Y6877" s="40"/>
    </row>
    <row r="6878" spans="24:25" x14ac:dyDescent="0.35">
      <c r="X6878" s="40"/>
      <c r="Y6878" s="40"/>
    </row>
    <row r="6879" spans="24:25" x14ac:dyDescent="0.35">
      <c r="X6879" s="40"/>
      <c r="Y6879" s="40"/>
    </row>
    <row r="6880" spans="24:25" x14ac:dyDescent="0.35">
      <c r="X6880" s="40"/>
      <c r="Y6880" s="40"/>
    </row>
    <row r="6881" spans="24:25" x14ac:dyDescent="0.35">
      <c r="X6881" s="40"/>
      <c r="Y6881" s="40"/>
    </row>
    <row r="6882" spans="24:25" x14ac:dyDescent="0.35">
      <c r="X6882" s="40"/>
      <c r="Y6882" s="40"/>
    </row>
    <row r="6883" spans="24:25" x14ac:dyDescent="0.35">
      <c r="X6883" s="40"/>
      <c r="Y6883" s="40"/>
    </row>
    <row r="6884" spans="24:25" x14ac:dyDescent="0.35">
      <c r="X6884" s="40"/>
      <c r="Y6884" s="40"/>
    </row>
    <row r="6885" spans="24:25" x14ac:dyDescent="0.35">
      <c r="X6885" s="40"/>
      <c r="Y6885" s="40"/>
    </row>
    <row r="6886" spans="24:25" x14ac:dyDescent="0.35">
      <c r="X6886" s="40"/>
      <c r="Y6886" s="40"/>
    </row>
    <row r="6887" spans="24:25" x14ac:dyDescent="0.35">
      <c r="X6887" s="40"/>
      <c r="Y6887" s="40"/>
    </row>
    <row r="6888" spans="24:25" x14ac:dyDescent="0.35">
      <c r="X6888" s="40"/>
      <c r="Y6888" s="40"/>
    </row>
    <row r="6889" spans="24:25" x14ac:dyDescent="0.35">
      <c r="X6889" s="40"/>
      <c r="Y6889" s="40"/>
    </row>
    <row r="6890" spans="24:25" x14ac:dyDescent="0.35">
      <c r="X6890" s="40"/>
      <c r="Y6890" s="40"/>
    </row>
    <row r="6891" spans="24:25" x14ac:dyDescent="0.35">
      <c r="X6891" s="40"/>
      <c r="Y6891" s="40"/>
    </row>
    <row r="6892" spans="24:25" x14ac:dyDescent="0.35">
      <c r="X6892" s="40"/>
      <c r="Y6892" s="40"/>
    </row>
    <row r="6893" spans="24:25" x14ac:dyDescent="0.35">
      <c r="X6893" s="40"/>
      <c r="Y6893" s="40"/>
    </row>
    <row r="6894" spans="24:25" x14ac:dyDescent="0.35">
      <c r="X6894" s="40"/>
      <c r="Y6894" s="40"/>
    </row>
    <row r="6895" spans="24:25" x14ac:dyDescent="0.35">
      <c r="X6895" s="40"/>
      <c r="Y6895" s="40"/>
    </row>
    <row r="6896" spans="24:25" x14ac:dyDescent="0.35">
      <c r="X6896" s="40"/>
      <c r="Y6896" s="40"/>
    </row>
    <row r="6897" spans="24:25" x14ac:dyDescent="0.35">
      <c r="X6897" s="40"/>
      <c r="Y6897" s="40"/>
    </row>
    <row r="6898" spans="24:25" x14ac:dyDescent="0.35">
      <c r="X6898" s="40"/>
      <c r="Y6898" s="40"/>
    </row>
    <row r="6899" spans="24:25" x14ac:dyDescent="0.35">
      <c r="X6899" s="40"/>
      <c r="Y6899" s="40"/>
    </row>
    <row r="6900" spans="24:25" x14ac:dyDescent="0.35">
      <c r="X6900" s="40"/>
      <c r="Y6900" s="40"/>
    </row>
    <row r="6901" spans="24:25" x14ac:dyDescent="0.35">
      <c r="X6901" s="40"/>
      <c r="Y6901" s="40"/>
    </row>
    <row r="6902" spans="24:25" x14ac:dyDescent="0.35">
      <c r="X6902" s="40"/>
      <c r="Y6902" s="40"/>
    </row>
    <row r="6903" spans="24:25" x14ac:dyDescent="0.35">
      <c r="X6903" s="40"/>
      <c r="Y6903" s="40"/>
    </row>
    <row r="6904" spans="24:25" x14ac:dyDescent="0.35">
      <c r="X6904" s="40"/>
      <c r="Y6904" s="40"/>
    </row>
    <row r="6905" spans="24:25" x14ac:dyDescent="0.35">
      <c r="X6905" s="40"/>
      <c r="Y6905" s="40"/>
    </row>
    <row r="6906" spans="24:25" x14ac:dyDescent="0.35">
      <c r="X6906" s="40"/>
      <c r="Y6906" s="40"/>
    </row>
    <row r="6907" spans="24:25" x14ac:dyDescent="0.35">
      <c r="X6907" s="40"/>
      <c r="Y6907" s="40"/>
    </row>
    <row r="6908" spans="24:25" x14ac:dyDescent="0.35">
      <c r="X6908" s="40"/>
      <c r="Y6908" s="40"/>
    </row>
    <row r="6909" spans="24:25" x14ac:dyDescent="0.35">
      <c r="X6909" s="40"/>
      <c r="Y6909" s="40"/>
    </row>
    <row r="6910" spans="24:25" x14ac:dyDescent="0.35">
      <c r="X6910" s="40"/>
      <c r="Y6910" s="40"/>
    </row>
    <row r="6911" spans="24:25" x14ac:dyDescent="0.35">
      <c r="X6911" s="40"/>
      <c r="Y6911" s="40"/>
    </row>
    <row r="6912" spans="24:25" x14ac:dyDescent="0.35">
      <c r="X6912" s="40"/>
      <c r="Y6912" s="40"/>
    </row>
    <row r="6913" spans="24:25" x14ac:dyDescent="0.35">
      <c r="X6913" s="40"/>
      <c r="Y6913" s="40"/>
    </row>
    <row r="6914" spans="24:25" x14ac:dyDescent="0.35">
      <c r="X6914" s="40"/>
      <c r="Y6914" s="40"/>
    </row>
    <row r="6915" spans="24:25" x14ac:dyDescent="0.35">
      <c r="X6915" s="40"/>
      <c r="Y6915" s="40"/>
    </row>
    <row r="6916" spans="24:25" x14ac:dyDescent="0.35">
      <c r="X6916" s="40"/>
      <c r="Y6916" s="40"/>
    </row>
    <row r="6917" spans="24:25" x14ac:dyDescent="0.35">
      <c r="X6917" s="40"/>
      <c r="Y6917" s="40"/>
    </row>
    <row r="6918" spans="24:25" x14ac:dyDescent="0.35">
      <c r="X6918" s="40"/>
      <c r="Y6918" s="40"/>
    </row>
    <row r="6919" spans="24:25" x14ac:dyDescent="0.35">
      <c r="X6919" s="40"/>
      <c r="Y6919" s="40"/>
    </row>
    <row r="6920" spans="24:25" x14ac:dyDescent="0.35">
      <c r="X6920" s="40"/>
      <c r="Y6920" s="40"/>
    </row>
    <row r="6921" spans="24:25" x14ac:dyDescent="0.35">
      <c r="X6921" s="40"/>
      <c r="Y6921" s="40"/>
    </row>
    <row r="6922" spans="24:25" x14ac:dyDescent="0.35">
      <c r="X6922" s="40"/>
      <c r="Y6922" s="40"/>
    </row>
    <row r="6923" spans="24:25" x14ac:dyDescent="0.35">
      <c r="X6923" s="40"/>
      <c r="Y6923" s="40"/>
    </row>
    <row r="6924" spans="24:25" x14ac:dyDescent="0.35">
      <c r="X6924" s="40"/>
      <c r="Y6924" s="40"/>
    </row>
    <row r="6925" spans="24:25" x14ac:dyDescent="0.35">
      <c r="X6925" s="40"/>
      <c r="Y6925" s="40"/>
    </row>
    <row r="6926" spans="24:25" x14ac:dyDescent="0.35">
      <c r="X6926" s="40"/>
      <c r="Y6926" s="40"/>
    </row>
    <row r="6927" spans="24:25" x14ac:dyDescent="0.35">
      <c r="X6927" s="40"/>
      <c r="Y6927" s="40"/>
    </row>
    <row r="6928" spans="24:25" x14ac:dyDescent="0.35">
      <c r="X6928" s="40"/>
      <c r="Y6928" s="40"/>
    </row>
    <row r="6929" spans="24:25" x14ac:dyDescent="0.35">
      <c r="X6929" s="40"/>
      <c r="Y6929" s="40"/>
    </row>
    <row r="6930" spans="24:25" x14ac:dyDescent="0.35">
      <c r="X6930" s="40"/>
      <c r="Y6930" s="40"/>
    </row>
    <row r="6931" spans="24:25" x14ac:dyDescent="0.35">
      <c r="X6931" s="40"/>
      <c r="Y6931" s="40"/>
    </row>
    <row r="6932" spans="24:25" x14ac:dyDescent="0.35">
      <c r="X6932" s="40"/>
      <c r="Y6932" s="40"/>
    </row>
    <row r="6933" spans="24:25" x14ac:dyDescent="0.35">
      <c r="X6933" s="40"/>
      <c r="Y6933" s="40"/>
    </row>
    <row r="6934" spans="24:25" x14ac:dyDescent="0.35">
      <c r="X6934" s="40"/>
      <c r="Y6934" s="40"/>
    </row>
    <row r="6935" spans="24:25" x14ac:dyDescent="0.35">
      <c r="X6935" s="40"/>
      <c r="Y6935" s="40"/>
    </row>
    <row r="6936" spans="24:25" x14ac:dyDescent="0.35">
      <c r="X6936" s="40"/>
      <c r="Y6936" s="40"/>
    </row>
    <row r="6937" spans="24:25" x14ac:dyDescent="0.35">
      <c r="X6937" s="40"/>
      <c r="Y6937" s="40"/>
    </row>
    <row r="6938" spans="24:25" x14ac:dyDescent="0.35">
      <c r="X6938" s="40"/>
      <c r="Y6938" s="40"/>
    </row>
    <row r="6939" spans="24:25" x14ac:dyDescent="0.35">
      <c r="X6939" s="40"/>
      <c r="Y6939" s="40"/>
    </row>
    <row r="6940" spans="24:25" x14ac:dyDescent="0.35">
      <c r="X6940" s="40"/>
      <c r="Y6940" s="40"/>
    </row>
    <row r="6941" spans="24:25" x14ac:dyDescent="0.35">
      <c r="X6941" s="40"/>
      <c r="Y6941" s="40"/>
    </row>
    <row r="6942" spans="24:25" x14ac:dyDescent="0.35">
      <c r="X6942" s="40"/>
      <c r="Y6942" s="40"/>
    </row>
    <row r="6943" spans="24:25" x14ac:dyDescent="0.35">
      <c r="X6943" s="40"/>
      <c r="Y6943" s="40"/>
    </row>
    <row r="6944" spans="24:25" x14ac:dyDescent="0.35">
      <c r="X6944" s="40"/>
      <c r="Y6944" s="40"/>
    </row>
    <row r="6945" spans="24:25" x14ac:dyDescent="0.35">
      <c r="X6945" s="40"/>
      <c r="Y6945" s="40"/>
    </row>
    <row r="6946" spans="24:25" x14ac:dyDescent="0.35">
      <c r="X6946" s="40"/>
      <c r="Y6946" s="40"/>
    </row>
    <row r="6947" spans="24:25" x14ac:dyDescent="0.35">
      <c r="X6947" s="40"/>
      <c r="Y6947" s="40"/>
    </row>
    <row r="6948" spans="24:25" x14ac:dyDescent="0.35">
      <c r="X6948" s="40"/>
      <c r="Y6948" s="40"/>
    </row>
    <row r="6949" spans="24:25" x14ac:dyDescent="0.35">
      <c r="X6949" s="40"/>
      <c r="Y6949" s="40"/>
    </row>
    <row r="6950" spans="24:25" x14ac:dyDescent="0.35">
      <c r="X6950" s="40"/>
      <c r="Y6950" s="40"/>
    </row>
    <row r="6951" spans="24:25" x14ac:dyDescent="0.35">
      <c r="X6951" s="40"/>
      <c r="Y6951" s="40"/>
    </row>
    <row r="6952" spans="24:25" x14ac:dyDescent="0.35">
      <c r="X6952" s="40"/>
      <c r="Y6952" s="40"/>
    </row>
    <row r="6953" spans="24:25" x14ac:dyDescent="0.35">
      <c r="X6953" s="40"/>
      <c r="Y6953" s="40"/>
    </row>
    <row r="6954" spans="24:25" x14ac:dyDescent="0.35">
      <c r="X6954" s="40"/>
      <c r="Y6954" s="40"/>
    </row>
    <row r="6955" spans="24:25" x14ac:dyDescent="0.35">
      <c r="X6955" s="40"/>
      <c r="Y6955" s="40"/>
    </row>
    <row r="6956" spans="24:25" x14ac:dyDescent="0.35">
      <c r="X6956" s="40"/>
      <c r="Y6956" s="40"/>
    </row>
    <row r="6957" spans="24:25" x14ac:dyDescent="0.35">
      <c r="X6957" s="40"/>
      <c r="Y6957" s="40"/>
    </row>
    <row r="6958" spans="24:25" x14ac:dyDescent="0.35">
      <c r="X6958" s="40"/>
      <c r="Y6958" s="40"/>
    </row>
    <row r="6959" spans="24:25" x14ac:dyDescent="0.35">
      <c r="X6959" s="40"/>
      <c r="Y6959" s="40"/>
    </row>
    <row r="6960" spans="24:25" x14ac:dyDescent="0.35">
      <c r="X6960" s="40"/>
      <c r="Y6960" s="40"/>
    </row>
    <row r="6961" spans="24:25" x14ac:dyDescent="0.35">
      <c r="X6961" s="40"/>
      <c r="Y6961" s="40"/>
    </row>
    <row r="6962" spans="24:25" x14ac:dyDescent="0.35">
      <c r="X6962" s="40"/>
      <c r="Y6962" s="40"/>
    </row>
    <row r="6963" spans="24:25" x14ac:dyDescent="0.35">
      <c r="X6963" s="40"/>
      <c r="Y6963" s="40"/>
    </row>
    <row r="6964" spans="24:25" x14ac:dyDescent="0.35">
      <c r="X6964" s="40"/>
      <c r="Y6964" s="40"/>
    </row>
    <row r="6965" spans="24:25" x14ac:dyDescent="0.35">
      <c r="X6965" s="40"/>
      <c r="Y6965" s="40"/>
    </row>
    <row r="6966" spans="24:25" x14ac:dyDescent="0.35">
      <c r="X6966" s="40"/>
      <c r="Y6966" s="40"/>
    </row>
    <row r="6967" spans="24:25" x14ac:dyDescent="0.35">
      <c r="X6967" s="40"/>
      <c r="Y6967" s="40"/>
    </row>
    <row r="6968" spans="24:25" x14ac:dyDescent="0.35">
      <c r="X6968" s="40"/>
      <c r="Y6968" s="40"/>
    </row>
    <row r="6969" spans="24:25" x14ac:dyDescent="0.35">
      <c r="X6969" s="40"/>
      <c r="Y6969" s="40"/>
    </row>
    <row r="6970" spans="24:25" x14ac:dyDescent="0.35">
      <c r="X6970" s="40"/>
      <c r="Y6970" s="40"/>
    </row>
    <row r="6971" spans="24:25" x14ac:dyDescent="0.35">
      <c r="X6971" s="40"/>
      <c r="Y6971" s="40"/>
    </row>
    <row r="6972" spans="24:25" x14ac:dyDescent="0.35">
      <c r="X6972" s="40"/>
      <c r="Y6972" s="40"/>
    </row>
    <row r="6973" spans="24:25" x14ac:dyDescent="0.35">
      <c r="X6973" s="40"/>
      <c r="Y6973" s="40"/>
    </row>
    <row r="6974" spans="24:25" x14ac:dyDescent="0.35">
      <c r="X6974" s="40"/>
      <c r="Y6974" s="40"/>
    </row>
    <row r="6975" spans="24:25" x14ac:dyDescent="0.35">
      <c r="X6975" s="40"/>
      <c r="Y6975" s="40"/>
    </row>
    <row r="6976" spans="24:25" x14ac:dyDescent="0.35">
      <c r="X6976" s="40"/>
      <c r="Y6976" s="40"/>
    </row>
    <row r="6977" spans="24:25" x14ac:dyDescent="0.35">
      <c r="X6977" s="40"/>
      <c r="Y6977" s="40"/>
    </row>
    <row r="6978" spans="24:25" x14ac:dyDescent="0.35">
      <c r="X6978" s="40"/>
      <c r="Y6978" s="40"/>
    </row>
    <row r="6979" spans="24:25" x14ac:dyDescent="0.35">
      <c r="X6979" s="40"/>
      <c r="Y6979" s="40"/>
    </row>
    <row r="6980" spans="24:25" x14ac:dyDescent="0.35">
      <c r="X6980" s="40"/>
      <c r="Y6980" s="40"/>
    </row>
    <row r="6981" spans="24:25" x14ac:dyDescent="0.35">
      <c r="X6981" s="40"/>
      <c r="Y6981" s="40"/>
    </row>
    <row r="6982" spans="24:25" x14ac:dyDescent="0.35">
      <c r="X6982" s="40"/>
      <c r="Y6982" s="40"/>
    </row>
    <row r="6983" spans="24:25" x14ac:dyDescent="0.35">
      <c r="X6983" s="40"/>
      <c r="Y6983" s="40"/>
    </row>
    <row r="6984" spans="24:25" x14ac:dyDescent="0.35">
      <c r="X6984" s="40"/>
      <c r="Y6984" s="40"/>
    </row>
    <row r="6985" spans="24:25" x14ac:dyDescent="0.35">
      <c r="X6985" s="40"/>
      <c r="Y6985" s="40"/>
    </row>
    <row r="6986" spans="24:25" x14ac:dyDescent="0.35">
      <c r="X6986" s="40"/>
      <c r="Y6986" s="40"/>
    </row>
    <row r="6987" spans="24:25" x14ac:dyDescent="0.35">
      <c r="X6987" s="40"/>
      <c r="Y6987" s="40"/>
    </row>
    <row r="6988" spans="24:25" x14ac:dyDescent="0.35">
      <c r="X6988" s="40"/>
      <c r="Y6988" s="40"/>
    </row>
    <row r="6989" spans="24:25" x14ac:dyDescent="0.35">
      <c r="X6989" s="40"/>
      <c r="Y6989" s="40"/>
    </row>
    <row r="6990" spans="24:25" x14ac:dyDescent="0.35">
      <c r="X6990" s="40"/>
      <c r="Y6990" s="40"/>
    </row>
    <row r="6991" spans="24:25" x14ac:dyDescent="0.35">
      <c r="X6991" s="40"/>
      <c r="Y6991" s="40"/>
    </row>
    <row r="6992" spans="24:25" x14ac:dyDescent="0.35">
      <c r="X6992" s="40"/>
      <c r="Y6992" s="40"/>
    </row>
    <row r="6993" spans="24:25" x14ac:dyDescent="0.35">
      <c r="X6993" s="40"/>
      <c r="Y6993" s="40"/>
    </row>
    <row r="6994" spans="24:25" x14ac:dyDescent="0.35">
      <c r="X6994" s="40"/>
      <c r="Y6994" s="40"/>
    </row>
    <row r="6995" spans="24:25" x14ac:dyDescent="0.35">
      <c r="X6995" s="40"/>
      <c r="Y6995" s="40"/>
    </row>
    <row r="6996" spans="24:25" x14ac:dyDescent="0.35">
      <c r="X6996" s="40"/>
      <c r="Y6996" s="40"/>
    </row>
    <row r="6997" spans="24:25" x14ac:dyDescent="0.35">
      <c r="X6997" s="40"/>
      <c r="Y6997" s="40"/>
    </row>
    <row r="6998" spans="24:25" x14ac:dyDescent="0.35">
      <c r="X6998" s="40"/>
      <c r="Y6998" s="40"/>
    </row>
    <row r="6999" spans="24:25" x14ac:dyDescent="0.35">
      <c r="X6999" s="40"/>
      <c r="Y6999" s="40"/>
    </row>
    <row r="7000" spans="24:25" x14ac:dyDescent="0.35">
      <c r="X7000" s="40"/>
      <c r="Y7000" s="40"/>
    </row>
    <row r="7001" spans="24:25" x14ac:dyDescent="0.35">
      <c r="X7001" s="40"/>
      <c r="Y7001" s="40"/>
    </row>
    <row r="7002" spans="24:25" x14ac:dyDescent="0.35">
      <c r="X7002" s="40"/>
      <c r="Y7002" s="40"/>
    </row>
    <row r="7003" spans="24:25" x14ac:dyDescent="0.35">
      <c r="X7003" s="40"/>
      <c r="Y7003" s="40"/>
    </row>
    <row r="7004" spans="24:25" x14ac:dyDescent="0.35">
      <c r="X7004" s="40"/>
      <c r="Y7004" s="40"/>
    </row>
    <row r="7005" spans="24:25" x14ac:dyDescent="0.35">
      <c r="X7005" s="40"/>
      <c r="Y7005" s="40"/>
    </row>
    <row r="7006" spans="24:25" x14ac:dyDescent="0.35">
      <c r="X7006" s="40"/>
      <c r="Y7006" s="40"/>
    </row>
    <row r="7007" spans="24:25" x14ac:dyDescent="0.35">
      <c r="X7007" s="40"/>
      <c r="Y7007" s="40"/>
    </row>
    <row r="7008" spans="24:25" x14ac:dyDescent="0.35">
      <c r="X7008" s="40"/>
      <c r="Y7008" s="40"/>
    </row>
    <row r="7009" spans="24:25" x14ac:dyDescent="0.35">
      <c r="X7009" s="40"/>
      <c r="Y7009" s="40"/>
    </row>
    <row r="7010" spans="24:25" x14ac:dyDescent="0.35">
      <c r="X7010" s="40"/>
      <c r="Y7010" s="40"/>
    </row>
    <row r="7011" spans="24:25" x14ac:dyDescent="0.35">
      <c r="X7011" s="40"/>
      <c r="Y7011" s="40"/>
    </row>
    <row r="7012" spans="24:25" x14ac:dyDescent="0.35">
      <c r="X7012" s="40"/>
      <c r="Y7012" s="40"/>
    </row>
    <row r="7013" spans="24:25" x14ac:dyDescent="0.35">
      <c r="X7013" s="40"/>
      <c r="Y7013" s="40"/>
    </row>
    <row r="7014" spans="24:25" x14ac:dyDescent="0.35">
      <c r="X7014" s="40"/>
      <c r="Y7014" s="40"/>
    </row>
    <row r="7015" spans="24:25" x14ac:dyDescent="0.35">
      <c r="X7015" s="40"/>
      <c r="Y7015" s="40"/>
    </row>
    <row r="7016" spans="24:25" x14ac:dyDescent="0.35">
      <c r="X7016" s="40"/>
      <c r="Y7016" s="40"/>
    </row>
    <row r="7017" spans="24:25" x14ac:dyDescent="0.35">
      <c r="X7017" s="40"/>
      <c r="Y7017" s="40"/>
    </row>
    <row r="7018" spans="24:25" x14ac:dyDescent="0.35">
      <c r="X7018" s="40"/>
      <c r="Y7018" s="40"/>
    </row>
    <row r="7019" spans="24:25" x14ac:dyDescent="0.35">
      <c r="X7019" s="40"/>
      <c r="Y7019" s="40"/>
    </row>
    <row r="7020" spans="24:25" x14ac:dyDescent="0.35">
      <c r="X7020" s="40"/>
      <c r="Y7020" s="40"/>
    </row>
    <row r="7021" spans="24:25" x14ac:dyDescent="0.35">
      <c r="X7021" s="40"/>
      <c r="Y7021" s="40"/>
    </row>
    <row r="7022" spans="24:25" x14ac:dyDescent="0.35">
      <c r="X7022" s="40"/>
      <c r="Y7022" s="40"/>
    </row>
    <row r="7023" spans="24:25" x14ac:dyDescent="0.35">
      <c r="X7023" s="40"/>
      <c r="Y7023" s="40"/>
    </row>
    <row r="7024" spans="24:25" x14ac:dyDescent="0.35">
      <c r="X7024" s="40"/>
      <c r="Y7024" s="40"/>
    </row>
    <row r="7025" spans="24:25" x14ac:dyDescent="0.35">
      <c r="X7025" s="40"/>
      <c r="Y7025" s="40"/>
    </row>
    <row r="7026" spans="24:25" x14ac:dyDescent="0.35">
      <c r="X7026" s="40"/>
      <c r="Y7026" s="40"/>
    </row>
    <row r="7027" spans="24:25" x14ac:dyDescent="0.35">
      <c r="X7027" s="40"/>
      <c r="Y7027" s="40"/>
    </row>
    <row r="7028" spans="24:25" x14ac:dyDescent="0.35">
      <c r="X7028" s="40"/>
      <c r="Y7028" s="40"/>
    </row>
    <row r="7029" spans="24:25" x14ac:dyDescent="0.35">
      <c r="X7029" s="40"/>
      <c r="Y7029" s="40"/>
    </row>
    <row r="7030" spans="24:25" x14ac:dyDescent="0.35">
      <c r="X7030" s="40"/>
      <c r="Y7030" s="40"/>
    </row>
    <row r="7031" spans="24:25" x14ac:dyDescent="0.35">
      <c r="X7031" s="40"/>
      <c r="Y7031" s="40"/>
    </row>
    <row r="7032" spans="24:25" x14ac:dyDescent="0.35">
      <c r="X7032" s="40"/>
      <c r="Y7032" s="40"/>
    </row>
    <row r="7033" spans="24:25" x14ac:dyDescent="0.35">
      <c r="X7033" s="40"/>
      <c r="Y7033" s="40"/>
    </row>
    <row r="7034" spans="24:25" x14ac:dyDescent="0.35">
      <c r="X7034" s="40"/>
      <c r="Y7034" s="40"/>
    </row>
    <row r="7035" spans="24:25" x14ac:dyDescent="0.35">
      <c r="X7035" s="40"/>
      <c r="Y7035" s="40"/>
    </row>
    <row r="7036" spans="24:25" x14ac:dyDescent="0.35">
      <c r="X7036" s="40"/>
      <c r="Y7036" s="40"/>
    </row>
    <row r="7037" spans="24:25" x14ac:dyDescent="0.35">
      <c r="X7037" s="40"/>
      <c r="Y7037" s="40"/>
    </row>
    <row r="7038" spans="24:25" x14ac:dyDescent="0.35">
      <c r="X7038" s="40"/>
      <c r="Y7038" s="40"/>
    </row>
    <row r="7039" spans="24:25" x14ac:dyDescent="0.35">
      <c r="X7039" s="40"/>
      <c r="Y7039" s="40"/>
    </row>
    <row r="7040" spans="24:25" x14ac:dyDescent="0.35">
      <c r="X7040" s="40"/>
      <c r="Y7040" s="40"/>
    </row>
    <row r="7041" spans="24:25" x14ac:dyDescent="0.35">
      <c r="X7041" s="40"/>
      <c r="Y7041" s="40"/>
    </row>
    <row r="7042" spans="24:25" x14ac:dyDescent="0.35">
      <c r="X7042" s="40"/>
      <c r="Y7042" s="40"/>
    </row>
    <row r="7043" spans="24:25" x14ac:dyDescent="0.35">
      <c r="X7043" s="40"/>
      <c r="Y7043" s="40"/>
    </row>
    <row r="7044" spans="24:25" x14ac:dyDescent="0.35">
      <c r="X7044" s="40"/>
      <c r="Y7044" s="40"/>
    </row>
    <row r="7045" spans="24:25" x14ac:dyDescent="0.35">
      <c r="X7045" s="40"/>
      <c r="Y7045" s="40"/>
    </row>
    <row r="7046" spans="24:25" x14ac:dyDescent="0.35">
      <c r="X7046" s="40"/>
      <c r="Y7046" s="40"/>
    </row>
    <row r="7047" spans="24:25" x14ac:dyDescent="0.35">
      <c r="X7047" s="40"/>
      <c r="Y7047" s="40"/>
    </row>
    <row r="7048" spans="24:25" x14ac:dyDescent="0.35">
      <c r="X7048" s="40"/>
      <c r="Y7048" s="40"/>
    </row>
    <row r="7049" spans="24:25" x14ac:dyDescent="0.35">
      <c r="X7049" s="40"/>
      <c r="Y7049" s="40"/>
    </row>
    <row r="7050" spans="24:25" x14ac:dyDescent="0.35">
      <c r="X7050" s="40"/>
      <c r="Y7050" s="40"/>
    </row>
    <row r="7051" spans="24:25" x14ac:dyDescent="0.35">
      <c r="X7051" s="40"/>
      <c r="Y7051" s="40"/>
    </row>
    <row r="7052" spans="24:25" x14ac:dyDescent="0.35">
      <c r="X7052" s="40"/>
      <c r="Y7052" s="40"/>
    </row>
    <row r="7053" spans="24:25" x14ac:dyDescent="0.35">
      <c r="X7053" s="40"/>
      <c r="Y7053" s="40"/>
    </row>
    <row r="7054" spans="24:25" x14ac:dyDescent="0.35">
      <c r="X7054" s="40"/>
      <c r="Y7054" s="40"/>
    </row>
    <row r="7055" spans="24:25" x14ac:dyDescent="0.35">
      <c r="X7055" s="40"/>
      <c r="Y7055" s="40"/>
    </row>
    <row r="7056" spans="24:25" x14ac:dyDescent="0.35">
      <c r="X7056" s="40"/>
      <c r="Y7056" s="40"/>
    </row>
    <row r="7057" spans="24:25" x14ac:dyDescent="0.35">
      <c r="X7057" s="40"/>
      <c r="Y7057" s="40"/>
    </row>
    <row r="7058" spans="24:25" x14ac:dyDescent="0.35">
      <c r="X7058" s="40"/>
      <c r="Y7058" s="40"/>
    </row>
    <row r="7059" spans="24:25" x14ac:dyDescent="0.35">
      <c r="X7059" s="40"/>
      <c r="Y7059" s="40"/>
    </row>
    <row r="7060" spans="24:25" x14ac:dyDescent="0.35">
      <c r="X7060" s="40"/>
      <c r="Y7060" s="40"/>
    </row>
    <row r="7061" spans="24:25" x14ac:dyDescent="0.35">
      <c r="X7061" s="40"/>
      <c r="Y7061" s="40"/>
    </row>
    <row r="7062" spans="24:25" x14ac:dyDescent="0.35">
      <c r="X7062" s="40"/>
      <c r="Y7062" s="40"/>
    </row>
    <row r="7063" spans="24:25" x14ac:dyDescent="0.35">
      <c r="X7063" s="40"/>
      <c r="Y7063" s="40"/>
    </row>
    <row r="7064" spans="24:25" x14ac:dyDescent="0.35">
      <c r="X7064" s="40"/>
      <c r="Y7064" s="40"/>
    </row>
    <row r="7065" spans="24:25" x14ac:dyDescent="0.35">
      <c r="X7065" s="40"/>
      <c r="Y7065" s="40"/>
    </row>
    <row r="7066" spans="24:25" x14ac:dyDescent="0.35">
      <c r="X7066" s="40"/>
      <c r="Y7066" s="40"/>
    </row>
    <row r="7067" spans="24:25" x14ac:dyDescent="0.35">
      <c r="X7067" s="40"/>
      <c r="Y7067" s="40"/>
    </row>
    <row r="7068" spans="24:25" x14ac:dyDescent="0.35">
      <c r="X7068" s="40"/>
      <c r="Y7068" s="40"/>
    </row>
    <row r="7069" spans="24:25" x14ac:dyDescent="0.35">
      <c r="X7069" s="40"/>
      <c r="Y7069" s="40"/>
    </row>
    <row r="7070" spans="24:25" x14ac:dyDescent="0.35">
      <c r="X7070" s="40"/>
      <c r="Y7070" s="40"/>
    </row>
    <row r="7071" spans="24:25" x14ac:dyDescent="0.35">
      <c r="X7071" s="40"/>
      <c r="Y7071" s="40"/>
    </row>
    <row r="7072" spans="24:25" x14ac:dyDescent="0.35">
      <c r="X7072" s="40"/>
      <c r="Y7072" s="40"/>
    </row>
    <row r="7073" spans="24:25" x14ac:dyDescent="0.35">
      <c r="X7073" s="40"/>
      <c r="Y7073" s="40"/>
    </row>
    <row r="7074" spans="24:25" x14ac:dyDescent="0.35">
      <c r="X7074" s="40"/>
      <c r="Y7074" s="40"/>
    </row>
    <row r="7075" spans="24:25" x14ac:dyDescent="0.35">
      <c r="X7075" s="40"/>
      <c r="Y7075" s="40"/>
    </row>
    <row r="7076" spans="24:25" x14ac:dyDescent="0.35">
      <c r="X7076" s="40"/>
      <c r="Y7076" s="40"/>
    </row>
    <row r="7077" spans="24:25" x14ac:dyDescent="0.35">
      <c r="X7077" s="40"/>
      <c r="Y7077" s="40"/>
    </row>
    <row r="7078" spans="24:25" x14ac:dyDescent="0.35">
      <c r="X7078" s="40"/>
      <c r="Y7078" s="40"/>
    </row>
    <row r="7079" spans="24:25" x14ac:dyDescent="0.35">
      <c r="X7079" s="40"/>
      <c r="Y7079" s="40"/>
    </row>
    <row r="7080" spans="24:25" x14ac:dyDescent="0.35">
      <c r="X7080" s="40"/>
      <c r="Y7080" s="40"/>
    </row>
    <row r="7081" spans="24:25" x14ac:dyDescent="0.35">
      <c r="X7081" s="40"/>
      <c r="Y7081" s="40"/>
    </row>
    <row r="7082" spans="24:25" x14ac:dyDescent="0.35">
      <c r="X7082" s="40"/>
      <c r="Y7082" s="40"/>
    </row>
    <row r="7083" spans="24:25" x14ac:dyDescent="0.35">
      <c r="X7083" s="40"/>
      <c r="Y7083" s="40"/>
    </row>
    <row r="7084" spans="24:25" x14ac:dyDescent="0.35">
      <c r="X7084" s="40"/>
      <c r="Y7084" s="40"/>
    </row>
    <row r="7085" spans="24:25" x14ac:dyDescent="0.35">
      <c r="X7085" s="40"/>
      <c r="Y7085" s="40"/>
    </row>
    <row r="7086" spans="24:25" x14ac:dyDescent="0.35">
      <c r="X7086" s="40"/>
      <c r="Y7086" s="40"/>
    </row>
    <row r="7087" spans="24:25" x14ac:dyDescent="0.35">
      <c r="X7087" s="40"/>
      <c r="Y7087" s="40"/>
    </row>
    <row r="7088" spans="24:25" x14ac:dyDescent="0.35">
      <c r="X7088" s="40"/>
      <c r="Y7088" s="40"/>
    </row>
    <row r="7089" spans="24:25" x14ac:dyDescent="0.35">
      <c r="X7089" s="40"/>
      <c r="Y7089" s="40"/>
    </row>
    <row r="7090" spans="24:25" x14ac:dyDescent="0.35">
      <c r="X7090" s="40"/>
      <c r="Y7090" s="40"/>
    </row>
    <row r="7091" spans="24:25" x14ac:dyDescent="0.35">
      <c r="X7091" s="40"/>
      <c r="Y7091" s="40"/>
    </row>
    <row r="7092" spans="24:25" x14ac:dyDescent="0.35">
      <c r="X7092" s="40"/>
      <c r="Y7092" s="40"/>
    </row>
    <row r="7093" spans="24:25" x14ac:dyDescent="0.35">
      <c r="X7093" s="40"/>
      <c r="Y7093" s="40"/>
    </row>
    <row r="7094" spans="24:25" x14ac:dyDescent="0.35">
      <c r="X7094" s="40"/>
      <c r="Y7094" s="40"/>
    </row>
    <row r="7095" spans="24:25" x14ac:dyDescent="0.35">
      <c r="X7095" s="40"/>
      <c r="Y7095" s="40"/>
    </row>
    <row r="7096" spans="24:25" x14ac:dyDescent="0.35">
      <c r="X7096" s="40"/>
      <c r="Y7096" s="40"/>
    </row>
    <row r="7097" spans="24:25" x14ac:dyDescent="0.35">
      <c r="X7097" s="40"/>
      <c r="Y7097" s="40"/>
    </row>
    <row r="7098" spans="24:25" x14ac:dyDescent="0.35">
      <c r="X7098" s="40"/>
      <c r="Y7098" s="40"/>
    </row>
    <row r="7099" spans="24:25" x14ac:dyDescent="0.35">
      <c r="X7099" s="40"/>
      <c r="Y7099" s="40"/>
    </row>
    <row r="7100" spans="24:25" x14ac:dyDescent="0.35">
      <c r="X7100" s="40"/>
      <c r="Y7100" s="40"/>
    </row>
    <row r="7101" spans="24:25" x14ac:dyDescent="0.35">
      <c r="X7101" s="40"/>
      <c r="Y7101" s="40"/>
    </row>
    <row r="7102" spans="24:25" x14ac:dyDescent="0.35">
      <c r="X7102" s="40"/>
      <c r="Y7102" s="40"/>
    </row>
    <row r="7103" spans="24:25" x14ac:dyDescent="0.35">
      <c r="X7103" s="40"/>
      <c r="Y7103" s="40"/>
    </row>
    <row r="7104" spans="24:25" x14ac:dyDescent="0.35">
      <c r="X7104" s="40"/>
      <c r="Y7104" s="40"/>
    </row>
    <row r="7105" spans="24:25" x14ac:dyDescent="0.35">
      <c r="X7105" s="40"/>
      <c r="Y7105" s="40"/>
    </row>
    <row r="7106" spans="24:25" x14ac:dyDescent="0.35">
      <c r="X7106" s="40"/>
      <c r="Y7106" s="40"/>
    </row>
    <row r="7107" spans="24:25" x14ac:dyDescent="0.35">
      <c r="X7107" s="40"/>
      <c r="Y7107" s="40"/>
    </row>
    <row r="7108" spans="24:25" x14ac:dyDescent="0.35">
      <c r="X7108" s="40"/>
      <c r="Y7108" s="40"/>
    </row>
    <row r="7109" spans="24:25" x14ac:dyDescent="0.35">
      <c r="X7109" s="40"/>
      <c r="Y7109" s="40"/>
    </row>
    <row r="7110" spans="24:25" x14ac:dyDescent="0.35">
      <c r="X7110" s="40"/>
      <c r="Y7110" s="40"/>
    </row>
    <row r="7111" spans="24:25" x14ac:dyDescent="0.35">
      <c r="X7111" s="40"/>
      <c r="Y7111" s="40"/>
    </row>
    <row r="7112" spans="24:25" x14ac:dyDescent="0.35">
      <c r="X7112" s="40"/>
      <c r="Y7112" s="40"/>
    </row>
    <row r="7113" spans="24:25" x14ac:dyDescent="0.35">
      <c r="X7113" s="40"/>
      <c r="Y7113" s="40"/>
    </row>
    <row r="7114" spans="24:25" x14ac:dyDescent="0.35">
      <c r="X7114" s="40"/>
      <c r="Y7114" s="40"/>
    </row>
    <row r="7115" spans="24:25" x14ac:dyDescent="0.35">
      <c r="X7115" s="40"/>
      <c r="Y7115" s="40"/>
    </row>
    <row r="7116" spans="24:25" x14ac:dyDescent="0.35">
      <c r="X7116" s="40"/>
      <c r="Y7116" s="40"/>
    </row>
    <row r="7117" spans="24:25" x14ac:dyDescent="0.35">
      <c r="X7117" s="40"/>
      <c r="Y7117" s="40"/>
    </row>
    <row r="7118" spans="24:25" x14ac:dyDescent="0.35">
      <c r="X7118" s="40"/>
      <c r="Y7118" s="40"/>
    </row>
    <row r="7119" spans="24:25" x14ac:dyDescent="0.35">
      <c r="X7119" s="40"/>
      <c r="Y7119" s="40"/>
    </row>
    <row r="7120" spans="24:25" x14ac:dyDescent="0.35">
      <c r="X7120" s="40"/>
      <c r="Y7120" s="40"/>
    </row>
    <row r="7121" spans="24:25" x14ac:dyDescent="0.35">
      <c r="X7121" s="40"/>
      <c r="Y7121" s="40"/>
    </row>
    <row r="7122" spans="24:25" x14ac:dyDescent="0.35">
      <c r="X7122" s="40"/>
      <c r="Y7122" s="40"/>
    </row>
    <row r="7123" spans="24:25" x14ac:dyDescent="0.35">
      <c r="X7123" s="40"/>
      <c r="Y7123" s="40"/>
    </row>
    <row r="7124" spans="24:25" x14ac:dyDescent="0.35">
      <c r="X7124" s="40"/>
      <c r="Y7124" s="40"/>
    </row>
    <row r="7125" spans="24:25" x14ac:dyDescent="0.35">
      <c r="X7125" s="40"/>
      <c r="Y7125" s="40"/>
    </row>
    <row r="7126" spans="24:25" x14ac:dyDescent="0.35">
      <c r="X7126" s="40"/>
      <c r="Y7126" s="40"/>
    </row>
    <row r="7127" spans="24:25" x14ac:dyDescent="0.35">
      <c r="X7127" s="40"/>
      <c r="Y7127" s="40"/>
    </row>
    <row r="7128" spans="24:25" x14ac:dyDescent="0.35">
      <c r="X7128" s="40"/>
      <c r="Y7128" s="40"/>
    </row>
    <row r="7129" spans="24:25" x14ac:dyDescent="0.35">
      <c r="X7129" s="40"/>
      <c r="Y7129" s="40"/>
    </row>
    <row r="7130" spans="24:25" x14ac:dyDescent="0.35">
      <c r="X7130" s="40"/>
      <c r="Y7130" s="40"/>
    </row>
    <row r="7131" spans="24:25" x14ac:dyDescent="0.35">
      <c r="X7131" s="40"/>
      <c r="Y7131" s="40"/>
    </row>
    <row r="7132" spans="24:25" x14ac:dyDescent="0.35">
      <c r="X7132" s="40"/>
      <c r="Y7132" s="40"/>
    </row>
    <row r="7133" spans="24:25" x14ac:dyDescent="0.35">
      <c r="X7133" s="40"/>
      <c r="Y7133" s="40"/>
    </row>
    <row r="7134" spans="24:25" x14ac:dyDescent="0.35">
      <c r="X7134" s="40"/>
      <c r="Y7134" s="40"/>
    </row>
    <row r="7135" spans="24:25" x14ac:dyDescent="0.35">
      <c r="X7135" s="40"/>
      <c r="Y7135" s="40"/>
    </row>
    <row r="7136" spans="24:25" x14ac:dyDescent="0.35">
      <c r="X7136" s="40"/>
      <c r="Y7136" s="40"/>
    </row>
    <row r="7137" spans="24:25" x14ac:dyDescent="0.35">
      <c r="X7137" s="40"/>
      <c r="Y7137" s="40"/>
    </row>
    <row r="7138" spans="24:25" x14ac:dyDescent="0.35">
      <c r="X7138" s="40"/>
      <c r="Y7138" s="40"/>
    </row>
    <row r="7139" spans="24:25" x14ac:dyDescent="0.35">
      <c r="X7139" s="40"/>
      <c r="Y7139" s="40"/>
    </row>
    <row r="7140" spans="24:25" x14ac:dyDescent="0.35">
      <c r="X7140" s="40"/>
      <c r="Y7140" s="40"/>
    </row>
    <row r="7141" spans="24:25" x14ac:dyDescent="0.35">
      <c r="X7141" s="40"/>
      <c r="Y7141" s="40"/>
    </row>
    <row r="7142" spans="24:25" x14ac:dyDescent="0.35">
      <c r="X7142" s="40"/>
      <c r="Y7142" s="40"/>
    </row>
    <row r="7143" spans="24:25" x14ac:dyDescent="0.35">
      <c r="X7143" s="40"/>
      <c r="Y7143" s="40"/>
    </row>
    <row r="7144" spans="24:25" x14ac:dyDescent="0.35">
      <c r="X7144" s="40"/>
      <c r="Y7144" s="40"/>
    </row>
    <row r="7145" spans="24:25" x14ac:dyDescent="0.35">
      <c r="X7145" s="40"/>
      <c r="Y7145" s="40"/>
    </row>
    <row r="7146" spans="24:25" x14ac:dyDescent="0.35">
      <c r="X7146" s="40"/>
      <c r="Y7146" s="40"/>
    </row>
    <row r="7147" spans="24:25" x14ac:dyDescent="0.35">
      <c r="X7147" s="40"/>
      <c r="Y7147" s="40"/>
    </row>
    <row r="7148" spans="24:25" x14ac:dyDescent="0.35">
      <c r="X7148" s="40"/>
      <c r="Y7148" s="40"/>
    </row>
    <row r="7149" spans="24:25" x14ac:dyDescent="0.35">
      <c r="X7149" s="40"/>
      <c r="Y7149" s="40"/>
    </row>
    <row r="7150" spans="24:25" x14ac:dyDescent="0.35">
      <c r="X7150" s="40"/>
      <c r="Y7150" s="40"/>
    </row>
    <row r="7151" spans="24:25" x14ac:dyDescent="0.35">
      <c r="X7151" s="40"/>
      <c r="Y7151" s="40"/>
    </row>
    <row r="7152" spans="24:25" x14ac:dyDescent="0.35">
      <c r="X7152" s="40"/>
      <c r="Y7152" s="40"/>
    </row>
    <row r="7153" spans="24:25" x14ac:dyDescent="0.35">
      <c r="X7153" s="40"/>
      <c r="Y7153" s="40"/>
    </row>
    <row r="7154" spans="24:25" x14ac:dyDescent="0.35">
      <c r="X7154" s="40"/>
      <c r="Y7154" s="40"/>
    </row>
    <row r="7155" spans="24:25" x14ac:dyDescent="0.35">
      <c r="X7155" s="40"/>
      <c r="Y7155" s="40"/>
    </row>
    <row r="7156" spans="24:25" x14ac:dyDescent="0.35">
      <c r="X7156" s="40"/>
      <c r="Y7156" s="40"/>
    </row>
    <row r="7157" spans="24:25" x14ac:dyDescent="0.35">
      <c r="X7157" s="40"/>
      <c r="Y7157" s="40"/>
    </row>
    <row r="7158" spans="24:25" x14ac:dyDescent="0.35">
      <c r="X7158" s="40"/>
      <c r="Y7158" s="40"/>
    </row>
    <row r="7159" spans="24:25" x14ac:dyDescent="0.35">
      <c r="X7159" s="40"/>
      <c r="Y7159" s="40"/>
    </row>
    <row r="7160" spans="24:25" x14ac:dyDescent="0.35">
      <c r="X7160" s="40"/>
      <c r="Y7160" s="40"/>
    </row>
    <row r="7161" spans="24:25" x14ac:dyDescent="0.35">
      <c r="X7161" s="40"/>
      <c r="Y7161" s="40"/>
    </row>
    <row r="7162" spans="24:25" x14ac:dyDescent="0.35">
      <c r="X7162" s="40"/>
      <c r="Y7162" s="40"/>
    </row>
    <row r="7163" spans="24:25" x14ac:dyDescent="0.35">
      <c r="X7163" s="40"/>
      <c r="Y7163" s="40"/>
    </row>
    <row r="7164" spans="24:25" x14ac:dyDescent="0.35">
      <c r="X7164" s="40"/>
      <c r="Y7164" s="40"/>
    </row>
    <row r="7165" spans="24:25" x14ac:dyDescent="0.35">
      <c r="X7165" s="40"/>
      <c r="Y7165" s="40"/>
    </row>
    <row r="7166" spans="24:25" x14ac:dyDescent="0.35">
      <c r="X7166" s="40"/>
      <c r="Y7166" s="40"/>
    </row>
    <row r="7167" spans="24:25" x14ac:dyDescent="0.35">
      <c r="X7167" s="40"/>
      <c r="Y7167" s="40"/>
    </row>
    <row r="7168" spans="24:25" x14ac:dyDescent="0.35">
      <c r="X7168" s="40"/>
      <c r="Y7168" s="40"/>
    </row>
    <row r="7169" spans="24:25" x14ac:dyDescent="0.35">
      <c r="X7169" s="40"/>
      <c r="Y7169" s="40"/>
    </row>
    <row r="7170" spans="24:25" x14ac:dyDescent="0.35">
      <c r="X7170" s="40"/>
      <c r="Y7170" s="40"/>
    </row>
    <row r="7171" spans="24:25" x14ac:dyDescent="0.35">
      <c r="X7171" s="40"/>
      <c r="Y7171" s="40"/>
    </row>
    <row r="7172" spans="24:25" x14ac:dyDescent="0.35">
      <c r="X7172" s="40"/>
      <c r="Y7172" s="40"/>
    </row>
    <row r="7173" spans="24:25" x14ac:dyDescent="0.35">
      <c r="X7173" s="40"/>
      <c r="Y7173" s="40"/>
    </row>
    <row r="7174" spans="24:25" x14ac:dyDescent="0.35">
      <c r="X7174" s="40"/>
      <c r="Y7174" s="40"/>
    </row>
    <row r="7175" spans="24:25" x14ac:dyDescent="0.35">
      <c r="X7175" s="40"/>
      <c r="Y7175" s="40"/>
    </row>
    <row r="7176" spans="24:25" x14ac:dyDescent="0.35">
      <c r="X7176" s="40"/>
      <c r="Y7176" s="40"/>
    </row>
    <row r="7177" spans="24:25" x14ac:dyDescent="0.35">
      <c r="X7177" s="40"/>
      <c r="Y7177" s="40"/>
    </row>
    <row r="7178" spans="24:25" x14ac:dyDescent="0.35">
      <c r="X7178" s="40"/>
      <c r="Y7178" s="40"/>
    </row>
    <row r="7179" spans="24:25" x14ac:dyDescent="0.35">
      <c r="X7179" s="40"/>
      <c r="Y7179" s="40"/>
    </row>
    <row r="7180" spans="24:25" x14ac:dyDescent="0.35">
      <c r="X7180" s="40"/>
      <c r="Y7180" s="40"/>
    </row>
    <row r="7181" spans="24:25" x14ac:dyDescent="0.35">
      <c r="X7181" s="40"/>
      <c r="Y7181" s="40"/>
    </row>
    <row r="7182" spans="24:25" x14ac:dyDescent="0.35">
      <c r="X7182" s="40"/>
      <c r="Y7182" s="40"/>
    </row>
    <row r="7183" spans="24:25" x14ac:dyDescent="0.35">
      <c r="X7183" s="40"/>
      <c r="Y7183" s="40"/>
    </row>
    <row r="7184" spans="24:25" x14ac:dyDescent="0.35">
      <c r="X7184" s="40"/>
      <c r="Y7184" s="40"/>
    </row>
    <row r="7185" spans="24:25" x14ac:dyDescent="0.35">
      <c r="X7185" s="40"/>
      <c r="Y7185" s="40"/>
    </row>
    <row r="7186" spans="24:25" x14ac:dyDescent="0.35">
      <c r="X7186" s="40"/>
      <c r="Y7186" s="40"/>
    </row>
    <row r="7187" spans="24:25" x14ac:dyDescent="0.35">
      <c r="X7187" s="40"/>
      <c r="Y7187" s="40"/>
    </row>
    <row r="7188" spans="24:25" x14ac:dyDescent="0.35">
      <c r="X7188" s="40"/>
      <c r="Y7188" s="40"/>
    </row>
    <row r="7189" spans="24:25" x14ac:dyDescent="0.35">
      <c r="X7189" s="40"/>
      <c r="Y7189" s="40"/>
    </row>
    <row r="7190" spans="24:25" x14ac:dyDescent="0.35">
      <c r="X7190" s="40"/>
      <c r="Y7190" s="40"/>
    </row>
    <row r="7191" spans="24:25" x14ac:dyDescent="0.35">
      <c r="X7191" s="40"/>
      <c r="Y7191" s="40"/>
    </row>
    <row r="7192" spans="24:25" x14ac:dyDescent="0.35">
      <c r="X7192" s="40"/>
      <c r="Y7192" s="40"/>
    </row>
    <row r="7193" spans="24:25" x14ac:dyDescent="0.35">
      <c r="X7193" s="40"/>
      <c r="Y7193" s="40"/>
    </row>
    <row r="7194" spans="24:25" x14ac:dyDescent="0.35">
      <c r="X7194" s="40"/>
      <c r="Y7194" s="40"/>
    </row>
    <row r="7195" spans="24:25" x14ac:dyDescent="0.35">
      <c r="X7195" s="40"/>
      <c r="Y7195" s="40"/>
    </row>
    <row r="7196" spans="24:25" x14ac:dyDescent="0.35">
      <c r="X7196" s="40"/>
      <c r="Y7196" s="40"/>
    </row>
    <row r="7197" spans="24:25" x14ac:dyDescent="0.35">
      <c r="X7197" s="40"/>
      <c r="Y7197" s="40"/>
    </row>
    <row r="7198" spans="24:25" x14ac:dyDescent="0.35">
      <c r="X7198" s="40"/>
      <c r="Y7198" s="40"/>
    </row>
    <row r="7199" spans="24:25" x14ac:dyDescent="0.35">
      <c r="X7199" s="40"/>
      <c r="Y7199" s="40"/>
    </row>
    <row r="7200" spans="24:25" x14ac:dyDescent="0.35">
      <c r="X7200" s="40"/>
      <c r="Y7200" s="40"/>
    </row>
    <row r="7201" spans="24:25" x14ac:dyDescent="0.35">
      <c r="X7201" s="40"/>
      <c r="Y7201" s="40"/>
    </row>
    <row r="7202" spans="24:25" x14ac:dyDescent="0.35">
      <c r="X7202" s="40"/>
      <c r="Y7202" s="40"/>
    </row>
    <row r="7203" spans="24:25" x14ac:dyDescent="0.35">
      <c r="X7203" s="40"/>
      <c r="Y7203" s="40"/>
    </row>
    <row r="7204" spans="24:25" x14ac:dyDescent="0.35">
      <c r="X7204" s="40"/>
      <c r="Y7204" s="40"/>
    </row>
    <row r="7205" spans="24:25" x14ac:dyDescent="0.35">
      <c r="X7205" s="40"/>
      <c r="Y7205" s="40"/>
    </row>
    <row r="7206" spans="24:25" x14ac:dyDescent="0.35">
      <c r="X7206" s="40"/>
      <c r="Y7206" s="40"/>
    </row>
    <row r="7207" spans="24:25" x14ac:dyDescent="0.35">
      <c r="X7207" s="40"/>
      <c r="Y7207" s="40"/>
    </row>
    <row r="7208" spans="24:25" x14ac:dyDescent="0.35">
      <c r="X7208" s="40"/>
      <c r="Y7208" s="40"/>
    </row>
    <row r="7209" spans="24:25" x14ac:dyDescent="0.35">
      <c r="X7209" s="40"/>
      <c r="Y7209" s="40"/>
    </row>
    <row r="7210" spans="24:25" x14ac:dyDescent="0.35">
      <c r="X7210" s="40"/>
      <c r="Y7210" s="40"/>
    </row>
    <row r="7211" spans="24:25" x14ac:dyDescent="0.35">
      <c r="X7211" s="40"/>
      <c r="Y7211" s="40"/>
    </row>
    <row r="7212" spans="24:25" x14ac:dyDescent="0.35">
      <c r="X7212" s="40"/>
      <c r="Y7212" s="40"/>
    </row>
    <row r="7213" spans="24:25" x14ac:dyDescent="0.35">
      <c r="X7213" s="40"/>
      <c r="Y7213" s="40"/>
    </row>
    <row r="7214" spans="24:25" x14ac:dyDescent="0.35">
      <c r="X7214" s="40"/>
      <c r="Y7214" s="40"/>
    </row>
    <row r="7215" spans="24:25" x14ac:dyDescent="0.35">
      <c r="X7215" s="40"/>
      <c r="Y7215" s="40"/>
    </row>
    <row r="7216" spans="24:25" x14ac:dyDescent="0.35">
      <c r="X7216" s="40"/>
      <c r="Y7216" s="40"/>
    </row>
    <row r="7217" spans="24:25" x14ac:dyDescent="0.35">
      <c r="X7217" s="40"/>
      <c r="Y7217" s="40"/>
    </row>
    <row r="7218" spans="24:25" x14ac:dyDescent="0.35">
      <c r="X7218" s="40"/>
      <c r="Y7218" s="40"/>
    </row>
    <row r="7219" spans="24:25" x14ac:dyDescent="0.35">
      <c r="X7219" s="40"/>
      <c r="Y7219" s="40"/>
    </row>
    <row r="7220" spans="24:25" x14ac:dyDescent="0.35">
      <c r="X7220" s="40"/>
      <c r="Y7220" s="40"/>
    </row>
    <row r="7221" spans="24:25" x14ac:dyDescent="0.35">
      <c r="X7221" s="40"/>
      <c r="Y7221" s="40"/>
    </row>
    <row r="7222" spans="24:25" x14ac:dyDescent="0.35">
      <c r="X7222" s="40"/>
      <c r="Y7222" s="40"/>
    </row>
    <row r="7223" spans="24:25" x14ac:dyDescent="0.35">
      <c r="X7223" s="40"/>
      <c r="Y7223" s="40"/>
    </row>
    <row r="7224" spans="24:25" x14ac:dyDescent="0.35">
      <c r="X7224" s="40"/>
      <c r="Y7224" s="40"/>
    </row>
    <row r="7225" spans="24:25" x14ac:dyDescent="0.35">
      <c r="X7225" s="40"/>
      <c r="Y7225" s="40"/>
    </row>
    <row r="7226" spans="24:25" x14ac:dyDescent="0.35">
      <c r="X7226" s="40"/>
      <c r="Y7226" s="40"/>
    </row>
    <row r="7227" spans="24:25" x14ac:dyDescent="0.35">
      <c r="X7227" s="40"/>
      <c r="Y7227" s="40"/>
    </row>
    <row r="7228" spans="24:25" x14ac:dyDescent="0.35">
      <c r="X7228" s="40"/>
      <c r="Y7228" s="40"/>
    </row>
    <row r="7229" spans="24:25" x14ac:dyDescent="0.35">
      <c r="X7229" s="40"/>
      <c r="Y7229" s="40"/>
    </row>
    <row r="7230" spans="24:25" x14ac:dyDescent="0.35">
      <c r="X7230" s="40"/>
      <c r="Y7230" s="40"/>
    </row>
    <row r="7231" spans="24:25" x14ac:dyDescent="0.35">
      <c r="X7231" s="40"/>
      <c r="Y7231" s="40"/>
    </row>
    <row r="7232" spans="24:25" x14ac:dyDescent="0.35">
      <c r="X7232" s="40"/>
      <c r="Y7232" s="40"/>
    </row>
    <row r="7233" spans="24:25" x14ac:dyDescent="0.35">
      <c r="X7233" s="40"/>
      <c r="Y7233" s="40"/>
    </row>
    <row r="7234" spans="24:25" x14ac:dyDescent="0.35">
      <c r="X7234" s="40"/>
      <c r="Y7234" s="40"/>
    </row>
    <row r="7235" spans="24:25" x14ac:dyDescent="0.35">
      <c r="X7235" s="40"/>
      <c r="Y7235" s="40"/>
    </row>
    <row r="7236" spans="24:25" x14ac:dyDescent="0.35">
      <c r="X7236" s="40"/>
      <c r="Y7236" s="40"/>
    </row>
    <row r="7237" spans="24:25" x14ac:dyDescent="0.35">
      <c r="X7237" s="40"/>
      <c r="Y7237" s="40"/>
    </row>
    <row r="7238" spans="24:25" x14ac:dyDescent="0.35">
      <c r="X7238" s="40"/>
      <c r="Y7238" s="40"/>
    </row>
    <row r="7239" spans="24:25" x14ac:dyDescent="0.35">
      <c r="X7239" s="40"/>
      <c r="Y7239" s="40"/>
    </row>
    <row r="7240" spans="24:25" x14ac:dyDescent="0.35">
      <c r="X7240" s="40"/>
      <c r="Y7240" s="40"/>
    </row>
    <row r="7241" spans="24:25" x14ac:dyDescent="0.35">
      <c r="X7241" s="40"/>
      <c r="Y7241" s="40"/>
    </row>
    <row r="7242" spans="24:25" x14ac:dyDescent="0.35">
      <c r="X7242" s="40"/>
      <c r="Y7242" s="40"/>
    </row>
    <row r="7243" spans="24:25" x14ac:dyDescent="0.35">
      <c r="X7243" s="40"/>
      <c r="Y7243" s="40"/>
    </row>
    <row r="7244" spans="24:25" x14ac:dyDescent="0.35">
      <c r="X7244" s="40"/>
      <c r="Y7244" s="40"/>
    </row>
    <row r="7245" spans="24:25" x14ac:dyDescent="0.35">
      <c r="X7245" s="40"/>
      <c r="Y7245" s="40"/>
    </row>
    <row r="7246" spans="24:25" x14ac:dyDescent="0.35">
      <c r="X7246" s="40"/>
      <c r="Y7246" s="40"/>
    </row>
    <row r="7247" spans="24:25" x14ac:dyDescent="0.35">
      <c r="X7247" s="40"/>
      <c r="Y7247" s="40"/>
    </row>
    <row r="7248" spans="24:25" x14ac:dyDescent="0.35">
      <c r="X7248" s="40"/>
      <c r="Y7248" s="40"/>
    </row>
    <row r="7249" spans="24:25" x14ac:dyDescent="0.35">
      <c r="X7249" s="40"/>
      <c r="Y7249" s="40"/>
    </row>
    <row r="7250" spans="24:25" x14ac:dyDescent="0.35">
      <c r="X7250" s="40"/>
      <c r="Y7250" s="40"/>
    </row>
    <row r="7251" spans="24:25" x14ac:dyDescent="0.35">
      <c r="X7251" s="40"/>
      <c r="Y7251" s="40"/>
    </row>
    <row r="7252" spans="24:25" x14ac:dyDescent="0.35">
      <c r="X7252" s="40"/>
      <c r="Y7252" s="40"/>
    </row>
    <row r="7253" spans="24:25" x14ac:dyDescent="0.35">
      <c r="X7253" s="40"/>
      <c r="Y7253" s="40"/>
    </row>
    <row r="7254" spans="24:25" x14ac:dyDescent="0.35">
      <c r="X7254" s="40"/>
      <c r="Y7254" s="40"/>
    </row>
    <row r="7255" spans="24:25" x14ac:dyDescent="0.35">
      <c r="X7255" s="40"/>
      <c r="Y7255" s="40"/>
    </row>
    <row r="7256" spans="24:25" x14ac:dyDescent="0.35">
      <c r="X7256" s="40"/>
      <c r="Y7256" s="40"/>
    </row>
    <row r="7257" spans="24:25" x14ac:dyDescent="0.35">
      <c r="X7257" s="40"/>
      <c r="Y7257" s="40"/>
    </row>
    <row r="7258" spans="24:25" x14ac:dyDescent="0.35">
      <c r="X7258" s="40"/>
      <c r="Y7258" s="40"/>
    </row>
    <row r="7259" spans="24:25" x14ac:dyDescent="0.35">
      <c r="X7259" s="40"/>
      <c r="Y7259" s="40"/>
    </row>
    <row r="7260" spans="24:25" x14ac:dyDescent="0.35">
      <c r="X7260" s="40"/>
      <c r="Y7260" s="40"/>
    </row>
    <row r="7261" spans="24:25" x14ac:dyDescent="0.35">
      <c r="X7261" s="40"/>
      <c r="Y7261" s="40"/>
    </row>
    <row r="7262" spans="24:25" x14ac:dyDescent="0.35">
      <c r="X7262" s="40"/>
      <c r="Y7262" s="40"/>
    </row>
    <row r="7263" spans="24:25" x14ac:dyDescent="0.35">
      <c r="X7263" s="40"/>
      <c r="Y7263" s="40"/>
    </row>
    <row r="7264" spans="24:25" x14ac:dyDescent="0.35">
      <c r="X7264" s="40"/>
      <c r="Y7264" s="40"/>
    </row>
    <row r="7265" spans="24:25" x14ac:dyDescent="0.35">
      <c r="X7265" s="40"/>
      <c r="Y7265" s="40"/>
    </row>
    <row r="7266" spans="24:25" x14ac:dyDescent="0.35">
      <c r="X7266" s="40"/>
      <c r="Y7266" s="40"/>
    </row>
    <row r="7267" spans="24:25" x14ac:dyDescent="0.35">
      <c r="X7267" s="40"/>
      <c r="Y7267" s="40"/>
    </row>
    <row r="7268" spans="24:25" x14ac:dyDescent="0.35">
      <c r="X7268" s="40"/>
      <c r="Y7268" s="40"/>
    </row>
    <row r="7269" spans="24:25" x14ac:dyDescent="0.35">
      <c r="X7269" s="40"/>
      <c r="Y7269" s="40"/>
    </row>
    <row r="7270" spans="24:25" x14ac:dyDescent="0.35">
      <c r="X7270" s="40"/>
      <c r="Y7270" s="40"/>
    </row>
    <row r="7271" spans="24:25" x14ac:dyDescent="0.35">
      <c r="X7271" s="40"/>
      <c r="Y7271" s="40"/>
    </row>
    <row r="7272" spans="24:25" x14ac:dyDescent="0.35">
      <c r="X7272" s="40"/>
      <c r="Y7272" s="40"/>
    </row>
    <row r="7273" spans="24:25" x14ac:dyDescent="0.35">
      <c r="X7273" s="40"/>
      <c r="Y7273" s="40"/>
    </row>
    <row r="7274" spans="24:25" x14ac:dyDescent="0.35">
      <c r="X7274" s="40"/>
      <c r="Y7274" s="40"/>
    </row>
    <row r="7275" spans="24:25" x14ac:dyDescent="0.35">
      <c r="X7275" s="40"/>
      <c r="Y7275" s="40"/>
    </row>
    <row r="7276" spans="24:25" x14ac:dyDescent="0.35">
      <c r="X7276" s="40"/>
      <c r="Y7276" s="40"/>
    </row>
    <row r="7277" spans="24:25" x14ac:dyDescent="0.35">
      <c r="X7277" s="40"/>
      <c r="Y7277" s="40"/>
    </row>
    <row r="7278" spans="24:25" x14ac:dyDescent="0.35">
      <c r="X7278" s="40"/>
      <c r="Y7278" s="40"/>
    </row>
    <row r="7279" spans="24:25" x14ac:dyDescent="0.35">
      <c r="X7279" s="40"/>
      <c r="Y7279" s="40"/>
    </row>
    <row r="7280" spans="24:25" x14ac:dyDescent="0.35">
      <c r="X7280" s="40"/>
      <c r="Y7280" s="40"/>
    </row>
    <row r="7281" spans="24:25" x14ac:dyDescent="0.35">
      <c r="X7281" s="40"/>
      <c r="Y7281" s="40"/>
    </row>
    <row r="7282" spans="24:25" x14ac:dyDescent="0.35">
      <c r="X7282" s="40"/>
      <c r="Y7282" s="40"/>
    </row>
    <row r="7283" spans="24:25" x14ac:dyDescent="0.35">
      <c r="X7283" s="40"/>
      <c r="Y7283" s="40"/>
    </row>
    <row r="7284" spans="24:25" x14ac:dyDescent="0.35">
      <c r="X7284" s="40"/>
      <c r="Y7284" s="40"/>
    </row>
    <row r="7285" spans="24:25" x14ac:dyDescent="0.35">
      <c r="X7285" s="40"/>
      <c r="Y7285" s="40"/>
    </row>
    <row r="7286" spans="24:25" x14ac:dyDescent="0.35">
      <c r="X7286" s="40"/>
      <c r="Y7286" s="40"/>
    </row>
    <row r="7287" spans="24:25" x14ac:dyDescent="0.35">
      <c r="X7287" s="40"/>
      <c r="Y7287" s="40"/>
    </row>
    <row r="7288" spans="24:25" x14ac:dyDescent="0.35">
      <c r="X7288" s="40"/>
      <c r="Y7288" s="40"/>
    </row>
    <row r="7289" spans="24:25" x14ac:dyDescent="0.35">
      <c r="X7289" s="40"/>
      <c r="Y7289" s="40"/>
    </row>
    <row r="7290" spans="24:25" x14ac:dyDescent="0.35">
      <c r="X7290" s="40"/>
      <c r="Y7290" s="40"/>
    </row>
    <row r="7291" spans="24:25" x14ac:dyDescent="0.35">
      <c r="X7291" s="40"/>
      <c r="Y7291" s="40"/>
    </row>
    <row r="7292" spans="24:25" x14ac:dyDescent="0.35">
      <c r="X7292" s="40"/>
      <c r="Y7292" s="40"/>
    </row>
    <row r="7293" spans="24:25" x14ac:dyDescent="0.35">
      <c r="X7293" s="40"/>
      <c r="Y7293" s="40"/>
    </row>
    <row r="7294" spans="24:25" x14ac:dyDescent="0.35">
      <c r="X7294" s="40"/>
      <c r="Y7294" s="40"/>
    </row>
    <row r="7295" spans="24:25" x14ac:dyDescent="0.35">
      <c r="X7295" s="40"/>
      <c r="Y7295" s="40"/>
    </row>
    <row r="7296" spans="24:25" x14ac:dyDescent="0.35">
      <c r="X7296" s="40"/>
      <c r="Y7296" s="40"/>
    </row>
    <row r="7297" spans="24:25" x14ac:dyDescent="0.35">
      <c r="X7297" s="40"/>
      <c r="Y7297" s="40"/>
    </row>
    <row r="7298" spans="24:25" x14ac:dyDescent="0.35">
      <c r="X7298" s="40"/>
      <c r="Y7298" s="40"/>
    </row>
    <row r="7299" spans="24:25" x14ac:dyDescent="0.35">
      <c r="X7299" s="40"/>
      <c r="Y7299" s="40"/>
    </row>
    <row r="7300" spans="24:25" x14ac:dyDescent="0.35">
      <c r="X7300" s="40"/>
      <c r="Y7300" s="40"/>
    </row>
    <row r="7301" spans="24:25" x14ac:dyDescent="0.35">
      <c r="X7301" s="40"/>
      <c r="Y7301" s="40"/>
    </row>
    <row r="7302" spans="24:25" x14ac:dyDescent="0.35">
      <c r="X7302" s="40"/>
      <c r="Y7302" s="40"/>
    </row>
    <row r="7303" spans="24:25" x14ac:dyDescent="0.35">
      <c r="X7303" s="40"/>
      <c r="Y7303" s="40"/>
    </row>
    <row r="7304" spans="24:25" x14ac:dyDescent="0.35">
      <c r="X7304" s="40"/>
      <c r="Y7304" s="40"/>
    </row>
    <row r="7305" spans="24:25" x14ac:dyDescent="0.35">
      <c r="X7305" s="40"/>
      <c r="Y7305" s="40"/>
    </row>
    <row r="7306" spans="24:25" x14ac:dyDescent="0.35">
      <c r="X7306" s="40"/>
      <c r="Y7306" s="40"/>
    </row>
    <row r="7307" spans="24:25" x14ac:dyDescent="0.35">
      <c r="X7307" s="40"/>
      <c r="Y7307" s="40"/>
    </row>
    <row r="7308" spans="24:25" x14ac:dyDescent="0.35">
      <c r="X7308" s="40"/>
      <c r="Y7308" s="40"/>
    </row>
    <row r="7309" spans="24:25" x14ac:dyDescent="0.35">
      <c r="X7309" s="40"/>
      <c r="Y7309" s="40"/>
    </row>
    <row r="7310" spans="24:25" x14ac:dyDescent="0.35">
      <c r="X7310" s="40"/>
      <c r="Y7310" s="40"/>
    </row>
    <row r="7311" spans="24:25" x14ac:dyDescent="0.35">
      <c r="X7311" s="40"/>
      <c r="Y7311" s="40"/>
    </row>
    <row r="7312" spans="24:25" x14ac:dyDescent="0.35">
      <c r="X7312" s="40"/>
      <c r="Y7312" s="40"/>
    </row>
    <row r="7313" spans="24:25" x14ac:dyDescent="0.35">
      <c r="X7313" s="40"/>
      <c r="Y7313" s="40"/>
    </row>
    <row r="7314" spans="24:25" x14ac:dyDescent="0.35">
      <c r="X7314" s="40"/>
      <c r="Y7314" s="40"/>
    </row>
    <row r="7315" spans="24:25" x14ac:dyDescent="0.35">
      <c r="X7315" s="40"/>
      <c r="Y7315" s="40"/>
    </row>
    <row r="7316" spans="24:25" x14ac:dyDescent="0.35">
      <c r="X7316" s="40"/>
      <c r="Y7316" s="40"/>
    </row>
    <row r="7317" spans="24:25" x14ac:dyDescent="0.35">
      <c r="X7317" s="40"/>
      <c r="Y7317" s="40"/>
    </row>
    <row r="7318" spans="24:25" x14ac:dyDescent="0.35">
      <c r="X7318" s="40"/>
      <c r="Y7318" s="40"/>
    </row>
    <row r="7319" spans="24:25" x14ac:dyDescent="0.35">
      <c r="X7319" s="40"/>
      <c r="Y7319" s="40"/>
    </row>
    <row r="7320" spans="24:25" x14ac:dyDescent="0.35">
      <c r="X7320" s="40"/>
      <c r="Y7320" s="40"/>
    </row>
    <row r="7321" spans="24:25" x14ac:dyDescent="0.35">
      <c r="X7321" s="40"/>
      <c r="Y7321" s="40"/>
    </row>
    <row r="7322" spans="24:25" x14ac:dyDescent="0.35">
      <c r="X7322" s="40"/>
      <c r="Y7322" s="40"/>
    </row>
    <row r="7323" spans="24:25" x14ac:dyDescent="0.35">
      <c r="X7323" s="40"/>
      <c r="Y7323" s="40"/>
    </row>
    <row r="7324" spans="24:25" x14ac:dyDescent="0.35">
      <c r="X7324" s="40"/>
      <c r="Y7324" s="40"/>
    </row>
    <row r="7325" spans="24:25" x14ac:dyDescent="0.35">
      <c r="X7325" s="40"/>
      <c r="Y7325" s="40"/>
    </row>
    <row r="7326" spans="24:25" x14ac:dyDescent="0.35">
      <c r="X7326" s="40"/>
      <c r="Y7326" s="40"/>
    </row>
    <row r="7327" spans="24:25" x14ac:dyDescent="0.35">
      <c r="X7327" s="40"/>
      <c r="Y7327" s="40"/>
    </row>
    <row r="7328" spans="24:25" x14ac:dyDescent="0.35">
      <c r="X7328" s="40"/>
      <c r="Y7328" s="40"/>
    </row>
    <row r="7329" spans="24:25" x14ac:dyDescent="0.35">
      <c r="X7329" s="40"/>
      <c r="Y7329" s="40"/>
    </row>
    <row r="7330" spans="24:25" x14ac:dyDescent="0.35">
      <c r="X7330" s="40"/>
      <c r="Y7330" s="40"/>
    </row>
    <row r="7331" spans="24:25" x14ac:dyDescent="0.35">
      <c r="X7331" s="40"/>
      <c r="Y7331" s="40"/>
    </row>
    <row r="7332" spans="24:25" x14ac:dyDescent="0.35">
      <c r="X7332" s="40"/>
      <c r="Y7332" s="40"/>
    </row>
    <row r="7333" spans="24:25" x14ac:dyDescent="0.35">
      <c r="X7333" s="40"/>
      <c r="Y7333" s="40"/>
    </row>
    <row r="7334" spans="24:25" x14ac:dyDescent="0.35">
      <c r="X7334" s="40"/>
      <c r="Y7334" s="40"/>
    </row>
    <row r="7335" spans="24:25" x14ac:dyDescent="0.35">
      <c r="X7335" s="40"/>
      <c r="Y7335" s="40"/>
    </row>
    <row r="7336" spans="24:25" x14ac:dyDescent="0.35">
      <c r="X7336" s="40"/>
      <c r="Y7336" s="40"/>
    </row>
    <row r="7337" spans="24:25" x14ac:dyDescent="0.35">
      <c r="X7337" s="40"/>
      <c r="Y7337" s="40"/>
    </row>
    <row r="7338" spans="24:25" x14ac:dyDescent="0.35">
      <c r="X7338" s="40"/>
      <c r="Y7338" s="40"/>
    </row>
    <row r="7339" spans="24:25" x14ac:dyDescent="0.35">
      <c r="X7339" s="40"/>
      <c r="Y7339" s="40"/>
    </row>
    <row r="7340" spans="24:25" x14ac:dyDescent="0.35">
      <c r="X7340" s="40"/>
      <c r="Y7340" s="40"/>
    </row>
    <row r="7341" spans="24:25" x14ac:dyDescent="0.35">
      <c r="X7341" s="40"/>
      <c r="Y7341" s="40"/>
    </row>
    <row r="7342" spans="24:25" x14ac:dyDescent="0.35">
      <c r="X7342" s="40"/>
      <c r="Y7342" s="40"/>
    </row>
    <row r="7343" spans="24:25" x14ac:dyDescent="0.35">
      <c r="X7343" s="40"/>
      <c r="Y7343" s="40"/>
    </row>
    <row r="7344" spans="24:25" x14ac:dyDescent="0.35">
      <c r="X7344" s="40"/>
      <c r="Y7344" s="40"/>
    </row>
    <row r="7345" spans="24:25" x14ac:dyDescent="0.35">
      <c r="X7345" s="40"/>
      <c r="Y7345" s="40"/>
    </row>
    <row r="7346" spans="24:25" x14ac:dyDescent="0.35">
      <c r="X7346" s="40"/>
      <c r="Y7346" s="40"/>
    </row>
    <row r="7347" spans="24:25" x14ac:dyDescent="0.35">
      <c r="X7347" s="40"/>
      <c r="Y7347" s="40"/>
    </row>
    <row r="7348" spans="24:25" x14ac:dyDescent="0.35">
      <c r="X7348" s="40"/>
      <c r="Y7348" s="40"/>
    </row>
    <row r="7349" spans="24:25" x14ac:dyDescent="0.35">
      <c r="X7349" s="40"/>
      <c r="Y7349" s="40"/>
    </row>
    <row r="7350" spans="24:25" x14ac:dyDescent="0.35">
      <c r="X7350" s="40"/>
      <c r="Y7350" s="40"/>
    </row>
    <row r="7351" spans="24:25" x14ac:dyDescent="0.35">
      <c r="X7351" s="40"/>
      <c r="Y7351" s="40"/>
    </row>
    <row r="7352" spans="24:25" x14ac:dyDescent="0.35">
      <c r="X7352" s="40"/>
      <c r="Y7352" s="40"/>
    </row>
    <row r="7353" spans="24:25" x14ac:dyDescent="0.35">
      <c r="X7353" s="40"/>
      <c r="Y7353" s="40"/>
    </row>
    <row r="7354" spans="24:25" x14ac:dyDescent="0.35">
      <c r="X7354" s="40"/>
      <c r="Y7354" s="40"/>
    </row>
    <row r="7355" spans="24:25" x14ac:dyDescent="0.35">
      <c r="X7355" s="40"/>
      <c r="Y7355" s="40"/>
    </row>
    <row r="7356" spans="24:25" x14ac:dyDescent="0.35">
      <c r="X7356" s="40"/>
      <c r="Y7356" s="40"/>
    </row>
    <row r="7357" spans="24:25" x14ac:dyDescent="0.35">
      <c r="X7357" s="40"/>
      <c r="Y7357" s="40"/>
    </row>
    <row r="7358" spans="24:25" x14ac:dyDescent="0.35">
      <c r="X7358" s="40"/>
      <c r="Y7358" s="40"/>
    </row>
    <row r="7359" spans="24:25" x14ac:dyDescent="0.35">
      <c r="X7359" s="40"/>
      <c r="Y7359" s="40"/>
    </row>
    <row r="7360" spans="24:25" x14ac:dyDescent="0.35">
      <c r="X7360" s="40"/>
      <c r="Y7360" s="40"/>
    </row>
    <row r="7361" spans="24:25" x14ac:dyDescent="0.35">
      <c r="X7361" s="40"/>
      <c r="Y7361" s="40"/>
    </row>
    <row r="7362" spans="24:25" x14ac:dyDescent="0.35">
      <c r="X7362" s="40"/>
      <c r="Y7362" s="40"/>
    </row>
    <row r="7363" spans="24:25" x14ac:dyDescent="0.35">
      <c r="X7363" s="40"/>
      <c r="Y7363" s="40"/>
    </row>
    <row r="7364" spans="24:25" x14ac:dyDescent="0.35">
      <c r="X7364" s="40"/>
      <c r="Y7364" s="40"/>
    </row>
    <row r="7365" spans="24:25" x14ac:dyDescent="0.35">
      <c r="X7365" s="40"/>
      <c r="Y7365" s="40"/>
    </row>
    <row r="7366" spans="24:25" x14ac:dyDescent="0.35">
      <c r="X7366" s="40"/>
      <c r="Y7366" s="40"/>
    </row>
    <row r="7367" spans="24:25" x14ac:dyDescent="0.35">
      <c r="X7367" s="40"/>
      <c r="Y7367" s="40"/>
    </row>
    <row r="7368" spans="24:25" x14ac:dyDescent="0.35">
      <c r="X7368" s="40"/>
      <c r="Y7368" s="40"/>
    </row>
    <row r="7369" spans="24:25" x14ac:dyDescent="0.35">
      <c r="X7369" s="40"/>
      <c r="Y7369" s="40"/>
    </row>
    <row r="7370" spans="24:25" x14ac:dyDescent="0.35">
      <c r="X7370" s="40"/>
      <c r="Y7370" s="40"/>
    </row>
    <row r="7371" spans="24:25" x14ac:dyDescent="0.35">
      <c r="X7371" s="40"/>
      <c r="Y7371" s="40"/>
    </row>
    <row r="7372" spans="24:25" x14ac:dyDescent="0.35">
      <c r="X7372" s="40"/>
      <c r="Y7372" s="40"/>
    </row>
    <row r="7373" spans="24:25" x14ac:dyDescent="0.35">
      <c r="X7373" s="40"/>
      <c r="Y7373" s="40"/>
    </row>
    <row r="7374" spans="24:25" x14ac:dyDescent="0.35">
      <c r="X7374" s="40"/>
      <c r="Y7374" s="40"/>
    </row>
    <row r="7375" spans="24:25" x14ac:dyDescent="0.35">
      <c r="X7375" s="40"/>
      <c r="Y7375" s="40"/>
    </row>
    <row r="7376" spans="24:25" x14ac:dyDescent="0.35">
      <c r="X7376" s="40"/>
      <c r="Y7376" s="40"/>
    </row>
    <row r="7377" spans="24:25" x14ac:dyDescent="0.35">
      <c r="X7377" s="40"/>
      <c r="Y7377" s="40"/>
    </row>
    <row r="7378" spans="24:25" x14ac:dyDescent="0.35">
      <c r="X7378" s="40"/>
      <c r="Y7378" s="40"/>
    </row>
    <row r="7379" spans="24:25" x14ac:dyDescent="0.35">
      <c r="X7379" s="40"/>
      <c r="Y7379" s="40"/>
    </row>
    <row r="7380" spans="24:25" x14ac:dyDescent="0.35">
      <c r="X7380" s="40"/>
      <c r="Y7380" s="40"/>
    </row>
    <row r="7381" spans="24:25" x14ac:dyDescent="0.35">
      <c r="X7381" s="40"/>
      <c r="Y7381" s="40"/>
    </row>
    <row r="7382" spans="24:25" x14ac:dyDescent="0.35">
      <c r="X7382" s="40"/>
      <c r="Y7382" s="40"/>
    </row>
    <row r="7383" spans="24:25" x14ac:dyDescent="0.35">
      <c r="X7383" s="40"/>
      <c r="Y7383" s="40"/>
    </row>
    <row r="7384" spans="24:25" x14ac:dyDescent="0.35">
      <c r="X7384" s="40"/>
      <c r="Y7384" s="40"/>
    </row>
    <row r="7385" spans="24:25" x14ac:dyDescent="0.35">
      <c r="X7385" s="40"/>
      <c r="Y7385" s="40"/>
    </row>
    <row r="7386" spans="24:25" x14ac:dyDescent="0.35">
      <c r="X7386" s="40"/>
      <c r="Y7386" s="40"/>
    </row>
    <row r="7387" spans="24:25" x14ac:dyDescent="0.35">
      <c r="X7387" s="40"/>
      <c r="Y7387" s="40"/>
    </row>
    <row r="7388" spans="24:25" x14ac:dyDescent="0.35">
      <c r="X7388" s="40"/>
      <c r="Y7388" s="40"/>
    </row>
    <row r="7389" spans="24:25" x14ac:dyDescent="0.35">
      <c r="X7389" s="40"/>
      <c r="Y7389" s="40"/>
    </row>
    <row r="7390" spans="24:25" x14ac:dyDescent="0.35">
      <c r="X7390" s="40"/>
      <c r="Y7390" s="40"/>
    </row>
    <row r="7391" spans="24:25" x14ac:dyDescent="0.35">
      <c r="X7391" s="40"/>
      <c r="Y7391" s="40"/>
    </row>
    <row r="7392" spans="24:25" x14ac:dyDescent="0.35">
      <c r="X7392" s="40"/>
      <c r="Y7392" s="40"/>
    </row>
    <row r="7393" spans="24:25" x14ac:dyDescent="0.35">
      <c r="X7393" s="40"/>
      <c r="Y7393" s="40"/>
    </row>
    <row r="7394" spans="24:25" x14ac:dyDescent="0.35">
      <c r="X7394" s="40"/>
      <c r="Y7394" s="40"/>
    </row>
    <row r="7395" spans="24:25" x14ac:dyDescent="0.35">
      <c r="X7395" s="40"/>
      <c r="Y7395" s="40"/>
    </row>
    <row r="7396" spans="24:25" x14ac:dyDescent="0.35">
      <c r="X7396" s="40"/>
      <c r="Y7396" s="40"/>
    </row>
    <row r="7397" spans="24:25" x14ac:dyDescent="0.35">
      <c r="X7397" s="40"/>
      <c r="Y7397" s="40"/>
    </row>
    <row r="7398" spans="24:25" x14ac:dyDescent="0.35">
      <c r="X7398" s="40"/>
      <c r="Y7398" s="40"/>
    </row>
    <row r="7399" spans="24:25" x14ac:dyDescent="0.35">
      <c r="X7399" s="40"/>
      <c r="Y7399" s="40"/>
    </row>
    <row r="7400" spans="24:25" x14ac:dyDescent="0.35">
      <c r="X7400" s="40"/>
      <c r="Y7400" s="40"/>
    </row>
    <row r="7401" spans="24:25" x14ac:dyDescent="0.35">
      <c r="X7401" s="40"/>
      <c r="Y7401" s="40"/>
    </row>
    <row r="7402" spans="24:25" x14ac:dyDescent="0.35">
      <c r="X7402" s="40"/>
      <c r="Y7402" s="40"/>
    </row>
    <row r="7403" spans="24:25" x14ac:dyDescent="0.35">
      <c r="X7403" s="40"/>
      <c r="Y7403" s="40"/>
    </row>
    <row r="7404" spans="24:25" x14ac:dyDescent="0.35">
      <c r="X7404" s="40"/>
      <c r="Y7404" s="40"/>
    </row>
    <row r="7405" spans="24:25" x14ac:dyDescent="0.35">
      <c r="X7405" s="40"/>
      <c r="Y7405" s="40"/>
    </row>
    <row r="7406" spans="24:25" x14ac:dyDescent="0.35">
      <c r="X7406" s="40"/>
      <c r="Y7406" s="40"/>
    </row>
    <row r="7407" spans="24:25" x14ac:dyDescent="0.35">
      <c r="X7407" s="40"/>
      <c r="Y7407" s="40"/>
    </row>
    <row r="7408" spans="24:25" x14ac:dyDescent="0.35">
      <c r="X7408" s="40"/>
      <c r="Y7408" s="40"/>
    </row>
    <row r="7409" spans="24:25" x14ac:dyDescent="0.35">
      <c r="X7409" s="40"/>
      <c r="Y7409" s="40"/>
    </row>
    <row r="7410" spans="24:25" x14ac:dyDescent="0.35">
      <c r="X7410" s="40"/>
      <c r="Y7410" s="40"/>
    </row>
    <row r="7411" spans="24:25" x14ac:dyDescent="0.35">
      <c r="X7411" s="40"/>
      <c r="Y7411" s="40"/>
    </row>
    <row r="7412" spans="24:25" x14ac:dyDescent="0.35">
      <c r="X7412" s="40"/>
      <c r="Y7412" s="40"/>
    </row>
    <row r="7413" spans="24:25" x14ac:dyDescent="0.35">
      <c r="X7413" s="40"/>
      <c r="Y7413" s="40"/>
    </row>
    <row r="7414" spans="24:25" x14ac:dyDescent="0.35">
      <c r="X7414" s="40"/>
      <c r="Y7414" s="40"/>
    </row>
    <row r="7415" spans="24:25" x14ac:dyDescent="0.35">
      <c r="X7415" s="40"/>
      <c r="Y7415" s="40"/>
    </row>
    <row r="7416" spans="24:25" x14ac:dyDescent="0.35">
      <c r="X7416" s="40"/>
      <c r="Y7416" s="40"/>
    </row>
    <row r="7417" spans="24:25" x14ac:dyDescent="0.35">
      <c r="X7417" s="40"/>
      <c r="Y7417" s="40"/>
    </row>
    <row r="7418" spans="24:25" x14ac:dyDescent="0.35">
      <c r="X7418" s="40"/>
      <c r="Y7418" s="40"/>
    </row>
    <row r="7419" spans="24:25" x14ac:dyDescent="0.35">
      <c r="X7419" s="40"/>
      <c r="Y7419" s="40"/>
    </row>
    <row r="7420" spans="24:25" x14ac:dyDescent="0.35">
      <c r="X7420" s="40"/>
      <c r="Y7420" s="40"/>
    </row>
    <row r="7421" spans="24:25" x14ac:dyDescent="0.35">
      <c r="X7421" s="40"/>
      <c r="Y7421" s="40"/>
    </row>
    <row r="7422" spans="24:25" x14ac:dyDescent="0.35">
      <c r="X7422" s="40"/>
      <c r="Y7422" s="40"/>
    </row>
    <row r="7423" spans="24:25" x14ac:dyDescent="0.35">
      <c r="X7423" s="40"/>
      <c r="Y7423" s="40"/>
    </row>
    <row r="7424" spans="24:25" x14ac:dyDescent="0.35">
      <c r="X7424" s="40"/>
      <c r="Y7424" s="40"/>
    </row>
    <row r="7425" spans="24:25" x14ac:dyDescent="0.35">
      <c r="X7425" s="40"/>
      <c r="Y7425" s="40"/>
    </row>
    <row r="7426" spans="24:25" x14ac:dyDescent="0.35">
      <c r="X7426" s="40"/>
      <c r="Y7426" s="40"/>
    </row>
    <row r="7427" spans="24:25" x14ac:dyDescent="0.35">
      <c r="X7427" s="40"/>
      <c r="Y7427" s="40"/>
    </row>
    <row r="7428" spans="24:25" x14ac:dyDescent="0.35">
      <c r="X7428" s="40"/>
      <c r="Y7428" s="40"/>
    </row>
    <row r="7429" spans="24:25" x14ac:dyDescent="0.35">
      <c r="X7429" s="40"/>
      <c r="Y7429" s="40"/>
    </row>
    <row r="7430" spans="24:25" x14ac:dyDescent="0.35">
      <c r="X7430" s="40"/>
      <c r="Y7430" s="40"/>
    </row>
    <row r="7431" spans="24:25" x14ac:dyDescent="0.35">
      <c r="X7431" s="40"/>
      <c r="Y7431" s="40"/>
    </row>
    <row r="7432" spans="24:25" x14ac:dyDescent="0.35">
      <c r="X7432" s="40"/>
      <c r="Y7432" s="40"/>
    </row>
    <row r="7433" spans="24:25" x14ac:dyDescent="0.35">
      <c r="X7433" s="40"/>
      <c r="Y7433" s="40"/>
    </row>
    <row r="7434" spans="24:25" x14ac:dyDescent="0.35">
      <c r="X7434" s="40"/>
      <c r="Y7434" s="40"/>
    </row>
    <row r="7435" spans="24:25" x14ac:dyDescent="0.35">
      <c r="X7435" s="40"/>
      <c r="Y7435" s="40"/>
    </row>
    <row r="7436" spans="24:25" x14ac:dyDescent="0.35">
      <c r="X7436" s="40"/>
      <c r="Y7436" s="40"/>
    </row>
    <row r="7437" spans="24:25" x14ac:dyDescent="0.35">
      <c r="X7437" s="40"/>
      <c r="Y7437" s="40"/>
    </row>
    <row r="7438" spans="24:25" x14ac:dyDescent="0.35">
      <c r="X7438" s="40"/>
      <c r="Y7438" s="40"/>
    </row>
    <row r="7439" spans="24:25" x14ac:dyDescent="0.35">
      <c r="X7439" s="40"/>
      <c r="Y7439" s="40"/>
    </row>
    <row r="7440" spans="24:25" x14ac:dyDescent="0.35">
      <c r="X7440" s="40"/>
      <c r="Y7440" s="40"/>
    </row>
    <row r="7441" spans="24:25" x14ac:dyDescent="0.35">
      <c r="X7441" s="40"/>
      <c r="Y7441" s="40"/>
    </row>
    <row r="7442" spans="24:25" x14ac:dyDescent="0.35">
      <c r="X7442" s="40"/>
      <c r="Y7442" s="40"/>
    </row>
    <row r="7443" spans="24:25" x14ac:dyDescent="0.35">
      <c r="X7443" s="40"/>
      <c r="Y7443" s="40"/>
    </row>
    <row r="7444" spans="24:25" x14ac:dyDescent="0.35">
      <c r="X7444" s="40"/>
      <c r="Y7444" s="40"/>
    </row>
    <row r="7445" spans="24:25" x14ac:dyDescent="0.35">
      <c r="X7445" s="40"/>
      <c r="Y7445" s="40"/>
    </row>
    <row r="7446" spans="24:25" x14ac:dyDescent="0.35">
      <c r="X7446" s="40"/>
      <c r="Y7446" s="40"/>
    </row>
    <row r="7447" spans="24:25" x14ac:dyDescent="0.35">
      <c r="X7447" s="40"/>
      <c r="Y7447" s="40"/>
    </row>
    <row r="7448" spans="24:25" x14ac:dyDescent="0.35">
      <c r="X7448" s="40"/>
      <c r="Y7448" s="40"/>
    </row>
    <row r="7449" spans="24:25" x14ac:dyDescent="0.35">
      <c r="X7449" s="40"/>
      <c r="Y7449" s="40"/>
    </row>
    <row r="7450" spans="24:25" x14ac:dyDescent="0.35">
      <c r="X7450" s="40"/>
      <c r="Y7450" s="40"/>
    </row>
    <row r="7451" spans="24:25" x14ac:dyDescent="0.35">
      <c r="X7451" s="40"/>
      <c r="Y7451" s="40"/>
    </row>
    <row r="7452" spans="24:25" x14ac:dyDescent="0.35">
      <c r="X7452" s="40"/>
      <c r="Y7452" s="40"/>
    </row>
    <row r="7453" spans="24:25" x14ac:dyDescent="0.35">
      <c r="X7453" s="40"/>
      <c r="Y7453" s="40"/>
    </row>
    <row r="7454" spans="24:25" x14ac:dyDescent="0.35">
      <c r="X7454" s="40"/>
      <c r="Y7454" s="40"/>
    </row>
    <row r="7455" spans="24:25" x14ac:dyDescent="0.35">
      <c r="X7455" s="40"/>
      <c r="Y7455" s="40"/>
    </row>
    <row r="7456" spans="24:25" x14ac:dyDescent="0.35">
      <c r="X7456" s="40"/>
      <c r="Y7456" s="40"/>
    </row>
    <row r="7457" spans="24:25" x14ac:dyDescent="0.35">
      <c r="X7457" s="40"/>
      <c r="Y7457" s="40"/>
    </row>
    <row r="7458" spans="24:25" x14ac:dyDescent="0.35">
      <c r="X7458" s="40"/>
      <c r="Y7458" s="40"/>
    </row>
    <row r="7459" spans="24:25" x14ac:dyDescent="0.35">
      <c r="X7459" s="40"/>
      <c r="Y7459" s="40"/>
    </row>
    <row r="7460" spans="24:25" x14ac:dyDescent="0.35">
      <c r="X7460" s="40"/>
      <c r="Y7460" s="40"/>
    </row>
    <row r="7461" spans="24:25" x14ac:dyDescent="0.35">
      <c r="X7461" s="40"/>
      <c r="Y7461" s="40"/>
    </row>
    <row r="7462" spans="24:25" x14ac:dyDescent="0.35">
      <c r="X7462" s="40"/>
      <c r="Y7462" s="40"/>
    </row>
    <row r="7463" spans="24:25" x14ac:dyDescent="0.35">
      <c r="X7463" s="40"/>
      <c r="Y7463" s="40"/>
    </row>
    <row r="7464" spans="24:25" x14ac:dyDescent="0.35">
      <c r="X7464" s="40"/>
      <c r="Y7464" s="40"/>
    </row>
    <row r="7465" spans="24:25" x14ac:dyDescent="0.35">
      <c r="X7465" s="40"/>
      <c r="Y7465" s="40"/>
    </row>
    <row r="7466" spans="24:25" x14ac:dyDescent="0.35">
      <c r="X7466" s="40"/>
      <c r="Y7466" s="40"/>
    </row>
    <row r="7467" spans="24:25" x14ac:dyDescent="0.35">
      <c r="X7467" s="40"/>
      <c r="Y7467" s="40"/>
    </row>
    <row r="7468" spans="24:25" x14ac:dyDescent="0.35">
      <c r="X7468" s="40"/>
      <c r="Y7468" s="40"/>
    </row>
    <row r="7469" spans="24:25" x14ac:dyDescent="0.35">
      <c r="X7469" s="40"/>
      <c r="Y7469" s="40"/>
    </row>
    <row r="7470" spans="24:25" x14ac:dyDescent="0.35">
      <c r="X7470" s="40"/>
      <c r="Y7470" s="40"/>
    </row>
    <row r="7471" spans="24:25" x14ac:dyDescent="0.35">
      <c r="X7471" s="40"/>
      <c r="Y7471" s="40"/>
    </row>
    <row r="7472" spans="24:25" x14ac:dyDescent="0.35">
      <c r="X7472" s="40"/>
      <c r="Y7472" s="40"/>
    </row>
    <row r="7473" spans="24:25" x14ac:dyDescent="0.35">
      <c r="X7473" s="40"/>
      <c r="Y7473" s="40"/>
    </row>
    <row r="7474" spans="24:25" x14ac:dyDescent="0.35">
      <c r="X7474" s="40"/>
      <c r="Y7474" s="40"/>
    </row>
    <row r="7475" spans="24:25" x14ac:dyDescent="0.35">
      <c r="X7475" s="40"/>
      <c r="Y7475" s="40"/>
    </row>
    <row r="7476" spans="24:25" x14ac:dyDescent="0.35">
      <c r="X7476" s="40"/>
      <c r="Y7476" s="40"/>
    </row>
    <row r="7477" spans="24:25" x14ac:dyDescent="0.35">
      <c r="X7477" s="40"/>
      <c r="Y7477" s="40"/>
    </row>
    <row r="7478" spans="24:25" x14ac:dyDescent="0.35">
      <c r="X7478" s="40"/>
      <c r="Y7478" s="40"/>
    </row>
    <row r="7479" spans="24:25" x14ac:dyDescent="0.35">
      <c r="X7479" s="40"/>
      <c r="Y7479" s="40"/>
    </row>
    <row r="7480" spans="24:25" x14ac:dyDescent="0.35">
      <c r="X7480" s="40"/>
      <c r="Y7480" s="40"/>
    </row>
    <row r="7481" spans="24:25" x14ac:dyDescent="0.35">
      <c r="X7481" s="40"/>
      <c r="Y7481" s="40"/>
    </row>
    <row r="7482" spans="24:25" x14ac:dyDescent="0.35">
      <c r="X7482" s="40"/>
      <c r="Y7482" s="40"/>
    </row>
    <row r="7483" spans="24:25" x14ac:dyDescent="0.35">
      <c r="X7483" s="40"/>
      <c r="Y7483" s="40"/>
    </row>
    <row r="7484" spans="24:25" x14ac:dyDescent="0.35">
      <c r="X7484" s="40"/>
      <c r="Y7484" s="40"/>
    </row>
    <row r="7485" spans="24:25" x14ac:dyDescent="0.35">
      <c r="X7485" s="40"/>
      <c r="Y7485" s="40"/>
    </row>
    <row r="7486" spans="24:25" x14ac:dyDescent="0.35">
      <c r="X7486" s="40"/>
      <c r="Y7486" s="40"/>
    </row>
    <row r="7487" spans="24:25" x14ac:dyDescent="0.35">
      <c r="X7487" s="40"/>
      <c r="Y7487" s="40"/>
    </row>
    <row r="7488" spans="24:25" x14ac:dyDescent="0.35">
      <c r="X7488" s="40"/>
      <c r="Y7488" s="40"/>
    </row>
    <row r="7489" spans="24:25" x14ac:dyDescent="0.35">
      <c r="X7489" s="40"/>
      <c r="Y7489" s="40"/>
    </row>
    <row r="7490" spans="24:25" x14ac:dyDescent="0.35">
      <c r="X7490" s="40"/>
      <c r="Y7490" s="40"/>
    </row>
    <row r="7491" spans="24:25" x14ac:dyDescent="0.35">
      <c r="X7491" s="40"/>
      <c r="Y7491" s="40"/>
    </row>
    <row r="7492" spans="24:25" x14ac:dyDescent="0.35">
      <c r="X7492" s="40"/>
      <c r="Y7492" s="40"/>
    </row>
    <row r="7493" spans="24:25" x14ac:dyDescent="0.35">
      <c r="X7493" s="40"/>
      <c r="Y7493" s="40"/>
    </row>
    <row r="7494" spans="24:25" x14ac:dyDescent="0.35">
      <c r="X7494" s="40"/>
      <c r="Y7494" s="40"/>
    </row>
    <row r="7495" spans="24:25" x14ac:dyDescent="0.35">
      <c r="X7495" s="40"/>
      <c r="Y7495" s="40"/>
    </row>
    <row r="7496" spans="24:25" x14ac:dyDescent="0.35">
      <c r="X7496" s="40"/>
      <c r="Y7496" s="40"/>
    </row>
    <row r="7497" spans="24:25" x14ac:dyDescent="0.35">
      <c r="X7497" s="40"/>
      <c r="Y7497" s="40"/>
    </row>
    <row r="7498" spans="24:25" x14ac:dyDescent="0.35">
      <c r="X7498" s="40"/>
      <c r="Y7498" s="40"/>
    </row>
    <row r="7499" spans="24:25" x14ac:dyDescent="0.35">
      <c r="X7499" s="40"/>
      <c r="Y7499" s="40"/>
    </row>
    <row r="7500" spans="24:25" x14ac:dyDescent="0.35">
      <c r="X7500" s="40"/>
      <c r="Y7500" s="40"/>
    </row>
    <row r="7501" spans="24:25" x14ac:dyDescent="0.35">
      <c r="X7501" s="40"/>
      <c r="Y7501" s="40"/>
    </row>
    <row r="7502" spans="24:25" x14ac:dyDescent="0.35">
      <c r="X7502" s="40"/>
      <c r="Y7502" s="40"/>
    </row>
    <row r="7503" spans="24:25" x14ac:dyDescent="0.35">
      <c r="X7503" s="40"/>
      <c r="Y7503" s="40"/>
    </row>
    <row r="7504" spans="24:25" x14ac:dyDescent="0.35">
      <c r="X7504" s="40"/>
      <c r="Y7504" s="40"/>
    </row>
    <row r="7505" spans="24:25" x14ac:dyDescent="0.35">
      <c r="X7505" s="40"/>
      <c r="Y7505" s="40"/>
    </row>
    <row r="7506" spans="24:25" x14ac:dyDescent="0.35">
      <c r="X7506" s="40"/>
      <c r="Y7506" s="40"/>
    </row>
    <row r="7507" spans="24:25" x14ac:dyDescent="0.35">
      <c r="X7507" s="40"/>
      <c r="Y7507" s="40"/>
    </row>
    <row r="7508" spans="24:25" x14ac:dyDescent="0.35">
      <c r="X7508" s="40"/>
      <c r="Y7508" s="40"/>
    </row>
    <row r="7509" spans="24:25" x14ac:dyDescent="0.35">
      <c r="X7509" s="40"/>
      <c r="Y7509" s="40"/>
    </row>
    <row r="7510" spans="24:25" x14ac:dyDescent="0.35">
      <c r="X7510" s="40"/>
      <c r="Y7510" s="40"/>
    </row>
    <row r="7511" spans="24:25" x14ac:dyDescent="0.35">
      <c r="X7511" s="40"/>
      <c r="Y7511" s="40"/>
    </row>
    <row r="7512" spans="24:25" x14ac:dyDescent="0.35">
      <c r="X7512" s="40"/>
      <c r="Y7512" s="40"/>
    </row>
    <row r="7513" spans="24:25" x14ac:dyDescent="0.35">
      <c r="X7513" s="40"/>
      <c r="Y7513" s="40"/>
    </row>
    <row r="7514" spans="24:25" x14ac:dyDescent="0.35">
      <c r="X7514" s="40"/>
      <c r="Y7514" s="40"/>
    </row>
    <row r="7515" spans="24:25" x14ac:dyDescent="0.35">
      <c r="X7515" s="40"/>
      <c r="Y7515" s="40"/>
    </row>
    <row r="7516" spans="24:25" x14ac:dyDescent="0.35">
      <c r="X7516" s="40"/>
      <c r="Y7516" s="40"/>
    </row>
    <row r="7517" spans="24:25" x14ac:dyDescent="0.35">
      <c r="X7517" s="40"/>
      <c r="Y7517" s="40"/>
    </row>
    <row r="7518" spans="24:25" x14ac:dyDescent="0.35">
      <c r="X7518" s="40"/>
      <c r="Y7518" s="40"/>
    </row>
    <row r="7519" spans="24:25" x14ac:dyDescent="0.35">
      <c r="X7519" s="40"/>
      <c r="Y7519" s="40"/>
    </row>
    <row r="7520" spans="24:25" x14ac:dyDescent="0.35">
      <c r="X7520" s="40"/>
      <c r="Y7520" s="40"/>
    </row>
    <row r="7521" spans="24:25" x14ac:dyDescent="0.35">
      <c r="X7521" s="40"/>
      <c r="Y7521" s="40"/>
    </row>
    <row r="7522" spans="24:25" x14ac:dyDescent="0.35">
      <c r="X7522" s="40"/>
      <c r="Y7522" s="40"/>
    </row>
    <row r="7523" spans="24:25" x14ac:dyDescent="0.35">
      <c r="X7523" s="40"/>
      <c r="Y7523" s="40"/>
    </row>
    <row r="7524" spans="24:25" x14ac:dyDescent="0.35">
      <c r="X7524" s="40"/>
      <c r="Y7524" s="40"/>
    </row>
    <row r="7525" spans="24:25" x14ac:dyDescent="0.35">
      <c r="X7525" s="40"/>
      <c r="Y7525" s="40"/>
    </row>
    <row r="7526" spans="24:25" x14ac:dyDescent="0.35">
      <c r="X7526" s="40"/>
      <c r="Y7526" s="40"/>
    </row>
    <row r="7527" spans="24:25" x14ac:dyDescent="0.35">
      <c r="X7527" s="40"/>
      <c r="Y7527" s="40"/>
    </row>
    <row r="7528" spans="24:25" x14ac:dyDescent="0.35">
      <c r="X7528" s="40"/>
      <c r="Y7528" s="40"/>
    </row>
    <row r="7529" spans="24:25" x14ac:dyDescent="0.35">
      <c r="X7529" s="40"/>
      <c r="Y7529" s="40"/>
    </row>
    <row r="7530" spans="24:25" x14ac:dyDescent="0.35">
      <c r="X7530" s="40"/>
      <c r="Y7530" s="40"/>
    </row>
    <row r="7531" spans="24:25" x14ac:dyDescent="0.35">
      <c r="X7531" s="40"/>
      <c r="Y7531" s="40"/>
    </row>
    <row r="7532" spans="24:25" x14ac:dyDescent="0.35">
      <c r="X7532" s="40"/>
      <c r="Y7532" s="40"/>
    </row>
    <row r="7533" spans="24:25" x14ac:dyDescent="0.35">
      <c r="X7533" s="40"/>
      <c r="Y7533" s="40"/>
    </row>
    <row r="7534" spans="24:25" x14ac:dyDescent="0.35">
      <c r="X7534" s="40"/>
      <c r="Y7534" s="40"/>
    </row>
    <row r="7535" spans="24:25" x14ac:dyDescent="0.35">
      <c r="X7535" s="40"/>
      <c r="Y7535" s="40"/>
    </row>
    <row r="7536" spans="24:25" x14ac:dyDescent="0.35">
      <c r="X7536" s="40"/>
      <c r="Y7536" s="40"/>
    </row>
    <row r="7537" spans="24:25" x14ac:dyDescent="0.35">
      <c r="X7537" s="40"/>
      <c r="Y7537" s="40"/>
    </row>
    <row r="7538" spans="24:25" x14ac:dyDescent="0.35">
      <c r="X7538" s="40"/>
      <c r="Y7538" s="40"/>
    </row>
    <row r="7539" spans="24:25" x14ac:dyDescent="0.35">
      <c r="X7539" s="40"/>
      <c r="Y7539" s="40"/>
    </row>
    <row r="7540" spans="24:25" x14ac:dyDescent="0.35">
      <c r="X7540" s="40"/>
      <c r="Y7540" s="40"/>
    </row>
    <row r="7541" spans="24:25" x14ac:dyDescent="0.35">
      <c r="X7541" s="40"/>
      <c r="Y7541" s="40"/>
    </row>
    <row r="7542" spans="24:25" x14ac:dyDescent="0.35">
      <c r="X7542" s="40"/>
      <c r="Y7542" s="40"/>
    </row>
    <row r="7543" spans="24:25" x14ac:dyDescent="0.35">
      <c r="X7543" s="40"/>
      <c r="Y7543" s="40"/>
    </row>
    <row r="7544" spans="24:25" x14ac:dyDescent="0.35">
      <c r="X7544" s="40"/>
      <c r="Y7544" s="40"/>
    </row>
    <row r="7545" spans="24:25" x14ac:dyDescent="0.35">
      <c r="X7545" s="40"/>
      <c r="Y7545" s="40"/>
    </row>
    <row r="7546" spans="24:25" x14ac:dyDescent="0.35">
      <c r="X7546" s="40"/>
      <c r="Y7546" s="40"/>
    </row>
    <row r="7547" spans="24:25" x14ac:dyDescent="0.35">
      <c r="X7547" s="40"/>
      <c r="Y7547" s="40"/>
    </row>
    <row r="7548" spans="24:25" x14ac:dyDescent="0.35">
      <c r="X7548" s="40"/>
      <c r="Y7548" s="40"/>
    </row>
    <row r="7549" spans="24:25" x14ac:dyDescent="0.35">
      <c r="X7549" s="40"/>
      <c r="Y7549" s="40"/>
    </row>
    <row r="7550" spans="24:25" x14ac:dyDescent="0.35">
      <c r="X7550" s="40"/>
      <c r="Y7550" s="40"/>
    </row>
    <row r="7551" spans="24:25" x14ac:dyDescent="0.35">
      <c r="X7551" s="40"/>
      <c r="Y7551" s="40"/>
    </row>
    <row r="7552" spans="24:25" x14ac:dyDescent="0.35">
      <c r="X7552" s="40"/>
      <c r="Y7552" s="40"/>
    </row>
    <row r="7553" spans="24:25" x14ac:dyDescent="0.35">
      <c r="X7553" s="40"/>
      <c r="Y7553" s="40"/>
    </row>
    <row r="7554" spans="24:25" x14ac:dyDescent="0.35">
      <c r="X7554" s="40"/>
      <c r="Y7554" s="40"/>
    </row>
    <row r="7555" spans="24:25" x14ac:dyDescent="0.35">
      <c r="X7555" s="40"/>
      <c r="Y7555" s="40"/>
    </row>
    <row r="7556" spans="24:25" x14ac:dyDescent="0.35">
      <c r="X7556" s="40"/>
      <c r="Y7556" s="40"/>
    </row>
    <row r="7557" spans="24:25" x14ac:dyDescent="0.35">
      <c r="X7557" s="40"/>
      <c r="Y7557" s="40"/>
    </row>
    <row r="7558" spans="24:25" x14ac:dyDescent="0.35">
      <c r="X7558" s="40"/>
      <c r="Y7558" s="40"/>
    </row>
    <row r="7559" spans="24:25" x14ac:dyDescent="0.35">
      <c r="X7559" s="40"/>
      <c r="Y7559" s="40"/>
    </row>
    <row r="7560" spans="24:25" x14ac:dyDescent="0.35">
      <c r="X7560" s="40"/>
      <c r="Y7560" s="40"/>
    </row>
    <row r="7561" spans="24:25" x14ac:dyDescent="0.35">
      <c r="X7561" s="40"/>
      <c r="Y7561" s="40"/>
    </row>
    <row r="7562" spans="24:25" x14ac:dyDescent="0.35">
      <c r="X7562" s="40"/>
      <c r="Y7562" s="40"/>
    </row>
    <row r="7563" spans="24:25" x14ac:dyDescent="0.35">
      <c r="X7563" s="40"/>
      <c r="Y7563" s="40"/>
    </row>
    <row r="7564" spans="24:25" x14ac:dyDescent="0.35">
      <c r="X7564" s="40"/>
      <c r="Y7564" s="40"/>
    </row>
    <row r="7565" spans="24:25" x14ac:dyDescent="0.35">
      <c r="X7565" s="40"/>
      <c r="Y7565" s="40"/>
    </row>
    <row r="7566" spans="24:25" x14ac:dyDescent="0.35">
      <c r="X7566" s="40"/>
      <c r="Y7566" s="40"/>
    </row>
    <row r="7567" spans="24:25" x14ac:dyDescent="0.35">
      <c r="X7567" s="40"/>
      <c r="Y7567" s="40"/>
    </row>
    <row r="7568" spans="24:25" x14ac:dyDescent="0.35">
      <c r="X7568" s="40"/>
      <c r="Y7568" s="40"/>
    </row>
    <row r="7569" spans="24:25" x14ac:dyDescent="0.35">
      <c r="X7569" s="40"/>
      <c r="Y7569" s="40"/>
    </row>
    <row r="7570" spans="24:25" x14ac:dyDescent="0.35">
      <c r="X7570" s="40"/>
      <c r="Y7570" s="40"/>
    </row>
    <row r="7571" spans="24:25" x14ac:dyDescent="0.35">
      <c r="X7571" s="40"/>
      <c r="Y7571" s="40"/>
    </row>
    <row r="7572" spans="24:25" x14ac:dyDescent="0.35">
      <c r="X7572" s="40"/>
      <c r="Y7572" s="40"/>
    </row>
    <row r="7573" spans="24:25" x14ac:dyDescent="0.35">
      <c r="X7573" s="40"/>
      <c r="Y7573" s="40"/>
    </row>
    <row r="7574" spans="24:25" x14ac:dyDescent="0.35">
      <c r="X7574" s="40"/>
      <c r="Y7574" s="40"/>
    </row>
    <row r="7575" spans="24:25" x14ac:dyDescent="0.35">
      <c r="X7575" s="40"/>
      <c r="Y7575" s="40"/>
    </row>
    <row r="7576" spans="24:25" x14ac:dyDescent="0.35">
      <c r="X7576" s="40"/>
      <c r="Y7576" s="40"/>
    </row>
    <row r="7577" spans="24:25" x14ac:dyDescent="0.35">
      <c r="X7577" s="40"/>
      <c r="Y7577" s="40"/>
    </row>
    <row r="7578" spans="24:25" x14ac:dyDescent="0.35">
      <c r="X7578" s="40"/>
      <c r="Y7578" s="40"/>
    </row>
    <row r="7579" spans="24:25" x14ac:dyDescent="0.35">
      <c r="X7579" s="40"/>
      <c r="Y7579" s="40"/>
    </row>
    <row r="7580" spans="24:25" x14ac:dyDescent="0.35">
      <c r="X7580" s="40"/>
      <c r="Y7580" s="40"/>
    </row>
    <row r="7581" spans="24:25" x14ac:dyDescent="0.35">
      <c r="X7581" s="40"/>
      <c r="Y7581" s="40"/>
    </row>
    <row r="7582" spans="24:25" x14ac:dyDescent="0.35">
      <c r="X7582" s="40"/>
      <c r="Y7582" s="40"/>
    </row>
    <row r="7583" spans="24:25" x14ac:dyDescent="0.35">
      <c r="X7583" s="40"/>
      <c r="Y7583" s="40"/>
    </row>
    <row r="7584" spans="24:25" x14ac:dyDescent="0.35">
      <c r="X7584" s="40"/>
      <c r="Y7584" s="40"/>
    </row>
    <row r="7585" spans="24:25" x14ac:dyDescent="0.35">
      <c r="X7585" s="40"/>
      <c r="Y7585" s="40"/>
    </row>
    <row r="7586" spans="24:25" x14ac:dyDescent="0.35">
      <c r="X7586" s="40"/>
      <c r="Y7586" s="40"/>
    </row>
    <row r="7587" spans="24:25" x14ac:dyDescent="0.35">
      <c r="X7587" s="40"/>
      <c r="Y7587" s="40"/>
    </row>
    <row r="7588" spans="24:25" x14ac:dyDescent="0.35">
      <c r="X7588" s="40"/>
      <c r="Y7588" s="40"/>
    </row>
    <row r="7589" spans="24:25" x14ac:dyDescent="0.35">
      <c r="X7589" s="40"/>
      <c r="Y7589" s="40"/>
    </row>
    <row r="7590" spans="24:25" x14ac:dyDescent="0.35">
      <c r="X7590" s="40"/>
      <c r="Y7590" s="40"/>
    </row>
    <row r="7591" spans="24:25" x14ac:dyDescent="0.35">
      <c r="X7591" s="40"/>
      <c r="Y7591" s="40"/>
    </row>
    <row r="7592" spans="24:25" x14ac:dyDescent="0.35">
      <c r="X7592" s="40"/>
      <c r="Y7592" s="40"/>
    </row>
    <row r="7593" spans="24:25" x14ac:dyDescent="0.35">
      <c r="X7593" s="40"/>
      <c r="Y7593" s="40"/>
    </row>
    <row r="7594" spans="24:25" x14ac:dyDescent="0.35">
      <c r="X7594" s="40"/>
      <c r="Y7594" s="40"/>
    </row>
    <row r="7595" spans="24:25" x14ac:dyDescent="0.35">
      <c r="X7595" s="40"/>
      <c r="Y7595" s="40"/>
    </row>
    <row r="7596" spans="24:25" x14ac:dyDescent="0.35">
      <c r="X7596" s="40"/>
      <c r="Y7596" s="40"/>
    </row>
    <row r="7597" spans="24:25" x14ac:dyDescent="0.35">
      <c r="X7597" s="40"/>
      <c r="Y7597" s="40"/>
    </row>
    <row r="7598" spans="24:25" x14ac:dyDescent="0.35">
      <c r="X7598" s="40"/>
      <c r="Y7598" s="40"/>
    </row>
    <row r="7599" spans="24:25" x14ac:dyDescent="0.35">
      <c r="X7599" s="40"/>
      <c r="Y7599" s="40"/>
    </row>
    <row r="7600" spans="24:25" x14ac:dyDescent="0.35">
      <c r="X7600" s="40"/>
      <c r="Y7600" s="40"/>
    </row>
    <row r="7601" spans="24:25" x14ac:dyDescent="0.35">
      <c r="X7601" s="40"/>
      <c r="Y7601" s="40"/>
    </row>
    <row r="7602" spans="24:25" x14ac:dyDescent="0.35">
      <c r="X7602" s="40"/>
      <c r="Y7602" s="40"/>
    </row>
    <row r="7603" spans="24:25" x14ac:dyDescent="0.35">
      <c r="X7603" s="40"/>
      <c r="Y7603" s="40"/>
    </row>
    <row r="7604" spans="24:25" x14ac:dyDescent="0.35">
      <c r="X7604" s="40"/>
      <c r="Y7604" s="40"/>
    </row>
    <row r="7605" spans="24:25" x14ac:dyDescent="0.35">
      <c r="X7605" s="40"/>
      <c r="Y7605" s="40"/>
    </row>
    <row r="7606" spans="24:25" x14ac:dyDescent="0.35">
      <c r="X7606" s="40"/>
      <c r="Y7606" s="40"/>
    </row>
    <row r="7607" spans="24:25" x14ac:dyDescent="0.35">
      <c r="X7607" s="40"/>
      <c r="Y7607" s="40"/>
    </row>
    <row r="7608" spans="24:25" x14ac:dyDescent="0.35">
      <c r="X7608" s="40"/>
      <c r="Y7608" s="40"/>
    </row>
    <row r="7609" spans="24:25" x14ac:dyDescent="0.35">
      <c r="X7609" s="40"/>
      <c r="Y7609" s="40"/>
    </row>
    <row r="7610" spans="24:25" x14ac:dyDescent="0.35">
      <c r="X7610" s="40"/>
      <c r="Y7610" s="40"/>
    </row>
    <row r="7611" spans="24:25" x14ac:dyDescent="0.35">
      <c r="X7611" s="40"/>
      <c r="Y7611" s="40"/>
    </row>
    <row r="7612" spans="24:25" x14ac:dyDescent="0.35">
      <c r="X7612" s="40"/>
      <c r="Y7612" s="40"/>
    </row>
    <row r="7613" spans="24:25" x14ac:dyDescent="0.35">
      <c r="X7613" s="40"/>
      <c r="Y7613" s="40"/>
    </row>
    <row r="7614" spans="24:25" x14ac:dyDescent="0.35">
      <c r="X7614" s="40"/>
      <c r="Y7614" s="40"/>
    </row>
    <row r="7615" spans="24:25" x14ac:dyDescent="0.35">
      <c r="X7615" s="40"/>
      <c r="Y7615" s="40"/>
    </row>
    <row r="7616" spans="24:25" x14ac:dyDescent="0.35">
      <c r="X7616" s="40"/>
      <c r="Y7616" s="40"/>
    </row>
    <row r="7617" spans="24:25" x14ac:dyDescent="0.35">
      <c r="X7617" s="40"/>
      <c r="Y7617" s="40"/>
    </row>
    <row r="7618" spans="24:25" x14ac:dyDescent="0.35">
      <c r="X7618" s="40"/>
      <c r="Y7618" s="40"/>
    </row>
    <row r="7619" spans="24:25" x14ac:dyDescent="0.35">
      <c r="X7619" s="40"/>
      <c r="Y7619" s="40"/>
    </row>
    <row r="7620" spans="24:25" x14ac:dyDescent="0.35">
      <c r="X7620" s="40"/>
      <c r="Y7620" s="40"/>
    </row>
    <row r="7621" spans="24:25" x14ac:dyDescent="0.35">
      <c r="X7621" s="40"/>
      <c r="Y7621" s="40"/>
    </row>
    <row r="7622" spans="24:25" x14ac:dyDescent="0.35">
      <c r="X7622" s="40"/>
      <c r="Y7622" s="40"/>
    </row>
    <row r="7623" spans="24:25" x14ac:dyDescent="0.35">
      <c r="X7623" s="40"/>
      <c r="Y7623" s="40"/>
    </row>
    <row r="7624" spans="24:25" x14ac:dyDescent="0.35">
      <c r="X7624" s="40"/>
      <c r="Y7624" s="40"/>
    </row>
    <row r="7625" spans="24:25" x14ac:dyDescent="0.35">
      <c r="X7625" s="40"/>
      <c r="Y7625" s="40"/>
    </row>
    <row r="7626" spans="24:25" x14ac:dyDescent="0.35">
      <c r="X7626" s="40"/>
      <c r="Y7626" s="40"/>
    </row>
    <row r="7627" spans="24:25" x14ac:dyDescent="0.35">
      <c r="X7627" s="40"/>
      <c r="Y7627" s="40"/>
    </row>
    <row r="7628" spans="24:25" x14ac:dyDescent="0.35">
      <c r="X7628" s="40"/>
      <c r="Y7628" s="40"/>
    </row>
    <row r="7629" spans="24:25" x14ac:dyDescent="0.35">
      <c r="X7629" s="40"/>
      <c r="Y7629" s="40"/>
    </row>
    <row r="7630" spans="24:25" x14ac:dyDescent="0.35">
      <c r="X7630" s="40"/>
      <c r="Y7630" s="40"/>
    </row>
    <row r="7631" spans="24:25" x14ac:dyDescent="0.35">
      <c r="X7631" s="40"/>
      <c r="Y7631" s="40"/>
    </row>
    <row r="7632" spans="24:25" x14ac:dyDescent="0.35">
      <c r="X7632" s="40"/>
      <c r="Y7632" s="40"/>
    </row>
    <row r="7633" spans="24:25" x14ac:dyDescent="0.35">
      <c r="X7633" s="40"/>
      <c r="Y7633" s="40"/>
    </row>
    <row r="7634" spans="24:25" x14ac:dyDescent="0.35">
      <c r="X7634" s="40"/>
      <c r="Y7634" s="40"/>
    </row>
    <row r="7635" spans="24:25" x14ac:dyDescent="0.35">
      <c r="X7635" s="40"/>
      <c r="Y7635" s="40"/>
    </row>
    <row r="7636" spans="24:25" x14ac:dyDescent="0.35">
      <c r="X7636" s="40"/>
      <c r="Y7636" s="40"/>
    </row>
    <row r="7637" spans="24:25" x14ac:dyDescent="0.35">
      <c r="X7637" s="40"/>
      <c r="Y7637" s="40"/>
    </row>
    <row r="7638" spans="24:25" x14ac:dyDescent="0.35">
      <c r="X7638" s="40"/>
      <c r="Y7638" s="40"/>
    </row>
    <row r="7639" spans="24:25" x14ac:dyDescent="0.35">
      <c r="X7639" s="40"/>
      <c r="Y7639" s="40"/>
    </row>
    <row r="7640" spans="24:25" x14ac:dyDescent="0.35">
      <c r="X7640" s="40"/>
      <c r="Y7640" s="40"/>
    </row>
    <row r="7641" spans="24:25" x14ac:dyDescent="0.35">
      <c r="X7641" s="40"/>
      <c r="Y7641" s="40"/>
    </row>
    <row r="7642" spans="24:25" x14ac:dyDescent="0.35">
      <c r="X7642" s="40"/>
      <c r="Y7642" s="40"/>
    </row>
    <row r="7643" spans="24:25" x14ac:dyDescent="0.35">
      <c r="X7643" s="40"/>
      <c r="Y7643" s="40"/>
    </row>
    <row r="7644" spans="24:25" x14ac:dyDescent="0.35">
      <c r="X7644" s="40"/>
      <c r="Y7644" s="40"/>
    </row>
    <row r="7645" spans="24:25" x14ac:dyDescent="0.35">
      <c r="X7645" s="40"/>
      <c r="Y7645" s="40"/>
    </row>
    <row r="7646" spans="24:25" x14ac:dyDescent="0.35">
      <c r="X7646" s="40"/>
      <c r="Y7646" s="40"/>
    </row>
    <row r="7647" spans="24:25" x14ac:dyDescent="0.35">
      <c r="X7647" s="40"/>
      <c r="Y7647" s="40"/>
    </row>
    <row r="7648" spans="24:25" x14ac:dyDescent="0.35">
      <c r="X7648" s="40"/>
      <c r="Y7648" s="40"/>
    </row>
    <row r="7649" spans="24:25" x14ac:dyDescent="0.35">
      <c r="X7649" s="40"/>
      <c r="Y7649" s="40"/>
    </row>
    <row r="7650" spans="24:25" x14ac:dyDescent="0.35">
      <c r="X7650" s="40"/>
      <c r="Y7650" s="40"/>
    </row>
    <row r="7651" spans="24:25" x14ac:dyDescent="0.35">
      <c r="X7651" s="40"/>
      <c r="Y7651" s="40"/>
    </row>
    <row r="7652" spans="24:25" x14ac:dyDescent="0.35">
      <c r="X7652" s="40"/>
      <c r="Y7652" s="40"/>
    </row>
    <row r="7653" spans="24:25" x14ac:dyDescent="0.35">
      <c r="X7653" s="40"/>
      <c r="Y7653" s="40"/>
    </row>
    <row r="7654" spans="24:25" x14ac:dyDescent="0.35">
      <c r="X7654" s="40"/>
      <c r="Y7654" s="40"/>
    </row>
    <row r="7655" spans="24:25" x14ac:dyDescent="0.35">
      <c r="X7655" s="40"/>
      <c r="Y7655" s="40"/>
    </row>
    <row r="7656" spans="24:25" x14ac:dyDescent="0.35">
      <c r="X7656" s="40"/>
      <c r="Y7656" s="40"/>
    </row>
    <row r="7657" spans="24:25" x14ac:dyDescent="0.35">
      <c r="X7657" s="40"/>
      <c r="Y7657" s="40"/>
    </row>
    <row r="7658" spans="24:25" x14ac:dyDescent="0.35">
      <c r="X7658" s="40"/>
      <c r="Y7658" s="40"/>
    </row>
    <row r="7659" spans="24:25" x14ac:dyDescent="0.35">
      <c r="X7659" s="40"/>
      <c r="Y7659" s="40"/>
    </row>
    <row r="7660" spans="24:25" x14ac:dyDescent="0.35">
      <c r="X7660" s="40"/>
      <c r="Y7660" s="40"/>
    </row>
    <row r="7661" spans="24:25" x14ac:dyDescent="0.35">
      <c r="X7661" s="40"/>
      <c r="Y7661" s="40"/>
    </row>
    <row r="7662" spans="24:25" x14ac:dyDescent="0.35">
      <c r="X7662" s="40"/>
      <c r="Y7662" s="40"/>
    </row>
    <row r="7663" spans="24:25" x14ac:dyDescent="0.35">
      <c r="X7663" s="40"/>
      <c r="Y7663" s="40"/>
    </row>
    <row r="7664" spans="24:25" x14ac:dyDescent="0.35">
      <c r="X7664" s="40"/>
      <c r="Y7664" s="40"/>
    </row>
    <row r="7665" spans="24:25" x14ac:dyDescent="0.35">
      <c r="X7665" s="40"/>
      <c r="Y7665" s="40"/>
    </row>
    <row r="7666" spans="24:25" x14ac:dyDescent="0.35">
      <c r="X7666" s="40"/>
      <c r="Y7666" s="40"/>
    </row>
    <row r="7667" spans="24:25" x14ac:dyDescent="0.35">
      <c r="X7667" s="40"/>
      <c r="Y7667" s="40"/>
    </row>
    <row r="7668" spans="24:25" x14ac:dyDescent="0.35">
      <c r="X7668" s="40"/>
      <c r="Y7668" s="40"/>
    </row>
    <row r="7669" spans="24:25" x14ac:dyDescent="0.35">
      <c r="X7669" s="40"/>
      <c r="Y7669" s="40"/>
    </row>
    <row r="7670" spans="24:25" x14ac:dyDescent="0.35">
      <c r="X7670" s="40"/>
      <c r="Y7670" s="40"/>
    </row>
    <row r="7671" spans="24:25" x14ac:dyDescent="0.35">
      <c r="X7671" s="40"/>
      <c r="Y7671" s="40"/>
    </row>
    <row r="7672" spans="24:25" x14ac:dyDescent="0.35">
      <c r="X7672" s="40"/>
      <c r="Y7672" s="40"/>
    </row>
    <row r="7673" spans="24:25" x14ac:dyDescent="0.35">
      <c r="X7673" s="40"/>
      <c r="Y7673" s="40"/>
    </row>
    <row r="7674" spans="24:25" x14ac:dyDescent="0.35">
      <c r="X7674" s="40"/>
      <c r="Y7674" s="40"/>
    </row>
    <row r="7675" spans="24:25" x14ac:dyDescent="0.35">
      <c r="X7675" s="40"/>
      <c r="Y7675" s="40"/>
    </row>
    <row r="7676" spans="24:25" x14ac:dyDescent="0.35">
      <c r="X7676" s="40"/>
      <c r="Y7676" s="40"/>
    </row>
    <row r="7677" spans="24:25" x14ac:dyDescent="0.35">
      <c r="X7677" s="40"/>
      <c r="Y7677" s="40"/>
    </row>
    <row r="7678" spans="24:25" x14ac:dyDescent="0.35">
      <c r="X7678" s="40"/>
      <c r="Y7678" s="40"/>
    </row>
    <row r="7679" spans="24:25" x14ac:dyDescent="0.35">
      <c r="X7679" s="40"/>
      <c r="Y7679" s="40"/>
    </row>
    <row r="7680" spans="24:25" x14ac:dyDescent="0.35">
      <c r="X7680" s="40"/>
      <c r="Y7680" s="40"/>
    </row>
    <row r="7681" spans="24:25" x14ac:dyDescent="0.35">
      <c r="X7681" s="40"/>
      <c r="Y7681" s="40"/>
    </row>
    <row r="7682" spans="24:25" x14ac:dyDescent="0.35">
      <c r="X7682" s="40"/>
      <c r="Y7682" s="40"/>
    </row>
    <row r="7683" spans="24:25" x14ac:dyDescent="0.35">
      <c r="X7683" s="40"/>
      <c r="Y7683" s="40"/>
    </row>
    <row r="7684" spans="24:25" x14ac:dyDescent="0.35">
      <c r="X7684" s="40"/>
      <c r="Y7684" s="40"/>
    </row>
    <row r="7685" spans="24:25" x14ac:dyDescent="0.35">
      <c r="X7685" s="40"/>
      <c r="Y7685" s="40"/>
    </row>
    <row r="7686" spans="24:25" x14ac:dyDescent="0.35">
      <c r="X7686" s="40"/>
      <c r="Y7686" s="40"/>
    </row>
    <row r="7687" spans="24:25" x14ac:dyDescent="0.35">
      <c r="X7687" s="40"/>
      <c r="Y7687" s="40"/>
    </row>
    <row r="7688" spans="24:25" x14ac:dyDescent="0.35">
      <c r="X7688" s="40"/>
      <c r="Y7688" s="40"/>
    </row>
    <row r="7689" spans="24:25" x14ac:dyDescent="0.35">
      <c r="X7689" s="40"/>
      <c r="Y7689" s="40"/>
    </row>
    <row r="7690" spans="24:25" x14ac:dyDescent="0.35">
      <c r="X7690" s="40"/>
      <c r="Y7690" s="40"/>
    </row>
    <row r="7691" spans="24:25" x14ac:dyDescent="0.35">
      <c r="X7691" s="40"/>
      <c r="Y7691" s="40"/>
    </row>
    <row r="7692" spans="24:25" x14ac:dyDescent="0.35">
      <c r="X7692" s="40"/>
      <c r="Y7692" s="40"/>
    </row>
    <row r="7693" spans="24:25" x14ac:dyDescent="0.35">
      <c r="X7693" s="40"/>
      <c r="Y7693" s="40"/>
    </row>
    <row r="7694" spans="24:25" x14ac:dyDescent="0.35">
      <c r="X7694" s="40"/>
      <c r="Y7694" s="40"/>
    </row>
    <row r="7695" spans="24:25" x14ac:dyDescent="0.35">
      <c r="X7695" s="40"/>
      <c r="Y7695" s="40"/>
    </row>
    <row r="7696" spans="24:25" x14ac:dyDescent="0.35">
      <c r="X7696" s="40"/>
      <c r="Y7696" s="40"/>
    </row>
    <row r="7697" spans="24:25" x14ac:dyDescent="0.35">
      <c r="X7697" s="40"/>
      <c r="Y7697" s="40"/>
    </row>
    <row r="7698" spans="24:25" x14ac:dyDescent="0.35">
      <c r="X7698" s="40"/>
      <c r="Y7698" s="40"/>
    </row>
    <row r="7699" spans="24:25" x14ac:dyDescent="0.35">
      <c r="X7699" s="40"/>
      <c r="Y7699" s="40"/>
    </row>
    <row r="7700" spans="24:25" x14ac:dyDescent="0.35">
      <c r="X7700" s="40"/>
      <c r="Y7700" s="40"/>
    </row>
    <row r="7701" spans="24:25" x14ac:dyDescent="0.35">
      <c r="X7701" s="40"/>
      <c r="Y7701" s="40"/>
    </row>
    <row r="7702" spans="24:25" x14ac:dyDescent="0.35">
      <c r="X7702" s="40"/>
      <c r="Y7702" s="40"/>
    </row>
    <row r="7703" spans="24:25" x14ac:dyDescent="0.35">
      <c r="X7703" s="40"/>
      <c r="Y7703" s="40"/>
    </row>
    <row r="7704" spans="24:25" x14ac:dyDescent="0.35">
      <c r="X7704" s="40"/>
      <c r="Y7704" s="40"/>
    </row>
    <row r="7705" spans="24:25" x14ac:dyDescent="0.35">
      <c r="X7705" s="40"/>
      <c r="Y7705" s="40"/>
    </row>
    <row r="7706" spans="24:25" x14ac:dyDescent="0.35">
      <c r="X7706" s="40"/>
      <c r="Y7706" s="40"/>
    </row>
    <row r="7707" spans="24:25" x14ac:dyDescent="0.35">
      <c r="X7707" s="40"/>
      <c r="Y7707" s="40"/>
    </row>
    <row r="7708" spans="24:25" x14ac:dyDescent="0.35">
      <c r="X7708" s="40"/>
      <c r="Y7708" s="40"/>
    </row>
    <row r="7709" spans="24:25" x14ac:dyDescent="0.35">
      <c r="X7709" s="40"/>
      <c r="Y7709" s="40"/>
    </row>
    <row r="7710" spans="24:25" x14ac:dyDescent="0.35">
      <c r="X7710" s="40"/>
      <c r="Y7710" s="40"/>
    </row>
    <row r="7711" spans="24:25" x14ac:dyDescent="0.35">
      <c r="X7711" s="40"/>
      <c r="Y7711" s="40"/>
    </row>
    <row r="7712" spans="24:25" x14ac:dyDescent="0.35">
      <c r="X7712" s="40"/>
      <c r="Y7712" s="40"/>
    </row>
    <row r="7713" spans="24:25" x14ac:dyDescent="0.35">
      <c r="X7713" s="40"/>
      <c r="Y7713" s="40"/>
    </row>
    <row r="7714" spans="24:25" x14ac:dyDescent="0.35">
      <c r="X7714" s="40"/>
      <c r="Y7714" s="40"/>
    </row>
    <row r="7715" spans="24:25" x14ac:dyDescent="0.35">
      <c r="X7715" s="40"/>
      <c r="Y7715" s="40"/>
    </row>
    <row r="7716" spans="24:25" x14ac:dyDescent="0.35">
      <c r="X7716" s="40"/>
      <c r="Y7716" s="40"/>
    </row>
    <row r="7717" spans="24:25" x14ac:dyDescent="0.35">
      <c r="X7717" s="40"/>
      <c r="Y7717" s="40"/>
    </row>
    <row r="7718" spans="24:25" x14ac:dyDescent="0.35">
      <c r="X7718" s="40"/>
      <c r="Y7718" s="40"/>
    </row>
    <row r="7719" spans="24:25" x14ac:dyDescent="0.35">
      <c r="X7719" s="40"/>
      <c r="Y7719" s="40"/>
    </row>
    <row r="7720" spans="24:25" x14ac:dyDescent="0.35">
      <c r="X7720" s="40"/>
      <c r="Y7720" s="40"/>
    </row>
    <row r="7721" spans="24:25" x14ac:dyDescent="0.35">
      <c r="X7721" s="40"/>
      <c r="Y7721" s="40"/>
    </row>
    <row r="7722" spans="24:25" x14ac:dyDescent="0.35">
      <c r="X7722" s="40"/>
      <c r="Y7722" s="40"/>
    </row>
    <row r="7723" spans="24:25" x14ac:dyDescent="0.35">
      <c r="X7723" s="40"/>
      <c r="Y7723" s="40"/>
    </row>
    <row r="7724" spans="24:25" x14ac:dyDescent="0.35">
      <c r="X7724" s="40"/>
      <c r="Y7724" s="40"/>
    </row>
    <row r="7725" spans="24:25" x14ac:dyDescent="0.35">
      <c r="X7725" s="40"/>
      <c r="Y7725" s="40"/>
    </row>
    <row r="7726" spans="24:25" x14ac:dyDescent="0.35">
      <c r="X7726" s="40"/>
      <c r="Y7726" s="40"/>
    </row>
    <row r="7727" spans="24:25" x14ac:dyDescent="0.35">
      <c r="X7727" s="40"/>
      <c r="Y7727" s="40"/>
    </row>
    <row r="7728" spans="24:25" x14ac:dyDescent="0.35">
      <c r="X7728" s="40"/>
      <c r="Y7728" s="40"/>
    </row>
    <row r="7729" spans="24:25" x14ac:dyDescent="0.35">
      <c r="X7729" s="40"/>
      <c r="Y7729" s="40"/>
    </row>
    <row r="7730" spans="24:25" x14ac:dyDescent="0.35">
      <c r="X7730" s="40"/>
      <c r="Y7730" s="40"/>
    </row>
    <row r="7731" spans="24:25" x14ac:dyDescent="0.35">
      <c r="X7731" s="40"/>
      <c r="Y7731" s="40"/>
    </row>
    <row r="7732" spans="24:25" x14ac:dyDescent="0.35">
      <c r="X7732" s="40"/>
      <c r="Y7732" s="40"/>
    </row>
    <row r="7733" spans="24:25" x14ac:dyDescent="0.35">
      <c r="X7733" s="40"/>
      <c r="Y7733" s="40"/>
    </row>
    <row r="7734" spans="24:25" x14ac:dyDescent="0.35">
      <c r="X7734" s="40"/>
      <c r="Y7734" s="40"/>
    </row>
    <row r="7735" spans="24:25" x14ac:dyDescent="0.35">
      <c r="X7735" s="40"/>
      <c r="Y7735" s="40"/>
    </row>
    <row r="7736" spans="24:25" x14ac:dyDescent="0.35">
      <c r="X7736" s="40"/>
      <c r="Y7736" s="40"/>
    </row>
    <row r="7737" spans="24:25" x14ac:dyDescent="0.35">
      <c r="X7737" s="40"/>
      <c r="Y7737" s="40"/>
    </row>
    <row r="7738" spans="24:25" x14ac:dyDescent="0.35">
      <c r="X7738" s="40"/>
      <c r="Y7738" s="40"/>
    </row>
    <row r="7739" spans="24:25" x14ac:dyDescent="0.35">
      <c r="X7739" s="40"/>
      <c r="Y7739" s="40"/>
    </row>
    <row r="7740" spans="24:25" x14ac:dyDescent="0.35">
      <c r="X7740" s="40"/>
      <c r="Y7740" s="40"/>
    </row>
    <row r="7741" spans="24:25" x14ac:dyDescent="0.35">
      <c r="X7741" s="40"/>
      <c r="Y7741" s="40"/>
    </row>
    <row r="7742" spans="24:25" x14ac:dyDescent="0.35">
      <c r="X7742" s="40"/>
      <c r="Y7742" s="40"/>
    </row>
    <row r="7743" spans="24:25" x14ac:dyDescent="0.35">
      <c r="X7743" s="40"/>
      <c r="Y7743" s="40"/>
    </row>
    <row r="7744" spans="24:25" x14ac:dyDescent="0.35">
      <c r="X7744" s="40"/>
      <c r="Y7744" s="40"/>
    </row>
    <row r="7745" spans="24:25" x14ac:dyDescent="0.35">
      <c r="X7745" s="40"/>
      <c r="Y7745" s="40"/>
    </row>
    <row r="7746" spans="24:25" x14ac:dyDescent="0.35">
      <c r="X7746" s="40"/>
      <c r="Y7746" s="40"/>
    </row>
    <row r="7747" spans="24:25" x14ac:dyDescent="0.35">
      <c r="X7747" s="40"/>
      <c r="Y7747" s="40"/>
    </row>
    <row r="7748" spans="24:25" x14ac:dyDescent="0.35">
      <c r="X7748" s="40"/>
      <c r="Y7748" s="40"/>
    </row>
    <row r="7749" spans="24:25" x14ac:dyDescent="0.35">
      <c r="X7749" s="40"/>
      <c r="Y7749" s="40"/>
    </row>
    <row r="7750" spans="24:25" x14ac:dyDescent="0.35">
      <c r="X7750" s="40"/>
      <c r="Y7750" s="40"/>
    </row>
    <row r="7751" spans="24:25" x14ac:dyDescent="0.35">
      <c r="X7751" s="40"/>
      <c r="Y7751" s="40"/>
    </row>
    <row r="7752" spans="24:25" x14ac:dyDescent="0.35">
      <c r="X7752" s="40"/>
      <c r="Y7752" s="40"/>
    </row>
    <row r="7753" spans="24:25" x14ac:dyDescent="0.35">
      <c r="X7753" s="40"/>
      <c r="Y7753" s="40"/>
    </row>
    <row r="7754" spans="24:25" x14ac:dyDescent="0.35">
      <c r="X7754" s="40"/>
      <c r="Y7754" s="40"/>
    </row>
    <row r="7755" spans="24:25" x14ac:dyDescent="0.35">
      <c r="X7755" s="40"/>
      <c r="Y7755" s="40"/>
    </row>
    <row r="7756" spans="24:25" x14ac:dyDescent="0.35">
      <c r="X7756" s="40"/>
      <c r="Y7756" s="40"/>
    </row>
    <row r="7757" spans="24:25" x14ac:dyDescent="0.35">
      <c r="X7757" s="40"/>
      <c r="Y7757" s="40"/>
    </row>
    <row r="7758" spans="24:25" x14ac:dyDescent="0.35">
      <c r="X7758" s="40"/>
      <c r="Y7758" s="40"/>
    </row>
    <row r="7759" spans="24:25" x14ac:dyDescent="0.35">
      <c r="X7759" s="40"/>
      <c r="Y7759" s="40"/>
    </row>
    <row r="7760" spans="24:25" x14ac:dyDescent="0.35">
      <c r="X7760" s="40"/>
      <c r="Y7760" s="40"/>
    </row>
    <row r="7761" spans="24:25" x14ac:dyDescent="0.35">
      <c r="X7761" s="40"/>
      <c r="Y7761" s="40"/>
    </row>
    <row r="7762" spans="24:25" x14ac:dyDescent="0.35">
      <c r="X7762" s="40"/>
      <c r="Y7762" s="40"/>
    </row>
    <row r="7763" spans="24:25" x14ac:dyDescent="0.35">
      <c r="X7763" s="40"/>
      <c r="Y7763" s="40"/>
    </row>
    <row r="7764" spans="24:25" x14ac:dyDescent="0.35">
      <c r="X7764" s="40"/>
      <c r="Y7764" s="40"/>
    </row>
    <row r="7765" spans="24:25" x14ac:dyDescent="0.35">
      <c r="X7765" s="40"/>
      <c r="Y7765" s="40"/>
    </row>
    <row r="7766" spans="24:25" x14ac:dyDescent="0.35">
      <c r="X7766" s="40"/>
      <c r="Y7766" s="40"/>
    </row>
    <row r="7767" spans="24:25" x14ac:dyDescent="0.35">
      <c r="X7767" s="40"/>
      <c r="Y7767" s="40"/>
    </row>
    <row r="7768" spans="24:25" x14ac:dyDescent="0.35">
      <c r="X7768" s="40"/>
      <c r="Y7768" s="40"/>
    </row>
    <row r="7769" spans="24:25" x14ac:dyDescent="0.35">
      <c r="X7769" s="40"/>
      <c r="Y7769" s="40"/>
    </row>
    <row r="7770" spans="24:25" x14ac:dyDescent="0.35">
      <c r="X7770" s="40"/>
      <c r="Y7770" s="40"/>
    </row>
    <row r="7771" spans="24:25" x14ac:dyDescent="0.35">
      <c r="X7771" s="40"/>
      <c r="Y7771" s="40"/>
    </row>
    <row r="7772" spans="24:25" x14ac:dyDescent="0.35">
      <c r="X7772" s="40"/>
      <c r="Y7772" s="40"/>
    </row>
    <row r="7773" spans="24:25" x14ac:dyDescent="0.35">
      <c r="X7773" s="40"/>
      <c r="Y7773" s="40"/>
    </row>
    <row r="7774" spans="24:25" x14ac:dyDescent="0.35">
      <c r="X7774" s="40"/>
      <c r="Y7774" s="40"/>
    </row>
    <row r="7775" spans="24:25" x14ac:dyDescent="0.35">
      <c r="X7775" s="40"/>
      <c r="Y7775" s="40"/>
    </row>
    <row r="7776" spans="24:25" x14ac:dyDescent="0.35">
      <c r="X7776" s="40"/>
      <c r="Y7776" s="40"/>
    </row>
    <row r="7777" spans="24:25" x14ac:dyDescent="0.35">
      <c r="X7777" s="40"/>
      <c r="Y7777" s="40"/>
    </row>
    <row r="7778" spans="24:25" x14ac:dyDescent="0.35">
      <c r="X7778" s="40"/>
      <c r="Y7778" s="40"/>
    </row>
    <row r="7779" spans="24:25" x14ac:dyDescent="0.35">
      <c r="X7779" s="40"/>
      <c r="Y7779" s="40"/>
    </row>
    <row r="7780" spans="24:25" x14ac:dyDescent="0.35">
      <c r="X7780" s="40"/>
      <c r="Y7780" s="40"/>
    </row>
    <row r="7781" spans="24:25" x14ac:dyDescent="0.35">
      <c r="X7781" s="40"/>
      <c r="Y7781" s="40"/>
    </row>
    <row r="7782" spans="24:25" x14ac:dyDescent="0.35">
      <c r="X7782" s="40"/>
      <c r="Y7782" s="40"/>
    </row>
    <row r="7783" spans="24:25" x14ac:dyDescent="0.35">
      <c r="X7783" s="40"/>
      <c r="Y7783" s="40"/>
    </row>
    <row r="7784" spans="24:25" x14ac:dyDescent="0.35">
      <c r="X7784" s="40"/>
      <c r="Y7784" s="40"/>
    </row>
    <row r="7785" spans="24:25" x14ac:dyDescent="0.35">
      <c r="X7785" s="40"/>
      <c r="Y7785" s="40"/>
    </row>
    <row r="7786" spans="24:25" x14ac:dyDescent="0.35">
      <c r="X7786" s="40"/>
      <c r="Y7786" s="40"/>
    </row>
    <row r="7787" spans="24:25" x14ac:dyDescent="0.35">
      <c r="X7787" s="40"/>
      <c r="Y7787" s="40"/>
    </row>
    <row r="7788" spans="24:25" x14ac:dyDescent="0.35">
      <c r="X7788" s="40"/>
      <c r="Y7788" s="40"/>
    </row>
    <row r="7789" spans="24:25" x14ac:dyDescent="0.35">
      <c r="X7789" s="40"/>
      <c r="Y7789" s="40"/>
    </row>
    <row r="7790" spans="24:25" x14ac:dyDescent="0.35">
      <c r="X7790" s="40"/>
      <c r="Y7790" s="40"/>
    </row>
    <row r="7791" spans="24:25" x14ac:dyDescent="0.35">
      <c r="X7791" s="40"/>
      <c r="Y7791" s="40"/>
    </row>
    <row r="7792" spans="24:25" x14ac:dyDescent="0.35">
      <c r="X7792" s="40"/>
      <c r="Y7792" s="40"/>
    </row>
    <row r="7793" spans="24:25" x14ac:dyDescent="0.35">
      <c r="X7793" s="40"/>
      <c r="Y7793" s="40"/>
    </row>
    <row r="7794" spans="24:25" x14ac:dyDescent="0.35">
      <c r="X7794" s="40"/>
      <c r="Y7794" s="40"/>
    </row>
    <row r="7795" spans="24:25" x14ac:dyDescent="0.35">
      <c r="X7795" s="40"/>
      <c r="Y7795" s="40"/>
    </row>
    <row r="7796" spans="24:25" x14ac:dyDescent="0.35">
      <c r="X7796" s="40"/>
      <c r="Y7796" s="40"/>
    </row>
    <row r="7797" spans="24:25" x14ac:dyDescent="0.35">
      <c r="X7797" s="40"/>
      <c r="Y7797" s="40"/>
    </row>
    <row r="7798" spans="24:25" x14ac:dyDescent="0.35">
      <c r="X7798" s="40"/>
      <c r="Y7798" s="40"/>
    </row>
    <row r="7799" spans="24:25" x14ac:dyDescent="0.35">
      <c r="X7799" s="40"/>
      <c r="Y7799" s="40"/>
    </row>
    <row r="7800" spans="24:25" x14ac:dyDescent="0.35">
      <c r="X7800" s="40"/>
      <c r="Y7800" s="40"/>
    </row>
    <row r="7801" spans="24:25" x14ac:dyDescent="0.35">
      <c r="X7801" s="40"/>
      <c r="Y7801" s="40"/>
    </row>
    <row r="7802" spans="24:25" x14ac:dyDescent="0.35">
      <c r="X7802" s="40"/>
      <c r="Y7802" s="40"/>
    </row>
    <row r="7803" spans="24:25" x14ac:dyDescent="0.35">
      <c r="X7803" s="40"/>
      <c r="Y7803" s="40"/>
    </row>
    <row r="7804" spans="24:25" x14ac:dyDescent="0.35">
      <c r="X7804" s="40"/>
      <c r="Y7804" s="40"/>
    </row>
    <row r="7805" spans="24:25" x14ac:dyDescent="0.35">
      <c r="X7805" s="40"/>
      <c r="Y7805" s="40"/>
    </row>
    <row r="7806" spans="24:25" x14ac:dyDescent="0.35">
      <c r="X7806" s="40"/>
      <c r="Y7806" s="40"/>
    </row>
    <row r="7807" spans="24:25" x14ac:dyDescent="0.35">
      <c r="X7807" s="40"/>
      <c r="Y7807" s="40"/>
    </row>
    <row r="7808" spans="24:25" x14ac:dyDescent="0.35">
      <c r="X7808" s="40"/>
      <c r="Y7808" s="40"/>
    </row>
    <row r="7809" spans="24:25" x14ac:dyDescent="0.35">
      <c r="X7809" s="40"/>
      <c r="Y7809" s="40"/>
    </row>
    <row r="7810" spans="24:25" x14ac:dyDescent="0.35">
      <c r="X7810" s="40"/>
      <c r="Y7810" s="40"/>
    </row>
    <row r="7811" spans="24:25" x14ac:dyDescent="0.35">
      <c r="X7811" s="40"/>
      <c r="Y7811" s="40"/>
    </row>
    <row r="7812" spans="24:25" x14ac:dyDescent="0.35">
      <c r="X7812" s="40"/>
      <c r="Y7812" s="40"/>
    </row>
    <row r="7813" spans="24:25" x14ac:dyDescent="0.35">
      <c r="X7813" s="40"/>
      <c r="Y7813" s="40"/>
    </row>
    <row r="7814" spans="24:25" x14ac:dyDescent="0.35">
      <c r="X7814" s="40"/>
      <c r="Y7814" s="40"/>
    </row>
    <row r="7815" spans="24:25" x14ac:dyDescent="0.35">
      <c r="X7815" s="40"/>
      <c r="Y7815" s="40"/>
    </row>
    <row r="7816" spans="24:25" x14ac:dyDescent="0.35">
      <c r="X7816" s="40"/>
      <c r="Y7816" s="40"/>
    </row>
    <row r="7817" spans="24:25" x14ac:dyDescent="0.35">
      <c r="X7817" s="40"/>
      <c r="Y7817" s="40"/>
    </row>
    <row r="7818" spans="24:25" x14ac:dyDescent="0.35">
      <c r="X7818" s="40"/>
      <c r="Y7818" s="40"/>
    </row>
    <row r="7819" spans="24:25" x14ac:dyDescent="0.35">
      <c r="X7819" s="40"/>
      <c r="Y7819" s="40"/>
    </row>
    <row r="7820" spans="24:25" x14ac:dyDescent="0.35">
      <c r="X7820" s="40"/>
      <c r="Y7820" s="40"/>
    </row>
    <row r="7821" spans="24:25" x14ac:dyDescent="0.35">
      <c r="X7821" s="40"/>
      <c r="Y7821" s="40"/>
    </row>
    <row r="7822" spans="24:25" x14ac:dyDescent="0.35">
      <c r="X7822" s="40"/>
      <c r="Y7822" s="40"/>
    </row>
    <row r="7823" spans="24:25" x14ac:dyDescent="0.35">
      <c r="X7823" s="40"/>
      <c r="Y7823" s="40"/>
    </row>
    <row r="7824" spans="24:25" x14ac:dyDescent="0.35">
      <c r="X7824" s="40"/>
      <c r="Y7824" s="40"/>
    </row>
    <row r="7825" spans="24:25" x14ac:dyDescent="0.35">
      <c r="X7825" s="40"/>
      <c r="Y7825" s="40"/>
    </row>
    <row r="7826" spans="24:25" x14ac:dyDescent="0.35">
      <c r="X7826" s="40"/>
      <c r="Y7826" s="40"/>
    </row>
    <row r="7827" spans="24:25" x14ac:dyDescent="0.35">
      <c r="X7827" s="40"/>
      <c r="Y7827" s="40"/>
    </row>
    <row r="7828" spans="24:25" x14ac:dyDescent="0.35">
      <c r="X7828" s="40"/>
      <c r="Y7828" s="40"/>
    </row>
    <row r="7829" spans="24:25" x14ac:dyDescent="0.35">
      <c r="X7829" s="40"/>
      <c r="Y7829" s="40"/>
    </row>
    <row r="7830" spans="24:25" x14ac:dyDescent="0.35">
      <c r="X7830" s="40"/>
      <c r="Y7830" s="40"/>
    </row>
    <row r="7831" spans="24:25" x14ac:dyDescent="0.35">
      <c r="X7831" s="40"/>
      <c r="Y7831" s="40"/>
    </row>
    <row r="7832" spans="24:25" x14ac:dyDescent="0.35">
      <c r="X7832" s="40"/>
      <c r="Y7832" s="40"/>
    </row>
    <row r="7833" spans="24:25" x14ac:dyDescent="0.35">
      <c r="X7833" s="40"/>
      <c r="Y7833" s="40"/>
    </row>
    <row r="7834" spans="24:25" x14ac:dyDescent="0.35">
      <c r="X7834" s="40"/>
      <c r="Y7834" s="40"/>
    </row>
    <row r="7835" spans="24:25" x14ac:dyDescent="0.35">
      <c r="X7835" s="40"/>
      <c r="Y7835" s="40"/>
    </row>
    <row r="7836" spans="24:25" x14ac:dyDescent="0.35">
      <c r="X7836" s="40"/>
      <c r="Y7836" s="40"/>
    </row>
    <row r="7837" spans="24:25" x14ac:dyDescent="0.35">
      <c r="X7837" s="40"/>
      <c r="Y7837" s="40"/>
    </row>
    <row r="7838" spans="24:25" x14ac:dyDescent="0.35">
      <c r="X7838" s="40"/>
      <c r="Y7838" s="40"/>
    </row>
    <row r="7839" spans="24:25" x14ac:dyDescent="0.35">
      <c r="X7839" s="40"/>
      <c r="Y7839" s="40"/>
    </row>
    <row r="7840" spans="24:25" x14ac:dyDescent="0.35">
      <c r="X7840" s="40"/>
      <c r="Y7840" s="40"/>
    </row>
    <row r="7841" spans="24:25" x14ac:dyDescent="0.35">
      <c r="X7841" s="40"/>
      <c r="Y7841" s="40"/>
    </row>
    <row r="7842" spans="24:25" x14ac:dyDescent="0.35">
      <c r="X7842" s="40"/>
      <c r="Y7842" s="40"/>
    </row>
    <row r="7843" spans="24:25" x14ac:dyDescent="0.35">
      <c r="X7843" s="40"/>
      <c r="Y7843" s="40"/>
    </row>
    <row r="7844" spans="24:25" x14ac:dyDescent="0.35">
      <c r="X7844" s="40"/>
      <c r="Y7844" s="40"/>
    </row>
    <row r="7845" spans="24:25" x14ac:dyDescent="0.35">
      <c r="X7845" s="40"/>
      <c r="Y7845" s="40"/>
    </row>
    <row r="7846" spans="24:25" x14ac:dyDescent="0.35">
      <c r="X7846" s="40"/>
      <c r="Y7846" s="40"/>
    </row>
    <row r="7847" spans="24:25" x14ac:dyDescent="0.35">
      <c r="X7847" s="40"/>
      <c r="Y7847" s="40"/>
    </row>
    <row r="7848" spans="24:25" x14ac:dyDescent="0.35">
      <c r="X7848" s="40"/>
      <c r="Y7848" s="40"/>
    </row>
    <row r="7849" spans="24:25" x14ac:dyDescent="0.35">
      <c r="X7849" s="40"/>
      <c r="Y7849" s="40"/>
    </row>
    <row r="7850" spans="24:25" x14ac:dyDescent="0.35">
      <c r="X7850" s="40"/>
      <c r="Y7850" s="40"/>
    </row>
    <row r="7851" spans="24:25" x14ac:dyDescent="0.35">
      <c r="X7851" s="40"/>
      <c r="Y7851" s="40"/>
    </row>
    <row r="7852" spans="24:25" x14ac:dyDescent="0.35">
      <c r="X7852" s="40"/>
      <c r="Y7852" s="40"/>
    </row>
    <row r="7853" spans="24:25" x14ac:dyDescent="0.35">
      <c r="X7853" s="40"/>
      <c r="Y7853" s="40"/>
    </row>
    <row r="7854" spans="24:25" x14ac:dyDescent="0.35">
      <c r="X7854" s="40"/>
      <c r="Y7854" s="40"/>
    </row>
    <row r="7855" spans="24:25" x14ac:dyDescent="0.35">
      <c r="X7855" s="40"/>
      <c r="Y7855" s="40"/>
    </row>
    <row r="7856" spans="24:25" x14ac:dyDescent="0.35">
      <c r="X7856" s="40"/>
      <c r="Y7856" s="40"/>
    </row>
    <row r="7857" spans="24:25" x14ac:dyDescent="0.35">
      <c r="X7857" s="40"/>
      <c r="Y7857" s="40"/>
    </row>
    <row r="7858" spans="24:25" x14ac:dyDescent="0.35">
      <c r="X7858" s="40"/>
      <c r="Y7858" s="40"/>
    </row>
    <row r="7859" spans="24:25" x14ac:dyDescent="0.35">
      <c r="X7859" s="40"/>
      <c r="Y7859" s="40"/>
    </row>
    <row r="7860" spans="24:25" x14ac:dyDescent="0.35">
      <c r="X7860" s="40"/>
      <c r="Y7860" s="40"/>
    </row>
    <row r="7861" spans="24:25" x14ac:dyDescent="0.35">
      <c r="X7861" s="40"/>
      <c r="Y7861" s="40"/>
    </row>
    <row r="7862" spans="24:25" x14ac:dyDescent="0.35">
      <c r="X7862" s="40"/>
      <c r="Y7862" s="40"/>
    </row>
    <row r="7863" spans="24:25" x14ac:dyDescent="0.35">
      <c r="X7863" s="40"/>
      <c r="Y7863" s="40"/>
    </row>
    <row r="7864" spans="24:25" x14ac:dyDescent="0.35">
      <c r="X7864" s="40"/>
      <c r="Y7864" s="40"/>
    </row>
    <row r="7865" spans="24:25" x14ac:dyDescent="0.35">
      <c r="X7865" s="40"/>
      <c r="Y7865" s="40"/>
    </row>
    <row r="7866" spans="24:25" x14ac:dyDescent="0.35">
      <c r="X7866" s="40"/>
      <c r="Y7866" s="40"/>
    </row>
    <row r="7867" spans="24:25" x14ac:dyDescent="0.35">
      <c r="X7867" s="40"/>
      <c r="Y7867" s="40"/>
    </row>
    <row r="7868" spans="24:25" x14ac:dyDescent="0.35">
      <c r="X7868" s="40"/>
      <c r="Y7868" s="40"/>
    </row>
    <row r="7869" spans="24:25" x14ac:dyDescent="0.35">
      <c r="X7869" s="40"/>
      <c r="Y7869" s="40"/>
    </row>
    <row r="7870" spans="24:25" x14ac:dyDescent="0.35">
      <c r="X7870" s="40"/>
      <c r="Y7870" s="40"/>
    </row>
    <row r="7871" spans="24:25" x14ac:dyDescent="0.35">
      <c r="X7871" s="40"/>
      <c r="Y7871" s="40"/>
    </row>
    <row r="7872" spans="24:25" x14ac:dyDescent="0.35">
      <c r="X7872" s="40"/>
      <c r="Y7872" s="40"/>
    </row>
    <row r="7873" spans="24:25" x14ac:dyDescent="0.35">
      <c r="X7873" s="40"/>
      <c r="Y7873" s="40"/>
    </row>
    <row r="7874" spans="24:25" x14ac:dyDescent="0.35">
      <c r="X7874" s="40"/>
      <c r="Y7874" s="40"/>
    </row>
    <row r="7875" spans="24:25" x14ac:dyDescent="0.35">
      <c r="X7875" s="40"/>
      <c r="Y7875" s="40"/>
    </row>
    <row r="7876" spans="24:25" x14ac:dyDescent="0.35">
      <c r="X7876" s="40"/>
      <c r="Y7876" s="40"/>
    </row>
    <row r="7877" spans="24:25" x14ac:dyDescent="0.35">
      <c r="X7877" s="40"/>
      <c r="Y7877" s="40"/>
    </row>
    <row r="7878" spans="24:25" x14ac:dyDescent="0.35">
      <c r="X7878" s="40"/>
      <c r="Y7878" s="40"/>
    </row>
    <row r="7879" spans="24:25" x14ac:dyDescent="0.35">
      <c r="X7879" s="40"/>
      <c r="Y7879" s="40"/>
    </row>
    <row r="7880" spans="24:25" x14ac:dyDescent="0.35">
      <c r="X7880" s="40"/>
      <c r="Y7880" s="40"/>
    </row>
    <row r="7881" spans="24:25" x14ac:dyDescent="0.35">
      <c r="X7881" s="40"/>
      <c r="Y7881" s="40"/>
    </row>
    <row r="7882" spans="24:25" x14ac:dyDescent="0.35">
      <c r="X7882" s="40"/>
      <c r="Y7882" s="40"/>
    </row>
    <row r="7883" spans="24:25" x14ac:dyDescent="0.35">
      <c r="X7883" s="40"/>
      <c r="Y7883" s="40"/>
    </row>
    <row r="7884" spans="24:25" x14ac:dyDescent="0.35">
      <c r="X7884" s="40"/>
      <c r="Y7884" s="40"/>
    </row>
    <row r="7885" spans="24:25" x14ac:dyDescent="0.35">
      <c r="X7885" s="40"/>
      <c r="Y7885" s="40"/>
    </row>
    <row r="7886" spans="24:25" x14ac:dyDescent="0.35">
      <c r="X7886" s="40"/>
      <c r="Y7886" s="40"/>
    </row>
    <row r="7887" spans="24:25" x14ac:dyDescent="0.35">
      <c r="X7887" s="40"/>
      <c r="Y7887" s="40"/>
    </row>
    <row r="7888" spans="24:25" x14ac:dyDescent="0.35">
      <c r="X7888" s="40"/>
      <c r="Y7888" s="40"/>
    </row>
    <row r="7889" spans="24:25" x14ac:dyDescent="0.35">
      <c r="X7889" s="40"/>
      <c r="Y7889" s="40"/>
    </row>
    <row r="7890" spans="24:25" x14ac:dyDescent="0.35">
      <c r="X7890" s="40"/>
      <c r="Y7890" s="40"/>
    </row>
    <row r="7891" spans="24:25" x14ac:dyDescent="0.35">
      <c r="X7891" s="40"/>
      <c r="Y7891" s="40"/>
    </row>
    <row r="7892" spans="24:25" x14ac:dyDescent="0.35">
      <c r="X7892" s="40"/>
      <c r="Y7892" s="40"/>
    </row>
    <row r="7893" spans="24:25" x14ac:dyDescent="0.35">
      <c r="X7893" s="40"/>
      <c r="Y7893" s="40"/>
    </row>
    <row r="7894" spans="24:25" x14ac:dyDescent="0.35">
      <c r="X7894" s="40"/>
      <c r="Y7894" s="40"/>
    </row>
    <row r="7895" spans="24:25" x14ac:dyDescent="0.35">
      <c r="X7895" s="40"/>
      <c r="Y7895" s="40"/>
    </row>
    <row r="7896" spans="24:25" x14ac:dyDescent="0.35">
      <c r="X7896" s="40"/>
      <c r="Y7896" s="40"/>
    </row>
    <row r="7897" spans="24:25" x14ac:dyDescent="0.35">
      <c r="X7897" s="40"/>
      <c r="Y7897" s="40"/>
    </row>
    <row r="7898" spans="24:25" x14ac:dyDescent="0.35">
      <c r="X7898" s="40"/>
      <c r="Y7898" s="40"/>
    </row>
    <row r="7899" spans="24:25" x14ac:dyDescent="0.35">
      <c r="X7899" s="40"/>
      <c r="Y7899" s="40"/>
    </row>
    <row r="7900" spans="24:25" x14ac:dyDescent="0.35">
      <c r="X7900" s="40"/>
      <c r="Y7900" s="40"/>
    </row>
    <row r="7901" spans="24:25" x14ac:dyDescent="0.35">
      <c r="X7901" s="40"/>
      <c r="Y7901" s="40"/>
    </row>
    <row r="7902" spans="24:25" x14ac:dyDescent="0.35">
      <c r="X7902" s="40"/>
      <c r="Y7902" s="40"/>
    </row>
    <row r="7903" spans="24:25" x14ac:dyDescent="0.35">
      <c r="X7903" s="40"/>
      <c r="Y7903" s="40"/>
    </row>
    <row r="7904" spans="24:25" x14ac:dyDescent="0.35">
      <c r="X7904" s="40"/>
      <c r="Y7904" s="40"/>
    </row>
    <row r="7905" spans="24:25" x14ac:dyDescent="0.35">
      <c r="X7905" s="40"/>
      <c r="Y7905" s="40"/>
    </row>
    <row r="7906" spans="24:25" x14ac:dyDescent="0.35">
      <c r="X7906" s="40"/>
      <c r="Y7906" s="40"/>
    </row>
    <row r="7907" spans="24:25" x14ac:dyDescent="0.35">
      <c r="X7907" s="40"/>
      <c r="Y7907" s="40"/>
    </row>
    <row r="7908" spans="24:25" x14ac:dyDescent="0.35">
      <c r="X7908" s="40"/>
      <c r="Y7908" s="40"/>
    </row>
    <row r="7909" spans="24:25" x14ac:dyDescent="0.35">
      <c r="X7909" s="40"/>
      <c r="Y7909" s="40"/>
    </row>
    <row r="7910" spans="24:25" x14ac:dyDescent="0.35">
      <c r="X7910" s="40"/>
      <c r="Y7910" s="40"/>
    </row>
    <row r="7911" spans="24:25" x14ac:dyDescent="0.35">
      <c r="X7911" s="40"/>
      <c r="Y7911" s="40"/>
    </row>
    <row r="7912" spans="24:25" x14ac:dyDescent="0.35">
      <c r="X7912" s="40"/>
      <c r="Y7912" s="40"/>
    </row>
    <row r="7913" spans="24:25" x14ac:dyDescent="0.35">
      <c r="X7913" s="40"/>
      <c r="Y7913" s="40"/>
    </row>
    <row r="7914" spans="24:25" x14ac:dyDescent="0.35">
      <c r="X7914" s="40"/>
      <c r="Y7914" s="40"/>
    </row>
    <row r="7915" spans="24:25" x14ac:dyDescent="0.35">
      <c r="X7915" s="40"/>
      <c r="Y7915" s="40"/>
    </row>
    <row r="7916" spans="24:25" x14ac:dyDescent="0.35">
      <c r="X7916" s="40"/>
      <c r="Y7916" s="40"/>
    </row>
    <row r="7917" spans="24:25" x14ac:dyDescent="0.35">
      <c r="X7917" s="40"/>
      <c r="Y7917" s="40"/>
    </row>
    <row r="7918" spans="24:25" x14ac:dyDescent="0.35">
      <c r="X7918" s="40"/>
      <c r="Y7918" s="40"/>
    </row>
    <row r="7919" spans="24:25" x14ac:dyDescent="0.35">
      <c r="X7919" s="40"/>
      <c r="Y7919" s="40"/>
    </row>
    <row r="7920" spans="24:25" x14ac:dyDescent="0.35">
      <c r="X7920" s="40"/>
      <c r="Y7920" s="40"/>
    </row>
    <row r="7921" spans="24:25" x14ac:dyDescent="0.35">
      <c r="X7921" s="40"/>
      <c r="Y7921" s="40"/>
    </row>
    <row r="7922" spans="24:25" x14ac:dyDescent="0.35">
      <c r="X7922" s="40"/>
      <c r="Y7922" s="40"/>
    </row>
    <row r="7923" spans="24:25" x14ac:dyDescent="0.35">
      <c r="X7923" s="40"/>
      <c r="Y7923" s="40"/>
    </row>
    <row r="7924" spans="24:25" x14ac:dyDescent="0.35">
      <c r="X7924" s="40"/>
      <c r="Y7924" s="40"/>
    </row>
    <row r="7925" spans="24:25" x14ac:dyDescent="0.35">
      <c r="X7925" s="40"/>
      <c r="Y7925" s="40"/>
    </row>
    <row r="7926" spans="24:25" x14ac:dyDescent="0.35">
      <c r="X7926" s="40"/>
      <c r="Y7926" s="40"/>
    </row>
    <row r="7927" spans="24:25" x14ac:dyDescent="0.35">
      <c r="X7927" s="40"/>
      <c r="Y7927" s="40"/>
    </row>
    <row r="7928" spans="24:25" x14ac:dyDescent="0.35">
      <c r="X7928" s="40"/>
      <c r="Y7928" s="40"/>
    </row>
    <row r="7929" spans="24:25" x14ac:dyDescent="0.35">
      <c r="X7929" s="40"/>
      <c r="Y7929" s="40"/>
    </row>
    <row r="7930" spans="24:25" x14ac:dyDescent="0.35">
      <c r="X7930" s="40"/>
      <c r="Y7930" s="40"/>
    </row>
    <row r="7931" spans="24:25" x14ac:dyDescent="0.35">
      <c r="X7931" s="40"/>
      <c r="Y7931" s="40"/>
    </row>
    <row r="7932" spans="24:25" x14ac:dyDescent="0.35">
      <c r="X7932" s="40"/>
      <c r="Y7932" s="40"/>
    </row>
    <row r="7933" spans="24:25" x14ac:dyDescent="0.35">
      <c r="X7933" s="40"/>
      <c r="Y7933" s="40"/>
    </row>
    <row r="7934" spans="24:25" x14ac:dyDescent="0.35">
      <c r="X7934" s="40"/>
      <c r="Y7934" s="40"/>
    </row>
    <row r="7935" spans="24:25" x14ac:dyDescent="0.35">
      <c r="X7935" s="40"/>
      <c r="Y7935" s="40"/>
    </row>
    <row r="7936" spans="24:25" x14ac:dyDescent="0.35">
      <c r="X7936" s="40"/>
      <c r="Y7936" s="40"/>
    </row>
    <row r="7937" spans="24:25" x14ac:dyDescent="0.35">
      <c r="X7937" s="40"/>
      <c r="Y7937" s="40"/>
    </row>
    <row r="7938" spans="24:25" x14ac:dyDescent="0.35">
      <c r="X7938" s="40"/>
      <c r="Y7938" s="40"/>
    </row>
    <row r="7939" spans="24:25" x14ac:dyDescent="0.35">
      <c r="X7939" s="40"/>
      <c r="Y7939" s="40"/>
    </row>
    <row r="7940" spans="24:25" x14ac:dyDescent="0.35">
      <c r="X7940" s="40"/>
      <c r="Y7940" s="40"/>
    </row>
    <row r="7941" spans="24:25" x14ac:dyDescent="0.35">
      <c r="X7941" s="40"/>
      <c r="Y7941" s="40"/>
    </row>
    <row r="7942" spans="24:25" x14ac:dyDescent="0.35">
      <c r="X7942" s="40"/>
      <c r="Y7942" s="40"/>
    </row>
    <row r="7943" spans="24:25" x14ac:dyDescent="0.35">
      <c r="X7943" s="40"/>
      <c r="Y7943" s="40"/>
    </row>
    <row r="7944" spans="24:25" x14ac:dyDescent="0.35">
      <c r="X7944" s="40"/>
      <c r="Y7944" s="40"/>
    </row>
    <row r="7945" spans="24:25" x14ac:dyDescent="0.35">
      <c r="X7945" s="40"/>
      <c r="Y7945" s="40"/>
    </row>
    <row r="7946" spans="24:25" x14ac:dyDescent="0.35">
      <c r="X7946" s="40"/>
      <c r="Y7946" s="40"/>
    </row>
    <row r="7947" spans="24:25" x14ac:dyDescent="0.35">
      <c r="X7947" s="40"/>
      <c r="Y7947" s="40"/>
    </row>
    <row r="7948" spans="24:25" x14ac:dyDescent="0.35">
      <c r="X7948" s="40"/>
      <c r="Y7948" s="40"/>
    </row>
    <row r="7949" spans="24:25" x14ac:dyDescent="0.35">
      <c r="X7949" s="40"/>
      <c r="Y7949" s="40"/>
    </row>
    <row r="7950" spans="24:25" x14ac:dyDescent="0.35">
      <c r="X7950" s="40"/>
      <c r="Y7950" s="40"/>
    </row>
    <row r="7951" spans="24:25" x14ac:dyDescent="0.35">
      <c r="X7951" s="40"/>
      <c r="Y7951" s="40"/>
    </row>
    <row r="7952" spans="24:25" x14ac:dyDescent="0.35">
      <c r="X7952" s="40"/>
      <c r="Y7952" s="40"/>
    </row>
    <row r="7953" spans="24:25" x14ac:dyDescent="0.35">
      <c r="X7953" s="40"/>
      <c r="Y7953" s="40"/>
    </row>
    <row r="7954" spans="24:25" x14ac:dyDescent="0.35">
      <c r="X7954" s="40"/>
      <c r="Y7954" s="40"/>
    </row>
    <row r="7955" spans="24:25" x14ac:dyDescent="0.35">
      <c r="X7955" s="40"/>
      <c r="Y7955" s="40"/>
    </row>
    <row r="7956" spans="24:25" x14ac:dyDescent="0.35">
      <c r="X7956" s="40"/>
      <c r="Y7956" s="40"/>
    </row>
    <row r="7957" spans="24:25" x14ac:dyDescent="0.35">
      <c r="X7957" s="40"/>
      <c r="Y7957" s="40"/>
    </row>
    <row r="7958" spans="24:25" x14ac:dyDescent="0.35">
      <c r="X7958" s="40"/>
      <c r="Y7958" s="40"/>
    </row>
    <row r="7959" spans="24:25" x14ac:dyDescent="0.35">
      <c r="X7959" s="40"/>
      <c r="Y7959" s="40"/>
    </row>
    <row r="7960" spans="24:25" x14ac:dyDescent="0.35">
      <c r="X7960" s="40"/>
      <c r="Y7960" s="40"/>
    </row>
    <row r="7961" spans="24:25" x14ac:dyDescent="0.35">
      <c r="X7961" s="40"/>
      <c r="Y7961" s="40"/>
    </row>
    <row r="7962" spans="24:25" x14ac:dyDescent="0.35">
      <c r="X7962" s="40"/>
      <c r="Y7962" s="40"/>
    </row>
    <row r="7963" spans="24:25" x14ac:dyDescent="0.35">
      <c r="X7963" s="40"/>
      <c r="Y7963" s="40"/>
    </row>
    <row r="7964" spans="24:25" x14ac:dyDescent="0.35">
      <c r="X7964" s="40"/>
      <c r="Y7964" s="40"/>
    </row>
    <row r="7965" spans="24:25" x14ac:dyDescent="0.35">
      <c r="X7965" s="40"/>
      <c r="Y7965" s="40"/>
    </row>
    <row r="7966" spans="24:25" x14ac:dyDescent="0.35">
      <c r="X7966" s="40"/>
      <c r="Y7966" s="40"/>
    </row>
    <row r="7967" spans="24:25" x14ac:dyDescent="0.35">
      <c r="X7967" s="40"/>
      <c r="Y7967" s="40"/>
    </row>
    <row r="7968" spans="24:25" x14ac:dyDescent="0.35">
      <c r="X7968" s="40"/>
      <c r="Y7968" s="40"/>
    </row>
    <row r="7969" spans="24:25" x14ac:dyDescent="0.35">
      <c r="X7969" s="40"/>
      <c r="Y7969" s="40"/>
    </row>
    <row r="7970" spans="24:25" x14ac:dyDescent="0.35">
      <c r="X7970" s="40"/>
      <c r="Y7970" s="40"/>
    </row>
    <row r="7971" spans="24:25" x14ac:dyDescent="0.35">
      <c r="X7971" s="40"/>
      <c r="Y7971" s="40"/>
    </row>
    <row r="7972" spans="24:25" x14ac:dyDescent="0.35">
      <c r="X7972" s="40"/>
      <c r="Y7972" s="40"/>
    </row>
    <row r="7973" spans="24:25" x14ac:dyDescent="0.35">
      <c r="X7973" s="40"/>
      <c r="Y7973" s="40"/>
    </row>
    <row r="7974" spans="24:25" x14ac:dyDescent="0.35">
      <c r="X7974" s="40"/>
      <c r="Y7974" s="40"/>
    </row>
    <row r="7975" spans="24:25" x14ac:dyDescent="0.35">
      <c r="X7975" s="40"/>
      <c r="Y7975" s="40"/>
    </row>
    <row r="7976" spans="24:25" x14ac:dyDescent="0.35">
      <c r="X7976" s="40"/>
      <c r="Y7976" s="40"/>
    </row>
    <row r="7977" spans="24:25" x14ac:dyDescent="0.35">
      <c r="X7977" s="40"/>
      <c r="Y7977" s="40"/>
    </row>
    <row r="7978" spans="24:25" x14ac:dyDescent="0.35">
      <c r="X7978" s="40"/>
      <c r="Y7978" s="40"/>
    </row>
    <row r="7979" spans="24:25" x14ac:dyDescent="0.35">
      <c r="X7979" s="40"/>
      <c r="Y7979" s="40"/>
    </row>
    <row r="7980" spans="24:25" x14ac:dyDescent="0.35">
      <c r="X7980" s="40"/>
      <c r="Y7980" s="40"/>
    </row>
    <row r="7981" spans="24:25" x14ac:dyDescent="0.35">
      <c r="X7981" s="40"/>
      <c r="Y7981" s="40"/>
    </row>
    <row r="7982" spans="24:25" x14ac:dyDescent="0.35">
      <c r="X7982" s="40"/>
      <c r="Y7982" s="40"/>
    </row>
    <row r="7983" spans="24:25" x14ac:dyDescent="0.35">
      <c r="X7983" s="40"/>
      <c r="Y7983" s="40"/>
    </row>
    <row r="7984" spans="24:25" x14ac:dyDescent="0.35">
      <c r="X7984" s="40"/>
      <c r="Y7984" s="40"/>
    </row>
    <row r="7985" spans="24:25" x14ac:dyDescent="0.35">
      <c r="X7985" s="40"/>
      <c r="Y7985" s="40"/>
    </row>
    <row r="7986" spans="24:25" x14ac:dyDescent="0.35">
      <c r="X7986" s="40"/>
      <c r="Y7986" s="40"/>
    </row>
    <row r="7987" spans="24:25" x14ac:dyDescent="0.35">
      <c r="X7987" s="40"/>
      <c r="Y7987" s="40"/>
    </row>
    <row r="7988" spans="24:25" x14ac:dyDescent="0.35">
      <c r="X7988" s="40"/>
      <c r="Y7988" s="40"/>
    </row>
    <row r="7989" spans="24:25" x14ac:dyDescent="0.35">
      <c r="X7989" s="40"/>
      <c r="Y7989" s="40"/>
    </row>
    <row r="7990" spans="24:25" x14ac:dyDescent="0.35">
      <c r="X7990" s="40"/>
      <c r="Y7990" s="40"/>
    </row>
    <row r="7991" spans="24:25" x14ac:dyDescent="0.35">
      <c r="X7991" s="40"/>
      <c r="Y7991" s="40"/>
    </row>
    <row r="7992" spans="24:25" x14ac:dyDescent="0.35">
      <c r="X7992" s="40"/>
      <c r="Y7992" s="40"/>
    </row>
    <row r="7993" spans="24:25" x14ac:dyDescent="0.35">
      <c r="X7993" s="40"/>
      <c r="Y7993" s="40"/>
    </row>
    <row r="7994" spans="24:25" x14ac:dyDescent="0.35">
      <c r="X7994" s="40"/>
      <c r="Y7994" s="40"/>
    </row>
    <row r="7995" spans="24:25" x14ac:dyDescent="0.35">
      <c r="X7995" s="40"/>
      <c r="Y7995" s="40"/>
    </row>
    <row r="7996" spans="24:25" x14ac:dyDescent="0.35">
      <c r="X7996" s="40"/>
      <c r="Y7996" s="40"/>
    </row>
    <row r="7997" spans="24:25" x14ac:dyDescent="0.35">
      <c r="X7997" s="40"/>
      <c r="Y7997" s="40"/>
    </row>
    <row r="7998" spans="24:25" x14ac:dyDescent="0.35">
      <c r="X7998" s="40"/>
      <c r="Y7998" s="40"/>
    </row>
    <row r="7999" spans="24:25" x14ac:dyDescent="0.35">
      <c r="X7999" s="40"/>
      <c r="Y7999" s="40"/>
    </row>
    <row r="8000" spans="24:25" x14ac:dyDescent="0.35">
      <c r="X8000" s="40"/>
      <c r="Y8000" s="40"/>
    </row>
    <row r="8001" spans="24:25" x14ac:dyDescent="0.35">
      <c r="X8001" s="40"/>
      <c r="Y8001" s="40"/>
    </row>
    <row r="8002" spans="24:25" x14ac:dyDescent="0.35">
      <c r="X8002" s="40"/>
      <c r="Y8002" s="40"/>
    </row>
    <row r="8003" spans="24:25" x14ac:dyDescent="0.35">
      <c r="X8003" s="40"/>
      <c r="Y8003" s="40"/>
    </row>
    <row r="8004" spans="24:25" x14ac:dyDescent="0.35">
      <c r="X8004" s="40"/>
      <c r="Y8004" s="40"/>
    </row>
    <row r="8005" spans="24:25" x14ac:dyDescent="0.35">
      <c r="X8005" s="40"/>
      <c r="Y8005" s="40"/>
    </row>
    <row r="8006" spans="24:25" x14ac:dyDescent="0.35">
      <c r="X8006" s="40"/>
      <c r="Y8006" s="40"/>
    </row>
    <row r="8007" spans="24:25" x14ac:dyDescent="0.35">
      <c r="X8007" s="40"/>
      <c r="Y8007" s="40"/>
    </row>
    <row r="8008" spans="24:25" x14ac:dyDescent="0.35">
      <c r="X8008" s="40"/>
      <c r="Y8008" s="40"/>
    </row>
    <row r="8009" spans="24:25" x14ac:dyDescent="0.35">
      <c r="X8009" s="40"/>
      <c r="Y8009" s="40"/>
    </row>
    <row r="8010" spans="24:25" x14ac:dyDescent="0.35">
      <c r="X8010" s="40"/>
      <c r="Y8010" s="40"/>
    </row>
    <row r="8011" spans="24:25" x14ac:dyDescent="0.35">
      <c r="X8011" s="40"/>
      <c r="Y8011" s="40"/>
    </row>
    <row r="8012" spans="24:25" x14ac:dyDescent="0.35">
      <c r="X8012" s="40"/>
      <c r="Y8012" s="40"/>
    </row>
    <row r="8013" spans="24:25" x14ac:dyDescent="0.35">
      <c r="X8013" s="40"/>
      <c r="Y8013" s="40"/>
    </row>
    <row r="8014" spans="24:25" x14ac:dyDescent="0.35">
      <c r="X8014" s="40"/>
      <c r="Y8014" s="40"/>
    </row>
    <row r="8015" spans="24:25" x14ac:dyDescent="0.35">
      <c r="X8015" s="40"/>
      <c r="Y8015" s="40"/>
    </row>
    <row r="8016" spans="24:25" x14ac:dyDescent="0.35">
      <c r="X8016" s="40"/>
      <c r="Y8016" s="40"/>
    </row>
    <row r="8017" spans="24:25" x14ac:dyDescent="0.35">
      <c r="X8017" s="40"/>
      <c r="Y8017" s="40"/>
    </row>
    <row r="8018" spans="24:25" x14ac:dyDescent="0.35">
      <c r="X8018" s="40"/>
      <c r="Y8018" s="40"/>
    </row>
    <row r="8019" spans="24:25" x14ac:dyDescent="0.35">
      <c r="X8019" s="40"/>
      <c r="Y8019" s="40"/>
    </row>
    <row r="8020" spans="24:25" x14ac:dyDescent="0.35">
      <c r="X8020" s="40"/>
      <c r="Y8020" s="40"/>
    </row>
    <row r="8021" spans="24:25" x14ac:dyDescent="0.35">
      <c r="X8021" s="40"/>
      <c r="Y8021" s="40"/>
    </row>
    <row r="8022" spans="24:25" x14ac:dyDescent="0.35">
      <c r="X8022" s="40"/>
      <c r="Y8022" s="40"/>
    </row>
    <row r="8023" spans="24:25" x14ac:dyDescent="0.35">
      <c r="X8023" s="40"/>
      <c r="Y8023" s="40"/>
    </row>
    <row r="8024" spans="24:25" x14ac:dyDescent="0.35">
      <c r="X8024" s="40"/>
      <c r="Y8024" s="40"/>
    </row>
    <row r="8025" spans="24:25" x14ac:dyDescent="0.35">
      <c r="X8025" s="40"/>
      <c r="Y8025" s="40"/>
    </row>
    <row r="8026" spans="24:25" x14ac:dyDescent="0.35">
      <c r="X8026" s="40"/>
      <c r="Y8026" s="40"/>
    </row>
    <row r="8027" spans="24:25" x14ac:dyDescent="0.35">
      <c r="X8027" s="40"/>
      <c r="Y8027" s="40"/>
    </row>
    <row r="8028" spans="24:25" x14ac:dyDescent="0.35">
      <c r="X8028" s="40"/>
      <c r="Y8028" s="40"/>
    </row>
    <row r="8029" spans="24:25" x14ac:dyDescent="0.35">
      <c r="X8029" s="40"/>
      <c r="Y8029" s="40"/>
    </row>
    <row r="8030" spans="24:25" x14ac:dyDescent="0.35">
      <c r="X8030" s="40"/>
      <c r="Y8030" s="40"/>
    </row>
    <row r="8031" spans="24:25" x14ac:dyDescent="0.35">
      <c r="X8031" s="40"/>
      <c r="Y8031" s="40"/>
    </row>
    <row r="8032" spans="24:25" x14ac:dyDescent="0.35">
      <c r="X8032" s="40"/>
      <c r="Y8032" s="40"/>
    </row>
    <row r="8033" spans="24:25" x14ac:dyDescent="0.35">
      <c r="X8033" s="40"/>
      <c r="Y8033" s="40"/>
    </row>
    <row r="8034" spans="24:25" x14ac:dyDescent="0.35">
      <c r="X8034" s="40"/>
      <c r="Y8034" s="40"/>
    </row>
    <row r="8035" spans="24:25" x14ac:dyDescent="0.35">
      <c r="X8035" s="40"/>
      <c r="Y8035" s="40"/>
    </row>
    <row r="8036" spans="24:25" x14ac:dyDescent="0.35">
      <c r="X8036" s="40"/>
      <c r="Y8036" s="40"/>
    </row>
    <row r="8037" spans="24:25" x14ac:dyDescent="0.35">
      <c r="X8037" s="40"/>
      <c r="Y8037" s="40"/>
    </row>
    <row r="8038" spans="24:25" x14ac:dyDescent="0.35">
      <c r="X8038" s="40"/>
      <c r="Y8038" s="40"/>
    </row>
    <row r="8039" spans="24:25" x14ac:dyDescent="0.35">
      <c r="X8039" s="40"/>
      <c r="Y8039" s="40"/>
    </row>
    <row r="8040" spans="24:25" x14ac:dyDescent="0.35">
      <c r="X8040" s="40"/>
      <c r="Y8040" s="40"/>
    </row>
    <row r="8041" spans="24:25" x14ac:dyDescent="0.35">
      <c r="X8041" s="40"/>
      <c r="Y8041" s="40"/>
    </row>
    <row r="8042" spans="24:25" x14ac:dyDescent="0.35">
      <c r="X8042" s="40"/>
      <c r="Y8042" s="40"/>
    </row>
    <row r="8043" spans="24:25" x14ac:dyDescent="0.35">
      <c r="X8043" s="40"/>
      <c r="Y8043" s="40"/>
    </row>
    <row r="8044" spans="24:25" x14ac:dyDescent="0.35">
      <c r="X8044" s="40"/>
      <c r="Y8044" s="40"/>
    </row>
    <row r="8045" spans="24:25" x14ac:dyDescent="0.35">
      <c r="X8045" s="40"/>
      <c r="Y8045" s="40"/>
    </row>
    <row r="8046" spans="24:25" x14ac:dyDescent="0.35">
      <c r="X8046" s="40"/>
      <c r="Y8046" s="40"/>
    </row>
    <row r="8047" spans="24:25" x14ac:dyDescent="0.35">
      <c r="X8047" s="40"/>
      <c r="Y8047" s="40"/>
    </row>
    <row r="8048" spans="24:25" x14ac:dyDescent="0.35">
      <c r="X8048" s="40"/>
      <c r="Y8048" s="40"/>
    </row>
    <row r="8049" spans="24:25" x14ac:dyDescent="0.35">
      <c r="X8049" s="40"/>
      <c r="Y8049" s="40"/>
    </row>
    <row r="8050" spans="24:25" x14ac:dyDescent="0.35">
      <c r="X8050" s="40"/>
      <c r="Y8050" s="40"/>
    </row>
    <row r="8051" spans="24:25" x14ac:dyDescent="0.35">
      <c r="X8051" s="40"/>
      <c r="Y8051" s="40"/>
    </row>
    <row r="8052" spans="24:25" x14ac:dyDescent="0.35">
      <c r="X8052" s="40"/>
      <c r="Y8052" s="40"/>
    </row>
    <row r="8053" spans="24:25" x14ac:dyDescent="0.35">
      <c r="X8053" s="40"/>
      <c r="Y8053" s="40"/>
    </row>
    <row r="8054" spans="24:25" x14ac:dyDescent="0.35">
      <c r="X8054" s="40"/>
      <c r="Y8054" s="40"/>
    </row>
    <row r="8055" spans="24:25" x14ac:dyDescent="0.35">
      <c r="X8055" s="40"/>
      <c r="Y8055" s="40"/>
    </row>
    <row r="8056" spans="24:25" x14ac:dyDescent="0.35">
      <c r="X8056" s="40"/>
      <c r="Y8056" s="40"/>
    </row>
    <row r="8057" spans="24:25" x14ac:dyDescent="0.35">
      <c r="X8057" s="40"/>
      <c r="Y8057" s="40"/>
    </row>
    <row r="8058" spans="24:25" x14ac:dyDescent="0.35">
      <c r="X8058" s="40"/>
      <c r="Y8058" s="40"/>
    </row>
    <row r="8059" spans="24:25" x14ac:dyDescent="0.35">
      <c r="X8059" s="40"/>
      <c r="Y8059" s="40"/>
    </row>
    <row r="8060" spans="24:25" x14ac:dyDescent="0.35">
      <c r="X8060" s="40"/>
      <c r="Y8060" s="40"/>
    </row>
    <row r="8061" spans="24:25" x14ac:dyDescent="0.35">
      <c r="X8061" s="40"/>
      <c r="Y8061" s="40"/>
    </row>
    <row r="8062" spans="24:25" x14ac:dyDescent="0.35">
      <c r="X8062" s="40"/>
      <c r="Y8062" s="40"/>
    </row>
    <row r="8063" spans="24:25" x14ac:dyDescent="0.35">
      <c r="X8063" s="40"/>
      <c r="Y8063" s="40"/>
    </row>
    <row r="8064" spans="24:25" x14ac:dyDescent="0.35">
      <c r="X8064" s="40"/>
      <c r="Y8064" s="40"/>
    </row>
    <row r="8065" spans="24:25" x14ac:dyDescent="0.35">
      <c r="X8065" s="40"/>
      <c r="Y8065" s="40"/>
    </row>
    <row r="8066" spans="24:25" x14ac:dyDescent="0.35">
      <c r="X8066" s="40"/>
      <c r="Y8066" s="40"/>
    </row>
    <row r="8067" spans="24:25" x14ac:dyDescent="0.35">
      <c r="X8067" s="40"/>
      <c r="Y8067" s="40"/>
    </row>
    <row r="8068" spans="24:25" x14ac:dyDescent="0.35">
      <c r="X8068" s="40"/>
      <c r="Y8068" s="40"/>
    </row>
    <row r="8069" spans="24:25" x14ac:dyDescent="0.35">
      <c r="X8069" s="40"/>
      <c r="Y8069" s="40"/>
    </row>
    <row r="8070" spans="24:25" x14ac:dyDescent="0.35">
      <c r="X8070" s="40"/>
      <c r="Y8070" s="40"/>
    </row>
    <row r="8071" spans="24:25" x14ac:dyDescent="0.35">
      <c r="X8071" s="40"/>
      <c r="Y8071" s="40"/>
    </row>
    <row r="8072" spans="24:25" x14ac:dyDescent="0.35">
      <c r="X8072" s="40"/>
      <c r="Y8072" s="40"/>
    </row>
    <row r="8073" spans="24:25" x14ac:dyDescent="0.35">
      <c r="X8073" s="40"/>
      <c r="Y8073" s="40"/>
    </row>
    <row r="8074" spans="24:25" x14ac:dyDescent="0.35">
      <c r="X8074" s="40"/>
      <c r="Y8074" s="40"/>
    </row>
    <row r="8075" spans="24:25" x14ac:dyDescent="0.35">
      <c r="X8075" s="40"/>
      <c r="Y8075" s="40"/>
    </row>
    <row r="8076" spans="24:25" x14ac:dyDescent="0.35">
      <c r="X8076" s="40"/>
      <c r="Y8076" s="40"/>
    </row>
    <row r="8077" spans="24:25" x14ac:dyDescent="0.35">
      <c r="X8077" s="40"/>
      <c r="Y8077" s="40"/>
    </row>
    <row r="8078" spans="24:25" x14ac:dyDescent="0.35">
      <c r="X8078" s="40"/>
      <c r="Y8078" s="40"/>
    </row>
    <row r="8079" spans="24:25" x14ac:dyDescent="0.35">
      <c r="X8079" s="40"/>
      <c r="Y8079" s="40"/>
    </row>
    <row r="8080" spans="24:25" x14ac:dyDescent="0.35">
      <c r="X8080" s="40"/>
      <c r="Y8080" s="40"/>
    </row>
    <row r="8081" spans="24:25" x14ac:dyDescent="0.35">
      <c r="X8081" s="40"/>
      <c r="Y8081" s="40"/>
    </row>
    <row r="8082" spans="24:25" x14ac:dyDescent="0.35">
      <c r="X8082" s="40"/>
      <c r="Y8082" s="40"/>
    </row>
    <row r="8083" spans="24:25" x14ac:dyDescent="0.35">
      <c r="X8083" s="40"/>
      <c r="Y8083" s="40"/>
    </row>
    <row r="8084" spans="24:25" x14ac:dyDescent="0.35">
      <c r="X8084" s="40"/>
      <c r="Y8084" s="40"/>
    </row>
    <row r="8085" spans="24:25" x14ac:dyDescent="0.35">
      <c r="X8085" s="40"/>
      <c r="Y8085" s="40"/>
    </row>
    <row r="8086" spans="24:25" x14ac:dyDescent="0.35">
      <c r="X8086" s="40"/>
      <c r="Y8086" s="40"/>
    </row>
    <row r="8087" spans="24:25" x14ac:dyDescent="0.35">
      <c r="X8087" s="40"/>
      <c r="Y8087" s="40"/>
    </row>
    <row r="8088" spans="24:25" x14ac:dyDescent="0.35">
      <c r="X8088" s="40"/>
      <c r="Y8088" s="40"/>
    </row>
    <row r="8089" spans="24:25" x14ac:dyDescent="0.35">
      <c r="X8089" s="40"/>
      <c r="Y8089" s="40"/>
    </row>
    <row r="8090" spans="24:25" x14ac:dyDescent="0.35">
      <c r="X8090" s="40"/>
      <c r="Y8090" s="40"/>
    </row>
    <row r="8091" spans="24:25" x14ac:dyDescent="0.35">
      <c r="X8091" s="40"/>
      <c r="Y8091" s="40"/>
    </row>
    <row r="8092" spans="24:25" x14ac:dyDescent="0.35">
      <c r="X8092" s="40"/>
      <c r="Y8092" s="40"/>
    </row>
    <row r="8093" spans="24:25" x14ac:dyDescent="0.35">
      <c r="X8093" s="40"/>
      <c r="Y8093" s="40"/>
    </row>
    <row r="8094" spans="24:25" x14ac:dyDescent="0.35">
      <c r="X8094" s="40"/>
      <c r="Y8094" s="40"/>
    </row>
    <row r="8095" spans="24:25" x14ac:dyDescent="0.35">
      <c r="X8095" s="40"/>
      <c r="Y8095" s="40"/>
    </row>
    <row r="8096" spans="24:25" x14ac:dyDescent="0.35">
      <c r="X8096" s="40"/>
      <c r="Y8096" s="40"/>
    </row>
    <row r="8097" spans="24:25" x14ac:dyDescent="0.35">
      <c r="X8097" s="40"/>
      <c r="Y8097" s="40"/>
    </row>
    <row r="8098" spans="24:25" x14ac:dyDescent="0.35">
      <c r="X8098" s="40"/>
      <c r="Y8098" s="40"/>
    </row>
    <row r="8099" spans="24:25" x14ac:dyDescent="0.35">
      <c r="X8099" s="40"/>
      <c r="Y8099" s="40"/>
    </row>
    <row r="8100" spans="24:25" x14ac:dyDescent="0.35">
      <c r="X8100" s="40"/>
      <c r="Y8100" s="40"/>
    </row>
    <row r="8101" spans="24:25" x14ac:dyDescent="0.35">
      <c r="X8101" s="40"/>
      <c r="Y8101" s="40"/>
    </row>
    <row r="8102" spans="24:25" x14ac:dyDescent="0.35">
      <c r="X8102" s="40"/>
      <c r="Y8102" s="40"/>
    </row>
    <row r="8103" spans="24:25" x14ac:dyDescent="0.35">
      <c r="X8103" s="40"/>
      <c r="Y8103" s="40"/>
    </row>
    <row r="8104" spans="24:25" x14ac:dyDescent="0.35">
      <c r="X8104" s="40"/>
      <c r="Y8104" s="40"/>
    </row>
    <row r="8105" spans="24:25" x14ac:dyDescent="0.35">
      <c r="X8105" s="40"/>
      <c r="Y8105" s="40"/>
    </row>
    <row r="8106" spans="24:25" x14ac:dyDescent="0.35">
      <c r="X8106" s="40"/>
      <c r="Y8106" s="40"/>
    </row>
    <row r="8107" spans="24:25" x14ac:dyDescent="0.35">
      <c r="X8107" s="40"/>
      <c r="Y8107" s="40"/>
    </row>
    <row r="8108" spans="24:25" x14ac:dyDescent="0.35">
      <c r="X8108" s="40"/>
      <c r="Y8108" s="40"/>
    </row>
    <row r="8109" spans="24:25" x14ac:dyDescent="0.35">
      <c r="X8109" s="40"/>
      <c r="Y8109" s="40"/>
    </row>
    <row r="8110" spans="24:25" x14ac:dyDescent="0.35">
      <c r="X8110" s="40"/>
      <c r="Y8110" s="40"/>
    </row>
    <row r="8111" spans="24:25" x14ac:dyDescent="0.35">
      <c r="X8111" s="40"/>
      <c r="Y8111" s="40"/>
    </row>
    <row r="8112" spans="24:25" x14ac:dyDescent="0.35">
      <c r="X8112" s="40"/>
      <c r="Y8112" s="40"/>
    </row>
    <row r="8113" spans="24:25" x14ac:dyDescent="0.35">
      <c r="X8113" s="40"/>
      <c r="Y8113" s="40"/>
    </row>
    <row r="8114" spans="24:25" x14ac:dyDescent="0.35">
      <c r="X8114" s="40"/>
      <c r="Y8114" s="40"/>
    </row>
    <row r="8115" spans="24:25" x14ac:dyDescent="0.35">
      <c r="X8115" s="40"/>
      <c r="Y8115" s="40"/>
    </row>
    <row r="8116" spans="24:25" x14ac:dyDescent="0.35">
      <c r="X8116" s="40"/>
      <c r="Y8116" s="40"/>
    </row>
    <row r="8117" spans="24:25" x14ac:dyDescent="0.35">
      <c r="X8117" s="40"/>
      <c r="Y8117" s="40"/>
    </row>
    <row r="8118" spans="24:25" x14ac:dyDescent="0.35">
      <c r="X8118" s="40"/>
      <c r="Y8118" s="40"/>
    </row>
    <row r="8119" spans="24:25" x14ac:dyDescent="0.35">
      <c r="X8119" s="40"/>
      <c r="Y8119" s="40"/>
    </row>
    <row r="8120" spans="24:25" x14ac:dyDescent="0.35">
      <c r="X8120" s="40"/>
      <c r="Y8120" s="40"/>
    </row>
    <row r="8121" spans="24:25" x14ac:dyDescent="0.35">
      <c r="X8121" s="40"/>
      <c r="Y8121" s="40"/>
    </row>
    <row r="8122" spans="24:25" x14ac:dyDescent="0.35">
      <c r="X8122" s="40"/>
      <c r="Y8122" s="40"/>
    </row>
    <row r="8123" spans="24:25" x14ac:dyDescent="0.35">
      <c r="X8123" s="40"/>
      <c r="Y8123" s="40"/>
    </row>
    <row r="8124" spans="24:25" x14ac:dyDescent="0.35">
      <c r="X8124" s="40"/>
      <c r="Y8124" s="40"/>
    </row>
    <row r="8125" spans="24:25" x14ac:dyDescent="0.35">
      <c r="X8125" s="40"/>
      <c r="Y8125" s="40"/>
    </row>
    <row r="8126" spans="24:25" x14ac:dyDescent="0.35">
      <c r="X8126" s="40"/>
      <c r="Y8126" s="40"/>
    </row>
    <row r="8127" spans="24:25" x14ac:dyDescent="0.35">
      <c r="X8127" s="40"/>
      <c r="Y8127" s="40"/>
    </row>
    <row r="8128" spans="24:25" x14ac:dyDescent="0.35">
      <c r="X8128" s="40"/>
      <c r="Y8128" s="40"/>
    </row>
    <row r="8129" spans="24:25" x14ac:dyDescent="0.35">
      <c r="X8129" s="40"/>
      <c r="Y8129" s="40"/>
    </row>
    <row r="8130" spans="24:25" x14ac:dyDescent="0.35">
      <c r="X8130" s="40"/>
      <c r="Y8130" s="40"/>
    </row>
    <row r="8131" spans="24:25" x14ac:dyDescent="0.35">
      <c r="X8131" s="40"/>
      <c r="Y8131" s="40"/>
    </row>
    <row r="8132" spans="24:25" x14ac:dyDescent="0.35">
      <c r="X8132" s="40"/>
      <c r="Y8132" s="40"/>
    </row>
    <row r="8133" spans="24:25" x14ac:dyDescent="0.35">
      <c r="X8133" s="40"/>
      <c r="Y8133" s="40"/>
    </row>
    <row r="8134" spans="24:25" x14ac:dyDescent="0.35">
      <c r="X8134" s="40"/>
      <c r="Y8134" s="40"/>
    </row>
    <row r="8135" spans="24:25" x14ac:dyDescent="0.35">
      <c r="X8135" s="40"/>
      <c r="Y8135" s="40"/>
    </row>
    <row r="8136" spans="24:25" x14ac:dyDescent="0.35">
      <c r="X8136" s="40"/>
      <c r="Y8136" s="40"/>
    </row>
    <row r="8137" spans="24:25" x14ac:dyDescent="0.35">
      <c r="X8137" s="40"/>
      <c r="Y8137" s="40"/>
    </row>
    <row r="8138" spans="24:25" x14ac:dyDescent="0.35">
      <c r="X8138" s="40"/>
      <c r="Y8138" s="40"/>
    </row>
    <row r="8139" spans="24:25" x14ac:dyDescent="0.35">
      <c r="X8139" s="40"/>
      <c r="Y8139" s="40"/>
    </row>
    <row r="8140" spans="24:25" x14ac:dyDescent="0.35">
      <c r="X8140" s="40"/>
      <c r="Y8140" s="40"/>
    </row>
    <row r="8141" spans="24:25" x14ac:dyDescent="0.35">
      <c r="X8141" s="40"/>
      <c r="Y8141" s="40"/>
    </row>
    <row r="8142" spans="24:25" x14ac:dyDescent="0.35">
      <c r="X8142" s="40"/>
      <c r="Y8142" s="40"/>
    </row>
    <row r="8143" spans="24:25" x14ac:dyDescent="0.35">
      <c r="X8143" s="40"/>
      <c r="Y8143" s="40"/>
    </row>
    <row r="8144" spans="24:25" x14ac:dyDescent="0.35">
      <c r="X8144" s="40"/>
      <c r="Y8144" s="40"/>
    </row>
    <row r="8145" spans="24:25" x14ac:dyDescent="0.35">
      <c r="X8145" s="40"/>
      <c r="Y8145" s="40"/>
    </row>
    <row r="8146" spans="24:25" x14ac:dyDescent="0.35">
      <c r="X8146" s="40"/>
      <c r="Y8146" s="40"/>
    </row>
    <row r="8147" spans="24:25" x14ac:dyDescent="0.35">
      <c r="X8147" s="40"/>
      <c r="Y8147" s="40"/>
    </row>
    <row r="8148" spans="24:25" x14ac:dyDescent="0.35">
      <c r="X8148" s="40"/>
      <c r="Y8148" s="40"/>
    </row>
    <row r="8149" spans="24:25" x14ac:dyDescent="0.35">
      <c r="X8149" s="40"/>
      <c r="Y8149" s="40"/>
    </row>
    <row r="8150" spans="24:25" x14ac:dyDescent="0.35">
      <c r="X8150" s="40"/>
      <c r="Y8150" s="40"/>
    </row>
    <row r="8151" spans="24:25" x14ac:dyDescent="0.35">
      <c r="X8151" s="40"/>
      <c r="Y8151" s="40"/>
    </row>
    <row r="8152" spans="24:25" x14ac:dyDescent="0.35">
      <c r="X8152" s="40"/>
      <c r="Y8152" s="40"/>
    </row>
    <row r="8153" spans="24:25" x14ac:dyDescent="0.35">
      <c r="X8153" s="40"/>
      <c r="Y8153" s="40"/>
    </row>
    <row r="8154" spans="24:25" x14ac:dyDescent="0.35">
      <c r="X8154" s="40"/>
      <c r="Y8154" s="40"/>
    </row>
    <row r="8155" spans="24:25" x14ac:dyDescent="0.35">
      <c r="X8155" s="40"/>
      <c r="Y8155" s="40"/>
    </row>
    <row r="8156" spans="24:25" x14ac:dyDescent="0.35">
      <c r="X8156" s="40"/>
      <c r="Y8156" s="40"/>
    </row>
    <row r="8157" spans="24:25" x14ac:dyDescent="0.35">
      <c r="X8157" s="40"/>
      <c r="Y8157" s="40"/>
    </row>
    <row r="8158" spans="24:25" x14ac:dyDescent="0.35">
      <c r="X8158" s="40"/>
      <c r="Y8158" s="40"/>
    </row>
    <row r="8159" spans="24:25" x14ac:dyDescent="0.35">
      <c r="X8159" s="40"/>
      <c r="Y8159" s="40"/>
    </row>
    <row r="8160" spans="24:25" x14ac:dyDescent="0.35">
      <c r="X8160" s="40"/>
      <c r="Y8160" s="40"/>
    </row>
    <row r="8161" spans="24:25" x14ac:dyDescent="0.35">
      <c r="X8161" s="40"/>
      <c r="Y8161" s="40"/>
    </row>
    <row r="8162" spans="24:25" x14ac:dyDescent="0.35">
      <c r="X8162" s="40"/>
      <c r="Y8162" s="40"/>
    </row>
    <row r="8163" spans="24:25" x14ac:dyDescent="0.35">
      <c r="X8163" s="40"/>
      <c r="Y8163" s="40"/>
    </row>
    <row r="8164" spans="24:25" x14ac:dyDescent="0.35">
      <c r="X8164" s="40"/>
      <c r="Y8164" s="40"/>
    </row>
    <row r="8165" spans="24:25" x14ac:dyDescent="0.35">
      <c r="X8165" s="40"/>
      <c r="Y8165" s="40"/>
    </row>
    <row r="8166" spans="24:25" x14ac:dyDescent="0.35">
      <c r="X8166" s="40"/>
      <c r="Y8166" s="40"/>
    </row>
    <row r="8167" spans="24:25" x14ac:dyDescent="0.35">
      <c r="X8167" s="40"/>
      <c r="Y8167" s="40"/>
    </row>
    <row r="8168" spans="24:25" x14ac:dyDescent="0.35">
      <c r="X8168" s="40"/>
      <c r="Y8168" s="40"/>
    </row>
    <row r="8169" spans="24:25" x14ac:dyDescent="0.35">
      <c r="X8169" s="40"/>
      <c r="Y8169" s="40"/>
    </row>
    <row r="8170" spans="24:25" x14ac:dyDescent="0.35">
      <c r="X8170" s="40"/>
      <c r="Y8170" s="40"/>
    </row>
    <row r="8171" spans="24:25" x14ac:dyDescent="0.35">
      <c r="X8171" s="40"/>
      <c r="Y8171" s="40"/>
    </row>
    <row r="8172" spans="24:25" x14ac:dyDescent="0.35">
      <c r="X8172" s="40"/>
      <c r="Y8172" s="40"/>
    </row>
    <row r="8173" spans="24:25" x14ac:dyDescent="0.35">
      <c r="X8173" s="40"/>
      <c r="Y8173" s="40"/>
    </row>
    <row r="8174" spans="24:25" x14ac:dyDescent="0.35">
      <c r="X8174" s="40"/>
      <c r="Y8174" s="40"/>
    </row>
    <row r="8175" spans="24:25" x14ac:dyDescent="0.35">
      <c r="X8175" s="40"/>
      <c r="Y8175" s="40"/>
    </row>
    <row r="8176" spans="24:25" x14ac:dyDescent="0.35">
      <c r="X8176" s="40"/>
      <c r="Y8176" s="40"/>
    </row>
    <row r="8177" spans="24:25" x14ac:dyDescent="0.35">
      <c r="X8177" s="40"/>
      <c r="Y8177" s="40"/>
    </row>
    <row r="8178" spans="24:25" x14ac:dyDescent="0.35">
      <c r="X8178" s="40"/>
      <c r="Y8178" s="40"/>
    </row>
    <row r="8179" spans="24:25" x14ac:dyDescent="0.35">
      <c r="X8179" s="40"/>
      <c r="Y8179" s="40"/>
    </row>
    <row r="8180" spans="24:25" x14ac:dyDescent="0.35">
      <c r="X8180" s="40"/>
      <c r="Y8180" s="40"/>
    </row>
    <row r="8181" spans="24:25" x14ac:dyDescent="0.35">
      <c r="X8181" s="40"/>
      <c r="Y8181" s="40"/>
    </row>
    <row r="8182" spans="24:25" x14ac:dyDescent="0.35">
      <c r="X8182" s="40"/>
      <c r="Y8182" s="40"/>
    </row>
    <row r="8183" spans="24:25" x14ac:dyDescent="0.35">
      <c r="X8183" s="40"/>
      <c r="Y8183" s="40"/>
    </row>
    <row r="8184" spans="24:25" x14ac:dyDescent="0.35">
      <c r="X8184" s="40"/>
      <c r="Y8184" s="40"/>
    </row>
    <row r="8185" spans="24:25" x14ac:dyDescent="0.35">
      <c r="X8185" s="40"/>
      <c r="Y8185" s="40"/>
    </row>
    <row r="8186" spans="24:25" x14ac:dyDescent="0.35">
      <c r="X8186" s="40"/>
      <c r="Y8186" s="40"/>
    </row>
    <row r="8187" spans="24:25" x14ac:dyDescent="0.35">
      <c r="X8187" s="40"/>
      <c r="Y8187" s="40"/>
    </row>
    <row r="8188" spans="24:25" x14ac:dyDescent="0.35">
      <c r="X8188" s="40"/>
      <c r="Y8188" s="40"/>
    </row>
    <row r="8189" spans="24:25" x14ac:dyDescent="0.35">
      <c r="X8189" s="40"/>
      <c r="Y8189" s="40"/>
    </row>
    <row r="8190" spans="24:25" x14ac:dyDescent="0.35">
      <c r="X8190" s="40"/>
      <c r="Y8190" s="40"/>
    </row>
    <row r="8191" spans="24:25" x14ac:dyDescent="0.35">
      <c r="X8191" s="40"/>
      <c r="Y8191" s="40"/>
    </row>
    <row r="8192" spans="24:25" x14ac:dyDescent="0.35">
      <c r="X8192" s="40"/>
      <c r="Y8192" s="40"/>
    </row>
    <row r="8193" spans="24:25" x14ac:dyDescent="0.35">
      <c r="X8193" s="40"/>
      <c r="Y8193" s="40"/>
    </row>
    <row r="8194" spans="24:25" x14ac:dyDescent="0.35">
      <c r="X8194" s="40"/>
      <c r="Y8194" s="40"/>
    </row>
    <row r="8195" spans="24:25" x14ac:dyDescent="0.35">
      <c r="X8195" s="40"/>
      <c r="Y8195" s="40"/>
    </row>
    <row r="8196" spans="24:25" x14ac:dyDescent="0.35">
      <c r="X8196" s="40"/>
      <c r="Y8196" s="40"/>
    </row>
    <row r="8197" spans="24:25" x14ac:dyDescent="0.35">
      <c r="X8197" s="40"/>
      <c r="Y8197" s="40"/>
    </row>
    <row r="8198" spans="24:25" x14ac:dyDescent="0.35">
      <c r="X8198" s="40"/>
      <c r="Y8198" s="40"/>
    </row>
    <row r="8199" spans="24:25" x14ac:dyDescent="0.35">
      <c r="X8199" s="40"/>
      <c r="Y8199" s="40"/>
    </row>
    <row r="8200" spans="24:25" x14ac:dyDescent="0.35">
      <c r="X8200" s="40"/>
      <c r="Y8200" s="40"/>
    </row>
    <row r="8201" spans="24:25" x14ac:dyDescent="0.35">
      <c r="X8201" s="40"/>
      <c r="Y8201" s="40"/>
    </row>
    <row r="8202" spans="24:25" x14ac:dyDescent="0.35">
      <c r="X8202" s="40"/>
      <c r="Y8202" s="40"/>
    </row>
    <row r="8203" spans="24:25" x14ac:dyDescent="0.35">
      <c r="X8203" s="40"/>
      <c r="Y8203" s="40"/>
    </row>
    <row r="8204" spans="24:25" x14ac:dyDescent="0.35">
      <c r="X8204" s="40"/>
      <c r="Y8204" s="40"/>
    </row>
    <row r="8205" spans="24:25" x14ac:dyDescent="0.35">
      <c r="X8205" s="40"/>
      <c r="Y8205" s="40"/>
    </row>
    <row r="8206" spans="24:25" x14ac:dyDescent="0.35">
      <c r="X8206" s="40"/>
      <c r="Y8206" s="40"/>
    </row>
    <row r="8207" spans="24:25" x14ac:dyDescent="0.35">
      <c r="X8207" s="40"/>
      <c r="Y8207" s="40"/>
    </row>
    <row r="8208" spans="24:25" x14ac:dyDescent="0.35">
      <c r="X8208" s="40"/>
      <c r="Y8208" s="40"/>
    </row>
    <row r="8209" spans="24:25" x14ac:dyDescent="0.35">
      <c r="X8209" s="40"/>
      <c r="Y8209" s="40"/>
    </row>
    <row r="8210" spans="24:25" x14ac:dyDescent="0.35">
      <c r="X8210" s="40"/>
      <c r="Y8210" s="40"/>
    </row>
    <row r="8211" spans="24:25" x14ac:dyDescent="0.35">
      <c r="X8211" s="40"/>
      <c r="Y8211" s="40"/>
    </row>
    <row r="8212" spans="24:25" x14ac:dyDescent="0.35">
      <c r="X8212" s="40"/>
      <c r="Y8212" s="40"/>
    </row>
    <row r="8213" spans="24:25" x14ac:dyDescent="0.35">
      <c r="X8213" s="40"/>
      <c r="Y8213" s="40"/>
    </row>
    <row r="8214" spans="24:25" x14ac:dyDescent="0.35">
      <c r="X8214" s="40"/>
      <c r="Y8214" s="40"/>
    </row>
    <row r="8215" spans="24:25" x14ac:dyDescent="0.35">
      <c r="X8215" s="40"/>
      <c r="Y8215" s="40"/>
    </row>
    <row r="8216" spans="24:25" x14ac:dyDescent="0.35">
      <c r="X8216" s="40"/>
      <c r="Y8216" s="40"/>
    </row>
    <row r="8217" spans="24:25" x14ac:dyDescent="0.35">
      <c r="X8217" s="40"/>
      <c r="Y8217" s="40"/>
    </row>
    <row r="8218" spans="24:25" x14ac:dyDescent="0.35">
      <c r="X8218" s="40"/>
      <c r="Y8218" s="40"/>
    </row>
    <row r="8219" spans="24:25" x14ac:dyDescent="0.35">
      <c r="X8219" s="40"/>
      <c r="Y8219" s="40"/>
    </row>
    <row r="8220" spans="24:25" x14ac:dyDescent="0.35">
      <c r="X8220" s="40"/>
      <c r="Y8220" s="40"/>
    </row>
    <row r="8221" spans="24:25" x14ac:dyDescent="0.35">
      <c r="X8221" s="40"/>
      <c r="Y8221" s="40"/>
    </row>
    <row r="8222" spans="24:25" x14ac:dyDescent="0.35">
      <c r="X8222" s="40"/>
      <c r="Y8222" s="40"/>
    </row>
    <row r="8223" spans="24:25" x14ac:dyDescent="0.35">
      <c r="X8223" s="40"/>
      <c r="Y8223" s="40"/>
    </row>
    <row r="8224" spans="24:25" x14ac:dyDescent="0.35">
      <c r="X8224" s="40"/>
      <c r="Y8224" s="40"/>
    </row>
    <row r="8225" spans="24:25" x14ac:dyDescent="0.35">
      <c r="X8225" s="40"/>
      <c r="Y8225" s="40"/>
    </row>
    <row r="8226" spans="24:25" x14ac:dyDescent="0.35">
      <c r="X8226" s="40"/>
      <c r="Y8226" s="40"/>
    </row>
    <row r="8227" spans="24:25" x14ac:dyDescent="0.35">
      <c r="X8227" s="40"/>
      <c r="Y8227" s="40"/>
    </row>
    <row r="8228" spans="24:25" x14ac:dyDescent="0.35">
      <c r="X8228" s="40"/>
      <c r="Y8228" s="40"/>
    </row>
    <row r="8229" spans="24:25" x14ac:dyDescent="0.35">
      <c r="X8229" s="40"/>
      <c r="Y8229" s="40"/>
    </row>
    <row r="8230" spans="24:25" x14ac:dyDescent="0.35">
      <c r="X8230" s="40"/>
      <c r="Y8230" s="40"/>
    </row>
    <row r="8231" spans="24:25" x14ac:dyDescent="0.35">
      <c r="X8231" s="40"/>
      <c r="Y8231" s="40"/>
    </row>
    <row r="8232" spans="24:25" x14ac:dyDescent="0.35">
      <c r="X8232" s="40"/>
      <c r="Y8232" s="40"/>
    </row>
    <row r="8233" spans="24:25" x14ac:dyDescent="0.35">
      <c r="X8233" s="40"/>
      <c r="Y8233" s="40"/>
    </row>
    <row r="8234" spans="24:25" x14ac:dyDescent="0.35">
      <c r="X8234" s="40"/>
      <c r="Y8234" s="40"/>
    </row>
    <row r="8235" spans="24:25" x14ac:dyDescent="0.35">
      <c r="X8235" s="40"/>
      <c r="Y8235" s="40"/>
    </row>
    <row r="8236" spans="24:25" x14ac:dyDescent="0.35">
      <c r="X8236" s="40"/>
      <c r="Y8236" s="40"/>
    </row>
    <row r="8237" spans="24:25" x14ac:dyDescent="0.35">
      <c r="X8237" s="40"/>
      <c r="Y8237" s="40"/>
    </row>
    <row r="8238" spans="24:25" x14ac:dyDescent="0.35">
      <c r="X8238" s="40"/>
      <c r="Y8238" s="40"/>
    </row>
    <row r="8239" spans="24:25" x14ac:dyDescent="0.35">
      <c r="X8239" s="40"/>
      <c r="Y8239" s="40"/>
    </row>
    <row r="8240" spans="24:25" x14ac:dyDescent="0.35">
      <c r="X8240" s="40"/>
      <c r="Y8240" s="40"/>
    </row>
    <row r="8241" spans="24:25" x14ac:dyDescent="0.35">
      <c r="X8241" s="40"/>
      <c r="Y8241" s="40"/>
    </row>
    <row r="8242" spans="24:25" x14ac:dyDescent="0.35">
      <c r="X8242" s="40"/>
      <c r="Y8242" s="40"/>
    </row>
    <row r="8243" spans="24:25" x14ac:dyDescent="0.35">
      <c r="X8243" s="40"/>
      <c r="Y8243" s="40"/>
    </row>
    <row r="8244" spans="24:25" x14ac:dyDescent="0.35">
      <c r="X8244" s="40"/>
      <c r="Y8244" s="40"/>
    </row>
    <row r="8245" spans="24:25" x14ac:dyDescent="0.35">
      <c r="X8245" s="40"/>
      <c r="Y8245" s="40"/>
    </row>
    <row r="8246" spans="24:25" x14ac:dyDescent="0.35">
      <c r="X8246" s="40"/>
      <c r="Y8246" s="40"/>
    </row>
    <row r="8247" spans="24:25" x14ac:dyDescent="0.35">
      <c r="X8247" s="40"/>
      <c r="Y8247" s="40"/>
    </row>
    <row r="8248" spans="24:25" x14ac:dyDescent="0.35">
      <c r="X8248" s="40"/>
      <c r="Y8248" s="40"/>
    </row>
    <row r="8249" spans="24:25" x14ac:dyDescent="0.35">
      <c r="X8249" s="40"/>
      <c r="Y8249" s="40"/>
    </row>
    <row r="8250" spans="24:25" x14ac:dyDescent="0.35">
      <c r="X8250" s="40"/>
      <c r="Y8250" s="40"/>
    </row>
    <row r="8251" spans="24:25" x14ac:dyDescent="0.35">
      <c r="X8251" s="40"/>
      <c r="Y8251" s="40"/>
    </row>
    <row r="8252" spans="24:25" x14ac:dyDescent="0.35">
      <c r="X8252" s="40"/>
      <c r="Y8252" s="40"/>
    </row>
    <row r="8253" spans="24:25" x14ac:dyDescent="0.35">
      <c r="X8253" s="40"/>
      <c r="Y8253" s="40"/>
    </row>
    <row r="8254" spans="24:25" x14ac:dyDescent="0.35">
      <c r="X8254" s="40"/>
      <c r="Y8254" s="40"/>
    </row>
    <row r="8255" spans="24:25" x14ac:dyDescent="0.35">
      <c r="X8255" s="40"/>
      <c r="Y8255" s="40"/>
    </row>
    <row r="8256" spans="24:25" x14ac:dyDescent="0.35">
      <c r="X8256" s="40"/>
      <c r="Y8256" s="40"/>
    </row>
    <row r="8257" spans="24:25" x14ac:dyDescent="0.35">
      <c r="X8257" s="40"/>
      <c r="Y8257" s="40"/>
    </row>
    <row r="8258" spans="24:25" x14ac:dyDescent="0.35">
      <c r="X8258" s="40"/>
      <c r="Y8258" s="40"/>
    </row>
    <row r="8259" spans="24:25" x14ac:dyDescent="0.35">
      <c r="X8259" s="40"/>
      <c r="Y8259" s="40"/>
    </row>
    <row r="8260" spans="24:25" x14ac:dyDescent="0.35">
      <c r="X8260" s="40"/>
      <c r="Y8260" s="40"/>
    </row>
    <row r="8261" spans="24:25" x14ac:dyDescent="0.35">
      <c r="X8261" s="40"/>
      <c r="Y8261" s="40"/>
    </row>
    <row r="8262" spans="24:25" x14ac:dyDescent="0.35">
      <c r="X8262" s="40"/>
      <c r="Y8262" s="40"/>
    </row>
    <row r="8263" spans="24:25" x14ac:dyDescent="0.35">
      <c r="X8263" s="40"/>
      <c r="Y8263" s="40"/>
    </row>
    <row r="8264" spans="24:25" x14ac:dyDescent="0.35">
      <c r="X8264" s="40"/>
      <c r="Y8264" s="40"/>
    </row>
    <row r="8265" spans="24:25" x14ac:dyDescent="0.35">
      <c r="X8265" s="40"/>
      <c r="Y8265" s="40"/>
    </row>
    <row r="8266" spans="24:25" x14ac:dyDescent="0.35">
      <c r="X8266" s="40"/>
      <c r="Y8266" s="40"/>
    </row>
    <row r="8267" spans="24:25" x14ac:dyDescent="0.35">
      <c r="X8267" s="40"/>
      <c r="Y8267" s="40"/>
    </row>
    <row r="8268" spans="24:25" x14ac:dyDescent="0.35">
      <c r="X8268" s="40"/>
      <c r="Y8268" s="40"/>
    </row>
    <row r="8269" spans="24:25" x14ac:dyDescent="0.35">
      <c r="X8269" s="40"/>
      <c r="Y8269" s="40"/>
    </row>
    <row r="8270" spans="24:25" x14ac:dyDescent="0.35">
      <c r="X8270" s="40"/>
      <c r="Y8270" s="40"/>
    </row>
    <row r="8271" spans="24:25" x14ac:dyDescent="0.35">
      <c r="X8271" s="40"/>
      <c r="Y8271" s="40"/>
    </row>
    <row r="8272" spans="24:25" x14ac:dyDescent="0.35">
      <c r="X8272" s="40"/>
      <c r="Y8272" s="40"/>
    </row>
    <row r="8273" spans="24:25" x14ac:dyDescent="0.35">
      <c r="X8273" s="40"/>
      <c r="Y8273" s="40"/>
    </row>
    <row r="8274" spans="24:25" x14ac:dyDescent="0.35">
      <c r="X8274" s="40"/>
      <c r="Y8274" s="40"/>
    </row>
    <row r="8275" spans="24:25" x14ac:dyDescent="0.35">
      <c r="X8275" s="40"/>
      <c r="Y8275" s="40"/>
    </row>
    <row r="8276" spans="24:25" x14ac:dyDescent="0.35">
      <c r="X8276" s="40"/>
      <c r="Y8276" s="40"/>
    </row>
    <row r="8277" spans="24:25" x14ac:dyDescent="0.35">
      <c r="X8277" s="40"/>
      <c r="Y8277" s="40"/>
    </row>
    <row r="8278" spans="24:25" x14ac:dyDescent="0.35">
      <c r="X8278" s="40"/>
      <c r="Y8278" s="40"/>
    </row>
    <row r="8279" spans="24:25" x14ac:dyDescent="0.35">
      <c r="X8279" s="40"/>
      <c r="Y8279" s="40"/>
    </row>
    <row r="8280" spans="24:25" x14ac:dyDescent="0.35">
      <c r="X8280" s="40"/>
      <c r="Y8280" s="40"/>
    </row>
    <row r="8281" spans="24:25" x14ac:dyDescent="0.35">
      <c r="X8281" s="40"/>
      <c r="Y8281" s="40"/>
    </row>
    <row r="8282" spans="24:25" x14ac:dyDescent="0.35">
      <c r="X8282" s="40"/>
      <c r="Y8282" s="40"/>
    </row>
    <row r="8283" spans="24:25" x14ac:dyDescent="0.35">
      <c r="X8283" s="40"/>
      <c r="Y8283" s="40"/>
    </row>
    <row r="8284" spans="24:25" x14ac:dyDescent="0.35">
      <c r="X8284" s="40"/>
      <c r="Y8284" s="40"/>
    </row>
    <row r="8285" spans="24:25" x14ac:dyDescent="0.35">
      <c r="X8285" s="40"/>
      <c r="Y8285" s="40"/>
    </row>
    <row r="8286" spans="24:25" x14ac:dyDescent="0.35">
      <c r="X8286" s="40"/>
      <c r="Y8286" s="40"/>
    </row>
    <row r="8287" spans="24:25" x14ac:dyDescent="0.35">
      <c r="X8287" s="40"/>
      <c r="Y8287" s="40"/>
    </row>
    <row r="8288" spans="24:25" x14ac:dyDescent="0.35">
      <c r="X8288" s="40"/>
      <c r="Y8288" s="40"/>
    </row>
    <row r="8289" spans="24:25" x14ac:dyDescent="0.35">
      <c r="X8289" s="40"/>
      <c r="Y8289" s="40"/>
    </row>
    <row r="8290" spans="24:25" x14ac:dyDescent="0.35">
      <c r="X8290" s="40"/>
      <c r="Y8290" s="40"/>
    </row>
    <row r="8291" spans="24:25" x14ac:dyDescent="0.35">
      <c r="X8291" s="40"/>
      <c r="Y8291" s="40"/>
    </row>
    <row r="8292" spans="24:25" x14ac:dyDescent="0.35">
      <c r="X8292" s="40"/>
      <c r="Y8292" s="40"/>
    </row>
    <row r="8293" spans="24:25" x14ac:dyDescent="0.35">
      <c r="X8293" s="40"/>
      <c r="Y8293" s="40"/>
    </row>
    <row r="8294" spans="24:25" x14ac:dyDescent="0.35">
      <c r="X8294" s="40"/>
      <c r="Y8294" s="40"/>
    </row>
    <row r="8295" spans="24:25" x14ac:dyDescent="0.35">
      <c r="X8295" s="40"/>
      <c r="Y8295" s="40"/>
    </row>
    <row r="8296" spans="24:25" x14ac:dyDescent="0.35">
      <c r="X8296" s="40"/>
      <c r="Y8296" s="40"/>
    </row>
    <row r="8297" spans="24:25" x14ac:dyDescent="0.35">
      <c r="X8297" s="40"/>
      <c r="Y8297" s="40"/>
    </row>
    <row r="8298" spans="24:25" x14ac:dyDescent="0.35">
      <c r="X8298" s="40"/>
      <c r="Y8298" s="40"/>
    </row>
    <row r="8299" spans="24:25" x14ac:dyDescent="0.35">
      <c r="X8299" s="40"/>
      <c r="Y8299" s="40"/>
    </row>
    <row r="8300" spans="24:25" x14ac:dyDescent="0.35">
      <c r="X8300" s="40"/>
      <c r="Y8300" s="40"/>
    </row>
    <row r="8301" spans="24:25" x14ac:dyDescent="0.35">
      <c r="X8301" s="40"/>
      <c r="Y8301" s="40"/>
    </row>
    <row r="8302" spans="24:25" x14ac:dyDescent="0.35">
      <c r="X8302" s="40"/>
      <c r="Y8302" s="40"/>
    </row>
    <row r="8303" spans="24:25" x14ac:dyDescent="0.35">
      <c r="X8303" s="40"/>
      <c r="Y8303" s="40"/>
    </row>
    <row r="8304" spans="24:25" x14ac:dyDescent="0.35">
      <c r="X8304" s="40"/>
      <c r="Y8304" s="40"/>
    </row>
    <row r="8305" spans="24:25" x14ac:dyDescent="0.35">
      <c r="X8305" s="40"/>
      <c r="Y8305" s="40"/>
    </row>
    <row r="8306" spans="24:25" x14ac:dyDescent="0.35">
      <c r="X8306" s="40"/>
      <c r="Y8306" s="40"/>
    </row>
    <row r="8307" spans="24:25" x14ac:dyDescent="0.35">
      <c r="X8307" s="40"/>
      <c r="Y8307" s="40"/>
    </row>
    <row r="8308" spans="24:25" x14ac:dyDescent="0.35">
      <c r="X8308" s="40"/>
      <c r="Y8308" s="40"/>
    </row>
    <row r="8309" spans="24:25" x14ac:dyDescent="0.35">
      <c r="X8309" s="40"/>
      <c r="Y8309" s="40"/>
    </row>
    <row r="8310" spans="24:25" x14ac:dyDescent="0.35">
      <c r="X8310" s="40"/>
      <c r="Y8310" s="40"/>
    </row>
    <row r="8311" spans="24:25" x14ac:dyDescent="0.35">
      <c r="X8311" s="40"/>
      <c r="Y8311" s="40"/>
    </row>
    <row r="8312" spans="24:25" x14ac:dyDescent="0.35">
      <c r="X8312" s="40"/>
      <c r="Y8312" s="40"/>
    </row>
    <row r="8313" spans="24:25" x14ac:dyDescent="0.35">
      <c r="X8313" s="40"/>
      <c r="Y8313" s="40"/>
    </row>
    <row r="8314" spans="24:25" x14ac:dyDescent="0.35">
      <c r="X8314" s="40"/>
      <c r="Y8314" s="40"/>
    </row>
    <row r="8315" spans="24:25" x14ac:dyDescent="0.35">
      <c r="X8315" s="40"/>
      <c r="Y8315" s="40"/>
    </row>
    <row r="8316" spans="24:25" x14ac:dyDescent="0.35">
      <c r="X8316" s="40"/>
      <c r="Y8316" s="40"/>
    </row>
    <row r="8317" spans="24:25" x14ac:dyDescent="0.35">
      <c r="X8317" s="40"/>
      <c r="Y8317" s="40"/>
    </row>
    <row r="8318" spans="24:25" x14ac:dyDescent="0.35">
      <c r="X8318" s="40"/>
      <c r="Y8318" s="40"/>
    </row>
    <row r="8319" spans="24:25" x14ac:dyDescent="0.35">
      <c r="X8319" s="40"/>
      <c r="Y8319" s="40"/>
    </row>
    <row r="8320" spans="24:25" x14ac:dyDescent="0.35">
      <c r="X8320" s="40"/>
      <c r="Y8320" s="40"/>
    </row>
    <row r="8321" spans="24:25" x14ac:dyDescent="0.35">
      <c r="X8321" s="40"/>
      <c r="Y8321" s="40"/>
    </row>
    <row r="8322" spans="24:25" x14ac:dyDescent="0.35">
      <c r="X8322" s="40"/>
      <c r="Y8322" s="40"/>
    </row>
    <row r="8323" spans="24:25" x14ac:dyDescent="0.35">
      <c r="X8323" s="40"/>
      <c r="Y8323" s="40"/>
    </row>
    <row r="8324" spans="24:25" x14ac:dyDescent="0.35">
      <c r="X8324" s="40"/>
      <c r="Y8324" s="40"/>
    </row>
    <row r="8325" spans="24:25" x14ac:dyDescent="0.35">
      <c r="X8325" s="40"/>
      <c r="Y8325" s="40"/>
    </row>
    <row r="8326" spans="24:25" x14ac:dyDescent="0.35">
      <c r="X8326" s="40"/>
      <c r="Y8326" s="40"/>
    </row>
    <row r="8327" spans="24:25" x14ac:dyDescent="0.35">
      <c r="X8327" s="40"/>
      <c r="Y8327" s="40"/>
    </row>
    <row r="8328" spans="24:25" x14ac:dyDescent="0.35">
      <c r="X8328" s="40"/>
      <c r="Y8328" s="40"/>
    </row>
    <row r="8329" spans="24:25" x14ac:dyDescent="0.35">
      <c r="X8329" s="40"/>
      <c r="Y8329" s="40"/>
    </row>
    <row r="8330" spans="24:25" x14ac:dyDescent="0.35">
      <c r="X8330" s="40"/>
      <c r="Y8330" s="40"/>
    </row>
    <row r="8331" spans="24:25" x14ac:dyDescent="0.35">
      <c r="X8331" s="40"/>
      <c r="Y8331" s="40"/>
    </row>
    <row r="8332" spans="24:25" x14ac:dyDescent="0.35">
      <c r="X8332" s="40"/>
      <c r="Y8332" s="40"/>
    </row>
    <row r="8333" spans="24:25" x14ac:dyDescent="0.35">
      <c r="X8333" s="40"/>
      <c r="Y8333" s="40"/>
    </row>
    <row r="8334" spans="24:25" x14ac:dyDescent="0.35">
      <c r="X8334" s="40"/>
      <c r="Y8334" s="40"/>
    </row>
    <row r="8335" spans="24:25" x14ac:dyDescent="0.35">
      <c r="X8335" s="40"/>
      <c r="Y8335" s="40"/>
    </row>
    <row r="8336" spans="24:25" x14ac:dyDescent="0.35">
      <c r="X8336" s="40"/>
      <c r="Y8336" s="40"/>
    </row>
    <row r="8337" spans="24:25" x14ac:dyDescent="0.35">
      <c r="X8337" s="40"/>
      <c r="Y8337" s="40"/>
    </row>
    <row r="8338" spans="24:25" x14ac:dyDescent="0.35">
      <c r="X8338" s="40"/>
      <c r="Y8338" s="40"/>
    </row>
    <row r="8339" spans="24:25" x14ac:dyDescent="0.35">
      <c r="X8339" s="40"/>
      <c r="Y8339" s="40"/>
    </row>
    <row r="8340" spans="24:25" x14ac:dyDescent="0.35">
      <c r="X8340" s="40"/>
      <c r="Y8340" s="40"/>
    </row>
    <row r="8341" spans="24:25" x14ac:dyDescent="0.35">
      <c r="X8341" s="40"/>
      <c r="Y8341" s="40"/>
    </row>
    <row r="8342" spans="24:25" x14ac:dyDescent="0.35">
      <c r="X8342" s="40"/>
      <c r="Y8342" s="40"/>
    </row>
    <row r="8343" spans="24:25" x14ac:dyDescent="0.35">
      <c r="X8343" s="40"/>
      <c r="Y8343" s="40"/>
    </row>
    <row r="8344" spans="24:25" x14ac:dyDescent="0.35">
      <c r="X8344" s="40"/>
      <c r="Y8344" s="40"/>
    </row>
    <row r="8345" spans="24:25" x14ac:dyDescent="0.35">
      <c r="X8345" s="40"/>
      <c r="Y8345" s="40"/>
    </row>
    <row r="8346" spans="24:25" x14ac:dyDescent="0.35">
      <c r="X8346" s="40"/>
      <c r="Y8346" s="40"/>
    </row>
    <row r="8347" spans="24:25" x14ac:dyDescent="0.35">
      <c r="X8347" s="40"/>
      <c r="Y8347" s="40"/>
    </row>
    <row r="8348" spans="24:25" x14ac:dyDescent="0.35">
      <c r="X8348" s="40"/>
      <c r="Y8348" s="40"/>
    </row>
    <row r="8349" spans="24:25" x14ac:dyDescent="0.35">
      <c r="X8349" s="40"/>
      <c r="Y8349" s="40"/>
    </row>
    <row r="8350" spans="24:25" x14ac:dyDescent="0.35">
      <c r="X8350" s="40"/>
      <c r="Y8350" s="40"/>
    </row>
    <row r="8351" spans="24:25" x14ac:dyDescent="0.35">
      <c r="X8351" s="40"/>
      <c r="Y8351" s="40"/>
    </row>
    <row r="8352" spans="24:25" x14ac:dyDescent="0.35">
      <c r="X8352" s="40"/>
      <c r="Y8352" s="40"/>
    </row>
    <row r="8353" spans="24:25" x14ac:dyDescent="0.35">
      <c r="X8353" s="40"/>
      <c r="Y8353" s="40"/>
    </row>
    <row r="8354" spans="24:25" x14ac:dyDescent="0.35">
      <c r="X8354" s="40"/>
      <c r="Y8354" s="40"/>
    </row>
    <row r="8355" spans="24:25" x14ac:dyDescent="0.35">
      <c r="X8355" s="40"/>
      <c r="Y8355" s="40"/>
    </row>
    <row r="8356" spans="24:25" x14ac:dyDescent="0.35">
      <c r="X8356" s="40"/>
      <c r="Y8356" s="40"/>
    </row>
    <row r="8357" spans="24:25" x14ac:dyDescent="0.35">
      <c r="X8357" s="40"/>
      <c r="Y8357" s="40"/>
    </row>
    <row r="8358" spans="24:25" x14ac:dyDescent="0.35">
      <c r="X8358" s="40"/>
      <c r="Y8358" s="40"/>
    </row>
    <row r="8359" spans="24:25" x14ac:dyDescent="0.35">
      <c r="X8359" s="40"/>
      <c r="Y8359" s="40"/>
    </row>
    <row r="8360" spans="24:25" x14ac:dyDescent="0.35">
      <c r="X8360" s="40"/>
      <c r="Y8360" s="40"/>
    </row>
    <row r="8361" spans="24:25" x14ac:dyDescent="0.35">
      <c r="X8361" s="40"/>
      <c r="Y8361" s="40"/>
    </row>
    <row r="8362" spans="24:25" x14ac:dyDescent="0.35">
      <c r="X8362" s="40"/>
      <c r="Y8362" s="40"/>
    </row>
    <row r="8363" spans="24:25" x14ac:dyDescent="0.35">
      <c r="X8363" s="40"/>
      <c r="Y8363" s="40"/>
    </row>
    <row r="8364" spans="24:25" x14ac:dyDescent="0.35">
      <c r="X8364" s="40"/>
      <c r="Y8364" s="40"/>
    </row>
    <row r="8365" spans="24:25" x14ac:dyDescent="0.35">
      <c r="X8365" s="40"/>
      <c r="Y8365" s="40"/>
    </row>
    <row r="8366" spans="24:25" x14ac:dyDescent="0.35">
      <c r="X8366" s="40"/>
      <c r="Y8366" s="40"/>
    </row>
    <row r="8367" spans="24:25" x14ac:dyDescent="0.35">
      <c r="X8367" s="40"/>
      <c r="Y8367" s="40"/>
    </row>
    <row r="8368" spans="24:25" x14ac:dyDescent="0.35">
      <c r="X8368" s="40"/>
      <c r="Y8368" s="40"/>
    </row>
    <row r="8369" spans="24:25" x14ac:dyDescent="0.35">
      <c r="X8369" s="40"/>
      <c r="Y8369" s="40"/>
    </row>
    <row r="8370" spans="24:25" x14ac:dyDescent="0.35">
      <c r="X8370" s="40"/>
      <c r="Y8370" s="40"/>
    </row>
    <row r="8371" spans="24:25" x14ac:dyDescent="0.35">
      <c r="X8371" s="40"/>
      <c r="Y8371" s="40"/>
    </row>
    <row r="8372" spans="24:25" x14ac:dyDescent="0.35">
      <c r="X8372" s="40"/>
      <c r="Y8372" s="40"/>
    </row>
    <row r="8373" spans="24:25" x14ac:dyDescent="0.35">
      <c r="X8373" s="40"/>
      <c r="Y8373" s="40"/>
    </row>
    <row r="8374" spans="24:25" x14ac:dyDescent="0.35">
      <c r="X8374" s="40"/>
      <c r="Y8374" s="40"/>
    </row>
    <row r="8375" spans="24:25" x14ac:dyDescent="0.35">
      <c r="X8375" s="40"/>
      <c r="Y8375" s="40"/>
    </row>
    <row r="8376" spans="24:25" x14ac:dyDescent="0.35">
      <c r="X8376" s="40"/>
      <c r="Y8376" s="40"/>
    </row>
    <row r="8377" spans="24:25" x14ac:dyDescent="0.35">
      <c r="X8377" s="40"/>
      <c r="Y8377" s="40"/>
    </row>
    <row r="8378" spans="24:25" x14ac:dyDescent="0.35">
      <c r="X8378" s="40"/>
      <c r="Y8378" s="40"/>
    </row>
    <row r="8379" spans="24:25" x14ac:dyDescent="0.35">
      <c r="X8379" s="40"/>
      <c r="Y8379" s="40"/>
    </row>
    <row r="8380" spans="24:25" x14ac:dyDescent="0.35">
      <c r="X8380" s="40"/>
      <c r="Y8380" s="40"/>
    </row>
    <row r="8381" spans="24:25" x14ac:dyDescent="0.35">
      <c r="X8381" s="40"/>
      <c r="Y8381" s="40"/>
    </row>
    <row r="8382" spans="24:25" x14ac:dyDescent="0.35">
      <c r="X8382" s="40"/>
      <c r="Y8382" s="40"/>
    </row>
    <row r="8383" spans="24:25" x14ac:dyDescent="0.35">
      <c r="X8383" s="40"/>
      <c r="Y8383" s="40"/>
    </row>
    <row r="8384" spans="24:25" x14ac:dyDescent="0.35">
      <c r="X8384" s="40"/>
      <c r="Y8384" s="40"/>
    </row>
    <row r="8385" spans="24:25" x14ac:dyDescent="0.35">
      <c r="X8385" s="40"/>
      <c r="Y8385" s="40"/>
    </row>
    <row r="8386" spans="24:25" x14ac:dyDescent="0.35">
      <c r="X8386" s="40"/>
      <c r="Y8386" s="40"/>
    </row>
    <row r="8387" spans="24:25" x14ac:dyDescent="0.35">
      <c r="X8387" s="40"/>
      <c r="Y8387" s="40"/>
    </row>
    <row r="8388" spans="24:25" x14ac:dyDescent="0.35">
      <c r="X8388" s="40"/>
      <c r="Y8388" s="40"/>
    </row>
    <row r="8389" spans="24:25" x14ac:dyDescent="0.35">
      <c r="X8389" s="40"/>
      <c r="Y8389" s="40"/>
    </row>
    <row r="8390" spans="24:25" x14ac:dyDescent="0.35">
      <c r="X8390" s="40"/>
      <c r="Y8390" s="40"/>
    </row>
    <row r="8391" spans="24:25" x14ac:dyDescent="0.35">
      <c r="X8391" s="40"/>
      <c r="Y8391" s="40"/>
    </row>
    <row r="8392" spans="24:25" x14ac:dyDescent="0.35">
      <c r="X8392" s="40"/>
      <c r="Y8392" s="40"/>
    </row>
    <row r="8393" spans="24:25" x14ac:dyDescent="0.35">
      <c r="X8393" s="40"/>
      <c r="Y8393" s="40"/>
    </row>
    <row r="8394" spans="24:25" x14ac:dyDescent="0.35">
      <c r="X8394" s="40"/>
      <c r="Y8394" s="40"/>
    </row>
    <row r="8395" spans="24:25" x14ac:dyDescent="0.35">
      <c r="X8395" s="40"/>
      <c r="Y8395" s="40"/>
    </row>
    <row r="8396" spans="24:25" x14ac:dyDescent="0.35">
      <c r="X8396" s="40"/>
      <c r="Y8396" s="40"/>
    </row>
    <row r="8397" spans="24:25" x14ac:dyDescent="0.35">
      <c r="X8397" s="40"/>
      <c r="Y8397" s="40"/>
    </row>
    <row r="8398" spans="24:25" x14ac:dyDescent="0.35">
      <c r="X8398" s="40"/>
      <c r="Y8398" s="40"/>
    </row>
    <row r="8399" spans="24:25" x14ac:dyDescent="0.35">
      <c r="X8399" s="40"/>
      <c r="Y8399" s="40"/>
    </row>
    <row r="8400" spans="24:25" x14ac:dyDescent="0.35">
      <c r="X8400" s="40"/>
      <c r="Y8400" s="40"/>
    </row>
    <row r="8401" spans="24:25" x14ac:dyDescent="0.35">
      <c r="X8401" s="40"/>
      <c r="Y8401" s="40"/>
    </row>
    <row r="8402" spans="24:25" x14ac:dyDescent="0.35">
      <c r="X8402" s="40"/>
      <c r="Y8402" s="40"/>
    </row>
    <row r="8403" spans="24:25" x14ac:dyDescent="0.35">
      <c r="X8403" s="40"/>
      <c r="Y8403" s="40"/>
    </row>
    <row r="8404" spans="24:25" x14ac:dyDescent="0.35">
      <c r="X8404" s="40"/>
      <c r="Y8404" s="40"/>
    </row>
    <row r="8405" spans="24:25" x14ac:dyDescent="0.35">
      <c r="X8405" s="40"/>
      <c r="Y8405" s="40"/>
    </row>
    <row r="8406" spans="24:25" x14ac:dyDescent="0.35">
      <c r="X8406" s="40"/>
      <c r="Y8406" s="40"/>
    </row>
    <row r="8407" spans="24:25" x14ac:dyDescent="0.35">
      <c r="X8407" s="40"/>
      <c r="Y8407" s="40"/>
    </row>
    <row r="8408" spans="24:25" x14ac:dyDescent="0.35">
      <c r="X8408" s="40"/>
      <c r="Y8408" s="40"/>
    </row>
    <row r="8409" spans="24:25" x14ac:dyDescent="0.35">
      <c r="X8409" s="40"/>
      <c r="Y8409" s="40"/>
    </row>
    <row r="8410" spans="24:25" x14ac:dyDescent="0.35">
      <c r="X8410" s="40"/>
      <c r="Y8410" s="40"/>
    </row>
    <row r="8411" spans="24:25" x14ac:dyDescent="0.35">
      <c r="X8411" s="40"/>
      <c r="Y8411" s="40"/>
    </row>
    <row r="8412" spans="24:25" x14ac:dyDescent="0.35">
      <c r="X8412" s="40"/>
      <c r="Y8412" s="40"/>
    </row>
    <row r="8413" spans="24:25" x14ac:dyDescent="0.35">
      <c r="X8413" s="40"/>
      <c r="Y8413" s="40"/>
    </row>
    <row r="8414" spans="24:25" x14ac:dyDescent="0.35">
      <c r="X8414" s="40"/>
      <c r="Y8414" s="40"/>
    </row>
    <row r="8415" spans="24:25" x14ac:dyDescent="0.35">
      <c r="X8415" s="40"/>
      <c r="Y8415" s="40"/>
    </row>
    <row r="8416" spans="24:25" x14ac:dyDescent="0.35">
      <c r="X8416" s="40"/>
      <c r="Y8416" s="40"/>
    </row>
    <row r="8417" spans="24:25" x14ac:dyDescent="0.35">
      <c r="X8417" s="40"/>
      <c r="Y8417" s="40"/>
    </row>
    <row r="8418" spans="24:25" x14ac:dyDescent="0.35">
      <c r="X8418" s="40"/>
      <c r="Y8418" s="40"/>
    </row>
    <row r="8419" spans="24:25" x14ac:dyDescent="0.35">
      <c r="X8419" s="40"/>
      <c r="Y8419" s="40"/>
    </row>
    <row r="8420" spans="24:25" x14ac:dyDescent="0.35">
      <c r="X8420" s="40"/>
      <c r="Y8420" s="40"/>
    </row>
    <row r="8421" spans="24:25" x14ac:dyDescent="0.35">
      <c r="X8421" s="40"/>
      <c r="Y8421" s="40"/>
    </row>
    <row r="8422" spans="24:25" x14ac:dyDescent="0.35">
      <c r="X8422" s="40"/>
      <c r="Y8422" s="40"/>
    </row>
    <row r="8423" spans="24:25" x14ac:dyDescent="0.35">
      <c r="X8423" s="40"/>
      <c r="Y8423" s="40"/>
    </row>
    <row r="8424" spans="24:25" x14ac:dyDescent="0.35">
      <c r="X8424" s="40"/>
      <c r="Y8424" s="40"/>
    </row>
    <row r="8425" spans="24:25" x14ac:dyDescent="0.35">
      <c r="X8425" s="40"/>
      <c r="Y8425" s="40"/>
    </row>
    <row r="8426" spans="24:25" x14ac:dyDescent="0.35">
      <c r="X8426" s="40"/>
      <c r="Y8426" s="40"/>
    </row>
    <row r="8427" spans="24:25" x14ac:dyDescent="0.35">
      <c r="X8427" s="40"/>
      <c r="Y8427" s="40"/>
    </row>
    <row r="8428" spans="24:25" x14ac:dyDescent="0.35">
      <c r="X8428" s="40"/>
      <c r="Y8428" s="40"/>
    </row>
    <row r="8429" spans="24:25" x14ac:dyDescent="0.35">
      <c r="X8429" s="40"/>
      <c r="Y8429" s="40"/>
    </row>
    <row r="8430" spans="24:25" x14ac:dyDescent="0.35">
      <c r="X8430" s="40"/>
      <c r="Y8430" s="40"/>
    </row>
    <row r="8431" spans="24:25" x14ac:dyDescent="0.35">
      <c r="X8431" s="40"/>
      <c r="Y8431" s="40"/>
    </row>
    <row r="8432" spans="24:25" x14ac:dyDescent="0.35">
      <c r="X8432" s="40"/>
      <c r="Y8432" s="40"/>
    </row>
    <row r="8433" spans="24:25" x14ac:dyDescent="0.35">
      <c r="X8433" s="40"/>
      <c r="Y8433" s="40"/>
    </row>
    <row r="8434" spans="24:25" x14ac:dyDescent="0.35">
      <c r="X8434" s="40"/>
      <c r="Y8434" s="40"/>
    </row>
    <row r="8435" spans="24:25" x14ac:dyDescent="0.35">
      <c r="X8435" s="40"/>
      <c r="Y8435" s="40"/>
    </row>
    <row r="8436" spans="24:25" x14ac:dyDescent="0.35">
      <c r="X8436" s="40"/>
      <c r="Y8436" s="40"/>
    </row>
    <row r="8437" spans="24:25" x14ac:dyDescent="0.35">
      <c r="X8437" s="40"/>
      <c r="Y8437" s="40"/>
    </row>
    <row r="8438" spans="24:25" x14ac:dyDescent="0.35">
      <c r="X8438" s="40"/>
      <c r="Y8438" s="40"/>
    </row>
    <row r="8439" spans="24:25" x14ac:dyDescent="0.35">
      <c r="X8439" s="40"/>
      <c r="Y8439" s="40"/>
    </row>
    <row r="8440" spans="24:25" x14ac:dyDescent="0.35">
      <c r="X8440" s="40"/>
      <c r="Y8440" s="40"/>
    </row>
    <row r="8441" spans="24:25" x14ac:dyDescent="0.35">
      <c r="X8441" s="40"/>
      <c r="Y8441" s="40"/>
    </row>
    <row r="8442" spans="24:25" x14ac:dyDescent="0.35">
      <c r="X8442" s="40"/>
      <c r="Y8442" s="40"/>
    </row>
    <row r="8443" spans="24:25" x14ac:dyDescent="0.35">
      <c r="X8443" s="40"/>
      <c r="Y8443" s="40"/>
    </row>
    <row r="8444" spans="24:25" x14ac:dyDescent="0.35">
      <c r="X8444" s="40"/>
      <c r="Y8444" s="40"/>
    </row>
    <row r="8445" spans="24:25" x14ac:dyDescent="0.35">
      <c r="X8445" s="40"/>
      <c r="Y8445" s="40"/>
    </row>
    <row r="8446" spans="24:25" x14ac:dyDescent="0.35">
      <c r="X8446" s="40"/>
      <c r="Y8446" s="40"/>
    </row>
    <row r="8447" spans="24:25" x14ac:dyDescent="0.35">
      <c r="X8447" s="40"/>
      <c r="Y8447" s="40"/>
    </row>
    <row r="8448" spans="24:25" x14ac:dyDescent="0.35">
      <c r="X8448" s="40"/>
      <c r="Y8448" s="40"/>
    </row>
    <row r="8449" spans="24:25" x14ac:dyDescent="0.35">
      <c r="X8449" s="40"/>
      <c r="Y8449" s="40"/>
    </row>
    <row r="8450" spans="24:25" x14ac:dyDescent="0.35">
      <c r="X8450" s="40"/>
      <c r="Y8450" s="40"/>
    </row>
    <row r="8451" spans="24:25" x14ac:dyDescent="0.35">
      <c r="X8451" s="40"/>
      <c r="Y8451" s="40"/>
    </row>
    <row r="8452" spans="24:25" x14ac:dyDescent="0.35">
      <c r="X8452" s="40"/>
      <c r="Y8452" s="40"/>
    </row>
    <row r="8453" spans="24:25" x14ac:dyDescent="0.35">
      <c r="X8453" s="40"/>
      <c r="Y8453" s="40"/>
    </row>
    <row r="8454" spans="24:25" x14ac:dyDescent="0.35">
      <c r="X8454" s="40"/>
      <c r="Y8454" s="40"/>
    </row>
    <row r="8455" spans="24:25" x14ac:dyDescent="0.35">
      <c r="X8455" s="40"/>
      <c r="Y8455" s="40"/>
    </row>
    <row r="8456" spans="24:25" x14ac:dyDescent="0.35">
      <c r="X8456" s="40"/>
      <c r="Y8456" s="40"/>
    </row>
    <row r="8457" spans="24:25" x14ac:dyDescent="0.35">
      <c r="X8457" s="40"/>
      <c r="Y8457" s="40"/>
    </row>
    <row r="8458" spans="24:25" x14ac:dyDescent="0.35">
      <c r="X8458" s="40"/>
      <c r="Y8458" s="40"/>
    </row>
    <row r="8459" spans="24:25" x14ac:dyDescent="0.35">
      <c r="X8459" s="40"/>
      <c r="Y8459" s="40"/>
    </row>
    <row r="8460" spans="24:25" x14ac:dyDescent="0.35">
      <c r="X8460" s="40"/>
      <c r="Y8460" s="40"/>
    </row>
    <row r="8461" spans="24:25" x14ac:dyDescent="0.35">
      <c r="X8461" s="40"/>
      <c r="Y8461" s="40"/>
    </row>
    <row r="8462" spans="24:25" x14ac:dyDescent="0.35">
      <c r="X8462" s="40"/>
      <c r="Y8462" s="40"/>
    </row>
    <row r="8463" spans="24:25" x14ac:dyDescent="0.35">
      <c r="X8463" s="40"/>
      <c r="Y8463" s="40"/>
    </row>
    <row r="8464" spans="24:25" x14ac:dyDescent="0.35">
      <c r="X8464" s="40"/>
      <c r="Y8464" s="40"/>
    </row>
    <row r="8465" spans="24:25" x14ac:dyDescent="0.35">
      <c r="X8465" s="40"/>
      <c r="Y8465" s="40"/>
    </row>
    <row r="8466" spans="24:25" x14ac:dyDescent="0.35">
      <c r="X8466" s="40"/>
      <c r="Y8466" s="40"/>
    </row>
    <row r="8467" spans="24:25" x14ac:dyDescent="0.35">
      <c r="X8467" s="40"/>
      <c r="Y8467" s="40"/>
    </row>
    <row r="8468" spans="24:25" x14ac:dyDescent="0.35">
      <c r="X8468" s="40"/>
      <c r="Y8468" s="40"/>
    </row>
    <row r="8469" spans="24:25" x14ac:dyDescent="0.35">
      <c r="X8469" s="40"/>
      <c r="Y8469" s="40"/>
    </row>
    <row r="8470" spans="24:25" x14ac:dyDescent="0.35">
      <c r="X8470" s="40"/>
      <c r="Y8470" s="40"/>
    </row>
    <row r="8471" spans="24:25" x14ac:dyDescent="0.35">
      <c r="X8471" s="40"/>
      <c r="Y8471" s="40"/>
    </row>
    <row r="8472" spans="24:25" x14ac:dyDescent="0.35">
      <c r="X8472" s="40"/>
      <c r="Y8472" s="40"/>
    </row>
    <row r="8473" spans="24:25" x14ac:dyDescent="0.35">
      <c r="X8473" s="40"/>
      <c r="Y8473" s="40"/>
    </row>
    <row r="8474" spans="24:25" x14ac:dyDescent="0.35">
      <c r="X8474" s="40"/>
      <c r="Y8474" s="40"/>
    </row>
    <row r="8475" spans="24:25" x14ac:dyDescent="0.35">
      <c r="X8475" s="40"/>
      <c r="Y8475" s="40"/>
    </row>
    <row r="8476" spans="24:25" x14ac:dyDescent="0.35">
      <c r="X8476" s="40"/>
      <c r="Y8476" s="40"/>
    </row>
    <row r="8477" spans="24:25" x14ac:dyDescent="0.35">
      <c r="X8477" s="40"/>
      <c r="Y8477" s="40"/>
    </row>
    <row r="8478" spans="24:25" x14ac:dyDescent="0.35">
      <c r="X8478" s="40"/>
      <c r="Y8478" s="40"/>
    </row>
    <row r="8479" spans="24:25" x14ac:dyDescent="0.35">
      <c r="X8479" s="40"/>
      <c r="Y8479" s="40"/>
    </row>
    <row r="8480" spans="24:25" x14ac:dyDescent="0.35">
      <c r="X8480" s="40"/>
      <c r="Y8480" s="40"/>
    </row>
    <row r="8481" spans="24:25" x14ac:dyDescent="0.35">
      <c r="X8481" s="40"/>
      <c r="Y8481" s="40"/>
    </row>
    <row r="8482" spans="24:25" x14ac:dyDescent="0.35">
      <c r="X8482" s="40"/>
      <c r="Y8482" s="40"/>
    </row>
    <row r="8483" spans="24:25" x14ac:dyDescent="0.35">
      <c r="X8483" s="40"/>
      <c r="Y8483" s="40"/>
    </row>
    <row r="8484" spans="24:25" x14ac:dyDescent="0.35">
      <c r="X8484" s="40"/>
      <c r="Y8484" s="40"/>
    </row>
    <row r="8485" spans="24:25" x14ac:dyDescent="0.35">
      <c r="X8485" s="40"/>
      <c r="Y8485" s="40"/>
    </row>
    <row r="8486" spans="24:25" x14ac:dyDescent="0.35">
      <c r="X8486" s="40"/>
      <c r="Y8486" s="40"/>
    </row>
    <row r="8487" spans="24:25" x14ac:dyDescent="0.35">
      <c r="X8487" s="40"/>
      <c r="Y8487" s="40"/>
    </row>
    <row r="8488" spans="24:25" x14ac:dyDescent="0.35">
      <c r="X8488" s="40"/>
      <c r="Y8488" s="40"/>
    </row>
    <row r="8489" spans="24:25" x14ac:dyDescent="0.35">
      <c r="X8489" s="40"/>
      <c r="Y8489" s="40"/>
    </row>
    <row r="8490" spans="24:25" x14ac:dyDescent="0.35">
      <c r="X8490" s="40"/>
      <c r="Y8490" s="40"/>
    </row>
    <row r="8491" spans="24:25" x14ac:dyDescent="0.35">
      <c r="X8491" s="40"/>
      <c r="Y8491" s="40"/>
    </row>
    <row r="8492" spans="24:25" x14ac:dyDescent="0.35">
      <c r="X8492" s="40"/>
      <c r="Y8492" s="40"/>
    </row>
    <row r="8493" spans="24:25" x14ac:dyDescent="0.35">
      <c r="X8493" s="40"/>
      <c r="Y8493" s="40"/>
    </row>
    <row r="8494" spans="24:25" x14ac:dyDescent="0.35">
      <c r="X8494" s="40"/>
      <c r="Y8494" s="40"/>
    </row>
    <row r="8495" spans="24:25" x14ac:dyDescent="0.35">
      <c r="X8495" s="40"/>
      <c r="Y8495" s="40"/>
    </row>
    <row r="8496" spans="24:25" x14ac:dyDescent="0.35">
      <c r="X8496" s="40"/>
      <c r="Y8496" s="40"/>
    </row>
    <row r="8497" spans="24:25" x14ac:dyDescent="0.35">
      <c r="X8497" s="40"/>
      <c r="Y8497" s="40"/>
    </row>
    <row r="8498" spans="24:25" x14ac:dyDescent="0.35">
      <c r="X8498" s="40"/>
      <c r="Y8498" s="40"/>
    </row>
    <row r="8499" spans="24:25" x14ac:dyDescent="0.35">
      <c r="X8499" s="40"/>
      <c r="Y8499" s="40"/>
    </row>
    <row r="8500" spans="24:25" x14ac:dyDescent="0.35">
      <c r="X8500" s="40"/>
      <c r="Y8500" s="40"/>
    </row>
    <row r="8501" spans="24:25" x14ac:dyDescent="0.35">
      <c r="X8501" s="40"/>
      <c r="Y8501" s="40"/>
    </row>
    <row r="8502" spans="24:25" x14ac:dyDescent="0.35">
      <c r="X8502" s="40"/>
      <c r="Y8502" s="40"/>
    </row>
    <row r="8503" spans="24:25" x14ac:dyDescent="0.35">
      <c r="X8503" s="40"/>
      <c r="Y8503" s="40"/>
    </row>
    <row r="8504" spans="24:25" x14ac:dyDescent="0.35">
      <c r="X8504" s="40"/>
      <c r="Y8504" s="40"/>
    </row>
    <row r="8505" spans="24:25" x14ac:dyDescent="0.35">
      <c r="X8505" s="40"/>
      <c r="Y8505" s="40"/>
    </row>
    <row r="8506" spans="24:25" x14ac:dyDescent="0.35">
      <c r="X8506" s="40"/>
      <c r="Y8506" s="40"/>
    </row>
    <row r="8507" spans="24:25" x14ac:dyDescent="0.35">
      <c r="X8507" s="40"/>
      <c r="Y8507" s="40"/>
    </row>
    <row r="8508" spans="24:25" x14ac:dyDescent="0.35">
      <c r="X8508" s="40"/>
      <c r="Y8508" s="40"/>
    </row>
    <row r="8509" spans="24:25" x14ac:dyDescent="0.35">
      <c r="X8509" s="40"/>
      <c r="Y8509" s="40"/>
    </row>
    <row r="8510" spans="24:25" x14ac:dyDescent="0.35">
      <c r="X8510" s="40"/>
      <c r="Y8510" s="40"/>
    </row>
    <row r="8511" spans="24:25" x14ac:dyDescent="0.35">
      <c r="X8511" s="40"/>
      <c r="Y8511" s="40"/>
    </row>
    <row r="8512" spans="24:25" x14ac:dyDescent="0.35">
      <c r="X8512" s="40"/>
      <c r="Y8512" s="40"/>
    </row>
    <row r="8513" spans="24:25" x14ac:dyDescent="0.35">
      <c r="X8513" s="40"/>
      <c r="Y8513" s="40"/>
    </row>
    <row r="8514" spans="24:25" x14ac:dyDescent="0.35">
      <c r="X8514" s="40"/>
      <c r="Y8514" s="40"/>
    </row>
    <row r="8515" spans="24:25" x14ac:dyDescent="0.35">
      <c r="X8515" s="40"/>
      <c r="Y8515" s="40"/>
    </row>
    <row r="8516" spans="24:25" x14ac:dyDescent="0.35">
      <c r="X8516" s="40"/>
      <c r="Y8516" s="40"/>
    </row>
    <row r="8517" spans="24:25" x14ac:dyDescent="0.35">
      <c r="X8517" s="40"/>
      <c r="Y8517" s="40"/>
    </row>
    <row r="8518" spans="24:25" x14ac:dyDescent="0.35">
      <c r="X8518" s="40"/>
      <c r="Y8518" s="40"/>
    </row>
    <row r="8519" spans="24:25" x14ac:dyDescent="0.35">
      <c r="X8519" s="40"/>
      <c r="Y8519" s="40"/>
    </row>
    <row r="8520" spans="24:25" x14ac:dyDescent="0.35">
      <c r="X8520" s="40"/>
      <c r="Y8520" s="40"/>
    </row>
    <row r="8521" spans="24:25" x14ac:dyDescent="0.35">
      <c r="X8521" s="40"/>
      <c r="Y8521" s="40"/>
    </row>
    <row r="8522" spans="24:25" x14ac:dyDescent="0.35">
      <c r="X8522" s="40"/>
      <c r="Y8522" s="40"/>
    </row>
    <row r="8523" spans="24:25" x14ac:dyDescent="0.35">
      <c r="X8523" s="40"/>
      <c r="Y8523" s="40"/>
    </row>
    <row r="8524" spans="24:25" x14ac:dyDescent="0.35">
      <c r="X8524" s="40"/>
      <c r="Y8524" s="40"/>
    </row>
    <row r="8525" spans="24:25" x14ac:dyDescent="0.35">
      <c r="X8525" s="40"/>
      <c r="Y8525" s="40"/>
    </row>
    <row r="8526" spans="24:25" x14ac:dyDescent="0.35">
      <c r="X8526" s="40"/>
      <c r="Y8526" s="40"/>
    </row>
    <row r="8527" spans="24:25" x14ac:dyDescent="0.35">
      <c r="X8527" s="40"/>
      <c r="Y8527" s="40"/>
    </row>
    <row r="8528" spans="24:25" x14ac:dyDescent="0.35">
      <c r="X8528" s="40"/>
      <c r="Y8528" s="40"/>
    </row>
    <row r="8529" spans="24:25" x14ac:dyDescent="0.35">
      <c r="X8529" s="40"/>
      <c r="Y8529" s="40"/>
    </row>
    <row r="8530" spans="24:25" x14ac:dyDescent="0.35">
      <c r="X8530" s="40"/>
      <c r="Y8530" s="40"/>
    </row>
    <row r="8531" spans="24:25" x14ac:dyDescent="0.35">
      <c r="X8531" s="40"/>
      <c r="Y8531" s="40"/>
    </row>
    <row r="8532" spans="24:25" x14ac:dyDescent="0.35">
      <c r="X8532" s="40"/>
      <c r="Y8532" s="40"/>
    </row>
    <row r="8533" spans="24:25" x14ac:dyDescent="0.35">
      <c r="X8533" s="40"/>
      <c r="Y8533" s="40"/>
    </row>
    <row r="8534" spans="24:25" x14ac:dyDescent="0.35">
      <c r="X8534" s="40"/>
      <c r="Y8534" s="40"/>
    </row>
    <row r="8535" spans="24:25" x14ac:dyDescent="0.35">
      <c r="X8535" s="40"/>
      <c r="Y8535" s="40"/>
    </row>
    <row r="8536" spans="24:25" x14ac:dyDescent="0.35">
      <c r="X8536" s="40"/>
      <c r="Y8536" s="40"/>
    </row>
    <row r="8537" spans="24:25" x14ac:dyDescent="0.35">
      <c r="X8537" s="40"/>
      <c r="Y8537" s="40"/>
    </row>
    <row r="8538" spans="24:25" x14ac:dyDescent="0.35">
      <c r="X8538" s="40"/>
      <c r="Y8538" s="40"/>
    </row>
    <row r="8539" spans="24:25" x14ac:dyDescent="0.35">
      <c r="X8539" s="40"/>
      <c r="Y8539" s="40"/>
    </row>
    <row r="8540" spans="24:25" x14ac:dyDescent="0.35">
      <c r="X8540" s="40"/>
      <c r="Y8540" s="40"/>
    </row>
    <row r="8541" spans="24:25" x14ac:dyDescent="0.35">
      <c r="X8541" s="40"/>
      <c r="Y8541" s="40"/>
    </row>
    <row r="8542" spans="24:25" x14ac:dyDescent="0.35">
      <c r="X8542" s="40"/>
      <c r="Y8542" s="40"/>
    </row>
    <row r="8543" spans="24:25" x14ac:dyDescent="0.35">
      <c r="X8543" s="40"/>
      <c r="Y8543" s="40"/>
    </row>
    <row r="8544" spans="24:25" x14ac:dyDescent="0.35">
      <c r="X8544" s="40"/>
      <c r="Y8544" s="40"/>
    </row>
    <row r="8545" spans="24:25" x14ac:dyDescent="0.35">
      <c r="X8545" s="40"/>
      <c r="Y8545" s="40"/>
    </row>
    <row r="8546" spans="24:25" x14ac:dyDescent="0.35">
      <c r="X8546" s="40"/>
      <c r="Y8546" s="40"/>
    </row>
    <row r="8547" spans="24:25" x14ac:dyDescent="0.35">
      <c r="X8547" s="40"/>
      <c r="Y8547" s="40"/>
    </row>
    <row r="8548" spans="24:25" x14ac:dyDescent="0.35">
      <c r="X8548" s="40"/>
      <c r="Y8548" s="40"/>
    </row>
    <row r="8549" spans="24:25" x14ac:dyDescent="0.35">
      <c r="X8549" s="40"/>
      <c r="Y8549" s="40"/>
    </row>
    <row r="8550" spans="24:25" x14ac:dyDescent="0.35">
      <c r="X8550" s="40"/>
      <c r="Y8550" s="40"/>
    </row>
    <row r="8551" spans="24:25" x14ac:dyDescent="0.35">
      <c r="X8551" s="40"/>
      <c r="Y8551" s="40"/>
    </row>
    <row r="8552" spans="24:25" x14ac:dyDescent="0.35">
      <c r="X8552" s="40"/>
      <c r="Y8552" s="40"/>
    </row>
    <row r="8553" spans="24:25" x14ac:dyDescent="0.35">
      <c r="X8553" s="40"/>
      <c r="Y8553" s="40"/>
    </row>
    <row r="8554" spans="24:25" x14ac:dyDescent="0.35">
      <c r="X8554" s="40"/>
      <c r="Y8554" s="40"/>
    </row>
    <row r="8555" spans="24:25" x14ac:dyDescent="0.35">
      <c r="X8555" s="40"/>
      <c r="Y8555" s="40"/>
    </row>
    <row r="8556" spans="24:25" x14ac:dyDescent="0.35">
      <c r="X8556" s="40"/>
      <c r="Y8556" s="40"/>
    </row>
    <row r="8557" spans="24:25" x14ac:dyDescent="0.35">
      <c r="X8557" s="40"/>
      <c r="Y8557" s="40"/>
    </row>
    <row r="8558" spans="24:25" x14ac:dyDescent="0.35">
      <c r="X8558" s="40"/>
      <c r="Y8558" s="40"/>
    </row>
    <row r="8559" spans="24:25" x14ac:dyDescent="0.35">
      <c r="X8559" s="40"/>
      <c r="Y8559" s="40"/>
    </row>
    <row r="8560" spans="24:25" x14ac:dyDescent="0.35">
      <c r="X8560" s="40"/>
      <c r="Y8560" s="40"/>
    </row>
    <row r="8561" spans="24:25" x14ac:dyDescent="0.35">
      <c r="X8561" s="40"/>
      <c r="Y8561" s="40"/>
    </row>
    <row r="8562" spans="24:25" x14ac:dyDescent="0.35">
      <c r="X8562" s="40"/>
      <c r="Y8562" s="40"/>
    </row>
    <row r="8563" spans="24:25" x14ac:dyDescent="0.35">
      <c r="X8563" s="40"/>
      <c r="Y8563" s="40"/>
    </row>
    <row r="8564" spans="24:25" x14ac:dyDescent="0.35">
      <c r="X8564" s="40"/>
      <c r="Y8564" s="40"/>
    </row>
    <row r="8565" spans="24:25" x14ac:dyDescent="0.35">
      <c r="X8565" s="40"/>
      <c r="Y8565" s="40"/>
    </row>
    <row r="8566" spans="24:25" x14ac:dyDescent="0.35">
      <c r="X8566" s="40"/>
      <c r="Y8566" s="40"/>
    </row>
    <row r="8567" spans="24:25" x14ac:dyDescent="0.35">
      <c r="X8567" s="40"/>
      <c r="Y8567" s="40"/>
    </row>
    <row r="8568" spans="24:25" x14ac:dyDescent="0.35">
      <c r="X8568" s="40"/>
      <c r="Y8568" s="40"/>
    </row>
    <row r="8569" spans="24:25" x14ac:dyDescent="0.35">
      <c r="X8569" s="40"/>
      <c r="Y8569" s="40"/>
    </row>
    <row r="8570" spans="24:25" x14ac:dyDescent="0.35">
      <c r="X8570" s="40"/>
      <c r="Y8570" s="40"/>
    </row>
    <row r="8571" spans="24:25" x14ac:dyDescent="0.35">
      <c r="X8571" s="40"/>
      <c r="Y8571" s="40"/>
    </row>
    <row r="8572" spans="24:25" x14ac:dyDescent="0.35">
      <c r="X8572" s="40"/>
      <c r="Y8572" s="40"/>
    </row>
    <row r="8573" spans="24:25" x14ac:dyDescent="0.35">
      <c r="X8573" s="40"/>
      <c r="Y8573" s="40"/>
    </row>
    <row r="8574" spans="24:25" x14ac:dyDescent="0.35">
      <c r="X8574" s="40"/>
      <c r="Y8574" s="40"/>
    </row>
    <row r="8575" spans="24:25" x14ac:dyDescent="0.35">
      <c r="X8575" s="40"/>
      <c r="Y8575" s="40"/>
    </row>
    <row r="8576" spans="24:25" x14ac:dyDescent="0.35">
      <c r="X8576" s="40"/>
      <c r="Y8576" s="40"/>
    </row>
    <row r="8577" spans="24:25" x14ac:dyDescent="0.35">
      <c r="X8577" s="40"/>
      <c r="Y8577" s="40"/>
    </row>
    <row r="8578" spans="24:25" x14ac:dyDescent="0.35">
      <c r="X8578" s="40"/>
      <c r="Y8578" s="40"/>
    </row>
    <row r="8579" spans="24:25" x14ac:dyDescent="0.35">
      <c r="X8579" s="40"/>
      <c r="Y8579" s="40"/>
    </row>
    <row r="8580" spans="24:25" x14ac:dyDescent="0.35">
      <c r="X8580" s="40"/>
      <c r="Y8580" s="40"/>
    </row>
    <row r="8581" spans="24:25" x14ac:dyDescent="0.35">
      <c r="X8581" s="40"/>
      <c r="Y8581" s="40"/>
    </row>
    <row r="8582" spans="24:25" x14ac:dyDescent="0.35">
      <c r="X8582" s="40"/>
      <c r="Y8582" s="40"/>
    </row>
    <row r="8583" spans="24:25" x14ac:dyDescent="0.35">
      <c r="X8583" s="40"/>
      <c r="Y8583" s="40"/>
    </row>
    <row r="8584" spans="24:25" x14ac:dyDescent="0.35">
      <c r="X8584" s="40"/>
      <c r="Y8584" s="40"/>
    </row>
    <row r="8585" spans="24:25" x14ac:dyDescent="0.35">
      <c r="X8585" s="40"/>
      <c r="Y8585" s="40"/>
    </row>
    <row r="8586" spans="24:25" x14ac:dyDescent="0.35">
      <c r="X8586" s="40"/>
      <c r="Y8586" s="40"/>
    </row>
    <row r="8587" spans="24:25" x14ac:dyDescent="0.35">
      <c r="X8587" s="40"/>
      <c r="Y8587" s="40"/>
    </row>
    <row r="8588" spans="24:25" x14ac:dyDescent="0.35">
      <c r="X8588" s="40"/>
      <c r="Y8588" s="40"/>
    </row>
    <row r="8589" spans="24:25" x14ac:dyDescent="0.35">
      <c r="X8589" s="40"/>
      <c r="Y8589" s="40"/>
    </row>
    <row r="8590" spans="24:25" x14ac:dyDescent="0.35">
      <c r="X8590" s="40"/>
      <c r="Y8590" s="40"/>
    </row>
    <row r="8591" spans="24:25" x14ac:dyDescent="0.35">
      <c r="X8591" s="40"/>
      <c r="Y8591" s="40"/>
    </row>
    <row r="8592" spans="24:25" x14ac:dyDescent="0.35">
      <c r="X8592" s="40"/>
      <c r="Y8592" s="40"/>
    </row>
    <row r="8593" spans="24:25" x14ac:dyDescent="0.35">
      <c r="X8593" s="40"/>
      <c r="Y8593" s="40"/>
    </row>
    <row r="8594" spans="24:25" x14ac:dyDescent="0.35">
      <c r="X8594" s="40"/>
      <c r="Y8594" s="40"/>
    </row>
    <row r="8595" spans="24:25" x14ac:dyDescent="0.35">
      <c r="X8595" s="40"/>
      <c r="Y8595" s="40"/>
    </row>
    <row r="8596" spans="24:25" x14ac:dyDescent="0.35">
      <c r="X8596" s="40"/>
      <c r="Y8596" s="40"/>
    </row>
    <row r="8597" spans="24:25" x14ac:dyDescent="0.35">
      <c r="X8597" s="40"/>
      <c r="Y8597" s="40"/>
    </row>
    <row r="8598" spans="24:25" x14ac:dyDescent="0.35">
      <c r="X8598" s="40"/>
      <c r="Y8598" s="40"/>
    </row>
    <row r="8599" spans="24:25" x14ac:dyDescent="0.35">
      <c r="X8599" s="40"/>
      <c r="Y8599" s="40"/>
    </row>
    <row r="8600" spans="24:25" x14ac:dyDescent="0.35">
      <c r="X8600" s="40"/>
      <c r="Y8600" s="40"/>
    </row>
    <row r="8601" spans="24:25" x14ac:dyDescent="0.35">
      <c r="X8601" s="40"/>
      <c r="Y8601" s="40"/>
    </row>
    <row r="8602" spans="24:25" x14ac:dyDescent="0.35">
      <c r="X8602" s="40"/>
      <c r="Y8602" s="40"/>
    </row>
    <row r="8603" spans="24:25" x14ac:dyDescent="0.35">
      <c r="X8603" s="40"/>
      <c r="Y8603" s="40"/>
    </row>
    <row r="8604" spans="24:25" x14ac:dyDescent="0.35">
      <c r="X8604" s="40"/>
      <c r="Y8604" s="40"/>
    </row>
    <row r="8605" spans="24:25" x14ac:dyDescent="0.35">
      <c r="X8605" s="40"/>
      <c r="Y8605" s="40"/>
    </row>
    <row r="8606" spans="24:25" x14ac:dyDescent="0.35">
      <c r="X8606" s="40"/>
      <c r="Y8606" s="40"/>
    </row>
    <row r="8607" spans="24:25" x14ac:dyDescent="0.35">
      <c r="X8607" s="40"/>
      <c r="Y8607" s="40"/>
    </row>
    <row r="8608" spans="24:25" x14ac:dyDescent="0.35">
      <c r="X8608" s="40"/>
      <c r="Y8608" s="40"/>
    </row>
    <row r="8609" spans="24:25" x14ac:dyDescent="0.35">
      <c r="X8609" s="40"/>
      <c r="Y8609" s="40"/>
    </row>
    <row r="8610" spans="24:25" x14ac:dyDescent="0.35">
      <c r="X8610" s="40"/>
      <c r="Y8610" s="40"/>
    </row>
    <row r="8611" spans="24:25" x14ac:dyDescent="0.35">
      <c r="X8611" s="40"/>
      <c r="Y8611" s="40"/>
    </row>
    <row r="8612" spans="24:25" x14ac:dyDescent="0.35">
      <c r="X8612" s="40"/>
      <c r="Y8612" s="40"/>
    </row>
    <row r="8613" spans="24:25" x14ac:dyDescent="0.35">
      <c r="X8613" s="40"/>
      <c r="Y8613" s="40"/>
    </row>
    <row r="8614" spans="24:25" x14ac:dyDescent="0.35">
      <c r="X8614" s="40"/>
      <c r="Y8614" s="40"/>
    </row>
    <row r="8615" spans="24:25" x14ac:dyDescent="0.35">
      <c r="X8615" s="40"/>
      <c r="Y8615" s="40"/>
    </row>
    <row r="8616" spans="24:25" x14ac:dyDescent="0.35">
      <c r="X8616" s="40"/>
      <c r="Y8616" s="40"/>
    </row>
    <row r="8617" spans="24:25" x14ac:dyDescent="0.35">
      <c r="X8617" s="40"/>
      <c r="Y8617" s="40"/>
    </row>
    <row r="8618" spans="24:25" x14ac:dyDescent="0.35">
      <c r="X8618" s="40"/>
      <c r="Y8618" s="40"/>
    </row>
    <row r="8619" spans="24:25" x14ac:dyDescent="0.35">
      <c r="X8619" s="40"/>
      <c r="Y8619" s="40"/>
    </row>
    <row r="8620" spans="24:25" x14ac:dyDescent="0.35">
      <c r="X8620" s="40"/>
      <c r="Y8620" s="40"/>
    </row>
    <row r="8621" spans="24:25" x14ac:dyDescent="0.35">
      <c r="X8621" s="40"/>
      <c r="Y8621" s="40"/>
    </row>
    <row r="8622" spans="24:25" x14ac:dyDescent="0.35">
      <c r="X8622" s="40"/>
      <c r="Y8622" s="40"/>
    </row>
    <row r="8623" spans="24:25" x14ac:dyDescent="0.35">
      <c r="X8623" s="40"/>
      <c r="Y8623" s="40"/>
    </row>
    <row r="8624" spans="24:25" x14ac:dyDescent="0.35">
      <c r="X8624" s="40"/>
      <c r="Y8624" s="40"/>
    </row>
    <row r="8625" spans="24:25" x14ac:dyDescent="0.35">
      <c r="X8625" s="40"/>
      <c r="Y8625" s="40"/>
    </row>
    <row r="8626" spans="24:25" x14ac:dyDescent="0.35">
      <c r="X8626" s="40"/>
      <c r="Y8626" s="40"/>
    </row>
    <row r="8627" spans="24:25" x14ac:dyDescent="0.35">
      <c r="X8627" s="40"/>
      <c r="Y8627" s="40"/>
    </row>
    <row r="8628" spans="24:25" x14ac:dyDescent="0.35">
      <c r="X8628" s="40"/>
      <c r="Y8628" s="40"/>
    </row>
    <row r="8629" spans="24:25" x14ac:dyDescent="0.35">
      <c r="X8629" s="40"/>
      <c r="Y8629" s="40"/>
    </row>
    <row r="8630" spans="24:25" x14ac:dyDescent="0.35">
      <c r="X8630" s="40"/>
      <c r="Y8630" s="40"/>
    </row>
    <row r="8631" spans="24:25" x14ac:dyDescent="0.35">
      <c r="X8631" s="40"/>
      <c r="Y8631" s="40"/>
    </row>
    <row r="8632" spans="24:25" x14ac:dyDescent="0.35">
      <c r="X8632" s="40"/>
      <c r="Y8632" s="40"/>
    </row>
    <row r="8633" spans="24:25" x14ac:dyDescent="0.35">
      <c r="X8633" s="40"/>
      <c r="Y8633" s="40"/>
    </row>
    <row r="8634" spans="24:25" x14ac:dyDescent="0.35">
      <c r="X8634" s="40"/>
      <c r="Y8634" s="40"/>
    </row>
    <row r="8635" spans="24:25" x14ac:dyDescent="0.35">
      <c r="X8635" s="40"/>
      <c r="Y8635" s="40"/>
    </row>
    <row r="8636" spans="24:25" x14ac:dyDescent="0.35">
      <c r="X8636" s="40"/>
      <c r="Y8636" s="40"/>
    </row>
    <row r="8637" spans="24:25" x14ac:dyDescent="0.35">
      <c r="X8637" s="40"/>
      <c r="Y8637" s="40"/>
    </row>
    <row r="8638" spans="24:25" x14ac:dyDescent="0.35">
      <c r="X8638" s="40"/>
      <c r="Y8638" s="40"/>
    </row>
    <row r="8639" spans="24:25" x14ac:dyDescent="0.35">
      <c r="X8639" s="40"/>
      <c r="Y8639" s="40"/>
    </row>
    <row r="8640" spans="24:25" x14ac:dyDescent="0.35">
      <c r="X8640" s="40"/>
      <c r="Y8640" s="40"/>
    </row>
    <row r="8641" spans="24:25" x14ac:dyDescent="0.35">
      <c r="X8641" s="40"/>
      <c r="Y8641" s="40"/>
    </row>
    <row r="8642" spans="24:25" x14ac:dyDescent="0.35">
      <c r="X8642" s="40"/>
      <c r="Y8642" s="40"/>
    </row>
    <row r="8643" spans="24:25" x14ac:dyDescent="0.35">
      <c r="X8643" s="40"/>
      <c r="Y8643" s="40"/>
    </row>
    <row r="8644" spans="24:25" x14ac:dyDescent="0.35">
      <c r="X8644" s="40"/>
      <c r="Y8644" s="40"/>
    </row>
    <row r="8645" spans="24:25" x14ac:dyDescent="0.35">
      <c r="X8645" s="40"/>
      <c r="Y8645" s="40"/>
    </row>
    <row r="8646" spans="24:25" x14ac:dyDescent="0.35">
      <c r="X8646" s="40"/>
      <c r="Y8646" s="40"/>
    </row>
    <row r="8647" spans="24:25" x14ac:dyDescent="0.35">
      <c r="X8647" s="40"/>
      <c r="Y8647" s="40"/>
    </row>
    <row r="8648" spans="24:25" x14ac:dyDescent="0.35">
      <c r="X8648" s="40"/>
      <c r="Y8648" s="40"/>
    </row>
    <row r="8649" spans="24:25" x14ac:dyDescent="0.35">
      <c r="X8649" s="40"/>
      <c r="Y8649" s="40"/>
    </row>
    <row r="8650" spans="24:25" x14ac:dyDescent="0.35">
      <c r="X8650" s="40"/>
      <c r="Y8650" s="40"/>
    </row>
    <row r="8651" spans="24:25" x14ac:dyDescent="0.35">
      <c r="X8651" s="40"/>
      <c r="Y8651" s="40"/>
    </row>
    <row r="8652" spans="24:25" x14ac:dyDescent="0.35">
      <c r="X8652" s="40"/>
      <c r="Y8652" s="40"/>
    </row>
    <row r="8653" spans="24:25" x14ac:dyDescent="0.35">
      <c r="X8653" s="40"/>
      <c r="Y8653" s="40"/>
    </row>
    <row r="8654" spans="24:25" x14ac:dyDescent="0.35">
      <c r="X8654" s="40"/>
      <c r="Y8654" s="40"/>
    </row>
    <row r="8655" spans="24:25" x14ac:dyDescent="0.35">
      <c r="X8655" s="40"/>
      <c r="Y8655" s="40"/>
    </row>
    <row r="8656" spans="24:25" x14ac:dyDescent="0.35">
      <c r="X8656" s="40"/>
      <c r="Y8656" s="40"/>
    </row>
    <row r="8657" spans="24:25" x14ac:dyDescent="0.35">
      <c r="X8657" s="40"/>
      <c r="Y8657" s="40"/>
    </row>
    <row r="8658" spans="24:25" x14ac:dyDescent="0.35">
      <c r="X8658" s="40"/>
      <c r="Y8658" s="40"/>
    </row>
    <row r="8659" spans="24:25" x14ac:dyDescent="0.35">
      <c r="X8659" s="40"/>
      <c r="Y8659" s="40"/>
    </row>
    <row r="8660" spans="24:25" x14ac:dyDescent="0.35">
      <c r="X8660" s="40"/>
      <c r="Y8660" s="40"/>
    </row>
    <row r="8661" spans="24:25" x14ac:dyDescent="0.35">
      <c r="X8661" s="40"/>
      <c r="Y8661" s="40"/>
    </row>
    <row r="8662" spans="24:25" x14ac:dyDescent="0.35">
      <c r="X8662" s="40"/>
      <c r="Y8662" s="40"/>
    </row>
    <row r="8663" spans="24:25" x14ac:dyDescent="0.35">
      <c r="X8663" s="40"/>
      <c r="Y8663" s="40"/>
    </row>
    <row r="8664" spans="24:25" x14ac:dyDescent="0.35">
      <c r="X8664" s="40"/>
      <c r="Y8664" s="40"/>
    </row>
    <row r="8665" spans="24:25" x14ac:dyDescent="0.35">
      <c r="X8665" s="40"/>
      <c r="Y8665" s="40"/>
    </row>
    <row r="8666" spans="24:25" x14ac:dyDescent="0.35">
      <c r="X8666" s="40"/>
      <c r="Y8666" s="40"/>
    </row>
    <row r="8667" spans="24:25" x14ac:dyDescent="0.35">
      <c r="X8667" s="40"/>
      <c r="Y8667" s="40"/>
    </row>
    <row r="8668" spans="24:25" x14ac:dyDescent="0.35">
      <c r="X8668" s="40"/>
      <c r="Y8668" s="40"/>
    </row>
    <row r="8669" spans="24:25" x14ac:dyDescent="0.35">
      <c r="X8669" s="40"/>
      <c r="Y8669" s="40"/>
    </row>
    <row r="8670" spans="24:25" x14ac:dyDescent="0.35">
      <c r="X8670" s="40"/>
      <c r="Y8670" s="40"/>
    </row>
    <row r="8671" spans="24:25" x14ac:dyDescent="0.35">
      <c r="X8671" s="40"/>
      <c r="Y8671" s="40"/>
    </row>
    <row r="8672" spans="24:25" x14ac:dyDescent="0.35">
      <c r="X8672" s="40"/>
      <c r="Y8672" s="40"/>
    </row>
    <row r="8673" spans="24:25" x14ac:dyDescent="0.35">
      <c r="X8673" s="40"/>
      <c r="Y8673" s="40"/>
    </row>
    <row r="8674" spans="24:25" x14ac:dyDescent="0.35">
      <c r="X8674" s="40"/>
      <c r="Y8674" s="40"/>
    </row>
    <row r="8675" spans="24:25" x14ac:dyDescent="0.35">
      <c r="X8675" s="40"/>
      <c r="Y8675" s="40"/>
    </row>
    <row r="8676" spans="24:25" x14ac:dyDescent="0.35">
      <c r="X8676" s="40"/>
      <c r="Y8676" s="40"/>
    </row>
    <row r="8677" spans="24:25" x14ac:dyDescent="0.35">
      <c r="X8677" s="40"/>
      <c r="Y8677" s="40"/>
    </row>
    <row r="8678" spans="24:25" x14ac:dyDescent="0.35">
      <c r="X8678" s="40"/>
      <c r="Y8678" s="40"/>
    </row>
    <row r="8679" spans="24:25" x14ac:dyDescent="0.35">
      <c r="X8679" s="40"/>
      <c r="Y8679" s="40"/>
    </row>
    <row r="8680" spans="24:25" x14ac:dyDescent="0.35">
      <c r="X8680" s="40"/>
      <c r="Y8680" s="40"/>
    </row>
    <row r="8681" spans="24:25" x14ac:dyDescent="0.35">
      <c r="X8681" s="40"/>
      <c r="Y8681" s="40"/>
    </row>
    <row r="8682" spans="24:25" x14ac:dyDescent="0.35">
      <c r="X8682" s="40"/>
      <c r="Y8682" s="40"/>
    </row>
    <row r="8683" spans="24:25" x14ac:dyDescent="0.35">
      <c r="X8683" s="40"/>
      <c r="Y8683" s="40"/>
    </row>
    <row r="8684" spans="24:25" x14ac:dyDescent="0.35">
      <c r="X8684" s="40"/>
      <c r="Y8684" s="40"/>
    </row>
    <row r="8685" spans="24:25" x14ac:dyDescent="0.35">
      <c r="X8685" s="40"/>
      <c r="Y8685" s="40"/>
    </row>
    <row r="8686" spans="24:25" x14ac:dyDescent="0.35">
      <c r="X8686" s="40"/>
      <c r="Y8686" s="40"/>
    </row>
    <row r="8687" spans="24:25" x14ac:dyDescent="0.35">
      <c r="X8687" s="40"/>
      <c r="Y8687" s="40"/>
    </row>
    <row r="8688" spans="24:25" x14ac:dyDescent="0.35">
      <c r="X8688" s="40"/>
      <c r="Y8688" s="40"/>
    </row>
    <row r="8689" spans="24:25" x14ac:dyDescent="0.35">
      <c r="X8689" s="40"/>
      <c r="Y8689" s="40"/>
    </row>
    <row r="8690" spans="24:25" x14ac:dyDescent="0.35">
      <c r="X8690" s="40"/>
      <c r="Y8690" s="40"/>
    </row>
    <row r="8691" spans="24:25" x14ac:dyDescent="0.35">
      <c r="X8691" s="40"/>
      <c r="Y8691" s="40"/>
    </row>
    <row r="8692" spans="24:25" x14ac:dyDescent="0.35">
      <c r="X8692" s="40"/>
      <c r="Y8692" s="40"/>
    </row>
    <row r="8693" spans="24:25" x14ac:dyDescent="0.35">
      <c r="X8693" s="40"/>
      <c r="Y8693" s="40"/>
    </row>
    <row r="8694" spans="24:25" x14ac:dyDescent="0.35">
      <c r="X8694" s="40"/>
      <c r="Y8694" s="40"/>
    </row>
    <row r="8695" spans="24:25" x14ac:dyDescent="0.35">
      <c r="X8695" s="40"/>
      <c r="Y8695" s="40"/>
    </row>
    <row r="8696" spans="24:25" x14ac:dyDescent="0.35">
      <c r="X8696" s="40"/>
      <c r="Y8696" s="40"/>
    </row>
    <row r="8697" spans="24:25" x14ac:dyDescent="0.35">
      <c r="X8697" s="40"/>
      <c r="Y8697" s="40"/>
    </row>
    <row r="8698" spans="24:25" x14ac:dyDescent="0.35">
      <c r="X8698" s="40"/>
      <c r="Y8698" s="40"/>
    </row>
    <row r="8699" spans="24:25" x14ac:dyDescent="0.35">
      <c r="X8699" s="40"/>
      <c r="Y8699" s="40"/>
    </row>
    <row r="8700" spans="24:25" x14ac:dyDescent="0.35">
      <c r="X8700" s="40"/>
      <c r="Y8700" s="40"/>
    </row>
    <row r="8701" spans="24:25" x14ac:dyDescent="0.35">
      <c r="X8701" s="40"/>
      <c r="Y8701" s="40"/>
    </row>
    <row r="8702" spans="24:25" x14ac:dyDescent="0.35">
      <c r="X8702" s="40"/>
      <c r="Y8702" s="40"/>
    </row>
    <row r="8703" spans="24:25" x14ac:dyDescent="0.35">
      <c r="X8703" s="40"/>
      <c r="Y8703" s="40"/>
    </row>
    <row r="8704" spans="24:25" x14ac:dyDescent="0.35">
      <c r="X8704" s="40"/>
      <c r="Y8704" s="40"/>
    </row>
    <row r="8705" spans="24:25" x14ac:dyDescent="0.35">
      <c r="X8705" s="40"/>
      <c r="Y8705" s="40"/>
    </row>
    <row r="8706" spans="24:25" x14ac:dyDescent="0.35">
      <c r="X8706" s="40"/>
      <c r="Y8706" s="40"/>
    </row>
    <row r="8707" spans="24:25" x14ac:dyDescent="0.35">
      <c r="X8707" s="40"/>
      <c r="Y8707" s="40"/>
    </row>
    <row r="8708" spans="24:25" x14ac:dyDescent="0.35">
      <c r="X8708" s="40"/>
      <c r="Y8708" s="40"/>
    </row>
    <row r="8709" spans="24:25" x14ac:dyDescent="0.35">
      <c r="X8709" s="40"/>
      <c r="Y8709" s="40"/>
    </row>
    <row r="8710" spans="24:25" x14ac:dyDescent="0.35">
      <c r="X8710" s="40"/>
      <c r="Y8710" s="40"/>
    </row>
    <row r="8711" spans="24:25" x14ac:dyDescent="0.35">
      <c r="X8711" s="40"/>
      <c r="Y8711" s="40"/>
    </row>
    <row r="8712" spans="24:25" x14ac:dyDescent="0.35">
      <c r="X8712" s="40"/>
      <c r="Y8712" s="40"/>
    </row>
    <row r="8713" spans="24:25" x14ac:dyDescent="0.35">
      <c r="X8713" s="40"/>
      <c r="Y8713" s="40"/>
    </row>
    <row r="8714" spans="24:25" x14ac:dyDescent="0.35">
      <c r="X8714" s="40"/>
      <c r="Y8714" s="40"/>
    </row>
    <row r="8715" spans="24:25" x14ac:dyDescent="0.35">
      <c r="X8715" s="40"/>
      <c r="Y8715" s="40"/>
    </row>
    <row r="8716" spans="24:25" x14ac:dyDescent="0.35">
      <c r="X8716" s="40"/>
      <c r="Y8716" s="40"/>
    </row>
    <row r="8717" spans="24:25" x14ac:dyDescent="0.35">
      <c r="X8717" s="40"/>
      <c r="Y8717" s="40"/>
    </row>
    <row r="8718" spans="24:25" x14ac:dyDescent="0.35">
      <c r="X8718" s="40"/>
      <c r="Y8718" s="40"/>
    </row>
    <row r="8719" spans="24:25" x14ac:dyDescent="0.35">
      <c r="X8719" s="40"/>
      <c r="Y8719" s="40"/>
    </row>
    <row r="8720" spans="24:25" x14ac:dyDescent="0.35">
      <c r="X8720" s="40"/>
      <c r="Y8720" s="40"/>
    </row>
    <row r="8721" spans="24:25" x14ac:dyDescent="0.35">
      <c r="X8721" s="40"/>
      <c r="Y8721" s="40"/>
    </row>
    <row r="8722" spans="24:25" x14ac:dyDescent="0.35">
      <c r="X8722" s="40"/>
      <c r="Y8722" s="40"/>
    </row>
    <row r="8723" spans="24:25" x14ac:dyDescent="0.35">
      <c r="X8723" s="40"/>
      <c r="Y8723" s="40"/>
    </row>
    <row r="8724" spans="24:25" x14ac:dyDescent="0.35">
      <c r="X8724" s="40"/>
      <c r="Y8724" s="40"/>
    </row>
    <row r="8725" spans="24:25" x14ac:dyDescent="0.35">
      <c r="X8725" s="40"/>
      <c r="Y8725" s="40"/>
    </row>
    <row r="8726" spans="24:25" x14ac:dyDescent="0.35">
      <c r="X8726" s="40"/>
      <c r="Y8726" s="40"/>
    </row>
    <row r="8727" spans="24:25" x14ac:dyDescent="0.35">
      <c r="X8727" s="40"/>
      <c r="Y8727" s="40"/>
    </row>
    <row r="8728" spans="24:25" x14ac:dyDescent="0.35">
      <c r="X8728" s="40"/>
      <c r="Y8728" s="40"/>
    </row>
    <row r="8729" spans="24:25" x14ac:dyDescent="0.35">
      <c r="X8729" s="40"/>
      <c r="Y8729" s="40"/>
    </row>
    <row r="8730" spans="24:25" x14ac:dyDescent="0.35">
      <c r="X8730" s="40"/>
      <c r="Y8730" s="40"/>
    </row>
    <row r="8731" spans="24:25" x14ac:dyDescent="0.35">
      <c r="X8731" s="40"/>
      <c r="Y8731" s="40"/>
    </row>
    <row r="8732" spans="24:25" x14ac:dyDescent="0.35">
      <c r="X8732" s="40"/>
      <c r="Y8732" s="40"/>
    </row>
    <row r="8733" spans="24:25" x14ac:dyDescent="0.35">
      <c r="X8733" s="40"/>
      <c r="Y8733" s="40"/>
    </row>
    <row r="8734" spans="24:25" x14ac:dyDescent="0.35">
      <c r="X8734" s="40"/>
      <c r="Y8734" s="40"/>
    </row>
    <row r="8735" spans="24:25" x14ac:dyDescent="0.35">
      <c r="X8735" s="40"/>
      <c r="Y8735" s="40"/>
    </row>
    <row r="8736" spans="24:25" x14ac:dyDescent="0.35">
      <c r="X8736" s="40"/>
      <c r="Y8736" s="40"/>
    </row>
    <row r="8737" spans="24:25" x14ac:dyDescent="0.35">
      <c r="X8737" s="40"/>
      <c r="Y8737" s="40"/>
    </row>
    <row r="8738" spans="24:25" x14ac:dyDescent="0.35">
      <c r="X8738" s="40"/>
      <c r="Y8738" s="40"/>
    </row>
    <row r="8739" spans="24:25" x14ac:dyDescent="0.35">
      <c r="X8739" s="40"/>
      <c r="Y8739" s="40"/>
    </row>
    <row r="8740" spans="24:25" x14ac:dyDescent="0.35">
      <c r="X8740" s="40"/>
      <c r="Y8740" s="40"/>
    </row>
    <row r="8741" spans="24:25" x14ac:dyDescent="0.35">
      <c r="X8741" s="40"/>
      <c r="Y8741" s="40"/>
    </row>
    <row r="8742" spans="24:25" x14ac:dyDescent="0.35">
      <c r="X8742" s="40"/>
      <c r="Y8742" s="40"/>
    </row>
    <row r="8743" spans="24:25" x14ac:dyDescent="0.35">
      <c r="X8743" s="40"/>
      <c r="Y8743" s="40"/>
    </row>
    <row r="8744" spans="24:25" x14ac:dyDescent="0.35">
      <c r="X8744" s="40"/>
      <c r="Y8744" s="40"/>
    </row>
    <row r="8745" spans="24:25" x14ac:dyDescent="0.35">
      <c r="X8745" s="40"/>
      <c r="Y8745" s="40"/>
    </row>
    <row r="8746" spans="24:25" x14ac:dyDescent="0.35">
      <c r="X8746" s="40"/>
      <c r="Y8746" s="40"/>
    </row>
    <row r="8747" spans="24:25" x14ac:dyDescent="0.35">
      <c r="X8747" s="40"/>
      <c r="Y8747" s="40"/>
    </row>
    <row r="8748" spans="24:25" x14ac:dyDescent="0.35">
      <c r="X8748" s="40"/>
      <c r="Y8748" s="40"/>
    </row>
    <row r="8749" spans="24:25" x14ac:dyDescent="0.35">
      <c r="X8749" s="40"/>
      <c r="Y8749" s="40"/>
    </row>
    <row r="8750" spans="24:25" x14ac:dyDescent="0.35">
      <c r="X8750" s="40"/>
      <c r="Y8750" s="40"/>
    </row>
    <row r="8751" spans="24:25" x14ac:dyDescent="0.35">
      <c r="X8751" s="40"/>
      <c r="Y8751" s="40"/>
    </row>
    <row r="8752" spans="24:25" x14ac:dyDescent="0.35">
      <c r="X8752" s="40"/>
      <c r="Y8752" s="40"/>
    </row>
    <row r="8753" spans="24:25" x14ac:dyDescent="0.35">
      <c r="X8753" s="40"/>
      <c r="Y8753" s="40"/>
    </row>
    <row r="8754" spans="24:25" x14ac:dyDescent="0.35">
      <c r="X8754" s="40"/>
      <c r="Y8754" s="40"/>
    </row>
    <row r="8755" spans="24:25" x14ac:dyDescent="0.35">
      <c r="X8755" s="40"/>
      <c r="Y8755" s="40"/>
    </row>
    <row r="8756" spans="24:25" x14ac:dyDescent="0.35">
      <c r="X8756" s="40"/>
      <c r="Y8756" s="40"/>
    </row>
    <row r="8757" spans="24:25" x14ac:dyDescent="0.35">
      <c r="X8757" s="40"/>
      <c r="Y8757" s="40"/>
    </row>
    <row r="8758" spans="24:25" x14ac:dyDescent="0.35">
      <c r="X8758" s="40"/>
      <c r="Y8758" s="40"/>
    </row>
    <row r="8759" spans="24:25" x14ac:dyDescent="0.35">
      <c r="X8759" s="40"/>
      <c r="Y8759" s="40"/>
    </row>
    <row r="8760" spans="24:25" x14ac:dyDescent="0.35">
      <c r="X8760" s="40"/>
      <c r="Y8760" s="40"/>
    </row>
    <row r="8761" spans="24:25" x14ac:dyDescent="0.35">
      <c r="X8761" s="40"/>
      <c r="Y8761" s="40"/>
    </row>
    <row r="8762" spans="24:25" x14ac:dyDescent="0.35">
      <c r="X8762" s="40"/>
      <c r="Y8762" s="40"/>
    </row>
    <row r="8763" spans="24:25" x14ac:dyDescent="0.35">
      <c r="X8763" s="40"/>
      <c r="Y8763" s="40"/>
    </row>
    <row r="8764" spans="24:25" x14ac:dyDescent="0.35">
      <c r="X8764" s="40"/>
      <c r="Y8764" s="40"/>
    </row>
    <row r="8765" spans="24:25" x14ac:dyDescent="0.35">
      <c r="X8765" s="40"/>
      <c r="Y8765" s="40"/>
    </row>
    <row r="8766" spans="24:25" x14ac:dyDescent="0.35">
      <c r="X8766" s="40"/>
      <c r="Y8766" s="40"/>
    </row>
    <row r="8767" spans="24:25" x14ac:dyDescent="0.35">
      <c r="X8767" s="40"/>
      <c r="Y8767" s="40"/>
    </row>
    <row r="8768" spans="24:25" x14ac:dyDescent="0.35">
      <c r="X8768" s="40"/>
      <c r="Y8768" s="40"/>
    </row>
    <row r="8769" spans="24:25" x14ac:dyDescent="0.35">
      <c r="X8769" s="40"/>
      <c r="Y8769" s="40"/>
    </row>
    <row r="8770" spans="24:25" x14ac:dyDescent="0.35">
      <c r="X8770" s="40"/>
      <c r="Y8770" s="40"/>
    </row>
    <row r="8771" spans="24:25" x14ac:dyDescent="0.35">
      <c r="X8771" s="40"/>
      <c r="Y8771" s="40"/>
    </row>
    <row r="8772" spans="24:25" x14ac:dyDescent="0.35">
      <c r="X8772" s="40"/>
      <c r="Y8772" s="40"/>
    </row>
    <row r="8773" spans="24:25" x14ac:dyDescent="0.35">
      <c r="X8773" s="40"/>
      <c r="Y8773" s="40"/>
    </row>
    <row r="8774" spans="24:25" x14ac:dyDescent="0.35">
      <c r="X8774" s="40"/>
      <c r="Y8774" s="40"/>
    </row>
    <row r="8775" spans="24:25" x14ac:dyDescent="0.35">
      <c r="X8775" s="40"/>
      <c r="Y8775" s="40"/>
    </row>
    <row r="8776" spans="24:25" x14ac:dyDescent="0.35">
      <c r="X8776" s="40"/>
      <c r="Y8776" s="40"/>
    </row>
    <row r="8777" spans="24:25" x14ac:dyDescent="0.35">
      <c r="X8777" s="40"/>
      <c r="Y8777" s="40"/>
    </row>
    <row r="8778" spans="24:25" x14ac:dyDescent="0.35">
      <c r="X8778" s="40"/>
      <c r="Y8778" s="40"/>
    </row>
    <row r="8779" spans="24:25" x14ac:dyDescent="0.35">
      <c r="X8779" s="40"/>
      <c r="Y8779" s="40"/>
    </row>
    <row r="8780" spans="24:25" x14ac:dyDescent="0.35">
      <c r="X8780" s="40"/>
      <c r="Y8780" s="40"/>
    </row>
    <row r="8781" spans="24:25" x14ac:dyDescent="0.35">
      <c r="X8781" s="40"/>
      <c r="Y8781" s="40"/>
    </row>
    <row r="8782" spans="24:25" x14ac:dyDescent="0.35">
      <c r="X8782" s="40"/>
      <c r="Y8782" s="40"/>
    </row>
    <row r="8783" spans="24:25" x14ac:dyDescent="0.35">
      <c r="X8783" s="40"/>
      <c r="Y8783" s="40"/>
    </row>
    <row r="8784" spans="24:25" x14ac:dyDescent="0.35">
      <c r="X8784" s="40"/>
      <c r="Y8784" s="40"/>
    </row>
    <row r="8785" spans="24:25" x14ac:dyDescent="0.35">
      <c r="X8785" s="40"/>
      <c r="Y8785" s="40"/>
    </row>
    <row r="8786" spans="24:25" x14ac:dyDescent="0.35">
      <c r="X8786" s="40"/>
      <c r="Y8786" s="40"/>
    </row>
    <row r="8787" spans="24:25" x14ac:dyDescent="0.35">
      <c r="X8787" s="40"/>
      <c r="Y8787" s="40"/>
    </row>
    <row r="8788" spans="24:25" x14ac:dyDescent="0.35">
      <c r="X8788" s="40"/>
      <c r="Y8788" s="40"/>
    </row>
    <row r="8789" spans="24:25" x14ac:dyDescent="0.35">
      <c r="X8789" s="40"/>
      <c r="Y8789" s="40"/>
    </row>
    <row r="8790" spans="24:25" x14ac:dyDescent="0.35">
      <c r="X8790" s="40"/>
      <c r="Y8790" s="40"/>
    </row>
    <row r="8791" spans="24:25" x14ac:dyDescent="0.35">
      <c r="X8791" s="40"/>
      <c r="Y8791" s="40"/>
    </row>
    <row r="8792" spans="24:25" x14ac:dyDescent="0.35">
      <c r="X8792" s="40"/>
      <c r="Y8792" s="40"/>
    </row>
    <row r="8793" spans="24:25" x14ac:dyDescent="0.35">
      <c r="X8793" s="40"/>
      <c r="Y8793" s="40"/>
    </row>
    <row r="8794" spans="24:25" x14ac:dyDescent="0.35">
      <c r="X8794" s="40"/>
      <c r="Y8794" s="40"/>
    </row>
    <row r="8795" spans="24:25" x14ac:dyDescent="0.35">
      <c r="X8795" s="40"/>
      <c r="Y8795" s="40"/>
    </row>
    <row r="8796" spans="24:25" x14ac:dyDescent="0.35">
      <c r="X8796" s="40"/>
      <c r="Y8796" s="40"/>
    </row>
    <row r="8797" spans="24:25" x14ac:dyDescent="0.35">
      <c r="X8797" s="40"/>
      <c r="Y8797" s="40"/>
    </row>
    <row r="8798" spans="24:25" x14ac:dyDescent="0.35">
      <c r="X8798" s="40"/>
      <c r="Y8798" s="40"/>
    </row>
    <row r="8799" spans="24:25" x14ac:dyDescent="0.35">
      <c r="X8799" s="40"/>
      <c r="Y8799" s="40"/>
    </row>
    <row r="8800" spans="24:25" x14ac:dyDescent="0.35">
      <c r="X8800" s="40"/>
      <c r="Y8800" s="40"/>
    </row>
    <row r="8801" spans="24:25" x14ac:dyDescent="0.35">
      <c r="X8801" s="40"/>
      <c r="Y8801" s="40"/>
    </row>
    <row r="8802" spans="24:25" x14ac:dyDescent="0.35">
      <c r="X8802" s="40"/>
      <c r="Y8802" s="40"/>
    </row>
    <row r="8803" spans="24:25" x14ac:dyDescent="0.35">
      <c r="X8803" s="40"/>
      <c r="Y8803" s="40"/>
    </row>
    <row r="8804" spans="24:25" x14ac:dyDescent="0.35">
      <c r="X8804" s="40"/>
      <c r="Y8804" s="40"/>
    </row>
    <row r="8805" spans="24:25" x14ac:dyDescent="0.35">
      <c r="X8805" s="40"/>
      <c r="Y8805" s="40"/>
    </row>
    <row r="8806" spans="24:25" x14ac:dyDescent="0.35">
      <c r="X8806" s="40"/>
      <c r="Y8806" s="40"/>
    </row>
    <row r="8807" spans="24:25" x14ac:dyDescent="0.35">
      <c r="X8807" s="40"/>
      <c r="Y8807" s="40"/>
    </row>
    <row r="8808" spans="24:25" x14ac:dyDescent="0.35">
      <c r="X8808" s="40"/>
      <c r="Y8808" s="40"/>
    </row>
    <row r="8809" spans="24:25" x14ac:dyDescent="0.35">
      <c r="X8809" s="40"/>
      <c r="Y8809" s="40"/>
    </row>
    <row r="8810" spans="24:25" x14ac:dyDescent="0.35">
      <c r="X8810" s="40"/>
      <c r="Y8810" s="40"/>
    </row>
    <row r="8811" spans="24:25" x14ac:dyDescent="0.35">
      <c r="X8811" s="40"/>
      <c r="Y8811" s="40"/>
    </row>
    <row r="8812" spans="24:25" x14ac:dyDescent="0.35">
      <c r="X8812" s="40"/>
      <c r="Y8812" s="40"/>
    </row>
    <row r="8813" spans="24:25" x14ac:dyDescent="0.35">
      <c r="X8813" s="40"/>
      <c r="Y8813" s="40"/>
    </row>
    <row r="8814" spans="24:25" x14ac:dyDescent="0.35">
      <c r="X8814" s="40"/>
      <c r="Y8814" s="40"/>
    </row>
    <row r="8815" spans="24:25" x14ac:dyDescent="0.35">
      <c r="X8815" s="40"/>
      <c r="Y8815" s="40"/>
    </row>
    <row r="8816" spans="24:25" x14ac:dyDescent="0.35">
      <c r="X8816" s="40"/>
      <c r="Y8816" s="40"/>
    </row>
    <row r="8817" spans="24:25" x14ac:dyDescent="0.35">
      <c r="X8817" s="40"/>
      <c r="Y8817" s="40"/>
    </row>
    <row r="8818" spans="24:25" x14ac:dyDescent="0.35">
      <c r="X8818" s="40"/>
      <c r="Y8818" s="40"/>
    </row>
    <row r="8819" spans="24:25" x14ac:dyDescent="0.35">
      <c r="X8819" s="40"/>
      <c r="Y8819" s="40"/>
    </row>
    <row r="8820" spans="24:25" x14ac:dyDescent="0.35">
      <c r="X8820" s="40"/>
      <c r="Y8820" s="40"/>
    </row>
    <row r="8821" spans="24:25" x14ac:dyDescent="0.35">
      <c r="X8821" s="40"/>
      <c r="Y8821" s="40"/>
    </row>
    <row r="8822" spans="24:25" x14ac:dyDescent="0.35">
      <c r="X8822" s="40"/>
      <c r="Y8822" s="40"/>
    </row>
    <row r="8823" spans="24:25" x14ac:dyDescent="0.35">
      <c r="X8823" s="40"/>
      <c r="Y8823" s="40"/>
    </row>
    <row r="8824" spans="24:25" x14ac:dyDescent="0.35">
      <c r="X8824" s="40"/>
      <c r="Y8824" s="40"/>
    </row>
    <row r="8825" spans="24:25" x14ac:dyDescent="0.35">
      <c r="X8825" s="40"/>
      <c r="Y8825" s="40"/>
    </row>
    <row r="8826" spans="24:25" x14ac:dyDescent="0.35">
      <c r="X8826" s="40"/>
      <c r="Y8826" s="40"/>
    </row>
    <row r="8827" spans="24:25" x14ac:dyDescent="0.35">
      <c r="X8827" s="40"/>
      <c r="Y8827" s="40"/>
    </row>
    <row r="8828" spans="24:25" x14ac:dyDescent="0.35">
      <c r="X8828" s="40"/>
      <c r="Y8828" s="40"/>
    </row>
    <row r="8829" spans="24:25" x14ac:dyDescent="0.35">
      <c r="X8829" s="40"/>
      <c r="Y8829" s="40"/>
    </row>
    <row r="8830" spans="24:25" x14ac:dyDescent="0.35">
      <c r="X8830" s="40"/>
      <c r="Y8830" s="40"/>
    </row>
    <row r="8831" spans="24:25" x14ac:dyDescent="0.35">
      <c r="X8831" s="40"/>
      <c r="Y8831" s="40"/>
    </row>
    <row r="8832" spans="24:25" x14ac:dyDescent="0.35">
      <c r="X8832" s="40"/>
      <c r="Y8832" s="40"/>
    </row>
    <row r="8833" spans="24:25" x14ac:dyDescent="0.35">
      <c r="X8833" s="40"/>
      <c r="Y8833" s="40"/>
    </row>
    <row r="8834" spans="24:25" x14ac:dyDescent="0.35">
      <c r="X8834" s="40"/>
      <c r="Y8834" s="40"/>
    </row>
    <row r="8835" spans="24:25" x14ac:dyDescent="0.35">
      <c r="X8835" s="40"/>
      <c r="Y8835" s="40"/>
    </row>
    <row r="8836" spans="24:25" x14ac:dyDescent="0.35">
      <c r="X8836" s="40"/>
      <c r="Y8836" s="40"/>
    </row>
    <row r="8837" spans="24:25" x14ac:dyDescent="0.35">
      <c r="X8837" s="40"/>
      <c r="Y8837" s="40"/>
    </row>
    <row r="8838" spans="24:25" x14ac:dyDescent="0.35">
      <c r="X8838" s="40"/>
      <c r="Y8838" s="40"/>
    </row>
    <row r="8839" spans="24:25" x14ac:dyDescent="0.35">
      <c r="X8839" s="40"/>
      <c r="Y8839" s="40"/>
    </row>
    <row r="8840" spans="24:25" x14ac:dyDescent="0.35">
      <c r="X8840" s="40"/>
      <c r="Y8840" s="40"/>
    </row>
    <row r="8841" spans="24:25" x14ac:dyDescent="0.35">
      <c r="X8841" s="40"/>
      <c r="Y8841" s="40"/>
    </row>
    <row r="8842" spans="24:25" x14ac:dyDescent="0.35">
      <c r="X8842" s="40"/>
      <c r="Y8842" s="40"/>
    </row>
    <row r="8843" spans="24:25" x14ac:dyDescent="0.35">
      <c r="X8843" s="40"/>
      <c r="Y8843" s="40"/>
    </row>
    <row r="8844" spans="24:25" x14ac:dyDescent="0.35">
      <c r="X8844" s="40"/>
      <c r="Y8844" s="40"/>
    </row>
    <row r="8845" spans="24:25" x14ac:dyDescent="0.35">
      <c r="X8845" s="40"/>
      <c r="Y8845" s="40"/>
    </row>
    <row r="8846" spans="24:25" x14ac:dyDescent="0.35">
      <c r="X8846" s="40"/>
      <c r="Y8846" s="40"/>
    </row>
    <row r="8847" spans="24:25" x14ac:dyDescent="0.35">
      <c r="X8847" s="40"/>
      <c r="Y8847" s="40"/>
    </row>
    <row r="8848" spans="24:25" x14ac:dyDescent="0.35">
      <c r="X8848" s="40"/>
      <c r="Y8848" s="40"/>
    </row>
    <row r="8849" spans="24:25" x14ac:dyDescent="0.35">
      <c r="X8849" s="40"/>
      <c r="Y8849" s="40"/>
    </row>
    <row r="8850" spans="24:25" x14ac:dyDescent="0.35">
      <c r="X8850" s="40"/>
      <c r="Y8850" s="40"/>
    </row>
    <row r="8851" spans="24:25" x14ac:dyDescent="0.35">
      <c r="X8851" s="40"/>
      <c r="Y8851" s="40"/>
    </row>
    <row r="8852" spans="24:25" x14ac:dyDescent="0.35">
      <c r="X8852" s="40"/>
      <c r="Y8852" s="40"/>
    </row>
    <row r="8853" spans="24:25" x14ac:dyDescent="0.35">
      <c r="X8853" s="40"/>
      <c r="Y8853" s="40"/>
    </row>
    <row r="8854" spans="24:25" x14ac:dyDescent="0.35">
      <c r="X8854" s="40"/>
      <c r="Y8854" s="40"/>
    </row>
    <row r="8855" spans="24:25" x14ac:dyDescent="0.35">
      <c r="X8855" s="40"/>
      <c r="Y8855" s="40"/>
    </row>
    <row r="8856" spans="24:25" x14ac:dyDescent="0.35">
      <c r="X8856" s="40"/>
      <c r="Y8856" s="40"/>
    </row>
    <row r="8857" spans="24:25" x14ac:dyDescent="0.35">
      <c r="X8857" s="40"/>
      <c r="Y8857" s="40"/>
    </row>
    <row r="8858" spans="24:25" x14ac:dyDescent="0.35">
      <c r="X8858" s="40"/>
      <c r="Y8858" s="40"/>
    </row>
    <row r="8859" spans="24:25" x14ac:dyDescent="0.35">
      <c r="X8859" s="40"/>
      <c r="Y8859" s="40"/>
    </row>
    <row r="8860" spans="24:25" x14ac:dyDescent="0.35">
      <c r="X8860" s="40"/>
      <c r="Y8860" s="40"/>
    </row>
    <row r="8861" spans="24:25" x14ac:dyDescent="0.35">
      <c r="X8861" s="40"/>
      <c r="Y8861" s="40"/>
    </row>
    <row r="8862" spans="24:25" x14ac:dyDescent="0.35">
      <c r="X8862" s="40"/>
      <c r="Y8862" s="40"/>
    </row>
    <row r="8863" spans="24:25" x14ac:dyDescent="0.35">
      <c r="X8863" s="40"/>
      <c r="Y8863" s="40"/>
    </row>
    <row r="8864" spans="24:25" x14ac:dyDescent="0.35">
      <c r="X8864" s="40"/>
      <c r="Y8864" s="40"/>
    </row>
    <row r="8865" spans="24:25" x14ac:dyDescent="0.35">
      <c r="X8865" s="40"/>
      <c r="Y8865" s="40"/>
    </row>
    <row r="8866" spans="24:25" x14ac:dyDescent="0.35">
      <c r="X8866" s="40"/>
      <c r="Y8866" s="40"/>
    </row>
    <row r="8867" spans="24:25" x14ac:dyDescent="0.35">
      <c r="X8867" s="40"/>
      <c r="Y8867" s="40"/>
    </row>
    <row r="8868" spans="24:25" x14ac:dyDescent="0.35">
      <c r="X8868" s="40"/>
      <c r="Y8868" s="40"/>
    </row>
    <row r="8869" spans="24:25" x14ac:dyDescent="0.35">
      <c r="X8869" s="40"/>
      <c r="Y8869" s="40"/>
    </row>
    <row r="8870" spans="24:25" x14ac:dyDescent="0.35">
      <c r="X8870" s="40"/>
      <c r="Y8870" s="40"/>
    </row>
    <row r="8871" spans="24:25" x14ac:dyDescent="0.35">
      <c r="X8871" s="40"/>
      <c r="Y8871" s="40"/>
    </row>
    <row r="8872" spans="24:25" x14ac:dyDescent="0.35">
      <c r="X8872" s="40"/>
      <c r="Y8872" s="40"/>
    </row>
    <row r="8873" spans="24:25" x14ac:dyDescent="0.35">
      <c r="X8873" s="40"/>
      <c r="Y8873" s="40"/>
    </row>
    <row r="8874" spans="24:25" x14ac:dyDescent="0.35">
      <c r="X8874" s="40"/>
      <c r="Y8874" s="40"/>
    </row>
    <row r="8875" spans="24:25" x14ac:dyDescent="0.35">
      <c r="X8875" s="40"/>
      <c r="Y8875" s="40"/>
    </row>
    <row r="8876" spans="24:25" x14ac:dyDescent="0.35">
      <c r="X8876" s="40"/>
      <c r="Y8876" s="40"/>
    </row>
    <row r="8877" spans="24:25" x14ac:dyDescent="0.35">
      <c r="X8877" s="40"/>
      <c r="Y8877" s="40"/>
    </row>
    <row r="8878" spans="24:25" x14ac:dyDescent="0.35">
      <c r="X8878" s="40"/>
      <c r="Y8878" s="40"/>
    </row>
    <row r="8879" spans="24:25" x14ac:dyDescent="0.35">
      <c r="X8879" s="40"/>
      <c r="Y8879" s="40"/>
    </row>
    <row r="8880" spans="24:25" x14ac:dyDescent="0.35">
      <c r="X8880" s="40"/>
      <c r="Y8880" s="40"/>
    </row>
    <row r="8881" spans="24:25" x14ac:dyDescent="0.35">
      <c r="X8881" s="40"/>
      <c r="Y8881" s="40"/>
    </row>
    <row r="8882" spans="24:25" x14ac:dyDescent="0.35">
      <c r="X8882" s="40"/>
      <c r="Y8882" s="40"/>
    </row>
    <row r="8883" spans="24:25" x14ac:dyDescent="0.35">
      <c r="X8883" s="40"/>
      <c r="Y8883" s="40"/>
    </row>
    <row r="8884" spans="24:25" x14ac:dyDescent="0.35">
      <c r="X8884" s="40"/>
      <c r="Y8884" s="40"/>
    </row>
    <row r="8885" spans="24:25" x14ac:dyDescent="0.35">
      <c r="X8885" s="40"/>
      <c r="Y8885" s="40"/>
    </row>
    <row r="8886" spans="24:25" x14ac:dyDescent="0.35">
      <c r="X8886" s="40"/>
      <c r="Y8886" s="40"/>
    </row>
    <row r="8887" spans="24:25" x14ac:dyDescent="0.35">
      <c r="X8887" s="40"/>
      <c r="Y8887" s="40"/>
    </row>
    <row r="8888" spans="24:25" x14ac:dyDescent="0.35">
      <c r="X8888" s="40"/>
      <c r="Y8888" s="40"/>
    </row>
    <row r="8889" spans="24:25" x14ac:dyDescent="0.35">
      <c r="X8889" s="40"/>
      <c r="Y8889" s="40"/>
    </row>
    <row r="8890" spans="24:25" x14ac:dyDescent="0.35">
      <c r="X8890" s="40"/>
      <c r="Y8890" s="40"/>
    </row>
    <row r="8891" spans="24:25" x14ac:dyDescent="0.35">
      <c r="X8891" s="40"/>
      <c r="Y8891" s="40"/>
    </row>
    <row r="8892" spans="24:25" x14ac:dyDescent="0.35">
      <c r="X8892" s="40"/>
      <c r="Y8892" s="40"/>
    </row>
    <row r="8893" spans="24:25" x14ac:dyDescent="0.35">
      <c r="X8893" s="40"/>
      <c r="Y8893" s="40"/>
    </row>
    <row r="8894" spans="24:25" x14ac:dyDescent="0.35">
      <c r="X8894" s="40"/>
      <c r="Y8894" s="40"/>
    </row>
    <row r="8895" spans="24:25" x14ac:dyDescent="0.35">
      <c r="X8895" s="40"/>
      <c r="Y8895" s="40"/>
    </row>
    <row r="8896" spans="24:25" x14ac:dyDescent="0.35">
      <c r="X8896" s="40"/>
      <c r="Y8896" s="40"/>
    </row>
    <row r="8897" spans="24:25" x14ac:dyDescent="0.35">
      <c r="X8897" s="40"/>
      <c r="Y8897" s="40"/>
    </row>
    <row r="8898" spans="24:25" x14ac:dyDescent="0.35">
      <c r="X8898" s="40"/>
      <c r="Y8898" s="40"/>
    </row>
    <row r="8899" spans="24:25" x14ac:dyDescent="0.35">
      <c r="X8899" s="40"/>
      <c r="Y8899" s="40"/>
    </row>
    <row r="8900" spans="24:25" x14ac:dyDescent="0.35">
      <c r="X8900" s="40"/>
      <c r="Y8900" s="40"/>
    </row>
    <row r="8901" spans="24:25" x14ac:dyDescent="0.35">
      <c r="X8901" s="40"/>
      <c r="Y8901" s="40"/>
    </row>
    <row r="8902" spans="24:25" x14ac:dyDescent="0.35">
      <c r="X8902" s="40"/>
      <c r="Y8902" s="40"/>
    </row>
    <row r="8903" spans="24:25" x14ac:dyDescent="0.35">
      <c r="X8903" s="40"/>
      <c r="Y8903" s="40"/>
    </row>
    <row r="8904" spans="24:25" x14ac:dyDescent="0.35">
      <c r="X8904" s="40"/>
      <c r="Y8904" s="40"/>
    </row>
    <row r="8905" spans="24:25" x14ac:dyDescent="0.35">
      <c r="X8905" s="40"/>
      <c r="Y8905" s="40"/>
    </row>
    <row r="8906" spans="24:25" x14ac:dyDescent="0.35">
      <c r="X8906" s="40"/>
      <c r="Y8906" s="40"/>
    </row>
    <row r="8907" spans="24:25" x14ac:dyDescent="0.35">
      <c r="X8907" s="40"/>
      <c r="Y8907" s="40"/>
    </row>
    <row r="8908" spans="24:25" x14ac:dyDescent="0.35">
      <c r="X8908" s="40"/>
      <c r="Y8908" s="40"/>
    </row>
    <row r="8909" spans="24:25" x14ac:dyDescent="0.35">
      <c r="X8909" s="40"/>
      <c r="Y8909" s="40"/>
    </row>
    <row r="8910" spans="24:25" x14ac:dyDescent="0.35">
      <c r="X8910" s="40"/>
      <c r="Y8910" s="40"/>
    </row>
    <row r="8911" spans="24:25" x14ac:dyDescent="0.35">
      <c r="X8911" s="40"/>
      <c r="Y8911" s="40"/>
    </row>
    <row r="8912" spans="24:25" x14ac:dyDescent="0.35">
      <c r="X8912" s="40"/>
      <c r="Y8912" s="40"/>
    </row>
    <row r="8913" spans="24:25" x14ac:dyDescent="0.35">
      <c r="X8913" s="40"/>
      <c r="Y8913" s="40"/>
    </row>
    <row r="8914" spans="24:25" x14ac:dyDescent="0.35">
      <c r="X8914" s="40"/>
      <c r="Y8914" s="40"/>
    </row>
    <row r="8915" spans="24:25" x14ac:dyDescent="0.35">
      <c r="X8915" s="40"/>
      <c r="Y8915" s="40"/>
    </row>
    <row r="8916" spans="24:25" x14ac:dyDescent="0.35">
      <c r="X8916" s="40"/>
      <c r="Y8916" s="40"/>
    </row>
    <row r="8917" spans="24:25" x14ac:dyDescent="0.35">
      <c r="X8917" s="40"/>
      <c r="Y8917" s="40"/>
    </row>
    <row r="8918" spans="24:25" x14ac:dyDescent="0.35">
      <c r="X8918" s="40"/>
      <c r="Y8918" s="40"/>
    </row>
    <row r="8919" spans="24:25" x14ac:dyDescent="0.35">
      <c r="X8919" s="40"/>
      <c r="Y8919" s="40"/>
    </row>
    <row r="8920" spans="24:25" x14ac:dyDescent="0.35">
      <c r="X8920" s="40"/>
      <c r="Y8920" s="40"/>
    </row>
    <row r="8921" spans="24:25" x14ac:dyDescent="0.35">
      <c r="X8921" s="40"/>
      <c r="Y8921" s="40"/>
    </row>
    <row r="8922" spans="24:25" x14ac:dyDescent="0.35">
      <c r="X8922" s="40"/>
      <c r="Y8922" s="40"/>
    </row>
    <row r="8923" spans="24:25" x14ac:dyDescent="0.35">
      <c r="X8923" s="40"/>
      <c r="Y8923" s="40"/>
    </row>
    <row r="8924" spans="24:25" x14ac:dyDescent="0.35">
      <c r="X8924" s="40"/>
      <c r="Y8924" s="40"/>
    </row>
    <row r="8925" spans="24:25" x14ac:dyDescent="0.35">
      <c r="X8925" s="40"/>
      <c r="Y8925" s="40"/>
    </row>
    <row r="8926" spans="24:25" x14ac:dyDescent="0.35">
      <c r="X8926" s="40"/>
      <c r="Y8926" s="40"/>
    </row>
    <row r="8927" spans="24:25" x14ac:dyDescent="0.35">
      <c r="X8927" s="40"/>
      <c r="Y8927" s="40"/>
    </row>
    <row r="8928" spans="24:25" x14ac:dyDescent="0.35">
      <c r="X8928" s="40"/>
      <c r="Y8928" s="40"/>
    </row>
    <row r="8929" spans="24:25" x14ac:dyDescent="0.35">
      <c r="X8929" s="40"/>
      <c r="Y8929" s="40"/>
    </row>
    <row r="8930" spans="24:25" x14ac:dyDescent="0.35">
      <c r="X8930" s="40"/>
      <c r="Y8930" s="40"/>
    </row>
    <row r="8931" spans="24:25" x14ac:dyDescent="0.35">
      <c r="X8931" s="40"/>
      <c r="Y8931" s="40"/>
    </row>
    <row r="8932" spans="24:25" x14ac:dyDescent="0.35">
      <c r="X8932" s="40"/>
      <c r="Y8932" s="40"/>
    </row>
    <row r="8933" spans="24:25" x14ac:dyDescent="0.35">
      <c r="X8933" s="40"/>
      <c r="Y8933" s="40"/>
    </row>
    <row r="8934" spans="24:25" x14ac:dyDescent="0.35">
      <c r="X8934" s="40"/>
      <c r="Y8934" s="40"/>
    </row>
    <row r="8935" spans="24:25" x14ac:dyDescent="0.35">
      <c r="X8935" s="40"/>
      <c r="Y8935" s="40"/>
    </row>
    <row r="8936" spans="24:25" x14ac:dyDescent="0.35">
      <c r="X8936" s="40"/>
      <c r="Y8936" s="40"/>
    </row>
    <row r="8937" spans="24:25" x14ac:dyDescent="0.35">
      <c r="X8937" s="40"/>
      <c r="Y8937" s="40"/>
    </row>
    <row r="8938" spans="24:25" x14ac:dyDescent="0.35">
      <c r="X8938" s="40"/>
      <c r="Y8938" s="40"/>
    </row>
    <row r="8939" spans="24:25" x14ac:dyDescent="0.35">
      <c r="X8939" s="40"/>
      <c r="Y8939" s="40"/>
    </row>
    <row r="8940" spans="24:25" x14ac:dyDescent="0.35">
      <c r="X8940" s="40"/>
      <c r="Y8940" s="40"/>
    </row>
    <row r="8941" spans="24:25" x14ac:dyDescent="0.35">
      <c r="X8941" s="40"/>
      <c r="Y8941" s="40"/>
    </row>
    <row r="8942" spans="24:25" x14ac:dyDescent="0.35">
      <c r="X8942" s="40"/>
      <c r="Y8942" s="40"/>
    </row>
    <row r="8943" spans="24:25" x14ac:dyDescent="0.35">
      <c r="X8943" s="40"/>
      <c r="Y8943" s="40"/>
    </row>
    <row r="8944" spans="24:25" x14ac:dyDescent="0.35">
      <c r="X8944" s="40"/>
      <c r="Y8944" s="40"/>
    </row>
    <row r="8945" spans="24:25" x14ac:dyDescent="0.35">
      <c r="X8945" s="40"/>
      <c r="Y8945" s="40"/>
    </row>
    <row r="8946" spans="24:25" x14ac:dyDescent="0.35">
      <c r="X8946" s="40"/>
      <c r="Y8946" s="40"/>
    </row>
    <row r="8947" spans="24:25" x14ac:dyDescent="0.35">
      <c r="X8947" s="40"/>
      <c r="Y8947" s="40"/>
    </row>
    <row r="8948" spans="24:25" x14ac:dyDescent="0.35">
      <c r="X8948" s="40"/>
      <c r="Y8948" s="40"/>
    </row>
    <row r="8949" spans="24:25" x14ac:dyDescent="0.35">
      <c r="X8949" s="40"/>
      <c r="Y8949" s="40"/>
    </row>
    <row r="8950" spans="24:25" x14ac:dyDescent="0.35">
      <c r="X8950" s="40"/>
      <c r="Y8950" s="40"/>
    </row>
    <row r="8951" spans="24:25" x14ac:dyDescent="0.35">
      <c r="X8951" s="40"/>
      <c r="Y8951" s="40"/>
    </row>
    <row r="8952" spans="24:25" x14ac:dyDescent="0.35">
      <c r="X8952" s="40"/>
      <c r="Y8952" s="40"/>
    </row>
    <row r="8953" spans="24:25" x14ac:dyDescent="0.35">
      <c r="X8953" s="40"/>
      <c r="Y8953" s="40"/>
    </row>
    <row r="8954" spans="24:25" x14ac:dyDescent="0.35">
      <c r="X8954" s="40"/>
      <c r="Y8954" s="40"/>
    </row>
    <row r="8955" spans="24:25" x14ac:dyDescent="0.35">
      <c r="X8955" s="40"/>
      <c r="Y8955" s="40"/>
    </row>
    <row r="8956" spans="24:25" x14ac:dyDescent="0.35">
      <c r="X8956" s="40"/>
      <c r="Y8956" s="40"/>
    </row>
    <row r="8957" spans="24:25" x14ac:dyDescent="0.35">
      <c r="X8957" s="40"/>
      <c r="Y8957" s="40"/>
    </row>
    <row r="8958" spans="24:25" x14ac:dyDescent="0.35">
      <c r="X8958" s="40"/>
      <c r="Y8958" s="40"/>
    </row>
    <row r="8959" spans="24:25" x14ac:dyDescent="0.35">
      <c r="X8959" s="40"/>
      <c r="Y8959" s="40"/>
    </row>
    <row r="8960" spans="24:25" x14ac:dyDescent="0.35">
      <c r="X8960" s="40"/>
      <c r="Y8960" s="40"/>
    </row>
    <row r="8961" spans="24:25" x14ac:dyDescent="0.35">
      <c r="X8961" s="40"/>
      <c r="Y8961" s="40"/>
    </row>
    <row r="8962" spans="24:25" x14ac:dyDescent="0.35">
      <c r="X8962" s="40"/>
      <c r="Y8962" s="40"/>
    </row>
    <row r="8963" spans="24:25" x14ac:dyDescent="0.35">
      <c r="X8963" s="40"/>
      <c r="Y8963" s="40"/>
    </row>
    <row r="8964" spans="24:25" x14ac:dyDescent="0.35">
      <c r="X8964" s="40"/>
      <c r="Y8964" s="40"/>
    </row>
    <row r="8965" spans="24:25" x14ac:dyDescent="0.35">
      <c r="X8965" s="40"/>
      <c r="Y8965" s="40"/>
    </row>
    <row r="8966" spans="24:25" x14ac:dyDescent="0.35">
      <c r="X8966" s="40"/>
      <c r="Y8966" s="40"/>
    </row>
    <row r="8967" spans="24:25" x14ac:dyDescent="0.35">
      <c r="X8967" s="40"/>
      <c r="Y8967" s="40"/>
    </row>
    <row r="8968" spans="24:25" x14ac:dyDescent="0.35">
      <c r="X8968" s="40"/>
      <c r="Y8968" s="40"/>
    </row>
    <row r="8969" spans="24:25" x14ac:dyDescent="0.35">
      <c r="X8969" s="40"/>
      <c r="Y8969" s="40"/>
    </row>
    <row r="8970" spans="24:25" x14ac:dyDescent="0.35">
      <c r="X8970" s="40"/>
      <c r="Y8970" s="40"/>
    </row>
    <row r="8971" spans="24:25" x14ac:dyDescent="0.35">
      <c r="X8971" s="40"/>
      <c r="Y8971" s="40"/>
    </row>
    <row r="8972" spans="24:25" x14ac:dyDescent="0.35">
      <c r="X8972" s="40"/>
      <c r="Y8972" s="40"/>
    </row>
    <row r="8973" spans="24:25" x14ac:dyDescent="0.35">
      <c r="X8973" s="40"/>
      <c r="Y8973" s="40"/>
    </row>
    <row r="8974" spans="24:25" x14ac:dyDescent="0.35">
      <c r="X8974" s="40"/>
      <c r="Y8974" s="40"/>
    </row>
    <row r="8975" spans="24:25" x14ac:dyDescent="0.35">
      <c r="X8975" s="40"/>
      <c r="Y8975" s="40"/>
    </row>
    <row r="8976" spans="24:25" x14ac:dyDescent="0.35">
      <c r="X8976" s="40"/>
      <c r="Y8976" s="40"/>
    </row>
    <row r="8977" spans="24:25" x14ac:dyDescent="0.35">
      <c r="X8977" s="40"/>
      <c r="Y8977" s="40"/>
    </row>
    <row r="8978" spans="24:25" x14ac:dyDescent="0.35">
      <c r="X8978" s="40"/>
      <c r="Y8978" s="40"/>
    </row>
    <row r="8979" spans="24:25" x14ac:dyDescent="0.35">
      <c r="X8979" s="40"/>
      <c r="Y8979" s="40"/>
    </row>
    <row r="8980" spans="24:25" x14ac:dyDescent="0.35">
      <c r="X8980" s="40"/>
      <c r="Y8980" s="40"/>
    </row>
    <row r="8981" spans="24:25" x14ac:dyDescent="0.35">
      <c r="X8981" s="40"/>
      <c r="Y8981" s="40"/>
    </row>
    <row r="8982" spans="24:25" x14ac:dyDescent="0.35">
      <c r="X8982" s="40"/>
      <c r="Y8982" s="40"/>
    </row>
    <row r="8983" spans="24:25" x14ac:dyDescent="0.35">
      <c r="X8983" s="40"/>
      <c r="Y8983" s="40"/>
    </row>
    <row r="8984" spans="24:25" x14ac:dyDescent="0.35">
      <c r="X8984" s="40"/>
      <c r="Y8984" s="40"/>
    </row>
    <row r="8985" spans="24:25" x14ac:dyDescent="0.35">
      <c r="X8985" s="40"/>
      <c r="Y8985" s="40"/>
    </row>
    <row r="8986" spans="24:25" x14ac:dyDescent="0.35">
      <c r="X8986" s="40"/>
      <c r="Y8986" s="40"/>
    </row>
    <row r="8987" spans="24:25" x14ac:dyDescent="0.35">
      <c r="X8987" s="40"/>
      <c r="Y8987" s="40"/>
    </row>
    <row r="8988" spans="24:25" x14ac:dyDescent="0.35">
      <c r="X8988" s="40"/>
      <c r="Y8988" s="40"/>
    </row>
    <row r="8989" spans="24:25" x14ac:dyDescent="0.35">
      <c r="X8989" s="40"/>
      <c r="Y8989" s="40"/>
    </row>
    <row r="8990" spans="24:25" x14ac:dyDescent="0.35">
      <c r="X8990" s="40"/>
      <c r="Y8990" s="40"/>
    </row>
    <row r="8991" spans="24:25" x14ac:dyDescent="0.35">
      <c r="X8991" s="40"/>
      <c r="Y8991" s="40"/>
    </row>
    <row r="8992" spans="24:25" x14ac:dyDescent="0.35">
      <c r="X8992" s="40"/>
      <c r="Y8992" s="40"/>
    </row>
    <row r="8993" spans="24:25" x14ac:dyDescent="0.35">
      <c r="X8993" s="40"/>
      <c r="Y8993" s="40"/>
    </row>
    <row r="8994" spans="24:25" x14ac:dyDescent="0.35">
      <c r="X8994" s="40"/>
      <c r="Y8994" s="40"/>
    </row>
    <row r="8995" spans="24:25" x14ac:dyDescent="0.35">
      <c r="X8995" s="40"/>
      <c r="Y8995" s="40"/>
    </row>
    <row r="8996" spans="24:25" x14ac:dyDescent="0.35">
      <c r="X8996" s="40"/>
      <c r="Y8996" s="40"/>
    </row>
    <row r="8997" spans="24:25" x14ac:dyDescent="0.35">
      <c r="X8997" s="40"/>
      <c r="Y8997" s="40"/>
    </row>
    <row r="8998" spans="24:25" x14ac:dyDescent="0.35">
      <c r="X8998" s="40"/>
      <c r="Y8998" s="40"/>
    </row>
    <row r="8999" spans="24:25" x14ac:dyDescent="0.35">
      <c r="X8999" s="40"/>
      <c r="Y8999" s="40"/>
    </row>
    <row r="9000" spans="24:25" x14ac:dyDescent="0.35">
      <c r="X9000" s="40"/>
      <c r="Y9000" s="40"/>
    </row>
    <row r="9001" spans="24:25" x14ac:dyDescent="0.35">
      <c r="X9001" s="40"/>
      <c r="Y9001" s="40"/>
    </row>
    <row r="9002" spans="24:25" x14ac:dyDescent="0.35">
      <c r="X9002" s="40"/>
      <c r="Y9002" s="40"/>
    </row>
    <row r="9003" spans="24:25" x14ac:dyDescent="0.35">
      <c r="X9003" s="40"/>
      <c r="Y9003" s="40"/>
    </row>
    <row r="9004" spans="24:25" x14ac:dyDescent="0.35">
      <c r="X9004" s="40"/>
      <c r="Y9004" s="40"/>
    </row>
    <row r="9005" spans="24:25" x14ac:dyDescent="0.35">
      <c r="X9005" s="40"/>
      <c r="Y9005" s="40"/>
    </row>
    <row r="9006" spans="24:25" x14ac:dyDescent="0.35">
      <c r="X9006" s="40"/>
      <c r="Y9006" s="40"/>
    </row>
    <row r="9007" spans="24:25" x14ac:dyDescent="0.35">
      <c r="X9007" s="40"/>
      <c r="Y9007" s="40"/>
    </row>
    <row r="9008" spans="24:25" x14ac:dyDescent="0.35">
      <c r="X9008" s="40"/>
      <c r="Y9008" s="40"/>
    </row>
    <row r="9009" spans="24:25" x14ac:dyDescent="0.35">
      <c r="X9009" s="40"/>
      <c r="Y9009" s="40"/>
    </row>
    <row r="9010" spans="24:25" x14ac:dyDescent="0.35">
      <c r="X9010" s="40"/>
      <c r="Y9010" s="40"/>
    </row>
    <row r="9011" spans="24:25" x14ac:dyDescent="0.35">
      <c r="X9011" s="40"/>
      <c r="Y9011" s="40"/>
    </row>
    <row r="9012" spans="24:25" x14ac:dyDescent="0.35">
      <c r="X9012" s="40"/>
      <c r="Y9012" s="40"/>
    </row>
    <row r="9013" spans="24:25" x14ac:dyDescent="0.35">
      <c r="X9013" s="40"/>
      <c r="Y9013" s="40"/>
    </row>
    <row r="9014" spans="24:25" x14ac:dyDescent="0.35">
      <c r="X9014" s="40"/>
      <c r="Y9014" s="40"/>
    </row>
    <row r="9015" spans="24:25" x14ac:dyDescent="0.35">
      <c r="X9015" s="40"/>
      <c r="Y9015" s="40"/>
    </row>
    <row r="9016" spans="24:25" x14ac:dyDescent="0.35">
      <c r="X9016" s="40"/>
      <c r="Y9016" s="40"/>
    </row>
    <row r="9017" spans="24:25" x14ac:dyDescent="0.35">
      <c r="X9017" s="40"/>
      <c r="Y9017" s="40"/>
    </row>
    <row r="9018" spans="24:25" x14ac:dyDescent="0.35">
      <c r="X9018" s="40"/>
      <c r="Y9018" s="40"/>
    </row>
    <row r="9019" spans="24:25" x14ac:dyDescent="0.35">
      <c r="X9019" s="40"/>
      <c r="Y9019" s="40"/>
    </row>
    <row r="9020" spans="24:25" x14ac:dyDescent="0.35">
      <c r="X9020" s="40"/>
      <c r="Y9020" s="40"/>
    </row>
    <row r="9021" spans="24:25" x14ac:dyDescent="0.35">
      <c r="X9021" s="40"/>
      <c r="Y9021" s="40"/>
    </row>
    <row r="9022" spans="24:25" x14ac:dyDescent="0.35">
      <c r="X9022" s="40"/>
      <c r="Y9022" s="40"/>
    </row>
    <row r="9023" spans="24:25" x14ac:dyDescent="0.35">
      <c r="X9023" s="40"/>
      <c r="Y9023" s="40"/>
    </row>
    <row r="9024" spans="24:25" x14ac:dyDescent="0.35">
      <c r="X9024" s="40"/>
      <c r="Y9024" s="40"/>
    </row>
    <row r="9025" spans="24:25" x14ac:dyDescent="0.35">
      <c r="X9025" s="40"/>
      <c r="Y9025" s="40"/>
    </row>
    <row r="9026" spans="24:25" x14ac:dyDescent="0.35">
      <c r="X9026" s="40"/>
      <c r="Y9026" s="40"/>
    </row>
    <row r="9027" spans="24:25" x14ac:dyDescent="0.35">
      <c r="X9027" s="40"/>
      <c r="Y9027" s="40"/>
    </row>
    <row r="9028" spans="24:25" x14ac:dyDescent="0.35">
      <c r="X9028" s="40"/>
      <c r="Y9028" s="40"/>
    </row>
    <row r="9029" spans="24:25" x14ac:dyDescent="0.35">
      <c r="X9029" s="40"/>
      <c r="Y9029" s="40"/>
    </row>
    <row r="9030" spans="24:25" x14ac:dyDescent="0.35">
      <c r="X9030" s="40"/>
      <c r="Y9030" s="40"/>
    </row>
    <row r="9031" spans="24:25" x14ac:dyDescent="0.35">
      <c r="X9031" s="40"/>
      <c r="Y9031" s="40"/>
    </row>
    <row r="9032" spans="24:25" x14ac:dyDescent="0.35">
      <c r="X9032" s="40"/>
      <c r="Y9032" s="40"/>
    </row>
    <row r="9033" spans="24:25" x14ac:dyDescent="0.35">
      <c r="X9033" s="40"/>
      <c r="Y9033" s="40"/>
    </row>
    <row r="9034" spans="24:25" x14ac:dyDescent="0.35">
      <c r="X9034" s="40"/>
      <c r="Y9034" s="40"/>
    </row>
    <row r="9035" spans="24:25" x14ac:dyDescent="0.35">
      <c r="X9035" s="40"/>
      <c r="Y9035" s="40"/>
    </row>
    <row r="9036" spans="24:25" x14ac:dyDescent="0.35">
      <c r="X9036" s="40"/>
      <c r="Y9036" s="40"/>
    </row>
    <row r="9037" spans="24:25" x14ac:dyDescent="0.35">
      <c r="X9037" s="40"/>
      <c r="Y9037" s="40"/>
    </row>
    <row r="9038" spans="24:25" x14ac:dyDescent="0.35">
      <c r="X9038" s="40"/>
      <c r="Y9038" s="40"/>
    </row>
    <row r="9039" spans="24:25" x14ac:dyDescent="0.35">
      <c r="X9039" s="40"/>
      <c r="Y9039" s="40"/>
    </row>
    <row r="9040" spans="24:25" x14ac:dyDescent="0.35">
      <c r="X9040" s="40"/>
      <c r="Y9040" s="40"/>
    </row>
    <row r="9041" spans="24:25" x14ac:dyDescent="0.35">
      <c r="X9041" s="40"/>
      <c r="Y9041" s="40"/>
    </row>
    <row r="9042" spans="24:25" x14ac:dyDescent="0.35">
      <c r="X9042" s="40"/>
      <c r="Y9042" s="40"/>
    </row>
    <row r="9043" spans="24:25" x14ac:dyDescent="0.35">
      <c r="X9043" s="40"/>
      <c r="Y9043" s="40"/>
    </row>
    <row r="9044" spans="24:25" x14ac:dyDescent="0.35">
      <c r="X9044" s="40"/>
      <c r="Y9044" s="40"/>
    </row>
    <row r="9045" spans="24:25" x14ac:dyDescent="0.35">
      <c r="X9045" s="40"/>
      <c r="Y9045" s="40"/>
    </row>
    <row r="9046" spans="24:25" x14ac:dyDescent="0.35">
      <c r="X9046" s="40"/>
      <c r="Y9046" s="40"/>
    </row>
    <row r="9047" spans="24:25" x14ac:dyDescent="0.35">
      <c r="X9047" s="40"/>
      <c r="Y9047" s="40"/>
    </row>
    <row r="9048" spans="24:25" x14ac:dyDescent="0.35">
      <c r="X9048" s="40"/>
      <c r="Y9048" s="40"/>
    </row>
    <row r="9049" spans="24:25" x14ac:dyDescent="0.35">
      <c r="X9049" s="40"/>
      <c r="Y9049" s="40"/>
    </row>
    <row r="9050" spans="24:25" x14ac:dyDescent="0.35">
      <c r="X9050" s="40"/>
      <c r="Y9050" s="40"/>
    </row>
    <row r="9051" spans="24:25" x14ac:dyDescent="0.35">
      <c r="X9051" s="40"/>
      <c r="Y9051" s="40"/>
    </row>
    <row r="9052" spans="24:25" x14ac:dyDescent="0.35">
      <c r="X9052" s="40"/>
      <c r="Y9052" s="40"/>
    </row>
    <row r="9053" spans="24:25" x14ac:dyDescent="0.35">
      <c r="X9053" s="40"/>
      <c r="Y9053" s="40"/>
    </row>
    <row r="9054" spans="24:25" x14ac:dyDescent="0.35">
      <c r="X9054" s="40"/>
      <c r="Y9054" s="40"/>
    </row>
    <row r="9055" spans="24:25" x14ac:dyDescent="0.35">
      <c r="X9055" s="40"/>
      <c r="Y9055" s="40"/>
    </row>
    <row r="9056" spans="24:25" x14ac:dyDescent="0.35">
      <c r="X9056" s="40"/>
      <c r="Y9056" s="40"/>
    </row>
    <row r="9057" spans="24:25" x14ac:dyDescent="0.35">
      <c r="X9057" s="40"/>
      <c r="Y9057" s="40"/>
    </row>
    <row r="9058" spans="24:25" x14ac:dyDescent="0.35">
      <c r="X9058" s="40"/>
      <c r="Y9058" s="40"/>
    </row>
    <row r="9059" spans="24:25" x14ac:dyDescent="0.35">
      <c r="X9059" s="40"/>
      <c r="Y9059" s="40"/>
    </row>
    <row r="9060" spans="24:25" x14ac:dyDescent="0.35">
      <c r="X9060" s="40"/>
      <c r="Y9060" s="40"/>
    </row>
    <row r="9061" spans="24:25" x14ac:dyDescent="0.35">
      <c r="X9061" s="40"/>
      <c r="Y9061" s="40"/>
    </row>
    <row r="9062" spans="24:25" x14ac:dyDescent="0.35">
      <c r="X9062" s="40"/>
      <c r="Y9062" s="40"/>
    </row>
    <row r="9063" spans="24:25" x14ac:dyDescent="0.35">
      <c r="X9063" s="40"/>
      <c r="Y9063" s="40"/>
    </row>
    <row r="9064" spans="24:25" x14ac:dyDescent="0.35">
      <c r="X9064" s="40"/>
      <c r="Y9064" s="40"/>
    </row>
    <row r="9065" spans="24:25" x14ac:dyDescent="0.35">
      <c r="X9065" s="40"/>
      <c r="Y9065" s="40"/>
    </row>
    <row r="9066" spans="24:25" x14ac:dyDescent="0.35">
      <c r="X9066" s="40"/>
      <c r="Y9066" s="40"/>
    </row>
    <row r="9067" spans="24:25" x14ac:dyDescent="0.35">
      <c r="X9067" s="40"/>
      <c r="Y9067" s="40"/>
    </row>
    <row r="9068" spans="24:25" x14ac:dyDescent="0.35">
      <c r="X9068" s="40"/>
      <c r="Y9068" s="40"/>
    </row>
    <row r="9069" spans="24:25" x14ac:dyDescent="0.35">
      <c r="X9069" s="40"/>
      <c r="Y9069" s="40"/>
    </row>
    <row r="9070" spans="24:25" x14ac:dyDescent="0.35">
      <c r="X9070" s="40"/>
      <c r="Y9070" s="40"/>
    </row>
    <row r="9071" spans="24:25" x14ac:dyDescent="0.35">
      <c r="X9071" s="40"/>
      <c r="Y9071" s="40"/>
    </row>
    <row r="9072" spans="24:25" x14ac:dyDescent="0.35">
      <c r="X9072" s="40"/>
      <c r="Y9072" s="40"/>
    </row>
    <row r="9073" spans="24:25" x14ac:dyDescent="0.35">
      <c r="X9073" s="40"/>
      <c r="Y9073" s="40"/>
    </row>
    <row r="9074" spans="24:25" x14ac:dyDescent="0.35">
      <c r="X9074" s="40"/>
      <c r="Y9074" s="40"/>
    </row>
    <row r="9075" spans="24:25" x14ac:dyDescent="0.35">
      <c r="X9075" s="40"/>
      <c r="Y9075" s="40"/>
    </row>
    <row r="9076" spans="24:25" x14ac:dyDescent="0.35">
      <c r="X9076" s="40"/>
      <c r="Y9076" s="40"/>
    </row>
    <row r="9077" spans="24:25" x14ac:dyDescent="0.35">
      <c r="X9077" s="40"/>
      <c r="Y9077" s="40"/>
    </row>
    <row r="9078" spans="24:25" x14ac:dyDescent="0.35">
      <c r="X9078" s="40"/>
      <c r="Y9078" s="40"/>
    </row>
    <row r="9079" spans="24:25" x14ac:dyDescent="0.35">
      <c r="X9079" s="40"/>
      <c r="Y9079" s="40"/>
    </row>
    <row r="9080" spans="24:25" x14ac:dyDescent="0.35">
      <c r="X9080" s="40"/>
      <c r="Y9080" s="40"/>
    </row>
    <row r="9081" spans="24:25" x14ac:dyDescent="0.35">
      <c r="X9081" s="40"/>
      <c r="Y9081" s="40"/>
    </row>
    <row r="9082" spans="24:25" x14ac:dyDescent="0.35">
      <c r="X9082" s="40"/>
      <c r="Y9082" s="40"/>
    </row>
    <row r="9083" spans="24:25" x14ac:dyDescent="0.35">
      <c r="X9083" s="40"/>
      <c r="Y9083" s="40"/>
    </row>
    <row r="9084" spans="24:25" x14ac:dyDescent="0.35">
      <c r="X9084" s="40"/>
      <c r="Y9084" s="40"/>
    </row>
    <row r="9085" spans="24:25" x14ac:dyDescent="0.35">
      <c r="X9085" s="40"/>
      <c r="Y9085" s="40"/>
    </row>
    <row r="9086" spans="24:25" x14ac:dyDescent="0.35">
      <c r="X9086" s="40"/>
      <c r="Y9086" s="40"/>
    </row>
    <row r="9087" spans="24:25" x14ac:dyDescent="0.35">
      <c r="X9087" s="40"/>
      <c r="Y9087" s="40"/>
    </row>
    <row r="9088" spans="24:25" x14ac:dyDescent="0.35">
      <c r="X9088" s="40"/>
      <c r="Y9088" s="40"/>
    </row>
    <row r="9089" spans="24:25" x14ac:dyDescent="0.35">
      <c r="X9089" s="40"/>
      <c r="Y9089" s="40"/>
    </row>
    <row r="9090" spans="24:25" x14ac:dyDescent="0.35">
      <c r="X9090" s="40"/>
      <c r="Y9090" s="40"/>
    </row>
    <row r="9091" spans="24:25" x14ac:dyDescent="0.35">
      <c r="X9091" s="40"/>
      <c r="Y9091" s="40"/>
    </row>
    <row r="9092" spans="24:25" x14ac:dyDescent="0.35">
      <c r="X9092" s="40"/>
      <c r="Y9092" s="40"/>
    </row>
    <row r="9093" spans="24:25" x14ac:dyDescent="0.35">
      <c r="X9093" s="40"/>
      <c r="Y9093" s="40"/>
    </row>
    <row r="9094" spans="24:25" x14ac:dyDescent="0.35">
      <c r="X9094" s="40"/>
      <c r="Y9094" s="40"/>
    </row>
    <row r="9095" spans="24:25" x14ac:dyDescent="0.35">
      <c r="X9095" s="40"/>
      <c r="Y9095" s="40"/>
    </row>
    <row r="9096" spans="24:25" x14ac:dyDescent="0.35">
      <c r="X9096" s="40"/>
      <c r="Y9096" s="40"/>
    </row>
    <row r="9097" spans="24:25" x14ac:dyDescent="0.35">
      <c r="X9097" s="40"/>
      <c r="Y9097" s="40"/>
    </row>
    <row r="9098" spans="24:25" x14ac:dyDescent="0.35">
      <c r="X9098" s="40"/>
      <c r="Y9098" s="40"/>
    </row>
    <row r="9099" spans="24:25" x14ac:dyDescent="0.35">
      <c r="X9099" s="40"/>
      <c r="Y9099" s="40"/>
    </row>
    <row r="9100" spans="24:25" x14ac:dyDescent="0.35">
      <c r="X9100" s="40"/>
      <c r="Y9100" s="40"/>
    </row>
    <row r="9101" spans="24:25" x14ac:dyDescent="0.35">
      <c r="X9101" s="40"/>
      <c r="Y9101" s="40"/>
    </row>
    <row r="9102" spans="24:25" x14ac:dyDescent="0.35">
      <c r="X9102" s="40"/>
      <c r="Y9102" s="40"/>
    </row>
    <row r="9103" spans="24:25" x14ac:dyDescent="0.35">
      <c r="X9103" s="40"/>
      <c r="Y9103" s="40"/>
    </row>
    <row r="9104" spans="24:25" x14ac:dyDescent="0.35">
      <c r="X9104" s="40"/>
      <c r="Y9104" s="40"/>
    </row>
    <row r="9105" spans="24:25" x14ac:dyDescent="0.35">
      <c r="X9105" s="40"/>
      <c r="Y9105" s="40"/>
    </row>
    <row r="9106" spans="24:25" x14ac:dyDescent="0.35">
      <c r="X9106" s="40"/>
      <c r="Y9106" s="40"/>
    </row>
    <row r="9107" spans="24:25" x14ac:dyDescent="0.35">
      <c r="X9107" s="40"/>
      <c r="Y9107" s="40"/>
    </row>
    <row r="9108" spans="24:25" x14ac:dyDescent="0.35">
      <c r="X9108" s="40"/>
      <c r="Y9108" s="40"/>
    </row>
    <row r="9109" spans="24:25" x14ac:dyDescent="0.35">
      <c r="X9109" s="40"/>
      <c r="Y9109" s="40"/>
    </row>
    <row r="9110" spans="24:25" x14ac:dyDescent="0.35">
      <c r="X9110" s="40"/>
      <c r="Y9110" s="40"/>
    </row>
    <row r="9111" spans="24:25" x14ac:dyDescent="0.35">
      <c r="X9111" s="40"/>
      <c r="Y9111" s="40"/>
    </row>
    <row r="9112" spans="24:25" x14ac:dyDescent="0.35">
      <c r="X9112" s="40"/>
      <c r="Y9112" s="40"/>
    </row>
    <row r="9113" spans="24:25" x14ac:dyDescent="0.35">
      <c r="X9113" s="40"/>
      <c r="Y9113" s="40"/>
    </row>
    <row r="9114" spans="24:25" x14ac:dyDescent="0.35">
      <c r="X9114" s="40"/>
      <c r="Y9114" s="40"/>
    </row>
    <row r="9115" spans="24:25" x14ac:dyDescent="0.35">
      <c r="X9115" s="40"/>
      <c r="Y9115" s="40"/>
    </row>
    <row r="9116" spans="24:25" x14ac:dyDescent="0.35">
      <c r="X9116" s="40"/>
      <c r="Y9116" s="40"/>
    </row>
    <row r="9117" spans="24:25" x14ac:dyDescent="0.35">
      <c r="X9117" s="40"/>
      <c r="Y9117" s="40"/>
    </row>
    <row r="9118" spans="24:25" x14ac:dyDescent="0.35">
      <c r="X9118" s="40"/>
      <c r="Y9118" s="40"/>
    </row>
    <row r="9119" spans="24:25" x14ac:dyDescent="0.35">
      <c r="X9119" s="40"/>
      <c r="Y9119" s="40"/>
    </row>
    <row r="9120" spans="24:25" x14ac:dyDescent="0.35">
      <c r="X9120" s="40"/>
      <c r="Y9120" s="40"/>
    </row>
    <row r="9121" spans="24:25" x14ac:dyDescent="0.35">
      <c r="X9121" s="40"/>
      <c r="Y9121" s="40"/>
    </row>
    <row r="9122" spans="24:25" x14ac:dyDescent="0.35">
      <c r="X9122" s="40"/>
      <c r="Y9122" s="40"/>
    </row>
    <row r="9123" spans="24:25" x14ac:dyDescent="0.35">
      <c r="X9123" s="40"/>
      <c r="Y9123" s="40"/>
    </row>
    <row r="9124" spans="24:25" x14ac:dyDescent="0.35">
      <c r="X9124" s="40"/>
      <c r="Y9124" s="40"/>
    </row>
    <row r="9125" spans="24:25" x14ac:dyDescent="0.35">
      <c r="X9125" s="40"/>
      <c r="Y9125" s="40"/>
    </row>
    <row r="9126" spans="24:25" x14ac:dyDescent="0.35">
      <c r="X9126" s="40"/>
      <c r="Y9126" s="40"/>
    </row>
    <row r="9127" spans="24:25" x14ac:dyDescent="0.35">
      <c r="X9127" s="40"/>
      <c r="Y9127" s="40"/>
    </row>
    <row r="9128" spans="24:25" x14ac:dyDescent="0.35">
      <c r="X9128" s="40"/>
      <c r="Y9128" s="40"/>
    </row>
    <row r="9129" spans="24:25" x14ac:dyDescent="0.35">
      <c r="X9129" s="40"/>
      <c r="Y9129" s="40"/>
    </row>
    <row r="9130" spans="24:25" x14ac:dyDescent="0.35">
      <c r="X9130" s="40"/>
      <c r="Y9130" s="40"/>
    </row>
    <row r="9131" spans="24:25" x14ac:dyDescent="0.35">
      <c r="X9131" s="40"/>
      <c r="Y9131" s="40"/>
    </row>
    <row r="9132" spans="24:25" x14ac:dyDescent="0.35">
      <c r="X9132" s="40"/>
      <c r="Y9132" s="40"/>
    </row>
    <row r="9133" spans="24:25" x14ac:dyDescent="0.35">
      <c r="X9133" s="40"/>
      <c r="Y9133" s="40"/>
    </row>
    <row r="9134" spans="24:25" x14ac:dyDescent="0.35">
      <c r="X9134" s="40"/>
      <c r="Y9134" s="40"/>
    </row>
    <row r="9135" spans="24:25" x14ac:dyDescent="0.35">
      <c r="X9135" s="40"/>
      <c r="Y9135" s="40"/>
    </row>
    <row r="9136" spans="24:25" x14ac:dyDescent="0.35">
      <c r="X9136" s="40"/>
      <c r="Y9136" s="40"/>
    </row>
    <row r="9137" spans="24:25" x14ac:dyDescent="0.35">
      <c r="X9137" s="40"/>
      <c r="Y9137" s="40"/>
    </row>
    <row r="9138" spans="24:25" x14ac:dyDescent="0.35">
      <c r="X9138" s="40"/>
      <c r="Y9138" s="40"/>
    </row>
    <row r="9139" spans="24:25" x14ac:dyDescent="0.35">
      <c r="X9139" s="40"/>
      <c r="Y9139" s="40"/>
    </row>
    <row r="9140" spans="24:25" x14ac:dyDescent="0.35">
      <c r="X9140" s="40"/>
      <c r="Y9140" s="40"/>
    </row>
    <row r="9141" spans="24:25" x14ac:dyDescent="0.35">
      <c r="X9141" s="40"/>
      <c r="Y9141" s="40"/>
    </row>
    <row r="9142" spans="24:25" x14ac:dyDescent="0.35">
      <c r="X9142" s="40"/>
      <c r="Y9142" s="40"/>
    </row>
    <row r="9143" spans="24:25" x14ac:dyDescent="0.35">
      <c r="X9143" s="40"/>
      <c r="Y9143" s="40"/>
    </row>
    <row r="9144" spans="24:25" x14ac:dyDescent="0.35">
      <c r="X9144" s="40"/>
      <c r="Y9144" s="40"/>
    </row>
    <row r="9145" spans="24:25" x14ac:dyDescent="0.35">
      <c r="X9145" s="40"/>
      <c r="Y9145" s="40"/>
    </row>
    <row r="9146" spans="24:25" x14ac:dyDescent="0.35">
      <c r="X9146" s="40"/>
      <c r="Y9146" s="40"/>
    </row>
    <row r="9147" spans="24:25" x14ac:dyDescent="0.35">
      <c r="X9147" s="40"/>
      <c r="Y9147" s="40"/>
    </row>
    <row r="9148" spans="24:25" x14ac:dyDescent="0.35">
      <c r="X9148" s="40"/>
      <c r="Y9148" s="40"/>
    </row>
    <row r="9149" spans="24:25" x14ac:dyDescent="0.35">
      <c r="X9149" s="40"/>
      <c r="Y9149" s="40"/>
    </row>
    <row r="9150" spans="24:25" x14ac:dyDescent="0.35">
      <c r="X9150" s="40"/>
      <c r="Y9150" s="40"/>
    </row>
    <row r="9151" spans="24:25" x14ac:dyDescent="0.35">
      <c r="X9151" s="40"/>
      <c r="Y9151" s="40"/>
    </row>
    <row r="9152" spans="24:25" x14ac:dyDescent="0.35">
      <c r="X9152" s="40"/>
      <c r="Y9152" s="40"/>
    </row>
    <row r="9153" spans="24:25" x14ac:dyDescent="0.35">
      <c r="X9153" s="40"/>
      <c r="Y9153" s="40"/>
    </row>
    <row r="9154" spans="24:25" x14ac:dyDescent="0.35">
      <c r="X9154" s="40"/>
      <c r="Y9154" s="40"/>
    </row>
    <row r="9155" spans="24:25" x14ac:dyDescent="0.35">
      <c r="X9155" s="40"/>
      <c r="Y9155" s="40"/>
    </row>
    <row r="9156" spans="24:25" x14ac:dyDescent="0.35">
      <c r="X9156" s="40"/>
      <c r="Y9156" s="40"/>
    </row>
    <row r="9157" spans="24:25" x14ac:dyDescent="0.35">
      <c r="X9157" s="40"/>
      <c r="Y9157" s="40"/>
    </row>
    <row r="9158" spans="24:25" x14ac:dyDescent="0.35">
      <c r="X9158" s="40"/>
      <c r="Y9158" s="40"/>
    </row>
    <row r="9159" spans="24:25" x14ac:dyDescent="0.35">
      <c r="X9159" s="40"/>
      <c r="Y9159" s="40"/>
    </row>
    <row r="9160" spans="24:25" x14ac:dyDescent="0.35">
      <c r="X9160" s="40"/>
      <c r="Y9160" s="40"/>
    </row>
    <row r="9161" spans="24:25" x14ac:dyDescent="0.35">
      <c r="X9161" s="40"/>
      <c r="Y9161" s="40"/>
    </row>
    <row r="9162" spans="24:25" x14ac:dyDescent="0.35">
      <c r="X9162" s="40"/>
      <c r="Y9162" s="40"/>
    </row>
    <row r="9163" spans="24:25" x14ac:dyDescent="0.35">
      <c r="X9163" s="40"/>
      <c r="Y9163" s="40"/>
    </row>
    <row r="9164" spans="24:25" x14ac:dyDescent="0.35">
      <c r="X9164" s="40"/>
      <c r="Y9164" s="40"/>
    </row>
    <row r="9165" spans="24:25" x14ac:dyDescent="0.35">
      <c r="X9165" s="40"/>
      <c r="Y9165" s="40"/>
    </row>
    <row r="9166" spans="24:25" x14ac:dyDescent="0.35">
      <c r="X9166" s="40"/>
      <c r="Y9166" s="40"/>
    </row>
    <row r="9167" spans="24:25" x14ac:dyDescent="0.35">
      <c r="X9167" s="40"/>
      <c r="Y9167" s="40"/>
    </row>
    <row r="9168" spans="24:25" x14ac:dyDescent="0.35">
      <c r="X9168" s="40"/>
      <c r="Y9168" s="40"/>
    </row>
    <row r="9169" spans="24:25" x14ac:dyDescent="0.35">
      <c r="X9169" s="40"/>
      <c r="Y9169" s="40"/>
    </row>
    <row r="9170" spans="24:25" x14ac:dyDescent="0.35">
      <c r="X9170" s="40"/>
      <c r="Y9170" s="40"/>
    </row>
    <row r="9171" spans="24:25" x14ac:dyDescent="0.35">
      <c r="X9171" s="40"/>
      <c r="Y9171" s="40"/>
    </row>
    <row r="9172" spans="24:25" x14ac:dyDescent="0.35">
      <c r="X9172" s="40"/>
      <c r="Y9172" s="40"/>
    </row>
    <row r="9173" spans="24:25" x14ac:dyDescent="0.35">
      <c r="X9173" s="40"/>
      <c r="Y9173" s="40"/>
    </row>
    <row r="9174" spans="24:25" x14ac:dyDescent="0.35">
      <c r="X9174" s="40"/>
      <c r="Y9174" s="40"/>
    </row>
    <row r="9175" spans="24:25" x14ac:dyDescent="0.35">
      <c r="X9175" s="40"/>
      <c r="Y9175" s="40"/>
    </row>
    <row r="9176" spans="24:25" x14ac:dyDescent="0.35">
      <c r="X9176" s="40"/>
      <c r="Y9176" s="40"/>
    </row>
    <row r="9177" spans="24:25" x14ac:dyDescent="0.35">
      <c r="X9177" s="40"/>
      <c r="Y9177" s="40"/>
    </row>
    <row r="9178" spans="24:25" x14ac:dyDescent="0.35">
      <c r="X9178" s="40"/>
      <c r="Y9178" s="40"/>
    </row>
    <row r="9179" spans="24:25" x14ac:dyDescent="0.35">
      <c r="X9179" s="40"/>
      <c r="Y9179" s="40"/>
    </row>
    <row r="9180" spans="24:25" x14ac:dyDescent="0.35">
      <c r="X9180" s="40"/>
      <c r="Y9180" s="40"/>
    </row>
    <row r="9181" spans="24:25" x14ac:dyDescent="0.35">
      <c r="X9181" s="40"/>
      <c r="Y9181" s="40"/>
    </row>
    <row r="9182" spans="24:25" x14ac:dyDescent="0.35">
      <c r="X9182" s="40"/>
      <c r="Y9182" s="40"/>
    </row>
    <row r="9183" spans="24:25" x14ac:dyDescent="0.35">
      <c r="X9183" s="40"/>
      <c r="Y9183" s="40"/>
    </row>
    <row r="9184" spans="24:25" x14ac:dyDescent="0.35">
      <c r="X9184" s="40"/>
      <c r="Y9184" s="40"/>
    </row>
    <row r="9185" spans="24:25" x14ac:dyDescent="0.35">
      <c r="X9185" s="40"/>
      <c r="Y9185" s="40"/>
    </row>
    <row r="9186" spans="24:25" x14ac:dyDescent="0.35">
      <c r="X9186" s="40"/>
      <c r="Y9186" s="40"/>
    </row>
    <row r="9187" spans="24:25" x14ac:dyDescent="0.35">
      <c r="X9187" s="40"/>
      <c r="Y9187" s="40"/>
    </row>
    <row r="9188" spans="24:25" x14ac:dyDescent="0.35">
      <c r="X9188" s="40"/>
      <c r="Y9188" s="40"/>
    </row>
    <row r="9189" spans="24:25" x14ac:dyDescent="0.35">
      <c r="X9189" s="40"/>
      <c r="Y9189" s="40"/>
    </row>
    <row r="9190" spans="24:25" x14ac:dyDescent="0.35">
      <c r="X9190" s="40"/>
      <c r="Y9190" s="40"/>
    </row>
    <row r="9191" spans="24:25" x14ac:dyDescent="0.35">
      <c r="X9191" s="40"/>
      <c r="Y9191" s="40"/>
    </row>
    <row r="9192" spans="24:25" x14ac:dyDescent="0.35">
      <c r="X9192" s="40"/>
      <c r="Y9192" s="40"/>
    </row>
    <row r="9193" spans="24:25" x14ac:dyDescent="0.35">
      <c r="X9193" s="40"/>
      <c r="Y9193" s="40"/>
    </row>
    <row r="9194" spans="24:25" x14ac:dyDescent="0.35">
      <c r="X9194" s="40"/>
      <c r="Y9194" s="40"/>
    </row>
    <row r="9195" spans="24:25" x14ac:dyDescent="0.35">
      <c r="X9195" s="40"/>
      <c r="Y9195" s="40"/>
    </row>
    <row r="9196" spans="24:25" x14ac:dyDescent="0.35">
      <c r="X9196" s="40"/>
      <c r="Y9196" s="40"/>
    </row>
    <row r="9197" spans="24:25" x14ac:dyDescent="0.35">
      <c r="X9197" s="40"/>
      <c r="Y9197" s="40"/>
    </row>
    <row r="9198" spans="24:25" x14ac:dyDescent="0.35">
      <c r="X9198" s="40"/>
      <c r="Y9198" s="40"/>
    </row>
    <row r="9199" spans="24:25" x14ac:dyDescent="0.35">
      <c r="X9199" s="40"/>
      <c r="Y9199" s="40"/>
    </row>
    <row r="9200" spans="24:25" x14ac:dyDescent="0.35">
      <c r="X9200" s="40"/>
      <c r="Y9200" s="40"/>
    </row>
    <row r="9201" spans="24:25" x14ac:dyDescent="0.35">
      <c r="X9201" s="40"/>
      <c r="Y9201" s="40"/>
    </row>
    <row r="9202" spans="24:25" x14ac:dyDescent="0.35">
      <c r="X9202" s="40"/>
      <c r="Y9202" s="40"/>
    </row>
    <row r="9203" spans="24:25" x14ac:dyDescent="0.35">
      <c r="X9203" s="40"/>
      <c r="Y9203" s="40"/>
    </row>
    <row r="9204" spans="24:25" x14ac:dyDescent="0.35">
      <c r="X9204" s="40"/>
      <c r="Y9204" s="40"/>
    </row>
    <row r="9205" spans="24:25" x14ac:dyDescent="0.35">
      <c r="X9205" s="40"/>
      <c r="Y9205" s="40"/>
    </row>
    <row r="9206" spans="24:25" x14ac:dyDescent="0.35">
      <c r="X9206" s="40"/>
      <c r="Y9206" s="40"/>
    </row>
    <row r="9207" spans="24:25" x14ac:dyDescent="0.35">
      <c r="X9207" s="40"/>
      <c r="Y9207" s="40"/>
    </row>
    <row r="9208" spans="24:25" x14ac:dyDescent="0.35">
      <c r="X9208" s="40"/>
      <c r="Y9208" s="40"/>
    </row>
    <row r="9209" spans="24:25" x14ac:dyDescent="0.35">
      <c r="X9209" s="40"/>
      <c r="Y9209" s="40"/>
    </row>
    <row r="9210" spans="24:25" x14ac:dyDescent="0.35">
      <c r="X9210" s="40"/>
      <c r="Y9210" s="40"/>
    </row>
    <row r="9211" spans="24:25" x14ac:dyDescent="0.35">
      <c r="X9211" s="40"/>
      <c r="Y9211" s="40"/>
    </row>
    <row r="9212" spans="24:25" x14ac:dyDescent="0.35">
      <c r="X9212" s="40"/>
      <c r="Y9212" s="40"/>
    </row>
    <row r="9213" spans="24:25" x14ac:dyDescent="0.35">
      <c r="X9213" s="40"/>
      <c r="Y9213" s="40"/>
    </row>
    <row r="9214" spans="24:25" x14ac:dyDescent="0.35">
      <c r="X9214" s="40"/>
      <c r="Y9214" s="40"/>
    </row>
    <row r="9215" spans="24:25" x14ac:dyDescent="0.35">
      <c r="X9215" s="40"/>
      <c r="Y9215" s="40"/>
    </row>
    <row r="9216" spans="24:25" x14ac:dyDescent="0.35">
      <c r="X9216" s="40"/>
      <c r="Y9216" s="40"/>
    </row>
    <row r="9217" spans="24:25" x14ac:dyDescent="0.35">
      <c r="X9217" s="40"/>
      <c r="Y9217" s="40"/>
    </row>
    <row r="9218" spans="24:25" x14ac:dyDescent="0.35">
      <c r="X9218" s="40"/>
      <c r="Y9218" s="40"/>
    </row>
    <row r="9219" spans="24:25" x14ac:dyDescent="0.35">
      <c r="X9219" s="40"/>
      <c r="Y9219" s="40"/>
    </row>
    <row r="9220" spans="24:25" x14ac:dyDescent="0.35">
      <c r="X9220" s="40"/>
      <c r="Y9220" s="40"/>
    </row>
    <row r="9221" spans="24:25" x14ac:dyDescent="0.35">
      <c r="X9221" s="40"/>
      <c r="Y9221" s="40"/>
    </row>
    <row r="9222" spans="24:25" x14ac:dyDescent="0.35">
      <c r="X9222" s="40"/>
      <c r="Y9222" s="40"/>
    </row>
    <row r="9223" spans="24:25" x14ac:dyDescent="0.35">
      <c r="X9223" s="40"/>
      <c r="Y9223" s="40"/>
    </row>
    <row r="9224" spans="24:25" x14ac:dyDescent="0.35">
      <c r="X9224" s="40"/>
      <c r="Y9224" s="40"/>
    </row>
    <row r="9225" spans="24:25" x14ac:dyDescent="0.35">
      <c r="X9225" s="40"/>
      <c r="Y9225" s="40"/>
    </row>
    <row r="9226" spans="24:25" x14ac:dyDescent="0.35">
      <c r="X9226" s="40"/>
      <c r="Y9226" s="40"/>
    </row>
    <row r="9227" spans="24:25" x14ac:dyDescent="0.35">
      <c r="X9227" s="40"/>
      <c r="Y9227" s="40"/>
    </row>
    <row r="9228" spans="24:25" x14ac:dyDescent="0.35">
      <c r="X9228" s="40"/>
      <c r="Y9228" s="40"/>
    </row>
    <row r="9229" spans="24:25" x14ac:dyDescent="0.35">
      <c r="X9229" s="40"/>
      <c r="Y9229" s="40"/>
    </row>
    <row r="9230" spans="24:25" x14ac:dyDescent="0.35">
      <c r="X9230" s="40"/>
      <c r="Y9230" s="40"/>
    </row>
    <row r="9231" spans="24:25" x14ac:dyDescent="0.35">
      <c r="X9231" s="40"/>
      <c r="Y9231" s="40"/>
    </row>
    <row r="9232" spans="24:25" x14ac:dyDescent="0.35">
      <c r="X9232" s="40"/>
      <c r="Y9232" s="40"/>
    </row>
    <row r="9233" spans="24:25" x14ac:dyDescent="0.35">
      <c r="X9233" s="40"/>
      <c r="Y9233" s="40"/>
    </row>
    <row r="9234" spans="24:25" x14ac:dyDescent="0.35">
      <c r="X9234" s="40"/>
      <c r="Y9234" s="40"/>
    </row>
    <row r="9235" spans="24:25" x14ac:dyDescent="0.35">
      <c r="X9235" s="40"/>
      <c r="Y9235" s="40"/>
    </row>
    <row r="9236" spans="24:25" x14ac:dyDescent="0.35">
      <c r="X9236" s="40"/>
      <c r="Y9236" s="40"/>
    </row>
    <row r="9237" spans="24:25" x14ac:dyDescent="0.35">
      <c r="X9237" s="40"/>
      <c r="Y9237" s="40"/>
    </row>
    <row r="9238" spans="24:25" x14ac:dyDescent="0.35">
      <c r="X9238" s="40"/>
      <c r="Y9238" s="40"/>
    </row>
    <row r="9239" spans="24:25" x14ac:dyDescent="0.35">
      <c r="X9239" s="40"/>
      <c r="Y9239" s="40"/>
    </row>
    <row r="9240" spans="24:25" x14ac:dyDescent="0.35">
      <c r="X9240" s="40"/>
      <c r="Y9240" s="40"/>
    </row>
    <row r="9241" spans="24:25" x14ac:dyDescent="0.35">
      <c r="X9241" s="40"/>
      <c r="Y9241" s="40"/>
    </row>
    <row r="9242" spans="24:25" x14ac:dyDescent="0.35">
      <c r="X9242" s="40"/>
      <c r="Y9242" s="40"/>
    </row>
    <row r="9243" spans="24:25" x14ac:dyDescent="0.35">
      <c r="X9243" s="40"/>
      <c r="Y9243" s="40"/>
    </row>
    <row r="9244" spans="24:25" x14ac:dyDescent="0.35">
      <c r="X9244" s="40"/>
      <c r="Y9244" s="40"/>
    </row>
    <row r="9245" spans="24:25" x14ac:dyDescent="0.35">
      <c r="X9245" s="40"/>
      <c r="Y9245" s="40"/>
    </row>
    <row r="9246" spans="24:25" x14ac:dyDescent="0.35">
      <c r="X9246" s="40"/>
      <c r="Y9246" s="40"/>
    </row>
    <row r="9247" spans="24:25" x14ac:dyDescent="0.35">
      <c r="X9247" s="40"/>
      <c r="Y9247" s="40"/>
    </row>
    <row r="9248" spans="24:25" x14ac:dyDescent="0.35">
      <c r="X9248" s="40"/>
      <c r="Y9248" s="40"/>
    </row>
    <row r="9249" spans="24:25" x14ac:dyDescent="0.35">
      <c r="X9249" s="40"/>
      <c r="Y9249" s="40"/>
    </row>
    <row r="9250" spans="24:25" x14ac:dyDescent="0.35">
      <c r="X9250" s="40"/>
      <c r="Y9250" s="40"/>
    </row>
    <row r="9251" spans="24:25" x14ac:dyDescent="0.35">
      <c r="X9251" s="40"/>
      <c r="Y9251" s="40"/>
    </row>
    <row r="9252" spans="24:25" x14ac:dyDescent="0.35">
      <c r="X9252" s="40"/>
      <c r="Y9252" s="40"/>
    </row>
    <row r="9253" spans="24:25" x14ac:dyDescent="0.35">
      <c r="X9253" s="40"/>
      <c r="Y9253" s="40"/>
    </row>
    <row r="9254" spans="24:25" x14ac:dyDescent="0.35">
      <c r="X9254" s="40"/>
      <c r="Y9254" s="40"/>
    </row>
    <row r="9255" spans="24:25" x14ac:dyDescent="0.35">
      <c r="X9255" s="40"/>
      <c r="Y9255" s="40"/>
    </row>
    <row r="9256" spans="24:25" x14ac:dyDescent="0.35">
      <c r="X9256" s="40"/>
      <c r="Y9256" s="40"/>
    </row>
    <row r="9257" spans="24:25" x14ac:dyDescent="0.35">
      <c r="X9257" s="40"/>
      <c r="Y9257" s="40"/>
    </row>
    <row r="9258" spans="24:25" x14ac:dyDescent="0.35">
      <c r="X9258" s="40"/>
      <c r="Y9258" s="40"/>
    </row>
    <row r="9259" spans="24:25" x14ac:dyDescent="0.35">
      <c r="X9259" s="40"/>
      <c r="Y9259" s="40"/>
    </row>
    <row r="9260" spans="24:25" x14ac:dyDescent="0.35">
      <c r="X9260" s="40"/>
      <c r="Y9260" s="40"/>
    </row>
    <row r="9261" spans="24:25" x14ac:dyDescent="0.35">
      <c r="X9261" s="40"/>
      <c r="Y9261" s="40"/>
    </row>
    <row r="9262" spans="24:25" x14ac:dyDescent="0.35">
      <c r="X9262" s="40"/>
      <c r="Y9262" s="40"/>
    </row>
    <row r="9263" spans="24:25" x14ac:dyDescent="0.35">
      <c r="X9263" s="40"/>
      <c r="Y9263" s="40"/>
    </row>
    <row r="9264" spans="24:25" x14ac:dyDescent="0.35">
      <c r="X9264" s="40"/>
      <c r="Y9264" s="40"/>
    </row>
    <row r="9265" spans="24:25" x14ac:dyDescent="0.35">
      <c r="X9265" s="40"/>
      <c r="Y9265" s="40"/>
    </row>
    <row r="9266" spans="24:25" x14ac:dyDescent="0.35">
      <c r="X9266" s="40"/>
      <c r="Y9266" s="40"/>
    </row>
    <row r="9267" spans="24:25" x14ac:dyDescent="0.35">
      <c r="X9267" s="40"/>
      <c r="Y9267" s="40"/>
    </row>
    <row r="9268" spans="24:25" x14ac:dyDescent="0.35">
      <c r="X9268" s="40"/>
      <c r="Y9268" s="40"/>
    </row>
    <row r="9269" spans="24:25" x14ac:dyDescent="0.35">
      <c r="X9269" s="40"/>
      <c r="Y9269" s="40"/>
    </row>
    <row r="9270" spans="24:25" x14ac:dyDescent="0.35">
      <c r="X9270" s="40"/>
      <c r="Y9270" s="40"/>
    </row>
    <row r="9271" spans="24:25" x14ac:dyDescent="0.35">
      <c r="X9271" s="40"/>
      <c r="Y9271" s="40"/>
    </row>
    <row r="9272" spans="24:25" x14ac:dyDescent="0.35">
      <c r="X9272" s="40"/>
      <c r="Y9272" s="40"/>
    </row>
    <row r="9273" spans="24:25" x14ac:dyDescent="0.35">
      <c r="X9273" s="40"/>
      <c r="Y9273" s="40"/>
    </row>
    <row r="9274" spans="24:25" x14ac:dyDescent="0.35">
      <c r="X9274" s="40"/>
      <c r="Y9274" s="40"/>
    </row>
    <row r="9275" spans="24:25" x14ac:dyDescent="0.35">
      <c r="X9275" s="40"/>
      <c r="Y9275" s="40"/>
    </row>
    <row r="9276" spans="24:25" x14ac:dyDescent="0.35">
      <c r="X9276" s="40"/>
      <c r="Y9276" s="40"/>
    </row>
    <row r="9277" spans="24:25" x14ac:dyDescent="0.35">
      <c r="X9277" s="40"/>
      <c r="Y9277" s="40"/>
    </row>
    <row r="9278" spans="24:25" x14ac:dyDescent="0.35">
      <c r="X9278" s="40"/>
      <c r="Y9278" s="40"/>
    </row>
    <row r="9279" spans="24:25" x14ac:dyDescent="0.35">
      <c r="X9279" s="40"/>
      <c r="Y9279" s="40"/>
    </row>
    <row r="9280" spans="24:25" x14ac:dyDescent="0.35">
      <c r="X9280" s="40"/>
      <c r="Y9280" s="40"/>
    </row>
    <row r="9281" spans="24:25" x14ac:dyDescent="0.35">
      <c r="X9281" s="40"/>
      <c r="Y9281" s="40"/>
    </row>
    <row r="9282" spans="24:25" x14ac:dyDescent="0.35">
      <c r="X9282" s="40"/>
      <c r="Y9282" s="40"/>
    </row>
    <row r="9283" spans="24:25" x14ac:dyDescent="0.35">
      <c r="X9283" s="40"/>
      <c r="Y9283" s="40"/>
    </row>
    <row r="9284" spans="24:25" x14ac:dyDescent="0.35">
      <c r="X9284" s="40"/>
      <c r="Y9284" s="40"/>
    </row>
    <row r="9285" spans="24:25" x14ac:dyDescent="0.35">
      <c r="X9285" s="40"/>
      <c r="Y9285" s="40"/>
    </row>
    <row r="9286" spans="24:25" x14ac:dyDescent="0.35">
      <c r="X9286" s="40"/>
      <c r="Y9286" s="40"/>
    </row>
    <row r="9287" spans="24:25" x14ac:dyDescent="0.35">
      <c r="X9287" s="40"/>
      <c r="Y9287" s="40"/>
    </row>
    <row r="9288" spans="24:25" x14ac:dyDescent="0.35">
      <c r="X9288" s="40"/>
      <c r="Y9288" s="40"/>
    </row>
    <row r="9289" spans="24:25" x14ac:dyDescent="0.35">
      <c r="X9289" s="40"/>
      <c r="Y9289" s="40"/>
    </row>
    <row r="9290" spans="24:25" x14ac:dyDescent="0.35">
      <c r="X9290" s="40"/>
      <c r="Y9290" s="40"/>
    </row>
    <row r="9291" spans="24:25" x14ac:dyDescent="0.35">
      <c r="X9291" s="40"/>
      <c r="Y9291" s="40"/>
    </row>
    <row r="9292" spans="24:25" x14ac:dyDescent="0.35">
      <c r="X9292" s="40"/>
      <c r="Y9292" s="40"/>
    </row>
    <row r="9293" spans="24:25" x14ac:dyDescent="0.35">
      <c r="X9293" s="40"/>
      <c r="Y9293" s="40"/>
    </row>
    <row r="9294" spans="24:25" x14ac:dyDescent="0.35">
      <c r="X9294" s="40"/>
      <c r="Y9294" s="40"/>
    </row>
    <row r="9295" spans="24:25" x14ac:dyDescent="0.35">
      <c r="X9295" s="40"/>
      <c r="Y9295" s="40"/>
    </row>
    <row r="9296" spans="24:25" x14ac:dyDescent="0.35">
      <c r="X9296" s="40"/>
      <c r="Y9296" s="40"/>
    </row>
    <row r="9297" spans="24:25" x14ac:dyDescent="0.35">
      <c r="X9297" s="40"/>
      <c r="Y9297" s="40"/>
    </row>
    <row r="9298" spans="24:25" x14ac:dyDescent="0.35">
      <c r="X9298" s="40"/>
      <c r="Y9298" s="40"/>
    </row>
    <row r="9299" spans="24:25" x14ac:dyDescent="0.35">
      <c r="X9299" s="40"/>
      <c r="Y9299" s="40"/>
    </row>
    <row r="9300" spans="24:25" x14ac:dyDescent="0.35">
      <c r="X9300" s="40"/>
      <c r="Y9300" s="40"/>
    </row>
    <row r="9301" spans="24:25" x14ac:dyDescent="0.35">
      <c r="X9301" s="40"/>
      <c r="Y9301" s="40"/>
    </row>
    <row r="9302" spans="24:25" x14ac:dyDescent="0.35">
      <c r="X9302" s="40"/>
      <c r="Y9302" s="40"/>
    </row>
    <row r="9303" spans="24:25" x14ac:dyDescent="0.35">
      <c r="X9303" s="40"/>
      <c r="Y9303" s="40"/>
    </row>
    <row r="9304" spans="24:25" x14ac:dyDescent="0.35">
      <c r="X9304" s="40"/>
      <c r="Y9304" s="40"/>
    </row>
    <row r="9305" spans="24:25" x14ac:dyDescent="0.35">
      <c r="X9305" s="40"/>
      <c r="Y9305" s="40"/>
    </row>
    <row r="9306" spans="24:25" x14ac:dyDescent="0.35">
      <c r="X9306" s="40"/>
      <c r="Y9306" s="40"/>
    </row>
    <row r="9307" spans="24:25" x14ac:dyDescent="0.35">
      <c r="X9307" s="40"/>
      <c r="Y9307" s="40"/>
    </row>
    <row r="9308" spans="24:25" x14ac:dyDescent="0.35">
      <c r="X9308" s="40"/>
      <c r="Y9308" s="40"/>
    </row>
    <row r="9309" spans="24:25" x14ac:dyDescent="0.35">
      <c r="X9309" s="40"/>
      <c r="Y9309" s="40"/>
    </row>
    <row r="9310" spans="24:25" x14ac:dyDescent="0.35">
      <c r="X9310" s="40"/>
      <c r="Y9310" s="40"/>
    </row>
    <row r="9311" spans="24:25" x14ac:dyDescent="0.35">
      <c r="X9311" s="40"/>
      <c r="Y9311" s="40"/>
    </row>
    <row r="9312" spans="24:25" x14ac:dyDescent="0.35">
      <c r="X9312" s="40"/>
      <c r="Y9312" s="40"/>
    </row>
    <row r="9313" spans="24:25" x14ac:dyDescent="0.35">
      <c r="X9313" s="40"/>
      <c r="Y9313" s="40"/>
    </row>
    <row r="9314" spans="24:25" x14ac:dyDescent="0.35">
      <c r="X9314" s="40"/>
      <c r="Y9314" s="40"/>
    </row>
    <row r="9315" spans="24:25" x14ac:dyDescent="0.35">
      <c r="X9315" s="40"/>
      <c r="Y9315" s="40"/>
    </row>
    <row r="9316" spans="24:25" x14ac:dyDescent="0.35">
      <c r="X9316" s="40"/>
      <c r="Y9316" s="40"/>
    </row>
    <row r="9317" spans="24:25" x14ac:dyDescent="0.35">
      <c r="X9317" s="40"/>
      <c r="Y9317" s="40"/>
    </row>
    <row r="9318" spans="24:25" x14ac:dyDescent="0.35">
      <c r="X9318" s="40"/>
      <c r="Y9318" s="40"/>
    </row>
    <row r="9319" spans="24:25" x14ac:dyDescent="0.35">
      <c r="X9319" s="40"/>
      <c r="Y9319" s="40"/>
    </row>
    <row r="9320" spans="24:25" x14ac:dyDescent="0.35">
      <c r="X9320" s="40"/>
      <c r="Y9320" s="40"/>
    </row>
    <row r="9321" spans="24:25" x14ac:dyDescent="0.35">
      <c r="X9321" s="40"/>
      <c r="Y9321" s="40"/>
    </row>
    <row r="9322" spans="24:25" x14ac:dyDescent="0.35">
      <c r="X9322" s="40"/>
      <c r="Y9322" s="40"/>
    </row>
    <row r="9323" spans="24:25" x14ac:dyDescent="0.35">
      <c r="X9323" s="40"/>
      <c r="Y9323" s="40"/>
    </row>
    <row r="9324" spans="24:25" x14ac:dyDescent="0.35">
      <c r="X9324" s="40"/>
      <c r="Y9324" s="40"/>
    </row>
    <row r="9325" spans="24:25" x14ac:dyDescent="0.35">
      <c r="X9325" s="40"/>
      <c r="Y9325" s="40"/>
    </row>
    <row r="9326" spans="24:25" x14ac:dyDescent="0.35">
      <c r="X9326" s="40"/>
      <c r="Y9326" s="40"/>
    </row>
    <row r="9327" spans="24:25" x14ac:dyDescent="0.35">
      <c r="X9327" s="40"/>
      <c r="Y9327" s="40"/>
    </row>
    <row r="9328" spans="24:25" x14ac:dyDescent="0.35">
      <c r="X9328" s="40"/>
      <c r="Y9328" s="40"/>
    </row>
    <row r="9329" spans="24:25" x14ac:dyDescent="0.35">
      <c r="X9329" s="40"/>
      <c r="Y9329" s="40"/>
    </row>
    <row r="9330" spans="24:25" x14ac:dyDescent="0.35">
      <c r="X9330" s="40"/>
      <c r="Y9330" s="40"/>
    </row>
    <row r="9331" spans="24:25" x14ac:dyDescent="0.35">
      <c r="X9331" s="40"/>
      <c r="Y9331" s="40"/>
    </row>
    <row r="9332" spans="24:25" x14ac:dyDescent="0.35">
      <c r="X9332" s="40"/>
      <c r="Y9332" s="40"/>
    </row>
    <row r="9333" spans="24:25" x14ac:dyDescent="0.35">
      <c r="X9333" s="40"/>
      <c r="Y9333" s="40"/>
    </row>
    <row r="9334" spans="24:25" x14ac:dyDescent="0.35">
      <c r="X9334" s="40"/>
      <c r="Y9334" s="40"/>
    </row>
    <row r="9335" spans="24:25" x14ac:dyDescent="0.35">
      <c r="X9335" s="40"/>
      <c r="Y9335" s="40"/>
    </row>
    <row r="9336" spans="24:25" x14ac:dyDescent="0.35">
      <c r="X9336" s="40"/>
      <c r="Y9336" s="40"/>
    </row>
    <row r="9337" spans="24:25" x14ac:dyDescent="0.35">
      <c r="X9337" s="40"/>
      <c r="Y9337" s="40"/>
    </row>
    <row r="9338" spans="24:25" x14ac:dyDescent="0.35">
      <c r="X9338" s="40"/>
      <c r="Y9338" s="40"/>
    </row>
    <row r="9339" spans="24:25" x14ac:dyDescent="0.35">
      <c r="X9339" s="40"/>
      <c r="Y9339" s="40"/>
    </row>
    <row r="9340" spans="24:25" x14ac:dyDescent="0.35">
      <c r="X9340" s="40"/>
      <c r="Y9340" s="40"/>
    </row>
    <row r="9341" spans="24:25" x14ac:dyDescent="0.35">
      <c r="X9341" s="40"/>
      <c r="Y9341" s="40"/>
    </row>
    <row r="9342" spans="24:25" x14ac:dyDescent="0.35">
      <c r="X9342" s="40"/>
      <c r="Y9342" s="40"/>
    </row>
    <row r="9343" spans="24:25" x14ac:dyDescent="0.35">
      <c r="X9343" s="40"/>
      <c r="Y9343" s="40"/>
    </row>
    <row r="9344" spans="24:25" x14ac:dyDescent="0.35">
      <c r="X9344" s="40"/>
      <c r="Y9344" s="40"/>
    </row>
    <row r="9345" spans="24:25" x14ac:dyDescent="0.35">
      <c r="X9345" s="40"/>
      <c r="Y9345" s="40"/>
    </row>
    <row r="9346" spans="24:25" x14ac:dyDescent="0.35">
      <c r="X9346" s="40"/>
      <c r="Y9346" s="40"/>
    </row>
    <row r="9347" spans="24:25" x14ac:dyDescent="0.35">
      <c r="X9347" s="40"/>
      <c r="Y9347" s="40"/>
    </row>
    <row r="9348" spans="24:25" x14ac:dyDescent="0.35">
      <c r="X9348" s="40"/>
      <c r="Y9348" s="40"/>
    </row>
    <row r="9349" spans="24:25" x14ac:dyDescent="0.35">
      <c r="X9349" s="40"/>
      <c r="Y9349" s="40"/>
    </row>
    <row r="9350" spans="24:25" x14ac:dyDescent="0.35">
      <c r="X9350" s="40"/>
      <c r="Y9350" s="40"/>
    </row>
    <row r="9351" spans="24:25" x14ac:dyDescent="0.35">
      <c r="X9351" s="40"/>
      <c r="Y9351" s="40"/>
    </row>
    <row r="9352" spans="24:25" x14ac:dyDescent="0.35">
      <c r="X9352" s="40"/>
      <c r="Y9352" s="40"/>
    </row>
    <row r="9353" spans="24:25" x14ac:dyDescent="0.35">
      <c r="X9353" s="40"/>
      <c r="Y9353" s="40"/>
    </row>
    <row r="9354" spans="24:25" x14ac:dyDescent="0.35">
      <c r="X9354" s="40"/>
      <c r="Y9354" s="40"/>
    </row>
    <row r="9355" spans="24:25" x14ac:dyDescent="0.35">
      <c r="X9355" s="40"/>
      <c r="Y9355" s="40"/>
    </row>
    <row r="9356" spans="24:25" x14ac:dyDescent="0.35">
      <c r="X9356" s="40"/>
      <c r="Y9356" s="40"/>
    </row>
    <row r="9357" spans="24:25" x14ac:dyDescent="0.35">
      <c r="X9357" s="40"/>
      <c r="Y9357" s="40"/>
    </row>
    <row r="9358" spans="24:25" x14ac:dyDescent="0.35">
      <c r="X9358" s="40"/>
      <c r="Y9358" s="40"/>
    </row>
    <row r="9359" spans="24:25" x14ac:dyDescent="0.35">
      <c r="X9359" s="40"/>
      <c r="Y9359" s="40"/>
    </row>
    <row r="9360" spans="24:25" x14ac:dyDescent="0.35">
      <c r="X9360" s="40"/>
      <c r="Y9360" s="40"/>
    </row>
    <row r="9361" spans="24:25" x14ac:dyDescent="0.35">
      <c r="X9361" s="40"/>
      <c r="Y9361" s="40"/>
    </row>
    <row r="9362" spans="24:25" x14ac:dyDescent="0.35">
      <c r="X9362" s="40"/>
      <c r="Y9362" s="40"/>
    </row>
    <row r="9363" spans="24:25" x14ac:dyDescent="0.35">
      <c r="X9363" s="40"/>
      <c r="Y9363" s="40"/>
    </row>
    <row r="9364" spans="24:25" x14ac:dyDescent="0.35">
      <c r="X9364" s="40"/>
      <c r="Y9364" s="40"/>
    </row>
    <row r="9365" spans="24:25" x14ac:dyDescent="0.35">
      <c r="X9365" s="40"/>
      <c r="Y9365" s="40"/>
    </row>
    <row r="9366" spans="24:25" x14ac:dyDescent="0.35">
      <c r="X9366" s="40"/>
      <c r="Y9366" s="40"/>
    </row>
    <row r="9367" spans="24:25" x14ac:dyDescent="0.35">
      <c r="X9367" s="40"/>
      <c r="Y9367" s="40"/>
    </row>
    <row r="9368" spans="24:25" x14ac:dyDescent="0.35">
      <c r="X9368" s="40"/>
      <c r="Y9368" s="40"/>
    </row>
    <row r="9369" spans="24:25" x14ac:dyDescent="0.35">
      <c r="X9369" s="40"/>
      <c r="Y9369" s="40"/>
    </row>
    <row r="9370" spans="24:25" x14ac:dyDescent="0.35">
      <c r="X9370" s="40"/>
      <c r="Y9370" s="40"/>
    </row>
    <row r="9371" spans="24:25" x14ac:dyDescent="0.35">
      <c r="X9371" s="40"/>
      <c r="Y9371" s="40"/>
    </row>
    <row r="9372" spans="24:25" x14ac:dyDescent="0.35">
      <c r="X9372" s="40"/>
      <c r="Y9372" s="40"/>
    </row>
    <row r="9373" spans="24:25" x14ac:dyDescent="0.35">
      <c r="X9373" s="40"/>
      <c r="Y9373" s="40"/>
    </row>
    <row r="9374" spans="24:25" x14ac:dyDescent="0.35">
      <c r="X9374" s="40"/>
      <c r="Y9374" s="40"/>
    </row>
    <row r="9375" spans="24:25" x14ac:dyDescent="0.35">
      <c r="X9375" s="40"/>
      <c r="Y9375" s="40"/>
    </row>
    <row r="9376" spans="24:25" x14ac:dyDescent="0.35">
      <c r="X9376" s="40"/>
      <c r="Y9376" s="40"/>
    </row>
    <row r="9377" spans="24:25" x14ac:dyDescent="0.35">
      <c r="X9377" s="40"/>
      <c r="Y9377" s="40"/>
    </row>
    <row r="9378" spans="24:25" x14ac:dyDescent="0.35">
      <c r="X9378" s="40"/>
      <c r="Y9378" s="40"/>
    </row>
    <row r="9379" spans="24:25" x14ac:dyDescent="0.35">
      <c r="X9379" s="40"/>
      <c r="Y9379" s="40"/>
    </row>
    <row r="9380" spans="24:25" x14ac:dyDescent="0.35">
      <c r="X9380" s="40"/>
      <c r="Y9380" s="40"/>
    </row>
    <row r="9381" spans="24:25" x14ac:dyDescent="0.35">
      <c r="X9381" s="40"/>
      <c r="Y9381" s="40"/>
    </row>
    <row r="9382" spans="24:25" x14ac:dyDescent="0.35">
      <c r="X9382" s="40"/>
      <c r="Y9382" s="40"/>
    </row>
    <row r="9383" spans="24:25" x14ac:dyDescent="0.35">
      <c r="X9383" s="40"/>
      <c r="Y9383" s="40"/>
    </row>
    <row r="9384" spans="24:25" x14ac:dyDescent="0.35">
      <c r="X9384" s="40"/>
      <c r="Y9384" s="40"/>
    </row>
    <row r="9385" spans="24:25" x14ac:dyDescent="0.35">
      <c r="X9385" s="40"/>
      <c r="Y9385" s="40"/>
    </row>
    <row r="9386" spans="24:25" x14ac:dyDescent="0.35">
      <c r="X9386" s="40"/>
      <c r="Y9386" s="40"/>
    </row>
    <row r="9387" spans="24:25" x14ac:dyDescent="0.35">
      <c r="X9387" s="40"/>
      <c r="Y9387" s="40"/>
    </row>
    <row r="9388" spans="24:25" x14ac:dyDescent="0.35">
      <c r="X9388" s="40"/>
      <c r="Y9388" s="40"/>
    </row>
    <row r="9389" spans="24:25" x14ac:dyDescent="0.35">
      <c r="X9389" s="40"/>
      <c r="Y9389" s="40"/>
    </row>
    <row r="9390" spans="24:25" x14ac:dyDescent="0.35">
      <c r="X9390" s="40"/>
      <c r="Y9390" s="40"/>
    </row>
    <row r="9391" spans="24:25" x14ac:dyDescent="0.35">
      <c r="X9391" s="40"/>
      <c r="Y9391" s="40"/>
    </row>
    <row r="9392" spans="24:25" x14ac:dyDescent="0.35">
      <c r="X9392" s="40"/>
      <c r="Y9392" s="40"/>
    </row>
    <row r="9393" spans="24:25" x14ac:dyDescent="0.35">
      <c r="X9393" s="40"/>
      <c r="Y9393" s="40"/>
    </row>
    <row r="9394" spans="24:25" x14ac:dyDescent="0.35">
      <c r="X9394" s="40"/>
      <c r="Y9394" s="40"/>
    </row>
    <row r="9395" spans="24:25" x14ac:dyDescent="0.35">
      <c r="X9395" s="40"/>
      <c r="Y9395" s="40"/>
    </row>
    <row r="9396" spans="24:25" x14ac:dyDescent="0.35">
      <c r="X9396" s="40"/>
      <c r="Y9396" s="40"/>
    </row>
    <row r="9397" spans="24:25" x14ac:dyDescent="0.35">
      <c r="X9397" s="40"/>
      <c r="Y9397" s="40"/>
    </row>
    <row r="9398" spans="24:25" x14ac:dyDescent="0.35">
      <c r="X9398" s="40"/>
      <c r="Y9398" s="40"/>
    </row>
    <row r="9399" spans="24:25" x14ac:dyDescent="0.35">
      <c r="X9399" s="40"/>
      <c r="Y9399" s="40"/>
    </row>
    <row r="9400" spans="24:25" x14ac:dyDescent="0.35">
      <c r="X9400" s="40"/>
      <c r="Y9400" s="40"/>
    </row>
    <row r="9401" spans="24:25" x14ac:dyDescent="0.35">
      <c r="X9401" s="40"/>
      <c r="Y9401" s="40"/>
    </row>
    <row r="9402" spans="24:25" x14ac:dyDescent="0.35">
      <c r="X9402" s="40"/>
      <c r="Y9402" s="40"/>
    </row>
    <row r="9403" spans="24:25" x14ac:dyDescent="0.35">
      <c r="X9403" s="40"/>
      <c r="Y9403" s="40"/>
    </row>
    <row r="9404" spans="24:25" x14ac:dyDescent="0.35">
      <c r="X9404" s="40"/>
      <c r="Y9404" s="40"/>
    </row>
    <row r="9405" spans="24:25" x14ac:dyDescent="0.35">
      <c r="X9405" s="40"/>
      <c r="Y9405" s="40"/>
    </row>
    <row r="9406" spans="24:25" x14ac:dyDescent="0.35">
      <c r="X9406" s="40"/>
      <c r="Y9406" s="40"/>
    </row>
    <row r="9407" spans="24:25" x14ac:dyDescent="0.35">
      <c r="X9407" s="40"/>
      <c r="Y9407" s="40"/>
    </row>
    <row r="9408" spans="24:25" x14ac:dyDescent="0.35">
      <c r="X9408" s="40"/>
      <c r="Y9408" s="40"/>
    </row>
    <row r="9409" spans="24:25" x14ac:dyDescent="0.35">
      <c r="X9409" s="40"/>
      <c r="Y9409" s="40"/>
    </row>
    <row r="9410" spans="24:25" x14ac:dyDescent="0.35">
      <c r="X9410" s="40"/>
      <c r="Y9410" s="40"/>
    </row>
    <row r="9411" spans="24:25" x14ac:dyDescent="0.35">
      <c r="X9411" s="40"/>
      <c r="Y9411" s="40"/>
    </row>
    <row r="9412" spans="24:25" x14ac:dyDescent="0.35">
      <c r="X9412" s="40"/>
      <c r="Y9412" s="40"/>
    </row>
    <row r="9413" spans="24:25" x14ac:dyDescent="0.35">
      <c r="X9413" s="40"/>
      <c r="Y9413" s="40"/>
    </row>
    <row r="9414" spans="24:25" x14ac:dyDescent="0.35">
      <c r="X9414" s="40"/>
      <c r="Y9414" s="40"/>
    </row>
    <row r="9415" spans="24:25" x14ac:dyDescent="0.35">
      <c r="X9415" s="40"/>
      <c r="Y9415" s="40"/>
    </row>
    <row r="9416" spans="24:25" x14ac:dyDescent="0.35">
      <c r="X9416" s="40"/>
      <c r="Y9416" s="40"/>
    </row>
    <row r="9417" spans="24:25" x14ac:dyDescent="0.35">
      <c r="X9417" s="40"/>
      <c r="Y9417" s="40"/>
    </row>
    <row r="9418" spans="24:25" x14ac:dyDescent="0.35">
      <c r="X9418" s="40"/>
      <c r="Y9418" s="40"/>
    </row>
    <row r="9419" spans="24:25" x14ac:dyDescent="0.35">
      <c r="X9419" s="40"/>
      <c r="Y9419" s="40"/>
    </row>
    <row r="9420" spans="24:25" x14ac:dyDescent="0.35">
      <c r="X9420" s="40"/>
      <c r="Y9420" s="40"/>
    </row>
    <row r="9421" spans="24:25" x14ac:dyDescent="0.35">
      <c r="X9421" s="40"/>
      <c r="Y9421" s="40"/>
    </row>
    <row r="9422" spans="24:25" x14ac:dyDescent="0.35">
      <c r="X9422" s="40"/>
      <c r="Y9422" s="40"/>
    </row>
    <row r="9423" spans="24:25" x14ac:dyDescent="0.35">
      <c r="X9423" s="40"/>
      <c r="Y9423" s="40"/>
    </row>
    <row r="9424" spans="24:25" x14ac:dyDescent="0.35">
      <c r="X9424" s="40"/>
      <c r="Y9424" s="40"/>
    </row>
    <row r="9425" spans="24:25" x14ac:dyDescent="0.35">
      <c r="X9425" s="40"/>
      <c r="Y9425" s="40"/>
    </row>
    <row r="9426" spans="24:25" x14ac:dyDescent="0.35">
      <c r="X9426" s="40"/>
      <c r="Y9426" s="40"/>
    </row>
    <row r="9427" spans="24:25" x14ac:dyDescent="0.35">
      <c r="X9427" s="40"/>
      <c r="Y9427" s="40"/>
    </row>
    <row r="9428" spans="24:25" x14ac:dyDescent="0.35">
      <c r="X9428" s="40"/>
      <c r="Y9428" s="40"/>
    </row>
    <row r="9429" spans="24:25" x14ac:dyDescent="0.35">
      <c r="X9429" s="40"/>
      <c r="Y9429" s="40"/>
    </row>
    <row r="9430" spans="24:25" x14ac:dyDescent="0.35">
      <c r="X9430" s="40"/>
      <c r="Y9430" s="40"/>
    </row>
    <row r="9431" spans="24:25" x14ac:dyDescent="0.35">
      <c r="X9431" s="40"/>
      <c r="Y9431" s="40"/>
    </row>
    <row r="9432" spans="24:25" x14ac:dyDescent="0.35">
      <c r="X9432" s="40"/>
      <c r="Y9432" s="40"/>
    </row>
    <row r="9433" spans="24:25" x14ac:dyDescent="0.35">
      <c r="X9433" s="40"/>
      <c r="Y9433" s="40"/>
    </row>
    <row r="9434" spans="24:25" x14ac:dyDescent="0.35">
      <c r="X9434" s="40"/>
      <c r="Y9434" s="40"/>
    </row>
    <row r="9435" spans="24:25" x14ac:dyDescent="0.35">
      <c r="X9435" s="40"/>
      <c r="Y9435" s="40"/>
    </row>
    <row r="9436" spans="24:25" x14ac:dyDescent="0.35">
      <c r="X9436" s="40"/>
      <c r="Y9436" s="40"/>
    </row>
    <row r="9437" spans="24:25" x14ac:dyDescent="0.35">
      <c r="X9437" s="40"/>
      <c r="Y9437" s="40"/>
    </row>
    <row r="9438" spans="24:25" x14ac:dyDescent="0.35">
      <c r="X9438" s="40"/>
      <c r="Y9438" s="40"/>
    </row>
    <row r="9439" spans="24:25" x14ac:dyDescent="0.35">
      <c r="X9439" s="40"/>
      <c r="Y9439" s="40"/>
    </row>
    <row r="9440" spans="24:25" x14ac:dyDescent="0.35">
      <c r="X9440" s="40"/>
      <c r="Y9440" s="40"/>
    </row>
    <row r="9441" spans="24:25" x14ac:dyDescent="0.35">
      <c r="X9441" s="40"/>
      <c r="Y9441" s="40"/>
    </row>
    <row r="9442" spans="24:25" x14ac:dyDescent="0.35">
      <c r="X9442" s="40"/>
      <c r="Y9442" s="40"/>
    </row>
    <row r="9443" spans="24:25" x14ac:dyDescent="0.35">
      <c r="X9443" s="40"/>
      <c r="Y9443" s="40"/>
    </row>
    <row r="9444" spans="24:25" x14ac:dyDescent="0.35">
      <c r="X9444" s="40"/>
      <c r="Y9444" s="40"/>
    </row>
    <row r="9445" spans="24:25" x14ac:dyDescent="0.35">
      <c r="X9445" s="40"/>
      <c r="Y9445" s="40"/>
    </row>
    <row r="9446" spans="24:25" x14ac:dyDescent="0.35">
      <c r="X9446" s="40"/>
      <c r="Y9446" s="40"/>
    </row>
    <row r="9447" spans="24:25" x14ac:dyDescent="0.35">
      <c r="X9447" s="40"/>
      <c r="Y9447" s="40"/>
    </row>
    <row r="9448" spans="24:25" x14ac:dyDescent="0.35">
      <c r="X9448" s="40"/>
      <c r="Y9448" s="40"/>
    </row>
    <row r="9449" spans="24:25" x14ac:dyDescent="0.35">
      <c r="X9449" s="40"/>
      <c r="Y9449" s="40"/>
    </row>
    <row r="9450" spans="24:25" x14ac:dyDescent="0.35">
      <c r="X9450" s="40"/>
      <c r="Y9450" s="40"/>
    </row>
    <row r="9451" spans="24:25" x14ac:dyDescent="0.35">
      <c r="X9451" s="40"/>
      <c r="Y9451" s="40"/>
    </row>
    <row r="9452" spans="24:25" x14ac:dyDescent="0.35">
      <c r="X9452" s="40"/>
      <c r="Y9452" s="40"/>
    </row>
    <row r="9453" spans="24:25" x14ac:dyDescent="0.35">
      <c r="X9453" s="40"/>
      <c r="Y9453" s="40"/>
    </row>
    <row r="9454" spans="24:25" x14ac:dyDescent="0.35">
      <c r="X9454" s="40"/>
      <c r="Y9454" s="40"/>
    </row>
    <row r="9455" spans="24:25" x14ac:dyDescent="0.35">
      <c r="X9455" s="40"/>
      <c r="Y9455" s="40"/>
    </row>
    <row r="9456" spans="24:25" x14ac:dyDescent="0.35">
      <c r="X9456" s="40"/>
      <c r="Y9456" s="40"/>
    </row>
    <row r="9457" spans="24:25" x14ac:dyDescent="0.35">
      <c r="X9457" s="40"/>
      <c r="Y9457" s="40"/>
    </row>
    <row r="9458" spans="24:25" x14ac:dyDescent="0.35">
      <c r="X9458" s="40"/>
      <c r="Y9458" s="40"/>
    </row>
    <row r="9459" spans="24:25" x14ac:dyDescent="0.35">
      <c r="X9459" s="40"/>
      <c r="Y9459" s="40"/>
    </row>
    <row r="9460" spans="24:25" x14ac:dyDescent="0.35">
      <c r="X9460" s="40"/>
      <c r="Y9460" s="40"/>
    </row>
    <row r="9461" spans="24:25" x14ac:dyDescent="0.35">
      <c r="X9461" s="40"/>
      <c r="Y9461" s="40"/>
    </row>
    <row r="9462" spans="24:25" x14ac:dyDescent="0.35">
      <c r="X9462" s="40"/>
      <c r="Y9462" s="40"/>
    </row>
    <row r="9463" spans="24:25" x14ac:dyDescent="0.35">
      <c r="X9463" s="40"/>
      <c r="Y9463" s="40"/>
    </row>
    <row r="9464" spans="24:25" x14ac:dyDescent="0.35">
      <c r="X9464" s="40"/>
      <c r="Y9464" s="40"/>
    </row>
    <row r="9465" spans="24:25" x14ac:dyDescent="0.35">
      <c r="X9465" s="40"/>
      <c r="Y9465" s="40"/>
    </row>
    <row r="9466" spans="24:25" x14ac:dyDescent="0.35">
      <c r="X9466" s="40"/>
      <c r="Y9466" s="40"/>
    </row>
    <row r="9467" spans="24:25" x14ac:dyDescent="0.35">
      <c r="X9467" s="40"/>
      <c r="Y9467" s="40"/>
    </row>
    <row r="9468" spans="24:25" x14ac:dyDescent="0.35">
      <c r="X9468" s="40"/>
      <c r="Y9468" s="40"/>
    </row>
    <row r="9469" spans="24:25" x14ac:dyDescent="0.35">
      <c r="X9469" s="40"/>
      <c r="Y9469" s="40"/>
    </row>
    <row r="9470" spans="24:25" x14ac:dyDescent="0.35">
      <c r="X9470" s="40"/>
      <c r="Y9470" s="40"/>
    </row>
    <row r="9471" spans="24:25" x14ac:dyDescent="0.35">
      <c r="X9471" s="40"/>
      <c r="Y9471" s="40"/>
    </row>
    <row r="9472" spans="24:25" x14ac:dyDescent="0.35">
      <c r="X9472" s="40"/>
      <c r="Y9472" s="40"/>
    </row>
    <row r="9473" spans="24:25" x14ac:dyDescent="0.35">
      <c r="X9473" s="40"/>
      <c r="Y9473" s="40"/>
    </row>
    <row r="9474" spans="24:25" x14ac:dyDescent="0.35">
      <c r="X9474" s="40"/>
      <c r="Y9474" s="40"/>
    </row>
    <row r="9475" spans="24:25" x14ac:dyDescent="0.35">
      <c r="X9475" s="40"/>
      <c r="Y9475" s="40"/>
    </row>
    <row r="9476" spans="24:25" x14ac:dyDescent="0.35">
      <c r="X9476" s="40"/>
      <c r="Y9476" s="40"/>
    </row>
    <row r="9477" spans="24:25" x14ac:dyDescent="0.35">
      <c r="X9477" s="40"/>
      <c r="Y9477" s="40"/>
    </row>
    <row r="9478" spans="24:25" x14ac:dyDescent="0.35">
      <c r="X9478" s="40"/>
      <c r="Y9478" s="40"/>
    </row>
    <row r="9479" spans="24:25" x14ac:dyDescent="0.35">
      <c r="X9479" s="40"/>
      <c r="Y9479" s="40"/>
    </row>
    <row r="9480" spans="24:25" x14ac:dyDescent="0.35">
      <c r="X9480" s="40"/>
      <c r="Y9480" s="40"/>
    </row>
    <row r="9481" spans="24:25" x14ac:dyDescent="0.35">
      <c r="X9481" s="40"/>
      <c r="Y9481" s="40"/>
    </row>
    <row r="9482" spans="24:25" x14ac:dyDescent="0.35">
      <c r="X9482" s="40"/>
      <c r="Y9482" s="40"/>
    </row>
    <row r="9483" spans="24:25" x14ac:dyDescent="0.35">
      <c r="X9483" s="40"/>
      <c r="Y9483" s="40"/>
    </row>
    <row r="9484" spans="24:25" x14ac:dyDescent="0.35">
      <c r="X9484" s="40"/>
      <c r="Y9484" s="40"/>
    </row>
    <row r="9485" spans="24:25" x14ac:dyDescent="0.35">
      <c r="X9485" s="40"/>
      <c r="Y9485" s="40"/>
    </row>
    <row r="9486" spans="24:25" x14ac:dyDescent="0.35">
      <c r="X9486" s="40"/>
      <c r="Y9486" s="40"/>
    </row>
    <row r="9487" spans="24:25" x14ac:dyDescent="0.35">
      <c r="X9487" s="40"/>
      <c r="Y9487" s="40"/>
    </row>
    <row r="9488" spans="24:25" x14ac:dyDescent="0.35">
      <c r="X9488" s="40"/>
      <c r="Y9488" s="40"/>
    </row>
    <row r="9489" spans="24:25" x14ac:dyDescent="0.35">
      <c r="X9489" s="40"/>
      <c r="Y9489" s="40"/>
    </row>
    <row r="9490" spans="24:25" x14ac:dyDescent="0.35">
      <c r="X9490" s="40"/>
      <c r="Y9490" s="40"/>
    </row>
    <row r="9491" spans="24:25" x14ac:dyDescent="0.35">
      <c r="X9491" s="40"/>
      <c r="Y9491" s="40"/>
    </row>
    <row r="9492" spans="24:25" x14ac:dyDescent="0.35">
      <c r="X9492" s="40"/>
      <c r="Y9492" s="40"/>
    </row>
    <row r="9493" spans="24:25" x14ac:dyDescent="0.35">
      <c r="X9493" s="40"/>
      <c r="Y9493" s="40"/>
    </row>
    <row r="9494" spans="24:25" x14ac:dyDescent="0.35">
      <c r="X9494" s="40"/>
      <c r="Y9494" s="40"/>
    </row>
    <row r="9495" spans="24:25" x14ac:dyDescent="0.35">
      <c r="X9495" s="40"/>
      <c r="Y9495" s="40"/>
    </row>
    <row r="9496" spans="24:25" x14ac:dyDescent="0.35">
      <c r="X9496" s="40"/>
      <c r="Y9496" s="40"/>
    </row>
    <row r="9497" spans="24:25" x14ac:dyDescent="0.35">
      <c r="X9497" s="40"/>
      <c r="Y9497" s="40"/>
    </row>
    <row r="9498" spans="24:25" x14ac:dyDescent="0.35">
      <c r="X9498" s="40"/>
      <c r="Y9498" s="40"/>
    </row>
    <row r="9499" spans="24:25" x14ac:dyDescent="0.35">
      <c r="X9499" s="40"/>
      <c r="Y9499" s="40"/>
    </row>
    <row r="9500" spans="24:25" x14ac:dyDescent="0.35">
      <c r="X9500" s="40"/>
      <c r="Y9500" s="40"/>
    </row>
    <row r="9501" spans="24:25" x14ac:dyDescent="0.35">
      <c r="X9501" s="40"/>
      <c r="Y9501" s="40"/>
    </row>
    <row r="9502" spans="24:25" x14ac:dyDescent="0.35">
      <c r="X9502" s="40"/>
      <c r="Y9502" s="40"/>
    </row>
    <row r="9503" spans="24:25" x14ac:dyDescent="0.35">
      <c r="X9503" s="40"/>
      <c r="Y9503" s="40"/>
    </row>
    <row r="9504" spans="24:25" x14ac:dyDescent="0.35">
      <c r="X9504" s="40"/>
      <c r="Y9504" s="40"/>
    </row>
    <row r="9505" spans="24:25" x14ac:dyDescent="0.35">
      <c r="X9505" s="40"/>
      <c r="Y9505" s="40"/>
    </row>
    <row r="9506" spans="24:25" x14ac:dyDescent="0.35">
      <c r="X9506" s="40"/>
      <c r="Y9506" s="40"/>
    </row>
    <row r="9507" spans="24:25" x14ac:dyDescent="0.35">
      <c r="X9507" s="40"/>
      <c r="Y9507" s="40"/>
    </row>
    <row r="9508" spans="24:25" x14ac:dyDescent="0.35">
      <c r="X9508" s="40"/>
      <c r="Y9508" s="40"/>
    </row>
    <row r="9509" spans="24:25" x14ac:dyDescent="0.35">
      <c r="X9509" s="40"/>
      <c r="Y9509" s="40"/>
    </row>
    <row r="9510" spans="24:25" x14ac:dyDescent="0.35">
      <c r="X9510" s="40"/>
      <c r="Y9510" s="40"/>
    </row>
    <row r="9511" spans="24:25" x14ac:dyDescent="0.35">
      <c r="X9511" s="40"/>
      <c r="Y9511" s="40"/>
    </row>
    <row r="9512" spans="24:25" x14ac:dyDescent="0.35">
      <c r="X9512" s="40"/>
      <c r="Y9512" s="40"/>
    </row>
    <row r="9513" spans="24:25" x14ac:dyDescent="0.35">
      <c r="X9513" s="40"/>
      <c r="Y9513" s="40"/>
    </row>
    <row r="9514" spans="24:25" x14ac:dyDescent="0.35">
      <c r="X9514" s="40"/>
      <c r="Y9514" s="40"/>
    </row>
    <row r="9515" spans="24:25" x14ac:dyDescent="0.35">
      <c r="X9515" s="40"/>
      <c r="Y9515" s="40"/>
    </row>
    <row r="9516" spans="24:25" x14ac:dyDescent="0.35">
      <c r="X9516" s="40"/>
      <c r="Y9516" s="40"/>
    </row>
    <row r="9517" spans="24:25" x14ac:dyDescent="0.35">
      <c r="X9517" s="40"/>
      <c r="Y9517" s="40"/>
    </row>
    <row r="9518" spans="24:25" x14ac:dyDescent="0.35">
      <c r="X9518" s="40"/>
      <c r="Y9518" s="40"/>
    </row>
    <row r="9519" spans="24:25" x14ac:dyDescent="0.35">
      <c r="X9519" s="40"/>
      <c r="Y9519" s="40"/>
    </row>
    <row r="9520" spans="24:25" x14ac:dyDescent="0.35">
      <c r="X9520" s="40"/>
      <c r="Y9520" s="40"/>
    </row>
    <row r="9521" spans="24:25" x14ac:dyDescent="0.35">
      <c r="X9521" s="40"/>
      <c r="Y9521" s="40"/>
    </row>
    <row r="9522" spans="24:25" x14ac:dyDescent="0.35">
      <c r="X9522" s="40"/>
      <c r="Y9522" s="40"/>
    </row>
    <row r="9523" spans="24:25" x14ac:dyDescent="0.35">
      <c r="X9523" s="40"/>
      <c r="Y9523" s="40"/>
    </row>
    <row r="9524" spans="24:25" x14ac:dyDescent="0.35">
      <c r="X9524" s="40"/>
      <c r="Y9524" s="40"/>
    </row>
    <row r="9525" spans="24:25" x14ac:dyDescent="0.35">
      <c r="X9525" s="40"/>
      <c r="Y9525" s="40"/>
    </row>
    <row r="9526" spans="24:25" x14ac:dyDescent="0.35">
      <c r="X9526" s="40"/>
      <c r="Y9526" s="40"/>
    </row>
    <row r="9527" spans="24:25" x14ac:dyDescent="0.35">
      <c r="X9527" s="40"/>
      <c r="Y9527" s="40"/>
    </row>
    <row r="9528" spans="24:25" x14ac:dyDescent="0.35">
      <c r="X9528" s="40"/>
      <c r="Y9528" s="40"/>
    </row>
    <row r="9529" spans="24:25" x14ac:dyDescent="0.35">
      <c r="X9529" s="40"/>
      <c r="Y9529" s="40"/>
    </row>
    <row r="9530" spans="24:25" x14ac:dyDescent="0.35">
      <c r="X9530" s="40"/>
      <c r="Y9530" s="40"/>
    </row>
    <row r="9531" spans="24:25" x14ac:dyDescent="0.35">
      <c r="X9531" s="40"/>
      <c r="Y9531" s="40"/>
    </row>
    <row r="9532" spans="24:25" x14ac:dyDescent="0.35">
      <c r="X9532" s="40"/>
      <c r="Y9532" s="40"/>
    </row>
    <row r="9533" spans="24:25" x14ac:dyDescent="0.35">
      <c r="X9533" s="40"/>
      <c r="Y9533" s="40"/>
    </row>
    <row r="9534" spans="24:25" x14ac:dyDescent="0.35">
      <c r="X9534" s="40"/>
      <c r="Y9534" s="40"/>
    </row>
    <row r="9535" spans="24:25" x14ac:dyDescent="0.35">
      <c r="X9535" s="40"/>
      <c r="Y9535" s="40"/>
    </row>
    <row r="9536" spans="24:25" x14ac:dyDescent="0.35">
      <c r="X9536" s="40"/>
      <c r="Y9536" s="40"/>
    </row>
    <row r="9537" spans="24:25" x14ac:dyDescent="0.35">
      <c r="X9537" s="40"/>
      <c r="Y9537" s="40"/>
    </row>
    <row r="9538" spans="24:25" x14ac:dyDescent="0.35">
      <c r="X9538" s="40"/>
      <c r="Y9538" s="40"/>
    </row>
    <row r="9539" spans="24:25" x14ac:dyDescent="0.35">
      <c r="X9539" s="40"/>
      <c r="Y9539" s="40"/>
    </row>
    <row r="9540" spans="24:25" x14ac:dyDescent="0.35">
      <c r="X9540" s="40"/>
      <c r="Y9540" s="40"/>
    </row>
    <row r="9541" spans="24:25" x14ac:dyDescent="0.35">
      <c r="X9541" s="40"/>
      <c r="Y9541" s="40"/>
    </row>
    <row r="9542" spans="24:25" x14ac:dyDescent="0.35">
      <c r="X9542" s="40"/>
      <c r="Y9542" s="40"/>
    </row>
    <row r="9543" spans="24:25" x14ac:dyDescent="0.35">
      <c r="X9543" s="40"/>
      <c r="Y9543" s="40"/>
    </row>
    <row r="9544" spans="24:25" x14ac:dyDescent="0.35">
      <c r="X9544" s="40"/>
      <c r="Y9544" s="40"/>
    </row>
    <row r="9545" spans="24:25" x14ac:dyDescent="0.35">
      <c r="X9545" s="40"/>
      <c r="Y9545" s="40"/>
    </row>
    <row r="9546" spans="24:25" x14ac:dyDescent="0.35">
      <c r="X9546" s="40"/>
      <c r="Y9546" s="40"/>
    </row>
    <row r="9547" spans="24:25" x14ac:dyDescent="0.35">
      <c r="X9547" s="40"/>
      <c r="Y9547" s="40"/>
    </row>
    <row r="9548" spans="24:25" x14ac:dyDescent="0.35">
      <c r="X9548" s="40"/>
      <c r="Y9548" s="40"/>
    </row>
    <row r="9549" spans="24:25" x14ac:dyDescent="0.35">
      <c r="X9549" s="40"/>
      <c r="Y9549" s="40"/>
    </row>
    <row r="9550" spans="24:25" x14ac:dyDescent="0.35">
      <c r="X9550" s="40"/>
      <c r="Y9550" s="40"/>
    </row>
    <row r="9551" spans="24:25" x14ac:dyDescent="0.35">
      <c r="X9551" s="40"/>
      <c r="Y9551" s="40"/>
    </row>
    <row r="9552" spans="24:25" x14ac:dyDescent="0.35">
      <c r="X9552" s="40"/>
      <c r="Y9552" s="40"/>
    </row>
    <row r="9553" spans="24:25" x14ac:dyDescent="0.35">
      <c r="X9553" s="40"/>
      <c r="Y9553" s="40"/>
    </row>
    <row r="9554" spans="24:25" x14ac:dyDescent="0.35">
      <c r="X9554" s="40"/>
      <c r="Y9554" s="40"/>
    </row>
    <row r="9555" spans="24:25" x14ac:dyDescent="0.35">
      <c r="X9555" s="40"/>
      <c r="Y9555" s="40"/>
    </row>
    <row r="9556" spans="24:25" x14ac:dyDescent="0.35">
      <c r="X9556" s="40"/>
      <c r="Y9556" s="40"/>
    </row>
    <row r="9557" spans="24:25" x14ac:dyDescent="0.35">
      <c r="X9557" s="40"/>
      <c r="Y9557" s="40"/>
    </row>
    <row r="9558" spans="24:25" x14ac:dyDescent="0.35">
      <c r="X9558" s="40"/>
      <c r="Y9558" s="40"/>
    </row>
    <row r="9559" spans="24:25" x14ac:dyDescent="0.35">
      <c r="X9559" s="40"/>
      <c r="Y9559" s="40"/>
    </row>
    <row r="9560" spans="24:25" x14ac:dyDescent="0.35">
      <c r="X9560" s="40"/>
      <c r="Y9560" s="40"/>
    </row>
    <row r="9561" spans="24:25" x14ac:dyDescent="0.35">
      <c r="X9561" s="40"/>
      <c r="Y9561" s="40"/>
    </row>
    <row r="9562" spans="24:25" x14ac:dyDescent="0.35">
      <c r="X9562" s="40"/>
      <c r="Y9562" s="40"/>
    </row>
    <row r="9563" spans="24:25" x14ac:dyDescent="0.35">
      <c r="X9563" s="40"/>
      <c r="Y9563" s="40"/>
    </row>
    <row r="9564" spans="24:25" x14ac:dyDescent="0.35">
      <c r="X9564" s="40"/>
      <c r="Y9564" s="40"/>
    </row>
    <row r="9565" spans="24:25" x14ac:dyDescent="0.35">
      <c r="X9565" s="40"/>
      <c r="Y9565" s="40"/>
    </row>
    <row r="9566" spans="24:25" x14ac:dyDescent="0.35">
      <c r="X9566" s="40"/>
      <c r="Y9566" s="40"/>
    </row>
    <row r="9567" spans="24:25" x14ac:dyDescent="0.35">
      <c r="X9567" s="40"/>
      <c r="Y9567" s="40"/>
    </row>
    <row r="9568" spans="24:25" x14ac:dyDescent="0.35">
      <c r="X9568" s="40"/>
      <c r="Y9568" s="40"/>
    </row>
    <row r="9569" spans="24:25" x14ac:dyDescent="0.35">
      <c r="X9569" s="40"/>
      <c r="Y9569" s="40"/>
    </row>
    <row r="9570" spans="24:25" x14ac:dyDescent="0.35">
      <c r="X9570" s="40"/>
      <c r="Y9570" s="40"/>
    </row>
    <row r="9571" spans="24:25" x14ac:dyDescent="0.35">
      <c r="X9571" s="40"/>
      <c r="Y9571" s="40"/>
    </row>
    <row r="9572" spans="24:25" x14ac:dyDescent="0.35">
      <c r="X9572" s="40"/>
      <c r="Y9572" s="40"/>
    </row>
    <row r="9573" spans="24:25" x14ac:dyDescent="0.35">
      <c r="X9573" s="40"/>
      <c r="Y9573" s="40"/>
    </row>
    <row r="9574" spans="24:25" x14ac:dyDescent="0.35">
      <c r="X9574" s="40"/>
      <c r="Y9574" s="40"/>
    </row>
    <row r="9575" spans="24:25" x14ac:dyDescent="0.35">
      <c r="X9575" s="40"/>
      <c r="Y9575" s="40"/>
    </row>
    <row r="9576" spans="24:25" x14ac:dyDescent="0.35">
      <c r="X9576" s="40"/>
      <c r="Y9576" s="40"/>
    </row>
    <row r="9577" spans="24:25" x14ac:dyDescent="0.35">
      <c r="X9577" s="40"/>
      <c r="Y9577" s="40"/>
    </row>
    <row r="9578" spans="24:25" x14ac:dyDescent="0.35">
      <c r="X9578" s="40"/>
      <c r="Y9578" s="40"/>
    </row>
    <row r="9579" spans="24:25" x14ac:dyDescent="0.35">
      <c r="X9579" s="40"/>
      <c r="Y9579" s="40"/>
    </row>
    <row r="9580" spans="24:25" x14ac:dyDescent="0.35">
      <c r="X9580" s="40"/>
      <c r="Y9580" s="40"/>
    </row>
    <row r="9581" spans="24:25" x14ac:dyDescent="0.35">
      <c r="X9581" s="40"/>
      <c r="Y9581" s="40"/>
    </row>
    <row r="9582" spans="24:25" x14ac:dyDescent="0.35">
      <c r="X9582" s="40"/>
      <c r="Y9582" s="40"/>
    </row>
    <row r="9583" spans="24:25" x14ac:dyDescent="0.35">
      <c r="X9583" s="40"/>
      <c r="Y9583" s="40"/>
    </row>
    <row r="9584" spans="24:25" x14ac:dyDescent="0.35">
      <c r="X9584" s="40"/>
      <c r="Y9584" s="40"/>
    </row>
    <row r="9585" spans="24:25" x14ac:dyDescent="0.35">
      <c r="X9585" s="40"/>
      <c r="Y9585" s="40"/>
    </row>
    <row r="9586" spans="24:25" x14ac:dyDescent="0.35">
      <c r="X9586" s="40"/>
      <c r="Y9586" s="40"/>
    </row>
    <row r="9587" spans="24:25" x14ac:dyDescent="0.35">
      <c r="X9587" s="40"/>
      <c r="Y9587" s="40"/>
    </row>
    <row r="9588" spans="24:25" x14ac:dyDescent="0.35">
      <c r="X9588" s="40"/>
      <c r="Y9588" s="40"/>
    </row>
    <row r="9589" spans="24:25" x14ac:dyDescent="0.35">
      <c r="X9589" s="40"/>
      <c r="Y9589" s="40"/>
    </row>
    <row r="9590" spans="24:25" x14ac:dyDescent="0.35">
      <c r="X9590" s="40"/>
      <c r="Y9590" s="40"/>
    </row>
    <row r="9591" spans="24:25" x14ac:dyDescent="0.35">
      <c r="X9591" s="40"/>
      <c r="Y9591" s="40"/>
    </row>
    <row r="9592" spans="24:25" x14ac:dyDescent="0.35">
      <c r="X9592" s="40"/>
      <c r="Y9592" s="40"/>
    </row>
    <row r="9593" spans="24:25" x14ac:dyDescent="0.35">
      <c r="X9593" s="40"/>
      <c r="Y9593" s="40"/>
    </row>
    <row r="9594" spans="24:25" x14ac:dyDescent="0.35">
      <c r="X9594" s="40"/>
      <c r="Y9594" s="40"/>
    </row>
    <row r="9595" spans="24:25" x14ac:dyDescent="0.35">
      <c r="X9595" s="40"/>
      <c r="Y9595" s="40"/>
    </row>
    <row r="9596" spans="24:25" x14ac:dyDescent="0.35">
      <c r="X9596" s="40"/>
      <c r="Y9596" s="40"/>
    </row>
    <row r="9597" spans="24:25" x14ac:dyDescent="0.35">
      <c r="X9597" s="40"/>
      <c r="Y9597" s="40"/>
    </row>
    <row r="9598" spans="24:25" x14ac:dyDescent="0.35">
      <c r="X9598" s="40"/>
      <c r="Y9598" s="40"/>
    </row>
    <row r="9599" spans="24:25" x14ac:dyDescent="0.35">
      <c r="X9599" s="40"/>
      <c r="Y9599" s="40"/>
    </row>
    <row r="9600" spans="24:25" x14ac:dyDescent="0.35">
      <c r="X9600" s="40"/>
      <c r="Y9600" s="40"/>
    </row>
    <row r="9601" spans="24:25" x14ac:dyDescent="0.35">
      <c r="X9601" s="40"/>
      <c r="Y9601" s="40"/>
    </row>
    <row r="9602" spans="24:25" x14ac:dyDescent="0.35">
      <c r="X9602" s="40"/>
      <c r="Y9602" s="40"/>
    </row>
    <row r="9603" spans="24:25" x14ac:dyDescent="0.35">
      <c r="X9603" s="40"/>
      <c r="Y9603" s="40"/>
    </row>
    <row r="9604" spans="24:25" x14ac:dyDescent="0.35">
      <c r="X9604" s="40"/>
      <c r="Y9604" s="40"/>
    </row>
    <row r="9605" spans="24:25" x14ac:dyDescent="0.35">
      <c r="X9605" s="40"/>
      <c r="Y9605" s="40"/>
    </row>
    <row r="9606" spans="24:25" x14ac:dyDescent="0.35">
      <c r="X9606" s="40"/>
      <c r="Y9606" s="40"/>
    </row>
    <row r="9607" spans="24:25" x14ac:dyDescent="0.35">
      <c r="X9607" s="40"/>
      <c r="Y9607" s="40"/>
    </row>
    <row r="9608" spans="24:25" x14ac:dyDescent="0.35">
      <c r="X9608" s="40"/>
      <c r="Y9608" s="40"/>
    </row>
    <row r="9609" spans="24:25" x14ac:dyDescent="0.35">
      <c r="X9609" s="40"/>
      <c r="Y9609" s="40"/>
    </row>
    <row r="9610" spans="24:25" x14ac:dyDescent="0.35">
      <c r="X9610" s="40"/>
      <c r="Y9610" s="40"/>
    </row>
    <row r="9611" spans="24:25" x14ac:dyDescent="0.35">
      <c r="X9611" s="40"/>
      <c r="Y9611" s="40"/>
    </row>
    <row r="9612" spans="24:25" x14ac:dyDescent="0.35">
      <c r="X9612" s="40"/>
      <c r="Y9612" s="40"/>
    </row>
    <row r="9613" spans="24:25" x14ac:dyDescent="0.35">
      <c r="X9613" s="40"/>
      <c r="Y9613" s="40"/>
    </row>
    <row r="9614" spans="24:25" x14ac:dyDescent="0.35">
      <c r="X9614" s="40"/>
      <c r="Y9614" s="40"/>
    </row>
    <row r="9615" spans="24:25" x14ac:dyDescent="0.35">
      <c r="X9615" s="40"/>
      <c r="Y9615" s="40"/>
    </row>
    <row r="9616" spans="24:25" x14ac:dyDescent="0.35">
      <c r="X9616" s="40"/>
      <c r="Y9616" s="40"/>
    </row>
    <row r="9617" spans="24:25" x14ac:dyDescent="0.35">
      <c r="X9617" s="40"/>
      <c r="Y9617" s="40"/>
    </row>
    <row r="9618" spans="24:25" x14ac:dyDescent="0.35">
      <c r="X9618" s="40"/>
      <c r="Y9618" s="40"/>
    </row>
    <row r="9619" spans="24:25" x14ac:dyDescent="0.35">
      <c r="X9619" s="40"/>
      <c r="Y9619" s="40"/>
    </row>
    <row r="9620" spans="24:25" x14ac:dyDescent="0.35">
      <c r="X9620" s="40"/>
      <c r="Y9620" s="40"/>
    </row>
    <row r="9621" spans="24:25" x14ac:dyDescent="0.35">
      <c r="X9621" s="40"/>
      <c r="Y9621" s="40"/>
    </row>
    <row r="9622" spans="24:25" x14ac:dyDescent="0.35">
      <c r="X9622" s="40"/>
      <c r="Y9622" s="40"/>
    </row>
    <row r="9623" spans="24:25" x14ac:dyDescent="0.35">
      <c r="X9623" s="40"/>
      <c r="Y9623" s="40"/>
    </row>
    <row r="9624" spans="24:25" x14ac:dyDescent="0.35">
      <c r="X9624" s="40"/>
      <c r="Y9624" s="40"/>
    </row>
    <row r="9625" spans="24:25" x14ac:dyDescent="0.35">
      <c r="X9625" s="40"/>
      <c r="Y9625" s="40"/>
    </row>
    <row r="9626" spans="24:25" x14ac:dyDescent="0.35">
      <c r="X9626" s="40"/>
      <c r="Y9626" s="40"/>
    </row>
    <row r="9627" spans="24:25" x14ac:dyDescent="0.35">
      <c r="X9627" s="40"/>
      <c r="Y9627" s="40"/>
    </row>
    <row r="9628" spans="24:25" x14ac:dyDescent="0.35">
      <c r="X9628" s="40"/>
      <c r="Y9628" s="40"/>
    </row>
    <row r="9629" spans="24:25" x14ac:dyDescent="0.35">
      <c r="X9629" s="40"/>
      <c r="Y9629" s="40"/>
    </row>
    <row r="9630" spans="24:25" x14ac:dyDescent="0.35">
      <c r="X9630" s="40"/>
      <c r="Y9630" s="40"/>
    </row>
    <row r="9631" spans="24:25" x14ac:dyDescent="0.35">
      <c r="X9631" s="40"/>
      <c r="Y9631" s="40"/>
    </row>
    <row r="9632" spans="24:25" x14ac:dyDescent="0.35">
      <c r="X9632" s="40"/>
      <c r="Y9632" s="40"/>
    </row>
    <row r="9633" spans="24:25" x14ac:dyDescent="0.35">
      <c r="X9633" s="40"/>
      <c r="Y9633" s="40"/>
    </row>
    <row r="9634" spans="24:25" x14ac:dyDescent="0.35">
      <c r="X9634" s="40"/>
      <c r="Y9634" s="40"/>
    </row>
    <row r="9635" spans="24:25" x14ac:dyDescent="0.35">
      <c r="X9635" s="40"/>
      <c r="Y9635" s="40"/>
    </row>
    <row r="9636" spans="24:25" x14ac:dyDescent="0.35">
      <c r="X9636" s="40"/>
      <c r="Y9636" s="40"/>
    </row>
    <row r="9637" spans="24:25" x14ac:dyDescent="0.35">
      <c r="X9637" s="40"/>
      <c r="Y9637" s="40"/>
    </row>
    <row r="9638" spans="24:25" x14ac:dyDescent="0.35">
      <c r="X9638" s="40"/>
      <c r="Y9638" s="40"/>
    </row>
    <row r="9639" spans="24:25" x14ac:dyDescent="0.35">
      <c r="X9639" s="40"/>
      <c r="Y9639" s="40"/>
    </row>
    <row r="9640" spans="24:25" x14ac:dyDescent="0.35">
      <c r="X9640" s="40"/>
      <c r="Y9640" s="40"/>
    </row>
    <row r="9641" spans="24:25" x14ac:dyDescent="0.35">
      <c r="X9641" s="40"/>
      <c r="Y9641" s="40"/>
    </row>
    <row r="9642" spans="24:25" x14ac:dyDescent="0.35">
      <c r="X9642" s="40"/>
      <c r="Y9642" s="40"/>
    </row>
    <row r="9643" spans="24:25" x14ac:dyDescent="0.35">
      <c r="X9643" s="40"/>
      <c r="Y9643" s="40"/>
    </row>
    <row r="9644" spans="24:25" x14ac:dyDescent="0.35">
      <c r="X9644" s="40"/>
      <c r="Y9644" s="40"/>
    </row>
    <row r="9645" spans="24:25" x14ac:dyDescent="0.35">
      <c r="X9645" s="40"/>
      <c r="Y9645" s="40"/>
    </row>
    <row r="9646" spans="24:25" x14ac:dyDescent="0.35">
      <c r="X9646" s="40"/>
      <c r="Y9646" s="40"/>
    </row>
    <row r="9647" spans="24:25" x14ac:dyDescent="0.35">
      <c r="X9647" s="40"/>
      <c r="Y9647" s="40"/>
    </row>
    <row r="9648" spans="24:25" x14ac:dyDescent="0.35">
      <c r="X9648" s="40"/>
      <c r="Y9648" s="40"/>
    </row>
    <row r="9649" spans="24:25" x14ac:dyDescent="0.35">
      <c r="X9649" s="40"/>
      <c r="Y9649" s="40"/>
    </row>
    <row r="9650" spans="24:25" x14ac:dyDescent="0.35">
      <c r="X9650" s="40"/>
      <c r="Y9650" s="40"/>
    </row>
    <row r="9651" spans="24:25" x14ac:dyDescent="0.35">
      <c r="X9651" s="40"/>
      <c r="Y9651" s="40"/>
    </row>
    <row r="9652" spans="24:25" x14ac:dyDescent="0.35">
      <c r="X9652" s="40"/>
      <c r="Y9652" s="40"/>
    </row>
    <row r="9653" spans="24:25" x14ac:dyDescent="0.35">
      <c r="X9653" s="40"/>
      <c r="Y9653" s="40"/>
    </row>
    <row r="9654" spans="24:25" x14ac:dyDescent="0.35">
      <c r="X9654" s="40"/>
      <c r="Y9654" s="40"/>
    </row>
    <row r="9655" spans="24:25" x14ac:dyDescent="0.35">
      <c r="X9655" s="40"/>
      <c r="Y9655" s="40"/>
    </row>
    <row r="9656" spans="24:25" x14ac:dyDescent="0.35">
      <c r="X9656" s="40"/>
      <c r="Y9656" s="40"/>
    </row>
    <row r="9657" spans="24:25" x14ac:dyDescent="0.35">
      <c r="X9657" s="40"/>
      <c r="Y9657" s="40"/>
    </row>
    <row r="9658" spans="24:25" x14ac:dyDescent="0.35">
      <c r="X9658" s="40"/>
      <c r="Y9658" s="40"/>
    </row>
    <row r="9659" spans="24:25" x14ac:dyDescent="0.35">
      <c r="X9659" s="40"/>
      <c r="Y9659" s="40"/>
    </row>
    <row r="9660" spans="24:25" x14ac:dyDescent="0.35">
      <c r="X9660" s="40"/>
      <c r="Y9660" s="40"/>
    </row>
    <row r="9661" spans="24:25" x14ac:dyDescent="0.35">
      <c r="X9661" s="40"/>
      <c r="Y9661" s="40"/>
    </row>
    <row r="9662" spans="24:25" x14ac:dyDescent="0.35">
      <c r="X9662" s="40"/>
      <c r="Y9662" s="40"/>
    </row>
    <row r="9663" spans="24:25" x14ac:dyDescent="0.35">
      <c r="X9663" s="40"/>
      <c r="Y9663" s="40"/>
    </row>
    <row r="9664" spans="24:25" x14ac:dyDescent="0.35">
      <c r="X9664" s="40"/>
      <c r="Y9664" s="40"/>
    </row>
    <row r="9665" spans="24:25" x14ac:dyDescent="0.35">
      <c r="X9665" s="40"/>
      <c r="Y9665" s="40"/>
    </row>
    <row r="9666" spans="24:25" x14ac:dyDescent="0.35">
      <c r="X9666" s="40"/>
      <c r="Y9666" s="40"/>
    </row>
    <row r="9667" spans="24:25" x14ac:dyDescent="0.35">
      <c r="X9667" s="40"/>
      <c r="Y9667" s="40"/>
    </row>
    <row r="9668" spans="24:25" x14ac:dyDescent="0.35">
      <c r="X9668" s="40"/>
      <c r="Y9668" s="40"/>
    </row>
    <row r="9669" spans="24:25" x14ac:dyDescent="0.35">
      <c r="X9669" s="40"/>
      <c r="Y9669" s="40"/>
    </row>
    <row r="9670" spans="24:25" x14ac:dyDescent="0.35">
      <c r="X9670" s="40"/>
      <c r="Y9670" s="40"/>
    </row>
    <row r="9671" spans="24:25" x14ac:dyDescent="0.35">
      <c r="X9671" s="40"/>
      <c r="Y9671" s="40"/>
    </row>
    <row r="9672" spans="24:25" x14ac:dyDescent="0.35">
      <c r="X9672" s="40"/>
      <c r="Y9672" s="40"/>
    </row>
    <row r="9673" spans="24:25" x14ac:dyDescent="0.35">
      <c r="X9673" s="40"/>
      <c r="Y9673" s="40"/>
    </row>
    <row r="9674" spans="24:25" x14ac:dyDescent="0.35">
      <c r="X9674" s="40"/>
      <c r="Y9674" s="40"/>
    </row>
    <row r="9675" spans="24:25" x14ac:dyDescent="0.35">
      <c r="X9675" s="40"/>
      <c r="Y9675" s="40"/>
    </row>
    <row r="9676" spans="24:25" x14ac:dyDescent="0.35">
      <c r="X9676" s="40"/>
      <c r="Y9676" s="40"/>
    </row>
    <row r="9677" spans="24:25" x14ac:dyDescent="0.35">
      <c r="X9677" s="40"/>
      <c r="Y9677" s="40"/>
    </row>
    <row r="9678" spans="24:25" x14ac:dyDescent="0.35">
      <c r="X9678" s="40"/>
      <c r="Y9678" s="40"/>
    </row>
    <row r="9679" spans="24:25" x14ac:dyDescent="0.35">
      <c r="X9679" s="40"/>
      <c r="Y9679" s="40"/>
    </row>
    <row r="9680" spans="24:25" x14ac:dyDescent="0.35">
      <c r="X9680" s="40"/>
      <c r="Y9680" s="40"/>
    </row>
    <row r="9681" spans="24:25" x14ac:dyDescent="0.35">
      <c r="X9681" s="40"/>
      <c r="Y9681" s="40"/>
    </row>
    <row r="9682" spans="24:25" x14ac:dyDescent="0.35">
      <c r="X9682" s="40"/>
      <c r="Y9682" s="40"/>
    </row>
    <row r="9683" spans="24:25" x14ac:dyDescent="0.35">
      <c r="X9683" s="40"/>
      <c r="Y9683" s="40"/>
    </row>
    <row r="9684" spans="24:25" x14ac:dyDescent="0.35">
      <c r="X9684" s="40"/>
      <c r="Y9684" s="40"/>
    </row>
    <row r="9685" spans="24:25" x14ac:dyDescent="0.35">
      <c r="X9685" s="40"/>
      <c r="Y9685" s="40"/>
    </row>
    <row r="9686" spans="24:25" x14ac:dyDescent="0.35">
      <c r="X9686" s="40"/>
      <c r="Y9686" s="40"/>
    </row>
    <row r="9687" spans="24:25" x14ac:dyDescent="0.35">
      <c r="X9687" s="40"/>
      <c r="Y9687" s="40"/>
    </row>
    <row r="9688" spans="24:25" x14ac:dyDescent="0.35">
      <c r="X9688" s="40"/>
      <c r="Y9688" s="40"/>
    </row>
    <row r="9689" spans="24:25" x14ac:dyDescent="0.35">
      <c r="X9689" s="40"/>
      <c r="Y9689" s="40"/>
    </row>
    <row r="9690" spans="24:25" x14ac:dyDescent="0.35">
      <c r="X9690" s="40"/>
      <c r="Y9690" s="40"/>
    </row>
    <row r="9691" spans="24:25" x14ac:dyDescent="0.35">
      <c r="X9691" s="40"/>
      <c r="Y9691" s="40"/>
    </row>
    <row r="9692" spans="24:25" x14ac:dyDescent="0.35">
      <c r="X9692" s="40"/>
      <c r="Y9692" s="40"/>
    </row>
    <row r="9693" spans="24:25" x14ac:dyDescent="0.35">
      <c r="X9693" s="40"/>
      <c r="Y9693" s="40"/>
    </row>
    <row r="9694" spans="24:25" x14ac:dyDescent="0.35">
      <c r="X9694" s="40"/>
      <c r="Y9694" s="40"/>
    </row>
    <row r="9695" spans="24:25" x14ac:dyDescent="0.35">
      <c r="X9695" s="40"/>
      <c r="Y9695" s="40"/>
    </row>
    <row r="9696" spans="24:25" x14ac:dyDescent="0.35">
      <c r="X9696" s="40"/>
      <c r="Y9696" s="40"/>
    </row>
    <row r="9697" spans="24:25" x14ac:dyDescent="0.35">
      <c r="X9697" s="40"/>
      <c r="Y9697" s="40"/>
    </row>
    <row r="9698" spans="24:25" x14ac:dyDescent="0.35">
      <c r="X9698" s="40"/>
      <c r="Y9698" s="40"/>
    </row>
    <row r="9699" spans="24:25" x14ac:dyDescent="0.35">
      <c r="X9699" s="40"/>
      <c r="Y9699" s="40"/>
    </row>
    <row r="9700" spans="24:25" x14ac:dyDescent="0.35">
      <c r="X9700" s="40"/>
      <c r="Y9700" s="40"/>
    </row>
    <row r="9701" spans="24:25" x14ac:dyDescent="0.35">
      <c r="X9701" s="40"/>
      <c r="Y9701" s="40"/>
    </row>
    <row r="9702" spans="24:25" x14ac:dyDescent="0.35">
      <c r="X9702" s="40"/>
      <c r="Y9702" s="40"/>
    </row>
    <row r="9703" spans="24:25" x14ac:dyDescent="0.35">
      <c r="X9703" s="40"/>
      <c r="Y9703" s="40"/>
    </row>
    <row r="9704" spans="24:25" x14ac:dyDescent="0.35">
      <c r="X9704" s="40"/>
      <c r="Y9704" s="40"/>
    </row>
    <row r="9705" spans="24:25" x14ac:dyDescent="0.35">
      <c r="X9705" s="40"/>
      <c r="Y9705" s="40"/>
    </row>
    <row r="9706" spans="24:25" x14ac:dyDescent="0.35">
      <c r="X9706" s="40"/>
      <c r="Y9706" s="40"/>
    </row>
    <row r="9707" spans="24:25" x14ac:dyDescent="0.35">
      <c r="X9707" s="40"/>
      <c r="Y9707" s="40"/>
    </row>
    <row r="9708" spans="24:25" x14ac:dyDescent="0.35">
      <c r="X9708" s="40"/>
      <c r="Y9708" s="40"/>
    </row>
    <row r="9709" spans="24:25" x14ac:dyDescent="0.35">
      <c r="X9709" s="40"/>
      <c r="Y9709" s="40"/>
    </row>
    <row r="9710" spans="24:25" x14ac:dyDescent="0.35">
      <c r="X9710" s="40"/>
      <c r="Y9710" s="40"/>
    </row>
    <row r="9711" spans="24:25" x14ac:dyDescent="0.35">
      <c r="X9711" s="40"/>
      <c r="Y9711" s="40"/>
    </row>
    <row r="9712" spans="24:25" x14ac:dyDescent="0.35">
      <c r="X9712" s="40"/>
      <c r="Y9712" s="40"/>
    </row>
    <row r="9713" spans="24:25" x14ac:dyDescent="0.35">
      <c r="X9713" s="40"/>
      <c r="Y9713" s="40"/>
    </row>
    <row r="9714" spans="24:25" x14ac:dyDescent="0.35">
      <c r="X9714" s="40"/>
      <c r="Y9714" s="40"/>
    </row>
    <row r="9715" spans="24:25" x14ac:dyDescent="0.35">
      <c r="X9715" s="40"/>
      <c r="Y9715" s="40"/>
    </row>
    <row r="9716" spans="24:25" x14ac:dyDescent="0.35">
      <c r="X9716" s="40"/>
      <c r="Y9716" s="40"/>
    </row>
    <row r="9717" spans="24:25" x14ac:dyDescent="0.35">
      <c r="X9717" s="40"/>
      <c r="Y9717" s="40"/>
    </row>
    <row r="9718" spans="24:25" x14ac:dyDescent="0.35">
      <c r="X9718" s="40"/>
      <c r="Y9718" s="40"/>
    </row>
    <row r="9719" spans="24:25" x14ac:dyDescent="0.35">
      <c r="X9719" s="40"/>
      <c r="Y9719" s="40"/>
    </row>
    <row r="9720" spans="24:25" x14ac:dyDescent="0.35">
      <c r="X9720" s="40"/>
      <c r="Y9720" s="40"/>
    </row>
    <row r="9721" spans="24:25" x14ac:dyDescent="0.35">
      <c r="X9721" s="40"/>
      <c r="Y9721" s="40"/>
    </row>
    <row r="9722" spans="24:25" x14ac:dyDescent="0.35">
      <c r="X9722" s="40"/>
      <c r="Y9722" s="40"/>
    </row>
    <row r="9723" spans="24:25" x14ac:dyDescent="0.35">
      <c r="X9723" s="40"/>
      <c r="Y9723" s="40"/>
    </row>
    <row r="9724" spans="24:25" x14ac:dyDescent="0.35">
      <c r="X9724" s="40"/>
      <c r="Y9724" s="40"/>
    </row>
    <row r="9725" spans="24:25" x14ac:dyDescent="0.35">
      <c r="X9725" s="40"/>
      <c r="Y9725" s="40"/>
    </row>
    <row r="9726" spans="24:25" x14ac:dyDescent="0.35">
      <c r="X9726" s="40"/>
      <c r="Y9726" s="40"/>
    </row>
    <row r="9727" spans="24:25" x14ac:dyDescent="0.35">
      <c r="X9727" s="40"/>
      <c r="Y9727" s="40"/>
    </row>
    <row r="9728" spans="24:25" x14ac:dyDescent="0.35">
      <c r="X9728" s="40"/>
      <c r="Y9728" s="40"/>
    </row>
    <row r="9729" spans="24:25" x14ac:dyDescent="0.35">
      <c r="X9729" s="40"/>
      <c r="Y9729" s="40"/>
    </row>
    <row r="9730" spans="24:25" x14ac:dyDescent="0.35">
      <c r="X9730" s="40"/>
      <c r="Y9730" s="40"/>
    </row>
    <row r="9731" spans="24:25" x14ac:dyDescent="0.35">
      <c r="X9731" s="40"/>
      <c r="Y9731" s="40"/>
    </row>
    <row r="9732" spans="24:25" x14ac:dyDescent="0.35">
      <c r="X9732" s="40"/>
      <c r="Y9732" s="40"/>
    </row>
    <row r="9733" spans="24:25" x14ac:dyDescent="0.35">
      <c r="X9733" s="40"/>
      <c r="Y9733" s="40"/>
    </row>
    <row r="9734" spans="24:25" x14ac:dyDescent="0.35">
      <c r="X9734" s="40"/>
      <c r="Y9734" s="40"/>
    </row>
    <row r="9735" spans="24:25" x14ac:dyDescent="0.35">
      <c r="X9735" s="40"/>
      <c r="Y9735" s="40"/>
    </row>
    <row r="9736" spans="24:25" x14ac:dyDescent="0.35">
      <c r="X9736" s="40"/>
      <c r="Y9736" s="40"/>
    </row>
    <row r="9737" spans="24:25" x14ac:dyDescent="0.35">
      <c r="X9737" s="40"/>
      <c r="Y9737" s="40"/>
    </row>
    <row r="9738" spans="24:25" x14ac:dyDescent="0.35">
      <c r="X9738" s="40"/>
      <c r="Y9738" s="40"/>
    </row>
    <row r="9739" spans="24:25" x14ac:dyDescent="0.35">
      <c r="X9739" s="40"/>
      <c r="Y9739" s="40"/>
    </row>
    <row r="9740" spans="24:25" x14ac:dyDescent="0.35">
      <c r="X9740" s="40"/>
      <c r="Y9740" s="40"/>
    </row>
    <row r="9741" spans="24:25" x14ac:dyDescent="0.35">
      <c r="X9741" s="40"/>
      <c r="Y9741" s="40"/>
    </row>
    <row r="9742" spans="24:25" x14ac:dyDescent="0.35">
      <c r="X9742" s="40"/>
      <c r="Y9742" s="40"/>
    </row>
    <row r="9743" spans="24:25" x14ac:dyDescent="0.35">
      <c r="X9743" s="40"/>
      <c r="Y9743" s="40"/>
    </row>
    <row r="9744" spans="24:25" x14ac:dyDescent="0.35">
      <c r="X9744" s="40"/>
      <c r="Y9744" s="40"/>
    </row>
    <row r="9745" spans="24:25" x14ac:dyDescent="0.35">
      <c r="X9745" s="40"/>
      <c r="Y9745" s="40"/>
    </row>
    <row r="9746" spans="24:25" x14ac:dyDescent="0.35">
      <c r="X9746" s="40"/>
      <c r="Y9746" s="40"/>
    </row>
    <row r="9747" spans="24:25" x14ac:dyDescent="0.35">
      <c r="X9747" s="40"/>
      <c r="Y9747" s="40"/>
    </row>
    <row r="9748" spans="24:25" x14ac:dyDescent="0.35">
      <c r="X9748" s="40"/>
      <c r="Y9748" s="40"/>
    </row>
    <row r="9749" spans="24:25" x14ac:dyDescent="0.35">
      <c r="X9749" s="40"/>
      <c r="Y9749" s="40"/>
    </row>
    <row r="9750" spans="24:25" x14ac:dyDescent="0.35">
      <c r="X9750" s="40"/>
      <c r="Y9750" s="40"/>
    </row>
    <row r="9751" spans="24:25" x14ac:dyDescent="0.35">
      <c r="X9751" s="40"/>
      <c r="Y9751" s="40"/>
    </row>
    <row r="9752" spans="24:25" x14ac:dyDescent="0.35">
      <c r="X9752" s="40"/>
      <c r="Y9752" s="40"/>
    </row>
    <row r="9753" spans="24:25" x14ac:dyDescent="0.35">
      <c r="X9753" s="40"/>
      <c r="Y9753" s="40"/>
    </row>
    <row r="9754" spans="24:25" x14ac:dyDescent="0.35">
      <c r="X9754" s="40"/>
      <c r="Y9754" s="40"/>
    </row>
    <row r="9755" spans="24:25" x14ac:dyDescent="0.35">
      <c r="X9755" s="40"/>
      <c r="Y9755" s="40"/>
    </row>
    <row r="9756" spans="24:25" x14ac:dyDescent="0.35">
      <c r="X9756" s="40"/>
      <c r="Y9756" s="40"/>
    </row>
    <row r="9757" spans="24:25" x14ac:dyDescent="0.35">
      <c r="X9757" s="40"/>
      <c r="Y9757" s="40"/>
    </row>
    <row r="9758" spans="24:25" x14ac:dyDescent="0.35">
      <c r="X9758" s="40"/>
      <c r="Y9758" s="40"/>
    </row>
    <row r="9759" spans="24:25" x14ac:dyDescent="0.35">
      <c r="X9759" s="40"/>
      <c r="Y9759" s="40"/>
    </row>
    <row r="9760" spans="24:25" x14ac:dyDescent="0.35">
      <c r="X9760" s="40"/>
      <c r="Y9760" s="40"/>
    </row>
    <row r="9761" spans="24:25" x14ac:dyDescent="0.35">
      <c r="X9761" s="40"/>
      <c r="Y9761" s="40"/>
    </row>
    <row r="9762" spans="24:25" x14ac:dyDescent="0.35">
      <c r="X9762" s="40"/>
      <c r="Y9762" s="40"/>
    </row>
    <row r="9763" spans="24:25" x14ac:dyDescent="0.35">
      <c r="X9763" s="40"/>
      <c r="Y9763" s="40"/>
    </row>
    <row r="9764" spans="24:25" x14ac:dyDescent="0.35">
      <c r="X9764" s="40"/>
      <c r="Y9764" s="40"/>
    </row>
    <row r="9765" spans="24:25" x14ac:dyDescent="0.35">
      <c r="X9765" s="40"/>
      <c r="Y9765" s="40"/>
    </row>
    <row r="9766" spans="24:25" x14ac:dyDescent="0.35">
      <c r="X9766" s="40"/>
      <c r="Y9766" s="40"/>
    </row>
    <row r="9767" spans="24:25" x14ac:dyDescent="0.35">
      <c r="X9767" s="40"/>
      <c r="Y9767" s="40"/>
    </row>
    <row r="9768" spans="24:25" x14ac:dyDescent="0.35">
      <c r="X9768" s="40"/>
      <c r="Y9768" s="40"/>
    </row>
    <row r="9769" spans="24:25" x14ac:dyDescent="0.35">
      <c r="X9769" s="40"/>
      <c r="Y9769" s="40"/>
    </row>
    <row r="9770" spans="24:25" x14ac:dyDescent="0.35">
      <c r="X9770" s="40"/>
      <c r="Y9770" s="40"/>
    </row>
    <row r="9771" spans="24:25" x14ac:dyDescent="0.35">
      <c r="X9771" s="40"/>
      <c r="Y9771" s="40"/>
    </row>
    <row r="9772" spans="24:25" x14ac:dyDescent="0.35">
      <c r="X9772" s="40"/>
      <c r="Y9772" s="40"/>
    </row>
    <row r="9773" spans="24:25" x14ac:dyDescent="0.35">
      <c r="X9773" s="40"/>
      <c r="Y9773" s="40"/>
    </row>
    <row r="9774" spans="24:25" x14ac:dyDescent="0.35">
      <c r="X9774" s="40"/>
      <c r="Y9774" s="40"/>
    </row>
    <row r="9775" spans="24:25" x14ac:dyDescent="0.35">
      <c r="X9775" s="40"/>
      <c r="Y9775" s="40"/>
    </row>
    <row r="9776" spans="24:25" x14ac:dyDescent="0.35">
      <c r="X9776" s="40"/>
      <c r="Y9776" s="40"/>
    </row>
    <row r="9777" spans="24:25" x14ac:dyDescent="0.35">
      <c r="X9777" s="40"/>
      <c r="Y9777" s="40"/>
    </row>
    <row r="9778" spans="24:25" x14ac:dyDescent="0.35">
      <c r="X9778" s="40"/>
      <c r="Y9778" s="40"/>
    </row>
    <row r="9779" spans="24:25" x14ac:dyDescent="0.35">
      <c r="X9779" s="40"/>
      <c r="Y9779" s="40"/>
    </row>
    <row r="9780" spans="24:25" x14ac:dyDescent="0.35">
      <c r="X9780" s="40"/>
      <c r="Y9780" s="40"/>
    </row>
    <row r="9781" spans="24:25" x14ac:dyDescent="0.35">
      <c r="X9781" s="40"/>
      <c r="Y9781" s="40"/>
    </row>
    <row r="9782" spans="24:25" x14ac:dyDescent="0.35">
      <c r="X9782" s="40"/>
      <c r="Y9782" s="40"/>
    </row>
    <row r="9783" spans="24:25" x14ac:dyDescent="0.35">
      <c r="X9783" s="40"/>
      <c r="Y9783" s="40"/>
    </row>
    <row r="9784" spans="24:25" x14ac:dyDescent="0.35">
      <c r="X9784" s="40"/>
      <c r="Y9784" s="40"/>
    </row>
    <row r="9785" spans="24:25" x14ac:dyDescent="0.35">
      <c r="X9785" s="40"/>
      <c r="Y9785" s="40"/>
    </row>
    <row r="9786" spans="24:25" x14ac:dyDescent="0.35">
      <c r="X9786" s="40"/>
      <c r="Y9786" s="40"/>
    </row>
    <row r="9787" spans="24:25" x14ac:dyDescent="0.35">
      <c r="X9787" s="40"/>
      <c r="Y9787" s="40"/>
    </row>
    <row r="9788" spans="24:25" x14ac:dyDescent="0.35">
      <c r="X9788" s="40"/>
      <c r="Y9788" s="40"/>
    </row>
    <row r="9789" spans="24:25" x14ac:dyDescent="0.35">
      <c r="X9789" s="40"/>
      <c r="Y9789" s="40"/>
    </row>
    <row r="9790" spans="24:25" x14ac:dyDescent="0.35">
      <c r="X9790" s="40"/>
      <c r="Y9790" s="40"/>
    </row>
    <row r="9791" spans="24:25" x14ac:dyDescent="0.35">
      <c r="X9791" s="40"/>
      <c r="Y9791" s="40"/>
    </row>
    <row r="9792" spans="24:25" x14ac:dyDescent="0.35">
      <c r="X9792" s="40"/>
      <c r="Y9792" s="40"/>
    </row>
    <row r="9793" spans="24:25" x14ac:dyDescent="0.35">
      <c r="X9793" s="40"/>
      <c r="Y9793" s="40"/>
    </row>
    <row r="9794" spans="24:25" x14ac:dyDescent="0.35">
      <c r="X9794" s="40"/>
      <c r="Y9794" s="40"/>
    </row>
    <row r="9795" spans="24:25" x14ac:dyDescent="0.35">
      <c r="X9795" s="40"/>
      <c r="Y9795" s="40"/>
    </row>
    <row r="9796" spans="24:25" x14ac:dyDescent="0.35">
      <c r="X9796" s="40"/>
      <c r="Y9796" s="40"/>
    </row>
    <row r="9797" spans="24:25" x14ac:dyDescent="0.35">
      <c r="X9797" s="40"/>
      <c r="Y9797" s="40"/>
    </row>
    <row r="9798" spans="24:25" x14ac:dyDescent="0.35">
      <c r="X9798" s="40"/>
      <c r="Y9798" s="40"/>
    </row>
    <row r="9799" spans="24:25" x14ac:dyDescent="0.35">
      <c r="X9799" s="40"/>
      <c r="Y9799" s="40"/>
    </row>
    <row r="9800" spans="24:25" x14ac:dyDescent="0.35">
      <c r="X9800" s="40"/>
      <c r="Y9800" s="40"/>
    </row>
    <row r="9801" spans="24:25" x14ac:dyDescent="0.35">
      <c r="X9801" s="40"/>
      <c r="Y9801" s="40"/>
    </row>
    <row r="9802" spans="24:25" x14ac:dyDescent="0.35">
      <c r="X9802" s="40"/>
      <c r="Y9802" s="40"/>
    </row>
    <row r="9803" spans="24:25" x14ac:dyDescent="0.35">
      <c r="X9803" s="40"/>
      <c r="Y9803" s="40"/>
    </row>
    <row r="9804" spans="24:25" x14ac:dyDescent="0.35">
      <c r="X9804" s="40"/>
      <c r="Y9804" s="40"/>
    </row>
    <row r="9805" spans="24:25" x14ac:dyDescent="0.35">
      <c r="X9805" s="40"/>
      <c r="Y9805" s="40"/>
    </row>
    <row r="9806" spans="24:25" x14ac:dyDescent="0.35">
      <c r="X9806" s="40"/>
      <c r="Y9806" s="40"/>
    </row>
    <row r="9807" spans="24:25" x14ac:dyDescent="0.35">
      <c r="X9807" s="40"/>
      <c r="Y9807" s="40"/>
    </row>
    <row r="9808" spans="24:25" x14ac:dyDescent="0.35">
      <c r="X9808" s="40"/>
      <c r="Y9808" s="40"/>
    </row>
    <row r="9809" spans="24:25" x14ac:dyDescent="0.35">
      <c r="X9809" s="40"/>
      <c r="Y9809" s="40"/>
    </row>
    <row r="9810" spans="24:25" x14ac:dyDescent="0.35">
      <c r="X9810" s="40"/>
      <c r="Y9810" s="40"/>
    </row>
    <row r="9811" spans="24:25" x14ac:dyDescent="0.35">
      <c r="X9811" s="40"/>
      <c r="Y9811" s="40"/>
    </row>
    <row r="9812" spans="24:25" x14ac:dyDescent="0.35">
      <c r="X9812" s="40"/>
      <c r="Y9812" s="40"/>
    </row>
    <row r="9813" spans="24:25" x14ac:dyDescent="0.35">
      <c r="X9813" s="40"/>
      <c r="Y9813" s="40"/>
    </row>
    <row r="9814" spans="24:25" x14ac:dyDescent="0.35">
      <c r="X9814" s="40"/>
      <c r="Y9814" s="40"/>
    </row>
    <row r="9815" spans="24:25" x14ac:dyDescent="0.35">
      <c r="X9815" s="40"/>
      <c r="Y9815" s="40"/>
    </row>
    <row r="9816" spans="24:25" x14ac:dyDescent="0.35">
      <c r="X9816" s="40"/>
      <c r="Y9816" s="40"/>
    </row>
    <row r="9817" spans="24:25" x14ac:dyDescent="0.35">
      <c r="X9817" s="40"/>
      <c r="Y9817" s="40"/>
    </row>
    <row r="9818" spans="24:25" x14ac:dyDescent="0.35">
      <c r="X9818" s="40"/>
      <c r="Y9818" s="40"/>
    </row>
    <row r="9819" spans="24:25" x14ac:dyDescent="0.35">
      <c r="X9819" s="40"/>
      <c r="Y9819" s="40"/>
    </row>
    <row r="9820" spans="24:25" x14ac:dyDescent="0.35">
      <c r="X9820" s="40"/>
      <c r="Y9820" s="40"/>
    </row>
    <row r="9821" spans="24:25" x14ac:dyDescent="0.35">
      <c r="X9821" s="40"/>
      <c r="Y9821" s="40"/>
    </row>
    <row r="9822" spans="24:25" x14ac:dyDescent="0.35">
      <c r="X9822" s="40"/>
      <c r="Y9822" s="40"/>
    </row>
    <row r="9823" spans="24:25" x14ac:dyDescent="0.35">
      <c r="X9823" s="40"/>
      <c r="Y9823" s="40"/>
    </row>
    <row r="9824" spans="24:25" x14ac:dyDescent="0.35">
      <c r="X9824" s="40"/>
      <c r="Y9824" s="40"/>
    </row>
    <row r="9825" spans="24:25" x14ac:dyDescent="0.35">
      <c r="X9825" s="40"/>
      <c r="Y9825" s="40"/>
    </row>
    <row r="9826" spans="24:25" x14ac:dyDescent="0.35">
      <c r="X9826" s="40"/>
      <c r="Y9826" s="40"/>
    </row>
    <row r="9827" spans="24:25" x14ac:dyDescent="0.35">
      <c r="X9827" s="40"/>
      <c r="Y9827" s="40"/>
    </row>
    <row r="9828" spans="24:25" x14ac:dyDescent="0.35">
      <c r="X9828" s="40"/>
      <c r="Y9828" s="40"/>
    </row>
    <row r="9829" spans="24:25" x14ac:dyDescent="0.35">
      <c r="X9829" s="40"/>
      <c r="Y9829" s="40"/>
    </row>
    <row r="9830" spans="24:25" x14ac:dyDescent="0.35">
      <c r="X9830" s="40"/>
      <c r="Y9830" s="40"/>
    </row>
    <row r="9831" spans="24:25" x14ac:dyDescent="0.35">
      <c r="X9831" s="40"/>
      <c r="Y9831" s="40"/>
    </row>
    <row r="9832" spans="24:25" x14ac:dyDescent="0.35">
      <c r="X9832" s="40"/>
      <c r="Y9832" s="40"/>
    </row>
    <row r="9833" spans="24:25" x14ac:dyDescent="0.35">
      <c r="X9833" s="40"/>
      <c r="Y9833" s="40"/>
    </row>
    <row r="9834" spans="24:25" x14ac:dyDescent="0.35">
      <c r="X9834" s="40"/>
      <c r="Y9834" s="40"/>
    </row>
    <row r="9835" spans="24:25" x14ac:dyDescent="0.35">
      <c r="X9835" s="40"/>
      <c r="Y9835" s="40"/>
    </row>
    <row r="9836" spans="24:25" x14ac:dyDescent="0.35">
      <c r="X9836" s="40"/>
      <c r="Y9836" s="40"/>
    </row>
    <row r="9837" spans="24:25" x14ac:dyDescent="0.35">
      <c r="X9837" s="40"/>
      <c r="Y9837" s="40"/>
    </row>
    <row r="9838" spans="24:25" x14ac:dyDescent="0.35">
      <c r="X9838" s="40"/>
      <c r="Y9838" s="40"/>
    </row>
    <row r="9839" spans="24:25" x14ac:dyDescent="0.35">
      <c r="X9839" s="40"/>
      <c r="Y9839" s="40"/>
    </row>
    <row r="9840" spans="24:25" x14ac:dyDescent="0.35">
      <c r="X9840" s="40"/>
      <c r="Y9840" s="40"/>
    </row>
    <row r="9841" spans="24:25" x14ac:dyDescent="0.35">
      <c r="X9841" s="40"/>
      <c r="Y9841" s="40"/>
    </row>
    <row r="9842" spans="24:25" x14ac:dyDescent="0.35">
      <c r="X9842" s="40"/>
      <c r="Y9842" s="40"/>
    </row>
    <row r="9843" spans="24:25" x14ac:dyDescent="0.35">
      <c r="X9843" s="40"/>
      <c r="Y9843" s="40"/>
    </row>
    <row r="9844" spans="24:25" x14ac:dyDescent="0.35">
      <c r="X9844" s="40"/>
      <c r="Y9844" s="40"/>
    </row>
    <row r="9845" spans="24:25" x14ac:dyDescent="0.35">
      <c r="X9845" s="40"/>
      <c r="Y9845" s="40"/>
    </row>
    <row r="9846" spans="24:25" x14ac:dyDescent="0.35">
      <c r="X9846" s="40"/>
      <c r="Y9846" s="40"/>
    </row>
    <row r="9847" spans="24:25" x14ac:dyDescent="0.35">
      <c r="X9847" s="40"/>
      <c r="Y9847" s="40"/>
    </row>
    <row r="9848" spans="24:25" x14ac:dyDescent="0.35">
      <c r="X9848" s="40"/>
      <c r="Y9848" s="40"/>
    </row>
    <row r="9849" spans="24:25" x14ac:dyDescent="0.35">
      <c r="X9849" s="40"/>
      <c r="Y9849" s="40"/>
    </row>
    <row r="9850" spans="24:25" x14ac:dyDescent="0.35">
      <c r="X9850" s="40"/>
      <c r="Y9850" s="40"/>
    </row>
    <row r="9851" spans="24:25" x14ac:dyDescent="0.35">
      <c r="X9851" s="40"/>
      <c r="Y9851" s="40"/>
    </row>
    <row r="9852" spans="24:25" x14ac:dyDescent="0.35">
      <c r="X9852" s="40"/>
      <c r="Y9852" s="40"/>
    </row>
    <row r="9853" spans="24:25" x14ac:dyDescent="0.35">
      <c r="X9853" s="40"/>
      <c r="Y9853" s="40"/>
    </row>
    <row r="9854" spans="24:25" x14ac:dyDescent="0.35">
      <c r="X9854" s="40"/>
      <c r="Y9854" s="40"/>
    </row>
    <row r="9855" spans="24:25" x14ac:dyDescent="0.35">
      <c r="X9855" s="40"/>
      <c r="Y9855" s="40"/>
    </row>
    <row r="9856" spans="24:25" x14ac:dyDescent="0.35">
      <c r="X9856" s="40"/>
      <c r="Y9856" s="40"/>
    </row>
    <row r="9857" spans="24:25" x14ac:dyDescent="0.35">
      <c r="X9857" s="40"/>
      <c r="Y9857" s="40"/>
    </row>
    <row r="9858" spans="24:25" x14ac:dyDescent="0.35">
      <c r="X9858" s="40"/>
      <c r="Y9858" s="40"/>
    </row>
    <row r="9859" spans="24:25" x14ac:dyDescent="0.35">
      <c r="X9859" s="40"/>
      <c r="Y9859" s="40"/>
    </row>
    <row r="9860" spans="24:25" x14ac:dyDescent="0.35">
      <c r="X9860" s="40"/>
      <c r="Y9860" s="40"/>
    </row>
    <row r="9861" spans="24:25" x14ac:dyDescent="0.35">
      <c r="X9861" s="40"/>
      <c r="Y9861" s="40"/>
    </row>
    <row r="9862" spans="24:25" x14ac:dyDescent="0.35">
      <c r="X9862" s="40"/>
      <c r="Y9862" s="40"/>
    </row>
    <row r="9863" spans="24:25" x14ac:dyDescent="0.35">
      <c r="X9863" s="40"/>
      <c r="Y9863" s="40"/>
    </row>
    <row r="9864" spans="24:25" x14ac:dyDescent="0.35">
      <c r="X9864" s="40"/>
      <c r="Y9864" s="40"/>
    </row>
    <row r="9865" spans="24:25" x14ac:dyDescent="0.35">
      <c r="X9865" s="40"/>
      <c r="Y9865" s="40"/>
    </row>
    <row r="9866" spans="24:25" x14ac:dyDescent="0.35">
      <c r="X9866" s="40"/>
      <c r="Y9866" s="40"/>
    </row>
    <row r="9867" spans="24:25" x14ac:dyDescent="0.35">
      <c r="X9867" s="40"/>
      <c r="Y9867" s="40"/>
    </row>
    <row r="9868" spans="24:25" x14ac:dyDescent="0.35">
      <c r="X9868" s="40"/>
      <c r="Y9868" s="40"/>
    </row>
    <row r="9869" spans="24:25" x14ac:dyDescent="0.35">
      <c r="X9869" s="40"/>
      <c r="Y9869" s="40"/>
    </row>
    <row r="9870" spans="24:25" x14ac:dyDescent="0.35">
      <c r="X9870" s="40"/>
      <c r="Y9870" s="40"/>
    </row>
    <row r="9871" spans="24:25" x14ac:dyDescent="0.35">
      <c r="X9871" s="40"/>
      <c r="Y9871" s="40"/>
    </row>
    <row r="9872" spans="24:25" x14ac:dyDescent="0.35">
      <c r="X9872" s="40"/>
      <c r="Y9872" s="40"/>
    </row>
    <row r="9873" spans="24:25" x14ac:dyDescent="0.35">
      <c r="X9873" s="40"/>
      <c r="Y9873" s="40"/>
    </row>
    <row r="9874" spans="24:25" x14ac:dyDescent="0.35">
      <c r="X9874" s="40"/>
      <c r="Y9874" s="40"/>
    </row>
    <row r="9875" spans="24:25" x14ac:dyDescent="0.35">
      <c r="X9875" s="40"/>
      <c r="Y9875" s="40"/>
    </row>
    <row r="9876" spans="24:25" x14ac:dyDescent="0.35">
      <c r="X9876" s="40"/>
      <c r="Y9876" s="40"/>
    </row>
    <row r="9877" spans="24:25" x14ac:dyDescent="0.35">
      <c r="X9877" s="40"/>
      <c r="Y9877" s="40"/>
    </row>
    <row r="9878" spans="24:25" x14ac:dyDescent="0.35">
      <c r="X9878" s="40"/>
      <c r="Y9878" s="40"/>
    </row>
    <row r="9879" spans="24:25" x14ac:dyDescent="0.35">
      <c r="X9879" s="40"/>
      <c r="Y9879" s="40"/>
    </row>
    <row r="9880" spans="24:25" x14ac:dyDescent="0.35">
      <c r="X9880" s="40"/>
      <c r="Y9880" s="40"/>
    </row>
    <row r="9881" spans="24:25" x14ac:dyDescent="0.35">
      <c r="X9881" s="40"/>
      <c r="Y9881" s="40"/>
    </row>
    <row r="9882" spans="24:25" x14ac:dyDescent="0.35">
      <c r="X9882" s="40"/>
      <c r="Y9882" s="40"/>
    </row>
    <row r="9883" spans="24:25" x14ac:dyDescent="0.35">
      <c r="X9883" s="40"/>
      <c r="Y9883" s="40"/>
    </row>
    <row r="9884" spans="24:25" x14ac:dyDescent="0.35">
      <c r="X9884" s="40"/>
      <c r="Y9884" s="40"/>
    </row>
    <row r="9885" spans="24:25" x14ac:dyDescent="0.35">
      <c r="X9885" s="40"/>
      <c r="Y9885" s="40"/>
    </row>
    <row r="9886" spans="24:25" x14ac:dyDescent="0.35">
      <c r="X9886" s="40"/>
      <c r="Y9886" s="40"/>
    </row>
    <row r="9887" spans="24:25" x14ac:dyDescent="0.35">
      <c r="X9887" s="40"/>
      <c r="Y9887" s="40"/>
    </row>
    <row r="9888" spans="24:25" x14ac:dyDescent="0.35">
      <c r="X9888" s="40"/>
      <c r="Y9888" s="40"/>
    </row>
    <row r="9889" spans="24:25" x14ac:dyDescent="0.35">
      <c r="X9889" s="40"/>
      <c r="Y9889" s="40"/>
    </row>
    <row r="9890" spans="24:25" x14ac:dyDescent="0.35">
      <c r="X9890" s="40"/>
      <c r="Y9890" s="40"/>
    </row>
    <row r="9891" spans="24:25" x14ac:dyDescent="0.35">
      <c r="X9891" s="40"/>
      <c r="Y9891" s="40"/>
    </row>
    <row r="9892" spans="24:25" x14ac:dyDescent="0.35">
      <c r="X9892" s="40"/>
      <c r="Y9892" s="40"/>
    </row>
    <row r="9893" spans="24:25" x14ac:dyDescent="0.35">
      <c r="X9893" s="40"/>
      <c r="Y9893" s="40"/>
    </row>
    <row r="9894" spans="24:25" x14ac:dyDescent="0.35">
      <c r="X9894" s="40"/>
      <c r="Y9894" s="40"/>
    </row>
    <row r="9895" spans="24:25" x14ac:dyDescent="0.35">
      <c r="X9895" s="40"/>
      <c r="Y9895" s="40"/>
    </row>
    <row r="9896" spans="24:25" x14ac:dyDescent="0.35">
      <c r="X9896" s="40"/>
      <c r="Y9896" s="40"/>
    </row>
    <row r="9897" spans="24:25" x14ac:dyDescent="0.35">
      <c r="X9897" s="40"/>
      <c r="Y9897" s="40"/>
    </row>
    <row r="9898" spans="24:25" x14ac:dyDescent="0.35">
      <c r="X9898" s="40"/>
      <c r="Y9898" s="40"/>
    </row>
    <row r="9899" spans="24:25" x14ac:dyDescent="0.35">
      <c r="X9899" s="40"/>
      <c r="Y9899" s="40"/>
    </row>
    <row r="9900" spans="24:25" x14ac:dyDescent="0.35">
      <c r="X9900" s="40"/>
      <c r="Y9900" s="40"/>
    </row>
    <row r="9901" spans="24:25" x14ac:dyDescent="0.35">
      <c r="X9901" s="40"/>
      <c r="Y9901" s="40"/>
    </row>
    <row r="9902" spans="24:25" x14ac:dyDescent="0.35">
      <c r="X9902" s="40"/>
      <c r="Y9902" s="40"/>
    </row>
    <row r="9903" spans="24:25" x14ac:dyDescent="0.35">
      <c r="X9903" s="40"/>
      <c r="Y9903" s="40"/>
    </row>
    <row r="9904" spans="24:25" x14ac:dyDescent="0.35">
      <c r="X9904" s="40"/>
      <c r="Y9904" s="40"/>
    </row>
    <row r="9905" spans="24:25" x14ac:dyDescent="0.35">
      <c r="X9905" s="40"/>
      <c r="Y9905" s="40"/>
    </row>
    <row r="9906" spans="24:25" x14ac:dyDescent="0.35">
      <c r="X9906" s="40"/>
      <c r="Y9906" s="40"/>
    </row>
    <row r="9907" spans="24:25" x14ac:dyDescent="0.35">
      <c r="X9907" s="40"/>
      <c r="Y9907" s="40"/>
    </row>
    <row r="9908" spans="24:25" x14ac:dyDescent="0.35">
      <c r="X9908" s="40"/>
      <c r="Y9908" s="40"/>
    </row>
    <row r="9909" spans="24:25" x14ac:dyDescent="0.35">
      <c r="X9909" s="40"/>
      <c r="Y9909" s="40"/>
    </row>
    <row r="9910" spans="24:25" x14ac:dyDescent="0.35">
      <c r="X9910" s="40"/>
      <c r="Y9910" s="40"/>
    </row>
    <row r="9911" spans="24:25" x14ac:dyDescent="0.35">
      <c r="X9911" s="40"/>
      <c r="Y9911" s="40"/>
    </row>
    <row r="9912" spans="24:25" x14ac:dyDescent="0.35">
      <c r="X9912" s="40"/>
      <c r="Y9912" s="40"/>
    </row>
    <row r="9913" spans="24:25" x14ac:dyDescent="0.35">
      <c r="X9913" s="40"/>
      <c r="Y9913" s="40"/>
    </row>
    <row r="9914" spans="24:25" x14ac:dyDescent="0.35">
      <c r="X9914" s="40"/>
      <c r="Y9914" s="40"/>
    </row>
    <row r="9915" spans="24:25" x14ac:dyDescent="0.35">
      <c r="X9915" s="40"/>
      <c r="Y9915" s="40"/>
    </row>
    <row r="9916" spans="24:25" x14ac:dyDescent="0.35">
      <c r="X9916" s="40"/>
      <c r="Y9916" s="40"/>
    </row>
    <row r="9917" spans="24:25" x14ac:dyDescent="0.35">
      <c r="X9917" s="40"/>
      <c r="Y9917" s="40"/>
    </row>
    <row r="9918" spans="24:25" x14ac:dyDescent="0.35">
      <c r="X9918" s="40"/>
      <c r="Y9918" s="40"/>
    </row>
    <row r="9919" spans="24:25" x14ac:dyDescent="0.35">
      <c r="X9919" s="40"/>
      <c r="Y9919" s="40"/>
    </row>
    <row r="9920" spans="24:25" x14ac:dyDescent="0.35">
      <c r="X9920" s="40"/>
      <c r="Y9920" s="40"/>
    </row>
    <row r="9921" spans="24:25" x14ac:dyDescent="0.35">
      <c r="X9921" s="40"/>
      <c r="Y9921" s="40"/>
    </row>
    <row r="9922" spans="24:25" x14ac:dyDescent="0.35">
      <c r="X9922" s="40"/>
      <c r="Y9922" s="40"/>
    </row>
    <row r="9923" spans="24:25" x14ac:dyDescent="0.35">
      <c r="X9923" s="40"/>
      <c r="Y9923" s="40"/>
    </row>
    <row r="9924" spans="24:25" x14ac:dyDescent="0.35">
      <c r="X9924" s="40"/>
      <c r="Y9924" s="40"/>
    </row>
    <row r="9925" spans="24:25" x14ac:dyDescent="0.35">
      <c r="X9925" s="40"/>
      <c r="Y9925" s="40"/>
    </row>
    <row r="9926" spans="24:25" x14ac:dyDescent="0.35">
      <c r="X9926" s="40"/>
      <c r="Y9926" s="40"/>
    </row>
    <row r="9927" spans="24:25" x14ac:dyDescent="0.35">
      <c r="X9927" s="40"/>
      <c r="Y9927" s="40"/>
    </row>
    <row r="9928" spans="24:25" x14ac:dyDescent="0.35">
      <c r="X9928" s="40"/>
      <c r="Y9928" s="40"/>
    </row>
    <row r="9929" spans="24:25" x14ac:dyDescent="0.35">
      <c r="X9929" s="40"/>
      <c r="Y9929" s="40"/>
    </row>
    <row r="9930" spans="24:25" x14ac:dyDescent="0.35">
      <c r="X9930" s="40"/>
      <c r="Y9930" s="40"/>
    </row>
    <row r="9931" spans="24:25" x14ac:dyDescent="0.35">
      <c r="X9931" s="40"/>
      <c r="Y9931" s="40"/>
    </row>
    <row r="9932" spans="24:25" x14ac:dyDescent="0.35">
      <c r="X9932" s="40"/>
      <c r="Y9932" s="40"/>
    </row>
    <row r="9933" spans="24:25" x14ac:dyDescent="0.35">
      <c r="X9933" s="40"/>
      <c r="Y9933" s="40"/>
    </row>
    <row r="9934" spans="24:25" x14ac:dyDescent="0.35">
      <c r="X9934" s="40"/>
      <c r="Y9934" s="40"/>
    </row>
    <row r="9935" spans="24:25" x14ac:dyDescent="0.35">
      <c r="X9935" s="40"/>
      <c r="Y9935" s="40"/>
    </row>
    <row r="9936" spans="24:25" x14ac:dyDescent="0.35">
      <c r="X9936" s="40"/>
      <c r="Y9936" s="40"/>
    </row>
    <row r="9937" spans="24:25" x14ac:dyDescent="0.35">
      <c r="X9937" s="40"/>
      <c r="Y9937" s="40"/>
    </row>
    <row r="9938" spans="24:25" x14ac:dyDescent="0.35">
      <c r="X9938" s="40"/>
      <c r="Y9938" s="40"/>
    </row>
    <row r="9939" spans="24:25" x14ac:dyDescent="0.35">
      <c r="X9939" s="40"/>
      <c r="Y9939" s="40"/>
    </row>
    <row r="9940" spans="24:25" x14ac:dyDescent="0.35">
      <c r="X9940" s="40"/>
      <c r="Y9940" s="40"/>
    </row>
    <row r="9941" spans="24:25" x14ac:dyDescent="0.35">
      <c r="X9941" s="40"/>
      <c r="Y9941" s="40"/>
    </row>
    <row r="9942" spans="24:25" x14ac:dyDescent="0.35">
      <c r="X9942" s="40"/>
      <c r="Y9942" s="40"/>
    </row>
    <row r="9943" spans="24:25" x14ac:dyDescent="0.35">
      <c r="X9943" s="40"/>
      <c r="Y9943" s="40"/>
    </row>
    <row r="9944" spans="24:25" x14ac:dyDescent="0.35">
      <c r="X9944" s="40"/>
      <c r="Y9944" s="40"/>
    </row>
    <row r="9945" spans="24:25" x14ac:dyDescent="0.35">
      <c r="X9945" s="40"/>
      <c r="Y9945" s="40"/>
    </row>
    <row r="9946" spans="24:25" x14ac:dyDescent="0.35">
      <c r="X9946" s="40"/>
      <c r="Y9946" s="40"/>
    </row>
    <row r="9947" spans="24:25" x14ac:dyDescent="0.35">
      <c r="X9947" s="40"/>
      <c r="Y9947" s="40"/>
    </row>
    <row r="9948" spans="24:25" x14ac:dyDescent="0.35">
      <c r="X9948" s="40"/>
      <c r="Y9948" s="40"/>
    </row>
    <row r="9949" spans="24:25" x14ac:dyDescent="0.35">
      <c r="X9949" s="40"/>
      <c r="Y9949" s="40"/>
    </row>
    <row r="9950" spans="24:25" x14ac:dyDescent="0.35">
      <c r="X9950" s="40"/>
      <c r="Y9950" s="40"/>
    </row>
    <row r="9951" spans="24:25" x14ac:dyDescent="0.35">
      <c r="X9951" s="40"/>
      <c r="Y9951" s="40"/>
    </row>
    <row r="9952" spans="24:25" x14ac:dyDescent="0.35">
      <c r="X9952" s="40"/>
      <c r="Y9952" s="40"/>
    </row>
    <row r="9953" spans="24:25" x14ac:dyDescent="0.35">
      <c r="X9953" s="40"/>
      <c r="Y9953" s="40"/>
    </row>
    <row r="9954" spans="24:25" x14ac:dyDescent="0.35">
      <c r="X9954" s="40"/>
      <c r="Y9954" s="40"/>
    </row>
    <row r="9955" spans="24:25" x14ac:dyDescent="0.35">
      <c r="X9955" s="40"/>
      <c r="Y9955" s="40"/>
    </row>
    <row r="9956" spans="24:25" x14ac:dyDescent="0.35">
      <c r="X9956" s="40"/>
      <c r="Y9956" s="40"/>
    </row>
    <row r="9957" spans="24:25" x14ac:dyDescent="0.35">
      <c r="X9957" s="40"/>
      <c r="Y9957" s="40"/>
    </row>
    <row r="9958" spans="24:25" x14ac:dyDescent="0.35">
      <c r="X9958" s="40"/>
      <c r="Y9958" s="40"/>
    </row>
    <row r="9959" spans="24:25" x14ac:dyDescent="0.35">
      <c r="X9959" s="40"/>
      <c r="Y9959" s="40"/>
    </row>
    <row r="9960" spans="24:25" x14ac:dyDescent="0.35">
      <c r="X9960" s="40"/>
      <c r="Y9960" s="40"/>
    </row>
    <row r="9961" spans="24:25" x14ac:dyDescent="0.35">
      <c r="X9961" s="40"/>
      <c r="Y9961" s="40"/>
    </row>
    <row r="9962" spans="24:25" x14ac:dyDescent="0.35">
      <c r="X9962" s="40"/>
      <c r="Y9962" s="40"/>
    </row>
    <row r="9963" spans="24:25" x14ac:dyDescent="0.35">
      <c r="X9963" s="40"/>
      <c r="Y9963" s="40"/>
    </row>
    <row r="9964" spans="24:25" x14ac:dyDescent="0.35">
      <c r="X9964" s="40"/>
      <c r="Y9964" s="40"/>
    </row>
    <row r="9965" spans="24:25" x14ac:dyDescent="0.35">
      <c r="X9965" s="40"/>
      <c r="Y9965" s="40"/>
    </row>
    <row r="9966" spans="24:25" x14ac:dyDescent="0.35">
      <c r="X9966" s="40"/>
      <c r="Y9966" s="40"/>
    </row>
    <row r="9967" spans="24:25" x14ac:dyDescent="0.35">
      <c r="X9967" s="40"/>
      <c r="Y9967" s="40"/>
    </row>
    <row r="9968" spans="24:25" x14ac:dyDescent="0.35">
      <c r="X9968" s="40"/>
      <c r="Y9968" s="40"/>
    </row>
    <row r="9969" spans="24:25" x14ac:dyDescent="0.35">
      <c r="X9969" s="40"/>
      <c r="Y9969" s="40"/>
    </row>
    <row r="9970" spans="24:25" x14ac:dyDescent="0.35">
      <c r="X9970" s="40"/>
      <c r="Y9970" s="40"/>
    </row>
    <row r="9971" spans="24:25" x14ac:dyDescent="0.35">
      <c r="X9971" s="40"/>
      <c r="Y9971" s="40"/>
    </row>
    <row r="9972" spans="24:25" x14ac:dyDescent="0.35">
      <c r="X9972" s="40"/>
      <c r="Y9972" s="40"/>
    </row>
    <row r="9973" spans="24:25" x14ac:dyDescent="0.35">
      <c r="X9973" s="40"/>
      <c r="Y9973" s="40"/>
    </row>
    <row r="9974" spans="24:25" x14ac:dyDescent="0.35">
      <c r="X9974" s="40"/>
      <c r="Y9974" s="40"/>
    </row>
    <row r="9975" spans="24:25" x14ac:dyDescent="0.35">
      <c r="X9975" s="40"/>
      <c r="Y9975" s="40"/>
    </row>
    <row r="9976" spans="24:25" x14ac:dyDescent="0.35">
      <c r="X9976" s="40"/>
      <c r="Y9976" s="40"/>
    </row>
    <row r="9977" spans="24:25" x14ac:dyDescent="0.35">
      <c r="X9977" s="40"/>
      <c r="Y9977" s="40"/>
    </row>
    <row r="9978" spans="24:25" x14ac:dyDescent="0.35">
      <c r="X9978" s="40"/>
      <c r="Y9978" s="40"/>
    </row>
    <row r="9979" spans="24:25" x14ac:dyDescent="0.35">
      <c r="X9979" s="40"/>
      <c r="Y9979" s="40"/>
    </row>
    <row r="9980" spans="24:25" x14ac:dyDescent="0.35">
      <c r="X9980" s="40"/>
      <c r="Y9980" s="40"/>
    </row>
    <row r="9981" spans="24:25" x14ac:dyDescent="0.35">
      <c r="X9981" s="40"/>
      <c r="Y9981" s="40"/>
    </row>
    <row r="9982" spans="24:25" x14ac:dyDescent="0.35">
      <c r="X9982" s="40"/>
      <c r="Y9982" s="40"/>
    </row>
    <row r="9983" spans="24:25" x14ac:dyDescent="0.35">
      <c r="X9983" s="40"/>
      <c r="Y9983" s="40"/>
    </row>
    <row r="9984" spans="24:25" x14ac:dyDescent="0.35">
      <c r="X9984" s="40"/>
      <c r="Y9984" s="40"/>
    </row>
    <row r="9985" spans="24:25" x14ac:dyDescent="0.35">
      <c r="X9985" s="40"/>
      <c r="Y9985" s="40"/>
    </row>
    <row r="9986" spans="24:25" x14ac:dyDescent="0.35">
      <c r="X9986" s="40"/>
      <c r="Y9986" s="40"/>
    </row>
    <row r="9987" spans="24:25" x14ac:dyDescent="0.35">
      <c r="X9987" s="40"/>
      <c r="Y9987" s="40"/>
    </row>
    <row r="9988" spans="24:25" x14ac:dyDescent="0.35">
      <c r="X9988" s="40"/>
      <c r="Y9988" s="40"/>
    </row>
    <row r="9989" spans="24:25" x14ac:dyDescent="0.35">
      <c r="X9989" s="40"/>
      <c r="Y9989" s="40"/>
    </row>
    <row r="9990" spans="24:25" x14ac:dyDescent="0.35">
      <c r="X9990" s="40"/>
      <c r="Y9990" s="40"/>
    </row>
    <row r="9991" spans="24:25" x14ac:dyDescent="0.35">
      <c r="X9991" s="40"/>
      <c r="Y9991" s="40"/>
    </row>
    <row r="9992" spans="24:25" x14ac:dyDescent="0.35">
      <c r="X9992" s="40"/>
      <c r="Y9992" s="40"/>
    </row>
    <row r="9993" spans="24:25" x14ac:dyDescent="0.35">
      <c r="X9993" s="40"/>
      <c r="Y9993" s="40"/>
    </row>
    <row r="9994" spans="24:25" x14ac:dyDescent="0.35">
      <c r="X9994" s="40"/>
      <c r="Y9994" s="40"/>
    </row>
    <row r="9995" spans="24:25" x14ac:dyDescent="0.35">
      <c r="X9995" s="40"/>
      <c r="Y9995" s="40"/>
    </row>
    <row r="9996" spans="24:25" x14ac:dyDescent="0.35">
      <c r="X9996" s="40"/>
      <c r="Y9996" s="40"/>
    </row>
    <row r="9997" spans="24:25" x14ac:dyDescent="0.35">
      <c r="X9997" s="40"/>
      <c r="Y9997" s="40"/>
    </row>
    <row r="9998" spans="24:25" x14ac:dyDescent="0.35">
      <c r="X9998" s="40"/>
      <c r="Y9998" s="40"/>
    </row>
    <row r="9999" spans="24:25" x14ac:dyDescent="0.35">
      <c r="X9999" s="40"/>
      <c r="Y9999" s="40"/>
    </row>
    <row r="10000" spans="24:25" x14ac:dyDescent="0.35">
      <c r="X10000" s="40"/>
      <c r="Y10000" s="40"/>
    </row>
    <row r="10001" spans="24:25" x14ac:dyDescent="0.35">
      <c r="X10001" s="40"/>
      <c r="Y10001" s="40"/>
    </row>
    <row r="10002" spans="24:25" x14ac:dyDescent="0.35">
      <c r="X10002" s="40"/>
      <c r="Y10002" s="40"/>
    </row>
    <row r="10003" spans="24:25" x14ac:dyDescent="0.35">
      <c r="X10003" s="40"/>
      <c r="Y10003" s="40"/>
    </row>
    <row r="10004" spans="24:25" x14ac:dyDescent="0.35">
      <c r="X10004" s="40"/>
      <c r="Y10004" s="40"/>
    </row>
    <row r="10005" spans="24:25" x14ac:dyDescent="0.35">
      <c r="X10005" s="40"/>
      <c r="Y10005" s="40"/>
    </row>
    <row r="10006" spans="24:25" x14ac:dyDescent="0.35">
      <c r="X10006" s="40"/>
      <c r="Y10006" s="40"/>
    </row>
    <row r="10007" spans="24:25" x14ac:dyDescent="0.35">
      <c r="X10007" s="40"/>
      <c r="Y10007" s="40"/>
    </row>
    <row r="10008" spans="24:25" x14ac:dyDescent="0.35">
      <c r="X10008" s="40"/>
      <c r="Y10008" s="40"/>
    </row>
    <row r="10009" spans="24:25" x14ac:dyDescent="0.35">
      <c r="X10009" s="40"/>
      <c r="Y10009" s="40"/>
    </row>
    <row r="10010" spans="24:25" x14ac:dyDescent="0.35">
      <c r="X10010" s="40"/>
      <c r="Y10010" s="40"/>
    </row>
    <row r="10011" spans="24:25" x14ac:dyDescent="0.35">
      <c r="X10011" s="40"/>
      <c r="Y10011" s="40"/>
    </row>
    <row r="10012" spans="24:25" x14ac:dyDescent="0.35">
      <c r="X10012" s="40"/>
      <c r="Y10012" s="40"/>
    </row>
    <row r="10013" spans="24:25" x14ac:dyDescent="0.35">
      <c r="X10013" s="40"/>
      <c r="Y10013" s="40"/>
    </row>
    <row r="10014" spans="24:25" x14ac:dyDescent="0.35">
      <c r="X10014" s="40"/>
      <c r="Y10014" s="40"/>
    </row>
    <row r="10015" spans="24:25" x14ac:dyDescent="0.35">
      <c r="X10015" s="40"/>
      <c r="Y10015" s="40"/>
    </row>
    <row r="10016" spans="24:25" x14ac:dyDescent="0.35">
      <c r="X10016" s="40"/>
      <c r="Y10016" s="40"/>
    </row>
    <row r="10017" spans="24:25" x14ac:dyDescent="0.35">
      <c r="X10017" s="40"/>
      <c r="Y10017" s="40"/>
    </row>
    <row r="10018" spans="24:25" x14ac:dyDescent="0.35">
      <c r="X10018" s="40"/>
      <c r="Y10018" s="40"/>
    </row>
    <row r="10019" spans="24:25" x14ac:dyDescent="0.35">
      <c r="X10019" s="40"/>
      <c r="Y10019" s="40"/>
    </row>
    <row r="10020" spans="24:25" x14ac:dyDescent="0.35">
      <c r="X10020" s="40"/>
      <c r="Y10020" s="40"/>
    </row>
    <row r="10021" spans="24:25" x14ac:dyDescent="0.35">
      <c r="X10021" s="40"/>
      <c r="Y10021" s="40"/>
    </row>
    <row r="10022" spans="24:25" x14ac:dyDescent="0.35">
      <c r="X10022" s="40"/>
      <c r="Y10022" s="40"/>
    </row>
    <row r="10023" spans="24:25" x14ac:dyDescent="0.35">
      <c r="X10023" s="40"/>
      <c r="Y10023" s="40"/>
    </row>
    <row r="10024" spans="24:25" x14ac:dyDescent="0.35">
      <c r="X10024" s="40"/>
      <c r="Y10024" s="40"/>
    </row>
    <row r="10025" spans="24:25" x14ac:dyDescent="0.35">
      <c r="X10025" s="40"/>
      <c r="Y10025" s="40"/>
    </row>
    <row r="10026" spans="24:25" x14ac:dyDescent="0.35">
      <c r="X10026" s="40"/>
      <c r="Y10026" s="40"/>
    </row>
    <row r="10027" spans="24:25" x14ac:dyDescent="0.35">
      <c r="X10027" s="40"/>
      <c r="Y10027" s="40"/>
    </row>
    <row r="10028" spans="24:25" x14ac:dyDescent="0.35">
      <c r="X10028" s="40"/>
      <c r="Y10028" s="40"/>
    </row>
    <row r="10029" spans="24:25" x14ac:dyDescent="0.35">
      <c r="X10029" s="40"/>
      <c r="Y10029" s="40"/>
    </row>
    <row r="10030" spans="24:25" x14ac:dyDescent="0.35">
      <c r="X10030" s="40"/>
      <c r="Y10030" s="40"/>
    </row>
    <row r="10031" spans="24:25" x14ac:dyDescent="0.35">
      <c r="X10031" s="40"/>
      <c r="Y10031" s="40"/>
    </row>
    <row r="10032" spans="24:25" x14ac:dyDescent="0.35">
      <c r="X10032" s="40"/>
      <c r="Y10032" s="40"/>
    </row>
    <row r="10033" spans="24:25" x14ac:dyDescent="0.35">
      <c r="X10033" s="40"/>
      <c r="Y10033" s="40"/>
    </row>
    <row r="10034" spans="24:25" x14ac:dyDescent="0.35">
      <c r="X10034" s="40"/>
      <c r="Y10034" s="40"/>
    </row>
    <row r="10035" spans="24:25" x14ac:dyDescent="0.35">
      <c r="X10035" s="40"/>
      <c r="Y10035" s="40"/>
    </row>
    <row r="10036" spans="24:25" x14ac:dyDescent="0.35">
      <c r="X10036" s="40"/>
      <c r="Y10036" s="40"/>
    </row>
    <row r="10037" spans="24:25" x14ac:dyDescent="0.35">
      <c r="X10037" s="40"/>
      <c r="Y10037" s="40"/>
    </row>
    <row r="10038" spans="24:25" x14ac:dyDescent="0.35">
      <c r="X10038" s="40"/>
      <c r="Y10038" s="40"/>
    </row>
    <row r="10039" spans="24:25" x14ac:dyDescent="0.35">
      <c r="X10039" s="40"/>
      <c r="Y10039" s="40"/>
    </row>
    <row r="10040" spans="24:25" x14ac:dyDescent="0.35">
      <c r="X10040" s="40"/>
      <c r="Y10040" s="40"/>
    </row>
    <row r="10041" spans="24:25" x14ac:dyDescent="0.35">
      <c r="X10041" s="40"/>
      <c r="Y10041" s="40"/>
    </row>
    <row r="10042" spans="24:25" x14ac:dyDescent="0.35">
      <c r="X10042" s="40"/>
      <c r="Y10042" s="40"/>
    </row>
    <row r="10043" spans="24:25" x14ac:dyDescent="0.35">
      <c r="X10043" s="40"/>
      <c r="Y10043" s="40"/>
    </row>
    <row r="10044" spans="24:25" x14ac:dyDescent="0.35">
      <c r="X10044" s="40"/>
      <c r="Y10044" s="40"/>
    </row>
    <row r="10045" spans="24:25" x14ac:dyDescent="0.35">
      <c r="X10045" s="40"/>
      <c r="Y10045" s="40"/>
    </row>
    <row r="10046" spans="24:25" x14ac:dyDescent="0.35">
      <c r="X10046" s="40"/>
      <c r="Y10046" s="40"/>
    </row>
    <row r="10047" spans="24:25" x14ac:dyDescent="0.35">
      <c r="X10047" s="40"/>
      <c r="Y10047" s="40"/>
    </row>
    <row r="10048" spans="24:25" x14ac:dyDescent="0.35">
      <c r="X10048" s="40"/>
      <c r="Y10048" s="40"/>
    </row>
    <row r="10049" spans="24:25" x14ac:dyDescent="0.35">
      <c r="X10049" s="40"/>
      <c r="Y10049" s="40"/>
    </row>
    <row r="10050" spans="24:25" x14ac:dyDescent="0.35">
      <c r="X10050" s="40"/>
      <c r="Y10050" s="40"/>
    </row>
    <row r="10051" spans="24:25" x14ac:dyDescent="0.35">
      <c r="X10051" s="40"/>
      <c r="Y10051" s="40"/>
    </row>
    <row r="10052" spans="24:25" x14ac:dyDescent="0.35">
      <c r="X10052" s="40"/>
      <c r="Y10052" s="40"/>
    </row>
    <row r="10053" spans="24:25" x14ac:dyDescent="0.35">
      <c r="X10053" s="40"/>
      <c r="Y10053" s="40"/>
    </row>
    <row r="10054" spans="24:25" x14ac:dyDescent="0.35">
      <c r="X10054" s="40"/>
      <c r="Y10054" s="40"/>
    </row>
    <row r="10055" spans="24:25" x14ac:dyDescent="0.35">
      <c r="X10055" s="40"/>
      <c r="Y10055" s="40"/>
    </row>
    <row r="10056" spans="24:25" x14ac:dyDescent="0.35">
      <c r="X10056" s="40"/>
      <c r="Y10056" s="40"/>
    </row>
    <row r="10057" spans="24:25" x14ac:dyDescent="0.35">
      <c r="X10057" s="40"/>
      <c r="Y10057" s="40"/>
    </row>
    <row r="10058" spans="24:25" x14ac:dyDescent="0.35">
      <c r="X10058" s="40"/>
      <c r="Y10058" s="40"/>
    </row>
    <row r="10059" spans="24:25" x14ac:dyDescent="0.35">
      <c r="X10059" s="40"/>
      <c r="Y10059" s="40"/>
    </row>
    <row r="10060" spans="24:25" x14ac:dyDescent="0.35">
      <c r="X10060" s="40"/>
      <c r="Y10060" s="40"/>
    </row>
    <row r="10061" spans="24:25" x14ac:dyDescent="0.35">
      <c r="X10061" s="40"/>
      <c r="Y10061" s="40"/>
    </row>
    <row r="10062" spans="24:25" x14ac:dyDescent="0.35">
      <c r="X10062" s="40"/>
      <c r="Y10062" s="40"/>
    </row>
    <row r="10063" spans="24:25" x14ac:dyDescent="0.35">
      <c r="X10063" s="40"/>
      <c r="Y10063" s="40"/>
    </row>
    <row r="10064" spans="24:25" x14ac:dyDescent="0.35">
      <c r="X10064" s="40"/>
      <c r="Y10064" s="40"/>
    </row>
    <row r="10065" spans="24:25" x14ac:dyDescent="0.35">
      <c r="X10065" s="40"/>
      <c r="Y10065" s="40"/>
    </row>
    <row r="10066" spans="24:25" x14ac:dyDescent="0.35">
      <c r="X10066" s="40"/>
      <c r="Y10066" s="40"/>
    </row>
    <row r="10067" spans="24:25" x14ac:dyDescent="0.35">
      <c r="X10067" s="40"/>
      <c r="Y10067" s="40"/>
    </row>
    <row r="10068" spans="24:25" x14ac:dyDescent="0.35">
      <c r="X10068" s="40"/>
      <c r="Y10068" s="40"/>
    </row>
    <row r="10069" spans="24:25" x14ac:dyDescent="0.35">
      <c r="X10069" s="40"/>
      <c r="Y10069" s="40"/>
    </row>
    <row r="10070" spans="24:25" x14ac:dyDescent="0.35">
      <c r="X10070" s="40"/>
      <c r="Y10070" s="40"/>
    </row>
    <row r="10071" spans="24:25" x14ac:dyDescent="0.35">
      <c r="X10071" s="40"/>
      <c r="Y10071" s="40"/>
    </row>
    <row r="10072" spans="24:25" x14ac:dyDescent="0.35">
      <c r="X10072" s="40"/>
      <c r="Y10072" s="40"/>
    </row>
    <row r="10073" spans="24:25" x14ac:dyDescent="0.35">
      <c r="X10073" s="40"/>
      <c r="Y10073" s="40"/>
    </row>
    <row r="10074" spans="24:25" x14ac:dyDescent="0.35">
      <c r="X10074" s="40"/>
      <c r="Y10074" s="40"/>
    </row>
    <row r="10075" spans="24:25" x14ac:dyDescent="0.35">
      <c r="X10075" s="40"/>
      <c r="Y10075" s="40"/>
    </row>
    <row r="10076" spans="24:25" x14ac:dyDescent="0.35">
      <c r="X10076" s="40"/>
      <c r="Y10076" s="40"/>
    </row>
    <row r="10077" spans="24:25" x14ac:dyDescent="0.35">
      <c r="X10077" s="40"/>
      <c r="Y10077" s="40"/>
    </row>
    <row r="10078" spans="24:25" x14ac:dyDescent="0.35">
      <c r="X10078" s="40"/>
      <c r="Y10078" s="40"/>
    </row>
    <row r="10079" spans="24:25" x14ac:dyDescent="0.35">
      <c r="X10079" s="40"/>
      <c r="Y10079" s="40"/>
    </row>
    <row r="10080" spans="24:25" x14ac:dyDescent="0.35">
      <c r="X10080" s="40"/>
      <c r="Y10080" s="40"/>
    </row>
    <row r="10081" spans="24:25" x14ac:dyDescent="0.35">
      <c r="X10081" s="40"/>
      <c r="Y10081" s="40"/>
    </row>
    <row r="10082" spans="24:25" x14ac:dyDescent="0.35">
      <c r="X10082" s="40"/>
      <c r="Y10082" s="40"/>
    </row>
    <row r="10083" spans="24:25" x14ac:dyDescent="0.35">
      <c r="X10083" s="40"/>
      <c r="Y10083" s="40"/>
    </row>
    <row r="10084" spans="24:25" x14ac:dyDescent="0.35">
      <c r="X10084" s="40"/>
      <c r="Y10084" s="40"/>
    </row>
    <row r="10085" spans="24:25" x14ac:dyDescent="0.35">
      <c r="X10085" s="40"/>
      <c r="Y10085" s="40"/>
    </row>
    <row r="10086" spans="24:25" x14ac:dyDescent="0.35">
      <c r="X10086" s="40"/>
      <c r="Y10086" s="40"/>
    </row>
    <row r="10087" spans="24:25" x14ac:dyDescent="0.35">
      <c r="X10087" s="40"/>
      <c r="Y10087" s="40"/>
    </row>
    <row r="10088" spans="24:25" x14ac:dyDescent="0.35">
      <c r="X10088" s="40"/>
      <c r="Y10088" s="40"/>
    </row>
    <row r="10089" spans="24:25" x14ac:dyDescent="0.35">
      <c r="X10089" s="40"/>
      <c r="Y10089" s="40"/>
    </row>
    <row r="10090" spans="24:25" x14ac:dyDescent="0.35">
      <c r="X10090" s="40"/>
      <c r="Y10090" s="40"/>
    </row>
    <row r="10091" spans="24:25" x14ac:dyDescent="0.35">
      <c r="X10091" s="40"/>
      <c r="Y10091" s="40"/>
    </row>
    <row r="10092" spans="24:25" x14ac:dyDescent="0.35">
      <c r="X10092" s="40"/>
      <c r="Y10092" s="40"/>
    </row>
    <row r="10093" spans="24:25" x14ac:dyDescent="0.35">
      <c r="X10093" s="40"/>
      <c r="Y10093" s="40"/>
    </row>
    <row r="10094" spans="24:25" x14ac:dyDescent="0.35">
      <c r="X10094" s="40"/>
      <c r="Y10094" s="40"/>
    </row>
    <row r="10095" spans="24:25" x14ac:dyDescent="0.35">
      <c r="X10095" s="40"/>
      <c r="Y10095" s="40"/>
    </row>
    <row r="10096" spans="24:25" x14ac:dyDescent="0.35">
      <c r="X10096" s="40"/>
      <c r="Y10096" s="40"/>
    </row>
    <row r="10097" spans="24:25" x14ac:dyDescent="0.35">
      <c r="X10097" s="40"/>
      <c r="Y10097" s="40"/>
    </row>
    <row r="10098" spans="24:25" x14ac:dyDescent="0.35">
      <c r="X10098" s="40"/>
      <c r="Y10098" s="40"/>
    </row>
    <row r="10099" spans="24:25" x14ac:dyDescent="0.35">
      <c r="X10099" s="40"/>
      <c r="Y10099" s="40"/>
    </row>
    <row r="10100" spans="24:25" x14ac:dyDescent="0.35">
      <c r="X10100" s="40"/>
      <c r="Y10100" s="40"/>
    </row>
    <row r="10101" spans="24:25" x14ac:dyDescent="0.35">
      <c r="X10101" s="40"/>
      <c r="Y10101" s="40"/>
    </row>
    <row r="10102" spans="24:25" x14ac:dyDescent="0.35">
      <c r="X10102" s="40"/>
      <c r="Y10102" s="40"/>
    </row>
    <row r="10103" spans="24:25" x14ac:dyDescent="0.35">
      <c r="X10103" s="40"/>
      <c r="Y10103" s="40"/>
    </row>
    <row r="10104" spans="24:25" x14ac:dyDescent="0.35">
      <c r="X10104" s="40"/>
      <c r="Y10104" s="40"/>
    </row>
    <row r="10105" spans="24:25" x14ac:dyDescent="0.35">
      <c r="X10105" s="40"/>
      <c r="Y10105" s="40"/>
    </row>
    <row r="10106" spans="24:25" x14ac:dyDescent="0.35">
      <c r="X10106" s="40"/>
      <c r="Y10106" s="40"/>
    </row>
    <row r="10107" spans="24:25" x14ac:dyDescent="0.35">
      <c r="X10107" s="40"/>
      <c r="Y10107" s="40"/>
    </row>
    <row r="10108" spans="24:25" x14ac:dyDescent="0.35">
      <c r="X10108" s="40"/>
      <c r="Y10108" s="40"/>
    </row>
    <row r="10109" spans="24:25" x14ac:dyDescent="0.35">
      <c r="X10109" s="40"/>
      <c r="Y10109" s="40"/>
    </row>
    <row r="10110" spans="24:25" x14ac:dyDescent="0.35">
      <c r="X10110" s="40"/>
      <c r="Y10110" s="40"/>
    </row>
    <row r="10111" spans="24:25" x14ac:dyDescent="0.35">
      <c r="X10111" s="40"/>
      <c r="Y10111" s="40"/>
    </row>
    <row r="10112" spans="24:25" x14ac:dyDescent="0.35">
      <c r="X10112" s="40"/>
      <c r="Y10112" s="40"/>
    </row>
    <row r="10113" spans="24:25" x14ac:dyDescent="0.35">
      <c r="X10113" s="40"/>
      <c r="Y10113" s="40"/>
    </row>
    <row r="10114" spans="24:25" x14ac:dyDescent="0.35">
      <c r="X10114" s="40"/>
      <c r="Y10114" s="40"/>
    </row>
    <row r="10115" spans="24:25" x14ac:dyDescent="0.35">
      <c r="X10115" s="40"/>
      <c r="Y10115" s="40"/>
    </row>
    <row r="10116" spans="24:25" x14ac:dyDescent="0.35">
      <c r="X10116" s="40"/>
      <c r="Y10116" s="40"/>
    </row>
    <row r="10117" spans="24:25" x14ac:dyDescent="0.35">
      <c r="X10117" s="40"/>
      <c r="Y10117" s="40"/>
    </row>
    <row r="10118" spans="24:25" x14ac:dyDescent="0.35">
      <c r="X10118" s="40"/>
      <c r="Y10118" s="40"/>
    </row>
    <row r="10119" spans="24:25" x14ac:dyDescent="0.35">
      <c r="X10119" s="40"/>
      <c r="Y10119" s="40"/>
    </row>
    <row r="10120" spans="24:25" x14ac:dyDescent="0.35">
      <c r="X10120" s="40"/>
      <c r="Y10120" s="40"/>
    </row>
    <row r="10121" spans="24:25" x14ac:dyDescent="0.35">
      <c r="X10121" s="40"/>
      <c r="Y10121" s="40"/>
    </row>
    <row r="10122" spans="24:25" x14ac:dyDescent="0.35">
      <c r="X10122" s="40"/>
      <c r="Y10122" s="40"/>
    </row>
    <row r="10123" spans="24:25" x14ac:dyDescent="0.35">
      <c r="X10123" s="40"/>
      <c r="Y10123" s="40"/>
    </row>
    <row r="10124" spans="24:25" x14ac:dyDescent="0.35">
      <c r="X10124" s="40"/>
      <c r="Y10124" s="40"/>
    </row>
    <row r="10125" spans="24:25" x14ac:dyDescent="0.35">
      <c r="X10125" s="40"/>
      <c r="Y10125" s="40"/>
    </row>
    <row r="10126" spans="24:25" x14ac:dyDescent="0.35">
      <c r="X10126" s="40"/>
      <c r="Y10126" s="40"/>
    </row>
    <row r="10127" spans="24:25" x14ac:dyDescent="0.35">
      <c r="X10127" s="40"/>
      <c r="Y10127" s="40"/>
    </row>
    <row r="10128" spans="24:25" x14ac:dyDescent="0.35">
      <c r="X10128" s="40"/>
      <c r="Y10128" s="40"/>
    </row>
    <row r="10129" spans="24:25" x14ac:dyDescent="0.35">
      <c r="X10129" s="40"/>
      <c r="Y10129" s="40"/>
    </row>
    <row r="10130" spans="24:25" x14ac:dyDescent="0.35">
      <c r="X10130" s="40"/>
      <c r="Y10130" s="40"/>
    </row>
    <row r="10131" spans="24:25" x14ac:dyDescent="0.35">
      <c r="X10131" s="40"/>
      <c r="Y10131" s="40"/>
    </row>
    <row r="10132" spans="24:25" x14ac:dyDescent="0.35">
      <c r="X10132" s="40"/>
      <c r="Y10132" s="40"/>
    </row>
    <row r="10133" spans="24:25" x14ac:dyDescent="0.35">
      <c r="X10133" s="40"/>
      <c r="Y10133" s="40"/>
    </row>
    <row r="10134" spans="24:25" x14ac:dyDescent="0.35">
      <c r="X10134" s="40"/>
      <c r="Y10134" s="40"/>
    </row>
    <row r="10135" spans="24:25" x14ac:dyDescent="0.35">
      <c r="X10135" s="40"/>
      <c r="Y10135" s="40"/>
    </row>
    <row r="10136" spans="24:25" x14ac:dyDescent="0.35">
      <c r="X10136" s="40"/>
      <c r="Y10136" s="40"/>
    </row>
    <row r="10137" spans="24:25" x14ac:dyDescent="0.35">
      <c r="X10137" s="40"/>
      <c r="Y10137" s="40"/>
    </row>
    <row r="10138" spans="24:25" x14ac:dyDescent="0.35">
      <c r="X10138" s="40"/>
      <c r="Y10138" s="40"/>
    </row>
    <row r="10139" spans="24:25" x14ac:dyDescent="0.35">
      <c r="X10139" s="40"/>
      <c r="Y10139" s="40"/>
    </row>
    <row r="10140" spans="24:25" x14ac:dyDescent="0.35">
      <c r="X10140" s="40"/>
      <c r="Y10140" s="40"/>
    </row>
    <row r="10141" spans="24:25" x14ac:dyDescent="0.35">
      <c r="X10141" s="40"/>
      <c r="Y10141" s="40"/>
    </row>
    <row r="10142" spans="24:25" x14ac:dyDescent="0.35">
      <c r="X10142" s="40"/>
      <c r="Y10142" s="40"/>
    </row>
    <row r="10143" spans="24:25" x14ac:dyDescent="0.35">
      <c r="X10143" s="40"/>
      <c r="Y10143" s="40"/>
    </row>
    <row r="10144" spans="24:25" x14ac:dyDescent="0.35">
      <c r="X10144" s="40"/>
      <c r="Y10144" s="40"/>
    </row>
    <row r="10145" spans="24:25" x14ac:dyDescent="0.35">
      <c r="X10145" s="40"/>
      <c r="Y10145" s="40"/>
    </row>
    <row r="10146" spans="24:25" x14ac:dyDescent="0.35">
      <c r="X10146" s="40"/>
      <c r="Y10146" s="40"/>
    </row>
    <row r="10147" spans="24:25" x14ac:dyDescent="0.35">
      <c r="X10147" s="40"/>
      <c r="Y10147" s="40"/>
    </row>
    <row r="10148" spans="24:25" x14ac:dyDescent="0.35">
      <c r="X10148" s="40"/>
      <c r="Y10148" s="40"/>
    </row>
    <row r="10149" spans="24:25" x14ac:dyDescent="0.35">
      <c r="X10149" s="40"/>
      <c r="Y10149" s="40"/>
    </row>
    <row r="10150" spans="24:25" x14ac:dyDescent="0.35">
      <c r="X10150" s="40"/>
      <c r="Y10150" s="40"/>
    </row>
    <row r="10151" spans="24:25" x14ac:dyDescent="0.35">
      <c r="X10151" s="40"/>
      <c r="Y10151" s="40"/>
    </row>
    <row r="10152" spans="24:25" x14ac:dyDescent="0.35">
      <c r="X10152" s="40"/>
      <c r="Y10152" s="40"/>
    </row>
    <row r="10153" spans="24:25" x14ac:dyDescent="0.35">
      <c r="X10153" s="40"/>
      <c r="Y10153" s="40"/>
    </row>
    <row r="10154" spans="24:25" x14ac:dyDescent="0.35">
      <c r="X10154" s="40"/>
      <c r="Y10154" s="40"/>
    </row>
    <row r="10155" spans="24:25" x14ac:dyDescent="0.35">
      <c r="X10155" s="40"/>
      <c r="Y10155" s="40"/>
    </row>
    <row r="10156" spans="24:25" x14ac:dyDescent="0.35">
      <c r="X10156" s="40"/>
      <c r="Y10156" s="40"/>
    </row>
    <row r="10157" spans="24:25" x14ac:dyDescent="0.35">
      <c r="X10157" s="40"/>
      <c r="Y10157" s="40"/>
    </row>
    <row r="10158" spans="24:25" x14ac:dyDescent="0.35">
      <c r="X10158" s="40"/>
      <c r="Y10158" s="40"/>
    </row>
    <row r="10159" spans="24:25" x14ac:dyDescent="0.35">
      <c r="X10159" s="40"/>
      <c r="Y10159" s="40"/>
    </row>
    <row r="10160" spans="24:25" x14ac:dyDescent="0.35">
      <c r="X10160" s="40"/>
      <c r="Y10160" s="40"/>
    </row>
    <row r="10161" spans="24:25" x14ac:dyDescent="0.35">
      <c r="X10161" s="40"/>
      <c r="Y10161" s="40"/>
    </row>
    <row r="10162" spans="24:25" x14ac:dyDescent="0.35">
      <c r="X10162" s="40"/>
      <c r="Y10162" s="40"/>
    </row>
    <row r="10163" spans="24:25" x14ac:dyDescent="0.35">
      <c r="X10163" s="40"/>
      <c r="Y10163" s="40"/>
    </row>
    <row r="10164" spans="24:25" x14ac:dyDescent="0.35">
      <c r="X10164" s="40"/>
      <c r="Y10164" s="40"/>
    </row>
    <row r="10165" spans="24:25" x14ac:dyDescent="0.35">
      <c r="X10165" s="40"/>
      <c r="Y10165" s="40"/>
    </row>
    <row r="10166" spans="24:25" x14ac:dyDescent="0.35">
      <c r="X10166" s="40"/>
      <c r="Y10166" s="40"/>
    </row>
    <row r="10167" spans="24:25" x14ac:dyDescent="0.35">
      <c r="X10167" s="40"/>
      <c r="Y10167" s="40"/>
    </row>
    <row r="10168" spans="24:25" x14ac:dyDescent="0.35">
      <c r="X10168" s="40"/>
      <c r="Y10168" s="40"/>
    </row>
    <row r="10169" spans="24:25" x14ac:dyDescent="0.35">
      <c r="X10169" s="40"/>
      <c r="Y10169" s="40"/>
    </row>
    <row r="10170" spans="24:25" x14ac:dyDescent="0.35">
      <c r="X10170" s="40"/>
      <c r="Y10170" s="40"/>
    </row>
    <row r="10171" spans="24:25" x14ac:dyDescent="0.35">
      <c r="X10171" s="40"/>
      <c r="Y10171" s="40"/>
    </row>
    <row r="10172" spans="24:25" x14ac:dyDescent="0.35">
      <c r="X10172" s="40"/>
      <c r="Y10172" s="40"/>
    </row>
    <row r="10173" spans="24:25" x14ac:dyDescent="0.35">
      <c r="X10173" s="40"/>
      <c r="Y10173" s="40"/>
    </row>
    <row r="10174" spans="24:25" x14ac:dyDescent="0.35">
      <c r="X10174" s="40"/>
      <c r="Y10174" s="40"/>
    </row>
    <row r="10175" spans="24:25" x14ac:dyDescent="0.35">
      <c r="X10175" s="40"/>
      <c r="Y10175" s="40"/>
    </row>
    <row r="10176" spans="24:25" x14ac:dyDescent="0.35">
      <c r="X10176" s="40"/>
      <c r="Y10176" s="40"/>
    </row>
    <row r="10177" spans="24:25" x14ac:dyDescent="0.35">
      <c r="X10177" s="40"/>
      <c r="Y10177" s="40"/>
    </row>
    <row r="10178" spans="24:25" x14ac:dyDescent="0.35">
      <c r="X10178" s="40"/>
      <c r="Y10178" s="40"/>
    </row>
    <row r="10179" spans="24:25" x14ac:dyDescent="0.35">
      <c r="X10179" s="40"/>
      <c r="Y10179" s="40"/>
    </row>
    <row r="10180" spans="24:25" x14ac:dyDescent="0.35">
      <c r="X10180" s="40"/>
      <c r="Y10180" s="40"/>
    </row>
    <row r="10181" spans="24:25" x14ac:dyDescent="0.35">
      <c r="X10181" s="40"/>
      <c r="Y10181" s="40"/>
    </row>
    <row r="10182" spans="24:25" x14ac:dyDescent="0.35">
      <c r="X10182" s="40"/>
      <c r="Y10182" s="40"/>
    </row>
    <row r="10183" spans="24:25" x14ac:dyDescent="0.35">
      <c r="X10183" s="40"/>
      <c r="Y10183" s="40"/>
    </row>
    <row r="10184" spans="24:25" x14ac:dyDescent="0.35">
      <c r="X10184" s="40"/>
      <c r="Y10184" s="40"/>
    </row>
    <row r="10185" spans="24:25" x14ac:dyDescent="0.35">
      <c r="X10185" s="40"/>
      <c r="Y10185" s="40"/>
    </row>
    <row r="10186" spans="24:25" x14ac:dyDescent="0.35">
      <c r="X10186" s="40"/>
      <c r="Y10186" s="40"/>
    </row>
    <row r="10187" spans="24:25" x14ac:dyDescent="0.35">
      <c r="X10187" s="40"/>
      <c r="Y10187" s="40"/>
    </row>
    <row r="10188" spans="24:25" x14ac:dyDescent="0.35">
      <c r="X10188" s="40"/>
      <c r="Y10188" s="40"/>
    </row>
    <row r="10189" spans="24:25" x14ac:dyDescent="0.35">
      <c r="X10189" s="40"/>
      <c r="Y10189" s="40"/>
    </row>
    <row r="10190" spans="24:25" x14ac:dyDescent="0.35">
      <c r="X10190" s="40"/>
      <c r="Y10190" s="40"/>
    </row>
    <row r="10191" spans="24:25" x14ac:dyDescent="0.35">
      <c r="X10191" s="40"/>
      <c r="Y10191" s="40"/>
    </row>
    <row r="10192" spans="24:25" x14ac:dyDescent="0.35">
      <c r="X10192" s="40"/>
      <c r="Y10192" s="40"/>
    </row>
    <row r="10193" spans="24:25" x14ac:dyDescent="0.35">
      <c r="X10193" s="40"/>
      <c r="Y10193" s="40"/>
    </row>
    <row r="10194" spans="24:25" x14ac:dyDescent="0.35">
      <c r="X10194" s="40"/>
      <c r="Y10194" s="40"/>
    </row>
    <row r="10195" spans="24:25" x14ac:dyDescent="0.35">
      <c r="X10195" s="40"/>
      <c r="Y10195" s="40"/>
    </row>
    <row r="10196" spans="24:25" x14ac:dyDescent="0.35">
      <c r="X10196" s="40"/>
      <c r="Y10196" s="40"/>
    </row>
    <row r="10197" spans="24:25" x14ac:dyDescent="0.35">
      <c r="X10197" s="40"/>
      <c r="Y10197" s="40"/>
    </row>
    <row r="10198" spans="24:25" x14ac:dyDescent="0.35">
      <c r="X10198" s="40"/>
      <c r="Y10198" s="40"/>
    </row>
    <row r="10199" spans="24:25" x14ac:dyDescent="0.35">
      <c r="X10199" s="40"/>
      <c r="Y10199" s="40"/>
    </row>
    <row r="10200" spans="24:25" x14ac:dyDescent="0.35">
      <c r="X10200" s="40"/>
      <c r="Y10200" s="40"/>
    </row>
    <row r="10201" spans="24:25" x14ac:dyDescent="0.35">
      <c r="X10201" s="40"/>
      <c r="Y10201" s="40"/>
    </row>
    <row r="10202" spans="24:25" x14ac:dyDescent="0.35">
      <c r="X10202" s="40"/>
      <c r="Y10202" s="40"/>
    </row>
    <row r="10203" spans="24:25" x14ac:dyDescent="0.35">
      <c r="X10203" s="40"/>
      <c r="Y10203" s="40"/>
    </row>
    <row r="10204" spans="24:25" x14ac:dyDescent="0.35">
      <c r="X10204" s="40"/>
      <c r="Y10204" s="40"/>
    </row>
    <row r="10205" spans="24:25" x14ac:dyDescent="0.35">
      <c r="X10205" s="40"/>
      <c r="Y10205" s="40"/>
    </row>
    <row r="10206" spans="24:25" x14ac:dyDescent="0.35">
      <c r="X10206" s="40"/>
      <c r="Y10206" s="40"/>
    </row>
    <row r="10207" spans="24:25" x14ac:dyDescent="0.35">
      <c r="X10207" s="40"/>
      <c r="Y10207" s="40"/>
    </row>
    <row r="10208" spans="24:25" x14ac:dyDescent="0.35">
      <c r="X10208" s="40"/>
      <c r="Y10208" s="40"/>
    </row>
    <row r="10209" spans="24:25" x14ac:dyDescent="0.35">
      <c r="X10209" s="40"/>
      <c r="Y10209" s="40"/>
    </row>
    <row r="10210" spans="24:25" x14ac:dyDescent="0.35">
      <c r="X10210" s="40"/>
      <c r="Y10210" s="40"/>
    </row>
    <row r="10211" spans="24:25" x14ac:dyDescent="0.35">
      <c r="X10211" s="40"/>
      <c r="Y10211" s="40"/>
    </row>
    <row r="10212" spans="24:25" x14ac:dyDescent="0.35">
      <c r="X10212" s="40"/>
      <c r="Y10212" s="40"/>
    </row>
    <row r="10213" spans="24:25" x14ac:dyDescent="0.35">
      <c r="X10213" s="40"/>
      <c r="Y10213" s="40"/>
    </row>
    <row r="10214" spans="24:25" x14ac:dyDescent="0.35">
      <c r="X10214" s="40"/>
      <c r="Y10214" s="40"/>
    </row>
    <row r="10215" spans="24:25" x14ac:dyDescent="0.35">
      <c r="X10215" s="40"/>
      <c r="Y10215" s="40"/>
    </row>
    <row r="10216" spans="24:25" x14ac:dyDescent="0.35">
      <c r="X10216" s="40"/>
      <c r="Y10216" s="40"/>
    </row>
    <row r="10217" spans="24:25" x14ac:dyDescent="0.35">
      <c r="X10217" s="40"/>
      <c r="Y10217" s="40"/>
    </row>
    <row r="10218" spans="24:25" x14ac:dyDescent="0.35">
      <c r="X10218" s="40"/>
      <c r="Y10218" s="40"/>
    </row>
    <row r="10219" spans="24:25" x14ac:dyDescent="0.35">
      <c r="X10219" s="40"/>
      <c r="Y10219" s="40"/>
    </row>
    <row r="10220" spans="24:25" x14ac:dyDescent="0.35">
      <c r="X10220" s="40"/>
      <c r="Y10220" s="40"/>
    </row>
    <row r="10221" spans="24:25" x14ac:dyDescent="0.35">
      <c r="X10221" s="40"/>
      <c r="Y10221" s="40"/>
    </row>
    <row r="10222" spans="24:25" x14ac:dyDescent="0.35">
      <c r="X10222" s="40"/>
      <c r="Y10222" s="40"/>
    </row>
    <row r="10223" spans="24:25" x14ac:dyDescent="0.35">
      <c r="X10223" s="40"/>
      <c r="Y10223" s="40"/>
    </row>
    <row r="10224" spans="24:25" x14ac:dyDescent="0.35">
      <c r="X10224" s="40"/>
      <c r="Y10224" s="40"/>
    </row>
    <row r="10225" spans="24:25" x14ac:dyDescent="0.35">
      <c r="X10225" s="40"/>
      <c r="Y10225" s="40"/>
    </row>
    <row r="10226" spans="24:25" x14ac:dyDescent="0.35">
      <c r="X10226" s="40"/>
      <c r="Y10226" s="40"/>
    </row>
    <row r="10227" spans="24:25" x14ac:dyDescent="0.35">
      <c r="X10227" s="40"/>
      <c r="Y10227" s="40"/>
    </row>
    <row r="10228" spans="24:25" x14ac:dyDescent="0.35">
      <c r="X10228" s="40"/>
      <c r="Y10228" s="40"/>
    </row>
    <row r="10229" spans="24:25" x14ac:dyDescent="0.35">
      <c r="X10229" s="40"/>
      <c r="Y10229" s="40"/>
    </row>
    <row r="10230" spans="24:25" x14ac:dyDescent="0.35">
      <c r="X10230" s="40"/>
      <c r="Y10230" s="40"/>
    </row>
    <row r="10231" spans="24:25" x14ac:dyDescent="0.35">
      <c r="X10231" s="40"/>
      <c r="Y10231" s="40"/>
    </row>
    <row r="10232" spans="24:25" x14ac:dyDescent="0.35">
      <c r="X10232" s="40"/>
      <c r="Y10232" s="40"/>
    </row>
    <row r="10233" spans="24:25" x14ac:dyDescent="0.35">
      <c r="X10233" s="40"/>
      <c r="Y10233" s="40"/>
    </row>
    <row r="10234" spans="24:25" x14ac:dyDescent="0.35">
      <c r="X10234" s="40"/>
      <c r="Y10234" s="40"/>
    </row>
    <row r="10235" spans="24:25" x14ac:dyDescent="0.35">
      <c r="X10235" s="40"/>
      <c r="Y10235" s="40"/>
    </row>
    <row r="10236" spans="24:25" x14ac:dyDescent="0.35">
      <c r="X10236" s="40"/>
      <c r="Y10236" s="40"/>
    </row>
    <row r="10237" spans="24:25" x14ac:dyDescent="0.35">
      <c r="X10237" s="40"/>
      <c r="Y10237" s="40"/>
    </row>
    <row r="10238" spans="24:25" x14ac:dyDescent="0.35">
      <c r="X10238" s="40"/>
      <c r="Y10238" s="40"/>
    </row>
    <row r="10239" spans="24:25" x14ac:dyDescent="0.35">
      <c r="X10239" s="40"/>
      <c r="Y10239" s="40"/>
    </row>
    <row r="10240" spans="24:25" x14ac:dyDescent="0.35">
      <c r="X10240" s="40"/>
      <c r="Y10240" s="40"/>
    </row>
    <row r="10241" spans="24:25" x14ac:dyDescent="0.35">
      <c r="X10241" s="40"/>
      <c r="Y10241" s="40"/>
    </row>
    <row r="10242" spans="24:25" x14ac:dyDescent="0.35">
      <c r="X10242" s="40"/>
      <c r="Y10242" s="40"/>
    </row>
    <row r="10243" spans="24:25" x14ac:dyDescent="0.35">
      <c r="X10243" s="40"/>
      <c r="Y10243" s="40"/>
    </row>
    <row r="10244" spans="24:25" x14ac:dyDescent="0.35">
      <c r="X10244" s="40"/>
      <c r="Y10244" s="40"/>
    </row>
    <row r="10245" spans="24:25" x14ac:dyDescent="0.35">
      <c r="X10245" s="40"/>
      <c r="Y10245" s="40"/>
    </row>
    <row r="10246" spans="24:25" x14ac:dyDescent="0.35">
      <c r="X10246" s="40"/>
      <c r="Y10246" s="40"/>
    </row>
    <row r="10247" spans="24:25" x14ac:dyDescent="0.35">
      <c r="X10247" s="40"/>
      <c r="Y10247" s="40"/>
    </row>
    <row r="10248" spans="24:25" x14ac:dyDescent="0.35">
      <c r="X10248" s="40"/>
      <c r="Y10248" s="40"/>
    </row>
    <row r="10249" spans="24:25" x14ac:dyDescent="0.35">
      <c r="X10249" s="40"/>
      <c r="Y10249" s="40"/>
    </row>
    <row r="10250" spans="24:25" x14ac:dyDescent="0.35">
      <c r="X10250" s="40"/>
      <c r="Y10250" s="40"/>
    </row>
    <row r="10251" spans="24:25" x14ac:dyDescent="0.35">
      <c r="X10251" s="40"/>
      <c r="Y10251" s="40"/>
    </row>
    <row r="10252" spans="24:25" x14ac:dyDescent="0.35">
      <c r="X10252" s="40"/>
      <c r="Y10252" s="40"/>
    </row>
    <row r="10253" spans="24:25" x14ac:dyDescent="0.35">
      <c r="X10253" s="40"/>
      <c r="Y10253" s="40"/>
    </row>
    <row r="10254" spans="24:25" x14ac:dyDescent="0.35">
      <c r="X10254" s="40"/>
      <c r="Y10254" s="40"/>
    </row>
    <row r="10255" spans="24:25" x14ac:dyDescent="0.35">
      <c r="X10255" s="40"/>
      <c r="Y10255" s="40"/>
    </row>
    <row r="10256" spans="24:25" x14ac:dyDescent="0.35">
      <c r="X10256" s="40"/>
      <c r="Y10256" s="40"/>
    </row>
    <row r="10257" spans="24:25" x14ac:dyDescent="0.35">
      <c r="X10257" s="40"/>
      <c r="Y10257" s="40"/>
    </row>
    <row r="10258" spans="24:25" x14ac:dyDescent="0.35">
      <c r="X10258" s="40"/>
      <c r="Y10258" s="40"/>
    </row>
    <row r="10259" spans="24:25" x14ac:dyDescent="0.35">
      <c r="X10259" s="40"/>
      <c r="Y10259" s="40"/>
    </row>
    <row r="10260" spans="24:25" x14ac:dyDescent="0.35">
      <c r="X10260" s="40"/>
      <c r="Y10260" s="40"/>
    </row>
    <row r="10261" spans="24:25" x14ac:dyDescent="0.35">
      <c r="X10261" s="40"/>
      <c r="Y10261" s="40"/>
    </row>
    <row r="10262" spans="24:25" x14ac:dyDescent="0.35">
      <c r="X10262" s="40"/>
      <c r="Y10262" s="40"/>
    </row>
    <row r="10263" spans="24:25" x14ac:dyDescent="0.35">
      <c r="X10263" s="40"/>
      <c r="Y10263" s="40"/>
    </row>
    <row r="10264" spans="24:25" x14ac:dyDescent="0.35">
      <c r="X10264" s="40"/>
      <c r="Y10264" s="40"/>
    </row>
    <row r="10265" spans="24:25" x14ac:dyDescent="0.35">
      <c r="X10265" s="40"/>
      <c r="Y10265" s="40"/>
    </row>
    <row r="10266" spans="24:25" x14ac:dyDescent="0.35">
      <c r="X10266" s="40"/>
      <c r="Y10266" s="40"/>
    </row>
    <row r="10267" spans="24:25" x14ac:dyDescent="0.35">
      <c r="X10267" s="40"/>
      <c r="Y10267" s="40"/>
    </row>
    <row r="10268" spans="24:25" x14ac:dyDescent="0.35">
      <c r="X10268" s="40"/>
      <c r="Y10268" s="40"/>
    </row>
    <row r="10269" spans="24:25" x14ac:dyDescent="0.35">
      <c r="X10269" s="40"/>
      <c r="Y10269" s="40"/>
    </row>
    <row r="10270" spans="24:25" x14ac:dyDescent="0.35">
      <c r="X10270" s="40"/>
      <c r="Y10270" s="40"/>
    </row>
    <row r="10271" spans="24:25" x14ac:dyDescent="0.35">
      <c r="X10271" s="40"/>
      <c r="Y10271" s="40"/>
    </row>
    <row r="10272" spans="24:25" x14ac:dyDescent="0.35">
      <c r="X10272" s="40"/>
      <c r="Y10272" s="40"/>
    </row>
    <row r="10273" spans="24:25" x14ac:dyDescent="0.35">
      <c r="X10273" s="40"/>
      <c r="Y10273" s="40"/>
    </row>
    <row r="10274" spans="24:25" x14ac:dyDescent="0.35">
      <c r="X10274" s="40"/>
      <c r="Y10274" s="40"/>
    </row>
    <row r="10275" spans="24:25" x14ac:dyDescent="0.35">
      <c r="X10275" s="40"/>
      <c r="Y10275" s="40"/>
    </row>
    <row r="10276" spans="24:25" x14ac:dyDescent="0.35">
      <c r="X10276" s="40"/>
      <c r="Y10276" s="40"/>
    </row>
    <row r="10277" spans="24:25" x14ac:dyDescent="0.35">
      <c r="X10277" s="40"/>
      <c r="Y10277" s="40"/>
    </row>
    <row r="10278" spans="24:25" x14ac:dyDescent="0.35">
      <c r="X10278" s="40"/>
      <c r="Y10278" s="40"/>
    </row>
    <row r="10279" spans="24:25" x14ac:dyDescent="0.35">
      <c r="X10279" s="40"/>
      <c r="Y10279" s="40"/>
    </row>
    <row r="10280" spans="24:25" x14ac:dyDescent="0.35">
      <c r="X10280" s="40"/>
      <c r="Y10280" s="40"/>
    </row>
    <row r="10281" spans="24:25" x14ac:dyDescent="0.35">
      <c r="X10281" s="40"/>
      <c r="Y10281" s="40"/>
    </row>
    <row r="10282" spans="24:25" x14ac:dyDescent="0.35">
      <c r="X10282" s="40"/>
      <c r="Y10282" s="40"/>
    </row>
    <row r="10283" spans="24:25" x14ac:dyDescent="0.35">
      <c r="X10283" s="40"/>
      <c r="Y10283" s="40"/>
    </row>
    <row r="10284" spans="24:25" x14ac:dyDescent="0.35">
      <c r="X10284" s="40"/>
      <c r="Y10284" s="40"/>
    </row>
    <row r="10285" spans="24:25" x14ac:dyDescent="0.35">
      <c r="X10285" s="40"/>
      <c r="Y10285" s="40"/>
    </row>
    <row r="10286" spans="24:25" x14ac:dyDescent="0.35">
      <c r="X10286" s="40"/>
      <c r="Y10286" s="40"/>
    </row>
    <row r="10287" spans="24:25" x14ac:dyDescent="0.35">
      <c r="X10287" s="40"/>
      <c r="Y10287" s="40"/>
    </row>
    <row r="10288" spans="24:25" x14ac:dyDescent="0.35">
      <c r="X10288" s="40"/>
      <c r="Y10288" s="40"/>
    </row>
    <row r="10289" spans="24:25" x14ac:dyDescent="0.35">
      <c r="X10289" s="40"/>
      <c r="Y10289" s="40"/>
    </row>
    <row r="10290" spans="24:25" x14ac:dyDescent="0.35">
      <c r="X10290" s="40"/>
      <c r="Y10290" s="40"/>
    </row>
    <row r="10291" spans="24:25" x14ac:dyDescent="0.35">
      <c r="X10291" s="40"/>
      <c r="Y10291" s="40"/>
    </row>
    <row r="10292" spans="24:25" x14ac:dyDescent="0.35">
      <c r="X10292" s="40"/>
      <c r="Y10292" s="40"/>
    </row>
    <row r="10293" spans="24:25" x14ac:dyDescent="0.35">
      <c r="X10293" s="40"/>
      <c r="Y10293" s="40"/>
    </row>
    <row r="10294" spans="24:25" x14ac:dyDescent="0.35">
      <c r="X10294" s="40"/>
      <c r="Y10294" s="40"/>
    </row>
    <row r="10295" spans="24:25" x14ac:dyDescent="0.35">
      <c r="X10295" s="40"/>
      <c r="Y10295" s="40"/>
    </row>
    <row r="10296" spans="24:25" x14ac:dyDescent="0.35">
      <c r="X10296" s="40"/>
      <c r="Y10296" s="40"/>
    </row>
    <row r="10297" spans="24:25" x14ac:dyDescent="0.35">
      <c r="X10297" s="40"/>
      <c r="Y10297" s="40"/>
    </row>
    <row r="10298" spans="24:25" x14ac:dyDescent="0.35">
      <c r="X10298" s="40"/>
      <c r="Y10298" s="40"/>
    </row>
    <row r="10299" spans="24:25" x14ac:dyDescent="0.35">
      <c r="X10299" s="40"/>
      <c r="Y10299" s="40"/>
    </row>
    <row r="10300" spans="24:25" x14ac:dyDescent="0.35">
      <c r="X10300" s="40"/>
      <c r="Y10300" s="40"/>
    </row>
    <row r="10301" spans="24:25" x14ac:dyDescent="0.35">
      <c r="X10301" s="40"/>
      <c r="Y10301" s="40"/>
    </row>
    <row r="10302" spans="24:25" x14ac:dyDescent="0.35">
      <c r="X10302" s="40"/>
      <c r="Y10302" s="40"/>
    </row>
    <row r="10303" spans="24:25" x14ac:dyDescent="0.35">
      <c r="X10303" s="40"/>
      <c r="Y10303" s="40"/>
    </row>
    <row r="10304" spans="24:25" x14ac:dyDescent="0.35">
      <c r="X10304" s="40"/>
      <c r="Y10304" s="40"/>
    </row>
    <row r="10305" spans="24:25" x14ac:dyDescent="0.35">
      <c r="X10305" s="40"/>
      <c r="Y10305" s="40"/>
    </row>
    <row r="10306" spans="24:25" x14ac:dyDescent="0.35">
      <c r="X10306" s="40"/>
      <c r="Y10306" s="40"/>
    </row>
    <row r="10307" spans="24:25" x14ac:dyDescent="0.35">
      <c r="X10307" s="40"/>
      <c r="Y10307" s="40"/>
    </row>
    <row r="10308" spans="24:25" x14ac:dyDescent="0.35">
      <c r="X10308" s="40"/>
      <c r="Y10308" s="40"/>
    </row>
    <row r="10309" spans="24:25" x14ac:dyDescent="0.35">
      <c r="X10309" s="40"/>
      <c r="Y10309" s="40"/>
    </row>
    <row r="10310" spans="24:25" x14ac:dyDescent="0.35">
      <c r="X10310" s="40"/>
      <c r="Y10310" s="40"/>
    </row>
    <row r="10311" spans="24:25" x14ac:dyDescent="0.35">
      <c r="X10311" s="40"/>
      <c r="Y10311" s="40"/>
    </row>
    <row r="10312" spans="24:25" x14ac:dyDescent="0.35">
      <c r="X10312" s="40"/>
      <c r="Y10312" s="40"/>
    </row>
    <row r="10313" spans="24:25" x14ac:dyDescent="0.35">
      <c r="X10313" s="40"/>
      <c r="Y10313" s="40"/>
    </row>
    <row r="10314" spans="24:25" x14ac:dyDescent="0.35">
      <c r="X10314" s="40"/>
      <c r="Y10314" s="40"/>
    </row>
    <row r="10315" spans="24:25" x14ac:dyDescent="0.35">
      <c r="X10315" s="40"/>
      <c r="Y10315" s="40"/>
    </row>
    <row r="10316" spans="24:25" x14ac:dyDescent="0.35">
      <c r="X10316" s="40"/>
      <c r="Y10316" s="40"/>
    </row>
    <row r="10317" spans="24:25" x14ac:dyDescent="0.35">
      <c r="X10317" s="40"/>
      <c r="Y10317" s="40"/>
    </row>
    <row r="10318" spans="24:25" x14ac:dyDescent="0.35">
      <c r="X10318" s="40"/>
      <c r="Y10318" s="40"/>
    </row>
    <row r="10319" spans="24:25" x14ac:dyDescent="0.35">
      <c r="X10319" s="40"/>
      <c r="Y10319" s="40"/>
    </row>
    <row r="10320" spans="24:25" x14ac:dyDescent="0.35">
      <c r="X10320" s="40"/>
      <c r="Y10320" s="40"/>
    </row>
    <row r="10321" spans="24:25" x14ac:dyDescent="0.35">
      <c r="X10321" s="40"/>
      <c r="Y10321" s="40"/>
    </row>
    <row r="10322" spans="24:25" x14ac:dyDescent="0.35">
      <c r="X10322" s="40"/>
      <c r="Y10322" s="40"/>
    </row>
    <row r="10323" spans="24:25" x14ac:dyDescent="0.35">
      <c r="X10323" s="40"/>
      <c r="Y10323" s="40"/>
    </row>
    <row r="10324" spans="24:25" x14ac:dyDescent="0.35">
      <c r="X10324" s="40"/>
      <c r="Y10324" s="40"/>
    </row>
    <row r="10325" spans="24:25" x14ac:dyDescent="0.35">
      <c r="X10325" s="40"/>
      <c r="Y10325" s="40"/>
    </row>
    <row r="10326" spans="24:25" x14ac:dyDescent="0.35">
      <c r="X10326" s="40"/>
      <c r="Y10326" s="40"/>
    </row>
    <row r="10327" spans="24:25" x14ac:dyDescent="0.35">
      <c r="X10327" s="40"/>
      <c r="Y10327" s="40"/>
    </row>
    <row r="10328" spans="24:25" x14ac:dyDescent="0.35">
      <c r="X10328" s="40"/>
      <c r="Y10328" s="40"/>
    </row>
    <row r="10329" spans="24:25" x14ac:dyDescent="0.35">
      <c r="X10329" s="40"/>
      <c r="Y10329" s="40"/>
    </row>
    <row r="10330" spans="24:25" x14ac:dyDescent="0.35">
      <c r="X10330" s="40"/>
      <c r="Y10330" s="40"/>
    </row>
    <row r="10331" spans="24:25" x14ac:dyDescent="0.35">
      <c r="X10331" s="40"/>
      <c r="Y10331" s="40"/>
    </row>
    <row r="10332" spans="24:25" x14ac:dyDescent="0.35">
      <c r="X10332" s="40"/>
      <c r="Y10332" s="40"/>
    </row>
    <row r="10333" spans="24:25" x14ac:dyDescent="0.35">
      <c r="X10333" s="40"/>
      <c r="Y10333" s="40"/>
    </row>
    <row r="10334" spans="24:25" x14ac:dyDescent="0.35">
      <c r="X10334" s="40"/>
      <c r="Y10334" s="40"/>
    </row>
    <row r="10335" spans="24:25" x14ac:dyDescent="0.35">
      <c r="X10335" s="40"/>
      <c r="Y10335" s="40"/>
    </row>
    <row r="10336" spans="24:25" x14ac:dyDescent="0.35">
      <c r="X10336" s="40"/>
      <c r="Y10336" s="40"/>
    </row>
    <row r="10337" spans="24:25" x14ac:dyDescent="0.35">
      <c r="X10337" s="40"/>
      <c r="Y10337" s="40"/>
    </row>
    <row r="10338" spans="24:25" x14ac:dyDescent="0.35">
      <c r="X10338" s="40"/>
      <c r="Y10338" s="40"/>
    </row>
    <row r="10339" spans="24:25" x14ac:dyDescent="0.35">
      <c r="X10339" s="40"/>
      <c r="Y10339" s="40"/>
    </row>
    <row r="10340" spans="24:25" x14ac:dyDescent="0.35">
      <c r="X10340" s="40"/>
      <c r="Y10340" s="40"/>
    </row>
    <row r="10341" spans="24:25" x14ac:dyDescent="0.35">
      <c r="X10341" s="40"/>
      <c r="Y10341" s="40"/>
    </row>
    <row r="10342" spans="24:25" x14ac:dyDescent="0.35">
      <c r="X10342" s="40"/>
      <c r="Y10342" s="40"/>
    </row>
    <row r="10343" spans="24:25" x14ac:dyDescent="0.35">
      <c r="X10343" s="40"/>
      <c r="Y10343" s="40"/>
    </row>
    <row r="10344" spans="24:25" x14ac:dyDescent="0.35">
      <c r="X10344" s="40"/>
      <c r="Y10344" s="40"/>
    </row>
    <row r="10345" spans="24:25" x14ac:dyDescent="0.35">
      <c r="X10345" s="40"/>
      <c r="Y10345" s="40"/>
    </row>
    <row r="10346" spans="24:25" x14ac:dyDescent="0.35">
      <c r="X10346" s="40"/>
      <c r="Y10346" s="40"/>
    </row>
    <row r="10347" spans="24:25" x14ac:dyDescent="0.35">
      <c r="X10347" s="40"/>
      <c r="Y10347" s="40"/>
    </row>
    <row r="10348" spans="24:25" x14ac:dyDescent="0.35">
      <c r="X10348" s="40"/>
      <c r="Y10348" s="40"/>
    </row>
    <row r="10349" spans="24:25" x14ac:dyDescent="0.35">
      <c r="X10349" s="40"/>
      <c r="Y10349" s="40"/>
    </row>
    <row r="10350" spans="24:25" x14ac:dyDescent="0.35">
      <c r="X10350" s="40"/>
      <c r="Y10350" s="40"/>
    </row>
    <row r="10351" spans="24:25" x14ac:dyDescent="0.35">
      <c r="X10351" s="40"/>
      <c r="Y10351" s="40"/>
    </row>
    <row r="10352" spans="24:25" x14ac:dyDescent="0.35">
      <c r="X10352" s="40"/>
      <c r="Y10352" s="40"/>
    </row>
    <row r="10353" spans="24:25" x14ac:dyDescent="0.35">
      <c r="X10353" s="40"/>
      <c r="Y10353" s="40"/>
    </row>
    <row r="10354" spans="24:25" x14ac:dyDescent="0.35">
      <c r="X10354" s="40"/>
      <c r="Y10354" s="40"/>
    </row>
    <row r="10355" spans="24:25" x14ac:dyDescent="0.35">
      <c r="X10355" s="40"/>
      <c r="Y10355" s="40"/>
    </row>
    <row r="10356" spans="24:25" x14ac:dyDescent="0.35">
      <c r="X10356" s="40"/>
      <c r="Y10356" s="40"/>
    </row>
    <row r="10357" spans="24:25" x14ac:dyDescent="0.35">
      <c r="X10357" s="40"/>
      <c r="Y10357" s="40"/>
    </row>
    <row r="10358" spans="24:25" x14ac:dyDescent="0.35">
      <c r="X10358" s="40"/>
      <c r="Y10358" s="40"/>
    </row>
    <row r="10359" spans="24:25" x14ac:dyDescent="0.35">
      <c r="X10359" s="40"/>
      <c r="Y10359" s="40"/>
    </row>
    <row r="10360" spans="24:25" x14ac:dyDescent="0.35">
      <c r="X10360" s="40"/>
      <c r="Y10360" s="40"/>
    </row>
    <row r="10361" spans="24:25" x14ac:dyDescent="0.35">
      <c r="X10361" s="40"/>
      <c r="Y10361" s="40"/>
    </row>
    <row r="10362" spans="24:25" x14ac:dyDescent="0.35">
      <c r="X10362" s="40"/>
      <c r="Y10362" s="40"/>
    </row>
    <row r="10363" spans="24:25" x14ac:dyDescent="0.35">
      <c r="X10363" s="40"/>
      <c r="Y10363" s="40"/>
    </row>
    <row r="10364" spans="24:25" x14ac:dyDescent="0.35">
      <c r="X10364" s="40"/>
      <c r="Y10364" s="40"/>
    </row>
    <row r="10365" spans="24:25" x14ac:dyDescent="0.35">
      <c r="X10365" s="40"/>
      <c r="Y10365" s="40"/>
    </row>
    <row r="10366" spans="24:25" x14ac:dyDescent="0.35">
      <c r="X10366" s="40"/>
      <c r="Y10366" s="40"/>
    </row>
    <row r="10367" spans="24:25" x14ac:dyDescent="0.35">
      <c r="X10367" s="40"/>
      <c r="Y10367" s="40"/>
    </row>
    <row r="10368" spans="24:25" x14ac:dyDescent="0.35">
      <c r="X10368" s="40"/>
      <c r="Y10368" s="40"/>
    </row>
    <row r="10369" spans="24:25" x14ac:dyDescent="0.35">
      <c r="X10369" s="40"/>
      <c r="Y10369" s="40"/>
    </row>
    <row r="10370" spans="24:25" x14ac:dyDescent="0.35">
      <c r="X10370" s="40"/>
      <c r="Y10370" s="40"/>
    </row>
    <row r="10371" spans="24:25" x14ac:dyDescent="0.35">
      <c r="X10371" s="40"/>
      <c r="Y10371" s="40"/>
    </row>
    <row r="10372" spans="24:25" x14ac:dyDescent="0.35">
      <c r="X10372" s="40"/>
      <c r="Y10372" s="40"/>
    </row>
    <row r="10373" spans="24:25" x14ac:dyDescent="0.35">
      <c r="X10373" s="40"/>
      <c r="Y10373" s="40"/>
    </row>
    <row r="10374" spans="24:25" x14ac:dyDescent="0.35">
      <c r="X10374" s="40"/>
      <c r="Y10374" s="40"/>
    </row>
    <row r="10375" spans="24:25" x14ac:dyDescent="0.35">
      <c r="X10375" s="40"/>
      <c r="Y10375" s="40"/>
    </row>
    <row r="10376" spans="24:25" x14ac:dyDescent="0.35">
      <c r="X10376" s="40"/>
      <c r="Y10376" s="40"/>
    </row>
    <row r="10377" spans="24:25" x14ac:dyDescent="0.35">
      <c r="X10377" s="40"/>
      <c r="Y10377" s="40"/>
    </row>
    <row r="10378" spans="24:25" x14ac:dyDescent="0.35">
      <c r="X10378" s="40"/>
      <c r="Y10378" s="40"/>
    </row>
    <row r="10379" spans="24:25" x14ac:dyDescent="0.35">
      <c r="X10379" s="40"/>
      <c r="Y10379" s="40"/>
    </row>
    <row r="10380" spans="24:25" x14ac:dyDescent="0.35">
      <c r="X10380" s="40"/>
      <c r="Y10380" s="40"/>
    </row>
    <row r="10381" spans="24:25" x14ac:dyDescent="0.35">
      <c r="X10381" s="40"/>
      <c r="Y10381" s="40"/>
    </row>
    <row r="10382" spans="24:25" x14ac:dyDescent="0.35">
      <c r="X10382" s="40"/>
      <c r="Y10382" s="40"/>
    </row>
    <row r="10383" spans="24:25" x14ac:dyDescent="0.35">
      <c r="X10383" s="40"/>
      <c r="Y10383" s="40"/>
    </row>
    <row r="10384" spans="24:25" x14ac:dyDescent="0.35">
      <c r="X10384" s="40"/>
      <c r="Y10384" s="40"/>
    </row>
    <row r="10385" spans="24:25" x14ac:dyDescent="0.35">
      <c r="X10385" s="40"/>
      <c r="Y10385" s="40"/>
    </row>
    <row r="10386" spans="24:25" x14ac:dyDescent="0.35">
      <c r="X10386" s="40"/>
      <c r="Y10386" s="40"/>
    </row>
    <row r="10387" spans="24:25" x14ac:dyDescent="0.35">
      <c r="X10387" s="40"/>
      <c r="Y10387" s="40"/>
    </row>
    <row r="10388" spans="24:25" x14ac:dyDescent="0.35">
      <c r="X10388" s="40"/>
      <c r="Y10388" s="40"/>
    </row>
    <row r="10389" spans="24:25" x14ac:dyDescent="0.35">
      <c r="X10389" s="40"/>
      <c r="Y10389" s="40"/>
    </row>
    <row r="10390" spans="24:25" x14ac:dyDescent="0.35">
      <c r="X10390" s="40"/>
      <c r="Y10390" s="40"/>
    </row>
    <row r="10391" spans="24:25" x14ac:dyDescent="0.35">
      <c r="X10391" s="40"/>
      <c r="Y10391" s="40"/>
    </row>
    <row r="10392" spans="24:25" x14ac:dyDescent="0.35">
      <c r="X10392" s="40"/>
      <c r="Y10392" s="40"/>
    </row>
    <row r="10393" spans="24:25" x14ac:dyDescent="0.35">
      <c r="X10393" s="40"/>
      <c r="Y10393" s="40"/>
    </row>
    <row r="10394" spans="24:25" x14ac:dyDescent="0.35">
      <c r="X10394" s="40"/>
      <c r="Y10394" s="40"/>
    </row>
    <row r="10395" spans="24:25" x14ac:dyDescent="0.35">
      <c r="X10395" s="40"/>
      <c r="Y10395" s="40"/>
    </row>
    <row r="10396" spans="24:25" x14ac:dyDescent="0.35">
      <c r="X10396" s="40"/>
      <c r="Y10396" s="40"/>
    </row>
    <row r="10397" spans="24:25" x14ac:dyDescent="0.35">
      <c r="X10397" s="40"/>
      <c r="Y10397" s="40"/>
    </row>
    <row r="10398" spans="24:25" x14ac:dyDescent="0.35">
      <c r="X10398" s="40"/>
      <c r="Y10398" s="40"/>
    </row>
    <row r="10399" spans="24:25" x14ac:dyDescent="0.35">
      <c r="X10399" s="40"/>
      <c r="Y10399" s="40"/>
    </row>
    <row r="10400" spans="24:25" x14ac:dyDescent="0.35">
      <c r="X10400" s="40"/>
      <c r="Y10400" s="40"/>
    </row>
    <row r="10401" spans="24:25" x14ac:dyDescent="0.35">
      <c r="X10401" s="40"/>
      <c r="Y10401" s="40"/>
    </row>
    <row r="10402" spans="24:25" x14ac:dyDescent="0.35">
      <c r="X10402" s="40"/>
      <c r="Y10402" s="40"/>
    </row>
    <row r="10403" spans="24:25" x14ac:dyDescent="0.35">
      <c r="X10403" s="40"/>
      <c r="Y10403" s="40"/>
    </row>
    <row r="10404" spans="24:25" x14ac:dyDescent="0.35">
      <c r="X10404" s="40"/>
      <c r="Y10404" s="40"/>
    </row>
    <row r="10405" spans="24:25" x14ac:dyDescent="0.35">
      <c r="X10405" s="40"/>
      <c r="Y10405" s="40"/>
    </row>
    <row r="10406" spans="24:25" x14ac:dyDescent="0.35">
      <c r="X10406" s="40"/>
      <c r="Y10406" s="40"/>
    </row>
    <row r="10407" spans="24:25" x14ac:dyDescent="0.35">
      <c r="X10407" s="40"/>
      <c r="Y10407" s="40"/>
    </row>
  </sheetData>
  <mergeCells count="2">
    <mergeCell ref="AF1:AO1"/>
    <mergeCell ref="BD1:BN1"/>
  </mergeCells>
  <dataValidations count="18">
    <dataValidation allowBlank="1" error="Please enter only date in this field._x000a_Date should be in MM/DD/YYYY format." errorTitle="Error:" operator="greaterThanOrEqual" prompt="Date should be in MM/DD/YYYY format." promptTitle="Required:" showErrorMessage="1" showInputMessage="1" sqref="AK3 BI3" type="date" xr:uid="{00000000-0002-0000-0200-000000000000}">
      <formula1>1</formula1>
    </dataValidation>
    <dataValidation allowBlank="1" error="Please select Is Married from the drop down only." errorTitle="Error:" prompt="Please select Is Married." promptTitle="Required:" showErrorMessage="1" showInputMessage="1" sqref="BN3" type="list" xr:uid="{00000000-0002-0000-0200-000001000000}">
      <formula1>"Yes,No"</formula1>
    </dataValidation>
    <dataValidation allowBlank="1" error="Please select Relationship from the drop down only." errorTitle="Error:" prompt="Please select Relationship." promptTitle="Required:" showErrorMessage="1" showInputMessage="1" sqref="AN3 BL3" type="list" xr:uid="{00000000-0002-0000-0200-000002000000}">
      <formula1>"Spouse,Child,Domestic Partner,Other dependent"</formula1>
    </dataValidation>
    <dataValidation allowBlank="1" error="Length should be 1 to 35 character." errorTitle="Error:" prompt="Please enter dependent's first name." promptTitle="Required:" showErrorMessage="1" showInputMessage="1" sqref="AG3 BE3" type="textLength" xr:uid="{00000000-0002-0000-0200-000003000000}">
      <formula1>1</formula1>
      <formula2>35</formula2>
    </dataValidation>
    <dataValidation allowBlank="1" error="Please enter only the first character of dependent's middle name." errorTitle="Error:" prompt="Please enter dependent's middle initial." promptTitle="Optional:" showErrorMessage="1" showInputMessage="1" sqref="AH3" type="custom" xr:uid="{00000000-0002-0000-0200-000004000000}">
      <formula1>AND(EXACT(AH3,AH3),LEN(AH3)=1)</formula1>
    </dataValidation>
    <dataValidation allowBlank="1" error="Please enter text length 1 to 60 characters only." errorTitle="Error:" prompt="Please enter dependent's last name." promptTitle="Required:" showErrorMessage="1" showInputMessage="1" sqref="AI3 BG3" type="textLength" xr:uid="{00000000-0002-0000-0200-000005000000}">
      <formula1>1</formula1>
      <formula2>60</formula2>
    </dataValidation>
    <dataValidation allowBlank="1" error="Please select employee's suffix from the drop down only." errorTitle="Error:" prompt="Please select dependent's suffix." promptTitle="Optional:" showErrorMessage="1" showInputMessage="1" sqref="BH3 AJ3" type="list" xr:uid="{00000000-0002-0000-0200-000006000000}">
      <formula1>"Jr., Sr., I, II, III, IV"</formula1>
    </dataValidation>
    <dataValidation allowBlank="1" error="Please select employee's gender from the drop down only." errorTitle="Error:" prompt="Please select dependent's gender." promptTitle="Optional:" showInputMessage="1" sqref="AL3" type="list" xr:uid="{00000000-0002-0000-0200-000007000000}">
      <formula1>"Male,Female"</formula1>
    </dataValidation>
    <dataValidation allowBlank="1" error="Please select Employee Tobacco usage in last 6 months from the drop down only." errorTitle="Error:" prompt="Please select YES if employee's dependent has used any tobacco product in the past six months." promptTitle="Optional:" showErrorMessage="1" showInputMessage="1" sqref="BK3 AM3" type="list" xr:uid="{00000000-0002-0000-0200-000008000000}">
      <formula1>"Yes,No"</formula1>
    </dataValidation>
    <dataValidation allowBlank="1" error="Please select Is Disabled from the drop down only." errorTitle="Error:" prompt="Please select Is Disabled." promptTitle="Required:" showErrorMessage="1" showInputMessage="1" sqref="BM3" type="list" xr:uid="{00000000-0002-0000-0200-000009000000}">
      <formula1>"Yes,No"</formula1>
    </dataValidation>
    <dataValidation allowBlank="1" error="Please select employee's prefix from the drop down only." errorTitle="Error:" prompt="Please select a prefix." promptTitle="Optional:" showErrorMessage="1" showInputMessage="1" sqref="BD3" type="list" xr:uid="{00000000-0002-0000-0200-00000A000000}">
      <formula1>"Mr.,Mrs.,Ms.,Miss.,Dr."</formula1>
    </dataValidation>
    <dataValidation allowBlank="1" error="Please enter only the first character of dependent's middle name." errorTitle="Error:" prompt="Please enter dependent's middle initial." promptTitle="Optional:" showErrorMessage="1" showInputMessage="1" sqref="BF3" type="custom" xr:uid="{00000000-0002-0000-0200-00000B000000}">
      <formula1>AND(ISNUMBER(BF3)=FALSE,LEN(BF3)=1)</formula1>
    </dataValidation>
    <dataValidation allowBlank="1" error="Please select employee's gender from the drop down only." errorTitle="Error:" prompt="Please select dependent's gender." promptTitle="Required:" showErrorMessage="1" showInputMessage="1" sqref="BJ3" type="list" xr:uid="{00000000-0002-0000-0200-00000C000000}">
      <formula1>"Male,Female"</formula1>
    </dataValidation>
    <dataValidation allowBlank="1" error="Please select Is Disabled from the drop down only." errorTitle="Error:" prompt="Please select dependent's disability status." promptTitle="Optional:" showErrorMessage="1" showInputMessage="1" sqref="AO3" type="list" xr:uid="{00000000-0002-0000-0200-00000D000000}">
      <formula1>"Yes,No"</formula1>
    </dataValidation>
    <dataValidation allowBlank="1" error="Please select employee's prefix from the drop down only." errorTitle="Error:" prompt="Please select dependent's prefix." promptTitle="Optional:" showErrorMessage="1" showInputMessage="1" sqref="AF3" type="list" xr:uid="{00000000-0002-0000-0200-00000E000000}">
      <formula1>"Mr.,Mrs.,Ms.,Miss.,Dr."</formula1>
    </dataValidation>
    <dataValidation allowBlank="1" prompt="Custom Fields" promptTitle="Custom Fields" showErrorMessage="1" sqref="BU1:BV1" xr:uid="{00000000-0002-0000-0200-00000F000000}"/>
    <dataValidation allowBlank="1" prompt="Custom Fields" promptTitle="Optional:" showErrorMessage="1" showInputMessage="1" sqref="BV2" xr:uid="{00000000-0002-0000-0200-000010000000}"/>
    <dataValidation allowBlank="1" prompt="Enter the value as per the format provided in the column header comment." showErrorMessage="1" showInputMessage="1" sqref="BU2" xr:uid="{35759F7A-BEEC-4598-9FD8-85ED480FE0BE}"/>
  </dataValidations>
  <pageMargins bottom="0.75" footer="0.3" header="0.3" left="0.7" right="0.7" top="0.75"/>
  <pageSetup orientation="portrait" r:id="rId1"/>
  <ignoredErrors>
    <ignoredError numberStoredAsText="1" sqref="CC5"/>
  </ignoredErrors>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2:I74"/>
  <sheetViews>
    <sheetView topLeftCell="A2" workbookViewId="0" zoomScale="115" zoomScaleNormal="115">
      <selection activeCell="A2" sqref="A2"/>
    </sheetView>
  </sheetViews>
  <sheetFormatPr customHeight="1" defaultColWidth="9.1796875" defaultRowHeight="15.75" x14ac:dyDescent="0.35"/>
  <cols>
    <col min="1" max="1" customWidth="true" style="1" width="45.0" collapsed="false"/>
    <col min="2" max="2" bestFit="true" customWidth="true" style="1" width="41.26953125" collapsed="false"/>
    <col min="3" max="3" customWidth="true" style="1" width="19.453125" collapsed="false"/>
    <col min="4" max="4" customWidth="true" style="1" width="23.7265625" collapsed="false"/>
    <col min="5" max="7" bestFit="true" customWidth="true" style="1" width="10.81640625" collapsed="false"/>
    <col min="8" max="8" customWidth="true" style="1" width="27.1796875" collapsed="false"/>
    <col min="9" max="16384" style="1" width="9.1796875" collapsed="false"/>
  </cols>
  <sheetData>
    <row customHeight="1" ht="15.75" r="2" spans="1:8" x14ac:dyDescent="0.35">
      <c r="A2" s="3" t="s">
        <v>68</v>
      </c>
      <c r="B2" s="3" t="s">
        <v>69</v>
      </c>
      <c r="C2" s="3" t="s">
        <v>70</v>
      </c>
      <c r="D2" s="3" t="s">
        <v>71</v>
      </c>
      <c r="E2" s="3" t="s">
        <v>72</v>
      </c>
      <c r="F2" s="3" t="s">
        <v>73</v>
      </c>
      <c r="G2" s="3" t="s">
        <v>74</v>
      </c>
      <c r="H2" s="3" t="s">
        <v>75</v>
      </c>
    </row>
    <row customHeight="1" ht="15.75" r="3" spans="1:8" x14ac:dyDescent="0.35">
      <c r="A3" s="4" t="s">
        <v>63</v>
      </c>
      <c r="B3" s="5" t="s">
        <v>64</v>
      </c>
      <c r="C3" s="6" t="s">
        <v>65</v>
      </c>
      <c r="D3" s="6" t="s">
        <v>66</v>
      </c>
      <c r="E3" s="7"/>
      <c r="F3" s="5" t="s">
        <v>67</v>
      </c>
      <c r="G3" s="5" t="s">
        <v>67</v>
      </c>
      <c r="H3" s="7"/>
    </row>
    <row customHeight="1" ht="15.75" r="4" spans="1:8" x14ac:dyDescent="0.35">
      <c r="A4" s="8" t="s">
        <v>0</v>
      </c>
      <c r="B4" s="5" t="s">
        <v>76</v>
      </c>
      <c r="C4" s="7"/>
      <c r="D4" s="7"/>
      <c r="E4" s="6" t="s">
        <v>77</v>
      </c>
      <c r="F4" s="5">
        <v>1</v>
      </c>
      <c r="G4" s="5">
        <v>35</v>
      </c>
      <c r="H4" s="9" t="s">
        <v>78</v>
      </c>
    </row>
    <row customHeight="1" ht="15.75" r="5" spans="1:8" x14ac:dyDescent="0.35">
      <c r="A5" s="10" t="s">
        <v>1</v>
      </c>
      <c r="B5" s="5" t="s">
        <v>64</v>
      </c>
      <c r="C5" s="6" t="s">
        <v>79</v>
      </c>
      <c r="D5" s="6" t="s">
        <v>80</v>
      </c>
      <c r="E5" s="6" t="s">
        <v>81</v>
      </c>
      <c r="F5" s="5">
        <v>1</v>
      </c>
      <c r="G5" s="5">
        <v>1</v>
      </c>
      <c r="H5" s="11"/>
    </row>
    <row customHeight="1" ht="15.75" r="6" spans="1:8" x14ac:dyDescent="0.35">
      <c r="A6" s="8" t="s">
        <v>2</v>
      </c>
      <c r="B6" s="5" t="s">
        <v>76</v>
      </c>
      <c r="C6" s="6" t="s">
        <v>79</v>
      </c>
      <c r="D6" s="6" t="s">
        <v>82</v>
      </c>
      <c r="E6" s="6" t="s">
        <v>77</v>
      </c>
      <c r="F6" s="5">
        <v>1</v>
      </c>
      <c r="G6" s="5">
        <v>60</v>
      </c>
      <c r="H6" s="9" t="s">
        <v>83</v>
      </c>
    </row>
    <row customHeight="1" ht="15.75" r="7" spans="1:8" x14ac:dyDescent="0.35">
      <c r="A7" s="11" t="s">
        <v>3</v>
      </c>
      <c r="B7" s="5" t="s">
        <v>64</v>
      </c>
      <c r="C7" s="6" t="s">
        <v>65</v>
      </c>
      <c r="D7" s="6" t="s">
        <v>84</v>
      </c>
      <c r="E7" s="7"/>
      <c r="F7" s="5" t="s">
        <v>67</v>
      </c>
      <c r="G7" s="5" t="s">
        <v>67</v>
      </c>
      <c r="H7" s="11"/>
    </row>
    <row customHeight="1" ht="15.75" r="8" spans="1:8" x14ac:dyDescent="0.35">
      <c r="A8" s="8" t="s">
        <v>4</v>
      </c>
      <c r="B8" s="12" t="s">
        <v>76</v>
      </c>
      <c r="C8" s="7" t="s">
        <v>85</v>
      </c>
      <c r="D8" s="7" t="s">
        <v>86</v>
      </c>
      <c r="E8" s="7"/>
      <c r="F8" s="5" t="s">
        <v>67</v>
      </c>
      <c r="G8" s="5" t="s">
        <v>67</v>
      </c>
      <c r="H8" s="9" t="s">
        <v>87</v>
      </c>
    </row>
    <row customHeight="1" ht="15.75" r="9" spans="1:8" x14ac:dyDescent="0.35">
      <c r="A9" s="8" t="s">
        <v>5</v>
      </c>
      <c r="B9" s="12" t="s">
        <v>76</v>
      </c>
      <c r="C9" s="7" t="s">
        <v>88</v>
      </c>
      <c r="D9" s="7" t="s">
        <v>89</v>
      </c>
      <c r="E9" s="7"/>
      <c r="F9" s="5">
        <v>1</v>
      </c>
      <c r="G9" s="5">
        <v>10</v>
      </c>
      <c r="H9" s="9" t="s">
        <v>90</v>
      </c>
    </row>
    <row customHeight="1" ht="15.75" r="10" spans="1:8" x14ac:dyDescent="0.35">
      <c r="A10" s="8" t="s">
        <v>6</v>
      </c>
      <c r="B10" s="5" t="s">
        <v>76</v>
      </c>
      <c r="C10" s="7" t="s">
        <v>79</v>
      </c>
      <c r="D10" s="7" t="s">
        <v>91</v>
      </c>
      <c r="E10" s="7"/>
      <c r="F10" s="5">
        <v>9</v>
      </c>
      <c r="G10" s="5">
        <v>9</v>
      </c>
      <c r="H10" s="9" t="s">
        <v>92</v>
      </c>
    </row>
    <row customHeight="1" ht="15.75" r="11" spans="1:8" x14ac:dyDescent="0.35">
      <c r="A11" s="8" t="s">
        <v>2344</v>
      </c>
      <c r="B11" s="12" t="s">
        <v>76</v>
      </c>
      <c r="C11" s="7" t="s">
        <v>88</v>
      </c>
      <c r="D11" s="7" t="s">
        <v>93</v>
      </c>
      <c r="E11" s="7"/>
      <c r="F11" s="5">
        <v>1</v>
      </c>
      <c r="G11" s="5">
        <v>5</v>
      </c>
      <c r="H11" s="9" t="s">
        <v>94</v>
      </c>
    </row>
    <row customHeight="1" ht="15.75" r="12" spans="1:8" x14ac:dyDescent="0.35">
      <c r="A12" s="8" t="s">
        <v>7</v>
      </c>
      <c r="B12" s="12" t="s">
        <v>76</v>
      </c>
      <c r="C12" s="7" t="s">
        <v>79</v>
      </c>
      <c r="D12" s="7"/>
      <c r="E12" s="7"/>
      <c r="F12" s="5">
        <v>1</v>
      </c>
      <c r="G12" s="5">
        <v>50</v>
      </c>
      <c r="H12" s="9" t="s">
        <v>95</v>
      </c>
    </row>
    <row customHeight="1" ht="15.75" r="13" spans="1:8" x14ac:dyDescent="0.35">
      <c r="A13" s="8" t="s">
        <v>8</v>
      </c>
      <c r="B13" s="12" t="s">
        <v>76</v>
      </c>
      <c r="C13" s="7" t="s">
        <v>65</v>
      </c>
      <c r="D13" s="7" t="s">
        <v>96</v>
      </c>
      <c r="E13" s="7"/>
      <c r="F13" s="5">
        <v>1</v>
      </c>
      <c r="G13" s="5">
        <v>20</v>
      </c>
      <c r="H13" s="9" t="s">
        <v>97</v>
      </c>
    </row>
    <row customHeight="1" ht="15.75" r="14" spans="1:8" x14ac:dyDescent="0.35">
      <c r="A14" s="8" t="s">
        <v>9</v>
      </c>
      <c r="B14" s="12" t="s">
        <v>76</v>
      </c>
      <c r="C14" s="7" t="s">
        <v>85</v>
      </c>
      <c r="D14" s="7" t="s">
        <v>98</v>
      </c>
      <c r="E14" s="13" t="s">
        <v>99</v>
      </c>
      <c r="F14" s="5" t="s">
        <v>67</v>
      </c>
      <c r="G14" s="5" t="s">
        <v>67</v>
      </c>
      <c r="H14" s="9" t="s">
        <v>100</v>
      </c>
    </row>
    <row customHeight="1" ht="15.75" r="15" spans="1:8" x14ac:dyDescent="0.35">
      <c r="A15" s="10" t="s">
        <v>10</v>
      </c>
      <c r="B15" s="12" t="s">
        <v>64</v>
      </c>
      <c r="C15" s="7" t="s">
        <v>101</v>
      </c>
      <c r="D15" s="7" t="s">
        <v>93</v>
      </c>
      <c r="E15" s="13" t="s">
        <v>102</v>
      </c>
      <c r="F15" s="5">
        <v>1</v>
      </c>
      <c r="G15" s="5">
        <v>5</v>
      </c>
      <c r="H15" s="7"/>
    </row>
    <row customHeight="1" ht="15.75" r="16" spans="1:8" x14ac:dyDescent="0.35">
      <c r="A16" s="8" t="s">
        <v>11</v>
      </c>
      <c r="B16" s="12" t="s">
        <v>76</v>
      </c>
      <c r="C16" s="7" t="s">
        <v>65</v>
      </c>
      <c r="D16" s="7" t="s">
        <v>103</v>
      </c>
      <c r="E16" s="7"/>
      <c r="F16" s="5">
        <v>1</v>
      </c>
      <c r="G16" s="5">
        <v>20</v>
      </c>
      <c r="H16" s="9" t="s">
        <v>94</v>
      </c>
    </row>
    <row customHeight="1" ht="15.75" r="17" spans="1:8" x14ac:dyDescent="0.35">
      <c r="A17" s="8" t="s">
        <v>2350</v>
      </c>
      <c r="B17" s="12" t="s">
        <v>104</v>
      </c>
      <c r="C17" s="7" t="s">
        <v>105</v>
      </c>
      <c r="D17" s="7"/>
      <c r="E17" s="13" t="s">
        <v>106</v>
      </c>
      <c r="F17" s="5">
        <v>1</v>
      </c>
      <c r="G17" s="5">
        <v>2</v>
      </c>
      <c r="H17" s="9" t="s">
        <v>107</v>
      </c>
    </row>
    <row customHeight="1" ht="15.75" r="18" spans="1:8" x14ac:dyDescent="0.35">
      <c r="A18" s="8" t="s">
        <v>12</v>
      </c>
      <c r="B18" s="12" t="s">
        <v>104</v>
      </c>
      <c r="C18" s="7" t="s">
        <v>79</v>
      </c>
      <c r="D18" s="7"/>
      <c r="E18" s="13" t="s">
        <v>108</v>
      </c>
      <c r="F18" s="5">
        <v>1</v>
      </c>
      <c r="G18" s="5">
        <v>50</v>
      </c>
      <c r="H18" s="9" t="s">
        <v>109</v>
      </c>
    </row>
    <row customHeight="1" ht="15.75" r="19" spans="1:8" x14ac:dyDescent="0.35">
      <c r="A19" s="8" t="s">
        <v>13</v>
      </c>
      <c r="B19" s="12" t="s">
        <v>104</v>
      </c>
      <c r="C19" s="7" t="s">
        <v>105</v>
      </c>
      <c r="D19" s="7"/>
      <c r="E19" s="13" t="s">
        <v>110</v>
      </c>
      <c r="F19" s="5">
        <v>1</v>
      </c>
      <c r="G19" s="5">
        <v>10</v>
      </c>
      <c r="H19" s="9" t="s">
        <v>111</v>
      </c>
    </row>
    <row customHeight="1" ht="15.75" r="20" spans="1:8" x14ac:dyDescent="0.35">
      <c r="A20" s="10" t="s">
        <v>14</v>
      </c>
      <c r="B20" s="12" t="s">
        <v>64</v>
      </c>
      <c r="C20" s="7" t="s">
        <v>65</v>
      </c>
      <c r="D20" s="7"/>
      <c r="E20" s="13" t="s">
        <v>112</v>
      </c>
      <c r="F20" s="5">
        <v>1</v>
      </c>
      <c r="G20" s="5">
        <v>50</v>
      </c>
      <c r="H20" s="7"/>
    </row>
    <row customHeight="1" ht="15.75" r="21" spans="1:8" x14ac:dyDescent="0.35">
      <c r="A21" s="8" t="s">
        <v>15</v>
      </c>
      <c r="B21" s="11"/>
      <c r="C21" s="11"/>
      <c r="D21" s="11"/>
      <c r="E21" s="11"/>
      <c r="F21" s="11"/>
      <c r="G21" s="11"/>
      <c r="H21" s="11"/>
    </row>
    <row customHeight="1" ht="15.75" r="22" spans="1:8" x14ac:dyDescent="0.35">
      <c r="A22" s="14" t="s">
        <v>16</v>
      </c>
      <c r="B22" s="12" t="s">
        <v>104</v>
      </c>
      <c r="C22" s="7" t="s">
        <v>65</v>
      </c>
      <c r="D22" s="7" t="s">
        <v>113</v>
      </c>
      <c r="E22" s="13" t="s">
        <v>114</v>
      </c>
      <c r="F22" s="5">
        <v>1</v>
      </c>
      <c r="G22" s="5">
        <v>20</v>
      </c>
      <c r="H22" s="9" t="s">
        <v>115</v>
      </c>
    </row>
    <row customHeight="1" ht="15.75" r="23" spans="1:8" x14ac:dyDescent="0.35">
      <c r="A23" s="14" t="s">
        <v>17</v>
      </c>
      <c r="B23" s="12" t="s">
        <v>104</v>
      </c>
      <c r="C23" s="7" t="s">
        <v>65</v>
      </c>
      <c r="D23" s="7" t="s">
        <v>116</v>
      </c>
      <c r="E23" s="13" t="s">
        <v>114</v>
      </c>
      <c r="F23" s="5">
        <v>1</v>
      </c>
      <c r="G23" s="5">
        <v>20</v>
      </c>
      <c r="H23" s="9" t="s">
        <v>117</v>
      </c>
    </row>
    <row customHeight="1" ht="15.75" r="24" spans="1:8" x14ac:dyDescent="0.35">
      <c r="A24" s="11" t="s">
        <v>18</v>
      </c>
      <c r="B24" s="12" t="s">
        <v>104</v>
      </c>
      <c r="C24" s="7" t="s">
        <v>65</v>
      </c>
      <c r="D24" s="7"/>
      <c r="E24" s="13" t="s">
        <v>118</v>
      </c>
      <c r="F24" s="5">
        <v>1</v>
      </c>
      <c r="G24" s="5">
        <v>30</v>
      </c>
      <c r="H24" s="9" t="s">
        <v>119</v>
      </c>
    </row>
    <row customHeight="1" ht="15.75" r="25" spans="1:8" x14ac:dyDescent="0.35">
      <c r="A25" s="11" t="s">
        <v>19</v>
      </c>
      <c r="B25" s="12" t="s">
        <v>64</v>
      </c>
      <c r="C25" s="7" t="s">
        <v>79</v>
      </c>
      <c r="D25" s="7"/>
      <c r="E25" s="7"/>
      <c r="F25" s="5">
        <v>1</v>
      </c>
      <c r="G25" s="5">
        <v>50</v>
      </c>
      <c r="H25" s="7"/>
    </row>
    <row customHeight="1" ht="15.75" r="26" spans="1:8" x14ac:dyDescent="0.35">
      <c r="A26" s="14" t="s">
        <v>20</v>
      </c>
      <c r="B26" s="12" t="s">
        <v>76</v>
      </c>
      <c r="C26" s="7" t="s">
        <v>79</v>
      </c>
      <c r="D26" s="7"/>
      <c r="E26" s="6" t="s">
        <v>120</v>
      </c>
      <c r="F26" s="5">
        <v>5</v>
      </c>
      <c r="G26" s="5">
        <v>100</v>
      </c>
      <c r="H26" s="9" t="s">
        <v>121</v>
      </c>
    </row>
    <row customHeight="1" ht="15.75" r="27" spans="1:8" x14ac:dyDescent="0.35">
      <c r="A27" s="8" t="s">
        <v>21</v>
      </c>
      <c r="B27" s="12" t="s">
        <v>76</v>
      </c>
      <c r="C27" s="7" t="s">
        <v>79</v>
      </c>
      <c r="D27" s="7"/>
      <c r="E27" s="6" t="s">
        <v>120</v>
      </c>
      <c r="F27" s="5">
        <v>5</v>
      </c>
      <c r="G27" s="5">
        <v>100</v>
      </c>
      <c r="H27" s="7"/>
    </row>
    <row customHeight="1" ht="15.75" r="28" spans="1:8" x14ac:dyDescent="0.35">
      <c r="A28" s="8" t="s">
        <v>22</v>
      </c>
      <c r="B28" s="5" t="s">
        <v>64</v>
      </c>
      <c r="C28" s="6" t="s">
        <v>105</v>
      </c>
      <c r="D28" s="6"/>
      <c r="E28" s="7"/>
      <c r="F28" s="5">
        <v>1</v>
      </c>
      <c r="G28" s="5">
        <v>10</v>
      </c>
      <c r="H28" s="9" t="s">
        <v>122</v>
      </c>
    </row>
    <row customHeight="1" ht="15.75" r="29" spans="1:8" x14ac:dyDescent="0.35">
      <c r="A29" s="8" t="s">
        <v>23</v>
      </c>
      <c r="B29" s="5" t="s">
        <v>76</v>
      </c>
      <c r="C29" s="6" t="s">
        <v>79</v>
      </c>
      <c r="D29" s="6" t="s">
        <v>82</v>
      </c>
      <c r="E29" s="7"/>
      <c r="F29" s="5">
        <v>1</v>
      </c>
      <c r="G29" s="5">
        <v>55</v>
      </c>
      <c r="H29" s="9" t="s">
        <v>123</v>
      </c>
    </row>
    <row customHeight="1" ht="15.75" r="30" spans="1:8" x14ac:dyDescent="0.35">
      <c r="A30" s="10" t="s">
        <v>24</v>
      </c>
      <c r="B30" s="5" t="s">
        <v>64</v>
      </c>
      <c r="C30" s="6" t="s">
        <v>79</v>
      </c>
      <c r="D30" s="6" t="s">
        <v>82</v>
      </c>
      <c r="E30" s="6" t="s">
        <v>124</v>
      </c>
      <c r="F30" s="5">
        <v>1</v>
      </c>
      <c r="G30" s="5">
        <v>55</v>
      </c>
      <c r="H30" s="9" t="s">
        <v>125</v>
      </c>
    </row>
    <row customHeight="1" ht="15.75" r="31" spans="1:8" x14ac:dyDescent="0.35">
      <c r="A31" s="8" t="s">
        <v>25</v>
      </c>
      <c r="B31" s="5" t="s">
        <v>76</v>
      </c>
      <c r="C31" s="6" t="s">
        <v>79</v>
      </c>
      <c r="D31" s="6" t="s">
        <v>82</v>
      </c>
      <c r="E31" s="7"/>
      <c r="F31" s="5">
        <v>2</v>
      </c>
      <c r="G31" s="5">
        <v>30</v>
      </c>
      <c r="H31" s="9" t="s">
        <v>126</v>
      </c>
    </row>
    <row customHeight="1" ht="15.75" r="32" spans="1:8" x14ac:dyDescent="0.35">
      <c r="A32" s="8" t="s">
        <v>26</v>
      </c>
      <c r="B32" s="5" t="s">
        <v>76</v>
      </c>
      <c r="C32" s="6" t="s">
        <v>79</v>
      </c>
      <c r="D32" s="13" t="s">
        <v>105</v>
      </c>
      <c r="E32" s="6" t="s">
        <v>127</v>
      </c>
      <c r="F32" s="15">
        <v>5</v>
      </c>
      <c r="G32" s="15">
        <v>5</v>
      </c>
      <c r="H32" s="16" t="s">
        <v>128</v>
      </c>
    </row>
    <row customHeight="1" ht="15.75" r="33" spans="1:8" x14ac:dyDescent="0.35">
      <c r="A33" s="8" t="s">
        <v>27</v>
      </c>
      <c r="B33" s="5" t="s">
        <v>76</v>
      </c>
      <c r="C33" s="6" t="s">
        <v>79</v>
      </c>
      <c r="D33" s="13" t="s">
        <v>67</v>
      </c>
      <c r="E33" s="17" t="s">
        <v>129</v>
      </c>
      <c r="F33" s="5">
        <v>2</v>
      </c>
      <c r="G33" s="5">
        <v>2</v>
      </c>
      <c r="H33" s="7"/>
    </row>
    <row customHeight="1" ht="15.75" r="34" spans="1:8" x14ac:dyDescent="0.35">
      <c r="A34" s="8" t="s">
        <v>28</v>
      </c>
      <c r="B34" s="5" t="s">
        <v>76</v>
      </c>
      <c r="C34" s="6" t="s">
        <v>65</v>
      </c>
      <c r="D34" s="13" t="s">
        <v>67</v>
      </c>
      <c r="E34" s="17" t="s">
        <v>130</v>
      </c>
      <c r="F34" s="5" t="s">
        <v>67</v>
      </c>
      <c r="G34" s="5" t="s">
        <v>67</v>
      </c>
      <c r="H34" s="9" t="s">
        <v>131</v>
      </c>
    </row>
    <row customHeight="1" ht="15.75" r="35" spans="1:8" x14ac:dyDescent="0.35">
      <c r="A35" s="18" t="s">
        <v>2349</v>
      </c>
      <c r="B35" s="12" t="s">
        <v>104</v>
      </c>
      <c r="C35" s="7" t="s">
        <v>105</v>
      </c>
      <c r="D35" s="7"/>
      <c r="E35" s="13" t="s">
        <v>132</v>
      </c>
      <c r="F35" s="5">
        <v>1</v>
      </c>
      <c r="G35" s="5">
        <v>5</v>
      </c>
      <c r="H35" s="7"/>
    </row>
    <row customHeight="1" ht="15.75" r="36" spans="1:8" x14ac:dyDescent="0.35">
      <c r="A36" s="19" t="s">
        <v>62</v>
      </c>
      <c r="B36" s="5" t="s">
        <v>133</v>
      </c>
      <c r="C36" s="11"/>
      <c r="D36" s="11"/>
      <c r="E36" s="11"/>
      <c r="F36" s="11"/>
      <c r="G36" s="11"/>
      <c r="H36" s="11"/>
    </row>
    <row customHeight="1" ht="15.75" r="37" spans="1:8" x14ac:dyDescent="0.35">
      <c r="A37" s="10" t="s">
        <v>29</v>
      </c>
      <c r="B37" s="5" t="s">
        <v>64</v>
      </c>
      <c r="C37" s="6" t="s">
        <v>65</v>
      </c>
      <c r="D37" s="6" t="s">
        <v>66</v>
      </c>
      <c r="E37" s="7"/>
      <c r="F37" s="5" t="s">
        <v>67</v>
      </c>
      <c r="G37" s="5" t="s">
        <v>67</v>
      </c>
      <c r="H37" s="7"/>
    </row>
    <row customHeight="1" ht="15.75" r="38" spans="1:8" x14ac:dyDescent="0.35">
      <c r="A38" s="8" t="s">
        <v>30</v>
      </c>
      <c r="B38" s="5" t="s">
        <v>76</v>
      </c>
      <c r="C38" s="7"/>
      <c r="D38" s="7"/>
      <c r="E38" s="6" t="s">
        <v>77</v>
      </c>
      <c r="F38" s="5">
        <v>1</v>
      </c>
      <c r="G38" s="5">
        <v>35</v>
      </c>
      <c r="H38" s="9" t="s">
        <v>78</v>
      </c>
    </row>
    <row customHeight="1" ht="15.75" r="39" spans="1:8" x14ac:dyDescent="0.35">
      <c r="A39" s="10" t="s">
        <v>31</v>
      </c>
      <c r="B39" s="5" t="s">
        <v>64</v>
      </c>
      <c r="C39" s="6" t="s">
        <v>79</v>
      </c>
      <c r="D39" s="6" t="s">
        <v>80</v>
      </c>
      <c r="E39" s="6" t="s">
        <v>81</v>
      </c>
      <c r="F39" s="5">
        <v>1</v>
      </c>
      <c r="G39" s="5">
        <v>1</v>
      </c>
      <c r="H39" s="11"/>
    </row>
    <row customHeight="1" ht="15.75" r="40" spans="1:8" x14ac:dyDescent="0.35">
      <c r="A40" s="8" t="s">
        <v>32</v>
      </c>
      <c r="B40" s="5" t="s">
        <v>76</v>
      </c>
      <c r="C40" s="6" t="s">
        <v>79</v>
      </c>
      <c r="D40" s="6" t="s">
        <v>82</v>
      </c>
      <c r="E40" s="6" t="s">
        <v>77</v>
      </c>
      <c r="F40" s="5">
        <v>1</v>
      </c>
      <c r="G40" s="5">
        <v>60</v>
      </c>
      <c r="H40" s="9" t="s">
        <v>83</v>
      </c>
    </row>
    <row customHeight="1" ht="15.75" r="41" spans="1:8" x14ac:dyDescent="0.35">
      <c r="A41" s="10" t="s">
        <v>33</v>
      </c>
      <c r="B41" s="5" t="s">
        <v>64</v>
      </c>
      <c r="C41" s="6" t="s">
        <v>65</v>
      </c>
      <c r="D41" s="6" t="s">
        <v>84</v>
      </c>
      <c r="E41" s="7"/>
      <c r="F41" s="5" t="s">
        <v>67</v>
      </c>
      <c r="G41" s="5" t="s">
        <v>67</v>
      </c>
      <c r="H41" s="11"/>
    </row>
    <row customHeight="1" ht="15.75" r="42" spans="1:8" x14ac:dyDescent="0.35">
      <c r="A42" s="8" t="s">
        <v>34</v>
      </c>
      <c r="B42" s="12" t="s">
        <v>76</v>
      </c>
      <c r="C42" s="7" t="s">
        <v>85</v>
      </c>
      <c r="D42" s="7" t="s">
        <v>86</v>
      </c>
      <c r="E42" s="7"/>
      <c r="F42" s="5" t="s">
        <v>67</v>
      </c>
      <c r="G42" s="5" t="s">
        <v>67</v>
      </c>
      <c r="H42" s="9" t="s">
        <v>87</v>
      </c>
    </row>
    <row customHeight="1" ht="15.75" r="43" spans="1:8" x14ac:dyDescent="0.35">
      <c r="A43" s="8" t="s">
        <v>35</v>
      </c>
      <c r="B43" s="12" t="s">
        <v>76</v>
      </c>
      <c r="C43" s="7" t="s">
        <v>88</v>
      </c>
      <c r="D43" s="7" t="s">
        <v>89</v>
      </c>
      <c r="E43" s="7"/>
      <c r="F43" s="5">
        <v>1</v>
      </c>
      <c r="G43" s="5">
        <v>10</v>
      </c>
      <c r="H43" s="9" t="s">
        <v>90</v>
      </c>
    </row>
    <row customHeight="1" ht="15.75" r="44" spans="1:8" x14ac:dyDescent="0.35">
      <c r="A44" s="8" t="s">
        <v>36</v>
      </c>
      <c r="B44" s="12" t="s">
        <v>76</v>
      </c>
      <c r="C44" s="7" t="s">
        <v>88</v>
      </c>
      <c r="D44" s="7" t="s">
        <v>93</v>
      </c>
      <c r="E44" s="7"/>
      <c r="F44" s="5">
        <v>1</v>
      </c>
      <c r="G44" s="5">
        <v>5</v>
      </c>
      <c r="H44" s="9" t="s">
        <v>94</v>
      </c>
    </row>
    <row customHeight="1" ht="15.75" r="45" spans="1:8" x14ac:dyDescent="0.35">
      <c r="A45" s="8" t="s">
        <v>37</v>
      </c>
      <c r="B45" s="11" t="s">
        <v>76</v>
      </c>
      <c r="C45" s="7" t="s">
        <v>65</v>
      </c>
      <c r="D45" s="7" t="s">
        <v>134</v>
      </c>
      <c r="E45" s="11"/>
      <c r="F45" s="11"/>
      <c r="G45" s="11"/>
      <c r="H45" s="9" t="s">
        <v>94</v>
      </c>
    </row>
    <row customHeight="1" ht="15.75" r="46" spans="1:8" x14ac:dyDescent="0.35">
      <c r="A46" s="8" t="s">
        <v>38</v>
      </c>
      <c r="B46" s="11" t="s">
        <v>76</v>
      </c>
      <c r="C46" s="11"/>
      <c r="D46" s="7" t="s">
        <v>93</v>
      </c>
      <c r="E46" s="11"/>
      <c r="F46" s="11"/>
      <c r="G46" s="11"/>
      <c r="H46" s="9" t="s">
        <v>94</v>
      </c>
    </row>
    <row customHeight="1" ht="15.75" r="47" spans="1:8" x14ac:dyDescent="0.35">
      <c r="A47" s="8" t="s">
        <v>39</v>
      </c>
      <c r="B47" s="11" t="s">
        <v>76</v>
      </c>
      <c r="C47" s="11"/>
      <c r="D47" s="7" t="s">
        <v>93</v>
      </c>
      <c r="E47" s="11"/>
      <c r="F47" s="11"/>
      <c r="G47" s="11"/>
      <c r="H47" s="9" t="s">
        <v>94</v>
      </c>
    </row>
    <row customHeight="1" ht="15.75" r="48" spans="1:8" x14ac:dyDescent="0.35">
      <c r="A48" s="10" t="s">
        <v>40</v>
      </c>
      <c r="B48" s="5" t="s">
        <v>64</v>
      </c>
      <c r="C48" s="6" t="s">
        <v>65</v>
      </c>
      <c r="D48" s="6" t="s">
        <v>66</v>
      </c>
      <c r="E48" s="7"/>
      <c r="F48" s="5" t="s">
        <v>67</v>
      </c>
      <c r="G48" s="5" t="s">
        <v>67</v>
      </c>
      <c r="H48" s="7"/>
    </row>
    <row customHeight="1" ht="15.75" r="49" spans="1:8" x14ac:dyDescent="0.35">
      <c r="A49" s="8" t="s">
        <v>41</v>
      </c>
      <c r="B49" s="5" t="s">
        <v>76</v>
      </c>
      <c r="C49" s="7"/>
      <c r="D49" s="7"/>
      <c r="E49" s="6" t="s">
        <v>77</v>
      </c>
      <c r="F49" s="5">
        <v>1</v>
      </c>
      <c r="G49" s="5">
        <v>35</v>
      </c>
      <c r="H49" s="9" t="s">
        <v>78</v>
      </c>
    </row>
    <row customHeight="1" ht="15.75" r="50" spans="1:8" x14ac:dyDescent="0.35">
      <c r="A50" s="10" t="s">
        <v>42</v>
      </c>
      <c r="B50" s="5" t="s">
        <v>64</v>
      </c>
      <c r="C50" s="6" t="s">
        <v>79</v>
      </c>
      <c r="D50" s="6" t="s">
        <v>80</v>
      </c>
      <c r="E50" s="6" t="s">
        <v>81</v>
      </c>
      <c r="F50" s="5">
        <v>1</v>
      </c>
      <c r="G50" s="5">
        <v>1</v>
      </c>
      <c r="H50" s="11"/>
    </row>
    <row customHeight="1" ht="15.75" r="51" spans="1:8" x14ac:dyDescent="0.35">
      <c r="A51" s="8" t="s">
        <v>43</v>
      </c>
      <c r="B51" s="5" t="s">
        <v>76</v>
      </c>
      <c r="C51" s="6" t="s">
        <v>79</v>
      </c>
      <c r="D51" s="6" t="s">
        <v>82</v>
      </c>
      <c r="E51" s="6" t="s">
        <v>77</v>
      </c>
      <c r="F51" s="5">
        <v>1</v>
      </c>
      <c r="G51" s="5">
        <v>60</v>
      </c>
      <c r="H51" s="9" t="s">
        <v>83</v>
      </c>
    </row>
    <row customHeight="1" ht="15.75" r="52" spans="1:8" x14ac:dyDescent="0.35">
      <c r="A52" s="10" t="s">
        <v>44</v>
      </c>
      <c r="B52" s="5" t="s">
        <v>64</v>
      </c>
      <c r="C52" s="6" t="s">
        <v>65</v>
      </c>
      <c r="D52" s="6" t="s">
        <v>84</v>
      </c>
      <c r="E52" s="7"/>
      <c r="F52" s="5" t="s">
        <v>67</v>
      </c>
      <c r="G52" s="5" t="s">
        <v>67</v>
      </c>
      <c r="H52" s="11"/>
    </row>
    <row customHeight="1" ht="15.75" r="53" spans="1:8" x14ac:dyDescent="0.35">
      <c r="A53" s="8" t="s">
        <v>45</v>
      </c>
      <c r="B53" s="12" t="s">
        <v>76</v>
      </c>
      <c r="C53" s="7" t="s">
        <v>85</v>
      </c>
      <c r="D53" s="7" t="s">
        <v>86</v>
      </c>
      <c r="E53" s="7"/>
      <c r="F53" s="5" t="s">
        <v>67</v>
      </c>
      <c r="G53" s="5" t="s">
        <v>67</v>
      </c>
      <c r="H53" s="9" t="s">
        <v>87</v>
      </c>
    </row>
    <row customHeight="1" ht="15.75" r="54" spans="1:8" x14ac:dyDescent="0.35">
      <c r="A54" s="8" t="s">
        <v>46</v>
      </c>
      <c r="B54" s="12" t="s">
        <v>76</v>
      </c>
      <c r="C54" s="7" t="s">
        <v>88</v>
      </c>
      <c r="D54" s="7" t="s">
        <v>89</v>
      </c>
      <c r="E54" s="7"/>
      <c r="F54" s="5">
        <v>1</v>
      </c>
      <c r="G54" s="5">
        <v>10</v>
      </c>
      <c r="H54" s="9" t="s">
        <v>90</v>
      </c>
    </row>
    <row customHeight="1" ht="15.75" r="55" spans="1:8" x14ac:dyDescent="0.35">
      <c r="A55" s="8" t="s">
        <v>47</v>
      </c>
      <c r="B55" s="12" t="s">
        <v>76</v>
      </c>
      <c r="C55" s="7" t="s">
        <v>88</v>
      </c>
      <c r="D55" s="7" t="s">
        <v>93</v>
      </c>
      <c r="E55" s="7"/>
      <c r="F55" s="5">
        <v>1</v>
      </c>
      <c r="G55" s="5">
        <v>5</v>
      </c>
      <c r="H55" s="9" t="s">
        <v>94</v>
      </c>
    </row>
    <row customHeight="1" ht="15.75" r="56" spans="1:8" x14ac:dyDescent="0.35">
      <c r="A56" s="8" t="s">
        <v>48</v>
      </c>
      <c r="B56" s="11" t="s">
        <v>76</v>
      </c>
      <c r="C56" s="7" t="s">
        <v>65</v>
      </c>
      <c r="D56" s="7" t="s">
        <v>134</v>
      </c>
      <c r="E56" s="11"/>
      <c r="F56" s="11"/>
      <c r="G56" s="11"/>
      <c r="H56" s="9" t="s">
        <v>94</v>
      </c>
    </row>
    <row customHeight="1" ht="15.75" r="57" spans="1:8" x14ac:dyDescent="0.35">
      <c r="A57" s="8" t="s">
        <v>49</v>
      </c>
      <c r="B57" s="11" t="s">
        <v>76</v>
      </c>
      <c r="C57" s="11"/>
      <c r="D57" s="7" t="s">
        <v>93</v>
      </c>
      <c r="E57" s="11"/>
      <c r="F57" s="11"/>
      <c r="G57" s="11"/>
      <c r="H57" s="9" t="s">
        <v>94</v>
      </c>
    </row>
    <row customHeight="1" ht="15.75" r="58" spans="1:8" x14ac:dyDescent="0.35">
      <c r="A58" s="8" t="s">
        <v>50</v>
      </c>
      <c r="B58" s="11" t="s">
        <v>76</v>
      </c>
      <c r="C58" s="11"/>
      <c r="D58" s="7" t="s">
        <v>93</v>
      </c>
      <c r="E58" s="11"/>
      <c r="F58" s="11"/>
      <c r="G58" s="11"/>
      <c r="H58" s="9" t="s">
        <v>94</v>
      </c>
    </row>
    <row customHeight="1" ht="15.75" r="59" spans="1:8" x14ac:dyDescent="0.35">
      <c r="A59" s="10" t="s">
        <v>51</v>
      </c>
      <c r="B59" s="5" t="s">
        <v>64</v>
      </c>
      <c r="C59" s="6" t="s">
        <v>65</v>
      </c>
      <c r="D59" s="6" t="s">
        <v>66</v>
      </c>
      <c r="E59" s="7"/>
      <c r="F59" s="5" t="s">
        <v>67</v>
      </c>
      <c r="G59" s="5" t="s">
        <v>67</v>
      </c>
      <c r="H59" s="7"/>
    </row>
    <row customHeight="1" ht="15.75" r="60" spans="1:8" x14ac:dyDescent="0.35">
      <c r="A60" s="8" t="s">
        <v>52</v>
      </c>
      <c r="B60" s="5" t="s">
        <v>76</v>
      </c>
      <c r="C60" s="7"/>
      <c r="D60" s="7"/>
      <c r="E60" s="6" t="s">
        <v>77</v>
      </c>
      <c r="F60" s="5">
        <v>1</v>
      </c>
      <c r="G60" s="5">
        <v>35</v>
      </c>
      <c r="H60" s="9" t="s">
        <v>78</v>
      </c>
    </row>
    <row customHeight="1" ht="15.75" r="61" spans="1:8" x14ac:dyDescent="0.35">
      <c r="A61" s="10" t="s">
        <v>53</v>
      </c>
      <c r="B61" s="5" t="s">
        <v>64</v>
      </c>
      <c r="C61" s="6" t="s">
        <v>79</v>
      </c>
      <c r="D61" s="6" t="s">
        <v>80</v>
      </c>
      <c r="E61" s="6" t="s">
        <v>81</v>
      </c>
      <c r="F61" s="5">
        <v>1</v>
      </c>
      <c r="G61" s="5">
        <v>1</v>
      </c>
      <c r="H61" s="11"/>
    </row>
    <row customHeight="1" ht="15.75" r="62" spans="1:8" x14ac:dyDescent="0.35">
      <c r="A62" s="8" t="s">
        <v>54</v>
      </c>
      <c r="B62" s="5" t="s">
        <v>76</v>
      </c>
      <c r="C62" s="6" t="s">
        <v>79</v>
      </c>
      <c r="D62" s="6" t="s">
        <v>82</v>
      </c>
      <c r="E62" s="6" t="s">
        <v>77</v>
      </c>
      <c r="F62" s="5">
        <v>1</v>
      </c>
      <c r="G62" s="5">
        <v>60</v>
      </c>
      <c r="H62" s="9" t="s">
        <v>83</v>
      </c>
    </row>
    <row customHeight="1" ht="15.75" r="63" spans="1:8" x14ac:dyDescent="0.35">
      <c r="A63" s="10" t="s">
        <v>55</v>
      </c>
      <c r="B63" s="5" t="s">
        <v>64</v>
      </c>
      <c r="C63" s="6" t="s">
        <v>65</v>
      </c>
      <c r="D63" s="6" t="s">
        <v>84</v>
      </c>
      <c r="E63" s="7"/>
      <c r="F63" s="5" t="s">
        <v>67</v>
      </c>
      <c r="G63" s="5" t="s">
        <v>67</v>
      </c>
      <c r="H63" s="11"/>
    </row>
    <row customHeight="1" ht="15.75" r="64" spans="1:8" x14ac:dyDescent="0.35">
      <c r="A64" s="8" t="s">
        <v>56</v>
      </c>
      <c r="B64" s="12" t="s">
        <v>76</v>
      </c>
      <c r="C64" s="7" t="s">
        <v>85</v>
      </c>
      <c r="D64" s="7" t="s">
        <v>86</v>
      </c>
      <c r="E64" s="7"/>
      <c r="F64" s="5" t="s">
        <v>67</v>
      </c>
      <c r="G64" s="5" t="s">
        <v>67</v>
      </c>
      <c r="H64" s="9" t="s">
        <v>87</v>
      </c>
    </row>
    <row customHeight="1" ht="15.75" r="65" spans="1:8" x14ac:dyDescent="0.35">
      <c r="A65" s="8" t="s">
        <v>57</v>
      </c>
      <c r="B65" s="12" t="s">
        <v>76</v>
      </c>
      <c r="C65" s="7" t="s">
        <v>88</v>
      </c>
      <c r="D65" s="7" t="s">
        <v>89</v>
      </c>
      <c r="E65" s="7"/>
      <c r="F65" s="5">
        <v>1</v>
      </c>
      <c r="G65" s="5">
        <v>10</v>
      </c>
      <c r="H65" s="9" t="s">
        <v>90</v>
      </c>
    </row>
    <row customHeight="1" ht="15.75" r="66" spans="1:8" x14ac:dyDescent="0.35">
      <c r="A66" s="8" t="s">
        <v>58</v>
      </c>
      <c r="B66" s="12" t="s">
        <v>76</v>
      </c>
      <c r="C66" s="7" t="s">
        <v>88</v>
      </c>
      <c r="D66" s="7" t="s">
        <v>93</v>
      </c>
      <c r="E66" s="7"/>
      <c r="F66" s="5">
        <v>1</v>
      </c>
      <c r="G66" s="5">
        <v>5</v>
      </c>
      <c r="H66" s="9" t="s">
        <v>94</v>
      </c>
    </row>
    <row customHeight="1" ht="15.75" r="67" spans="1:8" x14ac:dyDescent="0.35">
      <c r="A67" s="8" t="s">
        <v>59</v>
      </c>
      <c r="B67" s="11" t="s">
        <v>76</v>
      </c>
      <c r="C67" s="7" t="s">
        <v>65</v>
      </c>
      <c r="D67" s="7" t="s">
        <v>134</v>
      </c>
      <c r="E67" s="11"/>
      <c r="F67" s="11"/>
      <c r="G67" s="11"/>
      <c r="H67" s="9" t="s">
        <v>94</v>
      </c>
    </row>
    <row customHeight="1" ht="15.75" r="68" spans="1:8" x14ac:dyDescent="0.35">
      <c r="A68" s="8" t="s">
        <v>60</v>
      </c>
      <c r="B68" s="11" t="s">
        <v>76</v>
      </c>
      <c r="C68" s="11"/>
      <c r="D68" s="7" t="s">
        <v>93</v>
      </c>
      <c r="E68" s="11"/>
      <c r="F68" s="11"/>
      <c r="G68" s="11"/>
      <c r="H68" s="9" t="s">
        <v>94</v>
      </c>
    </row>
    <row customHeight="1" ht="15.75" r="69" spans="1:8" x14ac:dyDescent="0.35">
      <c r="A69" s="8" t="s">
        <v>61</v>
      </c>
      <c r="B69" s="11" t="s">
        <v>76</v>
      </c>
      <c r="C69" s="11"/>
      <c r="D69" s="7" t="s">
        <v>93</v>
      </c>
      <c r="E69" s="11"/>
      <c r="F69" s="11"/>
      <c r="G69" s="11"/>
      <c r="H69" s="9" t="s">
        <v>94</v>
      </c>
    </row>
    <row customHeight="1" ht="15.75" r="70" spans="1:8" x14ac:dyDescent="0.35">
      <c r="A70" s="2"/>
    </row>
    <row customHeight="1" ht="36.75" r="71" spans="1:8" x14ac:dyDescent="0.35">
      <c r="A71" s="93" t="s">
        <v>135</v>
      </c>
      <c r="B71" s="93"/>
      <c r="C71" s="93"/>
    </row>
    <row customHeight="1" ht="15.75" r="72" spans="1:8" x14ac:dyDescent="0.35">
      <c r="A72" s="2"/>
    </row>
    <row customHeight="1" ht="15.75" r="73" spans="1:8" x14ac:dyDescent="0.35">
      <c r="A73" s="2"/>
    </row>
    <row customHeight="1" ht="15.75" r="74" spans="1:8" x14ac:dyDescent="0.35">
      <c r="A74" s="2"/>
    </row>
  </sheetData>
  <mergeCells count="1">
    <mergeCell ref="A71:C71"/>
  </mergeCells>
  <dataValidations count="3">
    <dataValidation allowBlank="1" operator="equal" prompt="Hourly, Salaried" promptTitle="Pay Type" showInputMessage="1" sqref="A23" xr:uid="{00000000-0002-0000-0300-000000000000}">
      <formula1>0</formula1>
      <formula2>0</formula2>
    </dataValidation>
    <dataValidation allowBlank="1" operator="equal" prompt="Monthly, Semi Monthly, Bi-Weekly, Weekly" promptTitle="Pay Frequency" showErrorMessage="1" showInputMessage="1" sqref="A22" xr:uid="{00000000-0002-0000-0300-000001000000}">
      <formula1>0</formula1>
      <formula2>0</formula2>
    </dataValidation>
    <dataValidation allowBlank="1" prompt="Yes, No " promptTitle="Re-Hired Employee" showErrorMessage="1" showInputMessage="1" sqref="A15" xr:uid="{00000000-0002-0000-0300-000002000000}">
      <formula1>0</formula1>
      <formula2>0</formula2>
    </dataValidation>
  </dataValidations>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4</vt:i4>
      </vt:variant>
      <vt:variant>
        <vt:lpstr>Named Ranges</vt:lpstr>
      </vt:variant>
      <vt:variant>
        <vt:i4>39</vt:i4>
      </vt:variant>
    </vt:vector>
  </HeadingPairs>
  <TitlesOfParts>
    <vt:vector baseType="lpstr" size="43">
      <vt:lpstr>Instructions</vt:lpstr>
      <vt:lpstr>Employee Details</vt:lpstr>
      <vt:lpstr>Setting</vt:lpstr>
      <vt:lpstr>Data specs</vt:lpstr>
      <vt:lpstr>City_Unique</vt:lpstr>
      <vt:lpstr>City_Unique_Val</vt:lpstr>
      <vt:lpstr>Col_Heading</vt:lpstr>
      <vt:lpstr>Col_No_Insert</vt:lpstr>
      <vt:lpstr>Setting!Criteria</vt:lpstr>
      <vt:lpstr>Custom_Add_Row</vt:lpstr>
      <vt:lpstr>Custom_CopyPaste</vt:lpstr>
      <vt:lpstr>Custom_CopyPaste_Validation</vt:lpstr>
      <vt:lpstr>Data_Starts</vt:lpstr>
      <vt:lpstr>Dep_FirstCol_Search</vt:lpstr>
      <vt:lpstr>Depen_Conversion_Range</vt:lpstr>
      <vt:lpstr>Depen_FirstPrefixColNo</vt:lpstr>
      <vt:lpstr>Dependent_Format</vt:lpstr>
      <vt:lpstr>Dependent_Format_Alter</vt:lpstr>
      <vt:lpstr>Dependent_Val</vt:lpstr>
      <vt:lpstr>employee</vt:lpstr>
      <vt:lpstr>Employee_SSN</vt:lpstr>
      <vt:lpstr>Employment_Status_ColNo</vt:lpstr>
      <vt:lpstr>Employment_Type</vt:lpstr>
      <vt:lpstr>Error_Sheet_Format_Copy</vt:lpstr>
      <vt:lpstr>ett</vt:lpstr>
      <vt:lpstr>Setting!Extract</vt:lpstr>
      <vt:lpstr>Format_Heading_Copy_Paste</vt:lpstr>
      <vt:lpstr>HourlyPayRate</vt:lpstr>
      <vt:lpstr>Oth_Employement_Type</vt:lpstr>
      <vt:lpstr>Pay_Frequency_ColNo</vt:lpstr>
      <vt:lpstr>Pay_Type_ColNo</vt:lpstr>
      <vt:lpstr>State_City_Data</vt:lpstr>
      <vt:lpstr>State_County</vt:lpstr>
      <vt:lpstr>State_Criteria</vt:lpstr>
      <vt:lpstr>State_Val_Col_Num</vt:lpstr>
      <vt:lpstr>SystemCustomFields</vt:lpstr>
      <vt:lpstr>Termination_Date_Col_No</vt:lpstr>
      <vt:lpstr>Termination_Reason</vt:lpstr>
      <vt:lpstr>Termination_Type_Col_No</vt:lpstr>
      <vt:lpstr>Unique_County_Copy</vt:lpstr>
      <vt:lpstr>Validation_Fill_Range</vt:lpstr>
      <vt:lpstr>VBA_SH_Password</vt:lpstr>
      <vt:lpstr>Working_Hours_per_Week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2015-02-27T11:15:04Z</dcterms:created>
  <dc:creator>Suresh Bisht</dc:creator>
  <cp:lastModifiedBy>Navin Savar</cp:lastModifiedBy>
  <cp:lastPrinted>2015-03-16T09:23:00Z</cp:lastPrinted>
  <dcterms:modified xsi:type="dcterms:W3CDTF">2026-01-23T09:20:01Z</dcterms:modified>
  <dc:title>ER-Employee Upload</dc:title>
</cp:coreProperties>
</file>